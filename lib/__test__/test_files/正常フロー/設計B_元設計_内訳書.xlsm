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myTab1" Type="http://schemas.microsoft.com/office/2006/relationships/ui/extensibility" Target="OriginalRibbon/OriginalRibbon.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15" codeName="{51196F13-6AD0-C1B8-E2B4-A1F9AE17003E}"/>
  <workbookPr codeName="ThisWorkbook"/>
  <mc:AlternateContent xmlns:mc="http://schemas.openxmlformats.org/markup-compatibility/2006">
    <mc:Choice Requires="x15">
      <x15ac:absPath xmlns:x15ac="http://schemas.microsoft.com/office/spreadsheetml/2010/11/ac" url="/Users/maedakei/products/om-bldg/om-bldg-client/lib/__test__/test_files/正常フロー/"/>
    </mc:Choice>
  </mc:AlternateContent>
  <xr:revisionPtr revIDLastSave="0" documentId="13_ncr:1_{4175904F-609F-4F46-8D46-8A10287E4D88}" xr6:coauthVersionLast="47" xr6:coauthVersionMax="47" xr10:uidLastSave="{00000000-0000-0000-0000-000000000000}"/>
  <bookViews>
    <workbookView xWindow="0" yWindow="460" windowWidth="35840" windowHeight="20440" tabRatio="749" xr2:uid="{00000000-000D-0000-FFFF-FFFF00000000}"/>
  </bookViews>
  <sheets>
    <sheet name="表紙" sheetId="6" r:id="rId1"/>
    <sheet name="諸経費表" sheetId="64" state="veryHidden" r:id="rId2"/>
    <sheet name="資産クラス" sheetId="36" r:id="rId3"/>
    <sheet name="入力規則マスタ" sheetId="48" r:id="rId4"/>
    <sheet name="工事1" sheetId="1" r:id="rId5"/>
    <sheet name="代価" sheetId="31" r:id="rId6"/>
    <sheet name="見積比較" sheetId="3" r:id="rId7"/>
    <sheet name="小運搬" sheetId="30" r:id="rId8"/>
    <sheet name="代価一覧" sheetId="7" state="hidden" r:id="rId9"/>
    <sheet name="資産クラス一覧表" sheetId="43" state="hidden" r:id="rId10"/>
    <sheet name="諸経費表(専業工事用)" sheetId="65" state="hidden" r:id="rId11"/>
    <sheet name="随契差引諸経費表" sheetId="66" state="hidden" r:id="rId12"/>
    <sheet name="work" sheetId="8" state="hidden" r:id="rId13"/>
    <sheet name="新規シート" sheetId="9" r:id="rId14"/>
  </sheets>
  <externalReferences>
    <externalReference r:id="rId15"/>
  </externalReferences>
  <definedNames>
    <definedName name="_xlnm._FilterDatabase" localSheetId="2" hidden="1">資産クラス!$C$121:$G$121</definedName>
    <definedName name="_Order1" hidden="1">255</definedName>
    <definedName name="AS2DocOpenMode" hidden="1">"AS2DocumentEdit"</definedName>
    <definedName name="_xlnm.Print_Area" localSheetId="4">工事1!$A$3:$L$94</definedName>
    <definedName name="_xlnm.Print_Area" localSheetId="3">入力規則マスタ!$A$1:$Y$36</definedName>
    <definedName name="明細開始位置" localSheetId="3">[1]工事情報入力シート!$B$14</definedName>
    <definedName name="明細終了位置" localSheetId="3">[1]工事情報入力シート!$B$515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71" i="6" l="1"/>
  <c r="I56" i="1" l="1"/>
  <c r="A2" i="64" l="1"/>
  <c r="N27" i="3" l="1"/>
  <c r="E7" i="64" l="1"/>
  <c r="W5" i="6" l="1"/>
  <c r="K2" i="6"/>
  <c r="M48" i="6" l="1"/>
  <c r="I43" i="1" l="1"/>
  <c r="I42" i="1"/>
  <c r="I41" i="1"/>
  <c r="I40" i="1"/>
  <c r="I39" i="1"/>
  <c r="I38" i="1"/>
  <c r="I37" i="1"/>
  <c r="I36" i="1"/>
  <c r="I35" i="1"/>
  <c r="L1" i="1"/>
  <c r="I80" i="1"/>
  <c r="I79" i="1"/>
  <c r="I78" i="1"/>
  <c r="I77" i="1"/>
  <c r="I76" i="1"/>
  <c r="I75" i="1"/>
  <c r="I64" i="1"/>
  <c r="I63" i="1"/>
  <c r="I62" i="1"/>
  <c r="I61" i="1"/>
  <c r="I60" i="1"/>
  <c r="I59" i="1"/>
  <c r="I58" i="1"/>
  <c r="I57" i="1"/>
  <c r="I55" i="1"/>
  <c r="I54" i="1"/>
  <c r="I53" i="1"/>
  <c r="K93" i="1" l="1"/>
  <c r="M94" i="1"/>
  <c r="L93" i="1"/>
  <c r="J93" i="1"/>
  <c r="L6" i="1"/>
  <c r="K6" i="1"/>
  <c r="J5" i="1" l="1"/>
  <c r="I92" i="1"/>
  <c r="I91" i="1"/>
  <c r="I90" i="1"/>
  <c r="I89" i="1"/>
  <c r="I88" i="1"/>
  <c r="I87" i="1"/>
  <c r="I86" i="1"/>
  <c r="I85" i="1"/>
  <c r="I84" i="1"/>
  <c r="I83" i="1"/>
  <c r="I82" i="1"/>
  <c r="I81" i="1"/>
  <c r="M71" i="1"/>
  <c r="L70" i="1"/>
  <c r="K70" i="1"/>
  <c r="J70" i="1"/>
  <c r="I69" i="1"/>
  <c r="I68" i="1"/>
  <c r="I67" i="1"/>
  <c r="I66" i="1"/>
  <c r="I52" i="1"/>
  <c r="M48" i="1"/>
  <c r="L47" i="1"/>
  <c r="K47" i="1"/>
  <c r="I46" i="1"/>
  <c r="I44" i="1"/>
  <c r="I34" i="1"/>
  <c r="I33" i="1"/>
  <c r="I31" i="1"/>
  <c r="I29" i="1"/>
  <c r="M25" i="1"/>
  <c r="C5" i="1"/>
  <c r="D26" i="3"/>
  <c r="M25" i="3"/>
  <c r="K25" i="3"/>
  <c r="I25" i="3"/>
  <c r="M24" i="3"/>
  <c r="K24" i="3"/>
  <c r="I24" i="3"/>
  <c r="M23" i="3"/>
  <c r="K23" i="3"/>
  <c r="I23" i="3"/>
  <c r="M22" i="3"/>
  <c r="K22" i="3"/>
  <c r="I22" i="3"/>
  <c r="M21" i="3"/>
  <c r="K21" i="3"/>
  <c r="I21" i="3"/>
  <c r="M20" i="3"/>
  <c r="K20" i="3"/>
  <c r="I20" i="3"/>
  <c r="M19" i="3"/>
  <c r="K19" i="3"/>
  <c r="I19" i="3"/>
  <c r="M18" i="3"/>
  <c r="K18" i="3"/>
  <c r="I18" i="3"/>
  <c r="M17" i="3"/>
  <c r="K17" i="3"/>
  <c r="I17" i="3"/>
  <c r="M16" i="3"/>
  <c r="K16" i="3"/>
  <c r="I16" i="3"/>
  <c r="M15" i="3"/>
  <c r="K15" i="3"/>
  <c r="I15" i="3"/>
  <c r="M14" i="3"/>
  <c r="K14" i="3"/>
  <c r="I14" i="3"/>
  <c r="M13" i="3"/>
  <c r="K13" i="3"/>
  <c r="I13" i="3"/>
  <c r="M12" i="3"/>
  <c r="K12" i="3"/>
  <c r="I12" i="3"/>
  <c r="M11" i="3"/>
  <c r="K11" i="3"/>
  <c r="I11" i="3"/>
  <c r="M10" i="3"/>
  <c r="K10" i="3"/>
  <c r="I10" i="3"/>
  <c r="M9" i="3"/>
  <c r="K9" i="3"/>
  <c r="I9" i="3"/>
  <c r="M8" i="3"/>
  <c r="K8" i="3"/>
  <c r="I8" i="3"/>
  <c r="M7" i="3"/>
  <c r="K7" i="3"/>
  <c r="I7" i="3"/>
  <c r="M6" i="3"/>
  <c r="K6" i="3"/>
  <c r="I6" i="3"/>
  <c r="M5" i="3"/>
  <c r="K5" i="3"/>
  <c r="I5" i="3"/>
  <c r="M4" i="3"/>
  <c r="K4" i="3"/>
  <c r="I4" i="3"/>
  <c r="N25" i="3"/>
  <c r="O25" i="3" s="1"/>
  <c r="N24" i="3"/>
  <c r="O24" i="3" s="1"/>
  <c r="N23" i="3"/>
  <c r="O23" i="3" s="1"/>
  <c r="N22" i="3"/>
  <c r="O22" i="3" s="1"/>
  <c r="N21" i="3"/>
  <c r="O21" i="3" s="1"/>
  <c r="N20" i="3"/>
  <c r="O20" i="3" s="1"/>
  <c r="N19" i="3"/>
  <c r="O19" i="3" s="1"/>
  <c r="N18" i="3"/>
  <c r="O18" i="3" s="1"/>
  <c r="N17" i="3"/>
  <c r="O17" i="3" s="1"/>
  <c r="N16" i="3"/>
  <c r="O16" i="3" s="1"/>
  <c r="N15" i="3"/>
  <c r="O15" i="3" s="1"/>
  <c r="N13" i="3"/>
  <c r="O13" i="3" s="1"/>
  <c r="N12" i="3"/>
  <c r="O12" i="3" s="1"/>
  <c r="N11" i="3"/>
  <c r="O11" i="3" s="1"/>
  <c r="N10" i="3"/>
  <c r="O10" i="3" s="1"/>
  <c r="N9" i="3"/>
  <c r="O9" i="3" s="1"/>
  <c r="N8" i="3"/>
  <c r="O8" i="3" s="1"/>
  <c r="N7" i="3"/>
  <c r="O7" i="3" s="1"/>
  <c r="N6" i="3"/>
  <c r="O6" i="3" s="1"/>
  <c r="N4" i="3"/>
  <c r="O4" i="3" s="1"/>
  <c r="M94" i="6"/>
  <c r="I26" i="3" l="1"/>
  <c r="K26" i="3"/>
  <c r="M26" i="3"/>
  <c r="I70" i="1"/>
  <c r="I7" i="1" s="1"/>
  <c r="I93" i="1"/>
  <c r="I8" i="1" s="1"/>
  <c r="I45" i="1"/>
  <c r="O26" i="3" l="1"/>
  <c r="N2" i="3" s="1"/>
  <c r="I16" i="1"/>
  <c r="I422" i="36" l="1"/>
  <c r="H422" i="36"/>
  <c r="I324" i="36"/>
  <c r="I295" i="36"/>
  <c r="I266" i="36"/>
  <c r="I237" i="36"/>
  <c r="I208" i="36"/>
  <c r="I179" i="36"/>
  <c r="H324" i="36"/>
  <c r="H295" i="36"/>
  <c r="H266" i="36"/>
  <c r="H237" i="36"/>
  <c r="H208" i="36"/>
  <c r="N14" i="3" l="1"/>
  <c r="O14" i="3" s="1"/>
  <c r="N5" i="3"/>
  <c r="O5" i="3" s="1"/>
  <c r="I81" i="36"/>
  <c r="H81" i="36"/>
  <c r="I82" i="36" l="1"/>
  <c r="I99" i="36" l="1"/>
  <c r="A1" i="36" l="1"/>
  <c r="G84" i="36" l="1"/>
  <c r="G83" i="36"/>
  <c r="M94" i="9" l="1"/>
  <c r="M71" i="9"/>
  <c r="L93" i="9"/>
  <c r="K93" i="9"/>
  <c r="J93" i="9"/>
  <c r="I92" i="9"/>
  <c r="I91" i="9"/>
  <c r="I90" i="9"/>
  <c r="I89" i="9"/>
  <c r="I88" i="9"/>
  <c r="I87" i="9"/>
  <c r="I86" i="9"/>
  <c r="I85" i="9"/>
  <c r="I84" i="9"/>
  <c r="I83" i="9"/>
  <c r="I82" i="9"/>
  <c r="I81" i="9"/>
  <c r="I80" i="9"/>
  <c r="I79" i="9"/>
  <c r="I78" i="9"/>
  <c r="I77" i="9"/>
  <c r="I76" i="9"/>
  <c r="I75" i="9"/>
  <c r="J74" i="9"/>
  <c r="I93" i="9" l="1"/>
  <c r="I8" i="9" s="1"/>
  <c r="J28" i="9"/>
  <c r="H5" i="8" l="1"/>
  <c r="H4" i="8"/>
  <c r="F1" i="64"/>
  <c r="E1" i="36" s="1"/>
  <c r="E120" i="36" s="1"/>
  <c r="E164" i="64"/>
  <c r="E163" i="64"/>
  <c r="E162" i="64"/>
  <c r="D162" i="64"/>
  <c r="C162" i="64"/>
  <c r="D157" i="64"/>
  <c r="C152" i="64"/>
  <c r="E146" i="64"/>
  <c r="D149" i="64" s="1"/>
  <c r="D159" i="64" s="1"/>
  <c r="E145" i="64"/>
  <c r="E135" i="64"/>
  <c r="D135" i="64"/>
  <c r="F134" i="64"/>
  <c r="E132" i="64"/>
  <c r="D132" i="64"/>
  <c r="E131" i="64"/>
  <c r="D131" i="64"/>
  <c r="E130" i="64"/>
  <c r="D130" i="64"/>
  <c r="E129" i="64"/>
  <c r="D129" i="64"/>
  <c r="E126" i="64"/>
  <c r="D126" i="64"/>
  <c r="E125" i="64"/>
  <c r="D125" i="64"/>
  <c r="E124" i="64"/>
  <c r="D124" i="64"/>
  <c r="D123" i="64"/>
  <c r="D122" i="64"/>
  <c r="D121" i="64"/>
  <c r="D119" i="64"/>
  <c r="E94" i="64"/>
  <c r="D94" i="64"/>
  <c r="E93" i="64"/>
  <c r="D93" i="64"/>
  <c r="E92" i="64"/>
  <c r="D92" i="64"/>
  <c r="E91" i="64"/>
  <c r="D91" i="64"/>
  <c r="E90" i="64"/>
  <c r="D90" i="64"/>
  <c r="E87" i="64"/>
  <c r="D87" i="64"/>
  <c r="E86" i="64"/>
  <c r="D86" i="64"/>
  <c r="E85" i="64"/>
  <c r="D85" i="64"/>
  <c r="D82" i="64"/>
  <c r="D80" i="64"/>
  <c r="H74" i="64"/>
  <c r="G74" i="64"/>
  <c r="H73" i="64"/>
  <c r="G73" i="64"/>
  <c r="F49" i="64"/>
  <c r="F48" i="64"/>
  <c r="H38" i="64"/>
  <c r="G38" i="64"/>
  <c r="G2" i="64"/>
  <c r="H2" i="64" s="1"/>
  <c r="D148" i="64" l="1"/>
  <c r="D158" i="64" s="1"/>
  <c r="H3" i="64"/>
  <c r="G92" i="64"/>
  <c r="G113" i="64" s="1"/>
  <c r="G131" i="64" s="1"/>
  <c r="E159" i="64"/>
  <c r="F38" i="64"/>
  <c r="H91" i="64"/>
  <c r="G91" i="64"/>
  <c r="G112" i="64" s="1"/>
  <c r="G130" i="64" s="1"/>
  <c r="H92" i="64"/>
  <c r="H7" i="64"/>
  <c r="I3" i="36" s="1"/>
  <c r="F74" i="64"/>
  <c r="F73" i="64"/>
  <c r="G7" i="64"/>
  <c r="G3" i="64"/>
  <c r="G63" i="64"/>
  <c r="H63" i="64"/>
  <c r="I6" i="36"/>
  <c r="H165" i="64"/>
  <c r="I7" i="36"/>
  <c r="H133" i="64"/>
  <c r="G8" i="64"/>
  <c r="I13" i="36"/>
  <c r="I12" i="36"/>
  <c r="H4" i="64"/>
  <c r="G4" i="64"/>
  <c r="H3" i="36" l="1"/>
  <c r="I14" i="36"/>
  <c r="I10" i="36"/>
  <c r="H2" i="36"/>
  <c r="H28" i="64"/>
  <c r="F92" i="64"/>
  <c r="H112" i="64"/>
  <c r="F112" i="64" s="1"/>
  <c r="H113" i="64"/>
  <c r="F113" i="64" s="1"/>
  <c r="F91" i="64"/>
  <c r="G99" i="64"/>
  <c r="G140" i="64"/>
  <c r="G60" i="64"/>
  <c r="G36" i="64"/>
  <c r="G79" i="64"/>
  <c r="F63" i="64"/>
  <c r="H79" i="64"/>
  <c r="H140" i="64"/>
  <c r="H60" i="64"/>
  <c r="H36" i="64"/>
  <c r="H99" i="64"/>
  <c r="G165" i="64"/>
  <c r="H436" i="36"/>
  <c r="G56" i="64"/>
  <c r="G55" i="64"/>
  <c r="I436" i="36"/>
  <c r="G133" i="64"/>
  <c r="H7" i="36"/>
  <c r="G28" i="64" l="1"/>
  <c r="G22" i="64"/>
  <c r="G16" i="64"/>
  <c r="G143" i="64"/>
  <c r="G33" i="64"/>
  <c r="A2" i="36"/>
  <c r="I32" i="36"/>
  <c r="I428" i="36"/>
  <c r="I430" i="36"/>
  <c r="H430" i="36"/>
  <c r="H428" i="36"/>
  <c r="H32" i="36"/>
  <c r="I121" i="36"/>
  <c r="H80" i="64"/>
  <c r="H131" i="64"/>
  <c r="G80" i="64"/>
  <c r="H130" i="64"/>
  <c r="I120" i="36"/>
  <c r="H120" i="36"/>
  <c r="G430" i="36" l="1"/>
  <c r="F131" i="64"/>
  <c r="F130" i="64"/>
  <c r="H8" i="64"/>
  <c r="I2" i="36" l="1"/>
  <c r="A3" i="64"/>
  <c r="F165" i="64"/>
  <c r="F133" i="64"/>
  <c r="F80" i="64"/>
  <c r="F28" i="64" l="1"/>
  <c r="H21" i="64"/>
  <c r="H5" i="64"/>
  <c r="H51" i="64"/>
  <c r="H41" i="64"/>
  <c r="H43" i="64"/>
  <c r="H47" i="64"/>
  <c r="H44" i="64"/>
  <c r="H57" i="64"/>
  <c r="H66" i="64" l="1"/>
  <c r="H52" i="64"/>
  <c r="H72" i="64"/>
  <c r="H152" i="64"/>
  <c r="H68" i="64"/>
  <c r="H69" i="64"/>
  <c r="H187" i="64"/>
  <c r="H204" i="64"/>
  <c r="H196" i="64" s="1"/>
  <c r="H178" i="64"/>
  <c r="H54" i="64"/>
  <c r="H42" i="64"/>
  <c r="H67" i="64" l="1"/>
  <c r="H85" i="64" s="1"/>
  <c r="H15" i="64"/>
  <c r="H162" i="64"/>
  <c r="H86" i="64"/>
  <c r="H87" i="64"/>
  <c r="H90" i="64"/>
  <c r="H19" i="64"/>
  <c r="H20" i="64"/>
  <c r="H56" i="64"/>
  <c r="H40" i="64"/>
  <c r="H53" i="64" l="1"/>
  <c r="H65" i="64"/>
  <c r="H83" i="64" s="1"/>
  <c r="H104" i="64" s="1"/>
  <c r="H22" i="64"/>
  <c r="F22" i="64" s="1"/>
  <c r="F56" i="64"/>
  <c r="H108" i="64"/>
  <c r="H106" i="64"/>
  <c r="H107" i="64"/>
  <c r="H111" i="64"/>
  <c r="H32" i="64"/>
  <c r="F429" i="36"/>
  <c r="H13" i="64"/>
  <c r="H55" i="64"/>
  <c r="H50" i="64"/>
  <c r="I5" i="36" l="1"/>
  <c r="H75" i="64"/>
  <c r="H93" i="64" s="1"/>
  <c r="H114" i="64" s="1"/>
  <c r="H132" i="64" s="1"/>
  <c r="H39" i="64"/>
  <c r="H102" i="64" s="1"/>
  <c r="H16" i="64"/>
  <c r="H115" i="64"/>
  <c r="H135" i="64" s="1"/>
  <c r="F55" i="64"/>
  <c r="H76" i="64"/>
  <c r="H94" i="64" s="1"/>
  <c r="H129" i="64"/>
  <c r="H124" i="64"/>
  <c r="H125" i="64"/>
  <c r="H126" i="64"/>
  <c r="S5" i="6"/>
  <c r="S6" i="6"/>
  <c r="I8" i="36" l="1"/>
  <c r="I11" i="36" s="1"/>
  <c r="I9" i="36"/>
  <c r="I400" i="36"/>
  <c r="I392" i="36"/>
  <c r="I384" i="36"/>
  <c r="I376" i="36"/>
  <c r="I366" i="36"/>
  <c r="I358" i="36"/>
  <c r="I350" i="36"/>
  <c r="I342" i="36"/>
  <c r="I334" i="36"/>
  <c r="I404" i="36"/>
  <c r="I394" i="36"/>
  <c r="I382" i="36"/>
  <c r="I370" i="36"/>
  <c r="I360" i="36"/>
  <c r="I348" i="36"/>
  <c r="I338" i="36"/>
  <c r="I328" i="36"/>
  <c r="I319" i="36"/>
  <c r="I311" i="36"/>
  <c r="I303" i="36"/>
  <c r="I294" i="36"/>
  <c r="I286" i="36"/>
  <c r="I278" i="36"/>
  <c r="I270" i="36"/>
  <c r="I261" i="36"/>
  <c r="I401" i="36"/>
  <c r="I393" i="36"/>
  <c r="I385" i="36"/>
  <c r="I377" i="36"/>
  <c r="I367" i="36"/>
  <c r="I359" i="36"/>
  <c r="I351" i="36"/>
  <c r="I343" i="36"/>
  <c r="I335" i="36"/>
  <c r="I327" i="36"/>
  <c r="I318" i="36"/>
  <c r="I310" i="36"/>
  <c r="I302" i="36"/>
  <c r="I293" i="36"/>
  <c r="I285" i="36"/>
  <c r="I277" i="36"/>
  <c r="I269" i="36"/>
  <c r="I260" i="36"/>
  <c r="I252" i="36"/>
  <c r="I255" i="36"/>
  <c r="I241" i="36"/>
  <c r="I232" i="36"/>
  <c r="I251" i="36"/>
  <c r="I402" i="36"/>
  <c r="I390" i="36"/>
  <c r="I380" i="36"/>
  <c r="I368" i="36"/>
  <c r="I356" i="36"/>
  <c r="I346" i="36"/>
  <c r="I336" i="36"/>
  <c r="I326" i="36"/>
  <c r="I317" i="36"/>
  <c r="I309" i="36"/>
  <c r="I301" i="36"/>
  <c r="I292" i="36"/>
  <c r="I284" i="36"/>
  <c r="I276" i="36"/>
  <c r="I268" i="36"/>
  <c r="I259" i="36"/>
  <c r="I407" i="36"/>
  <c r="I399" i="36"/>
  <c r="I391" i="36"/>
  <c r="I383" i="36"/>
  <c r="I375" i="36"/>
  <c r="I365" i="36"/>
  <c r="I357" i="36"/>
  <c r="I349" i="36"/>
  <c r="I341" i="36"/>
  <c r="I333" i="36"/>
  <c r="I325" i="36"/>
  <c r="I316" i="36"/>
  <c r="I308" i="36"/>
  <c r="I300" i="36"/>
  <c r="I291" i="36"/>
  <c r="I283" i="36"/>
  <c r="I275" i="36"/>
  <c r="I267" i="36"/>
  <c r="I258" i="36"/>
  <c r="I250" i="36"/>
  <c r="I247" i="36"/>
  <c r="I239" i="36"/>
  <c r="I230" i="36"/>
  <c r="I246" i="36"/>
  <c r="I238" i="36"/>
  <c r="I229" i="36"/>
  <c r="I221" i="36"/>
  <c r="I213" i="36"/>
  <c r="I204" i="36"/>
  <c r="I196" i="36"/>
  <c r="I188" i="36"/>
  <c r="I180" i="36"/>
  <c r="I171" i="36"/>
  <c r="I163" i="36"/>
  <c r="I155" i="36"/>
  <c r="I228" i="36"/>
  <c r="I212" i="36"/>
  <c r="I195" i="36"/>
  <c r="I178" i="36"/>
  <c r="I162" i="36"/>
  <c r="I222" i="36"/>
  <c r="I205" i="36"/>
  <c r="I189" i="36"/>
  <c r="I172" i="36"/>
  <c r="I398" i="36"/>
  <c r="I378" i="36"/>
  <c r="I354" i="36"/>
  <c r="I332" i="36"/>
  <c r="I315" i="36"/>
  <c r="I299" i="36"/>
  <c r="I282" i="36"/>
  <c r="I265" i="36"/>
  <c r="I397" i="36"/>
  <c r="I381" i="36"/>
  <c r="I363" i="36"/>
  <c r="I347" i="36"/>
  <c r="I331" i="36"/>
  <c r="I314" i="36"/>
  <c r="I298" i="36"/>
  <c r="I281" i="36"/>
  <c r="I264" i="36"/>
  <c r="I248" i="36"/>
  <c r="I236" i="36"/>
  <c r="I244" i="36"/>
  <c r="I233" i="36"/>
  <c r="I223" i="36"/>
  <c r="I211" i="36"/>
  <c r="I200" i="36"/>
  <c r="I190" i="36"/>
  <c r="I177" i="36"/>
  <c r="I167" i="36"/>
  <c r="I157" i="36"/>
  <c r="I224" i="36"/>
  <c r="I203" i="36"/>
  <c r="I183" i="36"/>
  <c r="I158" i="36"/>
  <c r="I218" i="36"/>
  <c r="I197" i="36"/>
  <c r="I176" i="36"/>
  <c r="I156" i="36"/>
  <c r="I194" i="36"/>
  <c r="I151" i="36"/>
  <c r="I170" i="36"/>
  <c r="I185" i="36"/>
  <c r="I362" i="36"/>
  <c r="I321" i="36"/>
  <c r="I369" i="36"/>
  <c r="I320" i="36"/>
  <c r="I287" i="36"/>
  <c r="I243" i="36"/>
  <c r="I225" i="36"/>
  <c r="I202" i="36"/>
  <c r="I159" i="36"/>
  <c r="I187" i="36"/>
  <c r="I201" i="36"/>
  <c r="I396" i="36"/>
  <c r="I352" i="36"/>
  <c r="I330" i="36"/>
  <c r="I313" i="36"/>
  <c r="I297" i="36"/>
  <c r="I280" i="36"/>
  <c r="I263" i="36"/>
  <c r="I395" i="36"/>
  <c r="I379" i="36"/>
  <c r="I361" i="36"/>
  <c r="I345" i="36"/>
  <c r="I329" i="36"/>
  <c r="I312" i="36"/>
  <c r="I296" i="36"/>
  <c r="I279" i="36"/>
  <c r="I262" i="36"/>
  <c r="I253" i="36"/>
  <c r="I234" i="36"/>
  <c r="I242" i="36"/>
  <c r="I231" i="36"/>
  <c r="I219" i="36"/>
  <c r="I209" i="36"/>
  <c r="I198" i="36"/>
  <c r="I186" i="36"/>
  <c r="I175" i="36"/>
  <c r="I165" i="36"/>
  <c r="I153" i="36"/>
  <c r="I220" i="36"/>
  <c r="I199" i="36"/>
  <c r="I174" i="36"/>
  <c r="I154" i="36"/>
  <c r="I214" i="36"/>
  <c r="I193" i="36"/>
  <c r="I168" i="36"/>
  <c r="I152" i="36"/>
  <c r="I388" i="36"/>
  <c r="I364" i="36"/>
  <c r="I344" i="36"/>
  <c r="I323" i="36"/>
  <c r="I307" i="36"/>
  <c r="I290" i="36"/>
  <c r="I274" i="36"/>
  <c r="I405" i="36"/>
  <c r="I389" i="36"/>
  <c r="I355" i="36"/>
  <c r="I339" i="36"/>
  <c r="I322" i="36"/>
  <c r="I306" i="36"/>
  <c r="I289" i="36"/>
  <c r="I273" i="36"/>
  <c r="I256" i="36"/>
  <c r="I245" i="36"/>
  <c r="I257" i="36"/>
  <c r="I240" i="36"/>
  <c r="I227" i="36"/>
  <c r="I217" i="36"/>
  <c r="I206" i="36"/>
  <c r="I184" i="36"/>
  <c r="I173" i="36"/>
  <c r="I161" i="36"/>
  <c r="I216" i="36"/>
  <c r="I191" i="36"/>
  <c r="I210" i="36"/>
  <c r="I164" i="36"/>
  <c r="I406" i="36"/>
  <c r="I386" i="36"/>
  <c r="I340" i="36"/>
  <c r="I305" i="36"/>
  <c r="I288" i="36"/>
  <c r="I272" i="36"/>
  <c r="I403" i="36"/>
  <c r="I387" i="36"/>
  <c r="I353" i="36"/>
  <c r="I337" i="36"/>
  <c r="I304" i="36"/>
  <c r="I271" i="36"/>
  <c r="I254" i="36"/>
  <c r="I249" i="36"/>
  <c r="I235" i="36"/>
  <c r="I215" i="36"/>
  <c r="I192" i="36"/>
  <c r="I182" i="36"/>
  <c r="I169" i="36"/>
  <c r="I207" i="36"/>
  <c r="I166" i="36"/>
  <c r="I226" i="36"/>
  <c r="I181" i="36"/>
  <c r="I160" i="36"/>
  <c r="H14" i="64"/>
  <c r="H64" i="64"/>
  <c r="H62" i="64"/>
  <c r="H118" i="64"/>
  <c r="H119" i="64" s="1"/>
  <c r="H27" i="64"/>
  <c r="G89" i="36"/>
  <c r="G90" i="36"/>
  <c r="G91" i="36"/>
  <c r="G92" i="36"/>
  <c r="G93" i="36"/>
  <c r="G94" i="36"/>
  <c r="G95" i="36"/>
  <c r="G96" i="36"/>
  <c r="G97" i="36"/>
  <c r="G98" i="36"/>
  <c r="G88" i="36"/>
  <c r="G78" i="36"/>
  <c r="G24" i="36"/>
  <c r="G26" i="36"/>
  <c r="G27" i="36"/>
  <c r="G28" i="36"/>
  <c r="G29" i="36"/>
  <c r="G30" i="36"/>
  <c r="G31"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H122" i="64" l="1"/>
  <c r="K6" i="9" l="1"/>
  <c r="L1" i="9" l="1"/>
  <c r="L6" i="9" s="1"/>
  <c r="G5" i="64"/>
  <c r="G204" i="64" l="1"/>
  <c r="G196" i="64" s="1"/>
  <c r="G187" i="64"/>
  <c r="G178" i="64"/>
  <c r="H6" i="36"/>
  <c r="G13" i="64"/>
  <c r="H5" i="36" l="1"/>
  <c r="F13" i="64"/>
  <c r="S2" i="48"/>
  <c r="T3" i="48"/>
  <c r="H8" i="36" l="1"/>
  <c r="H406" i="36"/>
  <c r="H398" i="36"/>
  <c r="H390" i="36"/>
  <c r="H382" i="36"/>
  <c r="H364" i="36"/>
  <c r="H356" i="36"/>
  <c r="H348" i="36"/>
  <c r="H340" i="36"/>
  <c r="H332" i="36"/>
  <c r="H323" i="36"/>
  <c r="H315" i="36"/>
  <c r="H405" i="36"/>
  <c r="H339" i="36"/>
  <c r="H309" i="36"/>
  <c r="H292" i="36"/>
  <c r="H276" i="36"/>
  <c r="H259" i="36"/>
  <c r="H246" i="36"/>
  <c r="H238" i="36"/>
  <c r="H229" i="36"/>
  <c r="H395" i="36"/>
  <c r="H361" i="36"/>
  <c r="H329" i="36"/>
  <c r="H304" i="36"/>
  <c r="H287" i="36"/>
  <c r="H271" i="36"/>
  <c r="H253" i="36"/>
  <c r="H401" i="36"/>
  <c r="H367" i="36"/>
  <c r="H335" i="36"/>
  <c r="H307" i="36"/>
  <c r="H290" i="36"/>
  <c r="H274" i="36"/>
  <c r="H255" i="36"/>
  <c r="H243" i="36"/>
  <c r="H234" i="36"/>
  <c r="H226" i="36"/>
  <c r="H218" i="36"/>
  <c r="H210" i="36"/>
  <c r="H201" i="36"/>
  <c r="H193" i="36"/>
  <c r="H185" i="36"/>
  <c r="H404" i="36"/>
  <c r="H396" i="36"/>
  <c r="H388" i="36"/>
  <c r="H380" i="36"/>
  <c r="H370" i="36"/>
  <c r="H362" i="36"/>
  <c r="H354" i="36"/>
  <c r="H346" i="36"/>
  <c r="H338" i="36"/>
  <c r="H330" i="36"/>
  <c r="H321" i="36"/>
  <c r="H313" i="36"/>
  <c r="H397" i="36"/>
  <c r="H363" i="36"/>
  <c r="H331" i="36"/>
  <c r="H305" i="36"/>
  <c r="H288" i="36"/>
  <c r="H272" i="36"/>
  <c r="H256" i="36"/>
  <c r="H244" i="36"/>
  <c r="H235" i="36"/>
  <c r="H387" i="36"/>
  <c r="H353" i="36"/>
  <c r="H320" i="36"/>
  <c r="H300" i="36"/>
  <c r="H283" i="36"/>
  <c r="H267" i="36"/>
  <c r="H250" i="36"/>
  <c r="H393" i="36"/>
  <c r="H359" i="36"/>
  <c r="H327" i="36"/>
  <c r="H303" i="36"/>
  <c r="H286" i="36"/>
  <c r="H270" i="36"/>
  <c r="H252" i="36"/>
  <c r="H241" i="36"/>
  <c r="H232" i="36"/>
  <c r="H224" i="36"/>
  <c r="H216" i="36"/>
  <c r="H207" i="36"/>
  <c r="H199" i="36"/>
  <c r="H191" i="36"/>
  <c r="H183" i="36"/>
  <c r="H407" i="36"/>
  <c r="H375" i="36"/>
  <c r="H341" i="36"/>
  <c r="H310" i="36"/>
  <c r="H293" i="36"/>
  <c r="H277" i="36"/>
  <c r="H260" i="36"/>
  <c r="H221" i="36"/>
  <c r="H227" i="36"/>
  <c r="H211" i="36"/>
  <c r="H194" i="36"/>
  <c r="H204" i="36"/>
  <c r="H225" i="36"/>
  <c r="H180" i="36"/>
  <c r="H402" i="36"/>
  <c r="H386" i="36"/>
  <c r="H368" i="36"/>
  <c r="H352" i="36"/>
  <c r="H336" i="36"/>
  <c r="H319" i="36"/>
  <c r="H389" i="36"/>
  <c r="H322" i="36"/>
  <c r="H284" i="36"/>
  <c r="H251" i="36"/>
  <c r="H233" i="36"/>
  <c r="H379" i="36"/>
  <c r="H312" i="36"/>
  <c r="H279" i="36"/>
  <c r="H351" i="36"/>
  <c r="H299" i="36"/>
  <c r="H265" i="36"/>
  <c r="H239" i="36"/>
  <c r="H222" i="36"/>
  <c r="H205" i="36"/>
  <c r="H189" i="36"/>
  <c r="H365" i="36"/>
  <c r="H325" i="36"/>
  <c r="H298" i="36"/>
  <c r="H273" i="36"/>
  <c r="H254" i="36"/>
  <c r="H219" i="36"/>
  <c r="H198" i="36"/>
  <c r="H217" i="36"/>
  <c r="H200" i="36"/>
  <c r="H400" i="36"/>
  <c r="H384" i="36"/>
  <c r="H366" i="36"/>
  <c r="H350" i="36"/>
  <c r="H334" i="36"/>
  <c r="H317" i="36"/>
  <c r="H381" i="36"/>
  <c r="H314" i="36"/>
  <c r="H280" i="36"/>
  <c r="H248" i="36"/>
  <c r="H231" i="36"/>
  <c r="H369" i="36"/>
  <c r="H308" i="36"/>
  <c r="H275" i="36"/>
  <c r="H343" i="36"/>
  <c r="H294" i="36"/>
  <c r="H261" i="36"/>
  <c r="H236" i="36"/>
  <c r="H220" i="36"/>
  <c r="H203" i="36"/>
  <c r="H187" i="36"/>
  <c r="H399" i="36"/>
  <c r="H357" i="36"/>
  <c r="H316" i="36"/>
  <c r="H289" i="36"/>
  <c r="H269" i="36"/>
  <c r="H249" i="36"/>
  <c r="H209" i="36"/>
  <c r="H215" i="36"/>
  <c r="H190" i="36"/>
  <c r="H192" i="36"/>
  <c r="H188" i="36"/>
  <c r="H378" i="36"/>
  <c r="H344" i="36"/>
  <c r="H301" i="36"/>
  <c r="H242" i="36"/>
  <c r="H345" i="36"/>
  <c r="H262" i="36"/>
  <c r="H318" i="36"/>
  <c r="H247" i="36"/>
  <c r="H214" i="36"/>
  <c r="H181" i="36"/>
  <c r="H349" i="36"/>
  <c r="H285" i="36"/>
  <c r="H186" i="36"/>
  <c r="H358" i="36"/>
  <c r="H377" i="36"/>
  <c r="H195" i="36"/>
  <c r="H257" i="36"/>
  <c r="H376" i="36"/>
  <c r="H342" i="36"/>
  <c r="H297" i="36"/>
  <c r="H240" i="36"/>
  <c r="H337" i="36"/>
  <c r="H258" i="36"/>
  <c r="H311" i="36"/>
  <c r="H245" i="36"/>
  <c r="H212" i="36"/>
  <c r="H333" i="36"/>
  <c r="H281" i="36"/>
  <c r="H223" i="36"/>
  <c r="H182" i="36"/>
  <c r="H213" i="36"/>
  <c r="H394" i="36"/>
  <c r="H360" i="36"/>
  <c r="H328" i="36"/>
  <c r="H355" i="36"/>
  <c r="H268" i="36"/>
  <c r="H296" i="36"/>
  <c r="H385" i="36"/>
  <c r="H282" i="36"/>
  <c r="H230" i="36"/>
  <c r="H197" i="36"/>
  <c r="H391" i="36"/>
  <c r="H306" i="36"/>
  <c r="H264" i="36"/>
  <c r="H196" i="36"/>
  <c r="H206" i="36"/>
  <c r="H392" i="36"/>
  <c r="H326" i="36"/>
  <c r="H347" i="36"/>
  <c r="H263" i="36"/>
  <c r="H403" i="36"/>
  <c r="H291" i="36"/>
  <c r="H278" i="36"/>
  <c r="H228" i="36"/>
  <c r="H383" i="36"/>
  <c r="H302" i="36"/>
  <c r="H184" i="36"/>
  <c r="H202" i="36"/>
  <c r="G5" i="36"/>
  <c r="J52" i="8"/>
  <c r="J51" i="9"/>
  <c r="J5" i="9"/>
  <c r="H30" i="9" s="1"/>
  <c r="I20" i="9" l="1"/>
  <c r="I21" i="9"/>
  <c r="J1" i="1"/>
  <c r="J1" i="9"/>
  <c r="J6" i="9" s="1"/>
  <c r="J6" i="1" l="1"/>
  <c r="E4" i="48"/>
  <c r="E5" i="48"/>
  <c r="E6" i="48"/>
  <c r="E7" i="48"/>
  <c r="E8" i="48"/>
  <c r="E9" i="48"/>
  <c r="E10" i="48"/>
  <c r="E11" i="48"/>
  <c r="E12" i="48"/>
  <c r="E13" i="48"/>
  <c r="E14" i="48"/>
  <c r="E15" i="48"/>
  <c r="E16" i="48"/>
  <c r="E17" i="48"/>
  <c r="E18" i="48"/>
  <c r="E19" i="48"/>
  <c r="E3" i="48"/>
  <c r="I4" i="48" l="1"/>
  <c r="I5" i="48"/>
  <c r="I6" i="48"/>
  <c r="I7" i="48"/>
  <c r="I8" i="48"/>
  <c r="I9" i="48"/>
  <c r="I10" i="48"/>
  <c r="I11" i="48"/>
  <c r="I12" i="48"/>
  <c r="I13" i="48"/>
  <c r="I14" i="48"/>
  <c r="I15" i="48"/>
  <c r="I16" i="48"/>
  <c r="I17" i="48"/>
  <c r="I18" i="48"/>
  <c r="I19" i="48"/>
  <c r="I20" i="48"/>
  <c r="I21" i="48"/>
  <c r="I22" i="48"/>
  <c r="I23" i="48"/>
  <c r="I24" i="48"/>
  <c r="I25" i="48"/>
  <c r="I26" i="48"/>
  <c r="I27" i="48"/>
  <c r="I28" i="48"/>
  <c r="I3" i="48"/>
  <c r="S3" i="48" l="1"/>
  <c r="K27" i="8"/>
  <c r="J27" i="8"/>
  <c r="I44" i="9" l="1"/>
  <c r="I43" i="9"/>
  <c r="I42" i="9"/>
  <c r="I41" i="9"/>
  <c r="I40" i="9"/>
  <c r="I39" i="9"/>
  <c r="I38" i="9"/>
  <c r="I37" i="9"/>
  <c r="I36" i="9"/>
  <c r="I35" i="9"/>
  <c r="I34" i="9"/>
  <c r="I33" i="9"/>
  <c r="I31" i="9"/>
  <c r="I30" i="9"/>
  <c r="I32" i="9" s="1"/>
  <c r="I29" i="9"/>
  <c r="I45" i="9" l="1"/>
  <c r="I47" i="9" s="1"/>
  <c r="H121" i="36"/>
  <c r="H22" i="8" l="1"/>
  <c r="H21" i="8"/>
  <c r="H14" i="8"/>
  <c r="G7" i="36" l="1"/>
  <c r="L71" i="8"/>
  <c r="K71" i="8"/>
  <c r="J71" i="8"/>
  <c r="G396" i="36" l="1"/>
  <c r="G395" i="36"/>
  <c r="G394" i="36"/>
  <c r="G393" i="36"/>
  <c r="G392" i="36"/>
  <c r="G391" i="36"/>
  <c r="G390" i="36"/>
  <c r="G389" i="36"/>
  <c r="G388" i="36"/>
  <c r="G387" i="36"/>
  <c r="G386" i="36"/>
  <c r="G385" i="36"/>
  <c r="G384" i="36"/>
  <c r="G383" i="36"/>
  <c r="G382" i="36"/>
  <c r="G381" i="36"/>
  <c r="G380" i="36"/>
  <c r="G379" i="36"/>
  <c r="G378" i="36"/>
  <c r="G377" i="36"/>
  <c r="G376" i="36"/>
  <c r="G375" i="36"/>
  <c r="H82" i="36"/>
  <c r="G82" i="36" l="1"/>
  <c r="H99" i="36"/>
  <c r="G99" i="36" l="1"/>
  <c r="BC46" i="31" l="1"/>
  <c r="F13" i="7"/>
  <c r="E13" i="7"/>
  <c r="D13" i="7"/>
  <c r="C13" i="7"/>
  <c r="F12" i="7"/>
  <c r="E12" i="7"/>
  <c r="D12" i="7"/>
  <c r="C12" i="7"/>
  <c r="M48" i="31"/>
  <c r="W27" i="30"/>
  <c r="V27" i="30"/>
  <c r="U27" i="30"/>
  <c r="T27" i="30"/>
  <c r="S27" i="30"/>
  <c r="R27" i="30"/>
  <c r="Q27" i="30"/>
  <c r="P27" i="30"/>
  <c r="O27" i="30"/>
  <c r="N27" i="30"/>
  <c r="M27" i="30"/>
  <c r="L27" i="30"/>
  <c r="K27" i="30"/>
  <c r="J27" i="30"/>
  <c r="I27" i="30"/>
  <c r="H27" i="30"/>
  <c r="G27" i="30"/>
  <c r="F27" i="30"/>
  <c r="E27" i="30"/>
  <c r="X16" i="30"/>
  <c r="T16" i="30"/>
  <c r="P16" i="30"/>
  <c r="L16" i="30"/>
  <c r="V26" i="30"/>
  <c r="U26" i="30"/>
  <c r="T26" i="30"/>
  <c r="S26" i="30"/>
  <c r="R26" i="30"/>
  <c r="Q26" i="30"/>
  <c r="P26" i="30"/>
  <c r="O26" i="30"/>
  <c r="N26" i="30"/>
  <c r="M26" i="30"/>
  <c r="L26" i="30"/>
  <c r="K26" i="30"/>
  <c r="J26" i="30"/>
  <c r="I26" i="30"/>
  <c r="H26" i="30"/>
  <c r="G26" i="30"/>
  <c r="F26" i="30"/>
  <c r="E26" i="30"/>
  <c r="X15" i="30"/>
  <c r="T15" i="30"/>
  <c r="P15" i="30"/>
  <c r="L15" i="30"/>
  <c r="H14" i="30"/>
  <c r="J13" i="30"/>
  <c r="H12" i="30"/>
  <c r="H11" i="30"/>
  <c r="C1" i="30"/>
  <c r="I30" i="31"/>
  <c r="BC29" i="31"/>
  <c r="BC30" i="31"/>
  <c r="BC31" i="31"/>
  <c r="BC32" i="31"/>
  <c r="BC33" i="31"/>
  <c r="BC34" i="31"/>
  <c r="BC35" i="31"/>
  <c r="BC36" i="31"/>
  <c r="BC37" i="31"/>
  <c r="BC38" i="31"/>
  <c r="BC39" i="31"/>
  <c r="BC40" i="31"/>
  <c r="BC41" i="31"/>
  <c r="BC42" i="31"/>
  <c r="BC43" i="31"/>
  <c r="BC44" i="31"/>
  <c r="BC45" i="31"/>
  <c r="BC6" i="31"/>
  <c r="BC7" i="31"/>
  <c r="BC8" i="31"/>
  <c r="BC9" i="31"/>
  <c r="BC10" i="31"/>
  <c r="BC11" i="31"/>
  <c r="BC12" i="31"/>
  <c r="BC13" i="31"/>
  <c r="BC14" i="31"/>
  <c r="BC15" i="31"/>
  <c r="BC16" i="31"/>
  <c r="BC17" i="31"/>
  <c r="BC18" i="31"/>
  <c r="BC19" i="31"/>
  <c r="BC20" i="31"/>
  <c r="BC21" i="31"/>
  <c r="BC22" i="31"/>
  <c r="BC23" i="31"/>
  <c r="BB23" i="31"/>
  <c r="AJ23" i="31"/>
  <c r="AJ29" i="31"/>
  <c r="AJ36" i="31"/>
  <c r="AJ31" i="31"/>
  <c r="AJ30" i="31"/>
  <c r="AJ32" i="31"/>
  <c r="AJ33" i="31"/>
  <c r="AJ34" i="31"/>
  <c r="AJ35" i="31"/>
  <c r="I31" i="31"/>
  <c r="AL22" i="31"/>
  <c r="BB6" i="31"/>
  <c r="AN32" i="31"/>
  <c r="AJ6" i="31"/>
  <c r="BC47" i="31" l="1"/>
  <c r="AH47" i="31" s="1"/>
  <c r="BC24" i="31"/>
  <c r="AH24" i="31" s="1"/>
  <c r="C28" i="6" l="1"/>
  <c r="F48" i="6" l="1"/>
  <c r="F71" i="6" s="1"/>
  <c r="F94" i="6" l="1"/>
  <c r="N94" i="6" s="1"/>
  <c r="N71" i="6"/>
  <c r="G6" i="36"/>
  <c r="N48" i="6"/>
  <c r="W24" i="30" l="1"/>
  <c r="AA9" i="30"/>
  <c r="V5" i="30" s="1"/>
  <c r="Z9" i="30"/>
  <c r="U5" i="30" s="1"/>
  <c r="Y9" i="30"/>
  <c r="T5" i="30" s="1"/>
  <c r="X9" i="30"/>
  <c r="S5" i="30" s="1"/>
  <c r="Q24" i="30" l="1"/>
  <c r="S24" i="30"/>
  <c r="M9" i="30"/>
  <c r="L4" i="30" s="1"/>
  <c r="M24" i="30"/>
  <c r="P9" i="30"/>
  <c r="Q9" i="30"/>
  <c r="R9" i="30"/>
  <c r="S9" i="30"/>
  <c r="T9" i="30"/>
  <c r="S4" i="30" s="1"/>
  <c r="U9" i="30"/>
  <c r="T4" i="30" s="1"/>
  <c r="V9" i="30"/>
  <c r="U4" i="30" s="1"/>
  <c r="W9" i="30"/>
  <c r="V4" i="30" s="1"/>
  <c r="N9" i="30"/>
  <c r="M4" i="30" s="1"/>
  <c r="O9" i="30"/>
  <c r="N4" i="30" s="1"/>
  <c r="L9" i="30"/>
  <c r="K4" i="30" s="1"/>
  <c r="BB29" i="31"/>
  <c r="BB30" i="31"/>
  <c r="BB31" i="31"/>
  <c r="BB32" i="31"/>
  <c r="BB33" i="31"/>
  <c r="BB34" i="31"/>
  <c r="BB35" i="31"/>
  <c r="BB36" i="31"/>
  <c r="BB37" i="31"/>
  <c r="BB38" i="31"/>
  <c r="BB39" i="31"/>
  <c r="BB40" i="31"/>
  <c r="BB41" i="31"/>
  <c r="BB42" i="31"/>
  <c r="BB43" i="31"/>
  <c r="BB44" i="31"/>
  <c r="BB45" i="31"/>
  <c r="BB46" i="31"/>
  <c r="BA29" i="31"/>
  <c r="BA30" i="31"/>
  <c r="BA31" i="31"/>
  <c r="BA32" i="31"/>
  <c r="BA33" i="31"/>
  <c r="BA34" i="31"/>
  <c r="BA35" i="31"/>
  <c r="BA36" i="31"/>
  <c r="BA37" i="31"/>
  <c r="BA38" i="31"/>
  <c r="BA39" i="31"/>
  <c r="BA40" i="31"/>
  <c r="BA41" i="31"/>
  <c r="BA42" i="31"/>
  <c r="BA43" i="31"/>
  <c r="BA44" i="31"/>
  <c r="BA45" i="31"/>
  <c r="BA46" i="31"/>
  <c r="AZ29" i="31"/>
  <c r="AZ30" i="31"/>
  <c r="AZ31" i="31"/>
  <c r="AZ32" i="31"/>
  <c r="AZ33" i="31"/>
  <c r="AZ34" i="31"/>
  <c r="AZ35" i="31"/>
  <c r="AZ36" i="31"/>
  <c r="AZ37" i="31"/>
  <c r="AZ38" i="31"/>
  <c r="AZ39" i="31"/>
  <c r="AZ40" i="31"/>
  <c r="AZ41" i="31"/>
  <c r="AZ42" i="31"/>
  <c r="AZ43" i="31"/>
  <c r="AZ44" i="31"/>
  <c r="AZ45" i="31"/>
  <c r="AZ46" i="31"/>
  <c r="AY29" i="31"/>
  <c r="AY30" i="31"/>
  <c r="AY31" i="31"/>
  <c r="AY32" i="31"/>
  <c r="AY33" i="31"/>
  <c r="AY34" i="31"/>
  <c r="AY35" i="31"/>
  <c r="AY36" i="31"/>
  <c r="AY37" i="31"/>
  <c r="AY38" i="31"/>
  <c r="AY39" i="31"/>
  <c r="AY40" i="31"/>
  <c r="AY41" i="31"/>
  <c r="AY42" i="31"/>
  <c r="AY43" i="31"/>
  <c r="AY44" i="31"/>
  <c r="AY45" i="31"/>
  <c r="AY46" i="31"/>
  <c r="AX29" i="31"/>
  <c r="AX30" i="31"/>
  <c r="AX31" i="31"/>
  <c r="AX32" i="31"/>
  <c r="AX33" i="31"/>
  <c r="AX34" i="31"/>
  <c r="AX35" i="31"/>
  <c r="AX36" i="31"/>
  <c r="AX37" i="31"/>
  <c r="AX38" i="31"/>
  <c r="AX39" i="31"/>
  <c r="AX40" i="31"/>
  <c r="AX41" i="31"/>
  <c r="AX42" i="31"/>
  <c r="AX43" i="31"/>
  <c r="AX44" i="31"/>
  <c r="AX45" i="31"/>
  <c r="AX46" i="31"/>
  <c r="AW29" i="31"/>
  <c r="AW30" i="31"/>
  <c r="AW31" i="31"/>
  <c r="AW32" i="31"/>
  <c r="AW33" i="31"/>
  <c r="AW34" i="31"/>
  <c r="AW35" i="31"/>
  <c r="AW36" i="31"/>
  <c r="AW37" i="31"/>
  <c r="AW38" i="31"/>
  <c r="AW39" i="31"/>
  <c r="AW40" i="31"/>
  <c r="AW41" i="31"/>
  <c r="AW42" i="31"/>
  <c r="AW43" i="31"/>
  <c r="AW44" i="31"/>
  <c r="AW45" i="31"/>
  <c r="AW46" i="31"/>
  <c r="AV29" i="31"/>
  <c r="AV30" i="31"/>
  <c r="AV31" i="31"/>
  <c r="AV32" i="31"/>
  <c r="AV33" i="31"/>
  <c r="AV34" i="31"/>
  <c r="AV35" i="31"/>
  <c r="AV36" i="31"/>
  <c r="AV37" i="31"/>
  <c r="AV38" i="31"/>
  <c r="AV39" i="31"/>
  <c r="AV40" i="31"/>
  <c r="AV41" i="31"/>
  <c r="AV42" i="31"/>
  <c r="AV43" i="31"/>
  <c r="AV44" i="31"/>
  <c r="AV45" i="31"/>
  <c r="AV46" i="31"/>
  <c r="AU29" i="31"/>
  <c r="AU30" i="31"/>
  <c r="AU31" i="31"/>
  <c r="AU32" i="31"/>
  <c r="AU33" i="31"/>
  <c r="AU34" i="31"/>
  <c r="AU35" i="31"/>
  <c r="AU36" i="31"/>
  <c r="AU37" i="31"/>
  <c r="AU38" i="31"/>
  <c r="AU39" i="31"/>
  <c r="AU40" i="31"/>
  <c r="AU41" i="31"/>
  <c r="AU42" i="31"/>
  <c r="AU43" i="31"/>
  <c r="AU44" i="31"/>
  <c r="AU45" i="31"/>
  <c r="AU46" i="31"/>
  <c r="AT29" i="31"/>
  <c r="AT30" i="31"/>
  <c r="AT31" i="31"/>
  <c r="AT32" i="31"/>
  <c r="AT33" i="31"/>
  <c r="AT34" i="31"/>
  <c r="AT35" i="31"/>
  <c r="AT36" i="31"/>
  <c r="AT37" i="31"/>
  <c r="AT38" i="31"/>
  <c r="AT39" i="31"/>
  <c r="AT40" i="31"/>
  <c r="AT41" i="31"/>
  <c r="AT42" i="31"/>
  <c r="AT43" i="31"/>
  <c r="AT44" i="31"/>
  <c r="AT45" i="31"/>
  <c r="AT46" i="31"/>
  <c r="AS29" i="31"/>
  <c r="AS30" i="31"/>
  <c r="AS31" i="31"/>
  <c r="AS32" i="31"/>
  <c r="AS33" i="31"/>
  <c r="AS34" i="31"/>
  <c r="AS35" i="31"/>
  <c r="AS36" i="31"/>
  <c r="AS37" i="31"/>
  <c r="AS38" i="31"/>
  <c r="AS39" i="31"/>
  <c r="AS40" i="31"/>
  <c r="AS41" i="31"/>
  <c r="AS42" i="31"/>
  <c r="AS43" i="31"/>
  <c r="AS44" i="31"/>
  <c r="AS45" i="31"/>
  <c r="AS46" i="31"/>
  <c r="AR29" i="31"/>
  <c r="AR30" i="31"/>
  <c r="AR31" i="31"/>
  <c r="AR32" i="31"/>
  <c r="AR33" i="31"/>
  <c r="AR34" i="31"/>
  <c r="AR35" i="31"/>
  <c r="AR36" i="31"/>
  <c r="AR37" i="31"/>
  <c r="AR38" i="31"/>
  <c r="AR39" i="31"/>
  <c r="AR40" i="31"/>
  <c r="AR41" i="31"/>
  <c r="AR42" i="31"/>
  <c r="AR43" i="31"/>
  <c r="AR44" i="31"/>
  <c r="AR45" i="31"/>
  <c r="AR46" i="31"/>
  <c r="AQ29" i="31"/>
  <c r="AQ30" i="31"/>
  <c r="AQ31" i="31"/>
  <c r="AQ32" i="31"/>
  <c r="AQ33" i="31"/>
  <c r="AQ34" i="31"/>
  <c r="AQ35" i="31"/>
  <c r="AQ36" i="31"/>
  <c r="AQ37" i="31"/>
  <c r="AQ38" i="31"/>
  <c r="AQ39" i="31"/>
  <c r="AQ40" i="31"/>
  <c r="AQ41" i="31"/>
  <c r="AQ42" i="31"/>
  <c r="AQ43" i="31"/>
  <c r="AQ44" i="31"/>
  <c r="AQ45" i="31"/>
  <c r="AQ46" i="31"/>
  <c r="AP29" i="31"/>
  <c r="AP30" i="31"/>
  <c r="AP31" i="31"/>
  <c r="AP32" i="31"/>
  <c r="AP33" i="31"/>
  <c r="AP34" i="31"/>
  <c r="AP35" i="31"/>
  <c r="AP36" i="31"/>
  <c r="AP37" i="31"/>
  <c r="AP38" i="31"/>
  <c r="AP39" i="31"/>
  <c r="AP40" i="31"/>
  <c r="AP41" i="31"/>
  <c r="AP42" i="31"/>
  <c r="AP43" i="31"/>
  <c r="AP44" i="31"/>
  <c r="AP45" i="31"/>
  <c r="AP46" i="31"/>
  <c r="AO29" i="31"/>
  <c r="AO30" i="31"/>
  <c r="AO31" i="31"/>
  <c r="AO32" i="31"/>
  <c r="AO33" i="31"/>
  <c r="AO34" i="31"/>
  <c r="AO35" i="31"/>
  <c r="AO36" i="31"/>
  <c r="AO37" i="31"/>
  <c r="AO38" i="31"/>
  <c r="AO39" i="31"/>
  <c r="AO40" i="31"/>
  <c r="AO41" i="31"/>
  <c r="AO42" i="31"/>
  <c r="AO43" i="31"/>
  <c r="AO44" i="31"/>
  <c r="AO45" i="31"/>
  <c r="AO46" i="31"/>
  <c r="AN29" i="31"/>
  <c r="AN30" i="31"/>
  <c r="AN31" i="31"/>
  <c r="AN33" i="31"/>
  <c r="AN34" i="31"/>
  <c r="AN35" i="31"/>
  <c r="AN36" i="31"/>
  <c r="AN37" i="31"/>
  <c r="AN38" i="31"/>
  <c r="AN39" i="31"/>
  <c r="AN40" i="31"/>
  <c r="AN41" i="31"/>
  <c r="AN42" i="31"/>
  <c r="AN43" i="31"/>
  <c r="AN44" i="31"/>
  <c r="AN45" i="31"/>
  <c r="AN46" i="31"/>
  <c r="AM29" i="31"/>
  <c r="AM30" i="31"/>
  <c r="AM31" i="31"/>
  <c r="AM32" i="31"/>
  <c r="AM33" i="31"/>
  <c r="AM34" i="31"/>
  <c r="AM35" i="31"/>
  <c r="AM36" i="31"/>
  <c r="AM37" i="31"/>
  <c r="AM38" i="31"/>
  <c r="AM39" i="31"/>
  <c r="AM40" i="31"/>
  <c r="AM41" i="31"/>
  <c r="AM42" i="31"/>
  <c r="AM43" i="31"/>
  <c r="AM44" i="31"/>
  <c r="AM45" i="31"/>
  <c r="AM46" i="31"/>
  <c r="AL29" i="31"/>
  <c r="AL30" i="31"/>
  <c r="AL31" i="31"/>
  <c r="AL32" i="31"/>
  <c r="AL33" i="31"/>
  <c r="AL34" i="31"/>
  <c r="AL35" i="31"/>
  <c r="AL36" i="31"/>
  <c r="AL37" i="31"/>
  <c r="AL38" i="31"/>
  <c r="AL39" i="31"/>
  <c r="AL40" i="31"/>
  <c r="AL41" i="31"/>
  <c r="AL42" i="31"/>
  <c r="AL43" i="31"/>
  <c r="AL44" i="31"/>
  <c r="AL45" i="31"/>
  <c r="AL46" i="31"/>
  <c r="AK29" i="31"/>
  <c r="AK30" i="31"/>
  <c r="AK31" i="31"/>
  <c r="AK32" i="31"/>
  <c r="AK33" i="31"/>
  <c r="AK34" i="31"/>
  <c r="AK35" i="31"/>
  <c r="AK36" i="31"/>
  <c r="AK37" i="31"/>
  <c r="AK38" i="31"/>
  <c r="AK39" i="31"/>
  <c r="AK40" i="31"/>
  <c r="AK41" i="31"/>
  <c r="AK42" i="31"/>
  <c r="AK43" i="31"/>
  <c r="AK44" i="31"/>
  <c r="AK45" i="31"/>
  <c r="AK46" i="31"/>
  <c r="AJ37" i="31"/>
  <c r="AJ38" i="31"/>
  <c r="AJ39" i="31"/>
  <c r="AJ40" i="31"/>
  <c r="AJ41" i="31"/>
  <c r="AJ42" i="31"/>
  <c r="AJ43" i="31"/>
  <c r="AJ44" i="31"/>
  <c r="AJ45" i="31"/>
  <c r="AJ46" i="31"/>
  <c r="I29" i="31"/>
  <c r="I32" i="31"/>
  <c r="I33" i="31"/>
  <c r="I34" i="31"/>
  <c r="I35" i="31"/>
  <c r="I36" i="31"/>
  <c r="I37" i="31"/>
  <c r="I38" i="31"/>
  <c r="I39" i="31"/>
  <c r="I40" i="31"/>
  <c r="I41" i="31"/>
  <c r="I42" i="31"/>
  <c r="I43" i="31"/>
  <c r="I45" i="31"/>
  <c r="BB7" i="31"/>
  <c r="BB8" i="31"/>
  <c r="BB9" i="31"/>
  <c r="BB10" i="31"/>
  <c r="BB11" i="31"/>
  <c r="BB12" i="31"/>
  <c r="BB13" i="31"/>
  <c r="BB14" i="31"/>
  <c r="BB15" i="31"/>
  <c r="BB16" i="31"/>
  <c r="BB17" i="31"/>
  <c r="BB18" i="31"/>
  <c r="BB19" i="31"/>
  <c r="BB20" i="31"/>
  <c r="BB21" i="31"/>
  <c r="BB22" i="31"/>
  <c r="BA6" i="31"/>
  <c r="BA7" i="31"/>
  <c r="BA8" i="31"/>
  <c r="BA9" i="31"/>
  <c r="BA10" i="31"/>
  <c r="BA11" i="31"/>
  <c r="BA12" i="31"/>
  <c r="BA13" i="31"/>
  <c r="BA14" i="31"/>
  <c r="BA15" i="31"/>
  <c r="BA16" i="31"/>
  <c r="BA17" i="31"/>
  <c r="BA18" i="31"/>
  <c r="BA19" i="31"/>
  <c r="BA20" i="31"/>
  <c r="BA21" i="31"/>
  <c r="BA22" i="31"/>
  <c r="BA23" i="31"/>
  <c r="AZ6" i="31"/>
  <c r="AZ7" i="31"/>
  <c r="AZ8" i="31"/>
  <c r="AZ9" i="31"/>
  <c r="AZ10" i="31"/>
  <c r="AZ11" i="31"/>
  <c r="AZ12" i="31"/>
  <c r="AZ13" i="31"/>
  <c r="AZ14" i="31"/>
  <c r="AZ15" i="31"/>
  <c r="AZ16" i="31"/>
  <c r="AZ17" i="31"/>
  <c r="AZ18" i="31"/>
  <c r="AZ19" i="31"/>
  <c r="AZ20" i="31"/>
  <c r="AZ21" i="31"/>
  <c r="AZ22" i="31"/>
  <c r="AZ23" i="31"/>
  <c r="AY6" i="31"/>
  <c r="AY7" i="31"/>
  <c r="AY8" i="31"/>
  <c r="AY9" i="31"/>
  <c r="AY10" i="31"/>
  <c r="AY11" i="31"/>
  <c r="AY12" i="31"/>
  <c r="AY13" i="31"/>
  <c r="AY14" i="31"/>
  <c r="AY15" i="31"/>
  <c r="AY16" i="31"/>
  <c r="AY17" i="31"/>
  <c r="AY18" i="31"/>
  <c r="AY19" i="31"/>
  <c r="AY20" i="31"/>
  <c r="AY21" i="31"/>
  <c r="AY22" i="31"/>
  <c r="AY23" i="31"/>
  <c r="AX6" i="31"/>
  <c r="AX7" i="31"/>
  <c r="AX8" i="31"/>
  <c r="AX9" i="31"/>
  <c r="AX10" i="31"/>
  <c r="AX11" i="31"/>
  <c r="AX12" i="31"/>
  <c r="AX13" i="31"/>
  <c r="AX14" i="31"/>
  <c r="AX15" i="31"/>
  <c r="AX16" i="31"/>
  <c r="AX17" i="31"/>
  <c r="AX18" i="31"/>
  <c r="AX19" i="31"/>
  <c r="AX20" i="31"/>
  <c r="AX21" i="31"/>
  <c r="AX22" i="31"/>
  <c r="AX23" i="31"/>
  <c r="AW6" i="31"/>
  <c r="AW7" i="31"/>
  <c r="AW8" i="31"/>
  <c r="AW9" i="31"/>
  <c r="AW10" i="31"/>
  <c r="AW11" i="31"/>
  <c r="AW12" i="31"/>
  <c r="AW13" i="31"/>
  <c r="AW14" i="31"/>
  <c r="AW15" i="31"/>
  <c r="AW16" i="31"/>
  <c r="AW17" i="31"/>
  <c r="AW18" i="31"/>
  <c r="AW19" i="31"/>
  <c r="AW20" i="31"/>
  <c r="AW21" i="31"/>
  <c r="AW22" i="31"/>
  <c r="AW23" i="31"/>
  <c r="AV6" i="31"/>
  <c r="AV7" i="31"/>
  <c r="AV8" i="31"/>
  <c r="AV9" i="31"/>
  <c r="AV10" i="31"/>
  <c r="AV11" i="31"/>
  <c r="AV12" i="31"/>
  <c r="AV13" i="31"/>
  <c r="AV14" i="31"/>
  <c r="AV15" i="31"/>
  <c r="AV16" i="31"/>
  <c r="AV17" i="31"/>
  <c r="AV18" i="31"/>
  <c r="AV19" i="31"/>
  <c r="AV20" i="31"/>
  <c r="AV21" i="31"/>
  <c r="AV22" i="31"/>
  <c r="AV23" i="31"/>
  <c r="AU6" i="31"/>
  <c r="AU7" i="31"/>
  <c r="AU8" i="31"/>
  <c r="AU9" i="31"/>
  <c r="AU10" i="31"/>
  <c r="AU11" i="31"/>
  <c r="AU12" i="31"/>
  <c r="AU13" i="31"/>
  <c r="AU14" i="31"/>
  <c r="AU15" i="31"/>
  <c r="AU16" i="31"/>
  <c r="AU17" i="31"/>
  <c r="AU18" i="31"/>
  <c r="AU19" i="31"/>
  <c r="AU20" i="31"/>
  <c r="AU21" i="31"/>
  <c r="AU22" i="31"/>
  <c r="AU23" i="31"/>
  <c r="AT6" i="31"/>
  <c r="AT7" i="31"/>
  <c r="AT8" i="31"/>
  <c r="AT9" i="31"/>
  <c r="AT10" i="31"/>
  <c r="AT11" i="31"/>
  <c r="AT12" i="31"/>
  <c r="AT13" i="31"/>
  <c r="AT14" i="31"/>
  <c r="AT15" i="31"/>
  <c r="AT16" i="31"/>
  <c r="AT17" i="31"/>
  <c r="AT18" i="31"/>
  <c r="AT19" i="31"/>
  <c r="AT20" i="31"/>
  <c r="AT21" i="31"/>
  <c r="AT22" i="31"/>
  <c r="AT23" i="31"/>
  <c r="AS6" i="31"/>
  <c r="AS7" i="31"/>
  <c r="AS8" i="31"/>
  <c r="AS9" i="31"/>
  <c r="AS10" i="31"/>
  <c r="AS11" i="31"/>
  <c r="AS12" i="31"/>
  <c r="AS13" i="31"/>
  <c r="AS14" i="31"/>
  <c r="AS15" i="31"/>
  <c r="AS16" i="31"/>
  <c r="AS17" i="31"/>
  <c r="AS18" i="31"/>
  <c r="AS19" i="31"/>
  <c r="AS20" i="31"/>
  <c r="AS21" i="31"/>
  <c r="AS22" i="31"/>
  <c r="AS23" i="31"/>
  <c r="AR6" i="31"/>
  <c r="AR7" i="31"/>
  <c r="AR8" i="31"/>
  <c r="AR9" i="31"/>
  <c r="AR10" i="31"/>
  <c r="AR11" i="31"/>
  <c r="AR12" i="31"/>
  <c r="AR13" i="31"/>
  <c r="AR14" i="31"/>
  <c r="AR15" i="31"/>
  <c r="AR16" i="31"/>
  <c r="AR17" i="31"/>
  <c r="AR18" i="31"/>
  <c r="AR19" i="31"/>
  <c r="AR20" i="31"/>
  <c r="AR21" i="31"/>
  <c r="AR22" i="31"/>
  <c r="AR23" i="31"/>
  <c r="AQ6" i="31"/>
  <c r="AQ7" i="31"/>
  <c r="AQ8" i="31"/>
  <c r="AQ9" i="31"/>
  <c r="AQ10" i="31"/>
  <c r="AQ11" i="31"/>
  <c r="AQ12" i="31"/>
  <c r="AQ13" i="31"/>
  <c r="AQ14" i="31"/>
  <c r="AQ15" i="31"/>
  <c r="AQ16" i="31"/>
  <c r="AQ17" i="31"/>
  <c r="AQ18" i="31"/>
  <c r="AQ19" i="31"/>
  <c r="AQ20" i="31"/>
  <c r="AQ21" i="31"/>
  <c r="AQ22" i="31"/>
  <c r="AQ23" i="31"/>
  <c r="AP6" i="31"/>
  <c r="AP7" i="31"/>
  <c r="AP8" i="31"/>
  <c r="AP9" i="31"/>
  <c r="AP10" i="31"/>
  <c r="AP11" i="31"/>
  <c r="AP12" i="31"/>
  <c r="AP13" i="31"/>
  <c r="AP14" i="31"/>
  <c r="AP15" i="31"/>
  <c r="AP16" i="31"/>
  <c r="AP17" i="31"/>
  <c r="AP18" i="31"/>
  <c r="AP19" i="31"/>
  <c r="AP20" i="31"/>
  <c r="AP21" i="31"/>
  <c r="AP22" i="31"/>
  <c r="AP23" i="31"/>
  <c r="AO6" i="31"/>
  <c r="AO7" i="31"/>
  <c r="AO8" i="31"/>
  <c r="AO9" i="31"/>
  <c r="AO10" i="31"/>
  <c r="AO11" i="31"/>
  <c r="AO12" i="31"/>
  <c r="AO13" i="31"/>
  <c r="AO14" i="31"/>
  <c r="AO15" i="31"/>
  <c r="AO16" i="31"/>
  <c r="AO17" i="31"/>
  <c r="AO18" i="31"/>
  <c r="AO19" i="31"/>
  <c r="AO20" i="31"/>
  <c r="AO21" i="31"/>
  <c r="AO22" i="31"/>
  <c r="AO23" i="31"/>
  <c r="AN6" i="31"/>
  <c r="AN7" i="31"/>
  <c r="AN8" i="31"/>
  <c r="AN9" i="31"/>
  <c r="AN10" i="31"/>
  <c r="AN11" i="31"/>
  <c r="AN12" i="31"/>
  <c r="AN13" i="31"/>
  <c r="AN14" i="31"/>
  <c r="AN15" i="31"/>
  <c r="AN16" i="31"/>
  <c r="AN17" i="31"/>
  <c r="AN18" i="31"/>
  <c r="AN19" i="31"/>
  <c r="AN20" i="31"/>
  <c r="AN21" i="31"/>
  <c r="AN22" i="31"/>
  <c r="AN23" i="31"/>
  <c r="AM6" i="31"/>
  <c r="AM7" i="31"/>
  <c r="AM8" i="31"/>
  <c r="AM9" i="31"/>
  <c r="AM10" i="31"/>
  <c r="AM11" i="31"/>
  <c r="AM12" i="31"/>
  <c r="AM13" i="31"/>
  <c r="AM14" i="31"/>
  <c r="AM15" i="31"/>
  <c r="AM16" i="31"/>
  <c r="AM17" i="31"/>
  <c r="AM18" i="31"/>
  <c r="AM19" i="31"/>
  <c r="AM20" i="31"/>
  <c r="AM21" i="31"/>
  <c r="AM22" i="31"/>
  <c r="AM23" i="31"/>
  <c r="AL6" i="31"/>
  <c r="AL7" i="31"/>
  <c r="AL8" i="31"/>
  <c r="AL9" i="31"/>
  <c r="AL10" i="31"/>
  <c r="AL11" i="31"/>
  <c r="AL12" i="31"/>
  <c r="AL13" i="31"/>
  <c r="AL14" i="31"/>
  <c r="AL15" i="31"/>
  <c r="AL16" i="31"/>
  <c r="AL17" i="31"/>
  <c r="AL18" i="31"/>
  <c r="AL19" i="31"/>
  <c r="AL20" i="31"/>
  <c r="AL21" i="31"/>
  <c r="AL23" i="31"/>
  <c r="AK6" i="31"/>
  <c r="AK7" i="31"/>
  <c r="AK8" i="31"/>
  <c r="AK9" i="31"/>
  <c r="AK10" i="31"/>
  <c r="AK11" i="31"/>
  <c r="AK12" i="31"/>
  <c r="AK13" i="31"/>
  <c r="AK14" i="31"/>
  <c r="AK15" i="31"/>
  <c r="AK16" i="31"/>
  <c r="AK17" i="31"/>
  <c r="AK18" i="31"/>
  <c r="AK19" i="31"/>
  <c r="AK20" i="31"/>
  <c r="AK21" i="31"/>
  <c r="AK22" i="31"/>
  <c r="AK23" i="31"/>
  <c r="AJ7" i="31"/>
  <c r="AJ8" i="31"/>
  <c r="AJ9" i="31"/>
  <c r="AJ10" i="31"/>
  <c r="AJ11" i="31"/>
  <c r="AJ12" i="31"/>
  <c r="AJ13" i="31"/>
  <c r="AJ14" i="31"/>
  <c r="AJ15" i="31"/>
  <c r="AJ16" i="31"/>
  <c r="AJ17" i="31"/>
  <c r="AJ18" i="31"/>
  <c r="AJ19" i="31"/>
  <c r="AJ20" i="31"/>
  <c r="AJ21" i="31"/>
  <c r="AJ22" i="31"/>
  <c r="I6" i="31"/>
  <c r="I7" i="31"/>
  <c r="I8" i="31"/>
  <c r="I9" i="31"/>
  <c r="I10" i="31"/>
  <c r="I11" i="31"/>
  <c r="I12" i="31"/>
  <c r="I13" i="31"/>
  <c r="I14" i="31"/>
  <c r="I15" i="31"/>
  <c r="I16" i="31"/>
  <c r="I17" i="31"/>
  <c r="I18" i="31"/>
  <c r="I19" i="31"/>
  <c r="I20" i="31"/>
  <c r="I22" i="31"/>
  <c r="I23" i="31"/>
  <c r="F25" i="31"/>
  <c r="F48" i="31" s="1"/>
  <c r="N48" i="31" s="1"/>
  <c r="H25" i="31"/>
  <c r="H48" i="31" s="1"/>
  <c r="V30" i="30"/>
  <c r="U30" i="30"/>
  <c r="V29" i="30"/>
  <c r="U29" i="30"/>
  <c r="T24" i="30"/>
  <c r="R24" i="30"/>
  <c r="P24" i="30"/>
  <c r="O24" i="30"/>
  <c r="N24" i="30"/>
  <c r="L24" i="30"/>
  <c r="K24" i="30"/>
  <c r="J24" i="30"/>
  <c r="I24" i="30"/>
  <c r="H24" i="30"/>
  <c r="G24" i="30"/>
  <c r="F24" i="30"/>
  <c r="E24" i="30"/>
  <c r="H18" i="30"/>
  <c r="H9" i="30" s="1"/>
  <c r="K3" i="30" s="1"/>
  <c r="K9" i="30"/>
  <c r="N3" i="30" s="1"/>
  <c r="J9" i="30"/>
  <c r="M3" i="30" s="1"/>
  <c r="I9" i="30"/>
  <c r="L3" i="30" s="1"/>
  <c r="M25" i="31"/>
  <c r="Q135" i="8"/>
  <c r="Q134" i="8"/>
  <c r="Q133" i="8"/>
  <c r="Q132" i="8"/>
  <c r="Q131" i="8"/>
  <c r="Q130" i="8"/>
  <c r="Q129" i="8"/>
  <c r="Q128" i="8"/>
  <c r="Q127" i="8"/>
  <c r="Q126" i="8"/>
  <c r="Q125" i="8"/>
  <c r="Q124" i="8"/>
  <c r="Q123" i="8"/>
  <c r="Q122" i="8"/>
  <c r="Q121" i="8"/>
  <c r="Q120" i="8"/>
  <c r="Q119" i="8"/>
  <c r="Q118" i="8"/>
  <c r="Q117" i="8"/>
  <c r="Q116" i="8"/>
  <c r="Q115" i="8"/>
  <c r="I84" i="8"/>
  <c r="I85" i="8"/>
  <c r="I86" i="8"/>
  <c r="I87" i="8"/>
  <c r="I88" i="8"/>
  <c r="I89" i="8"/>
  <c r="I90" i="8"/>
  <c r="I91" i="8"/>
  <c r="I92" i="8"/>
  <c r="I93" i="8"/>
  <c r="I94" i="8"/>
  <c r="I95" i="8"/>
  <c r="I96" i="8"/>
  <c r="I97" i="8"/>
  <c r="I98" i="8"/>
  <c r="I99" i="8"/>
  <c r="I100" i="8"/>
  <c r="I101" i="8"/>
  <c r="I102" i="8"/>
  <c r="I103" i="8"/>
  <c r="I104" i="8"/>
  <c r="I105" i="8"/>
  <c r="K84" i="8"/>
  <c r="K85" i="8"/>
  <c r="K86" i="8"/>
  <c r="K87" i="8"/>
  <c r="K88" i="8"/>
  <c r="K89" i="8"/>
  <c r="K90" i="8"/>
  <c r="K91" i="8"/>
  <c r="K92" i="8"/>
  <c r="K93" i="8"/>
  <c r="K94" i="8"/>
  <c r="K95" i="8"/>
  <c r="K96" i="8"/>
  <c r="K97" i="8"/>
  <c r="K98" i="8"/>
  <c r="K99" i="8"/>
  <c r="K100" i="8"/>
  <c r="K101" i="8"/>
  <c r="K102" i="8"/>
  <c r="K103" i="8"/>
  <c r="K104" i="8"/>
  <c r="K105" i="8"/>
  <c r="M84" i="8"/>
  <c r="M85" i="8"/>
  <c r="M86" i="8"/>
  <c r="M87" i="8"/>
  <c r="M88" i="8"/>
  <c r="M89" i="8"/>
  <c r="M90" i="8"/>
  <c r="M91" i="8"/>
  <c r="M92" i="8"/>
  <c r="M93" i="8"/>
  <c r="M94" i="8"/>
  <c r="M95" i="8"/>
  <c r="M96" i="8"/>
  <c r="M97" i="8"/>
  <c r="M98" i="8"/>
  <c r="M99" i="8"/>
  <c r="M100" i="8"/>
  <c r="M101" i="8"/>
  <c r="M102" i="8"/>
  <c r="M103" i="8"/>
  <c r="M104" i="8"/>
  <c r="M105" i="8"/>
  <c r="N105" i="8"/>
  <c r="O105" i="8" s="1"/>
  <c r="N104" i="8"/>
  <c r="O104" i="8" s="1"/>
  <c r="N103" i="8"/>
  <c r="O103" i="8" s="1"/>
  <c r="N102" i="8"/>
  <c r="O102" i="8" s="1"/>
  <c r="N101" i="8"/>
  <c r="O101" i="8" s="1"/>
  <c r="N100" i="8"/>
  <c r="O100" i="8" s="1"/>
  <c r="N99" i="8"/>
  <c r="O99" i="8" s="1"/>
  <c r="N98" i="8"/>
  <c r="O98" i="8" s="1"/>
  <c r="N97" i="8"/>
  <c r="O97" i="8" s="1"/>
  <c r="N96" i="8"/>
  <c r="O96" i="8" s="1"/>
  <c r="N95" i="8"/>
  <c r="O95" i="8" s="1"/>
  <c r="N94" i="8"/>
  <c r="O94" i="8" s="1"/>
  <c r="N93" i="8"/>
  <c r="O93" i="8" s="1"/>
  <c r="N92" i="8"/>
  <c r="O92" i="8" s="1"/>
  <c r="N91" i="8"/>
  <c r="O91" i="8" s="1"/>
  <c r="N90" i="8"/>
  <c r="O90" i="8" s="1"/>
  <c r="N89" i="8"/>
  <c r="O89" i="8" s="1"/>
  <c r="N88" i="8"/>
  <c r="O88" i="8" s="1"/>
  <c r="N87" i="8"/>
  <c r="O87" i="8" s="1"/>
  <c r="N86" i="8"/>
  <c r="O86" i="8" s="1"/>
  <c r="N85" i="8"/>
  <c r="O85" i="8" s="1"/>
  <c r="N84" i="8"/>
  <c r="O84" i="8" s="1"/>
  <c r="O136" i="8"/>
  <c r="N136" i="8"/>
  <c r="Q113" i="8"/>
  <c r="I70" i="8"/>
  <c r="I69" i="8"/>
  <c r="I68" i="8"/>
  <c r="I67" i="8"/>
  <c r="I66" i="8"/>
  <c r="I65" i="8"/>
  <c r="I64" i="8"/>
  <c r="I63" i="8"/>
  <c r="I62" i="8"/>
  <c r="I61" i="8"/>
  <c r="I60" i="8"/>
  <c r="I59" i="8"/>
  <c r="I58" i="8"/>
  <c r="I57" i="8"/>
  <c r="I56" i="8"/>
  <c r="I55" i="8"/>
  <c r="I54" i="8"/>
  <c r="I53" i="8"/>
  <c r="O81" i="8"/>
  <c r="I27" i="8"/>
  <c r="H2" i="8"/>
  <c r="I76" i="8"/>
  <c r="O107" i="8"/>
  <c r="N107" i="8"/>
  <c r="D106" i="8"/>
  <c r="H72" i="8"/>
  <c r="F72" i="8"/>
  <c r="N72" i="8" s="1"/>
  <c r="M72" i="8"/>
  <c r="I46" i="9"/>
  <c r="I69" i="9"/>
  <c r="I68" i="9"/>
  <c r="I67" i="9"/>
  <c r="I66" i="9"/>
  <c r="I65" i="9"/>
  <c r="I64" i="9"/>
  <c r="I63" i="9"/>
  <c r="I62" i="9"/>
  <c r="I61" i="9"/>
  <c r="I60" i="9"/>
  <c r="I59" i="9"/>
  <c r="I58" i="9"/>
  <c r="I57" i="9"/>
  <c r="I56" i="9"/>
  <c r="I55" i="9"/>
  <c r="I54" i="9"/>
  <c r="I53" i="9"/>
  <c r="I52" i="9"/>
  <c r="F25" i="9"/>
  <c r="F48" i="9" s="1"/>
  <c r="F71" i="9" s="1"/>
  <c r="M25" i="9"/>
  <c r="M48" i="9"/>
  <c r="C5" i="9"/>
  <c r="G43" i="64"/>
  <c r="G41" i="64"/>
  <c r="G42" i="64"/>
  <c r="G50" i="64"/>
  <c r="G57" i="64"/>
  <c r="G54" i="64"/>
  <c r="G19" i="64"/>
  <c r="G21" i="64"/>
  <c r="G47" i="64"/>
  <c r="G20" i="64"/>
  <c r="G51" i="64"/>
  <c r="G40" i="64"/>
  <c r="G44" i="64"/>
  <c r="N2" i="30" l="1"/>
  <c r="G52" i="64"/>
  <c r="F52" i="64" s="1"/>
  <c r="F21" i="64"/>
  <c r="G68" i="64"/>
  <c r="F43" i="64"/>
  <c r="G72" i="64"/>
  <c r="F47" i="64"/>
  <c r="G76" i="64"/>
  <c r="F54" i="64"/>
  <c r="G65" i="64"/>
  <c r="F40" i="64"/>
  <c r="G39" i="64"/>
  <c r="G53" i="64"/>
  <c r="F53" i="64" s="1"/>
  <c r="F20" i="64"/>
  <c r="G152" i="64"/>
  <c r="F57" i="64"/>
  <c r="F51" i="64"/>
  <c r="G75" i="64"/>
  <c r="F50" i="64"/>
  <c r="G66" i="64"/>
  <c r="F41" i="64"/>
  <c r="G67" i="64"/>
  <c r="F42" i="64"/>
  <c r="G69" i="64"/>
  <c r="F44" i="64"/>
  <c r="F19" i="64"/>
  <c r="N71" i="9"/>
  <c r="F94" i="9"/>
  <c r="N94" i="9" s="1"/>
  <c r="AK24" i="31"/>
  <c r="P24" i="31" s="1"/>
  <c r="O12" i="7" s="1"/>
  <c r="N25" i="31"/>
  <c r="BB24" i="31"/>
  <c r="V2" i="30"/>
  <c r="T2" i="30"/>
  <c r="U2" i="30"/>
  <c r="AX47" i="31"/>
  <c r="AC47" i="31" s="1"/>
  <c r="AB13" i="7" s="1"/>
  <c r="S2" i="30"/>
  <c r="BB47" i="31"/>
  <c r="AG47" i="31" s="1"/>
  <c r="AF13" i="7" s="1"/>
  <c r="H20" i="8"/>
  <c r="N25" i="9"/>
  <c r="AP47" i="31"/>
  <c r="U47" i="31" s="1"/>
  <c r="T13" i="7" s="1"/>
  <c r="AT47" i="31"/>
  <c r="Y47" i="31" s="1"/>
  <c r="X13" i="7" s="1"/>
  <c r="K106" i="8"/>
  <c r="I71" i="8"/>
  <c r="J2" i="31"/>
  <c r="I47" i="31"/>
  <c r="H13" i="7" s="1"/>
  <c r="AL47" i="31"/>
  <c r="Q47" i="31" s="1"/>
  <c r="P13" i="7" s="1"/>
  <c r="AM47" i="31"/>
  <c r="R47" i="31" s="1"/>
  <c r="Q13" i="7" s="1"/>
  <c r="AJ47" i="31"/>
  <c r="O47" i="31" s="1"/>
  <c r="N13" i="7" s="1"/>
  <c r="AO47" i="31"/>
  <c r="T47" i="31" s="1"/>
  <c r="S13" i="7" s="1"/>
  <c r="AU47" i="31"/>
  <c r="Z47" i="31" s="1"/>
  <c r="Y13" i="7" s="1"/>
  <c r="AZ47" i="31"/>
  <c r="AE47" i="31" s="1"/>
  <c r="AD13" i="7" s="1"/>
  <c r="AR47" i="31"/>
  <c r="W47" i="31" s="1"/>
  <c r="V13" i="7" s="1"/>
  <c r="AW47" i="31"/>
  <c r="AB47" i="31" s="1"/>
  <c r="AA13" i="7" s="1"/>
  <c r="BA47" i="31"/>
  <c r="AF47" i="31" s="1"/>
  <c r="AE13" i="7" s="1"/>
  <c r="AK47" i="31"/>
  <c r="P47" i="31" s="1"/>
  <c r="O13" i="7" s="1"/>
  <c r="AQ47" i="31"/>
  <c r="V47" i="31" s="1"/>
  <c r="U13" i="7" s="1"/>
  <c r="AV47" i="31"/>
  <c r="AA47" i="31" s="1"/>
  <c r="Z13" i="7" s="1"/>
  <c r="AN47" i="31"/>
  <c r="S47" i="31" s="1"/>
  <c r="R13" i="7" s="1"/>
  <c r="AS47" i="31"/>
  <c r="X47" i="31" s="1"/>
  <c r="W13" i="7" s="1"/>
  <c r="AY47" i="31"/>
  <c r="AD47" i="31" s="1"/>
  <c r="AC13" i="7" s="1"/>
  <c r="U24" i="30"/>
  <c r="M2" i="30"/>
  <c r="V24" i="30"/>
  <c r="S3" i="30"/>
  <c r="AM24" i="31"/>
  <c r="R24" i="31" s="1"/>
  <c r="Q12" i="7" s="1"/>
  <c r="AO24" i="31"/>
  <c r="T24" i="31" s="1"/>
  <c r="S12" i="7" s="1"/>
  <c r="AQ24" i="31"/>
  <c r="V24" i="31" s="1"/>
  <c r="U12" i="7" s="1"/>
  <c r="AS24" i="31"/>
  <c r="X24" i="31" s="1"/>
  <c r="W12" i="7" s="1"/>
  <c r="AU24" i="31"/>
  <c r="Z24" i="31" s="1"/>
  <c r="Y12" i="7" s="1"/>
  <c r="AW24" i="31"/>
  <c r="AB24" i="31" s="1"/>
  <c r="AA12" i="7" s="1"/>
  <c r="AY24" i="31"/>
  <c r="AD24" i="31" s="1"/>
  <c r="AC12" i="7" s="1"/>
  <c r="BA24" i="31"/>
  <c r="AF24" i="31" s="1"/>
  <c r="AE12" i="7" s="1"/>
  <c r="I106" i="8"/>
  <c r="J2" i="9"/>
  <c r="I24" i="31"/>
  <c r="H12" i="7" s="1"/>
  <c r="AJ24" i="31"/>
  <c r="O24" i="31" s="1"/>
  <c r="N12" i="7" s="1"/>
  <c r="AL24" i="31"/>
  <c r="Q24" i="31" s="1"/>
  <c r="P12" i="7" s="1"/>
  <c r="N48" i="9"/>
  <c r="I70" i="9"/>
  <c r="I7" i="9" s="1"/>
  <c r="I16" i="9" s="1"/>
  <c r="I19" i="9"/>
  <c r="I22" i="9" s="1"/>
  <c r="M106" i="8"/>
  <c r="AN24" i="31"/>
  <c r="S24" i="31" s="1"/>
  <c r="R12" i="7" s="1"/>
  <c r="AP24" i="31"/>
  <c r="U24" i="31" s="1"/>
  <c r="T12" i="7" s="1"/>
  <c r="AR24" i="31"/>
  <c r="W24" i="31" s="1"/>
  <c r="V12" i="7" s="1"/>
  <c r="AT24" i="31"/>
  <c r="Y24" i="31" s="1"/>
  <c r="X12" i="7" s="1"/>
  <c r="AV24" i="31"/>
  <c r="AA24" i="31" s="1"/>
  <c r="Z12" i="7" s="1"/>
  <c r="AX24" i="31"/>
  <c r="AC24" i="31" s="1"/>
  <c r="AB12" i="7" s="1"/>
  <c r="AZ24" i="31"/>
  <c r="AE24" i="31" s="1"/>
  <c r="AD12" i="7" s="1"/>
  <c r="AG24" i="31"/>
  <c r="AF12" i="7" s="1"/>
  <c r="L2" i="30"/>
  <c r="U3" i="30"/>
  <c r="V3" i="30"/>
  <c r="K2" i="30"/>
  <c r="T3" i="30"/>
  <c r="G115" i="64" l="1"/>
  <c r="G135" i="64" s="1"/>
  <c r="F135" i="64" s="1"/>
  <c r="G62" i="64"/>
  <c r="F62" i="64" s="1"/>
  <c r="G102" i="64"/>
  <c r="G64" i="64"/>
  <c r="F39" i="64"/>
  <c r="G85" i="64"/>
  <c r="G106" i="64" s="1"/>
  <c r="F67" i="64"/>
  <c r="G93" i="64"/>
  <c r="G114" i="64" s="1"/>
  <c r="F75" i="64"/>
  <c r="G15" i="64"/>
  <c r="F152" i="64"/>
  <c r="G94" i="64"/>
  <c r="F76" i="64"/>
  <c r="G86" i="64"/>
  <c r="G107" i="64" s="1"/>
  <c r="F68" i="64"/>
  <c r="G87" i="64"/>
  <c r="G108" i="64" s="1"/>
  <c r="F69" i="64"/>
  <c r="F66" i="64"/>
  <c r="G83" i="64"/>
  <c r="F65" i="64"/>
  <c r="G90" i="64"/>
  <c r="G111" i="64" s="1"/>
  <c r="F72" i="64"/>
  <c r="K16" i="9"/>
  <c r="J16" i="9"/>
  <c r="I24" i="9"/>
  <c r="O106" i="8"/>
  <c r="N82" i="8" s="1"/>
  <c r="Q1" i="3"/>
  <c r="F115" i="64" l="1"/>
  <c r="G126" i="64"/>
  <c r="F126" i="64" s="1"/>
  <c r="F108" i="64"/>
  <c r="G132" i="64"/>
  <c r="F132" i="64" s="1"/>
  <c r="F114" i="64"/>
  <c r="G129" i="64"/>
  <c r="F129" i="64" s="1"/>
  <c r="F111" i="64"/>
  <c r="F86" i="64"/>
  <c r="F162" i="64"/>
  <c r="F85" i="64"/>
  <c r="F64" i="64"/>
  <c r="F83" i="64"/>
  <c r="G104" i="64"/>
  <c r="G125" i="64"/>
  <c r="F125" i="64" s="1"/>
  <c r="F107" i="64"/>
  <c r="G124" i="64"/>
  <c r="G14" i="64"/>
  <c r="F106" i="64"/>
  <c r="G118" i="64"/>
  <c r="F102" i="64"/>
  <c r="F90" i="64"/>
  <c r="F87" i="64"/>
  <c r="F94" i="64"/>
  <c r="F93" i="64"/>
  <c r="H179" i="64"/>
  <c r="H189" i="64"/>
  <c r="H180" i="64"/>
  <c r="G182" i="64"/>
  <c r="G192" i="64"/>
  <c r="H192" i="64"/>
  <c r="G191" i="64"/>
  <c r="G183" i="64"/>
  <c r="H181" i="64"/>
  <c r="G189" i="64"/>
  <c r="H183" i="64"/>
  <c r="G188" i="64"/>
  <c r="G190" i="64"/>
  <c r="G179" i="64"/>
  <c r="H188" i="64"/>
  <c r="H190" i="64"/>
  <c r="G180" i="64"/>
  <c r="H182" i="64"/>
  <c r="G181" i="64"/>
  <c r="H191" i="64"/>
  <c r="F2" i="1"/>
  <c r="F25" i="1" s="1"/>
  <c r="F48" i="1" s="1"/>
  <c r="N25" i="1" l="1"/>
  <c r="G193" i="64"/>
  <c r="G194" i="64" s="1"/>
  <c r="G81" i="64" s="1"/>
  <c r="G84" i="64" s="1"/>
  <c r="H193" i="64"/>
  <c r="H194" i="64" s="1"/>
  <c r="H81" i="64" s="1"/>
  <c r="H82" i="64" s="1"/>
  <c r="H184" i="64"/>
  <c r="H185" i="64" s="1"/>
  <c r="G184" i="64"/>
  <c r="G185" i="64" s="1"/>
  <c r="G119" i="64"/>
  <c r="F104" i="64"/>
  <c r="G122" i="64"/>
  <c r="F122" i="64" s="1"/>
  <c r="G27" i="64"/>
  <c r="F27" i="64" s="1"/>
  <c r="F124" i="64"/>
  <c r="G162" i="64"/>
  <c r="G32" i="64" s="1"/>
  <c r="F32" i="64" s="1"/>
  <c r="F119" i="64" l="1"/>
  <c r="G8" i="36"/>
  <c r="H84" i="64"/>
  <c r="G82" i="64"/>
  <c r="G103" i="64" s="1"/>
  <c r="H103" i="64"/>
  <c r="G105" i="64"/>
  <c r="F71" i="1" l="1"/>
  <c r="F94" i="1" s="1"/>
  <c r="N94" i="1" s="1"/>
  <c r="J2" i="1" s="1"/>
  <c r="H18" i="8" s="1"/>
  <c r="N48" i="1"/>
  <c r="F84" i="64"/>
  <c r="G95" i="64"/>
  <c r="G18" i="64" s="1"/>
  <c r="H30" i="1" s="1"/>
  <c r="I30" i="1" s="1"/>
  <c r="I32" i="1" s="1"/>
  <c r="I47" i="1" s="1"/>
  <c r="I19" i="1" s="1"/>
  <c r="F82" i="64"/>
  <c r="H105" i="64"/>
  <c r="F105" i="64" s="1"/>
  <c r="H95" i="64"/>
  <c r="N71" i="1" l="1"/>
  <c r="F103" i="64"/>
  <c r="F95" i="64"/>
  <c r="H18" i="64"/>
  <c r="G17" i="64"/>
  <c r="I16" i="36"/>
  <c r="H16" i="36"/>
  <c r="H17" i="64" l="1"/>
  <c r="H12" i="64" s="1"/>
  <c r="F18" i="64"/>
  <c r="G12" i="64"/>
  <c r="F17" i="64" l="1"/>
  <c r="G16" i="36"/>
  <c r="H101" i="64"/>
  <c r="G101" i="64"/>
  <c r="F12" i="64"/>
  <c r="F101" i="64" l="1"/>
  <c r="H206" i="64" l="1"/>
  <c r="H208" i="64"/>
  <c r="G209" i="64"/>
  <c r="H207" i="64"/>
  <c r="G208" i="64"/>
  <c r="H205" i="64"/>
  <c r="G200" i="64"/>
  <c r="H198" i="64"/>
  <c r="G207" i="64"/>
  <c r="G199" i="64"/>
  <c r="H199" i="64"/>
  <c r="H209" i="64"/>
  <c r="G201" i="64"/>
  <c r="G198" i="64"/>
  <c r="H197" i="64"/>
  <c r="G206" i="64"/>
  <c r="H200" i="64"/>
  <c r="G205" i="64"/>
  <c r="H201" i="64"/>
  <c r="G197" i="64"/>
  <c r="G202" i="64" l="1"/>
  <c r="H210" i="64"/>
  <c r="H120" i="64" s="1"/>
  <c r="H202" i="64"/>
  <c r="G210" i="64"/>
  <c r="G120" i="64" s="1"/>
  <c r="G121" i="64" l="1"/>
  <c r="G123" i="64"/>
  <c r="H121" i="64"/>
  <c r="H123" i="64"/>
  <c r="G136" i="64" l="1"/>
  <c r="F123" i="64"/>
  <c r="H136" i="64"/>
  <c r="H26" i="64"/>
  <c r="H25" i="64" s="1"/>
  <c r="F121" i="64"/>
  <c r="G26" i="64"/>
  <c r="G25" i="64" s="1"/>
  <c r="G24" i="64" s="1"/>
  <c r="I20" i="1" l="1"/>
  <c r="H17" i="36"/>
  <c r="J16" i="1"/>
  <c r="K16" i="1"/>
  <c r="G137" i="64"/>
  <c r="G142" i="64" s="1"/>
  <c r="G147" i="64" s="1"/>
  <c r="H24" i="64"/>
  <c r="H137" i="64"/>
  <c r="H143" i="64" s="1"/>
  <c r="F136" i="64"/>
  <c r="F25" i="64"/>
  <c r="F26" i="64"/>
  <c r="H13" i="36"/>
  <c r="H10" i="36" l="1"/>
  <c r="I17" i="36"/>
  <c r="G17" i="36" s="1"/>
  <c r="G169" i="64"/>
  <c r="G172" i="64" s="1"/>
  <c r="G149" i="64"/>
  <c r="H169" i="64"/>
  <c r="F24" i="64"/>
  <c r="F137" i="64"/>
  <c r="G148" i="64"/>
  <c r="F169" i="64" l="1"/>
  <c r="H172" i="64"/>
  <c r="F172" i="64" s="1"/>
  <c r="H142" i="64"/>
  <c r="H147" i="64" s="1"/>
  <c r="H149" i="64" s="1"/>
  <c r="F149" i="64" s="1"/>
  <c r="H148" i="64" l="1"/>
  <c r="F148" i="64" s="1"/>
  <c r="F142" i="64"/>
  <c r="F144" i="64" s="1"/>
  <c r="F147" i="64"/>
  <c r="F159" i="64"/>
  <c r="G215" i="64" l="1"/>
  <c r="H159" i="64"/>
  <c r="G213" i="64"/>
  <c r="G214" i="64"/>
  <c r="G311" i="36"/>
  <c r="G312" i="36"/>
  <c r="G306" i="36"/>
  <c r="G309" i="36"/>
  <c r="G307" i="36"/>
  <c r="G308" i="36"/>
  <c r="G302" i="36"/>
  <c r="G305" i="36"/>
  <c r="G303" i="36"/>
  <c r="G300" i="36"/>
  <c r="G298" i="36"/>
  <c r="G301" i="36"/>
  <c r="G299" i="36"/>
  <c r="G310" i="36"/>
  <c r="G304" i="36"/>
  <c r="G297" i="36"/>
  <c r="G322" i="36"/>
  <c r="G316" i="36"/>
  <c r="G317" i="36"/>
  <c r="G321" i="36"/>
  <c r="G319" i="36"/>
  <c r="G323" i="36"/>
  <c r="G320" i="36"/>
  <c r="G318" i="36"/>
  <c r="G315" i="36"/>
  <c r="G313" i="36"/>
  <c r="G314" i="36"/>
  <c r="G282" i="36"/>
  <c r="G281" i="36"/>
  <c r="G280" i="36"/>
  <c r="G283" i="36"/>
  <c r="G278" i="36"/>
  <c r="G277" i="36"/>
  <c r="G276" i="36"/>
  <c r="G279" i="36"/>
  <c r="G274" i="36"/>
  <c r="G273" i="36"/>
  <c r="G272" i="36"/>
  <c r="G275" i="36"/>
  <c r="G270" i="36"/>
  <c r="G269" i="36"/>
  <c r="G268" i="36"/>
  <c r="G271" i="36"/>
  <c r="G292" i="36"/>
  <c r="G290" i="36"/>
  <c r="G294" i="36"/>
  <c r="G291" i="36"/>
  <c r="G289" i="36"/>
  <c r="G286" i="36"/>
  <c r="G288" i="36"/>
  <c r="G284" i="36"/>
  <c r="G285" i="36"/>
  <c r="G293" i="36"/>
  <c r="G287" i="36"/>
  <c r="G253" i="36"/>
  <c r="G252" i="36"/>
  <c r="G251" i="36"/>
  <c r="G254" i="36"/>
  <c r="G249" i="36"/>
  <c r="G248" i="36"/>
  <c r="G247" i="36"/>
  <c r="G250" i="36"/>
  <c r="G245" i="36"/>
  <c r="G244" i="36"/>
  <c r="G243" i="36"/>
  <c r="G246" i="36"/>
  <c r="G241" i="36"/>
  <c r="G240" i="36"/>
  <c r="G239" i="36"/>
  <c r="G242" i="36"/>
  <c r="G263" i="36"/>
  <c r="G261" i="36"/>
  <c r="G265" i="36"/>
  <c r="G262" i="36"/>
  <c r="G260" i="36"/>
  <c r="G257" i="36"/>
  <c r="G255" i="36"/>
  <c r="G256" i="36"/>
  <c r="G264" i="36"/>
  <c r="G258" i="36"/>
  <c r="G259" i="36"/>
  <c r="G224" i="36"/>
  <c r="G223" i="36"/>
  <c r="G225" i="36"/>
  <c r="G222" i="36"/>
  <c r="G212" i="36"/>
  <c r="G210" i="36"/>
  <c r="G220" i="36"/>
  <c r="G219" i="36"/>
  <c r="G221" i="36"/>
  <c r="G218" i="36"/>
  <c r="G211" i="36"/>
  <c r="G216" i="36"/>
  <c r="G215" i="36"/>
  <c r="G217" i="36"/>
  <c r="G214" i="36"/>
  <c r="G213" i="36"/>
  <c r="G235" i="36"/>
  <c r="G229" i="36"/>
  <c r="G230" i="36"/>
  <c r="G234" i="36"/>
  <c r="G232" i="36"/>
  <c r="G236" i="36"/>
  <c r="G233" i="36"/>
  <c r="G231" i="36"/>
  <c r="G228" i="36"/>
  <c r="G226" i="36"/>
  <c r="G227" i="36"/>
  <c r="G195" i="36"/>
  <c r="G194" i="36"/>
  <c r="G193" i="36"/>
  <c r="G196" i="36"/>
  <c r="G191" i="36"/>
  <c r="G190" i="36"/>
  <c r="G189" i="36"/>
  <c r="G192" i="36"/>
  <c r="G187" i="36"/>
  <c r="G186" i="36"/>
  <c r="G185" i="36"/>
  <c r="G188" i="36"/>
  <c r="G183" i="36"/>
  <c r="G182" i="36"/>
  <c r="G181" i="36"/>
  <c r="G184" i="36"/>
  <c r="G205" i="36"/>
  <c r="G203" i="36"/>
  <c r="G207" i="36"/>
  <c r="G204" i="36"/>
  <c r="G202" i="36"/>
  <c r="G199" i="36"/>
  <c r="G197" i="36"/>
  <c r="G198" i="36"/>
  <c r="G206" i="36"/>
  <c r="G200" i="36"/>
  <c r="G201" i="36"/>
  <c r="G216" i="64" l="1"/>
  <c r="E147" i="64" s="1"/>
  <c r="E148" i="64" s="1"/>
  <c r="G159" i="64"/>
  <c r="G339" i="36"/>
  <c r="G367" i="36"/>
  <c r="G338" i="36"/>
  <c r="G325" i="36"/>
  <c r="G369" i="36"/>
  <c r="G334" i="36"/>
  <c r="G365" i="36"/>
  <c r="G368" i="36"/>
  <c r="G346" i="36"/>
  <c r="G361" i="36"/>
  <c r="G351" i="36"/>
  <c r="G337" i="36"/>
  <c r="G329" i="36"/>
  <c r="G349" i="36"/>
  <c r="G341" i="36"/>
  <c r="G347" i="36"/>
  <c r="G353" i="36"/>
  <c r="G358" i="36"/>
  <c r="G333" i="36"/>
  <c r="G359" i="36"/>
  <c r="G330" i="36"/>
  <c r="G342" i="36"/>
  <c r="G357" i="36"/>
  <c r="G336" i="36"/>
  <c r="G364" i="36"/>
  <c r="G360" i="36"/>
  <c r="G370" i="36"/>
  <c r="G348" i="36"/>
  <c r="G335" i="36"/>
  <c r="G344" i="36"/>
  <c r="G331" i="36"/>
  <c r="G356" i="36"/>
  <c r="G343" i="36"/>
  <c r="G345" i="36"/>
  <c r="G355" i="36"/>
  <c r="G326" i="36"/>
  <c r="G363" i="36"/>
  <c r="G362" i="36"/>
  <c r="G366" i="36"/>
  <c r="G332" i="36"/>
  <c r="G354" i="36"/>
  <c r="G328" i="36"/>
  <c r="G350" i="36"/>
  <c r="G340" i="36"/>
  <c r="G327" i="36"/>
  <c r="G352" i="36"/>
  <c r="G267" i="36"/>
  <c r="G296" i="36"/>
  <c r="G209" i="36"/>
  <c r="G238" i="36"/>
  <c r="G180" i="36"/>
  <c r="E157" i="64" l="1"/>
  <c r="F157" i="64" s="1"/>
  <c r="E158" i="64"/>
  <c r="F158" i="64" s="1"/>
  <c r="G32" i="36"/>
  <c r="G428" i="36"/>
  <c r="H157" i="64" l="1"/>
  <c r="H158" i="64"/>
  <c r="H31" i="64" s="1"/>
  <c r="H76" i="36"/>
  <c r="H72" i="36"/>
  <c r="H112" i="36"/>
  <c r="H110" i="36"/>
  <c r="H69" i="36"/>
  <c r="H111" i="36"/>
  <c r="H113" i="36"/>
  <c r="H109" i="36"/>
  <c r="H105" i="36"/>
  <c r="H70" i="36"/>
  <c r="H115" i="36"/>
  <c r="H67" i="36"/>
  <c r="H108" i="36"/>
  <c r="H114" i="36"/>
  <c r="H74" i="36"/>
  <c r="H104" i="36"/>
  <c r="H106" i="36"/>
  <c r="H71" i="36"/>
  <c r="H107" i="36"/>
  <c r="H77" i="36"/>
  <c r="H75" i="36"/>
  <c r="H73" i="36"/>
  <c r="H68" i="36"/>
  <c r="H117" i="36" l="1"/>
  <c r="G157" i="64"/>
  <c r="H168" i="64"/>
  <c r="H170" i="64" s="1"/>
  <c r="G158" i="64"/>
  <c r="G31" i="64" s="1"/>
  <c r="F31" i="64" s="1"/>
  <c r="H12" i="36"/>
  <c r="H14" i="36" l="1"/>
  <c r="H11" i="36" s="1"/>
  <c r="H9" i="36"/>
  <c r="H176" i="64"/>
  <c r="H171" i="64"/>
  <c r="G168" i="64"/>
  <c r="F168" i="64" l="1"/>
  <c r="G170" i="64"/>
  <c r="G176" i="64" l="1"/>
  <c r="F170" i="64"/>
  <c r="G171" i="64"/>
  <c r="E174" i="64" s="1"/>
  <c r="E175" i="64" s="1"/>
  <c r="F175" i="64" s="1"/>
  <c r="E176" i="64" l="1"/>
  <c r="H33" i="64"/>
  <c r="F33" i="64" s="1"/>
  <c r="G401" i="36"/>
  <c r="G399" i="36"/>
  <c r="G405" i="36"/>
  <c r="G407" i="36"/>
  <c r="G400" i="36"/>
  <c r="G398" i="36"/>
  <c r="G404" i="36"/>
  <c r="G406" i="36"/>
  <c r="G402" i="36"/>
  <c r="G403" i="36"/>
  <c r="I115" i="36"/>
  <c r="I108" i="36"/>
  <c r="I105" i="36"/>
  <c r="I76" i="36"/>
  <c r="I74" i="36"/>
  <c r="I111" i="36"/>
  <c r="I109" i="36"/>
  <c r="I72" i="36"/>
  <c r="I114" i="36"/>
  <c r="I70" i="36"/>
  <c r="I75" i="36"/>
  <c r="I112" i="36"/>
  <c r="I107" i="36"/>
  <c r="I67" i="36"/>
  <c r="I106" i="36"/>
  <c r="I77" i="36"/>
  <c r="I113" i="36"/>
  <c r="I69" i="36"/>
  <c r="I68" i="36"/>
  <c r="I71" i="36"/>
  <c r="I104" i="36"/>
  <c r="I73" i="36"/>
  <c r="I110" i="36"/>
  <c r="H175" i="64" l="1"/>
  <c r="H173" i="64" s="1"/>
  <c r="H174" i="64" s="1"/>
  <c r="H30" i="64" s="1"/>
  <c r="H29" i="64" s="1"/>
  <c r="F176" i="64"/>
  <c r="G69" i="36"/>
  <c r="G109" i="36"/>
  <c r="G71" i="36"/>
  <c r="G108" i="36"/>
  <c r="G115" i="36"/>
  <c r="G110" i="36"/>
  <c r="G74" i="36"/>
  <c r="G111" i="36"/>
  <c r="G107" i="36"/>
  <c r="G73" i="36"/>
  <c r="G70" i="36"/>
  <c r="I117" i="36"/>
  <c r="G104" i="36"/>
  <c r="G113" i="36"/>
  <c r="G72" i="36"/>
  <c r="G106" i="36"/>
  <c r="G68" i="36"/>
  <c r="G67" i="36"/>
  <c r="G105" i="36"/>
  <c r="G112" i="36"/>
  <c r="G77" i="36"/>
  <c r="G75" i="36"/>
  <c r="G76" i="36"/>
  <c r="G114" i="36"/>
  <c r="G397" i="36"/>
  <c r="I18" i="36" l="1"/>
  <c r="I15" i="36" s="1"/>
  <c r="I19" i="36" s="1"/>
  <c r="G175" i="64"/>
  <c r="G173" i="64" s="1"/>
  <c r="G174" i="64" s="1"/>
  <c r="G30" i="64" s="1"/>
  <c r="G29" i="64" s="1"/>
  <c r="G10" i="36"/>
  <c r="G13" i="36"/>
  <c r="G9" i="36"/>
  <c r="G12" i="36"/>
  <c r="G117" i="36"/>
  <c r="H23" i="64"/>
  <c r="H34" i="64" s="1"/>
  <c r="I433" i="36" s="1"/>
  <c r="I20" i="36" l="1"/>
  <c r="I21" i="1"/>
  <c r="I22" i="1" s="1"/>
  <c r="I24" i="1" s="1"/>
  <c r="H18" i="36"/>
  <c r="H15" i="36" s="1"/>
  <c r="H19" i="36" s="1"/>
  <c r="F29" i="64"/>
  <c r="G23" i="64"/>
  <c r="G34" i="64" s="1"/>
  <c r="H433" i="36" s="1"/>
  <c r="F30" i="64"/>
  <c r="F173" i="64"/>
  <c r="G14" i="36"/>
  <c r="H20" i="36" l="1"/>
  <c r="H134" i="36"/>
  <c r="H179" i="36"/>
  <c r="H158" i="36"/>
  <c r="G158" i="36" s="1"/>
  <c r="H156" i="36"/>
  <c r="G156" i="36" s="1"/>
  <c r="H154" i="36"/>
  <c r="G154" i="36" s="1"/>
  <c r="H160" i="36"/>
  <c r="G160" i="36" s="1"/>
  <c r="H164" i="36"/>
  <c r="G164" i="36" s="1"/>
  <c r="H167" i="36"/>
  <c r="G167" i="36" s="1"/>
  <c r="H152" i="36"/>
  <c r="G152" i="36" s="1"/>
  <c r="H161" i="36"/>
  <c r="G161" i="36" s="1"/>
  <c r="H155" i="36"/>
  <c r="G155" i="36" s="1"/>
  <c r="H153" i="36"/>
  <c r="G153" i="36" s="1"/>
  <c r="H157" i="36"/>
  <c r="G157" i="36" s="1"/>
  <c r="H162" i="36"/>
  <c r="G162" i="36" s="1"/>
  <c r="H166" i="36"/>
  <c r="G166" i="36" s="1"/>
  <c r="H159" i="36"/>
  <c r="G159" i="36" s="1"/>
  <c r="H165" i="36"/>
  <c r="G165" i="36" s="1"/>
  <c r="H163" i="36"/>
  <c r="G163" i="36" s="1"/>
  <c r="H171" i="36"/>
  <c r="G171" i="36" s="1"/>
  <c r="H177" i="36"/>
  <c r="G177" i="36" s="1"/>
  <c r="H172" i="36"/>
  <c r="G172" i="36" s="1"/>
  <c r="H169" i="36"/>
  <c r="G169" i="36" s="1"/>
  <c r="H176" i="36"/>
  <c r="G176" i="36" s="1"/>
  <c r="H168" i="36"/>
  <c r="G168" i="36" s="1"/>
  <c r="H174" i="36"/>
  <c r="G174" i="36" s="1"/>
  <c r="H175" i="36"/>
  <c r="G175" i="36" s="1"/>
  <c r="H178" i="36"/>
  <c r="G178" i="36" s="1"/>
  <c r="H170" i="36"/>
  <c r="G170" i="36" s="1"/>
  <c r="H173" i="36"/>
  <c r="G173" i="36" s="1"/>
  <c r="H151" i="36"/>
  <c r="G151" i="36" s="1"/>
  <c r="F34" i="64"/>
  <c r="G433" i="36" s="1"/>
  <c r="F23" i="64"/>
  <c r="H413" i="36"/>
  <c r="H427" i="36"/>
  <c r="H429" i="36" s="1"/>
  <c r="H420" i="36"/>
  <c r="H418" i="36"/>
  <c r="H421" i="36"/>
  <c r="H412" i="36"/>
  <c r="H424" i="36"/>
  <c r="H417" i="36"/>
  <c r="H143" i="36"/>
  <c r="H416" i="36"/>
  <c r="H373" i="36"/>
  <c r="H145" i="36"/>
  <c r="H123" i="36"/>
  <c r="G18" i="36"/>
  <c r="H425" i="36"/>
  <c r="H414" i="36"/>
  <c r="H411" i="36"/>
  <c r="H141" i="36"/>
  <c r="H415" i="36"/>
  <c r="H419" i="36"/>
  <c r="H144" i="36"/>
  <c r="H133" i="36"/>
  <c r="H135" i="36"/>
  <c r="H142" i="36"/>
  <c r="H132" i="36"/>
  <c r="H130" i="36"/>
  <c r="H128" i="36"/>
  <c r="H125" i="36"/>
  <c r="I126" i="36"/>
  <c r="I138" i="36"/>
  <c r="I132" i="36"/>
  <c r="I130" i="36"/>
  <c r="I127" i="36"/>
  <c r="I125" i="36"/>
  <c r="I124" i="36"/>
  <c r="I129" i="36"/>
  <c r="I137" i="36"/>
  <c r="I131" i="36"/>
  <c r="I133" i="36"/>
  <c r="I128" i="36"/>
  <c r="I134" i="36"/>
  <c r="I135" i="36"/>
  <c r="I123" i="36"/>
  <c r="I136" i="36"/>
  <c r="I141" i="36"/>
  <c r="I142" i="36"/>
  <c r="I149" i="36"/>
  <c r="I143" i="36"/>
  <c r="I144" i="36"/>
  <c r="I147" i="36"/>
  <c r="I146" i="36"/>
  <c r="I140" i="36"/>
  <c r="I148" i="36"/>
  <c r="I145" i="36"/>
  <c r="I139" i="36"/>
  <c r="H374" i="36"/>
  <c r="H146" i="36"/>
  <c r="H148" i="36"/>
  <c r="H139" i="36"/>
  <c r="H131" i="36"/>
  <c r="H127" i="36"/>
  <c r="H137" i="36"/>
  <c r="H138" i="36"/>
  <c r="H410" i="36"/>
  <c r="H147" i="36"/>
  <c r="H149" i="36"/>
  <c r="H140" i="36"/>
  <c r="H126" i="36"/>
  <c r="H129" i="36"/>
  <c r="H136" i="36"/>
  <c r="I23" i="36"/>
  <c r="I122" i="36" s="1"/>
  <c r="G11" i="36"/>
  <c r="G15" i="36"/>
  <c r="I418" i="36"/>
  <c r="I419" i="36"/>
  <c r="I415" i="36"/>
  <c r="I420" i="36"/>
  <c r="I410" i="36"/>
  <c r="I411" i="36"/>
  <c r="I427" i="36"/>
  <c r="I429" i="36" s="1"/>
  <c r="I413" i="36"/>
  <c r="I414" i="36"/>
  <c r="I374" i="36"/>
  <c r="I373" i="36"/>
  <c r="I412" i="36"/>
  <c r="I416" i="36"/>
  <c r="I417" i="36"/>
  <c r="I421" i="36"/>
  <c r="I425" i="36"/>
  <c r="I424" i="36"/>
  <c r="G127" i="36" l="1"/>
  <c r="G134" i="36"/>
  <c r="G139" i="36"/>
  <c r="G411" i="36"/>
  <c r="G414" i="36"/>
  <c r="G425" i="36"/>
  <c r="G420" i="36"/>
  <c r="G418" i="36"/>
  <c r="G417" i="36"/>
  <c r="G419" i="36"/>
  <c r="H408" i="36"/>
  <c r="G145" i="36"/>
  <c r="G142" i="36"/>
  <c r="G149" i="36"/>
  <c r="G144" i="36"/>
  <c r="G143" i="36"/>
  <c r="G416" i="36"/>
  <c r="G126" i="36"/>
  <c r="G413" i="36"/>
  <c r="G123" i="36"/>
  <c r="G421" i="36"/>
  <c r="G415" i="36"/>
  <c r="G137" i="36"/>
  <c r="G135" i="36"/>
  <c r="G141" i="36"/>
  <c r="G412" i="36"/>
  <c r="H423" i="36"/>
  <c r="G130" i="36"/>
  <c r="G146" i="36"/>
  <c r="G133" i="36"/>
  <c r="G374" i="36"/>
  <c r="G132" i="36"/>
  <c r="H426" i="36"/>
  <c r="G136" i="36"/>
  <c r="G129" i="36"/>
  <c r="G125" i="36"/>
  <c r="G128" i="36"/>
  <c r="G410" i="36"/>
  <c r="G140" i="36"/>
  <c r="G148" i="36"/>
  <c r="G147" i="36"/>
  <c r="G138" i="36"/>
  <c r="I372" i="36"/>
  <c r="G131" i="36"/>
  <c r="I426" i="36"/>
  <c r="I408" i="36"/>
  <c r="G373" i="36"/>
  <c r="I79" i="36"/>
  <c r="I423" i="36"/>
  <c r="G19" i="36"/>
  <c r="G427" i="36"/>
  <c r="G429" i="36"/>
  <c r="G408" i="36" l="1"/>
  <c r="I431" i="36"/>
  <c r="I432" i="36" s="1"/>
  <c r="G423" i="36"/>
  <c r="I118" i="36"/>
  <c r="G20" i="36"/>
  <c r="G424" i="36"/>
  <c r="G426" i="36" l="1"/>
  <c r="H25" i="6" l="1"/>
  <c r="H27" i="8"/>
  <c r="H71" i="6" l="1"/>
  <c r="H94" i="6"/>
  <c r="H2" i="9"/>
  <c r="H25" i="9" s="1"/>
  <c r="H48" i="6"/>
  <c r="H2" i="1"/>
  <c r="H25" i="1" s="1"/>
  <c r="H48" i="1" l="1"/>
  <c r="H71" i="1" s="1"/>
  <c r="H94" i="1" s="1"/>
  <c r="H48" i="9"/>
  <c r="H71" i="9"/>
  <c r="H94" i="9" s="1"/>
  <c r="H124" i="36"/>
  <c r="G124" i="36" s="1"/>
  <c r="G25" i="36"/>
  <c r="H23" i="36"/>
  <c r="H79" i="36" s="1"/>
  <c r="G79" i="36" l="1"/>
  <c r="H118" i="36"/>
  <c r="G118" i="36" s="1"/>
  <c r="H122" i="36"/>
  <c r="G23" i="36"/>
  <c r="G122" i="36" l="1"/>
  <c r="H372" i="36"/>
  <c r="H431" i="36" l="1"/>
  <c r="G372" i="36"/>
  <c r="G431" i="36" l="1"/>
  <c r="G432" i="36" s="1"/>
  <c r="H432"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若島　寛子</author>
  </authors>
  <commentList>
    <comment ref="K7" authorId="0" shapeId="0" xr:uid="{00000000-0006-0000-0000-000001000000}">
      <text>
        <r>
          <rPr>
            <b/>
            <sz val="9"/>
            <color rgb="FF000000"/>
            <rFont val="MS P ゴシック"/>
            <charset val="128"/>
          </rPr>
          <t>単価台帳の</t>
        </r>
        <r>
          <rPr>
            <b/>
            <sz val="9"/>
            <color rgb="FF000000"/>
            <rFont val="MS P ゴシック"/>
            <charset val="128"/>
          </rPr>
          <t>ver</t>
        </r>
        <r>
          <rPr>
            <b/>
            <sz val="9"/>
            <color rgb="FF000000"/>
            <rFont val="MS P ゴシック"/>
            <charset val="128"/>
          </rPr>
          <t>・</t>
        </r>
        <r>
          <rPr>
            <b/>
            <sz val="9"/>
            <color rgb="FF000000"/>
            <rFont val="MS P ゴシック"/>
            <charset val="128"/>
          </rPr>
          <t xml:space="preserve">
</t>
        </r>
        <r>
          <rPr>
            <b/>
            <sz val="9"/>
            <color rgb="FF000000"/>
            <rFont val="MS P ゴシック"/>
            <charset val="128"/>
          </rPr>
          <t>金無</t>
        </r>
        <r>
          <rPr>
            <b/>
            <sz val="9"/>
            <color rgb="FF000000"/>
            <rFont val="MS P ゴシック"/>
            <charset val="128"/>
          </rPr>
          <t>/</t>
        </r>
        <r>
          <rPr>
            <b/>
            <sz val="9"/>
            <color rgb="FF000000"/>
            <rFont val="MS P ゴシック"/>
            <charset val="128"/>
          </rPr>
          <t>有を選択</t>
        </r>
        <r>
          <rPr>
            <sz val="9"/>
            <color rgb="FF000000"/>
            <rFont val="MS P ゴシック"/>
            <charset val="128"/>
          </rPr>
          <t xml:space="preserve">
</t>
        </r>
      </text>
    </comment>
    <comment ref="K9" authorId="0" shapeId="0" xr:uid="{00000000-0006-0000-0000-000002000000}">
      <text>
        <r>
          <rPr>
            <b/>
            <sz val="9"/>
            <color rgb="FF000000"/>
            <rFont val="MS P ゴシック"/>
            <charset val="128"/>
          </rPr>
          <t>年度を入力</t>
        </r>
        <r>
          <rPr>
            <sz val="9"/>
            <color rgb="FF000000"/>
            <rFont val="MS P ゴシック"/>
            <charset val="128"/>
          </rPr>
          <t xml:space="preserve">
</t>
        </r>
      </text>
    </comment>
    <comment ref="L9" authorId="0" shapeId="0" xr:uid="{00000000-0006-0000-0000-000003000000}">
      <text>
        <r>
          <rPr>
            <b/>
            <sz val="9"/>
            <color rgb="FF000000"/>
            <rFont val="MS P ゴシック"/>
            <charset val="128"/>
          </rPr>
          <t>設計書番号を入力</t>
        </r>
        <r>
          <rPr>
            <sz val="9"/>
            <color rgb="FF000000"/>
            <rFont val="MS P ゴシック"/>
            <charset val="128"/>
          </rPr>
          <t xml:space="preserve">
</t>
        </r>
      </text>
    </comment>
    <comment ref="E13" authorId="0" shapeId="0" xr:uid="{00000000-0006-0000-0000-000004000000}">
      <text>
        <r>
          <rPr>
            <b/>
            <sz val="9"/>
            <color rgb="FF000000"/>
            <rFont val="MS P ゴシック"/>
            <charset val="128"/>
          </rPr>
          <t>「概算」ではない場合は削除</t>
        </r>
        <r>
          <rPr>
            <sz val="9"/>
            <color rgb="FF000000"/>
            <rFont val="MS P ゴシック"/>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若島　寛子</author>
    <author>今井　得裕</author>
    <author>profile</author>
  </authors>
  <commentList>
    <comment ref="A2" authorId="0" shapeId="0" xr:uid="{00000000-0006-0000-0100-000001000000}">
      <text>
        <r>
          <rPr>
            <b/>
            <sz val="9"/>
            <color indexed="81"/>
            <rFont val="MS P ゴシック"/>
            <family val="3"/>
            <charset val="128"/>
          </rPr>
          <t>工事シート数</t>
        </r>
        <r>
          <rPr>
            <sz val="9"/>
            <color indexed="81"/>
            <rFont val="MS P ゴシック"/>
            <family val="3"/>
            <charset val="128"/>
          </rPr>
          <t xml:space="preserve">
</t>
        </r>
      </text>
    </comment>
    <comment ref="A3" authorId="0" shapeId="0" xr:uid="{00000000-0006-0000-0100-000002000000}">
      <text>
        <r>
          <rPr>
            <b/>
            <sz val="9"/>
            <color indexed="81"/>
            <rFont val="MS P ゴシック"/>
            <family val="3"/>
            <charset val="128"/>
          </rPr>
          <t>列数＋1</t>
        </r>
      </text>
    </comment>
    <comment ref="G4" authorId="0" shapeId="0" xr:uid="{00000000-0006-0000-0100-000003000000}">
      <text>
        <r>
          <rPr>
            <b/>
            <sz val="9"/>
            <color indexed="81"/>
            <rFont val="MS P ゴシック"/>
            <family val="3"/>
            <charset val="128"/>
          </rPr>
          <t>A～H列は削除しないで下さい。</t>
        </r>
        <r>
          <rPr>
            <sz val="9"/>
            <color indexed="81"/>
            <rFont val="MS P ゴシック"/>
            <family val="3"/>
            <charset val="128"/>
          </rPr>
          <t xml:space="preserve">
</t>
        </r>
      </text>
    </comment>
    <comment ref="F143" authorId="1" shapeId="0" xr:uid="{00000000-0006-0000-0100-000004000000}">
      <text>
        <r>
          <rPr>
            <b/>
            <sz val="9"/>
            <color indexed="81"/>
            <rFont val="ＭＳ Ｐゴシック"/>
            <family val="3"/>
            <charset val="128"/>
          </rPr>
          <t>土木工事で一括発注する場合、土木工事原価は直接手入力してください。</t>
        </r>
        <r>
          <rPr>
            <sz val="9"/>
            <color indexed="81"/>
            <rFont val="ＭＳ Ｐゴシック"/>
            <family val="3"/>
            <charset val="128"/>
          </rPr>
          <t xml:space="preserve">
</t>
        </r>
      </text>
    </comment>
    <comment ref="G143" authorId="1" shapeId="0" xr:uid="{00000000-0006-0000-0100-000005000000}">
      <text>
        <r>
          <rPr>
            <b/>
            <sz val="9"/>
            <color indexed="81"/>
            <rFont val="ＭＳ Ｐゴシック"/>
            <family val="3"/>
            <charset val="128"/>
          </rPr>
          <t>建築工事で一括発注する場合のため、
計算式を入力済</t>
        </r>
        <r>
          <rPr>
            <sz val="9"/>
            <color indexed="81"/>
            <rFont val="ＭＳ Ｐゴシック"/>
            <family val="3"/>
            <charset val="128"/>
          </rPr>
          <t xml:space="preserve">
土木工事の一般管理費を入力すると、土木工事原価が表示</t>
        </r>
      </text>
    </comment>
    <comment ref="H143" authorId="0" shapeId="0" xr:uid="{00000000-0006-0000-0100-000006000000}">
      <text>
        <r>
          <rPr>
            <b/>
            <sz val="9"/>
            <color indexed="81"/>
            <rFont val="MS P ゴシック"/>
            <family val="3"/>
            <charset val="128"/>
          </rPr>
          <t>数式修正
""→0</t>
        </r>
        <r>
          <rPr>
            <sz val="9"/>
            <color indexed="81"/>
            <rFont val="MS P ゴシック"/>
            <family val="3"/>
            <charset val="128"/>
          </rPr>
          <t xml:space="preserve">
</t>
        </r>
      </text>
    </comment>
    <comment ref="G165" authorId="2" shapeId="0" xr:uid="{00000000-0006-0000-0100-000007000000}">
      <text>
        <r>
          <rPr>
            <sz val="9"/>
            <color indexed="81"/>
            <rFont val="ＭＳ Ｐゴシック"/>
            <family val="3"/>
            <charset val="128"/>
          </rPr>
          <t xml:space="preserve">土木工事一括発注時（積算体系の異なる工事）に使用。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若島　寛子</author>
  </authors>
  <commentList>
    <comment ref="A1" authorId="0" shapeId="0" xr:uid="{00000000-0006-0000-0200-000001000000}">
      <text>
        <r>
          <rPr>
            <b/>
            <sz val="9"/>
            <color indexed="81"/>
            <rFont val="MS P ゴシック"/>
            <family val="3"/>
            <charset val="128"/>
          </rPr>
          <t>工事シート数</t>
        </r>
        <r>
          <rPr>
            <sz val="9"/>
            <color indexed="81"/>
            <rFont val="MS P ゴシック"/>
            <family val="3"/>
            <charset val="128"/>
          </rPr>
          <t xml:space="preserve">
</t>
        </r>
      </text>
    </comment>
    <comment ref="A2" authorId="0" shapeId="0" xr:uid="{00000000-0006-0000-0200-000002000000}">
      <text>
        <r>
          <rPr>
            <b/>
            <sz val="9"/>
            <color indexed="81"/>
            <rFont val="MS P ゴシック"/>
            <family val="3"/>
            <charset val="128"/>
          </rPr>
          <t>列数＋1</t>
        </r>
      </text>
    </comment>
    <comment ref="H3" authorId="0" shapeId="0" xr:uid="{00000000-0006-0000-0200-000003000000}">
      <text>
        <r>
          <rPr>
            <b/>
            <sz val="9"/>
            <color indexed="81"/>
            <rFont val="MS P ゴシック"/>
            <family val="3"/>
            <charset val="128"/>
          </rPr>
          <t>工事１・2の列は削除しないで下さい。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若島　寛子</author>
  </authors>
  <commentList>
    <comment ref="D28" authorId="0" shapeId="0" xr:uid="{00000000-0006-0000-0D00-000001000000}">
      <text>
        <r>
          <rPr>
            <b/>
            <sz val="9"/>
            <color indexed="81"/>
            <rFont val="MS P ゴシック"/>
            <family val="3"/>
            <charset val="128"/>
          </rPr>
          <t>共通仮設費が無くても単票削除しないでください。</t>
        </r>
        <r>
          <rPr>
            <sz val="9"/>
            <color indexed="81"/>
            <rFont val="MS P ゴシック"/>
            <family val="3"/>
            <charset val="128"/>
          </rPr>
          <t xml:space="preserve">
</t>
        </r>
      </text>
    </comment>
  </commentList>
</comments>
</file>

<file path=xl/sharedStrings.xml><?xml version="1.0" encoding="utf-8"?>
<sst xmlns="http://schemas.openxmlformats.org/spreadsheetml/2006/main" count="4252" uniqueCount="3229">
  <si>
    <t>名             称</t>
  </si>
  <si>
    <t>形   状   寸   法</t>
  </si>
  <si>
    <t>数   量</t>
  </si>
  <si>
    <t>単 位</t>
  </si>
  <si>
    <t>単   価</t>
  </si>
  <si>
    <t>金    額</t>
  </si>
  <si>
    <t>摘            要</t>
  </si>
  <si>
    <t>式</t>
  </si>
  <si>
    <t>直接仮設工事</t>
  </si>
  <si>
    <t>小    計</t>
  </si>
  <si>
    <t>運搬時間</t>
  </si>
  <si>
    <t>作業時間</t>
    <phoneticPr fontId="8"/>
  </si>
  <si>
    <t>円</t>
    <rPh sb="0" eb="1">
      <t>エン</t>
    </rPh>
    <phoneticPr fontId="8"/>
  </si>
  <si>
    <t>作業時間</t>
    <phoneticPr fontId="8"/>
  </si>
  <si>
    <t>○○工事の部</t>
    <rPh sb="2" eb="4">
      <t>コウジ</t>
    </rPh>
    <rPh sb="5" eb="6">
      <t>ブ</t>
    </rPh>
    <phoneticPr fontId="8"/>
  </si>
  <si>
    <t>〇〇工事   見積り金額比較表</t>
  </si>
  <si>
    <t>作業</t>
    <rPh sb="0" eb="2">
      <t>サギョウ</t>
    </rPh>
    <phoneticPr fontId="8"/>
  </si>
  <si>
    <t>時間</t>
    <rPh sb="0" eb="2">
      <t>ジカン</t>
    </rPh>
    <phoneticPr fontId="8"/>
  </si>
  <si>
    <t>運搬</t>
    <rPh sb="0" eb="2">
      <t>ウンパン</t>
    </rPh>
    <phoneticPr fontId="8"/>
  </si>
  <si>
    <t>名　　　　称</t>
    <rPh sb="0" eb="1">
      <t>メイ</t>
    </rPh>
    <rPh sb="5" eb="6">
      <t>ショウ</t>
    </rPh>
    <phoneticPr fontId="8"/>
  </si>
  <si>
    <t>形　状　寸　法</t>
    <rPh sb="0" eb="1">
      <t>カタチ</t>
    </rPh>
    <rPh sb="2" eb="3">
      <t>ジョウ</t>
    </rPh>
    <rPh sb="4" eb="5">
      <t>スン</t>
    </rPh>
    <rPh sb="6" eb="7">
      <t>ホウ</t>
    </rPh>
    <phoneticPr fontId="8"/>
  </si>
  <si>
    <t>数量</t>
    <rPh sb="0" eb="2">
      <t>スウリョウ</t>
    </rPh>
    <phoneticPr fontId="8"/>
  </si>
  <si>
    <t>単位</t>
    <rPh sb="0" eb="2">
      <t>タンイ</t>
    </rPh>
    <phoneticPr fontId="8"/>
  </si>
  <si>
    <t>単　価</t>
    <rPh sb="0" eb="1">
      <t>タン</t>
    </rPh>
    <rPh sb="2" eb="3">
      <t>アタイ</t>
    </rPh>
    <phoneticPr fontId="8"/>
  </si>
  <si>
    <t>金　額</t>
    <rPh sb="0" eb="1">
      <t>キン</t>
    </rPh>
    <rPh sb="2" eb="3">
      <t>ガク</t>
    </rPh>
    <phoneticPr fontId="8"/>
  </si>
  <si>
    <t>A:</t>
    <phoneticPr fontId="8"/>
  </si>
  <si>
    <t>B:</t>
    <phoneticPr fontId="8"/>
  </si>
  <si>
    <t>C:</t>
    <phoneticPr fontId="8"/>
  </si>
  <si>
    <t>ｺｰﾄﾞNo</t>
    <phoneticPr fontId="8"/>
  </si>
  <si>
    <t>調整単価</t>
    <rPh sb="0" eb="2">
      <t>チョウセイ</t>
    </rPh>
    <rPh sb="2" eb="3">
      <t>タン</t>
    </rPh>
    <rPh sb="3" eb="4">
      <t>アタイ</t>
    </rPh>
    <phoneticPr fontId="8"/>
  </si>
  <si>
    <t>採用単価</t>
    <rPh sb="0" eb="2">
      <t>サイヨウ</t>
    </rPh>
    <rPh sb="2" eb="4">
      <t>タンカ</t>
    </rPh>
    <phoneticPr fontId="8"/>
  </si>
  <si>
    <t>最小値→</t>
    <rPh sb="0" eb="3">
      <t>サイショウチ</t>
    </rPh>
    <phoneticPr fontId="8"/>
  </si>
  <si>
    <t>単価ｺｰﾄﾞ</t>
  </si>
  <si>
    <t>形  状  寸  法</t>
  </si>
  <si>
    <t>単位</t>
  </si>
  <si>
    <t>材料費</t>
  </si>
  <si>
    <t>１Ａ</t>
  </si>
  <si>
    <t>２Ａ</t>
  </si>
  <si>
    <t>３Ａ</t>
  </si>
  <si>
    <t>４Ａ</t>
  </si>
  <si>
    <t>備    考</t>
  </si>
  <si>
    <t>工種</t>
    <rPh sb="0" eb="2">
      <t>コウシュ</t>
    </rPh>
    <phoneticPr fontId="8"/>
  </si>
  <si>
    <t>直接仮設工事</t>
    <rPh sb="0" eb="2">
      <t>チョクセツ</t>
    </rPh>
    <rPh sb="2" eb="4">
      <t>カセツ</t>
    </rPh>
    <rPh sb="4" eb="6">
      <t>コウジ</t>
    </rPh>
    <phoneticPr fontId="8"/>
  </si>
  <si>
    <t>金額欄計算式    =&gt;</t>
    <rPh sb="0" eb="2">
      <t>キンガク</t>
    </rPh>
    <rPh sb="2" eb="3">
      <t>ラン</t>
    </rPh>
    <rPh sb="3" eb="5">
      <t>ケイサン</t>
    </rPh>
    <rPh sb="5" eb="6">
      <t>シキ</t>
    </rPh>
    <phoneticPr fontId="8"/>
  </si>
  <si>
    <t>標準単価ファイル名</t>
    <rPh sb="0" eb="2">
      <t>ヒョウジュン</t>
    </rPh>
    <rPh sb="2" eb="4">
      <t>タンカ</t>
    </rPh>
    <rPh sb="8" eb="9">
      <t>メイ</t>
    </rPh>
    <phoneticPr fontId="8"/>
  </si>
  <si>
    <t>標準単価ﾌｧｲﾙ保管場所</t>
    <rPh sb="0" eb="2">
      <t>ヒョウジュン</t>
    </rPh>
    <rPh sb="2" eb="4">
      <t>タンカ</t>
    </rPh>
    <rPh sb="8" eb="10">
      <t>ホカン</t>
    </rPh>
    <rPh sb="10" eb="12">
      <t>バショ</t>
    </rPh>
    <phoneticPr fontId="8"/>
  </si>
  <si>
    <t>各シートの最大行数（単価挿入時にEOL無し時に実行する範囲。小さいと処理は早く終わるが、この行以降のデータに単価は挿入されない。）</t>
    <rPh sb="0" eb="1">
      <t>カク</t>
    </rPh>
    <rPh sb="5" eb="7">
      <t>サイダイ</t>
    </rPh>
    <rPh sb="7" eb="9">
      <t>ギョウスウ</t>
    </rPh>
    <rPh sb="10" eb="12">
      <t>タンカ</t>
    </rPh>
    <rPh sb="12" eb="14">
      <t>ソウニュウ</t>
    </rPh>
    <rPh sb="14" eb="15">
      <t>ジ</t>
    </rPh>
    <rPh sb="19" eb="20">
      <t>ナ</t>
    </rPh>
    <rPh sb="21" eb="22">
      <t>ジ</t>
    </rPh>
    <rPh sb="23" eb="25">
      <t>ジッコウ</t>
    </rPh>
    <rPh sb="27" eb="29">
      <t>ハンイ</t>
    </rPh>
    <rPh sb="30" eb="31">
      <t>チイ</t>
    </rPh>
    <rPh sb="34" eb="36">
      <t>ショリ</t>
    </rPh>
    <rPh sb="37" eb="38">
      <t>ハヤ</t>
    </rPh>
    <rPh sb="39" eb="40">
      <t>オ</t>
    </rPh>
    <rPh sb="46" eb="47">
      <t>ギョウ</t>
    </rPh>
    <rPh sb="47" eb="49">
      <t>イコウ</t>
    </rPh>
    <rPh sb="54" eb="56">
      <t>タンカ</t>
    </rPh>
    <rPh sb="57" eb="59">
      <t>ソウニュウ</t>
    </rPh>
    <phoneticPr fontId="8"/>
  </si>
  <si>
    <t>運搬時間</t>
    <phoneticPr fontId="8"/>
  </si>
  <si>
    <t>合    計</t>
    <rPh sb="0" eb="1">
      <t>ゴウ</t>
    </rPh>
    <phoneticPr fontId="8"/>
  </si>
  <si>
    <t>cells(8,8)</t>
    <phoneticPr fontId="8"/>
  </si>
  <si>
    <t>cells(10,8)</t>
    <phoneticPr fontId="8"/>
  </si>
  <si>
    <t>cells(12,8)</t>
    <phoneticPr fontId="8"/>
  </si>
  <si>
    <t>　計</t>
    <rPh sb="1" eb="2">
      <t>ケイ</t>
    </rPh>
    <phoneticPr fontId="8"/>
  </si>
  <si>
    <t>page</t>
    <phoneticPr fontId="8"/>
  </si>
  <si>
    <t>/</t>
    <phoneticPr fontId="8"/>
  </si>
  <si>
    <t>前シートのページ数</t>
    <rPh sb="0" eb="1">
      <t>ゼン</t>
    </rPh>
    <rPh sb="8" eb="9">
      <t>スウ</t>
    </rPh>
    <phoneticPr fontId="8"/>
  </si>
  <si>
    <t>各シートのトップページを常に書き換えるか(Yes=1 No=0)</t>
    <rPh sb="0" eb="1">
      <t>カク</t>
    </rPh>
    <rPh sb="12" eb="13">
      <t>ツネ</t>
    </rPh>
    <rPh sb="14" eb="15">
      <t>カ</t>
    </rPh>
    <rPh sb="16" eb="17">
      <t>カ</t>
    </rPh>
    <phoneticPr fontId="8"/>
  </si>
  <si>
    <t>cells(14,8)</t>
    <phoneticPr fontId="8"/>
  </si>
  <si>
    <r>
      <t>現在の工事部数（シートの数）</t>
    </r>
    <r>
      <rPr>
        <b/>
        <sz val="11"/>
        <rFont val="ＭＳ Ｐゴシック"/>
        <family val="3"/>
        <charset val="128"/>
      </rPr>
      <t>(！！書き換え厳禁！！）</t>
    </r>
    <rPh sb="0" eb="2">
      <t>ゲンザイ</t>
    </rPh>
    <rPh sb="3" eb="5">
      <t>コウジ</t>
    </rPh>
    <rPh sb="5" eb="6">
      <t>ブ</t>
    </rPh>
    <rPh sb="6" eb="7">
      <t>スウ</t>
    </rPh>
    <rPh sb="12" eb="13">
      <t>カズ</t>
    </rPh>
    <rPh sb="17" eb="18">
      <t>カ</t>
    </rPh>
    <rPh sb="19" eb="20">
      <t>カ</t>
    </rPh>
    <rPh sb="21" eb="23">
      <t>ゲンキン</t>
    </rPh>
    <phoneticPr fontId="8"/>
  </si>
  <si>
    <r>
      <t>最終ページ数</t>
    </r>
    <r>
      <rPr>
        <b/>
        <sz val="11"/>
        <rFont val="ＭＳ Ｐゴシック"/>
        <family val="3"/>
        <charset val="128"/>
      </rPr>
      <t>（！！書き換え厳禁！！）</t>
    </r>
    <rPh sb="0" eb="2">
      <t>サイシュウ</t>
    </rPh>
    <rPh sb="5" eb="6">
      <t>スウ</t>
    </rPh>
    <rPh sb="9" eb="10">
      <t>カ</t>
    </rPh>
    <rPh sb="11" eb="12">
      <t>カ</t>
    </rPh>
    <rPh sb="13" eb="15">
      <t>ゲンキン</t>
    </rPh>
    <phoneticPr fontId="8"/>
  </si>
  <si>
    <t>cells(18,8)</t>
    <phoneticPr fontId="8"/>
  </si>
  <si>
    <t>このシートの最終ページ数</t>
    <rPh sb="6" eb="8">
      <t>サイシュウ</t>
    </rPh>
    <rPh sb="11" eb="12">
      <t>スウ</t>
    </rPh>
    <phoneticPr fontId="8"/>
  </si>
  <si>
    <t>代価一覧のデータ数</t>
    <rPh sb="0" eb="2">
      <t>ダイカ</t>
    </rPh>
    <rPh sb="2" eb="4">
      <t>イチラン</t>
    </rPh>
    <rPh sb="8" eb="9">
      <t>スウ</t>
    </rPh>
    <phoneticPr fontId="8"/>
  </si>
  <si>
    <t>cells(20,8)</t>
    <phoneticPr fontId="8"/>
  </si>
  <si>
    <t>名称(空白は不可)</t>
    <rPh sb="3" eb="5">
      <t>クウハク</t>
    </rPh>
    <rPh sb="6" eb="8">
      <t>フカ</t>
    </rPh>
    <phoneticPr fontId="8"/>
  </si>
  <si>
    <t>m3</t>
  </si>
  <si>
    <t>前ﾍﾟｰｼﾞから続きの場合「１」を入力　→</t>
    <rPh sb="0" eb="1">
      <t>マエ</t>
    </rPh>
    <rPh sb="8" eb="9">
      <t>ツヅ</t>
    </rPh>
    <rPh sb="11" eb="13">
      <t>バアイ</t>
    </rPh>
    <rPh sb="17" eb="19">
      <t>ニュウリョク</t>
    </rPh>
    <phoneticPr fontId="8"/>
  </si>
  <si>
    <t>全ページ数</t>
    <rPh sb="0" eb="1">
      <t>ゼン</t>
    </rPh>
    <rPh sb="4" eb="5">
      <t>スウ</t>
    </rPh>
    <phoneticPr fontId="8"/>
  </si>
  <si>
    <t>この参考明細のバージョン</t>
    <rPh sb="2" eb="4">
      <t>サンコウ</t>
    </rPh>
    <rPh sb="4" eb="6">
      <t>メイサイ</t>
    </rPh>
    <phoneticPr fontId="8"/>
  </si>
  <si>
    <t>cells(25,8)</t>
    <phoneticPr fontId="8"/>
  </si>
  <si>
    <t>(</t>
  </si>
  <si>
    <t>)</t>
  </si>
  <si>
    <t>材料</t>
    <rPh sb="0" eb="2">
      <t>ザイリョウ</t>
    </rPh>
    <phoneticPr fontId="8"/>
  </si>
  <si>
    <t>形状寸法</t>
    <rPh sb="0" eb="2">
      <t>ケイジョウ</t>
    </rPh>
    <rPh sb="2" eb="4">
      <t>スンポウ</t>
    </rPh>
    <phoneticPr fontId="8"/>
  </si>
  <si>
    <t>重量</t>
    <rPh sb="0" eb="2">
      <t>ジュウリョウ</t>
    </rPh>
    <phoneticPr fontId="8"/>
  </si>
  <si>
    <t>(</t>
    <phoneticPr fontId="8"/>
  </si>
  <si>
    <t>)</t>
    <phoneticPr fontId="8"/>
  </si>
  <si>
    <t>(</t>
    <phoneticPr fontId="8"/>
  </si>
  <si>
    <t>)</t>
    <phoneticPr fontId="8"/>
  </si>
  <si>
    <t>Ｄ１３</t>
  </si>
  <si>
    <t>Ｄ１６</t>
  </si>
  <si>
    <t>Ｄ１９</t>
  </si>
  <si>
    <t>Ｄ２２</t>
  </si>
  <si>
    <t>生コンクリート</t>
  </si>
  <si>
    <t>Fc=18,sl=18</t>
  </si>
  <si>
    <t>Fc=21,sl=18</t>
  </si>
  <si>
    <t>建築工事</t>
    <rPh sb="0" eb="2">
      <t>ケンチク</t>
    </rPh>
    <rPh sb="2" eb="4">
      <t>コウジ</t>
    </rPh>
    <phoneticPr fontId="8"/>
  </si>
  <si>
    <t>各シートの明細書開始行数(拡張用につき、変更厳禁）</t>
    <rPh sb="0" eb="1">
      <t>カク</t>
    </rPh>
    <rPh sb="5" eb="8">
      <t>メイサイショ</t>
    </rPh>
    <rPh sb="8" eb="10">
      <t>カイシ</t>
    </rPh>
    <rPh sb="10" eb="12">
      <t>ギョウスウ</t>
    </rPh>
    <rPh sb="13" eb="15">
      <t>カクチョウ</t>
    </rPh>
    <rPh sb="15" eb="16">
      <t>ヨウ</t>
    </rPh>
    <rPh sb="20" eb="22">
      <t>ヘンコウ</t>
    </rPh>
    <rPh sb="22" eb="24">
      <t>ゲンキン</t>
    </rPh>
    <phoneticPr fontId="8"/>
  </si>
  <si>
    <t>シートの保護を有効にするか(Yes=1 No=0)</t>
    <rPh sb="4" eb="6">
      <t>ホゴ</t>
    </rPh>
    <rPh sb="7" eb="9">
      <t>ユウコウ</t>
    </rPh>
    <phoneticPr fontId="8"/>
  </si>
  <si>
    <t>cells(29,8)</t>
    <phoneticPr fontId="8"/>
  </si>
  <si>
    <t>Fc=24,sl=15</t>
  </si>
  <si>
    <t>調整率</t>
    <rPh sb="0" eb="2">
      <t>チョウセイ</t>
    </rPh>
    <rPh sb="2" eb="3">
      <t>リツ</t>
    </rPh>
    <phoneticPr fontId="8"/>
  </si>
  <si>
    <t>page</t>
    <phoneticPr fontId="8"/>
  </si>
  <si>
    <t>/</t>
    <phoneticPr fontId="8"/>
  </si>
  <si>
    <t>(</t>
    <phoneticPr fontId="8"/>
  </si>
  <si>
    <t>)</t>
    <phoneticPr fontId="8"/>
  </si>
  <si>
    <t>(</t>
    <phoneticPr fontId="8"/>
  </si>
  <si>
    <t>)</t>
    <phoneticPr fontId="8"/>
  </si>
  <si>
    <t>1A-3A</t>
    <phoneticPr fontId="8"/>
  </si>
  <si>
    <t>1A-4A</t>
    <phoneticPr fontId="8"/>
  </si>
  <si>
    <t>Ｄ１０</t>
    <phoneticPr fontId="8"/>
  </si>
  <si>
    <t>t</t>
    <phoneticPr fontId="8"/>
  </si>
  <si>
    <t>前回userform終了時の作業時間</t>
    <rPh sb="0" eb="2">
      <t>ゼンカイ</t>
    </rPh>
    <rPh sb="10" eb="13">
      <t>シュウリョウジ</t>
    </rPh>
    <rPh sb="14" eb="16">
      <t>サギョウ</t>
    </rPh>
    <rPh sb="16" eb="18">
      <t>ジカン</t>
    </rPh>
    <phoneticPr fontId="8"/>
  </si>
  <si>
    <t>cells(4,4)</t>
    <phoneticPr fontId="8"/>
  </si>
  <si>
    <t>前回userform終了時の運搬時間</t>
    <rPh sb="0" eb="2">
      <t>ゼンカイ</t>
    </rPh>
    <rPh sb="10" eb="13">
      <t>シュウリョウジ</t>
    </rPh>
    <rPh sb="14" eb="16">
      <t>ウンパン</t>
    </rPh>
    <rPh sb="16" eb="18">
      <t>ジカン</t>
    </rPh>
    <phoneticPr fontId="8"/>
  </si>
  <si>
    <t>前回userform終了時の工種番号</t>
    <rPh sb="0" eb="2">
      <t>ゼンカイ</t>
    </rPh>
    <rPh sb="10" eb="13">
      <t>シュウリョウジ</t>
    </rPh>
    <rPh sb="14" eb="15">
      <t>コウジ</t>
    </rPh>
    <rPh sb="15" eb="16">
      <t>シュルイ</t>
    </rPh>
    <rPh sb="16" eb="18">
      <t>バンゴウ</t>
    </rPh>
    <phoneticPr fontId="8"/>
  </si>
  <si>
    <t>前回userform終了時の選択行</t>
    <rPh sb="0" eb="2">
      <t>ゼンカイ</t>
    </rPh>
    <rPh sb="10" eb="13">
      <t>シュウリョウジ</t>
    </rPh>
    <rPh sb="14" eb="16">
      <t>センタク</t>
    </rPh>
    <rPh sb="16" eb="17">
      <t>ギョウ</t>
    </rPh>
    <phoneticPr fontId="8"/>
  </si>
  <si>
    <t>cells(6,4)</t>
    <phoneticPr fontId="8"/>
  </si>
  <si>
    <t>cells(8,4)</t>
    <phoneticPr fontId="8"/>
  </si>
  <si>
    <t>cells(10,4)</t>
    <phoneticPr fontId="8"/>
  </si>
  <si>
    <t>積算担当者編集時「１」（注：設計者は絶対に触らないで下さい。エラーの原因になります！！）</t>
    <rPh sb="0" eb="2">
      <t>セキサン</t>
    </rPh>
    <rPh sb="2" eb="5">
      <t>タントウシャ</t>
    </rPh>
    <rPh sb="5" eb="7">
      <t>ヘンシュウ</t>
    </rPh>
    <rPh sb="7" eb="8">
      <t>ジ</t>
    </rPh>
    <rPh sb="12" eb="13">
      <t>チュウ</t>
    </rPh>
    <rPh sb="14" eb="17">
      <t>セッケイシャ</t>
    </rPh>
    <rPh sb="18" eb="20">
      <t>ゼッタイ</t>
    </rPh>
    <rPh sb="21" eb="22">
      <t>サワ</t>
    </rPh>
    <rPh sb="26" eb="27">
      <t>クダ</t>
    </rPh>
    <rPh sb="34" eb="36">
      <t>ゲンイン</t>
    </rPh>
    <phoneticPr fontId="8"/>
  </si>
  <si>
    <t>現在のEXCELのバージョン</t>
    <rPh sb="0" eb="2">
      <t>ゲンザイ</t>
    </rPh>
    <phoneticPr fontId="8"/>
  </si>
  <si>
    <t>cells(12,4)</t>
    <phoneticPr fontId="8"/>
  </si>
  <si>
    <t>Fc=24,sl=18</t>
  </si>
  <si>
    <t>cells(14,4)</t>
    <phoneticPr fontId="8"/>
  </si>
  <si>
    <t>前回userform終了時の選択単価</t>
    <rPh sb="0" eb="2">
      <t>ゼンカイ</t>
    </rPh>
    <rPh sb="10" eb="13">
      <t>シュウリョウジ</t>
    </rPh>
    <rPh sb="14" eb="16">
      <t>センタク</t>
    </rPh>
    <rPh sb="16" eb="18">
      <t>タンカ</t>
    </rPh>
    <phoneticPr fontId="8"/>
  </si>
  <si>
    <t>鉄筋 SD295A</t>
    <rPh sb="0" eb="2">
      <t>テッキン</t>
    </rPh>
    <phoneticPr fontId="8"/>
  </si>
  <si>
    <t>鉄筋 SD345</t>
    <rPh sb="0" eb="2">
      <t>テッキン</t>
    </rPh>
    <phoneticPr fontId="8"/>
  </si>
  <si>
    <t>cells(2,4)</t>
    <phoneticPr fontId="8"/>
  </si>
  <si>
    <t>前回userform終了時の画面サイズ</t>
    <rPh sb="0" eb="2">
      <t>ゼンカイ</t>
    </rPh>
    <rPh sb="10" eb="13">
      <t>シュウリョウジ</t>
    </rPh>
    <rPh sb="14" eb="16">
      <t>ガメン</t>
    </rPh>
    <phoneticPr fontId="8"/>
  </si>
  <si>
    <t>ヵ所</t>
    <rPh sb="1" eb="2">
      <t>ショ</t>
    </rPh>
    <phoneticPr fontId="8"/>
  </si>
  <si>
    <t>諸経費表ファイル名</t>
    <rPh sb="0" eb="3">
      <t>ショケイヒ</t>
    </rPh>
    <rPh sb="3" eb="4">
      <t>ヒョウ</t>
    </rPh>
    <rPh sb="8" eb="9">
      <t>メイ</t>
    </rPh>
    <phoneticPr fontId="8"/>
  </si>
  <si>
    <t>諸経費表ﾌｧｲﾙ保管場所</t>
    <rPh sb="0" eb="3">
      <t>ショケイヒ</t>
    </rPh>
    <rPh sb="3" eb="4">
      <t>ヒョウ</t>
    </rPh>
    <rPh sb="8" eb="10">
      <t>ホカン</t>
    </rPh>
    <rPh sb="10" eb="12">
      <t>バショ</t>
    </rPh>
    <phoneticPr fontId="8"/>
  </si>
  <si>
    <t>諸経費表のシート名（１－３）</t>
    <rPh sb="0" eb="3">
      <t>ショケイヒ</t>
    </rPh>
    <rPh sb="3" eb="4">
      <t>ヒョウ</t>
    </rPh>
    <rPh sb="8" eb="9">
      <t>メイ</t>
    </rPh>
    <phoneticPr fontId="8"/>
  </si>
  <si>
    <t>cells(31,8)</t>
    <phoneticPr fontId="8"/>
  </si>
  <si>
    <t>cells(27,8(9))</t>
    <phoneticPr fontId="8"/>
  </si>
  <si>
    <t>１工種で複数ページになったときの合計式(右は変更時)</t>
    <rPh sb="1" eb="3">
      <t>コウシュ</t>
    </rPh>
    <rPh sb="4" eb="6">
      <t>フクスウ</t>
    </rPh>
    <rPh sb="16" eb="18">
      <t>ゴウケイ</t>
    </rPh>
    <rPh sb="18" eb="19">
      <t>シキ</t>
    </rPh>
    <rPh sb="20" eb="21">
      <t>ミギ</t>
    </rPh>
    <rPh sb="22" eb="24">
      <t>ヘンコウ</t>
    </rPh>
    <rPh sb="24" eb="25">
      <t>ジ</t>
    </rPh>
    <phoneticPr fontId="8"/>
  </si>
  <si>
    <t>廃プラ</t>
  </si>
  <si>
    <t>がれき</t>
  </si>
  <si>
    <t>繊維くず</t>
  </si>
  <si>
    <t>繊維くず</t>
    <rPh sb="0" eb="2">
      <t>センイ</t>
    </rPh>
    <phoneticPr fontId="8"/>
  </si>
  <si>
    <t>ガラス
陶磁器</t>
    <rPh sb="4" eb="7">
      <t>トウジキ</t>
    </rPh>
    <phoneticPr fontId="8"/>
  </si>
  <si>
    <t>残材処分費</t>
    <rPh sb="0" eb="1">
      <t>ザン</t>
    </rPh>
    <rPh sb="1" eb="2">
      <t>ザイ</t>
    </rPh>
    <rPh sb="2" eb="4">
      <t>ショブン</t>
    </rPh>
    <rPh sb="4" eb="5">
      <t>ヒ</t>
    </rPh>
    <phoneticPr fontId="8"/>
  </si>
  <si>
    <t>鉄</t>
    <rPh sb="0" eb="1">
      <t>テツ</t>
    </rPh>
    <phoneticPr fontId="8"/>
  </si>
  <si>
    <t>アルミ</t>
    <phoneticPr fontId="8"/>
  </si>
  <si>
    <t>銅</t>
    <rPh sb="0" eb="1">
      <t>ドウ</t>
    </rPh>
    <phoneticPr fontId="8"/>
  </si>
  <si>
    <t>ｽﾃﾝﾚｽ</t>
    <phoneticPr fontId="8"/>
  </si>
  <si>
    <t>小運搬重量(単位重量(kg))</t>
    <rPh sb="0" eb="1">
      <t>コ</t>
    </rPh>
    <rPh sb="1" eb="3">
      <t>ウンパン</t>
    </rPh>
    <rPh sb="3" eb="5">
      <t>ジュウリョウ</t>
    </rPh>
    <rPh sb="6" eb="8">
      <t>タンイ</t>
    </rPh>
    <rPh sb="8" eb="10">
      <t>ジュウリョウ</t>
    </rPh>
    <phoneticPr fontId="8"/>
  </si>
  <si>
    <t>ガラス
陶磁器</t>
  </si>
  <si>
    <t>ｽﾃﾝﾚｽ</t>
  </si>
  <si>
    <t>アルミ</t>
  </si>
  <si>
    <t>処分費重量</t>
    <rPh sb="0" eb="2">
      <t>ショブン</t>
    </rPh>
    <rPh sb="2" eb="3">
      <t>ヒ</t>
    </rPh>
    <rPh sb="3" eb="5">
      <t>ジュウリョウ</t>
    </rPh>
    <phoneticPr fontId="8"/>
  </si>
  <si>
    <t>材料</t>
  </si>
  <si>
    <t>小運搬表（残材処分費）</t>
    <rPh sb="0" eb="1">
      <t>コ</t>
    </rPh>
    <rPh sb="1" eb="3">
      <t>ウンパン</t>
    </rPh>
    <rPh sb="3" eb="4">
      <t>ヒョウ</t>
    </rPh>
    <rPh sb="5" eb="6">
      <t>ザン</t>
    </rPh>
    <rPh sb="6" eb="7">
      <t>ザイ</t>
    </rPh>
    <rPh sb="7" eb="9">
      <t>ショブン</t>
    </rPh>
    <rPh sb="9" eb="10">
      <t>ヒ</t>
    </rPh>
    <phoneticPr fontId="8"/>
  </si>
  <si>
    <t>小運搬表（運搬費）</t>
    <rPh sb="0" eb="1">
      <t>コ</t>
    </rPh>
    <rPh sb="1" eb="3">
      <t>ウンパン</t>
    </rPh>
    <rPh sb="3" eb="4">
      <t>ヒョウ</t>
    </rPh>
    <rPh sb="5" eb="7">
      <t>ウンパン</t>
    </rPh>
    <rPh sb="7" eb="8">
      <t>ヒ</t>
    </rPh>
    <phoneticPr fontId="8"/>
  </si>
  <si>
    <t>ｽｸﾗｯﾌﾟ重量</t>
    <rPh sb="6" eb="8">
      <t>ジュウリョウ</t>
    </rPh>
    <phoneticPr fontId="8"/>
  </si>
  <si>
    <t>m2</t>
  </si>
  <si>
    <t>１．直接工事費</t>
    <rPh sb="2" eb="4">
      <t>チョクセツ</t>
    </rPh>
    <rPh sb="4" eb="7">
      <t>コウジヒ</t>
    </rPh>
    <phoneticPr fontId="8"/>
  </si>
  <si>
    <t>２．共通費</t>
    <rPh sb="2" eb="4">
      <t>キョウツウ</t>
    </rPh>
    <rPh sb="4" eb="5">
      <t>ヒ</t>
    </rPh>
    <phoneticPr fontId="8"/>
  </si>
  <si>
    <t>共通仮設費</t>
    <rPh sb="0" eb="2">
      <t>キョウツウ</t>
    </rPh>
    <rPh sb="2" eb="4">
      <t>カセツ</t>
    </rPh>
    <rPh sb="4" eb="5">
      <t>ヒ</t>
    </rPh>
    <phoneticPr fontId="8"/>
  </si>
  <si>
    <t>共通仮設費</t>
    <rPh sb="4" eb="5">
      <t>ヒ</t>
    </rPh>
    <phoneticPr fontId="8"/>
  </si>
  <si>
    <t>1A</t>
    <phoneticPr fontId="8"/>
  </si>
  <si>
    <t>2A</t>
    <phoneticPr fontId="8"/>
  </si>
  <si>
    <t>3A</t>
    <phoneticPr fontId="8"/>
  </si>
  <si>
    <t>4A</t>
    <phoneticPr fontId="8"/>
  </si>
  <si>
    <t>==&gt;&gt;</t>
    <phoneticPr fontId="8"/>
  </si>
  <si>
    <t>作業時間</t>
    <phoneticPr fontId="8"/>
  </si>
  <si>
    <t>会所４００角</t>
    <rPh sb="0" eb="2">
      <t>カイショ</t>
    </rPh>
    <rPh sb="5" eb="6">
      <t>カク</t>
    </rPh>
    <phoneticPr fontId="8"/>
  </si>
  <si>
    <t>代価2</t>
  </si>
  <si>
    <t>未記入</t>
  </si>
  <si>
    <t xml:space="preserve"> H=1200 根切共</t>
    <rPh sb="8" eb="9">
      <t>ネ</t>
    </rPh>
    <rPh sb="9" eb="10">
      <t>キリ</t>
    </rPh>
    <rPh sb="10" eb="11">
      <t>トモ</t>
    </rPh>
    <phoneticPr fontId="8"/>
  </si>
  <si>
    <t>残土積込費加算</t>
  </si>
  <si>
    <t>人力積込費</t>
  </si>
  <si>
    <t>残土処分費</t>
  </si>
  <si>
    <t>場外自由処分</t>
  </si>
  <si>
    <t>鉄筋 SD295A</t>
  </si>
  <si>
    <t>t</t>
  </si>
  <si>
    <t>鉄筋現場加工</t>
  </si>
  <si>
    <t>一般細物(D13以下)</t>
  </si>
  <si>
    <t>鉄筋組立</t>
  </si>
  <si>
    <t>RC造一般細物(D13以下)</t>
  </si>
  <si>
    <t>手練りコンクリ―ト</t>
  </si>
  <si>
    <t>練り手間含む</t>
  </si>
  <si>
    <t>打手間　　ｶｰﾄ打ち</t>
  </si>
  <si>
    <t>小型構造物</t>
  </si>
  <si>
    <t>型枠　普通型枠</t>
  </si>
  <si>
    <t>2層以下</t>
    <phoneticPr fontId="8"/>
  </si>
  <si>
    <t>m2</t>
    <phoneticPr fontId="8"/>
  </si>
  <si>
    <t>1,2階程度の転用率</t>
    <phoneticPr fontId="8"/>
  </si>
  <si>
    <t>諸経費ファイル名</t>
    <rPh sb="0" eb="3">
      <t>ショケイヒ</t>
    </rPh>
    <rPh sb="7" eb="8">
      <t>メイ</t>
    </rPh>
    <phoneticPr fontId="8"/>
  </si>
  <si>
    <t>諸経費ﾌｧｲﾙ保管場所</t>
    <rPh sb="0" eb="3">
      <t>ショケイヒ</t>
    </rPh>
    <rPh sb="7" eb="9">
      <t>ホカン</t>
    </rPh>
    <rPh sb="9" eb="11">
      <t>バショ</t>
    </rPh>
    <phoneticPr fontId="8"/>
  </si>
  <si>
    <t>Fc=27,sl=18</t>
  </si>
  <si>
    <t>代価1</t>
    <phoneticPr fontId="8"/>
  </si>
  <si>
    <t>1:02:04</t>
    <phoneticPr fontId="8"/>
  </si>
  <si>
    <t>代価番号は、１から順に自動に割り振られます。</t>
    <rPh sb="0" eb="2">
      <t>ダイカ</t>
    </rPh>
    <rPh sb="2" eb="4">
      <t>バンゴウ</t>
    </rPh>
    <rPh sb="9" eb="10">
      <t>ジュン</t>
    </rPh>
    <rPh sb="11" eb="13">
      <t>ジドウ</t>
    </rPh>
    <rPh sb="14" eb="15">
      <t>ワ</t>
    </rPh>
    <rPh sb="16" eb="17">
      <t>フ</t>
    </rPh>
    <phoneticPr fontId="8"/>
  </si>
  <si>
    <t>全項数</t>
    <rPh sb="0" eb="1">
      <t>ゼン</t>
    </rPh>
    <rPh sb="1" eb="2">
      <t>コウ</t>
    </rPh>
    <rPh sb="2" eb="3">
      <t>スウ</t>
    </rPh>
    <phoneticPr fontId="8"/>
  </si>
  <si>
    <t>cells(16,4)</t>
    <phoneticPr fontId="8"/>
  </si>
  <si>
    <t>変更点、新機能の紹介</t>
    <rPh sb="0" eb="3">
      <t>ヘンコウテン</t>
    </rPh>
    <rPh sb="4" eb="7">
      <t>シンキノウ</t>
    </rPh>
    <rPh sb="8" eb="10">
      <t>ショウカイ</t>
    </rPh>
    <phoneticPr fontId="8"/>
  </si>
  <si>
    <t>cells(18,4)</t>
    <phoneticPr fontId="8"/>
  </si>
  <si>
    <t>cells(19,4)</t>
    <phoneticPr fontId="8"/>
  </si>
  <si>
    <t>cells(25,4)</t>
    <phoneticPr fontId="8"/>
  </si>
  <si>
    <t>前回userform終了時のlistbox.fontサイズ</t>
    <rPh sb="0" eb="2">
      <t>ゼンカイ</t>
    </rPh>
    <rPh sb="10" eb="13">
      <t>シュウリョウジ</t>
    </rPh>
    <phoneticPr fontId="8"/>
  </si>
  <si>
    <t>前回userform終了時のlistbox.columWidth</t>
    <rPh sb="0" eb="2">
      <t>ゼンカイ</t>
    </rPh>
    <rPh sb="10" eb="13">
      <t>シュウリョウジ</t>
    </rPh>
    <phoneticPr fontId="8"/>
  </si>
  <si>
    <t>C045150150050170035035035035035035035</t>
    <phoneticPr fontId="8"/>
  </si>
  <si>
    <t>単価表の右下でマウスの形状が変わりますのでドラッグして大きさを調整してください。
同じ右下をダブルクリックすると，列幅が変更できます．
表左下の左右矢印でフォントの大きさを変更できます．
一覧表をダブルクリックすることでデータを入力できるようになりました．
また、Ver1.5以降で「代価」シートによる複合単価も作成できます。「代価」シートを参照して利用してみてください．代価コードは自動で入りますので、小運搬重量を埋めれば、工事シートでコード入力で使用できます．</t>
    <rPh sb="0" eb="2">
      <t>タンカ</t>
    </rPh>
    <rPh sb="2" eb="3">
      <t>オモテ</t>
    </rPh>
    <rPh sb="4" eb="6">
      <t>ミギシタ</t>
    </rPh>
    <rPh sb="11" eb="13">
      <t>ケイジョウ</t>
    </rPh>
    <rPh sb="14" eb="15">
      <t>カ</t>
    </rPh>
    <rPh sb="27" eb="28">
      <t>オオ</t>
    </rPh>
    <rPh sb="31" eb="33">
      <t>チョウセイ</t>
    </rPh>
    <rPh sb="41" eb="42">
      <t>オナ</t>
    </rPh>
    <rPh sb="43" eb="45">
      <t>ミギシタ</t>
    </rPh>
    <rPh sb="68" eb="69">
      <t>ヒョウ</t>
    </rPh>
    <rPh sb="69" eb="71">
      <t>ヒダリシタ</t>
    </rPh>
    <rPh sb="72" eb="74">
      <t>サユウ</t>
    </rPh>
    <rPh sb="74" eb="76">
      <t>ヤジルシ</t>
    </rPh>
    <rPh sb="82" eb="83">
      <t>オオ</t>
    </rPh>
    <rPh sb="86" eb="88">
      <t>ヘンコウ</t>
    </rPh>
    <rPh sb="94" eb="96">
      <t>イチラン</t>
    </rPh>
    <rPh sb="96" eb="97">
      <t>ヒョウ</t>
    </rPh>
    <rPh sb="114" eb="116">
      <t>ニュウリョク</t>
    </rPh>
    <rPh sb="138" eb="140">
      <t>イコウ</t>
    </rPh>
    <rPh sb="142" eb="144">
      <t>ダイカ</t>
    </rPh>
    <rPh sb="151" eb="153">
      <t>フクゴウ</t>
    </rPh>
    <rPh sb="153" eb="155">
      <t>タンカ</t>
    </rPh>
    <rPh sb="156" eb="158">
      <t>サクセイ</t>
    </rPh>
    <rPh sb="164" eb="166">
      <t>ダイカ</t>
    </rPh>
    <rPh sb="171" eb="173">
      <t>サンショウ</t>
    </rPh>
    <rPh sb="175" eb="177">
      <t>リヨウ</t>
    </rPh>
    <rPh sb="186" eb="188">
      <t>ダイカ</t>
    </rPh>
    <rPh sb="192" eb="194">
      <t>ジドウ</t>
    </rPh>
    <rPh sb="195" eb="196">
      <t>ハイ</t>
    </rPh>
    <rPh sb="202" eb="203">
      <t>コ</t>
    </rPh>
    <rPh sb="203" eb="205">
      <t>ウンパン</t>
    </rPh>
    <rPh sb="205" eb="207">
      <t>ジュウリョウ</t>
    </rPh>
    <rPh sb="208" eb="209">
      <t>ウ</t>
    </rPh>
    <rPh sb="213" eb="215">
      <t>コウジ</t>
    </rPh>
    <rPh sb="222" eb="224">
      <t>ニュウリョク</t>
    </rPh>
    <rPh sb="225" eb="227">
      <t>シヨウ</t>
    </rPh>
    <phoneticPr fontId="8"/>
  </si>
  <si>
    <t>このファイルを初使用？(yes=1 no=0)</t>
    <rPh sb="7" eb="8">
      <t>ハツ</t>
    </rPh>
    <rPh sb="8" eb="10">
      <t>シヨウ</t>
    </rPh>
    <phoneticPr fontId="8"/>
  </si>
  <si>
    <t>単価表がカスタマイズできるようになりました。また、項目のダブルクリックで書込みできます．</t>
    <rPh sb="0" eb="2">
      <t>タンカ</t>
    </rPh>
    <rPh sb="2" eb="3">
      <t>ヒョウ</t>
    </rPh>
    <rPh sb="25" eb="27">
      <t>コウモク</t>
    </rPh>
    <rPh sb="36" eb="37">
      <t>カ</t>
    </rPh>
    <rPh sb="37" eb="38">
      <t>コ</t>
    </rPh>
    <phoneticPr fontId="8"/>
  </si>
  <si>
    <t>cells(16,8)</t>
    <phoneticPr fontId="8"/>
  </si>
  <si>
    <t>見積業者：</t>
    <rPh sb="0" eb="2">
      <t>ミツモリ</t>
    </rPh>
    <rPh sb="2" eb="4">
      <t>ギョウシャ</t>
    </rPh>
    <phoneticPr fontId="8"/>
  </si>
  <si>
    <t>㈱</t>
    <phoneticPr fontId="8"/>
  </si>
  <si>
    <t>元　　設　　計</t>
    <rPh sb="0" eb="1">
      <t>モト</t>
    </rPh>
    <rPh sb="3" eb="4">
      <t>セツ</t>
    </rPh>
    <rPh sb="6" eb="7">
      <t>ケイ</t>
    </rPh>
    <phoneticPr fontId="8"/>
  </si>
  <si>
    <t>元設計当局単価</t>
    <rPh sb="0" eb="1">
      <t>モト</t>
    </rPh>
    <rPh sb="1" eb="3">
      <t>セッケイ</t>
    </rPh>
    <rPh sb="3" eb="5">
      <t>トウキョク</t>
    </rPh>
    <rPh sb="5" eb="7">
      <t>タンカ</t>
    </rPh>
    <phoneticPr fontId="8"/>
  </si>
  <si>
    <t>元設計今回業者見積</t>
    <rPh sb="0" eb="1">
      <t>モト</t>
    </rPh>
    <rPh sb="1" eb="3">
      <t>セッケイ</t>
    </rPh>
    <rPh sb="3" eb="5">
      <t>コンカイ</t>
    </rPh>
    <rPh sb="5" eb="7">
      <t>ギョウシャ</t>
    </rPh>
    <rPh sb="7" eb="9">
      <t>ミツモリ</t>
    </rPh>
    <phoneticPr fontId="8"/>
  </si>
  <si>
    <t>変　　更　　後</t>
    <rPh sb="0" eb="1">
      <t>ヘン</t>
    </rPh>
    <rPh sb="3" eb="4">
      <t>サラ</t>
    </rPh>
    <rPh sb="6" eb="7">
      <t>アト</t>
    </rPh>
    <phoneticPr fontId="8"/>
  </si>
  <si>
    <t>変更後今回業者見積</t>
    <rPh sb="0" eb="2">
      <t>ヘンコウ</t>
    </rPh>
    <rPh sb="2" eb="3">
      <t>ゴ</t>
    </rPh>
    <rPh sb="3" eb="5">
      <t>コンカイ</t>
    </rPh>
    <rPh sb="5" eb="7">
      <t>ギョウシャ</t>
    </rPh>
    <rPh sb="7" eb="9">
      <t>ミツモリ</t>
    </rPh>
    <phoneticPr fontId="8"/>
  </si>
  <si>
    <t>No</t>
    <phoneticPr fontId="8"/>
  </si>
  <si>
    <t>ｱｽﾌｧﾙﾄ</t>
  </si>
  <si>
    <t>木くず</t>
    <rPh sb="0" eb="1">
      <t>キ</t>
    </rPh>
    <phoneticPr fontId="8"/>
  </si>
  <si>
    <t>木くず
再生</t>
    <rPh sb="0" eb="1">
      <t>キ</t>
    </rPh>
    <rPh sb="4" eb="6">
      <t>サイセイ</t>
    </rPh>
    <phoneticPr fontId="8"/>
  </si>
  <si>
    <t>木くず
合板</t>
    <rPh sb="0" eb="1">
      <t>キ</t>
    </rPh>
    <rPh sb="4" eb="6">
      <t>ゴウハン</t>
    </rPh>
    <phoneticPr fontId="8"/>
  </si>
  <si>
    <t>がれき</t>
    <phoneticPr fontId="8"/>
  </si>
  <si>
    <t>石膏ボード</t>
    <rPh sb="0" eb="2">
      <t>セッコウ</t>
    </rPh>
    <phoneticPr fontId="8"/>
  </si>
  <si>
    <t>セメント板</t>
    <rPh sb="4" eb="5">
      <t>イタ</t>
    </rPh>
    <phoneticPr fontId="8"/>
  </si>
  <si>
    <t>家具・
備品</t>
    <rPh sb="0" eb="2">
      <t>カグ</t>
    </rPh>
    <rPh sb="4" eb="6">
      <t>ビヒン</t>
    </rPh>
    <phoneticPr fontId="8"/>
  </si>
  <si>
    <t>混合
廃棄物</t>
  </si>
  <si>
    <t>再生</t>
    <rPh sb="0" eb="2">
      <t>サイセイ</t>
    </rPh>
    <phoneticPr fontId="8"/>
  </si>
  <si>
    <t>合板</t>
    <rPh sb="0" eb="2">
      <t>ゴウハン</t>
    </rPh>
    <phoneticPr fontId="8"/>
  </si>
  <si>
    <t>陶磁器</t>
    <rPh sb="0" eb="3">
      <t>トウジキ</t>
    </rPh>
    <phoneticPr fontId="8"/>
  </si>
  <si>
    <t>繊維</t>
    <rPh sb="0" eb="2">
      <t>センイ</t>
    </rPh>
    <phoneticPr fontId="8"/>
  </si>
  <si>
    <t>石膏</t>
    <rPh sb="0" eb="2">
      <t>セッコウ</t>
    </rPh>
    <phoneticPr fontId="8"/>
  </si>
  <si>
    <t>家具・</t>
    <rPh sb="0" eb="2">
      <t>カグ</t>
    </rPh>
    <phoneticPr fontId="8"/>
  </si>
  <si>
    <t>備品</t>
    <rPh sb="0" eb="2">
      <t>ビヒン</t>
    </rPh>
    <phoneticPr fontId="8"/>
  </si>
  <si>
    <t>混合</t>
    <rPh sb="0" eb="2">
      <t>コンゴウ</t>
    </rPh>
    <phoneticPr fontId="8"/>
  </si>
  <si>
    <t>廃棄物</t>
    <rPh sb="0" eb="3">
      <t>ハイキブツ</t>
    </rPh>
    <phoneticPr fontId="8"/>
  </si>
  <si>
    <t>廃プラ</t>
    <phoneticPr fontId="8"/>
  </si>
  <si>
    <t>型枠　運搬費</t>
    <phoneticPr fontId="8"/>
  </si>
  <si>
    <t>木くず
再生</t>
  </si>
  <si>
    <t>木くず
合板</t>
  </si>
  <si>
    <t>石膏ボード</t>
  </si>
  <si>
    <t>セメント板</t>
  </si>
  <si>
    <t>家具・
備品</t>
  </si>
  <si>
    <t>金属工事   見積金額比較表</t>
    <rPh sb="0" eb="2">
      <t>キンゾク</t>
    </rPh>
    <phoneticPr fontId="8"/>
  </si>
  <si>
    <t>採用業者合計</t>
    <rPh sb="0" eb="2">
      <t>サイヨウ</t>
    </rPh>
    <rPh sb="2" eb="4">
      <t>ギョウシャ</t>
    </rPh>
    <rPh sb="4" eb="6">
      <t>ゴウケイ</t>
    </rPh>
    <phoneticPr fontId="8"/>
  </si>
  <si>
    <t>今回業者合計</t>
    <rPh sb="0" eb="2">
      <t>コンカイ</t>
    </rPh>
    <rPh sb="2" eb="4">
      <t>ギョウシャ</t>
    </rPh>
    <rPh sb="4" eb="6">
      <t>ゴウケイ</t>
    </rPh>
    <phoneticPr fontId="8"/>
  </si>
  <si>
    <t>調整率＝＞</t>
    <rPh sb="0" eb="2">
      <t>チョウセイ</t>
    </rPh>
    <rPh sb="2" eb="3">
      <t>リツ</t>
    </rPh>
    <phoneticPr fontId="8"/>
  </si>
  <si>
    <t>&lt;=変更見積業者が元設計見積業者なら、左に元設計の合計金額(調整無)を記入し、各項目のB-I列は無記入</t>
    <rPh sb="2" eb="4">
      <t>ヘンコウ</t>
    </rPh>
    <rPh sb="4" eb="6">
      <t>ミツ</t>
    </rPh>
    <rPh sb="6" eb="8">
      <t>ギョウシャ</t>
    </rPh>
    <rPh sb="9" eb="10">
      <t>モト</t>
    </rPh>
    <rPh sb="10" eb="12">
      <t>セッケイ</t>
    </rPh>
    <rPh sb="12" eb="14">
      <t>ミツモリ</t>
    </rPh>
    <rPh sb="14" eb="16">
      <t>ギョウシャ</t>
    </rPh>
    <rPh sb="19" eb="20">
      <t>ヒダリ</t>
    </rPh>
    <rPh sb="21" eb="22">
      <t>モト</t>
    </rPh>
    <rPh sb="22" eb="24">
      <t>セッケイ</t>
    </rPh>
    <rPh sb="25" eb="27">
      <t>ゴウケイ</t>
    </rPh>
    <rPh sb="27" eb="29">
      <t>キンガク</t>
    </rPh>
    <rPh sb="30" eb="32">
      <t>チョウセイ</t>
    </rPh>
    <rPh sb="32" eb="33">
      <t>ナ</t>
    </rPh>
    <rPh sb="35" eb="37">
      <t>キニュウ</t>
    </rPh>
    <rPh sb="39" eb="42">
      <t>カクコウモク</t>
    </rPh>
    <rPh sb="46" eb="47">
      <t>レツ</t>
    </rPh>
    <rPh sb="48" eb="49">
      <t>ム</t>
    </rPh>
    <rPh sb="49" eb="51">
      <t>キニュウ</t>
    </rPh>
    <phoneticPr fontId="8"/>
  </si>
  <si>
    <t>ｺｰﾄﾞ</t>
  </si>
  <si>
    <t>作業</t>
  </si>
  <si>
    <t>運搬</t>
  </si>
  <si>
    <t>調整後単価</t>
    <rPh sb="0" eb="3">
      <t>チョウセイゴ</t>
    </rPh>
    <rPh sb="3" eb="4">
      <t>タン</t>
    </rPh>
    <rPh sb="4" eb="5">
      <t>アタイ</t>
    </rPh>
    <phoneticPr fontId="8"/>
  </si>
  <si>
    <t>total　</t>
    <phoneticPr fontId="8"/>
  </si>
  <si>
    <t>材料運搬重量</t>
    <rPh sb="0" eb="2">
      <t>ザイリョウ</t>
    </rPh>
    <rPh sb="2" eb="4">
      <t>ウンパン</t>
    </rPh>
    <rPh sb="4" eb="6">
      <t>ジュウリョウ</t>
    </rPh>
    <phoneticPr fontId="8"/>
  </si>
  <si>
    <t>小運搬重量（材料＋残材）</t>
    <phoneticPr fontId="8"/>
  </si>
  <si>
    <t>材料運搬重量</t>
    <phoneticPr fontId="8"/>
  </si>
  <si>
    <t>残材小運搬重量</t>
    <phoneticPr fontId="8"/>
  </si>
  <si>
    <t>EOL1</t>
    <phoneticPr fontId="8"/>
  </si>
  <si>
    <t>ｺﾝｸﾘｰﾄ</t>
    <phoneticPr fontId="8"/>
  </si>
  <si>
    <t>EOL2</t>
    <phoneticPr fontId="8"/>
  </si>
  <si>
    <t>※サンプルのため、数量内容は　適当に記載してます。</t>
    <rPh sb="9" eb="11">
      <t>スウリョウ</t>
    </rPh>
    <rPh sb="11" eb="13">
      <t>ナイヨウ</t>
    </rPh>
    <phoneticPr fontId="8"/>
  </si>
  <si>
    <t>※撤去と新設が混在しても小運搬は　重量さえいれてあれば機能します</t>
    <rPh sb="1" eb="3">
      <t>テッキョ</t>
    </rPh>
    <rPh sb="4" eb="6">
      <t>シンセツ</t>
    </rPh>
    <rPh sb="7" eb="9">
      <t>コンザイ</t>
    </rPh>
    <rPh sb="12" eb="13">
      <t>ショウ</t>
    </rPh>
    <rPh sb="13" eb="15">
      <t>ウンパン</t>
    </rPh>
    <phoneticPr fontId="8"/>
  </si>
  <si>
    <t>※施工、運搬時間は着色部のものになるため、内訳に異なる時間を入力した場合は小運搬の時間帯がおかしくなります。</t>
    <rPh sb="1" eb="3">
      <t>セコウ</t>
    </rPh>
    <rPh sb="4" eb="6">
      <t>ウンパン</t>
    </rPh>
    <rPh sb="6" eb="8">
      <t>ジカン</t>
    </rPh>
    <rPh sb="9" eb="11">
      <t>チャクショク</t>
    </rPh>
    <rPh sb="11" eb="12">
      <t>ブ</t>
    </rPh>
    <rPh sb="21" eb="23">
      <t>ウチワケ</t>
    </rPh>
    <rPh sb="24" eb="25">
      <t>コト</t>
    </rPh>
    <rPh sb="27" eb="29">
      <t>ジカン</t>
    </rPh>
    <rPh sb="30" eb="32">
      <t>ニュウリョク</t>
    </rPh>
    <rPh sb="34" eb="36">
      <t>バアイ</t>
    </rPh>
    <rPh sb="37" eb="38">
      <t>ショウ</t>
    </rPh>
    <rPh sb="38" eb="40">
      <t>ウンパン</t>
    </rPh>
    <rPh sb="41" eb="44">
      <t>ジカンタイ</t>
    </rPh>
    <phoneticPr fontId="8"/>
  </si>
  <si>
    <t>このページはメニューからページの削除で削除してから使用してください.</t>
    <phoneticPr fontId="8"/>
  </si>
  <si>
    <t>積込加算(ｽｸﾗｯﾌﾟ含む)</t>
  </si>
  <si>
    <t>残材車両積載重量</t>
  </si>
  <si>
    <t>残材車両積載重量(ｽｸﾗｯﾌﾟ)</t>
  </si>
  <si>
    <t>残材運搬車両積載重量(ｽｸﾗｯﾌﾟ)</t>
    <rPh sb="0" eb="1">
      <t>ザン</t>
    </rPh>
    <rPh sb="1" eb="2">
      <t>ザイ</t>
    </rPh>
    <rPh sb="2" eb="4">
      <t>ウンパン</t>
    </rPh>
    <rPh sb="4" eb="6">
      <t>シャリョウ</t>
    </rPh>
    <rPh sb="6" eb="8">
      <t>セキサイ</t>
    </rPh>
    <rPh sb="8" eb="10">
      <t>ジュウリョウ</t>
    </rPh>
    <phoneticPr fontId="8"/>
  </si>
  <si>
    <t>廃プラ
(ｱｽﾍﾞ)</t>
    <phoneticPr fontId="8"/>
  </si>
  <si>
    <t>両面用プリンターの名称</t>
    <rPh sb="0" eb="2">
      <t>リョウメン</t>
    </rPh>
    <rPh sb="2" eb="3">
      <t>ヨウ</t>
    </rPh>
    <rPh sb="9" eb="11">
      <t>メイショウ</t>
    </rPh>
    <phoneticPr fontId="8"/>
  </si>
  <si>
    <t>cells(2,11)</t>
    <phoneticPr fontId="8"/>
  </si>
  <si>
    <t>Brother HL-6050DN series (両面印刷用)</t>
    <phoneticPr fontId="8"/>
  </si>
  <si>
    <t>ｺﾝｸﾘｰﾄ</t>
    <phoneticPr fontId="8"/>
  </si>
  <si>
    <t>ｱｽﾌｧﾙﾄ</t>
    <phoneticPr fontId="8"/>
  </si>
  <si>
    <t>廃プラ</t>
    <phoneticPr fontId="8"/>
  </si>
  <si>
    <t>がれき</t>
    <phoneticPr fontId="8"/>
  </si>
  <si>
    <t>廃プラ
(ｱｽﾍﾞ)</t>
    <phoneticPr fontId="8"/>
  </si>
  <si>
    <t>石膏ボード（ｱｽﾍﾞ）</t>
    <rPh sb="0" eb="2">
      <t>セッコウ</t>
    </rPh>
    <phoneticPr fontId="8"/>
  </si>
  <si>
    <t>セメント板　　　（ｱｽﾍﾞ）</t>
    <rPh sb="4" eb="5">
      <t>バン</t>
    </rPh>
    <phoneticPr fontId="8"/>
  </si>
  <si>
    <t>ｽﾃﾝﾚｽ</t>
    <phoneticPr fontId="8"/>
  </si>
  <si>
    <t>アルミ</t>
    <phoneticPr fontId="8"/>
  </si>
  <si>
    <t>残材小運搬重量(全て含む)</t>
    <rPh sb="0" eb="1">
      <t>ザン</t>
    </rPh>
    <rPh sb="1" eb="2">
      <t>ザイ</t>
    </rPh>
    <rPh sb="2" eb="3">
      <t>コ</t>
    </rPh>
    <rPh sb="3" eb="5">
      <t>ウンパン</t>
    </rPh>
    <rPh sb="5" eb="7">
      <t>ジュウリョウ</t>
    </rPh>
    <rPh sb="8" eb="9">
      <t>スベ</t>
    </rPh>
    <phoneticPr fontId="8"/>
  </si>
  <si>
    <t>残材運搬車両積載重量(ｽｸﾗｯﾌﾟ・ｱｽﾍﾞ除く)</t>
    <rPh sb="0" eb="1">
      <t>ザン</t>
    </rPh>
    <rPh sb="1" eb="2">
      <t>ザイ</t>
    </rPh>
    <rPh sb="2" eb="4">
      <t>ウンパン</t>
    </rPh>
    <rPh sb="4" eb="6">
      <t>シャリョウ</t>
    </rPh>
    <rPh sb="6" eb="8">
      <t>セキサイ</t>
    </rPh>
    <rPh sb="8" eb="10">
      <t>ジュウリョウ</t>
    </rPh>
    <rPh sb="22" eb="23">
      <t>ノゾ</t>
    </rPh>
    <phoneticPr fontId="8"/>
  </si>
  <si>
    <t>残材運搬車両積載重量(ｱｽﾍﾞｽﾄ)</t>
    <rPh sb="0" eb="1">
      <t>ザン</t>
    </rPh>
    <rPh sb="1" eb="2">
      <t>ザイ</t>
    </rPh>
    <rPh sb="2" eb="4">
      <t>ウンパン</t>
    </rPh>
    <rPh sb="4" eb="6">
      <t>シャリョウ</t>
    </rPh>
    <rPh sb="6" eb="8">
      <t>セキサイ</t>
    </rPh>
    <rPh sb="8" eb="10">
      <t>ジュウリョウ</t>
    </rPh>
    <phoneticPr fontId="8"/>
  </si>
  <si>
    <t>残材車両積載重量（ｱｽﾍﾞｽﾄ）</t>
    <rPh sb="0" eb="2">
      <t>ザンザイ</t>
    </rPh>
    <rPh sb="2" eb="4">
      <t>シャリョウ</t>
    </rPh>
    <rPh sb="4" eb="6">
      <t>セキサイ</t>
    </rPh>
    <rPh sb="6" eb="8">
      <t>ジュウリョウ</t>
    </rPh>
    <phoneticPr fontId="8"/>
  </si>
  <si>
    <t>スクラップ</t>
    <phoneticPr fontId="8"/>
  </si>
  <si>
    <t>ガラス</t>
    <phoneticPr fontId="8"/>
  </si>
  <si>
    <t>セメン</t>
    <phoneticPr fontId="8"/>
  </si>
  <si>
    <t>ｱﾙﾐ</t>
    <phoneticPr fontId="8"/>
  </si>
  <si>
    <t>くず</t>
    <phoneticPr fontId="8"/>
  </si>
  <si>
    <t>ボード</t>
    <phoneticPr fontId="8"/>
  </si>
  <si>
    <t>　ト板</t>
    <phoneticPr fontId="8"/>
  </si>
  <si>
    <t>(ｱｽﾍﾞ)</t>
    <phoneticPr fontId="8"/>
  </si>
  <si>
    <t>（ｱｽﾍﾞ）</t>
    <phoneticPr fontId="8"/>
  </si>
  <si>
    <t>ｱｽﾍﾞ重量</t>
    <rPh sb="4" eb="6">
      <t>ジュウリョウ</t>
    </rPh>
    <phoneticPr fontId="8"/>
  </si>
  <si>
    <t>直接工事費</t>
    <rPh sb="0" eb="2">
      <t>チョクセツ</t>
    </rPh>
    <rPh sb="2" eb="5">
      <t>コウジヒ</t>
    </rPh>
    <phoneticPr fontId="8"/>
  </si>
  <si>
    <t>共通費</t>
    <rPh sb="0" eb="2">
      <t>キョウツウ</t>
    </rPh>
    <rPh sb="2" eb="3">
      <t>ヒ</t>
    </rPh>
    <phoneticPr fontId="8"/>
  </si>
  <si>
    <t>式</t>
    <rPh sb="0" eb="1">
      <t>シキ</t>
    </rPh>
    <phoneticPr fontId="8"/>
  </si>
  <si>
    <t>総内訳が２ﾍﾟｰｼﾞ以上になる場合、I２5ｾﾙに必要なﾍﾟｰｼﾞ数を記入。(3～15枚まで)</t>
    <rPh sb="0" eb="1">
      <t>ソウ</t>
    </rPh>
    <rPh sb="1" eb="3">
      <t>ウチワケショ</t>
    </rPh>
    <rPh sb="10" eb="12">
      <t>イジョウ</t>
    </rPh>
    <rPh sb="15" eb="17">
      <t>バアイ</t>
    </rPh>
    <rPh sb="24" eb="26">
      <t>ヒツヨウ</t>
    </rPh>
    <rPh sb="32" eb="33">
      <t>スウ</t>
    </rPh>
    <rPh sb="34" eb="36">
      <t>キニュウ</t>
    </rPh>
    <rPh sb="42" eb="43">
      <t>マイ</t>
    </rPh>
    <phoneticPr fontId="8"/>
  </si>
  <si>
    <t>工事種目</t>
    <rPh sb="0" eb="2">
      <t>コウジ</t>
    </rPh>
    <rPh sb="2" eb="4">
      <t>シュモク</t>
    </rPh>
    <phoneticPr fontId="8"/>
  </si>
  <si>
    <t>土木工事</t>
    <rPh sb="0" eb="2">
      <t>ドボク</t>
    </rPh>
    <rPh sb="2" eb="4">
      <t>コウジ</t>
    </rPh>
    <phoneticPr fontId="8"/>
  </si>
  <si>
    <t>プレハブ工事</t>
    <rPh sb="4" eb="6">
      <t>コウジ</t>
    </rPh>
    <phoneticPr fontId="8"/>
  </si>
  <si>
    <t>石工事</t>
    <rPh sb="0" eb="1">
      <t>イシ</t>
    </rPh>
    <rPh sb="1" eb="3">
      <t>コウジ</t>
    </rPh>
    <phoneticPr fontId="8"/>
  </si>
  <si>
    <t>屋根工事</t>
    <rPh sb="0" eb="2">
      <t>ヤネ</t>
    </rPh>
    <rPh sb="2" eb="4">
      <t>コウジ</t>
    </rPh>
    <phoneticPr fontId="8"/>
  </si>
  <si>
    <t>タイル工事</t>
    <rPh sb="3" eb="5">
      <t>コウジ</t>
    </rPh>
    <phoneticPr fontId="8"/>
  </si>
  <si>
    <t>水門・門扉工事</t>
    <rPh sb="0" eb="2">
      <t>スイモン</t>
    </rPh>
    <rPh sb="3" eb="5">
      <t>モンピ</t>
    </rPh>
    <rPh sb="5" eb="7">
      <t>コウジ</t>
    </rPh>
    <phoneticPr fontId="8"/>
  </si>
  <si>
    <t>ガラス工事</t>
    <rPh sb="3" eb="5">
      <t>コウジ</t>
    </rPh>
    <phoneticPr fontId="8"/>
  </si>
  <si>
    <t>塗装工事</t>
    <rPh sb="0" eb="2">
      <t>トソウ</t>
    </rPh>
    <rPh sb="2" eb="4">
      <t>コウジ</t>
    </rPh>
    <phoneticPr fontId="8"/>
  </si>
  <si>
    <t>防水工事</t>
    <rPh sb="0" eb="2">
      <t>ボウスイ</t>
    </rPh>
    <rPh sb="2" eb="4">
      <t>コウジ</t>
    </rPh>
    <phoneticPr fontId="8"/>
  </si>
  <si>
    <t>内装仕上げ工事</t>
    <rPh sb="0" eb="2">
      <t>ナイソウ</t>
    </rPh>
    <rPh sb="2" eb="4">
      <t>シア</t>
    </rPh>
    <rPh sb="5" eb="7">
      <t>コウジ</t>
    </rPh>
    <phoneticPr fontId="8"/>
  </si>
  <si>
    <t>建具工事</t>
    <rPh sb="0" eb="2">
      <t>タテグ</t>
    </rPh>
    <rPh sb="2" eb="4">
      <t>コウジ</t>
    </rPh>
    <phoneticPr fontId="8"/>
  </si>
  <si>
    <t>解体工事</t>
    <rPh sb="0" eb="2">
      <t>カイタイ</t>
    </rPh>
    <rPh sb="2" eb="4">
      <t>コウジ</t>
    </rPh>
    <phoneticPr fontId="8"/>
  </si>
  <si>
    <t>建築設備課付帯</t>
    <rPh sb="0" eb="2">
      <t>ケンチク</t>
    </rPh>
    <rPh sb="2" eb="4">
      <t>セツビ</t>
    </rPh>
    <rPh sb="4" eb="5">
      <t>カ</t>
    </rPh>
    <rPh sb="5" eb="7">
      <t>フタイ</t>
    </rPh>
    <phoneticPr fontId="8"/>
  </si>
  <si>
    <t>電気設計課付帯</t>
    <rPh sb="0" eb="2">
      <t>デンキ</t>
    </rPh>
    <rPh sb="2" eb="4">
      <t>セッケイ</t>
    </rPh>
    <rPh sb="4" eb="5">
      <t>カ</t>
    </rPh>
    <rPh sb="5" eb="7">
      <t>フタイ</t>
    </rPh>
    <phoneticPr fontId="8"/>
  </si>
  <si>
    <t>※専業工事の種目を選択</t>
    <rPh sb="1" eb="3">
      <t>センギョウ</t>
    </rPh>
    <rPh sb="3" eb="5">
      <t>コウジ</t>
    </rPh>
    <rPh sb="6" eb="8">
      <t>シュモク</t>
    </rPh>
    <rPh sb="9" eb="11">
      <t>センタク</t>
    </rPh>
    <phoneticPr fontId="8"/>
  </si>
  <si>
    <t>※物品契約の種目を選択</t>
    <rPh sb="1" eb="3">
      <t>ブッピン</t>
    </rPh>
    <rPh sb="3" eb="5">
      <t>ケイヤク</t>
    </rPh>
    <rPh sb="6" eb="8">
      <t>シュモク</t>
    </rPh>
    <rPh sb="9" eb="11">
      <t>センタク</t>
    </rPh>
    <phoneticPr fontId="8"/>
  </si>
  <si>
    <t>看板</t>
    <rPh sb="0" eb="2">
      <t>カンバン</t>
    </rPh>
    <phoneticPr fontId="8"/>
  </si>
  <si>
    <t>※業務委託の種目を選択</t>
    <rPh sb="1" eb="3">
      <t>ギョウム</t>
    </rPh>
    <rPh sb="3" eb="5">
      <t>イタク</t>
    </rPh>
    <rPh sb="6" eb="8">
      <t>シュモク</t>
    </rPh>
    <rPh sb="9" eb="11">
      <t>センタク</t>
    </rPh>
    <phoneticPr fontId="8"/>
  </si>
  <si>
    <t>機械設備等保守点検</t>
    <rPh sb="0" eb="2">
      <t>キカイ</t>
    </rPh>
    <rPh sb="2" eb="4">
      <t>セツビ</t>
    </rPh>
    <rPh sb="4" eb="5">
      <t>トウ</t>
    </rPh>
    <rPh sb="5" eb="7">
      <t>ホシュ</t>
    </rPh>
    <rPh sb="7" eb="9">
      <t>テンケン</t>
    </rPh>
    <phoneticPr fontId="8"/>
  </si>
  <si>
    <t>消防設備保守点検</t>
    <rPh sb="0" eb="2">
      <t>ショウボウ</t>
    </rPh>
    <rPh sb="2" eb="4">
      <t>セツビ</t>
    </rPh>
    <rPh sb="4" eb="6">
      <t>ホシュ</t>
    </rPh>
    <rPh sb="6" eb="8">
      <t>テンケン</t>
    </rPh>
    <phoneticPr fontId="8"/>
  </si>
  <si>
    <t>施設保守点検整備</t>
    <rPh sb="0" eb="2">
      <t>シセツ</t>
    </rPh>
    <rPh sb="2" eb="4">
      <t>ホシュ</t>
    </rPh>
    <rPh sb="4" eb="6">
      <t>テンケン</t>
    </rPh>
    <rPh sb="6" eb="8">
      <t>セイビ</t>
    </rPh>
    <phoneticPr fontId="8"/>
  </si>
  <si>
    <t>建物・構造物各種調査</t>
    <rPh sb="0" eb="2">
      <t>タテモノ</t>
    </rPh>
    <rPh sb="3" eb="6">
      <t>コウゾウブツ</t>
    </rPh>
    <rPh sb="6" eb="8">
      <t>カクシュ</t>
    </rPh>
    <rPh sb="8" eb="10">
      <t>チョウサ</t>
    </rPh>
    <phoneticPr fontId="8"/>
  </si>
  <si>
    <t>※測量・建設コンサル業務委託の種類を選択</t>
    <rPh sb="1" eb="3">
      <t>ソクリョウ</t>
    </rPh>
    <rPh sb="4" eb="6">
      <t>ケンセツ</t>
    </rPh>
    <rPh sb="10" eb="12">
      <t>ギョウム</t>
    </rPh>
    <rPh sb="12" eb="14">
      <t>イタク</t>
    </rPh>
    <rPh sb="15" eb="17">
      <t>シュルイ</t>
    </rPh>
    <rPh sb="18" eb="20">
      <t>センタク</t>
    </rPh>
    <phoneticPr fontId="8"/>
  </si>
  <si>
    <t>建築設計・監理（一級）</t>
    <rPh sb="0" eb="2">
      <t>ケンチク</t>
    </rPh>
    <rPh sb="2" eb="4">
      <t>セッケイ</t>
    </rPh>
    <rPh sb="5" eb="7">
      <t>カンリ</t>
    </rPh>
    <rPh sb="8" eb="9">
      <t>イチ</t>
    </rPh>
    <rPh sb="9" eb="10">
      <t>キュウ</t>
    </rPh>
    <phoneticPr fontId="8"/>
  </si>
  <si>
    <t>工　　事　　費　　内　　訳　　書</t>
    <rPh sb="6" eb="7">
      <t>ヒ</t>
    </rPh>
    <rPh sb="9" eb="10">
      <t>ウチ</t>
    </rPh>
    <rPh sb="12" eb="13">
      <t>ヤク</t>
    </rPh>
    <phoneticPr fontId="8"/>
  </si>
  <si>
    <t>費用</t>
    <rPh sb="0" eb="2">
      <t>ヒヨウ</t>
    </rPh>
    <phoneticPr fontId="8"/>
  </si>
  <si>
    <t>当該課確認</t>
    <rPh sb="0" eb="2">
      <t>トウガイ</t>
    </rPh>
    <rPh sb="2" eb="3">
      <t>カ</t>
    </rPh>
    <rPh sb="3" eb="5">
      <t>カクニン</t>
    </rPh>
    <phoneticPr fontId="8"/>
  </si>
  <si>
    <t>工事名称：</t>
  </si>
  <si>
    <t>工事価格</t>
    <rPh sb="0" eb="2">
      <t>コウジ</t>
    </rPh>
    <rPh sb="2" eb="4">
      <t>カカク</t>
    </rPh>
    <phoneticPr fontId="8"/>
  </si>
  <si>
    <t>合計</t>
    <rPh sb="0" eb="2">
      <t>ゴウケイ</t>
    </rPh>
    <phoneticPr fontId="8"/>
  </si>
  <si>
    <t>鉄有固-運送施設 土地-線路及び停車場用地</t>
  </si>
  <si>
    <t>鉄有固-運送施設 土地-変電所用地</t>
  </si>
  <si>
    <t>鉄有固-運送施設 土地-車庫及び工場用地</t>
  </si>
  <si>
    <t>鉄有固-運送施設 土地-倉庫用地</t>
  </si>
  <si>
    <t>鉄有固-運送施設 土地-事務所用地</t>
  </si>
  <si>
    <t>鉄有固-運送施設 土地-社宅及び寮用地</t>
  </si>
  <si>
    <t>鉄有固-運送施設 土地-雑用地</t>
  </si>
  <si>
    <t>鉄有固-運送施設 建物-鉄骨鉄筋コンクリート造又は鉄筋コンクリート造-停車場建物</t>
  </si>
  <si>
    <t>鉄有固-運送施設 建物-れんが造、石造又はブロック造-停車場建物</t>
  </si>
  <si>
    <t>鉄有固-運送施設 建物-金属造(骨格材の肉厚が4mm超)-停車場建物</t>
  </si>
  <si>
    <t>鉄有固-運送施設 建物-金属造(骨格材の肉厚が3mm超4mm以下)-停車場建物</t>
  </si>
  <si>
    <t>鉄有固-運送施設 建物-金属造(骨格材の肉厚が3mm以下)-停車場建物</t>
  </si>
  <si>
    <t>鉄有固-運送施設 建物-木造又は合成樹脂造-停車場建物</t>
  </si>
  <si>
    <t>鉄有固-運送施設 建物-木骨モルタル造-停車場建物</t>
  </si>
  <si>
    <t>鉄有固-運送施設 建物-簡易建物(木製主要柱が10cm角以下で土居、杉皮ぶき等)-停車場建物</t>
  </si>
  <si>
    <t>鉄有固-運送施設 建物-簡易建物(掘立造のもの及び仮設のもの)-停車場建物</t>
  </si>
  <si>
    <t>鉄有固-運送施設 建物付属設備-電気設備(照明設備を含む)-蓄電池電源設備-停車場建物</t>
  </si>
  <si>
    <t>鉄有固-運送施設 建物付属設備-電気設備(照明設備を含む)-その他のもの-停車場建物</t>
  </si>
  <si>
    <t>鉄有固-運送施設 建物付属設備-給排水又は衛生設備及びガス設備-停車場建物</t>
  </si>
  <si>
    <t>鉄有固-運送施設 建物付属設備-冷暖房・通風・ボイラー設備-22kw以下-停車場建物</t>
  </si>
  <si>
    <t>鉄有固-運送施設 建物付属設備-冷暖房・通風・ボイラー設備-その他のもの-停車場建物</t>
  </si>
  <si>
    <t>鉄有固-運送施設 建物付属設備-昇降機設備-エレベーター-停車場建物</t>
  </si>
  <si>
    <t>鉄有固-運送施設 建物付属設備-昇降機設備-エスカレーター-停車場建物</t>
  </si>
  <si>
    <t>鉄有固-運送施設 建物付属設備-消火・排煙・災害報知設備及び格納式避難設備-停車場建物</t>
  </si>
  <si>
    <t>鉄有固-運送施設 建物付属設備-エヤーカーテン又はドアー自動開閉設備-停車場建物</t>
  </si>
  <si>
    <t>鉄有固-運送施設 建物付属設備-アーケード又は日よけ設備-金属製-停車場建物</t>
  </si>
  <si>
    <t>鉄有固-運送施設 建物付属設備-アーケード又は日よけ設備-その他のもの-停車場建物</t>
  </si>
  <si>
    <t>鉄有固-運送施設 建物付属設備-店用簡易設備-停車場建物</t>
  </si>
  <si>
    <t>鉄有固-運送施設 建物付属設備-可動簡易装備-簡易なもの-停車場建物</t>
  </si>
  <si>
    <t>鉄有固-運送施設 建物付属設備-可動簡易装備-その他のもの-停車場建物</t>
  </si>
  <si>
    <t>鉄有固-運送施設 建物付属設備-前掲以外・前掲区分外-主として金属製のもの-停車場建物</t>
  </si>
  <si>
    <t>鉄有固-運送施設 建物付属設備-前掲以外・前掲区分外-その他のもの-停車場建物</t>
  </si>
  <si>
    <t>鉄有固-運送施設 建物-鉄骨鉄筋コンクリート造又は鉄筋コンクリート造-変電所建物</t>
  </si>
  <si>
    <t>鉄有固-運送施設 建物-れんが造、石造又はブロック造-変電所建物</t>
  </si>
  <si>
    <t>鉄有固-運送施設 建物-金属造(骨格材の肉厚が4mm超)-変電所建物</t>
  </si>
  <si>
    <t>鉄有固-運送施設 建物-金属造(骨格材の肉厚が3mm超4mm以下)-変電所建物</t>
  </si>
  <si>
    <t>鉄有固-運送施設 建物-金属造(骨格材の肉厚が3mm以下)-変電所建物</t>
  </si>
  <si>
    <t>鉄有固-運送施設 建物-木造又は合成樹脂造-変電所建物</t>
  </si>
  <si>
    <t>鉄有固-運送施設 建物-木骨モルタル造-変電所建物</t>
  </si>
  <si>
    <t>鉄有固-運送施設 建物-簡易建物(木製主要柱が10cm角以下で土居、杉皮ぶき等)-変電所建物</t>
  </si>
  <si>
    <t>鉄有固-運送施設 建物-簡易建物(掘立造のもの及び仮設のもの)-変電所建物</t>
  </si>
  <si>
    <t>鉄有固-運送施設 建物付属設備-電気設備(照明設備を含む)-蓄電池電源設備-変電所建物</t>
  </si>
  <si>
    <t>鉄有固-運送施設 建物付属設備-電気設備(照明設備を含む)-その他のもの-変電所建物</t>
  </si>
  <si>
    <t>鉄有固-運送施設 建物付属設備-給排水又は衛生設備及びガス設備-変電所建物</t>
  </si>
  <si>
    <t>鉄有固-運送施設 建物付属設備-冷暖房・通風・ボイラー設備-22kw以下-変電所建物</t>
  </si>
  <si>
    <t>鉄有固-運送施設 建物付属設備-冷暖房・通風・ボイラー設備-その他のもの-変電所建物</t>
  </si>
  <si>
    <t>鉄有固-運送施設 建物付属設備-昇降機設備-エレベーター-変電所建物</t>
  </si>
  <si>
    <t>鉄有固-運送施設 建物付属設備-昇降機設備-エスカレーター-変電所建物</t>
  </si>
  <si>
    <t>鉄有固-運送施設 建物付属設備-消火・排煙・災害報知設備及び格納式避難設備-変電所建物</t>
  </si>
  <si>
    <t>鉄有固-運送施設 建物付属設備-エヤーカーテン又はドアー自動開閉設備-変電所建物</t>
  </si>
  <si>
    <t>鉄有固-運送施設 建物付属設備-アーケード又は日よけ設備-金属製-変電所建物</t>
  </si>
  <si>
    <t>鉄有固-運送施設 建物付属設備-アーケード又は日よけ設備-その他のもの-変電所建物</t>
  </si>
  <si>
    <t>鉄有固-運送施設 建物付属設備-店用簡易設備-変電所建物</t>
  </si>
  <si>
    <t>鉄有固-運送施設 建物付属設備-可動簡易装備-簡易なもの-変電所建物</t>
  </si>
  <si>
    <t>鉄有固-運送施設 建物付属設備-可動簡易装備-その他のもの-変電所建物</t>
  </si>
  <si>
    <t>鉄有固-運送施設 建物付属設備-前掲以外・前掲区分外-主として金属製のもの-変電所建物</t>
  </si>
  <si>
    <t>鉄有固-運送施設 建物付属設備-前掲以外・前掲区分外-その他のもの-変電所建物</t>
  </si>
  <si>
    <t>鉄有固-運送施設 建物-鉄骨鉄筋コンクリート造又は鉄筋コンクリート造-車庫・工場</t>
  </si>
  <si>
    <t>鉄有固-運送施設 建物-れんが造、石造又はブロック造-車庫・工場</t>
  </si>
  <si>
    <t>鉄有固-運送施設 建物-金属造(骨格材の肉厚が4mm超)-車庫・工場</t>
  </si>
  <si>
    <t>鉄有固-運送施設 建物-金属造(骨格材の肉厚が3mm超4mm以下)-車庫・工場</t>
  </si>
  <si>
    <t>鉄有固-運送施設 建物-金属造(骨格材の肉厚が3mm以下)-車庫・工場</t>
  </si>
  <si>
    <t>鉄有固-運送施設 建物-木造又は合成樹脂造-車庫・工場</t>
  </si>
  <si>
    <t>鉄有固-運送施設 建物-木骨モルタル造-車庫・工場</t>
  </si>
  <si>
    <t>鉄有固-運送施設 建物-簡易建物(木製主要柱が10cm角以下で土居、杉皮ぶき等)-車庫・工場</t>
  </si>
  <si>
    <t>鉄有固-運送施設 建物-簡易建物(掘立造のもの及び仮設のもの)-車庫・工場</t>
  </si>
  <si>
    <t>鉄有固-運送施設 建物付属設備-電気設備(照明設備を含む)-蓄電池電源設備-車庫・工場</t>
  </si>
  <si>
    <t>鉄有固-運送施設 建物付属設備-電気設備(照明設備を含む)-その他のもの-車庫・工場</t>
  </si>
  <si>
    <t>鉄有固-運送施設 建物付属設備-給排水又は衛生設備及びガス設備-車庫・工場</t>
  </si>
  <si>
    <t>鉄有固-運送施設 建物付属設備-冷暖房・通風・ボイラー設備-22kw以下-車庫・工場</t>
  </si>
  <si>
    <t>鉄有固-運送施設 建物付属設備-冷暖房・通風・ボイラー設備-その他のもの-車庫・工場</t>
  </si>
  <si>
    <t>鉄有固-運送施設 建物付属設備-昇降機設備-エレベーター-車庫・工場</t>
  </si>
  <si>
    <t>鉄有固-運送施設 建物付属設備-昇降機設備-エスカレーター-車庫・工場</t>
  </si>
  <si>
    <t>鉄有固-運送施設 建物付属設備-消火・排煙・災害報知設備及び格納式避難設備-車庫・工場</t>
  </si>
  <si>
    <t>鉄有固-運送施設 建物付属設備-エヤーカーテン又はドアー自動開閉設備-車庫・工場</t>
  </si>
  <si>
    <t>鉄有固-運送施設 建物付属設備-アーケード又は日よけ設備-金属製-車庫・工場</t>
  </si>
  <si>
    <t>鉄有固-運送施設 建物付属設備-アーケード又は日よけ設備-その他のもの-車庫・工場</t>
  </si>
  <si>
    <t>鉄有固-運送施設 建物付属設備-店用簡易設備-車庫・工場</t>
  </si>
  <si>
    <t>鉄有固-運送施設 建物付属設備-可動簡易装備-簡易なもの-車庫・工場</t>
  </si>
  <si>
    <t>鉄有固-運送施設 建物付属設備-可動簡易装備-その他のもの-車庫・工場</t>
  </si>
  <si>
    <t>鉄有固-運送施設 建物付属設備-前掲以外・前掲区分外-主として金属製のもの-車庫・工場</t>
  </si>
  <si>
    <t>鉄有固-運送施設 建物付属設備-前掲以外・前掲区分外-その他のもの-車庫・工場</t>
  </si>
  <si>
    <t>鉄有固-運送施設 建物-鉄骨鉄筋コンクリート造又は鉄筋コンクリート造-倉庫建物</t>
  </si>
  <si>
    <t>鉄有固-運送施設 建物-れんが造、石造又はブロック造-倉庫建物</t>
  </si>
  <si>
    <t>鉄有固-運送施設 建物-金属造(骨格材の肉厚が4mm超)-倉庫建物</t>
  </si>
  <si>
    <t>鉄有固-運送施設 建物-金属造(骨格材の肉厚が3mm超4mm以下)-倉庫建物</t>
  </si>
  <si>
    <t>鉄有固-運送施設 建物-金属造(骨格材の肉厚が3mm以下)-倉庫建物</t>
  </si>
  <si>
    <t>鉄有固-運送施設 建物-木造又は合成樹脂造-倉庫建物</t>
  </si>
  <si>
    <t>鉄有固-運送施設 建物-木骨モルタル造-倉庫建物</t>
  </si>
  <si>
    <t>鉄有固-運送施設 建物-簡易建物(木製主要柱が10cm角以下で土居、杉皮ぶき等)-倉庫建物</t>
  </si>
  <si>
    <t>鉄有固-運送施設 建物-簡易建物(掘立造のもの及び仮設のもの)-倉庫建物</t>
  </si>
  <si>
    <t>鉄有固-運送施設 建物付属設備-電気設備(照明設備を含む)-蓄電池電源設備-倉庫建物</t>
  </si>
  <si>
    <t>鉄有固-運送施設 建物付属設備-電気設備(照明設備を含む)-その他のもの-倉庫建物</t>
  </si>
  <si>
    <t>鉄有固-運送施設 建物付属設備-給排水又は衛生設備及びガス設備-倉庫建物</t>
  </si>
  <si>
    <t>鉄有固-運送施設 建物付属設備-冷暖房・通風・ボイラー設備-22kw以下-倉庫建物</t>
  </si>
  <si>
    <t>鉄有固-運送施設 建物付属設備-冷暖房・通風・ボイラー設備-その他のもの-倉庫建物</t>
  </si>
  <si>
    <t>鉄有固-運送施設 建物付属設備-昇降機設備-エレベーター-倉庫建物</t>
  </si>
  <si>
    <t>鉄有固-運送施設 建物付属設備-昇降機設備-エスカレーター-倉庫建物</t>
  </si>
  <si>
    <t>鉄有固-運送施設 建物付属設備-消火・排煙・災害報知設備及び格納式避難設備-倉庫建物</t>
  </si>
  <si>
    <t>鉄有固-運送施設 建物付属設備-エヤーカーテン又はドアー自動開閉設備-倉庫建物</t>
  </si>
  <si>
    <t>鉄有固-運送施設 建物付属設備-アーケード又は日よけ設備-金属製-倉庫建物</t>
  </si>
  <si>
    <t>鉄有固-運送施設 建物付属設備-アーケード又は日よけ設備-その他のもの-倉庫建物</t>
  </si>
  <si>
    <t>鉄有固-運送施設 建物付属設備-店用簡易設備-倉庫建物</t>
  </si>
  <si>
    <t>鉄有固-運送施設 建物付属設備-可動簡易装備-簡易なもの-倉庫建物</t>
  </si>
  <si>
    <t>鉄有固-運送施設 建物付属設備-可動簡易装備-その他のもの-倉庫建物</t>
  </si>
  <si>
    <t>鉄有固-運送施設 建物付属設備-前掲以外・前掲区分外-主として金属製のもの-倉庫建物</t>
  </si>
  <si>
    <t>鉄有固-運送施設 建物付属設備-前掲以外・前掲区分外-その他のもの-倉庫建物</t>
  </si>
  <si>
    <t>鉄有固-運送施設 建物-鉄骨鉄筋コンクリート造又は鉄筋コンクリート造-詰所建物</t>
  </si>
  <si>
    <t>鉄有固-運送施設 建物-れんが造、石造又はブロック造-詰所建物</t>
  </si>
  <si>
    <t>鉄有固-運送施設 建物-金属造(骨格材の肉厚が4mm超)-詰所建物</t>
  </si>
  <si>
    <t>鉄有固-運送施設 建物-金属造(骨格材の肉厚が3mm超4mm以下)-詰所建物</t>
  </si>
  <si>
    <t>鉄有固-運送施設 建物-金属造(骨格材の肉厚が3mm以下)-詰所建物</t>
  </si>
  <si>
    <t>鉄有固-運送施設 建物-木造又は合成樹脂造-詰所建物</t>
  </si>
  <si>
    <t>鉄有固-運送施設 建物-木骨モルタル造-詰所建物</t>
  </si>
  <si>
    <t>鉄有固-運送施設 建物-簡易建物(木製主要柱が10cm角以下で土居、杉皮ぶき等)-詰所建物</t>
  </si>
  <si>
    <t>鉄有固-運送施設 建物-簡易建物(掘立造のもの及び仮設のもの)-詰所建物</t>
  </si>
  <si>
    <t>鉄有固-運送施設 建物付属設備-電気設備(照明設備を含む)-蓄電池電源設備-詰所建物</t>
  </si>
  <si>
    <t>鉄有固-運送施設 建物付属設備-電気設備(照明設備を含む)-その他のもの-詰所建物</t>
  </si>
  <si>
    <t>鉄有固-運送施設 建物付属設備-給排水又は衛生設備及びガス設備-詰所建物</t>
  </si>
  <si>
    <t>鉄有固-運送施設 建物付属設備-冷暖房・通風・ボイラー設備-22kw以下-詰所建物</t>
  </si>
  <si>
    <t>鉄有固-運送施設 建物付属設備-冷暖房・通風・ボイラー設備-その他のもの-詰所建物</t>
  </si>
  <si>
    <t>鉄有固-運送施設 建物付属設備-昇降機設備-エレベーター-詰所建物</t>
  </si>
  <si>
    <t>鉄有固-運送施設 建物付属設備-昇降機設備-エスカレーター-詰所建物</t>
  </si>
  <si>
    <t>鉄有固-運送施設 建物付属設備-消火・排煙・災害報知設備及び格納式避難設備-詰所建物</t>
  </si>
  <si>
    <t>鉄有固-運送施設 建物付属設備-エヤーカーテン又はドアー自動開閉設備-詰所建物</t>
  </si>
  <si>
    <t>鉄有固-運送施設 建物付属設備-アーケード又は日よけ設備-金属製-詰所建物</t>
  </si>
  <si>
    <t>鉄有固-運送施設 建物付属設備-アーケード又は日よけ設備-その他のもの-詰所建物</t>
  </si>
  <si>
    <t>鉄有固-運送施設 建物付属設備-店用簡易設備-詰所建物</t>
  </si>
  <si>
    <t>鉄有固-運送施設 建物付属設備-可動簡易装備-簡易なもの-詰所建物</t>
  </si>
  <si>
    <t>鉄有固-運送施設 建物付属設備-可動簡易装備-その他のもの-詰所建物</t>
  </si>
  <si>
    <t>鉄有固-運送施設 建物付属設備-前掲以外・前掲区分外-主として金属製のもの-詰所建物</t>
  </si>
  <si>
    <t>鉄有固-運送施設 建物付属設備-前掲以外・前掲区分外-その他のもの-詰所建物</t>
  </si>
  <si>
    <t>鉄有固-運送施設 建物-鉄骨鉄筋コンクリート造又は鉄筋コンクリート造-事務所建物</t>
  </si>
  <si>
    <t>鉄有固-運送施設 建物-れんが造、石造又はブロック造-事務所建物</t>
  </si>
  <si>
    <t>鉄有固-運送施設 建物-金属造(骨格材の肉厚が4mm超)-事務所建物</t>
  </si>
  <si>
    <t>鉄有固-運送施設 建物-金属造(骨格材の肉厚が3mm超4mm以下)-事務所建物</t>
  </si>
  <si>
    <t>鉄有固-運送施設 建物-金属造(骨格材の肉厚が3mm以下)-事務所建物</t>
  </si>
  <si>
    <t>鉄有固-運送施設 建物-木造又は合成樹脂造-事務所建物</t>
  </si>
  <si>
    <t>鉄有固-運送施設 建物-木骨モルタル造-事務所建物</t>
  </si>
  <si>
    <t>鉄有固-運送施設 建物-簡易建物(木製主要柱が10cm角以下で土居、杉皮ぶき等)-事務所建物</t>
  </si>
  <si>
    <t>鉄有固-運送施設 建物-簡易建物(掘立造のもの及び仮設のもの)-事務所建物</t>
  </si>
  <si>
    <t>鉄有固-運送施設 建物付属設備-電気設備(照明設備を含む)-蓄電池電源設備-事務所建物</t>
  </si>
  <si>
    <t>鉄有固-運送施設 建物付属設備-電気設備(照明設備を含む)-その他のもの-事務所建物</t>
  </si>
  <si>
    <t>鉄有固-運送施設 建物付属設備-給排水又は衛生設備及びガス設備-事務所建物</t>
  </si>
  <si>
    <t>鉄有固-運送施設 建物付属設備-冷暖房・通風・ボイラー設備-22kw以下-事務所建物</t>
  </si>
  <si>
    <t>鉄有固-運送施設 建物付属設備-冷暖房・通風・ボイラー設備-その他のもの-事務所建物</t>
  </si>
  <si>
    <t>鉄有固-運送施設 建物付属設備-昇降機設備-エレベーター-事務所建物</t>
  </si>
  <si>
    <t>鉄有固-運送施設 建物付属設備-昇降機設備-エスカレーター-事務所建物</t>
  </si>
  <si>
    <t>鉄有固-運送施設 建物付属設備-消火・排煙・災害報知設備及び格納式避難設備-事務所建物</t>
  </si>
  <si>
    <t>鉄有固-運送施設 建物付属設備-エヤーカーテン又はドアー自動開閉設備-事務所建物</t>
  </si>
  <si>
    <t>鉄有固-運送施設 建物付属設備-アーケード又は日よけ設備-金属製-事務所建物</t>
  </si>
  <si>
    <t>鉄有固-運送施設 建物付属設備-アーケード又は日よけ設備-その他のもの-事務所建物</t>
  </si>
  <si>
    <t>鉄有固-運送施設 建物付属設備-店用簡易設備-事務所建物</t>
  </si>
  <si>
    <t>鉄有固-運送施設 建物付属設備-可動簡易装備-簡易なもの-事務所建物</t>
  </si>
  <si>
    <t>鉄有固-運送施設 建物付属設備-可動簡易装備-その他のもの-事務所建物</t>
  </si>
  <si>
    <t>鉄有固-運送施設 建物付属設備-前掲以外・前掲区分外-主として金属製のもの-事務所建物</t>
  </si>
  <si>
    <t>鉄有固-運送施設 建物付属設備-前掲以外・前掲区分外-その他のもの-事務所建物</t>
  </si>
  <si>
    <t>鉄有固-運送施設 建物-鉄骨鉄筋コンクリート造又は鉄筋コンクリート造-社宅・寮建物</t>
  </si>
  <si>
    <t>鉄有固-運送施設 建物-れんが造、石造又はブロック造-社宅・寮建物</t>
  </si>
  <si>
    <t>鉄有固-運送施設 建物-金属造(骨格材の肉厚が4mm超)-社宅・寮建物</t>
  </si>
  <si>
    <t>鉄有固-運送施設 建物-金属造(骨格材の肉厚が3mm超4mm以下)-社宅・寮建物</t>
  </si>
  <si>
    <t>鉄有固-運送施設 建物-金属造(骨格材の肉厚が3mm以下)-社宅・寮建物</t>
  </si>
  <si>
    <t>鉄有固-運送施設 建物-木造又は合成樹脂造-社宅・寮建物</t>
  </si>
  <si>
    <t>鉄有固-運送施設 建物-木骨モルタル造-社宅・寮建物</t>
  </si>
  <si>
    <t>鉄有固-運送施設 建物-簡易建物(木製主要柱が10cm角以下で土居、杉皮ぶき等)-社宅・寮建物</t>
  </si>
  <si>
    <t>鉄有固-運送施設 建物-簡易建物(掘立造のもの及び仮設のもの)-社宅・寮建物</t>
  </si>
  <si>
    <t>鉄有固-運送施設 建物付属設備-電気設備(照明設備を含む)-蓄電池電源設備-社宅・寮建物</t>
  </si>
  <si>
    <t>鉄有固-運送施設 建物付属設備-電気設備(照明設備を含む)-その他のもの-社宅・寮建物</t>
  </si>
  <si>
    <t>鉄有固-運送施設 建物付属設備-給排水又は衛生設備及びガス設備-社宅・寮建物</t>
  </si>
  <si>
    <t>鉄有固-運送施設 建物付属設備-冷暖房・通風・ボイラー設備-22kw以下-社宅・寮建物</t>
  </si>
  <si>
    <t>鉄有固-運送施設 建物付属設備-冷暖房・通風・ボイラー設備-その他のもの-社宅・寮建物</t>
  </si>
  <si>
    <t>鉄有固-運送施設 建物付属設備-昇降機設備-エレベーター-社宅・寮建物</t>
  </si>
  <si>
    <t>鉄有固-運送施設 建物付属設備-昇降機設備-エスカレーター-社宅・寮建物</t>
  </si>
  <si>
    <t>鉄有固-運送施設 建物付属設備-消火・排煙・災害報知設備及び格納式避難設備-社宅・寮建物</t>
  </si>
  <si>
    <t>鉄有固-運送施設 建物付属設備-エヤーカーテン又はドアー自動開閉設備-社宅・寮建物</t>
  </si>
  <si>
    <t>鉄有固-運送施設 建物付属設備-アーケード又は日よけ設備-金属製-社宅・寮建物</t>
  </si>
  <si>
    <t>鉄有固-運送施設 建物付属設備-アーケード又は日よけ設備-その他のもの-社宅・寮建物</t>
  </si>
  <si>
    <t>鉄有固-運送施設 建物付属設備-店用簡易設備-社宅・寮建物</t>
  </si>
  <si>
    <t>鉄有固-運送施設 建物付属設備-可動簡易装備-簡易なもの-社宅・寮建物</t>
  </si>
  <si>
    <t>鉄有固-運送施設 建物付属設備-可動簡易装備-その他のもの-社宅・寮建物</t>
  </si>
  <si>
    <t>鉄有固-運送施設 建物付属設備-前掲以外・前掲区分外-主として金属製のもの-社宅・寮建物</t>
  </si>
  <si>
    <t>鉄有固-運送施設 建物付属設備-前掲以外・前掲区分外-その他のもの-社宅・寮建物</t>
  </si>
  <si>
    <t>鉄有固-運送施設 建物-雑建物-定額50年</t>
  </si>
  <si>
    <t>鉄有固-運送施設 建物-雑建物-定額47年</t>
  </si>
  <si>
    <t>鉄有固-運送施設 建物-雑建物-定額41年</t>
  </si>
  <si>
    <t>鉄有固-運送施設 建物-雑建物-定額39年</t>
  </si>
  <si>
    <t>鉄有固-運送施設 建物-雑建物-定額38年</t>
  </si>
  <si>
    <t>鉄有固-運送施設 建物-雑建物-定額36年</t>
  </si>
  <si>
    <t>鉄有固-運送施設 建物-雑建物-定額34年</t>
  </si>
  <si>
    <t>鉄有固-運送施設 建物-雑建物-定額31年</t>
  </si>
  <si>
    <t>鉄有固-運送施設 建物-雑建物-定額30年</t>
  </si>
  <si>
    <t>鉄有固-運送施設 建物-雑建物-定額29年</t>
  </si>
  <si>
    <t>鉄有固-運送施設 建物-雑建物-定額28年</t>
  </si>
  <si>
    <t>鉄有固-運送施設 建物-雑建物-定額27年</t>
  </si>
  <si>
    <t>鉄有固-運送施設 建物-雑建物-定額26年</t>
  </si>
  <si>
    <t>鉄有固-運送施設 建物-雑建物-定額25年</t>
  </si>
  <si>
    <t>鉄有固-運送施設 建物-雑建物-定額24年</t>
  </si>
  <si>
    <t>鉄有固-運送施設 建物-雑建物-定額22年</t>
  </si>
  <si>
    <t>鉄有固-運送施設 建物-雑建物-定額21年</t>
  </si>
  <si>
    <t>鉄有固-運送施設 建物-雑建物-定額20年</t>
  </si>
  <si>
    <t>鉄有固-運送施設 建物-雑建物-定額19年</t>
  </si>
  <si>
    <t>鉄有固-運送施設 建物-雑建物-定額17年</t>
  </si>
  <si>
    <t>鉄有固-運送施設 建物-雑建物-定額15年</t>
  </si>
  <si>
    <t>鉄有固-運送施設 建物-雑建物-定額14年</t>
  </si>
  <si>
    <t>鉄有固-運送施設 建物-雑建物-定額12年</t>
  </si>
  <si>
    <t>鉄有固-運送施設 建物-雑建物-定額11年</t>
  </si>
  <si>
    <t>鉄有固-運送施設 建物-雑建物-定額10年</t>
  </si>
  <si>
    <t>鉄有固-運送施設 建物-雑建物-定額09年</t>
  </si>
  <si>
    <t>鉄有固-運送施設 建物-雑建物-定額07年</t>
  </si>
  <si>
    <t>鉄有固-運送施設 建物付属設備-電気設備(照明設備を含む)-蓄電池電源設備-雑建物</t>
  </si>
  <si>
    <t>鉄有固-運送施設 建物付属設備-電気設備(照明設備を含む)-その他のもの-雑建物</t>
  </si>
  <si>
    <t>鉄有固-運送施設 建物付属設備-給排水又は衛生設備及びガス設備-雑建物</t>
  </si>
  <si>
    <t>鉄有固-運送施設 建物付属設備-冷暖房・通風・ボイラー設備-22kw以下-雑建物</t>
  </si>
  <si>
    <t>鉄有固-運送施設 建物付属設備-冷暖房・通風・ボイラー設備-その他のもの-雑建物</t>
  </si>
  <si>
    <t>鉄有固-運送施設 建物付属設備-昇降機設備-エレベーター-雑建物</t>
  </si>
  <si>
    <t>鉄有固-運送施設 建物付属設備-昇降機設備-エスカレーター-雑建物</t>
  </si>
  <si>
    <t>鉄有固-運送施設 建物付属設備-消火・排煙・災害報知設備及び格納式避難設備-雑建物</t>
  </si>
  <si>
    <t>鉄有固-運送施設 建物付属設備-エヤーカーテン又はドアー自動開閉設備-雑建物</t>
  </si>
  <si>
    <t>鉄有固-運送施設 建物付属設備-アーケード又は日よけ設備-金属製-雑建物</t>
  </si>
  <si>
    <t>鉄有固-運送施設 建物付属設備-アーケード又は日よけ設備-その他のもの-雑建物</t>
  </si>
  <si>
    <t>鉄有固-運送施設 建物付属設備-店用簡易設備-雑建物</t>
  </si>
  <si>
    <t>鉄有固-運送施設 建物付属設備-可動簡易装備-簡易なもの-雑建物</t>
  </si>
  <si>
    <t>鉄有固-運送施設 建物付属設備-可動簡易装備-その他のもの-雑建物</t>
  </si>
  <si>
    <t>鉄有固-運送施設 建物付属設備-前掲以外・前掲区分外-主として金属製のもの-雑建物</t>
  </si>
  <si>
    <t>鉄有固-運送施設 建物付属設備-前掲以外・前掲区分外-その他のもの-雑建物</t>
  </si>
  <si>
    <t>鉄有固-構築物-軌道-レール及び附属品</t>
  </si>
  <si>
    <t>鉄有固-構築物-軌道-分岐器</t>
  </si>
  <si>
    <t>鉄有固-構築物-軌道-まくら木(木製)</t>
  </si>
  <si>
    <t>鉄有固-構築物-軌道-まくら木(コンクリート製)</t>
  </si>
  <si>
    <t>鉄有固-構築物-軌道-まくら木(金属製)</t>
  </si>
  <si>
    <t>鉄有固-構築物-軌道-道床</t>
  </si>
  <si>
    <t>鉄有固-構築物-軌道-舗装</t>
  </si>
  <si>
    <t>鉄有固-構築物-軌道-諸標及び車止め</t>
  </si>
  <si>
    <t>鉄有固-構築物-土工-線路切取</t>
  </si>
  <si>
    <t>鉄有固-構築物-土工-線路築堤</t>
  </si>
  <si>
    <t>鉄有固-構築物-土工-川道付替</t>
  </si>
  <si>
    <t>鉄有固-構築物-土工-土留め</t>
  </si>
  <si>
    <t>鉄有固-構築物-橋りょう-鉄筋コンクリート造り</t>
  </si>
  <si>
    <t>鉄有固-構築物-橋りょう-鉄骨造り</t>
  </si>
  <si>
    <t>鉄有固-構築物-高架橋-鉄筋コンクリート造り</t>
  </si>
  <si>
    <t>鉄有固-構築物-トンネル-鉄筋コンクリート造り</t>
  </si>
  <si>
    <t>鉄有固-構築物-排水設備</t>
  </si>
  <si>
    <t>鉄有固-構築物-機械保安設備-機械信号機</t>
  </si>
  <si>
    <t>鉄有固-構築物-機械保安設備-諸設備</t>
  </si>
  <si>
    <t>鉄有固-構築物-プラットホーム及び積卸し場</t>
  </si>
  <si>
    <t>鉄有固-構築物-地下道</t>
  </si>
  <si>
    <t>鉄有固-構築物-通信線</t>
  </si>
  <si>
    <t>鉄有固-構築物-電話機</t>
  </si>
  <si>
    <t>鉄有固-構築物-電気時計</t>
  </si>
  <si>
    <t>鉄有固-構築物-拡声装置</t>
  </si>
  <si>
    <t>鉄有固-構築物-通信諸設備</t>
  </si>
  <si>
    <t>鉄有固-構築物-信号線</t>
  </si>
  <si>
    <t>鉄有固-構築物-閉そく装置</t>
  </si>
  <si>
    <t>鉄有固-構築物-電気信号機</t>
  </si>
  <si>
    <t>鉄有固-構築物-連動機</t>
  </si>
  <si>
    <t>鉄有固-構築物-転てつ器</t>
  </si>
  <si>
    <t>鉄有固-構築物-自動列車制御装置</t>
  </si>
  <si>
    <t>鉄有固-構築物-自動列車運転装置</t>
  </si>
  <si>
    <t>鉄有固-構築物-列車集中制御装置</t>
  </si>
  <si>
    <t>鉄有固-構築物-自動列車進路制御装置</t>
  </si>
  <si>
    <t>鉄有固-構築物-電気保安諸設備</t>
  </si>
  <si>
    <t>鉄有固-構築物-送電線</t>
  </si>
  <si>
    <t>鉄有固-構築物-配電線</t>
  </si>
  <si>
    <t>鉄有固-構築物-き電線</t>
  </si>
  <si>
    <t>鉄有固-構築物-電車線</t>
  </si>
  <si>
    <t>鉄有固-構築物-サードレール</t>
  </si>
  <si>
    <t>鉄有固-構築物-帰線ボンド</t>
  </si>
  <si>
    <t>鉄有固-構築物-電灯電力線</t>
  </si>
  <si>
    <t>鉄有固-構築物-電力線諸設備</t>
  </si>
  <si>
    <t>鉄有固-構築物-支持物-鉄柱及びコンクリート柱</t>
  </si>
  <si>
    <t>鉄有固-構築物-支持物-木柱</t>
  </si>
  <si>
    <t>鉄有固-構築物-支持物-その他の支持物(電柱及び腕木を除く)</t>
  </si>
  <si>
    <t>鉄有固-構築物-支持物-その他の支持物(腕木を含む)</t>
  </si>
  <si>
    <t>鉄有固-構築物-車庫工場</t>
  </si>
  <si>
    <t>鉄有固-構築物-変電所</t>
  </si>
  <si>
    <t>鉄有固-構築物-転、遷車台</t>
  </si>
  <si>
    <t>鉄有固-構築物-給油設備</t>
  </si>
  <si>
    <t>鉄有固-構築物-検車洗浄設備</t>
  </si>
  <si>
    <t>鉄有固-構築物-雑構築物</t>
  </si>
  <si>
    <t>鉄有固-車両-電動客車</t>
  </si>
  <si>
    <t>鉄有固-車両-制御客車</t>
  </si>
  <si>
    <t>鉄有固-車両-付随客車</t>
  </si>
  <si>
    <t>鉄有固-車両-特殊車両-線路建設保守用工作車</t>
  </si>
  <si>
    <t>鉄有固-機械装置-変電所機械</t>
  </si>
  <si>
    <t>鉄有固-機械装置-通信機械-交換設備</t>
  </si>
  <si>
    <t>鉄有固-機械装置-通信機械-無線設備</t>
  </si>
  <si>
    <t>鉄有固-機械装置-通信機械-搬送設備</t>
  </si>
  <si>
    <t>鉄有固-機械装置-通信機械-諸設備</t>
  </si>
  <si>
    <t>鉄有固-機械装置-停車場機械-その他の設備(主として金属製のもの)</t>
  </si>
  <si>
    <t>鉄有固-機械装置-停車場機械-その他の設備(その他のもの)</t>
  </si>
  <si>
    <t>鉄有固-機械装置-停車場機械-自動改札装置</t>
  </si>
  <si>
    <t>鉄有固-機械装置-工場機械</t>
  </si>
  <si>
    <t>鉄有固-機械装置-雑機械-その他の設備(主として金属製のもの)</t>
  </si>
  <si>
    <t>鉄有固-機械装置-雑機械-その他の設備(その他のもの)</t>
  </si>
  <si>
    <t>鉄有固-工具器具及び備品-工器備-測定工具・検査工具(電気・電子を利用するものを含む)</t>
  </si>
  <si>
    <t>鉄有固-工具器具及び備品-工器備-治具及び取付工具</t>
  </si>
  <si>
    <t>鉄有固-工具器具及び備品-工器備-ロール-金属圧延用のもの</t>
  </si>
  <si>
    <t>鉄有固-工具器具及び備品-工器備-ロール-なつ染・粉砕・混錬ロールその他のもの</t>
  </si>
  <si>
    <t>鉄有固-工具器具及び備品-工器備-型・鍛圧・打抜工具-ガラス成型用金型及び鋳造用型</t>
  </si>
  <si>
    <t>鉄有固-工具器具及び備品-工器備-型・鍛圧・打抜工具-その他のもの</t>
  </si>
  <si>
    <t>鉄有固-工具器具及び備品-工器備-切削工具</t>
  </si>
  <si>
    <t>鉄有固-工具器具及び備品-工器備-金属製柱及びカッペ</t>
  </si>
  <si>
    <t>鉄有固-工具器具及び備品-工器備-活字・活字に常用される金属-購入活字</t>
  </si>
  <si>
    <t>鉄有固-工具器具及び備品-工器備-活字・活字に常用される金属-自製活字</t>
  </si>
  <si>
    <t>鉄有固-工具器具及び備品-工器備-前掲以外-白金ノズル</t>
  </si>
  <si>
    <t>鉄有固-工具器具及び備品-工器備-前掲以外-その他のもの</t>
  </si>
  <si>
    <t>鉄有固-工具器具及び備品-工器備-前掲区分外-白金ノズル</t>
  </si>
  <si>
    <t>鉄有固-工具器具及び備品-工器備-前掲区分外-その他の主として金属製のもの</t>
  </si>
  <si>
    <t>鉄有固-工具器具及び備品-工器備-前掲区分外-その他のもの</t>
  </si>
  <si>
    <t>鉄有固-工具器具及び備品-工器備-家具・電気・ガス・家庭用品-事務机・いす(金属)</t>
  </si>
  <si>
    <t>鉄有固-工具器具及び備品-工器備-家具・電気・ガス・家庭用品-事務机・いす(その他)</t>
  </si>
  <si>
    <t>鉄有固-工具器具及び備品-工器備-家具・電気・ガス・家庭用品-応接セット(接客業用)</t>
  </si>
  <si>
    <t>鉄有固-工具器具及び備品-工器備-家具・電気・ガス・家庭用品-応接セット(その他)</t>
  </si>
  <si>
    <t>鉄有固-工具器具及び備品-工器備-家具・電気・ガス・家庭用品-ベット</t>
  </si>
  <si>
    <t>鉄有固-工具器具及び備品-工器備-家具・電気・ガス・家庭用品-児童用机及びいす</t>
  </si>
  <si>
    <t>鉄有固-工具器具及び備品-工器備-家具・電気・ガス・家庭用品-陳列棚(冷凍・冷蔵機付)</t>
  </si>
  <si>
    <t>鉄有固-工具器具及び備品-工器備-家具・電気・ガス・家庭用品-陳列棚(その他)</t>
  </si>
  <si>
    <t>鉄有固-工具器具及び備品-工器備-家具・電気・ガス・家庭用品-その他の家具(接客業用)</t>
  </si>
  <si>
    <t>鉄有固-工具器具及び備品-工器備-家具・電気・ガス・家庭用品-その他の家具(金属製)</t>
  </si>
  <si>
    <t>鉄有固-工具器具及び備品-工器備-家具・電気・ガス・家庭用品-その他の家具(その他)</t>
  </si>
  <si>
    <t>鉄有固-工具器具及び備品-工器備-家具・電気・ガス・家庭用品-その他の音響機器</t>
  </si>
  <si>
    <t>鉄有固-工具器具及び備品-工器備-家具・電気・ガス・家庭用品-冷房用又は暖房用機器</t>
  </si>
  <si>
    <t>鉄有固-工具器具及び備品-工器備-家具・電気・ガス・家庭用品-その他電気・ガス機器</t>
  </si>
  <si>
    <t>鉄有固-工具器具及び備品-工器備-家具・電気・ガス・家庭用品-氷冷蔵庫・冷蔵ストッカー</t>
  </si>
  <si>
    <t>鉄有固-工具器具及び備品-工器備-家具・電気・ガス・家庭用品-その他繊維製品</t>
  </si>
  <si>
    <t>鉄有固-工具器具及び備品-工器備-家具・電気・ガス・家庭用品-床用敷物(業務用)</t>
  </si>
  <si>
    <t>鉄有固-工具器具及び備品-工器備-家具・電気・ガス・家庭用品-床用敷物(その他)</t>
  </si>
  <si>
    <t>鉄有固-工具器具及び備品-工器備-家具・電気・ガス・家庭用品-室内装飾品(金属製)</t>
  </si>
  <si>
    <t>鉄有固-工具器具及び備品-工器備-家具・電気・ガス・家庭用品-室内装飾品(その他)</t>
  </si>
  <si>
    <t>鉄有固-工具器具及び備品-工器備-家具・電気・ガス・家庭用品-食事・厨房用品(陶磁器)</t>
  </si>
  <si>
    <t>鉄有固-工具器具及び備品-工器備-家具・電気・ガス・家庭用品-食事・厨房用品(その他)</t>
  </si>
  <si>
    <t>鉄有固-工具器具及び備品-工器備-家具・電気・ガス・家庭用品-その他のもの(金属製)</t>
  </si>
  <si>
    <t>鉄有固-工具器具及び備品-工器備-家具・電気・ガス・家庭用品-その他のもの(その他)</t>
  </si>
  <si>
    <t>鉄有固-工具器具及び備品-工器備-事務・通信機器-謄写機器・タイプライター(印書業用)</t>
  </si>
  <si>
    <t>鉄有固-工具器具及び備品-工器備-事務・通信機器-謄写機器・タイプライター(その他)</t>
  </si>
  <si>
    <t>鉄有固-工具器具及び備品-工器備-事務・通信機器-電子計算機(PC(サーバ用を除く))</t>
  </si>
  <si>
    <t>鉄有固-工具器具及び備品-工器備-事務・通信機器-電子計算機(その他)</t>
  </si>
  <si>
    <t>鉄有固-工具器具及び備品-工器備-事務・通信機器-複写機・計算機・金銭登録機</t>
  </si>
  <si>
    <t>鉄有固-工具器具及び備品-工器備-事務・通信機器-その他の事務機器</t>
  </si>
  <si>
    <t>鉄有固-工具器具及び備品-工器備-事務・通信機器-テレタイプライター及びファクシミリ</t>
  </si>
  <si>
    <t>鉄有固-工具器具及び備品-工器備-事務・通信機器-インターホーン及び放送用設備</t>
  </si>
  <si>
    <t>鉄有固-工具器具及び備品-工器備-事務・通信機器-その他の通信機器(デジタル構内交換)</t>
  </si>
  <si>
    <t>鉄有固-工具器具及び備品-工器備-事務・通信機器-その他の通信機器(その他のもの)</t>
  </si>
  <si>
    <t>鉄有固-工具器具及び備品-工器備-時計、試験機器及び測定機器-時計</t>
  </si>
  <si>
    <t>鉄有固-工具器具及び備品-工器備-時計、試験機器及び測定機器-度量衝器</t>
  </si>
  <si>
    <t>鉄有固-工具器具及び備品-工器備-時計、試験機器及び測定機器-試験又は測定機器</t>
  </si>
  <si>
    <t>鉄有固-工具器具及び備品-工器備-光学・写真製作機器-オペラグラス</t>
  </si>
  <si>
    <t>鉄有固-工具器具及び備品-工器備-光学・写真製作機器-カメラ、映画撮影機、映写機</t>
  </si>
  <si>
    <t>鉄有固-工具器具及び備品-工器備-光学・写真製作機器-その他の機器</t>
  </si>
  <si>
    <t>鉄有固-工具器具及び備品-工器備-看板・広告機器-看板、ネオンサイン及び気球</t>
  </si>
  <si>
    <t>鉄有固-工具器具及び備品-工器備-看板・広告機器-マネキン人形及び模型</t>
  </si>
  <si>
    <t>12505958</t>
  </si>
  <si>
    <t>鉄有固-工具器具及び備品-工器備-看板・広告機器-その他のもの(主として金属製のもの)</t>
  </si>
  <si>
    <t>12505959</t>
  </si>
  <si>
    <t>鉄有固-工具器具及び備品-工器備-看板・広告機器-その他のもの(その他のもの)</t>
  </si>
  <si>
    <t>鉄有固-工具器具及び備品-工器備-容器・金庫-ボンベ(溶接製のもの</t>
  </si>
  <si>
    <t>鉄有固-工具器具及び備品-工器備-容器・金庫-ボンベ(鍛造製)(塩素用のもの)</t>
  </si>
  <si>
    <t>鉄有固-工具器具及び備品-工器備-容器・金庫-ボンベ(鍛造製)(その他のもの)</t>
  </si>
  <si>
    <t>鉄有固-工具器具及び備品-工器備-容器・金庫-その他容器(コンテナ(長さが6m以上))</t>
  </si>
  <si>
    <t>鉄有固-工具器具及び備品-工器備-容器・金庫-その他の容器(金属製のもの)</t>
  </si>
  <si>
    <t>鉄有固-工具器具及び備品-工器備-容器・金庫-その他の容器(その他のもの)</t>
  </si>
  <si>
    <t>鉄有固-工具器具及び備品-工器備-容器・金庫-金庫(手さげ金庫)</t>
  </si>
  <si>
    <t>鉄有固-工具器具及び備品-工器備-容器・金庫-金庫(その他のもの)</t>
  </si>
  <si>
    <t>鉄有固-工具器具及び備品-工器備-医療機器-消毒殺菌用機器</t>
  </si>
  <si>
    <t>鉄有固-工具器具及び備品-工器備-医療機器-手術機器</t>
  </si>
  <si>
    <t>鉄有固-工具器具及び備品-工器備-医療機器-血液透析又は血しょう交換用機器</t>
  </si>
  <si>
    <t>鉄有固-工具器具及び備品-工器備-医療機器-その他の作動部分を有する機能回復訓練機器</t>
  </si>
  <si>
    <t>鉄有固-工具器具及び備品-工器備-医療機器-調剤機器</t>
  </si>
  <si>
    <t>鉄有固-工具器具及び備品-工器備-医療機器-歯科診療用ユニット</t>
  </si>
  <si>
    <t>鉄有固-工具器具及び備品-工器備-医療機器-光学検査機器(ファイバースコープ)</t>
  </si>
  <si>
    <t>鉄有固-工具器具及び備品-工器備-医療機器-光学検査機器(その他のもの)</t>
  </si>
  <si>
    <t>鉄有固-工具器具及び備品-工器備-医療機器-その他の電子装置を使用する機器(移動式)</t>
  </si>
  <si>
    <t>鉄有固-工具器具及び備品-工器備-医療機器-その他の電子装置を使用する機器(その他)</t>
  </si>
  <si>
    <t>鉄有固-工具器具及び備品-工器備-医療機器-その他のもの(陶磁器製又はガラス製のもの)</t>
  </si>
  <si>
    <t>鉄有固-工具器具及び備品-工器備-医療機器-その他のもの(主として金属製のもの)</t>
  </si>
  <si>
    <t>鉄有固-工具器具及び備品-工器備-医療機器-その他のもの(その他のもの)</t>
  </si>
  <si>
    <t>鉄有固-工具器具及び備品-工器備-前掲以外-映画フイルム・磁気テープ・レコード</t>
  </si>
  <si>
    <t>鉄有固-工具器具及び備品-工器備-前掲以外-シート及びロープ</t>
  </si>
  <si>
    <t>鉄有固-工具器具及び備品-工器備-前掲以外-きのこ栽培用ほだ木</t>
  </si>
  <si>
    <t>鉄有固-工具器具及び備品-工器備-前掲以外-漁具</t>
  </si>
  <si>
    <t>鉄有固-工具器具及び備品-工器備-前掲以外-葬儀用具</t>
  </si>
  <si>
    <t>鉄有固-工具器具及び備品-工器備-前掲以外-楽器</t>
  </si>
  <si>
    <t>鉄有固-工具器具及び備品-工器備-前掲以外-自動販売機(手動のものを含む。)</t>
  </si>
  <si>
    <t>鉄有固-工具器具及び備品-工器備-前掲以外-無人駐車管理装置</t>
  </si>
  <si>
    <t>鉄有固-工具器具及び備品-工器備-前掲以外-焼却炉</t>
  </si>
  <si>
    <t>鉄有固-工具器具及び備品-工器備-前掲以外-その他のもの(主として金属製のもの)</t>
  </si>
  <si>
    <t>鉄有固-工具器具及び備品-工器備-前掲以外-その他のもの(その他のもの)</t>
  </si>
  <si>
    <t>鉄有固-工具器具及び備品-運搬具-前掲以外-自動車-小型車(総排気量が0.66l以下)</t>
  </si>
  <si>
    <t>鉄有固-工具器具及び備品-運搬具-前掲以外-自動車-その他-貨物自動車-ダンプ式のもの</t>
  </si>
  <si>
    <t>鉄有固-工具器具及び備品-運搬具-前掲以外-自動車-その他-貨物自動車-その他のもの</t>
  </si>
  <si>
    <t>鉄有固-工具器具及び備品-運搬具-前掲以外-自動車-その他-報道通信用のもの</t>
  </si>
  <si>
    <t>鉄有固-工具器具及び備品-運搬具-前掲以外-自動車-その他-その他</t>
  </si>
  <si>
    <t>鉄有固-工具器具及び備品-運搬具-前掲以外-２輪又は３輪自動車</t>
  </si>
  <si>
    <t>鉄有固-工具器具及び備品-運搬具-前掲以外-自転車</t>
  </si>
  <si>
    <t>鉄有固-工具器具及び備品-運搬具-前掲以外-鉱山用人車、炭車、鉱車及び台車-金属製</t>
  </si>
  <si>
    <t>鉄有固-工具器具及び備品-運搬具-前掲以外-鉱山用人車、炭車、鉱車及び台車-その他</t>
  </si>
  <si>
    <t>鉄有固-工具器具及び備品-運搬具-前掲以外-フォークリフト</t>
  </si>
  <si>
    <t>鉄有固-工具器具及び備品-運搬具-前掲以外-トロッコ-金属製のもの</t>
  </si>
  <si>
    <t>鉄有固-工具器具及び備品-運搬具-前掲以外-トロッコ-その他のもの</t>
  </si>
  <si>
    <t>鉄有固-工具器具及び備品-運搬具-前掲以外-その他のもの-自走能力を有するもの</t>
  </si>
  <si>
    <t>鉄有固-工具器具及び備品-運搬具-前掲以外-その他のもの-その他のもの</t>
  </si>
  <si>
    <t>鉄有固-リース資産-土地</t>
  </si>
  <si>
    <t>鉄有固-リース資産-建物</t>
  </si>
  <si>
    <t>鉄有固-リース資産-構築物</t>
  </si>
  <si>
    <t>鉄有固-リース資産-車両</t>
  </si>
  <si>
    <t>鉄有固-リース資産-機械装置</t>
  </si>
  <si>
    <t>鉄有固-リース資産-工具器具及び備品</t>
  </si>
  <si>
    <t>鉄有固-運送施設 雑施設</t>
  </si>
  <si>
    <t>鉄有固-案内宣伝施設 土地-線路及び停車場用地</t>
  </si>
  <si>
    <t>鉄有固-案内宣伝施設 土地-変電所用地</t>
  </si>
  <si>
    <t>鉄有固-案内宣伝施設 土地-車庫及び工場用地</t>
  </si>
  <si>
    <t>鉄有固-案内宣伝施設 土地-倉庫用地</t>
  </si>
  <si>
    <t>鉄有固-案内宣伝施設 土地-事務所用地</t>
  </si>
  <si>
    <t>鉄有固-案内宣伝施設 土地-社宅及び寮用地</t>
  </si>
  <si>
    <t>鉄有固-案内宣伝施設 土地-雑用地</t>
  </si>
  <si>
    <t>鉄有固-案内宣伝施設 建物-鉄骨鉄筋コンクリート造又は鉄筋コンクリート造-停車場建物</t>
  </si>
  <si>
    <t>鉄有固-案内宣伝施設 建物-れんが造、石造又はブロック造-停車場建物</t>
  </si>
  <si>
    <t>鉄有固-案内宣伝施設 建物-金属造(骨格材の肉厚が4mm超)-停車場建物</t>
  </si>
  <si>
    <t>鉄有固-案内宣伝施設 建物-金属造(骨格材の肉厚が3mm超4mm以下)-停車場建物</t>
  </si>
  <si>
    <t>鉄有固-案内宣伝施設 建物-金属造(骨格材の肉厚が3mm以下)-停車場建物</t>
  </si>
  <si>
    <t>鉄有固-案内宣伝施設 建物-木造又は合成樹脂造-停車場建物</t>
  </si>
  <si>
    <t>鉄有固-案内宣伝施設 建物-木骨モルタル造-停車場建物</t>
  </si>
  <si>
    <t>鉄有固-案内宣伝施設 建物-簡易建物(木製主要柱が10cm角以下で土居、杉皮ぶき等)-停車場建物</t>
  </si>
  <si>
    <t>鉄有固-案内宣伝施設 建物-簡易建物(掘立造のもの及び仮設のもの)-停車場建物</t>
  </si>
  <si>
    <t>鉄有固-案内宣伝施設 建物付属-電気設備(照明設備を含む)-蓄電池電源設備-停車場建物</t>
  </si>
  <si>
    <t>鉄有固-案内宣伝施設 建物付属-電気設備(照明設備を含む)-その他のもの-停車場建物</t>
  </si>
  <si>
    <t>鉄有固-案内宣伝施設 建物付属-給排水又は衛生設備及びガス設備-停車場建物</t>
  </si>
  <si>
    <t>鉄有固-案内宣伝施設 建物付属-冷暖房・通風・ボイラー設備-22kw以下-停車場建物</t>
  </si>
  <si>
    <t>鉄有固-案内宣伝施設 建物付属-冷暖房・通風・ボイラー設備-その他のもの-停車場建物</t>
  </si>
  <si>
    <t>鉄有固-案内宣伝施設 建物付属-昇降機設備-エレベーター-停車場建物</t>
  </si>
  <si>
    <t>鉄有固-案内宣伝施設 建物付属-昇降機設備-エスカレーター-停車場建物</t>
  </si>
  <si>
    <t>鉄有固-案内宣伝施設 建物付属-消火・排煙・災害報知設備及び格納式避難設備-停車場建物</t>
  </si>
  <si>
    <t>鉄有固-案内宣伝施設 建物付属-エヤーカーテン又はドアー自動開閉設備-停車場建物</t>
  </si>
  <si>
    <t>鉄有固-案内宣伝施設 建物付属-アーケード又は日よけ設備-金属製-停車場建物</t>
  </si>
  <si>
    <t>鉄有固-案内宣伝施設 建物付属-アーケード又は日よけ設備-その他のもの-停車場建物</t>
  </si>
  <si>
    <t>鉄有固-案内宣伝施設 建物付属-店用簡易設備-停車場建物</t>
  </si>
  <si>
    <t>鉄有固-案内宣伝施設 建物付属-可動簡易装備-簡易なもの-停車場建物</t>
  </si>
  <si>
    <t>鉄有固-案内宣伝施設 建物付属-可動簡易装備-その他のもの-停車場建物</t>
  </si>
  <si>
    <t>鉄有固-案内宣伝施設 建物付属-前掲以外・前掲区分外-主として金属製のもの-停車場建物</t>
  </si>
  <si>
    <t>鉄有固-案内宣伝施設 建物付属-前掲以外・前掲区分外-その他のもの-停車場建物</t>
  </si>
  <si>
    <t>鉄有固-案内宣伝施設 建物-鉄骨鉄筋コンクリート造又は鉄筋コンクリート造-変電所建物</t>
  </si>
  <si>
    <t>鉄有固-案内宣伝施設 建物-れんが造、石造又はブロック造-変電所建物</t>
  </si>
  <si>
    <t>鉄有固-案内宣伝施設 建物-金属造(骨格材の肉厚が4mm超)-変電所建物</t>
  </si>
  <si>
    <t>鉄有固-案内宣伝施設 建物-金属造(骨格材の肉厚が3mm超4mm以下)-変電所建物</t>
  </si>
  <si>
    <t>鉄有固-案内宣伝施設 建物-金属造(骨格材の肉厚が3mm以下)-変電所建物</t>
  </si>
  <si>
    <t>鉄有固-案内宣伝施設 建物-木造又は合成樹脂造-変電所建物</t>
  </si>
  <si>
    <t>鉄有固-案内宣伝施設 建物-木骨モルタル造-変電所建物</t>
  </si>
  <si>
    <t>鉄有固-案内宣伝施設 建物-簡易建物(木製主要柱が10cm角以下で土居、杉皮ぶき等)-変電所建物</t>
  </si>
  <si>
    <t>鉄有固-案内宣伝施設 建物-簡易建物(掘立造のもの及び仮設のもの)-変電所建物</t>
  </si>
  <si>
    <t>鉄有固-案内宣伝施設 建物付属-電気設備(照明設備を含む)-蓄電池電源設備-変電所建物</t>
  </si>
  <si>
    <t>鉄有固-案内宣伝施設 建物付属-電気設備(照明設備を含む)-その他のもの-変電所建物</t>
  </si>
  <si>
    <t>鉄有固-案内宣伝施設 建物付属-給排水又は衛生設備及びガス設備-変電所建物</t>
  </si>
  <si>
    <t>鉄有固-案内宣伝施設 建物付属-冷暖房・通風・ボイラー設備-22kw以下-変電所建物</t>
  </si>
  <si>
    <t>鉄有固-案内宣伝施設 建物付属-冷暖房・通風・ボイラー設備-その他のもの-変電所建物</t>
  </si>
  <si>
    <t>鉄有固-案内宣伝施設 建物付属-昇降機設備-エレベーター-変電所建物</t>
  </si>
  <si>
    <t>鉄有固-案内宣伝施設 建物付属-昇降機設備-エスカレーター-変電所建物</t>
  </si>
  <si>
    <t>鉄有固-案内宣伝施設 建物付属-消火・排煙・災害報知設備及び格納式避難設備-変電所建物</t>
  </si>
  <si>
    <t>鉄有固-案内宣伝施設 建物付属-エヤーカーテン又はドアー自動開閉設備-変電所建物</t>
  </si>
  <si>
    <t>鉄有固-案内宣伝施設 建物付属-アーケード又は日よけ設備-金属製-変電所建物</t>
  </si>
  <si>
    <t>鉄有固-案内宣伝施設 建物付属-アーケード又は日よけ設備-その他のもの-変電所建物</t>
  </si>
  <si>
    <t>鉄有固-案内宣伝施設 建物付属-店用簡易設備-変電所建物</t>
  </si>
  <si>
    <t>鉄有固-案内宣伝施設 建物付属-可動簡易装備-簡易なもの-変電所建物</t>
  </si>
  <si>
    <t>鉄有固-案内宣伝施設 建物付属-可動簡易装備-その他のもの-変電所建物</t>
  </si>
  <si>
    <t>鉄有固-案内宣伝施設 建物付属-前掲以外・前掲区分外-主として金属製のもの-変電所建物</t>
  </si>
  <si>
    <t>鉄有固-案内宣伝施設 建物付属-前掲以外・前掲区分外-その他のもの-変電所建物</t>
  </si>
  <si>
    <t>鉄有固-案内宣伝施設 建物-鉄骨鉄筋コンクリート造又は鉄筋コンクリート造-車庫・工場</t>
  </si>
  <si>
    <t>鉄有固-案内宣伝施設 建物-れんが造、石造又はブロック造-車庫・工場</t>
  </si>
  <si>
    <t>鉄有固-案内宣伝施設 建物-金属造(骨格材の肉厚が4mm超)-車庫・工場</t>
  </si>
  <si>
    <t>鉄有固-案内宣伝施設 建物-金属造(骨格材の肉厚が3mm超4mm以下)-車庫・工場</t>
  </si>
  <si>
    <t>鉄有固-案内宣伝施設 建物-金属造(骨格材の肉厚が3mm以下)-車庫・工場</t>
  </si>
  <si>
    <t>鉄有固-案内宣伝施設 建物-木造又は合成樹脂造-車庫・工場</t>
  </si>
  <si>
    <t>鉄有固-案内宣伝施設 建物-木骨モルタル造-車庫・工場</t>
  </si>
  <si>
    <t>鉄有固-案内宣伝施設 建物-簡易建物(木製主要柱が10cm角以下で土居、杉皮ぶき等)-車庫・工場</t>
  </si>
  <si>
    <t>鉄有固-案内宣伝施設 建物-簡易建物(掘立造のもの及び仮設のもの)-車庫・工場</t>
  </si>
  <si>
    <t>鉄有固-案内宣伝施設 建物付属-電気設備(照明設備を含む)-蓄電池電源設備-車庫・工場</t>
  </si>
  <si>
    <t>鉄有固-案内宣伝施設 建物付属-電気設備(照明設備を含む)-その他のもの-車庫・工場</t>
  </si>
  <si>
    <t>鉄有固-案内宣伝施設 建物付属-給排水又は衛生設備及びガス設備-車庫・工場</t>
  </si>
  <si>
    <t>鉄有固-案内宣伝施設 建物付属-冷暖房・通風・ボイラー設備-22kw以下-車庫・工場</t>
  </si>
  <si>
    <t>鉄有固-案内宣伝施設 建物付属-冷暖房・通風・ボイラー設備-その他のもの-車庫・工場</t>
  </si>
  <si>
    <t>鉄有固-案内宣伝施設 建物付属-昇降機設備-エレベーター-車庫・工場</t>
  </si>
  <si>
    <t>鉄有固-案内宣伝施設 建物付属-昇降機設備-エスカレーター-車庫・工場</t>
  </si>
  <si>
    <t>鉄有固-案内宣伝施設 建物付属-消火・排煙・災害報知設備及び格納式避難設備-車庫・工場</t>
  </si>
  <si>
    <t>鉄有固-案内宣伝施設 建物付属-エヤーカーテン又はドアー自動開閉設備-車庫・工場</t>
  </si>
  <si>
    <t>鉄有固-案内宣伝施設 建物付属-アーケード又は日よけ設備-金属製-車庫・工場</t>
  </si>
  <si>
    <t>鉄有固-案内宣伝施設 建物付属-アーケード又は日よけ設備-その他のもの-車庫・工場</t>
  </si>
  <si>
    <t>鉄有固-案内宣伝施設 建物付属-店用簡易設備-車庫・工場</t>
  </si>
  <si>
    <t>鉄有固-案内宣伝施設 建物付属-可動簡易装備-簡易なもの-車庫・工場</t>
  </si>
  <si>
    <t>鉄有固-案内宣伝施設 建物付属-可動簡易装備-その他のもの-車庫・工場</t>
  </si>
  <si>
    <t>鉄有固-案内宣伝施設 建物付属-前掲以外・前掲区分外-主として金属製のもの-車庫・工場</t>
  </si>
  <si>
    <t>鉄有固-案内宣伝施設 建物付属-前掲以外・前掲区分外-その他のもの-車庫・工場</t>
  </si>
  <si>
    <t>鉄有固-案内宣伝施設 建物-鉄骨鉄筋コンクリート造又は鉄筋コンクリート造-倉庫建物</t>
  </si>
  <si>
    <t>鉄有固-案内宣伝施設 建物-れんが造、石造又はブロック造-倉庫建物</t>
  </si>
  <si>
    <t>鉄有固-案内宣伝施設 建物-金属造(骨格材の肉厚が4mm超)-倉庫建物</t>
  </si>
  <si>
    <t>鉄有固-案内宣伝施設 建物-金属造(骨格材の肉厚が3mm超4mm以下)-倉庫建物</t>
  </si>
  <si>
    <t>鉄有固-案内宣伝施設 建物-金属造(骨格材の肉厚が3mm以下)-倉庫建物</t>
  </si>
  <si>
    <t>鉄有固-案内宣伝施設 建物-木造又は合成樹脂造-倉庫建物</t>
  </si>
  <si>
    <t>鉄有固-案内宣伝施設 建物-木骨モルタル造-倉庫建物</t>
  </si>
  <si>
    <t>鉄有固-案内宣伝施設 建物-簡易建物(木製主要柱が10cm角以下で土居、杉皮ぶき等)-倉庫建物</t>
  </si>
  <si>
    <t>鉄有固-案内宣伝施設 建物-簡易建物(掘立造のもの及び仮設のもの)-倉庫建物</t>
  </si>
  <si>
    <t>鉄有固-案内宣伝施設 建物付属-電気設備(照明設備を含む)-蓄電池電源設備-倉庫建物</t>
  </si>
  <si>
    <t>鉄有固-案内宣伝施設 建物付属-電気設備(照明設備を含む)-その他のもの-倉庫建物</t>
  </si>
  <si>
    <t>鉄有固-案内宣伝施設 建物付属-給排水又は衛生設備及びガス設備-倉庫建物</t>
  </si>
  <si>
    <t>鉄有固-案内宣伝施設 建物付属-冷暖房・通風・ボイラー設備-22kw以下-倉庫建物</t>
  </si>
  <si>
    <t>鉄有固-案内宣伝施設 建物付属-冷暖房・通風・ボイラー設備-その他のもの-倉庫建物</t>
  </si>
  <si>
    <t>鉄有固-案内宣伝施設 建物付属-昇降機設備-エレベーター-倉庫建物</t>
  </si>
  <si>
    <t>鉄有固-案内宣伝施設 建物付属-昇降機設備-エスカレーター-倉庫建物</t>
  </si>
  <si>
    <t>鉄有固-案内宣伝施設 建物付属-消火・排煙・災害報知設備及び格納式避難設備-倉庫建物</t>
  </si>
  <si>
    <t>鉄有固-案内宣伝施設 建物付属-エヤーカーテン又はドアー自動開閉設備-倉庫建物</t>
  </si>
  <si>
    <t>鉄有固-案内宣伝施設 建物付属-アーケード又は日よけ設備-金属製-倉庫建物</t>
  </si>
  <si>
    <t>鉄有固-案内宣伝施設 建物付属-アーケード又は日よけ設備-その他のもの-倉庫建物</t>
  </si>
  <si>
    <t>鉄有固-案内宣伝施設 建物付属-店用簡易設備-倉庫建物</t>
  </si>
  <si>
    <t>鉄有固-案内宣伝施設 建物付属-可動簡易装備-簡易なもの-倉庫建物</t>
  </si>
  <si>
    <t>鉄有固-案内宣伝施設 建物付属-可動簡易装備-その他のもの-倉庫建物</t>
  </si>
  <si>
    <t>鉄有固-案内宣伝施設 建物付属-前掲以外・前掲区分外-主として金属製のもの-倉庫建物</t>
  </si>
  <si>
    <t>鉄有固-案内宣伝施設 建物付属-前掲以外・前掲区分外-その他のもの-倉庫建物</t>
  </si>
  <si>
    <t>鉄有固-案内宣伝施設 建物-鉄骨鉄筋コンクリート造又は鉄筋コンクリート造-詰所建物</t>
  </si>
  <si>
    <t>鉄有固-案内宣伝施設 建物-れんが造、石造又はブロック造-詰所建物</t>
  </si>
  <si>
    <t>鉄有固-案内宣伝施設 建物-金属造(骨格材の肉厚が4mm超)-詰所建物</t>
  </si>
  <si>
    <t>鉄有固-案内宣伝施設 建物-金属造(骨格材の肉厚が3mm超4mm以下)-詰所建物</t>
  </si>
  <si>
    <t>鉄有固-案内宣伝施設 建物-金属造(骨格材の肉厚が3mm以下)-詰所建物</t>
  </si>
  <si>
    <t>鉄有固-案内宣伝施設 建物-木造又は合成樹脂造-詰所建物</t>
  </si>
  <si>
    <t>鉄有固-案内宣伝施設 建物-木骨モルタル造-詰所建物</t>
  </si>
  <si>
    <t>鉄有固-案内宣伝施設 建物-簡易建物(木製主要柱が10cm角以下で土居、杉皮ぶき等)-詰所建物</t>
  </si>
  <si>
    <t>鉄有固-案内宣伝施設 建物-簡易建物(掘立造のもの及び仮設のもの)-詰所建物</t>
  </si>
  <si>
    <t>鉄有固-案内宣伝施設 建物付属-電気設備(照明設備を含む)-蓄電池電源設備-詰所建物</t>
  </si>
  <si>
    <t>鉄有固-案内宣伝施設 建物付属-電気設備(照明設備を含む)-その他のもの-詰所建物</t>
  </si>
  <si>
    <t>鉄有固-案内宣伝施設 建物付属-給排水又は衛生設備及びガス設備-詰所建物</t>
  </si>
  <si>
    <t>鉄有固-案内宣伝施設 建物付属-冷暖房・通風・ボイラー設備-22kw以下-詰所建物</t>
  </si>
  <si>
    <t>鉄有固-案内宣伝施設 建物付属-冷暖房・通風・ボイラー設備-その他のもの-詰所建物</t>
  </si>
  <si>
    <t>鉄有固-案内宣伝施設 建物付属-昇降機設備-エレベーター-詰所建物</t>
  </si>
  <si>
    <t>鉄有固-案内宣伝施設 建物付属-昇降機設備-エスカレーター-詰所建物</t>
  </si>
  <si>
    <t>鉄有固-案内宣伝施設 建物付属-消火・排煙・災害報知設備及び格納式避難設備-詰所建物</t>
  </si>
  <si>
    <t>鉄有固-案内宣伝施設 建物付属-エヤーカーテン又はドアー自動開閉設備-詰所建物</t>
  </si>
  <si>
    <t>鉄有固-案内宣伝施設 建物付属-アーケード又は日よけ設備-金属製-詰所建物</t>
  </si>
  <si>
    <t>鉄有固-案内宣伝施設 建物付属-アーケード又は日よけ設備-その他のもの-詰所建物</t>
  </si>
  <si>
    <t>鉄有固-案内宣伝施設 建物付属-店用簡易設備-詰所建物</t>
  </si>
  <si>
    <t>鉄有固-案内宣伝施設 建物付属-可動簡易装備-簡易なもの-詰所建物</t>
  </si>
  <si>
    <t>鉄有固-案内宣伝施設 建物付属-可動簡易装備-その他のもの-詰所建物</t>
  </si>
  <si>
    <t>鉄有固-案内宣伝施設 建物付属-前掲以外・前掲区分外-主として金属製のもの-詰所建物</t>
  </si>
  <si>
    <t>鉄有固-案内宣伝施設 建物付属-前掲以外・前掲区分外-その他のもの-詰所建物</t>
  </si>
  <si>
    <t>鉄有固-案内宣伝施設 建物-鉄骨鉄筋コンクリート造又は鉄筋コンクリート造-事務所建物</t>
  </si>
  <si>
    <t>鉄有固-案内宣伝施設 建物-れんが造、石造又はブロック造-事務所建物</t>
  </si>
  <si>
    <t>鉄有固-案内宣伝施設 建物-金属造(骨格材の肉厚が4mm超)-事務所建物</t>
  </si>
  <si>
    <t>鉄有固-案内宣伝施設 建物-金属造(骨格材の肉厚が3mm超4mm以下)-事務所建物</t>
  </si>
  <si>
    <t>鉄有固-案内宣伝施設 建物-金属造(骨格材の肉厚が3mm以下)-事務所建物</t>
  </si>
  <si>
    <t>鉄有固-案内宣伝施設 建物-木造又は合成樹脂造-事務所建物</t>
  </si>
  <si>
    <t>鉄有固-案内宣伝施設 建物-木骨モルタル造-事務所建物</t>
  </si>
  <si>
    <t>鉄有固-案内宣伝施設 建物-簡易建物(木製主要柱が10cm角以下で土居、杉皮ぶき等)-事務所建物</t>
  </si>
  <si>
    <t>鉄有固-案内宣伝施設 建物-簡易建物(掘立造のもの及び仮設のもの)-事務所建物</t>
  </si>
  <si>
    <t>鉄有固-案内宣伝施設 建物付属-電気設備(照明設備を含む)-蓄電池電源設備-事務所建物</t>
  </si>
  <si>
    <t>鉄有固-案内宣伝施設 建物付属-電気設備(照明設備を含む)-その他のもの-事務所建物</t>
  </si>
  <si>
    <t>鉄有固-案内宣伝施設 建物付属-給排水又は衛生設備及びガス設備-事務所建物</t>
  </si>
  <si>
    <t>鉄有固-案内宣伝施設 建物付属-冷暖房・通風・ボイラー設備-22kw以下-事務所建物</t>
  </si>
  <si>
    <t>鉄有固-案内宣伝施設 建物付属-冷暖房・通風・ボイラー設備-その他のもの-事務所建物</t>
  </si>
  <si>
    <t>鉄有固-案内宣伝施設 建物付属-昇降機設備-エレベーター-事務所建物</t>
  </si>
  <si>
    <t>鉄有固-案内宣伝施設 建物付属-昇降機設備-エスカレーター-事務所建物</t>
  </si>
  <si>
    <t>鉄有固-案内宣伝施設 建物付属-消火・排煙・災害報知設備及び格納式避難設備-事務所建物</t>
  </si>
  <si>
    <t>鉄有固-案内宣伝施設 建物付属-エヤーカーテン又はドアー自動開閉設備-事務所建物</t>
  </si>
  <si>
    <t>鉄有固-案内宣伝施設 建物付属-アーケード又は日よけ設備-金属製-事務所建物</t>
  </si>
  <si>
    <t>鉄有固-案内宣伝施設 建物付属-アーケード又は日よけ設備-その他のもの-事務所建物</t>
  </si>
  <si>
    <t>鉄有固-案内宣伝施設 建物付属-店用簡易設備-事務所建物</t>
  </si>
  <si>
    <t>鉄有固-案内宣伝施設 建物付属-可動簡易装備-簡易なもの-事務所建物</t>
  </si>
  <si>
    <t>鉄有固-案内宣伝施設 建物付属-可動簡易装備-その他のもの-事務所建物</t>
  </si>
  <si>
    <t>鉄有固-案内宣伝施設 建物付属-前掲以外・前掲区分外-主として金属製のもの-事務所建物</t>
  </si>
  <si>
    <t>鉄有固-案内宣伝施設 建物付属-前掲以外・前掲区分外-その他のもの-事務所建物</t>
  </si>
  <si>
    <t>鉄有固-案内宣伝施設 建物-鉄骨鉄筋コンクリート造又は鉄筋コンクリート造-社宅・寮建物</t>
  </si>
  <si>
    <t>鉄有固-案内宣伝施設 建物-れんが造、石造又はブロック造-社宅・寮建物</t>
  </si>
  <si>
    <t>鉄有固-案内宣伝施設 建物-金属造(骨格材の肉厚が4mm超)-社宅・寮建物</t>
  </si>
  <si>
    <t>鉄有固-案内宣伝施設 建物-金属造(骨格材の肉厚が3mm超4mm以下)-社宅・寮建物</t>
  </si>
  <si>
    <t>鉄有固-案内宣伝施設 建物-金属造(骨格材の肉厚が3mm以下)-社宅・寮建物</t>
  </si>
  <si>
    <t>鉄有固-案内宣伝施設 建物-木造又は合成樹脂造-社宅・寮建物</t>
  </si>
  <si>
    <t>鉄有固-案内宣伝施設 建物-木骨モルタル造-社宅・寮建物</t>
  </si>
  <si>
    <t>鉄有固-案内宣伝施設 建物-簡易建物(掘立造のもの及び仮設のもの)-社宅・寮建物</t>
  </si>
  <si>
    <t>鉄有固-案内宣伝施設 建物付属-電気設備(照明設備を含む)-蓄電池電源設備-社宅・寮建物</t>
  </si>
  <si>
    <t>鉄有固-案内宣伝施設 建物付属-電気設備(照明設備を含む)-その他のもの-社宅・寮建物</t>
  </si>
  <si>
    <t>鉄有固-案内宣伝施設 建物付属-給排水又は衛生設備及びガス設備-社宅・寮建物</t>
  </si>
  <si>
    <t>鉄有固-案内宣伝施設 建物付属-冷暖房・通風・ボイラー設備-22kw以下-社宅・寮建物</t>
  </si>
  <si>
    <t>鉄有固-案内宣伝施設 建物付属-冷暖房・通風・ボイラー設備-その他のもの-社宅・寮建物</t>
  </si>
  <si>
    <t>鉄有固-案内宣伝施設 建物付属-昇降機設備-エレベーター-社宅・寮建物</t>
  </si>
  <si>
    <t>鉄有固-案内宣伝施設 建物付属-昇降機設備-エスカレーター-社宅・寮建物</t>
  </si>
  <si>
    <t>鉄有固-案内宣伝施設 建物付属-消火・排煙・災害報知設備及び格納式避難設備-社宅・寮建物</t>
  </si>
  <si>
    <t>鉄有固-案内宣伝施設 建物付属-エヤーカーテン又はドアー自動開閉設備-社宅・寮建物</t>
  </si>
  <si>
    <t>鉄有固-案内宣伝施設 建物付属-アーケード又は日よけ設備-金属製-社宅・寮建物</t>
  </si>
  <si>
    <t>鉄有固-案内宣伝施設 建物付属-アーケード又は日よけ設備-その他のもの-社宅・寮建物</t>
  </si>
  <si>
    <t>鉄有固-案内宣伝施設 建物付属-店用簡易設備-社宅・寮建物</t>
  </si>
  <si>
    <t>鉄有固-案内宣伝施設 建物付属-可動簡易装備-簡易なもの-社宅・寮建物</t>
  </si>
  <si>
    <t>鉄有固-案内宣伝施設 建物付属-可動簡易装備-その他のもの-社宅・寮建物</t>
  </si>
  <si>
    <t>鉄有固-案内宣伝施設 建物付属-前掲以外・前掲区分外-主として金属製のもの-社宅・寮建物</t>
  </si>
  <si>
    <t>鉄有固-案内宣伝施設 建物付属-前掲以外・前掲区分外-その他のもの-社宅・寮建物</t>
  </si>
  <si>
    <t>鉄有固-案内宣伝施設 建物-雑建物-定額50年</t>
  </si>
  <si>
    <t>鉄有固-案内宣伝施設 建物-雑建物-定額47年</t>
  </si>
  <si>
    <t>鉄有固-案内宣伝施設 建物-雑建物-定額41年</t>
  </si>
  <si>
    <t>鉄有固-案内宣伝施設 建物-雑建物-定額39年</t>
  </si>
  <si>
    <t>鉄有固-案内宣伝施設 建物-雑建物-定額38年</t>
  </si>
  <si>
    <t>鉄有固-案内宣伝施設 建物-雑建物-定額36年</t>
  </si>
  <si>
    <t>鉄有固-案内宣伝施設 建物-雑建物-定額34年</t>
  </si>
  <si>
    <t>鉄有固-案内宣伝施設 建物-雑建物-定額31年</t>
  </si>
  <si>
    <t>鉄有固-案内宣伝施設 建物-雑建物-定額30年</t>
  </si>
  <si>
    <t>鉄有固-案内宣伝施設 建物-雑建物-定額29年</t>
  </si>
  <si>
    <t>鉄有固-案内宣伝施設 建物-雑建物-定額28年</t>
  </si>
  <si>
    <t>鉄有固-案内宣伝施設 建物-雑建物-定額27年</t>
  </si>
  <si>
    <t>鉄有固-案内宣伝施設 建物-雑建物-定額26年</t>
  </si>
  <si>
    <t>鉄有固-案内宣伝施設 建物-雑建物-定額25年</t>
  </si>
  <si>
    <t>鉄有固-案内宣伝施設 建物-雑建物-定額24年</t>
  </si>
  <si>
    <t>鉄有固-案内宣伝施設 建物-雑建物-定額22年</t>
  </si>
  <si>
    <t>鉄有固-案内宣伝施設 建物-雑建物-定額21年</t>
  </si>
  <si>
    <t>鉄有固-案内宣伝施設 建物-雑建物-定額20年</t>
  </si>
  <si>
    <t>鉄有固-案内宣伝施設 建物-雑建物-定額19年</t>
  </si>
  <si>
    <t>鉄有固-案内宣伝施設 建物-雑建物-定額17年</t>
  </si>
  <si>
    <t>鉄有固-案内宣伝施設 建物-雑建物-定額15年</t>
  </si>
  <si>
    <t>鉄有固-案内宣伝施設 建物-雑建物-定額14年</t>
  </si>
  <si>
    <t>鉄有固-案内宣伝施設 建物-雑建物-定額12年</t>
  </si>
  <si>
    <t>鉄有固-案内宣伝施設 建物-雑建物-定額11年</t>
  </si>
  <si>
    <t>鉄有固-案内宣伝施設 建物-雑建物-定額10年</t>
  </si>
  <si>
    <t>鉄有固-案内宣伝施設 建物-雑建物-定額09年</t>
  </si>
  <si>
    <t>鉄有固-案内宣伝施設 建物-雑建物-定額07年</t>
  </si>
  <si>
    <t>鉄有固-案内宣伝施設 建物付属-電気設備(照明設備を含む)-蓄電池電源設備-雑建物</t>
  </si>
  <si>
    <t>鉄有固-案内宣伝施設 建物付属-電気設備(照明設備を含む)-その他のもの-雑建物</t>
  </si>
  <si>
    <t>鉄有固-案内宣伝施設 建物付属-給排水又は衛生設備及びガス設備-雑建物</t>
  </si>
  <si>
    <t>鉄有固-案内宣伝施設 建物付属-冷暖房・通風・ボイラー設備-22kw以下-雑建物</t>
  </si>
  <si>
    <t>鉄有固-案内宣伝施設 建物付属-冷暖房・通風・ボイラー設備-その他のもの-雑建物</t>
  </si>
  <si>
    <t>鉄有固-案内宣伝施設 建物付属-昇降機設備-エレベーター-雑建物</t>
  </si>
  <si>
    <t>鉄有固-案内宣伝施設 建物付属-昇降機設備-エスカレーター-雑建物</t>
  </si>
  <si>
    <t>鉄有固-案内宣伝施設 建物付属-消火・排煙・災害報知設備及び格納式避難設備-雑建物</t>
  </si>
  <si>
    <t>鉄有固-案内宣伝施設 建物付属-エヤーカーテン又はドアー自動開閉設備-雑建物</t>
  </si>
  <si>
    <t>鉄有固-案内宣伝施設 建物付属-アーケード又は日よけ設備-金属製-雑建物</t>
  </si>
  <si>
    <t>鉄有固-案内宣伝施設 建物付属-アーケード又は日よけ設備-その他のもの-雑建物</t>
  </si>
  <si>
    <t>鉄有固-案内宣伝施設 建物付属-店用簡易設備-雑建物</t>
  </si>
  <si>
    <t>鉄有固-案内宣伝施設 建物付属-可動簡易装備-簡易なもの-雑建物</t>
  </si>
  <si>
    <t>鉄有固-案内宣伝施設 建物付属-可動簡易装備-その他のもの-雑建物</t>
  </si>
  <si>
    <t>鉄有固-案内宣伝施設 建物付属-前掲以外・前掲区分外-主として金属製のもの-雑建物</t>
  </si>
  <si>
    <t>鉄有固-案内宣伝施設 建物付属-前掲以外・前掲区分外-その他のもの-雑建物</t>
  </si>
  <si>
    <t>鉄有固-案内宣伝施設 雑施設</t>
  </si>
  <si>
    <t>広告有固-土地-事務所</t>
  </si>
  <si>
    <t>広告有固-土地-店舗</t>
  </si>
  <si>
    <t>広告有固-土地-その他</t>
  </si>
  <si>
    <t>広告有固-建物-事務所-定額50年</t>
  </si>
  <si>
    <t>広告有固-建物-事務所-定額41年</t>
  </si>
  <si>
    <t>広告有固-建物-事務所-定額38年</t>
  </si>
  <si>
    <t>広告有固-建物-事務所-定額30年</t>
  </si>
  <si>
    <t>広告有固-建物-事務所-定額22年</t>
  </si>
  <si>
    <t>広告有固-建物-事務所-定額24年</t>
  </si>
  <si>
    <t>広告有固-建物-事務所-定額10年</t>
  </si>
  <si>
    <t>広告有固-建物-事務所-定額07年</t>
  </si>
  <si>
    <t>広告有固-建物付属設備-事務所-定率18年</t>
  </si>
  <si>
    <t>広告有固-建物付属設備-事務所-定率17年</t>
  </si>
  <si>
    <t>広告有固-建物付属設備-事務所-定率15年</t>
  </si>
  <si>
    <t>広告有固-建物付属設備-事務所-定率13年</t>
  </si>
  <si>
    <t>広告有固-建物付属設備-事務所-定率12年</t>
  </si>
  <si>
    <t>広告有固-建物付属設備-事務所-定率10年</t>
  </si>
  <si>
    <t>広告有固-建物付属設備-事務所-定率08年</t>
  </si>
  <si>
    <t>広告有固-建物付属設備-事務所-定率03年</t>
  </si>
  <si>
    <t>広告有固-建物-店舗-定額39年</t>
  </si>
  <si>
    <t>広告有固-建物-店舗-定額38年</t>
  </si>
  <si>
    <t>広告有固-建物-店舗-定額34年</t>
  </si>
  <si>
    <t>広告有固-建物-店舗-定額27年</t>
  </si>
  <si>
    <t>広告有固-建物-店舗-定額19年</t>
  </si>
  <si>
    <t>広告有固-建物-店舗-定額22年</t>
  </si>
  <si>
    <t>広告有固-建物-店舗-定額20年</t>
  </si>
  <si>
    <t>広告有固-建物-店舗-定額10年</t>
  </si>
  <si>
    <t>広告有固-建物-店舗-定額07年</t>
  </si>
  <si>
    <t>広告有固-建物付属設備-店舗-定率18年</t>
  </si>
  <si>
    <t>広告有固-建物付属設備-店舗-定率17年</t>
  </si>
  <si>
    <t>広告有固-建物付属設備-店舗-定率15年</t>
  </si>
  <si>
    <t>広告有固-建物付属設備-店舗-定率13年</t>
  </si>
  <si>
    <t>広告有固-建物付属設備-店舗-定率12年</t>
  </si>
  <si>
    <t>広告有固-建物付属設備-店舗-定率10年</t>
  </si>
  <si>
    <t>広告有固-建物付属設備-店舗-定率08年</t>
  </si>
  <si>
    <t>広告有固-建物付属設備-店舗-定率03年</t>
  </si>
  <si>
    <t>広告有固-建物-その他-定額50年</t>
  </si>
  <si>
    <t>広告有固-建物-その他-定額47年</t>
  </si>
  <si>
    <t>広告有固-建物-その他-定額41年</t>
  </si>
  <si>
    <t>広告有固-建物-その他-定額39年</t>
  </si>
  <si>
    <t>広告有固-建物-その他-定額38年</t>
  </si>
  <si>
    <t>広告有固-建物-その他-定額36年</t>
  </si>
  <si>
    <t>広告有固-建物-その他-定額34年</t>
  </si>
  <si>
    <t>広告有固-建物-その他-定額31年</t>
  </si>
  <si>
    <t>広告有固-建物-その他-定額30年</t>
  </si>
  <si>
    <t>広告有固-建物-その他-定額29年</t>
  </si>
  <si>
    <t>広告有固-建物-その他-定額28年</t>
  </si>
  <si>
    <t>広告有固-建物-その他-定額27年</t>
  </si>
  <si>
    <t>広告有固-建物-その他-定額26年</t>
  </si>
  <si>
    <t>広告有固-建物-その他-定額25年</t>
  </si>
  <si>
    <t>広告有固-建物-その他-定額24年</t>
  </si>
  <si>
    <t>広告有固-建物-その他-定額22年</t>
  </si>
  <si>
    <t>広告有固-建物-その他-定額21年</t>
  </si>
  <si>
    <t>広告有固-建物-その他-定額20年</t>
  </si>
  <si>
    <t>広告有固-建物-その他-定額19年</t>
  </si>
  <si>
    <t>広告有固-建物-その他-定額17年</t>
  </si>
  <si>
    <t>広告有固-建物-その他-定額15年</t>
  </si>
  <si>
    <t>広告有固-建物-その他-定額14年</t>
  </si>
  <si>
    <t>広告有固-建物-その他-定額12年</t>
  </si>
  <si>
    <t>広告有固-建物-その他-定額11年</t>
  </si>
  <si>
    <t>広告有固-建物-その他-定額10年</t>
  </si>
  <si>
    <t>広告有固-建物-その他-定額09年</t>
  </si>
  <si>
    <t>広告有固-建物-その他-定額07年</t>
  </si>
  <si>
    <t>広告有固-建物付属設備-その他-定率18年</t>
  </si>
  <si>
    <t>広告有固-建物付属設備-その他-定率17年</t>
  </si>
  <si>
    <t>広告有固-建物付属設備-その他-定率15年</t>
  </si>
  <si>
    <t>広告有固-建物付属設備-その他-定率13年</t>
  </si>
  <si>
    <t>広告有固-建物付属設備-その他-定率12年</t>
  </si>
  <si>
    <t>広告有固-建物付属設備-その他-定率10年</t>
  </si>
  <si>
    <t>広告有固-建物付属設備-その他-定率08年</t>
  </si>
  <si>
    <t>広告有固-建物付属設備-その他-定率03年</t>
  </si>
  <si>
    <t>広告有固-構築物-定率80年</t>
  </si>
  <si>
    <t>広告有固-構築物-定率75年</t>
  </si>
  <si>
    <t>広告有固-構築物-定率60年</t>
  </si>
  <si>
    <t>広告有固-構築物-定率57年</t>
  </si>
  <si>
    <t>広告有固-構築物-定率50年</t>
  </si>
  <si>
    <t>広告有固-構築物-定率45年</t>
  </si>
  <si>
    <t>広告有固-構築物-定率42年</t>
  </si>
  <si>
    <t>広告有固-構築物-定率41年</t>
  </si>
  <si>
    <t>広告有固-構築物-定率40年</t>
  </si>
  <si>
    <t>広告有固-構築物-定率36年</t>
  </si>
  <si>
    <t>広告有固-構築物-定率35年</t>
  </si>
  <si>
    <t>広告有固-構築物-定率34年</t>
  </si>
  <si>
    <t>広告有固-構築物-定率32年</t>
  </si>
  <si>
    <t>広告有固-構築物-定率30年</t>
  </si>
  <si>
    <t>広告有固-構築物-定率27年</t>
  </si>
  <si>
    <t>広告有固-構築物-定率25年</t>
  </si>
  <si>
    <t>広告有固-構築物-定率24年</t>
  </si>
  <si>
    <t>広告有固-構築物-定率22年</t>
  </si>
  <si>
    <t>広告有固-構築物-定率21年</t>
  </si>
  <si>
    <t>広告有固-構築物-定率20年</t>
  </si>
  <si>
    <t>広告有固-構築物-定率19年</t>
  </si>
  <si>
    <t>広告有固-構築物-定率17年</t>
  </si>
  <si>
    <t>広告有固-構築物-定率16年</t>
  </si>
  <si>
    <t>広告有固-構築物-定率15年</t>
  </si>
  <si>
    <t>広告有固-構築物-定率14年</t>
  </si>
  <si>
    <t>広告有固-構築物-定率13年</t>
  </si>
  <si>
    <t>広告有固-構築物-定率12年</t>
  </si>
  <si>
    <t>広告有固-構築物-定率10年</t>
  </si>
  <si>
    <t>広告有固-構築物-定率08年</t>
  </si>
  <si>
    <t>広告有固-構築物-定率07年</t>
  </si>
  <si>
    <t>広告有固-構築物-定率05年</t>
  </si>
  <si>
    <t>広告有固-構築物-定率03年</t>
  </si>
  <si>
    <t>広告有固-機械装置-定率22年</t>
  </si>
  <si>
    <t>広告有固-機械装置-定率20年</t>
  </si>
  <si>
    <t>広告有固-機械装置-定率18年</t>
  </si>
  <si>
    <t>広告有固-機械装置-定率17年</t>
  </si>
  <si>
    <t>広告有固-機械装置-定率15年</t>
  </si>
  <si>
    <t>広告有固-機械装置-定率14年</t>
  </si>
  <si>
    <t>広告有固-機械装置-定率13年</t>
  </si>
  <si>
    <t>広告有固-機械装置-定率12年</t>
  </si>
  <si>
    <t>広告有固-機械装置-定率11年</t>
  </si>
  <si>
    <t>広告有固-機械装置-定率10年</t>
  </si>
  <si>
    <t>広告有固-機械装置-定率09年</t>
  </si>
  <si>
    <t>広告有固-機械装置-定率08年</t>
  </si>
  <si>
    <t>広告有固-機械装置-定率07年</t>
  </si>
  <si>
    <t>広告有固-機械装置-定率06年</t>
  </si>
  <si>
    <t>広告有固-機械装置-定率05年</t>
  </si>
  <si>
    <t>広告有固-機械装置-定率04年</t>
  </si>
  <si>
    <t>広告有固-機械装置-定率03年</t>
  </si>
  <si>
    <t>広告有固-工具器具及び備品-工器備-定率13年</t>
  </si>
  <si>
    <t>広告有固-工具器具及び備品-工器備-定率08年</t>
  </si>
  <si>
    <t>広告有固-工具器具及び備品-工器備-定率05年</t>
  </si>
  <si>
    <t>広告有固-工具器具及び備品-工器備-定率04年</t>
  </si>
  <si>
    <t>広告有固-工具器具及び備品-工器備-定率03年</t>
  </si>
  <si>
    <t>広告有固-工具器具及び備品-工器備-定率02年</t>
  </si>
  <si>
    <t>広告有固-工具器具及び備品-工器備-定率20年</t>
  </si>
  <si>
    <t>広告有固-工具器具及び備品-工器備-定率15年</t>
  </si>
  <si>
    <t>広告有固-工具器具及び備品-工器備-定率10年</t>
  </si>
  <si>
    <t>広告有固-工具器具及び備品-工器備-定率07年</t>
  </si>
  <si>
    <t>広告有固-工具器具及び備品-工器備-定率06年</t>
  </si>
  <si>
    <t>広告有固-工具器具及び備品-運搬具-定率07年</t>
  </si>
  <si>
    <t>広告有固-工具器具及び備品-運搬具-定率06年</t>
  </si>
  <si>
    <t>広告有固-工具器具及び備品-運搬具-定率05年</t>
  </si>
  <si>
    <t>広告有固-工具器具及び備品-運搬具-定率04年</t>
  </si>
  <si>
    <t>広告有固-工具器具及び備品-運搬具-定率03年</t>
  </si>
  <si>
    <t>広告有固-工具器具及び備品-運搬具-定率02年</t>
  </si>
  <si>
    <t>広告有固-リース資産-土地</t>
  </si>
  <si>
    <t>広告有固-リース資産-建物</t>
  </si>
  <si>
    <t>広告有固-リース資産-構築物</t>
  </si>
  <si>
    <t>広告有固-リース資産-車両</t>
  </si>
  <si>
    <t>広告有固-リース資産-機械装置</t>
  </si>
  <si>
    <t>広告有固-リース資産-工具器具及び備品</t>
  </si>
  <si>
    <t>広告有固-雑施設</t>
  </si>
  <si>
    <t>不動産有固-土地-事務所</t>
  </si>
  <si>
    <t>不動産有固-土地-店舗</t>
  </si>
  <si>
    <t>不動産有固-土地-その他</t>
  </si>
  <si>
    <t>不動産有固-建物-事務所-定額50年</t>
  </si>
  <si>
    <t>不動産有固-建物-事務所-定額41年</t>
  </si>
  <si>
    <t>不動産有固-建物-事務所-定額38年</t>
  </si>
  <si>
    <t>不動産有固-建物-事務所-定額30年</t>
  </si>
  <si>
    <t>不動産有固-建物-事務所-定額22年</t>
  </si>
  <si>
    <t>不動産有固-建物-事務所-定額24年</t>
  </si>
  <si>
    <t>不動産有固-建物-事務所-定額10年</t>
  </si>
  <si>
    <t>不動産有固-建物-事務所-定額07年</t>
  </si>
  <si>
    <t>不動産有固-建物付属設備-事務所-定率18年</t>
  </si>
  <si>
    <t>不動産有固-建物付属設備-事務所-定率17年</t>
  </si>
  <si>
    <t>不動産有固-建物付属設備-事務所-定率15年</t>
  </si>
  <si>
    <t>不動産有固-建物付属設備-事務所-定率13年</t>
  </si>
  <si>
    <t>不動産有固-建物付属設備-事務所-定率12年</t>
  </si>
  <si>
    <t>不動産有固-建物付属設備-事務所-定率10年</t>
  </si>
  <si>
    <t>不動産有固-建物付属設備-事務所-定率08年</t>
  </si>
  <si>
    <t>不動産有固-建物付属設備-事務所-定率03年</t>
  </si>
  <si>
    <t>不動産有固-建物-店舗-定額39年</t>
  </si>
  <si>
    <t>不動産有固-建物-店舗-定額38年</t>
  </si>
  <si>
    <t>不動産有固-建物-店舗-定額34年</t>
  </si>
  <si>
    <t>不動産有固-建物-店舗-定額27年</t>
  </si>
  <si>
    <t>不動産有固-建物-店舗-定額19年</t>
  </si>
  <si>
    <t>不動産有固-建物-店舗-定額22年</t>
  </si>
  <si>
    <t>不動産有固-建物-店舗-定額20年</t>
  </si>
  <si>
    <t>不動産有固-建物-店舗-定額10年</t>
  </si>
  <si>
    <t>不動産有固-建物-店舗-定額07年</t>
  </si>
  <si>
    <t>不動産有固-建物付属設備-店舗-定率18年</t>
  </si>
  <si>
    <t>不動産有固-建物付属設備-店舗-定率17年</t>
  </si>
  <si>
    <t>不動産有固-建物付属設備-店舗-定率15年</t>
  </si>
  <si>
    <t>不動産有固-建物付属設備-店舗-定率13年</t>
  </si>
  <si>
    <t>不動産有固-建物付属設備-店舗-定率12年</t>
  </si>
  <si>
    <t>不動産有固-建物付属設備-店舗-定率10年</t>
  </si>
  <si>
    <t>不動産有固-建物付属設備-店舗-定率08年</t>
  </si>
  <si>
    <t>不動産有固-建物付属設備-店舗-定率03年</t>
  </si>
  <si>
    <t>不動産有固-建物-その他-定額50年</t>
  </si>
  <si>
    <t>不動産有固-建物-その他-定額47年</t>
  </si>
  <si>
    <t>不動産有固-建物-その他-定額41年</t>
  </si>
  <si>
    <t>不動産有固-建物-その他-定額39年</t>
  </si>
  <si>
    <t>不動産有固-建物-その他-定額38年</t>
  </si>
  <si>
    <t>不動産有固-建物-その他-定額36年</t>
  </si>
  <si>
    <t>不動産有固-建物-その他-定額34年</t>
  </si>
  <si>
    <t>不動産有固-建物-その他-定額31年</t>
  </si>
  <si>
    <t>不動産有固-建物-その他-定額30年</t>
  </si>
  <si>
    <t>不動産有固-建物-その他-定額29年</t>
  </si>
  <si>
    <t>不動産有固-建物-その他-定額28年</t>
  </si>
  <si>
    <t>不動産有固-建物-その他-定額27年</t>
  </si>
  <si>
    <t>不動産有固-建物-その他-定額26年</t>
  </si>
  <si>
    <t>不動産有固-建物-その他-定額25年</t>
  </si>
  <si>
    <t>不動産有固-建物-その他-定額24年</t>
  </si>
  <si>
    <t>不動産有固-建物-その他-定額22年</t>
  </si>
  <si>
    <t>不動産有固-建物-その他-定額21年</t>
  </si>
  <si>
    <t>不動産有固-建物-その他-定額20年</t>
  </si>
  <si>
    <t>不動産有固-建物-その他-定額19年</t>
  </si>
  <si>
    <t>不動産有固-建物-その他-定額17年</t>
  </si>
  <si>
    <t>不動産有固-建物-その他-定額15年</t>
  </si>
  <si>
    <t>不動産有固-建物-その他-定額14年</t>
  </si>
  <si>
    <t>不動産有固-建物-その他-定額12年</t>
  </si>
  <si>
    <t>不動産有固-建物-その他-定額11年</t>
  </si>
  <si>
    <t>不動産有固-建物-その他-定額10年</t>
  </si>
  <si>
    <t>不動産有固-建物-その他-定額09年</t>
  </si>
  <si>
    <t>不動産有固-建物-その他-定額07年</t>
  </si>
  <si>
    <t>不動産有固-建物付属設備-その他-定率18年</t>
  </si>
  <si>
    <t>不動産有固-建物付属設備-その他-定率17年</t>
  </si>
  <si>
    <t>不動産有固-建物付属設備-その他-定率15年</t>
  </si>
  <si>
    <t>不動産有固-建物付属設備-その他-定率13年</t>
  </si>
  <si>
    <t>不動産有固-建物付属設備-その他-定率12年</t>
  </si>
  <si>
    <t>不動産有固-建物付属設備-その他-定率10年</t>
  </si>
  <si>
    <t>不動産有固-建物付属設備-その他-定率08年</t>
  </si>
  <si>
    <t>不動産有固-建物付属設備-その他-定率03年</t>
  </si>
  <si>
    <t>不動産有固-構築物-定率80年</t>
  </si>
  <si>
    <t>不動産有固-構築物-定率75年</t>
  </si>
  <si>
    <t>不動産有固-構築物-定率60年</t>
  </si>
  <si>
    <t>不動産有固-構築物-定率57年</t>
  </si>
  <si>
    <t>不動産有固-構築物-定率50年</t>
  </si>
  <si>
    <t>不動産有固-構築物-定率45年</t>
  </si>
  <si>
    <t>不動産有固-構築物-定率42年</t>
  </si>
  <si>
    <t>不動産有固-構築物-定率41年</t>
  </si>
  <si>
    <t>不動産有固-構築物-定率40年</t>
  </si>
  <si>
    <t>不動産有固-構築物-定率36年</t>
  </si>
  <si>
    <t>不動産有固-構築物-定率35年</t>
  </si>
  <si>
    <t>不動産有固-構築物-定率34年</t>
  </si>
  <si>
    <t>不動産有固-構築物-定率32年</t>
  </si>
  <si>
    <t>不動産有固-構築物-定率30年</t>
  </si>
  <si>
    <t>不動産有固-構築物-定率27年</t>
  </si>
  <si>
    <t>不動産有固-構築物-定率25年</t>
  </si>
  <si>
    <t>不動産有固-構築物-定率24年</t>
  </si>
  <si>
    <t>不動産有固-構築物-定率22年</t>
  </si>
  <si>
    <t>不動産有固-構築物-定率21年</t>
  </si>
  <si>
    <t>不動産有固-構築物-定率20年</t>
  </si>
  <si>
    <t>不動産有固-構築物-定率19年</t>
  </si>
  <si>
    <t>不動産有固-構築物-定率17年</t>
  </si>
  <si>
    <t>不動産有固-構築物-定率16年</t>
  </si>
  <si>
    <t>不動産有固-構築物-定率15年</t>
  </si>
  <si>
    <t>不動産有固-構築物-定率14年</t>
  </si>
  <si>
    <t>不動産有固-構築物-定率13年</t>
  </si>
  <si>
    <t>不動産有固-構築物-定率12年</t>
  </si>
  <si>
    <t>不動産有固-構築物-定率10年</t>
  </si>
  <si>
    <t>不動産有固-構築物-定率08年</t>
  </si>
  <si>
    <t>不動産有固-構築物-定率07年</t>
  </si>
  <si>
    <t>不動産有固-構築物-定率05年</t>
  </si>
  <si>
    <t>不動産有固-構築物-定率03年</t>
  </si>
  <si>
    <t>不動産有固-機械装置-定率22年</t>
  </si>
  <si>
    <t>不動産有固-機械装置-定率20年</t>
  </si>
  <si>
    <t>不動産有固-機械装置-定率18年</t>
  </si>
  <si>
    <t>不動産有固-機械装置-定率17年</t>
  </si>
  <si>
    <t>不動産有固-機械装置-定率15年</t>
  </si>
  <si>
    <t>不動産有固-機械装置-定率14年</t>
  </si>
  <si>
    <t>不動産有固-機械装置-定率13年</t>
  </si>
  <si>
    <t>不動産有固-機械装置-定率12年</t>
  </si>
  <si>
    <t>不動産有固-機械装置-定率11年</t>
  </si>
  <si>
    <t>不動産有固-機械装置-定率10年</t>
  </si>
  <si>
    <t>不動産有固-機械装置-定率09年</t>
  </si>
  <si>
    <t>不動産有固-機械装置-定率08年</t>
  </si>
  <si>
    <t>不動産有固-機械装置-定率07年</t>
  </si>
  <si>
    <t>不動産有固-機械装置-定率06年</t>
  </si>
  <si>
    <t>不動産有固-機械装置-定率05年</t>
  </si>
  <si>
    <t>不動産有固-機械装置-定率04年</t>
  </si>
  <si>
    <t>不動産有固-機械装置-定率03年</t>
  </si>
  <si>
    <t>不動産有固-工具器具及び備品-工器備-定率13年</t>
  </si>
  <si>
    <t>不動産有固-工具器具及び備品-工器備-定率08年</t>
  </si>
  <si>
    <t>不動産有固-工具器具及び備品-工器備-定率05年</t>
  </si>
  <si>
    <t>不動産有固-工具器具及び備品-工器備-定率04年</t>
  </si>
  <si>
    <t>不動産有固-工具器具及び備品-工器備-定率03年</t>
  </si>
  <si>
    <t>不動産有固-工具器具及び備品-工器備-定率02年</t>
  </si>
  <si>
    <t>不動産有固-工具器具及び備品-工器備-定率20年</t>
  </si>
  <si>
    <t>不動産有固-工具器具及び備品-工器備-定率15年</t>
  </si>
  <si>
    <t>不動産有固-工具器具及び備品-工器備-定率10年</t>
  </si>
  <si>
    <t>不動産有固-工具器具及び備品-工器備-定率07年</t>
  </si>
  <si>
    <t>不動産有固-工具器具及び備品-工器備-定率06年</t>
  </si>
  <si>
    <t>不動産有固-工具器具及び備品-運搬具-定率07年</t>
  </si>
  <si>
    <t>不動産有固-工具器具及び備品-運搬具-定率06年</t>
  </si>
  <si>
    <t>不動産有固-工具器具及び備品-運搬具-定率05年</t>
  </si>
  <si>
    <t>不動産有固-工具器具及び備品-運搬具-定率04年</t>
  </si>
  <si>
    <t>不動産有固-工具器具及び備品-運搬具-定率03年</t>
  </si>
  <si>
    <t>不動産有固-工具器具及び備品-運搬具-定率02年</t>
  </si>
  <si>
    <t>不動産有固-リース資産-土地</t>
  </si>
  <si>
    <t>不動産有固-リース資産-建物</t>
  </si>
  <si>
    <t>不動産有固-リース資産-構築物</t>
  </si>
  <si>
    <t>不動産有固-リース資産-車両</t>
  </si>
  <si>
    <t>不動産有固-リース資産-機械装置</t>
  </si>
  <si>
    <t>不動産有固-リース資産-工具器具及び備品</t>
  </si>
  <si>
    <t>不動産有固-雑施設</t>
  </si>
  <si>
    <t>流通有固-土地-事務所</t>
  </si>
  <si>
    <t>流通有固-土地-店舗</t>
  </si>
  <si>
    <t>流通有固-土地-その他</t>
  </si>
  <si>
    <t>流通有固-建物-事務所-定額50年</t>
  </si>
  <si>
    <t>流通有固-建物-事務所-定額41年</t>
  </si>
  <si>
    <t>流通有固-建物-事務所-定額38年</t>
  </si>
  <si>
    <t>流通有固-建物-事務所-定額30年</t>
  </si>
  <si>
    <t>流通有固-建物-事務所-定額22年</t>
  </si>
  <si>
    <t>流通有固-建物-事務所-定額24年</t>
  </si>
  <si>
    <t>流通有固-建物-事務所-定額10年</t>
  </si>
  <si>
    <t>流通有固-建物-事務所-定額07年</t>
  </si>
  <si>
    <t>流通有固-建物付属設備-事務所-定率18年</t>
  </si>
  <si>
    <t>流通有固-建物付属設備-事務所-定率17年</t>
  </si>
  <si>
    <t>流通有固-建物付属設備-事務所-定率15年</t>
  </si>
  <si>
    <t>流通有固-建物付属設備-事務所-定率13年</t>
  </si>
  <si>
    <t>流通有固-建物付属設備-事務所-定率12年</t>
  </si>
  <si>
    <t>流通有固-建物付属設備-事務所-定率10年</t>
  </si>
  <si>
    <t>流通有固-建物付属設備-事務所-定率08年</t>
  </si>
  <si>
    <t>流通有固-建物付属設備-事務所-定率03年</t>
  </si>
  <si>
    <t>流通有固-建物-店舗-定額39年</t>
  </si>
  <si>
    <t>流通有固-建物-店舗-定額38年</t>
  </si>
  <si>
    <t>流通有固-建物-店舗-定額34年</t>
  </si>
  <si>
    <t>流通有固-建物-店舗-定額27年</t>
  </si>
  <si>
    <t>流通有固-建物-店舗-定額19年</t>
  </si>
  <si>
    <t>流通有固-建物-店舗-定額22年</t>
  </si>
  <si>
    <t>流通有固-建物-店舗-定額20年</t>
  </si>
  <si>
    <t>流通有固-建物-店舗-定額10年</t>
  </si>
  <si>
    <t>流通有固-建物-店舗-定額07年</t>
  </si>
  <si>
    <t>流通有固-建物付属設備-店舗-定率18年</t>
  </si>
  <si>
    <t>流通有固-建物付属設備-店舗-定率17年</t>
  </si>
  <si>
    <t>流通有固-建物付属設備-店舗-定率15年</t>
  </si>
  <si>
    <t>流通有固-建物付属設備-店舗-定率13年</t>
  </si>
  <si>
    <t>流通有固-建物付属設備-店舗-定率12年</t>
  </si>
  <si>
    <t>流通有固-建物付属設備-店舗-定率10年</t>
  </si>
  <si>
    <t>流通有固-建物付属設備-店舗-定率08年</t>
  </si>
  <si>
    <t>流通有固-建物付属設備-店舗-定率03年</t>
  </si>
  <si>
    <t>流通有固-建物-その他-定額50年</t>
  </si>
  <si>
    <t>流通有固-建物-その他-定額47年</t>
  </si>
  <si>
    <t>流通有固-建物-その他-定額41年</t>
  </si>
  <si>
    <t>流通有固-建物-その他-定額39年</t>
  </si>
  <si>
    <t>流通有固-建物-その他-定額38年</t>
  </si>
  <si>
    <t>流通有固-建物-その他-定額36年</t>
  </si>
  <si>
    <t>流通有固-建物-その他-定額34年</t>
  </si>
  <si>
    <t>流通有固-建物-その他-定額31年</t>
  </si>
  <si>
    <t>流通有固-建物-その他-定額30年</t>
  </si>
  <si>
    <t>流通有固-建物-その他-定額29年</t>
  </si>
  <si>
    <t>流通有固-建物-その他-定額28年</t>
  </si>
  <si>
    <t>流通有固-建物-その他-定額27年</t>
  </si>
  <si>
    <t>流通有固-建物-その他-定額26年</t>
  </si>
  <si>
    <t>流通有固-建物-その他-定額25年</t>
  </si>
  <si>
    <t>流通有固-建物-その他-定額24年</t>
  </si>
  <si>
    <t>流通有固-建物-その他-定額22年</t>
  </si>
  <si>
    <t>流通有固-建物-その他-定額21年</t>
  </si>
  <si>
    <t>流通有固-建物-その他-定額20年</t>
  </si>
  <si>
    <t>流通有固-建物-その他-定額19年</t>
  </si>
  <si>
    <t>流通有固-建物-その他-定額17年</t>
  </si>
  <si>
    <t>流通有固-建物-その他-定額15年</t>
  </si>
  <si>
    <t>流通有固-建物-その他-定額14年</t>
  </si>
  <si>
    <t>流通有固-建物-その他-定額12年</t>
  </si>
  <si>
    <t>流通有固-建物-その他-定額11年</t>
  </si>
  <si>
    <t>流通有固-建物-その他-定額10年</t>
  </si>
  <si>
    <t>流通有固-建物-その他-定額09年</t>
  </si>
  <si>
    <t>流通有固-建物-その他-定額07年</t>
  </si>
  <si>
    <t>流通有固-建物付属設備-その他-定率18年</t>
  </si>
  <si>
    <t>流通有固-建物付属設備-その他-定率17年</t>
  </si>
  <si>
    <t>流通有固-建物付属設備-その他-定率15年</t>
  </si>
  <si>
    <t>流通有固-建物付属設備-その他-定率13年</t>
  </si>
  <si>
    <t>流通有固-建物付属設備-その他-定率12年</t>
  </si>
  <si>
    <t>流通有固-建物付属設備-その他-定率10年</t>
  </si>
  <si>
    <t>流通有固-建物付属設備-その他-定率08年</t>
  </si>
  <si>
    <t>流通有固-建物付属設備-その他-定率03年</t>
  </si>
  <si>
    <t>流通有固-構築物-定率80年</t>
  </si>
  <si>
    <t>流通有固-構築物-定率75年</t>
  </si>
  <si>
    <t>流通有固-構築物-定率60年</t>
  </si>
  <si>
    <t>流通有固-構築物-定率57年</t>
  </si>
  <si>
    <t>流通有固-構築物-定率50年</t>
  </si>
  <si>
    <t>流通有固-構築物-定率45年</t>
  </si>
  <si>
    <t>流通有固-構築物-定率42年</t>
  </si>
  <si>
    <t>流通有固-構築物-定率41年</t>
  </si>
  <si>
    <t>流通有固-構築物-定率40年</t>
  </si>
  <si>
    <t>流通有固-構築物-定率36年</t>
  </si>
  <si>
    <t>流通有固-構築物-定率35年</t>
  </si>
  <si>
    <t>流通有固-構築物-定率34年</t>
  </si>
  <si>
    <t>流通有固-構築物-定率32年</t>
  </si>
  <si>
    <t>流通有固-構築物-定率30年</t>
  </si>
  <si>
    <t>流通有固-構築物-定率27年</t>
  </si>
  <si>
    <t>流通有固-構築物-定率25年</t>
  </si>
  <si>
    <t>流通有固-構築物-定率24年</t>
  </si>
  <si>
    <t>流通有固-構築物-定率22年</t>
  </si>
  <si>
    <t>流通有固-構築物-定率21年</t>
  </si>
  <si>
    <t>流通有固-構築物-定率20年</t>
  </si>
  <si>
    <t>流通有固-構築物-定率19年</t>
  </si>
  <si>
    <t>流通有固-構築物-定率17年</t>
  </si>
  <si>
    <t>流通有固-構築物-定率16年</t>
  </si>
  <si>
    <t>流通有固-構築物-定率15年</t>
  </si>
  <si>
    <t>流通有固-構築物-定率14年</t>
  </si>
  <si>
    <t>流通有固-構築物-定率13年</t>
  </si>
  <si>
    <t>流通有固-構築物-定率12年</t>
  </si>
  <si>
    <t>流通有固-構築物-定率10年</t>
  </si>
  <si>
    <t>流通有固-構築物-定率08年</t>
  </si>
  <si>
    <t>流通有固-構築物-定率07年</t>
  </si>
  <si>
    <t>流通有固-構築物-定率05年</t>
  </si>
  <si>
    <t>流通有固-構築物-定率03年</t>
  </si>
  <si>
    <t>流通有固-機械装置-定率22年</t>
  </si>
  <si>
    <t>流通有固-機械装置-定率20年</t>
  </si>
  <si>
    <t>流通有固-機械装置-定率18年</t>
  </si>
  <si>
    <t>流通有固-機械装置-定率17年</t>
  </si>
  <si>
    <t>流通有固-機械装置-定率15年</t>
  </si>
  <si>
    <t>流通有固-機械装置-定率14年</t>
  </si>
  <si>
    <t>流通有固-機械装置-定率13年</t>
  </si>
  <si>
    <t>流通有固-機械装置-定率12年</t>
  </si>
  <si>
    <t>流通有固-機械装置-定率11年</t>
  </si>
  <si>
    <t>流通有固-機械装置-定率10年</t>
  </si>
  <si>
    <t>流通有固-機械装置-定率09年</t>
  </si>
  <si>
    <t>流通有固-機械装置-定率08年</t>
  </si>
  <si>
    <t>流通有固-機械装置-定率07年</t>
  </si>
  <si>
    <t>流通有固-機械装置-定率06年</t>
  </si>
  <si>
    <t>流通有固-機械装置-定率05年</t>
  </si>
  <si>
    <t>流通有固-機械装置-定率04年</t>
  </si>
  <si>
    <t>流通有固-機械装置-定率03年</t>
  </si>
  <si>
    <t>流通有固-工具器具及び備品-工器備-定率13年</t>
  </si>
  <si>
    <t>流通有固-工具器具及び備品-工器備-定率08年</t>
  </si>
  <si>
    <t>流通有固-工具器具及び備品-工器備-定率05年</t>
  </si>
  <si>
    <t>流通有固-工具器具及び備品-工器備-定率04年</t>
  </si>
  <si>
    <t>流通有固-工具器具及び備品-工器備-定率03年</t>
  </si>
  <si>
    <t>流通有固-工具器具及び備品-工器備-定率02年</t>
  </si>
  <si>
    <t>流通有固-工具器具及び備品-工器備-定率20年</t>
  </si>
  <si>
    <t>流通有固-工具器具及び備品-工器備-定率15年</t>
  </si>
  <si>
    <t>流通有固-工具器具及び備品-工器備-定率10年</t>
  </si>
  <si>
    <t>流通有固-工具器具及び備品-工器備-定率07年</t>
  </si>
  <si>
    <t>流通有固-工具器具及び備品-工器備-定率06年</t>
  </si>
  <si>
    <t>流通有固-工具器具及び備品-運搬具-定率07年</t>
  </si>
  <si>
    <t>流通有固-工具器具及び備品-運搬具-定率06年</t>
  </si>
  <si>
    <t>流通有固-工具器具及び備品-運搬具-定率05年</t>
  </si>
  <si>
    <t>流通有固-工具器具及び備品-運搬具-定率04年</t>
  </si>
  <si>
    <t>流通有固-工具器具及び備品-運搬具-定率03年</t>
  </si>
  <si>
    <t>流通有固-工具器具及び備品-運搬具-定率02年</t>
  </si>
  <si>
    <t>流通有固-リース資産-土地</t>
  </si>
  <si>
    <t>流通有固-リース資産-建物</t>
  </si>
  <si>
    <t>流通有固-リース資産-構築物</t>
  </si>
  <si>
    <t>流通有固-リース資産-車両</t>
  </si>
  <si>
    <t>流通有固-リース資産-機械装置</t>
  </si>
  <si>
    <t>流通有固-リース資産-工具器具及び備品</t>
  </si>
  <si>
    <t>流通有固-雑施設</t>
  </si>
  <si>
    <t>サービス有固-土地-事務所</t>
  </si>
  <si>
    <t>サービス有固-土地-店舗</t>
  </si>
  <si>
    <t>サービス有固-土地-その他</t>
  </si>
  <si>
    <t>サービス有固-建物-事務所-定額50年</t>
  </si>
  <si>
    <t>サービス有固-建物-事務所-定額41年</t>
  </si>
  <si>
    <t>サービス有固-建物-事務所-定額38年</t>
  </si>
  <si>
    <t>サービス有固-建物-事務所-定額30年</t>
  </si>
  <si>
    <t>サービス有固-建物-事務所-定額22年</t>
  </si>
  <si>
    <t>サービス有固-建物-事務所-定額24年</t>
  </si>
  <si>
    <t>サービス有固-建物-事務所-定額10年</t>
  </si>
  <si>
    <t>サービス有固-建物-事務所-定額07年</t>
  </si>
  <si>
    <t>サービス有固-建物付属設備-事務所-定率18年</t>
  </si>
  <si>
    <t>サービス有固-建物付属設備-事務所-定率17年</t>
  </si>
  <si>
    <t>サービス有固-事務所-定率15年</t>
  </si>
  <si>
    <t>サービス有固-建物付属設備-事務所-定率13年</t>
  </si>
  <si>
    <t>サービス有固-建物付属設備-事務所-定率12年</t>
  </si>
  <si>
    <t>サービス有固-建物付属設備-事務所-定率10年</t>
  </si>
  <si>
    <t>サービス有固-建物付属設備-事務所-定率08年</t>
  </si>
  <si>
    <t>サービス有固-建物付属設備-事務所-定率03年</t>
  </si>
  <si>
    <t>サービス有固-建物-店舗-定額39年</t>
  </si>
  <si>
    <t>サービス有固-建物-店舗-定額38年</t>
  </si>
  <si>
    <t>サービス有固-建物-店舗-定額34年</t>
  </si>
  <si>
    <t>サービス有固-建物-店舗-定額27年</t>
  </si>
  <si>
    <t>サービス有固-建物-店舗-定額19年</t>
  </si>
  <si>
    <t>サービス有固-建物-店舗-定額22年</t>
  </si>
  <si>
    <t>サービス有固-建物-店舗-定額20年</t>
  </si>
  <si>
    <t>サービス有固-建物-店舗-定額10年</t>
  </si>
  <si>
    <t>サービス有固-建物-店舗-定額07年</t>
  </si>
  <si>
    <t>サービス有固-建物付属設備-店舗-定率18年</t>
  </si>
  <si>
    <t>サービス有固-建物付属設備-店舗-定率17年</t>
  </si>
  <si>
    <t>サービス有固-建物付属設備-店舗-定率15年</t>
  </si>
  <si>
    <t>サービス有固-建物付属設備-店舗-定率13年</t>
  </si>
  <si>
    <t>サービス有固-建物付属設備-店舗-定率12年</t>
  </si>
  <si>
    <t>サービス有固-建物付属設備-店舗-定率10年</t>
  </si>
  <si>
    <t>サービス有固-建物付属設備-店舗-定率08年</t>
  </si>
  <si>
    <t>サービス有固-建物付属設備-店舗-定率03年</t>
  </si>
  <si>
    <t>サービス有固-建物-その他-定額50年</t>
  </si>
  <si>
    <t>サービス有固-建物-その他-定額47年</t>
  </si>
  <si>
    <t>サービス有固-建物-その他-定額41年</t>
  </si>
  <si>
    <t>サービス有固-建物-その他-定額39年</t>
  </si>
  <si>
    <t>サービス有固-建物-その他-定額38年</t>
  </si>
  <si>
    <t>サービス有固-建物-その他-定額36年</t>
  </si>
  <si>
    <t>サービス有固-建物-その他-定額34年</t>
  </si>
  <si>
    <t>サービス有固-建物-その他-定額31年</t>
  </si>
  <si>
    <t>サービス有固-建物-その他-定額30年</t>
  </si>
  <si>
    <t>サービス有固-建物-その他-定額29年</t>
  </si>
  <si>
    <t>サービス有固-建物-その他-定額28年</t>
  </si>
  <si>
    <t>サービス有固-建物-その他-定額27年</t>
  </si>
  <si>
    <t>サービス有固-建物-その他-定額26年</t>
  </si>
  <si>
    <t>サービス有固-建物-その他-定額25年</t>
  </si>
  <si>
    <t>サービス有固-建物-その他-定額24年</t>
  </si>
  <si>
    <t>サービス有固-建物-その他-定額22年</t>
  </si>
  <si>
    <t>サービス有固-建物-その他-定額21年</t>
  </si>
  <si>
    <t>サービス有固-建物-その他-定額20年</t>
  </si>
  <si>
    <t>サービス有固-建物-その他-定額19年</t>
  </si>
  <si>
    <t>サービス有固-建物-その他-定額17年</t>
  </si>
  <si>
    <t>サービス有固-建物-その他-定額15年</t>
  </si>
  <si>
    <t>サービス有固-建物-その他-定額14年</t>
  </si>
  <si>
    <t>サービス有固-建物-その他-定額12年</t>
  </si>
  <si>
    <t>サービス有固-建物-その他-定額11年</t>
  </si>
  <si>
    <t>サービス有固-建物-その他-定額10年</t>
  </si>
  <si>
    <t>サービス有固-建物-その他-定額09年</t>
  </si>
  <si>
    <t>サービス有固-建物-その他-定額07年</t>
  </si>
  <si>
    <t>サービス有固-建物付属設備-その他-定率18年</t>
  </si>
  <si>
    <t>サービス有固-建物付属設備-その他-定率17年</t>
  </si>
  <si>
    <t>サービス有固-建物付属設備-その他-定率15年</t>
  </si>
  <si>
    <t>サービス有固-建物付属設備-その他-定率13年</t>
  </si>
  <si>
    <t>サービス有固-建物付属設備-その他-定率12年</t>
  </si>
  <si>
    <t>サービス有固-建物付属設備-その他-定率10年</t>
  </si>
  <si>
    <t>サービス有固-建物付属設備-その他-定率08年</t>
  </si>
  <si>
    <t>サービス有固-建物付属設備-その他-定率03年</t>
  </si>
  <si>
    <t>サービス有固-構築物-定率80年</t>
  </si>
  <si>
    <t>サービス有固-構築物-定率75年</t>
  </si>
  <si>
    <t>サービス有固-構築物-定率60年</t>
  </si>
  <si>
    <t>サービス有固-構築物-定率57年</t>
  </si>
  <si>
    <t>サービス有固-構築物-定率50年</t>
  </si>
  <si>
    <t>サービス有固-構築物-定率45年</t>
  </si>
  <si>
    <t>サービス有固-構築物-定率42年</t>
  </si>
  <si>
    <t>サービス有固-構築物-定率41年</t>
  </si>
  <si>
    <t>サービス有固-構築物-定率40年</t>
  </si>
  <si>
    <t>サービス有固-構築物-定率36年</t>
  </si>
  <si>
    <t>サービス有固-構築物-定率35年</t>
  </si>
  <si>
    <t>サービス有固-構築物-定率34年</t>
  </si>
  <si>
    <t>サービス有固-構築物-定率32年</t>
  </si>
  <si>
    <t>サービス有固-構築物-定率30年</t>
  </si>
  <si>
    <t>サービス有固-構築物-定率27年</t>
  </si>
  <si>
    <t>サービス有固-構築物-定率25年</t>
  </si>
  <si>
    <t>サービス有固-構築物-定率24年</t>
  </si>
  <si>
    <t>サービス有固-構築物-定率22年</t>
  </si>
  <si>
    <t>サービス有固-構築物-定率21年</t>
  </si>
  <si>
    <t>サービス有固-構築物-定率20年</t>
  </si>
  <si>
    <t>サービス有固-構築物-定率19年</t>
  </si>
  <si>
    <t>サービス有固-構築物-定率17年</t>
  </si>
  <si>
    <t>サービス有固-構築物-定率16年</t>
  </si>
  <si>
    <t>サービス有固-構築物-定率15年</t>
  </si>
  <si>
    <t>サービス有固-構築物-定率14年</t>
  </si>
  <si>
    <t>サービス有固-構築物-定率13年</t>
  </si>
  <si>
    <t>サービス有固-構築物-定率12年</t>
  </si>
  <si>
    <t>サービス有固-構築物-定率10年</t>
  </si>
  <si>
    <t>サービス有固-構築物-定率08年</t>
  </si>
  <si>
    <t>サービス有固-構築物-定率07年</t>
  </si>
  <si>
    <t>サービス有固-構築物-定率05年</t>
  </si>
  <si>
    <t>サービス有固-構築物-定率03年</t>
  </si>
  <si>
    <t>サービス有固-機械装置-定率22年</t>
  </si>
  <si>
    <t>サービス有固-機械装置-定率20年</t>
  </si>
  <si>
    <t>サービス有固-機械装置-定率18年</t>
  </si>
  <si>
    <t>サービス有固-機械装置-定率17年</t>
  </si>
  <si>
    <t>サービス有固-機械装置-定率15年</t>
  </si>
  <si>
    <t>サービス有固-機械装置-定率14年</t>
  </si>
  <si>
    <t>サービス有固-機械装置-定率13年</t>
  </si>
  <si>
    <t>サービス有固-機械装置-定率12年</t>
  </si>
  <si>
    <t>サービス有固-機械装置-定率11年</t>
  </si>
  <si>
    <t>サービス有固-機械装置-定率10年</t>
  </si>
  <si>
    <t>サービス有固-機械装置-定率09年</t>
  </si>
  <si>
    <t>サービス有固-機械装置-定率08年</t>
  </si>
  <si>
    <t>サービス有固-機械装置-定率07年</t>
  </si>
  <si>
    <t>サービス有固-機械装置-定率06年</t>
  </si>
  <si>
    <t>サービス有固-機械装置-定率05年</t>
  </si>
  <si>
    <t>サービス有固-機械装置-定率04年</t>
  </si>
  <si>
    <t>サービス有固-機械装置-定率03年</t>
  </si>
  <si>
    <t>サービス有固-工具器具及び備品-工器備-定率13年</t>
  </si>
  <si>
    <t>サービス有固-工具器具及び備品-工器備-定率08年</t>
  </si>
  <si>
    <t>サービス有固-工具器具及び備品-工器備-定率05年</t>
  </si>
  <si>
    <t>サービス有固-工具器具及び備品-工器備-定率04年</t>
  </si>
  <si>
    <t>サービス有固-工具器具及び備品-工器備-定率03年</t>
  </si>
  <si>
    <t>サービス有固-工具器具及び備品-工器備-定率02年</t>
  </si>
  <si>
    <t>サービス有固-工具器具及び備品-工器備-定率20年</t>
  </si>
  <si>
    <t>サービス有固-工具器具及び備品-工器備-定率15年</t>
  </si>
  <si>
    <t>サービス有固-工具器具及び備品-工器備-定率10年</t>
  </si>
  <si>
    <t>サービス有固-工具器具及び備品-工器備-定率07年</t>
  </si>
  <si>
    <t>サービス有固-工具器具及び備品-工器備-定率06年</t>
  </si>
  <si>
    <t>サービス有固-工具器具及び備品-運搬具-定率07年</t>
  </si>
  <si>
    <t>サービス有固-工具器具及び備品-運搬具-定率06年</t>
  </si>
  <si>
    <t>サービス有固-工具器具及び備品-運搬具-定率05年</t>
  </si>
  <si>
    <t>サービス有固-工具器具及び備品-運搬具-定率04年</t>
  </si>
  <si>
    <t>サービス有固-工具器具及び備品-運搬具-定率03年</t>
  </si>
  <si>
    <t>サービス有固-工具器具及び備品-運搬具-定率02年</t>
  </si>
  <si>
    <t>サービス有固-リース資産-土地</t>
  </si>
  <si>
    <t>サービス有固-リース資産-建物</t>
  </si>
  <si>
    <t>サービス有固-リース資産-構築物</t>
  </si>
  <si>
    <t>サービス有固-リース資産-車両</t>
  </si>
  <si>
    <t>サービス有固-リース資産-機械装置</t>
  </si>
  <si>
    <t>サービス有固-リース資産-工具器具及び備品</t>
  </si>
  <si>
    <t>サービス有固-雑施設</t>
  </si>
  <si>
    <t>その他の固定資産</t>
  </si>
  <si>
    <t>建設仮勘定-鉄道事業-直接費</t>
  </si>
  <si>
    <t>建設仮勘定-鉄道事業-間接費</t>
  </si>
  <si>
    <t>建設仮勘定-鉄道事業-ソフトウェア</t>
  </si>
  <si>
    <t>建設仮勘定-広告事業-直接費</t>
  </si>
  <si>
    <t>建設仮勘定-広告事業-間接費</t>
  </si>
  <si>
    <t>建設仮勘定-不動産事業-直接費</t>
  </si>
  <si>
    <t>建設仮勘定-不動産事業-間接費</t>
  </si>
  <si>
    <t>建設仮勘定-不動産事業-ソフトウェア</t>
  </si>
  <si>
    <t>建設仮勘定-流通事業-直接費</t>
  </si>
  <si>
    <t>建設仮勘定-流通事業-間接費</t>
  </si>
  <si>
    <t>建設仮勘定-流通事業-ソフトウェア</t>
  </si>
  <si>
    <t>建設仮勘定-サービス事業-直接費</t>
  </si>
  <si>
    <t>建設仮勘定-サービス事業-間接費</t>
  </si>
  <si>
    <t>建設仮勘定-サービス事業-ソフトウェア</t>
  </si>
  <si>
    <t>建設仮勘定-各事業関連-ソフトウェア</t>
  </si>
  <si>
    <t>各事業有固-土地-倉庫用地</t>
  </si>
  <si>
    <t>各事業有固-土地-事務所用地</t>
  </si>
  <si>
    <t>各事業有固-土地-社宅及び寮用地</t>
  </si>
  <si>
    <t>各事業有固-土地-雑用地</t>
  </si>
  <si>
    <t>各事業有固-建物-鉄骨鉄筋コンクリート造又は鉄筋コンクリート造のもの(その他)-倉庫建物</t>
  </si>
  <si>
    <t>各事業有固-建物-れんが造、石造又はブロック造のもの(その他)-倉庫建物</t>
  </si>
  <si>
    <t>各事業有固-建物-金属造のもの(骨格材の肉厚が4mm超)(その他)-倉庫建物</t>
  </si>
  <si>
    <t>各事業有固-建物-金属造のもの(骨格材の肉厚が3mm超4mm以下)(その他)-倉庫建物</t>
  </si>
  <si>
    <t>各事業有固-建物-金属造のもの(骨格材の肉厚が3mm以下)(その他)-倉庫建物</t>
  </si>
  <si>
    <t>各事業有固-建物-木造又は合成樹脂造のもの(その他)-倉庫建物</t>
  </si>
  <si>
    <t>各事業有固-建物-木骨モルタル造のもの(その他)-倉庫建物</t>
  </si>
  <si>
    <t>各事業有固-建物-簡易建物(木製主要柱10cm角以下で土居、杉皮ぶき等)-倉庫建物</t>
  </si>
  <si>
    <t>各事業有固-建物-簡易建物(掘立造のもの及び仮設のもの)-倉庫建物</t>
  </si>
  <si>
    <t>各事業有固-建物付属設備-電気設備(照明設備を含む。)-蓄電池電源設備</t>
  </si>
  <si>
    <t>各事業有固-建物付属設備-電気設備(照明設備を含む。)-その他のもの</t>
  </si>
  <si>
    <t>各事業有固-建物付属設備-給排水又は衛生設備及びガス設備</t>
  </si>
  <si>
    <t>各事業有固-建物付属設備-冷房、暖房、通風又はボイラー設備-冷凍機の出力が22kw以下</t>
  </si>
  <si>
    <t>各事業有固-建物付属設備-冷房、暖房、通風又はボイラー設備-その他のもの</t>
  </si>
  <si>
    <t>各事業有固-建物付属設備-昇降機設備-エレベーター</t>
  </si>
  <si>
    <t>各事業有固-建物付属設備-昇降機設備-エスカレーター</t>
  </si>
  <si>
    <t>各事業有固-建物付属設備-消火、排煙又は災害報知設備及び格納式避難設備</t>
  </si>
  <si>
    <t>各事業有固-建物付属設備-エヤーカーテン又はドアー自動開閉設備</t>
  </si>
  <si>
    <t>各事業有固-建物付属設備-アーケード又は日よけ設備-金属製</t>
  </si>
  <si>
    <t>各事業有固-建物付属設備-アーケード又は日よけ設備-その他のもの</t>
  </si>
  <si>
    <t>各事業有固-建物付属設備-店用簡易設備</t>
  </si>
  <si>
    <t>各事業有固-建物付属設備-可動簡易装備-簡易なもの</t>
  </si>
  <si>
    <t>各事業有固-建物付属設備-可動簡易装備-その他のもの</t>
  </si>
  <si>
    <t>各事業有固-建物付属設備-前掲のもの以外のもの及び前掲の区分によらないもの-主として金属製のもの</t>
  </si>
  <si>
    <t>各事業有固-建物付属設備-前掲のもの以外のもの及び前掲の区分によらないもの-その他のもの</t>
  </si>
  <si>
    <t>各事業有固-建物-鉄骨鉄筋コンクリート造又は鉄筋コンクリート造のもの-詰所建物</t>
  </si>
  <si>
    <t>各事業有固-建物-れんが造、石造又はブロック造のもの-詰所建物</t>
  </si>
  <si>
    <t>各事業有固-建物-金属造のもの(骨格材の肉厚が4mm超)-詰所建物</t>
  </si>
  <si>
    <t>各事業有固-建物-金属造のもの(骨格材の肉厚が3mm超4mm以下)-詰所建物</t>
  </si>
  <si>
    <t>各事業有固-建物-金属造のもの(骨格材の肉厚が3mm以下)-詰所建物</t>
  </si>
  <si>
    <t>各事業有固-建物-木造又は合成樹脂造のもの-詰所建物</t>
  </si>
  <si>
    <t>各事業有固-建物-木骨モルタル造のもの-詰所建物</t>
  </si>
  <si>
    <t>各事業有固-建物-簡易建物(木製主要柱10cm角以下で土居、杉皮ぶき等)-詰所建物</t>
  </si>
  <si>
    <t>各事業有固-建物-簡易建物(掘立造のもの及び仮設のもの)-詰所建物</t>
  </si>
  <si>
    <t>各事業有固-建物付属設備-冷房、暖房、通風又はボイラー設備-冷凍機の出力が22kw以下のもの</t>
  </si>
  <si>
    <t>各事業有固-建物-鉄骨鉄筋コンクリート造又は鉄筋コンクリート造のもの-事務所建物</t>
  </si>
  <si>
    <t>各事業有固-建物-れんが造、石造又はブロック造のもの-事務所建物</t>
  </si>
  <si>
    <t>各事業有固-建物-金属造のもの(骨格材の肉厚が4mm超)-事務所建物</t>
  </si>
  <si>
    <t>各事業有固-建物-金属造のもの(骨格材の肉厚が3mm超4mm以下)-事務所建物</t>
  </si>
  <si>
    <t>各事業有固-建物-金属造のもの(骨格材の肉厚が3mm以下)-事務所建物</t>
  </si>
  <si>
    <t>各事業有固-建物-木造又は合成樹脂造のもの-事務所建物</t>
  </si>
  <si>
    <t>各事業有固-建物-木骨モルタル造のもの-事務所建物</t>
  </si>
  <si>
    <t>各事業有固-建物-簡易建物(木製主要柱10cm角以下で土居、杉皮ぶき等)-事務所建物</t>
  </si>
  <si>
    <t>各事業有固-建物-簡易建物(掘立造のもの及び仮設のもの)-事務所建物</t>
  </si>
  <si>
    <t>各事業有固-建物-鉄骨鉄筋コンクリート造又は鉄筋コンクリート造のもの-社宅及び寮建物</t>
  </si>
  <si>
    <t>各事業有固-建物-れんが造、石造又はブロック造のもの-社宅及び寮建物</t>
  </si>
  <si>
    <t>各事業有固-建物-金属造のもの(骨格材の肉厚が4mm超)-社宅及び寮建物</t>
  </si>
  <si>
    <t>各事業有固-建物-金属造のもの(骨格材の肉厚が3mm超4mm以下)-社宅及び寮建物</t>
  </si>
  <si>
    <t>各事業有固-建物-金属造のもの(骨格材の肉厚が3mm以下)-社宅及び寮建物</t>
  </si>
  <si>
    <t>各事業有固-建物-木造又は合成樹脂造のもの-社宅及び寮建物</t>
  </si>
  <si>
    <t>各事業有固-建物-木骨モルタル造のもの-社宅及び寮建物</t>
  </si>
  <si>
    <t>各事業有固-建物-簡易建物(木製主要柱10cm角以下で土居、杉皮ぶき等)-社宅及び寮建物</t>
  </si>
  <si>
    <t>各事業有固産-建物-簡易建物(掘立造のもの及び仮設のもの)-社宅及び寮建物</t>
  </si>
  <si>
    <t>各事業有固-建物付属設備-冷房、暖房、通風又はボイラー設備-冷凍機の出力が22キロワット以下のもの</t>
  </si>
  <si>
    <t>各事業有固-建物-雑建物-定額50年</t>
  </si>
  <si>
    <t>各事業有固-建物-雑建物-定額47年</t>
  </si>
  <si>
    <t>各事業有固-建物-雑建物-定額41年</t>
  </si>
  <si>
    <t>各事業有固-建物-雑建物-定額39年</t>
  </si>
  <si>
    <t>各事業有固-建物-雑建物-定額38年</t>
  </si>
  <si>
    <t>各事業有固-建物-雑建物-定額36年</t>
  </si>
  <si>
    <t>各事業有固-建物-雑建物-定額34年</t>
  </si>
  <si>
    <t>各事業有固-建物-雑建物-定額31年</t>
  </si>
  <si>
    <t>各事業有固-建物-雑建物-定額30年</t>
  </si>
  <si>
    <t>各事業有固-建物-雑建物-定額29年</t>
  </si>
  <si>
    <t>各事業有固-建物-雑建物-定額28年</t>
  </si>
  <si>
    <t>各事業有固-建物-雑建物-定額27年</t>
  </si>
  <si>
    <t>各事業有固-建物-雑建物-定額26年</t>
  </si>
  <si>
    <t>各事業有固-建物-雑建物-定額25年</t>
  </si>
  <si>
    <t>各事業有固-建物-雑建物-定額24年</t>
  </si>
  <si>
    <t>各事業有固-建物-雑建物-定額22年</t>
  </si>
  <si>
    <t>各事業有固-建物-雑建物-定額21年</t>
  </si>
  <si>
    <t>各事業有固-建物-雑建物-定額20年</t>
  </si>
  <si>
    <t>各事業有固-建物-雑建物-定額19年</t>
  </si>
  <si>
    <t>各事業有固-建物-雑建物-定額17年</t>
  </si>
  <si>
    <t>各事業有固-建物-雑建物-定額15年</t>
  </si>
  <si>
    <t>各事業有固-建物-雑建物-定額14年</t>
  </si>
  <si>
    <t>各事業有固-建物-雑建物-定額12年</t>
  </si>
  <si>
    <t>各事業有固-建物-雑建物-定額11年</t>
  </si>
  <si>
    <t>各事業有固-建物-雑建物-定額10年</t>
  </si>
  <si>
    <t>各事業有固-建物-雑建物-定額09年</t>
  </si>
  <si>
    <t>各事業有固-建物-雑建物-定額07年</t>
  </si>
  <si>
    <t>各事業有固-建物付属設備-電気設備(照明設備を含む。)-その他のもの-雑建物</t>
  </si>
  <si>
    <t>各事業有固-建物付属設備-給排水又は衛生設備及びガス設備-雑建物</t>
  </si>
  <si>
    <t>各事業有固-建物付属設備-冷房、暖房、通風又はボイラー設備-冷凍機の出力が22kw以下のもの-雑建物</t>
  </si>
  <si>
    <t>各事業有固-建物付属設備-冷房、暖房、通風又はボイラー設備-その他のもの-雑建物</t>
  </si>
  <si>
    <t>各事業有固-建物付属設備-昇降機設備-エレベーター-雑建物</t>
  </si>
  <si>
    <t>各事業有固-建物付属設備-昇降機設備-エスカレーター-雑建物</t>
  </si>
  <si>
    <t>各事業有固-建物付属設備-消火、排煙又は災害報知設備及び格納式避難設備-雑建物</t>
  </si>
  <si>
    <t>各事業有固-建物付属設備-エヤーカーテン又はドアー自動開閉設備-雑建物</t>
  </si>
  <si>
    <t>各事業有固-建物付属設備-アーケード又は日よけ設備-金属製-雑建物</t>
  </si>
  <si>
    <t>各事業有固-建物付属設備-アーケード又は日よけ設備-その他のもの-雑建物</t>
  </si>
  <si>
    <t>各事業有固-建物付属設備-店用簡易設備-雑建物</t>
  </si>
  <si>
    <t>各事業有固-建物付属設備-可動簡易装備-簡易なもの-雑建物</t>
  </si>
  <si>
    <t>各事業有固-建物付属設備-可動簡易装備-その他のもの-雑建物</t>
  </si>
  <si>
    <t>各事業有固-建物付属設備-前掲以外-主として金属製のもの-雑建物</t>
  </si>
  <si>
    <t>各事業有固-建物付属設備-前掲のもの以外のもの及び前掲の区分によらないもの-その他のもの-雑建物</t>
  </si>
  <si>
    <t>各事業有固-構築物-通信線</t>
  </si>
  <si>
    <t>各事業有固-構築物-電話機</t>
  </si>
  <si>
    <t>各事業有固-構築物-電気時計</t>
  </si>
  <si>
    <t>各事業有固-構築物-拡声装置</t>
  </si>
  <si>
    <t>各事業有固-構築物-通信諸設備</t>
  </si>
  <si>
    <t>各事業有固-構築物-配電線</t>
  </si>
  <si>
    <t>各事業有固-構築物-電灯電力線</t>
  </si>
  <si>
    <t>各事業有固-構築物-支持物-その他の支持物(電柱及び腕木を除く)</t>
  </si>
  <si>
    <t>各事業有固-構築物-支持物-その他の支持物(腕木を含む)</t>
  </si>
  <si>
    <t>各事業有固-機械装置-通信機械-交換設備</t>
  </si>
  <si>
    <t>各事業有固-機械装置-雑機械-その他の設備(主として金属製のもの)</t>
  </si>
  <si>
    <t>各事業有固-機械装置-雑機械-その他の設備(その他のもの)</t>
  </si>
  <si>
    <t>各事業有固-工具器具及び備品-工器備-測定工具・検査工具(電気・電子を利用するものを含む)</t>
  </si>
  <si>
    <t>各事業有固-工具器具及び備品-工器備-治具及び取付工具</t>
  </si>
  <si>
    <t>各事業有固-工具器具及び備品-工器備-ロール-金属圧延用のもの</t>
  </si>
  <si>
    <t>各事業有固-工具器具及び備品-工器備-ロール-なつ染・粉砕・混錬ロールその他のもの</t>
  </si>
  <si>
    <t>各事業有固-工具器具及び備品-工器備-型・鍛圧・打抜工具-ガラス成型用金型及び鋳造用型</t>
  </si>
  <si>
    <t>各事業有固-工具器具及び備品-工器備-型・鍛圧・打抜工具-その他のもの</t>
  </si>
  <si>
    <t>各事業有固-工具器具及び備品-工器備-切削工具</t>
  </si>
  <si>
    <t>各事業有固-工具器具及び備品-工器備-金属製柱及びカッペ</t>
  </si>
  <si>
    <t>各事業有固-工具器具及び備品-工器備-活字・活字に常用される金属-購入活字</t>
  </si>
  <si>
    <t>各事業有固-工具器具及び備品-工器備-活字・活字に常用される金属-自製活字</t>
  </si>
  <si>
    <t>各事業有固-工具器具及び備品-工器備-前掲以外-白金ノズル</t>
  </si>
  <si>
    <t>各事業有固-工具器具及び備品-工器備-前掲以外-その他のもの</t>
  </si>
  <si>
    <t>各事業有固-工具器具及び備品-工器備-前掲区分外-白金ノズル</t>
  </si>
  <si>
    <t>各事業有固-工具器具及び備品-工器備-前掲区分外-その他の主として金属製のもの</t>
  </si>
  <si>
    <t>各事業有固-工具器具及び備品-工器備-前掲区分外-その他のもの</t>
  </si>
  <si>
    <t>各事業有固-工具器具及び備品-工器備-家具・電気・ガス・家庭用品-事務机・いす(金属)</t>
  </si>
  <si>
    <t>各事業有固-工具器具及び備品-工器備-家具・電気・ガス・家庭用品-事務机・いす(その他)</t>
  </si>
  <si>
    <t>各事業有固-工具器具及び備品-工器備-家具・電気・ガス・家庭用品-応接セット(接客業用)</t>
  </si>
  <si>
    <t>各事業有固-工具器具及び備品-工器備-家具・電気・ガス・家庭用品-応接セット(その他)</t>
  </si>
  <si>
    <t>各事業有固-工具器具及び備品-工器備-家具・電気・ガス・家庭用品-ベット</t>
  </si>
  <si>
    <t>各事業有固-工具器具及び備品-工器備-家具・電気・ガス・家庭用品-児童用机及びいす</t>
  </si>
  <si>
    <t>各事業有固-工具器具及び備品-工器備-家具・電気・ガス・家庭用品-陳列棚(冷凍・冷蔵機付)</t>
  </si>
  <si>
    <t>各事業有固-工具器具及び備品-工器備-家具・電気・ガス・家庭用品-陳列棚(その他)</t>
  </si>
  <si>
    <t>各事業有固-工具器具及び備品-工器備-家具・電気・ガス・家庭用品-その他の家具(接客業用)</t>
  </si>
  <si>
    <t>各事業有固-工具器具及び備品-工器備-家具・電気・ガス・家庭用品-その他の家具(金属製)</t>
  </si>
  <si>
    <t>各事業有固-工具器具及び備品-工器備-家具・電気・ガス・家庭用品-その他の家具(その他)</t>
  </si>
  <si>
    <t>各事業有固-工具器具及び備品-工器備-家具・電気・ガス・家庭用品-その他の音響機器</t>
  </si>
  <si>
    <t>各事業有固-工具器具及び備品-工器備-家具・電気・ガス・家庭用品-冷房用又は暖房用機器</t>
  </si>
  <si>
    <t>各事業有固-工具器具及び備品-工器備-家具・電気・ガス・家庭用品-その他電気・ガス機器</t>
  </si>
  <si>
    <t>各事業有固-工具器具及び備品-工器備-家具・電気・ガス・家庭用品-氷冷蔵庫・冷蔵ストッカー</t>
  </si>
  <si>
    <t>各事業有固-工具器具及び備品-工器備-家具・電気・ガス・家庭用品-その他繊維製品</t>
  </si>
  <si>
    <t>各事業有固-工具器具及び備品-工器備-家具・電気・ガス・家庭用品-床用敷物(業務用)</t>
  </si>
  <si>
    <t>各事業有固-工具器具及び備品-工器備-家具・電気・ガス・家庭用品-床用敷物(その他)</t>
  </si>
  <si>
    <t>各事業有固-工具器具及び備品-工器備-家具・電気・ガス・家庭用品-室内装飾品(金属製)</t>
  </si>
  <si>
    <t>各事業有固-工具器具及び備品-工器備-家具・電気・ガス・家庭用品-室内装飾品(その他)</t>
  </si>
  <si>
    <t>各事業有固-工具器具及び備品-工器備-家具・電気・ガス・家庭用品-食事・厨房用品(陶磁器)</t>
  </si>
  <si>
    <t>各事業有固-工具器具及び備品-工器備-家具・電気・ガス・家庭用品-食事・厨房用品(その他)</t>
  </si>
  <si>
    <t>各事業有固-工具器具及び備品-工器備-家具・電気・ガス・家庭用品-その他のもの(金属製)</t>
  </si>
  <si>
    <t>各事業有固-工具器具及び備品-工器備-家具・電気・ガス・家庭用品-その他のもの(その他)</t>
  </si>
  <si>
    <t>各事業有固-工具器具及び備品-工器備-事務・通信機器-謄写機器・タイプライター(印書業用)</t>
  </si>
  <si>
    <t>各事業有固-工具器具及び備品-工器備-事務・通信機器-謄写機器・タイプライター(その他)</t>
  </si>
  <si>
    <t>各事業有固-工具器具及び備品-工器備-事務・通信機器-電子計算機(PC(サーバ用を除く))</t>
  </si>
  <si>
    <t>各事業有固-工具器具及び備品-工器備-事務・通信機器-電子計算機(その他)</t>
  </si>
  <si>
    <t>各事業有固-工具器具及び備品-工器備-事務・通信機器-複写機・計算機・金銭登録機</t>
  </si>
  <si>
    <t>各事業有固-工具器具及び備品-工器備-事務・通信機器-その他の事務機器</t>
  </si>
  <si>
    <t>各事業有固-工具器具及び備品-工器備-事務・通信機器-テレタイプライター及びファクシミリ</t>
  </si>
  <si>
    <t>各事業有固-工具器具及び備品-工器備-事務・通信機器-インターホーン及び放送用設備</t>
  </si>
  <si>
    <t>各事業有固-工具器具及び備品-工器備-事務・通信機器-その他の通信機器(デジタル構内交換)</t>
  </si>
  <si>
    <t>各事業有固-工具器具及び備品-工器備-事務・通信機器-その他の通信機器(その他のもの)</t>
  </si>
  <si>
    <t>各事業有固-工具器具及び備品-工器備-時計、試験機器及び測定機器-時計</t>
  </si>
  <si>
    <t>各事業有固-工具器具及び備品-工器備-時計、試験機器及び測定機器-度量衝器</t>
  </si>
  <si>
    <t>各事業有固-工具器具及び備品-工器備-時計、試験機器及び測定機器-試験又は測定機器</t>
  </si>
  <si>
    <t>各事業有固-工具器具及び備品-工器備-光学・写真製作機器-オペラグラス</t>
  </si>
  <si>
    <t>各事業有固-工具器具及び備品-工器備-光学・写真製作機器-カメラ、映画撮影機、映写機</t>
  </si>
  <si>
    <t>各事業有固-工具器具及び備品-工器備-光学・写真製作機器-その他の機器</t>
  </si>
  <si>
    <t>各事業有固-工具器具及び備品-工器備-看板・広告機器-看板、ネオンサイン及び気球</t>
  </si>
  <si>
    <t>各事業有固-工具器具及び備品-工器備-看板・広告機器-マネキン人形及び模型</t>
  </si>
  <si>
    <t>各事業有固-工具器具及び備品-工器備-看板・広告機器-その他のもの(主として金属製のもの)</t>
  </si>
  <si>
    <t>各事業有固-工具器具及び備品-工器備-看板・広告機器-その他のもの(その他のもの)</t>
  </si>
  <si>
    <t>各事業有固-工具器具及び備品-工器備-容器・金庫-ボンベ(溶接製のもの</t>
  </si>
  <si>
    <t>各事業有固-工具器具及び備品-工器備-容器・金庫-ボンベ(鍛造製)(塩素用のもの)</t>
  </si>
  <si>
    <t>各事業有固-工具器具及び備品-工器備-容器・金庫-ボンベ(鍛造製)(その他のもの)</t>
  </si>
  <si>
    <t>各事業有固-工具器具及び備品-工器備-容器・金庫-その他容器(コンテナ(長さが6m以上))</t>
  </si>
  <si>
    <t>各事業有固-工具器具及び備品-工器備-容器・金庫-その他の容器(金属製のもの)</t>
  </si>
  <si>
    <t>各事業有固-工具器具及び備品-工器備-容器・金庫-その他の容器(その他のもの)</t>
  </si>
  <si>
    <t>各事業有固-工具器具及び備品-工器備-容器・金庫-金庫(手さげ金庫)</t>
  </si>
  <si>
    <t>各事業有固-工具器具及び備品-工器備-容器・金庫-金庫(その他のもの)</t>
  </si>
  <si>
    <t>各事業有固-工具器具及び備品-工器備-医療機器-消毒殺菌用機器</t>
  </si>
  <si>
    <t>各事業有固-工具器具及び備品-工器備-医療機器-手術機器</t>
  </si>
  <si>
    <t>各事業有固-工具器具及び備品-工器備-医療機器-血液透析又は血しょう交換用機器</t>
  </si>
  <si>
    <t>各事業有固-工具器具及び備品-工器備-医療機器-その他の作動部分を有する機能回復訓練機器</t>
  </si>
  <si>
    <t>各事業有固-工具器具及び備品-工器備-医療機器-調剤機器</t>
  </si>
  <si>
    <t>各事業有固-工具器具及び備品-工器備-医療機器-歯科診療用ユニット</t>
  </si>
  <si>
    <t>各事業有固-工具器具及び備品-工器備-医療機器-光学検査機器(ファイバースコープ)</t>
  </si>
  <si>
    <t>各事業有固-工具器具及び備品-工器備-医療機器-光学検査機器(その他のもの)</t>
  </si>
  <si>
    <t>各事業有固-工具器具及び備品-工器備-医療機器-その他の電子装置を使用する機器(移動式)</t>
  </si>
  <si>
    <t>各事業有固-工具器具及び備品-工器備-医療機器-その他の電子装置を使用する機器(その他)</t>
  </si>
  <si>
    <t>各事業有固-工具器具及び備品-工器備-医療機器-その他のもの(陶磁器製又はガラス製のもの)</t>
  </si>
  <si>
    <t>各事業有固-工具器具及び備品-工器備-医療機器-その他のもの(主として金属製のもの)</t>
  </si>
  <si>
    <t>各事業有固-工具器具及び備品-工器備-医療機器-その他のもの(その他のもの)</t>
  </si>
  <si>
    <t>各事業有固-工具器具及び備品-工器備-前掲以外-映画フイルム・磁気テープ・レコード</t>
  </si>
  <si>
    <t>各事業有固-工具器具及び備品-工器備-前掲以外-シート及びロープ</t>
  </si>
  <si>
    <t>各事業有固-工具器具及び備品-工器備-前掲以外-きのこ栽培用ほだ木</t>
  </si>
  <si>
    <t>各事業有固-工具器具及び備品-工器備-前掲以外-漁具</t>
  </si>
  <si>
    <t>各事業有固-工具器具及び備品-工器備-前掲以外-葬儀用具</t>
  </si>
  <si>
    <t>各事業有固-工具器具及び備品-工器備-前掲以外-楽器</t>
  </si>
  <si>
    <t>各事業有固-工具器具及び備品-工器備-前掲以外-自動販売機(手動のものを含む。)</t>
  </si>
  <si>
    <t>各事業有固-工具器具及び備品-工器備-前掲以外-無人駐車管理装置</t>
  </si>
  <si>
    <t>各事業有固-工具器具及び備品-工器備-前掲以外-焼却炉</t>
  </si>
  <si>
    <t>各事業有固-工具器具及び備品-工器備-前掲以外-その他のもの(主として金属製のもの)</t>
  </si>
  <si>
    <t>各事業有固-工具器具及び備品-工器備-前掲以外-その他のもの(その他のもの)</t>
  </si>
  <si>
    <t>各事業有固-工具器具及び備品-運搬具-前掲以外-自動車-小型車(総排気量が0.66l以下)</t>
  </si>
  <si>
    <t>各事業有固-工具器具及び備品-運搬具-前掲以外-自動車-その他-貨物自動車-ダンプ式のもの</t>
  </si>
  <si>
    <t>各事業有固-工具器具及び備品-運搬具-前掲以外-自動車-その他-貨物自動車-その他のもの</t>
  </si>
  <si>
    <t>各事業有固-工具器具及び備品-運搬具-前掲以外-自動車-その他-報道通信用のもの</t>
  </si>
  <si>
    <t>各事業有固-工具器具及び備品-運搬具-前掲以外-自動車-その他-その他</t>
  </si>
  <si>
    <t>各事業有固-工具器具及び備品-運搬具-前掲以外-２輪又は３輪自動車</t>
  </si>
  <si>
    <t>各事業有固-工具器具及び備品-運搬具-前掲以外-自転車</t>
  </si>
  <si>
    <t>各事業有固-工具器具及び備品-運搬具-前掲以外-鉱山用人車、炭車、鉱車及び台車-金属製</t>
  </si>
  <si>
    <t>各事業有固-工具器具及び備品-運搬具-前掲以外-鉱山用人車、炭車、鉱車及び台車-その他</t>
  </si>
  <si>
    <t>各事業有固-工具器具及び備品-運搬具-前掲以外-フォークリフト</t>
  </si>
  <si>
    <t>各事業有固-工具器具及び備品-運搬具-前掲以外-トロッコ-金属製のもの</t>
  </si>
  <si>
    <t>各事業有固-工具器具及び備品-運搬具-前掲以外-トロッコ-その他のもの</t>
  </si>
  <si>
    <t>各事業有固-工具器具及び備品-運搬具-前掲以外-その他のもの-自走能力を有するもの</t>
  </si>
  <si>
    <t>各事業有固-工具器具及び備品-運搬具-前掲以外-その他のもの-その他のもの</t>
  </si>
  <si>
    <t>各事業有固-リース資産-土地</t>
  </si>
  <si>
    <t>各事業有固-リース資産-建物</t>
  </si>
  <si>
    <t>各事業有固-リース資産-構築物</t>
  </si>
  <si>
    <t>各事業有固-リース資産-車両</t>
  </si>
  <si>
    <t>各事業有固-リース資産-機械装置</t>
  </si>
  <si>
    <t>各事業有固-リース資産-工具器具及び備品</t>
  </si>
  <si>
    <t>各事業有固-雑施設</t>
  </si>
  <si>
    <t>A0100001</t>
  </si>
  <si>
    <t>鉄道無固-のれん</t>
  </si>
  <si>
    <t>A0500001</t>
  </si>
  <si>
    <t>鉄道無固-借地権</t>
  </si>
  <si>
    <t>A1000001</t>
  </si>
  <si>
    <t>鉄道無固-地上権</t>
  </si>
  <si>
    <t>A1500001</t>
  </si>
  <si>
    <t>鉄道無固-商標権</t>
  </si>
  <si>
    <t>A2000001</t>
  </si>
  <si>
    <t>鉄道無固-電話加入権</t>
  </si>
  <si>
    <t>A2500001</t>
  </si>
  <si>
    <t>鉄道無固-特許権</t>
  </si>
  <si>
    <t>A3000001</t>
  </si>
  <si>
    <t>鉄道無固-連絡通行施設利用権</t>
  </si>
  <si>
    <t>A3500001</t>
  </si>
  <si>
    <t>鉄道無固-電話施設利用権</t>
  </si>
  <si>
    <t>A4000001</t>
  </si>
  <si>
    <t>鉄道無固-電気供給施設利用権</t>
  </si>
  <si>
    <t>A4500001</t>
  </si>
  <si>
    <t>鉄道無固-ガス供給施設利用権</t>
  </si>
  <si>
    <t>A5000001</t>
  </si>
  <si>
    <t>鉄道無固-熱供給施設利用権</t>
  </si>
  <si>
    <t>A5500001</t>
  </si>
  <si>
    <t>鉄道無固-水道施設利用権</t>
  </si>
  <si>
    <t>A6000001</t>
  </si>
  <si>
    <t>鉄道無固-温泉利用権</t>
  </si>
  <si>
    <t>A6500001</t>
  </si>
  <si>
    <t>鉄道無固-水利権</t>
  </si>
  <si>
    <t>A7000001</t>
  </si>
  <si>
    <t>鉄道無固-ソフトウェア-販売目的</t>
  </si>
  <si>
    <t>A7000002</t>
  </si>
  <si>
    <t>鉄道無固-ソフトウェア-その他</t>
  </si>
  <si>
    <t>A7500001</t>
  </si>
  <si>
    <t>鉄道無固-リース資産</t>
  </si>
  <si>
    <t>A9900001</t>
  </si>
  <si>
    <t>鉄道無固-その他の施設利用権</t>
  </si>
  <si>
    <t>B0100001</t>
  </si>
  <si>
    <t>広告無固-のれん</t>
  </si>
  <si>
    <t>B0500001</t>
  </si>
  <si>
    <t>広告無固-借地権</t>
  </si>
  <si>
    <t>B1000001</t>
  </si>
  <si>
    <t>広告無固-地上権</t>
  </si>
  <si>
    <t>B1500001</t>
  </si>
  <si>
    <t>広告無固-商標権</t>
  </si>
  <si>
    <t>B2000001</t>
  </si>
  <si>
    <t>広告無固-電話加入権</t>
  </si>
  <si>
    <t>B2500001</t>
  </si>
  <si>
    <t>広告無固-特許権</t>
  </si>
  <si>
    <t>B3000001</t>
  </si>
  <si>
    <t>広告無固-連絡通行施設利用権</t>
  </si>
  <si>
    <t>B3500001</t>
  </si>
  <si>
    <t>広告無固-電話施設利用権</t>
  </si>
  <si>
    <t>B4000001</t>
  </si>
  <si>
    <t>広告無固-電気供給施設利用権</t>
  </si>
  <si>
    <t>B4500001</t>
  </si>
  <si>
    <t>広告無固-ガス供給施設利用権</t>
  </si>
  <si>
    <t>B5000001</t>
  </si>
  <si>
    <t>広告無固-熱供給施設利用権</t>
  </si>
  <si>
    <t>B5500001</t>
  </si>
  <si>
    <t>広告無固-水道施設利用権</t>
  </si>
  <si>
    <t>B6000001</t>
  </si>
  <si>
    <t>広告無固-温泉利用権</t>
  </si>
  <si>
    <t>B6500001</t>
  </si>
  <si>
    <t>広告無固-水利権</t>
  </si>
  <si>
    <t>B7000001</t>
  </si>
  <si>
    <t>広告無固-ソフトウェア-販売目的</t>
  </si>
  <si>
    <t>B7000002</t>
  </si>
  <si>
    <t>広告無固-ソフトウェア-その他</t>
  </si>
  <si>
    <t>B7500001</t>
  </si>
  <si>
    <t>広告無固-リース資産</t>
  </si>
  <si>
    <t>B9900001</t>
  </si>
  <si>
    <t>広告無固-その他の施設利用権</t>
  </si>
  <si>
    <t>C0100001</t>
  </si>
  <si>
    <t>不動産無固-のれん</t>
  </si>
  <si>
    <t>C0500001</t>
  </si>
  <si>
    <t>不動産無固-借地権</t>
  </si>
  <si>
    <t>C1000001</t>
  </si>
  <si>
    <t>不動産無固-地上権</t>
  </si>
  <si>
    <t>C1500001</t>
  </si>
  <si>
    <t>不動産無固-商標権</t>
  </si>
  <si>
    <t>C2000001</t>
  </si>
  <si>
    <t>不動産無固-電話加入権</t>
  </si>
  <si>
    <t>C2500001</t>
  </si>
  <si>
    <t>不動産無固-特許権</t>
  </si>
  <si>
    <t>C3000001</t>
  </si>
  <si>
    <t>不動産無固-連絡通行施設利用権</t>
  </si>
  <si>
    <t>C3500001</t>
  </si>
  <si>
    <t>不動産無固-電話施設利用権</t>
  </si>
  <si>
    <t>C4000001</t>
  </si>
  <si>
    <t>不動産無固-電気供給施設利用権</t>
  </si>
  <si>
    <t>C4500001</t>
  </si>
  <si>
    <t>不動産無固-ガス供給施設利用権</t>
  </si>
  <si>
    <t>C5000001</t>
  </si>
  <si>
    <t>不動産無固-熱供給施設利用権</t>
  </si>
  <si>
    <t>C5500001</t>
  </si>
  <si>
    <t>不動産無固-水道施設利用権</t>
  </si>
  <si>
    <t>C6000001</t>
  </si>
  <si>
    <t>不動産無固-温泉利用権</t>
  </si>
  <si>
    <t>C6500001</t>
  </si>
  <si>
    <t>不動産無固-水利権</t>
  </si>
  <si>
    <t>C7000001</t>
  </si>
  <si>
    <t>不動産無固-ソフトウェア-販売目的</t>
  </si>
  <si>
    <t>C7000002</t>
  </si>
  <si>
    <t>不動産無固-ソフトウェア-その他</t>
  </si>
  <si>
    <t>C7500001</t>
  </si>
  <si>
    <t>不動産無固-リース資産</t>
  </si>
  <si>
    <t>C9900001</t>
  </si>
  <si>
    <t>不動産無固-その他の施設利用権</t>
  </si>
  <si>
    <t>D0100001</t>
  </si>
  <si>
    <t>流通無固-のれん</t>
  </si>
  <si>
    <t>D0500001</t>
  </si>
  <si>
    <t>流通無固-借地権</t>
  </si>
  <si>
    <t>D1000001</t>
  </si>
  <si>
    <t>流通無固-地上権</t>
  </si>
  <si>
    <t>D1500001</t>
  </si>
  <si>
    <t>流通無固-商標権</t>
  </si>
  <si>
    <t>D2000001</t>
  </si>
  <si>
    <t>流通無固-電話加入権</t>
  </si>
  <si>
    <t>D2500001</t>
  </si>
  <si>
    <t>流通無固-特許権</t>
  </si>
  <si>
    <t>D3000001</t>
  </si>
  <si>
    <t>流通無固-連絡通行施設利用権</t>
  </si>
  <si>
    <t>D3500001</t>
  </si>
  <si>
    <t>流通無固-電話施設利用権</t>
  </si>
  <si>
    <t>D4000001</t>
  </si>
  <si>
    <t>流通無固-電気供給施設利用権</t>
  </si>
  <si>
    <t>D4500001</t>
  </si>
  <si>
    <t>流通無固-ガス供給施設利用権</t>
  </si>
  <si>
    <t>D5000001</t>
  </si>
  <si>
    <t>流通無固-熱供給施設利用権</t>
  </si>
  <si>
    <t>D5500001</t>
  </si>
  <si>
    <t>流通無固-水道施設利用権</t>
  </si>
  <si>
    <t>D6000001</t>
  </si>
  <si>
    <t>流通無固-温泉利用権</t>
  </si>
  <si>
    <t>D6500001</t>
  </si>
  <si>
    <t>流通無固-水利権</t>
  </si>
  <si>
    <t>D7000001</t>
  </si>
  <si>
    <t>流通無固-ソフトウェア-販売目的</t>
  </si>
  <si>
    <t>D7000002</t>
  </si>
  <si>
    <t>流通無固-ソフトウェア-その他</t>
  </si>
  <si>
    <t>D7500001</t>
  </si>
  <si>
    <t>流通無固-リース資産</t>
  </si>
  <si>
    <t>D9900001</t>
  </si>
  <si>
    <t>流通無固-その他の施設利用権</t>
  </si>
  <si>
    <t>E0100001</t>
  </si>
  <si>
    <t>サービス無固-のれん</t>
  </si>
  <si>
    <t>E0500001</t>
  </si>
  <si>
    <t>サービス無固-借地権</t>
  </si>
  <si>
    <t>E1000001</t>
  </si>
  <si>
    <t>サービス無固-地上権</t>
  </si>
  <si>
    <t>E1500001</t>
  </si>
  <si>
    <t>サービス無固-商標権</t>
  </si>
  <si>
    <t>E2000001</t>
  </si>
  <si>
    <t>サービス無固-電話加入権</t>
  </si>
  <si>
    <t>E2500001</t>
  </si>
  <si>
    <t>サービス無固-特許権</t>
  </si>
  <si>
    <t>E3000001</t>
  </si>
  <si>
    <t>サービス無固-連絡通行施設利用権</t>
  </si>
  <si>
    <t>E3500001</t>
  </si>
  <si>
    <t>サービス無固-電話施設利用権</t>
  </si>
  <si>
    <t>E4000001</t>
  </si>
  <si>
    <t>サービス無固-電気供給施設利用権</t>
  </si>
  <si>
    <t>E4500001</t>
  </si>
  <si>
    <t>サービス無固-ガス供給施設利用権</t>
  </si>
  <si>
    <t>E5000001</t>
  </si>
  <si>
    <t>サービス無固-熱供給施設利用権</t>
  </si>
  <si>
    <t>E5500001</t>
  </si>
  <si>
    <t>サービス無固-水道施設利用権</t>
  </si>
  <si>
    <t>E6000001</t>
  </si>
  <si>
    <t>サービス無固-温泉利用権</t>
  </si>
  <si>
    <t>E6500001</t>
  </si>
  <si>
    <t>サービス無固-水利権</t>
  </si>
  <si>
    <t>E7000001</t>
  </si>
  <si>
    <t>サービス無固-ソフトウェア-販売目的</t>
  </si>
  <si>
    <t>E7000002</t>
  </si>
  <si>
    <t>サービス無固-ソフトウェア-その他</t>
  </si>
  <si>
    <t>E7500001</t>
  </si>
  <si>
    <t>サービス無固-リース資産</t>
  </si>
  <si>
    <t>E9900001</t>
  </si>
  <si>
    <t>サービス無固-その他の施設利用権</t>
  </si>
  <si>
    <t>F0100001</t>
  </si>
  <si>
    <t>各事業無固-のれん</t>
  </si>
  <si>
    <t>F0500001</t>
  </si>
  <si>
    <t>F1000001</t>
  </si>
  <si>
    <t>F1500001</t>
  </si>
  <si>
    <t>F2000001</t>
  </si>
  <si>
    <t>各事業無固-電話加入権</t>
  </si>
  <si>
    <t>F2500001</t>
  </si>
  <si>
    <t>各事業無固-特許権</t>
  </si>
  <si>
    <t>F3000001</t>
  </si>
  <si>
    <t>各事業無固-連絡通行施設利用権</t>
  </si>
  <si>
    <t>F3500001</t>
  </si>
  <si>
    <t>各事業無固-電話施設利用権</t>
  </si>
  <si>
    <t>F4000001</t>
  </si>
  <si>
    <t>各事業無固-電気供給施設利用権</t>
  </si>
  <si>
    <t>F4500001</t>
  </si>
  <si>
    <t>各事業無固-ガス供給施設利用権</t>
  </si>
  <si>
    <t>F5000001</t>
  </si>
  <si>
    <t>各事業無固-熱供給施設利用権</t>
  </si>
  <si>
    <t>F5500001</t>
  </si>
  <si>
    <t>各事業無固-水道施設利用権</t>
  </si>
  <si>
    <t>F6000001</t>
  </si>
  <si>
    <t>各事業無固-温泉利用権</t>
  </si>
  <si>
    <t>F6500001</t>
  </si>
  <si>
    <t>各事業無固-水利権</t>
  </si>
  <si>
    <t>F7000001</t>
  </si>
  <si>
    <t>各事業無固-ソフトウェア-販売目的</t>
  </si>
  <si>
    <t>F7000002</t>
  </si>
  <si>
    <t>各事業無固-ソフトウェア-その他</t>
  </si>
  <si>
    <t>F7500001</t>
  </si>
  <si>
    <t>各事業無固-リース資産</t>
  </si>
  <si>
    <t>F9900001</t>
  </si>
  <si>
    <t>各事業無固-その他の施設利用権</t>
  </si>
  <si>
    <t>建築仕上げ</t>
    <rPh sb="0" eb="2">
      <t>ケンチク</t>
    </rPh>
    <rPh sb="2" eb="4">
      <t>シア</t>
    </rPh>
    <phoneticPr fontId="8"/>
  </si>
  <si>
    <t>耐用年数</t>
    <rPh sb="0" eb="2">
      <t>タイヨウ</t>
    </rPh>
    <rPh sb="2" eb="4">
      <t>ネンスウ</t>
    </rPh>
    <phoneticPr fontId="8"/>
  </si>
  <si>
    <t>建物　工事価格　計</t>
    <rPh sb="0" eb="2">
      <t>タテモノ</t>
    </rPh>
    <rPh sb="3" eb="5">
      <t>コウジ</t>
    </rPh>
    <rPh sb="5" eb="7">
      <t>カカク</t>
    </rPh>
    <rPh sb="8" eb="9">
      <t>ケイ</t>
    </rPh>
    <phoneticPr fontId="8"/>
  </si>
  <si>
    <t>工具・器具・備品　工事価格　計</t>
    <rPh sb="0" eb="2">
      <t>コウグ</t>
    </rPh>
    <rPh sb="3" eb="5">
      <t>キグ</t>
    </rPh>
    <rPh sb="6" eb="8">
      <t>ビヒン</t>
    </rPh>
    <rPh sb="9" eb="11">
      <t>コウジ</t>
    </rPh>
    <rPh sb="11" eb="13">
      <t>カカク</t>
    </rPh>
    <rPh sb="14" eb="15">
      <t>ケイ</t>
    </rPh>
    <phoneticPr fontId="8"/>
  </si>
  <si>
    <t>工事価格合計</t>
    <rPh sb="0" eb="2">
      <t>コウジ</t>
    </rPh>
    <rPh sb="2" eb="4">
      <t>カカク</t>
    </rPh>
    <rPh sb="4" eb="6">
      <t>ゴウケイ</t>
    </rPh>
    <phoneticPr fontId="8"/>
  </si>
  <si>
    <t>電気設備(照明設備を含む)-その他のもの-倉庫建物</t>
    <phoneticPr fontId="8"/>
  </si>
  <si>
    <t>消火・排煙・災害報知設備及び格納式避難設備-倉庫建物</t>
    <phoneticPr fontId="8"/>
  </si>
  <si>
    <t>簡易建物(木製主要柱が10cm角以下で土居、杉皮ぶき等)-事務所建物</t>
    <phoneticPr fontId="8"/>
  </si>
  <si>
    <t>資産計上建物　計</t>
    <rPh sb="0" eb="2">
      <t>シサン</t>
    </rPh>
    <rPh sb="2" eb="4">
      <t>ケイジョウ</t>
    </rPh>
    <rPh sb="4" eb="6">
      <t>タテモノ</t>
    </rPh>
    <rPh sb="7" eb="8">
      <t>ケイ</t>
    </rPh>
    <phoneticPr fontId="8"/>
  </si>
  <si>
    <t>資産計上工具・器具・備品計</t>
    <rPh sb="0" eb="2">
      <t>シサン</t>
    </rPh>
    <rPh sb="2" eb="4">
      <t>ケイジョウ</t>
    </rPh>
    <rPh sb="4" eb="6">
      <t>コウグ</t>
    </rPh>
    <rPh sb="7" eb="9">
      <t>キグ</t>
    </rPh>
    <rPh sb="10" eb="12">
      <t>ビヒン</t>
    </rPh>
    <rPh sb="12" eb="13">
      <t>ケイ</t>
    </rPh>
    <phoneticPr fontId="8"/>
  </si>
  <si>
    <t>勘定科目「目」を選択--&gt;</t>
    <rPh sb="5" eb="6">
      <t>モク</t>
    </rPh>
    <phoneticPr fontId="8"/>
  </si>
  <si>
    <t>勘定科目「項」--&gt;</t>
    <rPh sb="5" eb="6">
      <t>コウ</t>
    </rPh>
    <phoneticPr fontId="8"/>
  </si>
  <si>
    <t>勘定科目「目」--&gt;</t>
    <rPh sb="5" eb="6">
      <t>モク</t>
    </rPh>
    <phoneticPr fontId="8"/>
  </si>
  <si>
    <t>災害防止施設</t>
  </si>
  <si>
    <t>枠組用防護棚　　架払手間</t>
  </si>
  <si>
    <t>資産クラス</t>
  </si>
  <si>
    <t>資産計上構築物　計</t>
    <rPh sb="0" eb="2">
      <t>シサン</t>
    </rPh>
    <rPh sb="2" eb="4">
      <t>ケイジョウ</t>
    </rPh>
    <rPh sb="4" eb="7">
      <t>コウチクブツ</t>
    </rPh>
    <rPh sb="8" eb="9">
      <t>ケイ</t>
    </rPh>
    <phoneticPr fontId="8"/>
  </si>
  <si>
    <t>舗装</t>
    <rPh sb="0" eb="2">
      <t>ホソウ</t>
    </rPh>
    <phoneticPr fontId="8"/>
  </si>
  <si>
    <t>コンクリ・ブロック・レンガ・石敷</t>
    <rPh sb="14" eb="15">
      <t>イシ</t>
    </rPh>
    <rPh sb="15" eb="16">
      <t>シキ</t>
    </rPh>
    <phoneticPr fontId="8"/>
  </si>
  <si>
    <t>アスファルト・木れんか敷</t>
    <rPh sb="7" eb="8">
      <t>キ</t>
    </rPh>
    <rPh sb="11" eb="12">
      <t>シキ</t>
    </rPh>
    <phoneticPr fontId="8"/>
  </si>
  <si>
    <t>ビチューマルス敷</t>
    <rPh sb="7" eb="8">
      <t>シキ</t>
    </rPh>
    <phoneticPr fontId="8"/>
  </si>
  <si>
    <t>その他</t>
    <rPh sb="2" eb="3">
      <t>タ</t>
    </rPh>
    <phoneticPr fontId="8"/>
  </si>
  <si>
    <t>02</t>
  </si>
  <si>
    <t>03</t>
  </si>
  <si>
    <t>04</t>
  </si>
  <si>
    <t>05</t>
  </si>
  <si>
    <t>06</t>
  </si>
  <si>
    <t>07</t>
  </si>
  <si>
    <t>鉄骨鉄筋コン造・鉄コン造</t>
    <rPh sb="0" eb="2">
      <t>テッコツ</t>
    </rPh>
    <rPh sb="2" eb="4">
      <t>テッキン</t>
    </rPh>
    <rPh sb="6" eb="7">
      <t>ゾウ</t>
    </rPh>
    <rPh sb="8" eb="9">
      <t>テツ</t>
    </rPh>
    <rPh sb="11" eb="12">
      <t>ゾウ</t>
    </rPh>
    <phoneticPr fontId="8"/>
  </si>
  <si>
    <t>コン造・コンクリートブロック造</t>
    <rPh sb="2" eb="3">
      <t>ゾウ</t>
    </rPh>
    <rPh sb="14" eb="15">
      <t>ゾウ</t>
    </rPh>
    <phoneticPr fontId="8"/>
  </si>
  <si>
    <t>08</t>
  </si>
  <si>
    <t>09</t>
  </si>
  <si>
    <t>金属造</t>
    <rPh sb="0" eb="2">
      <t>キンゾク</t>
    </rPh>
    <rPh sb="2" eb="3">
      <t>ゾウ</t>
    </rPh>
    <phoneticPr fontId="8"/>
  </si>
  <si>
    <t>木造</t>
    <rPh sb="0" eb="1">
      <t>モク</t>
    </rPh>
    <rPh sb="1" eb="2">
      <t>ゾウ</t>
    </rPh>
    <phoneticPr fontId="8"/>
  </si>
  <si>
    <t>電気設備</t>
    <rPh sb="0" eb="2">
      <t>デンキ</t>
    </rPh>
    <rPh sb="2" eb="4">
      <t>セツビ</t>
    </rPh>
    <phoneticPr fontId="8"/>
  </si>
  <si>
    <t>構築物　工事価格　計</t>
    <rPh sb="0" eb="3">
      <t>コウチクブツ</t>
    </rPh>
    <rPh sb="4" eb="6">
      <t>コウジ</t>
    </rPh>
    <rPh sb="6" eb="8">
      <t>カカク</t>
    </rPh>
    <rPh sb="9" eb="10">
      <t>ケイ</t>
    </rPh>
    <phoneticPr fontId="8"/>
  </si>
  <si>
    <t>費用計上した工事価格</t>
    <rPh sb="0" eb="2">
      <t>ヒヨウ</t>
    </rPh>
    <rPh sb="2" eb="4">
      <t>ケイジョウ</t>
    </rPh>
    <rPh sb="6" eb="8">
      <t>コウジ</t>
    </rPh>
    <rPh sb="8" eb="10">
      <t>カカク</t>
    </rPh>
    <phoneticPr fontId="8"/>
  </si>
  <si>
    <t>舗装道路・舗装路面-コンクリート敷、ブロック敷、煉瓦敷、石敷-車庫工場構築物</t>
    <rPh sb="0" eb="2">
      <t>ホソウ</t>
    </rPh>
    <rPh sb="2" eb="4">
      <t>ドウロ</t>
    </rPh>
    <rPh sb="5" eb="7">
      <t>ホソウ</t>
    </rPh>
    <rPh sb="7" eb="9">
      <t>ロメン</t>
    </rPh>
    <rPh sb="16" eb="17">
      <t>シキ</t>
    </rPh>
    <rPh sb="22" eb="23">
      <t>シキ</t>
    </rPh>
    <rPh sb="24" eb="26">
      <t>レンガ</t>
    </rPh>
    <rPh sb="26" eb="27">
      <t>シキ</t>
    </rPh>
    <rPh sb="28" eb="29">
      <t>イシ</t>
    </rPh>
    <rPh sb="29" eb="30">
      <t>シキ</t>
    </rPh>
    <phoneticPr fontId="8"/>
  </si>
  <si>
    <t>舗装道路・舗装路面-アスファルト敷又は木れんが敷のもの-車庫工場構築物</t>
    <rPh sb="0" eb="2">
      <t>ホソウ</t>
    </rPh>
    <rPh sb="2" eb="4">
      <t>ドウロ</t>
    </rPh>
    <rPh sb="5" eb="7">
      <t>ホソウ</t>
    </rPh>
    <rPh sb="7" eb="9">
      <t>ロメン</t>
    </rPh>
    <rPh sb="16" eb="17">
      <t>シキ</t>
    </rPh>
    <rPh sb="17" eb="18">
      <t>マタ</t>
    </rPh>
    <rPh sb="19" eb="20">
      <t>モク</t>
    </rPh>
    <rPh sb="23" eb="24">
      <t>シキ</t>
    </rPh>
    <phoneticPr fontId="8"/>
  </si>
  <si>
    <t>舗装道路・舗装路面-ビチューマルチ敷のもの-車庫工場構築物</t>
    <rPh sb="0" eb="2">
      <t>ホソウ</t>
    </rPh>
    <rPh sb="2" eb="4">
      <t>ドウロ</t>
    </rPh>
    <rPh sb="5" eb="7">
      <t>ホソウ</t>
    </rPh>
    <rPh sb="7" eb="9">
      <t>ロメン</t>
    </rPh>
    <rPh sb="17" eb="18">
      <t>シキ</t>
    </rPh>
    <phoneticPr fontId="8"/>
  </si>
  <si>
    <t>鉄骨鉄筋コン造・鉄コン造-へい-車庫工場構築物</t>
    <rPh sb="0" eb="2">
      <t>テッコツ</t>
    </rPh>
    <rPh sb="2" eb="4">
      <t>テッキン</t>
    </rPh>
    <rPh sb="6" eb="7">
      <t>ゾウ</t>
    </rPh>
    <rPh sb="8" eb="9">
      <t>テツ</t>
    </rPh>
    <rPh sb="11" eb="12">
      <t>ゾウ</t>
    </rPh>
    <phoneticPr fontId="8"/>
  </si>
  <si>
    <t>鉄骨鉄筋コン造・鉄コン造-その他-車庫工場構築物</t>
    <rPh sb="0" eb="2">
      <t>テッコツ</t>
    </rPh>
    <rPh sb="2" eb="4">
      <t>テッキン</t>
    </rPh>
    <rPh sb="6" eb="7">
      <t>ゾウ</t>
    </rPh>
    <rPh sb="8" eb="9">
      <t>テツ</t>
    </rPh>
    <rPh sb="11" eb="12">
      <t>ゾウ</t>
    </rPh>
    <rPh sb="15" eb="16">
      <t>タ</t>
    </rPh>
    <phoneticPr fontId="8"/>
  </si>
  <si>
    <t>コン造・コンクリートブロック造-へい-車庫工場構築物</t>
    <rPh sb="2" eb="3">
      <t>ゾウ</t>
    </rPh>
    <rPh sb="14" eb="15">
      <t>ゾウ</t>
    </rPh>
    <phoneticPr fontId="8"/>
  </si>
  <si>
    <t>コン造・コンクリートブロック造-その他-車庫工場構築物</t>
    <rPh sb="2" eb="3">
      <t>ゾウ</t>
    </rPh>
    <rPh sb="14" eb="15">
      <t>ゾウ</t>
    </rPh>
    <rPh sb="18" eb="19">
      <t>タ</t>
    </rPh>
    <phoneticPr fontId="8"/>
  </si>
  <si>
    <t>金属造-つり橋、煙突、焼却炉、打ち込み井戸、へい、街路及びガードレール-車庫工場構築物</t>
    <rPh sb="0" eb="2">
      <t>キンゾク</t>
    </rPh>
    <rPh sb="2" eb="3">
      <t>ゾウ</t>
    </rPh>
    <rPh sb="6" eb="7">
      <t>ハシ</t>
    </rPh>
    <rPh sb="8" eb="10">
      <t>エントツ</t>
    </rPh>
    <rPh sb="11" eb="14">
      <t>ショウキャクロ</t>
    </rPh>
    <rPh sb="15" eb="16">
      <t>ウ</t>
    </rPh>
    <rPh sb="17" eb="18">
      <t>コ</t>
    </rPh>
    <rPh sb="19" eb="21">
      <t>イド</t>
    </rPh>
    <rPh sb="25" eb="27">
      <t>ガイロ</t>
    </rPh>
    <rPh sb="27" eb="28">
      <t>オヨ</t>
    </rPh>
    <phoneticPr fontId="8"/>
  </si>
  <si>
    <t>金属造-その他-車庫工場構築物</t>
    <rPh sb="0" eb="2">
      <t>キンゾク</t>
    </rPh>
    <rPh sb="2" eb="3">
      <t>ゾウ</t>
    </rPh>
    <rPh sb="6" eb="7">
      <t>タ</t>
    </rPh>
    <phoneticPr fontId="8"/>
  </si>
  <si>
    <t>木造-へい-車庫工場構築物</t>
    <rPh sb="0" eb="2">
      <t>モクゾウ</t>
    </rPh>
    <phoneticPr fontId="8"/>
  </si>
  <si>
    <t>木造-その他-車庫工場構築物</t>
    <rPh sb="0" eb="2">
      <t>モクゾウ</t>
    </rPh>
    <rPh sb="5" eb="6">
      <t>タ</t>
    </rPh>
    <phoneticPr fontId="8"/>
  </si>
  <si>
    <t>舗装道路・舗装路面-コンクリート敷、ブロック敷、煉瓦敷、石敷-変電所構築物</t>
    <rPh sb="0" eb="2">
      <t>ホソウ</t>
    </rPh>
    <rPh sb="2" eb="4">
      <t>ドウロ</t>
    </rPh>
    <rPh sb="5" eb="7">
      <t>ホソウ</t>
    </rPh>
    <rPh sb="7" eb="9">
      <t>ロメン</t>
    </rPh>
    <rPh sb="16" eb="17">
      <t>シキ</t>
    </rPh>
    <rPh sb="22" eb="23">
      <t>シキ</t>
    </rPh>
    <rPh sb="24" eb="26">
      <t>レンガ</t>
    </rPh>
    <rPh sb="26" eb="27">
      <t>シキ</t>
    </rPh>
    <rPh sb="28" eb="29">
      <t>イシ</t>
    </rPh>
    <rPh sb="29" eb="30">
      <t>シキ</t>
    </rPh>
    <phoneticPr fontId="8"/>
  </si>
  <si>
    <t>舗装道路・舗装路面-アスファルト敷又は木れんが敷のもの-変電所構築物</t>
    <rPh sb="0" eb="2">
      <t>ホソウ</t>
    </rPh>
    <rPh sb="2" eb="4">
      <t>ドウロ</t>
    </rPh>
    <rPh sb="5" eb="7">
      <t>ホソウ</t>
    </rPh>
    <rPh sb="7" eb="9">
      <t>ロメン</t>
    </rPh>
    <rPh sb="16" eb="17">
      <t>シキ</t>
    </rPh>
    <rPh sb="17" eb="18">
      <t>マタ</t>
    </rPh>
    <rPh sb="19" eb="20">
      <t>モク</t>
    </rPh>
    <rPh sb="23" eb="24">
      <t>シキ</t>
    </rPh>
    <phoneticPr fontId="8"/>
  </si>
  <si>
    <t>舗装道路・舗装路面-ビチューマルチ敷のもの-変電所構築物</t>
    <rPh sb="0" eb="2">
      <t>ホソウ</t>
    </rPh>
    <rPh sb="2" eb="4">
      <t>ドウロ</t>
    </rPh>
    <rPh sb="5" eb="7">
      <t>ホソウ</t>
    </rPh>
    <rPh sb="7" eb="9">
      <t>ロメン</t>
    </rPh>
    <rPh sb="17" eb="18">
      <t>シキ</t>
    </rPh>
    <phoneticPr fontId="8"/>
  </si>
  <si>
    <t>鉄骨鉄筋コン造・鉄コン造-へい-変電所構築物</t>
    <rPh sb="0" eb="2">
      <t>テッコツ</t>
    </rPh>
    <rPh sb="2" eb="4">
      <t>テッキン</t>
    </rPh>
    <rPh sb="6" eb="7">
      <t>ゾウ</t>
    </rPh>
    <rPh sb="8" eb="9">
      <t>テツ</t>
    </rPh>
    <rPh sb="11" eb="12">
      <t>ゾウ</t>
    </rPh>
    <phoneticPr fontId="8"/>
  </si>
  <si>
    <t>鉄骨鉄筋コン造・鉄コン造-その他-変電所構築物</t>
    <rPh sb="0" eb="2">
      <t>テッコツ</t>
    </rPh>
    <rPh sb="2" eb="4">
      <t>テッキン</t>
    </rPh>
    <rPh sb="6" eb="7">
      <t>ゾウ</t>
    </rPh>
    <rPh sb="8" eb="9">
      <t>テツ</t>
    </rPh>
    <rPh sb="11" eb="12">
      <t>ゾウ</t>
    </rPh>
    <rPh sb="15" eb="16">
      <t>タ</t>
    </rPh>
    <phoneticPr fontId="8"/>
  </si>
  <si>
    <t>コン造・コンクリートブロック造-へい-変電所構築物</t>
    <rPh sb="2" eb="3">
      <t>ゾウ</t>
    </rPh>
    <rPh sb="14" eb="15">
      <t>ゾウ</t>
    </rPh>
    <phoneticPr fontId="8"/>
  </si>
  <si>
    <t>コン造・コンクリートブロック造-その他-変電所構築物</t>
    <rPh sb="2" eb="3">
      <t>ゾウ</t>
    </rPh>
    <rPh sb="14" eb="15">
      <t>ゾウ</t>
    </rPh>
    <rPh sb="18" eb="19">
      <t>タ</t>
    </rPh>
    <phoneticPr fontId="8"/>
  </si>
  <si>
    <t>金属造-つり橋、煙突、焼却炉、打ち込み井戸、へい、街路及びガードレール-変電所構築物</t>
    <rPh sb="0" eb="2">
      <t>キンゾク</t>
    </rPh>
    <rPh sb="2" eb="3">
      <t>ゾウ</t>
    </rPh>
    <rPh sb="6" eb="7">
      <t>ハシ</t>
    </rPh>
    <rPh sb="8" eb="10">
      <t>エントツ</t>
    </rPh>
    <rPh sb="11" eb="14">
      <t>ショウキャクロ</t>
    </rPh>
    <rPh sb="15" eb="16">
      <t>ウ</t>
    </rPh>
    <rPh sb="17" eb="18">
      <t>コ</t>
    </rPh>
    <rPh sb="19" eb="21">
      <t>イド</t>
    </rPh>
    <rPh sb="25" eb="27">
      <t>ガイロ</t>
    </rPh>
    <rPh sb="27" eb="28">
      <t>オヨ</t>
    </rPh>
    <phoneticPr fontId="8"/>
  </si>
  <si>
    <t>金属造-その他-変電所構築物</t>
    <rPh sb="0" eb="2">
      <t>キンゾク</t>
    </rPh>
    <rPh sb="2" eb="3">
      <t>ゾウ</t>
    </rPh>
    <rPh sb="6" eb="7">
      <t>タ</t>
    </rPh>
    <phoneticPr fontId="8"/>
  </si>
  <si>
    <t>木造-へい-変電所構築物</t>
    <rPh sb="0" eb="2">
      <t>モクゾウ</t>
    </rPh>
    <phoneticPr fontId="8"/>
  </si>
  <si>
    <t>木造-その他-変電所構築物</t>
    <rPh sb="0" eb="2">
      <t>モクゾウ</t>
    </rPh>
    <rPh sb="5" eb="6">
      <t>タ</t>
    </rPh>
    <phoneticPr fontId="8"/>
  </si>
  <si>
    <t>舗装道路・舗装路面-コンクリート敷、ブロック敷、煉瓦敷、石敷-雑構築物</t>
    <rPh sb="0" eb="2">
      <t>ホソウ</t>
    </rPh>
    <rPh sb="2" eb="4">
      <t>ドウロ</t>
    </rPh>
    <rPh sb="5" eb="7">
      <t>ホソウ</t>
    </rPh>
    <rPh sb="7" eb="9">
      <t>ロメン</t>
    </rPh>
    <rPh sb="16" eb="17">
      <t>シキ</t>
    </rPh>
    <rPh sb="22" eb="23">
      <t>シキ</t>
    </rPh>
    <rPh sb="24" eb="26">
      <t>レンガ</t>
    </rPh>
    <rPh sb="26" eb="27">
      <t>シキ</t>
    </rPh>
    <rPh sb="28" eb="29">
      <t>イシ</t>
    </rPh>
    <rPh sb="29" eb="30">
      <t>シキ</t>
    </rPh>
    <phoneticPr fontId="8"/>
  </si>
  <si>
    <t>舗装道路・舗装路面-アスファルト敷又は木れんが敷のもの-雑構築物</t>
    <rPh sb="0" eb="2">
      <t>ホソウ</t>
    </rPh>
    <rPh sb="2" eb="4">
      <t>ドウロ</t>
    </rPh>
    <rPh sb="5" eb="7">
      <t>ホソウ</t>
    </rPh>
    <rPh sb="7" eb="9">
      <t>ロメン</t>
    </rPh>
    <rPh sb="16" eb="17">
      <t>シキ</t>
    </rPh>
    <rPh sb="17" eb="18">
      <t>マタ</t>
    </rPh>
    <rPh sb="19" eb="20">
      <t>モク</t>
    </rPh>
    <rPh sb="23" eb="24">
      <t>シキ</t>
    </rPh>
    <phoneticPr fontId="8"/>
  </si>
  <si>
    <t>舗装道路・舗装路面-ビチューマルチ敷のもの-雑構築物</t>
    <rPh sb="0" eb="2">
      <t>ホソウ</t>
    </rPh>
    <rPh sb="2" eb="4">
      <t>ドウロ</t>
    </rPh>
    <rPh sb="5" eb="7">
      <t>ホソウ</t>
    </rPh>
    <rPh sb="7" eb="9">
      <t>ロメン</t>
    </rPh>
    <rPh sb="17" eb="18">
      <t>シキ</t>
    </rPh>
    <phoneticPr fontId="8"/>
  </si>
  <si>
    <t>鉄骨鉄筋コン造・鉄コン造-へい-雑構築物</t>
    <rPh sb="0" eb="2">
      <t>テッコツ</t>
    </rPh>
    <rPh sb="2" eb="4">
      <t>テッキン</t>
    </rPh>
    <rPh sb="6" eb="7">
      <t>ゾウ</t>
    </rPh>
    <rPh sb="8" eb="9">
      <t>テツ</t>
    </rPh>
    <rPh sb="11" eb="12">
      <t>ゾウ</t>
    </rPh>
    <phoneticPr fontId="8"/>
  </si>
  <si>
    <t>鉄骨鉄筋コン造・鉄コン造-その他-雑構築物</t>
    <rPh sb="0" eb="2">
      <t>テッコツ</t>
    </rPh>
    <rPh sb="2" eb="4">
      <t>テッキン</t>
    </rPh>
    <rPh sb="6" eb="7">
      <t>ゾウ</t>
    </rPh>
    <rPh sb="8" eb="9">
      <t>テツ</t>
    </rPh>
    <rPh sb="11" eb="12">
      <t>ゾウ</t>
    </rPh>
    <rPh sb="15" eb="16">
      <t>タ</t>
    </rPh>
    <phoneticPr fontId="8"/>
  </si>
  <si>
    <t>コン造・コンクリートブロック造-へい-雑構築物</t>
    <rPh sb="2" eb="3">
      <t>ゾウ</t>
    </rPh>
    <rPh sb="14" eb="15">
      <t>ゾウ</t>
    </rPh>
    <phoneticPr fontId="8"/>
  </si>
  <si>
    <t>コン造・コンクリートブロック造-その他-雑構築物</t>
    <rPh sb="2" eb="3">
      <t>ゾウ</t>
    </rPh>
    <rPh sb="14" eb="15">
      <t>ゾウ</t>
    </rPh>
    <rPh sb="18" eb="19">
      <t>タ</t>
    </rPh>
    <phoneticPr fontId="8"/>
  </si>
  <si>
    <t>金属造-つり橋、煙突、焼却炉、打ち込み井戸、へい、街路及びガードレール-雑構築物</t>
    <rPh sb="0" eb="2">
      <t>キンゾク</t>
    </rPh>
    <rPh sb="2" eb="3">
      <t>ゾウ</t>
    </rPh>
    <rPh sb="6" eb="7">
      <t>ハシ</t>
    </rPh>
    <rPh sb="8" eb="10">
      <t>エントツ</t>
    </rPh>
    <rPh sb="11" eb="14">
      <t>ショウキャクロ</t>
    </rPh>
    <rPh sb="15" eb="16">
      <t>ウ</t>
    </rPh>
    <rPh sb="17" eb="18">
      <t>コ</t>
    </rPh>
    <rPh sb="19" eb="21">
      <t>イド</t>
    </rPh>
    <rPh sb="25" eb="27">
      <t>ガイロ</t>
    </rPh>
    <rPh sb="27" eb="28">
      <t>オヨ</t>
    </rPh>
    <phoneticPr fontId="8"/>
  </si>
  <si>
    <t>金属造-その他-雑構築物</t>
    <rPh sb="0" eb="2">
      <t>キンゾク</t>
    </rPh>
    <rPh sb="2" eb="3">
      <t>ゾウ</t>
    </rPh>
    <rPh sb="6" eb="7">
      <t>タ</t>
    </rPh>
    <phoneticPr fontId="8"/>
  </si>
  <si>
    <t>木造-へい-雑構築物</t>
    <rPh sb="0" eb="2">
      <t>モクゾウ</t>
    </rPh>
    <phoneticPr fontId="8"/>
  </si>
  <si>
    <t>木造-その他-雑構築物</t>
    <rPh sb="0" eb="2">
      <t>モクゾウ</t>
    </rPh>
    <rPh sb="5" eb="6">
      <t>タ</t>
    </rPh>
    <phoneticPr fontId="8"/>
  </si>
  <si>
    <t>　　うち、一般管理費等</t>
    <rPh sb="5" eb="7">
      <t>イッパン</t>
    </rPh>
    <rPh sb="7" eb="10">
      <t>カンリヒ</t>
    </rPh>
    <rPh sb="10" eb="11">
      <t>トウ</t>
    </rPh>
    <phoneticPr fontId="8"/>
  </si>
  <si>
    <t>　　うち、共通仮設費 　</t>
    <rPh sb="5" eb="7">
      <t>キョウツウ</t>
    </rPh>
    <rPh sb="7" eb="9">
      <t>カセツ</t>
    </rPh>
    <rPh sb="9" eb="10">
      <t>ヒ</t>
    </rPh>
    <phoneticPr fontId="8"/>
  </si>
  <si>
    <t xml:space="preserve">　　うち、現場管理費　 </t>
    <rPh sb="5" eb="7">
      <t>ゲンバ</t>
    </rPh>
    <rPh sb="7" eb="10">
      <t>カンリヒ</t>
    </rPh>
    <phoneticPr fontId="8"/>
  </si>
  <si>
    <t>１０構築物　直接工事費</t>
    <rPh sb="2" eb="5">
      <t>コウチクブツ</t>
    </rPh>
    <rPh sb="6" eb="8">
      <t>チョクセツ</t>
    </rPh>
    <rPh sb="8" eb="11">
      <t>コウジヒ</t>
    </rPh>
    <phoneticPr fontId="8"/>
  </si>
  <si>
    <t>２５工具・器具・備品　直接工事費</t>
    <rPh sb="2" eb="4">
      <t>コウグ</t>
    </rPh>
    <rPh sb="5" eb="7">
      <t>キグ</t>
    </rPh>
    <rPh sb="8" eb="10">
      <t>ビヒン</t>
    </rPh>
    <rPh sb="11" eb="13">
      <t>チョクセツ</t>
    </rPh>
    <rPh sb="13" eb="16">
      <t>コウジヒ</t>
    </rPh>
    <phoneticPr fontId="8"/>
  </si>
  <si>
    <t>資　産　ク　ラ　ス　・　計　上　区　分</t>
    <rPh sb="0" eb="1">
      <t>シ</t>
    </rPh>
    <rPh sb="2" eb="3">
      <t>サン</t>
    </rPh>
    <rPh sb="12" eb="13">
      <t>ケイ</t>
    </rPh>
    <rPh sb="14" eb="15">
      <t>ウエ</t>
    </rPh>
    <rPh sb="16" eb="17">
      <t>ク</t>
    </rPh>
    <rPh sb="18" eb="19">
      <t>ブン</t>
    </rPh>
    <phoneticPr fontId="8"/>
  </si>
  <si>
    <t>資産クラス</t>
    <rPh sb="0" eb="2">
      <t>シサン</t>
    </rPh>
    <phoneticPr fontId="8"/>
  </si>
  <si>
    <t>ＣＢ積  厚100</t>
  </si>
  <si>
    <t>野      積  D10  400*400</t>
  </si>
  <si>
    <t>廃プラ
(ｱｽﾍﾞ)</t>
  </si>
  <si>
    <t>資産ｸﾗｽ</t>
    <rPh sb="0" eb="2">
      <t>シサン</t>
    </rPh>
    <phoneticPr fontId="8"/>
  </si>
  <si>
    <t>根切り (人力)</t>
    <phoneticPr fontId="8"/>
  </si>
  <si>
    <t>人力根切り</t>
    <phoneticPr fontId="8"/>
  </si>
  <si>
    <t>m3</t>
    <phoneticPr fontId="8"/>
  </si>
  <si>
    <t>埋戻し</t>
    <phoneticPr fontId="8"/>
  </si>
  <si>
    <t>人力　締固め共</t>
    <phoneticPr fontId="8"/>
  </si>
  <si>
    <t>標準</t>
    <phoneticPr fontId="8"/>
  </si>
  <si>
    <t>---</t>
  </si>
  <si>
    <t>m3</t>
    <phoneticPr fontId="8"/>
  </si>
  <si>
    <t>掘削量≦２０m3の場合</t>
    <phoneticPr fontId="8"/>
  </si>
  <si>
    <t>05建物</t>
    <rPh sb="2" eb="4">
      <t>タテモノ</t>
    </rPh>
    <phoneticPr fontId="8"/>
  </si>
  <si>
    <t>10構築物</t>
    <rPh sb="2" eb="5">
      <t>コウチクブツ</t>
    </rPh>
    <phoneticPr fontId="8"/>
  </si>
  <si>
    <t>建物附属設備</t>
    <rPh sb="0" eb="2">
      <t>タテモノ</t>
    </rPh>
    <rPh sb="2" eb="4">
      <t>フゾク</t>
    </rPh>
    <rPh sb="4" eb="6">
      <t>セツビ</t>
    </rPh>
    <phoneticPr fontId="8"/>
  </si>
  <si>
    <t>作業時間</t>
    <phoneticPr fontId="8"/>
  </si>
  <si>
    <t>駅前広場舗装等</t>
    <rPh sb="0" eb="1">
      <t>エキ</t>
    </rPh>
    <rPh sb="1" eb="2">
      <t>マエ</t>
    </rPh>
    <rPh sb="2" eb="4">
      <t>ヒロバ</t>
    </rPh>
    <rPh sb="4" eb="6">
      <t>ホソウ</t>
    </rPh>
    <rPh sb="6" eb="7">
      <t>トウ</t>
    </rPh>
    <phoneticPr fontId="8"/>
  </si>
  <si>
    <t>無人駐車管理装置</t>
    <rPh sb="0" eb="2">
      <t>ムジン</t>
    </rPh>
    <rPh sb="2" eb="4">
      <t>チュウシャ</t>
    </rPh>
    <rPh sb="4" eb="6">
      <t>カンリ</t>
    </rPh>
    <rPh sb="6" eb="8">
      <t>ソウチ</t>
    </rPh>
    <phoneticPr fontId="8"/>
  </si>
  <si>
    <t>その他（金造製）</t>
    <rPh sb="2" eb="3">
      <t>タ</t>
    </rPh>
    <rPh sb="4" eb="5">
      <t>キン</t>
    </rPh>
    <rPh sb="6" eb="7">
      <t>セイ</t>
    </rPh>
    <phoneticPr fontId="8"/>
  </si>
  <si>
    <t>その他（その他）</t>
    <rPh sb="2" eb="3">
      <t>タ</t>
    </rPh>
    <rPh sb="6" eb="7">
      <t>タ</t>
    </rPh>
    <phoneticPr fontId="8"/>
  </si>
  <si>
    <t>（停車場設備）</t>
    <rPh sb="1" eb="4">
      <t>テイシャジョウ</t>
    </rPh>
    <rPh sb="4" eb="6">
      <t>セツビ</t>
    </rPh>
    <phoneticPr fontId="8"/>
  </si>
  <si>
    <t>部分撤去工事</t>
    <rPh sb="0" eb="2">
      <t>ブブン</t>
    </rPh>
    <rPh sb="2" eb="4">
      <t>テッキョ</t>
    </rPh>
    <rPh sb="4" eb="6">
      <t>コウジ</t>
    </rPh>
    <phoneticPr fontId="8"/>
  </si>
  <si>
    <t>直接仮設及び部分撤去工事を除く直接工事費</t>
    <rPh sb="0" eb="2">
      <t>チョクセツ</t>
    </rPh>
    <rPh sb="2" eb="4">
      <t>カセツ</t>
    </rPh>
    <rPh sb="4" eb="5">
      <t>オヨ</t>
    </rPh>
    <rPh sb="6" eb="8">
      <t>ブブン</t>
    </rPh>
    <rPh sb="8" eb="10">
      <t>テッキョ</t>
    </rPh>
    <rPh sb="10" eb="12">
      <t>コウジ</t>
    </rPh>
    <rPh sb="13" eb="14">
      <t>ノゾ</t>
    </rPh>
    <rPh sb="15" eb="17">
      <t>チョクセツ</t>
    </rPh>
    <rPh sb="17" eb="19">
      <t>コウジ</t>
    </rPh>
    <rPh sb="19" eb="20">
      <t>ヒ</t>
    </rPh>
    <phoneticPr fontId="8"/>
  </si>
  <si>
    <t>資産</t>
    <rPh sb="0" eb="2">
      <t>シサン</t>
    </rPh>
    <phoneticPr fontId="8"/>
  </si>
  <si>
    <t>うち部分撤去工事</t>
    <rPh sb="2" eb="4">
      <t>ブブン</t>
    </rPh>
    <rPh sb="4" eb="6">
      <t>テッキョ</t>
    </rPh>
    <rPh sb="6" eb="8">
      <t>コウジ</t>
    </rPh>
    <phoneticPr fontId="8"/>
  </si>
  <si>
    <t>01</t>
    <phoneticPr fontId="8"/>
  </si>
  <si>
    <t>鉄コン造</t>
    <phoneticPr fontId="8"/>
  </si>
  <si>
    <t>02</t>
    <phoneticPr fontId="8"/>
  </si>
  <si>
    <t>れんが石ブロック造</t>
    <phoneticPr fontId="8"/>
  </si>
  <si>
    <t>03</t>
    <phoneticPr fontId="8"/>
  </si>
  <si>
    <t>金属造(4mm超)</t>
    <phoneticPr fontId="8"/>
  </si>
  <si>
    <t>04</t>
    <phoneticPr fontId="8"/>
  </si>
  <si>
    <t>金属造(3mm超4mm以下)</t>
    <phoneticPr fontId="8"/>
  </si>
  <si>
    <t>05</t>
    <phoneticPr fontId="8"/>
  </si>
  <si>
    <t>金属造(肉厚が3mm以下)</t>
    <phoneticPr fontId="8"/>
  </si>
  <si>
    <t>06</t>
    <phoneticPr fontId="8"/>
  </si>
  <si>
    <t>木造又は合成樹脂造</t>
    <phoneticPr fontId="8"/>
  </si>
  <si>
    <t>07</t>
    <phoneticPr fontId="8"/>
  </si>
  <si>
    <t>木骨モルタル造</t>
    <phoneticPr fontId="8"/>
  </si>
  <si>
    <t>08</t>
    <phoneticPr fontId="8"/>
  </si>
  <si>
    <t>簡易建物(木製主要柱10cm角以下)</t>
    <phoneticPr fontId="8"/>
  </si>
  <si>
    <t>09</t>
    <phoneticPr fontId="8"/>
  </si>
  <si>
    <t>簡易建物(掘立造　仮設のもの)</t>
    <phoneticPr fontId="8"/>
  </si>
  <si>
    <t>電気設備(照明設備を含む)-蓄電池電源設備</t>
    <phoneticPr fontId="8"/>
  </si>
  <si>
    <t>電気設備(照明設備を含む)-その他のもの</t>
    <phoneticPr fontId="8"/>
  </si>
  <si>
    <t>給排水又は衛生設備及びガス設備</t>
    <phoneticPr fontId="8"/>
  </si>
  <si>
    <t>冷暖房・通風・ボイラー設備-22kw以下</t>
    <phoneticPr fontId="8"/>
  </si>
  <si>
    <t>冷暖房・通風・ボイラー設備-その他のもの</t>
    <phoneticPr fontId="8"/>
  </si>
  <si>
    <t>昇降機設備-エレベーター</t>
    <phoneticPr fontId="8"/>
  </si>
  <si>
    <t>昇降機設備-エスカレーター</t>
    <phoneticPr fontId="8"/>
  </si>
  <si>
    <t>消火・排煙・災害報知設備及び格納式避難設備</t>
    <phoneticPr fontId="8"/>
  </si>
  <si>
    <t>エヤーカーテン又はドアー自動開閉設備</t>
    <phoneticPr fontId="8"/>
  </si>
  <si>
    <t>アーケード又は日よけ設備-金属製</t>
    <phoneticPr fontId="8"/>
  </si>
  <si>
    <t>その他</t>
    <phoneticPr fontId="8"/>
  </si>
  <si>
    <t>（諸構築物）</t>
    <phoneticPr fontId="8"/>
  </si>
  <si>
    <t>01</t>
    <phoneticPr fontId="8"/>
  </si>
  <si>
    <t>へい</t>
    <phoneticPr fontId="8"/>
  </si>
  <si>
    <t>10</t>
    <phoneticPr fontId="8"/>
  </si>
  <si>
    <t>11</t>
    <phoneticPr fontId="8"/>
  </si>
  <si>
    <t>25工具・器具・備品</t>
    <phoneticPr fontId="8"/>
  </si>
  <si>
    <t>059工具・器具・備品</t>
    <phoneticPr fontId="8"/>
  </si>
  <si>
    <t>12505988</t>
    <phoneticPr fontId="8"/>
  </si>
  <si>
    <t>12505990</t>
    <phoneticPr fontId="8"/>
  </si>
  <si>
    <t>12505991</t>
    <phoneticPr fontId="8"/>
  </si>
  <si>
    <t>資産　直接工事費（直接仮設・費用・部分撤去工事を除く）合計</t>
    <rPh sb="0" eb="2">
      <t>シサン</t>
    </rPh>
    <rPh sb="3" eb="5">
      <t>チョクセツ</t>
    </rPh>
    <rPh sb="5" eb="7">
      <t>コウジ</t>
    </rPh>
    <rPh sb="7" eb="8">
      <t>ヒ</t>
    </rPh>
    <rPh sb="9" eb="11">
      <t>チョクセツ</t>
    </rPh>
    <rPh sb="11" eb="13">
      <t>カセツ</t>
    </rPh>
    <rPh sb="14" eb="16">
      <t>ヒヨウ</t>
    </rPh>
    <rPh sb="17" eb="19">
      <t>ブブン</t>
    </rPh>
    <rPh sb="19" eb="21">
      <t>テッキョ</t>
    </rPh>
    <rPh sb="21" eb="23">
      <t>コウジ</t>
    </rPh>
    <rPh sb="24" eb="25">
      <t>ノゾ</t>
    </rPh>
    <rPh sb="27" eb="29">
      <t>ゴウケイ</t>
    </rPh>
    <phoneticPr fontId="8"/>
  </si>
  <si>
    <t>鉄骨鉄筋コンクリート造又は鉄筋コンクリート造-停車場建物</t>
    <phoneticPr fontId="8"/>
  </si>
  <si>
    <t>れんが造、石造又はブロック造-停車場建物</t>
    <phoneticPr fontId="8"/>
  </si>
  <si>
    <t>金属造(骨格材の肉厚が4mm超)-停車場建物</t>
    <phoneticPr fontId="8"/>
  </si>
  <si>
    <t>金属造(骨格材の肉厚が3mm超4mm以下)-停車場建物</t>
    <phoneticPr fontId="8"/>
  </si>
  <si>
    <t>金属造(骨格材の肉厚が3mm以下)-停車場建物</t>
    <phoneticPr fontId="8"/>
  </si>
  <si>
    <t>木造又は合成樹脂造-停車場建物</t>
    <phoneticPr fontId="8"/>
  </si>
  <si>
    <t>木骨モルタル造-停車場建物</t>
    <phoneticPr fontId="8"/>
  </si>
  <si>
    <t>簡易建物(木製主要柱が10cm角以下で土居、杉皮ぶき等)-停車場建物</t>
    <phoneticPr fontId="8"/>
  </si>
  <si>
    <t>簡易建物(掘立造のもの及び仮設のもの)-停車場建物</t>
    <phoneticPr fontId="8"/>
  </si>
  <si>
    <t>電気設備(照明設備を含む)-蓄電池電源設備-停車場建物</t>
    <phoneticPr fontId="8"/>
  </si>
  <si>
    <t>電気設備(照明設備を含む)-その他のもの-停車場建物</t>
    <phoneticPr fontId="8"/>
  </si>
  <si>
    <t>給排水又は衛生設備及びガス設備-停車場建物</t>
    <phoneticPr fontId="8"/>
  </si>
  <si>
    <t>冷暖房・通風・ボイラー設備-22kw以下-停車場建物</t>
    <phoneticPr fontId="8"/>
  </si>
  <si>
    <t>冷暖房・通風・ボイラー設備-その他のもの-停車場建物</t>
    <phoneticPr fontId="8"/>
  </si>
  <si>
    <t>昇降機設備-エレベーター-停車場建物</t>
    <phoneticPr fontId="8"/>
  </si>
  <si>
    <t>昇降機設備-エスカレーター-停車場建物</t>
    <phoneticPr fontId="8"/>
  </si>
  <si>
    <t>消火・排煙・災害報知設備及び格納式避難設備-停車場建物</t>
    <phoneticPr fontId="8"/>
  </si>
  <si>
    <t>エヤーカーテン又はドアー自動開閉設備-停車場建物</t>
    <phoneticPr fontId="8"/>
  </si>
  <si>
    <t>アーケード又は日よけ設備-金属製-停車場建物</t>
    <phoneticPr fontId="8"/>
  </si>
  <si>
    <t>アーケード又は日よけ設備-その他のもの-停車場建物</t>
    <phoneticPr fontId="8"/>
  </si>
  <si>
    <t>店用簡易設備-停車場建物</t>
    <phoneticPr fontId="8"/>
  </si>
  <si>
    <t>鉄骨鉄筋コンクリート造又は鉄筋コンクリート造-変電所建物</t>
    <phoneticPr fontId="8"/>
  </si>
  <si>
    <t>れんが造、石造又はブロック造-変電所建物</t>
    <phoneticPr fontId="8"/>
  </si>
  <si>
    <t>金属造(骨格材の肉厚が4mm超)-変電所建物</t>
    <phoneticPr fontId="8"/>
  </si>
  <si>
    <t>金属造(骨格材の肉厚が3mm超4mm以下)-変電所建物</t>
    <phoneticPr fontId="8"/>
  </si>
  <si>
    <t>金属造(骨格材の肉厚が3mm以下)-変電所建物</t>
    <phoneticPr fontId="8"/>
  </si>
  <si>
    <t>木造又は合成樹脂造-変電所建物</t>
    <phoneticPr fontId="8"/>
  </si>
  <si>
    <t>木骨モルタル造-変電所建物</t>
    <phoneticPr fontId="8"/>
  </si>
  <si>
    <t>簡易建物(木製主要柱が10cm角以下で土居、杉皮ぶき等)-変電所建物</t>
    <phoneticPr fontId="8"/>
  </si>
  <si>
    <t>簡易建物(掘立造のもの及び仮設のもの)-変電所建物</t>
    <phoneticPr fontId="8"/>
  </si>
  <si>
    <t>電気設備(照明設備を含む)-蓄電池電源設備-変電所建物</t>
    <phoneticPr fontId="8"/>
  </si>
  <si>
    <t>電気設備(照明設備を含む)-その他のもの-変電所建物</t>
    <phoneticPr fontId="8"/>
  </si>
  <si>
    <t>給排水又は衛生設備及びガス設備-変電所建物</t>
    <phoneticPr fontId="8"/>
  </si>
  <si>
    <t>冷暖房・通風・ボイラー設備-22kw以下-変電所建物</t>
    <phoneticPr fontId="8"/>
  </si>
  <si>
    <t>冷暖房・通風・ボイラー設備-その他のもの-変電所建物</t>
    <phoneticPr fontId="8"/>
  </si>
  <si>
    <t>昇降機設備-エレベーター-変電所建物</t>
    <phoneticPr fontId="8"/>
  </si>
  <si>
    <t>昇降機設備-エスカレーター-変電所建物</t>
    <phoneticPr fontId="8"/>
  </si>
  <si>
    <t>消火・排煙・災害報知設備及び格納式避難設備-変電所建物</t>
    <phoneticPr fontId="8"/>
  </si>
  <si>
    <t>エヤーカーテン又はドアー自動開閉設備-変電所建物</t>
    <phoneticPr fontId="8"/>
  </si>
  <si>
    <t>アーケード又は日よけ設備-金属製-変電所建物</t>
    <phoneticPr fontId="8"/>
  </si>
  <si>
    <t>アーケード又は日よけ設備-その他のもの-変電所建物</t>
    <phoneticPr fontId="8"/>
  </si>
  <si>
    <t>店用簡易設備-変電所建物</t>
    <phoneticPr fontId="8"/>
  </si>
  <si>
    <t>鉄骨鉄筋コンクリート造又は鉄筋コンクリート造-車庫・工場</t>
    <phoneticPr fontId="8"/>
  </si>
  <si>
    <t>れんが造、石造又はブロック造-車庫・工場</t>
    <phoneticPr fontId="8"/>
  </si>
  <si>
    <t>金属造(骨格材の肉厚が4mm超)-車庫・工場</t>
    <phoneticPr fontId="8"/>
  </si>
  <si>
    <t>金属造(骨格材の肉厚が3mm超4mm以下)-車庫・工場</t>
    <phoneticPr fontId="8"/>
  </si>
  <si>
    <t>金属造(骨格材の肉厚が3mm以下)-車庫・工場</t>
    <phoneticPr fontId="8"/>
  </si>
  <si>
    <t>木造又は合成樹脂造-車庫・工場</t>
    <phoneticPr fontId="8"/>
  </si>
  <si>
    <t>木骨モルタル造-車庫・工場</t>
    <phoneticPr fontId="8"/>
  </si>
  <si>
    <t>簡易建物(木製主要柱が10cm角以下で土居、杉皮ぶき等)-車庫・工場</t>
    <phoneticPr fontId="8"/>
  </si>
  <si>
    <t>簡易建物(掘立造のもの及び仮設のもの)-車庫・工場</t>
    <phoneticPr fontId="8"/>
  </si>
  <si>
    <t>電気設備(照明設備を含む)-蓄電池電源設備-車庫・工場</t>
    <phoneticPr fontId="8"/>
  </si>
  <si>
    <t>電気設備(照明設備を含む)-その他のもの-車庫・工場</t>
    <phoneticPr fontId="8"/>
  </si>
  <si>
    <t>給排水又は衛生設備及びガス設備-車庫・工場</t>
    <phoneticPr fontId="8"/>
  </si>
  <si>
    <t>冷暖房・通風・ボイラー設備-22kw以下-車庫・工場</t>
    <phoneticPr fontId="8"/>
  </si>
  <si>
    <t>冷暖房・通風・ボイラー設備-その他のもの-車庫・工場</t>
    <phoneticPr fontId="8"/>
  </si>
  <si>
    <t>鉄有固-運送施設 建物付属設備-</t>
    <phoneticPr fontId="8"/>
  </si>
  <si>
    <t>昇降機設備-エスカレーター-車庫・工場</t>
    <phoneticPr fontId="8"/>
  </si>
  <si>
    <t>消火・排煙・災害報知設備及び格納式避難設備-車庫・工場</t>
    <phoneticPr fontId="8"/>
  </si>
  <si>
    <t>エヤーカーテン又はドアー自動開閉設備-車庫・工場</t>
    <phoneticPr fontId="8"/>
  </si>
  <si>
    <t>鉄骨鉄筋コンクリート造又は鉄筋コンクリート造-倉庫建物</t>
    <phoneticPr fontId="8"/>
  </si>
  <si>
    <t>れんが造、石造又はブロック造-倉庫建物</t>
    <phoneticPr fontId="8"/>
  </si>
  <si>
    <t>金属造(骨格材の肉厚が4mm超)-倉庫建物</t>
    <phoneticPr fontId="8"/>
  </si>
  <si>
    <t>金属造(骨格材の肉厚が3mm超4mm以下)-倉庫建物</t>
    <phoneticPr fontId="8"/>
  </si>
  <si>
    <t>金属造(骨格材の肉厚が3mm以下)-倉庫建物</t>
    <phoneticPr fontId="8"/>
  </si>
  <si>
    <t>木造又は合成樹脂造-倉庫建物</t>
    <phoneticPr fontId="8"/>
  </si>
  <si>
    <t>木骨モルタル造-倉庫建物</t>
    <phoneticPr fontId="8"/>
  </si>
  <si>
    <t>簡易建物(木製主要柱が10cm角以下で土居、杉皮ぶき等)-倉庫建物</t>
    <phoneticPr fontId="8"/>
  </si>
  <si>
    <t>簡易建物(掘立造のもの及び仮設のもの)-倉庫建物</t>
    <phoneticPr fontId="8"/>
  </si>
  <si>
    <t>電気設備(照明設備を含む)-蓄電池電源設備-倉庫建物</t>
    <phoneticPr fontId="8"/>
  </si>
  <si>
    <t>給排水又は衛生設備及びガス設備-倉庫建物</t>
    <phoneticPr fontId="8"/>
  </si>
  <si>
    <t>冷暖房・通風・ボイラー設備-22kw以下-倉庫建物</t>
    <phoneticPr fontId="8"/>
  </si>
  <si>
    <t>冷暖房・通風・ボイラー設備-その他のもの-倉庫建物</t>
    <phoneticPr fontId="8"/>
  </si>
  <si>
    <t>昇降機設備-エレベーター-倉庫建物</t>
    <phoneticPr fontId="8"/>
  </si>
  <si>
    <t>昇降機設備-エスカレーター-倉庫建物</t>
    <phoneticPr fontId="8"/>
  </si>
  <si>
    <t>エヤーカーテン又はドアー自動開閉設備-倉庫建物</t>
    <phoneticPr fontId="8"/>
  </si>
  <si>
    <t>鉄骨鉄筋コンクリート造又は鉄筋コンクリート造-詰所建物</t>
    <phoneticPr fontId="8"/>
  </si>
  <si>
    <t>れんが造、石造又はブロック造-詰所建物</t>
    <phoneticPr fontId="8"/>
  </si>
  <si>
    <t>金属造(骨格材の肉厚が4mm超)-詰所建物</t>
    <phoneticPr fontId="8"/>
  </si>
  <si>
    <t>金属造(骨格材の肉厚が3mm超4mm以下)-詰所建物</t>
    <phoneticPr fontId="8"/>
  </si>
  <si>
    <t>金属造(骨格材の肉厚が3mm以下)-詰所建物</t>
    <phoneticPr fontId="8"/>
  </si>
  <si>
    <t>木造又は合成樹脂造-詰所建物</t>
    <phoneticPr fontId="8"/>
  </si>
  <si>
    <t>木骨モルタル造-詰所建物</t>
    <phoneticPr fontId="8"/>
  </si>
  <si>
    <t>簡易建物(木製主要柱が10cm角以下で土居、杉皮ぶき等)-詰所建物</t>
    <phoneticPr fontId="8"/>
  </si>
  <si>
    <t>簡易建物(掘立造のもの及び仮設のもの)-詰所建物</t>
    <phoneticPr fontId="8"/>
  </si>
  <si>
    <t>電気設備(照明設備を含む)-蓄電池電源設備-詰所建物</t>
    <phoneticPr fontId="8"/>
  </si>
  <si>
    <t>電気設備(照明設備を含む)-その他のもの-詰所建物</t>
    <phoneticPr fontId="8"/>
  </si>
  <si>
    <t>給排水又は衛生設備及びガス設備-詰所建物</t>
    <phoneticPr fontId="8"/>
  </si>
  <si>
    <t>冷暖房・通風・ボイラー設備-22kw以下-詰所建物</t>
    <phoneticPr fontId="8"/>
  </si>
  <si>
    <t>冷暖房・通風・ボイラー設備-その他のもの-詰所建物</t>
    <phoneticPr fontId="8"/>
  </si>
  <si>
    <t>昇降機設備-エレベーター-詰所建物</t>
    <phoneticPr fontId="8"/>
  </si>
  <si>
    <t>昇降機設備-エスカレーター-詰所建物</t>
    <phoneticPr fontId="8"/>
  </si>
  <si>
    <t>消火・排煙・災害報知設備及び格納式避難設備-詰所建物</t>
    <phoneticPr fontId="8"/>
  </si>
  <si>
    <t>鉄骨鉄筋コンクリート造又は鉄筋コンクリート造-事務所建物</t>
    <phoneticPr fontId="8"/>
  </si>
  <si>
    <t>れんが造、石造又はブロック造-事務所建物</t>
    <phoneticPr fontId="8"/>
  </si>
  <si>
    <t>金属造(骨格材の肉厚が4mm超)-事務所建物</t>
    <phoneticPr fontId="8"/>
  </si>
  <si>
    <t>金属造(骨格材の肉厚が3mm超4mm以下)-事務所建物</t>
    <phoneticPr fontId="8"/>
  </si>
  <si>
    <t>金属造(骨格材の肉厚が3mm以下)-事務所建物</t>
    <phoneticPr fontId="8"/>
  </si>
  <si>
    <t>木造又は合成樹脂造-事務所建物</t>
    <phoneticPr fontId="8"/>
  </si>
  <si>
    <t>木骨モルタル造-事務所建物</t>
    <phoneticPr fontId="8"/>
  </si>
  <si>
    <t>簡易建物(掘立造のもの及び仮設のもの)-事務所建物</t>
    <phoneticPr fontId="8"/>
  </si>
  <si>
    <t>電気設備(照明設備を含む)-蓄電池電源設備-事務所建物</t>
    <phoneticPr fontId="8"/>
  </si>
  <si>
    <t>電気設備(照明設備を含む)-その他のもの-事務所建物</t>
    <phoneticPr fontId="8"/>
  </si>
  <si>
    <t>給排水又は衛生設備及びガス設備-事務所建物</t>
    <phoneticPr fontId="8"/>
  </si>
  <si>
    <t>冷暖房・通風・ボイラー設備-22kw以下-事務所建物</t>
    <phoneticPr fontId="8"/>
  </si>
  <si>
    <t>冷暖房・通風・ボイラー設備-その他のもの-事務所建物</t>
    <phoneticPr fontId="8"/>
  </si>
  <si>
    <t>昇降機設備-エレベーター-事務所建物</t>
    <phoneticPr fontId="8"/>
  </si>
  <si>
    <t>昇降機設備-エスカレーター-事務所建物</t>
    <phoneticPr fontId="8"/>
  </si>
  <si>
    <t>消火・排煙・災害報知設備及び格納式避難設備-事務所建物</t>
    <phoneticPr fontId="8"/>
  </si>
  <si>
    <t>エヤーカーテン又はドアー自動開閉設備-事務所建物</t>
    <phoneticPr fontId="8"/>
  </si>
  <si>
    <t>鉄骨鉄筋コンクリート造又は鉄筋コンクリート造-社宅・寮建物</t>
    <phoneticPr fontId="8"/>
  </si>
  <si>
    <t>れんが造、石造又はブロック造-社宅・寮建物</t>
    <phoneticPr fontId="8"/>
  </si>
  <si>
    <t>金属造(骨格材の肉厚が4mm超)-社宅・寮建物</t>
    <phoneticPr fontId="8"/>
  </si>
  <si>
    <t>金属造(骨格材の肉厚が3mm超4mm以下)-社宅・寮建物</t>
    <phoneticPr fontId="8"/>
  </si>
  <si>
    <t>金属造(骨格材の肉厚が3mm以下)-社宅・寮建物</t>
    <phoneticPr fontId="8"/>
  </si>
  <si>
    <t>木造又は合成樹脂造-社宅・寮建物</t>
    <phoneticPr fontId="8"/>
  </si>
  <si>
    <t>木骨モルタル造-社宅・寮建物</t>
    <phoneticPr fontId="8"/>
  </si>
  <si>
    <t>簡易建物(木製主要柱が10cm角以下で土居、杉皮ぶき等)-社宅・寮建物</t>
    <phoneticPr fontId="8"/>
  </si>
  <si>
    <t>簡易建物(掘立造のもの及び仮設のもの)-社宅・寮建物</t>
    <phoneticPr fontId="8"/>
  </si>
  <si>
    <t>電気設備(照明設備を含む)-蓄電池電源設備-社宅・寮建物</t>
    <phoneticPr fontId="8"/>
  </si>
  <si>
    <t>電気設備(照明設備を含む)-その他のもの-社宅・寮建物</t>
    <phoneticPr fontId="8"/>
  </si>
  <si>
    <t>給排水又は衛生設備及びガス設備-社宅・寮建物</t>
    <phoneticPr fontId="8"/>
  </si>
  <si>
    <t>冷暖房・通風・ボイラー設備-22kw以下-社宅・寮建物</t>
    <phoneticPr fontId="8"/>
  </si>
  <si>
    <t>冷暖房・通風・ボイラー設備-その他のもの-社宅・寮建物</t>
    <phoneticPr fontId="8"/>
  </si>
  <si>
    <t>昇降機設備-エレベーター-社宅・寮建物</t>
    <phoneticPr fontId="8"/>
  </si>
  <si>
    <t>昇降機設備-エスカレーター-社宅・寮建物</t>
    <phoneticPr fontId="8"/>
  </si>
  <si>
    <t>消火・排煙・災害報知設備及び格納式避難設備-社宅・寮建物</t>
    <phoneticPr fontId="8"/>
  </si>
  <si>
    <t>エヤーカーテン又はドアー自動開閉設備-社宅・寮建物</t>
    <phoneticPr fontId="8"/>
  </si>
  <si>
    <t>雑設備-駅前広場舗装等</t>
    <rPh sb="4" eb="6">
      <t>エキマエ</t>
    </rPh>
    <rPh sb="6" eb="8">
      <t>ヒロバ</t>
    </rPh>
    <rPh sb="8" eb="10">
      <t>ホソウ</t>
    </rPh>
    <rPh sb="10" eb="11">
      <t>トウ</t>
    </rPh>
    <phoneticPr fontId="8"/>
  </si>
  <si>
    <t>雑設備-その他</t>
    <rPh sb="6" eb="7">
      <t>タ</t>
    </rPh>
    <phoneticPr fontId="8"/>
  </si>
  <si>
    <t>－</t>
    <phoneticPr fontId="8"/>
  </si>
  <si>
    <t>部分撤去工事のうち、資産計上した工事価格</t>
    <rPh sb="10" eb="12">
      <t>シサン</t>
    </rPh>
    <rPh sb="12" eb="14">
      <t>ケイジョウ</t>
    </rPh>
    <rPh sb="16" eb="18">
      <t>コウジ</t>
    </rPh>
    <rPh sb="18" eb="20">
      <t>カカク</t>
    </rPh>
    <phoneticPr fontId="8"/>
  </si>
  <si>
    <t>部分撤去工事のうち、費用計上した工事価格</t>
    <rPh sb="10" eb="12">
      <t>ヒヨウ</t>
    </rPh>
    <rPh sb="12" eb="14">
      <t>ケイジョウ</t>
    </rPh>
    <rPh sb="16" eb="18">
      <t>コウジ</t>
    </rPh>
    <rPh sb="18" eb="20">
      <t>カカク</t>
    </rPh>
    <phoneticPr fontId="8"/>
  </si>
  <si>
    <t>部分撤去工事　工事価格　計</t>
    <rPh sb="0" eb="2">
      <t>ブブン</t>
    </rPh>
    <rPh sb="2" eb="4">
      <t>テッキョ</t>
    </rPh>
    <rPh sb="4" eb="6">
      <t>コウジ</t>
    </rPh>
    <rPh sb="7" eb="9">
      <t>コウジ</t>
    </rPh>
    <rPh sb="9" eb="11">
      <t>カカク</t>
    </rPh>
    <rPh sb="12" eb="13">
      <t>ケイ</t>
    </rPh>
    <phoneticPr fontId="8"/>
  </si>
  <si>
    <t>資産計上区分の中で、費用として計上した工事価格（部分撤去工事を除く）</t>
    <rPh sb="10" eb="12">
      <t>ヒヨウ</t>
    </rPh>
    <rPh sb="15" eb="17">
      <t>ケイジョウ</t>
    </rPh>
    <rPh sb="19" eb="21">
      <t>コウジ</t>
    </rPh>
    <rPh sb="21" eb="23">
      <t>カカク</t>
    </rPh>
    <rPh sb="24" eb="26">
      <t>ブブン</t>
    </rPh>
    <rPh sb="26" eb="28">
      <t>テッキョ</t>
    </rPh>
    <rPh sb="28" eb="30">
      <t>コウジ</t>
    </rPh>
    <rPh sb="31" eb="32">
      <t>ノゾ</t>
    </rPh>
    <phoneticPr fontId="8"/>
  </si>
  <si>
    <t>（直接仮設・部分撤去・費用を除く）</t>
    <phoneticPr fontId="8"/>
  </si>
  <si>
    <t>係長</t>
    <rPh sb="0" eb="2">
      <t>カカリチョウ</t>
    </rPh>
    <phoneticPr fontId="8"/>
  </si>
  <si>
    <t>建築資産管理担当</t>
    <rPh sb="0" eb="2">
      <t>ケンチク</t>
    </rPh>
    <rPh sb="2" eb="4">
      <t>シサン</t>
    </rPh>
    <rPh sb="4" eb="6">
      <t>カンリ</t>
    </rPh>
    <rPh sb="6" eb="8">
      <t>タントウ</t>
    </rPh>
    <phoneticPr fontId="8"/>
  </si>
  <si>
    <t>工　事　費　内　訳　書</t>
    <rPh sb="0" eb="1">
      <t>タクミ</t>
    </rPh>
    <rPh sb="2" eb="3">
      <t>コト</t>
    </rPh>
    <rPh sb="4" eb="5">
      <t>ヒ</t>
    </rPh>
    <rPh sb="6" eb="7">
      <t>ウチ</t>
    </rPh>
    <rPh sb="8" eb="9">
      <t>ヤク</t>
    </rPh>
    <rPh sb="10" eb="11">
      <t>ショ</t>
    </rPh>
    <phoneticPr fontId="8"/>
  </si>
  <si>
    <t>設計担当者</t>
    <rPh sb="0" eb="2">
      <t>セッケイ</t>
    </rPh>
    <rPh sb="2" eb="5">
      <t>タントウシャ</t>
    </rPh>
    <phoneticPr fontId="8"/>
  </si>
  <si>
    <t>補助金</t>
    <rPh sb="0" eb="3">
      <t>ホジョキン</t>
    </rPh>
    <phoneticPr fontId="8"/>
  </si>
  <si>
    <t>発注形態</t>
    <phoneticPr fontId="8"/>
  </si>
  <si>
    <t>建設ﾘｻｲｸﾙ法</t>
    <rPh sb="0" eb="2">
      <t>ケンセツ</t>
    </rPh>
    <rPh sb="7" eb="8">
      <t>ホウ</t>
    </rPh>
    <phoneticPr fontId="8"/>
  </si>
  <si>
    <t>工事公告日</t>
    <rPh sb="0" eb="2">
      <t>コウジ</t>
    </rPh>
    <rPh sb="2" eb="4">
      <t>コウコク</t>
    </rPh>
    <rPh sb="4" eb="5">
      <t>ヒ</t>
    </rPh>
    <phoneticPr fontId="8"/>
  </si>
  <si>
    <t>落札決定日</t>
    <rPh sb="0" eb="2">
      <t>ラクサツ</t>
    </rPh>
    <rPh sb="2" eb="4">
      <t>ケッテイ</t>
    </rPh>
    <rPh sb="4" eb="5">
      <t>ヒ</t>
    </rPh>
    <phoneticPr fontId="8"/>
  </si>
  <si>
    <t>工事工期</t>
    <rPh sb="0" eb="2">
      <t>コウジ</t>
    </rPh>
    <rPh sb="2" eb="4">
      <t>コウキ</t>
    </rPh>
    <phoneticPr fontId="8"/>
  </si>
  <si>
    <t>所属</t>
    <rPh sb="0" eb="2">
      <t>ショゾク</t>
    </rPh>
    <phoneticPr fontId="8"/>
  </si>
  <si>
    <t>単価台帳ver</t>
    <rPh sb="0" eb="2">
      <t>タンカ</t>
    </rPh>
    <rPh sb="2" eb="4">
      <t>ダイチョウ</t>
    </rPh>
    <phoneticPr fontId="8"/>
  </si>
  <si>
    <t>大工工事</t>
    <rPh sb="0" eb="2">
      <t>ダイク</t>
    </rPh>
    <rPh sb="2" eb="4">
      <t>コウジ</t>
    </rPh>
    <phoneticPr fontId="8"/>
  </si>
  <si>
    <t>左官工事</t>
    <rPh sb="0" eb="2">
      <t>サカン</t>
    </rPh>
    <rPh sb="2" eb="4">
      <t>コウジ</t>
    </rPh>
    <phoneticPr fontId="8"/>
  </si>
  <si>
    <t>防球ネットフェンス工事</t>
    <rPh sb="0" eb="2">
      <t>ボウキュウ</t>
    </rPh>
    <rPh sb="9" eb="11">
      <t>コウジ</t>
    </rPh>
    <phoneticPr fontId="8"/>
  </si>
  <si>
    <t>サイン工事</t>
    <rPh sb="3" eb="5">
      <t>コウジ</t>
    </rPh>
    <phoneticPr fontId="8"/>
  </si>
  <si>
    <t>テント工事</t>
    <rPh sb="3" eb="5">
      <t>コウジ</t>
    </rPh>
    <phoneticPr fontId="8"/>
  </si>
  <si>
    <t>舗装工事</t>
    <rPh sb="0" eb="2">
      <t>ホソウ</t>
    </rPh>
    <rPh sb="2" eb="4">
      <t>コウジ</t>
    </rPh>
    <phoneticPr fontId="8"/>
  </si>
  <si>
    <t>内訳書決裁欄</t>
    <rPh sb="0" eb="3">
      <t>ウチワケショ</t>
    </rPh>
    <rPh sb="3" eb="5">
      <t>ケッサイ</t>
    </rPh>
    <rPh sb="5" eb="6">
      <t>ラン</t>
    </rPh>
    <phoneticPr fontId="8"/>
  </si>
  <si>
    <t>設計担当</t>
    <rPh sb="0" eb="2">
      <t>セッケイ</t>
    </rPh>
    <rPh sb="2" eb="4">
      <t>タントウ</t>
    </rPh>
    <phoneticPr fontId="8"/>
  </si>
  <si>
    <t>設計担当係長</t>
    <rPh sb="0" eb="2">
      <t>セッケイ</t>
    </rPh>
    <rPh sb="2" eb="4">
      <t>タントウ</t>
    </rPh>
    <rPh sb="4" eb="6">
      <t>カカリチョウ</t>
    </rPh>
    <phoneticPr fontId="8"/>
  </si>
  <si>
    <t>建築企画課（建築企画）</t>
    <rPh sb="0" eb="2">
      <t>ケンチク</t>
    </rPh>
    <rPh sb="2" eb="4">
      <t>キカク</t>
    </rPh>
    <rPh sb="4" eb="5">
      <t>カ</t>
    </rPh>
    <rPh sb="6" eb="8">
      <t>ケンチク</t>
    </rPh>
    <rPh sb="8" eb="10">
      <t>キカク</t>
    </rPh>
    <phoneticPr fontId="8"/>
  </si>
  <si>
    <t>建築企画課（建築計画）</t>
    <rPh sb="0" eb="2">
      <t>ケンチク</t>
    </rPh>
    <rPh sb="2" eb="4">
      <t>キカク</t>
    </rPh>
    <rPh sb="4" eb="5">
      <t>カ</t>
    </rPh>
    <rPh sb="6" eb="8">
      <t>ケンチク</t>
    </rPh>
    <rPh sb="8" eb="10">
      <t>ケイカク</t>
    </rPh>
    <phoneticPr fontId="8"/>
  </si>
  <si>
    <t>建築企画課（建築協議）</t>
    <rPh sb="0" eb="2">
      <t>ケンチク</t>
    </rPh>
    <rPh sb="2" eb="4">
      <t>キカク</t>
    </rPh>
    <rPh sb="4" eb="5">
      <t>カ</t>
    </rPh>
    <rPh sb="6" eb="8">
      <t>ケンチク</t>
    </rPh>
    <rPh sb="8" eb="10">
      <t>キョウギ</t>
    </rPh>
    <phoneticPr fontId="8"/>
  </si>
  <si>
    <t>建築企画課（安全推進）</t>
    <rPh sb="0" eb="2">
      <t>ケンチク</t>
    </rPh>
    <rPh sb="2" eb="4">
      <t>キカク</t>
    </rPh>
    <rPh sb="4" eb="5">
      <t>カ</t>
    </rPh>
    <rPh sb="6" eb="8">
      <t>アンゼン</t>
    </rPh>
    <rPh sb="8" eb="10">
      <t>スイシン</t>
    </rPh>
    <phoneticPr fontId="8"/>
  </si>
  <si>
    <t>建築管理事務所（施設管理）</t>
    <rPh sb="0" eb="2">
      <t>ケンチク</t>
    </rPh>
    <rPh sb="2" eb="4">
      <t>カンリ</t>
    </rPh>
    <rPh sb="4" eb="6">
      <t>ジム</t>
    </rPh>
    <rPh sb="6" eb="7">
      <t>ショ</t>
    </rPh>
    <rPh sb="8" eb="10">
      <t>シセツ</t>
    </rPh>
    <rPh sb="10" eb="12">
      <t>カンリ</t>
    </rPh>
    <phoneticPr fontId="8"/>
  </si>
  <si>
    <t>建築管理事務所（安全管理）</t>
    <rPh sb="0" eb="2">
      <t>ケンチク</t>
    </rPh>
    <rPh sb="2" eb="4">
      <t>カンリ</t>
    </rPh>
    <rPh sb="4" eb="6">
      <t>ジム</t>
    </rPh>
    <rPh sb="6" eb="7">
      <t>ショ</t>
    </rPh>
    <rPh sb="8" eb="10">
      <t>アンゼン</t>
    </rPh>
    <rPh sb="10" eb="12">
      <t>カンリ</t>
    </rPh>
    <phoneticPr fontId="8"/>
  </si>
  <si>
    <t>建築管理事務所（駅施設改造）</t>
    <rPh sb="0" eb="2">
      <t>ケンチク</t>
    </rPh>
    <rPh sb="2" eb="4">
      <t>カンリ</t>
    </rPh>
    <rPh sb="4" eb="6">
      <t>ジム</t>
    </rPh>
    <rPh sb="6" eb="7">
      <t>ショ</t>
    </rPh>
    <rPh sb="8" eb="9">
      <t>エキ</t>
    </rPh>
    <rPh sb="9" eb="11">
      <t>シセツ</t>
    </rPh>
    <rPh sb="11" eb="13">
      <t>カイゾウ</t>
    </rPh>
    <phoneticPr fontId="8"/>
  </si>
  <si>
    <t>建築管理事務所（小規模補修）</t>
    <rPh sb="0" eb="2">
      <t>ケンチク</t>
    </rPh>
    <rPh sb="2" eb="4">
      <t>カンリ</t>
    </rPh>
    <rPh sb="4" eb="6">
      <t>ジム</t>
    </rPh>
    <rPh sb="6" eb="7">
      <t>ショ</t>
    </rPh>
    <rPh sb="8" eb="11">
      <t>ショウキボ</t>
    </rPh>
    <rPh sb="11" eb="13">
      <t>ホシュウ</t>
    </rPh>
    <phoneticPr fontId="8"/>
  </si>
  <si>
    <t>建築管理事務所（建築工事）</t>
    <rPh sb="0" eb="2">
      <t>ケンチク</t>
    </rPh>
    <rPh sb="2" eb="4">
      <t>カンリ</t>
    </rPh>
    <rPh sb="4" eb="6">
      <t>ジム</t>
    </rPh>
    <rPh sb="6" eb="7">
      <t>ショ</t>
    </rPh>
    <rPh sb="8" eb="10">
      <t>ケンチク</t>
    </rPh>
    <rPh sb="10" eb="12">
      <t>コウジ</t>
    </rPh>
    <phoneticPr fontId="8"/>
  </si>
  <si>
    <t>建築管理事務所（北部建築保守）</t>
    <rPh sb="0" eb="2">
      <t>ケンチク</t>
    </rPh>
    <rPh sb="2" eb="4">
      <t>カンリ</t>
    </rPh>
    <rPh sb="4" eb="6">
      <t>ジム</t>
    </rPh>
    <rPh sb="6" eb="7">
      <t>ショ</t>
    </rPh>
    <rPh sb="8" eb="10">
      <t>ホクブ</t>
    </rPh>
    <rPh sb="10" eb="12">
      <t>ケンチク</t>
    </rPh>
    <rPh sb="12" eb="14">
      <t>ホシュ</t>
    </rPh>
    <phoneticPr fontId="8"/>
  </si>
  <si>
    <t>建築管理事務所（南部建築保守）</t>
    <rPh sb="0" eb="2">
      <t>ケンチク</t>
    </rPh>
    <rPh sb="2" eb="4">
      <t>カンリ</t>
    </rPh>
    <rPh sb="4" eb="6">
      <t>ジム</t>
    </rPh>
    <rPh sb="6" eb="7">
      <t>ショ</t>
    </rPh>
    <rPh sb="8" eb="10">
      <t>ナンブ</t>
    </rPh>
    <rPh sb="10" eb="12">
      <t>ケンチク</t>
    </rPh>
    <rPh sb="12" eb="14">
      <t>ホシュ</t>
    </rPh>
    <phoneticPr fontId="8"/>
  </si>
  <si>
    <t>内訳書起案日</t>
    <rPh sb="0" eb="3">
      <t>ウチワケショ</t>
    </rPh>
    <rPh sb="3" eb="5">
      <t>キアン</t>
    </rPh>
    <rPh sb="5" eb="6">
      <t>ビ</t>
    </rPh>
    <phoneticPr fontId="8"/>
  </si>
  <si>
    <t>内訳書決裁日</t>
    <rPh sb="0" eb="3">
      <t>ウチワケショ</t>
    </rPh>
    <rPh sb="3" eb="5">
      <t>ケッサイ</t>
    </rPh>
    <rPh sb="5" eb="6">
      <t>ヒ</t>
    </rPh>
    <phoneticPr fontId="8"/>
  </si>
  <si>
    <t>建築管理事務所（保守管理）</t>
    <rPh sb="0" eb="2">
      <t>ケンチク</t>
    </rPh>
    <rPh sb="2" eb="4">
      <t>カンリ</t>
    </rPh>
    <rPh sb="4" eb="6">
      <t>ジム</t>
    </rPh>
    <rPh sb="6" eb="7">
      <t>ショ</t>
    </rPh>
    <rPh sb="8" eb="10">
      <t>ホシュ</t>
    </rPh>
    <rPh sb="10" eb="12">
      <t>カンリ</t>
    </rPh>
    <phoneticPr fontId="8"/>
  </si>
  <si>
    <t>コード</t>
  </si>
  <si>
    <t>名称</t>
    <rPh sb="0" eb="2">
      <t>メイショウ</t>
    </rPh>
    <phoneticPr fontId="11"/>
  </si>
  <si>
    <t>鉄有固-構築物-橋りょう-その他のもの</t>
    <rPh sb="2" eb="3">
      <t>カタム</t>
    </rPh>
    <rPh sb="15" eb="16">
      <t>タ</t>
    </rPh>
    <phoneticPr fontId="7"/>
  </si>
  <si>
    <t>鉄有固-構築物-高架橋-鉄骨造り</t>
    <rPh sb="12" eb="14">
      <t>テッコツ</t>
    </rPh>
    <phoneticPr fontId="7"/>
  </si>
  <si>
    <t>鉄有固-構築物-高架橋-その他のもの</t>
    <rPh sb="8" eb="11">
      <t>コウカキョウ</t>
    </rPh>
    <rPh sb="14" eb="15">
      <t>タ</t>
    </rPh>
    <phoneticPr fontId="7"/>
  </si>
  <si>
    <t>鉄有固-構築物-トンネル-その他のもの</t>
    <rPh sb="15" eb="16">
      <t>タ</t>
    </rPh>
    <phoneticPr fontId="7"/>
  </si>
  <si>
    <t>鉄有固-構築物-線路諸設備-防護設備</t>
    <rPh sb="0" eb="1">
      <t>テツ</t>
    </rPh>
    <rPh sb="1" eb="2">
      <t>ユウ</t>
    </rPh>
    <rPh sb="2" eb="3">
      <t>カタム</t>
    </rPh>
    <rPh sb="14" eb="16">
      <t>ボウゴ</t>
    </rPh>
    <phoneticPr fontId="7"/>
  </si>
  <si>
    <t>鉄有固-構築物-線路諸設備-さくがき</t>
    <rPh sb="0" eb="1">
      <t>テツ</t>
    </rPh>
    <rPh sb="1" eb="2">
      <t>ユウ</t>
    </rPh>
    <rPh sb="2" eb="3">
      <t>カタム</t>
    </rPh>
    <phoneticPr fontId="7"/>
  </si>
  <si>
    <t>鉄有固-構築物-線路諸設備-雑設備</t>
    <rPh sb="0" eb="1">
      <t>テツ</t>
    </rPh>
    <phoneticPr fontId="7"/>
  </si>
  <si>
    <t>鉄有固-構築物-雑設備</t>
  </si>
  <si>
    <t>鉄有固-構築物-車庫工場-舗装道路・舗装路面-コンクリート敷、ブロック敷・煉瓦敷・石敷</t>
  </si>
  <si>
    <t>鉄有固-構築物-車庫工場-舗装道路・舗装路面-アスファルト敷又は木れんが敷のもの</t>
  </si>
  <si>
    <t>鉄有固-構築物-車庫工場-舗装道路・舗装路面-ビチュ－マルス敷のもの</t>
  </si>
  <si>
    <t>鉄有固-構築物-車庫工場-鉄骨鉄筋コンクリート造・鉄筋コンクリート造-へい</t>
  </si>
  <si>
    <t>鉄有固-構築物-車庫工場-鉄骨鉄筋コンクリート造・鉄筋コンクリート造-その他のもの</t>
  </si>
  <si>
    <t>鉄有固-構築物-車庫工場-コンクリート造・コンクリートブロック造-へい</t>
  </si>
  <si>
    <t>鉄有固-構築物-車庫工場-コンクリート造・コンクリートブロック造-その他のもの</t>
  </si>
  <si>
    <t>鉄有固-構築物-車庫工場-金属造-へい</t>
  </si>
  <si>
    <t>鉄有固-構築物-車庫工場-金属造-その他のもの</t>
  </si>
  <si>
    <t>鉄有固-構築物-車庫工場-木造-へい</t>
  </si>
  <si>
    <t>鉄有固-構築物-車庫工場-木造-その他のもの</t>
  </si>
  <si>
    <t>鉄有固-構築物-変電所-舗装道路・舗装路面-コンクリート敷、ブロック敷・煉瓦敷・石敷</t>
  </si>
  <si>
    <t>鉄有固-構築物-変電所-舗装道路・舗装路面-アスファルト敷又は木れんが敷のもの</t>
  </si>
  <si>
    <t>鉄有固-構築物-変電所-舗装道路・舗装路面-ビチュ－マルス敷のもの</t>
  </si>
  <si>
    <t>鉄有固-構築物-変電所-鉄骨鉄筋コンクリート造・鉄筋コンクリート造-へい</t>
  </si>
  <si>
    <t>鉄有固-構築物-変電所-鉄骨鉄筋コンクリート造・鉄筋コンクリート造-その他のもの</t>
  </si>
  <si>
    <t>鉄有固-構築物-変電所-コンクリート造・コンクリートブロック造-へい</t>
  </si>
  <si>
    <t>鉄有固-構築物-変電所-コンクリート造・コンクリートブロック造-その他のもの</t>
  </si>
  <si>
    <t>鉄有固-構築物-変電所-金属造-へい</t>
  </si>
  <si>
    <t>鉄有固-構築物-変電所-金属造-その他のもの</t>
  </si>
  <si>
    <t>鉄有固-構築物-変電所-木造-へい</t>
  </si>
  <si>
    <t>鉄有固-構築物-変電所-木造-その他のもの</t>
  </si>
  <si>
    <t>鉄有固-構築物-雑構築物-舗装道路・舗装路面-コンクリート敷、ブロック敷・煉瓦敷・石敷</t>
  </si>
  <si>
    <t>鉄有固-構築物-雑構築物-舗装道路・舗装路面-アスファルト敷又は木れんが敷のもの</t>
  </si>
  <si>
    <t>鉄有固-構築物-雑構築物-舗装道路・舗装路面-ビチュ－マルス敷のもの</t>
  </si>
  <si>
    <t>鉄有固-構築物-雑構築物-鉄骨鉄筋コンクリート造・鉄筋コンクリート造-へい</t>
  </si>
  <si>
    <t>鉄有固-構築物-雑構築物-鉄骨鉄筋コンクリート造・鉄筋コンクリート造-その他のもの</t>
  </si>
  <si>
    <t>鉄有固-構築物-雑構築物-鉄骨鉄筋コンクリート造・鉄筋コンクリート造-上水道、水そう</t>
  </si>
  <si>
    <t>鉄有固-構築物-雑構築物-コンクリート造・コンクリートブロック造-へい</t>
  </si>
  <si>
    <t>鉄有固-構築物-雑構築物-コンクリート造・コンクリートブロック造-その他のもの</t>
  </si>
  <si>
    <t>鉄有固-構築物-雑構築物-金属造-へい</t>
  </si>
  <si>
    <t>鉄有固-構築物-雑構築物-金属造-その他のもの</t>
  </si>
  <si>
    <t>鉄有固-構築物-雑構築物-金属造-水そう及び油そう－鋼鉄製のもの</t>
  </si>
  <si>
    <t>鉄有固-構築物-雑構築物-金属造-焼却炉</t>
    <rPh sb="17" eb="20">
      <t>ショウキャクロ</t>
    </rPh>
    <phoneticPr fontId="7"/>
  </si>
  <si>
    <t>鉄有固-構築物-雑構築物-金属造-送配管-鋼鉄製</t>
  </si>
  <si>
    <t>鉄有固-構築物-雑構築物-木造-へい</t>
  </si>
  <si>
    <t>鉄有固-構築物-雑構築物-木造-その他のもの</t>
  </si>
  <si>
    <t>鉄有固-構築物-雑構築物-前掲以外のもの-その他のもの</t>
  </si>
  <si>
    <t>鉄有固-構築物-雑構築物-緑化施設及び庭園-その他のもの</t>
  </si>
  <si>
    <t>鉄有固-構築物-雑構築物-広告用のもの-その他のもの</t>
    <rPh sb="13" eb="16">
      <t>コウコクヨウ</t>
    </rPh>
    <phoneticPr fontId="7"/>
  </si>
  <si>
    <t>鉄有固-車両-予備品</t>
    <rPh sb="7" eb="10">
      <t>ヨビヒン</t>
    </rPh>
    <phoneticPr fontId="7"/>
  </si>
  <si>
    <t>鉄有固-工具器具及び備品-工器備-美術品(非償却)</t>
    <rPh sb="17" eb="19">
      <t>ビジュツ</t>
    </rPh>
    <rPh sb="19" eb="20">
      <t>ヒン</t>
    </rPh>
    <rPh sb="21" eb="22">
      <t>ヒ</t>
    </rPh>
    <rPh sb="22" eb="24">
      <t>ショウキャク</t>
    </rPh>
    <phoneticPr fontId="7"/>
  </si>
  <si>
    <t>鉄有固-工具器具及び備品-工器備-美術品-償却(主として金属製のもの)</t>
    <rPh sb="17" eb="19">
      <t>ビジュツ</t>
    </rPh>
    <rPh sb="19" eb="20">
      <t>ヒン</t>
    </rPh>
    <phoneticPr fontId="7"/>
  </si>
  <si>
    <t>鉄有固-工具器具及び備品-工器備-美術品-償却(その他のもの)</t>
    <rPh sb="17" eb="19">
      <t>ビジュツ</t>
    </rPh>
    <rPh sb="19" eb="20">
      <t>ヒン</t>
    </rPh>
    <phoneticPr fontId="7"/>
  </si>
  <si>
    <t>鉄有固-工具器具及び備品-運搬具-前掲以外-乗合自動車</t>
    <rPh sb="17" eb="19">
      <t>ゼンケイ</t>
    </rPh>
    <rPh sb="19" eb="21">
      <t>イガイ</t>
    </rPh>
    <rPh sb="22" eb="27">
      <t>ノリアイジドウシャ</t>
    </rPh>
    <phoneticPr fontId="7"/>
  </si>
  <si>
    <t>鉄有固-案内宣伝施設 建物-簡易建物(木製主要柱が10cm角以下で土居、杉皮ぶき等)-社宅・寮建物</t>
    <rPh sb="47" eb="49">
      <t>タテモノ</t>
    </rPh>
    <phoneticPr fontId="7"/>
  </si>
  <si>
    <t>建設仮勘定-広告事業-ソフトウェア</t>
    <rPh sb="6" eb="8">
      <t>コウコク</t>
    </rPh>
    <phoneticPr fontId="7"/>
  </si>
  <si>
    <t>建設仮勘定-各事業関連-直接費</t>
    <rPh sb="6" eb="9">
      <t>カクジギョウ</t>
    </rPh>
    <rPh sb="9" eb="11">
      <t>カンレン</t>
    </rPh>
    <rPh sb="12" eb="14">
      <t>チョクセツ</t>
    </rPh>
    <rPh sb="14" eb="15">
      <t>ヒ</t>
    </rPh>
    <phoneticPr fontId="7"/>
  </si>
  <si>
    <t>建設仮勘定-各事業関連-間接費</t>
    <rPh sb="6" eb="9">
      <t>カクジギョウ</t>
    </rPh>
    <rPh sb="9" eb="11">
      <t>カンレン</t>
    </rPh>
    <rPh sb="12" eb="14">
      <t>カンセツ</t>
    </rPh>
    <rPh sb="14" eb="15">
      <t>ヒ</t>
    </rPh>
    <phoneticPr fontId="7"/>
  </si>
  <si>
    <t>各事業有固-建物付属設備-電気設備(照明設備を含む。)-蓄電池電源設備-雑建物</t>
    <rPh sb="36" eb="37">
      <t>ザツ</t>
    </rPh>
    <rPh sb="37" eb="39">
      <t>タテモノ</t>
    </rPh>
    <phoneticPr fontId="7"/>
  </si>
  <si>
    <t>各事業有固-工具器具及び備品-工器備-美術品(非償却)</t>
    <rPh sb="19" eb="21">
      <t>ビジュツ</t>
    </rPh>
    <rPh sb="21" eb="22">
      <t>ヒン</t>
    </rPh>
    <rPh sb="23" eb="24">
      <t>ヒ</t>
    </rPh>
    <rPh sb="24" eb="26">
      <t>ショウキャク</t>
    </rPh>
    <phoneticPr fontId="7"/>
  </si>
  <si>
    <t>各事業有固-工具器具及び備品-工器備-美術品-償却(主として金属製のもの)</t>
    <rPh sb="19" eb="21">
      <t>ビジュツ</t>
    </rPh>
    <rPh sb="21" eb="22">
      <t>ヒン</t>
    </rPh>
    <phoneticPr fontId="7"/>
  </si>
  <si>
    <t>各事業有固-工具器具及び備品-工器備-美術品-償却(その他のもの)</t>
    <rPh sb="19" eb="21">
      <t>ビジュツ</t>
    </rPh>
    <rPh sb="21" eb="22">
      <t>ヒン</t>
    </rPh>
    <phoneticPr fontId="7"/>
  </si>
  <si>
    <t>各事業無固-借地権</t>
    <rPh sb="6" eb="8">
      <t>シャクチ</t>
    </rPh>
    <rPh sb="8" eb="9">
      <t>ケン</t>
    </rPh>
    <phoneticPr fontId="7"/>
  </si>
  <si>
    <t>各事業無固-地上権</t>
    <rPh sb="6" eb="9">
      <t>チジョウケン</t>
    </rPh>
    <phoneticPr fontId="7"/>
  </si>
  <si>
    <t>各事業無固-商標権</t>
    <rPh sb="6" eb="9">
      <t>ショウヒョウケン</t>
    </rPh>
    <phoneticPr fontId="7"/>
  </si>
  <si>
    <t>1</t>
  </si>
  <si>
    <t>2</t>
  </si>
  <si>
    <t>3</t>
  </si>
  <si>
    <t>4</t>
  </si>
  <si>
    <t>5</t>
  </si>
  <si>
    <t>6</t>
  </si>
  <si>
    <t>7</t>
  </si>
  <si>
    <t>8</t>
  </si>
  <si>
    <t>9</t>
  </si>
  <si>
    <t>A</t>
  </si>
  <si>
    <t>B</t>
  </si>
  <si>
    <t>C</t>
  </si>
  <si>
    <t>D</t>
  </si>
  <si>
    <t>E</t>
  </si>
  <si>
    <t>F</t>
  </si>
  <si>
    <t>G</t>
  </si>
  <si>
    <t>H</t>
  </si>
  <si>
    <t>係員</t>
    <rPh sb="0" eb="2">
      <t>カカリイン</t>
    </rPh>
    <phoneticPr fontId="8"/>
  </si>
  <si>
    <t>率算出共通仮設費</t>
    <rPh sb="0" eb="1">
      <t>リツ</t>
    </rPh>
    <rPh sb="1" eb="3">
      <t>サンシュツ</t>
    </rPh>
    <rPh sb="3" eb="5">
      <t>キョウツウ</t>
    </rPh>
    <rPh sb="5" eb="7">
      <t>カセツ</t>
    </rPh>
    <rPh sb="7" eb="8">
      <t>ヒ</t>
    </rPh>
    <phoneticPr fontId="8"/>
  </si>
  <si>
    <t>式</t>
    <rPh sb="0" eb="1">
      <t>シキ</t>
    </rPh>
    <phoneticPr fontId="8"/>
  </si>
  <si>
    <t>□率算出共通仮設費</t>
    <rPh sb="1" eb="2">
      <t>リツ</t>
    </rPh>
    <rPh sb="2" eb="4">
      <t>サンシュツ</t>
    </rPh>
    <rPh sb="4" eb="6">
      <t>キョウツウ</t>
    </rPh>
    <rPh sb="6" eb="8">
      <t>カセツ</t>
    </rPh>
    <rPh sb="8" eb="9">
      <t>ヒ</t>
    </rPh>
    <phoneticPr fontId="8"/>
  </si>
  <si>
    <t>□積上げ共通仮設費</t>
    <rPh sb="1" eb="3">
      <t>ツミア</t>
    </rPh>
    <rPh sb="4" eb="6">
      <t>キョウツウ</t>
    </rPh>
    <rPh sb="6" eb="8">
      <t>カセツ</t>
    </rPh>
    <rPh sb="8" eb="9">
      <t>ヒ</t>
    </rPh>
    <phoneticPr fontId="8"/>
  </si>
  <si>
    <t>小々計</t>
    <rPh sb="0" eb="2">
      <t>ショウショウ</t>
    </rPh>
    <rPh sb="2" eb="3">
      <t>ケイ</t>
    </rPh>
    <phoneticPr fontId="8"/>
  </si>
  <si>
    <t>小々計</t>
    <rPh sb="0" eb="1">
      <t>ショウ</t>
    </rPh>
    <rPh sb="2" eb="3">
      <t>ケイ</t>
    </rPh>
    <phoneticPr fontId="8"/>
  </si>
  <si>
    <t>明細コード</t>
    <rPh sb="0" eb="2">
      <t>メイサイ</t>
    </rPh>
    <phoneticPr fontId="8"/>
  </si>
  <si>
    <t>明細情報</t>
    <rPh sb="0" eb="2">
      <t>メイサイ</t>
    </rPh>
    <rPh sb="2" eb="4">
      <t>ジョウホウ</t>
    </rPh>
    <phoneticPr fontId="8"/>
  </si>
  <si>
    <t>工事稟議番号</t>
    <rPh sb="0" eb="2">
      <t>コウジ</t>
    </rPh>
    <rPh sb="2" eb="4">
      <t>リンギ</t>
    </rPh>
    <rPh sb="4" eb="6">
      <t>バンゴウ</t>
    </rPh>
    <phoneticPr fontId="8"/>
  </si>
  <si>
    <t>入札方式</t>
    <rPh sb="0" eb="2">
      <t>ニュウサツ</t>
    </rPh>
    <rPh sb="2" eb="4">
      <t>ホウシキ</t>
    </rPh>
    <phoneticPr fontId="8"/>
  </si>
  <si>
    <t>前払金</t>
    <rPh sb="0" eb="2">
      <t>マエバライ</t>
    </rPh>
    <rPh sb="2" eb="3">
      <t>キン</t>
    </rPh>
    <phoneticPr fontId="8"/>
  </si>
  <si>
    <t>名称</t>
    <rPh sb="0" eb="2">
      <t>メイショウ</t>
    </rPh>
    <phoneticPr fontId="47"/>
  </si>
  <si>
    <t>I</t>
  </si>
  <si>
    <t>J</t>
  </si>
  <si>
    <t>K</t>
  </si>
  <si>
    <t>L</t>
  </si>
  <si>
    <t>M</t>
  </si>
  <si>
    <t>N</t>
  </si>
  <si>
    <t>P</t>
  </si>
  <si>
    <t>Q</t>
  </si>
  <si>
    <t>R</t>
  </si>
  <si>
    <t>工事1</t>
    <rPh sb="0" eb="2">
      <t>コウジ</t>
    </rPh>
    <phoneticPr fontId="8"/>
  </si>
  <si>
    <t>工事2</t>
    <rPh sb="0" eb="2">
      <t>コウジ</t>
    </rPh>
    <phoneticPr fontId="8"/>
  </si>
  <si>
    <t>工事3</t>
    <rPh sb="0" eb="2">
      <t>コウジ</t>
    </rPh>
    <phoneticPr fontId="8"/>
  </si>
  <si>
    <t>工事4</t>
    <rPh sb="0" eb="2">
      <t>コウジ</t>
    </rPh>
    <phoneticPr fontId="8"/>
  </si>
  <si>
    <t>工事5</t>
    <rPh sb="0" eb="2">
      <t>コウジ</t>
    </rPh>
    <phoneticPr fontId="8"/>
  </si>
  <si>
    <t>工事6</t>
    <rPh sb="0" eb="2">
      <t>コウジ</t>
    </rPh>
    <phoneticPr fontId="8"/>
  </si>
  <si>
    <t>工事7</t>
    <rPh sb="0" eb="2">
      <t>コウジ</t>
    </rPh>
    <phoneticPr fontId="8"/>
  </si>
  <si>
    <t>工事8</t>
    <rPh sb="0" eb="2">
      <t>コウジ</t>
    </rPh>
    <phoneticPr fontId="8"/>
  </si>
  <si>
    <t>工事9</t>
    <rPh sb="0" eb="2">
      <t>コウジ</t>
    </rPh>
    <phoneticPr fontId="8"/>
  </si>
  <si>
    <t>工事10</t>
    <rPh sb="0" eb="2">
      <t>コウジ</t>
    </rPh>
    <phoneticPr fontId="8"/>
  </si>
  <si>
    <t>工事11</t>
    <rPh sb="0" eb="2">
      <t>コウジ</t>
    </rPh>
    <phoneticPr fontId="8"/>
  </si>
  <si>
    <t>工事12</t>
    <rPh sb="0" eb="2">
      <t>コウジ</t>
    </rPh>
    <phoneticPr fontId="8"/>
  </si>
  <si>
    <t>工事13</t>
    <rPh sb="0" eb="2">
      <t>コウジ</t>
    </rPh>
    <phoneticPr fontId="8"/>
  </si>
  <si>
    <t>工事14</t>
    <rPh sb="0" eb="2">
      <t>コウジ</t>
    </rPh>
    <phoneticPr fontId="8"/>
  </si>
  <si>
    <t>工事15</t>
    <rPh sb="0" eb="2">
      <t>コウジ</t>
    </rPh>
    <phoneticPr fontId="8"/>
  </si>
  <si>
    <t>工事16</t>
    <rPh sb="0" eb="2">
      <t>コウジ</t>
    </rPh>
    <phoneticPr fontId="8"/>
  </si>
  <si>
    <t>工事17</t>
    <rPh sb="0" eb="2">
      <t>コウジ</t>
    </rPh>
    <phoneticPr fontId="8"/>
  </si>
  <si>
    <t>工事18</t>
    <rPh sb="0" eb="2">
      <t>コウジ</t>
    </rPh>
    <phoneticPr fontId="8"/>
  </si>
  <si>
    <t>工事19</t>
    <rPh sb="0" eb="2">
      <t>コウジ</t>
    </rPh>
    <phoneticPr fontId="8"/>
  </si>
  <si>
    <t>工事20</t>
    <rPh sb="0" eb="2">
      <t>コウジ</t>
    </rPh>
    <phoneticPr fontId="8"/>
  </si>
  <si>
    <t>工事21</t>
    <rPh sb="0" eb="2">
      <t>コウジ</t>
    </rPh>
    <phoneticPr fontId="8"/>
  </si>
  <si>
    <t>工事22</t>
    <rPh sb="0" eb="2">
      <t>コウジ</t>
    </rPh>
    <phoneticPr fontId="8"/>
  </si>
  <si>
    <t>工事23</t>
    <rPh sb="0" eb="2">
      <t>コウジ</t>
    </rPh>
    <phoneticPr fontId="8"/>
  </si>
  <si>
    <t>工事24</t>
    <rPh sb="0" eb="2">
      <t>コウジ</t>
    </rPh>
    <phoneticPr fontId="8"/>
  </si>
  <si>
    <t>工事25</t>
    <rPh sb="0" eb="2">
      <t>コウジ</t>
    </rPh>
    <phoneticPr fontId="8"/>
  </si>
  <si>
    <t>工事26</t>
    <rPh sb="0" eb="2">
      <t>コウジ</t>
    </rPh>
    <phoneticPr fontId="8"/>
  </si>
  <si>
    <t>工事27</t>
    <rPh sb="0" eb="2">
      <t>コウジ</t>
    </rPh>
    <phoneticPr fontId="8"/>
  </si>
  <si>
    <t>工事28</t>
    <rPh sb="0" eb="2">
      <t>コウジ</t>
    </rPh>
    <phoneticPr fontId="8"/>
  </si>
  <si>
    <t>工事29</t>
    <rPh sb="0" eb="2">
      <t>コウジ</t>
    </rPh>
    <phoneticPr fontId="8"/>
  </si>
  <si>
    <t>工事30</t>
    <rPh sb="0" eb="2">
      <t>コウジ</t>
    </rPh>
    <phoneticPr fontId="8"/>
  </si>
  <si>
    <t>工事31</t>
    <rPh sb="0" eb="2">
      <t>コウジ</t>
    </rPh>
    <phoneticPr fontId="8"/>
  </si>
  <si>
    <t>工事32</t>
    <rPh sb="0" eb="2">
      <t>コウジ</t>
    </rPh>
    <phoneticPr fontId="8"/>
  </si>
  <si>
    <t>工事33</t>
    <rPh sb="0" eb="2">
      <t>コウジ</t>
    </rPh>
    <phoneticPr fontId="8"/>
  </si>
  <si>
    <t>工事34</t>
    <rPh sb="0" eb="2">
      <t>コウジ</t>
    </rPh>
    <phoneticPr fontId="8"/>
  </si>
  <si>
    <t>工事35</t>
    <rPh sb="0" eb="2">
      <t>コウジ</t>
    </rPh>
    <phoneticPr fontId="8"/>
  </si>
  <si>
    <t>工事36</t>
    <rPh sb="0" eb="2">
      <t>コウジ</t>
    </rPh>
    <phoneticPr fontId="8"/>
  </si>
  <si>
    <t>工事37</t>
    <rPh sb="0" eb="2">
      <t>コウジ</t>
    </rPh>
    <phoneticPr fontId="8"/>
  </si>
  <si>
    <t>工事38</t>
    <rPh sb="0" eb="2">
      <t>コウジ</t>
    </rPh>
    <phoneticPr fontId="8"/>
  </si>
  <si>
    <t>工事39</t>
    <rPh sb="0" eb="2">
      <t>コウジ</t>
    </rPh>
    <phoneticPr fontId="8"/>
  </si>
  <si>
    <t>工事40</t>
    <rPh sb="0" eb="2">
      <t>コウジ</t>
    </rPh>
    <phoneticPr fontId="8"/>
  </si>
  <si>
    <t>工事41</t>
    <rPh sb="0" eb="2">
      <t>コウジ</t>
    </rPh>
    <phoneticPr fontId="8"/>
  </si>
  <si>
    <t>工事42</t>
    <rPh sb="0" eb="2">
      <t>コウジ</t>
    </rPh>
    <phoneticPr fontId="8"/>
  </si>
  <si>
    <t>工事43</t>
    <rPh sb="0" eb="2">
      <t>コウジ</t>
    </rPh>
    <phoneticPr fontId="8"/>
  </si>
  <si>
    <t>工事44</t>
    <rPh sb="0" eb="2">
      <t>コウジ</t>
    </rPh>
    <phoneticPr fontId="8"/>
  </si>
  <si>
    <t>工事45</t>
    <rPh sb="0" eb="2">
      <t>コウジ</t>
    </rPh>
    <phoneticPr fontId="8"/>
  </si>
  <si>
    <t>工事46</t>
    <rPh sb="0" eb="2">
      <t>コウジ</t>
    </rPh>
    <phoneticPr fontId="8"/>
  </si>
  <si>
    <t>工事47</t>
    <rPh sb="0" eb="2">
      <t>コウジ</t>
    </rPh>
    <phoneticPr fontId="8"/>
  </si>
  <si>
    <t>工事48</t>
    <rPh sb="0" eb="2">
      <t>コウジ</t>
    </rPh>
    <phoneticPr fontId="8"/>
  </si>
  <si>
    <t>工事49</t>
    <rPh sb="0" eb="2">
      <t>コウジ</t>
    </rPh>
    <phoneticPr fontId="8"/>
  </si>
  <si>
    <t>工事50</t>
    <rPh sb="0" eb="2">
      <t>コウジ</t>
    </rPh>
    <phoneticPr fontId="8"/>
  </si>
  <si>
    <t>工事51</t>
    <rPh sb="0" eb="2">
      <t>コウジ</t>
    </rPh>
    <phoneticPr fontId="8"/>
  </si>
  <si>
    <t>工事52</t>
    <rPh sb="0" eb="2">
      <t>コウジ</t>
    </rPh>
    <phoneticPr fontId="8"/>
  </si>
  <si>
    <t>工事53</t>
    <rPh sb="0" eb="2">
      <t>コウジ</t>
    </rPh>
    <phoneticPr fontId="8"/>
  </si>
  <si>
    <t>工事54</t>
    <rPh sb="0" eb="2">
      <t>コウジ</t>
    </rPh>
    <phoneticPr fontId="8"/>
  </si>
  <si>
    <t>工事55</t>
    <rPh sb="0" eb="2">
      <t>コウジ</t>
    </rPh>
    <phoneticPr fontId="8"/>
  </si>
  <si>
    <t>工事56</t>
    <rPh sb="0" eb="2">
      <t>コウジ</t>
    </rPh>
    <phoneticPr fontId="8"/>
  </si>
  <si>
    <t>工事57</t>
    <rPh sb="0" eb="2">
      <t>コウジ</t>
    </rPh>
    <phoneticPr fontId="8"/>
  </si>
  <si>
    <t>工事58</t>
    <rPh sb="0" eb="2">
      <t>コウジ</t>
    </rPh>
    <phoneticPr fontId="8"/>
  </si>
  <si>
    <t>工事59</t>
    <rPh sb="0" eb="2">
      <t>コウジ</t>
    </rPh>
    <phoneticPr fontId="8"/>
  </si>
  <si>
    <t>工事60</t>
    <rPh sb="0" eb="2">
      <t>コウジ</t>
    </rPh>
    <phoneticPr fontId="8"/>
  </si>
  <si>
    <t>工事61</t>
    <rPh sb="0" eb="2">
      <t>コウジ</t>
    </rPh>
    <phoneticPr fontId="8"/>
  </si>
  <si>
    <t>工事62</t>
    <rPh sb="0" eb="2">
      <t>コウジ</t>
    </rPh>
    <phoneticPr fontId="8"/>
  </si>
  <si>
    <t>工事63</t>
    <rPh sb="0" eb="2">
      <t>コウジ</t>
    </rPh>
    <phoneticPr fontId="8"/>
  </si>
  <si>
    <t>工事64</t>
    <rPh sb="0" eb="2">
      <t>コウジ</t>
    </rPh>
    <phoneticPr fontId="8"/>
  </si>
  <si>
    <t>工事65</t>
    <rPh sb="0" eb="2">
      <t>コウジ</t>
    </rPh>
    <phoneticPr fontId="8"/>
  </si>
  <si>
    <t>工事66</t>
    <rPh sb="0" eb="2">
      <t>コウジ</t>
    </rPh>
    <phoneticPr fontId="8"/>
  </si>
  <si>
    <t>工事67</t>
    <rPh sb="0" eb="2">
      <t>コウジ</t>
    </rPh>
    <phoneticPr fontId="8"/>
  </si>
  <si>
    <t>工事68</t>
    <rPh sb="0" eb="2">
      <t>コウジ</t>
    </rPh>
    <phoneticPr fontId="8"/>
  </si>
  <si>
    <t>工事69</t>
    <rPh sb="0" eb="2">
      <t>コウジ</t>
    </rPh>
    <phoneticPr fontId="8"/>
  </si>
  <si>
    <t>工事70</t>
    <rPh sb="0" eb="2">
      <t>コウジ</t>
    </rPh>
    <phoneticPr fontId="8"/>
  </si>
  <si>
    <t>工事71</t>
    <rPh sb="0" eb="2">
      <t>コウジ</t>
    </rPh>
    <phoneticPr fontId="8"/>
  </si>
  <si>
    <t>工事72</t>
    <rPh sb="0" eb="2">
      <t>コウジ</t>
    </rPh>
    <phoneticPr fontId="8"/>
  </si>
  <si>
    <t>工事73</t>
    <rPh sb="0" eb="2">
      <t>コウジ</t>
    </rPh>
    <phoneticPr fontId="8"/>
  </si>
  <si>
    <t>工事74</t>
    <rPh sb="0" eb="2">
      <t>コウジ</t>
    </rPh>
    <phoneticPr fontId="8"/>
  </si>
  <si>
    <t>工事75</t>
    <rPh sb="0" eb="2">
      <t>コウジ</t>
    </rPh>
    <phoneticPr fontId="8"/>
  </si>
  <si>
    <t>工事76</t>
    <rPh sb="0" eb="2">
      <t>コウジ</t>
    </rPh>
    <phoneticPr fontId="8"/>
  </si>
  <si>
    <t>工事77</t>
    <rPh sb="0" eb="2">
      <t>コウジ</t>
    </rPh>
    <phoneticPr fontId="8"/>
  </si>
  <si>
    <t>工事78</t>
    <rPh sb="0" eb="2">
      <t>コウジ</t>
    </rPh>
    <phoneticPr fontId="8"/>
  </si>
  <si>
    <t>工事79</t>
    <rPh sb="0" eb="2">
      <t>コウジ</t>
    </rPh>
    <phoneticPr fontId="8"/>
  </si>
  <si>
    <t>工事80</t>
    <rPh sb="0" eb="2">
      <t>コウジ</t>
    </rPh>
    <phoneticPr fontId="8"/>
  </si>
  <si>
    <t>工事81</t>
    <rPh sb="0" eb="2">
      <t>コウジ</t>
    </rPh>
    <phoneticPr fontId="8"/>
  </si>
  <si>
    <t>工事82</t>
    <rPh sb="0" eb="2">
      <t>コウジ</t>
    </rPh>
    <phoneticPr fontId="8"/>
  </si>
  <si>
    <t>工事83</t>
    <rPh sb="0" eb="2">
      <t>コウジ</t>
    </rPh>
    <phoneticPr fontId="8"/>
  </si>
  <si>
    <t>工事84</t>
    <rPh sb="0" eb="2">
      <t>コウジ</t>
    </rPh>
    <phoneticPr fontId="8"/>
  </si>
  <si>
    <t>工事85</t>
    <rPh sb="0" eb="2">
      <t>コウジ</t>
    </rPh>
    <phoneticPr fontId="8"/>
  </si>
  <si>
    <t>工事86</t>
    <rPh sb="0" eb="2">
      <t>コウジ</t>
    </rPh>
    <phoneticPr fontId="8"/>
  </si>
  <si>
    <t>工事87</t>
    <rPh sb="0" eb="2">
      <t>コウジ</t>
    </rPh>
    <phoneticPr fontId="8"/>
  </si>
  <si>
    <t>工事88</t>
    <rPh sb="0" eb="2">
      <t>コウジ</t>
    </rPh>
    <phoneticPr fontId="8"/>
  </si>
  <si>
    <t>工事89</t>
    <rPh sb="0" eb="2">
      <t>コウジ</t>
    </rPh>
    <phoneticPr fontId="8"/>
  </si>
  <si>
    <t>工事90</t>
    <rPh sb="0" eb="2">
      <t>コウジ</t>
    </rPh>
    <phoneticPr fontId="8"/>
  </si>
  <si>
    <t>工事91</t>
    <rPh sb="0" eb="2">
      <t>コウジ</t>
    </rPh>
    <phoneticPr fontId="8"/>
  </si>
  <si>
    <t>工事92</t>
    <rPh sb="0" eb="2">
      <t>コウジ</t>
    </rPh>
    <phoneticPr fontId="8"/>
  </si>
  <si>
    <t>工事93</t>
    <rPh sb="0" eb="2">
      <t>コウジ</t>
    </rPh>
    <phoneticPr fontId="8"/>
  </si>
  <si>
    <t>工事94</t>
    <rPh sb="0" eb="2">
      <t>コウジ</t>
    </rPh>
    <phoneticPr fontId="8"/>
  </si>
  <si>
    <t>工事95</t>
    <rPh sb="0" eb="2">
      <t>コウジ</t>
    </rPh>
    <phoneticPr fontId="8"/>
  </si>
  <si>
    <t>工事96</t>
    <rPh sb="0" eb="2">
      <t>コウジ</t>
    </rPh>
    <phoneticPr fontId="8"/>
  </si>
  <si>
    <t>工事97</t>
    <rPh sb="0" eb="2">
      <t>コウジ</t>
    </rPh>
    <phoneticPr fontId="8"/>
  </si>
  <si>
    <t>工事98</t>
    <rPh sb="0" eb="2">
      <t>コウジ</t>
    </rPh>
    <phoneticPr fontId="8"/>
  </si>
  <si>
    <t>工事99</t>
    <rPh sb="0" eb="2">
      <t>コウジ</t>
    </rPh>
    <phoneticPr fontId="8"/>
  </si>
  <si>
    <t>工事100</t>
    <rPh sb="0" eb="2">
      <t>コウジ</t>
    </rPh>
    <phoneticPr fontId="8"/>
  </si>
  <si>
    <t>工事101</t>
    <rPh sb="0" eb="2">
      <t>コウジ</t>
    </rPh>
    <phoneticPr fontId="8"/>
  </si>
  <si>
    <t>工事102</t>
    <rPh sb="0" eb="2">
      <t>コウジ</t>
    </rPh>
    <phoneticPr fontId="8"/>
  </si>
  <si>
    <t>工事103</t>
    <rPh sb="0" eb="2">
      <t>コウジ</t>
    </rPh>
    <phoneticPr fontId="8"/>
  </si>
  <si>
    <t>工事104</t>
    <rPh sb="0" eb="2">
      <t>コウジ</t>
    </rPh>
    <phoneticPr fontId="8"/>
  </si>
  <si>
    <t>工事105</t>
    <rPh sb="0" eb="2">
      <t>コウジ</t>
    </rPh>
    <phoneticPr fontId="8"/>
  </si>
  <si>
    <t>工事106</t>
    <rPh sb="0" eb="2">
      <t>コウジ</t>
    </rPh>
    <phoneticPr fontId="8"/>
  </si>
  <si>
    <t>工事107</t>
    <rPh sb="0" eb="2">
      <t>コウジ</t>
    </rPh>
    <phoneticPr fontId="8"/>
  </si>
  <si>
    <t>工事108</t>
    <rPh sb="0" eb="2">
      <t>コウジ</t>
    </rPh>
    <phoneticPr fontId="8"/>
  </si>
  <si>
    <t>工事109</t>
    <rPh sb="0" eb="2">
      <t>コウジ</t>
    </rPh>
    <phoneticPr fontId="8"/>
  </si>
  <si>
    <t>工事110</t>
    <rPh sb="0" eb="2">
      <t>コウジ</t>
    </rPh>
    <phoneticPr fontId="8"/>
  </si>
  <si>
    <t>工事111</t>
    <rPh sb="0" eb="2">
      <t>コウジ</t>
    </rPh>
    <phoneticPr fontId="8"/>
  </si>
  <si>
    <t>工事112</t>
    <rPh sb="0" eb="2">
      <t>コウジ</t>
    </rPh>
    <phoneticPr fontId="8"/>
  </si>
  <si>
    <t>工事113</t>
    <rPh sb="0" eb="2">
      <t>コウジ</t>
    </rPh>
    <phoneticPr fontId="8"/>
  </si>
  <si>
    <t>工事114</t>
    <rPh sb="0" eb="2">
      <t>コウジ</t>
    </rPh>
    <phoneticPr fontId="8"/>
  </si>
  <si>
    <t>工事115</t>
    <rPh sb="0" eb="2">
      <t>コウジ</t>
    </rPh>
    <phoneticPr fontId="8"/>
  </si>
  <si>
    <t>工事116</t>
    <rPh sb="0" eb="2">
      <t>コウジ</t>
    </rPh>
    <phoneticPr fontId="8"/>
  </si>
  <si>
    <t>工事117</t>
    <rPh sb="0" eb="2">
      <t>コウジ</t>
    </rPh>
    <phoneticPr fontId="8"/>
  </si>
  <si>
    <t>工事118</t>
    <rPh sb="0" eb="2">
      <t>コウジ</t>
    </rPh>
    <phoneticPr fontId="8"/>
  </si>
  <si>
    <t>工事119</t>
    <rPh sb="0" eb="2">
      <t>コウジ</t>
    </rPh>
    <phoneticPr fontId="8"/>
  </si>
  <si>
    <t>工事120</t>
    <rPh sb="0" eb="2">
      <t>コウジ</t>
    </rPh>
    <phoneticPr fontId="8"/>
  </si>
  <si>
    <t>工事121</t>
    <rPh sb="0" eb="2">
      <t>コウジ</t>
    </rPh>
    <phoneticPr fontId="8"/>
  </si>
  <si>
    <t>工事122</t>
    <rPh sb="0" eb="2">
      <t>コウジ</t>
    </rPh>
    <phoneticPr fontId="8"/>
  </si>
  <si>
    <t>工事123</t>
    <rPh sb="0" eb="2">
      <t>コウジ</t>
    </rPh>
    <phoneticPr fontId="8"/>
  </si>
  <si>
    <t>工事124</t>
    <rPh sb="0" eb="2">
      <t>コウジ</t>
    </rPh>
    <phoneticPr fontId="8"/>
  </si>
  <si>
    <t>工事125</t>
    <rPh sb="0" eb="2">
      <t>コウジ</t>
    </rPh>
    <phoneticPr fontId="8"/>
  </si>
  <si>
    <t>工事126</t>
    <rPh sb="0" eb="2">
      <t>コウジ</t>
    </rPh>
    <phoneticPr fontId="8"/>
  </si>
  <si>
    <t>工事127</t>
    <rPh sb="0" eb="2">
      <t>コウジ</t>
    </rPh>
    <phoneticPr fontId="8"/>
  </si>
  <si>
    <t>工事128</t>
    <rPh sb="0" eb="2">
      <t>コウジ</t>
    </rPh>
    <phoneticPr fontId="8"/>
  </si>
  <si>
    <t>工事129</t>
    <rPh sb="0" eb="2">
      <t>コウジ</t>
    </rPh>
    <phoneticPr fontId="8"/>
  </si>
  <si>
    <t>工事130</t>
    <rPh sb="0" eb="2">
      <t>コウジ</t>
    </rPh>
    <phoneticPr fontId="8"/>
  </si>
  <si>
    <t>工事131</t>
    <rPh sb="0" eb="2">
      <t>コウジ</t>
    </rPh>
    <phoneticPr fontId="8"/>
  </si>
  <si>
    <t>工事132</t>
    <rPh sb="0" eb="2">
      <t>コウジ</t>
    </rPh>
    <phoneticPr fontId="8"/>
  </si>
  <si>
    <t>工事133</t>
    <rPh sb="0" eb="2">
      <t>コウジ</t>
    </rPh>
    <phoneticPr fontId="8"/>
  </si>
  <si>
    <t>工事134</t>
    <rPh sb="0" eb="2">
      <t>コウジ</t>
    </rPh>
    <phoneticPr fontId="8"/>
  </si>
  <si>
    <t>工事135</t>
    <rPh sb="0" eb="2">
      <t>コウジ</t>
    </rPh>
    <phoneticPr fontId="8"/>
  </si>
  <si>
    <t>工事136</t>
    <rPh sb="0" eb="2">
      <t>コウジ</t>
    </rPh>
    <phoneticPr fontId="8"/>
  </si>
  <si>
    <t>工事137</t>
    <rPh sb="0" eb="2">
      <t>コウジ</t>
    </rPh>
    <phoneticPr fontId="8"/>
  </si>
  <si>
    <t>工事138</t>
    <rPh sb="0" eb="2">
      <t>コウジ</t>
    </rPh>
    <phoneticPr fontId="8"/>
  </si>
  <si>
    <t>工事139</t>
    <rPh sb="0" eb="2">
      <t>コウジ</t>
    </rPh>
    <phoneticPr fontId="8"/>
  </si>
  <si>
    <t>工事140</t>
    <rPh sb="0" eb="2">
      <t>コウジ</t>
    </rPh>
    <phoneticPr fontId="8"/>
  </si>
  <si>
    <t>工事141</t>
    <rPh sb="0" eb="2">
      <t>コウジ</t>
    </rPh>
    <phoneticPr fontId="8"/>
  </si>
  <si>
    <t>工事142</t>
    <rPh sb="0" eb="2">
      <t>コウジ</t>
    </rPh>
    <phoneticPr fontId="8"/>
  </si>
  <si>
    <t>工事143</t>
    <rPh sb="0" eb="2">
      <t>コウジ</t>
    </rPh>
    <phoneticPr fontId="8"/>
  </si>
  <si>
    <t>工事144</t>
    <rPh sb="0" eb="2">
      <t>コウジ</t>
    </rPh>
    <phoneticPr fontId="8"/>
  </si>
  <si>
    <t>工事145</t>
    <rPh sb="0" eb="2">
      <t>コウジ</t>
    </rPh>
    <phoneticPr fontId="8"/>
  </si>
  <si>
    <t>工事146</t>
    <rPh sb="0" eb="2">
      <t>コウジ</t>
    </rPh>
    <phoneticPr fontId="8"/>
  </si>
  <si>
    <t>工事147</t>
    <rPh sb="0" eb="2">
      <t>コウジ</t>
    </rPh>
    <phoneticPr fontId="8"/>
  </si>
  <si>
    <t>工事148</t>
    <rPh sb="0" eb="2">
      <t>コウジ</t>
    </rPh>
    <phoneticPr fontId="8"/>
  </si>
  <si>
    <t>工事149</t>
    <rPh sb="0" eb="2">
      <t>コウジ</t>
    </rPh>
    <phoneticPr fontId="8"/>
  </si>
  <si>
    <t>工事150</t>
    <rPh sb="0" eb="2">
      <t>コウジ</t>
    </rPh>
    <phoneticPr fontId="8"/>
  </si>
  <si>
    <t>工事151</t>
    <rPh sb="0" eb="2">
      <t>コウジ</t>
    </rPh>
    <phoneticPr fontId="8"/>
  </si>
  <si>
    <t>工事152</t>
    <rPh sb="0" eb="2">
      <t>コウジ</t>
    </rPh>
    <phoneticPr fontId="8"/>
  </si>
  <si>
    <t>工事153</t>
    <rPh sb="0" eb="2">
      <t>コウジ</t>
    </rPh>
    <phoneticPr fontId="8"/>
  </si>
  <si>
    <t>工事154</t>
    <rPh sb="0" eb="2">
      <t>コウジ</t>
    </rPh>
    <phoneticPr fontId="8"/>
  </si>
  <si>
    <t>工事155</t>
    <rPh sb="0" eb="2">
      <t>コウジ</t>
    </rPh>
    <phoneticPr fontId="8"/>
  </si>
  <si>
    <t>工事156</t>
    <rPh sb="0" eb="2">
      <t>コウジ</t>
    </rPh>
    <phoneticPr fontId="8"/>
  </si>
  <si>
    <t>工事157</t>
    <rPh sb="0" eb="2">
      <t>コウジ</t>
    </rPh>
    <phoneticPr fontId="8"/>
  </si>
  <si>
    <t>工事158</t>
    <rPh sb="0" eb="2">
      <t>コウジ</t>
    </rPh>
    <phoneticPr fontId="8"/>
  </si>
  <si>
    <t>工事159</t>
    <rPh sb="0" eb="2">
      <t>コウジ</t>
    </rPh>
    <phoneticPr fontId="8"/>
  </si>
  <si>
    <t>工事160</t>
    <rPh sb="0" eb="2">
      <t>コウジ</t>
    </rPh>
    <phoneticPr fontId="8"/>
  </si>
  <si>
    <t>工事161</t>
    <rPh sb="0" eb="2">
      <t>コウジ</t>
    </rPh>
    <phoneticPr fontId="8"/>
  </si>
  <si>
    <t>工事162</t>
    <rPh sb="0" eb="2">
      <t>コウジ</t>
    </rPh>
    <phoneticPr fontId="8"/>
  </si>
  <si>
    <t>工事163</t>
    <rPh sb="0" eb="2">
      <t>コウジ</t>
    </rPh>
    <phoneticPr fontId="8"/>
  </si>
  <si>
    <t>工事164</t>
    <rPh sb="0" eb="2">
      <t>コウジ</t>
    </rPh>
    <phoneticPr fontId="8"/>
  </si>
  <si>
    <t>工事165</t>
    <rPh sb="0" eb="2">
      <t>コウジ</t>
    </rPh>
    <phoneticPr fontId="8"/>
  </si>
  <si>
    <t>工事166</t>
    <rPh sb="0" eb="2">
      <t>コウジ</t>
    </rPh>
    <phoneticPr fontId="8"/>
  </si>
  <si>
    <t>工事167</t>
    <rPh sb="0" eb="2">
      <t>コウジ</t>
    </rPh>
    <phoneticPr fontId="8"/>
  </si>
  <si>
    <t>工事168</t>
    <rPh sb="0" eb="2">
      <t>コウジ</t>
    </rPh>
    <phoneticPr fontId="8"/>
  </si>
  <si>
    <t>工事169</t>
    <rPh sb="0" eb="2">
      <t>コウジ</t>
    </rPh>
    <phoneticPr fontId="8"/>
  </si>
  <si>
    <t>工事170</t>
    <rPh sb="0" eb="2">
      <t>コウジ</t>
    </rPh>
    <phoneticPr fontId="8"/>
  </si>
  <si>
    <t>工事171</t>
    <rPh sb="0" eb="2">
      <t>コウジ</t>
    </rPh>
    <phoneticPr fontId="8"/>
  </si>
  <si>
    <t>工事172</t>
    <rPh sb="0" eb="2">
      <t>コウジ</t>
    </rPh>
    <phoneticPr fontId="8"/>
  </si>
  <si>
    <t>工事173</t>
    <rPh sb="0" eb="2">
      <t>コウジ</t>
    </rPh>
    <phoneticPr fontId="8"/>
  </si>
  <si>
    <t>工事174</t>
    <rPh sb="0" eb="2">
      <t>コウジ</t>
    </rPh>
    <phoneticPr fontId="8"/>
  </si>
  <si>
    <t>工事175</t>
    <rPh sb="0" eb="2">
      <t>コウジ</t>
    </rPh>
    <phoneticPr fontId="8"/>
  </si>
  <si>
    <t>工事176</t>
    <rPh sb="0" eb="2">
      <t>コウジ</t>
    </rPh>
    <phoneticPr fontId="8"/>
  </si>
  <si>
    <t>工事177</t>
    <rPh sb="0" eb="2">
      <t>コウジ</t>
    </rPh>
    <phoneticPr fontId="8"/>
  </si>
  <si>
    <t>工事178</t>
    <rPh sb="0" eb="2">
      <t>コウジ</t>
    </rPh>
    <phoneticPr fontId="8"/>
  </si>
  <si>
    <t>工事179</t>
    <rPh sb="0" eb="2">
      <t>コウジ</t>
    </rPh>
    <phoneticPr fontId="8"/>
  </si>
  <si>
    <t>工事180</t>
    <rPh sb="0" eb="2">
      <t>コウジ</t>
    </rPh>
    <phoneticPr fontId="8"/>
  </si>
  <si>
    <t>工事181</t>
    <rPh sb="0" eb="2">
      <t>コウジ</t>
    </rPh>
    <phoneticPr fontId="8"/>
  </si>
  <si>
    <t>工事182</t>
    <rPh sb="0" eb="2">
      <t>コウジ</t>
    </rPh>
    <phoneticPr fontId="8"/>
  </si>
  <si>
    <t>工事183</t>
    <rPh sb="0" eb="2">
      <t>コウジ</t>
    </rPh>
    <phoneticPr fontId="8"/>
  </si>
  <si>
    <t>工事184</t>
    <rPh sb="0" eb="2">
      <t>コウジ</t>
    </rPh>
    <phoneticPr fontId="8"/>
  </si>
  <si>
    <t>工事185</t>
    <rPh sb="0" eb="2">
      <t>コウジ</t>
    </rPh>
    <phoneticPr fontId="8"/>
  </si>
  <si>
    <t>工事186</t>
    <rPh sb="0" eb="2">
      <t>コウジ</t>
    </rPh>
    <phoneticPr fontId="8"/>
  </si>
  <si>
    <t>工事187</t>
    <rPh sb="0" eb="2">
      <t>コウジ</t>
    </rPh>
    <phoneticPr fontId="8"/>
  </si>
  <si>
    <t>工事188</t>
    <rPh sb="0" eb="2">
      <t>コウジ</t>
    </rPh>
    <phoneticPr fontId="8"/>
  </si>
  <si>
    <t>工事189</t>
    <rPh sb="0" eb="2">
      <t>コウジ</t>
    </rPh>
    <phoneticPr fontId="8"/>
  </si>
  <si>
    <t>工事190</t>
    <rPh sb="0" eb="2">
      <t>コウジ</t>
    </rPh>
    <phoneticPr fontId="8"/>
  </si>
  <si>
    <t>工事191</t>
    <rPh sb="0" eb="2">
      <t>コウジ</t>
    </rPh>
    <phoneticPr fontId="8"/>
  </si>
  <si>
    <t>工事192</t>
    <rPh sb="0" eb="2">
      <t>コウジ</t>
    </rPh>
    <phoneticPr fontId="8"/>
  </si>
  <si>
    <t>工事193</t>
    <rPh sb="0" eb="2">
      <t>コウジ</t>
    </rPh>
    <phoneticPr fontId="8"/>
  </si>
  <si>
    <t>工事194</t>
    <rPh sb="0" eb="2">
      <t>コウジ</t>
    </rPh>
    <phoneticPr fontId="8"/>
  </si>
  <si>
    <t>工事195</t>
    <rPh sb="0" eb="2">
      <t>コウジ</t>
    </rPh>
    <phoneticPr fontId="8"/>
  </si>
  <si>
    <t>工事196</t>
    <rPh sb="0" eb="2">
      <t>コウジ</t>
    </rPh>
    <phoneticPr fontId="8"/>
  </si>
  <si>
    <t>工事197</t>
    <rPh sb="0" eb="2">
      <t>コウジ</t>
    </rPh>
    <phoneticPr fontId="8"/>
  </si>
  <si>
    <t>工事198</t>
    <rPh sb="0" eb="2">
      <t>コウジ</t>
    </rPh>
    <phoneticPr fontId="8"/>
  </si>
  <si>
    <t>工事199</t>
    <rPh sb="0" eb="2">
      <t>コウジ</t>
    </rPh>
    <phoneticPr fontId="8"/>
  </si>
  <si>
    <t>工事200</t>
    <rPh sb="0" eb="2">
      <t>コウジ</t>
    </rPh>
    <phoneticPr fontId="8"/>
  </si>
  <si>
    <t>財務分類</t>
    <rPh sb="0" eb="2">
      <t>ザイム</t>
    </rPh>
    <rPh sb="2" eb="4">
      <t>ブンルイ</t>
    </rPh>
    <phoneticPr fontId="8"/>
  </si>
  <si>
    <t>コード</t>
    <phoneticPr fontId="47"/>
  </si>
  <si>
    <t>コード&amp;名称</t>
    <rPh sb="4" eb="6">
      <t>メイショウ</t>
    </rPh>
    <phoneticPr fontId="47"/>
  </si>
  <si>
    <t>シート番号</t>
    <rPh sb="3" eb="5">
      <t>バンゴウ</t>
    </rPh>
    <phoneticPr fontId="8"/>
  </si>
  <si>
    <t>番号</t>
    <rPh sb="0" eb="2">
      <t>バンゴウ</t>
    </rPh>
    <phoneticPr fontId="47"/>
  </si>
  <si>
    <t>コード</t>
    <phoneticPr fontId="47"/>
  </si>
  <si>
    <t>1</t>
    <phoneticPr fontId="47"/>
  </si>
  <si>
    <t>資産【自己調達資金】</t>
    <phoneticPr fontId="47"/>
  </si>
  <si>
    <t>2</t>
    <phoneticPr fontId="47"/>
  </si>
  <si>
    <t>費用（撤去費)【自己調達資金】</t>
  </si>
  <si>
    <t>費用（修繕費)【自己調達資金】</t>
  </si>
  <si>
    <t>費用（保守費)【自己調達資金】</t>
  </si>
  <si>
    <t>資産【その他調達資金】</t>
  </si>
  <si>
    <t>費用（撤去費)【その他調達資金】</t>
  </si>
  <si>
    <t>費用（修繕費)【その他調達資金】</t>
  </si>
  <si>
    <t>費用（保守費)【その他調達資金】</t>
  </si>
  <si>
    <t>他流動資産（受託工事）</t>
  </si>
  <si>
    <t xml:space="preserve">資産【補助金対象】 </t>
  </si>
  <si>
    <t xml:space="preserve">費用（撤去費） 【補助金対象】 </t>
  </si>
  <si>
    <t xml:space="preserve">費用（修繕費） 【補助金対象】 </t>
  </si>
  <si>
    <t xml:space="preserve">費用（保守費） 【補助金対象】 </t>
  </si>
  <si>
    <t>W</t>
  </si>
  <si>
    <t>費用（原価企画）【自己調達資金】</t>
  </si>
  <si>
    <t>X</t>
  </si>
  <si>
    <t>費用【その他調達資金】</t>
  </si>
  <si>
    <t>Y</t>
  </si>
  <si>
    <t>収入（その他収入）</t>
  </si>
  <si>
    <t>Z</t>
  </si>
  <si>
    <t>収入（運輸収入）</t>
  </si>
  <si>
    <t>現場管理費</t>
    <rPh sb="0" eb="2">
      <t>ゲンバ</t>
    </rPh>
    <rPh sb="2" eb="5">
      <t>カンリヒ</t>
    </rPh>
    <phoneticPr fontId="8"/>
  </si>
  <si>
    <t>一般管理費等</t>
    <rPh sb="0" eb="2">
      <t>イッパン</t>
    </rPh>
    <rPh sb="2" eb="5">
      <t>カンリヒ</t>
    </rPh>
    <rPh sb="5" eb="6">
      <t>トウ</t>
    </rPh>
    <phoneticPr fontId="8"/>
  </si>
  <si>
    <t>式</t>
    <phoneticPr fontId="8"/>
  </si>
  <si>
    <t>直</t>
    <rPh sb="0" eb="1">
      <t>チョク</t>
    </rPh>
    <phoneticPr fontId="8"/>
  </si>
  <si>
    <t>屋</t>
    <rPh sb="0" eb="1">
      <t>オク</t>
    </rPh>
    <phoneticPr fontId="8"/>
  </si>
  <si>
    <t>壊</t>
    <rPh sb="0" eb="1">
      <t>コワ</t>
    </rPh>
    <phoneticPr fontId="8"/>
  </si>
  <si>
    <t>特</t>
    <rPh sb="0" eb="1">
      <t>トク</t>
    </rPh>
    <phoneticPr fontId="8"/>
  </si>
  <si>
    <t>調</t>
    <rPh sb="0" eb="1">
      <t>チョウ</t>
    </rPh>
    <phoneticPr fontId="8"/>
  </si>
  <si>
    <t>処</t>
    <rPh sb="0" eb="1">
      <t>トコロ</t>
    </rPh>
    <phoneticPr fontId="8"/>
  </si>
  <si>
    <t>諸経費表</t>
    <phoneticPr fontId="8"/>
  </si>
  <si>
    <t>内、残材処分費</t>
    <rPh sb="2" eb="3">
      <t>ザン</t>
    </rPh>
    <rPh sb="3" eb="4">
      <t>ザイ</t>
    </rPh>
    <rPh sb="4" eb="6">
      <t>ショブン</t>
    </rPh>
    <rPh sb="6" eb="7">
      <t>ヒ</t>
    </rPh>
    <phoneticPr fontId="8"/>
  </si>
  <si>
    <t>(4)改修主体工事の鉄骨工事(機械費含む)</t>
    <rPh sb="15" eb="17">
      <t>キカイ</t>
    </rPh>
    <rPh sb="17" eb="18">
      <t>ヒ</t>
    </rPh>
    <rPh sb="18" eb="19">
      <t>フク</t>
    </rPh>
    <phoneticPr fontId="8"/>
  </si>
  <si>
    <t>(6)とりこわし工事(部分撤去、処分費除く)</t>
    <rPh sb="11" eb="13">
      <t>ブブン</t>
    </rPh>
    <rPh sb="13" eb="15">
      <t>テッキョ</t>
    </rPh>
    <phoneticPr fontId="8"/>
  </si>
  <si>
    <t>(7)特殊な室内装備品工事</t>
  </si>
  <si>
    <t>(8)プレハブ工事</t>
  </si>
  <si>
    <t>(11)近隣家屋調査及び地質調査</t>
  </si>
  <si>
    <t>(12)残材処分費及び残土処分費(直工費のみ)</t>
    <rPh sb="17" eb="18">
      <t>チョク</t>
    </rPh>
    <rPh sb="18" eb="19">
      <t>コウ</t>
    </rPh>
    <rPh sb="19" eb="20">
      <t>ヒ</t>
    </rPh>
    <phoneticPr fontId="8"/>
  </si>
  <si>
    <t>(14)リース料,借地借家料（直工費のみ）</t>
    <rPh sb="15" eb="16">
      <t>チョク</t>
    </rPh>
    <rPh sb="16" eb="17">
      <t>コウ</t>
    </rPh>
    <rPh sb="17" eb="18">
      <t>ヒ</t>
    </rPh>
    <phoneticPr fontId="8"/>
  </si>
  <si>
    <t>(17)下水道使用料、各種負担金（共通仮設）</t>
    <rPh sb="11" eb="13">
      <t>カクシュ</t>
    </rPh>
    <rPh sb="13" eb="16">
      <t>フタンキン</t>
    </rPh>
    <rPh sb="17" eb="19">
      <t>キョウツウ</t>
    </rPh>
    <rPh sb="19" eb="21">
      <t>カセツ</t>
    </rPh>
    <phoneticPr fontId="8"/>
  </si>
  <si>
    <t>(3)新築主体工事の鉄骨工事(機械費含む)</t>
  </si>
  <si>
    <t>(5)造園工事、舗装工事(排水除く)</t>
  </si>
  <si>
    <t>(10)</t>
  </si>
  <si>
    <t>(11)</t>
  </si>
  <si>
    <t>新鉄</t>
    <rPh sb="0" eb="1">
      <t>シン</t>
    </rPh>
    <rPh sb="1" eb="2">
      <t>テツ</t>
    </rPh>
    <phoneticPr fontId="8"/>
  </si>
  <si>
    <t>改鉄</t>
    <rPh sb="0" eb="1">
      <t>カイ</t>
    </rPh>
    <rPh sb="1" eb="2">
      <t>テツ</t>
    </rPh>
    <phoneticPr fontId="8"/>
  </si>
  <si>
    <t>資産クラス</t>
    <rPh sb="0" eb="2">
      <t>シサン</t>
    </rPh>
    <phoneticPr fontId="8"/>
  </si>
  <si>
    <t>自動開閉設備</t>
    <rPh sb="0" eb="2">
      <t>ジドウ</t>
    </rPh>
    <rPh sb="2" eb="4">
      <t>カイヘイ</t>
    </rPh>
    <rPh sb="4" eb="6">
      <t>セツビ</t>
    </rPh>
    <phoneticPr fontId="8"/>
  </si>
  <si>
    <t>可動間仕切(簡易)</t>
    <rPh sb="0" eb="2">
      <t>カドウ</t>
    </rPh>
    <rPh sb="2" eb="5">
      <t>マジキリ</t>
    </rPh>
    <rPh sb="6" eb="8">
      <t>カンイ</t>
    </rPh>
    <phoneticPr fontId="8"/>
  </si>
  <si>
    <t>可動間仕切(その他)</t>
    <rPh sb="0" eb="2">
      <t>カドウ</t>
    </rPh>
    <rPh sb="2" eb="5">
      <t>マジキリ</t>
    </rPh>
    <rPh sb="8" eb="9">
      <t>タ</t>
    </rPh>
    <phoneticPr fontId="8"/>
  </si>
  <si>
    <t>建築施設-止水設備(金属)</t>
    <rPh sb="0" eb="2">
      <t>ケンチク</t>
    </rPh>
    <rPh sb="2" eb="4">
      <t>シセツ</t>
    </rPh>
    <rPh sb="5" eb="7">
      <t>シスイ</t>
    </rPh>
    <rPh sb="7" eb="9">
      <t>セツビ</t>
    </rPh>
    <rPh sb="10" eb="12">
      <t>キンゾク</t>
    </rPh>
    <phoneticPr fontId="8"/>
  </si>
  <si>
    <t>建築施設-管理シャッター(金属)</t>
    <rPh sb="0" eb="2">
      <t>ケンチク</t>
    </rPh>
    <rPh sb="2" eb="4">
      <t>シセツ</t>
    </rPh>
    <rPh sb="5" eb="7">
      <t>カンリ</t>
    </rPh>
    <rPh sb="13" eb="15">
      <t>キンゾク</t>
    </rPh>
    <phoneticPr fontId="8"/>
  </si>
  <si>
    <t>建築施設-防火シャッター(金属)</t>
    <rPh sb="0" eb="2">
      <t>ケンチク</t>
    </rPh>
    <rPh sb="2" eb="4">
      <t>シセツ</t>
    </rPh>
    <rPh sb="5" eb="7">
      <t>ボウカ</t>
    </rPh>
    <rPh sb="13" eb="15">
      <t>キンゾク</t>
    </rPh>
    <phoneticPr fontId="8"/>
  </si>
  <si>
    <t>建築施設-止水設備(その他)</t>
    <rPh sb="0" eb="2">
      <t>ケンチク</t>
    </rPh>
    <rPh sb="2" eb="4">
      <t>シセツ</t>
    </rPh>
    <rPh sb="5" eb="7">
      <t>シスイ</t>
    </rPh>
    <rPh sb="7" eb="9">
      <t>セツビ</t>
    </rPh>
    <rPh sb="12" eb="13">
      <t>タ</t>
    </rPh>
    <phoneticPr fontId="8"/>
  </si>
  <si>
    <t>建築施設-防火シャッター(その他)</t>
    <rPh sb="0" eb="2">
      <t>ケンチク</t>
    </rPh>
    <rPh sb="2" eb="4">
      <t>シセツ</t>
    </rPh>
    <rPh sb="5" eb="7">
      <t>ボウカ</t>
    </rPh>
    <rPh sb="15" eb="16">
      <t>タ</t>
    </rPh>
    <phoneticPr fontId="8"/>
  </si>
  <si>
    <t>電照サイン-金属製</t>
    <rPh sb="0" eb="2">
      <t>デンショウ</t>
    </rPh>
    <rPh sb="6" eb="9">
      <t>キンゾクセイ</t>
    </rPh>
    <phoneticPr fontId="8"/>
  </si>
  <si>
    <t>電照広告-金属製</t>
    <rPh sb="0" eb="2">
      <t>デンショウ</t>
    </rPh>
    <rPh sb="2" eb="4">
      <t>コウコク</t>
    </rPh>
    <rPh sb="5" eb="8">
      <t>キンゾクセイ</t>
    </rPh>
    <phoneticPr fontId="8"/>
  </si>
  <si>
    <t>非電照サイン-その他</t>
    <rPh sb="0" eb="1">
      <t>ヒ</t>
    </rPh>
    <rPh sb="1" eb="3">
      <t>デンショウ</t>
    </rPh>
    <rPh sb="9" eb="10">
      <t>タ</t>
    </rPh>
    <phoneticPr fontId="8"/>
  </si>
  <si>
    <t>非電照広告-その他</t>
    <rPh sb="0" eb="1">
      <t>ヒ</t>
    </rPh>
    <rPh sb="1" eb="3">
      <t>デンショウ</t>
    </rPh>
    <rPh sb="3" eb="5">
      <t>コウコク</t>
    </rPh>
    <rPh sb="8" eb="9">
      <t>タ</t>
    </rPh>
    <phoneticPr fontId="8"/>
  </si>
  <si>
    <t>非電照サイン-金属製</t>
    <rPh sb="0" eb="1">
      <t>ヒ</t>
    </rPh>
    <rPh sb="1" eb="3">
      <t>デンショウ</t>
    </rPh>
    <rPh sb="7" eb="10">
      <t>キンゾクセイ</t>
    </rPh>
    <phoneticPr fontId="8"/>
  </si>
  <si>
    <t>非電照広告-金属製</t>
    <rPh sb="0" eb="1">
      <t>ヒ</t>
    </rPh>
    <rPh sb="1" eb="3">
      <t>デンショウ</t>
    </rPh>
    <rPh sb="3" eb="5">
      <t>コウコク</t>
    </rPh>
    <rPh sb="6" eb="9">
      <t>キンゾクセイ</t>
    </rPh>
    <phoneticPr fontId="8"/>
  </si>
  <si>
    <t>電照サイン-その他</t>
    <rPh sb="0" eb="2">
      <t>デンショウ</t>
    </rPh>
    <rPh sb="8" eb="9">
      <t>タ</t>
    </rPh>
    <phoneticPr fontId="8"/>
  </si>
  <si>
    <t>電照広告-その他</t>
    <rPh sb="0" eb="2">
      <t>デンショウ</t>
    </rPh>
    <rPh sb="2" eb="4">
      <t>コウコク</t>
    </rPh>
    <rPh sb="7" eb="8">
      <t>タ</t>
    </rPh>
    <phoneticPr fontId="8"/>
  </si>
  <si>
    <t>日よけ設備(金属製)</t>
    <rPh sb="0" eb="1">
      <t>ヒ</t>
    </rPh>
    <rPh sb="3" eb="5">
      <t>セツビ</t>
    </rPh>
    <rPh sb="6" eb="9">
      <t>キンゾクセイ</t>
    </rPh>
    <phoneticPr fontId="8"/>
  </si>
  <si>
    <t>日よけ設備(その他)</t>
    <rPh sb="0" eb="1">
      <t>ヒ</t>
    </rPh>
    <rPh sb="3" eb="5">
      <t>セツビ</t>
    </rPh>
    <rPh sb="8" eb="9">
      <t>タ</t>
    </rPh>
    <phoneticPr fontId="8"/>
  </si>
  <si>
    <t>店舗用簡易設備</t>
    <rPh sb="0" eb="3">
      <t>テンポヨウ</t>
    </rPh>
    <rPh sb="3" eb="5">
      <t>カンイ</t>
    </rPh>
    <rPh sb="5" eb="7">
      <t>セツビ</t>
    </rPh>
    <phoneticPr fontId="8"/>
  </si>
  <si>
    <t>器具備品-その他(金属製)</t>
    <rPh sb="0" eb="2">
      <t>キグ</t>
    </rPh>
    <rPh sb="2" eb="4">
      <t>ビヒン</t>
    </rPh>
    <rPh sb="7" eb="8">
      <t>タ</t>
    </rPh>
    <rPh sb="9" eb="12">
      <t>キンゾクセイ</t>
    </rPh>
    <phoneticPr fontId="8"/>
  </si>
  <si>
    <t>器具備品-その他(その他)</t>
    <rPh sb="0" eb="2">
      <t>キグ</t>
    </rPh>
    <rPh sb="2" eb="4">
      <t>ビヒン</t>
    </rPh>
    <rPh sb="7" eb="8">
      <t>タ</t>
    </rPh>
    <rPh sb="11" eb="12">
      <t>タ</t>
    </rPh>
    <phoneticPr fontId="8"/>
  </si>
  <si>
    <t>資産クラス</t>
    <rPh sb="0" eb="2">
      <t>シサン</t>
    </rPh>
    <phoneticPr fontId="47"/>
  </si>
  <si>
    <t>可動間仕切-簡易なもの</t>
    <rPh sb="2" eb="5">
      <t>マジキリ</t>
    </rPh>
    <phoneticPr fontId="8"/>
  </si>
  <si>
    <t>可動間仕切-その他のもの</t>
    <rPh sb="2" eb="5">
      <t>マジキリ</t>
    </rPh>
    <phoneticPr fontId="8"/>
  </si>
  <si>
    <t>前掲以外・前掲区分外-主として金属製の止水設備</t>
    <rPh sb="19" eb="21">
      <t>シスイ</t>
    </rPh>
    <rPh sb="21" eb="23">
      <t>セツビ</t>
    </rPh>
    <phoneticPr fontId="8"/>
  </si>
  <si>
    <t>前掲以外・前掲区分外-主として金属製の管理シャッター</t>
    <rPh sb="19" eb="21">
      <t>カンリ</t>
    </rPh>
    <phoneticPr fontId="8"/>
  </si>
  <si>
    <t>前掲以外・前掲区分外-主として金属製の防火シャッター</t>
    <rPh sb="19" eb="21">
      <t>ボウカ</t>
    </rPh>
    <phoneticPr fontId="8"/>
  </si>
  <si>
    <t>前掲以外・前掲区分外-金属製以外の止水設備</t>
    <rPh sb="11" eb="14">
      <t>キンゾクセイ</t>
    </rPh>
    <rPh sb="14" eb="16">
      <t>イガイ</t>
    </rPh>
    <rPh sb="17" eb="19">
      <t>シスイ</t>
    </rPh>
    <rPh sb="19" eb="21">
      <t>セツビ</t>
    </rPh>
    <phoneticPr fontId="8"/>
  </si>
  <si>
    <t>前掲以外・前掲区分外-金属製以外の防火シャッター</t>
    <phoneticPr fontId="8"/>
  </si>
  <si>
    <t>可動間仕切-簡易なもの-停車場建物</t>
    <rPh sb="0" eb="2">
      <t>カドウ</t>
    </rPh>
    <rPh sb="2" eb="5">
      <t>マジキリ</t>
    </rPh>
    <phoneticPr fontId="8"/>
  </si>
  <si>
    <t>可動間仕切-その他のもの-停車場建物</t>
    <rPh sb="0" eb="2">
      <t>カドウ</t>
    </rPh>
    <rPh sb="2" eb="5">
      <t>マジキリ</t>
    </rPh>
    <phoneticPr fontId="8"/>
  </si>
  <si>
    <t>前掲以外・前掲区分外-主として金属製の止水設備-停車場建物</t>
    <rPh sb="19" eb="21">
      <t>シスイ</t>
    </rPh>
    <rPh sb="21" eb="23">
      <t>セツビ</t>
    </rPh>
    <rPh sb="24" eb="27">
      <t>テイシャジョウ</t>
    </rPh>
    <rPh sb="27" eb="29">
      <t>タテモノ</t>
    </rPh>
    <phoneticPr fontId="8"/>
  </si>
  <si>
    <t>前掲以外・前掲区分外-主として金属製の管理シャッター-停車場建物</t>
    <rPh sb="19" eb="21">
      <t>カンリ</t>
    </rPh>
    <phoneticPr fontId="8"/>
  </si>
  <si>
    <t>前掲以外・前掲区分外-主として金属製の防火シャッター-停車場建物</t>
    <rPh sb="19" eb="21">
      <t>ボウカ</t>
    </rPh>
    <phoneticPr fontId="8"/>
  </si>
  <si>
    <t>前掲以外・前掲区分外-金属製以外の止水設備-停車場建物</t>
    <rPh sb="11" eb="14">
      <t>キンゾクセイ</t>
    </rPh>
    <rPh sb="14" eb="16">
      <t>イガイ</t>
    </rPh>
    <rPh sb="17" eb="19">
      <t>シスイ</t>
    </rPh>
    <rPh sb="19" eb="21">
      <t>セツビ</t>
    </rPh>
    <phoneticPr fontId="8"/>
  </si>
  <si>
    <t>前掲以外・前掲区分外-金属製以外の防火シャッター-停車場建物</t>
    <phoneticPr fontId="8"/>
  </si>
  <si>
    <t>可動間仕切-簡易なもの-変電所建物</t>
  </si>
  <si>
    <t>可動間仕切-その他のもの-変電所建物</t>
  </si>
  <si>
    <t>可動間仕切-簡易なもの-車庫・工場</t>
  </si>
  <si>
    <t>可動間仕切-その他のもの-車庫・工場</t>
  </si>
  <si>
    <t>可動間仕切-簡易なもの-倉庫建物</t>
  </si>
  <si>
    <t>可動間仕切-その他のもの-倉庫建物</t>
  </si>
  <si>
    <t>可動間仕切-簡易なもの-詰所建物</t>
  </si>
  <si>
    <t>可動間仕切-その他のもの-詰所建物</t>
  </si>
  <si>
    <t>可動間仕切-簡易なもの-事務所建物</t>
  </si>
  <si>
    <t>可動間仕切-その他のもの-事務所建物</t>
  </si>
  <si>
    <t>可動間仕切-簡易なもの-社宅・寮建物</t>
  </si>
  <si>
    <t>可動間仕切-その他のもの-社宅・寮建物</t>
  </si>
  <si>
    <t>前掲以外・前掲区分外-主として金属製の止水設備-変電所建物</t>
    <rPh sb="19" eb="21">
      <t>シスイ</t>
    </rPh>
    <rPh sb="21" eb="23">
      <t>セツビ</t>
    </rPh>
    <phoneticPr fontId="8"/>
  </si>
  <si>
    <t>前掲以外・前掲区分外-主として金属製の管理シャッター-変電所建物</t>
    <rPh sb="19" eb="21">
      <t>カンリ</t>
    </rPh>
    <phoneticPr fontId="8"/>
  </si>
  <si>
    <t>前掲以外・前掲区分外-主として金属製の防火シャッター-変電所建物</t>
    <rPh sb="19" eb="21">
      <t>ボウカ</t>
    </rPh>
    <phoneticPr fontId="8"/>
  </si>
  <si>
    <t>前掲以外・前掲区分外-金属製以外の止水設備-変電所建物</t>
    <rPh sb="11" eb="14">
      <t>キンゾクセイ</t>
    </rPh>
    <rPh sb="14" eb="16">
      <t>イガイ</t>
    </rPh>
    <rPh sb="17" eb="19">
      <t>シスイ</t>
    </rPh>
    <rPh sb="19" eb="21">
      <t>セツビ</t>
    </rPh>
    <phoneticPr fontId="8"/>
  </si>
  <si>
    <t>前掲以外・前掲区分外-金属製以外の防火シャッター-変電所建物</t>
  </si>
  <si>
    <t>アーケード又は日よけ設備-金属製-車庫・工場</t>
  </si>
  <si>
    <t>アーケード又は日よけ設備-その他のもの-車庫・工場</t>
  </si>
  <si>
    <t>店用簡易設備-車庫・工場</t>
  </si>
  <si>
    <t>前掲以外・前掲区分外-主として金属製の止水設備-車庫・工場</t>
    <rPh sb="19" eb="21">
      <t>シスイ</t>
    </rPh>
    <rPh sb="21" eb="23">
      <t>セツビ</t>
    </rPh>
    <phoneticPr fontId="8"/>
  </si>
  <si>
    <t>前掲以外・前掲区分外-主として金属製の管理シャッター-車庫・工場</t>
    <rPh sb="19" eb="21">
      <t>カンリ</t>
    </rPh>
    <phoneticPr fontId="8"/>
  </si>
  <si>
    <t>前掲以外・前掲区分外-主として金属製の防火シャッター-車庫・工場</t>
    <rPh sb="19" eb="21">
      <t>ボウカ</t>
    </rPh>
    <phoneticPr fontId="8"/>
  </si>
  <si>
    <t>前掲以外・前掲区分外-金属製以外の止水設備-車庫・工場</t>
    <rPh sb="11" eb="14">
      <t>キンゾクセイ</t>
    </rPh>
    <rPh sb="14" eb="16">
      <t>イガイ</t>
    </rPh>
    <rPh sb="17" eb="19">
      <t>シスイ</t>
    </rPh>
    <rPh sb="19" eb="21">
      <t>セツビ</t>
    </rPh>
    <phoneticPr fontId="8"/>
  </si>
  <si>
    <t>前掲以外・前掲区分外-金属製以外の防火シャッター-車庫・工場</t>
  </si>
  <si>
    <t>アーケード又は日よけ設備-その他のもの-倉庫建物</t>
  </si>
  <si>
    <t>店用簡易設備-倉庫建物</t>
  </si>
  <si>
    <t>前掲以外・前掲区分外-主として金属製の止水設備-倉庫建物</t>
    <rPh sb="19" eb="21">
      <t>シスイ</t>
    </rPh>
    <rPh sb="21" eb="23">
      <t>セツビ</t>
    </rPh>
    <phoneticPr fontId="8"/>
  </si>
  <si>
    <t>前掲以外・前掲区分外-主として金属製の管理シャッター-倉庫建物</t>
    <rPh sb="19" eb="21">
      <t>カンリ</t>
    </rPh>
    <phoneticPr fontId="8"/>
  </si>
  <si>
    <t>前掲以外・前掲区分外-主として金属製の防火シャッター-倉庫建物</t>
    <rPh sb="19" eb="21">
      <t>ボウカ</t>
    </rPh>
    <phoneticPr fontId="8"/>
  </si>
  <si>
    <t>前掲以外・前掲区分外-金属製以外の止水設備-倉庫建物</t>
    <rPh sb="11" eb="14">
      <t>キンゾクセイ</t>
    </rPh>
    <rPh sb="14" eb="16">
      <t>イガイ</t>
    </rPh>
    <rPh sb="17" eb="19">
      <t>シスイ</t>
    </rPh>
    <rPh sb="19" eb="21">
      <t>セツビ</t>
    </rPh>
    <phoneticPr fontId="8"/>
  </si>
  <si>
    <t>前掲以外・前掲区分外-金属製以外の防火シャッター-倉庫建物</t>
  </si>
  <si>
    <t>アーケード又は日よけ設備-金属製-倉庫建物</t>
    <rPh sb="17" eb="19">
      <t>ソウコ</t>
    </rPh>
    <phoneticPr fontId="8"/>
  </si>
  <si>
    <t>エヤーカーテン又はドアー自動開閉設備-詰所建物</t>
  </si>
  <si>
    <t>アーケード又は日よけ設備-金属製-詰所建物</t>
    <phoneticPr fontId="8"/>
  </si>
  <si>
    <t>アーケード又は日よけ設備-その他のもの-詰所建物</t>
  </si>
  <si>
    <t>店用簡易設備-詰所建物</t>
  </si>
  <si>
    <t>前掲以外・前掲区分外-主として金属製の止水設備-詰所建物</t>
    <rPh sb="19" eb="21">
      <t>シスイ</t>
    </rPh>
    <rPh sb="21" eb="23">
      <t>セツビ</t>
    </rPh>
    <phoneticPr fontId="8"/>
  </si>
  <si>
    <t>前掲以外・前掲区分外-主として金属製の管理シャッター-詰所建物</t>
    <rPh sb="19" eb="21">
      <t>カンリ</t>
    </rPh>
    <phoneticPr fontId="8"/>
  </si>
  <si>
    <t>前掲以外・前掲区分外-主として金属製の防火シャッター-詰所建物</t>
    <rPh sb="19" eb="21">
      <t>ボウカ</t>
    </rPh>
    <phoneticPr fontId="8"/>
  </si>
  <si>
    <t>前掲以外・前掲区分外-金属製以外の止水設備-詰所建物</t>
    <rPh sb="11" eb="14">
      <t>キンゾクセイ</t>
    </rPh>
    <rPh sb="14" eb="16">
      <t>イガイ</t>
    </rPh>
    <rPh sb="17" eb="19">
      <t>シスイ</t>
    </rPh>
    <rPh sb="19" eb="21">
      <t>セツビ</t>
    </rPh>
    <phoneticPr fontId="8"/>
  </si>
  <si>
    <t>前掲以外・前掲区分外-金属製以外の防火シャッター-詰所建物</t>
  </si>
  <si>
    <t>アーケード又は日よけ設備-金属製-事務所建物</t>
  </si>
  <si>
    <t>アーケード又は日よけ設備-その他のもの-事務所建物</t>
  </si>
  <si>
    <t>店用簡易設備-事務所建物</t>
  </si>
  <si>
    <t>前掲以外・前掲区分外-主として金属製の止水設備-事務所建物</t>
    <rPh sb="19" eb="21">
      <t>シスイ</t>
    </rPh>
    <rPh sb="21" eb="23">
      <t>セツビ</t>
    </rPh>
    <phoneticPr fontId="8"/>
  </si>
  <si>
    <t>前掲以外・前掲区分外-主として金属製の管理シャッター-事務所建物</t>
    <rPh sb="19" eb="21">
      <t>カンリ</t>
    </rPh>
    <phoneticPr fontId="8"/>
  </si>
  <si>
    <t>前掲以外・前掲区分外-主として金属製の防火シャッター-事務所建物</t>
    <rPh sb="19" eb="21">
      <t>ボウカ</t>
    </rPh>
    <phoneticPr fontId="8"/>
  </si>
  <si>
    <t>前掲以外・前掲区分外-金属製以外の止水設備-事務所建物</t>
    <rPh sb="11" eb="14">
      <t>キンゾクセイ</t>
    </rPh>
    <rPh sb="14" eb="16">
      <t>イガイ</t>
    </rPh>
    <rPh sb="17" eb="19">
      <t>シスイ</t>
    </rPh>
    <rPh sb="19" eb="21">
      <t>セツビ</t>
    </rPh>
    <phoneticPr fontId="8"/>
  </si>
  <si>
    <t>前掲以外・前掲区分外-金属製以外の防火シャッター-事務所建物</t>
  </si>
  <si>
    <t>アーケード又は日よけ設備-金属製-社宅・寮建物</t>
  </si>
  <si>
    <t>アーケード又は日よけ設備-その他のもの-社宅・寮建物</t>
  </si>
  <si>
    <t>店用簡易設備-社宅・寮建物</t>
  </si>
  <si>
    <t>前掲以外・前掲区分外-主として金属製の止水設備-社宅・寮建物</t>
    <rPh sb="19" eb="21">
      <t>シスイ</t>
    </rPh>
    <rPh sb="21" eb="23">
      <t>セツビ</t>
    </rPh>
    <phoneticPr fontId="8"/>
  </si>
  <si>
    <t>前掲以外・前掲区分外-主として金属製の管理シャッター-社宅・寮建物</t>
    <rPh sb="19" eb="21">
      <t>カンリ</t>
    </rPh>
    <phoneticPr fontId="8"/>
  </si>
  <si>
    <t>前掲以外・前掲区分外-主として金属製の防火シャッター-社宅・寮建物</t>
    <rPh sb="19" eb="21">
      <t>ボウカ</t>
    </rPh>
    <phoneticPr fontId="8"/>
  </si>
  <si>
    <t>前掲以外・前掲区分外-金属製以外の止水設備-社宅・寮建物</t>
    <rPh sb="11" eb="14">
      <t>キンゾクセイ</t>
    </rPh>
    <rPh sb="14" eb="16">
      <t>イガイ</t>
    </rPh>
    <rPh sb="17" eb="19">
      <t>シスイ</t>
    </rPh>
    <rPh sb="19" eb="21">
      <t>セツビ</t>
    </rPh>
    <phoneticPr fontId="8"/>
  </si>
  <si>
    <t>前掲以外・前掲区分外-金属製以外の防火シャッター-社宅・寮建物</t>
  </si>
  <si>
    <t>器具・備品-電照サインｰ金属製</t>
    <rPh sb="0" eb="2">
      <t>キグ</t>
    </rPh>
    <rPh sb="3" eb="5">
      <t>ビヒン</t>
    </rPh>
    <rPh sb="6" eb="8">
      <t>デンショウ</t>
    </rPh>
    <rPh sb="12" eb="15">
      <t>キンゾクセイ</t>
    </rPh>
    <phoneticPr fontId="8"/>
  </si>
  <si>
    <t>器具・備品-非電照サイン-金属製</t>
    <rPh sb="0" eb="2">
      <t>キグ</t>
    </rPh>
    <rPh sb="3" eb="5">
      <t>ビヒン</t>
    </rPh>
    <rPh sb="6" eb="7">
      <t>ヒ</t>
    </rPh>
    <rPh sb="7" eb="9">
      <t>デンショウ</t>
    </rPh>
    <rPh sb="13" eb="16">
      <t>キンゾクセイ</t>
    </rPh>
    <phoneticPr fontId="8"/>
  </si>
  <si>
    <t>器具・備品-電照広告-金属製</t>
    <rPh sb="0" eb="2">
      <t>キグ</t>
    </rPh>
    <rPh sb="3" eb="5">
      <t>ビヒン</t>
    </rPh>
    <rPh sb="6" eb="8">
      <t>デンショウ</t>
    </rPh>
    <rPh sb="8" eb="10">
      <t>コウコク</t>
    </rPh>
    <rPh sb="11" eb="14">
      <t>キンゾクセイ</t>
    </rPh>
    <phoneticPr fontId="8"/>
  </si>
  <si>
    <t>器具・備品-非電照広告-金属製</t>
    <rPh sb="0" eb="2">
      <t>キグ</t>
    </rPh>
    <rPh sb="3" eb="5">
      <t>ビヒン</t>
    </rPh>
    <rPh sb="6" eb="7">
      <t>ヒ</t>
    </rPh>
    <rPh sb="7" eb="8">
      <t>デン</t>
    </rPh>
    <rPh sb="8" eb="9">
      <t>テ</t>
    </rPh>
    <rPh sb="9" eb="11">
      <t>コウコク</t>
    </rPh>
    <rPh sb="12" eb="15">
      <t>キンゾクセイ</t>
    </rPh>
    <phoneticPr fontId="8"/>
  </si>
  <si>
    <t>器具・備品-電照サインｰその他</t>
    <rPh sb="0" eb="2">
      <t>キグ</t>
    </rPh>
    <rPh sb="3" eb="5">
      <t>ビヒン</t>
    </rPh>
    <rPh sb="6" eb="8">
      <t>デンショウ</t>
    </rPh>
    <rPh sb="14" eb="15">
      <t>タ</t>
    </rPh>
    <phoneticPr fontId="8"/>
  </si>
  <si>
    <t>器具・備品-非電照サイン-その他</t>
    <rPh sb="0" eb="2">
      <t>キグ</t>
    </rPh>
    <rPh sb="3" eb="5">
      <t>ビヒン</t>
    </rPh>
    <rPh sb="6" eb="7">
      <t>ヒ</t>
    </rPh>
    <rPh sb="7" eb="9">
      <t>デンショウ</t>
    </rPh>
    <rPh sb="15" eb="16">
      <t>タ</t>
    </rPh>
    <phoneticPr fontId="8"/>
  </si>
  <si>
    <t>器具・備品-電照広告-その他</t>
    <rPh sb="0" eb="2">
      <t>キグ</t>
    </rPh>
    <rPh sb="3" eb="5">
      <t>ビヒン</t>
    </rPh>
    <rPh sb="6" eb="8">
      <t>デンショウ</t>
    </rPh>
    <rPh sb="8" eb="10">
      <t>コウコク</t>
    </rPh>
    <rPh sb="13" eb="14">
      <t>タ</t>
    </rPh>
    <phoneticPr fontId="8"/>
  </si>
  <si>
    <t>器具・備品-非電照広告-その他</t>
    <rPh sb="0" eb="2">
      <t>キグ</t>
    </rPh>
    <rPh sb="3" eb="5">
      <t>ビヒン</t>
    </rPh>
    <rPh sb="6" eb="7">
      <t>ヒ</t>
    </rPh>
    <rPh sb="7" eb="8">
      <t>デン</t>
    </rPh>
    <rPh sb="8" eb="9">
      <t>テ</t>
    </rPh>
    <rPh sb="9" eb="11">
      <t>コウコク</t>
    </rPh>
    <rPh sb="14" eb="15">
      <t>タ</t>
    </rPh>
    <phoneticPr fontId="8"/>
  </si>
  <si>
    <t>アーケード又は日よけ設備-その他のもの</t>
    <phoneticPr fontId="8"/>
  </si>
  <si>
    <t>店用簡易設備</t>
    <phoneticPr fontId="8"/>
  </si>
  <si>
    <t>無人駐車管理装置</t>
    <rPh sb="0" eb="2">
      <t>ムジン</t>
    </rPh>
    <rPh sb="2" eb="4">
      <t>チュウシャ</t>
    </rPh>
    <rPh sb="4" eb="6">
      <t>カンリ</t>
    </rPh>
    <rPh sb="6" eb="8">
      <t>ソウチ</t>
    </rPh>
    <phoneticPr fontId="8"/>
  </si>
  <si>
    <t>電気設備(照明設備を含む)-蓄電池電源設備-雑建物</t>
  </si>
  <si>
    <t>電気設備(照明設備を含む)-その他のもの-雑建物</t>
  </si>
  <si>
    <t>給排水又は衛生設備及びガス設備-雑建物</t>
  </si>
  <si>
    <t>冷暖房・通風・ボイラー設備-22kw以下-雑建物</t>
  </si>
  <si>
    <t>冷暖房・通風・ボイラー設備-その他のもの-雑建物</t>
  </si>
  <si>
    <t>昇降機設備-エレベーター-雑建物</t>
  </si>
  <si>
    <t>昇降機設備-エスカレーター-雑建物</t>
  </si>
  <si>
    <t>消火・排煙・災害報知設備及び格納式避難設備-雑建物</t>
  </si>
  <si>
    <t>エヤーカーテン又はドアー自動開閉設備-雑建物</t>
  </si>
  <si>
    <t>アーケード又は日よけ設備-金属製-雑建物</t>
  </si>
  <si>
    <t>アーケード又は日よけ設備-その他のもの-雑建物</t>
  </si>
  <si>
    <t>店用簡易設備-雑建物</t>
  </si>
  <si>
    <t>可動間仕切-簡易なもの-雑建物</t>
  </si>
  <si>
    <t>可動間仕切-その他のもの-雑建物</t>
  </si>
  <si>
    <t>前掲以外・前掲区分外-主として金属製の止水設備-雑建物</t>
    <rPh sb="19" eb="21">
      <t>シスイ</t>
    </rPh>
    <rPh sb="21" eb="23">
      <t>セツビ</t>
    </rPh>
    <phoneticPr fontId="8"/>
  </si>
  <si>
    <t>前掲以外・前掲区分外-主として金属製の管理シャッター-雑建物</t>
    <rPh sb="19" eb="21">
      <t>カンリ</t>
    </rPh>
    <phoneticPr fontId="8"/>
  </si>
  <si>
    <t>前掲以外・前掲区分外-主として金属製の防火シャッター-雑建物</t>
    <rPh sb="19" eb="21">
      <t>ボウカ</t>
    </rPh>
    <phoneticPr fontId="8"/>
  </si>
  <si>
    <t>前掲以外・前掲区分外-金属製以外の止水設備-雑建物</t>
    <rPh sb="11" eb="14">
      <t>キンゾクセイ</t>
    </rPh>
    <rPh sb="14" eb="16">
      <t>イガイ</t>
    </rPh>
    <rPh sb="17" eb="19">
      <t>シスイ</t>
    </rPh>
    <rPh sb="19" eb="21">
      <t>セツビ</t>
    </rPh>
    <phoneticPr fontId="8"/>
  </si>
  <si>
    <t>前掲以外・前掲区分外-金属製以外の防火シャッター-雑建物</t>
  </si>
  <si>
    <t>049車庫工場構築物</t>
  </si>
  <si>
    <t>050変電所構築物</t>
  </si>
  <si>
    <t>024雑設備</t>
    <rPh sb="3" eb="4">
      <t>ザツ</t>
    </rPh>
    <rPh sb="4" eb="6">
      <t>セツビ</t>
    </rPh>
    <phoneticPr fontId="8"/>
  </si>
  <si>
    <t>費用</t>
    <rPh sb="0" eb="2">
      <t>ヒヨウ</t>
    </rPh>
    <phoneticPr fontId="8"/>
  </si>
  <si>
    <t>007停車場建物</t>
    <phoneticPr fontId="8"/>
  </si>
  <si>
    <t>008変電所建物</t>
    <phoneticPr fontId="8"/>
  </si>
  <si>
    <t>009車庫、工場建物</t>
    <phoneticPr fontId="8"/>
  </si>
  <si>
    <t>010倉庫建物</t>
    <phoneticPr fontId="8"/>
  </si>
  <si>
    <t>011詰所建物</t>
    <phoneticPr fontId="8"/>
  </si>
  <si>
    <t>012事務所建物</t>
    <phoneticPr fontId="8"/>
  </si>
  <si>
    <t>013社宅及び寮建物</t>
    <phoneticPr fontId="8"/>
  </si>
  <si>
    <t>勘定科目（鉄有固-建物）</t>
    <rPh sb="0" eb="2">
      <t>カンジョウ</t>
    </rPh>
    <rPh sb="2" eb="4">
      <t>カモク</t>
    </rPh>
    <rPh sb="5" eb="6">
      <t>テツ</t>
    </rPh>
    <rPh sb="6" eb="7">
      <t>アリ</t>
    </rPh>
    <rPh sb="7" eb="8">
      <t>コ</t>
    </rPh>
    <rPh sb="9" eb="11">
      <t>タテモノ</t>
    </rPh>
    <phoneticPr fontId="47"/>
  </si>
  <si>
    <t>勘定科目（鉄有固-構築物）</t>
    <rPh sb="0" eb="2">
      <t>カンジョウ</t>
    </rPh>
    <rPh sb="2" eb="4">
      <t>カモク</t>
    </rPh>
    <rPh sb="5" eb="6">
      <t>テツ</t>
    </rPh>
    <rPh sb="6" eb="7">
      <t>アリ</t>
    </rPh>
    <rPh sb="7" eb="8">
      <t>コ</t>
    </rPh>
    <rPh sb="9" eb="12">
      <t>コウチクブツ</t>
    </rPh>
    <phoneticPr fontId="47"/>
  </si>
  <si>
    <t>10599901</t>
  </si>
  <si>
    <t>10599902</t>
  </si>
  <si>
    <t>10599903</t>
  </si>
  <si>
    <t>10599904</t>
  </si>
  <si>
    <t>10599905</t>
  </si>
  <si>
    <t>10599906</t>
  </si>
  <si>
    <t>10599907</t>
  </si>
  <si>
    <t>10599908</t>
  </si>
  <si>
    <t>10599909</t>
  </si>
  <si>
    <t>10599910</t>
  </si>
  <si>
    <t>10599911</t>
  </si>
  <si>
    <t>10599912</t>
  </si>
  <si>
    <t>10599913</t>
  </si>
  <si>
    <t>10599914</t>
  </si>
  <si>
    <t>10599915</t>
  </si>
  <si>
    <t>10599916</t>
  </si>
  <si>
    <t>10599917</t>
  </si>
  <si>
    <t>10599918</t>
  </si>
  <si>
    <t>10599919</t>
  </si>
  <si>
    <t>10599920</t>
  </si>
  <si>
    <t>10599921</t>
  </si>
  <si>
    <t>10599922</t>
  </si>
  <si>
    <t>10599923</t>
  </si>
  <si>
    <t>10599924</t>
  </si>
  <si>
    <t>10599925</t>
  </si>
  <si>
    <t>10599926</t>
  </si>
  <si>
    <t>10599927</t>
  </si>
  <si>
    <t>【資産区分】
空白の場合は
建物-鉄コン造で計上</t>
    <phoneticPr fontId="8"/>
  </si>
  <si>
    <t>プ</t>
  </si>
  <si>
    <t>その他工事等分類</t>
    <rPh sb="2" eb="3">
      <t>タ</t>
    </rPh>
    <rPh sb="3" eb="5">
      <t>コウジ</t>
    </rPh>
    <rPh sb="5" eb="6">
      <t>トウ</t>
    </rPh>
    <rPh sb="6" eb="8">
      <t>ブンルイ</t>
    </rPh>
    <phoneticPr fontId="8"/>
  </si>
  <si>
    <t>負担金</t>
    <rPh sb="0" eb="3">
      <t>フタンキン</t>
    </rPh>
    <phoneticPr fontId="8"/>
  </si>
  <si>
    <t>借地(直工)</t>
    <rPh sb="0" eb="2">
      <t>シャクチ</t>
    </rPh>
    <rPh sb="3" eb="5">
      <t>チョッコウ</t>
    </rPh>
    <phoneticPr fontId="8"/>
  </si>
  <si>
    <t>積</t>
  </si>
  <si>
    <t>借地(共通)</t>
    <rPh sb="0" eb="2">
      <t>シャクチ</t>
    </rPh>
    <rPh sb="3" eb="5">
      <t>キョウツウ</t>
    </rPh>
    <phoneticPr fontId="8"/>
  </si>
  <si>
    <t>処(共通)</t>
    <rPh sb="0" eb="1">
      <t>トコロ</t>
    </rPh>
    <rPh sb="2" eb="4">
      <t>キョウツウ</t>
    </rPh>
    <phoneticPr fontId="8"/>
  </si>
  <si>
    <t>内ﾘｰｽ料、借地借家料</t>
    <rPh sb="0" eb="1">
      <t>ウチ</t>
    </rPh>
    <rPh sb="4" eb="5">
      <t>リョウ</t>
    </rPh>
    <rPh sb="6" eb="8">
      <t>シャクチ</t>
    </rPh>
    <rPh sb="8" eb="10">
      <t>シャクヤ</t>
    </rPh>
    <rPh sb="10" eb="11">
      <t>リョウ</t>
    </rPh>
    <phoneticPr fontId="8"/>
  </si>
  <si>
    <t>区分</t>
    <rPh sb="0" eb="2">
      <t>クブン</t>
    </rPh>
    <phoneticPr fontId="8"/>
  </si>
  <si>
    <t>(01)</t>
    <phoneticPr fontId="8"/>
  </si>
  <si>
    <t>(02)</t>
  </si>
  <si>
    <t>(03)</t>
  </si>
  <si>
    <t>(04)</t>
  </si>
  <si>
    <t>(05)</t>
  </si>
  <si>
    <t>(06)</t>
  </si>
  <si>
    <t>(07)</t>
  </si>
  <si>
    <t>(08)</t>
  </si>
  <si>
    <t>(09)</t>
  </si>
  <si>
    <t>(12)</t>
  </si>
  <si>
    <t>(13)</t>
  </si>
  <si>
    <t>(14)</t>
  </si>
  <si>
    <t>(15)</t>
  </si>
  <si>
    <t>(16)</t>
  </si>
  <si>
    <t>(17)</t>
  </si>
  <si>
    <t>(18)</t>
  </si>
  <si>
    <t>(19)</t>
  </si>
  <si>
    <t>(20)</t>
  </si>
  <si>
    <t>(21)</t>
  </si>
  <si>
    <t>(22)</t>
  </si>
  <si>
    <t>(23)</t>
  </si>
  <si>
    <t>(24)</t>
  </si>
  <si>
    <t>(25)</t>
  </si>
  <si>
    <t>(26)</t>
  </si>
  <si>
    <t>(27)</t>
  </si>
  <si>
    <t>10(28)</t>
    <phoneticPr fontId="8"/>
  </si>
  <si>
    <t>11(29)</t>
    <phoneticPr fontId="8"/>
  </si>
  <si>
    <t>12(30)</t>
    <phoneticPr fontId="8"/>
  </si>
  <si>
    <t>13(31)</t>
    <phoneticPr fontId="8"/>
  </si>
  <si>
    <t>14(32)</t>
    <phoneticPr fontId="8"/>
  </si>
  <si>
    <t>15(33)</t>
    <phoneticPr fontId="8"/>
  </si>
  <si>
    <t>16(34)</t>
    <phoneticPr fontId="8"/>
  </si>
  <si>
    <t>17(35)</t>
    <phoneticPr fontId="8"/>
  </si>
  <si>
    <t>18(36)</t>
    <phoneticPr fontId="8"/>
  </si>
  <si>
    <t>19(37)</t>
    <phoneticPr fontId="8"/>
  </si>
  <si>
    <t>20(38)</t>
    <phoneticPr fontId="8"/>
  </si>
  <si>
    <t>21(39)</t>
    <phoneticPr fontId="8"/>
  </si>
  <si>
    <t>22(40)</t>
    <phoneticPr fontId="8"/>
  </si>
  <si>
    <t>23(41)</t>
    <phoneticPr fontId="8"/>
  </si>
  <si>
    <t>999雑建物</t>
    <phoneticPr fontId="8"/>
  </si>
  <si>
    <t>雑建物-定額50年</t>
    <rPh sb="0" eb="1">
      <t>ザツ</t>
    </rPh>
    <rPh sb="1" eb="3">
      <t>タテモノ</t>
    </rPh>
    <rPh sb="4" eb="6">
      <t>テイガク</t>
    </rPh>
    <rPh sb="8" eb="9">
      <t>ネン</t>
    </rPh>
    <phoneticPr fontId="8"/>
  </si>
  <si>
    <t>雑建物-定額47年</t>
    <rPh sb="0" eb="1">
      <t>ザツ</t>
    </rPh>
    <rPh sb="1" eb="3">
      <t>タテモノ</t>
    </rPh>
    <rPh sb="4" eb="6">
      <t>テイガク</t>
    </rPh>
    <rPh sb="8" eb="9">
      <t>ネン</t>
    </rPh>
    <phoneticPr fontId="8"/>
  </si>
  <si>
    <t>雑建物-定額41年</t>
    <rPh sb="0" eb="1">
      <t>ザツ</t>
    </rPh>
    <rPh sb="1" eb="3">
      <t>タテモノ</t>
    </rPh>
    <rPh sb="4" eb="6">
      <t>テイガク</t>
    </rPh>
    <rPh sb="8" eb="9">
      <t>ネン</t>
    </rPh>
    <phoneticPr fontId="8"/>
  </si>
  <si>
    <t>雑建物-定額39年</t>
    <rPh sb="0" eb="1">
      <t>ザツ</t>
    </rPh>
    <rPh sb="1" eb="3">
      <t>タテモノ</t>
    </rPh>
    <rPh sb="4" eb="6">
      <t>テイガク</t>
    </rPh>
    <rPh sb="8" eb="9">
      <t>ネン</t>
    </rPh>
    <phoneticPr fontId="8"/>
  </si>
  <si>
    <t>雑建物-定額38年</t>
    <rPh sb="0" eb="1">
      <t>ザツ</t>
    </rPh>
    <rPh sb="1" eb="3">
      <t>タテモノ</t>
    </rPh>
    <rPh sb="4" eb="6">
      <t>テイガク</t>
    </rPh>
    <rPh sb="8" eb="9">
      <t>ネン</t>
    </rPh>
    <phoneticPr fontId="8"/>
  </si>
  <si>
    <t>雑建物-定額36年</t>
    <rPh sb="0" eb="1">
      <t>ザツ</t>
    </rPh>
    <rPh sb="1" eb="3">
      <t>タテモノ</t>
    </rPh>
    <rPh sb="4" eb="6">
      <t>テイガク</t>
    </rPh>
    <rPh sb="8" eb="9">
      <t>ネン</t>
    </rPh>
    <phoneticPr fontId="8"/>
  </si>
  <si>
    <t>雑建物-定額34年</t>
    <rPh sb="0" eb="1">
      <t>ザツ</t>
    </rPh>
    <rPh sb="1" eb="3">
      <t>タテモノ</t>
    </rPh>
    <rPh sb="4" eb="6">
      <t>テイガク</t>
    </rPh>
    <rPh sb="8" eb="9">
      <t>ネン</t>
    </rPh>
    <phoneticPr fontId="8"/>
  </si>
  <si>
    <t>雑建物-定額31年</t>
    <rPh sb="0" eb="1">
      <t>ザツ</t>
    </rPh>
    <rPh sb="1" eb="3">
      <t>タテモノ</t>
    </rPh>
    <rPh sb="4" eb="6">
      <t>テイガク</t>
    </rPh>
    <rPh sb="8" eb="9">
      <t>ネン</t>
    </rPh>
    <phoneticPr fontId="8"/>
  </si>
  <si>
    <t>雑建物-定額30年</t>
    <rPh sb="0" eb="1">
      <t>ザツ</t>
    </rPh>
    <rPh sb="1" eb="3">
      <t>タテモノ</t>
    </rPh>
    <rPh sb="4" eb="6">
      <t>テイガク</t>
    </rPh>
    <rPh sb="8" eb="9">
      <t>ネン</t>
    </rPh>
    <phoneticPr fontId="8"/>
  </si>
  <si>
    <t>雑建物-定額29年</t>
    <rPh sb="0" eb="1">
      <t>ザツ</t>
    </rPh>
    <rPh sb="1" eb="3">
      <t>タテモノ</t>
    </rPh>
    <rPh sb="4" eb="6">
      <t>テイガク</t>
    </rPh>
    <rPh sb="8" eb="9">
      <t>ネン</t>
    </rPh>
    <phoneticPr fontId="8"/>
  </si>
  <si>
    <t>雑建物-定額28年</t>
    <rPh sb="0" eb="1">
      <t>ザツ</t>
    </rPh>
    <rPh sb="1" eb="3">
      <t>タテモノ</t>
    </rPh>
    <rPh sb="4" eb="6">
      <t>テイガク</t>
    </rPh>
    <rPh sb="8" eb="9">
      <t>ネン</t>
    </rPh>
    <phoneticPr fontId="8"/>
  </si>
  <si>
    <t>雑建物-定額27年</t>
    <rPh sb="0" eb="1">
      <t>ザツ</t>
    </rPh>
    <rPh sb="1" eb="3">
      <t>タテモノ</t>
    </rPh>
    <rPh sb="4" eb="6">
      <t>テイガク</t>
    </rPh>
    <rPh sb="8" eb="9">
      <t>ネン</t>
    </rPh>
    <phoneticPr fontId="8"/>
  </si>
  <si>
    <t>雑建物-定額26年</t>
    <rPh sb="0" eb="1">
      <t>ザツ</t>
    </rPh>
    <rPh sb="1" eb="3">
      <t>タテモノ</t>
    </rPh>
    <rPh sb="4" eb="6">
      <t>テイガク</t>
    </rPh>
    <rPh sb="8" eb="9">
      <t>ネン</t>
    </rPh>
    <phoneticPr fontId="8"/>
  </si>
  <si>
    <t>雑建物-定額25年</t>
    <rPh sb="0" eb="1">
      <t>ザツ</t>
    </rPh>
    <rPh sb="1" eb="3">
      <t>タテモノ</t>
    </rPh>
    <rPh sb="4" eb="6">
      <t>テイガク</t>
    </rPh>
    <rPh sb="8" eb="9">
      <t>ネン</t>
    </rPh>
    <phoneticPr fontId="8"/>
  </si>
  <si>
    <t>雑建物-定額24年</t>
    <rPh sb="0" eb="1">
      <t>ザツ</t>
    </rPh>
    <rPh sb="1" eb="3">
      <t>タテモノ</t>
    </rPh>
    <rPh sb="4" eb="6">
      <t>テイガク</t>
    </rPh>
    <rPh sb="8" eb="9">
      <t>ネン</t>
    </rPh>
    <phoneticPr fontId="8"/>
  </si>
  <si>
    <t>雑建物-定額22年</t>
    <rPh sb="0" eb="1">
      <t>ザツ</t>
    </rPh>
    <rPh sb="1" eb="3">
      <t>タテモノ</t>
    </rPh>
    <rPh sb="4" eb="6">
      <t>テイガク</t>
    </rPh>
    <rPh sb="8" eb="9">
      <t>ネン</t>
    </rPh>
    <phoneticPr fontId="8"/>
  </si>
  <si>
    <t>雑建物-定額21年</t>
    <rPh sb="0" eb="1">
      <t>ザツ</t>
    </rPh>
    <rPh sb="1" eb="3">
      <t>タテモノ</t>
    </rPh>
    <rPh sb="4" eb="6">
      <t>テイガク</t>
    </rPh>
    <rPh sb="8" eb="9">
      <t>ネン</t>
    </rPh>
    <phoneticPr fontId="8"/>
  </si>
  <si>
    <t>雑建物-定額20年</t>
    <rPh sb="0" eb="1">
      <t>ザツ</t>
    </rPh>
    <rPh sb="1" eb="3">
      <t>タテモノ</t>
    </rPh>
    <rPh sb="4" eb="6">
      <t>テイガク</t>
    </rPh>
    <rPh sb="8" eb="9">
      <t>ネン</t>
    </rPh>
    <phoneticPr fontId="8"/>
  </si>
  <si>
    <t>雑建物-定額19年</t>
    <rPh sb="0" eb="1">
      <t>ザツ</t>
    </rPh>
    <rPh sb="1" eb="3">
      <t>タテモノ</t>
    </rPh>
    <rPh sb="4" eb="6">
      <t>テイガク</t>
    </rPh>
    <rPh sb="8" eb="9">
      <t>ネン</t>
    </rPh>
    <phoneticPr fontId="8"/>
  </si>
  <si>
    <t>雑建物-定額17年</t>
    <rPh sb="0" eb="1">
      <t>ザツ</t>
    </rPh>
    <rPh sb="1" eb="3">
      <t>タテモノ</t>
    </rPh>
    <rPh sb="4" eb="6">
      <t>テイガク</t>
    </rPh>
    <rPh sb="8" eb="9">
      <t>ネン</t>
    </rPh>
    <phoneticPr fontId="8"/>
  </si>
  <si>
    <t>雑建物-定額15年</t>
    <rPh sb="0" eb="1">
      <t>ザツ</t>
    </rPh>
    <rPh sb="1" eb="3">
      <t>タテモノ</t>
    </rPh>
    <rPh sb="4" eb="6">
      <t>テイガク</t>
    </rPh>
    <rPh sb="8" eb="9">
      <t>ネン</t>
    </rPh>
    <phoneticPr fontId="8"/>
  </si>
  <si>
    <t>雑建物-定額14年</t>
    <rPh sb="0" eb="1">
      <t>ザツ</t>
    </rPh>
    <rPh sb="1" eb="3">
      <t>タテモノ</t>
    </rPh>
    <rPh sb="4" eb="6">
      <t>テイガク</t>
    </rPh>
    <rPh sb="8" eb="9">
      <t>ネン</t>
    </rPh>
    <phoneticPr fontId="8"/>
  </si>
  <si>
    <t>雑建物-定額12年</t>
    <rPh sb="0" eb="1">
      <t>ザツ</t>
    </rPh>
    <rPh sb="1" eb="3">
      <t>タテモノ</t>
    </rPh>
    <rPh sb="4" eb="6">
      <t>テイガク</t>
    </rPh>
    <rPh sb="8" eb="9">
      <t>ネン</t>
    </rPh>
    <phoneticPr fontId="8"/>
  </si>
  <si>
    <t>雑建物-定額11年</t>
    <rPh sb="0" eb="1">
      <t>ザツ</t>
    </rPh>
    <rPh sb="1" eb="3">
      <t>タテモノ</t>
    </rPh>
    <rPh sb="4" eb="6">
      <t>テイガク</t>
    </rPh>
    <rPh sb="8" eb="9">
      <t>ネン</t>
    </rPh>
    <phoneticPr fontId="8"/>
  </si>
  <si>
    <t>雑建物-定額10年</t>
    <rPh sb="0" eb="1">
      <t>ザツ</t>
    </rPh>
    <rPh sb="1" eb="3">
      <t>タテモノ</t>
    </rPh>
    <rPh sb="4" eb="6">
      <t>テイガク</t>
    </rPh>
    <rPh sb="8" eb="9">
      <t>ネン</t>
    </rPh>
    <phoneticPr fontId="8"/>
  </si>
  <si>
    <t>雑建物-定額9年</t>
    <rPh sb="0" eb="1">
      <t>ザツ</t>
    </rPh>
    <rPh sb="1" eb="3">
      <t>タテモノ</t>
    </rPh>
    <rPh sb="4" eb="6">
      <t>テイガク</t>
    </rPh>
    <rPh sb="7" eb="8">
      <t>ネン</t>
    </rPh>
    <phoneticPr fontId="8"/>
  </si>
  <si>
    <t>雑建物-定額7年</t>
    <rPh sb="0" eb="1">
      <t>ザツ</t>
    </rPh>
    <rPh sb="1" eb="3">
      <t>タテモノ</t>
    </rPh>
    <rPh sb="4" eb="6">
      <t>テイガク</t>
    </rPh>
    <rPh sb="7" eb="8">
      <t>ネン</t>
    </rPh>
    <phoneticPr fontId="8"/>
  </si>
  <si>
    <t>SRC造・RC造で他(下記の(01)～(27))に該当がないもの</t>
    <rPh sb="3" eb="4">
      <t>ヅクリ</t>
    </rPh>
    <rPh sb="7" eb="8">
      <t>ヅクリ</t>
    </rPh>
    <rPh sb="9" eb="10">
      <t>タ</t>
    </rPh>
    <rPh sb="11" eb="13">
      <t>カキ</t>
    </rPh>
    <rPh sb="25" eb="27">
      <t>ガイトウ</t>
    </rPh>
    <phoneticPr fontId="8"/>
  </si>
  <si>
    <t>れんが石ブロック造のもので他(下記の(04)～(27))に該当がないもの</t>
    <phoneticPr fontId="8"/>
  </si>
  <si>
    <t>れんが石ブロック造のもので発電所用、送受信所用、格納庫用、荷扱所用のもの</t>
    <phoneticPr fontId="8"/>
  </si>
  <si>
    <t>金属造(4mm超)のもので、発電所用、送受信所用、格納庫用、荷扱所用のもの</t>
    <phoneticPr fontId="8"/>
  </si>
  <si>
    <t>金属造(3mm超4mm以下)のもので、発電所用、送受信所用、格納庫用、荷扱所用のもの</t>
    <rPh sb="7" eb="8">
      <t>コ</t>
    </rPh>
    <rPh sb="11" eb="13">
      <t>イカ</t>
    </rPh>
    <phoneticPr fontId="8"/>
  </si>
  <si>
    <t>SRC造・RC造で発電所用、送受信所用、格納庫用、荷扱所用のもの
金属造(4mm超)のもので、他(下記の(06)～(27))他に該当がないもの</t>
    <rPh sb="3" eb="4">
      <t>ヅクリ</t>
    </rPh>
    <rPh sb="7" eb="8">
      <t>ヅクリ</t>
    </rPh>
    <rPh sb="9" eb="11">
      <t>ハツデン</t>
    </rPh>
    <rPh sb="11" eb="12">
      <t>トコロ</t>
    </rPh>
    <rPh sb="12" eb="13">
      <t>ヨウ</t>
    </rPh>
    <rPh sb="14" eb="17">
      <t>ソウジュシン</t>
    </rPh>
    <rPh sb="17" eb="18">
      <t>ショ</t>
    </rPh>
    <rPh sb="18" eb="19">
      <t>ヨウ</t>
    </rPh>
    <rPh sb="20" eb="23">
      <t>カクノウコ</t>
    </rPh>
    <rPh sb="23" eb="24">
      <t>ヨウ</t>
    </rPh>
    <rPh sb="25" eb="27">
      <t>ニアツカイ</t>
    </rPh>
    <rPh sb="27" eb="28">
      <t>トコロ</t>
    </rPh>
    <rPh sb="28" eb="29">
      <t>ヨウ</t>
    </rPh>
    <rPh sb="33" eb="35">
      <t>キンゾク</t>
    </rPh>
    <rPh sb="35" eb="36">
      <t>ゾウ</t>
    </rPh>
    <rPh sb="40" eb="41">
      <t>チョウ</t>
    </rPh>
    <rPh sb="62" eb="63">
      <t>ホカ</t>
    </rPh>
    <rPh sb="64" eb="66">
      <t>ガイトウ</t>
    </rPh>
    <phoneticPr fontId="8"/>
  </si>
  <si>
    <t>金属造(3mm超4mm以下)のもので、他(下記の(10)～(27))に該当がないもの</t>
    <rPh sb="7" eb="8">
      <t>コ</t>
    </rPh>
    <rPh sb="11" eb="13">
      <t>イカ</t>
    </rPh>
    <phoneticPr fontId="8"/>
  </si>
  <si>
    <t>木造又は合成樹脂のもので、他(下記の(16)～(27))に該当がないもの</t>
    <rPh sb="0" eb="2">
      <t>モクゾウ</t>
    </rPh>
    <rPh sb="2" eb="3">
      <t>マタ</t>
    </rPh>
    <rPh sb="4" eb="6">
      <t>ゴウセイ</t>
    </rPh>
    <rPh sb="6" eb="8">
      <t>ジュシ</t>
    </rPh>
    <rPh sb="13" eb="14">
      <t>ホカ</t>
    </rPh>
    <rPh sb="29" eb="31">
      <t>ガイトウ</t>
    </rPh>
    <phoneticPr fontId="8"/>
  </si>
  <si>
    <t>金属造(3mm以下)のもので、他(下記の(17)～(27))に該当がないもの
木骨モルタル造のもので、他下記の(17)～(27))に該当がないもの</t>
    <rPh sb="15" eb="16">
      <t>ホカ</t>
    </rPh>
    <rPh sb="31" eb="33">
      <t>ガイトウ</t>
    </rPh>
    <rPh sb="39" eb="40">
      <t>モク</t>
    </rPh>
    <rPh sb="40" eb="41">
      <t>ホネ</t>
    </rPh>
    <rPh sb="45" eb="46">
      <t>ヅクリ</t>
    </rPh>
    <rPh sb="51" eb="52">
      <t>タ</t>
    </rPh>
    <rPh sb="66" eb="68">
      <t>ガイトウ</t>
    </rPh>
    <phoneticPr fontId="8"/>
  </si>
  <si>
    <t>金属造(3mm以下)のもので、発電所用、送受信所用、格納庫用、荷扱所用のもの</t>
    <phoneticPr fontId="8"/>
  </si>
  <si>
    <t>木造又は合成樹脂造のもので、発電所用、送受信所用、格納庫用、荷扱所用のもの</t>
    <rPh sb="0" eb="2">
      <t>モクゾウ</t>
    </rPh>
    <rPh sb="2" eb="3">
      <t>マタ</t>
    </rPh>
    <rPh sb="4" eb="6">
      <t>ゴウセイ</t>
    </rPh>
    <rPh sb="6" eb="8">
      <t>ジュシ</t>
    </rPh>
    <rPh sb="8" eb="9">
      <t>ゾウ</t>
    </rPh>
    <phoneticPr fontId="8"/>
  </si>
  <si>
    <t>木骨モルタル造のもので、発電所用、送受信所用、格納庫用、荷扱所用のもの</t>
    <rPh sb="0" eb="1">
      <t>モク</t>
    </rPh>
    <rPh sb="1" eb="2">
      <t>ホネ</t>
    </rPh>
    <rPh sb="6" eb="7">
      <t>ツク</t>
    </rPh>
    <phoneticPr fontId="8"/>
  </si>
  <si>
    <t>木製主要柱が10cm角以下のもので、土居ぶき、ルーフィングぶき又はトタンぶきのもので、他の科目に属さないもの</t>
    <rPh sb="0" eb="2">
      <t>モクセイ</t>
    </rPh>
    <rPh sb="2" eb="4">
      <t>シュヨウ</t>
    </rPh>
    <rPh sb="4" eb="5">
      <t>ハシラ</t>
    </rPh>
    <rPh sb="10" eb="11">
      <t>カク</t>
    </rPh>
    <rPh sb="11" eb="13">
      <t>イカ</t>
    </rPh>
    <rPh sb="18" eb="20">
      <t>ドイ</t>
    </rPh>
    <rPh sb="31" eb="32">
      <t>マタ</t>
    </rPh>
    <rPh sb="43" eb="44">
      <t>タ</t>
    </rPh>
    <rPh sb="45" eb="47">
      <t>カモク</t>
    </rPh>
    <rPh sb="48" eb="49">
      <t>ゾク</t>
    </rPh>
    <phoneticPr fontId="8"/>
  </si>
  <si>
    <t>堀立造のもの及び仮設のもので、他の科目に属さないもの</t>
    <rPh sb="0" eb="1">
      <t>ホリ</t>
    </rPh>
    <rPh sb="1" eb="2">
      <t>タ</t>
    </rPh>
    <rPh sb="2" eb="3">
      <t>ヅクリ</t>
    </rPh>
    <rPh sb="6" eb="7">
      <t>オヨ</t>
    </rPh>
    <rPh sb="8" eb="10">
      <t>カセツ</t>
    </rPh>
    <rPh sb="15" eb="16">
      <t>ホカ</t>
    </rPh>
    <rPh sb="17" eb="19">
      <t>カモク</t>
    </rPh>
    <rPh sb="20" eb="21">
      <t>ゾク</t>
    </rPh>
    <phoneticPr fontId="8"/>
  </si>
  <si>
    <t>０５建物　直接工事費(仮設・撤去・費用を除く)</t>
    <rPh sb="2" eb="4">
      <t>タテモノ</t>
    </rPh>
    <rPh sb="5" eb="7">
      <t>チョクセツ</t>
    </rPh>
    <rPh sb="7" eb="10">
      <t>コウジヒ</t>
    </rPh>
    <rPh sb="11" eb="13">
      <t>カセツ</t>
    </rPh>
    <rPh sb="14" eb="16">
      <t>テッキョ</t>
    </rPh>
    <rPh sb="17" eb="19">
      <t>ヒヨウ</t>
    </rPh>
    <rPh sb="20" eb="21">
      <t>ノゾ</t>
    </rPh>
    <phoneticPr fontId="8"/>
  </si>
  <si>
    <t>()内は雑建物の場合</t>
    <rPh sb="2" eb="3">
      <t>ナイ</t>
    </rPh>
    <rPh sb="4" eb="5">
      <t>ザツ</t>
    </rPh>
    <rPh sb="5" eb="7">
      <t>タテモノ</t>
    </rPh>
    <rPh sb="8" eb="10">
      <t>バアイ</t>
    </rPh>
    <phoneticPr fontId="8"/>
  </si>
  <si>
    <t>24(42)-1</t>
    <phoneticPr fontId="8"/>
  </si>
  <si>
    <t>24(42)-2</t>
    <phoneticPr fontId="8"/>
  </si>
  <si>
    <t>24(42)-3</t>
    <phoneticPr fontId="8"/>
  </si>
  <si>
    <t>25(43)-1</t>
    <phoneticPr fontId="8"/>
  </si>
  <si>
    <t>25(43)-2</t>
    <phoneticPr fontId="8"/>
  </si>
  <si>
    <t>999雑構築物</t>
    <phoneticPr fontId="8"/>
  </si>
  <si>
    <t>器具・備品-電照サイン-金属製</t>
    <rPh sb="0" eb="2">
      <t>キグ</t>
    </rPh>
    <rPh sb="3" eb="5">
      <t>ビヒン</t>
    </rPh>
    <rPh sb="6" eb="8">
      <t>デンショウ</t>
    </rPh>
    <rPh sb="12" eb="15">
      <t>キンゾクセイ</t>
    </rPh>
    <phoneticPr fontId="8"/>
  </si>
  <si>
    <t>器具・備品-電照サイン-その他</t>
    <rPh sb="0" eb="2">
      <t>キグ</t>
    </rPh>
    <rPh sb="3" eb="5">
      <t>ビヒン</t>
    </rPh>
    <rPh sb="6" eb="8">
      <t>デンショウ</t>
    </rPh>
    <rPh sb="14" eb="15">
      <t>タ</t>
    </rPh>
    <phoneticPr fontId="8"/>
  </si>
  <si>
    <t>看板・広告機器</t>
    <rPh sb="0" eb="2">
      <t>カンバン</t>
    </rPh>
    <rPh sb="3" eb="5">
      <t>コウコク</t>
    </rPh>
    <rPh sb="5" eb="7">
      <t>キキ</t>
    </rPh>
    <phoneticPr fontId="8"/>
  </si>
  <si>
    <t>2021/**/**</t>
    <phoneticPr fontId="8"/>
  </si>
  <si>
    <t>諸経費表(専業工事用)</t>
    <phoneticPr fontId="8"/>
  </si>
  <si>
    <t>随契差引諸経費表</t>
    <phoneticPr fontId="8"/>
  </si>
  <si>
    <t>cells(32,8)</t>
    <phoneticPr fontId="8"/>
  </si>
  <si>
    <t>cells(33,8)</t>
    <phoneticPr fontId="8"/>
  </si>
  <si>
    <t>〇〇工事</t>
    <rPh sb="2" eb="4">
      <t>コウジ</t>
    </rPh>
    <phoneticPr fontId="8"/>
  </si>
  <si>
    <t>C:\積算\</t>
    <phoneticPr fontId="8"/>
  </si>
  <si>
    <t>諸経費表2020.xlsx</t>
    <phoneticPr fontId="8"/>
  </si>
  <si>
    <t>P-1</t>
  </si>
  <si>
    <t>共通費集計表</t>
  </si>
  <si>
    <t>工期（Ｔ）か月--&gt;</t>
    <rPh sb="0" eb="2">
      <t>コウキ</t>
    </rPh>
    <rPh sb="6" eb="7">
      <t>ゲツ</t>
    </rPh>
    <phoneticPr fontId="8"/>
  </si>
  <si>
    <t>小数点以下1桁---&gt;</t>
    <rPh sb="0" eb="3">
      <t>ショウスウテン</t>
    </rPh>
    <rPh sb="3" eb="5">
      <t>イカ</t>
    </rPh>
    <rPh sb="6" eb="7">
      <t>ケタ</t>
    </rPh>
    <phoneticPr fontId="8"/>
  </si>
  <si>
    <t>諸経費率--&gt;</t>
    <rPh sb="0" eb="3">
      <t>ショケイヒ</t>
    </rPh>
    <rPh sb="3" eb="4">
      <t>リツ</t>
    </rPh>
    <phoneticPr fontId="8"/>
  </si>
  <si>
    <t>改修・新営を選択--&gt;</t>
    <phoneticPr fontId="8"/>
  </si>
  <si>
    <t>改修</t>
  </si>
  <si>
    <t>前　払 い 有り・無し--&gt;</t>
    <phoneticPr fontId="8"/>
  </si>
  <si>
    <t>有り</t>
  </si>
  <si>
    <t>リンクする工事シート番号→</t>
    <rPh sb="5" eb="7">
      <t>コウジ</t>
    </rPh>
    <rPh sb="10" eb="12">
      <t>バンゴウ</t>
    </rPh>
    <phoneticPr fontId="8"/>
  </si>
  <si>
    <t>契約保証費 有り・無し--&gt;</t>
  </si>
  <si>
    <t>無し</t>
  </si>
  <si>
    <t>&lt;工期は2ヶ月以内&gt;</t>
    <rPh sb="1" eb="3">
      <t>コウキ</t>
    </rPh>
    <rPh sb="6" eb="7">
      <t>ゲツ</t>
    </rPh>
    <rPh sb="7" eb="9">
      <t>イナイ</t>
    </rPh>
    <phoneticPr fontId="8"/>
  </si>
  <si>
    <t>共通仮設費　算出方法--&gt;</t>
    <rPh sb="0" eb="2">
      <t>キョウツウ</t>
    </rPh>
    <rPh sb="2" eb="4">
      <t>カセツ</t>
    </rPh>
    <rPh sb="4" eb="5">
      <t>ヒ</t>
    </rPh>
    <rPh sb="6" eb="8">
      <t>サンシュツ</t>
    </rPh>
    <rPh sb="8" eb="10">
      <t>ホウホウ</t>
    </rPh>
    <phoneticPr fontId="8"/>
  </si>
  <si>
    <t>積上げ・率処理併用</t>
  </si>
  <si>
    <t>建物種別補正（"駅施設"又は"地上建物"を選択）--&gt;
※駅施設工事の場合は仮設建物費・動力用水光熱費分を補正</t>
    <rPh sb="0" eb="2">
      <t>タテモノ</t>
    </rPh>
    <rPh sb="2" eb="4">
      <t>シュベツ</t>
    </rPh>
    <rPh sb="3" eb="4">
      <t>コウシュ</t>
    </rPh>
    <rPh sb="4" eb="6">
      <t>ホセイ</t>
    </rPh>
    <rPh sb="8" eb="9">
      <t>エキ</t>
    </rPh>
    <rPh sb="9" eb="11">
      <t>シセツ</t>
    </rPh>
    <rPh sb="12" eb="13">
      <t>マタ</t>
    </rPh>
    <rPh sb="15" eb="17">
      <t>チジョウ</t>
    </rPh>
    <rPh sb="17" eb="19">
      <t>タテモノ</t>
    </rPh>
    <rPh sb="21" eb="23">
      <t>センタク</t>
    </rPh>
    <rPh sb="29" eb="30">
      <t>エキ</t>
    </rPh>
    <rPh sb="30" eb="32">
      <t>シセツ</t>
    </rPh>
    <rPh sb="32" eb="34">
      <t>コウジ</t>
    </rPh>
    <rPh sb="35" eb="37">
      <t>バアイ</t>
    </rPh>
    <rPh sb="38" eb="40">
      <t>カセツ</t>
    </rPh>
    <rPh sb="40" eb="42">
      <t>タテモノ</t>
    </rPh>
    <rPh sb="42" eb="43">
      <t>ヒ</t>
    </rPh>
    <rPh sb="44" eb="46">
      <t>ドウリョク</t>
    </rPh>
    <rPh sb="46" eb="48">
      <t>ヨウスイ</t>
    </rPh>
    <rPh sb="48" eb="51">
      <t>コウネツヒ</t>
    </rPh>
    <rPh sb="51" eb="52">
      <t>ブン</t>
    </rPh>
    <rPh sb="53" eb="55">
      <t>ホセイ</t>
    </rPh>
    <phoneticPr fontId="8"/>
  </si>
  <si>
    <t>駅施設</t>
  </si>
  <si>
    <t>監督員事務所の有無--&gt;
駅施設の場合は"無し"地上建物で監督員事務所を設ける場合は"有り"</t>
    <rPh sb="0" eb="3">
      <t>カントクイン</t>
    </rPh>
    <rPh sb="3" eb="5">
      <t>ジム</t>
    </rPh>
    <rPh sb="5" eb="6">
      <t>ショ</t>
    </rPh>
    <rPh sb="7" eb="9">
      <t>ウム</t>
    </rPh>
    <rPh sb="13" eb="14">
      <t>エキ</t>
    </rPh>
    <rPh sb="14" eb="16">
      <t>シセツ</t>
    </rPh>
    <rPh sb="17" eb="19">
      <t>バアイ</t>
    </rPh>
    <rPh sb="21" eb="22">
      <t>ナ</t>
    </rPh>
    <rPh sb="24" eb="26">
      <t>チジョウ</t>
    </rPh>
    <rPh sb="26" eb="28">
      <t>タテモノ</t>
    </rPh>
    <rPh sb="29" eb="32">
      <t>カントクイン</t>
    </rPh>
    <rPh sb="32" eb="34">
      <t>ジム</t>
    </rPh>
    <rPh sb="34" eb="35">
      <t>ショ</t>
    </rPh>
    <rPh sb="36" eb="37">
      <t>モウ</t>
    </rPh>
    <rPh sb="39" eb="41">
      <t>バアイ</t>
    </rPh>
    <rPh sb="43" eb="44">
      <t>アリ</t>
    </rPh>
    <phoneticPr fontId="8"/>
  </si>
  <si>
    <t>　純　　工　　事　　費　　　　合　　計</t>
    <phoneticPr fontId="8"/>
  </si>
  <si>
    <t>(直接工事費 直接仮設・別途算定を含む)</t>
    <rPh sb="12" eb="14">
      <t>ベット</t>
    </rPh>
    <rPh sb="14" eb="16">
      <t>サンテイ</t>
    </rPh>
    <phoneticPr fontId="8"/>
  </si>
  <si>
    <t>現場管理費より控除する専門・除外の工事費---&gt;</t>
    <phoneticPr fontId="8"/>
  </si>
  <si>
    <t>一般管理費等より控除する専門・除外の工事費---&gt;</t>
  </si>
  <si>
    <t>別途算定の現場管理費にかかる工事費--&gt;</t>
    <rPh sb="0" eb="2">
      <t>ベット</t>
    </rPh>
    <rPh sb="2" eb="4">
      <t>サンテイ</t>
    </rPh>
    <phoneticPr fontId="8"/>
  </si>
  <si>
    <t>(共通仮設費) 総計</t>
    <rPh sb="8" eb="10">
      <t>ソウケイ</t>
    </rPh>
    <phoneticPr fontId="8"/>
  </si>
  <si>
    <t>内、率算出による総額</t>
    <rPh sb="8" eb="9">
      <t>ソウ</t>
    </rPh>
    <phoneticPr fontId="8"/>
  </si>
  <si>
    <t>内、積上げによる総額</t>
    <rPh sb="0" eb="1">
      <t>ウチ</t>
    </rPh>
    <rPh sb="2" eb="3">
      <t>ツ</t>
    </rPh>
    <rPh sb="3" eb="4">
      <t>ア</t>
    </rPh>
    <rPh sb="8" eb="9">
      <t>ソウ</t>
    </rPh>
    <rPh sb="9" eb="10">
      <t>ガク</t>
    </rPh>
    <phoneticPr fontId="8"/>
  </si>
  <si>
    <t>積</t>
    <rPh sb="0" eb="1">
      <t>セキ</t>
    </rPh>
    <phoneticPr fontId="8"/>
  </si>
  <si>
    <t>　　　　内ﾘｰｽ料、借地借家料</t>
    <rPh sb="4" eb="5">
      <t>ウチ</t>
    </rPh>
    <rPh sb="8" eb="9">
      <t>リョウ</t>
    </rPh>
    <rPh sb="10" eb="12">
      <t>シャクチ</t>
    </rPh>
    <rPh sb="12" eb="14">
      <t>シャクヤ</t>
    </rPh>
    <rPh sb="14" eb="15">
      <t>リョウ</t>
    </rPh>
    <phoneticPr fontId="8"/>
  </si>
  <si>
    <t>内、別途算定による共仮費</t>
    <rPh sb="0" eb="1">
      <t>ウチ</t>
    </rPh>
    <rPh sb="2" eb="4">
      <t>ベット</t>
    </rPh>
    <rPh sb="4" eb="6">
      <t>サンテイ</t>
    </rPh>
    <rPh sb="9" eb="10">
      <t>トモ</t>
    </rPh>
    <rPh sb="10" eb="11">
      <t>カリ</t>
    </rPh>
    <rPh sb="11" eb="12">
      <t>ヒ</t>
    </rPh>
    <phoneticPr fontId="8"/>
  </si>
  <si>
    <t>　現場管理費・一般管理費等　　合　　計</t>
    <rPh sb="1" eb="3">
      <t>ゲンバ</t>
    </rPh>
    <rPh sb="3" eb="5">
      <t>カンリ</t>
    </rPh>
    <rPh sb="5" eb="6">
      <t>ヒ</t>
    </rPh>
    <rPh sb="7" eb="9">
      <t>イッパン</t>
    </rPh>
    <rPh sb="9" eb="11">
      <t>カンリ</t>
    </rPh>
    <rPh sb="11" eb="12">
      <t>ヒ</t>
    </rPh>
    <rPh sb="12" eb="13">
      <t>トウ</t>
    </rPh>
    <phoneticPr fontId="8"/>
  </si>
  <si>
    <t>(現 場 管 理 費)</t>
  </si>
  <si>
    <t>　　内、建築工事によるもの</t>
    <rPh sb="2" eb="3">
      <t>ウチ</t>
    </rPh>
    <rPh sb="4" eb="6">
      <t>ケンチク</t>
    </rPh>
    <rPh sb="6" eb="8">
      <t>コウジ</t>
    </rPh>
    <phoneticPr fontId="8"/>
  </si>
  <si>
    <t>[内率算出による標準額]</t>
  </si>
  <si>
    <t>[内固定率・除外（設備含む）の額]</t>
    <rPh sb="9" eb="11">
      <t>セツビ</t>
    </rPh>
    <rPh sb="11" eb="12">
      <t>フク</t>
    </rPh>
    <phoneticPr fontId="8"/>
  </si>
  <si>
    <t>内、別途算定によるもの</t>
    <rPh sb="0" eb="1">
      <t>ウチ</t>
    </rPh>
    <rPh sb="2" eb="4">
      <t>ベット</t>
    </rPh>
    <rPh sb="4" eb="6">
      <t>サンテイ</t>
    </rPh>
    <phoneticPr fontId="8"/>
  </si>
  <si>
    <t>(一 般 管 理 費 等)</t>
  </si>
  <si>
    <t>[内保証費等による補正額]</t>
  </si>
  <si>
    <t>[内固定率・除外の額]</t>
  </si>
  <si>
    <t>内、別途算定によるもの（補正額含む）</t>
    <rPh sb="0" eb="1">
      <t>ウチ</t>
    </rPh>
    <rPh sb="2" eb="4">
      <t>ベット</t>
    </rPh>
    <rPh sb="4" eb="6">
      <t>サンテイ</t>
    </rPh>
    <rPh sb="12" eb="14">
      <t>ホセイ</t>
    </rPh>
    <rPh sb="14" eb="15">
      <t>ガク</t>
    </rPh>
    <rPh sb="15" eb="16">
      <t>フク</t>
    </rPh>
    <phoneticPr fontId="8"/>
  </si>
  <si>
    <t>　工 　事 　価 　格</t>
    <phoneticPr fontId="8"/>
  </si>
  <si>
    <t>共 通 費 算 定 用 入 力 欄</t>
    <rPh sb="0" eb="1">
      <t>トモ</t>
    </rPh>
    <rPh sb="2" eb="3">
      <t>ツウ</t>
    </rPh>
    <phoneticPr fontId="8"/>
  </si>
  <si>
    <t>合 計</t>
  </si>
  <si>
    <t>一般・その他等  直接工事費</t>
    <rPh sb="9" eb="11">
      <t>チョクセツ</t>
    </rPh>
    <rPh sb="11" eb="13">
      <t>コウジ</t>
    </rPh>
    <rPh sb="13" eb="14">
      <t>ヒ</t>
    </rPh>
    <phoneticPr fontId="8"/>
  </si>
  <si>
    <t>(1)新築一般建築工事</t>
  </si>
  <si>
    <t>(2)改修一般建築工事</t>
  </si>
  <si>
    <t>(3)新築主体工事の鉄骨工事(機械費含む)</t>
    <phoneticPr fontId="8"/>
  </si>
  <si>
    <t>そ　の　他　工　事</t>
    <rPh sb="4" eb="5">
      <t>タ</t>
    </rPh>
    <rPh sb="6" eb="9">
      <t>コウジ</t>
    </rPh>
    <phoneticPr fontId="8"/>
  </si>
  <si>
    <t>(5)造園工事、舗装工事(排水除く)</t>
    <phoneticPr fontId="8"/>
  </si>
  <si>
    <t>　家具・流し・実験台</t>
    <phoneticPr fontId="8"/>
  </si>
  <si>
    <t>　黒板・書架・ｶｳﾝﾀｰ・ﾛｰﾊﾟｰﾃｨｯｼｮﾝ等</t>
  </si>
  <si>
    <t>プ</t>
    <phoneticPr fontId="8"/>
  </si>
  <si>
    <t>(9)</t>
    <phoneticPr fontId="8"/>
  </si>
  <si>
    <t>(10)</t>
    <phoneticPr fontId="8"/>
  </si>
  <si>
    <t>除　外</t>
    <rPh sb="0" eb="1">
      <t>ジョ</t>
    </rPh>
    <rPh sb="2" eb="3">
      <t>ガイ</t>
    </rPh>
    <phoneticPr fontId="8"/>
  </si>
  <si>
    <t>(12)残材処分費及び残土処分費(共通仮設)</t>
    <rPh sb="17" eb="19">
      <t>キョウツウ</t>
    </rPh>
    <rPh sb="19" eb="21">
      <t>カセツ</t>
    </rPh>
    <phoneticPr fontId="8"/>
  </si>
  <si>
    <t>(14)リース料,借地借家料（共通仮設）</t>
    <rPh sb="15" eb="17">
      <t>キョウツウ</t>
    </rPh>
    <rPh sb="17" eb="19">
      <t>カセツ</t>
    </rPh>
    <phoneticPr fontId="8"/>
  </si>
  <si>
    <t>(15)別途算定（直工費）</t>
    <rPh sb="4" eb="6">
      <t>ベット</t>
    </rPh>
    <rPh sb="6" eb="8">
      <t>サンテイ</t>
    </rPh>
    <rPh sb="9" eb="10">
      <t>チョク</t>
    </rPh>
    <rPh sb="10" eb="11">
      <t>コウ</t>
    </rPh>
    <rPh sb="11" eb="12">
      <t>ヒ</t>
    </rPh>
    <phoneticPr fontId="8"/>
  </si>
  <si>
    <t>(16）別途算定（共通仮設）</t>
    <rPh sb="4" eb="6">
      <t>ベット</t>
    </rPh>
    <rPh sb="6" eb="8">
      <t>サンテイ</t>
    </rPh>
    <rPh sb="9" eb="11">
      <t>キョウツウ</t>
    </rPh>
    <rPh sb="11" eb="13">
      <t>カセツ</t>
    </rPh>
    <phoneticPr fontId="8"/>
  </si>
  <si>
    <t>共 通 費 算 定 表 (0)</t>
    <rPh sb="0" eb="1">
      <t>トモ</t>
    </rPh>
    <rPh sb="2" eb="3">
      <t>ツウ</t>
    </rPh>
    <phoneticPr fontId="8"/>
  </si>
  <si>
    <t>※(0）及び(1)並びに(2) ---&gt; 新築・改修工事が一括発注の場合は、合計額に対する各々の率</t>
    <rPh sb="4" eb="5">
      <t>オヨ</t>
    </rPh>
    <rPh sb="9" eb="10">
      <t>ナラ</t>
    </rPh>
    <phoneticPr fontId="8"/>
  </si>
  <si>
    <t>補正率</t>
  </si>
  <si>
    <t>当該率</t>
    <phoneticPr fontId="8"/>
  </si>
  <si>
    <t>共通仮設費対象直接工事費</t>
    <rPh sb="0" eb="2">
      <t>キョウツウ</t>
    </rPh>
    <rPh sb="2" eb="4">
      <t>カセツ</t>
    </rPh>
    <rPh sb="4" eb="5">
      <t>ヒ</t>
    </rPh>
    <rPh sb="7" eb="9">
      <t>チョクセツ</t>
    </rPh>
    <phoneticPr fontId="8"/>
  </si>
  <si>
    <t>-</t>
    <phoneticPr fontId="8"/>
  </si>
  <si>
    <t>(4)改修主体工事の鉄骨工事(機械費含む)</t>
  </si>
  <si>
    <t>(6)とりこわし工事</t>
    <phoneticPr fontId="8"/>
  </si>
  <si>
    <t>除外</t>
  </si>
  <si>
    <t>（12）～(17) （但し(14)は率算出対象）</t>
    <rPh sb="11" eb="12">
      <t>タダ</t>
    </rPh>
    <rPh sb="18" eb="19">
      <t>リツ</t>
    </rPh>
    <rPh sb="19" eb="21">
      <t>サンシュツ</t>
    </rPh>
    <rPh sb="21" eb="23">
      <t>タイショウ</t>
    </rPh>
    <phoneticPr fontId="8"/>
  </si>
  <si>
    <t>共通仮設費 [内率算出による標準額]</t>
    <rPh sb="0" eb="2">
      <t>キョウツウ</t>
    </rPh>
    <rPh sb="2" eb="4">
      <t>カセツ</t>
    </rPh>
    <rPh sb="4" eb="5">
      <t>ヒ</t>
    </rPh>
    <rPh sb="7" eb="8">
      <t>ウチ</t>
    </rPh>
    <rPh sb="8" eb="9">
      <t>リツ</t>
    </rPh>
    <rPh sb="9" eb="11">
      <t>サンシュツ</t>
    </rPh>
    <rPh sb="14" eb="16">
      <t>ヒョウジュン</t>
    </rPh>
    <rPh sb="16" eb="17">
      <t>ガク</t>
    </rPh>
    <phoneticPr fontId="8"/>
  </si>
  <si>
    <t>当該率---&gt;</t>
    <phoneticPr fontId="8"/>
  </si>
  <si>
    <t>(3)新築主体工事の鉄骨工事</t>
  </si>
  <si>
    <t>(4)改修主体工事の鉄骨工事</t>
  </si>
  <si>
    <t>(6)とりこわし工事</t>
  </si>
  <si>
    <t>　家具・流し・実験台</t>
  </si>
  <si>
    <t>(9)</t>
  </si>
  <si>
    <t>（12）～(17)</t>
  </si>
  <si>
    <t>共通仮設費 [内率算出による標準額]</t>
    <rPh sb="0" eb="2">
      <t>キョウツウ</t>
    </rPh>
    <rPh sb="2" eb="4">
      <t>カセツ</t>
    </rPh>
    <rPh sb="4" eb="5">
      <t>ヒ</t>
    </rPh>
    <phoneticPr fontId="8"/>
  </si>
  <si>
    <t>共 通 費 算 定 表 (1)</t>
    <rPh sb="0" eb="1">
      <t>トモ</t>
    </rPh>
    <rPh sb="2" eb="3">
      <t>ツウ</t>
    </rPh>
    <phoneticPr fontId="8"/>
  </si>
  <si>
    <t>※(1)及び(2) ---&gt; 新築・改修工事が一括発注の場合は、合計額に対する各々の率</t>
    <phoneticPr fontId="8"/>
  </si>
  <si>
    <t>現場管理費対象純工事費</t>
  </si>
  <si>
    <t>対象純工事費（（12）(15）(16））除く</t>
    <rPh sb="20" eb="21">
      <t>ノゾ</t>
    </rPh>
    <phoneticPr fontId="8"/>
  </si>
  <si>
    <t>(12)～（17）</t>
    <phoneticPr fontId="8"/>
  </si>
  <si>
    <t>現場管理費</t>
    <phoneticPr fontId="8"/>
  </si>
  <si>
    <t>(11)近隣家屋調査及び地質調査</t>
    <phoneticPr fontId="8"/>
  </si>
  <si>
    <t>別途算定</t>
    <rPh sb="0" eb="2">
      <t>ベット</t>
    </rPh>
    <rPh sb="2" eb="4">
      <t>サンテイ</t>
    </rPh>
    <phoneticPr fontId="8"/>
  </si>
  <si>
    <t>（18）別途算定　現場管理費</t>
    <rPh sb="4" eb="6">
      <t>ベット</t>
    </rPh>
    <rPh sb="6" eb="8">
      <t>サンテイ</t>
    </rPh>
    <rPh sb="9" eb="11">
      <t>ゲンバ</t>
    </rPh>
    <rPh sb="11" eb="14">
      <t>カンリヒ</t>
    </rPh>
    <phoneticPr fontId="8"/>
  </si>
  <si>
    <t>　※各別途工事により算定</t>
    <rPh sb="2" eb="3">
      <t>カク</t>
    </rPh>
    <rPh sb="3" eb="5">
      <t>ベット</t>
    </rPh>
    <rPh sb="5" eb="7">
      <t>コウジ</t>
    </rPh>
    <rPh sb="10" eb="12">
      <t>サンテイ</t>
    </rPh>
    <phoneticPr fontId="8"/>
  </si>
  <si>
    <t>現場管理費 合 計</t>
  </si>
  <si>
    <t>工事原価</t>
  </si>
  <si>
    <t>共 通 費 算 定 表 (2)</t>
    <rPh sb="0" eb="1">
      <t>トモ</t>
    </rPh>
    <rPh sb="2" eb="3">
      <t>ツウ</t>
    </rPh>
    <phoneticPr fontId="8"/>
  </si>
  <si>
    <t>当該率</t>
  </si>
  <si>
    <t>建築工事原価</t>
  </si>
  <si>
    <t>土木工事原価（一括発注時）</t>
    <rPh sb="0" eb="2">
      <t>ドボク</t>
    </rPh>
    <rPh sb="2" eb="4">
      <t>コウジ</t>
    </rPh>
    <rPh sb="4" eb="6">
      <t>ゲンカ</t>
    </rPh>
    <rPh sb="7" eb="9">
      <t>イッカツ</t>
    </rPh>
    <rPh sb="9" eb="11">
      <t>ハッチュウ</t>
    </rPh>
    <rPh sb="11" eb="12">
      <t>ジ</t>
    </rPh>
    <phoneticPr fontId="8"/>
  </si>
  <si>
    <t>対象工事原価（下水道使用料・各種負担金を除く）</t>
    <rPh sb="14" eb="16">
      <t>カクシュ</t>
    </rPh>
    <rPh sb="16" eb="19">
      <t>フタンキン</t>
    </rPh>
    <phoneticPr fontId="8"/>
  </si>
  <si>
    <t>&lt;--前　払　い 有り・無し</t>
  </si>
  <si>
    <t>一般管理費等対象工事原価</t>
  </si>
  <si>
    <t>&lt;--契約保証費 有り・無し</t>
  </si>
  <si>
    <t>標準</t>
  </si>
  <si>
    <t>(1)建築工事～(14)借地借家料</t>
    <phoneticPr fontId="8"/>
  </si>
  <si>
    <t>補正</t>
    <rPh sb="1" eb="2">
      <t>セイ</t>
    </rPh>
    <phoneticPr fontId="8"/>
  </si>
  <si>
    <t>前　払　い無し時の補正</t>
  </si>
  <si>
    <t>契約保証費有り時の補正</t>
  </si>
  <si>
    <t>除外</t>
    <rPh sb="1" eb="2">
      <t>ガイ</t>
    </rPh>
    <phoneticPr fontId="8"/>
  </si>
  <si>
    <t>一般管理費等</t>
  </si>
  <si>
    <t>別途算定　一般管理費等</t>
    <rPh sb="0" eb="2">
      <t>ベット</t>
    </rPh>
    <rPh sb="2" eb="4">
      <t>サンテイ</t>
    </rPh>
    <rPh sb="5" eb="7">
      <t>イッパン</t>
    </rPh>
    <rPh sb="7" eb="10">
      <t>カンリヒ</t>
    </rPh>
    <rPh sb="10" eb="11">
      <t>トウ</t>
    </rPh>
    <phoneticPr fontId="8"/>
  </si>
  <si>
    <t>　※土木工事により算定(補正額含む）</t>
    <rPh sb="2" eb="4">
      <t>ドボク</t>
    </rPh>
    <rPh sb="4" eb="6">
      <t>コウジ</t>
    </rPh>
    <rPh sb="9" eb="11">
      <t>サンテイ</t>
    </rPh>
    <rPh sb="12" eb="14">
      <t>ホセイ</t>
    </rPh>
    <rPh sb="14" eb="15">
      <t>ガク</t>
    </rPh>
    <rPh sb="15" eb="16">
      <t>フク</t>
    </rPh>
    <phoneticPr fontId="8"/>
  </si>
  <si>
    <t>一般管理費等 合 計</t>
  </si>
  <si>
    <t>工事価格</t>
  </si>
  <si>
    <t>調整 一般管理費等</t>
  </si>
  <si>
    <t>ﾏｲﾅｽ表示はERR-&gt;</t>
  </si>
  <si>
    <t>工事価格    改  計</t>
  </si>
  <si>
    <t>共通仮設費率  算定欄</t>
    <rPh sb="0" eb="2">
      <t>キョウツウ</t>
    </rPh>
    <rPh sb="2" eb="4">
      <t>カセツ</t>
    </rPh>
    <rPh sb="4" eb="5">
      <t>ヒ</t>
    </rPh>
    <rPh sb="5" eb="6">
      <t>リツ</t>
    </rPh>
    <rPh sb="8" eb="10">
      <t>サンテイ</t>
    </rPh>
    <rPh sb="10" eb="11">
      <t>ラン</t>
    </rPh>
    <phoneticPr fontId="8"/>
  </si>
  <si>
    <t>Ｔ（か月）</t>
    <rPh sb="3" eb="4">
      <t>ツキ</t>
    </rPh>
    <phoneticPr fontId="8"/>
  </si>
  <si>
    <t>新営建築工事</t>
    <rPh sb="0" eb="2">
      <t>シンエイ</t>
    </rPh>
    <rPh sb="2" eb="4">
      <t>ケンチク</t>
    </rPh>
    <rPh sb="4" eb="6">
      <t>コウジ</t>
    </rPh>
    <phoneticPr fontId="8"/>
  </si>
  <si>
    <t>共通仮設費率 算定式により算定される率</t>
    <rPh sb="0" eb="2">
      <t>キョウツウ</t>
    </rPh>
    <rPh sb="2" eb="4">
      <t>カセツ</t>
    </rPh>
    <rPh sb="5" eb="6">
      <t>リツ</t>
    </rPh>
    <rPh sb="7" eb="9">
      <t>サンテイ</t>
    </rPh>
    <rPh sb="9" eb="10">
      <t>シキ</t>
    </rPh>
    <rPh sb="13" eb="15">
      <t>サンテイ</t>
    </rPh>
    <rPh sb="18" eb="19">
      <t>リツ</t>
    </rPh>
    <phoneticPr fontId="8"/>
  </si>
  <si>
    <t>Ｋｒ</t>
    <phoneticPr fontId="8"/>
  </si>
  <si>
    <t>直接工事費が１千万円以下</t>
    <rPh sb="0" eb="2">
      <t>チョクセツ</t>
    </rPh>
    <rPh sb="2" eb="4">
      <t>コウジ</t>
    </rPh>
    <rPh sb="4" eb="5">
      <t>ヒ</t>
    </rPh>
    <rPh sb="7" eb="8">
      <t>セン</t>
    </rPh>
    <rPh sb="9" eb="10">
      <t>エン</t>
    </rPh>
    <rPh sb="10" eb="12">
      <t>イカ</t>
    </rPh>
    <phoneticPr fontId="8"/>
  </si>
  <si>
    <t>上限</t>
    <rPh sb="0" eb="2">
      <t>ジョウゲン</t>
    </rPh>
    <phoneticPr fontId="8"/>
  </si>
  <si>
    <t>下限</t>
    <rPh sb="0" eb="1">
      <t>シタ</t>
    </rPh>
    <rPh sb="1" eb="2">
      <t>カギ</t>
    </rPh>
    <phoneticPr fontId="8"/>
  </si>
  <si>
    <t>直接工事費が１千万円超える</t>
    <rPh sb="0" eb="2">
      <t>チョクセツ</t>
    </rPh>
    <rPh sb="2" eb="4">
      <t>コウジ</t>
    </rPh>
    <rPh sb="4" eb="5">
      <t>ヒ</t>
    </rPh>
    <rPh sb="7" eb="8">
      <t>セン</t>
    </rPh>
    <rPh sb="9" eb="10">
      <t>エン</t>
    </rPh>
    <rPh sb="10" eb="11">
      <t>コ</t>
    </rPh>
    <phoneticPr fontId="8"/>
  </si>
  <si>
    <t>今回工事の共通仮設費率</t>
    <rPh sb="0" eb="2">
      <t>コンカイ</t>
    </rPh>
    <rPh sb="2" eb="4">
      <t>コウジ</t>
    </rPh>
    <rPh sb="5" eb="7">
      <t>キョウツウ</t>
    </rPh>
    <rPh sb="7" eb="9">
      <t>カセツ</t>
    </rPh>
    <rPh sb="9" eb="10">
      <t>ヒ</t>
    </rPh>
    <rPh sb="10" eb="11">
      <t>リツ</t>
    </rPh>
    <phoneticPr fontId="8"/>
  </si>
  <si>
    <t>今回工事の共通仮設費率補正</t>
    <rPh sb="0" eb="2">
      <t>コンカイ</t>
    </rPh>
    <rPh sb="2" eb="4">
      <t>コウジ</t>
    </rPh>
    <rPh sb="5" eb="7">
      <t>キョウツウ</t>
    </rPh>
    <rPh sb="7" eb="9">
      <t>カセツ</t>
    </rPh>
    <rPh sb="9" eb="10">
      <t>ヒ</t>
    </rPh>
    <rPh sb="10" eb="11">
      <t>リツ</t>
    </rPh>
    <rPh sb="11" eb="13">
      <t>ホセイ</t>
    </rPh>
    <phoneticPr fontId="8"/>
  </si>
  <si>
    <t>改修建築工事</t>
    <rPh sb="0" eb="2">
      <t>カイシュウ</t>
    </rPh>
    <rPh sb="2" eb="4">
      <t>ケンチク</t>
    </rPh>
    <rPh sb="4" eb="6">
      <t>コウジ</t>
    </rPh>
    <phoneticPr fontId="8"/>
  </si>
  <si>
    <t>Ｋｒ</t>
  </si>
  <si>
    <t>直接工事費が5百万円以下</t>
    <rPh sb="0" eb="2">
      <t>チョクセツ</t>
    </rPh>
    <rPh sb="2" eb="4">
      <t>コウジ</t>
    </rPh>
    <rPh sb="4" eb="5">
      <t>ヒ</t>
    </rPh>
    <rPh sb="7" eb="8">
      <t>ヒャク</t>
    </rPh>
    <rPh sb="9" eb="10">
      <t>エン</t>
    </rPh>
    <rPh sb="10" eb="12">
      <t>イカ</t>
    </rPh>
    <phoneticPr fontId="8"/>
  </si>
  <si>
    <t>直接工事費が5百万円超える</t>
    <rPh sb="0" eb="2">
      <t>チョクセツ</t>
    </rPh>
    <rPh sb="2" eb="4">
      <t>コウジ</t>
    </rPh>
    <rPh sb="4" eb="5">
      <t>ヒ</t>
    </rPh>
    <rPh sb="7" eb="8">
      <t>ヒャク</t>
    </rPh>
    <rPh sb="9" eb="10">
      <t>エン</t>
    </rPh>
    <rPh sb="10" eb="11">
      <t>コ</t>
    </rPh>
    <phoneticPr fontId="8"/>
  </si>
  <si>
    <t>現場管理費率  算定欄</t>
    <rPh sb="5" eb="6">
      <t>リツ</t>
    </rPh>
    <rPh sb="8" eb="10">
      <t>サンテイ</t>
    </rPh>
    <rPh sb="10" eb="11">
      <t>ラン</t>
    </rPh>
    <phoneticPr fontId="8"/>
  </si>
  <si>
    <t>現場管理費率 算定式により算定される率</t>
    <rPh sb="5" eb="6">
      <t>リツ</t>
    </rPh>
    <rPh sb="7" eb="9">
      <t>サンテイ</t>
    </rPh>
    <rPh sb="9" eb="10">
      <t>シキ</t>
    </rPh>
    <rPh sb="13" eb="15">
      <t>サンテイ</t>
    </rPh>
    <rPh sb="18" eb="19">
      <t>リツ</t>
    </rPh>
    <phoneticPr fontId="8"/>
  </si>
  <si>
    <t>Jo</t>
    <phoneticPr fontId="8"/>
  </si>
  <si>
    <t>純工事費が１千万円以下</t>
    <rPh sb="0" eb="1">
      <t>ジュン</t>
    </rPh>
    <rPh sb="1" eb="3">
      <t>コウジ</t>
    </rPh>
    <rPh sb="3" eb="4">
      <t>ヒ</t>
    </rPh>
    <rPh sb="6" eb="7">
      <t>セン</t>
    </rPh>
    <rPh sb="8" eb="9">
      <t>エン</t>
    </rPh>
    <rPh sb="9" eb="11">
      <t>イカ</t>
    </rPh>
    <phoneticPr fontId="8"/>
  </si>
  <si>
    <t>純工事費が１千万円超える</t>
    <rPh sb="0" eb="1">
      <t>ジュン</t>
    </rPh>
    <rPh sb="1" eb="3">
      <t>コウジ</t>
    </rPh>
    <rPh sb="3" eb="4">
      <t>ヒ</t>
    </rPh>
    <rPh sb="6" eb="7">
      <t>セン</t>
    </rPh>
    <rPh sb="8" eb="9">
      <t>エン</t>
    </rPh>
    <rPh sb="9" eb="10">
      <t>コ</t>
    </rPh>
    <phoneticPr fontId="8"/>
  </si>
  <si>
    <t>今回工事の現場管理費率</t>
    <rPh sb="0" eb="2">
      <t>コンカイ</t>
    </rPh>
    <rPh sb="2" eb="4">
      <t>コウジ</t>
    </rPh>
    <rPh sb="5" eb="7">
      <t>ゲンバ</t>
    </rPh>
    <rPh sb="7" eb="10">
      <t>カンリヒ</t>
    </rPh>
    <rPh sb="10" eb="11">
      <t>リツ</t>
    </rPh>
    <phoneticPr fontId="8"/>
  </si>
  <si>
    <t>純工事費が5百万円以下</t>
    <rPh sb="0" eb="1">
      <t>ジュン</t>
    </rPh>
    <rPh sb="1" eb="3">
      <t>コウジ</t>
    </rPh>
    <rPh sb="3" eb="4">
      <t>ヒ</t>
    </rPh>
    <rPh sb="6" eb="7">
      <t>ヒャク</t>
    </rPh>
    <rPh sb="8" eb="9">
      <t>エン</t>
    </rPh>
    <rPh sb="9" eb="11">
      <t>イカ</t>
    </rPh>
    <phoneticPr fontId="8"/>
  </si>
  <si>
    <t>純工事費が5百万円超える</t>
    <rPh sb="0" eb="1">
      <t>ジュン</t>
    </rPh>
    <rPh sb="1" eb="3">
      <t>コウジ</t>
    </rPh>
    <rPh sb="3" eb="4">
      <t>ヒ</t>
    </rPh>
    <rPh sb="6" eb="7">
      <t>ヒャク</t>
    </rPh>
    <rPh sb="8" eb="9">
      <t>エン</t>
    </rPh>
    <rPh sb="9" eb="10">
      <t>コ</t>
    </rPh>
    <phoneticPr fontId="8"/>
  </si>
  <si>
    <t>一般管理費等率  算定欄</t>
    <rPh sb="0" eb="2">
      <t>イッパン</t>
    </rPh>
    <rPh sb="5" eb="6">
      <t>トウ</t>
    </rPh>
    <rPh sb="6" eb="7">
      <t>リツ</t>
    </rPh>
    <rPh sb="9" eb="11">
      <t>サンテイ</t>
    </rPh>
    <rPh sb="11" eb="12">
      <t>ラン</t>
    </rPh>
    <phoneticPr fontId="8"/>
  </si>
  <si>
    <t>一般管理費等率 算定式により算定される率</t>
    <rPh sb="0" eb="2">
      <t>イッパン</t>
    </rPh>
    <rPh sb="5" eb="6">
      <t>トウ</t>
    </rPh>
    <rPh sb="6" eb="7">
      <t>リツ</t>
    </rPh>
    <rPh sb="8" eb="10">
      <t>サンテイ</t>
    </rPh>
    <rPh sb="10" eb="11">
      <t>シキ</t>
    </rPh>
    <rPh sb="14" eb="16">
      <t>サンテイ</t>
    </rPh>
    <rPh sb="19" eb="20">
      <t>リツ</t>
    </rPh>
    <phoneticPr fontId="8"/>
  </si>
  <si>
    <t>Gp</t>
    <phoneticPr fontId="8"/>
  </si>
  <si>
    <t>工事原価が5百万円以下</t>
    <rPh sb="0" eb="2">
      <t>コウジ</t>
    </rPh>
    <rPh sb="2" eb="4">
      <t>ゲンカ</t>
    </rPh>
    <rPh sb="6" eb="7">
      <t>ヒャク</t>
    </rPh>
    <rPh sb="8" eb="9">
      <t>エン</t>
    </rPh>
    <rPh sb="9" eb="11">
      <t>イカ</t>
    </rPh>
    <phoneticPr fontId="8"/>
  </si>
  <si>
    <t>工事原価が30億円を超える</t>
    <rPh sb="0" eb="2">
      <t>コウジ</t>
    </rPh>
    <rPh sb="2" eb="4">
      <t>ゲンカ</t>
    </rPh>
    <rPh sb="7" eb="9">
      <t>オクエン</t>
    </rPh>
    <rPh sb="10" eb="11">
      <t>コ</t>
    </rPh>
    <phoneticPr fontId="8"/>
  </si>
  <si>
    <t>今回工事の一般管理費等率</t>
    <rPh sb="0" eb="2">
      <t>コンカイ</t>
    </rPh>
    <rPh sb="2" eb="4">
      <t>コウジ</t>
    </rPh>
    <rPh sb="5" eb="7">
      <t>イッパン</t>
    </rPh>
    <rPh sb="7" eb="10">
      <t>カンリヒ</t>
    </rPh>
    <rPh sb="10" eb="11">
      <t>トウ</t>
    </rPh>
    <rPh sb="11" eb="12">
      <t>リツ</t>
    </rPh>
    <phoneticPr fontId="8"/>
  </si>
  <si>
    <t>　</t>
    <phoneticPr fontId="8"/>
  </si>
  <si>
    <t>黄緑着色部：数値入力</t>
    <rPh sb="0" eb="2">
      <t>キミドリ</t>
    </rPh>
    <rPh sb="2" eb="4">
      <t>チャクショク</t>
    </rPh>
    <rPh sb="4" eb="5">
      <t>ブ</t>
    </rPh>
    <rPh sb="6" eb="8">
      <t>スウチ</t>
    </rPh>
    <rPh sb="8" eb="10">
      <t>ニュウリョク</t>
    </rPh>
    <phoneticPr fontId="8"/>
  </si>
  <si>
    <t>計</t>
    <rPh sb="0" eb="1">
      <t>ケイ</t>
    </rPh>
    <phoneticPr fontId="8"/>
  </si>
  <si>
    <t>諸経費表より→</t>
    <rPh sb="0" eb="3">
      <t>ショケイヒ</t>
    </rPh>
    <rPh sb="3" eb="4">
      <t>ヒョウ</t>
    </rPh>
    <phoneticPr fontId="8"/>
  </si>
  <si>
    <t>対象直接工事費（（12）、(15)～(17)除く）</t>
    <rPh sb="2" eb="4">
      <t>チョクセツ</t>
    </rPh>
    <rPh sb="22" eb="23">
      <t>ノゾ</t>
    </rPh>
    <phoneticPr fontId="8"/>
  </si>
  <si>
    <t>FixColumn</t>
    <phoneticPr fontId="8"/>
  </si>
  <si>
    <t>FixColumn</t>
  </si>
  <si>
    <t>←該当項目あれば入力</t>
    <rPh sb="1" eb="3">
      <t>ガイトウ</t>
    </rPh>
    <rPh sb="3" eb="5">
      <t>コウモク</t>
    </rPh>
    <rPh sb="8" eb="10">
      <t>ニュウリョク</t>
    </rPh>
    <phoneticPr fontId="8"/>
  </si>
  <si>
    <t>計上区分　</t>
    <phoneticPr fontId="8"/>
  </si>
  <si>
    <t>資産or費用⇒</t>
    <rPh sb="0" eb="2">
      <t>シサン</t>
    </rPh>
    <rPh sb="4" eb="6">
      <t>ヒヨウ</t>
    </rPh>
    <phoneticPr fontId="8"/>
  </si>
  <si>
    <t>エラーが表示された場合、122～429行目で調整してください→</t>
    <rPh sb="4" eb="6">
      <t>ヒョウジ</t>
    </rPh>
    <rPh sb="9" eb="11">
      <t>バアイ</t>
    </rPh>
    <rPh sb="19" eb="21">
      <t>ギョウメ</t>
    </rPh>
    <rPh sb="22" eb="24">
      <t>チョウセイ</t>
    </rPh>
    <phoneticPr fontId="8"/>
  </si>
  <si>
    <t>－</t>
  </si>
  <si>
    <t>資産クラス分割表（当初設計　設計価格）</t>
    <rPh sb="0" eb="2">
      <t>シサン</t>
    </rPh>
    <rPh sb="5" eb="7">
      <t>ブンカツ</t>
    </rPh>
    <rPh sb="7" eb="8">
      <t>ヒョウ</t>
    </rPh>
    <rPh sb="9" eb="11">
      <t>トウショ</t>
    </rPh>
    <rPh sb="11" eb="13">
      <t>セッケイ</t>
    </rPh>
    <rPh sb="14" eb="16">
      <t>セッケイ</t>
    </rPh>
    <rPh sb="16" eb="18">
      <t>カカク</t>
    </rPh>
    <phoneticPr fontId="8"/>
  </si>
  <si>
    <t>オレンジ着色部：選択入力－</t>
    <phoneticPr fontId="8"/>
  </si>
  <si>
    <t>資産クラス分割表（当初設計　設計価格）</t>
    <rPh sb="0" eb="2">
      <t>シサン</t>
    </rPh>
    <rPh sb="5" eb="7">
      <t>ブンカツ</t>
    </rPh>
    <rPh sb="7" eb="8">
      <t>ヒョウ</t>
    </rPh>
    <rPh sb="9" eb="11">
      <t>トウショ</t>
    </rPh>
    <rPh sb="11" eb="13">
      <t>セッケイ</t>
    </rPh>
    <rPh sb="14" eb="16">
      <t>セッケイ</t>
    </rPh>
    <rPh sb="16" eb="18">
      <t>カカク</t>
    </rPh>
    <phoneticPr fontId="9"/>
  </si>
  <si>
    <t>←土木工事があれば自動転記</t>
    <rPh sb="1" eb="3">
      <t>ドボク</t>
    </rPh>
    <rPh sb="3" eb="5">
      <t>コウジ</t>
    </rPh>
    <rPh sb="9" eb="11">
      <t>ジドウ</t>
    </rPh>
    <rPh sb="11" eb="13">
      <t>テンキ</t>
    </rPh>
    <phoneticPr fontId="8"/>
  </si>
  <si>
    <t>←附帯工事があれば自動転記</t>
    <rPh sb="1" eb="3">
      <t>フタイ</t>
    </rPh>
    <rPh sb="3" eb="5">
      <t>コウジ</t>
    </rPh>
    <rPh sb="5" eb="7">
      <t>ドコウジ</t>
    </rPh>
    <rPh sb="9" eb="11">
      <t>ジドウ</t>
    </rPh>
    <rPh sb="11" eb="13">
      <t>テンキ</t>
    </rPh>
    <phoneticPr fontId="8"/>
  </si>
  <si>
    <t>諸経費表（当初発注）</t>
    <rPh sb="0" eb="3">
      <t>ショケイヒ</t>
    </rPh>
    <rPh sb="3" eb="4">
      <t>ヒョウ</t>
    </rPh>
    <rPh sb="5" eb="7">
      <t>トウショ</t>
    </rPh>
    <rPh sb="7" eb="9">
      <t>ハッチュウ</t>
    </rPh>
    <phoneticPr fontId="9"/>
  </si>
  <si>
    <t>↑セルK1に工期を入力</t>
    <phoneticPr fontId="8"/>
  </si>
  <si>
    <t>←土木一括発注時は土木工事原価を入力</t>
    <rPh sb="1" eb="3">
      <t>ドボク</t>
    </rPh>
    <rPh sb="3" eb="5">
      <t>イッカツ</t>
    </rPh>
    <rPh sb="5" eb="7">
      <t>ハッチュウ</t>
    </rPh>
    <rPh sb="7" eb="8">
      <t>ジ</t>
    </rPh>
    <rPh sb="9" eb="11">
      <t>ドボク</t>
    </rPh>
    <rPh sb="11" eb="13">
      <t>コウジ</t>
    </rPh>
    <rPh sb="13" eb="15">
      <t>ゲンカ</t>
    </rPh>
    <rPh sb="16" eb="18">
      <t>ニュウリョク</t>
    </rPh>
    <phoneticPr fontId="8"/>
  </si>
  <si>
    <t>2022/**/**</t>
    <phoneticPr fontId="8"/>
  </si>
  <si>
    <t>2020年8月</t>
    <rPh sb="4" eb="5">
      <t>ネン</t>
    </rPh>
    <rPh sb="6" eb="7">
      <t>ツキ</t>
    </rPh>
    <phoneticPr fontId="8"/>
  </si>
  <si>
    <t>単価台帳Ｖｅｒと標準単価ファイルの紐付き</t>
    <rPh sb="0" eb="2">
      <t>タンカ</t>
    </rPh>
    <rPh sb="2" eb="4">
      <t>ダイチョウ</t>
    </rPh>
    <rPh sb="8" eb="10">
      <t>ヒョウジュン</t>
    </rPh>
    <rPh sb="10" eb="12">
      <t>タンカ</t>
    </rPh>
    <rPh sb="17" eb="18">
      <t>ヒモ</t>
    </rPh>
    <rPh sb="18" eb="19">
      <t>ツ</t>
    </rPh>
    <phoneticPr fontId="8"/>
  </si>
  <si>
    <t>平成28年3月</t>
    <rPh sb="0" eb="2">
      <t>ヘイセイ</t>
    </rPh>
    <rPh sb="4" eb="5">
      <t>ネン</t>
    </rPh>
    <rPh sb="6" eb="7">
      <t>ツキ</t>
    </rPh>
    <phoneticPr fontId="8"/>
  </si>
  <si>
    <t>標準単価27R2802xls</t>
    <rPh sb="0" eb="2">
      <t>ヒョウジュン</t>
    </rPh>
    <rPh sb="2" eb="4">
      <t>タンカ</t>
    </rPh>
    <phoneticPr fontId="8"/>
  </si>
  <si>
    <t>平成29年3月</t>
    <rPh sb="0" eb="2">
      <t>ヘイセイ</t>
    </rPh>
    <rPh sb="4" eb="5">
      <t>ネン</t>
    </rPh>
    <rPh sb="6" eb="7">
      <t>ツキ</t>
    </rPh>
    <phoneticPr fontId="8"/>
  </si>
  <si>
    <t>標準単価27R2903.xls</t>
    <rPh sb="0" eb="2">
      <t>ヒョウジュン</t>
    </rPh>
    <rPh sb="2" eb="4">
      <t>タンカ</t>
    </rPh>
    <phoneticPr fontId="8"/>
  </si>
  <si>
    <t>平成29年4月</t>
    <rPh sb="0" eb="2">
      <t>ヘイセイ</t>
    </rPh>
    <rPh sb="4" eb="5">
      <t>ネン</t>
    </rPh>
    <rPh sb="6" eb="7">
      <t>ツキ</t>
    </rPh>
    <phoneticPr fontId="8"/>
  </si>
  <si>
    <t>標準単価28R2903.xls</t>
    <rPh sb="0" eb="2">
      <t>ヒョウジュン</t>
    </rPh>
    <rPh sb="2" eb="4">
      <t>タンカ</t>
    </rPh>
    <phoneticPr fontId="8"/>
  </si>
  <si>
    <t>平成30年3月</t>
    <rPh sb="0" eb="2">
      <t>ヘイセイ</t>
    </rPh>
    <rPh sb="4" eb="5">
      <t>ネン</t>
    </rPh>
    <rPh sb="6" eb="7">
      <t>ツキ</t>
    </rPh>
    <phoneticPr fontId="8"/>
  </si>
  <si>
    <t>標準単価28R3003.xls</t>
    <rPh sb="0" eb="2">
      <t>ヒョウジュン</t>
    </rPh>
    <rPh sb="2" eb="4">
      <t>タンカ</t>
    </rPh>
    <phoneticPr fontId="8"/>
  </si>
  <si>
    <t>2018年5月</t>
    <rPh sb="4" eb="5">
      <t>ネン</t>
    </rPh>
    <rPh sb="6" eb="7">
      <t>ツキ</t>
    </rPh>
    <phoneticPr fontId="8"/>
  </si>
  <si>
    <t>標準単価2018.xls</t>
    <rPh sb="0" eb="2">
      <t>ヒョウジュン</t>
    </rPh>
    <rPh sb="2" eb="4">
      <t>タンカ</t>
    </rPh>
    <phoneticPr fontId="8"/>
  </si>
  <si>
    <t>標準単価2019.xls</t>
    <rPh sb="0" eb="2">
      <t>ヒョウジュン</t>
    </rPh>
    <rPh sb="2" eb="4">
      <t>タンカ</t>
    </rPh>
    <phoneticPr fontId="8"/>
  </si>
  <si>
    <t>標準単価2020.xls</t>
    <rPh sb="0" eb="2">
      <t>ヒョウジュン</t>
    </rPh>
    <rPh sb="2" eb="4">
      <t>タンカ</t>
    </rPh>
    <phoneticPr fontId="8"/>
  </si>
  <si>
    <t>平成28年3月(設計委託用 金無)</t>
    <rPh sb="0" eb="2">
      <t>ヘイセイ</t>
    </rPh>
    <rPh sb="4" eb="5">
      <t>ネン</t>
    </rPh>
    <rPh sb="6" eb="7">
      <t>ツキ</t>
    </rPh>
    <phoneticPr fontId="8"/>
  </si>
  <si>
    <t>標準単価金額無27R2802xls</t>
    <rPh sb="0" eb="2">
      <t>ヒョウジュン</t>
    </rPh>
    <rPh sb="2" eb="4">
      <t>タンカ</t>
    </rPh>
    <rPh sb="4" eb="6">
      <t>キンガク</t>
    </rPh>
    <rPh sb="6" eb="7">
      <t>ナ</t>
    </rPh>
    <phoneticPr fontId="8"/>
  </si>
  <si>
    <t>平成29年3月(設計委託用 金無)</t>
    <rPh sb="0" eb="2">
      <t>ヘイセイ</t>
    </rPh>
    <rPh sb="4" eb="5">
      <t>ネン</t>
    </rPh>
    <rPh sb="6" eb="7">
      <t>ツキ</t>
    </rPh>
    <phoneticPr fontId="8"/>
  </si>
  <si>
    <t>標準単価金額無27R2903.xls</t>
    <rPh sb="0" eb="2">
      <t>ヒョウジュン</t>
    </rPh>
    <rPh sb="2" eb="4">
      <t>タンカ</t>
    </rPh>
    <rPh sb="4" eb="6">
      <t>キンガク</t>
    </rPh>
    <rPh sb="6" eb="7">
      <t>ナ</t>
    </rPh>
    <phoneticPr fontId="8"/>
  </si>
  <si>
    <t>平成29年4月(設計委託用 金無)</t>
    <rPh sb="0" eb="2">
      <t>ヘイセイ</t>
    </rPh>
    <rPh sb="4" eb="5">
      <t>ネン</t>
    </rPh>
    <rPh sb="6" eb="7">
      <t>ツキ</t>
    </rPh>
    <phoneticPr fontId="8"/>
  </si>
  <si>
    <t>標準単価金額無28R2903.xls</t>
    <rPh sb="0" eb="2">
      <t>ヒョウジュン</t>
    </rPh>
    <rPh sb="2" eb="4">
      <t>タンカ</t>
    </rPh>
    <rPh sb="4" eb="6">
      <t>キンガク</t>
    </rPh>
    <rPh sb="6" eb="7">
      <t>ナ</t>
    </rPh>
    <phoneticPr fontId="8"/>
  </si>
  <si>
    <t>平成30年3月(設計委託用 金無)</t>
    <rPh sb="0" eb="2">
      <t>ヘイセイ</t>
    </rPh>
    <rPh sb="4" eb="5">
      <t>ネン</t>
    </rPh>
    <rPh sb="6" eb="7">
      <t>ツキ</t>
    </rPh>
    <phoneticPr fontId="8"/>
  </si>
  <si>
    <t>標準単価金額無28R3003.xls</t>
    <rPh sb="0" eb="2">
      <t>ヒョウジュン</t>
    </rPh>
    <rPh sb="2" eb="4">
      <t>タンカ</t>
    </rPh>
    <rPh sb="4" eb="6">
      <t>キンガク</t>
    </rPh>
    <rPh sb="6" eb="7">
      <t>ナ</t>
    </rPh>
    <phoneticPr fontId="8"/>
  </si>
  <si>
    <t>2018年5月(設計委託用 金無)</t>
    <rPh sb="4" eb="5">
      <t>ネン</t>
    </rPh>
    <rPh sb="6" eb="7">
      <t>ツキ</t>
    </rPh>
    <phoneticPr fontId="8"/>
  </si>
  <si>
    <t>標準単価金額無2018.xls</t>
    <rPh sb="0" eb="2">
      <t>ヒョウジュン</t>
    </rPh>
    <rPh sb="2" eb="4">
      <t>タンカ</t>
    </rPh>
    <rPh sb="4" eb="6">
      <t>キンガク</t>
    </rPh>
    <rPh sb="6" eb="7">
      <t>ナ</t>
    </rPh>
    <phoneticPr fontId="8"/>
  </si>
  <si>
    <t>2019年6月(設計委託用 金無)</t>
    <rPh sb="4" eb="5">
      <t>ネン</t>
    </rPh>
    <rPh sb="6" eb="7">
      <t>ツキ</t>
    </rPh>
    <phoneticPr fontId="8"/>
  </si>
  <si>
    <t>標準単価金額無2019.xls</t>
    <rPh sb="0" eb="2">
      <t>ヒョウジュン</t>
    </rPh>
    <rPh sb="2" eb="4">
      <t>タンカ</t>
    </rPh>
    <rPh sb="4" eb="6">
      <t>キンガク</t>
    </rPh>
    <rPh sb="6" eb="7">
      <t>ナ</t>
    </rPh>
    <phoneticPr fontId="8"/>
  </si>
  <si>
    <t>2020年8月(設計委託用 金無)</t>
    <rPh sb="4" eb="5">
      <t>ネン</t>
    </rPh>
    <rPh sb="6" eb="7">
      <t>ツキ</t>
    </rPh>
    <phoneticPr fontId="8"/>
  </si>
  <si>
    <t>標準単価金額無2020.xls</t>
    <rPh sb="0" eb="2">
      <t>ヒョウジュン</t>
    </rPh>
    <rPh sb="2" eb="4">
      <t>タンカ</t>
    </rPh>
    <rPh sb="4" eb="6">
      <t>キンガク</t>
    </rPh>
    <rPh sb="6" eb="7">
      <t>ナ</t>
    </rPh>
    <phoneticPr fontId="8"/>
  </si>
  <si>
    <t>\\svfile92\k1_eizen$\建築グループ共有\０８）予算、資金計画、長期計画、積算関連\５．積算資料\標準単価\</t>
    <phoneticPr fontId="8"/>
  </si>
  <si>
    <t>2019年6月</t>
    <rPh sb="4" eb="5">
      <t>ネン</t>
    </rPh>
    <rPh sb="6" eb="7">
      <t>ツキ</t>
    </rPh>
    <phoneticPr fontId="8"/>
  </si>
  <si>
    <t>資産クラスマスタ判定→</t>
    <rPh sb="0" eb="2">
      <t>シサン</t>
    </rPh>
    <rPh sb="8" eb="10">
      <t>ハンテイ</t>
    </rPh>
    <phoneticPr fontId="8"/>
  </si>
  <si>
    <t>表紙シート転記判定→</t>
    <rPh sb="0" eb="2">
      <t>ヒョウシ</t>
    </rPh>
    <rPh sb="5" eb="7">
      <t>テンキ</t>
    </rPh>
    <rPh sb="7" eb="9">
      <t>ハンテイ</t>
    </rPh>
    <phoneticPr fontId="8"/>
  </si>
  <si>
    <t>附帯工事　工事価格　計</t>
    <rPh sb="0" eb="2">
      <t>フタイ</t>
    </rPh>
    <rPh sb="2" eb="4">
      <t>コウジ</t>
    </rPh>
    <rPh sb="5" eb="7">
      <t>コウジ</t>
    </rPh>
    <rPh sb="7" eb="9">
      <t>カカク</t>
    </rPh>
    <rPh sb="10" eb="11">
      <t>ケイ</t>
    </rPh>
    <phoneticPr fontId="8"/>
  </si>
  <si>
    <t>建築工事/付帯工事</t>
    <rPh sb="0" eb="2">
      <t>ケンチク</t>
    </rPh>
    <rPh sb="2" eb="4">
      <t>コウジ</t>
    </rPh>
    <rPh sb="5" eb="9">
      <t>フタイコウジ</t>
    </rPh>
    <phoneticPr fontId="8"/>
  </si>
  <si>
    <t>工種一覧</t>
    <rPh sb="0" eb="2">
      <t>コウシュ</t>
    </rPh>
    <rPh sb="2" eb="4">
      <t>イチラン</t>
    </rPh>
    <phoneticPr fontId="8"/>
  </si>
  <si>
    <t>土工事</t>
    <rPh sb="0" eb="1">
      <t>ツチ</t>
    </rPh>
    <rPh sb="1" eb="3">
      <t>コウジ</t>
    </rPh>
    <phoneticPr fontId="2"/>
  </si>
  <si>
    <t>地業工事</t>
    <rPh sb="0" eb="2">
      <t>ジギョウ</t>
    </rPh>
    <rPh sb="2" eb="4">
      <t>コウジ</t>
    </rPh>
    <phoneticPr fontId="2"/>
  </si>
  <si>
    <t>鉄筋工事</t>
    <rPh sb="0" eb="2">
      <t>テッキン</t>
    </rPh>
    <rPh sb="2" eb="4">
      <t>コウジ</t>
    </rPh>
    <phoneticPr fontId="2"/>
  </si>
  <si>
    <t>コンクリート工事</t>
    <rPh sb="6" eb="8">
      <t>コウジ</t>
    </rPh>
    <phoneticPr fontId="2"/>
  </si>
  <si>
    <t>鉄骨工事</t>
    <rPh sb="0" eb="2">
      <t>テッコツ</t>
    </rPh>
    <rPh sb="2" eb="4">
      <t>コウジ</t>
    </rPh>
    <phoneticPr fontId="2"/>
  </si>
  <si>
    <t>コンクリートブロック・ＡＬＣパネル・押出成形セメント板工事</t>
    <rPh sb="18" eb="20">
      <t>オシダシ</t>
    </rPh>
    <rPh sb="20" eb="22">
      <t>セイケイ</t>
    </rPh>
    <rPh sb="26" eb="27">
      <t>イタ</t>
    </rPh>
    <rPh sb="27" eb="29">
      <t>コウジ</t>
    </rPh>
    <phoneticPr fontId="2"/>
  </si>
  <si>
    <t>防水工事</t>
    <rPh sb="0" eb="2">
      <t>ボウスイ</t>
    </rPh>
    <rPh sb="2" eb="4">
      <t>コウジ</t>
    </rPh>
    <phoneticPr fontId="2"/>
  </si>
  <si>
    <t>石工事</t>
    <rPh sb="0" eb="1">
      <t>イシ</t>
    </rPh>
    <rPh sb="1" eb="3">
      <t>コウジ</t>
    </rPh>
    <phoneticPr fontId="2"/>
  </si>
  <si>
    <t>タイル工事</t>
    <rPh sb="3" eb="5">
      <t>コウジ</t>
    </rPh>
    <phoneticPr fontId="2"/>
  </si>
  <si>
    <t>木工事</t>
    <rPh sb="0" eb="1">
      <t>モク</t>
    </rPh>
    <rPh sb="1" eb="3">
      <t>コウジ</t>
    </rPh>
    <phoneticPr fontId="2"/>
  </si>
  <si>
    <t>屋根及びとい工事</t>
    <rPh sb="0" eb="2">
      <t>ヤネ</t>
    </rPh>
    <rPh sb="2" eb="3">
      <t>オヨ</t>
    </rPh>
    <rPh sb="6" eb="8">
      <t>コウジ</t>
    </rPh>
    <phoneticPr fontId="2"/>
  </si>
  <si>
    <t>金属工事</t>
    <rPh sb="0" eb="2">
      <t>キンゾク</t>
    </rPh>
    <rPh sb="2" eb="4">
      <t>コウジ</t>
    </rPh>
    <phoneticPr fontId="2"/>
  </si>
  <si>
    <t>左官工事</t>
    <rPh sb="0" eb="2">
      <t>サカン</t>
    </rPh>
    <rPh sb="2" eb="4">
      <t>コウジ</t>
    </rPh>
    <phoneticPr fontId="2"/>
  </si>
  <si>
    <t>建具工事</t>
    <rPh sb="0" eb="2">
      <t>タテグ</t>
    </rPh>
    <rPh sb="2" eb="4">
      <t>コウジ</t>
    </rPh>
    <phoneticPr fontId="2"/>
  </si>
  <si>
    <t>カーテンウォール工事</t>
    <rPh sb="8" eb="10">
      <t>コウジ</t>
    </rPh>
    <phoneticPr fontId="2"/>
  </si>
  <si>
    <t>塗装工事</t>
    <rPh sb="0" eb="2">
      <t>トソウ</t>
    </rPh>
    <rPh sb="2" eb="4">
      <t>コウジ</t>
    </rPh>
    <phoneticPr fontId="2"/>
  </si>
  <si>
    <t>内装工事</t>
    <rPh sb="0" eb="2">
      <t>ナイソウ</t>
    </rPh>
    <rPh sb="2" eb="4">
      <t>コウジ</t>
    </rPh>
    <phoneticPr fontId="2"/>
  </si>
  <si>
    <t>ユニット及びその他の工事</t>
    <rPh sb="4" eb="5">
      <t>オヨ</t>
    </rPh>
    <rPh sb="8" eb="9">
      <t>タ</t>
    </rPh>
    <rPh sb="10" eb="12">
      <t>コウジ</t>
    </rPh>
    <phoneticPr fontId="2"/>
  </si>
  <si>
    <t>部分撤去工事</t>
    <rPh sb="0" eb="2">
      <t>ブブン</t>
    </rPh>
    <rPh sb="2" eb="4">
      <t>テッキョ</t>
    </rPh>
    <rPh sb="4" eb="6">
      <t>コウジ</t>
    </rPh>
    <phoneticPr fontId="2"/>
  </si>
  <si>
    <t>排水工事</t>
    <rPh sb="0" eb="2">
      <t>ハイスイ</t>
    </rPh>
    <rPh sb="2" eb="4">
      <t>コウジ</t>
    </rPh>
    <phoneticPr fontId="2"/>
  </si>
  <si>
    <t>舗装工事</t>
    <rPh sb="0" eb="2">
      <t>ホソウ</t>
    </rPh>
    <rPh sb="2" eb="4">
      <t>コウジ</t>
    </rPh>
    <phoneticPr fontId="2"/>
  </si>
  <si>
    <t>植栽及び屋上緑化工事</t>
    <rPh sb="0" eb="2">
      <t>ショクサイ</t>
    </rPh>
    <rPh sb="2" eb="3">
      <t>オヨ</t>
    </rPh>
    <rPh sb="4" eb="6">
      <t>オクジョウ</t>
    </rPh>
    <rPh sb="6" eb="8">
      <t>リョッカ</t>
    </rPh>
    <rPh sb="8" eb="10">
      <t>コウジ</t>
    </rPh>
    <phoneticPr fontId="2"/>
  </si>
  <si>
    <t>とりこわし工事</t>
    <rPh sb="5" eb="7">
      <t>コウジ</t>
    </rPh>
    <phoneticPr fontId="2"/>
  </si>
  <si>
    <t>前ページと同一</t>
    <rPh sb="0" eb="1">
      <t>マエ</t>
    </rPh>
    <rPh sb="5" eb="7">
      <t>ドウイツ</t>
    </rPh>
    <phoneticPr fontId="8"/>
  </si>
  <si>
    <t>諸経費表入力フォーム情報</t>
    <rPh sb="0" eb="3">
      <t>ショケイヒ</t>
    </rPh>
    <rPh sb="3" eb="4">
      <t>ヒョウ</t>
    </rPh>
    <rPh sb="4" eb="6">
      <t>ニュウリョク</t>
    </rPh>
    <rPh sb="10" eb="12">
      <t>ジョウホウ</t>
    </rPh>
    <phoneticPr fontId="8"/>
  </si>
  <si>
    <t>状態コード：</t>
    <rPh sb="0" eb="2">
      <t>ジョウタイ</t>
    </rPh>
    <phoneticPr fontId="8"/>
  </si>
  <si>
    <t>諸経費表を</t>
    <rPh sb="0" eb="3">
      <t>ショケイヒ</t>
    </rPh>
    <rPh sb="3" eb="4">
      <t>ヒョウ</t>
    </rPh>
    <phoneticPr fontId="8"/>
  </si>
  <si>
    <t>作成・印刷・初期化する場合</t>
    <rPh sb="0" eb="2">
      <t>サクセイ</t>
    </rPh>
    <rPh sb="3" eb="5">
      <t>インサツ</t>
    </rPh>
    <rPh sb="6" eb="9">
      <t>ショキカ</t>
    </rPh>
    <rPh sb="11" eb="13">
      <t>バアイ</t>
    </rPh>
    <phoneticPr fontId="8"/>
  </si>
  <si>
    <t>右のマクロボタンをクリック→</t>
    <rPh sb="0" eb="1">
      <t>ミギ</t>
    </rPh>
    <phoneticPr fontId="8"/>
  </si>
  <si>
    <t>資産クラス分割表入力フォーム情報</t>
    <rPh sb="0" eb="2">
      <t>シサン</t>
    </rPh>
    <rPh sb="5" eb="7">
      <t>ブンカツ</t>
    </rPh>
    <rPh sb="7" eb="8">
      <t>ヒョウ</t>
    </rPh>
    <rPh sb="8" eb="10">
      <t>ニュウリョク</t>
    </rPh>
    <rPh sb="14" eb="16">
      <t>ジョウホウ</t>
    </rPh>
    <phoneticPr fontId="8"/>
  </si>
  <si>
    <t>作成・印刷範囲設定・初期化する場合</t>
    <rPh sb="0" eb="2">
      <t>サクセイ</t>
    </rPh>
    <rPh sb="3" eb="5">
      <t>インサツ</t>
    </rPh>
    <rPh sb="5" eb="7">
      <t>ハンイ</t>
    </rPh>
    <rPh sb="7" eb="9">
      <t>セッテイ</t>
    </rPh>
    <rPh sb="10" eb="13">
      <t>ショキカ</t>
    </rPh>
    <rPh sb="15" eb="17">
      <t>バアイ</t>
    </rPh>
    <phoneticPr fontId="8"/>
  </si>
  <si>
    <t>右のマクロボタンをクリック→</t>
    <rPh sb="0" eb="1">
      <t>ミギ</t>
    </rPh>
    <phoneticPr fontId="8"/>
  </si>
  <si>
    <t>資産クラス分割表を</t>
    <rPh sb="0" eb="2">
      <t>シサン</t>
    </rPh>
    <rPh sb="5" eb="7">
      <t>ブンカツ</t>
    </rPh>
    <rPh sb="7" eb="8">
      <t>ヒョウ</t>
    </rPh>
    <rPh sb="8" eb="9">
      <t>ショヒョウ</t>
    </rPh>
    <phoneticPr fontId="8"/>
  </si>
  <si>
    <t>―</t>
    <phoneticPr fontId="8"/>
  </si>
  <si>
    <t>鹿島</t>
    <rPh sb="0" eb="2">
      <t>カシマ</t>
    </rPh>
    <phoneticPr fontId="8"/>
  </si>
  <si>
    <t>積</t>
    <phoneticPr fontId="8"/>
  </si>
  <si>
    <t>○○工事</t>
  </si>
  <si>
    <t>共通仮設費</t>
    <rPh sb="0" eb="2">
      <t>キョウツウ</t>
    </rPh>
    <rPh sb="2" eb="4">
      <t>カセツ</t>
    </rPh>
    <rPh sb="4" eb="5">
      <t>ヒ</t>
    </rPh>
    <phoneticPr fontId="2"/>
  </si>
  <si>
    <t>工期Ｔに関する情報は、各工事sheeetのセルJ1～L1に入力してください</t>
    <rPh sb="0" eb="2">
      <t>コウキ</t>
    </rPh>
    <rPh sb="4" eb="5">
      <t>カン</t>
    </rPh>
    <rPh sb="7" eb="9">
      <t>ジョウホウ</t>
    </rPh>
    <rPh sb="11" eb="12">
      <t>カク</t>
    </rPh>
    <rPh sb="12" eb="14">
      <t>コウジ</t>
    </rPh>
    <rPh sb="29" eb="31">
      <t>ニュウリョク</t>
    </rPh>
    <phoneticPr fontId="8"/>
  </si>
  <si>
    <t>中道</t>
    <rPh sb="0" eb="2">
      <t>ナカミチ</t>
    </rPh>
    <phoneticPr fontId="8"/>
  </si>
  <si>
    <t>右のマクロボタンをクリックし、転記元ファイルを入力してください→</t>
    <rPh sb="0" eb="1">
      <t>ミギ</t>
    </rPh>
    <rPh sb="15" eb="17">
      <t>テンキ</t>
    </rPh>
    <rPh sb="17" eb="18">
      <t>モト</t>
    </rPh>
    <rPh sb="23" eb="25">
      <t>ニュウリョク</t>
    </rPh>
    <phoneticPr fontId="6"/>
  </si>
  <si>
    <t>■既存明細を転記する場合</t>
    <rPh sb="1" eb="3">
      <t>キゾン</t>
    </rPh>
    <rPh sb="3" eb="5">
      <t>メイサイ</t>
    </rPh>
    <rPh sb="6" eb="8">
      <t>テンキ</t>
    </rPh>
    <rPh sb="10" eb="12">
      <t>バアイ</t>
    </rPh>
    <phoneticPr fontId="8"/>
  </si>
  <si>
    <t>建築技術　　　担当課長</t>
    <rPh sb="0" eb="2">
      <t>ケンチク</t>
    </rPh>
    <rPh sb="2" eb="4">
      <t>ギジュツ</t>
    </rPh>
    <rPh sb="7" eb="9">
      <t>タントウ</t>
    </rPh>
    <rPh sb="9" eb="11">
      <t>カチョウ</t>
    </rPh>
    <phoneticPr fontId="8"/>
  </si>
  <si>
    <t>※手動による列の追加は行わないこと</t>
    <rPh sb="1" eb="3">
      <t>シュドウ</t>
    </rPh>
    <rPh sb="6" eb="7">
      <t>レツ</t>
    </rPh>
    <rPh sb="8" eb="10">
      <t>ツイカ</t>
    </rPh>
    <rPh sb="11" eb="12">
      <t>オコナ</t>
    </rPh>
    <phoneticPr fontId="8"/>
  </si>
  <si>
    <t>建築工事</t>
    <phoneticPr fontId="8"/>
  </si>
  <si>
    <t>諸経費表ファイルの設定（必要に応じて書き換えてください。）</t>
    <rPh sb="0" eb="3">
      <t>ショケイヒ</t>
    </rPh>
    <rPh sb="3" eb="4">
      <t>ヒョウ</t>
    </rPh>
    <rPh sb="9" eb="11">
      <t>セッテイ</t>
    </rPh>
    <rPh sb="12" eb="14">
      <t>ヒツヨウ</t>
    </rPh>
    <rPh sb="15" eb="16">
      <t>オウ</t>
    </rPh>
    <rPh sb="18" eb="19">
      <t>カ</t>
    </rPh>
    <rPh sb="20" eb="21">
      <t>カ</t>
    </rPh>
    <phoneticPr fontId="8"/>
  </si>
  <si>
    <t>A:三和シャッター工業㈱</t>
    <rPh sb="2" eb="4">
      <t>サンワ</t>
    </rPh>
    <rPh sb="9" eb="11">
      <t>コウギョウ</t>
    </rPh>
    <phoneticPr fontId="8"/>
  </si>
  <si>
    <t>B:YKKap㈱</t>
    <phoneticPr fontId="8"/>
  </si>
  <si>
    <t>SD-1 両面鋼製フラッシュ扉</t>
    <rPh sb="5" eb="7">
      <t>リョウメン</t>
    </rPh>
    <rPh sb="7" eb="9">
      <t>コウセイ</t>
    </rPh>
    <rPh sb="14" eb="15">
      <t>トビラ</t>
    </rPh>
    <phoneticPr fontId="8"/>
  </si>
  <si>
    <t>W900×H2000</t>
    <phoneticPr fontId="8"/>
  </si>
  <si>
    <t>箇所</t>
    <rPh sb="0" eb="2">
      <t>カショ</t>
    </rPh>
    <phoneticPr fontId="8"/>
  </si>
  <si>
    <t>↑　サンプルは消してから使ってください</t>
    <rPh sb="7" eb="8">
      <t>ケ</t>
    </rPh>
    <rPh sb="12" eb="13">
      <t>ツカ</t>
    </rPh>
    <phoneticPr fontId="8"/>
  </si>
  <si>
    <t>建築企画課（建築技術）</t>
    <rPh sb="0" eb="2">
      <t>ケンチク</t>
    </rPh>
    <rPh sb="2" eb="4">
      <t>キカク</t>
    </rPh>
    <rPh sb="4" eb="5">
      <t>カ</t>
    </rPh>
    <rPh sb="6" eb="8">
      <t>ケンチク</t>
    </rPh>
    <rPh sb="8" eb="10">
      <t>ギジュツ</t>
    </rPh>
    <phoneticPr fontId="8"/>
  </si>
  <si>
    <t>建築企画課（建築資産管理）</t>
    <rPh sb="0" eb="2">
      <t>ケンチク</t>
    </rPh>
    <rPh sb="2" eb="4">
      <t>キカク</t>
    </rPh>
    <rPh sb="4" eb="5">
      <t>カ</t>
    </rPh>
    <rPh sb="6" eb="8">
      <t>ケンチク</t>
    </rPh>
    <rPh sb="8" eb="10">
      <t>シサン</t>
    </rPh>
    <rPh sb="10" eb="12">
      <t>カンリ</t>
    </rPh>
    <phoneticPr fontId="8"/>
  </si>
  <si>
    <t>建築設計課（建築設計）</t>
    <rPh sb="0" eb="2">
      <t>ケンチク</t>
    </rPh>
    <rPh sb="2" eb="4">
      <t>セッケイ</t>
    </rPh>
    <rPh sb="4" eb="5">
      <t>カ</t>
    </rPh>
    <rPh sb="6" eb="8">
      <t>ケンチク</t>
    </rPh>
    <rPh sb="8" eb="10">
      <t>セッケイ</t>
    </rPh>
    <phoneticPr fontId="8"/>
  </si>
  <si>
    <t>建築設計課（建築プロジェクト）</t>
    <rPh sb="0" eb="2">
      <t>ケンチク</t>
    </rPh>
    <rPh sb="2" eb="4">
      <t>セッケイ</t>
    </rPh>
    <rPh sb="4" eb="5">
      <t>カ</t>
    </rPh>
    <rPh sb="6" eb="8">
      <t>ケンチク</t>
    </rPh>
    <phoneticPr fontId="8"/>
  </si>
  <si>
    <t>建築設計課(地上建築物）</t>
    <rPh sb="0" eb="2">
      <t>ケンチク</t>
    </rPh>
    <rPh sb="2" eb="4">
      <t>セッケイ</t>
    </rPh>
    <rPh sb="4" eb="5">
      <t>カ</t>
    </rPh>
    <rPh sb="6" eb="8">
      <t>チジョウ</t>
    </rPh>
    <rPh sb="8" eb="11">
      <t>ケンチクブツ</t>
    </rPh>
    <phoneticPr fontId="8"/>
  </si>
  <si>
    <t>建築企画課（建築検査）</t>
    <rPh sb="0" eb="2">
      <t>ケンチク</t>
    </rPh>
    <rPh sb="2" eb="4">
      <t>キカク</t>
    </rPh>
    <rPh sb="4" eb="5">
      <t>カ</t>
    </rPh>
    <rPh sb="6" eb="8">
      <t>ケンチク</t>
    </rPh>
    <rPh sb="8" eb="10">
      <t>ケンサ</t>
    </rPh>
    <phoneticPr fontId="8"/>
  </si>
  <si>
    <t>■諸経費表を非表示にする場合</t>
    <rPh sb="1" eb="4">
      <t>ショケイヒ</t>
    </rPh>
    <rPh sb="4" eb="5">
      <t>ヒョウ</t>
    </rPh>
    <rPh sb="6" eb="9">
      <t>ヒヒョウジ</t>
    </rPh>
    <rPh sb="12" eb="14">
      <t>バアイ</t>
    </rPh>
    <phoneticPr fontId="8"/>
  </si>
  <si>
    <t>■諸経費表を表示する場合</t>
    <rPh sb="1" eb="4">
      <t>ショケイヒ</t>
    </rPh>
    <rPh sb="4" eb="5">
      <t>ヒョウ</t>
    </rPh>
    <rPh sb="6" eb="8">
      <t>ヒョウジ</t>
    </rPh>
    <rPh sb="10" eb="12">
      <t>バアイ</t>
    </rPh>
    <phoneticPr fontId="8"/>
  </si>
  <si>
    <t>2021/08/20版</t>
    <rPh sb="10" eb="11">
      <t>バン</t>
    </rPh>
    <phoneticPr fontId="8"/>
  </si>
  <si>
    <t>2021年9月(設計委託用 金無)</t>
    <rPh sb="4" eb="5">
      <t>ネン</t>
    </rPh>
    <rPh sb="6" eb="7">
      <t>ツキ</t>
    </rPh>
    <phoneticPr fontId="8"/>
  </si>
  <si>
    <t>標準単価金額無2021.xls</t>
    <rPh sb="0" eb="2">
      <t>ヒョウジュン</t>
    </rPh>
    <rPh sb="2" eb="4">
      <t>タンカ</t>
    </rPh>
    <rPh sb="4" eb="6">
      <t>キンガク</t>
    </rPh>
    <rPh sb="6" eb="7">
      <t>ナ</t>
    </rPh>
    <phoneticPr fontId="8"/>
  </si>
  <si>
    <t>2021年9月</t>
    <rPh sb="4" eb="5">
      <t>ネン</t>
    </rPh>
    <rPh sb="6" eb="7">
      <t>ツキ</t>
    </rPh>
    <phoneticPr fontId="8"/>
  </si>
  <si>
    <t>標準単価2021.xls</t>
    <rPh sb="0" eb="2">
      <t>ヒョウジュン</t>
    </rPh>
    <rPh sb="2" eb="4">
      <t>タンカ</t>
    </rPh>
    <phoneticPr fontId="8"/>
  </si>
  <si>
    <t>地下空間の大規模改革に伴う基本設計その他業務委託（4号線谷町四丁目外5駅の部）</t>
    <rPh sb="0" eb="2">
      <t>チカ</t>
    </rPh>
    <rPh sb="2" eb="4">
      <t>クウカン</t>
    </rPh>
    <rPh sb="5" eb="8">
      <t>ダイキボ</t>
    </rPh>
    <rPh sb="8" eb="10">
      <t>カイカク</t>
    </rPh>
    <rPh sb="11" eb="12">
      <t>トモナ</t>
    </rPh>
    <rPh sb="13" eb="15">
      <t>キホン</t>
    </rPh>
    <rPh sb="15" eb="17">
      <t>セッケイ</t>
    </rPh>
    <rPh sb="19" eb="20">
      <t>タ</t>
    </rPh>
    <rPh sb="20" eb="22">
      <t>ギョウム</t>
    </rPh>
    <rPh sb="22" eb="24">
      <t>イタク</t>
    </rPh>
    <rPh sb="26" eb="28">
      <t>ゴウセン</t>
    </rPh>
    <rPh sb="28" eb="29">
      <t>タニ</t>
    </rPh>
    <rPh sb="29" eb="33">
      <t>マチヨンチョウメ</t>
    </rPh>
    <rPh sb="33" eb="34">
      <t>ガイ</t>
    </rPh>
    <rPh sb="35" eb="36">
      <t>エキ</t>
    </rPh>
    <rPh sb="37" eb="38">
      <t>ブ</t>
    </rPh>
    <phoneticPr fontId="8"/>
  </si>
  <si>
    <t>駅リニューアル企画課</t>
    <rPh sb="0" eb="1">
      <t>エキ</t>
    </rPh>
    <rPh sb="7" eb="9">
      <t>キカク</t>
    </rPh>
    <rPh sb="9" eb="10">
      <t>カ</t>
    </rPh>
    <phoneticPr fontId="9"/>
  </si>
  <si>
    <t>川元　正博</t>
    <rPh sb="0" eb="2">
      <t>カワモト</t>
    </rPh>
    <rPh sb="3" eb="5">
      <t>マサヒロ</t>
    </rPh>
    <phoneticPr fontId="9"/>
  </si>
  <si>
    <t>堀田　裕紀</t>
    <rPh sb="0" eb="2">
      <t>ホッタ</t>
    </rPh>
    <rPh sb="3" eb="5">
      <t>ユウキ</t>
    </rPh>
    <phoneticPr fontId="9"/>
  </si>
  <si>
    <t>建築設計・監理（一級）</t>
    <rPh sb="0" eb="2">
      <t>ケンチク</t>
    </rPh>
    <rPh sb="2" eb="4">
      <t>セッケイ</t>
    </rPh>
    <rPh sb="5" eb="7">
      <t>カンリ</t>
    </rPh>
    <rPh sb="8" eb="9">
      <t>イチ</t>
    </rPh>
    <rPh sb="9" eb="10">
      <t>キュウ</t>
    </rPh>
    <phoneticPr fontId="9"/>
  </si>
  <si>
    <t>随意契約</t>
  </si>
  <si>
    <t>適用外</t>
  </si>
  <si>
    <t>　-</t>
  </si>
  <si>
    <t>M2211002</t>
    <phoneticPr fontId="8"/>
  </si>
  <si>
    <t>基本設計の部</t>
    <rPh sb="0" eb="2">
      <t>キホン</t>
    </rPh>
    <rPh sb="2" eb="4">
      <t>セッケイ</t>
    </rPh>
    <rPh sb="5" eb="6">
      <t>ブ</t>
    </rPh>
    <phoneticPr fontId="4"/>
  </si>
  <si>
    <t>4号線谷町四丁目駅</t>
    <rPh sb="1" eb="8">
      <t>ゴウセンタニマチヨンチョウメ</t>
    </rPh>
    <rPh sb="8" eb="9">
      <t>エキ</t>
    </rPh>
    <phoneticPr fontId="1"/>
  </si>
  <si>
    <t>図面・仕様書どおり</t>
    <rPh sb="0" eb="2">
      <t>ズメン</t>
    </rPh>
    <rPh sb="3" eb="6">
      <t>シヨウショ</t>
    </rPh>
    <phoneticPr fontId="4"/>
  </si>
  <si>
    <t>式</t>
    <rPh sb="0" eb="1">
      <t>シキ</t>
    </rPh>
    <phoneticPr fontId="3"/>
  </si>
  <si>
    <t>諸経費共</t>
    <rPh sb="0" eb="3">
      <t>ショケイヒ</t>
    </rPh>
    <rPh sb="3" eb="4">
      <t>トモ</t>
    </rPh>
    <phoneticPr fontId="4"/>
  </si>
  <si>
    <t>4号線森ノ宮駅</t>
    <rPh sb="1" eb="3">
      <t>ゴウセン</t>
    </rPh>
    <rPh sb="3" eb="4">
      <t>モリ</t>
    </rPh>
    <rPh sb="5" eb="6">
      <t>ミヤ</t>
    </rPh>
    <rPh sb="6" eb="7">
      <t>エキ</t>
    </rPh>
    <phoneticPr fontId="4"/>
  </si>
  <si>
    <t>小計</t>
    <rPh sb="0" eb="2">
      <t>ショウケイ</t>
    </rPh>
    <phoneticPr fontId="3"/>
  </si>
  <si>
    <t>消費税及び地方消費税相当額</t>
    <rPh sb="0" eb="3">
      <t>ショウヒゼイ</t>
    </rPh>
    <rPh sb="3" eb="4">
      <t>オヨ</t>
    </rPh>
    <rPh sb="5" eb="7">
      <t>チホウ</t>
    </rPh>
    <rPh sb="7" eb="10">
      <t>ショウヒゼイ</t>
    </rPh>
    <rPh sb="10" eb="12">
      <t>ソウトウ</t>
    </rPh>
    <rPh sb="12" eb="13">
      <t>ガク</t>
    </rPh>
    <phoneticPr fontId="3"/>
  </si>
  <si>
    <t>計</t>
    <rPh sb="0" eb="1">
      <t>ケイ</t>
    </rPh>
    <phoneticPr fontId="4"/>
  </si>
  <si>
    <t>設計企画の部</t>
    <rPh sb="0" eb="2">
      <t>セッケイ</t>
    </rPh>
    <rPh sb="2" eb="4">
      <t>キカク</t>
    </rPh>
    <rPh sb="5" eb="6">
      <t>ブ</t>
    </rPh>
    <phoneticPr fontId="4"/>
  </si>
  <si>
    <t>1号線本町駅</t>
    <rPh sb="1" eb="3">
      <t>ゴウセン</t>
    </rPh>
    <rPh sb="3" eb="5">
      <t>ホンマチ</t>
    </rPh>
    <rPh sb="5" eb="6">
      <t>エキ</t>
    </rPh>
    <phoneticPr fontId="4"/>
  </si>
  <si>
    <t>4号線本町駅</t>
    <rPh sb="1" eb="3">
      <t>ゴウセン</t>
    </rPh>
    <rPh sb="3" eb="5">
      <t>ホンマチ</t>
    </rPh>
    <rPh sb="5" eb="6">
      <t>エキ</t>
    </rPh>
    <phoneticPr fontId="4"/>
  </si>
  <si>
    <t>設計監修の部（その１）</t>
    <rPh sb="0" eb="2">
      <t>セッケイ</t>
    </rPh>
    <rPh sb="2" eb="4">
      <t>カンシュウ</t>
    </rPh>
    <rPh sb="5" eb="6">
      <t>ブ</t>
    </rPh>
    <phoneticPr fontId="4"/>
  </si>
  <si>
    <t>淀屋橋駅</t>
    <rPh sb="0" eb="4">
      <t>ヨドヤバシエキ</t>
    </rPh>
    <phoneticPr fontId="1"/>
  </si>
  <si>
    <t>仕様書どおり</t>
    <rPh sb="0" eb="3">
      <t>シヨウショ</t>
    </rPh>
    <phoneticPr fontId="4"/>
  </si>
  <si>
    <t>1号線天王寺駅</t>
    <rPh sb="1" eb="3">
      <t>ゴウセン</t>
    </rPh>
    <rPh sb="3" eb="7">
      <t>テンノウジエキ</t>
    </rPh>
    <phoneticPr fontId="4"/>
  </si>
  <si>
    <t>設計監修の部（その２）</t>
    <rPh sb="0" eb="2">
      <t>セッケイ</t>
    </rPh>
    <rPh sb="2" eb="4">
      <t>カンシュウ</t>
    </rPh>
    <rPh sb="5" eb="6">
      <t>ブ</t>
    </rPh>
    <phoneticPr fontId="4"/>
  </si>
  <si>
    <t>設計監修の部（その３）</t>
    <rPh sb="0" eb="2">
      <t>セッケイ</t>
    </rPh>
    <rPh sb="2" eb="4">
      <t>カンシュウ</t>
    </rPh>
    <rPh sb="5" eb="6">
      <t>ブ</t>
    </rPh>
    <phoneticPr fontId="4"/>
  </si>
  <si>
    <t>合計</t>
    <rPh sb="0" eb="2">
      <t>ゴウケイ</t>
    </rPh>
    <phoneticPr fontId="4"/>
  </si>
  <si>
    <t>費目</t>
    <rPh sb="0" eb="2">
      <t>ヒモ</t>
    </rPh>
    <phoneticPr fontId="8"/>
  </si>
  <si>
    <t>費目</t>
    <rPh sb="0" eb="2">
      <t>ヒモク</t>
    </rPh>
    <phoneticPr fontId="8"/>
  </si>
  <si>
    <t>業務1</t>
    <rPh sb="0" eb="2">
      <t>ギョウム</t>
    </rPh>
    <phoneticPr fontId="8"/>
  </si>
  <si>
    <t>業務2</t>
    <phoneticPr fontId="8"/>
  </si>
  <si>
    <t>業務6</t>
    <phoneticPr fontId="8"/>
  </si>
  <si>
    <t>業務7</t>
    <phoneticPr fontId="8"/>
  </si>
  <si>
    <t>業務9</t>
    <phoneticPr fontId="8"/>
  </si>
  <si>
    <t>業務10</t>
    <phoneticPr fontId="8"/>
  </si>
  <si>
    <t>業務3</t>
    <rPh sb="0" eb="2">
      <t>ギョウ</t>
    </rPh>
    <phoneticPr fontId="8"/>
  </si>
  <si>
    <t>業務4</t>
    <rPh sb="0" eb="1">
      <t>ギョウ</t>
    </rPh>
    <phoneticPr fontId="8"/>
  </si>
  <si>
    <t>業務5</t>
    <rPh sb="0" eb="2">
      <t>ギョウム</t>
    </rPh>
    <phoneticPr fontId="8"/>
  </si>
  <si>
    <t>業務8</t>
    <rPh sb="0" eb="1">
      <t>ギョウ</t>
    </rPh>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</si>
</sst>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76" formatCode=";;;"/>
    <numFmt numFmtId="177" formatCode="#,##0;&quot;△ &quot;#,##0"/>
    <numFmt numFmtId="178" formatCode="0&quot;A&quot;"/>
    <numFmt numFmtId="179" formatCode="#,##0_ "/>
    <numFmt numFmtId="180" formatCode="0_ "/>
    <numFmt numFmtId="181" formatCode="0;0;;@"/>
    <numFmt numFmtId="182" formatCode="&quot;◇&quot;@"/>
    <numFmt numFmtId="183" formatCode="General;\-General;"/>
    <numFmt numFmtId="184" formatCode="#,##0;&quot;△ &quot;#,##0;"/>
    <numFmt numFmtId="185" formatCode="0;&quot;△&quot;0;;"/>
    <numFmt numFmtId="186" formatCode="General;&quot;△&quot;General;"/>
    <numFmt numFmtId="187" formatCode="[$-411]ggge&quot;年&quot;m&quot;月&quot;d&quot;日&quot;;@"/>
    <numFmt numFmtId="188" formatCode="0.0"/>
    <numFmt numFmtId="189" formatCode="yyyy&quot;年&quot;m&quot;月&quot;d&quot;日&quot;;@"/>
    <numFmt numFmtId="190" formatCode="&quot;2018-&quot;####"/>
    <numFmt numFmtId="191" formatCode="0.0_ "/>
    <numFmt numFmtId="192" formatCode="#,##0.0;[Red]\-#,##0.0"/>
    <numFmt numFmtId="193" formatCode="0.00_ "/>
    <numFmt numFmtId="194" formatCode="0_);[Red]\(0\)"/>
    <numFmt numFmtId="195" formatCode="####&quot;-&quot;"/>
  </numFmts>
  <fonts count="78">
    <font>
      <sz val="11"/>
      <name val="ＭＳ Ｐゴシック"/>
      <family val="3"/>
      <charset val="128"/>
    </font>
    <font>
      <sz val="11"/>
      <color theme="1"/>
      <name val="ＭＳ Ｐゴシック"/>
      <family val="2"/>
      <charset val="128"/>
    </font>
    <font>
      <sz val="11"/>
      <color theme="1"/>
      <name val="ＭＳ Ｐゴシック"/>
      <family val="2"/>
      <charset val="128"/>
    </font>
    <font>
      <sz val="11"/>
      <color theme="1"/>
      <name val="ＭＳ Ｐゴシック"/>
      <family val="2"/>
      <charset val="128"/>
    </font>
    <font>
      <sz val="11"/>
      <color theme="1"/>
      <name val="ＭＳ Ｐゴシック"/>
      <family val="2"/>
      <charset val="128"/>
    </font>
    <font>
      <sz val="11"/>
      <color theme="1"/>
      <name val="ＭＳ Ｐゴシック"/>
      <family val="2"/>
      <charset val="128"/>
    </font>
    <font>
      <sz val="11"/>
      <color theme="1"/>
      <name val="ＭＳ Ｐゴシック"/>
      <family val="2"/>
      <charset val="128"/>
    </font>
    <font>
      <sz val="11"/>
      <name val="ＭＳ Ｐゴシック"/>
      <family val="3"/>
      <charset val="128"/>
    </font>
    <font>
      <sz val="6"/>
      <name val="ＭＳ Ｐゴシック"/>
      <family val="3"/>
      <charset val="128"/>
    </font>
    <font>
      <sz val="11"/>
      <name val="ＭＳ Ｐ明朝"/>
      <family val="1"/>
      <charset val="128"/>
    </font>
    <font>
      <sz val="10"/>
      <name val="ＭＳ Ｐ明朝"/>
      <family val="1"/>
      <charset val="128"/>
    </font>
    <font>
      <sz val="14"/>
      <color indexed="8"/>
      <name val="ＭＳ Ｐ明朝"/>
      <family val="1"/>
      <charset val="128"/>
    </font>
    <font>
      <b/>
      <sz val="14"/>
      <color indexed="8"/>
      <name val="ＭＳ Ｐ明朝"/>
      <family val="1"/>
      <charset val="128"/>
    </font>
    <font>
      <b/>
      <sz val="20"/>
      <color indexed="8"/>
      <name val="ＭＳ Ｐゴシック"/>
      <family val="3"/>
      <charset val="128"/>
    </font>
    <font>
      <sz val="8"/>
      <color indexed="8"/>
      <name val="ＭＳ Ｐ明朝"/>
      <family val="1"/>
      <charset val="128"/>
    </font>
    <font>
      <sz val="10"/>
      <color indexed="8"/>
      <name val="ＭＳ Ｐ明朝"/>
      <family val="1"/>
      <charset val="128"/>
    </font>
    <font>
      <sz val="10"/>
      <name val="ＭＳ Ｐゴシック"/>
      <family val="3"/>
      <charset val="128"/>
    </font>
    <font>
      <b/>
      <sz val="11"/>
      <color indexed="8"/>
      <name val="ＭＳ Ｐ明朝"/>
      <family val="1"/>
      <charset val="128"/>
    </font>
    <font>
      <sz val="12"/>
      <color indexed="8"/>
      <name val="ＭＳ Ｐ明朝"/>
      <family val="1"/>
      <charset val="128"/>
    </font>
    <font>
      <sz val="11"/>
      <color indexed="8"/>
      <name val="ＭＳ Ｐ明朝"/>
      <family val="1"/>
      <charset val="128"/>
    </font>
    <font>
      <sz val="16"/>
      <name val="ＭＳ Ｐ明朝"/>
      <family val="1"/>
      <charset val="128"/>
    </font>
    <font>
      <sz val="24"/>
      <color indexed="8"/>
      <name val="ＭＳ ゴシック"/>
      <family val="3"/>
      <charset val="128"/>
    </font>
    <font>
      <sz val="13"/>
      <color indexed="8"/>
      <name val="ＭＳ Ｐ明朝"/>
      <family val="1"/>
      <charset val="128"/>
    </font>
    <font>
      <sz val="9"/>
      <name val="ＭＳ Ｐ明朝"/>
      <family val="1"/>
      <charset val="128"/>
    </font>
    <font>
      <b/>
      <sz val="11"/>
      <name val="ＭＳ Ｐゴシック"/>
      <family val="3"/>
      <charset val="128"/>
    </font>
    <font>
      <sz val="14"/>
      <name val="ＭＳ Ｐゴシック"/>
      <family val="3"/>
      <charset val="128"/>
    </font>
    <font>
      <b/>
      <u/>
      <sz val="11"/>
      <name val="ＭＳ Ｐゴシック"/>
      <family val="3"/>
      <charset val="128"/>
    </font>
    <font>
      <sz val="14"/>
      <name val="ＭＳ Ｐ明朝"/>
      <family val="1"/>
      <charset val="128"/>
    </font>
    <font>
      <sz val="9"/>
      <name val="ＭＳ Ｐゴシック"/>
      <family val="3"/>
      <charset val="128"/>
    </font>
    <font>
      <sz val="9"/>
      <color indexed="8"/>
      <name val="ＭＳ Ｐ明朝"/>
      <family val="1"/>
      <charset val="128"/>
    </font>
    <font>
      <i/>
      <sz val="9"/>
      <name val="ＭＳ Ｐゴシック"/>
      <family val="3"/>
      <charset val="128"/>
    </font>
    <font>
      <sz val="12"/>
      <name val="ＭＳ Ｐゴシック"/>
      <family val="3"/>
      <charset val="128"/>
    </font>
    <font>
      <sz val="12"/>
      <name val="ＭＳ Ｐ明朝"/>
      <family val="1"/>
      <charset val="128"/>
    </font>
    <font>
      <sz val="8"/>
      <name val="ＭＳ Ｐ明朝"/>
      <family val="1"/>
      <charset val="128"/>
    </font>
    <font>
      <sz val="11"/>
      <color indexed="10"/>
      <name val="ＭＳ Ｐ明朝"/>
      <family val="1"/>
      <charset val="128"/>
    </font>
    <font>
      <b/>
      <sz val="9"/>
      <name val="ＭＳ Ｐゴシック"/>
      <family val="3"/>
      <charset val="128"/>
    </font>
    <font>
      <sz val="8"/>
      <name val="ＭＳ Ｐゴシック"/>
      <family val="3"/>
      <charset val="128"/>
    </font>
    <font>
      <sz val="11"/>
      <color rgb="FFFF0000"/>
      <name val="ＭＳ Ｐ明朝"/>
      <family val="1"/>
      <charset val="128"/>
    </font>
    <font>
      <b/>
      <sz val="11"/>
      <name val="ＭＳ Ｐ明朝"/>
      <family val="1"/>
      <charset val="128"/>
    </font>
    <font>
      <sz val="12"/>
      <name val="ＭＳ 明朝"/>
      <family val="1"/>
      <charset val="128"/>
    </font>
    <font>
      <sz val="11"/>
      <color rgb="FF00B050"/>
      <name val="ＭＳ Ｐ明朝"/>
      <family val="1"/>
      <charset val="128"/>
    </font>
    <font>
      <sz val="11"/>
      <color rgb="FF000000"/>
      <name val="ＭＳ Ｐ明朝"/>
      <family val="1"/>
      <charset val="128"/>
    </font>
    <font>
      <sz val="9"/>
      <color indexed="81"/>
      <name val="MS P ゴシック"/>
      <family val="3"/>
      <charset val="128"/>
    </font>
    <font>
      <b/>
      <sz val="9"/>
      <color indexed="81"/>
      <name val="MS P ゴシック"/>
      <family val="3"/>
      <charset val="128"/>
    </font>
    <font>
      <sz val="11"/>
      <color theme="1"/>
      <name val="Meiryo UI"/>
      <family val="3"/>
      <charset val="128"/>
    </font>
    <font>
      <b/>
      <u/>
      <sz val="10"/>
      <color indexed="8"/>
      <name val="ＭＳ Ｐ明朝"/>
      <family val="1"/>
      <charset val="128"/>
    </font>
    <font>
      <sz val="11"/>
      <color theme="1"/>
      <name val="ＭＳ Ｐゴシック"/>
      <family val="2"/>
      <charset val="128"/>
      <scheme val="minor"/>
    </font>
    <font>
      <sz val="6"/>
      <name val="ＭＳ Ｐゴシック"/>
      <family val="2"/>
      <charset val="128"/>
      <scheme val="minor"/>
    </font>
    <font>
      <sz val="11"/>
      <color theme="0"/>
      <name val="Meiryo UI"/>
      <family val="3"/>
      <charset val="128"/>
    </font>
    <font>
      <sz val="12"/>
      <color theme="0"/>
      <name val="Meiryo UI"/>
      <family val="3"/>
      <charset val="128"/>
    </font>
    <font>
      <sz val="11"/>
      <color theme="0"/>
      <name val="ＭＳ Ｐ明朝"/>
      <family val="1"/>
      <charset val="128"/>
    </font>
    <font>
      <b/>
      <sz val="11"/>
      <color rgb="FFFF0000"/>
      <name val="ＭＳ Ｐ明朝"/>
      <family val="1"/>
      <charset val="128"/>
    </font>
    <font>
      <sz val="11"/>
      <name val="Meiryo UI"/>
      <family val="3"/>
      <charset val="128"/>
    </font>
    <font>
      <sz val="9"/>
      <name val="Meiryo UI"/>
      <family val="3"/>
      <charset val="128"/>
    </font>
    <font>
      <sz val="10"/>
      <name val="Meiryo UI"/>
      <family val="3"/>
      <charset val="128"/>
    </font>
    <font>
      <u/>
      <sz val="11"/>
      <color theme="10"/>
      <name val="ＭＳ Ｐゴシック"/>
      <family val="3"/>
      <charset val="128"/>
    </font>
    <font>
      <b/>
      <sz val="10"/>
      <name val="ＭＳ Ｐ明朝"/>
      <family val="1"/>
      <charset val="128"/>
    </font>
    <font>
      <b/>
      <sz val="9"/>
      <name val="ＭＳ Ｐ明朝"/>
      <family val="1"/>
      <charset val="128"/>
    </font>
    <font>
      <b/>
      <sz val="9"/>
      <color indexed="81"/>
      <name val="ＭＳ Ｐゴシック"/>
      <family val="3"/>
      <charset val="128"/>
    </font>
    <font>
      <sz val="9"/>
      <color indexed="81"/>
      <name val="ＭＳ Ｐゴシック"/>
      <family val="3"/>
      <charset val="128"/>
    </font>
    <font>
      <b/>
      <sz val="16"/>
      <color indexed="8"/>
      <name val="ＭＳ Ｐ明朝"/>
      <family val="1"/>
      <charset val="128"/>
    </font>
    <font>
      <sz val="11"/>
      <name val="ＭＳ ゴシック"/>
      <family val="3"/>
      <charset val="128"/>
    </font>
    <font>
      <b/>
      <sz val="12"/>
      <name val="ＭＳ Ｐ明朝"/>
      <family val="1"/>
      <charset val="128"/>
    </font>
    <font>
      <sz val="10"/>
      <color rgb="FFFF0000"/>
      <name val="ＭＳ Ｐ明朝"/>
      <family val="1"/>
      <charset val="128"/>
    </font>
    <font>
      <sz val="12"/>
      <name val="ＭＳ ゴシック"/>
      <family val="3"/>
      <charset val="128"/>
    </font>
    <font>
      <b/>
      <sz val="16"/>
      <name val="ＭＳ Ｐ明朝"/>
      <family val="1"/>
      <charset val="128"/>
    </font>
    <font>
      <b/>
      <sz val="18"/>
      <color indexed="8"/>
      <name val="ＭＳ Ｐゴシック"/>
      <family val="3"/>
      <charset val="128"/>
    </font>
    <font>
      <sz val="9"/>
      <color indexed="10"/>
      <name val="ＭＳ Ｐ明朝"/>
      <family val="1"/>
      <charset val="128"/>
    </font>
    <font>
      <sz val="11"/>
      <color theme="3" tint="0.79998168889431442"/>
      <name val="ＭＳ Ｐ明朝"/>
      <family val="1"/>
      <charset val="128"/>
    </font>
    <font>
      <sz val="11"/>
      <color theme="8" tint="0.59999389629810485"/>
      <name val="ＭＳ Ｐ明朝"/>
      <family val="1"/>
      <charset val="128"/>
    </font>
    <font>
      <sz val="16"/>
      <color indexed="8"/>
      <name val="ＭＳ Ｐ明朝"/>
      <family val="1"/>
      <charset val="128"/>
    </font>
    <font>
      <sz val="16"/>
      <name val="ＭＳ Ｐゴシック"/>
      <family val="3"/>
      <charset val="128"/>
    </font>
    <font>
      <sz val="10"/>
      <color theme="0"/>
      <name val="ＭＳ Ｐ明朝"/>
      <family val="1"/>
      <charset val="128"/>
    </font>
    <font>
      <sz val="11"/>
      <color rgb="FF000000"/>
      <name val="ＭＳ Ｐゴシック"/>
      <family val="2"/>
      <charset val="128"/>
    </font>
    <font>
      <b/>
      <sz val="11"/>
      <color rgb="FF0000FF"/>
      <name val="Meiryo UI"/>
      <family val="2"/>
      <charset val="128"/>
    </font>
    <font>
      <sz val="12"/>
      <color rgb="FF0000FF"/>
      <name val="Meiryo UI"/>
      <family val="2"/>
      <charset val="128"/>
    </font>
    <font>
      <b/>
      <sz val="9"/>
      <color rgb="FF000000"/>
      <name val="MS P ゴシック"/>
      <charset val="128"/>
    </font>
    <font>
      <sz val="9"/>
      <color rgb="FF000000"/>
      <name val="MS P ゴシック"/>
      <charset val="128"/>
    </font>
  </fonts>
  <fills count="33">
    <fill>
      <patternFill patternType="none"/>
    </fill>
    <fill>
      <patternFill patternType="gray125"/>
    </fill>
    <fill>
      <patternFill patternType="solid">
        <fgColor indexed="43"/>
        <bgColor indexed="64"/>
      </patternFill>
    </fill>
    <fill>
      <patternFill patternType="solid">
        <fgColor indexed="11"/>
        <bgColor indexed="64"/>
      </patternFill>
    </fill>
    <fill>
      <patternFill patternType="solid">
        <fgColor indexed="47"/>
        <bgColor indexed="64"/>
      </patternFill>
    </fill>
    <fill>
      <patternFill patternType="solid">
        <fgColor indexed="10"/>
        <bgColor indexed="64"/>
      </patternFill>
    </fill>
    <fill>
      <patternFill patternType="mediumGray">
        <fgColor indexed="43"/>
      </patternFill>
    </fill>
    <fill>
      <patternFill patternType="lightGray">
        <fgColor indexed="45"/>
      </patternFill>
    </fill>
    <fill>
      <patternFill patternType="lightHorizontal">
        <fgColor indexed="42"/>
      </patternFill>
    </fill>
    <fill>
      <patternFill patternType="lightGray">
        <fgColor indexed="51"/>
      </patternFill>
    </fill>
    <fill>
      <patternFill patternType="gray125">
        <fgColor indexed="11"/>
      </patternFill>
    </fill>
    <fill>
      <patternFill patternType="solid">
        <fgColor indexed="42"/>
        <bgColor indexed="64"/>
      </patternFill>
    </fill>
    <fill>
      <patternFill patternType="solid">
        <fgColor rgb="FF00FF00"/>
        <bgColor indexed="64"/>
      </patternFill>
    </fill>
    <fill>
      <patternFill patternType="solid">
        <fgColor theme="9" tint="0.79998168889431442"/>
        <bgColor indexed="64"/>
      </patternFill>
    </fill>
    <fill>
      <patternFill patternType="solid">
        <fgColor theme="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1"/>
        <bgColor indexed="64"/>
      </patternFill>
    </fill>
    <fill>
      <patternFill patternType="solid">
        <fgColor rgb="FF00B0F0"/>
        <bgColor indexed="64"/>
      </patternFill>
    </fill>
    <fill>
      <patternFill patternType="solid">
        <fgColor indexed="9"/>
        <bgColor indexed="64"/>
      </patternFill>
    </fill>
    <fill>
      <patternFill patternType="solid">
        <fgColor rgb="FF66FFCC"/>
        <bgColor indexed="64"/>
      </patternFill>
    </fill>
    <fill>
      <patternFill patternType="solid">
        <fgColor theme="9" tint="0.59999389629810485"/>
        <bgColor indexed="64"/>
      </patternFill>
    </fill>
    <fill>
      <patternFill patternType="solid">
        <fgColor rgb="FF99CCFF"/>
        <bgColor indexed="64"/>
      </patternFill>
    </fill>
    <fill>
      <patternFill patternType="solid">
        <fgColor rgb="FFFFFF66"/>
        <bgColor indexed="64"/>
      </patternFill>
    </fill>
    <fill>
      <patternFill patternType="solid">
        <fgColor rgb="FFC0C0C0"/>
        <bgColor indexed="64"/>
      </patternFill>
    </fill>
    <fill>
      <patternFill patternType="solid">
        <fgColor rgb="FFFF99FF"/>
        <bgColor indexed="64"/>
      </patternFill>
    </fill>
    <fill>
      <patternFill patternType="solid">
        <fgColor rgb="FF66FFFF"/>
        <bgColor indexed="64"/>
      </patternFill>
    </fill>
    <fill>
      <patternFill patternType="solid">
        <fgColor rgb="FFCCFFCC"/>
        <bgColor indexed="64"/>
      </patternFill>
    </fill>
    <fill>
      <patternFill patternType="solid">
        <fgColor rgb="FFFF9999"/>
        <bgColor indexed="64"/>
      </patternFill>
    </fill>
    <fill>
      <patternFill patternType="solid">
        <fgColor theme="0" tint="-4.9989318521683403E-2"/>
        <bgColor indexed="64"/>
      </patternFill>
    </fill>
    <fill>
      <patternFill patternType="solid">
        <fgColor rgb="FFFFCCFF"/>
        <bgColor indexed="64"/>
      </patternFill>
    </fill>
    <fill>
      <patternFill patternType="solid">
        <fgColor theme="0" tint="-0.14999847407452621"/>
        <bgColor indexed="64"/>
      </patternFill>
    </fill>
  </fills>
  <borders count="359">
    <border>
      <left/>
      <right/>
      <top/>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top/>
      <bottom style="medium">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double">
        <color indexed="64"/>
      </right>
      <top style="double">
        <color indexed="64"/>
      </top>
      <bottom style="medium">
        <color indexed="64"/>
      </bottom>
      <diagonal/>
    </border>
    <border>
      <left style="medium">
        <color indexed="64"/>
      </left>
      <right style="dotted">
        <color indexed="64"/>
      </right>
      <top style="medium">
        <color indexed="64"/>
      </top>
      <bottom style="hair">
        <color indexed="64"/>
      </bottom>
      <diagonal/>
    </border>
    <border>
      <left style="medium">
        <color indexed="64"/>
      </left>
      <right style="dotted">
        <color indexed="64"/>
      </right>
      <top style="hair">
        <color indexed="64"/>
      </top>
      <bottom style="hair">
        <color indexed="64"/>
      </bottom>
      <diagonal/>
    </border>
    <border>
      <left style="medium">
        <color indexed="64"/>
      </left>
      <right style="dotted">
        <color indexed="64"/>
      </right>
      <top style="hair">
        <color indexed="64"/>
      </top>
      <bottom style="double">
        <color indexed="64"/>
      </bottom>
      <diagonal/>
    </border>
    <border>
      <left style="thin">
        <color indexed="64"/>
      </left>
      <right style="hair">
        <color indexed="64"/>
      </right>
      <top style="medium">
        <color indexed="64"/>
      </top>
      <bottom/>
      <diagonal/>
    </border>
    <border>
      <left style="thin">
        <color indexed="64"/>
      </left>
      <right style="hair">
        <color indexed="64"/>
      </right>
      <top/>
      <bottom style="medium">
        <color indexed="64"/>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double">
        <color indexed="64"/>
      </bottom>
      <diagonal/>
    </border>
    <border>
      <left style="double">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double">
        <color indexed="64"/>
      </left>
      <right style="hair">
        <color indexed="64"/>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double">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double">
        <color indexed="64"/>
      </left>
      <right style="hair">
        <color indexed="64"/>
      </right>
      <top style="double">
        <color indexed="64"/>
      </top>
      <bottom style="medium">
        <color indexed="64"/>
      </bottom>
      <diagonal/>
    </border>
    <border>
      <left style="hair">
        <color indexed="64"/>
      </left>
      <right style="thin">
        <color indexed="64"/>
      </right>
      <top style="double">
        <color indexed="64"/>
      </top>
      <bottom style="medium">
        <color indexed="64"/>
      </bottom>
      <diagonal/>
    </border>
    <border>
      <left style="thin">
        <color indexed="64"/>
      </left>
      <right style="hair">
        <color indexed="64"/>
      </right>
      <top style="hair">
        <color indexed="64"/>
      </top>
      <bottom style="medium">
        <color indexed="64"/>
      </bottom>
      <diagonal/>
    </border>
    <border>
      <left style="thin">
        <color indexed="64"/>
      </left>
      <right style="hair">
        <color indexed="64"/>
      </right>
      <top style="double">
        <color indexed="64"/>
      </top>
      <bottom style="medium">
        <color indexed="64"/>
      </bottom>
      <diagonal/>
    </border>
    <border>
      <left/>
      <right/>
      <top style="hair">
        <color indexed="8"/>
      </top>
      <bottom style="hair">
        <color indexed="8"/>
      </bottom>
      <diagonal/>
    </border>
    <border>
      <left/>
      <right style="medium">
        <color indexed="8"/>
      </right>
      <top style="hair">
        <color indexed="8"/>
      </top>
      <bottom style="hair">
        <color indexed="8"/>
      </bottom>
      <diagonal/>
    </border>
    <border>
      <left style="hair">
        <color indexed="8"/>
      </left>
      <right style="hair">
        <color indexed="8"/>
      </right>
      <top style="medium">
        <color indexed="8"/>
      </top>
      <bottom style="hair">
        <color indexed="8"/>
      </bottom>
      <diagonal/>
    </border>
    <border>
      <left style="dotted">
        <color indexed="64"/>
      </left>
      <right/>
      <top style="medium">
        <color indexed="64"/>
      </top>
      <bottom style="hair">
        <color indexed="64"/>
      </bottom>
      <diagonal/>
    </border>
    <border>
      <left style="dotted">
        <color indexed="64"/>
      </left>
      <right/>
      <top style="hair">
        <color indexed="64"/>
      </top>
      <bottom style="hair">
        <color indexed="64"/>
      </bottom>
      <diagonal/>
    </border>
    <border>
      <left style="dotted">
        <color indexed="64"/>
      </left>
      <right/>
      <top style="hair">
        <color indexed="64"/>
      </top>
      <bottom style="double">
        <color indexed="64"/>
      </bottom>
      <diagonal/>
    </border>
    <border>
      <left/>
      <right style="double">
        <color indexed="64"/>
      </right>
      <top style="medium">
        <color indexed="64"/>
      </top>
      <bottom/>
      <diagonal/>
    </border>
    <border>
      <left/>
      <right style="double">
        <color indexed="64"/>
      </right>
      <top/>
      <bottom style="medium">
        <color indexed="64"/>
      </bottom>
      <diagonal/>
    </border>
    <border>
      <left/>
      <right style="double">
        <color indexed="64"/>
      </right>
      <top style="medium">
        <color indexed="64"/>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double">
        <color indexed="64"/>
      </bottom>
      <diagonal/>
    </border>
    <border>
      <left style="hair">
        <color indexed="64"/>
      </left>
      <right/>
      <top style="medium">
        <color indexed="64"/>
      </top>
      <bottom/>
      <diagonal/>
    </border>
    <border>
      <left style="hair">
        <color indexed="64"/>
      </left>
      <right/>
      <top/>
      <bottom style="medium">
        <color indexed="64"/>
      </bottom>
      <diagonal/>
    </border>
    <border>
      <left style="hair">
        <color indexed="64"/>
      </left>
      <right/>
      <top style="medium">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double">
        <color indexed="64"/>
      </bottom>
      <diagonal/>
    </border>
    <border>
      <left style="hair">
        <color indexed="64"/>
      </left>
      <right style="double">
        <color indexed="64"/>
      </right>
      <top style="medium">
        <color indexed="64"/>
      </top>
      <bottom style="hair">
        <color indexed="64"/>
      </bottom>
      <diagonal/>
    </border>
    <border>
      <left style="hair">
        <color indexed="64"/>
      </left>
      <right style="double">
        <color indexed="64"/>
      </right>
      <top style="hair">
        <color indexed="64"/>
      </top>
      <bottom style="hair">
        <color indexed="64"/>
      </bottom>
      <diagonal/>
    </border>
    <border>
      <left style="hair">
        <color indexed="64"/>
      </left>
      <right style="double">
        <color indexed="64"/>
      </right>
      <top style="hair">
        <color indexed="64"/>
      </top>
      <bottom style="double">
        <color indexed="64"/>
      </bottom>
      <diagonal/>
    </border>
    <border>
      <left style="hair">
        <color indexed="64"/>
      </left>
      <right style="double">
        <color indexed="64"/>
      </right>
      <top style="double">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medium">
        <color indexed="64"/>
      </bottom>
      <diagonal/>
    </border>
    <border>
      <left style="hair">
        <color indexed="8"/>
      </left>
      <right style="hair">
        <color indexed="8"/>
      </right>
      <top/>
      <bottom style="hair">
        <color indexed="8"/>
      </bottom>
      <diagonal/>
    </border>
    <border>
      <left style="medium">
        <color indexed="8"/>
      </left>
      <right/>
      <top style="medium">
        <color indexed="8"/>
      </top>
      <bottom style="hair">
        <color indexed="8"/>
      </bottom>
      <diagonal/>
    </border>
    <border>
      <left/>
      <right/>
      <top style="medium">
        <color indexed="8"/>
      </top>
      <bottom style="hair">
        <color indexed="8"/>
      </bottom>
      <diagonal/>
    </border>
    <border>
      <left/>
      <right style="medium">
        <color indexed="8"/>
      </right>
      <top style="medium">
        <color indexed="8"/>
      </top>
      <bottom style="hair">
        <color indexed="8"/>
      </bottom>
      <diagonal/>
    </border>
    <border>
      <left style="dotted">
        <color indexed="64"/>
      </left>
      <right style="dotted">
        <color indexed="64"/>
      </right>
      <top style="medium">
        <color indexed="64"/>
      </top>
      <bottom style="hair">
        <color indexed="64"/>
      </bottom>
      <diagonal/>
    </border>
    <border>
      <left style="dotted">
        <color indexed="64"/>
      </left>
      <right style="dotted">
        <color indexed="64"/>
      </right>
      <top style="hair">
        <color indexed="64"/>
      </top>
      <bottom style="hair">
        <color indexed="64"/>
      </bottom>
      <diagonal/>
    </border>
    <border>
      <left style="dotted">
        <color indexed="64"/>
      </left>
      <right style="dotted">
        <color indexed="64"/>
      </right>
      <top style="hair">
        <color indexed="64"/>
      </top>
      <bottom style="double">
        <color indexed="64"/>
      </bottom>
      <diagonal/>
    </border>
    <border>
      <left/>
      <right/>
      <top style="hair">
        <color indexed="8"/>
      </top>
      <bottom style="medium">
        <color indexed="8"/>
      </bottom>
      <diagonal/>
    </border>
    <border>
      <left style="thick">
        <color indexed="64"/>
      </left>
      <right style="thick">
        <color indexed="64"/>
      </right>
      <top/>
      <bottom/>
      <diagonal/>
    </border>
    <border>
      <left/>
      <right/>
      <top/>
      <bottom style="hair">
        <color indexed="8"/>
      </bottom>
      <diagonal/>
    </border>
    <border>
      <left/>
      <right style="medium">
        <color indexed="8"/>
      </right>
      <top/>
      <bottom style="hair">
        <color indexed="8"/>
      </bottom>
      <diagonal/>
    </border>
    <border>
      <left style="medium">
        <color indexed="8"/>
      </left>
      <right/>
      <top/>
      <bottom style="hair">
        <color indexed="8"/>
      </bottom>
      <diagonal/>
    </border>
    <border>
      <left style="medium">
        <color indexed="8"/>
      </left>
      <right/>
      <top style="hair">
        <color indexed="8"/>
      </top>
      <bottom style="hair">
        <color indexed="8"/>
      </bottom>
      <diagonal/>
    </border>
    <border>
      <left style="hair">
        <color indexed="8"/>
      </left>
      <right style="hair">
        <color indexed="8"/>
      </right>
      <top style="hair">
        <color indexed="8"/>
      </top>
      <bottom style="hair">
        <color indexed="8"/>
      </bottom>
      <diagonal/>
    </border>
    <border>
      <left style="medium">
        <color indexed="8"/>
      </left>
      <right/>
      <top style="hair">
        <color indexed="8"/>
      </top>
      <bottom style="medium">
        <color indexed="8"/>
      </bottom>
      <diagonal/>
    </border>
    <border>
      <left style="hair">
        <color indexed="8"/>
      </left>
      <right style="hair">
        <color indexed="8"/>
      </right>
      <top style="hair">
        <color indexed="8"/>
      </top>
      <bottom style="medium">
        <color indexed="8"/>
      </bottom>
      <diagonal/>
    </border>
    <border>
      <left/>
      <right style="medium">
        <color indexed="8"/>
      </right>
      <top style="hair">
        <color indexed="8"/>
      </top>
      <bottom style="medium">
        <color indexed="8"/>
      </bottom>
      <diagonal/>
    </border>
    <border>
      <left/>
      <right style="hair">
        <color indexed="8"/>
      </right>
      <top style="hair">
        <color indexed="8"/>
      </top>
      <bottom style="hair">
        <color indexed="8"/>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hair">
        <color indexed="64"/>
      </left>
      <right/>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double">
        <color indexed="64"/>
      </left>
      <right style="dotted">
        <color indexed="64"/>
      </right>
      <top style="medium">
        <color indexed="64"/>
      </top>
      <bottom/>
      <diagonal/>
    </border>
    <border>
      <left style="dotted">
        <color indexed="64"/>
      </left>
      <right style="hair">
        <color indexed="64"/>
      </right>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double">
        <color indexed="64"/>
      </left>
      <right style="dotted">
        <color indexed="64"/>
      </right>
      <top/>
      <bottom style="medium">
        <color indexed="64"/>
      </bottom>
      <diagonal/>
    </border>
    <border>
      <left/>
      <right style="hair">
        <color indexed="64"/>
      </right>
      <top/>
      <bottom style="medium">
        <color indexed="64"/>
      </bottom>
      <diagonal/>
    </border>
    <border>
      <left style="double">
        <color indexed="64"/>
      </left>
      <right style="medium">
        <color indexed="64"/>
      </right>
      <top style="hair">
        <color indexed="64"/>
      </top>
      <bottom style="medium">
        <color indexed="64"/>
      </bottom>
      <diagonal/>
    </border>
    <border>
      <left style="dotted">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thin">
        <color indexed="64"/>
      </left>
      <right/>
      <top style="medium">
        <color indexed="64"/>
      </top>
      <bottom style="hair">
        <color indexed="64"/>
      </bottom>
      <diagonal/>
    </border>
    <border>
      <left style="double">
        <color indexed="64"/>
      </left>
      <right style="dotted">
        <color indexed="64"/>
      </right>
      <top style="medium">
        <color indexed="64"/>
      </top>
      <bottom style="hair">
        <color indexed="64"/>
      </bottom>
      <diagonal/>
    </border>
    <border>
      <left style="double">
        <color indexed="64"/>
      </left>
      <right style="medium">
        <color indexed="64"/>
      </right>
      <top style="medium">
        <color indexed="64"/>
      </top>
      <bottom style="hair">
        <color indexed="64"/>
      </bottom>
      <diagonal/>
    </border>
    <border>
      <left style="dotted">
        <color indexed="64"/>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double">
        <color indexed="64"/>
      </left>
      <right style="dotted">
        <color indexed="64"/>
      </right>
      <top style="hair">
        <color indexed="64"/>
      </top>
      <bottom style="hair">
        <color indexed="64"/>
      </bottom>
      <diagonal/>
    </border>
    <border>
      <left style="double">
        <color indexed="64"/>
      </left>
      <right style="medium">
        <color indexed="64"/>
      </right>
      <top style="hair">
        <color indexed="64"/>
      </top>
      <bottom style="hair">
        <color indexed="64"/>
      </bottom>
      <diagonal/>
    </border>
    <border>
      <left style="medium">
        <color indexed="64"/>
      </left>
      <right style="dotted">
        <color indexed="64"/>
      </right>
      <top style="hair">
        <color indexed="64"/>
      </top>
      <bottom style="medium">
        <color indexed="64"/>
      </bottom>
      <diagonal/>
    </border>
    <border>
      <left style="dotted">
        <color indexed="64"/>
      </left>
      <right style="dotted">
        <color indexed="64"/>
      </right>
      <top style="hair">
        <color indexed="64"/>
      </top>
      <bottom style="medium">
        <color indexed="64"/>
      </bottom>
      <diagonal/>
    </border>
    <border>
      <left style="dotted">
        <color indexed="64"/>
      </left>
      <right/>
      <top style="hair">
        <color indexed="64"/>
      </top>
      <bottom style="medium">
        <color indexed="64"/>
      </bottom>
      <diagonal/>
    </border>
    <border>
      <left style="dotted">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double">
        <color indexed="64"/>
      </left>
      <right style="dotted">
        <color indexed="64"/>
      </right>
      <top style="hair">
        <color indexed="64"/>
      </top>
      <bottom style="medium">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thin">
        <color indexed="64"/>
      </right>
      <top style="hair">
        <color indexed="64"/>
      </top>
      <bottom/>
      <diagonal/>
    </border>
    <border>
      <left/>
      <right style="thin">
        <color indexed="64"/>
      </right>
      <top style="thin">
        <color indexed="64"/>
      </top>
      <bottom style="thin">
        <color indexed="64"/>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thin">
        <color indexed="64"/>
      </left>
      <right style="thin">
        <color indexed="64"/>
      </right>
      <top style="hair">
        <color indexed="64"/>
      </top>
      <bottom/>
      <diagonal/>
    </border>
    <border>
      <left style="dotted">
        <color indexed="64"/>
      </left>
      <right style="hair">
        <color indexed="64"/>
      </right>
      <top style="medium">
        <color indexed="64"/>
      </top>
      <bottom/>
      <diagonal/>
    </border>
    <border>
      <left style="hair">
        <color indexed="64"/>
      </left>
      <right style="thin">
        <color indexed="64"/>
      </right>
      <top style="medium">
        <color indexed="64"/>
      </top>
      <bottom/>
      <diagonal/>
    </border>
    <border>
      <left/>
      <right style="hair">
        <color indexed="64"/>
      </right>
      <top style="medium">
        <color indexed="64"/>
      </top>
      <bottom/>
      <diagonal/>
    </border>
    <border>
      <left style="hair">
        <color indexed="64"/>
      </left>
      <right style="hair">
        <color indexed="64"/>
      </right>
      <top style="medium">
        <color indexed="64"/>
      </top>
      <bottom/>
      <diagonal/>
    </border>
    <border>
      <left style="double">
        <color indexed="64"/>
      </left>
      <right style="medium">
        <color indexed="64"/>
      </right>
      <top style="medium">
        <color indexed="64"/>
      </top>
      <bottom/>
      <diagonal/>
    </border>
    <border>
      <left style="hair">
        <color indexed="64"/>
      </left>
      <right style="hair">
        <color indexed="64"/>
      </right>
      <top/>
      <bottom style="medium">
        <color indexed="64"/>
      </bottom>
      <diagonal/>
    </border>
    <border>
      <left style="hair">
        <color indexed="64"/>
      </left>
      <right style="thin">
        <color indexed="64"/>
      </right>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8"/>
      </left>
      <right/>
      <top style="medium">
        <color indexed="8"/>
      </top>
      <bottom style="hair">
        <color indexed="8"/>
      </bottom>
      <diagonal/>
    </border>
    <border>
      <left/>
      <right/>
      <top/>
      <bottom style="medium">
        <color indexed="8"/>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hair">
        <color indexed="8"/>
      </left>
      <right/>
      <top style="hair">
        <color indexed="8"/>
      </top>
      <bottom style="hair">
        <color indexed="8"/>
      </bottom>
      <diagonal/>
    </border>
    <border>
      <left style="double">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double">
        <color indexed="64"/>
      </right>
      <top style="medium">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top/>
      <bottom style="hair">
        <color indexed="64"/>
      </bottom>
      <diagonal/>
    </border>
    <border>
      <left/>
      <right/>
      <top/>
      <bottom style="hair">
        <color indexed="64"/>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top/>
      <bottom style="medium">
        <color indexed="64"/>
      </bottom>
      <diagonal/>
    </border>
    <border>
      <left/>
      <right style="thin">
        <color indexed="64"/>
      </right>
      <top style="medium">
        <color indexed="64"/>
      </top>
      <bottom style="hair">
        <color indexed="64"/>
      </bottom>
      <diagonal/>
    </border>
    <border>
      <left style="double">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hair">
        <color indexed="64"/>
      </left>
      <right/>
      <top style="hair">
        <color indexed="64"/>
      </top>
      <bottom/>
      <diagonal/>
    </border>
    <border>
      <left/>
      <right style="thin">
        <color indexed="64"/>
      </right>
      <top style="hair">
        <color indexed="64"/>
      </top>
      <bottom/>
      <diagonal/>
    </border>
    <border>
      <left style="double">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top style="dotted">
        <color indexed="64"/>
      </top>
      <bottom style="dotted">
        <color indexed="64"/>
      </bottom>
      <diagonal/>
    </border>
    <border>
      <left/>
      <right style="double">
        <color indexed="64"/>
      </right>
      <top style="thin">
        <color indexed="64"/>
      </top>
      <bottom style="thin">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thin">
        <color indexed="64"/>
      </top>
      <bottom style="hair">
        <color indexed="64"/>
      </bottom>
      <diagonal/>
    </border>
    <border>
      <left/>
      <right/>
      <top/>
      <bottom style="medium">
        <color auto="1"/>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hair">
        <color indexed="64"/>
      </left>
      <right style="hair">
        <color indexed="64"/>
      </right>
      <top style="thin">
        <color indexed="64"/>
      </top>
      <bottom/>
      <diagonal/>
    </border>
    <border>
      <left/>
      <right style="hair">
        <color indexed="64"/>
      </right>
      <top style="thin">
        <color indexed="64"/>
      </top>
      <bottom style="hair">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right style="hair">
        <color indexed="64"/>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right style="hair">
        <color indexed="64"/>
      </right>
      <top style="thin">
        <color indexed="64"/>
      </top>
      <bottom style="thin">
        <color indexed="64"/>
      </bottom>
      <diagonal/>
    </border>
    <border>
      <left/>
      <right style="hair">
        <color indexed="64"/>
      </right>
      <top style="thin">
        <color indexed="64"/>
      </top>
      <bottom style="double">
        <color indexed="64"/>
      </bottom>
      <diagonal/>
    </border>
    <border>
      <left style="hair">
        <color indexed="64"/>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hair">
        <color indexed="64"/>
      </left>
      <right style="thin">
        <color indexed="64"/>
      </right>
      <top style="thin">
        <color indexed="64"/>
      </top>
      <bottom style="double">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diagonal/>
    </border>
    <border>
      <left style="dotted">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diagonal/>
    </border>
    <border>
      <left style="dotted">
        <color indexed="64"/>
      </left>
      <right style="dotted">
        <color indexed="64"/>
      </right>
      <top/>
      <bottom style="dotted">
        <color indexed="64"/>
      </bottom>
      <diagonal/>
    </border>
    <border>
      <left/>
      <right/>
      <top style="hair">
        <color indexed="64"/>
      </top>
      <bottom style="hair">
        <color indexed="64"/>
      </bottom>
      <diagonal/>
    </border>
    <border>
      <left style="hair">
        <color indexed="8"/>
      </left>
      <right style="hair">
        <color indexed="8"/>
      </right>
      <top style="hair">
        <color indexed="8"/>
      </top>
      <bottom style="hair">
        <color indexed="8"/>
      </bottom>
      <diagonal/>
    </border>
    <border>
      <left/>
      <right/>
      <top style="hair">
        <color indexed="8"/>
      </top>
      <bottom style="hair">
        <color indexed="8"/>
      </bottom>
      <diagonal/>
    </border>
    <border>
      <left/>
      <right style="medium">
        <color indexed="8"/>
      </right>
      <top style="hair">
        <color indexed="8"/>
      </top>
      <bottom style="hair">
        <color indexed="8"/>
      </bottom>
      <diagonal/>
    </border>
    <border>
      <left style="hair">
        <color indexed="8"/>
      </left>
      <right/>
      <top style="hair">
        <color indexed="8"/>
      </top>
      <bottom style="hair">
        <color indexed="8"/>
      </bottom>
      <diagonal/>
    </border>
    <border>
      <left style="hair">
        <color indexed="8"/>
      </left>
      <right style="hair">
        <color indexed="8"/>
      </right>
      <top/>
      <bottom style="hair">
        <color indexed="8"/>
      </bottom>
      <diagonal/>
    </border>
    <border>
      <left style="medium">
        <color indexed="8"/>
      </left>
      <right/>
      <top/>
      <bottom style="hair">
        <color indexed="8"/>
      </bottom>
      <diagonal/>
    </border>
    <border>
      <left/>
      <right/>
      <top/>
      <bottom style="hair">
        <color indexed="8"/>
      </bottom>
      <diagonal/>
    </border>
    <border>
      <left/>
      <right style="medium">
        <color indexed="8"/>
      </right>
      <top/>
      <bottom style="hair">
        <color indexed="8"/>
      </bottom>
      <diagonal/>
    </border>
    <border>
      <left style="medium">
        <color indexed="8"/>
      </left>
      <right/>
      <top style="hair">
        <color indexed="8"/>
      </top>
      <bottom style="hair">
        <color indexed="8"/>
      </bottom>
      <diagonal/>
    </border>
    <border>
      <left style="medium">
        <color indexed="8"/>
      </left>
      <right/>
      <top style="hair">
        <color indexed="8"/>
      </top>
      <bottom style="thin">
        <color indexed="8"/>
      </bottom>
      <diagonal/>
    </border>
    <border>
      <left/>
      <right/>
      <top style="hair">
        <color indexed="8"/>
      </top>
      <bottom style="thin">
        <color indexed="8"/>
      </bottom>
      <diagonal/>
    </border>
    <border>
      <left style="hair">
        <color indexed="8"/>
      </left>
      <right style="hair">
        <color indexed="8"/>
      </right>
      <top style="hair">
        <color indexed="8"/>
      </top>
      <bottom style="thin">
        <color indexed="8"/>
      </bottom>
      <diagonal/>
    </border>
    <border>
      <left/>
      <right style="medium">
        <color indexed="8"/>
      </right>
      <top style="hair">
        <color indexed="8"/>
      </top>
      <bottom style="thin">
        <color indexed="8"/>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indexed="8"/>
      </left>
      <right/>
      <top style="hair">
        <color indexed="8"/>
      </top>
      <bottom style="hair">
        <color indexed="8"/>
      </bottom>
      <diagonal/>
    </border>
    <border>
      <left/>
      <right/>
      <top style="hair">
        <color indexed="8"/>
      </top>
      <bottom style="hair">
        <color indexed="8"/>
      </bottom>
      <diagonal/>
    </border>
    <border>
      <left/>
      <right style="medium">
        <color indexed="8"/>
      </right>
      <top style="hair">
        <color indexed="8"/>
      </top>
      <bottom style="hair">
        <color indexed="8"/>
      </bottom>
      <diagonal/>
    </border>
    <border>
      <left/>
      <right/>
      <top/>
      <bottom style="medium">
        <color indexed="8"/>
      </bottom>
      <diagonal/>
    </border>
    <border>
      <left/>
      <right/>
      <top/>
      <bottom style="hair">
        <color indexed="8"/>
      </bottom>
      <diagonal/>
    </border>
    <border>
      <left style="medium">
        <color indexed="8"/>
      </left>
      <right style="medium">
        <color indexed="8"/>
      </right>
      <top style="medium">
        <color indexed="8"/>
      </top>
      <bottom style="hair">
        <color indexed="8"/>
      </bottom>
      <diagonal/>
    </border>
    <border>
      <left style="medium">
        <color indexed="8"/>
      </left>
      <right style="medium">
        <color indexed="8"/>
      </right>
      <top style="hair">
        <color indexed="8"/>
      </top>
      <bottom style="hair">
        <color indexed="8"/>
      </bottom>
      <diagonal/>
    </border>
    <border>
      <left style="medium">
        <color indexed="8"/>
      </left>
      <right style="medium">
        <color indexed="8"/>
      </right>
      <top style="hair">
        <color indexed="8"/>
      </top>
      <bottom style="medium">
        <color indexed="8"/>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8"/>
      </left>
      <right/>
      <top style="hair">
        <color indexed="8"/>
      </top>
      <bottom style="hair">
        <color indexed="8"/>
      </bottom>
      <diagonal/>
    </border>
    <border>
      <left/>
      <right/>
      <top style="hair">
        <color indexed="8"/>
      </top>
      <bottom style="hair">
        <color indexed="8"/>
      </bottom>
      <diagonal/>
    </border>
    <border>
      <left/>
      <right style="medium">
        <color indexed="8"/>
      </right>
      <top style="hair">
        <color indexed="8"/>
      </top>
      <bottom style="hair">
        <color indexed="8"/>
      </bottom>
      <diagonal/>
    </border>
    <border>
      <left style="hair">
        <color indexed="8"/>
      </left>
      <right style="hair">
        <color indexed="8"/>
      </right>
      <top style="hair">
        <color indexed="8"/>
      </top>
      <bottom style="hair">
        <color indexed="8"/>
      </bottom>
      <diagonal/>
    </border>
    <border>
      <left/>
      <right style="hair">
        <color auto="1"/>
      </right>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top style="hair">
        <color auto="1"/>
      </top>
      <bottom/>
      <diagonal/>
    </border>
    <border>
      <left style="medium">
        <color indexed="8"/>
      </left>
      <right style="medium">
        <color indexed="8"/>
      </right>
      <top style="medium">
        <color indexed="8"/>
      </top>
      <bottom style="medium">
        <color indexed="8"/>
      </bottom>
      <diagonal/>
    </border>
    <border>
      <left style="hair">
        <color indexed="64"/>
      </left>
      <right style="hair">
        <color indexed="64"/>
      </right>
      <top style="hair">
        <color indexed="64"/>
      </top>
      <bottom/>
      <diagonal/>
    </border>
    <border>
      <left/>
      <right/>
      <top style="hair">
        <color indexed="64"/>
      </top>
      <bottom/>
      <diagonal/>
    </border>
    <border>
      <left style="thin">
        <color indexed="64"/>
      </left>
      <right style="hair">
        <color indexed="64"/>
      </right>
      <top style="thin">
        <color indexed="64"/>
      </top>
      <bottom/>
      <diagonal/>
    </border>
    <border>
      <left style="thin">
        <color indexed="64"/>
      </left>
      <right style="hair">
        <color indexed="64"/>
      </right>
      <top/>
      <bottom style="double">
        <color indexed="64"/>
      </bottom>
      <diagonal/>
    </border>
    <border>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right style="hair">
        <color indexed="64"/>
      </right>
      <top style="hair">
        <color indexed="64"/>
      </top>
      <bottom/>
      <diagonal/>
    </border>
    <border>
      <left style="thin">
        <color indexed="64"/>
      </left>
      <right/>
      <top style="double">
        <color indexed="64"/>
      </top>
      <bottom style="hair">
        <color indexed="64"/>
      </bottom>
      <diagonal/>
    </border>
    <border>
      <left/>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medium">
        <color indexed="64"/>
      </left>
      <right style="medium">
        <color indexed="64"/>
      </right>
      <top style="medium">
        <color indexed="64"/>
      </top>
      <bottom style="medium">
        <color indexed="64"/>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right style="hair">
        <color indexed="64"/>
      </right>
      <top style="medium">
        <color indexed="64"/>
      </top>
      <bottom style="hair">
        <color indexed="64"/>
      </bottom>
      <diagonal/>
    </border>
    <border>
      <left style="medium">
        <color indexed="64"/>
      </left>
      <right/>
      <top style="hair">
        <color indexed="64"/>
      </top>
      <bottom/>
      <diagonal/>
    </border>
    <border>
      <left style="medium">
        <color indexed="64"/>
      </left>
      <right/>
      <top/>
      <bottom/>
      <diagonal/>
    </border>
    <border>
      <left style="hair">
        <color indexed="64"/>
      </left>
      <right/>
      <top style="hair">
        <color indexed="64"/>
      </top>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thick">
        <color indexed="64"/>
      </left>
      <right/>
      <top/>
      <bottom/>
      <diagonal/>
    </border>
    <border>
      <left style="thin">
        <color indexed="64"/>
      </left>
      <right style="thin">
        <color indexed="64"/>
      </right>
      <top style="thin">
        <color indexed="64"/>
      </top>
      <bottom style="hair">
        <color indexed="64"/>
      </bottom>
      <diagonal/>
    </border>
    <border>
      <left style="hair">
        <color auto="1"/>
      </left>
      <right style="hair">
        <color auto="1"/>
      </right>
      <top style="hair">
        <color auto="1"/>
      </top>
      <bottom style="hair">
        <color auto="1"/>
      </bottom>
      <diagonal/>
    </border>
    <border>
      <left style="hair">
        <color auto="1"/>
      </left>
      <right/>
      <top style="hair">
        <color auto="1"/>
      </top>
      <bottom/>
      <diagonal/>
    </border>
    <border>
      <left/>
      <right style="hair">
        <color auto="1"/>
      </right>
      <top style="hair">
        <color auto="1"/>
      </top>
      <bottom/>
      <diagonal/>
    </border>
    <border>
      <left style="hair">
        <color auto="1"/>
      </left>
      <right style="hair">
        <color auto="1"/>
      </right>
      <top/>
      <bottom style="hair">
        <color auto="1"/>
      </bottom>
      <diagonal/>
    </border>
    <border>
      <left style="hair">
        <color indexed="64"/>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hair">
        <color auto="1"/>
      </right>
      <top/>
      <bottom style="hair">
        <color auto="1"/>
      </bottom>
      <diagonal/>
    </border>
    <border>
      <left/>
      <right/>
      <top style="hair">
        <color indexed="8"/>
      </top>
      <bottom style="hair">
        <color indexed="8"/>
      </bottom>
      <diagonal/>
    </border>
    <border>
      <left style="medium">
        <color indexed="8"/>
      </left>
      <right/>
      <top/>
      <bottom style="hair">
        <color indexed="8"/>
      </bottom>
      <diagonal/>
    </border>
    <border>
      <left/>
      <right/>
      <top/>
      <bottom style="hair">
        <color indexed="8"/>
      </bottom>
      <diagonal/>
    </border>
    <border>
      <left style="hair">
        <color indexed="8"/>
      </left>
      <right style="hair">
        <color indexed="8"/>
      </right>
      <top/>
      <bottom style="hair">
        <color indexed="8"/>
      </bottom>
      <diagonal/>
    </border>
    <border>
      <left/>
      <right style="medium">
        <color indexed="8"/>
      </right>
      <top/>
      <bottom style="hair">
        <color indexed="8"/>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style="double">
        <color indexed="64"/>
      </top>
      <bottom style="double">
        <color indexed="64"/>
      </bottom>
      <diagonal/>
    </border>
    <border>
      <left/>
      <right style="thin">
        <color indexed="64"/>
      </right>
      <top/>
      <bottom style="hair">
        <color indexed="64"/>
      </bottom>
      <diagonal/>
    </border>
    <border>
      <left/>
      <right style="thin">
        <color indexed="64"/>
      </right>
      <top style="hair">
        <color indexed="64"/>
      </top>
      <bottom style="thin">
        <color indexed="64"/>
      </bottom>
      <diagonal/>
    </border>
    <border>
      <left/>
      <right style="thin">
        <color indexed="64"/>
      </right>
      <top style="hair">
        <color indexed="64"/>
      </top>
      <bottom style="hair">
        <color indexed="64"/>
      </bottom>
      <diagonal/>
    </border>
    <border>
      <left/>
      <right style="thin">
        <color indexed="64"/>
      </right>
      <top style="hair">
        <color indexed="64"/>
      </top>
      <bottom/>
      <diagonal/>
    </border>
    <border>
      <left/>
      <right style="thin">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thin">
        <color indexed="64"/>
      </bottom>
      <diagonal/>
    </border>
    <border>
      <left/>
      <right style="thin">
        <color indexed="64"/>
      </right>
      <top style="double">
        <color indexed="64"/>
      </top>
      <bottom style="double">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top/>
      <bottom style="hair">
        <color indexed="64"/>
      </bottom>
      <diagonal/>
    </border>
    <border>
      <left/>
      <right/>
      <top style="hair">
        <color indexed="64"/>
      </top>
      <bottom style="hair">
        <color indexed="64"/>
      </bottom>
      <diagonal/>
    </border>
    <border>
      <left style="hair">
        <color indexed="64"/>
      </left>
      <right/>
      <top style="thin">
        <color indexed="64"/>
      </top>
      <bottom style="thin">
        <color indexed="64"/>
      </bottom>
      <diagonal/>
    </border>
    <border>
      <left style="hair">
        <color indexed="64"/>
      </left>
      <right/>
      <top/>
      <bottom style="hair">
        <color indexed="64"/>
      </bottom>
      <diagonal/>
    </border>
    <border>
      <left style="hair">
        <color indexed="64"/>
      </left>
      <right/>
      <top style="thin">
        <color indexed="64"/>
      </top>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double">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bottom style="thick">
        <color auto="1"/>
      </bottom>
      <diagonal/>
    </border>
    <border>
      <left style="thick">
        <color auto="1"/>
      </left>
      <right style="thick">
        <color auto="1"/>
      </right>
      <top style="thick">
        <color auto="1"/>
      </top>
      <bottom style="thick">
        <color auto="1"/>
      </bottom>
      <diagonal/>
    </border>
    <border>
      <left style="hair">
        <color indexed="64"/>
      </left>
      <right style="hair">
        <color indexed="64"/>
      </right>
      <top style="hair">
        <color indexed="64"/>
      </top>
      <bottom/>
      <diagonal/>
    </border>
    <border>
      <left style="hair">
        <color indexed="8"/>
      </left>
      <right style="hair">
        <color indexed="8"/>
      </right>
      <top style="hair">
        <color indexed="8"/>
      </top>
      <bottom style="hair">
        <color indexed="8"/>
      </bottom>
      <diagonal/>
    </border>
    <border>
      <left style="hair">
        <color indexed="8"/>
      </left>
      <right/>
      <top style="hair">
        <color indexed="8"/>
      </top>
      <bottom style="hair">
        <color indexed="8"/>
      </bottom>
      <diagonal/>
    </border>
    <border>
      <left/>
      <right/>
      <top style="hair">
        <color indexed="8"/>
      </top>
      <bottom style="hair">
        <color indexed="8"/>
      </bottom>
      <diagonal/>
    </border>
    <border>
      <left/>
      <right style="medium">
        <color indexed="8"/>
      </right>
      <top style="hair">
        <color indexed="8"/>
      </top>
      <bottom style="hair">
        <color indexed="8"/>
      </bottom>
      <diagonal/>
    </border>
    <border>
      <left style="medium">
        <color indexed="8"/>
      </left>
      <right/>
      <top style="hair">
        <color indexed="8"/>
      </top>
      <bottom style="hair">
        <color indexed="8"/>
      </bottom>
      <diagonal/>
    </border>
    <border>
      <left style="medium">
        <color indexed="8"/>
      </left>
      <right/>
      <top style="hair">
        <color indexed="8"/>
      </top>
      <bottom style="medium">
        <color indexed="8"/>
      </bottom>
      <diagonal/>
    </border>
    <border>
      <left/>
      <right/>
      <top style="hair">
        <color indexed="8"/>
      </top>
      <bottom style="medium">
        <color indexed="8"/>
      </bottom>
      <diagonal/>
    </border>
    <border>
      <left style="hair">
        <color indexed="8"/>
      </left>
      <right style="hair">
        <color indexed="8"/>
      </right>
      <top style="hair">
        <color indexed="8"/>
      </top>
      <bottom style="medium">
        <color indexed="8"/>
      </bottom>
      <diagonal/>
    </border>
    <border>
      <left/>
      <right style="medium">
        <color indexed="8"/>
      </right>
      <top style="hair">
        <color indexed="8"/>
      </top>
      <bottom style="medium">
        <color indexed="8"/>
      </bottom>
      <diagonal/>
    </border>
    <border>
      <left style="hair">
        <color indexed="8"/>
      </left>
      <right style="hair">
        <color indexed="8"/>
      </right>
      <top style="hair">
        <color indexed="8"/>
      </top>
      <bottom/>
      <diagonal/>
    </border>
    <border>
      <left style="double">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thin">
        <color indexed="64"/>
      </left>
      <right style="hair">
        <color indexed="64"/>
      </right>
      <top style="hair">
        <color indexed="64"/>
      </top>
      <bottom style="hair">
        <color indexed="64"/>
      </bottom>
      <diagonal/>
    </border>
    <border>
      <left style="double">
        <color indexed="64"/>
      </left>
      <right style="hair">
        <color indexed="64"/>
      </right>
      <top style="hair">
        <color indexed="64"/>
      </top>
      <bottom style="hair">
        <color indexed="64"/>
      </bottom>
      <diagonal/>
    </border>
    <border>
      <left style="medium">
        <color indexed="64"/>
      </left>
      <right style="dotted">
        <color indexed="64"/>
      </right>
      <top style="hair">
        <color indexed="64"/>
      </top>
      <bottom style="double">
        <color indexed="64"/>
      </bottom>
      <diagonal/>
    </border>
    <border>
      <left style="dotted">
        <color indexed="64"/>
      </left>
      <right style="dotted">
        <color indexed="64"/>
      </right>
      <top style="hair">
        <color indexed="64"/>
      </top>
      <bottom style="double">
        <color indexed="64"/>
      </bottom>
      <diagonal/>
    </border>
    <border>
      <left style="dotted">
        <color indexed="64"/>
      </left>
      <right/>
      <top style="hair">
        <color indexed="64"/>
      </top>
      <bottom style="double">
        <color indexed="64"/>
      </bottom>
      <diagonal/>
    </border>
    <border>
      <left style="hair">
        <color indexed="64"/>
      </left>
      <right/>
      <top style="hair">
        <color indexed="64"/>
      </top>
      <bottom style="double">
        <color indexed="64"/>
      </bottom>
      <diagonal/>
    </border>
    <border>
      <left style="thin">
        <color indexed="64"/>
      </left>
      <right style="hair">
        <color indexed="64"/>
      </right>
      <top style="hair">
        <color indexed="64"/>
      </top>
      <bottom style="double">
        <color indexed="64"/>
      </bottom>
      <diagonal/>
    </border>
    <border>
      <left/>
      <right style="double">
        <color indexed="64"/>
      </right>
      <top style="hair">
        <color indexed="64"/>
      </top>
      <bottom style="double">
        <color indexed="64"/>
      </bottom>
      <diagonal/>
    </border>
    <border>
      <left style="double">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hair">
        <color indexed="64"/>
      </left>
      <right style="double">
        <color indexed="64"/>
      </right>
      <top style="hair">
        <color indexed="64"/>
      </top>
      <bottom style="double">
        <color indexed="64"/>
      </bottom>
      <diagonal/>
    </border>
    <border>
      <left style="medium">
        <color indexed="8"/>
      </left>
      <right/>
      <top style="hair">
        <color indexed="8"/>
      </top>
      <bottom style="thin">
        <color indexed="8"/>
      </bottom>
      <diagonal/>
    </border>
    <border>
      <left/>
      <right/>
      <top style="hair">
        <color indexed="8"/>
      </top>
      <bottom style="thin">
        <color indexed="8"/>
      </bottom>
      <diagonal/>
    </border>
    <border>
      <left style="hair">
        <color indexed="8"/>
      </left>
      <right style="hair">
        <color indexed="8"/>
      </right>
      <top style="hair">
        <color indexed="8"/>
      </top>
      <bottom style="thin">
        <color indexed="8"/>
      </bottom>
      <diagonal/>
    </border>
    <border>
      <left/>
      <right style="medium">
        <color indexed="8"/>
      </right>
      <top style="hair">
        <color indexed="8"/>
      </top>
      <bottom style="thin">
        <color indexed="8"/>
      </bottom>
      <diagonal/>
    </border>
    <border>
      <left style="medium">
        <color indexed="8"/>
      </left>
      <right style="medium">
        <color indexed="8"/>
      </right>
      <top style="hair">
        <color indexed="8"/>
      </top>
      <bottom style="hair">
        <color indexed="8"/>
      </bottom>
      <diagonal/>
    </border>
    <border>
      <left/>
      <right style="hair">
        <color indexed="8"/>
      </right>
      <top style="hair">
        <color indexed="8"/>
      </top>
      <bottom style="hair">
        <color indexed="8"/>
      </bottom>
      <diagonal/>
    </border>
    <border>
      <left style="medium">
        <color indexed="8"/>
      </left>
      <right style="medium">
        <color indexed="8"/>
      </right>
      <top style="hair">
        <color indexed="8"/>
      </top>
      <bottom style="medium">
        <color indexed="8"/>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indexed="64"/>
      </left>
      <right style="hair">
        <color indexed="64"/>
      </right>
      <top style="hair">
        <color indexed="64"/>
      </top>
      <bottom/>
      <diagonal/>
    </border>
    <border>
      <left style="medium">
        <color indexed="64"/>
      </left>
      <right style="dotted">
        <color indexed="64"/>
      </right>
      <top style="hair">
        <color indexed="64"/>
      </top>
      <bottom style="hair">
        <color indexed="64"/>
      </bottom>
      <diagonal/>
    </border>
    <border>
      <left style="dotted">
        <color indexed="64"/>
      </left>
      <right style="dotted">
        <color indexed="64"/>
      </right>
      <top style="hair">
        <color indexed="64"/>
      </top>
      <bottom style="hair">
        <color indexed="64"/>
      </bottom>
      <diagonal/>
    </border>
    <border>
      <left style="dotted">
        <color indexed="64"/>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double">
        <color indexed="64"/>
      </right>
      <top style="hair">
        <color indexed="64"/>
      </top>
      <bottom style="hair">
        <color indexed="64"/>
      </bottom>
      <diagonal/>
    </border>
    <border>
      <left/>
      <right/>
      <top style="medium">
        <color auto="1"/>
      </top>
      <bottom/>
      <diagonal/>
    </border>
  </borders>
  <cellStyleXfs count="12">
    <xf numFmtId="0" fontId="0" fillId="0" borderId="0"/>
    <xf numFmtId="38" fontId="7" fillId="0" borderId="0" applyFont="0" applyFill="0" applyBorder="0" applyAlignment="0" applyProtection="0"/>
    <xf numFmtId="0" fontId="7" fillId="0" borderId="0"/>
    <xf numFmtId="9" fontId="7" fillId="0" borderId="0" applyFont="0" applyFill="0" applyBorder="0" applyAlignment="0" applyProtection="0"/>
    <xf numFmtId="38" fontId="7" fillId="0" borderId="0" applyFont="0" applyFill="0" applyBorder="0" applyAlignment="0" applyProtection="0">
      <alignment vertical="center"/>
    </xf>
    <xf numFmtId="0" fontId="46" fillId="0" borderId="0">
      <alignment vertical="center"/>
    </xf>
    <xf numFmtId="0" fontId="6" fillId="0" borderId="0">
      <alignment vertical="center"/>
    </xf>
    <xf numFmtId="0" fontId="5" fillId="0" borderId="0">
      <alignment vertical="center"/>
    </xf>
    <xf numFmtId="0" fontId="4" fillId="0" borderId="0">
      <alignment vertical="center"/>
    </xf>
    <xf numFmtId="0" fontId="55" fillId="0" borderId="0" applyNumberFormat="0" applyFill="0" applyBorder="0" applyAlignment="0" applyProtection="0"/>
    <xf numFmtId="0" fontId="3" fillId="0" borderId="0">
      <alignment vertical="center"/>
    </xf>
    <xf numFmtId="0" fontId="3" fillId="0" borderId="0">
      <alignment vertical="center"/>
    </xf>
  </cellStyleXfs>
  <cellXfs count="1570">
    <xf numFmtId="0" fontId="0" fillId="0" borderId="0" xfId="0"/>
    <xf numFmtId="0" fontId="9" fillId="0" borderId="0" xfId="0" applyFont="1" applyAlignment="1">
      <alignment vertical="center"/>
    </xf>
    <xf numFmtId="0" fontId="9" fillId="0" borderId="0" xfId="0" applyFont="1" applyAlignment="1">
      <alignment vertical="center" wrapText="1"/>
    </xf>
    <xf numFmtId="0" fontId="9" fillId="0" borderId="0" xfId="0" applyFont="1" applyAlignment="1">
      <alignment horizontal="center" vertical="center"/>
    </xf>
    <xf numFmtId="177" fontId="9" fillId="0" borderId="0" xfId="0" applyNumberFormat="1" applyFont="1" applyAlignment="1">
      <alignment vertical="center" shrinkToFit="1"/>
    </xf>
    <xf numFmtId="0" fontId="10" fillId="0" borderId="0" xfId="0" applyFont="1" applyAlignment="1">
      <alignment vertical="top" textRotation="255" shrinkToFit="1"/>
    </xf>
    <xf numFmtId="0" fontId="9" fillId="0" borderId="0" xfId="0" applyFont="1" applyAlignment="1">
      <alignment vertical="center" shrinkToFit="1"/>
    </xf>
    <xf numFmtId="178" fontId="10" fillId="0" borderId="0" xfId="0" applyNumberFormat="1" applyFont="1" applyAlignment="1">
      <alignment vertical="center" shrinkToFit="1"/>
    </xf>
    <xf numFmtId="0" fontId="11" fillId="0" borderId="0" xfId="0" applyFont="1" applyBorder="1" applyAlignment="1" applyProtection="1">
      <alignment vertical="center"/>
    </xf>
    <xf numFmtId="0" fontId="19" fillId="0" borderId="0" xfId="0" applyFont="1" applyBorder="1" applyAlignment="1" applyProtection="1">
      <alignment horizontal="right" vertical="center"/>
    </xf>
    <xf numFmtId="0" fontId="23" fillId="0" borderId="0" xfId="0" applyFont="1" applyAlignment="1">
      <alignment vertical="center"/>
    </xf>
    <xf numFmtId="0" fontId="23" fillId="0" borderId="1" xfId="0" applyFont="1" applyBorder="1" applyAlignment="1">
      <alignment horizontal="center" vertical="center"/>
    </xf>
    <xf numFmtId="0" fontId="23" fillId="0" borderId="2" xfId="0" applyFont="1" applyBorder="1" applyAlignment="1">
      <alignment horizontal="center" vertical="center"/>
    </xf>
    <xf numFmtId="0" fontId="23" fillId="0" borderId="3" xfId="0" applyFont="1" applyBorder="1" applyAlignment="1">
      <alignment horizontal="center" vertical="center"/>
    </xf>
    <xf numFmtId="0" fontId="23" fillId="0" borderId="0" xfId="0" applyFont="1" applyAlignment="1">
      <alignment horizontal="center" vertical="center"/>
    </xf>
    <xf numFmtId="0" fontId="23" fillId="0" borderId="4" xfId="0" applyFont="1" applyBorder="1" applyAlignment="1">
      <alignment horizontal="center" vertical="center"/>
    </xf>
    <xf numFmtId="0" fontId="23" fillId="0" borderId="5" xfId="0" applyFont="1" applyBorder="1" applyAlignment="1">
      <alignment horizontal="center" vertical="center"/>
    </xf>
    <xf numFmtId="0" fontId="23" fillId="0" borderId="6" xfId="0" applyFont="1" applyBorder="1" applyAlignment="1">
      <alignment horizontal="center" vertical="center"/>
    </xf>
    <xf numFmtId="0" fontId="23" fillId="0" borderId="7" xfId="0" applyFont="1" applyBorder="1" applyAlignment="1">
      <alignment horizontal="center" vertical="center"/>
    </xf>
    <xf numFmtId="0" fontId="23" fillId="0" borderId="8" xfId="0" applyFont="1" applyBorder="1" applyAlignment="1">
      <alignment horizontal="center" vertical="center"/>
    </xf>
    <xf numFmtId="0" fontId="23" fillId="0" borderId="9" xfId="0" applyFont="1" applyBorder="1" applyAlignment="1">
      <alignment vertical="center"/>
    </xf>
    <xf numFmtId="0" fontId="23" fillId="0" borderId="10" xfId="0" applyFont="1" applyBorder="1" applyAlignment="1">
      <alignment vertical="center"/>
    </xf>
    <xf numFmtId="179" fontId="23" fillId="0" borderId="0" xfId="0" applyNumberFormat="1" applyFont="1" applyAlignment="1">
      <alignment vertical="center"/>
    </xf>
    <xf numFmtId="0" fontId="9" fillId="2" borderId="11" xfId="0" applyFont="1" applyFill="1" applyBorder="1" applyAlignment="1">
      <alignment vertical="center"/>
    </xf>
    <xf numFmtId="0" fontId="9" fillId="0" borderId="0" xfId="0" applyFont="1" applyAlignment="1">
      <alignment horizontal="right" vertical="center" wrapText="1"/>
    </xf>
    <xf numFmtId="0" fontId="9" fillId="0" borderId="0" xfId="0" quotePrefix="1" applyFont="1" applyAlignment="1">
      <alignment horizontal="center" vertical="center"/>
    </xf>
    <xf numFmtId="177" fontId="9" fillId="0" borderId="0" xfId="0" applyNumberFormat="1" applyFont="1" applyAlignment="1">
      <alignment horizontal="right" vertical="center"/>
    </xf>
    <xf numFmtId="0" fontId="20" fillId="0" borderId="0" xfId="0" applyFont="1" applyAlignment="1" applyProtection="1">
      <alignment vertical="center"/>
      <protection locked="0"/>
    </xf>
    <xf numFmtId="178" fontId="10" fillId="0" borderId="0" xfId="0" applyNumberFormat="1" applyFont="1" applyAlignment="1" applyProtection="1">
      <alignment vertical="center" shrinkToFit="1"/>
      <protection locked="0"/>
    </xf>
    <xf numFmtId="0" fontId="9" fillId="0" borderId="0" xfId="0" applyFont="1" applyAlignment="1" applyProtection="1">
      <alignment vertical="center"/>
      <protection locked="0"/>
    </xf>
    <xf numFmtId="0" fontId="0" fillId="0" borderId="0" xfId="0"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4" borderId="0" xfId="0" applyFill="1" applyProtection="1">
      <protection locked="0"/>
    </xf>
    <xf numFmtId="0" fontId="0" fillId="3" borderId="0" xfId="0" applyFill="1" applyProtection="1">
      <protection locked="0"/>
    </xf>
    <xf numFmtId="0" fontId="0" fillId="2" borderId="14" xfId="0" applyFill="1" applyBorder="1" applyProtection="1">
      <protection locked="0"/>
    </xf>
    <xf numFmtId="0" fontId="0" fillId="2" borderId="15" xfId="0" applyFill="1" applyBorder="1" applyProtection="1">
      <protection locked="0"/>
    </xf>
    <xf numFmtId="0" fontId="16" fillId="4" borderId="0" xfId="0" applyFont="1" applyFill="1" applyProtection="1">
      <protection locked="0"/>
    </xf>
    <xf numFmtId="0" fontId="0" fillId="0" borderId="0" xfId="0" quotePrefix="1" applyProtection="1">
      <protection locked="0"/>
    </xf>
    <xf numFmtId="0" fontId="23" fillId="0" borderId="16" xfId="0" applyFont="1" applyBorder="1" applyAlignment="1" applyProtection="1">
      <alignment horizontal="center" vertical="center"/>
      <protection locked="0"/>
    </xf>
    <xf numFmtId="0" fontId="23" fillId="0" borderId="17" xfId="0" applyFont="1" applyBorder="1" applyAlignment="1" applyProtection="1">
      <alignment horizontal="center" vertical="center"/>
      <protection locked="0"/>
    </xf>
    <xf numFmtId="0" fontId="23" fillId="0" borderId="18" xfId="0" applyFont="1" applyBorder="1" applyAlignment="1" applyProtection="1">
      <alignment horizontal="center" vertical="center"/>
      <protection locked="0"/>
    </xf>
    <xf numFmtId="0" fontId="23" fillId="0" borderId="19" xfId="0" applyFont="1" applyBorder="1" applyAlignment="1" applyProtection="1">
      <alignment horizontal="center" vertical="center"/>
      <protection locked="0"/>
    </xf>
    <xf numFmtId="0" fontId="23" fillId="0" borderId="20" xfId="0" applyFont="1" applyBorder="1" applyAlignment="1">
      <alignment horizontal="center" vertical="center"/>
    </xf>
    <xf numFmtId="0" fontId="23" fillId="0" borderId="21" xfId="0" applyFont="1" applyBorder="1" applyAlignment="1">
      <alignment horizontal="center" vertical="center"/>
    </xf>
    <xf numFmtId="0" fontId="23" fillId="0" borderId="22" xfId="0" applyFont="1" applyBorder="1" applyAlignment="1" applyProtection="1">
      <alignment vertical="center"/>
      <protection locked="0"/>
    </xf>
    <xf numFmtId="0" fontId="28" fillId="0" borderId="23" xfId="0" applyFont="1" applyBorder="1" applyAlignment="1">
      <alignment horizontal="center" shrinkToFit="1"/>
    </xf>
    <xf numFmtId="0" fontId="23" fillId="0" borderId="24" xfId="0" applyFont="1" applyBorder="1" applyAlignment="1" applyProtection="1">
      <alignment vertical="center"/>
      <protection locked="0"/>
    </xf>
    <xf numFmtId="0" fontId="23" fillId="0" borderId="25" xfId="0" applyFont="1" applyBorder="1" applyAlignment="1" applyProtection="1">
      <alignment vertical="center"/>
      <protection locked="0"/>
    </xf>
    <xf numFmtId="179" fontId="23" fillId="0" borderId="26" xfId="0" applyNumberFormat="1" applyFont="1" applyBorder="1" applyAlignment="1">
      <alignment horizontal="center" vertical="center"/>
    </xf>
    <xf numFmtId="179" fontId="23" fillId="0" borderId="27" xfId="0" applyNumberFormat="1" applyFont="1" applyBorder="1" applyAlignment="1">
      <alignment horizontal="center" vertical="center"/>
    </xf>
    <xf numFmtId="179" fontId="23" fillId="0" borderId="36" xfId="0" applyNumberFormat="1" applyFont="1" applyBorder="1" applyAlignment="1">
      <alignment horizontal="center" vertical="center"/>
    </xf>
    <xf numFmtId="181" fontId="19" fillId="0" borderId="38" xfId="0" applyNumberFormat="1" applyFont="1" applyBorder="1" applyAlignment="1" applyProtection="1">
      <alignment horizontal="left" vertical="center"/>
      <protection locked="0"/>
    </xf>
    <xf numFmtId="0" fontId="19" fillId="0" borderId="38" xfId="0" applyFont="1" applyBorder="1" applyAlignment="1" applyProtection="1">
      <alignment vertical="center"/>
      <protection locked="0"/>
    </xf>
    <xf numFmtId="0" fontId="19" fillId="0" borderId="39" xfId="0" applyFont="1" applyBorder="1" applyAlignment="1" applyProtection="1">
      <alignment vertical="center"/>
      <protection locked="0"/>
    </xf>
    <xf numFmtId="0" fontId="23" fillId="0" borderId="41" xfId="0" applyFont="1" applyBorder="1" applyAlignment="1" applyProtection="1">
      <alignment vertical="center"/>
      <protection locked="0"/>
    </xf>
    <xf numFmtId="0" fontId="23" fillId="0" borderId="42" xfId="0" applyFont="1" applyBorder="1" applyAlignment="1" applyProtection="1">
      <alignment vertical="center"/>
      <protection locked="0"/>
    </xf>
    <xf numFmtId="0" fontId="23" fillId="0" borderId="43" xfId="0" applyFont="1" applyBorder="1" applyAlignment="1" applyProtection="1">
      <alignment vertical="center"/>
      <protection locked="0"/>
    </xf>
    <xf numFmtId="0" fontId="23" fillId="0" borderId="44" xfId="0" applyFont="1" applyBorder="1" applyAlignment="1">
      <alignment horizontal="center" vertical="center"/>
    </xf>
    <xf numFmtId="0" fontId="23" fillId="0" borderId="45" xfId="0" applyFont="1" applyBorder="1" applyAlignment="1">
      <alignment horizontal="center" vertical="center"/>
    </xf>
    <xf numFmtId="0" fontId="23" fillId="0" borderId="46" xfId="0" applyFont="1" applyBorder="1" applyAlignment="1" applyProtection="1">
      <alignment horizontal="center" vertical="center"/>
      <protection locked="0"/>
    </xf>
    <xf numFmtId="0" fontId="23" fillId="0" borderId="47" xfId="0" applyFont="1" applyBorder="1" applyAlignment="1" applyProtection="1">
      <alignment horizontal="center" vertical="center"/>
      <protection locked="0"/>
    </xf>
    <xf numFmtId="0" fontId="23" fillId="0" borderId="48" xfId="0" applyFont="1" applyBorder="1" applyAlignment="1" applyProtection="1">
      <alignment horizontal="center" vertical="center"/>
      <protection locked="0"/>
    </xf>
    <xf numFmtId="0" fontId="23" fillId="0" borderId="49" xfId="0" applyFont="1" applyBorder="1" applyAlignment="1">
      <alignment horizontal="center" vertical="center"/>
    </xf>
    <xf numFmtId="0" fontId="23" fillId="0" borderId="50" xfId="0" applyFont="1" applyBorder="1" applyAlignment="1">
      <alignment horizontal="center" vertical="center"/>
    </xf>
    <xf numFmtId="0" fontId="23" fillId="0" borderId="51" xfId="0" applyFont="1" applyBorder="1" applyAlignment="1" applyProtection="1">
      <alignment vertical="center"/>
      <protection locked="0"/>
    </xf>
    <xf numFmtId="0" fontId="23" fillId="0" borderId="52" xfId="0" applyFont="1" applyBorder="1" applyAlignment="1" applyProtection="1">
      <alignment vertical="center"/>
      <protection locked="0"/>
    </xf>
    <xf numFmtId="0" fontId="23" fillId="0" borderId="53" xfId="0" applyFont="1" applyBorder="1" applyAlignment="1" applyProtection="1">
      <alignment vertical="center"/>
      <protection locked="0"/>
    </xf>
    <xf numFmtId="179" fontId="23" fillId="0" borderId="58" xfId="0" applyNumberFormat="1" applyFont="1" applyBorder="1" applyAlignment="1">
      <alignment horizontal="center" vertical="center"/>
    </xf>
    <xf numFmtId="177" fontId="11" fillId="0" borderId="0" xfId="0" applyNumberFormat="1" applyFont="1" applyBorder="1" applyAlignment="1" applyProtection="1">
      <alignment vertical="center" shrinkToFit="1"/>
      <protection locked="0"/>
    </xf>
    <xf numFmtId="0" fontId="28" fillId="0" borderId="0" xfId="0" applyFont="1" applyAlignment="1">
      <alignment shrinkToFit="1"/>
    </xf>
    <xf numFmtId="0" fontId="9" fillId="0" borderId="0" xfId="0" applyFont="1" applyAlignment="1" applyProtection="1">
      <alignment vertical="center"/>
    </xf>
    <xf numFmtId="177" fontId="14" fillId="0" borderId="63" xfId="0" applyNumberFormat="1" applyFont="1" applyBorder="1" applyAlignment="1" applyProtection="1">
      <alignment horizontal="right" vertical="top" shrinkToFit="1"/>
    </xf>
    <xf numFmtId="178" fontId="23" fillId="0" borderId="67" xfId="0" applyNumberFormat="1" applyFont="1" applyBorder="1" applyAlignment="1" applyProtection="1">
      <alignment horizontal="center" vertical="center"/>
      <protection locked="0"/>
    </xf>
    <xf numFmtId="178" fontId="23" fillId="0" borderId="41" xfId="0" applyNumberFormat="1" applyFont="1" applyBorder="1" applyAlignment="1" applyProtection="1">
      <alignment horizontal="center" vertical="center"/>
      <protection locked="0"/>
    </xf>
    <xf numFmtId="178" fontId="23" fillId="0" borderId="68" xfId="0" applyNumberFormat="1" applyFont="1" applyBorder="1" applyAlignment="1" applyProtection="1">
      <alignment horizontal="center" vertical="center"/>
      <protection locked="0"/>
    </xf>
    <xf numFmtId="178" fontId="23" fillId="0" borderId="42" xfId="0" applyNumberFormat="1" applyFont="1" applyBorder="1" applyAlignment="1" applyProtection="1">
      <alignment horizontal="center" vertical="center"/>
      <protection locked="0"/>
    </xf>
    <xf numFmtId="178" fontId="23" fillId="0" borderId="69" xfId="0" applyNumberFormat="1" applyFont="1" applyBorder="1" applyAlignment="1" applyProtection="1">
      <alignment horizontal="center" vertical="center"/>
      <protection locked="0"/>
    </xf>
    <xf numFmtId="178" fontId="23" fillId="0" borderId="43" xfId="0" applyNumberFormat="1" applyFont="1" applyBorder="1" applyAlignment="1" applyProtection="1">
      <alignment horizontal="center" vertical="center"/>
      <protection locked="0"/>
    </xf>
    <xf numFmtId="38" fontId="14" fillId="0" borderId="63" xfId="0" applyNumberFormat="1" applyFont="1" applyBorder="1" applyAlignment="1" applyProtection="1">
      <alignment horizontal="right" vertical="top"/>
      <protection locked="0"/>
    </xf>
    <xf numFmtId="38" fontId="14" fillId="0" borderId="63" xfId="0" applyNumberFormat="1" applyFont="1" applyBorder="1" applyAlignment="1" applyProtection="1">
      <alignment horizontal="right" vertical="top" shrinkToFit="1"/>
      <protection locked="0"/>
    </xf>
    <xf numFmtId="0" fontId="19" fillId="0" borderId="70" xfId="0" applyFont="1" applyBorder="1" applyAlignment="1" applyProtection="1">
      <alignment vertical="center"/>
      <protection locked="0"/>
    </xf>
    <xf numFmtId="0" fontId="28" fillId="0" borderId="0" xfId="0" applyNumberFormat="1" applyFont="1" applyAlignment="1">
      <alignment shrinkToFit="1"/>
    </xf>
    <xf numFmtId="0" fontId="9" fillId="0" borderId="0" xfId="0" applyNumberFormat="1" applyFont="1" applyAlignment="1">
      <alignment vertical="center"/>
    </xf>
    <xf numFmtId="0" fontId="19" fillId="0" borderId="63" xfId="0" applyFont="1" applyBorder="1" applyAlignment="1" applyProtection="1">
      <alignment vertical="center" wrapText="1"/>
      <protection locked="0"/>
    </xf>
    <xf numFmtId="0" fontId="19" fillId="0" borderId="63" xfId="0" applyFont="1" applyBorder="1" applyAlignment="1" applyProtection="1">
      <alignment horizontal="center" vertical="center"/>
      <protection locked="0"/>
    </xf>
    <xf numFmtId="0" fontId="19" fillId="0" borderId="76" xfId="0" applyFont="1" applyBorder="1" applyAlignment="1" applyProtection="1">
      <alignment vertical="center" wrapText="1"/>
      <protection locked="0"/>
    </xf>
    <xf numFmtId="0" fontId="19" fillId="0" borderId="76" xfId="0" applyFont="1" applyBorder="1" applyAlignment="1" applyProtection="1">
      <alignment vertical="center"/>
      <protection locked="0"/>
    </xf>
    <xf numFmtId="177" fontId="19" fillId="0" borderId="76" xfId="0" applyNumberFormat="1" applyFont="1" applyBorder="1" applyAlignment="1" applyProtection="1">
      <alignment vertical="center" shrinkToFit="1"/>
      <protection locked="0"/>
    </xf>
    <xf numFmtId="0" fontId="19" fillId="0" borderId="75" xfId="0" applyFont="1" applyBorder="1" applyAlignment="1" applyProtection="1">
      <alignment horizontal="right" vertical="center"/>
      <protection locked="0"/>
    </xf>
    <xf numFmtId="0" fontId="19" fillId="0" borderId="77" xfId="0" applyFont="1" applyBorder="1" applyAlignment="1" applyProtection="1">
      <alignment vertical="center"/>
      <protection locked="0"/>
    </xf>
    <xf numFmtId="0" fontId="19" fillId="0" borderId="78" xfId="0" applyFont="1" applyBorder="1" applyAlignment="1" applyProtection="1">
      <alignment vertical="center" wrapText="1"/>
      <protection locked="0"/>
    </xf>
    <xf numFmtId="177" fontId="19" fillId="0" borderId="78" xfId="0" applyNumberFormat="1" applyFont="1" applyBorder="1" applyAlignment="1" applyProtection="1">
      <alignment vertical="center" shrinkToFit="1"/>
      <protection locked="0"/>
    </xf>
    <xf numFmtId="0" fontId="18" fillId="0" borderId="65" xfId="0" applyFont="1" applyBorder="1" applyAlignment="1" applyProtection="1">
      <alignment horizontal="centerContinuous" vertical="center"/>
    </xf>
    <xf numFmtId="0" fontId="18" fillId="0" borderId="40" xfId="0" applyFont="1" applyBorder="1" applyAlignment="1" applyProtection="1">
      <alignment horizontal="center" vertical="center" wrapText="1"/>
    </xf>
    <xf numFmtId="0" fontId="18" fillId="0" borderId="40" xfId="0" applyFont="1" applyBorder="1" applyAlignment="1" applyProtection="1">
      <alignment horizontal="center" vertical="center"/>
    </xf>
    <xf numFmtId="177" fontId="18" fillId="0" borderId="40" xfId="0" applyNumberFormat="1" applyFont="1" applyBorder="1" applyAlignment="1" applyProtection="1">
      <alignment horizontal="center" vertical="center" shrinkToFit="1"/>
    </xf>
    <xf numFmtId="0" fontId="18" fillId="0" borderId="64" xfId="0" applyFont="1" applyBorder="1" applyAlignment="1" applyProtection="1">
      <alignment horizontal="centerContinuous" vertical="center"/>
    </xf>
    <xf numFmtId="0" fontId="17" fillId="0" borderId="74" xfId="0" applyFont="1" applyBorder="1" applyAlignment="1" applyProtection="1">
      <alignment vertical="center"/>
    </xf>
    <xf numFmtId="0" fontId="19" fillId="0" borderId="72" xfId="0" applyFont="1" applyBorder="1" applyAlignment="1" applyProtection="1">
      <alignment vertical="center"/>
    </xf>
    <xf numFmtId="0" fontId="19" fillId="0" borderId="63" xfId="0" applyFont="1" applyBorder="1" applyAlignment="1" applyProtection="1">
      <alignment horizontal="center" vertical="center"/>
    </xf>
    <xf numFmtId="0" fontId="19" fillId="0" borderId="76" xfId="0" applyFont="1" applyBorder="1" applyAlignment="1" applyProtection="1">
      <alignment vertical="center" shrinkToFit="1"/>
      <protection locked="0"/>
    </xf>
    <xf numFmtId="0" fontId="19" fillId="0" borderId="76" xfId="0" applyFont="1" applyBorder="1" applyAlignment="1" applyProtection="1">
      <alignment horizontal="center" vertical="center" shrinkToFit="1"/>
      <protection locked="0"/>
    </xf>
    <xf numFmtId="0" fontId="19" fillId="0" borderId="38" xfId="0" quotePrefix="1" applyFont="1" applyBorder="1" applyAlignment="1" applyProtection="1">
      <alignment vertical="center"/>
      <protection locked="0"/>
    </xf>
    <xf numFmtId="0" fontId="19" fillId="0" borderId="78" xfId="0" applyFont="1" applyBorder="1" applyAlignment="1" applyProtection="1">
      <alignment horizontal="center" vertical="center" shrinkToFit="1"/>
      <protection locked="0"/>
    </xf>
    <xf numFmtId="177" fontId="19" fillId="0" borderId="78" xfId="0" applyNumberFormat="1" applyFont="1" applyBorder="1" applyAlignment="1" applyProtection="1">
      <alignment horizontal="right" vertical="center" shrinkToFit="1"/>
      <protection locked="0"/>
    </xf>
    <xf numFmtId="0" fontId="19" fillId="0" borderId="79" xfId="0" applyFont="1" applyBorder="1" applyAlignment="1" applyProtection="1">
      <alignment vertical="center"/>
      <protection locked="0"/>
    </xf>
    <xf numFmtId="0" fontId="10" fillId="0" borderId="0" xfId="0" applyFont="1" applyAlignment="1">
      <alignment horizontal="right" vertical="center" wrapText="1"/>
    </xf>
    <xf numFmtId="0" fontId="10" fillId="0" borderId="0" xfId="0" applyFont="1" applyAlignment="1">
      <alignment vertical="center"/>
    </xf>
    <xf numFmtId="0" fontId="10" fillId="0" borderId="0" xfId="0" quotePrefix="1" applyFont="1" applyAlignment="1">
      <alignment horizontal="center" vertical="center"/>
    </xf>
    <xf numFmtId="177" fontId="10" fillId="0" borderId="0" xfId="0" applyNumberFormat="1" applyFont="1" applyAlignment="1">
      <alignment vertical="center" shrinkToFit="1"/>
    </xf>
    <xf numFmtId="180" fontId="19" fillId="0" borderId="75" xfId="0" applyNumberFormat="1" applyFont="1" applyBorder="1" applyAlignment="1" applyProtection="1">
      <alignment horizontal="right" vertical="center" shrinkToFit="1"/>
      <protection locked="0"/>
    </xf>
    <xf numFmtId="0" fontId="19" fillId="0" borderId="38" xfId="0" applyFont="1" applyBorder="1" applyAlignment="1" applyProtection="1">
      <alignment vertical="center" shrinkToFit="1"/>
      <protection locked="0"/>
    </xf>
    <xf numFmtId="0" fontId="19" fillId="0" borderId="76" xfId="0" applyFont="1" applyBorder="1" applyAlignment="1" applyProtection="1">
      <alignment horizontal="right" vertical="center" shrinkToFit="1"/>
      <protection locked="0"/>
    </xf>
    <xf numFmtId="38" fontId="19" fillId="0" borderId="78" xfId="0" applyNumberFormat="1" applyFont="1" applyBorder="1" applyAlignment="1" applyProtection="1">
      <alignment horizontal="right" vertical="center" shrinkToFit="1"/>
      <protection locked="0"/>
    </xf>
    <xf numFmtId="182" fontId="17" fillId="0" borderId="74" xfId="0" applyNumberFormat="1" applyFont="1" applyBorder="1" applyAlignment="1" applyProtection="1">
      <alignment vertical="center"/>
      <protection locked="0"/>
    </xf>
    <xf numFmtId="0" fontId="19" fillId="0" borderId="72" xfId="0" applyFont="1" applyBorder="1" applyAlignment="1" applyProtection="1">
      <alignment vertical="center" shrinkToFit="1"/>
      <protection locked="0"/>
    </xf>
    <xf numFmtId="0" fontId="19" fillId="0" borderId="63" xfId="0" applyFont="1" applyBorder="1" applyAlignment="1" applyProtection="1">
      <alignment vertical="center" shrinkToFit="1"/>
      <protection locked="0"/>
    </xf>
    <xf numFmtId="38" fontId="19" fillId="0" borderId="76" xfId="0" applyNumberFormat="1" applyFont="1" applyBorder="1" applyAlignment="1" applyProtection="1">
      <alignment horizontal="right" vertical="center" shrinkToFit="1"/>
      <protection locked="0"/>
    </xf>
    <xf numFmtId="0" fontId="19" fillId="0" borderId="63" xfId="0" applyFont="1" applyBorder="1" applyAlignment="1" applyProtection="1">
      <alignment horizontal="center" vertical="center" shrinkToFit="1"/>
      <protection locked="0"/>
    </xf>
    <xf numFmtId="38" fontId="19" fillId="0" borderId="76" xfId="0" applyNumberFormat="1" applyFont="1" applyBorder="1" applyAlignment="1" applyProtection="1">
      <alignment vertical="center" shrinkToFit="1"/>
      <protection locked="0"/>
    </xf>
    <xf numFmtId="0" fontId="19" fillId="0" borderId="80" xfId="0" applyFont="1" applyBorder="1" applyAlignment="1" applyProtection="1">
      <alignment vertical="center"/>
      <protection locked="0"/>
    </xf>
    <xf numFmtId="0" fontId="16" fillId="0" borderId="0" xfId="0" applyFont="1" applyAlignment="1">
      <alignment shrinkToFit="1"/>
    </xf>
    <xf numFmtId="0" fontId="7" fillId="4" borderId="0" xfId="0" applyFont="1" applyFill="1" applyProtection="1">
      <protection locked="0"/>
    </xf>
    <xf numFmtId="0" fontId="7" fillId="5" borderId="0" xfId="0" applyFont="1" applyFill="1" applyProtection="1"/>
    <xf numFmtId="0" fontId="24" fillId="5" borderId="0" xfId="0" applyFont="1" applyFill="1" applyProtection="1"/>
    <xf numFmtId="0" fontId="0" fillId="0" borderId="0" xfId="0" applyProtection="1"/>
    <xf numFmtId="0" fontId="31" fillId="4" borderId="0" xfId="0" applyFont="1" applyFill="1" applyProtection="1">
      <protection locked="0"/>
    </xf>
    <xf numFmtId="0" fontId="31" fillId="0" borderId="0" xfId="0" applyFont="1" applyProtection="1">
      <protection locked="0"/>
    </xf>
    <xf numFmtId="0" fontId="28" fillId="0" borderId="23" xfId="0" applyFont="1" applyBorder="1" applyAlignment="1">
      <alignment shrinkToFit="1"/>
    </xf>
    <xf numFmtId="0" fontId="0" fillId="0" borderId="0" xfId="0" applyFill="1"/>
    <xf numFmtId="0" fontId="0" fillId="0" borderId="0" xfId="0" quotePrefix="1" applyFill="1"/>
    <xf numFmtId="0" fontId="0" fillId="0" borderId="0" xfId="0" applyFill="1" applyProtection="1">
      <protection locked="0"/>
    </xf>
    <xf numFmtId="10" fontId="0" fillId="0" borderId="0" xfId="0" applyNumberFormat="1" applyFill="1"/>
    <xf numFmtId="0" fontId="0" fillId="5" borderId="0" xfId="0" applyFill="1"/>
    <xf numFmtId="0" fontId="0" fillId="0" borderId="0" xfId="0" applyAlignment="1" applyProtection="1">
      <alignment horizontal="right"/>
      <protection locked="0"/>
    </xf>
    <xf numFmtId="0" fontId="9" fillId="0" borderId="11" xfId="0" applyFont="1" applyBorder="1" applyAlignment="1">
      <alignment horizontal="center" vertical="center"/>
    </xf>
    <xf numFmtId="0" fontId="33" fillId="0" borderId="11" xfId="0" applyFont="1" applyBorder="1" applyAlignment="1">
      <alignment vertical="center"/>
    </xf>
    <xf numFmtId="0" fontId="9" fillId="0" borderId="81" xfId="0" applyFont="1" applyBorder="1" applyAlignment="1">
      <alignment horizontal="center" vertical="center"/>
    </xf>
    <xf numFmtId="0" fontId="28" fillId="0" borderId="0" xfId="0" applyFont="1" applyBorder="1" applyAlignment="1">
      <alignment shrinkToFit="1"/>
    </xf>
    <xf numFmtId="0" fontId="28" fillId="0" borderId="52" xfId="0" applyFont="1" applyBorder="1" applyAlignment="1">
      <alignment horizontal="center" shrinkToFit="1"/>
    </xf>
    <xf numFmtId="0" fontId="28" fillId="0" borderId="52" xfId="0" applyFont="1" applyBorder="1" applyAlignment="1">
      <alignment shrinkToFit="1"/>
    </xf>
    <xf numFmtId="0" fontId="28" fillId="0" borderId="24" xfId="0" applyFont="1" applyBorder="1" applyAlignment="1">
      <alignment horizontal="center" shrinkToFit="1"/>
    </xf>
    <xf numFmtId="0" fontId="28" fillId="0" borderId="31" xfId="0" applyFont="1" applyBorder="1" applyAlignment="1">
      <alignment horizontal="center" shrinkToFit="1"/>
    </xf>
    <xf numFmtId="0" fontId="28" fillId="0" borderId="24" xfId="0" applyFont="1" applyBorder="1" applyAlignment="1">
      <alignment shrinkToFit="1"/>
    </xf>
    <xf numFmtId="0" fontId="28" fillId="0" borderId="83" xfId="0" applyFont="1" applyBorder="1" applyAlignment="1">
      <alignment shrinkToFit="1"/>
    </xf>
    <xf numFmtId="0" fontId="28" fillId="0" borderId="84" xfId="0" applyFont="1" applyBorder="1" applyAlignment="1">
      <alignment shrinkToFit="1"/>
    </xf>
    <xf numFmtId="0" fontId="28" fillId="0" borderId="85" xfId="0" applyFont="1" applyBorder="1" applyAlignment="1">
      <alignment shrinkToFit="1"/>
    </xf>
    <xf numFmtId="0" fontId="28" fillId="0" borderId="0" xfId="0" applyFont="1" applyBorder="1" applyAlignment="1">
      <alignment vertical="center" shrinkToFit="1"/>
    </xf>
    <xf numFmtId="0" fontId="28" fillId="0" borderId="86" xfId="0" applyFont="1" applyBorder="1" applyAlignment="1">
      <alignment vertical="center" shrinkToFit="1"/>
    </xf>
    <xf numFmtId="0" fontId="28" fillId="0" borderId="87" xfId="0" applyFont="1" applyBorder="1" applyAlignment="1">
      <alignment vertical="center" shrinkToFit="1"/>
    </xf>
    <xf numFmtId="0" fontId="28" fillId="0" borderId="0" xfId="0" applyFont="1" applyAlignment="1">
      <alignment vertical="center" shrinkToFit="1"/>
    </xf>
    <xf numFmtId="0" fontId="30" fillId="0" borderId="88" xfId="0" applyFont="1" applyBorder="1" applyAlignment="1">
      <alignment vertical="center" shrinkToFit="1"/>
    </xf>
    <xf numFmtId="0" fontId="7" fillId="0" borderId="0" xfId="0" applyFont="1" applyAlignment="1"/>
    <xf numFmtId="0" fontId="7" fillId="0" borderId="89" xfId="0" applyFont="1" applyFill="1" applyBorder="1" applyAlignment="1"/>
    <xf numFmtId="0" fontId="28" fillId="0" borderId="90" xfId="0" applyFont="1" applyBorder="1" applyAlignment="1">
      <alignment shrinkToFit="1"/>
    </xf>
    <xf numFmtId="0" fontId="28" fillId="0" borderId="91" xfId="0" applyFont="1" applyBorder="1" applyAlignment="1">
      <alignment shrinkToFit="1"/>
    </xf>
    <xf numFmtId="0" fontId="28" fillId="0" borderId="24" xfId="0" applyFont="1" applyBorder="1" applyAlignment="1">
      <alignment vertical="center" shrinkToFit="1"/>
    </xf>
    <xf numFmtId="0" fontId="28" fillId="0" borderId="23" xfId="0" applyFont="1" applyBorder="1" applyAlignment="1">
      <alignment vertical="center" shrinkToFit="1"/>
    </xf>
    <xf numFmtId="0" fontId="30" fillId="0" borderId="52" xfId="0" applyFont="1" applyBorder="1" applyAlignment="1">
      <alignment vertical="center" shrinkToFit="1"/>
    </xf>
    <xf numFmtId="0" fontId="28" fillId="0" borderId="83" xfId="0" applyNumberFormat="1" applyFont="1" applyBorder="1" applyAlignment="1">
      <alignment shrinkToFit="1"/>
    </xf>
    <xf numFmtId="0" fontId="28" fillId="0" borderId="24" xfId="0" applyNumberFormat="1" applyFont="1" applyBorder="1" applyAlignment="1">
      <alignment shrinkToFit="1"/>
    </xf>
    <xf numFmtId="0" fontId="30" fillId="0" borderId="95" xfId="0" applyFont="1" applyBorder="1" applyAlignment="1">
      <alignment shrinkToFit="1"/>
    </xf>
    <xf numFmtId="0" fontId="28" fillId="0" borderId="96" xfId="0" applyFont="1" applyBorder="1" applyAlignment="1">
      <alignment vertical="center" shrinkToFit="1"/>
    </xf>
    <xf numFmtId="0" fontId="28" fillId="0" borderId="97" xfId="0" applyFont="1" applyBorder="1" applyAlignment="1">
      <alignment vertical="center" shrinkToFit="1"/>
    </xf>
    <xf numFmtId="0" fontId="30" fillId="0" borderId="98" xfId="0" applyFont="1" applyBorder="1" applyAlignment="1">
      <alignment vertical="center" shrinkToFit="1"/>
    </xf>
    <xf numFmtId="183" fontId="28" fillId="0" borderId="96" xfId="0" quotePrefix="1" applyNumberFormat="1" applyFont="1" applyBorder="1" applyAlignment="1">
      <alignment vertical="center" shrinkToFit="1"/>
    </xf>
    <xf numFmtId="183" fontId="28" fillId="0" borderId="24" xfId="0" quotePrefix="1" applyNumberFormat="1" applyFont="1" applyBorder="1" applyAlignment="1">
      <alignment vertical="center" shrinkToFit="1"/>
    </xf>
    <xf numFmtId="183" fontId="28" fillId="0" borderId="90" xfId="0" applyNumberFormat="1" applyFont="1" applyBorder="1" applyAlignment="1">
      <alignment shrinkToFit="1"/>
    </xf>
    <xf numFmtId="0" fontId="19" fillId="0" borderId="75" xfId="0" applyFont="1" applyBorder="1" applyAlignment="1" applyProtection="1">
      <alignment vertical="center"/>
      <protection locked="0"/>
    </xf>
    <xf numFmtId="177" fontId="19" fillId="0" borderId="38" xfId="0" applyNumberFormat="1" applyFont="1" applyBorder="1" applyAlignment="1" applyProtection="1">
      <alignment vertical="center"/>
      <protection locked="0"/>
    </xf>
    <xf numFmtId="184" fontId="28" fillId="0" borderId="86" xfId="0" applyNumberFormat="1" applyFont="1" applyBorder="1" applyAlignment="1">
      <alignment vertical="center" shrinkToFit="1"/>
    </xf>
    <xf numFmtId="184" fontId="28" fillId="0" borderId="87" xfId="0" applyNumberFormat="1" applyFont="1" applyBorder="1" applyAlignment="1">
      <alignment vertical="center" shrinkToFit="1"/>
    </xf>
    <xf numFmtId="184" fontId="28" fillId="0" borderId="100" xfId="0" applyNumberFormat="1" applyFont="1" applyBorder="1" applyAlignment="1">
      <alignment vertical="center" shrinkToFit="1"/>
    </xf>
    <xf numFmtId="185" fontId="28" fillId="0" borderId="96" xfId="0" applyNumberFormat="1" applyFont="1" applyBorder="1" applyAlignment="1">
      <alignment vertical="center" shrinkToFit="1"/>
    </xf>
    <xf numFmtId="185" fontId="28" fillId="0" borderId="97" xfId="0" applyNumberFormat="1" applyFont="1" applyBorder="1" applyAlignment="1">
      <alignment vertical="center" shrinkToFit="1"/>
    </xf>
    <xf numFmtId="185" fontId="28" fillId="0" borderId="101" xfId="0" applyNumberFormat="1" applyFont="1" applyBorder="1" applyAlignment="1">
      <alignment vertical="center" shrinkToFit="1"/>
    </xf>
    <xf numFmtId="185" fontId="28" fillId="0" borderId="24" xfId="0" applyNumberFormat="1" applyFont="1" applyBorder="1" applyAlignment="1">
      <alignment vertical="center" shrinkToFit="1"/>
    </xf>
    <xf numFmtId="185" fontId="28" fillId="0" borderId="23" xfId="0" applyNumberFormat="1" applyFont="1" applyBorder="1" applyAlignment="1">
      <alignment vertical="center" shrinkToFit="1"/>
    </xf>
    <xf numFmtId="185" fontId="28" fillId="0" borderId="31" xfId="0" applyNumberFormat="1" applyFont="1" applyBorder="1" applyAlignment="1">
      <alignment vertical="center" shrinkToFit="1"/>
    </xf>
    <xf numFmtId="185" fontId="28" fillId="0" borderId="90" xfId="0" applyNumberFormat="1" applyFont="1" applyBorder="1" applyAlignment="1">
      <alignment shrinkToFit="1"/>
    </xf>
    <xf numFmtId="185" fontId="28" fillId="0" borderId="91" xfId="0" applyNumberFormat="1" applyFont="1" applyBorder="1" applyAlignment="1">
      <alignment shrinkToFit="1"/>
    </xf>
    <xf numFmtId="185" fontId="28" fillId="0" borderId="102" xfId="0" applyNumberFormat="1" applyFont="1" applyBorder="1" applyAlignment="1">
      <alignment shrinkToFit="1"/>
    </xf>
    <xf numFmtId="0" fontId="9" fillId="0" borderId="23" xfId="0" applyFont="1" applyBorder="1" applyAlignment="1">
      <alignment vertical="center"/>
    </xf>
    <xf numFmtId="0" fontId="9" fillId="0" borderId="84" xfId="0" applyFont="1" applyBorder="1" applyAlignment="1">
      <alignment vertical="center"/>
    </xf>
    <xf numFmtId="179" fontId="19" fillId="6" borderId="78" xfId="0" applyNumberFormat="1" applyFont="1" applyFill="1" applyBorder="1" applyAlignment="1" applyProtection="1">
      <alignment vertical="center" shrinkToFit="1"/>
      <protection locked="0"/>
    </xf>
    <xf numFmtId="21" fontId="19" fillId="0" borderId="76" xfId="0" applyNumberFormat="1" applyFont="1" applyBorder="1" applyAlignment="1" applyProtection="1">
      <alignment vertical="center" wrapText="1"/>
      <protection locked="0"/>
    </xf>
    <xf numFmtId="179" fontId="19" fillId="6" borderId="72" xfId="0" applyNumberFormat="1" applyFont="1" applyFill="1" applyBorder="1" applyAlignment="1" applyProtection="1">
      <alignment vertical="center" shrinkToFit="1"/>
      <protection locked="0"/>
    </xf>
    <xf numFmtId="179" fontId="19" fillId="6" borderId="63" xfId="0" applyNumberFormat="1" applyFont="1" applyFill="1" applyBorder="1" applyAlignment="1" applyProtection="1">
      <alignment vertical="center" shrinkToFit="1"/>
      <protection locked="0"/>
    </xf>
    <xf numFmtId="179" fontId="19" fillId="6" borderId="63" xfId="0" applyNumberFormat="1" applyFont="1" applyFill="1" applyBorder="1" applyAlignment="1" applyProtection="1">
      <alignment vertical="center"/>
      <protection locked="0"/>
    </xf>
    <xf numFmtId="179" fontId="19" fillId="6" borderId="63" xfId="0" applyNumberFormat="1" applyFont="1" applyFill="1" applyBorder="1" applyAlignment="1" applyProtection="1">
      <alignment horizontal="center" vertical="center"/>
      <protection locked="0"/>
    </xf>
    <xf numFmtId="0" fontId="9" fillId="0" borderId="11" xfId="0" applyFont="1" applyBorder="1" applyAlignment="1" applyProtection="1">
      <alignment vertical="center"/>
      <protection locked="0"/>
    </xf>
    <xf numFmtId="0" fontId="28" fillId="0" borderId="0" xfId="0" applyFont="1" applyAlignment="1">
      <alignment horizontal="center" vertical="center"/>
    </xf>
    <xf numFmtId="0" fontId="28" fillId="0" borderId="0" xfId="0" applyFont="1" applyAlignment="1">
      <alignment vertical="center"/>
    </xf>
    <xf numFmtId="179" fontId="28" fillId="0" borderId="0" xfId="0" applyNumberFormat="1" applyFont="1" applyAlignment="1">
      <alignment vertical="center"/>
    </xf>
    <xf numFmtId="9" fontId="16" fillId="7" borderId="0" xfId="0" applyNumberFormat="1" applyFont="1" applyFill="1" applyAlignment="1">
      <alignment horizontal="center" vertical="center"/>
    </xf>
    <xf numFmtId="21" fontId="19" fillId="0" borderId="76" xfId="0" quotePrefix="1" applyNumberFormat="1" applyFont="1" applyBorder="1" applyAlignment="1" applyProtection="1">
      <alignment vertical="center" wrapText="1"/>
      <protection locked="0"/>
    </xf>
    <xf numFmtId="176" fontId="11" fillId="8" borderId="0" xfId="0" applyNumberFormat="1" applyFont="1" applyFill="1" applyBorder="1" applyAlignment="1" applyProtection="1">
      <alignment vertical="center"/>
    </xf>
    <xf numFmtId="176" fontId="11" fillId="8" borderId="0" xfId="0" applyNumberFormat="1" applyFont="1" applyFill="1" applyBorder="1" applyAlignment="1" applyProtection="1">
      <alignment vertical="center" shrinkToFit="1"/>
    </xf>
    <xf numFmtId="0" fontId="0" fillId="3" borderId="0" xfId="0" applyFill="1" applyAlignment="1" applyProtection="1">
      <protection locked="0"/>
    </xf>
    <xf numFmtId="0" fontId="33" fillId="0" borderId="14" xfId="0" applyFont="1" applyBorder="1" applyAlignment="1">
      <alignment vertical="center" wrapText="1"/>
    </xf>
    <xf numFmtId="0" fontId="9" fillId="0" borderId="0" xfId="0" applyFont="1" applyBorder="1" applyAlignment="1">
      <alignment horizontal="center" vertical="center"/>
    </xf>
    <xf numFmtId="0" fontId="9" fillId="0" borderId="0" xfId="0" applyFont="1" applyBorder="1" applyAlignment="1">
      <alignment vertical="center"/>
    </xf>
    <xf numFmtId="0" fontId="33" fillId="0" borderId="0" xfId="0" applyFont="1" applyBorder="1" applyAlignment="1">
      <alignment vertical="center"/>
    </xf>
    <xf numFmtId="0" fontId="33" fillId="0" borderId="0" xfId="0" applyFont="1" applyBorder="1" applyAlignment="1">
      <alignment vertical="center" wrapText="1"/>
    </xf>
    <xf numFmtId="0" fontId="9" fillId="0" borderId="0" xfId="0" applyFont="1" applyBorder="1" applyAlignment="1" applyProtection="1">
      <alignment vertical="center"/>
      <protection locked="0"/>
    </xf>
    <xf numFmtId="0" fontId="27" fillId="0" borderId="0" xfId="0" applyFont="1" applyBorder="1" applyAlignment="1">
      <alignment horizontal="center" vertical="center"/>
    </xf>
    <xf numFmtId="0" fontId="9" fillId="0" borderId="81" xfId="0" applyFont="1" applyBorder="1" applyAlignment="1" applyProtection="1">
      <alignment vertical="center" shrinkToFit="1"/>
      <protection locked="0"/>
    </xf>
    <xf numFmtId="0" fontId="9" fillId="0" borderId="82" xfId="0" applyFont="1" applyBorder="1" applyAlignment="1" applyProtection="1">
      <alignment vertical="center" shrinkToFit="1"/>
      <protection locked="0"/>
    </xf>
    <xf numFmtId="0" fontId="9" fillId="0" borderId="11" xfId="0" applyFont="1" applyBorder="1" applyAlignment="1">
      <alignment vertical="center" shrinkToFit="1"/>
    </xf>
    <xf numFmtId="0" fontId="9" fillId="0" borderId="14" xfId="0" applyFont="1" applyBorder="1" applyAlignment="1">
      <alignment vertical="center" shrinkToFit="1"/>
    </xf>
    <xf numFmtId="0" fontId="9" fillId="0" borderId="82" xfId="0" applyFont="1" applyBorder="1" applyAlignment="1">
      <alignment vertical="center" shrinkToFit="1"/>
    </xf>
    <xf numFmtId="0" fontId="9" fillId="0" borderId="81" xfId="0" applyFont="1" applyBorder="1" applyAlignment="1">
      <alignment vertical="center" shrinkToFit="1"/>
    </xf>
    <xf numFmtId="0" fontId="28" fillId="0" borderId="96" xfId="0" applyFont="1" applyBorder="1" applyAlignment="1">
      <alignment shrinkToFit="1"/>
    </xf>
    <xf numFmtId="0" fontId="28" fillId="0" borderId="97" xfId="0" applyFont="1" applyBorder="1" applyAlignment="1">
      <alignment shrinkToFit="1"/>
    </xf>
    <xf numFmtId="0" fontId="28" fillId="0" borderId="98" xfId="0" applyFont="1" applyBorder="1" applyAlignment="1">
      <alignment shrinkToFit="1"/>
    </xf>
    <xf numFmtId="178" fontId="10" fillId="6" borderId="0" xfId="0" applyNumberFormat="1" applyFont="1" applyFill="1" applyAlignment="1" applyProtection="1">
      <alignment vertical="center" shrinkToFit="1"/>
      <protection locked="0"/>
    </xf>
    <xf numFmtId="0" fontId="26" fillId="0" borderId="0" xfId="0" applyFont="1" applyAlignment="1" applyProtection="1">
      <alignment horizontal="right" vertical="center"/>
      <protection locked="0"/>
    </xf>
    <xf numFmtId="9" fontId="28" fillId="0" borderId="0" xfId="0" applyNumberFormat="1" applyFont="1" applyFill="1" applyAlignment="1">
      <alignment horizontal="center" vertical="center"/>
    </xf>
    <xf numFmtId="0" fontId="23" fillId="0" borderId="2" xfId="0" applyFont="1" applyBorder="1" applyAlignment="1">
      <alignment horizontal="center" vertical="center" shrinkToFit="1"/>
    </xf>
    <xf numFmtId="179" fontId="23" fillId="0" borderId="103" xfId="0" applyNumberFormat="1" applyFont="1" applyBorder="1" applyAlignment="1" applyProtection="1">
      <alignment horizontal="center" vertical="center" shrinkToFit="1"/>
      <protection locked="0"/>
    </xf>
    <xf numFmtId="179" fontId="23" fillId="0" borderId="104" xfId="0" applyNumberFormat="1" applyFont="1" applyBorder="1" applyAlignment="1" applyProtection="1">
      <alignment horizontal="center" vertical="center" shrinkToFit="1"/>
      <protection locked="0"/>
    </xf>
    <xf numFmtId="0" fontId="23" fillId="0" borderId="105" xfId="0" applyFont="1" applyBorder="1" applyAlignment="1">
      <alignment horizontal="center" vertical="center" shrinkToFit="1"/>
    </xf>
    <xf numFmtId="0" fontId="23" fillId="0" borderId="4" xfId="0" applyFont="1" applyBorder="1" applyAlignment="1">
      <alignment horizontal="center" vertical="center" shrinkToFit="1"/>
    </xf>
    <xf numFmtId="0" fontId="23" fillId="0" borderId="5" xfId="0" applyFont="1" applyBorder="1" applyAlignment="1">
      <alignment horizontal="center" vertical="center" shrinkToFit="1"/>
    </xf>
    <xf numFmtId="0" fontId="23" fillId="0" borderId="6" xfId="0" applyFont="1" applyBorder="1" applyAlignment="1">
      <alignment horizontal="center" vertical="center" shrinkToFit="1"/>
    </xf>
    <xf numFmtId="0" fontId="23" fillId="0" borderId="106" xfId="0" applyFont="1" applyBorder="1" applyAlignment="1">
      <alignment horizontal="center" vertical="center" shrinkToFit="1"/>
    </xf>
    <xf numFmtId="0" fontId="23" fillId="0" borderId="50" xfId="0" applyFont="1" applyBorder="1" applyAlignment="1">
      <alignment horizontal="center" vertical="center" shrinkToFit="1"/>
    </xf>
    <xf numFmtId="179" fontId="23" fillId="0" borderId="107" xfId="0" applyNumberFormat="1" applyFont="1" applyBorder="1" applyAlignment="1">
      <alignment horizontal="center" vertical="center" shrinkToFit="1"/>
    </xf>
    <xf numFmtId="179" fontId="23" fillId="0" borderId="108" xfId="0" applyNumberFormat="1" applyFont="1" applyBorder="1" applyAlignment="1">
      <alignment horizontal="center" vertical="center" shrinkToFit="1"/>
    </xf>
    <xf numFmtId="0" fontId="23" fillId="0" borderId="109" xfId="0" applyFont="1" applyBorder="1" applyAlignment="1">
      <alignment horizontal="center" vertical="center" shrinkToFit="1"/>
    </xf>
    <xf numFmtId="0" fontId="23" fillId="0" borderId="110" xfId="0" applyFont="1" applyBorder="1" applyAlignment="1">
      <alignment horizontal="center" vertical="center" shrinkToFit="1"/>
    </xf>
    <xf numFmtId="179" fontId="23" fillId="0" borderId="111" xfId="0" applyNumberFormat="1" applyFont="1" applyBorder="1" applyAlignment="1" applyProtection="1">
      <alignment horizontal="center" vertical="center" shrinkToFit="1"/>
    </xf>
    <xf numFmtId="0" fontId="23" fillId="0" borderId="17" xfId="0" applyFont="1" applyBorder="1" applyAlignment="1" applyProtection="1">
      <alignment horizontal="center" vertical="center" shrinkToFit="1"/>
      <protection locked="0"/>
    </xf>
    <xf numFmtId="178" fontId="23" fillId="0" borderId="67" xfId="0" applyNumberFormat="1" applyFont="1" applyBorder="1" applyAlignment="1" applyProtection="1">
      <alignment horizontal="center" vertical="center" shrinkToFit="1"/>
      <protection locked="0"/>
    </xf>
    <xf numFmtId="178" fontId="23" fillId="0" borderId="41" xfId="0" applyNumberFormat="1" applyFont="1" applyBorder="1" applyAlignment="1" applyProtection="1">
      <alignment horizontal="center" vertical="center" shrinkToFit="1"/>
      <protection locked="0"/>
    </xf>
    <xf numFmtId="0" fontId="23" fillId="0" borderId="112" xfId="0" applyFont="1" applyBorder="1" applyAlignment="1" applyProtection="1">
      <alignment vertical="center" shrinkToFit="1"/>
      <protection locked="0"/>
    </xf>
    <xf numFmtId="0" fontId="23" fillId="0" borderId="51" xfId="0" applyFont="1" applyBorder="1" applyAlignment="1" applyProtection="1">
      <alignment vertical="center" shrinkToFit="1"/>
      <protection locked="0"/>
    </xf>
    <xf numFmtId="0" fontId="23" fillId="0" borderId="113" xfId="0" applyFont="1" applyBorder="1" applyAlignment="1" applyProtection="1">
      <alignment vertical="center" shrinkToFit="1"/>
      <protection locked="0"/>
    </xf>
    <xf numFmtId="0" fontId="23" fillId="0" borderId="51" xfId="0" applyFont="1" applyBorder="1" applyAlignment="1" applyProtection="1">
      <alignment horizontal="center" vertical="center" shrinkToFit="1"/>
      <protection locked="0"/>
    </xf>
    <xf numFmtId="179" fontId="23" fillId="9" borderId="114" xfId="0" applyNumberFormat="1" applyFont="1" applyFill="1" applyBorder="1" applyAlignment="1" applyProtection="1">
      <alignment vertical="center" shrinkToFit="1"/>
      <protection locked="0"/>
    </xf>
    <xf numFmtId="178" fontId="23" fillId="0" borderId="115" xfId="0" applyNumberFormat="1" applyFont="1" applyBorder="1" applyAlignment="1" applyProtection="1">
      <alignment horizontal="center" vertical="center" shrinkToFit="1"/>
      <protection locked="0"/>
    </xf>
    <xf numFmtId="179" fontId="23" fillId="0" borderId="116" xfId="0" applyNumberFormat="1" applyFont="1" applyBorder="1" applyAlignment="1" applyProtection="1">
      <alignment vertical="center" shrinkToFit="1"/>
    </xf>
    <xf numFmtId="0" fontId="23" fillId="0" borderId="18" xfId="0" applyFont="1" applyBorder="1" applyAlignment="1" applyProtection="1">
      <alignment horizontal="center" vertical="center" shrinkToFit="1"/>
      <protection locked="0"/>
    </xf>
    <xf numFmtId="178" fontId="23" fillId="0" borderId="68" xfId="0" applyNumberFormat="1" applyFont="1" applyBorder="1" applyAlignment="1" applyProtection="1">
      <alignment horizontal="center" vertical="center" shrinkToFit="1"/>
      <protection locked="0"/>
    </xf>
    <xf numFmtId="178" fontId="23" fillId="0" borderId="42" xfId="0" applyNumberFormat="1" applyFont="1" applyBorder="1" applyAlignment="1" applyProtection="1">
      <alignment horizontal="center" vertical="center" shrinkToFit="1"/>
      <protection locked="0"/>
    </xf>
    <xf numFmtId="0" fontId="23" fillId="0" borderId="117" xfId="0" applyFont="1" applyBorder="1" applyAlignment="1" applyProtection="1">
      <alignment vertical="center" shrinkToFit="1"/>
      <protection locked="0"/>
    </xf>
    <xf numFmtId="0" fontId="23" fillId="0" borderId="52" xfId="0" applyFont="1" applyBorder="1" applyAlignment="1" applyProtection="1">
      <alignment vertical="center" shrinkToFit="1"/>
      <protection locked="0"/>
    </xf>
    <xf numFmtId="0" fontId="23" fillId="0" borderId="23" xfId="0" applyFont="1" applyBorder="1" applyAlignment="1" applyProtection="1">
      <alignment vertical="center" shrinkToFit="1"/>
      <protection locked="0"/>
    </xf>
    <xf numFmtId="0" fontId="23" fillId="0" borderId="52" xfId="0" applyFont="1" applyBorder="1" applyAlignment="1" applyProtection="1">
      <alignment horizontal="center" vertical="center" shrinkToFit="1"/>
      <protection locked="0"/>
    </xf>
    <xf numFmtId="179" fontId="23" fillId="9" borderId="118" xfId="0" applyNumberFormat="1" applyFont="1" applyFill="1" applyBorder="1" applyAlignment="1" applyProtection="1">
      <alignment vertical="center" shrinkToFit="1"/>
      <protection locked="0"/>
    </xf>
    <xf numFmtId="178" fontId="23" fillId="0" borderId="119" xfId="0" applyNumberFormat="1" applyFont="1" applyBorder="1" applyAlignment="1" applyProtection="1">
      <alignment horizontal="center" vertical="center" shrinkToFit="1"/>
      <protection locked="0"/>
    </xf>
    <xf numFmtId="179" fontId="23" fillId="0" borderId="120" xfId="0" applyNumberFormat="1" applyFont="1" applyBorder="1" applyAlignment="1" applyProtection="1">
      <alignment vertical="center" shrinkToFit="1"/>
    </xf>
    <xf numFmtId="0" fontId="23" fillId="0" borderId="121" xfId="0" applyFont="1" applyBorder="1" applyAlignment="1" applyProtection="1">
      <alignment horizontal="center" vertical="center" shrinkToFit="1"/>
      <protection locked="0"/>
    </xf>
    <xf numFmtId="178" fontId="23" fillId="0" borderId="122" xfId="0" applyNumberFormat="1" applyFont="1" applyBorder="1" applyAlignment="1" applyProtection="1">
      <alignment horizontal="center" vertical="center" shrinkToFit="1"/>
      <protection locked="0"/>
    </xf>
    <xf numFmtId="178" fontId="23" fillId="0" borderId="123" xfId="0" applyNumberFormat="1" applyFont="1" applyBorder="1" applyAlignment="1" applyProtection="1">
      <alignment horizontal="center" vertical="center" shrinkToFit="1"/>
      <protection locked="0"/>
    </xf>
    <xf numFmtId="0" fontId="23" fillId="0" borderId="124" xfId="0" applyFont="1" applyBorder="1" applyAlignment="1" applyProtection="1">
      <alignment vertical="center" shrinkToFit="1"/>
      <protection locked="0"/>
    </xf>
    <xf numFmtId="0" fontId="23" fillId="0" borderId="125" xfId="0" applyFont="1" applyBorder="1" applyAlignment="1" applyProtection="1">
      <alignment vertical="center" shrinkToFit="1"/>
      <protection locked="0"/>
    </xf>
    <xf numFmtId="0" fontId="23" fillId="0" borderId="126" xfId="0" applyFont="1" applyBorder="1" applyAlignment="1" applyProtection="1">
      <alignment vertical="center" shrinkToFit="1"/>
      <protection locked="0"/>
    </xf>
    <xf numFmtId="0" fontId="23" fillId="0" borderId="125" xfId="0" applyFont="1" applyBorder="1" applyAlignment="1" applyProtection="1">
      <alignment horizontal="center" vertical="center" shrinkToFit="1"/>
      <protection locked="0"/>
    </xf>
    <xf numFmtId="179" fontId="23" fillId="9" borderId="108" xfId="0" applyNumberFormat="1" applyFont="1" applyFill="1" applyBorder="1" applyAlignment="1" applyProtection="1">
      <alignment vertical="center" shrinkToFit="1"/>
      <protection locked="0"/>
    </xf>
    <xf numFmtId="178" fontId="23" fillId="0" borderId="127" xfId="0" applyNumberFormat="1" applyFont="1" applyBorder="1" applyAlignment="1" applyProtection="1">
      <alignment horizontal="center" vertical="center" shrinkToFit="1"/>
      <protection locked="0"/>
    </xf>
    <xf numFmtId="179" fontId="23" fillId="0" borderId="111" xfId="0" applyNumberFormat="1" applyFont="1" applyBorder="1" applyAlignment="1" applyProtection="1">
      <alignment vertical="center" shrinkToFit="1"/>
    </xf>
    <xf numFmtId="186" fontId="19" fillId="0" borderId="63" xfId="0" applyNumberFormat="1" applyFont="1" applyBorder="1" applyAlignment="1" applyProtection="1">
      <alignment vertical="center"/>
      <protection locked="0"/>
    </xf>
    <xf numFmtId="186" fontId="19" fillId="0" borderId="76" xfId="0" applyNumberFormat="1" applyFont="1" applyBorder="1" applyAlignment="1" applyProtection="1">
      <alignment vertical="center" shrinkToFit="1"/>
      <protection locked="0"/>
    </xf>
    <xf numFmtId="186" fontId="19" fillId="0" borderId="78" xfId="0" applyNumberFormat="1" applyFont="1" applyBorder="1" applyAlignment="1" applyProtection="1">
      <alignment vertical="center" shrinkToFit="1"/>
      <protection locked="0"/>
    </xf>
    <xf numFmtId="0" fontId="33" fillId="0" borderId="11" xfId="0" applyFont="1" applyBorder="1" applyAlignment="1">
      <alignment vertical="center" wrapText="1"/>
    </xf>
    <xf numFmtId="0" fontId="28" fillId="0" borderId="128" xfId="0" applyFont="1" applyBorder="1" applyAlignment="1">
      <alignment horizontal="center" shrinkToFit="1"/>
    </xf>
    <xf numFmtId="0" fontId="28" fillId="0" borderId="129" xfId="0" applyFont="1" applyBorder="1" applyAlignment="1">
      <alignment horizontal="center" shrinkToFit="1"/>
    </xf>
    <xf numFmtId="0" fontId="36" fillId="0" borderId="129" xfId="0" applyNumberFormat="1" applyFont="1" applyBorder="1" applyAlignment="1">
      <alignment horizontal="center"/>
    </xf>
    <xf numFmtId="0" fontId="28" fillId="0" borderId="130" xfId="0" applyFont="1" applyBorder="1" applyAlignment="1">
      <alignment horizontal="center" shrinkToFit="1"/>
    </xf>
    <xf numFmtId="184" fontId="28" fillId="0" borderId="129" xfId="0" applyNumberFormat="1" applyFont="1" applyBorder="1" applyAlignment="1">
      <alignment horizontal="center" shrinkToFit="1"/>
    </xf>
    <xf numFmtId="0" fontId="0" fillId="0" borderId="129" xfId="0" applyBorder="1" applyAlignment="1">
      <alignment horizontal="center" vertical="center" shrinkToFit="1"/>
    </xf>
    <xf numFmtId="0" fontId="28" fillId="0" borderId="129" xfId="0" applyFont="1" applyBorder="1" applyAlignment="1">
      <alignment shrinkToFit="1"/>
    </xf>
    <xf numFmtId="185" fontId="28" fillId="0" borderId="23" xfId="0" quotePrefix="1" applyNumberFormat="1" applyFont="1" applyBorder="1" applyAlignment="1">
      <alignment vertical="center" shrinkToFit="1"/>
    </xf>
    <xf numFmtId="185" fontId="28" fillId="0" borderId="87" xfId="0" applyNumberFormat="1" applyFont="1" applyBorder="1" applyAlignment="1">
      <alignment shrinkToFit="1"/>
    </xf>
    <xf numFmtId="179" fontId="9" fillId="6" borderId="81" xfId="0" applyNumberFormat="1" applyFont="1" applyFill="1" applyBorder="1" applyAlignment="1" applyProtection="1">
      <alignment vertical="center"/>
    </xf>
    <xf numFmtId="179" fontId="9" fillId="6" borderId="82" xfId="0" applyNumberFormat="1" applyFont="1" applyFill="1" applyBorder="1" applyAlignment="1" applyProtection="1">
      <alignment vertical="center"/>
    </xf>
    <xf numFmtId="179" fontId="9" fillId="6" borderId="132" xfId="0" applyNumberFormat="1" applyFont="1" applyFill="1" applyBorder="1" applyAlignment="1" applyProtection="1">
      <alignment vertical="center"/>
    </xf>
    <xf numFmtId="179" fontId="9" fillId="6" borderId="11" xfId="0" applyNumberFormat="1" applyFont="1" applyFill="1" applyBorder="1" applyAlignment="1" applyProtection="1">
      <alignment vertical="center"/>
    </xf>
    <xf numFmtId="0" fontId="23" fillId="0" borderId="133" xfId="0" applyFont="1" applyBorder="1" applyAlignment="1">
      <alignment horizontal="center" vertical="center" shrinkToFit="1"/>
    </xf>
    <xf numFmtId="0" fontId="23" fillId="0" borderId="134" xfId="0" applyFont="1" applyBorder="1" applyAlignment="1">
      <alignment horizontal="center" vertical="center" shrinkToFit="1"/>
    </xf>
    <xf numFmtId="0" fontId="23" fillId="0" borderId="135" xfId="0" applyFont="1" applyBorder="1" applyAlignment="1" applyProtection="1">
      <alignment horizontal="center" vertical="center" shrinkToFit="1"/>
      <protection locked="0"/>
    </xf>
    <xf numFmtId="178" fontId="23" fillId="0" borderId="136" xfId="0" applyNumberFormat="1" applyFont="1" applyBorder="1" applyAlignment="1" applyProtection="1">
      <alignment horizontal="center" vertical="center" shrinkToFit="1"/>
      <protection locked="0"/>
    </xf>
    <xf numFmtId="0" fontId="23" fillId="0" borderId="136" xfId="0" applyFont="1" applyBorder="1" applyAlignment="1" applyProtection="1">
      <alignment vertical="center" shrinkToFit="1"/>
      <protection locked="0"/>
    </xf>
    <xf numFmtId="0" fontId="23" fillId="0" borderId="137" xfId="0" applyFont="1" applyBorder="1" applyAlignment="1" applyProtection="1">
      <alignment horizontal="right" vertical="center" shrinkToFit="1"/>
      <protection locked="0"/>
    </xf>
    <xf numFmtId="179" fontId="23" fillId="10" borderId="138" xfId="0" applyNumberFormat="1" applyFont="1" applyFill="1" applyBorder="1" applyAlignment="1" applyProtection="1">
      <alignment vertical="center" shrinkToFit="1"/>
      <protection locked="0"/>
    </xf>
    <xf numFmtId="0" fontId="23" fillId="0" borderId="1" xfId="0" applyFont="1" applyBorder="1" applyAlignment="1" applyProtection="1">
      <alignment horizontal="center" vertical="center" shrinkToFit="1"/>
      <protection locked="0"/>
    </xf>
    <xf numFmtId="178" fontId="23" fillId="0" borderId="2" xfId="0" applyNumberFormat="1" applyFont="1" applyBorder="1" applyAlignment="1" applyProtection="1">
      <alignment horizontal="center" vertical="center" shrinkToFit="1"/>
      <protection locked="0"/>
    </xf>
    <xf numFmtId="178" fontId="23" fillId="0" borderId="3" xfId="0" applyNumberFormat="1" applyFont="1" applyBorder="1" applyAlignment="1" applyProtection="1">
      <alignment horizontal="center" vertical="center" shrinkToFit="1"/>
      <protection locked="0"/>
    </xf>
    <xf numFmtId="0" fontId="23" fillId="0" borderId="139" xfId="0" applyFont="1" applyBorder="1" applyAlignment="1" applyProtection="1">
      <alignment vertical="center" shrinkToFit="1"/>
      <protection locked="0"/>
    </xf>
    <xf numFmtId="0" fontId="23" fillId="0" borderId="49" xfId="0" applyFont="1" applyBorder="1" applyAlignment="1" applyProtection="1">
      <alignment horizontal="right" vertical="center" shrinkToFit="1"/>
      <protection locked="0"/>
    </xf>
    <xf numFmtId="0" fontId="23" fillId="0" borderId="140" xfId="0" applyFont="1" applyBorder="1" applyAlignment="1" applyProtection="1">
      <alignment horizontal="right" vertical="center" shrinkToFit="1"/>
      <protection locked="0"/>
    </xf>
    <xf numFmtId="0" fontId="23" fillId="0" borderId="141" xfId="0" applyFont="1" applyBorder="1" applyAlignment="1" applyProtection="1">
      <alignment vertical="center" shrinkToFit="1"/>
      <protection locked="0"/>
    </xf>
    <xf numFmtId="0" fontId="23" fillId="0" borderId="49" xfId="0" applyFont="1" applyBorder="1" applyAlignment="1" applyProtection="1">
      <alignment vertical="center" shrinkToFit="1"/>
      <protection locked="0"/>
    </xf>
    <xf numFmtId="0" fontId="23" fillId="0" borderId="142" xfId="0" applyFont="1" applyBorder="1" applyAlignment="1" applyProtection="1">
      <alignment vertical="center" shrinkToFit="1"/>
      <protection locked="0"/>
    </xf>
    <xf numFmtId="0" fontId="23" fillId="0" borderId="140" xfId="0" applyFont="1" applyBorder="1" applyAlignment="1" applyProtection="1">
      <alignment horizontal="center" vertical="center" shrinkToFit="1"/>
      <protection locked="0"/>
    </xf>
    <xf numFmtId="176" fontId="23" fillId="0" borderId="143" xfId="0" applyNumberFormat="1" applyFont="1" applyBorder="1" applyAlignment="1" applyProtection="1">
      <alignment vertical="center" shrinkToFit="1"/>
    </xf>
    <xf numFmtId="0" fontId="23" fillId="0" borderId="144" xfId="0" applyFont="1" applyBorder="1" applyAlignment="1">
      <alignment horizontal="center" vertical="center" shrinkToFit="1"/>
    </xf>
    <xf numFmtId="0" fontId="23" fillId="0" borderId="145" xfId="0" applyFont="1" applyBorder="1" applyAlignment="1">
      <alignment horizontal="center" vertical="center" shrinkToFit="1"/>
    </xf>
    <xf numFmtId="179" fontId="23" fillId="10" borderId="146" xfId="0" applyNumberFormat="1" applyFont="1" applyFill="1" applyBorder="1" applyAlignment="1" applyProtection="1">
      <alignment vertical="center" shrinkToFit="1"/>
      <protection locked="0"/>
    </xf>
    <xf numFmtId="179" fontId="23" fillId="10" borderId="147" xfId="0" applyNumberFormat="1" applyFont="1" applyFill="1" applyBorder="1" applyAlignment="1" applyProtection="1">
      <alignment vertical="center" shrinkToFit="1"/>
      <protection locked="0"/>
    </xf>
    <xf numFmtId="179" fontId="23" fillId="10" borderId="107" xfId="0" applyNumberFormat="1" applyFont="1" applyFill="1" applyBorder="1" applyAlignment="1" applyProtection="1">
      <alignment vertical="center" shrinkToFit="1"/>
      <protection locked="0"/>
    </xf>
    <xf numFmtId="0" fontId="30" fillId="0" borderId="86" xfId="0" applyFont="1" applyBorder="1" applyAlignment="1">
      <alignment horizontal="right" vertical="center" shrinkToFit="1"/>
    </xf>
    <xf numFmtId="0" fontId="28" fillId="0" borderId="148" xfId="0" applyNumberFormat="1" applyFont="1" applyBorder="1" applyAlignment="1">
      <alignment horizontal="center" shrinkToFit="1"/>
    </xf>
    <xf numFmtId="184" fontId="28" fillId="0" borderId="87" xfId="0" quotePrefix="1" applyNumberFormat="1" applyFont="1" applyBorder="1" applyAlignment="1">
      <alignment vertical="center" shrinkToFit="1"/>
    </xf>
    <xf numFmtId="0" fontId="28" fillId="0" borderId="0" xfId="0" applyFont="1" applyAlignment="1">
      <alignment horizontal="center" shrinkToFit="1"/>
    </xf>
    <xf numFmtId="0" fontId="28" fillId="0" borderId="0" xfId="0" applyNumberFormat="1" applyFont="1" applyBorder="1" applyAlignment="1">
      <alignment shrinkToFit="1"/>
    </xf>
    <xf numFmtId="0" fontId="28" fillId="0" borderId="89" xfId="0" applyNumberFormat="1" applyFont="1" applyBorder="1" applyAlignment="1">
      <alignment shrinkToFit="1"/>
    </xf>
    <xf numFmtId="0" fontId="28" fillId="0" borderId="89" xfId="0" applyFont="1" applyBorder="1" applyAlignment="1">
      <alignment shrinkToFit="1"/>
    </xf>
    <xf numFmtId="177" fontId="35" fillId="0" borderId="89" xfId="0" applyNumberFormat="1" applyFont="1" applyBorder="1" applyAlignment="1">
      <alignment shrinkToFit="1"/>
    </xf>
    <xf numFmtId="0" fontId="35" fillId="0" borderId="89" xfId="0" applyFont="1" applyBorder="1" applyAlignment="1"/>
    <xf numFmtId="177" fontId="28" fillId="0" borderId="89" xfId="0" applyNumberFormat="1" applyFont="1" applyBorder="1" applyAlignment="1">
      <alignment shrinkToFit="1"/>
    </xf>
    <xf numFmtId="0" fontId="28" fillId="0" borderId="0" xfId="0" applyFont="1" applyBorder="1" applyAlignment="1">
      <alignment horizontal="center" shrinkToFit="1"/>
    </xf>
    <xf numFmtId="0" fontId="28" fillId="11" borderId="14" xfId="0" applyFont="1" applyFill="1" applyBorder="1" applyAlignment="1">
      <alignment vertical="center" shrinkToFit="1"/>
    </xf>
    <xf numFmtId="0" fontId="28" fillId="11" borderId="15" xfId="0" applyFont="1" applyFill="1" applyBorder="1" applyAlignment="1">
      <alignment vertical="center" shrinkToFit="1"/>
    </xf>
    <xf numFmtId="0" fontId="28" fillId="11" borderId="132" xfId="0" applyFont="1" applyFill="1" applyBorder="1" applyAlignment="1">
      <alignment vertical="center" shrinkToFit="1"/>
    </xf>
    <xf numFmtId="0" fontId="28" fillId="11" borderId="149" xfId="0" applyFont="1" applyFill="1" applyBorder="1" applyAlignment="1">
      <alignment horizontal="center" shrinkToFit="1"/>
    </xf>
    <xf numFmtId="0" fontId="28" fillId="11" borderId="150" xfId="0" applyFont="1" applyFill="1" applyBorder="1" applyAlignment="1">
      <alignment horizontal="center" shrinkToFit="1"/>
    </xf>
    <xf numFmtId="0" fontId="28" fillId="11" borderId="151" xfId="0" applyFont="1" applyFill="1" applyBorder="1" applyAlignment="1">
      <alignment horizontal="center" shrinkToFit="1"/>
    </xf>
    <xf numFmtId="0" fontId="28" fillId="11" borderId="14" xfId="0" applyFont="1" applyFill="1" applyBorder="1" applyAlignment="1">
      <alignment shrinkToFit="1"/>
    </xf>
    <xf numFmtId="0" fontId="28" fillId="11" borderId="15" xfId="0" applyFont="1" applyFill="1" applyBorder="1" applyAlignment="1">
      <alignment shrinkToFit="1"/>
    </xf>
    <xf numFmtId="0" fontId="28" fillId="11" borderId="132" xfId="0" applyFont="1" applyFill="1" applyBorder="1" applyAlignment="1">
      <alignment shrinkToFit="1"/>
    </xf>
    <xf numFmtId="184" fontId="28" fillId="11" borderId="96" xfId="0" applyNumberFormat="1" applyFont="1" applyFill="1" applyBorder="1" applyAlignment="1">
      <alignment vertical="center" shrinkToFit="1"/>
    </xf>
    <xf numFmtId="184" fontId="28" fillId="11" borderId="97" xfId="0" applyNumberFormat="1" applyFont="1" applyFill="1" applyBorder="1" applyAlignment="1">
      <alignment vertical="center" shrinkToFit="1"/>
    </xf>
    <xf numFmtId="184" fontId="28" fillId="11" borderId="101" xfId="0" applyNumberFormat="1" applyFont="1" applyFill="1" applyBorder="1" applyAlignment="1">
      <alignment vertical="center" shrinkToFit="1"/>
    </xf>
    <xf numFmtId="184" fontId="28" fillId="11" borderId="24" xfId="0" applyNumberFormat="1" applyFont="1" applyFill="1" applyBorder="1" applyAlignment="1">
      <alignment vertical="center" shrinkToFit="1"/>
    </xf>
    <xf numFmtId="184" fontId="28" fillId="11" borderId="23" xfId="0" applyNumberFormat="1" applyFont="1" applyFill="1" applyBorder="1" applyAlignment="1">
      <alignment vertical="center" shrinkToFit="1"/>
    </xf>
    <xf numFmtId="184" fontId="28" fillId="11" borderId="31" xfId="0" applyNumberFormat="1" applyFont="1" applyFill="1" applyBorder="1" applyAlignment="1">
      <alignment vertical="center" shrinkToFit="1"/>
    </xf>
    <xf numFmtId="184" fontId="28" fillId="11" borderId="87" xfId="0" applyNumberFormat="1" applyFont="1" applyFill="1" applyBorder="1" applyAlignment="1">
      <alignment vertical="center" shrinkToFit="1"/>
    </xf>
    <xf numFmtId="184" fontId="28" fillId="11" borderId="100" xfId="0" applyNumberFormat="1" applyFont="1" applyFill="1" applyBorder="1" applyAlignment="1">
      <alignment vertical="center" shrinkToFit="1"/>
    </xf>
    <xf numFmtId="184" fontId="28" fillId="0" borderId="0" xfId="0" applyNumberFormat="1" applyFont="1" applyFill="1" applyBorder="1" applyAlignment="1">
      <alignment vertical="center" shrinkToFit="1"/>
    </xf>
    <xf numFmtId="0" fontId="34" fillId="0" borderId="38" xfId="0" applyFont="1" applyBorder="1" applyAlignment="1" applyProtection="1">
      <alignment vertical="center"/>
      <protection locked="0"/>
    </xf>
    <xf numFmtId="0" fontId="34" fillId="0" borderId="76" xfId="0" applyFont="1" applyBorder="1" applyAlignment="1" applyProtection="1">
      <alignment vertical="center"/>
      <protection locked="0"/>
    </xf>
    <xf numFmtId="0" fontId="33" fillId="0" borderId="82" xfId="0" applyFont="1" applyBorder="1" applyAlignment="1">
      <alignment vertical="center" wrapText="1"/>
    </xf>
    <xf numFmtId="0" fontId="0" fillId="12" borderId="0" xfId="0" applyFill="1"/>
    <xf numFmtId="0" fontId="33" fillId="0" borderId="11" xfId="0" applyFont="1" applyBorder="1" applyAlignment="1">
      <alignment horizontal="center" vertical="center" wrapText="1"/>
    </xf>
    <xf numFmtId="0" fontId="33" fillId="0" borderId="177" xfId="0" applyFont="1" applyBorder="1" applyAlignment="1">
      <alignment horizontal="center" vertical="center" wrapText="1"/>
    </xf>
    <xf numFmtId="0" fontId="9" fillId="0" borderId="132" xfId="0" applyFont="1" applyBorder="1" applyAlignment="1">
      <alignment horizontal="center" vertical="center"/>
    </xf>
    <xf numFmtId="0" fontId="9" fillId="0" borderId="177" xfId="0" applyFont="1" applyBorder="1" applyAlignment="1">
      <alignment vertical="center" shrinkToFit="1"/>
    </xf>
    <xf numFmtId="0" fontId="9" fillId="0" borderId="132" xfId="0" applyFont="1" applyBorder="1" applyAlignment="1">
      <alignment vertical="center" shrinkToFit="1"/>
    </xf>
    <xf numFmtId="0" fontId="9" fillId="0" borderId="11" xfId="0" applyFont="1" applyBorder="1" applyAlignment="1">
      <alignment vertical="center"/>
    </xf>
    <xf numFmtId="0" fontId="28" fillId="0" borderId="172" xfId="0" applyFont="1" applyBorder="1" applyAlignment="1">
      <alignment shrinkToFit="1"/>
    </xf>
    <xf numFmtId="0" fontId="28" fillId="0" borderId="172" xfId="0" applyFont="1" applyBorder="1" applyAlignment="1">
      <alignment horizontal="center" shrinkToFit="1"/>
    </xf>
    <xf numFmtId="0" fontId="28" fillId="0" borderId="131" xfId="0" applyFont="1" applyBorder="1" applyAlignment="1">
      <alignment horizontal="center" shrinkToFit="1"/>
    </xf>
    <xf numFmtId="0" fontId="28" fillId="0" borderId="178" xfId="0" applyFont="1" applyBorder="1" applyAlignment="1">
      <alignment horizontal="center" shrinkToFit="1"/>
    </xf>
    <xf numFmtId="0" fontId="28" fillId="0" borderId="179" xfId="0" applyFont="1" applyBorder="1" applyAlignment="1">
      <alignment horizontal="center" shrinkToFit="1"/>
    </xf>
    <xf numFmtId="0" fontId="28" fillId="0" borderId="101" xfId="0" applyFont="1" applyBorder="1" applyAlignment="1">
      <alignment shrinkToFit="1"/>
    </xf>
    <xf numFmtId="0" fontId="28" fillId="0" borderId="180" xfId="0" applyFont="1" applyBorder="1" applyAlignment="1">
      <alignment shrinkToFit="1"/>
    </xf>
    <xf numFmtId="0" fontId="28" fillId="0" borderId="98" xfId="0" applyFont="1" applyBorder="1" applyAlignment="1">
      <alignment horizontal="center" shrinkToFit="1"/>
    </xf>
    <xf numFmtId="184" fontId="28" fillId="0" borderId="88" xfId="0" applyNumberFormat="1" applyFont="1" applyBorder="1" applyAlignment="1">
      <alignment vertical="center" shrinkToFit="1"/>
    </xf>
    <xf numFmtId="185" fontId="28" fillId="0" borderId="52" xfId="0" applyNumberFormat="1" applyFont="1" applyBorder="1" applyAlignment="1">
      <alignment vertical="center" shrinkToFit="1"/>
    </xf>
    <xf numFmtId="185" fontId="28" fillId="0" borderId="88" xfId="0" applyNumberFormat="1" applyFont="1" applyBorder="1" applyAlignment="1">
      <alignment shrinkToFit="1"/>
    </xf>
    <xf numFmtId="184" fontId="28" fillId="0" borderId="181" xfId="0" applyNumberFormat="1" applyFont="1" applyBorder="1" applyAlignment="1">
      <alignment vertical="center" shrinkToFit="1"/>
    </xf>
    <xf numFmtId="185" fontId="28" fillId="0" borderId="182" xfId="0" applyNumberFormat="1" applyFont="1" applyBorder="1" applyAlignment="1">
      <alignment vertical="center" shrinkToFit="1"/>
    </xf>
    <xf numFmtId="185" fontId="28" fillId="0" borderId="183" xfId="0" applyNumberFormat="1" applyFont="1" applyBorder="1" applyAlignment="1">
      <alignment shrinkToFit="1"/>
    </xf>
    <xf numFmtId="185" fontId="28" fillId="0" borderId="95" xfId="0" applyNumberFormat="1" applyFont="1" applyBorder="1" applyAlignment="1">
      <alignment shrinkToFit="1"/>
    </xf>
    <xf numFmtId="0" fontId="28" fillId="0" borderId="184" xfId="0" applyFont="1" applyBorder="1" applyAlignment="1">
      <alignment vertical="center" shrinkToFit="1"/>
    </xf>
    <xf numFmtId="0" fontId="28" fillId="0" borderId="102" xfId="0" applyFont="1" applyBorder="1" applyAlignment="1">
      <alignment shrinkToFit="1"/>
    </xf>
    <xf numFmtId="0" fontId="28" fillId="0" borderId="31" xfId="0" applyFont="1" applyBorder="1" applyAlignment="1">
      <alignment vertical="center" shrinkToFit="1"/>
    </xf>
    <xf numFmtId="0" fontId="28" fillId="0" borderId="167" xfId="0" applyNumberFormat="1" applyFont="1" applyBorder="1" applyAlignment="1">
      <alignment shrinkToFit="1"/>
    </xf>
    <xf numFmtId="0" fontId="28" fillId="0" borderId="165" xfId="0" applyNumberFormat="1" applyFont="1" applyBorder="1" applyAlignment="1">
      <alignment shrinkToFit="1"/>
    </xf>
    <xf numFmtId="0" fontId="28" fillId="0" borderId="162" xfId="0" quotePrefix="1" applyNumberFormat="1" applyFont="1" applyBorder="1" applyAlignment="1">
      <alignment vertical="center" shrinkToFit="1"/>
    </xf>
    <xf numFmtId="183" fontId="28" fillId="0" borderId="164" xfId="0" quotePrefix="1" applyNumberFormat="1" applyFont="1" applyBorder="1" applyAlignment="1">
      <alignment vertical="center" shrinkToFit="1"/>
    </xf>
    <xf numFmtId="183" fontId="28" fillId="0" borderId="165" xfId="0" quotePrefix="1" applyNumberFormat="1" applyFont="1" applyBorder="1" applyAlignment="1">
      <alignment vertical="center" shrinkToFit="1"/>
    </xf>
    <xf numFmtId="183" fontId="28" fillId="0" borderId="89" xfId="0" applyNumberFormat="1" applyFont="1" applyBorder="1" applyAlignment="1">
      <alignment shrinkToFit="1"/>
    </xf>
    <xf numFmtId="0" fontId="28" fillId="0" borderId="31" xfId="0" applyNumberFormat="1" applyFont="1" applyBorder="1" applyAlignment="1">
      <alignment shrinkToFit="1"/>
    </xf>
    <xf numFmtId="0" fontId="28" fillId="0" borderId="185" xfId="0" applyNumberFormat="1" applyFont="1" applyBorder="1" applyAlignment="1">
      <alignment shrinkToFit="1"/>
    </xf>
    <xf numFmtId="0" fontId="28" fillId="0" borderId="100" xfId="0" quotePrefix="1" applyNumberFormat="1" applyFont="1" applyBorder="1" applyAlignment="1">
      <alignment vertical="center" shrinkToFit="1"/>
    </xf>
    <xf numFmtId="183" fontId="28" fillId="0" borderId="101" xfId="0" quotePrefix="1" applyNumberFormat="1" applyFont="1" applyBorder="1" applyAlignment="1">
      <alignment vertical="center" shrinkToFit="1"/>
    </xf>
    <xf numFmtId="183" fontId="28" fillId="0" borderId="31" xfId="0" quotePrefix="1" applyNumberFormat="1" applyFont="1" applyBorder="1" applyAlignment="1">
      <alignment vertical="center" shrinkToFit="1"/>
    </xf>
    <xf numFmtId="183" fontId="28" fillId="0" borderId="102" xfId="0" applyNumberFormat="1" applyFont="1" applyBorder="1" applyAlignment="1">
      <alignment shrinkToFit="1"/>
    </xf>
    <xf numFmtId="0" fontId="37" fillId="0" borderId="38" xfId="0" applyFont="1" applyBorder="1" applyAlignment="1" applyProtection="1">
      <alignment vertical="center"/>
      <protection locked="0"/>
    </xf>
    <xf numFmtId="179" fontId="9" fillId="6" borderId="14" xfId="0" applyNumberFormat="1" applyFont="1" applyFill="1" applyBorder="1" applyAlignment="1" applyProtection="1">
      <alignment vertical="center"/>
    </xf>
    <xf numFmtId="186" fontId="19" fillId="0" borderId="63" xfId="2" applyNumberFormat="1" applyFont="1" applyBorder="1" applyAlignment="1" applyProtection="1">
      <alignment vertical="center"/>
      <protection locked="0"/>
    </xf>
    <xf numFmtId="0" fontId="19" fillId="0" borderId="63" xfId="2" applyFont="1" applyBorder="1" applyAlignment="1" applyProtection="1">
      <alignment horizontal="center" vertical="center"/>
      <protection locked="0"/>
    </xf>
    <xf numFmtId="177" fontId="14" fillId="0" borderId="63" xfId="2" applyNumberFormat="1" applyFont="1" applyBorder="1" applyAlignment="1" applyProtection="1">
      <alignment horizontal="right" vertical="top" shrinkToFit="1"/>
    </xf>
    <xf numFmtId="0" fontId="19" fillId="0" borderId="72" xfId="2" applyFont="1" applyBorder="1" applyAlignment="1" applyProtection="1">
      <alignment vertical="center"/>
      <protection locked="0"/>
    </xf>
    <xf numFmtId="0" fontId="19" fillId="0" borderId="73" xfId="2" applyFont="1" applyBorder="1" applyAlignment="1" applyProtection="1">
      <alignment vertical="center"/>
      <protection locked="0"/>
    </xf>
    <xf numFmtId="0" fontId="37" fillId="0" borderId="74" xfId="2" applyFont="1" applyFill="1" applyBorder="1" applyAlignment="1" applyProtection="1">
      <alignment vertical="center"/>
      <protection locked="0"/>
    </xf>
    <xf numFmtId="0" fontId="19" fillId="0" borderId="72" xfId="2" applyFont="1" applyFill="1" applyBorder="1" applyAlignment="1" applyProtection="1">
      <alignment vertical="center"/>
      <protection locked="0"/>
    </xf>
    <xf numFmtId="0" fontId="19" fillId="0" borderId="63" xfId="2" applyFont="1" applyFill="1" applyBorder="1" applyAlignment="1" applyProtection="1">
      <alignment vertical="center" wrapText="1"/>
      <protection locked="0"/>
    </xf>
    <xf numFmtId="186" fontId="19" fillId="0" borderId="63" xfId="2" applyNumberFormat="1" applyFont="1" applyFill="1" applyBorder="1" applyAlignment="1" applyProtection="1">
      <alignment vertical="center"/>
      <protection locked="0"/>
    </xf>
    <xf numFmtId="0" fontId="19" fillId="0" borderId="63" xfId="2" applyFont="1" applyFill="1" applyBorder="1" applyAlignment="1" applyProtection="1">
      <alignment horizontal="center" vertical="center"/>
      <protection locked="0"/>
    </xf>
    <xf numFmtId="177" fontId="14" fillId="0" borderId="63" xfId="2" applyNumberFormat="1" applyFont="1" applyFill="1" applyBorder="1" applyAlignment="1" applyProtection="1">
      <alignment horizontal="right" vertical="top" shrinkToFit="1"/>
    </xf>
    <xf numFmtId="0" fontId="19" fillId="0" borderId="73" xfId="2" applyFont="1" applyFill="1" applyBorder="1" applyAlignment="1" applyProtection="1">
      <alignment vertical="center"/>
      <protection locked="0"/>
    </xf>
    <xf numFmtId="0" fontId="19" fillId="0" borderId="75" xfId="2" quotePrefix="1" applyFont="1" applyBorder="1" applyAlignment="1" applyProtection="1">
      <alignment horizontal="right" vertical="center"/>
      <protection locked="0"/>
    </xf>
    <xf numFmtId="0" fontId="19" fillId="0" borderId="38" xfId="2" applyFont="1" applyBorder="1" applyAlignment="1" applyProtection="1">
      <alignment vertical="center"/>
      <protection locked="0"/>
    </xf>
    <xf numFmtId="0" fontId="19" fillId="0" borderId="76" xfId="2" applyFont="1" applyBorder="1" applyAlignment="1" applyProtection="1">
      <alignment vertical="center" wrapText="1"/>
      <protection locked="0"/>
    </xf>
    <xf numFmtId="186" fontId="19" fillId="0" borderId="76" xfId="2" applyNumberFormat="1" applyFont="1" applyBorder="1" applyAlignment="1" applyProtection="1">
      <alignment vertical="center" shrinkToFit="1"/>
      <protection locked="0"/>
    </xf>
    <xf numFmtId="0" fontId="19" fillId="0" borderId="76" xfId="2" applyFont="1" applyBorder="1" applyAlignment="1" applyProtection="1">
      <alignment horizontal="center" vertical="center"/>
      <protection locked="0"/>
    </xf>
    <xf numFmtId="177" fontId="19" fillId="0" borderId="76" xfId="2" applyNumberFormat="1" applyFont="1" applyBorder="1" applyAlignment="1" applyProtection="1">
      <alignment vertical="center" shrinkToFit="1"/>
      <protection locked="0"/>
    </xf>
    <xf numFmtId="0" fontId="19" fillId="0" borderId="39" xfId="2" applyFont="1" applyBorder="1" applyAlignment="1" applyProtection="1">
      <alignment vertical="center"/>
      <protection locked="0"/>
    </xf>
    <xf numFmtId="0" fontId="19" fillId="0" borderId="75" xfId="2" applyFont="1" applyBorder="1" applyAlignment="1" applyProtection="1">
      <alignment horizontal="right" vertical="center"/>
      <protection locked="0"/>
    </xf>
    <xf numFmtId="0" fontId="19" fillId="0" borderId="38" xfId="2" applyFont="1" applyBorder="1" applyAlignment="1" applyProtection="1">
      <alignment horizontal="left" vertical="center"/>
      <protection locked="0"/>
    </xf>
    <xf numFmtId="0" fontId="19" fillId="0" borderId="38" xfId="0" applyFont="1" applyBorder="1" applyAlignment="1" applyProtection="1">
      <alignment horizontal="left" vertical="center"/>
      <protection locked="0"/>
    </xf>
    <xf numFmtId="0" fontId="15" fillId="0" borderId="38" xfId="2" applyFont="1" applyBorder="1" applyAlignment="1" applyProtection="1">
      <alignment vertical="center"/>
      <protection locked="0"/>
    </xf>
    <xf numFmtId="9" fontId="19" fillId="0" borderId="38" xfId="2" quotePrefix="1" applyNumberFormat="1" applyFont="1" applyBorder="1" applyAlignment="1" applyProtection="1">
      <alignment horizontal="center" vertical="center"/>
      <protection locked="0"/>
    </xf>
    <xf numFmtId="0" fontId="11" fillId="0" borderId="38" xfId="2" applyFont="1" applyBorder="1" applyAlignment="1" applyProtection="1">
      <alignment vertical="center"/>
      <protection locked="0"/>
    </xf>
    <xf numFmtId="0" fontId="11" fillId="0" borderId="39" xfId="2" applyFont="1" applyBorder="1" applyAlignment="1" applyProtection="1">
      <alignment vertical="center"/>
      <protection locked="0"/>
    </xf>
    <xf numFmtId="0" fontId="19" fillId="0" borderId="77" xfId="2" applyFont="1" applyBorder="1" applyAlignment="1" applyProtection="1">
      <alignment vertical="center"/>
      <protection locked="0"/>
    </xf>
    <xf numFmtId="0" fontId="19" fillId="0" borderId="70" xfId="2" applyFont="1" applyBorder="1" applyAlignment="1" applyProtection="1">
      <alignment vertical="center"/>
      <protection locked="0"/>
    </xf>
    <xf numFmtId="0" fontId="19" fillId="0" borderId="78" xfId="2" applyFont="1" applyBorder="1" applyAlignment="1" applyProtection="1">
      <alignment vertical="center" wrapText="1"/>
      <protection locked="0"/>
    </xf>
    <xf numFmtId="186" fontId="19" fillId="0" borderId="78" xfId="2" applyNumberFormat="1" applyFont="1" applyBorder="1" applyAlignment="1" applyProtection="1">
      <alignment vertical="center" shrinkToFit="1"/>
      <protection locked="0"/>
    </xf>
    <xf numFmtId="0" fontId="19" fillId="0" borderId="78" xfId="2" applyFont="1" applyBorder="1" applyAlignment="1" applyProtection="1">
      <alignment horizontal="center" vertical="center"/>
      <protection locked="0"/>
    </xf>
    <xf numFmtId="177" fontId="19" fillId="0" borderId="78" xfId="2" applyNumberFormat="1" applyFont="1" applyBorder="1" applyAlignment="1" applyProtection="1">
      <alignment vertical="center" shrinkToFit="1"/>
      <protection locked="0"/>
    </xf>
    <xf numFmtId="179" fontId="23" fillId="0" borderId="28" xfId="0" applyNumberFormat="1" applyFont="1" applyBorder="1" applyAlignment="1" applyProtection="1">
      <alignment vertical="center" shrinkToFit="1"/>
      <protection locked="0"/>
    </xf>
    <xf numFmtId="179" fontId="23" fillId="0" borderId="29" xfId="0" applyNumberFormat="1" applyFont="1" applyBorder="1" applyAlignment="1">
      <alignment vertical="center" shrinkToFit="1"/>
    </xf>
    <xf numFmtId="179" fontId="23" fillId="0" borderId="30" xfId="0" applyNumberFormat="1" applyFont="1" applyBorder="1" applyAlignment="1" applyProtection="1">
      <alignment vertical="center" shrinkToFit="1"/>
      <protection locked="0"/>
    </xf>
    <xf numFmtId="179" fontId="23" fillId="0" borderId="31" xfId="0" applyNumberFormat="1" applyFont="1" applyBorder="1" applyAlignment="1">
      <alignment vertical="center" shrinkToFit="1"/>
    </xf>
    <xf numFmtId="179" fontId="23" fillId="0" borderId="32" xfId="0" applyNumberFormat="1" applyFont="1" applyBorder="1" applyAlignment="1" applyProtection="1">
      <alignment vertical="center" shrinkToFit="1"/>
      <protection locked="0"/>
    </xf>
    <xf numFmtId="179" fontId="23" fillId="0" borderId="33" xfId="0" applyNumberFormat="1" applyFont="1" applyBorder="1" applyAlignment="1">
      <alignment vertical="center" shrinkToFit="1"/>
    </xf>
    <xf numFmtId="179" fontId="23" fillId="0" borderId="34" xfId="0" applyNumberFormat="1" applyFont="1" applyBorder="1" applyAlignment="1">
      <alignment vertical="center" shrinkToFit="1"/>
    </xf>
    <xf numFmtId="179" fontId="23" fillId="0" borderId="35" xfId="0" applyNumberFormat="1" applyFont="1" applyBorder="1" applyAlignment="1">
      <alignment vertical="center" shrinkToFit="1"/>
    </xf>
    <xf numFmtId="179" fontId="23" fillId="0" borderId="22" xfId="0" applyNumberFormat="1" applyFont="1" applyBorder="1" applyAlignment="1" applyProtection="1">
      <alignment vertical="center" shrinkToFit="1"/>
      <protection locked="0"/>
    </xf>
    <xf numFmtId="179" fontId="23" fillId="0" borderId="24" xfId="0" applyNumberFormat="1" applyFont="1" applyBorder="1" applyAlignment="1" applyProtection="1">
      <alignment vertical="center" shrinkToFit="1"/>
      <protection locked="0"/>
    </xf>
    <xf numFmtId="179" fontId="23" fillId="0" borderId="25" xfId="0" applyNumberFormat="1" applyFont="1" applyBorder="1" applyAlignment="1" applyProtection="1">
      <alignment vertical="center" shrinkToFit="1"/>
      <protection locked="0"/>
    </xf>
    <xf numFmtId="179" fontId="23" fillId="0" borderId="37" xfId="0" applyNumberFormat="1" applyFont="1" applyBorder="1" applyAlignment="1">
      <alignment vertical="center" shrinkToFit="1"/>
    </xf>
    <xf numFmtId="179" fontId="23" fillId="0" borderId="54" xfId="0" applyNumberFormat="1" applyFont="1" applyBorder="1" applyAlignment="1">
      <alignment vertical="center" shrinkToFit="1"/>
    </xf>
    <xf numFmtId="179" fontId="23" fillId="0" borderId="55" xfId="0" applyNumberFormat="1" applyFont="1" applyBorder="1" applyAlignment="1">
      <alignment vertical="center" shrinkToFit="1"/>
    </xf>
    <xf numFmtId="179" fontId="23" fillId="0" borderId="56" xfId="0" applyNumberFormat="1" applyFont="1" applyBorder="1" applyAlignment="1">
      <alignment vertical="center" shrinkToFit="1"/>
    </xf>
    <xf numFmtId="179" fontId="23" fillId="0" borderId="57" xfId="0" applyNumberFormat="1" applyFont="1" applyBorder="1" applyAlignment="1">
      <alignment vertical="center" shrinkToFit="1"/>
    </xf>
    <xf numFmtId="179" fontId="23" fillId="0" borderId="59" xfId="0" applyNumberFormat="1" applyFont="1" applyBorder="1" applyAlignment="1">
      <alignment vertical="center" shrinkToFit="1"/>
    </xf>
    <xf numFmtId="179" fontId="23" fillId="0" borderId="60" xfId="0" applyNumberFormat="1" applyFont="1" applyBorder="1" applyAlignment="1">
      <alignment vertical="center" shrinkToFit="1"/>
    </xf>
    <xf numFmtId="179" fontId="23" fillId="0" borderId="61" xfId="0" applyNumberFormat="1" applyFont="1" applyBorder="1" applyAlignment="1">
      <alignment vertical="center" shrinkToFit="1"/>
    </xf>
    <xf numFmtId="179" fontId="23" fillId="0" borderId="34" xfId="0" applyNumberFormat="1" applyFont="1" applyBorder="1" applyAlignment="1">
      <alignment horizontal="right" vertical="center" shrinkToFit="1"/>
    </xf>
    <xf numFmtId="179" fontId="23" fillId="0" borderId="62" xfId="0" applyNumberFormat="1" applyFont="1" applyBorder="1" applyAlignment="1">
      <alignment vertical="center" shrinkToFit="1"/>
    </xf>
    <xf numFmtId="0" fontId="9" fillId="0" borderId="0" xfId="0" applyFont="1" applyAlignment="1">
      <alignment horizontal="left" vertical="center"/>
    </xf>
    <xf numFmtId="0" fontId="15" fillId="0" borderId="0" xfId="0" applyFont="1" applyFill="1" applyBorder="1" applyAlignment="1" applyProtection="1">
      <alignment horizontal="right" vertical="center"/>
    </xf>
    <xf numFmtId="0" fontId="9" fillId="0" borderId="0" xfId="0" applyFont="1" applyFill="1" applyAlignment="1">
      <alignment vertical="center"/>
    </xf>
    <xf numFmtId="177" fontId="15" fillId="0" borderId="38" xfId="2" applyNumberFormat="1" applyFont="1" applyBorder="1" applyAlignment="1" applyProtection="1">
      <alignment vertical="center"/>
      <protection locked="0"/>
    </xf>
    <xf numFmtId="0" fontId="17" fillId="14" borderId="0" xfId="0" applyFont="1" applyFill="1" applyBorder="1" applyAlignment="1">
      <alignment horizontal="center"/>
    </xf>
    <xf numFmtId="0" fontId="40" fillId="14" borderId="188" xfId="0" applyFont="1" applyFill="1" applyBorder="1" applyAlignment="1">
      <alignment horizontal="right"/>
    </xf>
    <xf numFmtId="0" fontId="40" fillId="14" borderId="15" xfId="0" applyFont="1" applyFill="1" applyBorder="1" applyAlignment="1">
      <alignment horizontal="right"/>
    </xf>
    <xf numFmtId="0" fontId="40" fillId="14" borderId="150" xfId="0" applyFont="1" applyFill="1" applyBorder="1" applyAlignment="1">
      <alignment horizontal="right"/>
    </xf>
    <xf numFmtId="0" fontId="38" fillId="14" borderId="200" xfId="0" applyFont="1" applyFill="1" applyBorder="1" applyAlignment="1"/>
    <xf numFmtId="0" fontId="9" fillId="14" borderId="89" xfId="0" applyFont="1" applyFill="1" applyBorder="1" applyAlignment="1">
      <alignment horizontal="left" vertical="center"/>
    </xf>
    <xf numFmtId="0" fontId="19" fillId="14" borderId="0" xfId="0" applyFont="1" applyFill="1" applyBorder="1" applyAlignment="1">
      <alignment horizontal="center"/>
    </xf>
    <xf numFmtId="0" fontId="9" fillId="14" borderId="0" xfId="0" applyFont="1" applyFill="1" applyBorder="1" applyAlignment="1"/>
    <xf numFmtId="0" fontId="37" fillId="14" borderId="0" xfId="0" applyFont="1" applyFill="1" applyBorder="1" applyAlignment="1"/>
    <xf numFmtId="0" fontId="40" fillId="14" borderId="0" xfId="0" applyFont="1" applyFill="1" applyBorder="1" applyAlignment="1"/>
    <xf numFmtId="0" fontId="37" fillId="14" borderId="15" xfId="0" applyFont="1" applyFill="1" applyBorder="1" applyAlignment="1">
      <alignment horizontal="distributed"/>
    </xf>
    <xf numFmtId="0" fontId="9" fillId="14" borderId="15" xfId="0" applyFont="1" applyFill="1" applyBorder="1" applyAlignment="1">
      <alignment horizontal="center"/>
    </xf>
    <xf numFmtId="0" fontId="37" fillId="14" borderId="188" xfId="0" applyFont="1" applyFill="1" applyBorder="1" applyAlignment="1">
      <alignment horizontal="distributed"/>
    </xf>
    <xf numFmtId="0" fontId="9" fillId="14" borderId="0" xfId="0" applyFont="1" applyFill="1" applyBorder="1" applyAlignment="1">
      <alignment horizontal="left"/>
    </xf>
    <xf numFmtId="0" fontId="9" fillId="14" borderId="192" xfId="0" applyFont="1" applyFill="1" applyBorder="1" applyAlignment="1">
      <alignment horizontal="left"/>
    </xf>
    <xf numFmtId="0" fontId="9" fillId="14" borderId="15" xfId="0" applyFont="1" applyFill="1" applyBorder="1" applyAlignment="1">
      <alignment horizontal="left"/>
    </xf>
    <xf numFmtId="0" fontId="9" fillId="0" borderId="0" xfId="0" applyFont="1" applyFill="1" applyBorder="1" applyAlignment="1"/>
    <xf numFmtId="0" fontId="9" fillId="14" borderId="198" xfId="0" applyFont="1" applyFill="1" applyBorder="1" applyAlignment="1">
      <alignment horizontal="left"/>
    </xf>
    <xf numFmtId="0" fontId="9" fillId="14" borderId="194" xfId="0" applyFont="1" applyFill="1" applyBorder="1" applyAlignment="1">
      <alignment horizontal="left"/>
    </xf>
    <xf numFmtId="0" fontId="9" fillId="14" borderId="167" xfId="0" applyFont="1" applyFill="1" applyBorder="1" applyAlignment="1">
      <alignment horizontal="left"/>
    </xf>
    <xf numFmtId="0" fontId="9" fillId="14" borderId="194" xfId="0" applyFont="1" applyFill="1" applyBorder="1" applyAlignment="1"/>
    <xf numFmtId="0" fontId="9" fillId="14" borderId="0" xfId="0" applyFont="1" applyFill="1" applyBorder="1" applyAlignment="1">
      <alignment shrinkToFit="1"/>
    </xf>
    <xf numFmtId="0" fontId="38" fillId="14" borderId="89" xfId="0" applyFont="1" applyFill="1" applyBorder="1" applyAlignment="1">
      <alignment horizontal="right"/>
    </xf>
    <xf numFmtId="0" fontId="9" fillId="14" borderId="192" xfId="0" applyFont="1" applyFill="1" applyBorder="1" applyAlignment="1">
      <alignment horizontal="center"/>
    </xf>
    <xf numFmtId="0" fontId="17" fillId="14" borderId="15" xfId="0" applyFont="1" applyFill="1" applyBorder="1" applyAlignment="1">
      <alignment horizontal="center"/>
    </xf>
    <xf numFmtId="0" fontId="17" fillId="14" borderId="150" xfId="0" applyFont="1" applyFill="1" applyBorder="1" applyAlignment="1">
      <alignment horizontal="center"/>
    </xf>
    <xf numFmtId="0" fontId="9" fillId="14" borderId="89" xfId="0" applyFont="1" applyFill="1" applyBorder="1" applyAlignment="1">
      <alignment horizontal="right"/>
    </xf>
    <xf numFmtId="0" fontId="9" fillId="14" borderId="183" xfId="0" applyFont="1" applyFill="1" applyBorder="1" applyAlignment="1">
      <alignment horizontal="left"/>
    </xf>
    <xf numFmtId="0" fontId="9" fillId="14" borderId="183" xfId="0" applyFont="1" applyFill="1" applyBorder="1" applyAlignment="1">
      <alignment horizontal="center"/>
    </xf>
    <xf numFmtId="0" fontId="9" fillId="14" borderId="0" xfId="0" applyFont="1" applyFill="1" applyBorder="1" applyAlignment="1">
      <alignment horizontal="left" vertical="center"/>
    </xf>
    <xf numFmtId="0" fontId="9" fillId="14" borderId="200" xfId="0" applyFont="1" applyFill="1" applyBorder="1" applyAlignment="1"/>
    <xf numFmtId="0" fontId="9" fillId="14" borderId="89" xfId="0" applyFont="1" applyFill="1" applyBorder="1" applyAlignment="1">
      <alignment horizontal="left"/>
    </xf>
    <xf numFmtId="0" fontId="17" fillId="14" borderId="188" xfId="0" applyFont="1" applyFill="1" applyBorder="1" applyAlignment="1">
      <alignment horizontal="left"/>
    </xf>
    <xf numFmtId="0" fontId="9" fillId="14" borderId="0" xfId="0" applyFont="1" applyFill="1" applyBorder="1" applyAlignment="1">
      <alignment horizontal="center" vertical="center"/>
    </xf>
    <xf numFmtId="0" fontId="9" fillId="14" borderId="0" xfId="0" applyFont="1" applyFill="1" applyBorder="1" applyAlignment="1">
      <alignment horizontal="distributed" vertical="center"/>
    </xf>
    <xf numFmtId="0" fontId="38" fillId="14" borderId="0" xfId="0" applyFont="1" applyFill="1" applyBorder="1" applyAlignment="1">
      <alignment horizontal="right"/>
    </xf>
    <xf numFmtId="0" fontId="9" fillId="14" borderId="150" xfId="0" applyFont="1" applyFill="1" applyBorder="1" applyAlignment="1">
      <alignment horizontal="left"/>
    </xf>
    <xf numFmtId="0" fontId="19" fillId="14" borderId="0" xfId="0" applyFont="1" applyFill="1" applyBorder="1" applyAlignment="1">
      <alignment horizontal="left"/>
    </xf>
    <xf numFmtId="0" fontId="9" fillId="13" borderId="12" xfId="0" applyFont="1" applyFill="1" applyBorder="1" applyAlignment="1">
      <alignment vertical="center"/>
    </xf>
    <xf numFmtId="0" fontId="9" fillId="13" borderId="13" xfId="0" applyFont="1" applyFill="1" applyBorder="1" applyAlignment="1">
      <alignment horizontal="center" vertical="top" wrapText="1"/>
    </xf>
    <xf numFmtId="0" fontId="9" fillId="0" borderId="11" xfId="0" applyFont="1" applyBorder="1" applyAlignment="1" applyProtection="1">
      <alignment vertical="center" shrinkToFit="1"/>
      <protection locked="0"/>
    </xf>
    <xf numFmtId="0" fontId="9" fillId="13" borderId="11" xfId="0" applyFont="1" applyFill="1" applyBorder="1" applyAlignment="1">
      <alignment vertical="center" shrinkToFit="1"/>
    </xf>
    <xf numFmtId="0" fontId="16" fillId="0" borderId="0" xfId="0" applyFont="1" applyFill="1" applyAlignment="1">
      <alignment shrinkToFit="1"/>
    </xf>
    <xf numFmtId="0" fontId="41" fillId="0" borderId="38" xfId="0" applyFont="1" applyBorder="1" applyAlignment="1" applyProtection="1">
      <alignment vertical="center"/>
      <protection locked="0"/>
    </xf>
    <xf numFmtId="38" fontId="9" fillId="0" borderId="151" xfId="0" applyNumberFormat="1" applyFont="1" applyFill="1" applyBorder="1" applyAlignment="1">
      <alignment horizontal="right" shrinkToFit="1"/>
    </xf>
    <xf numFmtId="38" fontId="9" fillId="14" borderId="102" xfId="0" applyNumberFormat="1" applyFont="1" applyFill="1" applyBorder="1" applyAlignment="1">
      <alignment horizontal="right" shrinkToFit="1"/>
    </xf>
    <xf numFmtId="0" fontId="37" fillId="14" borderId="132" xfId="0" applyFont="1" applyFill="1" applyBorder="1" applyAlignment="1">
      <alignment horizontal="center"/>
    </xf>
    <xf numFmtId="38" fontId="9" fillId="0" borderId="202" xfId="0" applyNumberFormat="1" applyFont="1" applyFill="1" applyBorder="1" applyAlignment="1">
      <alignment horizontal="center" shrinkToFit="1"/>
    </xf>
    <xf numFmtId="38" fontId="9" fillId="0" borderId="185" xfId="0" applyNumberFormat="1" applyFont="1" applyFill="1" applyBorder="1" applyAlignment="1">
      <alignment horizontal="right" shrinkToFit="1"/>
    </xf>
    <xf numFmtId="38" fontId="9" fillId="0" borderId="31" xfId="0" applyNumberFormat="1" applyFont="1" applyFill="1" applyBorder="1" applyAlignment="1">
      <alignment horizontal="right" shrinkToFit="1"/>
    </xf>
    <xf numFmtId="38" fontId="9" fillId="14" borderId="151" xfId="0" applyNumberFormat="1" applyFont="1" applyFill="1" applyBorder="1" applyAlignment="1">
      <alignment horizontal="right" shrinkToFit="1"/>
    </xf>
    <xf numFmtId="38" fontId="9" fillId="0" borderId="102" xfId="0" applyNumberFormat="1" applyFont="1" applyFill="1" applyBorder="1" applyAlignment="1">
      <alignment horizontal="center" shrinkToFit="1"/>
    </xf>
    <xf numFmtId="38" fontId="9" fillId="0" borderId="101" xfId="0" applyNumberFormat="1" applyFont="1" applyFill="1" applyBorder="1" applyAlignment="1">
      <alignment horizontal="right" shrinkToFit="1"/>
    </xf>
    <xf numFmtId="38" fontId="9" fillId="14" borderId="203" xfId="0" applyNumberFormat="1" applyFont="1" applyFill="1" applyBorder="1" applyAlignment="1">
      <alignment horizontal="right" shrinkToFit="1"/>
    </xf>
    <xf numFmtId="38" fontId="9" fillId="14" borderId="204" xfId="0" applyNumberFormat="1" applyFont="1" applyFill="1" applyBorder="1" applyAlignment="1">
      <alignment horizontal="right" shrinkToFit="1"/>
    </xf>
    <xf numFmtId="38" fontId="9" fillId="14" borderId="205" xfId="0" applyNumberFormat="1" applyFont="1" applyFill="1" applyBorder="1" applyAlignment="1">
      <alignment horizontal="right" shrinkToFit="1"/>
    </xf>
    <xf numFmtId="38" fontId="9" fillId="14" borderId="206" xfId="0" applyNumberFormat="1" applyFont="1" applyFill="1" applyBorder="1" applyAlignment="1">
      <alignment horizontal="right" shrinkToFit="1"/>
    </xf>
    <xf numFmtId="0" fontId="19" fillId="14" borderId="203" xfId="0" applyFont="1" applyFill="1" applyBorder="1" applyAlignment="1">
      <alignment horizontal="center" shrinkToFit="1"/>
    </xf>
    <xf numFmtId="38" fontId="9" fillId="14" borderId="31" xfId="0" applyNumberFormat="1" applyFont="1" applyFill="1" applyBorder="1" applyAlignment="1">
      <alignment horizontal="right" shrinkToFit="1"/>
    </xf>
    <xf numFmtId="0" fontId="9" fillId="0" borderId="0" xfId="0" applyFont="1" applyAlignment="1" applyProtection="1">
      <alignment vertical="center" shrinkToFit="1"/>
      <protection locked="0"/>
    </xf>
    <xf numFmtId="0" fontId="9" fillId="0" borderId="0" xfId="0" applyFont="1" applyFill="1" applyBorder="1" applyAlignment="1">
      <alignment vertical="center"/>
    </xf>
    <xf numFmtId="0" fontId="9" fillId="0" borderId="189" xfId="0" applyFont="1" applyFill="1" applyBorder="1" applyAlignment="1">
      <alignment vertical="center"/>
    </xf>
    <xf numFmtId="0" fontId="9" fillId="0" borderId="189" xfId="0" applyFont="1" applyFill="1" applyBorder="1" applyAlignment="1">
      <alignment horizontal="center" vertical="top" wrapText="1"/>
    </xf>
    <xf numFmtId="0" fontId="9" fillId="0" borderId="189" xfId="0" applyFont="1" applyFill="1" applyBorder="1" applyAlignment="1">
      <alignment vertical="center" shrinkToFit="1"/>
    </xf>
    <xf numFmtId="0" fontId="0" fillId="0" borderId="0" xfId="0" applyFill="1" applyBorder="1"/>
    <xf numFmtId="0" fontId="9" fillId="14" borderId="188" xfId="0" applyFont="1" applyFill="1" applyBorder="1" applyAlignment="1">
      <alignment horizontal="right"/>
    </xf>
    <xf numFmtId="0" fontId="9" fillId="14" borderId="207" xfId="0" applyFont="1" applyFill="1" applyBorder="1" applyAlignment="1">
      <alignment horizontal="left"/>
    </xf>
    <xf numFmtId="0" fontId="9" fillId="14" borderId="207" xfId="0" applyFont="1" applyFill="1" applyBorder="1" applyAlignment="1">
      <alignment horizontal="center"/>
    </xf>
    <xf numFmtId="38" fontId="9" fillId="14" borderId="202" xfId="0" applyNumberFormat="1" applyFont="1" applyFill="1" applyBorder="1" applyAlignment="1">
      <alignment horizontal="center" shrinkToFit="1"/>
    </xf>
    <xf numFmtId="0" fontId="9" fillId="0" borderId="196" xfId="0" applyFont="1" applyFill="1" applyBorder="1" applyAlignment="1"/>
    <xf numFmtId="0" fontId="38" fillId="0" borderId="196" xfId="0" applyFont="1" applyFill="1" applyBorder="1" applyAlignment="1"/>
    <xf numFmtId="38" fontId="9" fillId="0" borderId="184" xfId="4" applyFont="1" applyFill="1" applyBorder="1" applyAlignment="1">
      <alignment horizontal="right"/>
    </xf>
    <xf numFmtId="38" fontId="9" fillId="0" borderId="100" xfId="4" applyFont="1" applyFill="1" applyBorder="1" applyAlignment="1">
      <alignment horizontal="right"/>
    </xf>
    <xf numFmtId="0" fontId="9" fillId="14" borderId="207" xfId="0" applyFont="1" applyFill="1" applyBorder="1" applyAlignment="1">
      <alignment horizontal="right" vertical="center" textRotation="255"/>
    </xf>
    <xf numFmtId="0" fontId="0" fillId="0" borderId="196" xfId="0" applyBorder="1" applyAlignment="1">
      <alignment horizontal="right" vertical="center" textRotation="255"/>
    </xf>
    <xf numFmtId="0" fontId="9" fillId="14" borderId="196" xfId="0" applyFont="1" applyFill="1" applyBorder="1" applyAlignment="1">
      <alignment horizontal="right" vertical="center" textRotation="255"/>
    </xf>
    <xf numFmtId="38" fontId="9" fillId="0" borderId="131" xfId="4" applyFont="1" applyFill="1" applyBorder="1" applyAlignment="1">
      <alignment horizontal="right"/>
    </xf>
    <xf numFmtId="0" fontId="0" fillId="0" borderId="183" xfId="0" applyBorder="1" applyAlignment="1">
      <alignment horizontal="right" vertical="center" textRotation="255"/>
    </xf>
    <xf numFmtId="0" fontId="9" fillId="0" borderId="187" xfId="0" applyFont="1" applyFill="1" applyBorder="1" applyAlignment="1">
      <alignment horizontal="center"/>
    </xf>
    <xf numFmtId="0" fontId="9" fillId="0" borderId="188" xfId="0" applyFont="1" applyFill="1" applyBorder="1" applyAlignment="1">
      <alignment horizontal="right" vertical="center" textRotation="255"/>
    </xf>
    <xf numFmtId="0" fontId="9" fillId="0" borderId="167" xfId="0" applyFont="1" applyFill="1" applyBorder="1" applyAlignment="1">
      <alignment horizontal="left" shrinkToFit="1"/>
    </xf>
    <xf numFmtId="0" fontId="10" fillId="0" borderId="167" xfId="0" applyFont="1" applyFill="1" applyBorder="1" applyAlignment="1">
      <alignment horizontal="left"/>
    </xf>
    <xf numFmtId="0" fontId="10" fillId="0" borderId="167" xfId="0" applyFont="1" applyFill="1" applyBorder="1" applyAlignment="1">
      <alignment horizontal="left" shrinkToFit="1"/>
    </xf>
    <xf numFmtId="0" fontId="9" fillId="0" borderId="189" xfId="0" applyFont="1" applyFill="1" applyBorder="1" applyAlignment="1">
      <alignment horizontal="center"/>
    </xf>
    <xf numFmtId="0" fontId="9" fillId="0" borderId="0" xfId="0" applyFont="1" applyFill="1" applyBorder="1" applyAlignment="1">
      <alignment horizontal="right" vertical="center" textRotation="255"/>
    </xf>
    <xf numFmtId="0" fontId="19" fillId="16" borderId="38" xfId="0" applyFont="1" applyFill="1" applyBorder="1" applyAlignment="1" applyProtection="1">
      <alignment vertical="center"/>
      <protection locked="0"/>
    </xf>
    <xf numFmtId="38" fontId="19" fillId="16" borderId="38" xfId="4" applyFont="1" applyFill="1" applyBorder="1" applyAlignment="1" applyProtection="1">
      <alignment vertical="center"/>
      <protection locked="0"/>
    </xf>
    <xf numFmtId="0" fontId="19" fillId="17" borderId="70" xfId="0" applyFont="1" applyFill="1" applyBorder="1" applyAlignment="1" applyProtection="1">
      <alignment vertical="center"/>
      <protection locked="0"/>
    </xf>
    <xf numFmtId="176" fontId="19" fillId="17" borderId="79" xfId="0" applyNumberFormat="1" applyFont="1" applyFill="1" applyBorder="1" applyAlignment="1" applyProtection="1">
      <alignment vertical="center"/>
      <protection locked="0"/>
    </xf>
    <xf numFmtId="179" fontId="19" fillId="17" borderId="70" xfId="0" applyNumberFormat="1" applyFont="1" applyFill="1" applyBorder="1" applyAlignment="1" applyProtection="1">
      <alignment vertical="center"/>
      <protection locked="0"/>
    </xf>
    <xf numFmtId="0" fontId="9" fillId="0" borderId="177" xfId="0" applyFont="1" applyBorder="1" applyAlignment="1">
      <alignment horizontal="center" vertical="center"/>
    </xf>
    <xf numFmtId="0" fontId="9" fillId="0" borderId="177" xfId="0" applyFont="1" applyBorder="1" applyAlignment="1" applyProtection="1">
      <alignment vertical="center" shrinkToFit="1"/>
      <protection locked="0"/>
    </xf>
    <xf numFmtId="0" fontId="9" fillId="2" borderId="13" xfId="0" applyFont="1" applyFill="1" applyBorder="1" applyAlignment="1">
      <alignment vertical="center"/>
    </xf>
    <xf numFmtId="0" fontId="29" fillId="0" borderId="0" xfId="0" applyFont="1" applyBorder="1" applyAlignment="1" applyProtection="1">
      <alignment horizontal="center" vertical="center" shrinkToFit="1"/>
    </xf>
    <xf numFmtId="0" fontId="0" fillId="0" borderId="0" xfId="0" applyNumberFormat="1"/>
    <xf numFmtId="49" fontId="44" fillId="14" borderId="0" xfId="0" applyNumberFormat="1" applyFont="1" applyFill="1" applyAlignment="1">
      <alignment vertical="center"/>
    </xf>
    <xf numFmtId="0" fontId="44" fillId="14" borderId="0" xfId="0" applyFont="1" applyFill="1" applyAlignment="1">
      <alignment vertical="center"/>
    </xf>
    <xf numFmtId="0" fontId="19" fillId="0" borderId="218" xfId="0" applyFont="1" applyBorder="1" applyAlignment="1" applyProtection="1">
      <alignment vertical="center"/>
      <protection locked="0"/>
    </xf>
    <xf numFmtId="0" fontId="19" fillId="0" borderId="216" xfId="0" applyFont="1" applyBorder="1" applyAlignment="1" applyProtection="1">
      <alignment vertical="center" wrapText="1"/>
      <protection locked="0"/>
    </xf>
    <xf numFmtId="186" fontId="19" fillId="0" borderId="216" xfId="0" applyNumberFormat="1" applyFont="1" applyBorder="1" applyAlignment="1" applyProtection="1">
      <alignment vertical="center" shrinkToFit="1"/>
      <protection locked="0"/>
    </xf>
    <xf numFmtId="0" fontId="19" fillId="0" borderId="216" xfId="0" applyFont="1" applyBorder="1" applyAlignment="1" applyProtection="1">
      <alignment horizontal="center" vertical="center" shrinkToFit="1"/>
      <protection locked="0"/>
    </xf>
    <xf numFmtId="38" fontId="19" fillId="0" borderId="216" xfId="0" applyNumberFormat="1" applyFont="1" applyBorder="1" applyAlignment="1" applyProtection="1">
      <alignment vertical="center" shrinkToFit="1"/>
      <protection locked="0"/>
    </xf>
    <xf numFmtId="177" fontId="19" fillId="0" borderId="216" xfId="0" applyNumberFormat="1" applyFont="1" applyBorder="1" applyAlignment="1" applyProtection="1">
      <alignment vertical="center" shrinkToFit="1"/>
      <protection locked="0"/>
    </xf>
    <xf numFmtId="0" fontId="19" fillId="0" borderId="219" xfId="0" applyFont="1" applyBorder="1" applyAlignment="1" applyProtection="1">
      <alignment vertical="center"/>
      <protection locked="0"/>
    </xf>
    <xf numFmtId="0" fontId="19" fillId="0" borderId="220" xfId="0" applyFont="1" applyBorder="1" applyAlignment="1" applyProtection="1">
      <alignment horizontal="right" vertical="center"/>
      <protection locked="0"/>
    </xf>
    <xf numFmtId="0" fontId="19" fillId="0" borderId="213" xfId="0" applyFont="1" applyBorder="1" applyAlignment="1" applyProtection="1">
      <alignment vertical="center"/>
      <protection locked="0"/>
    </xf>
    <xf numFmtId="0" fontId="19" fillId="0" borderId="212" xfId="0" applyFont="1" applyBorder="1" applyAlignment="1" applyProtection="1">
      <alignment vertical="center" wrapText="1"/>
      <protection locked="0"/>
    </xf>
    <xf numFmtId="186" fontId="19" fillId="0" borderId="212" xfId="0" applyNumberFormat="1" applyFont="1" applyBorder="1" applyAlignment="1" applyProtection="1">
      <alignment vertical="center" shrinkToFit="1"/>
      <protection locked="0"/>
    </xf>
    <xf numFmtId="0" fontId="19" fillId="0" borderId="212" xfId="0" applyFont="1" applyBorder="1" applyAlignment="1" applyProtection="1">
      <alignment horizontal="center" vertical="center" shrinkToFit="1"/>
      <protection locked="0"/>
    </xf>
    <xf numFmtId="38" fontId="19" fillId="0" borderId="212" xfId="0" applyNumberFormat="1" applyFont="1" applyBorder="1" applyAlignment="1" applyProtection="1">
      <alignment vertical="center" shrinkToFit="1"/>
      <protection locked="0"/>
    </xf>
    <xf numFmtId="0" fontId="19" fillId="0" borderId="214" xfId="0" applyFont="1" applyBorder="1" applyAlignment="1" applyProtection="1">
      <alignment vertical="center"/>
      <protection locked="0"/>
    </xf>
    <xf numFmtId="0" fontId="19" fillId="0" borderId="217" xfId="0" applyFont="1" applyBorder="1" applyAlignment="1" applyProtection="1">
      <alignment horizontal="right" vertical="center"/>
      <protection locked="0"/>
    </xf>
    <xf numFmtId="0" fontId="19" fillId="0" borderId="221" xfId="0" applyNumberFormat="1" applyFont="1" applyBorder="1" applyAlignment="1" applyProtection="1">
      <alignment horizontal="right" vertical="center"/>
      <protection locked="0"/>
    </xf>
    <xf numFmtId="0" fontId="19" fillId="0" borderId="222" xfId="0" applyFont="1" applyBorder="1" applyAlignment="1" applyProtection="1">
      <alignment vertical="center"/>
      <protection locked="0"/>
    </xf>
    <xf numFmtId="0" fontId="19" fillId="0" borderId="223" xfId="0" applyFont="1" applyBorder="1" applyAlignment="1" applyProtection="1">
      <alignment vertical="center" wrapText="1"/>
      <protection locked="0"/>
    </xf>
    <xf numFmtId="186" fontId="19" fillId="0" borderId="223" xfId="0" applyNumberFormat="1" applyFont="1" applyBorder="1" applyAlignment="1" applyProtection="1">
      <alignment vertical="center" shrinkToFit="1"/>
      <protection locked="0"/>
    </xf>
    <xf numFmtId="0" fontId="19" fillId="0" borderId="223" xfId="0" applyFont="1" applyBorder="1" applyAlignment="1" applyProtection="1">
      <alignment horizontal="center" vertical="center" shrinkToFit="1"/>
      <protection locked="0"/>
    </xf>
    <xf numFmtId="38" fontId="19" fillId="0" borderId="223" xfId="0" applyNumberFormat="1" applyFont="1" applyBorder="1" applyAlignment="1" applyProtection="1">
      <alignment vertical="center" shrinkToFit="1"/>
      <protection locked="0"/>
    </xf>
    <xf numFmtId="177" fontId="19" fillId="0" borderId="223" xfId="0" applyNumberFormat="1" applyFont="1" applyBorder="1" applyAlignment="1" applyProtection="1">
      <alignment vertical="center" shrinkToFit="1"/>
      <protection locked="0"/>
    </xf>
    <xf numFmtId="0" fontId="19" fillId="0" borderId="224" xfId="0" applyFont="1" applyBorder="1" applyAlignment="1" applyProtection="1">
      <alignment vertical="center"/>
      <protection locked="0"/>
    </xf>
    <xf numFmtId="0" fontId="19" fillId="0" borderId="221" xfId="0" applyFont="1" applyBorder="1" applyAlignment="1" applyProtection="1">
      <alignment horizontal="right" vertical="center"/>
      <protection locked="0"/>
    </xf>
    <xf numFmtId="0" fontId="48" fillId="18" borderId="11" xfId="5" applyFont="1" applyFill="1" applyBorder="1">
      <alignment vertical="center"/>
    </xf>
    <xf numFmtId="0" fontId="44" fillId="14" borderId="0" xfId="5" applyFont="1" applyFill="1">
      <alignment vertical="center"/>
    </xf>
    <xf numFmtId="49" fontId="44" fillId="14" borderId="0" xfId="5" applyNumberFormat="1" applyFont="1" applyFill="1">
      <alignment vertical="center"/>
    </xf>
    <xf numFmtId="0" fontId="49" fillId="18" borderId="11" xfId="5" applyFont="1" applyFill="1" applyBorder="1">
      <alignment vertical="center"/>
    </xf>
    <xf numFmtId="0" fontId="44" fillId="15" borderId="0" xfId="5" applyFont="1" applyFill="1">
      <alignment vertical="center"/>
    </xf>
    <xf numFmtId="0" fontId="44" fillId="19" borderId="0" xfId="5" applyFont="1" applyFill="1">
      <alignment vertical="center"/>
    </xf>
    <xf numFmtId="0" fontId="48" fillId="18" borderId="11" xfId="0" applyFont="1" applyFill="1" applyBorder="1" applyAlignment="1">
      <alignment vertical="center"/>
    </xf>
    <xf numFmtId="0" fontId="49" fillId="18" borderId="11" xfId="0" applyFont="1" applyFill="1" applyBorder="1" applyAlignment="1">
      <alignment horizontal="left" vertical="center"/>
    </xf>
    <xf numFmtId="0" fontId="44" fillId="12" borderId="0" xfId="5" applyFont="1" applyFill="1">
      <alignment vertical="center"/>
    </xf>
    <xf numFmtId="0" fontId="31" fillId="18" borderId="0" xfId="0" applyFont="1" applyFill="1" applyProtection="1">
      <protection locked="0"/>
    </xf>
    <xf numFmtId="0" fontId="31" fillId="18" borderId="12" xfId="0" applyFont="1" applyFill="1" applyBorder="1" applyProtection="1">
      <protection locked="0"/>
    </xf>
    <xf numFmtId="0" fontId="37" fillId="0" borderId="0" xfId="0" applyFont="1" applyAlignment="1">
      <alignment horizontal="right" vertical="center"/>
    </xf>
    <xf numFmtId="0" fontId="48" fillId="18" borderId="0" xfId="5" applyFont="1" applyFill="1" applyBorder="1">
      <alignment vertical="center"/>
    </xf>
    <xf numFmtId="0" fontId="44" fillId="19" borderId="0" xfId="5" applyFont="1" applyFill="1" applyAlignment="1">
      <alignment vertical="center"/>
    </xf>
    <xf numFmtId="0" fontId="19" fillId="0" borderId="232" xfId="0" applyFont="1" applyBorder="1" applyAlignment="1" applyProtection="1">
      <alignment vertical="center" shrinkToFit="1"/>
      <protection locked="0"/>
    </xf>
    <xf numFmtId="0" fontId="33" fillId="0" borderId="233" xfId="0" applyFont="1" applyBorder="1" applyAlignment="1" applyProtection="1">
      <alignment horizontal="center" vertical="center" wrapText="1"/>
      <protection locked="0"/>
    </xf>
    <xf numFmtId="0" fontId="9" fillId="0" borderId="234" xfId="0" applyFont="1" applyBorder="1" applyAlignment="1" applyProtection="1">
      <alignment vertical="center"/>
      <protection locked="0"/>
    </xf>
    <xf numFmtId="0" fontId="0" fillId="0" borderId="234" xfId="0" applyBorder="1" applyAlignment="1">
      <alignment vertical="center" shrinkToFit="1"/>
    </xf>
    <xf numFmtId="0" fontId="9" fillId="0" borderId="235" xfId="0" applyFont="1" applyBorder="1" applyAlignment="1">
      <alignment vertical="center"/>
    </xf>
    <xf numFmtId="0" fontId="0" fillId="0" borderId="235" xfId="0" applyBorder="1"/>
    <xf numFmtId="0" fontId="9" fillId="0" borderId="233" xfId="0" applyFont="1" applyBorder="1" applyAlignment="1" applyProtection="1">
      <alignment vertical="center" textRotation="255"/>
      <protection locked="0"/>
    </xf>
    <xf numFmtId="38" fontId="9" fillId="0" borderId="185" xfId="4" applyFont="1" applyFill="1" applyBorder="1" applyAlignment="1">
      <alignment horizontal="right"/>
    </xf>
    <xf numFmtId="38" fontId="9" fillId="0" borderId="236" xfId="4" applyFont="1" applyFill="1" applyBorder="1" applyAlignment="1">
      <alignment horizontal="right"/>
    </xf>
    <xf numFmtId="38" fontId="9" fillId="0" borderId="237" xfId="4" applyFont="1" applyFill="1" applyBorder="1" applyAlignment="1">
      <alignment horizontal="right"/>
    </xf>
    <xf numFmtId="0" fontId="48" fillId="18" borderId="12" xfId="5" applyFont="1" applyFill="1" applyBorder="1">
      <alignment vertical="center"/>
    </xf>
    <xf numFmtId="0" fontId="52" fillId="14" borderId="227" xfId="0" applyFont="1" applyFill="1" applyBorder="1"/>
    <xf numFmtId="0" fontId="44" fillId="14" borderId="227" xfId="5" applyFont="1" applyFill="1" applyBorder="1">
      <alignment vertical="center"/>
    </xf>
    <xf numFmtId="0" fontId="44" fillId="14" borderId="227" xfId="5" applyFont="1" applyFill="1" applyBorder="1" applyAlignment="1">
      <alignment horizontal="left" vertical="center"/>
    </xf>
    <xf numFmtId="0" fontId="53" fillId="20" borderId="227" xfId="0" applyFont="1" applyFill="1" applyBorder="1" applyAlignment="1">
      <alignment horizontal="left"/>
    </xf>
    <xf numFmtId="0" fontId="54" fillId="14" borderId="227" xfId="0" applyFont="1" applyFill="1" applyBorder="1" applyAlignment="1">
      <alignment horizontal="left"/>
    </xf>
    <xf numFmtId="0" fontId="54" fillId="20" borderId="227" xfId="0" applyFont="1" applyFill="1" applyBorder="1" applyAlignment="1">
      <alignment horizontal="left" shrinkToFit="1"/>
    </xf>
    <xf numFmtId="0" fontId="54" fillId="20" borderId="227" xfId="0" quotePrefix="1" applyFont="1" applyFill="1" applyBorder="1" applyAlignment="1">
      <alignment horizontal="left" shrinkToFit="1"/>
    </xf>
    <xf numFmtId="0" fontId="54" fillId="20" borderId="227" xfId="0" quotePrefix="1" applyFont="1" applyFill="1" applyBorder="1" applyAlignment="1">
      <alignment horizontal="left"/>
    </xf>
    <xf numFmtId="0" fontId="44" fillId="14" borderId="242" xfId="5" applyFont="1" applyFill="1" applyBorder="1">
      <alignment vertical="center"/>
    </xf>
    <xf numFmtId="0" fontId="44" fillId="14" borderId="226" xfId="5" applyFont="1" applyFill="1" applyBorder="1">
      <alignment vertical="center"/>
    </xf>
    <xf numFmtId="0" fontId="54" fillId="0" borderId="227" xfId="0" applyFont="1" applyFill="1" applyBorder="1" applyAlignment="1">
      <alignment horizontal="left"/>
    </xf>
    <xf numFmtId="0" fontId="44" fillId="14" borderId="225" xfId="5" applyFont="1" applyFill="1" applyBorder="1">
      <alignment vertical="center"/>
    </xf>
    <xf numFmtId="0" fontId="44" fillId="14" borderId="243" xfId="5" applyFont="1" applyFill="1" applyBorder="1">
      <alignment vertical="center"/>
    </xf>
    <xf numFmtId="0" fontId="44" fillId="14" borderId="244" xfId="5" applyFont="1" applyFill="1" applyBorder="1">
      <alignment vertical="center"/>
    </xf>
    <xf numFmtId="0" fontId="44" fillId="14" borderId="245" xfId="5" applyFont="1" applyFill="1" applyBorder="1">
      <alignment vertical="center"/>
    </xf>
    <xf numFmtId="0" fontId="38" fillId="0" borderId="0" xfId="0" applyNumberFormat="1" applyFont="1" applyFill="1" applyBorder="1" applyAlignment="1">
      <alignment horizontal="center" vertical="center"/>
    </xf>
    <xf numFmtId="0" fontId="38" fillId="0" borderId="0" xfId="0" applyFont="1" applyFill="1" applyBorder="1" applyAlignment="1">
      <alignment horizontal="center" vertical="center"/>
    </xf>
    <xf numFmtId="0" fontId="9" fillId="0" borderId="234" xfId="0" applyFont="1" applyFill="1" applyBorder="1" applyAlignment="1" applyProtection="1">
      <alignment vertical="center"/>
      <protection locked="0"/>
    </xf>
    <xf numFmtId="0" fontId="19" fillId="0" borderId="246" xfId="0" applyFont="1" applyFill="1" applyBorder="1" applyAlignment="1" applyProtection="1">
      <alignment horizontal="center" vertical="center" shrinkToFit="1"/>
      <protection locked="0"/>
    </xf>
    <xf numFmtId="189" fontId="38" fillId="0" borderId="246" xfId="0" applyNumberFormat="1" applyFont="1" applyFill="1" applyBorder="1" applyAlignment="1">
      <alignment vertical="center" shrinkToFit="1"/>
    </xf>
    <xf numFmtId="191" fontId="38" fillId="0" borderId="246" xfId="0" applyNumberFormat="1" applyFont="1" applyFill="1" applyBorder="1" applyAlignment="1">
      <alignment horizontal="center" vertical="center" shrinkToFit="1"/>
    </xf>
    <xf numFmtId="0" fontId="31" fillId="18" borderId="13" xfId="0" applyFont="1" applyFill="1" applyBorder="1" applyAlignment="1" applyProtection="1">
      <alignment shrinkToFit="1"/>
      <protection locked="0"/>
    </xf>
    <xf numFmtId="0" fontId="51" fillId="0" borderId="0" xfId="0" applyFont="1" applyAlignment="1">
      <alignment vertical="center"/>
    </xf>
    <xf numFmtId="0" fontId="20" fillId="0" borderId="0" xfId="0" applyFont="1" applyFill="1" applyAlignment="1">
      <alignment vertical="center"/>
    </xf>
    <xf numFmtId="0" fontId="31" fillId="0" borderId="0" xfId="0" applyFont="1" applyFill="1" applyProtection="1">
      <protection locked="0"/>
    </xf>
    <xf numFmtId="0" fontId="32" fillId="0" borderId="0" xfId="0" applyFont="1" applyFill="1" applyAlignment="1">
      <alignment vertical="center"/>
    </xf>
    <xf numFmtId="0" fontId="10" fillId="0" borderId="0" xfId="2" applyFont="1" applyBorder="1" applyAlignment="1"/>
    <xf numFmtId="0" fontId="10" fillId="20" borderId="187" xfId="2" applyFont="1" applyFill="1" applyBorder="1" applyAlignment="1">
      <alignment horizontal="right"/>
    </xf>
    <xf numFmtId="0" fontId="10" fillId="20" borderId="188" xfId="2" applyFont="1" applyFill="1" applyBorder="1" applyAlignment="1">
      <alignment horizontal="right"/>
    </xf>
    <xf numFmtId="0" fontId="10" fillId="0" borderId="167" xfId="2" applyFont="1" applyFill="1" applyBorder="1" applyAlignment="1">
      <alignment horizontal="distributed"/>
    </xf>
    <xf numFmtId="0" fontId="38" fillId="0" borderId="167" xfId="2" applyFont="1" applyFill="1" applyBorder="1" applyAlignment="1">
      <alignment horizontal="center"/>
    </xf>
    <xf numFmtId="0" fontId="10" fillId="0" borderId="84" xfId="2" applyFont="1" applyFill="1" applyBorder="1" applyAlignment="1">
      <alignment horizontal="center"/>
    </xf>
    <xf numFmtId="0" fontId="10" fillId="0" borderId="84" xfId="2" applyFont="1" applyFill="1" applyBorder="1" applyAlignment="1">
      <alignment horizontal="right"/>
    </xf>
    <xf numFmtId="0" fontId="10" fillId="20" borderId="189" xfId="2" applyFont="1" applyFill="1" applyBorder="1" applyAlignment="1">
      <alignment horizontal="right"/>
    </xf>
    <xf numFmtId="0" fontId="10" fillId="20" borderId="0" xfId="2" applyFont="1" applyFill="1" applyBorder="1" applyAlignment="1">
      <alignment horizontal="right"/>
    </xf>
    <xf numFmtId="0" fontId="10" fillId="0" borderId="211" xfId="2" applyFont="1" applyFill="1" applyBorder="1" applyAlignment="1">
      <alignment horizontal="distributed"/>
    </xf>
    <xf numFmtId="0" fontId="38" fillId="0" borderId="211" xfId="2" applyFont="1" applyFill="1" applyBorder="1" applyAlignment="1">
      <alignment horizontal="center"/>
    </xf>
    <xf numFmtId="0" fontId="10" fillId="0" borderId="23" xfId="2" applyFont="1" applyFill="1" applyBorder="1" applyAlignment="1">
      <alignment horizontal="center"/>
    </xf>
    <xf numFmtId="0" fontId="10" fillId="0" borderId="52" xfId="2" applyFont="1" applyFill="1" applyBorder="1" applyAlignment="1">
      <alignment horizontal="right"/>
    </xf>
    <xf numFmtId="0" fontId="10" fillId="20" borderId="188" xfId="2" applyFont="1" applyFill="1" applyBorder="1" applyAlignment="1">
      <alignment horizontal="left"/>
    </xf>
    <xf numFmtId="0" fontId="10" fillId="20" borderId="15" xfId="2" applyFont="1" applyFill="1" applyBorder="1" applyAlignment="1">
      <alignment horizontal="left"/>
    </xf>
    <xf numFmtId="0" fontId="10" fillId="20" borderId="150" xfId="2" applyFont="1" applyFill="1" applyBorder="1" applyAlignment="1">
      <alignment horizontal="center"/>
    </xf>
    <xf numFmtId="38" fontId="10" fillId="0" borderId="150" xfId="2" applyNumberFormat="1" applyFont="1" applyFill="1" applyBorder="1" applyAlignment="1">
      <alignment horizontal="right" shrinkToFit="1"/>
    </xf>
    <xf numFmtId="0" fontId="10" fillId="20" borderId="167" xfId="2" applyFont="1" applyFill="1" applyBorder="1" applyAlignment="1">
      <alignment horizontal="left"/>
    </xf>
    <xf numFmtId="0" fontId="10" fillId="20" borderId="167" xfId="2" applyFont="1" applyFill="1" applyBorder="1" applyAlignment="1">
      <alignment horizontal="left" shrinkToFit="1"/>
    </xf>
    <xf numFmtId="0" fontId="10" fillId="20" borderId="84" xfId="2" applyFont="1" applyFill="1" applyBorder="1" applyAlignment="1">
      <alignment horizontal="center"/>
    </xf>
    <xf numFmtId="0" fontId="10" fillId="0" borderId="0" xfId="10" applyFont="1" applyBorder="1" applyAlignment="1"/>
    <xf numFmtId="0" fontId="10" fillId="0" borderId="211" xfId="2" applyFont="1" applyBorder="1" applyAlignment="1"/>
    <xf numFmtId="0" fontId="10" fillId="20" borderId="23" xfId="2" applyFont="1" applyFill="1" applyBorder="1" applyAlignment="1">
      <alignment horizontal="right"/>
    </xf>
    <xf numFmtId="38" fontId="10" fillId="20" borderId="23" xfId="2" applyNumberFormat="1" applyFont="1" applyFill="1" applyBorder="1" applyAlignment="1">
      <alignment horizontal="right" shrinkToFit="1"/>
    </xf>
    <xf numFmtId="38" fontId="10" fillId="20" borderId="23" xfId="2" applyNumberFormat="1" applyFont="1" applyFill="1" applyBorder="1" applyAlignment="1">
      <alignment horizontal="right"/>
    </xf>
    <xf numFmtId="0" fontId="10" fillId="14" borderId="189" xfId="2" applyFont="1" applyFill="1" applyBorder="1" applyAlignment="1">
      <alignment horizontal="right"/>
    </xf>
    <xf numFmtId="0" fontId="10" fillId="14" borderId="0" xfId="2" applyFont="1" applyFill="1" applyBorder="1" applyAlignment="1">
      <alignment horizontal="right"/>
    </xf>
    <xf numFmtId="0" fontId="10" fillId="14" borderId="211" xfId="2" applyFont="1" applyFill="1" applyBorder="1" applyAlignment="1">
      <alignment horizontal="left"/>
    </xf>
    <xf numFmtId="0" fontId="10" fillId="14" borderId="23" xfId="2" applyFont="1" applyFill="1" applyBorder="1" applyAlignment="1">
      <alignment horizontal="right"/>
    </xf>
    <xf numFmtId="38" fontId="10" fillId="14" borderId="23" xfId="2" applyNumberFormat="1" applyFont="1" applyFill="1" applyBorder="1" applyAlignment="1">
      <alignment horizontal="right" shrinkToFit="1"/>
    </xf>
    <xf numFmtId="0" fontId="10" fillId="14" borderId="0" xfId="2" applyFont="1" applyFill="1" applyBorder="1" applyAlignment="1"/>
    <xf numFmtId="0" fontId="10" fillId="20" borderId="211" xfId="2" applyFont="1" applyFill="1" applyBorder="1" applyAlignment="1">
      <alignment horizontal="center" vertical="center"/>
    </xf>
    <xf numFmtId="38" fontId="10" fillId="14" borderId="247" xfId="2" applyNumberFormat="1" applyFont="1" applyFill="1" applyBorder="1" applyAlignment="1">
      <alignment horizontal="right" shrinkToFit="1"/>
    </xf>
    <xf numFmtId="0" fontId="10" fillId="0" borderId="211" xfId="2" applyFont="1" applyFill="1" applyBorder="1" applyAlignment="1">
      <alignment horizontal="center"/>
    </xf>
    <xf numFmtId="0" fontId="10" fillId="20" borderId="0" xfId="2" applyFont="1" applyFill="1" applyBorder="1" applyAlignment="1">
      <alignment horizontal="center"/>
    </xf>
    <xf numFmtId="0" fontId="10" fillId="20" borderId="0" xfId="2" applyFont="1" applyFill="1" applyBorder="1" applyAlignment="1">
      <alignment horizontal="left"/>
    </xf>
    <xf numFmtId="0" fontId="10" fillId="20" borderId="130" xfId="2" applyFont="1" applyFill="1" applyBorder="1" applyAlignment="1">
      <alignment horizontal="right"/>
    </xf>
    <xf numFmtId="0" fontId="10" fillId="20" borderId="190" xfId="2" applyFont="1" applyFill="1" applyBorder="1" applyAlignment="1">
      <alignment horizontal="right"/>
    </xf>
    <xf numFmtId="0" fontId="10" fillId="20" borderId="89" xfId="2" applyFont="1" applyFill="1" applyBorder="1" applyAlignment="1">
      <alignment horizontal="right"/>
    </xf>
    <xf numFmtId="0" fontId="10" fillId="20" borderId="162" xfId="2" applyFont="1" applyFill="1" applyBorder="1" applyAlignment="1">
      <alignment horizontal="center"/>
    </xf>
    <xf numFmtId="0" fontId="10" fillId="20" borderId="162" xfId="2" applyFont="1" applyFill="1" applyBorder="1" applyAlignment="1">
      <alignment horizontal="left"/>
    </xf>
    <xf numFmtId="0" fontId="10" fillId="20" borderId="87" xfId="2" applyFont="1" applyFill="1" applyBorder="1" applyAlignment="1">
      <alignment horizontal="right"/>
    </xf>
    <xf numFmtId="38" fontId="10" fillId="0" borderId="87" xfId="2" applyNumberFormat="1" applyFont="1" applyFill="1" applyBorder="1" applyAlignment="1">
      <alignment horizontal="right" shrinkToFit="1"/>
    </xf>
    <xf numFmtId="38" fontId="10" fillId="0" borderId="130" xfId="2" applyNumberFormat="1" applyFont="1" applyFill="1" applyBorder="1" applyAlignment="1">
      <alignment horizontal="right" shrinkToFit="1"/>
    </xf>
    <xf numFmtId="38" fontId="10" fillId="20" borderId="130" xfId="2" applyNumberFormat="1" applyFont="1" applyFill="1" applyBorder="1" applyAlignment="1">
      <alignment horizontal="right" shrinkToFit="1"/>
    </xf>
    <xf numFmtId="0" fontId="10" fillId="14" borderId="167" xfId="2" applyFont="1" applyFill="1" applyBorder="1" applyAlignment="1">
      <alignment horizontal="left"/>
    </xf>
    <xf numFmtId="0" fontId="10" fillId="14" borderId="84" xfId="2" applyFont="1" applyFill="1" applyBorder="1" applyAlignment="1">
      <alignment horizontal="right"/>
    </xf>
    <xf numFmtId="38" fontId="10" fillId="0" borderId="84" xfId="2" applyNumberFormat="1" applyFont="1" applyFill="1" applyBorder="1" applyAlignment="1">
      <alignment horizontal="right" shrinkToFit="1"/>
    </xf>
    <xf numFmtId="38" fontId="10" fillId="14" borderId="84" xfId="2" applyNumberFormat="1" applyFont="1" applyFill="1" applyBorder="1" applyAlignment="1">
      <alignment horizontal="right" shrinkToFit="1"/>
    </xf>
    <xf numFmtId="0" fontId="10" fillId="14" borderId="164" xfId="2" applyFont="1" applyFill="1" applyBorder="1" applyAlignment="1">
      <alignment horizontal="left"/>
    </xf>
    <xf numFmtId="0" fontId="10" fillId="14" borderId="97" xfId="2" applyFont="1" applyFill="1" applyBorder="1" applyAlignment="1">
      <alignment horizontal="right"/>
    </xf>
    <xf numFmtId="38" fontId="10" fillId="0" borderId="97" xfId="2" applyNumberFormat="1" applyFont="1" applyFill="1" applyBorder="1" applyAlignment="1">
      <alignment horizontal="right" shrinkToFit="1"/>
    </xf>
    <xf numFmtId="38" fontId="10" fillId="14" borderId="97" xfId="2" applyNumberFormat="1" applyFont="1" applyFill="1" applyBorder="1" applyAlignment="1">
      <alignment horizontal="right" shrinkToFit="1"/>
    </xf>
    <xf numFmtId="0" fontId="10" fillId="14" borderId="211" xfId="2" applyFont="1" applyFill="1" applyBorder="1" applyAlignment="1">
      <alignment horizontal="right"/>
    </xf>
    <xf numFmtId="38" fontId="10" fillId="0" borderId="23" xfId="2" applyNumberFormat="1" applyFont="1" applyFill="1" applyBorder="1" applyAlignment="1">
      <alignment horizontal="right" shrinkToFit="1"/>
    </xf>
    <xf numFmtId="0" fontId="10" fillId="0" borderId="189" xfId="2" applyFont="1" applyFill="1" applyBorder="1" applyAlignment="1">
      <alignment horizontal="right"/>
    </xf>
    <xf numFmtId="0" fontId="10" fillId="0" borderId="0" xfId="2" applyFont="1" applyFill="1" applyBorder="1" applyAlignment="1">
      <alignment horizontal="right"/>
    </xf>
    <xf numFmtId="0" fontId="10" fillId="0" borderId="211" xfId="2" applyFont="1" applyFill="1" applyBorder="1" applyAlignment="1">
      <alignment horizontal="left"/>
    </xf>
    <xf numFmtId="0" fontId="10" fillId="0" borderId="23" xfId="2" applyFont="1" applyFill="1" applyBorder="1" applyAlignment="1">
      <alignment horizontal="right"/>
    </xf>
    <xf numFmtId="0" fontId="10" fillId="0" borderId="0" xfId="2" applyFont="1" applyFill="1" applyBorder="1" applyAlignment="1"/>
    <xf numFmtId="0" fontId="10" fillId="0" borderId="211" xfId="2" applyFont="1" applyFill="1" applyBorder="1" applyAlignment="1">
      <alignment horizontal="right"/>
    </xf>
    <xf numFmtId="38" fontId="10" fillId="0" borderId="0" xfId="2" applyNumberFormat="1" applyFont="1" applyFill="1" applyBorder="1" applyAlignment="1">
      <alignment horizontal="right"/>
    </xf>
    <xf numFmtId="0" fontId="10" fillId="0" borderId="0" xfId="2" applyFont="1" applyFill="1" applyBorder="1" applyAlignment="1">
      <alignment horizontal="left"/>
    </xf>
    <xf numFmtId="0" fontId="10" fillId="0" borderId="130" xfId="2" applyFont="1" applyFill="1" applyBorder="1" applyAlignment="1">
      <alignment horizontal="right"/>
    </xf>
    <xf numFmtId="0" fontId="10" fillId="20" borderId="14" xfId="2" applyFont="1" applyFill="1" applyBorder="1" applyAlignment="1">
      <alignment horizontal="right"/>
    </xf>
    <xf numFmtId="0" fontId="10" fillId="20" borderId="150" xfId="2" applyFont="1" applyFill="1" applyBorder="1" applyAlignment="1">
      <alignment horizontal="right"/>
    </xf>
    <xf numFmtId="38" fontId="10" fillId="20" borderId="150" xfId="2" applyNumberFormat="1" applyFont="1" applyFill="1" applyBorder="1" applyAlignment="1">
      <alignment horizontal="right" shrinkToFit="1"/>
    </xf>
    <xf numFmtId="0" fontId="10" fillId="20" borderId="15" xfId="2" applyFont="1" applyFill="1" applyBorder="1" applyAlignment="1">
      <alignment horizontal="right"/>
    </xf>
    <xf numFmtId="0" fontId="38" fillId="20" borderId="0" xfId="2" applyFont="1" applyFill="1" applyBorder="1" applyAlignment="1">
      <alignment horizontal="left"/>
    </xf>
    <xf numFmtId="0" fontId="56" fillId="20" borderId="0" xfId="2" applyFont="1" applyFill="1" applyBorder="1" applyAlignment="1">
      <alignment horizontal="center"/>
    </xf>
    <xf numFmtId="0" fontId="10" fillId="20" borderId="0" xfId="2" applyFont="1" applyFill="1" applyBorder="1" applyAlignment="1">
      <alignment horizontal="left" shrinkToFit="1"/>
    </xf>
    <xf numFmtId="0" fontId="10" fillId="20" borderId="191" xfId="2" applyFont="1" applyFill="1" applyBorder="1" applyAlignment="1">
      <alignment horizontal="center"/>
    </xf>
    <xf numFmtId="0" fontId="10" fillId="20" borderId="191" xfId="2" applyFont="1" applyFill="1" applyBorder="1" applyAlignment="1">
      <alignment horizontal="center" shrinkToFit="1"/>
    </xf>
    <xf numFmtId="0" fontId="38" fillId="20" borderId="189" xfId="2" applyFont="1" applyFill="1" applyBorder="1" applyAlignment="1">
      <alignment horizontal="left"/>
    </xf>
    <xf numFmtId="0" fontId="56" fillId="20" borderId="0" xfId="2" applyFont="1" applyFill="1" applyBorder="1" applyAlignment="1">
      <alignment horizontal="left"/>
    </xf>
    <xf numFmtId="0" fontId="56" fillId="20" borderId="89" xfId="2" applyFont="1" applyFill="1" applyBorder="1" applyAlignment="1">
      <alignment horizontal="left"/>
    </xf>
    <xf numFmtId="0" fontId="10" fillId="20" borderId="91" xfId="2" applyFont="1" applyFill="1" applyBorder="1" applyAlignment="1">
      <alignment horizontal="center"/>
    </xf>
    <xf numFmtId="0" fontId="10" fillId="20" borderId="91" xfId="2" applyFont="1" applyFill="1" applyBorder="1" applyAlignment="1">
      <alignment horizontal="right" shrinkToFit="1"/>
    </xf>
    <xf numFmtId="0" fontId="10" fillId="20" borderId="211" xfId="2" applyFont="1" applyFill="1" applyBorder="1" applyAlignment="1">
      <alignment horizontal="left" shrinkToFit="1"/>
    </xf>
    <xf numFmtId="0" fontId="23" fillId="20" borderId="211" xfId="2" applyFont="1" applyFill="1" applyBorder="1" applyAlignment="1">
      <alignment horizontal="left"/>
    </xf>
    <xf numFmtId="0" fontId="10" fillId="20" borderId="211" xfId="2" quotePrefix="1" applyFont="1" applyFill="1" applyBorder="1" applyAlignment="1">
      <alignment horizontal="left" shrinkToFit="1"/>
    </xf>
    <xf numFmtId="0" fontId="10" fillId="20" borderId="211" xfId="2" quotePrefix="1" applyFont="1" applyFill="1" applyBorder="1" applyAlignment="1">
      <alignment horizontal="left"/>
    </xf>
    <xf numFmtId="0" fontId="10" fillId="0" borderId="211" xfId="2" applyFont="1" applyFill="1" applyBorder="1" applyAlignment="1">
      <alignment horizontal="left" shrinkToFit="1"/>
    </xf>
    <xf numFmtId="0" fontId="10" fillId="20" borderId="248" xfId="2" applyFont="1" applyFill="1" applyBorder="1" applyAlignment="1">
      <alignment horizontal="left" shrinkToFit="1"/>
    </xf>
    <xf numFmtId="0" fontId="10" fillId="20" borderId="247" xfId="2" applyFont="1" applyFill="1" applyBorder="1" applyAlignment="1">
      <alignment horizontal="right"/>
    </xf>
    <xf numFmtId="0" fontId="10" fillId="20" borderId="162" xfId="2" applyFont="1" applyFill="1" applyBorder="1" applyAlignment="1">
      <alignment horizontal="left" shrinkToFit="1"/>
    </xf>
    <xf numFmtId="0" fontId="38" fillId="0" borderId="0" xfId="2" applyFont="1" applyFill="1" applyBorder="1" applyAlignment="1">
      <alignment horizontal="center"/>
    </xf>
    <xf numFmtId="0" fontId="10" fillId="0" borderId="0" xfId="2" applyFont="1" applyFill="1" applyBorder="1" applyAlignment="1">
      <alignment horizontal="center"/>
    </xf>
    <xf numFmtId="0" fontId="56" fillId="0" borderId="0" xfId="2" applyFont="1" applyFill="1" applyBorder="1" applyAlignment="1">
      <alignment horizontal="left"/>
    </xf>
    <xf numFmtId="0" fontId="10" fillId="0" borderId="187" xfId="2" applyFont="1" applyFill="1" applyBorder="1" applyAlignment="1">
      <alignment horizontal="right"/>
    </xf>
    <xf numFmtId="0" fontId="10" fillId="0" borderId="188" xfId="2" applyFont="1" applyFill="1" applyBorder="1" applyAlignment="1">
      <alignment horizontal="right"/>
    </xf>
    <xf numFmtId="0" fontId="10" fillId="0" borderId="85" xfId="2" applyFont="1" applyFill="1" applyBorder="1" applyAlignment="1"/>
    <xf numFmtId="0" fontId="10" fillId="0" borderId="192" xfId="2" applyFont="1" applyFill="1" applyBorder="1" applyAlignment="1"/>
    <xf numFmtId="0" fontId="10" fillId="0" borderId="191" xfId="2" applyFont="1" applyFill="1" applyBorder="1" applyAlignment="1">
      <alignment horizontal="center" shrinkToFit="1"/>
    </xf>
    <xf numFmtId="10" fontId="10" fillId="0" borderId="191" xfId="2" applyNumberFormat="1" applyFont="1" applyFill="1" applyBorder="1" applyAlignment="1">
      <alignment horizontal="right" shrinkToFit="1"/>
    </xf>
    <xf numFmtId="0" fontId="10" fillId="0" borderId="23" xfId="2" applyFont="1" applyFill="1" applyBorder="1" applyAlignment="1">
      <alignment horizontal="left" shrinkToFit="1"/>
    </xf>
    <xf numFmtId="193" fontId="10" fillId="0" borderId="23" xfId="2" applyNumberFormat="1" applyFont="1" applyFill="1" applyBorder="1" applyAlignment="1">
      <alignment horizontal="right" shrinkToFit="1"/>
    </xf>
    <xf numFmtId="10" fontId="10" fillId="0" borderId="23" xfId="2" quotePrefix="1" applyNumberFormat="1" applyFont="1" applyFill="1" applyBorder="1" applyAlignment="1">
      <alignment horizontal="center" shrinkToFit="1"/>
    </xf>
    <xf numFmtId="0" fontId="10" fillId="14" borderId="23" xfId="2" applyFont="1" applyFill="1" applyBorder="1" applyAlignment="1">
      <alignment horizontal="left" shrinkToFit="1"/>
    </xf>
    <xf numFmtId="193" fontId="10" fillId="14" borderId="23" xfId="2" applyNumberFormat="1" applyFont="1" applyFill="1" applyBorder="1" applyAlignment="1">
      <alignment horizontal="right" shrinkToFit="1"/>
    </xf>
    <xf numFmtId="10" fontId="10" fillId="14" borderId="23" xfId="2" quotePrefix="1" applyNumberFormat="1" applyFont="1" applyFill="1" applyBorder="1" applyAlignment="1">
      <alignment horizontal="center" shrinkToFit="1"/>
    </xf>
    <xf numFmtId="0" fontId="10" fillId="20" borderId="23" xfId="2" applyFont="1" applyFill="1" applyBorder="1" applyAlignment="1">
      <alignment horizontal="left" shrinkToFit="1"/>
    </xf>
    <xf numFmtId="10" fontId="10" fillId="0" borderId="23" xfId="2" applyNumberFormat="1" applyFont="1" applyFill="1" applyBorder="1" applyAlignment="1">
      <alignment horizontal="right" shrinkToFit="1"/>
    </xf>
    <xf numFmtId="0" fontId="10" fillId="20" borderId="23" xfId="2" quotePrefix="1" applyFont="1" applyFill="1" applyBorder="1" applyAlignment="1">
      <alignment horizontal="left" shrinkToFit="1"/>
    </xf>
    <xf numFmtId="0" fontId="10" fillId="20" borderId="181" xfId="2" applyFont="1" applyFill="1" applyBorder="1" applyAlignment="1">
      <alignment horizontal="center" vertical="center" shrinkToFit="1"/>
    </xf>
    <xf numFmtId="0" fontId="10" fillId="20" borderId="87" xfId="2" applyFont="1" applyFill="1" applyBorder="1" applyAlignment="1">
      <alignment horizontal="left" shrinkToFit="1"/>
    </xf>
    <xf numFmtId="193" fontId="10" fillId="0" borderId="87" xfId="2" applyNumberFormat="1" applyFont="1" applyFill="1" applyBorder="1" applyAlignment="1">
      <alignment horizontal="right" shrinkToFit="1"/>
    </xf>
    <xf numFmtId="10" fontId="10" fillId="0" borderId="87" xfId="2" applyNumberFormat="1" applyFont="1" applyFill="1" applyBorder="1" applyAlignment="1">
      <alignment horizontal="right" shrinkToFit="1"/>
    </xf>
    <xf numFmtId="0" fontId="10" fillId="0" borderId="187" xfId="2" applyFont="1" applyFill="1" applyBorder="1" applyAlignment="1">
      <alignment horizontal="center" shrinkToFit="1"/>
    </xf>
    <xf numFmtId="0" fontId="10" fillId="20" borderId="188" xfId="2" applyFont="1" applyFill="1" applyBorder="1" applyAlignment="1">
      <alignment horizontal="center" vertical="center" shrinkToFit="1"/>
    </xf>
    <xf numFmtId="0" fontId="10" fillId="20" borderId="188" xfId="2" applyFont="1" applyFill="1" applyBorder="1" applyAlignment="1">
      <alignment horizontal="left" shrinkToFit="1"/>
    </xf>
    <xf numFmtId="0" fontId="10" fillId="0" borderId="191" xfId="2" applyFont="1" applyFill="1" applyBorder="1" applyAlignment="1">
      <alignment horizontal="left" shrinkToFit="1"/>
    </xf>
    <xf numFmtId="193" fontId="10" fillId="0" borderId="191" xfId="2" applyNumberFormat="1" applyFont="1" applyFill="1" applyBorder="1" applyAlignment="1">
      <alignment vertical="center" shrinkToFit="1"/>
    </xf>
    <xf numFmtId="10" fontId="10" fillId="0" borderId="84" xfId="2" applyNumberFormat="1" applyFont="1" applyFill="1" applyBorder="1" applyAlignment="1">
      <alignment horizontal="center" vertical="center"/>
    </xf>
    <xf numFmtId="38" fontId="23" fillId="0" borderId="84" xfId="2" applyNumberFormat="1" applyFont="1" applyFill="1" applyBorder="1" applyAlignment="1">
      <alignment horizontal="right"/>
    </xf>
    <xf numFmtId="10" fontId="10" fillId="0" borderId="84" xfId="2" applyNumberFormat="1" applyFont="1" applyFill="1" applyBorder="1" applyAlignment="1">
      <alignment horizontal="left" vertical="center" shrinkToFit="1"/>
    </xf>
    <xf numFmtId="0" fontId="10" fillId="0" borderId="97" xfId="2" applyFont="1" applyFill="1" applyBorder="1" applyAlignment="1">
      <alignment horizontal="left" shrinkToFit="1"/>
    </xf>
    <xf numFmtId="193" fontId="10" fillId="0" borderId="97" xfId="2" applyNumberFormat="1" applyFont="1" applyFill="1" applyBorder="1" applyAlignment="1">
      <alignment vertical="top" shrinkToFit="1"/>
    </xf>
    <xf numFmtId="10" fontId="10" fillId="0" borderId="23" xfId="2" applyNumberFormat="1" applyFont="1" applyFill="1" applyBorder="1" applyAlignment="1">
      <alignment horizontal="center" vertical="center"/>
    </xf>
    <xf numFmtId="38" fontId="10" fillId="0" borderId="23" xfId="2" applyNumberFormat="1" applyFont="1" applyFill="1" applyBorder="1" applyAlignment="1">
      <alignment horizontal="right"/>
    </xf>
    <xf numFmtId="0" fontId="10" fillId="0" borderId="247" xfId="2" applyFont="1" applyFill="1" applyBorder="1" applyAlignment="1">
      <alignment horizontal="left" shrinkToFit="1"/>
    </xf>
    <xf numFmtId="0" fontId="10" fillId="0" borderId="248" xfId="2" applyFont="1" applyFill="1" applyBorder="1" applyAlignment="1"/>
    <xf numFmtId="38" fontId="23" fillId="0" borderId="23" xfId="2" applyNumberFormat="1" applyFont="1" applyFill="1" applyBorder="1" applyAlignment="1">
      <alignment horizontal="right"/>
    </xf>
    <xf numFmtId="10" fontId="10" fillId="0" borderId="23" xfId="2" applyNumberFormat="1" applyFont="1" applyFill="1" applyBorder="1" applyAlignment="1">
      <alignment horizontal="left" shrinkToFit="1"/>
    </xf>
    <xf numFmtId="193" fontId="10" fillId="0" borderId="97" xfId="2" applyNumberFormat="1" applyFont="1" applyFill="1" applyBorder="1" applyAlignment="1">
      <alignment shrinkToFit="1"/>
    </xf>
    <xf numFmtId="193" fontId="10" fillId="0" borderId="23" xfId="2" applyNumberFormat="1" applyFont="1" applyFill="1" applyBorder="1" applyAlignment="1">
      <alignment shrinkToFit="1"/>
    </xf>
    <xf numFmtId="0" fontId="10" fillId="20" borderId="23" xfId="2" applyFont="1" applyFill="1" applyBorder="1" applyAlignment="1">
      <alignment horizontal="left" vertical="center" shrinkToFit="1"/>
    </xf>
    <xf numFmtId="193" fontId="10" fillId="0" borderId="247" xfId="2" applyNumberFormat="1" applyFont="1" applyFill="1" applyBorder="1" applyAlignment="1">
      <alignment shrinkToFit="1"/>
    </xf>
    <xf numFmtId="10" fontId="10" fillId="0" borderId="247" xfId="2" applyNumberFormat="1" applyFont="1" applyFill="1" applyBorder="1" applyAlignment="1">
      <alignment horizontal="right" shrinkToFit="1"/>
    </xf>
    <xf numFmtId="0" fontId="10" fillId="20" borderId="253" xfId="2" applyFont="1" applyFill="1" applyBorder="1" applyAlignment="1">
      <alignment horizontal="center" vertical="center" shrinkToFit="1"/>
    </xf>
    <xf numFmtId="0" fontId="10" fillId="0" borderId="254" xfId="2" applyFont="1" applyFill="1" applyBorder="1" applyAlignment="1">
      <alignment horizontal="right"/>
    </xf>
    <xf numFmtId="0" fontId="10" fillId="0" borderId="255" xfId="2" applyFont="1" applyFill="1" applyBorder="1" applyAlignment="1">
      <alignment horizontal="right"/>
    </xf>
    <xf numFmtId="0" fontId="10" fillId="0" borderId="255" xfId="2" applyFont="1" applyFill="1" applyBorder="1" applyAlignment="1">
      <alignment horizontal="left"/>
    </xf>
    <xf numFmtId="0" fontId="10" fillId="0" borderId="256" xfId="2" applyFont="1" applyFill="1" applyBorder="1" applyAlignment="1">
      <alignment horizontal="left"/>
    </xf>
    <xf numFmtId="0" fontId="10" fillId="0" borderId="256" xfId="2" applyFont="1" applyFill="1" applyBorder="1" applyAlignment="1">
      <alignment horizontal="right"/>
    </xf>
    <xf numFmtId="0" fontId="10" fillId="0" borderId="161" xfId="2" applyFont="1" applyFill="1" applyBorder="1" applyAlignment="1">
      <alignment horizontal="right"/>
    </xf>
    <xf numFmtId="0" fontId="10" fillId="0" borderId="162" xfId="2" applyFont="1" applyFill="1" applyBorder="1" applyAlignment="1">
      <alignment horizontal="right"/>
    </xf>
    <xf numFmtId="0" fontId="10" fillId="0" borderId="162" xfId="2" applyFont="1" applyFill="1" applyBorder="1" applyAlignment="1">
      <alignment horizontal="left"/>
    </xf>
    <xf numFmtId="0" fontId="10" fillId="0" borderId="87" xfId="2" applyFont="1" applyFill="1" applyBorder="1" applyAlignment="1">
      <alignment horizontal="left"/>
    </xf>
    <xf numFmtId="0" fontId="10" fillId="0" borderId="87" xfId="2" applyFont="1" applyFill="1" applyBorder="1" applyAlignment="1">
      <alignment horizontal="right"/>
    </xf>
    <xf numFmtId="0" fontId="38" fillId="0" borderId="188" xfId="2" applyFont="1" applyFill="1" applyBorder="1" applyAlignment="1">
      <alignment horizontal="center"/>
    </xf>
    <xf numFmtId="0" fontId="10" fillId="0" borderId="188" xfId="2" applyFont="1" applyFill="1" applyBorder="1" applyAlignment="1">
      <alignment horizontal="center"/>
    </xf>
    <xf numFmtId="0" fontId="10" fillId="0" borderId="191" xfId="2" applyFont="1" applyFill="1" applyBorder="1" applyAlignment="1">
      <alignment horizontal="center" wrapText="1"/>
    </xf>
    <xf numFmtId="0" fontId="10" fillId="0" borderId="191" xfId="2" applyFont="1" applyFill="1" applyBorder="1" applyAlignment="1">
      <alignment horizontal="center"/>
    </xf>
    <xf numFmtId="0" fontId="16" fillId="0" borderId="91" xfId="2" applyFont="1" applyFill="1" applyBorder="1" applyAlignment="1">
      <alignment horizontal="center" wrapText="1"/>
    </xf>
    <xf numFmtId="0" fontId="10" fillId="0" borderId="91" xfId="2" applyFont="1" applyFill="1" applyBorder="1" applyAlignment="1">
      <alignment horizontal="right"/>
    </xf>
    <xf numFmtId="0" fontId="10" fillId="0" borderId="166" xfId="2" applyFont="1" applyFill="1" applyBorder="1" applyAlignment="1">
      <alignment horizontal="right"/>
    </xf>
    <xf numFmtId="0" fontId="10" fillId="0" borderId="167" xfId="2" applyFont="1" applyFill="1" applyBorder="1" applyAlignment="1">
      <alignment horizontal="right"/>
    </xf>
    <xf numFmtId="0" fontId="10" fillId="0" borderId="192" xfId="2" applyFont="1" applyFill="1" applyBorder="1" applyAlignment="1">
      <alignment horizontal="left"/>
    </xf>
    <xf numFmtId="0" fontId="10" fillId="0" borderId="84" xfId="2" applyFont="1" applyFill="1" applyBorder="1" applyAlignment="1">
      <alignment horizontal="left"/>
    </xf>
    <xf numFmtId="0" fontId="10" fillId="0" borderId="85" xfId="2" applyFont="1" applyFill="1" applyBorder="1" applyAlignment="1">
      <alignment horizontal="center"/>
    </xf>
    <xf numFmtId="0" fontId="10" fillId="0" borderId="196" xfId="2" applyFont="1" applyFill="1" applyBorder="1" applyAlignment="1">
      <alignment horizontal="left"/>
    </xf>
    <xf numFmtId="0" fontId="10" fillId="0" borderId="130" xfId="2" applyFont="1" applyFill="1" applyBorder="1" applyAlignment="1">
      <alignment horizontal="left"/>
    </xf>
    <xf numFmtId="0" fontId="10" fillId="0" borderId="130" xfId="2" applyFont="1" applyFill="1" applyBorder="1" applyAlignment="1">
      <alignment horizontal="center"/>
    </xf>
    <xf numFmtId="0" fontId="10" fillId="0" borderId="191" xfId="2" applyFont="1" applyFill="1" applyBorder="1" applyAlignment="1">
      <alignment horizontal="right"/>
    </xf>
    <xf numFmtId="0" fontId="38" fillId="0" borderId="91" xfId="2" applyFont="1" applyFill="1" applyBorder="1" applyAlignment="1">
      <alignment horizontal="left"/>
    </xf>
    <xf numFmtId="0" fontId="10" fillId="0" borderId="87" xfId="2" applyFont="1" applyFill="1" applyBorder="1" applyAlignment="1">
      <alignment horizontal="center"/>
    </xf>
    <xf numFmtId="0" fontId="10" fillId="0" borderId="84" xfId="2" applyFont="1" applyFill="1" applyBorder="1" applyAlignment="1">
      <alignment horizontal="center" shrinkToFit="1"/>
    </xf>
    <xf numFmtId="0" fontId="10" fillId="0" borderId="84" xfId="2" applyFont="1" applyFill="1" applyBorder="1" applyAlignment="1">
      <alignment horizontal="left" shrinkToFit="1"/>
    </xf>
    <xf numFmtId="0" fontId="10" fillId="0" borderId="84" xfId="2" applyFont="1" applyFill="1" applyBorder="1" applyAlignment="1">
      <alignment shrinkToFit="1"/>
    </xf>
    <xf numFmtId="0" fontId="10" fillId="0" borderId="23" xfId="2" applyFont="1" applyFill="1" applyBorder="1" applyAlignment="1">
      <alignment horizontal="right" shrinkToFit="1"/>
    </xf>
    <xf numFmtId="0" fontId="10" fillId="0" borderId="23" xfId="2" applyFont="1" applyFill="1" applyBorder="1" applyAlignment="1">
      <alignment shrinkToFit="1"/>
    </xf>
    <xf numFmtId="9" fontId="10" fillId="0" borderId="23" xfId="2" applyNumberFormat="1" applyFont="1" applyFill="1" applyBorder="1" applyAlignment="1">
      <alignment horizontal="right" shrinkToFit="1"/>
    </xf>
    <xf numFmtId="0" fontId="10" fillId="0" borderId="23" xfId="2" applyFont="1" applyFill="1" applyBorder="1" applyAlignment="1">
      <alignment horizontal="left"/>
    </xf>
    <xf numFmtId="0" fontId="10" fillId="0" borderId="247" xfId="2" applyFont="1" applyFill="1" applyBorder="1" applyAlignment="1">
      <alignment horizontal="left"/>
    </xf>
    <xf numFmtId="0" fontId="10" fillId="0" borderId="87" xfId="2" applyFont="1" applyFill="1" applyBorder="1" applyAlignment="1">
      <alignment horizontal="left" shrinkToFit="1"/>
    </xf>
    <xf numFmtId="9" fontId="10" fillId="0" borderId="87" xfId="2" applyNumberFormat="1" applyFont="1" applyFill="1" applyBorder="1" applyAlignment="1">
      <alignment horizontal="right" shrinkToFit="1"/>
    </xf>
    <xf numFmtId="0" fontId="10" fillId="0" borderId="207" xfId="2" applyFont="1" applyFill="1" applyBorder="1" applyAlignment="1">
      <alignment horizontal="right"/>
    </xf>
    <xf numFmtId="0" fontId="10" fillId="0" borderId="191" xfId="2" applyFont="1" applyFill="1" applyBorder="1" applyAlignment="1">
      <alignment horizontal="right" shrinkToFit="1"/>
    </xf>
    <xf numFmtId="0" fontId="10" fillId="0" borderId="84" xfId="2" applyFont="1" applyFill="1" applyBorder="1" applyAlignment="1">
      <alignment horizontal="right" shrinkToFit="1"/>
    </xf>
    <xf numFmtId="0" fontId="38" fillId="0" borderId="91" xfId="2" applyFont="1" applyFill="1" applyBorder="1" applyAlignment="1">
      <alignment horizontal="left" shrinkToFit="1"/>
    </xf>
    <xf numFmtId="0" fontId="10" fillId="0" borderId="87" xfId="2" applyFont="1" applyFill="1" applyBorder="1" applyAlignment="1">
      <alignment horizontal="right" shrinkToFit="1"/>
    </xf>
    <xf numFmtId="0" fontId="10" fillId="0" borderId="97" xfId="2" applyFont="1" applyFill="1" applyBorder="1" applyAlignment="1">
      <alignment horizontal="center" shrinkToFit="1"/>
    </xf>
    <xf numFmtId="10" fontId="10" fillId="0" borderId="84" xfId="2" applyNumberFormat="1" applyFont="1" applyFill="1" applyBorder="1" applyAlignment="1">
      <alignment horizontal="right" shrinkToFit="1"/>
    </xf>
    <xf numFmtId="0" fontId="10" fillId="0" borderId="148" xfId="2" applyFont="1" applyFill="1" applyBorder="1" applyAlignment="1">
      <alignment horizontal="right"/>
    </xf>
    <xf numFmtId="193" fontId="10" fillId="0" borderId="130" xfId="2" applyNumberFormat="1" applyFont="1" applyFill="1" applyBorder="1" applyAlignment="1">
      <alignment shrinkToFit="1"/>
    </xf>
    <xf numFmtId="10" fontId="10" fillId="0" borderId="130" xfId="2" applyNumberFormat="1" applyFont="1" applyFill="1" applyBorder="1" applyAlignment="1">
      <alignment horizontal="right" shrinkToFit="1"/>
    </xf>
    <xf numFmtId="38" fontId="10" fillId="0" borderId="97" xfId="2" applyNumberFormat="1" applyFont="1" applyFill="1" applyBorder="1" applyAlignment="1">
      <alignment horizontal="right"/>
    </xf>
    <xf numFmtId="0" fontId="10" fillId="0" borderId="118" xfId="2" applyFont="1" applyFill="1" applyBorder="1" applyAlignment="1">
      <alignment horizontal="right"/>
    </xf>
    <xf numFmtId="0" fontId="10" fillId="0" borderId="258" xfId="2" applyFont="1" applyFill="1" applyBorder="1" applyAlignment="1">
      <alignment horizontal="right"/>
    </xf>
    <xf numFmtId="0" fontId="10" fillId="0" borderId="259" xfId="2" applyFont="1" applyFill="1" applyBorder="1" applyAlignment="1">
      <alignment horizontal="right"/>
    </xf>
    <xf numFmtId="0" fontId="10" fillId="0" borderId="259" xfId="2" applyFont="1" applyFill="1" applyBorder="1" applyAlignment="1">
      <alignment horizontal="left"/>
    </xf>
    <xf numFmtId="0" fontId="10" fillId="0" borderId="252" xfId="2" applyFont="1" applyFill="1" applyBorder="1" applyAlignment="1">
      <alignment horizontal="left"/>
    </xf>
    <xf numFmtId="0" fontId="10" fillId="0" borderId="252" xfId="2" applyFont="1" applyFill="1" applyBorder="1" applyAlignment="1">
      <alignment horizontal="right"/>
    </xf>
    <xf numFmtId="0" fontId="10" fillId="0" borderId="211" xfId="2" applyFont="1" applyFill="1" applyBorder="1" applyAlignment="1"/>
    <xf numFmtId="0" fontId="10" fillId="0" borderId="190" xfId="2" applyFont="1" applyFill="1" applyBorder="1" applyAlignment="1"/>
    <xf numFmtId="0" fontId="10" fillId="0" borderId="89" xfId="2" applyFont="1" applyFill="1" applyBorder="1" applyAlignment="1"/>
    <xf numFmtId="0" fontId="10" fillId="0" borderId="91" xfId="2" applyFont="1" applyFill="1" applyBorder="1" applyAlignment="1"/>
    <xf numFmtId="176" fontId="10" fillId="0" borderId="91" xfId="2" applyNumberFormat="1" applyFont="1" applyFill="1" applyBorder="1" applyAlignment="1">
      <alignment shrinkToFit="1"/>
    </xf>
    <xf numFmtId="176" fontId="10" fillId="0" borderId="91" xfId="2" applyNumberFormat="1" applyFont="1" applyFill="1" applyBorder="1" applyAlignment="1"/>
    <xf numFmtId="0" fontId="10" fillId="0" borderId="0" xfId="2" applyFont="1" applyBorder="1" applyAlignment="1">
      <alignment shrinkToFit="1"/>
    </xf>
    <xf numFmtId="188" fontId="10" fillId="0" borderId="113" xfId="2" applyNumberFormat="1" applyFont="1" applyFill="1" applyBorder="1" applyAlignment="1">
      <alignment horizontal="center"/>
    </xf>
    <xf numFmtId="0" fontId="10" fillId="0" borderId="0" xfId="2" applyFont="1" applyFill="1" applyBorder="1" applyAlignment="1">
      <alignment horizontal="center" shrinkToFit="1"/>
    </xf>
    <xf numFmtId="0" fontId="10" fillId="0" borderId="134" xfId="2" applyFont="1" applyFill="1" applyBorder="1" applyAlignment="1"/>
    <xf numFmtId="0" fontId="10" fillId="0" borderId="260" xfId="2" applyFont="1" applyFill="1" applyBorder="1" applyAlignment="1"/>
    <xf numFmtId="0" fontId="56" fillId="0" borderId="51" xfId="2" applyFont="1" applyFill="1" applyBorder="1" applyAlignment="1"/>
    <xf numFmtId="0" fontId="10" fillId="0" borderId="133" xfId="2" applyFont="1" applyFill="1" applyBorder="1" applyAlignment="1"/>
    <xf numFmtId="0" fontId="10" fillId="0" borderId="113" xfId="2" applyFont="1" applyFill="1" applyBorder="1" applyAlignment="1">
      <alignment horizontal="center" vertical="center" shrinkToFit="1"/>
    </xf>
    <xf numFmtId="0" fontId="33" fillId="0" borderId="52" xfId="2" applyFont="1" applyFill="1" applyBorder="1" applyAlignment="1">
      <alignment shrinkToFit="1"/>
    </xf>
    <xf numFmtId="0" fontId="10" fillId="0" borderId="182" xfId="2" applyFont="1" applyFill="1" applyBorder="1" applyAlignment="1"/>
    <xf numFmtId="0" fontId="10" fillId="0" borderId="23" xfId="2" applyFont="1" applyFill="1" applyBorder="1" applyAlignment="1">
      <alignment horizontal="center" vertical="center"/>
    </xf>
    <xf numFmtId="0" fontId="10" fillId="0" borderId="253" xfId="2" applyFont="1" applyFill="1" applyBorder="1" applyAlignment="1"/>
    <xf numFmtId="193" fontId="10" fillId="0" borderId="23" xfId="3" applyNumberFormat="1" applyFont="1" applyFill="1" applyBorder="1" applyAlignment="1" applyProtection="1">
      <alignment horizontal="center" vertical="center"/>
    </xf>
    <xf numFmtId="0" fontId="10" fillId="0" borderId="164" xfId="2" applyFont="1" applyFill="1" applyBorder="1" applyAlignment="1"/>
    <xf numFmtId="0" fontId="10" fillId="0" borderId="180" xfId="2" applyFont="1" applyFill="1" applyBorder="1" applyAlignment="1"/>
    <xf numFmtId="2" fontId="10" fillId="0" borderId="23" xfId="2" applyNumberFormat="1" applyFont="1" applyFill="1" applyBorder="1" applyAlignment="1" applyProtection="1">
      <alignment horizontal="center" vertical="center"/>
    </xf>
    <xf numFmtId="0" fontId="10" fillId="0" borderId="0" xfId="2" applyFont="1" applyFill="1" applyBorder="1" applyAlignment="1">
      <alignment shrinkToFit="1"/>
    </xf>
    <xf numFmtId="188" fontId="10" fillId="0" borderId="51" xfId="2" applyNumberFormat="1" applyFont="1" applyFill="1" applyBorder="1" applyAlignment="1">
      <alignment horizontal="center"/>
    </xf>
    <xf numFmtId="188" fontId="10" fillId="0" borderId="266" xfId="2" applyNumberFormat="1" applyFont="1" applyFill="1" applyBorder="1" applyAlignment="1">
      <alignment horizontal="center"/>
    </xf>
    <xf numFmtId="0" fontId="10" fillId="0" borderId="0" xfId="2" applyFont="1" applyFill="1" applyAlignment="1">
      <alignment horizontal="center" vertical="center"/>
    </xf>
    <xf numFmtId="193" fontId="10" fillId="0" borderId="266" xfId="2" applyNumberFormat="1" applyFont="1" applyFill="1" applyBorder="1" applyAlignment="1" applyProtection="1">
      <alignment horizontal="center" vertical="center"/>
    </xf>
    <xf numFmtId="0" fontId="10" fillId="0" borderId="182" xfId="2" applyFont="1" applyFill="1" applyBorder="1" applyAlignment="1">
      <alignment horizontal="center" vertical="center"/>
    </xf>
    <xf numFmtId="193" fontId="10" fillId="0" borderId="52" xfId="3" applyNumberFormat="1" applyFont="1" applyFill="1" applyBorder="1" applyAlignment="1" applyProtection="1">
      <alignment horizontal="center" vertical="center"/>
    </xf>
    <xf numFmtId="193" fontId="10" fillId="0" borderId="266" xfId="3" applyNumberFormat="1" applyFont="1" applyFill="1" applyBorder="1" applyAlignment="1" applyProtection="1">
      <alignment horizontal="center" vertical="center"/>
    </xf>
    <xf numFmtId="2" fontId="10" fillId="0" borderId="266" xfId="2" applyNumberFormat="1" applyFont="1" applyFill="1" applyBorder="1" applyAlignment="1" applyProtection="1">
      <alignment horizontal="center" vertical="center"/>
    </xf>
    <xf numFmtId="0" fontId="3" fillId="0" borderId="0" xfId="11">
      <alignment vertical="center"/>
    </xf>
    <xf numFmtId="188" fontId="10" fillId="0" borderId="0" xfId="2" applyNumberFormat="1" applyFont="1" applyFill="1" applyBorder="1" applyAlignment="1">
      <alignment horizontal="center"/>
    </xf>
    <xf numFmtId="193" fontId="10" fillId="0" borderId="0" xfId="2" applyNumberFormat="1" applyFont="1" applyFill="1" applyBorder="1" applyAlignment="1" applyProtection="1">
      <alignment horizontal="center" vertical="center"/>
    </xf>
    <xf numFmtId="193" fontId="10" fillId="0" borderId="0" xfId="3" applyNumberFormat="1" applyFont="1" applyFill="1" applyBorder="1" applyAlignment="1" applyProtection="1">
      <alignment horizontal="center" vertical="center"/>
    </xf>
    <xf numFmtId="2" fontId="10" fillId="0" borderId="0" xfId="2" applyNumberFormat="1" applyFont="1" applyFill="1" applyBorder="1" applyAlignment="1" applyProtection="1">
      <alignment horizontal="center" vertical="center"/>
    </xf>
    <xf numFmtId="0" fontId="10" fillId="0" borderId="0" xfId="2" applyFont="1" applyFill="1" applyBorder="1" applyAlignment="1" applyProtection="1">
      <alignment horizontal="center" vertical="center"/>
    </xf>
    <xf numFmtId="192" fontId="10" fillId="0" borderId="189" xfId="10" applyNumberFormat="1" applyFont="1" applyFill="1" applyBorder="1" applyAlignment="1">
      <alignment horizontal="center" shrinkToFit="1"/>
    </xf>
    <xf numFmtId="0" fontId="10" fillId="0" borderId="189" xfId="2" applyFont="1" applyFill="1" applyBorder="1" applyAlignment="1">
      <alignment horizontal="center" shrinkToFit="1"/>
    </xf>
    <xf numFmtId="38" fontId="10" fillId="0" borderId="189" xfId="2" applyNumberFormat="1" applyFont="1" applyFill="1" applyBorder="1" applyAlignment="1">
      <alignment horizontal="center" shrinkToFit="1"/>
    </xf>
    <xf numFmtId="38" fontId="10" fillId="0" borderId="189" xfId="2" applyNumberFormat="1" applyFont="1" applyFill="1" applyBorder="1" applyAlignment="1">
      <alignment horizontal="center" vertical="center" shrinkToFit="1"/>
    </xf>
    <xf numFmtId="38" fontId="10" fillId="0" borderId="189" xfId="2" applyNumberFormat="1" applyFont="1" applyFill="1" applyBorder="1" applyAlignment="1">
      <alignment horizontal="right" shrinkToFit="1"/>
    </xf>
    <xf numFmtId="38" fontId="10" fillId="0" borderId="189" xfId="10" applyNumberFormat="1" applyFont="1" applyFill="1" applyBorder="1" applyAlignment="1">
      <alignment horizontal="right" shrinkToFit="1"/>
    </xf>
    <xf numFmtId="0" fontId="10" fillId="0" borderId="189" xfId="2" applyFont="1" applyFill="1" applyBorder="1" applyAlignment="1">
      <alignment horizontal="right" shrinkToFit="1"/>
    </xf>
    <xf numFmtId="10" fontId="10" fillId="0" borderId="189" xfId="2" applyNumberFormat="1" applyFont="1" applyFill="1" applyBorder="1" applyAlignment="1">
      <alignment horizontal="left" vertical="center" shrinkToFit="1"/>
    </xf>
    <xf numFmtId="10" fontId="10" fillId="0" borderId="189" xfId="2" applyNumberFormat="1" applyFont="1" applyFill="1" applyBorder="1" applyAlignment="1">
      <alignment horizontal="left" shrinkToFit="1"/>
    </xf>
    <xf numFmtId="38" fontId="10" fillId="0" borderId="189" xfId="2" applyNumberFormat="1" applyFont="1" applyFill="1" applyBorder="1" applyAlignment="1">
      <alignment shrinkToFit="1"/>
    </xf>
    <xf numFmtId="176" fontId="10" fillId="0" borderId="189" xfId="2" applyNumberFormat="1" applyFont="1" applyFill="1" applyBorder="1" applyAlignment="1">
      <alignment shrinkToFit="1"/>
    </xf>
    <xf numFmtId="189" fontId="51" fillId="21" borderId="246" xfId="0" applyNumberFormat="1" applyFont="1" applyFill="1" applyBorder="1" applyAlignment="1">
      <alignment vertical="center" shrinkToFit="1"/>
    </xf>
    <xf numFmtId="0" fontId="51" fillId="0" borderId="0" xfId="0" applyNumberFormat="1" applyFont="1" applyFill="1" applyBorder="1" applyAlignment="1">
      <alignment horizontal="right" vertical="center"/>
    </xf>
    <xf numFmtId="177" fontId="19" fillId="0" borderId="241" xfId="0" applyNumberFormat="1" applyFont="1" applyFill="1" applyBorder="1" applyAlignment="1" applyProtection="1">
      <alignment vertical="center" shrinkToFit="1"/>
      <protection locked="0"/>
    </xf>
    <xf numFmtId="38" fontId="50" fillId="0" borderId="76" xfId="0" applyNumberFormat="1" applyFont="1" applyFill="1" applyBorder="1" applyAlignment="1" applyProtection="1">
      <alignment vertical="center" shrinkToFit="1"/>
      <protection locked="0"/>
    </xf>
    <xf numFmtId="0" fontId="9" fillId="0" borderId="0" xfId="0" applyFont="1" applyFill="1" applyAlignment="1" applyProtection="1">
      <alignment vertical="center"/>
      <protection locked="0"/>
    </xf>
    <xf numFmtId="0" fontId="9" fillId="0" borderId="233" xfId="0" applyFont="1" applyFill="1" applyBorder="1" applyAlignment="1" applyProtection="1">
      <alignment vertical="center" textRotation="255"/>
      <protection locked="0"/>
    </xf>
    <xf numFmtId="0" fontId="9" fillId="0" borderId="235" xfId="0" applyFont="1" applyFill="1" applyBorder="1" applyAlignment="1">
      <alignment vertical="center"/>
    </xf>
    <xf numFmtId="0" fontId="9" fillId="0" borderId="11" xfId="0" applyFont="1" applyFill="1" applyBorder="1" applyAlignment="1" applyProtection="1">
      <alignment vertical="center"/>
      <protection locked="0"/>
    </xf>
    <xf numFmtId="177" fontId="9" fillId="0" borderId="0" xfId="0" applyNumberFormat="1" applyFont="1" applyFill="1" applyAlignment="1">
      <alignment vertical="center" shrinkToFit="1"/>
    </xf>
    <xf numFmtId="192" fontId="10" fillId="0" borderId="84" xfId="11" applyNumberFormat="1" applyFont="1" applyFill="1" applyBorder="1" applyAlignment="1">
      <alignment horizontal="center" shrinkToFit="1"/>
    </xf>
    <xf numFmtId="0" fontId="10" fillId="0" borderId="247" xfId="10" applyFont="1" applyFill="1" applyBorder="1" applyAlignment="1">
      <alignment horizontal="center" vertical="center"/>
    </xf>
    <xf numFmtId="0" fontId="10" fillId="0" borderId="0" xfId="10" applyFont="1" applyFill="1" applyBorder="1" applyAlignment="1">
      <alignment horizontal="center" vertical="center"/>
    </xf>
    <xf numFmtId="0" fontId="10" fillId="0" borderId="97" xfId="10" applyFont="1" applyFill="1" applyBorder="1" applyAlignment="1">
      <alignment horizontal="center" shrinkToFit="1"/>
    </xf>
    <xf numFmtId="38" fontId="10" fillId="0" borderId="23" xfId="10" applyNumberFormat="1" applyFont="1" applyFill="1" applyBorder="1" applyAlignment="1">
      <alignment horizontal="right" shrinkToFit="1"/>
    </xf>
    <xf numFmtId="38" fontId="10" fillId="0" borderId="87" xfId="10" applyNumberFormat="1" applyFont="1" applyFill="1" applyBorder="1" applyAlignment="1">
      <alignment horizontal="right" shrinkToFit="1"/>
    </xf>
    <xf numFmtId="10" fontId="10" fillId="0" borderId="23" xfId="3" applyNumberFormat="1" applyFont="1" applyFill="1" applyBorder="1" applyAlignment="1">
      <alignment horizontal="left" shrinkToFit="1"/>
    </xf>
    <xf numFmtId="10" fontId="10" fillId="0" borderId="84" xfId="2" quotePrefix="1" applyNumberFormat="1" applyFont="1" applyFill="1" applyBorder="1" applyAlignment="1">
      <alignment horizontal="right" shrinkToFit="1"/>
    </xf>
    <xf numFmtId="0" fontId="10" fillId="22" borderId="23" xfId="2" applyFont="1" applyFill="1" applyBorder="1" applyAlignment="1">
      <alignment horizontal="center" shrinkToFit="1"/>
    </xf>
    <xf numFmtId="38" fontId="10" fillId="22" borderId="91" xfId="2" applyNumberFormat="1" applyFont="1" applyFill="1" applyBorder="1" applyAlignment="1">
      <alignment horizontal="center" vertical="center" shrinkToFit="1"/>
    </xf>
    <xf numFmtId="0" fontId="19" fillId="0" borderId="0" xfId="0" applyFont="1" applyFill="1" applyBorder="1" applyAlignment="1">
      <alignment horizontal="center" shrinkToFit="1"/>
    </xf>
    <xf numFmtId="38" fontId="9" fillId="0" borderId="100" xfId="0" applyNumberFormat="1" applyFont="1" applyFill="1" applyBorder="1" applyAlignment="1">
      <alignment horizontal="right" shrinkToFit="1"/>
    </xf>
    <xf numFmtId="0" fontId="9" fillId="0" borderId="0" xfId="0" applyFont="1" applyFill="1" applyBorder="1" applyAlignment="1">
      <alignment horizontal="center"/>
    </xf>
    <xf numFmtId="0" fontId="9" fillId="0" borderId="189" xfId="0" applyFont="1" applyFill="1" applyBorder="1" applyAlignment="1">
      <alignment horizontal="right"/>
    </xf>
    <xf numFmtId="0" fontId="9" fillId="0" borderId="0" xfId="0" applyFont="1" applyFill="1" applyBorder="1" applyAlignment="1">
      <alignment horizontal="right"/>
    </xf>
    <xf numFmtId="0" fontId="19" fillId="0" borderId="0" xfId="0" applyFont="1" applyFill="1" applyBorder="1" applyAlignment="1">
      <alignment horizontal="right"/>
    </xf>
    <xf numFmtId="0" fontId="17" fillId="0" borderId="187" xfId="0" applyFont="1" applyFill="1" applyBorder="1" applyAlignment="1">
      <alignment horizontal="left"/>
    </xf>
    <xf numFmtId="0" fontId="19" fillId="0" borderId="188" xfId="0" applyFont="1" applyFill="1" applyBorder="1" applyAlignment="1">
      <alignment horizontal="right"/>
    </xf>
    <xf numFmtId="0" fontId="40" fillId="0" borderId="190" xfId="0" applyFont="1" applyFill="1" applyBorder="1" applyAlignment="1">
      <alignment horizontal="right"/>
    </xf>
    <xf numFmtId="0" fontId="40" fillId="0" borderId="89" xfId="0" applyFont="1" applyFill="1" applyBorder="1" applyAlignment="1">
      <alignment horizontal="right"/>
    </xf>
    <xf numFmtId="0" fontId="40" fillId="0" borderId="15" xfId="0" applyFont="1" applyFill="1" applyBorder="1" applyAlignment="1">
      <alignment horizontal="right"/>
    </xf>
    <xf numFmtId="0" fontId="38" fillId="0" borderId="190" xfId="0" applyFont="1" applyFill="1" applyBorder="1" applyAlignment="1">
      <alignment horizontal="left" vertical="center"/>
    </xf>
    <xf numFmtId="0" fontId="9" fillId="0" borderId="0" xfId="0" applyFont="1" applyFill="1" applyBorder="1" applyAlignment="1">
      <alignment horizontal="left"/>
    </xf>
    <xf numFmtId="0" fontId="9" fillId="0" borderId="14" xfId="0" applyFont="1" applyFill="1" applyBorder="1" applyAlignment="1">
      <alignment horizontal="right"/>
    </xf>
    <xf numFmtId="0" fontId="9" fillId="0" borderId="15" xfId="0" applyFont="1" applyFill="1" applyBorder="1" applyAlignment="1">
      <alignment horizontal="left"/>
    </xf>
    <xf numFmtId="0" fontId="38" fillId="0" borderId="187" xfId="0" applyFont="1" applyFill="1" applyBorder="1" applyAlignment="1">
      <alignment horizontal="left"/>
    </xf>
    <xf numFmtId="0" fontId="40" fillId="0" borderId="188" xfId="0" applyFont="1" applyFill="1" applyBorder="1" applyAlignment="1">
      <alignment horizontal="right"/>
    </xf>
    <xf numFmtId="0" fontId="9" fillId="0" borderId="89" xfId="0" applyFont="1" applyFill="1" applyBorder="1" applyAlignment="1">
      <alignment horizontal="left"/>
    </xf>
    <xf numFmtId="0" fontId="38" fillId="0" borderId="187" xfId="0" applyFont="1" applyFill="1" applyBorder="1" applyAlignment="1">
      <alignment horizontal="left" vertical="center"/>
    </xf>
    <xf numFmtId="0" fontId="9" fillId="0" borderId="197" xfId="0" applyFont="1" applyFill="1" applyBorder="1" applyAlignment="1">
      <alignment horizontal="right"/>
    </xf>
    <xf numFmtId="0" fontId="9" fillId="0" borderId="198" xfId="0" applyFont="1" applyFill="1" applyBorder="1" applyAlignment="1">
      <alignment horizontal="left"/>
    </xf>
    <xf numFmtId="0" fontId="9" fillId="0" borderId="193" xfId="0" applyFont="1" applyFill="1" applyBorder="1" applyAlignment="1">
      <alignment horizontal="right"/>
    </xf>
    <xf numFmtId="0" fontId="9" fillId="0" borderId="194" xfId="0" applyFont="1" applyFill="1" applyBorder="1" applyAlignment="1">
      <alignment horizontal="left"/>
    </xf>
    <xf numFmtId="0" fontId="9" fillId="0" borderId="0" xfId="0" applyFont="1" applyFill="1" applyBorder="1" applyAlignment="1">
      <alignment horizontal="left" vertical="center" textRotation="255"/>
    </xf>
    <xf numFmtId="0" fontId="9" fillId="0" borderId="193" xfId="0" applyFont="1" applyFill="1" applyBorder="1" applyAlignment="1"/>
    <xf numFmtId="0" fontId="9" fillId="0" borderId="194" xfId="0" applyFont="1" applyFill="1" applyBorder="1" applyAlignment="1"/>
    <xf numFmtId="0" fontId="9" fillId="0" borderId="0" xfId="0" quotePrefix="1" applyFont="1" applyFill="1" applyBorder="1" applyAlignment="1">
      <alignment vertical="center"/>
    </xf>
    <xf numFmtId="0" fontId="9" fillId="0" borderId="102" xfId="0" applyFont="1" applyFill="1" applyBorder="1" applyAlignment="1">
      <alignment horizontal="right"/>
    </xf>
    <xf numFmtId="0" fontId="19" fillId="22" borderId="151" xfId="0" applyFont="1" applyFill="1" applyBorder="1" applyAlignment="1">
      <alignment horizontal="center" shrinkToFit="1"/>
    </xf>
    <xf numFmtId="38" fontId="9" fillId="22" borderId="102" xfId="0" applyNumberFormat="1" applyFont="1" applyFill="1" applyBorder="1" applyAlignment="1">
      <alignment horizontal="center" shrinkToFit="1"/>
    </xf>
    <xf numFmtId="0" fontId="9" fillId="23" borderId="198" xfId="0" applyFont="1" applyFill="1" applyBorder="1" applyAlignment="1">
      <alignment horizontal="left"/>
    </xf>
    <xf numFmtId="0" fontId="60" fillId="14" borderId="0" xfId="0" applyFont="1" applyFill="1" applyBorder="1" applyAlignment="1">
      <alignment horizontal="right" vertical="center"/>
    </xf>
    <xf numFmtId="0" fontId="61" fillId="0" borderId="0" xfId="0" applyFont="1" applyAlignment="1">
      <alignment vertical="center"/>
    </xf>
    <xf numFmtId="0" fontId="61" fillId="0" borderId="0" xfId="0" applyFont="1" applyAlignment="1">
      <alignment horizontal="left" vertical="center"/>
    </xf>
    <xf numFmtId="0" fontId="10" fillId="22" borderId="0" xfId="2" applyFont="1" applyFill="1" applyBorder="1" applyAlignment="1"/>
    <xf numFmtId="0" fontId="9" fillId="24" borderId="14" xfId="0" applyFont="1" applyFill="1" applyBorder="1" applyAlignment="1">
      <alignment horizontal="right"/>
    </xf>
    <xf numFmtId="0" fontId="9" fillId="24" borderId="15" xfId="0" applyFont="1" applyFill="1" applyBorder="1" applyAlignment="1">
      <alignment horizontal="left"/>
    </xf>
    <xf numFmtId="0" fontId="9" fillId="25" borderId="14" xfId="0" applyFont="1" applyFill="1" applyBorder="1" applyAlignment="1">
      <alignment horizontal="right"/>
    </xf>
    <xf numFmtId="0" fontId="9" fillId="25" borderId="15" xfId="0" applyFont="1" applyFill="1" applyBorder="1" applyAlignment="1">
      <alignment horizontal="left"/>
    </xf>
    <xf numFmtId="38" fontId="19" fillId="25" borderId="151" xfId="0" applyNumberFormat="1" applyFont="1" applyFill="1" applyBorder="1" applyAlignment="1">
      <alignment horizontal="right"/>
    </xf>
    <xf numFmtId="0" fontId="9" fillId="26" borderId="197" xfId="0" applyFont="1" applyFill="1" applyBorder="1" applyAlignment="1">
      <alignment horizontal="right"/>
    </xf>
    <xf numFmtId="0" fontId="9" fillId="26" borderId="198" xfId="0" applyFont="1" applyFill="1" applyBorder="1" applyAlignment="1">
      <alignment horizontal="left"/>
    </xf>
    <xf numFmtId="38" fontId="9" fillId="26" borderId="205" xfId="0" applyNumberFormat="1" applyFont="1" applyFill="1" applyBorder="1" applyAlignment="1">
      <alignment horizontal="right" shrinkToFit="1"/>
    </xf>
    <xf numFmtId="0" fontId="9" fillId="23" borderId="197" xfId="0" applyFont="1" applyFill="1" applyBorder="1" applyAlignment="1">
      <alignment horizontal="left"/>
    </xf>
    <xf numFmtId="38" fontId="9" fillId="23" borderId="199" xfId="0" applyNumberFormat="1" applyFont="1" applyFill="1" applyBorder="1" applyAlignment="1">
      <alignment horizontal="right"/>
    </xf>
    <xf numFmtId="38" fontId="9" fillId="27" borderId="31" xfId="0" applyNumberFormat="1" applyFont="1" applyFill="1" applyBorder="1" applyAlignment="1">
      <alignment horizontal="right" shrinkToFit="1"/>
    </xf>
    <xf numFmtId="38" fontId="9" fillId="27" borderId="131" xfId="0" applyNumberFormat="1" applyFont="1" applyFill="1" applyBorder="1" applyAlignment="1">
      <alignment horizontal="right" shrinkToFit="1"/>
    </xf>
    <xf numFmtId="0" fontId="9" fillId="14" borderId="0" xfId="0" applyFont="1" applyFill="1" applyBorder="1" applyAlignment="1">
      <alignment horizontal="right"/>
    </xf>
    <xf numFmtId="38" fontId="9" fillId="14" borderId="0" xfId="0" applyNumberFormat="1" applyFont="1" applyFill="1" applyBorder="1" applyAlignment="1"/>
    <xf numFmtId="0" fontId="10" fillId="0" borderId="0" xfId="0" applyFont="1" applyFill="1" applyBorder="1" applyAlignment="1">
      <alignment horizontal="right" shrinkToFit="1"/>
    </xf>
    <xf numFmtId="0" fontId="37" fillId="0" borderId="0" xfId="0" applyFont="1" applyFill="1" applyBorder="1" applyAlignment="1"/>
    <xf numFmtId="0" fontId="40" fillId="0" borderId="0" xfId="0" applyFont="1" applyFill="1" applyBorder="1" applyAlignment="1"/>
    <xf numFmtId="38" fontId="9" fillId="0" borderId="267" xfId="0" applyNumberFormat="1" applyFont="1" applyFill="1" applyBorder="1" applyAlignment="1">
      <alignment horizontal="right" shrinkToFit="1"/>
    </xf>
    <xf numFmtId="0" fontId="62" fillId="0" borderId="0" xfId="2" applyFont="1" applyFill="1" applyBorder="1" applyAlignment="1">
      <alignment horizontal="right"/>
    </xf>
    <xf numFmtId="0" fontId="62" fillId="0" borderId="0" xfId="2" applyFont="1" applyFill="1" applyBorder="1" applyAlignment="1">
      <alignment horizontal="left"/>
    </xf>
    <xf numFmtId="0" fontId="56" fillId="0" borderId="0" xfId="2" applyFont="1" applyFill="1" applyBorder="1" applyAlignment="1">
      <alignment horizontal="center"/>
    </xf>
    <xf numFmtId="0" fontId="10" fillId="0" borderId="0" xfId="2" applyFont="1" applyFill="1" applyBorder="1" applyAlignment="1">
      <alignment horizontal="left" indent="1" shrinkToFit="1"/>
    </xf>
    <xf numFmtId="0" fontId="10" fillId="0" borderId="0" xfId="10" applyFont="1" applyFill="1" applyBorder="1" applyAlignment="1">
      <alignment horizontal="center"/>
    </xf>
    <xf numFmtId="38" fontId="10" fillId="11" borderId="0" xfId="2" applyNumberFormat="1" applyFont="1" applyFill="1" applyBorder="1" applyAlignment="1">
      <alignment shrinkToFit="1"/>
    </xf>
    <xf numFmtId="0" fontId="10" fillId="0" borderId="0" xfId="0" applyFont="1" applyFill="1" applyBorder="1" applyAlignment="1">
      <alignment horizontal="right" vertical="center" shrinkToFit="1"/>
    </xf>
    <xf numFmtId="0" fontId="10" fillId="0" borderId="89" xfId="2" applyFont="1" applyFill="1" applyBorder="1" applyAlignment="1">
      <alignment horizontal="right"/>
    </xf>
    <xf numFmtId="0" fontId="38" fillId="0" borderId="0" xfId="2" applyFont="1" applyFill="1" applyBorder="1" applyAlignment="1">
      <alignment horizontal="distributed"/>
    </xf>
    <xf numFmtId="0" fontId="10" fillId="20" borderId="130" xfId="2" applyFont="1" applyFill="1" applyBorder="1" applyAlignment="1">
      <alignment horizontal="center" shrinkToFit="1"/>
    </xf>
    <xf numFmtId="0" fontId="10" fillId="20" borderId="97" xfId="2" applyFont="1" applyFill="1" applyBorder="1" applyAlignment="1"/>
    <xf numFmtId="38" fontId="10" fillId="20" borderId="150" xfId="2" applyNumberFormat="1" applyFont="1" applyFill="1" applyBorder="1" applyAlignment="1">
      <alignment horizontal="right"/>
    </xf>
    <xf numFmtId="38" fontId="10" fillId="20" borderId="84" xfId="2" applyNumberFormat="1" applyFont="1" applyFill="1" applyBorder="1" applyAlignment="1">
      <alignment horizontal="right"/>
    </xf>
    <xf numFmtId="38" fontId="10" fillId="14" borderId="23" xfId="2" applyNumberFormat="1" applyFont="1" applyFill="1" applyBorder="1" applyAlignment="1">
      <alignment horizontal="right"/>
    </xf>
    <xf numFmtId="38" fontId="10" fillId="20" borderId="130" xfId="2" applyNumberFormat="1" applyFont="1" applyFill="1" applyBorder="1" applyAlignment="1">
      <alignment horizontal="right"/>
    </xf>
    <xf numFmtId="38" fontId="10" fillId="20" borderId="87" xfId="2" applyNumberFormat="1" applyFont="1" applyFill="1" applyBorder="1" applyAlignment="1">
      <alignment horizontal="right"/>
    </xf>
    <xf numFmtId="38" fontId="10" fillId="14" borderId="84" xfId="2" applyNumberFormat="1" applyFont="1" applyFill="1" applyBorder="1" applyAlignment="1">
      <alignment horizontal="right"/>
    </xf>
    <xf numFmtId="38" fontId="10" fillId="0" borderId="130" xfId="2" applyNumberFormat="1" applyFont="1" applyFill="1" applyBorder="1" applyAlignment="1">
      <alignment horizontal="right"/>
    </xf>
    <xf numFmtId="0" fontId="10" fillId="20" borderId="91" xfId="2" applyFont="1" applyFill="1" applyBorder="1" applyAlignment="1">
      <alignment horizontal="right"/>
    </xf>
    <xf numFmtId="38" fontId="10" fillId="11" borderId="23" xfId="2" applyNumberFormat="1" applyFont="1" applyFill="1" applyBorder="1" applyAlignment="1">
      <alignment horizontal="right" shrinkToFit="1"/>
    </xf>
    <xf numFmtId="0" fontId="10" fillId="0" borderId="0" xfId="2" applyFont="1" applyFill="1" applyBorder="1" applyAlignment="1">
      <alignment horizontal="right" shrinkToFit="1"/>
    </xf>
    <xf numFmtId="38" fontId="10" fillId="0" borderId="91" xfId="2" applyNumberFormat="1" applyFont="1" applyFill="1" applyBorder="1" applyAlignment="1">
      <alignment horizontal="right"/>
    </xf>
    <xf numFmtId="38" fontId="10" fillId="0" borderId="91" xfId="2" applyNumberFormat="1" applyFont="1" applyFill="1" applyBorder="1" applyAlignment="1">
      <alignment horizontal="right" shrinkToFit="1"/>
    </xf>
    <xf numFmtId="0" fontId="10" fillId="0" borderId="167" xfId="2" applyFont="1" applyFill="1" applyBorder="1" applyAlignment="1">
      <alignment shrinkToFit="1"/>
    </xf>
    <xf numFmtId="0" fontId="10" fillId="0" borderId="192" xfId="2" applyFont="1" applyFill="1" applyBorder="1" applyAlignment="1">
      <alignment shrinkToFit="1"/>
    </xf>
    <xf numFmtId="38" fontId="10" fillId="0" borderId="191" xfId="2" applyNumberFormat="1" applyFont="1" applyFill="1" applyBorder="1" applyAlignment="1">
      <alignment horizontal="right"/>
    </xf>
    <xf numFmtId="38" fontId="10" fillId="0" borderId="191" xfId="2" applyNumberFormat="1" applyFont="1" applyFill="1" applyBorder="1" applyAlignment="1">
      <alignment horizontal="right" shrinkToFit="1"/>
    </xf>
    <xf numFmtId="49" fontId="10" fillId="0" borderId="87" xfId="2" applyNumberFormat="1" applyFont="1" applyFill="1" applyBorder="1" applyAlignment="1">
      <alignment horizontal="left" shrinkToFit="1"/>
    </xf>
    <xf numFmtId="38" fontId="10" fillId="0" borderId="87" xfId="2" applyNumberFormat="1" applyFont="1" applyFill="1" applyBorder="1" applyAlignment="1">
      <alignment horizontal="right"/>
    </xf>
    <xf numFmtId="0" fontId="10" fillId="20" borderId="251" xfId="2" applyFont="1" applyFill="1" applyBorder="1" applyAlignment="1">
      <alignment horizontal="center" vertical="center" shrinkToFit="1"/>
    </xf>
    <xf numFmtId="49" fontId="10" fillId="20" borderId="87" xfId="2" applyNumberFormat="1" applyFont="1" applyFill="1" applyBorder="1" applyAlignment="1">
      <alignment horizontal="left" shrinkToFit="1"/>
    </xf>
    <xf numFmtId="193" fontId="10" fillId="0" borderId="252" xfId="2" applyNumberFormat="1" applyFont="1" applyFill="1" applyBorder="1" applyAlignment="1">
      <alignment shrinkToFit="1"/>
    </xf>
    <xf numFmtId="10" fontId="10" fillId="0" borderId="252" xfId="2" applyNumberFormat="1" applyFont="1" applyFill="1" applyBorder="1" applyAlignment="1">
      <alignment horizontal="right" shrinkToFit="1"/>
    </xf>
    <xf numFmtId="38" fontId="10" fillId="0" borderId="252" xfId="2" applyNumberFormat="1" applyFont="1" applyFill="1" applyBorder="1" applyAlignment="1">
      <alignment horizontal="right"/>
    </xf>
    <xf numFmtId="0" fontId="10" fillId="0" borderId="193" xfId="2" applyFont="1" applyFill="1" applyBorder="1" applyAlignment="1">
      <alignment horizontal="right"/>
    </xf>
    <xf numFmtId="0" fontId="10" fillId="0" borderId="194" xfId="2" applyFont="1" applyFill="1" applyBorder="1" applyAlignment="1">
      <alignment horizontal="right"/>
    </xf>
    <xf numFmtId="0" fontId="10" fillId="0" borderId="194" xfId="2" applyFont="1" applyFill="1" applyBorder="1" applyAlignment="1">
      <alignment horizontal="left"/>
    </xf>
    <xf numFmtId="0" fontId="10" fillId="0" borderId="195" xfId="2" applyFont="1" applyFill="1" applyBorder="1" applyAlignment="1">
      <alignment horizontal="left"/>
    </xf>
    <xf numFmtId="0" fontId="10" fillId="0" borderId="195" xfId="2" applyFont="1" applyFill="1" applyBorder="1" applyAlignment="1">
      <alignment horizontal="right"/>
    </xf>
    <xf numFmtId="38" fontId="10" fillId="0" borderId="195" xfId="2" applyNumberFormat="1" applyFont="1" applyFill="1" applyBorder="1" applyAlignment="1">
      <alignment horizontal="right"/>
    </xf>
    <xf numFmtId="38" fontId="10" fillId="0" borderId="195" xfId="2" applyNumberFormat="1" applyFont="1" applyFill="1" applyBorder="1" applyAlignment="1">
      <alignment horizontal="right" shrinkToFit="1"/>
    </xf>
    <xf numFmtId="38" fontId="10" fillId="0" borderId="0" xfId="2" applyNumberFormat="1" applyFont="1" applyFill="1" applyBorder="1" applyAlignment="1">
      <alignment horizontal="right" shrinkToFit="1"/>
    </xf>
    <xf numFmtId="38" fontId="10" fillId="0" borderId="256" xfId="2" applyNumberFormat="1" applyFont="1" applyFill="1" applyBorder="1" applyAlignment="1">
      <alignment horizontal="right"/>
    </xf>
    <xf numFmtId="38" fontId="10" fillId="0" borderId="256" xfId="2" applyNumberFormat="1" applyFont="1" applyFill="1" applyBorder="1" applyAlignment="1">
      <alignment horizontal="right" shrinkToFit="1"/>
    </xf>
    <xf numFmtId="0" fontId="10" fillId="0" borderId="188" xfId="2" applyFont="1" applyFill="1" applyBorder="1" applyAlignment="1">
      <alignment horizontal="center" shrinkToFit="1"/>
    </xf>
    <xf numFmtId="0" fontId="10" fillId="0" borderId="188" xfId="2" applyFont="1" applyFill="1" applyBorder="1" applyAlignment="1">
      <alignment horizontal="right" shrinkToFit="1"/>
    </xf>
    <xf numFmtId="0" fontId="10" fillId="0" borderId="91" xfId="2" applyFont="1" applyFill="1" applyBorder="1" applyAlignment="1">
      <alignment horizontal="center" shrinkToFit="1"/>
    </xf>
    <xf numFmtId="38" fontId="10" fillId="0" borderId="257" xfId="2" applyNumberFormat="1" applyFont="1" applyFill="1" applyBorder="1" applyAlignment="1">
      <alignment horizontal="right"/>
    </xf>
    <xf numFmtId="38" fontId="10" fillId="0" borderId="192" xfId="10" applyNumberFormat="1" applyFont="1" applyFill="1" applyBorder="1" applyAlignment="1">
      <alignment horizontal="right"/>
    </xf>
    <xf numFmtId="38" fontId="10" fillId="0" borderId="189" xfId="2" applyNumberFormat="1" applyFont="1" applyFill="1" applyBorder="1" applyAlignment="1">
      <alignment horizontal="right"/>
    </xf>
    <xf numFmtId="38" fontId="10" fillId="0" borderId="130" xfId="10" applyNumberFormat="1" applyFont="1" applyFill="1" applyBorder="1" applyAlignment="1">
      <alignment horizontal="right"/>
    </xf>
    <xf numFmtId="38" fontId="10" fillId="0" borderId="84" xfId="2" applyNumberFormat="1" applyFont="1" applyFill="1" applyBorder="1" applyAlignment="1">
      <alignment horizontal="right"/>
    </xf>
    <xf numFmtId="38" fontId="10" fillId="0" borderId="252" xfId="2" applyNumberFormat="1" applyFont="1" applyFill="1" applyBorder="1" applyAlignment="1">
      <alignment horizontal="right" shrinkToFit="1"/>
    </xf>
    <xf numFmtId="176" fontId="10" fillId="0" borderId="130" xfId="2" applyNumberFormat="1" applyFont="1" applyFill="1" applyBorder="1" applyAlignment="1">
      <alignment horizontal="right" shrinkToFit="1"/>
    </xf>
    <xf numFmtId="176" fontId="10" fillId="0" borderId="189" xfId="2" applyNumberFormat="1" applyFont="1" applyFill="1" applyBorder="1" applyAlignment="1">
      <alignment horizontal="right" shrinkToFit="1"/>
    </xf>
    <xf numFmtId="0" fontId="10" fillId="28" borderId="0" xfId="2" applyFont="1" applyFill="1" applyBorder="1" applyAlignment="1"/>
    <xf numFmtId="0" fontId="9" fillId="28" borderId="197" xfId="0" applyFont="1" applyFill="1" applyBorder="1" applyAlignment="1">
      <alignment horizontal="right"/>
    </xf>
    <xf numFmtId="0" fontId="9" fillId="28" borderId="198" xfId="0" applyFont="1" applyFill="1" applyBorder="1" applyAlignment="1">
      <alignment horizontal="left"/>
    </xf>
    <xf numFmtId="38" fontId="9" fillId="28" borderId="205" xfId="0" applyNumberFormat="1" applyFont="1" applyFill="1" applyBorder="1" applyAlignment="1">
      <alignment horizontal="right"/>
    </xf>
    <xf numFmtId="0" fontId="51" fillId="14" borderId="0" xfId="0" applyFont="1" applyFill="1" applyBorder="1" applyAlignment="1">
      <alignment horizontal="right"/>
    </xf>
    <xf numFmtId="0" fontId="10" fillId="0" borderId="0" xfId="2" applyFont="1" applyFill="1" applyBorder="1" applyAlignment="1">
      <alignment horizontal="left" vertical="center"/>
    </xf>
    <xf numFmtId="0" fontId="15" fillId="0" borderId="0" xfId="2" applyFont="1" applyFill="1" applyBorder="1" applyAlignment="1">
      <alignment horizontal="center" vertical="center"/>
    </xf>
    <xf numFmtId="38" fontId="51" fillId="14" borderId="0" xfId="0" applyNumberFormat="1" applyFont="1" applyFill="1" applyBorder="1" applyAlignment="1">
      <alignment horizontal="center"/>
    </xf>
    <xf numFmtId="0" fontId="23" fillId="0" borderId="0" xfId="0" applyFont="1" applyBorder="1" applyAlignment="1">
      <alignment horizontal="right" vertical="center"/>
    </xf>
    <xf numFmtId="0" fontId="31" fillId="0" borderId="13" xfId="0" applyFont="1" applyFill="1" applyBorder="1" applyProtection="1">
      <protection locked="0"/>
    </xf>
    <xf numFmtId="38" fontId="10" fillId="0" borderId="97" xfId="2" applyNumberFormat="1" applyFont="1" applyFill="1" applyBorder="1" applyAlignment="1">
      <alignment horizontal="right" vertical="center" shrinkToFit="1"/>
    </xf>
    <xf numFmtId="0" fontId="33" fillId="0" borderId="23" xfId="2" applyFont="1" applyFill="1" applyBorder="1" applyAlignment="1">
      <alignment horizontal="left" shrinkToFit="1"/>
    </xf>
    <xf numFmtId="0" fontId="10" fillId="0" borderId="89" xfId="2" applyFont="1" applyFill="1" applyBorder="1" applyAlignment="1">
      <alignment horizontal="center" shrinkToFit="1"/>
    </xf>
    <xf numFmtId="38" fontId="10" fillId="22" borderId="272" xfId="2" applyNumberFormat="1" applyFont="1" applyFill="1" applyBorder="1" applyAlignment="1">
      <alignment horizontal="center" shrinkToFit="1"/>
    </xf>
    <xf numFmtId="38" fontId="10" fillId="22" borderId="271" xfId="2" applyNumberFormat="1" applyFont="1" applyFill="1" applyBorder="1" applyAlignment="1">
      <alignment horizontal="center" vertical="center" shrinkToFit="1"/>
    </xf>
    <xf numFmtId="0" fontId="10" fillId="0" borderId="273" xfId="2" applyFont="1" applyFill="1" applyBorder="1" applyAlignment="1">
      <alignment horizontal="right"/>
    </xf>
    <xf numFmtId="0" fontId="10" fillId="0" borderId="274" xfId="2" applyFont="1" applyFill="1" applyBorder="1" applyAlignment="1">
      <alignment horizontal="right"/>
    </xf>
    <xf numFmtId="0" fontId="10" fillId="0" borderId="274" xfId="2" applyFont="1" applyFill="1" applyBorder="1" applyAlignment="1">
      <alignment horizontal="left"/>
    </xf>
    <xf numFmtId="0" fontId="10" fillId="0" borderId="272" xfId="2" applyFont="1" applyFill="1" applyBorder="1" applyAlignment="1">
      <alignment horizontal="left"/>
    </xf>
    <xf numFmtId="0" fontId="10" fillId="0" borderId="272" xfId="2" applyFont="1" applyFill="1" applyBorder="1" applyAlignment="1">
      <alignment horizontal="right"/>
    </xf>
    <xf numFmtId="38" fontId="10" fillId="0" borderId="272" xfId="2" applyNumberFormat="1" applyFont="1" applyFill="1" applyBorder="1" applyAlignment="1">
      <alignment horizontal="right"/>
    </xf>
    <xf numFmtId="38" fontId="10" fillId="0" borderId="272" xfId="2" applyNumberFormat="1" applyFont="1" applyFill="1" applyBorder="1" applyAlignment="1">
      <alignment horizontal="right" shrinkToFit="1"/>
    </xf>
    <xf numFmtId="0" fontId="10" fillId="0" borderId="272" xfId="2" applyFont="1" applyFill="1" applyBorder="1" applyAlignment="1">
      <alignment horizontal="right" shrinkToFit="1"/>
    </xf>
    <xf numFmtId="176" fontId="10" fillId="0" borderId="272" xfId="2" applyNumberFormat="1" applyFont="1" applyFill="1" applyBorder="1" applyAlignment="1">
      <alignment shrinkToFit="1"/>
    </xf>
    <xf numFmtId="0" fontId="10" fillId="0" borderId="273" xfId="2" applyFont="1" applyFill="1" applyBorder="1" applyAlignment="1"/>
    <xf numFmtId="0" fontId="10" fillId="0" borderId="274" xfId="2" applyFont="1" applyFill="1" applyBorder="1" applyAlignment="1"/>
    <xf numFmtId="0" fontId="10" fillId="0" borderId="272" xfId="2" applyFont="1" applyFill="1" applyBorder="1" applyAlignment="1"/>
    <xf numFmtId="38" fontId="10" fillId="0" borderId="272" xfId="2" applyNumberFormat="1" applyFont="1" applyFill="1" applyBorder="1" applyAlignment="1"/>
    <xf numFmtId="38" fontId="10" fillId="0" borderId="272" xfId="2" applyNumberFormat="1" applyFont="1" applyFill="1" applyBorder="1" applyAlignment="1">
      <alignment shrinkToFit="1"/>
    </xf>
    <xf numFmtId="38" fontId="10" fillId="28" borderId="130" xfId="2" applyNumberFormat="1" applyFont="1" applyFill="1" applyBorder="1" applyAlignment="1">
      <alignment horizontal="right"/>
    </xf>
    <xf numFmtId="0" fontId="44" fillId="14" borderId="0" xfId="5" applyFont="1" applyFill="1" applyBorder="1">
      <alignment vertical="center"/>
    </xf>
    <xf numFmtId="0" fontId="44" fillId="14" borderId="268" xfId="5" applyFont="1" applyFill="1" applyBorder="1">
      <alignment vertical="center"/>
    </xf>
    <xf numFmtId="0" fontId="9" fillId="26" borderId="0" xfId="0" applyFont="1" applyFill="1" applyAlignment="1">
      <alignment vertical="center"/>
    </xf>
    <xf numFmtId="0" fontId="19" fillId="0" borderId="278" xfId="0" applyFont="1" applyBorder="1" applyAlignment="1" applyProtection="1">
      <alignment vertical="center"/>
      <protection locked="0"/>
    </xf>
    <xf numFmtId="0" fontId="19" fillId="0" borderId="279" xfId="0" applyFont="1" applyBorder="1" applyAlignment="1" applyProtection="1">
      <alignment vertical="center" wrapText="1"/>
      <protection locked="0"/>
    </xf>
    <xf numFmtId="186" fontId="19" fillId="0" borderId="279" xfId="0" applyNumberFormat="1" applyFont="1" applyBorder="1" applyAlignment="1" applyProtection="1">
      <alignment vertical="center"/>
      <protection locked="0"/>
    </xf>
    <xf numFmtId="0" fontId="19" fillId="0" borderId="279" xfId="0" applyFont="1" applyBorder="1" applyAlignment="1" applyProtection="1">
      <alignment horizontal="center" vertical="center"/>
      <protection locked="0"/>
    </xf>
    <xf numFmtId="0" fontId="19" fillId="0" borderId="280" xfId="0" applyFont="1" applyBorder="1" applyAlignment="1" applyProtection="1">
      <alignment vertical="center"/>
      <protection locked="0"/>
    </xf>
    <xf numFmtId="0" fontId="19" fillId="0" borderId="277" xfId="0" applyFont="1" applyBorder="1" applyAlignment="1" applyProtection="1">
      <alignment horizontal="right" vertical="center"/>
      <protection locked="0"/>
    </xf>
    <xf numFmtId="186" fontId="19" fillId="0" borderId="279" xfId="0" applyNumberFormat="1" applyFont="1" applyBorder="1" applyAlignment="1" applyProtection="1">
      <alignment vertical="center" shrinkToFit="1"/>
      <protection locked="0"/>
    </xf>
    <xf numFmtId="177" fontId="19" fillId="0" borderId="279" xfId="0" applyNumberFormat="1" applyFont="1" applyBorder="1" applyAlignment="1" applyProtection="1">
      <alignment vertical="center" shrinkToFit="1"/>
      <protection locked="0"/>
    </xf>
    <xf numFmtId="182" fontId="17" fillId="0" borderId="277" xfId="0" applyNumberFormat="1" applyFont="1" applyBorder="1" applyAlignment="1" applyProtection="1">
      <alignment vertical="center"/>
      <protection locked="0"/>
    </xf>
    <xf numFmtId="0" fontId="19" fillId="0" borderId="279" xfId="0" applyFont="1" applyBorder="1" applyAlignment="1" applyProtection="1">
      <alignment horizontal="center" vertical="center" shrinkToFit="1"/>
      <protection locked="0"/>
    </xf>
    <xf numFmtId="38" fontId="14" fillId="0" borderId="279" xfId="0" applyNumberFormat="1" applyFont="1" applyBorder="1" applyAlignment="1" applyProtection="1">
      <alignment horizontal="right" vertical="top" shrinkToFit="1"/>
      <protection locked="0"/>
    </xf>
    <xf numFmtId="38" fontId="19" fillId="0" borderId="279" xfId="0" applyNumberFormat="1" applyFont="1" applyBorder="1" applyAlignment="1" applyProtection="1">
      <alignment vertical="center" shrinkToFit="1"/>
      <protection locked="0"/>
    </xf>
    <xf numFmtId="0" fontId="19" fillId="0" borderId="278" xfId="0" applyFont="1" applyBorder="1" applyAlignment="1" applyProtection="1">
      <alignment vertical="center" shrinkToFit="1"/>
      <protection locked="0"/>
    </xf>
    <xf numFmtId="0" fontId="19" fillId="0" borderId="279" xfId="0" applyFont="1" applyBorder="1" applyAlignment="1" applyProtection="1">
      <alignment vertical="center" shrinkToFit="1"/>
      <protection locked="0"/>
    </xf>
    <xf numFmtId="38" fontId="14" fillId="0" borderId="279" xfId="0" applyNumberFormat="1" applyFont="1" applyBorder="1" applyAlignment="1" applyProtection="1">
      <alignment horizontal="right" vertical="top"/>
      <protection locked="0"/>
    </xf>
    <xf numFmtId="49" fontId="44" fillId="14" borderId="268" xfId="5" applyNumberFormat="1" applyFont="1" applyFill="1" applyBorder="1">
      <alignment vertical="center"/>
    </xf>
    <xf numFmtId="55" fontId="29" fillId="0" borderId="227" xfId="0" applyNumberFormat="1" applyFont="1" applyBorder="1" applyAlignment="1" applyProtection="1">
      <alignment vertical="center" wrapText="1"/>
    </xf>
    <xf numFmtId="0" fontId="9" fillId="26" borderId="0" xfId="0" applyFont="1" applyFill="1" applyAlignment="1">
      <alignment horizontal="right" vertical="center"/>
    </xf>
    <xf numFmtId="0" fontId="9" fillId="0" borderId="283" xfId="0" applyFont="1" applyFill="1" applyBorder="1" applyAlignment="1">
      <alignment horizontal="right"/>
    </xf>
    <xf numFmtId="38" fontId="9" fillId="0" borderId="281" xfId="0" applyNumberFormat="1" applyFont="1" applyFill="1" applyBorder="1" applyAlignment="1">
      <alignment horizontal="right" shrinkToFit="1"/>
    </xf>
    <xf numFmtId="38" fontId="9" fillId="0" borderId="282" xfId="0" applyNumberFormat="1" applyFont="1" applyFill="1" applyBorder="1" applyAlignment="1">
      <alignment horizontal="right" shrinkToFit="1"/>
    </xf>
    <xf numFmtId="0" fontId="9" fillId="0" borderId="282" xfId="0" applyFont="1" applyFill="1" applyBorder="1" applyAlignment="1">
      <alignment horizontal="right"/>
    </xf>
    <xf numFmtId="38" fontId="9" fillId="0" borderId="206" xfId="0" applyNumberFormat="1" applyFont="1" applyFill="1" applyBorder="1" applyAlignment="1">
      <alignment horizontal="right"/>
    </xf>
    <xf numFmtId="0" fontId="9" fillId="0" borderId="0" xfId="0" applyFont="1" applyFill="1" applyBorder="1" applyAlignment="1">
      <alignment horizontal="center" shrinkToFit="1"/>
    </xf>
    <xf numFmtId="0" fontId="19" fillId="0" borderId="15" xfId="0" applyFont="1" applyFill="1" applyBorder="1" applyAlignment="1">
      <alignment horizontal="right"/>
    </xf>
    <xf numFmtId="0" fontId="10" fillId="0" borderId="15" xfId="2" applyFont="1" applyFill="1" applyBorder="1" applyAlignment="1">
      <alignment horizontal="center"/>
    </xf>
    <xf numFmtId="0" fontId="17" fillId="0" borderId="15" xfId="0" applyFont="1" applyFill="1" applyBorder="1" applyAlignment="1">
      <alignment horizontal="left"/>
    </xf>
    <xf numFmtId="0" fontId="19" fillId="0" borderId="132" xfId="0" applyFont="1" applyFill="1" applyBorder="1" applyAlignment="1">
      <alignment horizontal="center" shrinkToFit="1"/>
    </xf>
    <xf numFmtId="0" fontId="10" fillId="0" borderId="11" xfId="2" applyFont="1" applyFill="1" applyBorder="1" applyAlignment="1">
      <alignment horizontal="center"/>
    </xf>
    <xf numFmtId="0" fontId="19" fillId="0" borderId="11" xfId="0" applyFont="1" applyFill="1" applyBorder="1" applyAlignment="1">
      <alignment horizontal="center" shrinkToFit="1"/>
    </xf>
    <xf numFmtId="0" fontId="19" fillId="22" borderId="132" xfId="0" applyFont="1" applyFill="1" applyBorder="1" applyAlignment="1">
      <alignment horizontal="center" shrinkToFit="1"/>
    </xf>
    <xf numFmtId="38" fontId="9" fillId="0" borderId="132" xfId="0" applyNumberFormat="1" applyFont="1" applyFill="1" applyBorder="1" applyAlignment="1">
      <alignment horizontal="right" shrinkToFit="1"/>
    </xf>
    <xf numFmtId="38" fontId="9" fillId="0" borderId="285" xfId="0" applyNumberFormat="1" applyFont="1" applyFill="1" applyBorder="1" applyAlignment="1">
      <alignment horizontal="right" shrinkToFit="1"/>
    </xf>
    <xf numFmtId="38" fontId="9" fillId="0" borderId="203" xfId="4" applyFont="1" applyFill="1" applyBorder="1" applyAlignment="1">
      <alignment horizontal="right"/>
    </xf>
    <xf numFmtId="38" fontId="9" fillId="0" borderId="286" xfId="4" applyFont="1" applyFill="1" applyBorder="1" applyAlignment="1">
      <alignment horizontal="right"/>
    </xf>
    <xf numFmtId="38" fontId="9" fillId="0" borderId="92" xfId="4" applyFont="1" applyFill="1" applyBorder="1" applyAlignment="1">
      <alignment horizontal="right"/>
    </xf>
    <xf numFmtId="38" fontId="9" fillId="0" borderId="287" xfId="4" applyFont="1" applyFill="1" applyBorder="1" applyAlignment="1">
      <alignment horizontal="right"/>
    </xf>
    <xf numFmtId="38" fontId="9" fillId="0" borderId="92" xfId="0" applyNumberFormat="1" applyFont="1" applyFill="1" applyBorder="1" applyAlignment="1">
      <alignment horizontal="right" shrinkToFit="1"/>
    </xf>
    <xf numFmtId="38" fontId="9" fillId="0" borderId="287" xfId="0" applyNumberFormat="1" applyFont="1" applyFill="1" applyBorder="1" applyAlignment="1">
      <alignment horizontal="right" shrinkToFit="1"/>
    </xf>
    <xf numFmtId="38" fontId="9" fillId="0" borderId="286" xfId="0" applyNumberFormat="1" applyFont="1" applyFill="1" applyBorder="1" applyAlignment="1">
      <alignment horizontal="right" shrinkToFit="1"/>
    </xf>
    <xf numFmtId="38" fontId="9" fillId="0" borderId="289" xfId="0" applyNumberFormat="1" applyFont="1" applyFill="1" applyBorder="1" applyAlignment="1">
      <alignment horizontal="center" shrinkToFit="1"/>
    </xf>
    <xf numFmtId="38" fontId="9" fillId="22" borderId="204" xfId="0" applyNumberFormat="1" applyFont="1" applyFill="1" applyBorder="1" applyAlignment="1">
      <alignment horizontal="center" shrinkToFit="1"/>
    </xf>
    <xf numFmtId="38" fontId="9" fillId="27" borderId="287" xfId="0" applyNumberFormat="1" applyFont="1" applyFill="1" applyBorder="1" applyAlignment="1">
      <alignment horizontal="right" shrinkToFit="1"/>
    </xf>
    <xf numFmtId="38" fontId="9" fillId="14" borderId="132" xfId="0" applyNumberFormat="1" applyFont="1" applyFill="1" applyBorder="1" applyAlignment="1">
      <alignment horizontal="right" shrinkToFit="1"/>
    </xf>
    <xf numFmtId="38" fontId="9" fillId="0" borderId="204" xfId="0" applyNumberFormat="1" applyFont="1" applyFill="1" applyBorder="1" applyAlignment="1">
      <alignment horizontal="center" shrinkToFit="1"/>
    </xf>
    <xf numFmtId="38" fontId="9" fillId="27" borderId="288" xfId="0" applyNumberFormat="1" applyFont="1" applyFill="1" applyBorder="1" applyAlignment="1">
      <alignment horizontal="right" shrinkToFit="1"/>
    </xf>
    <xf numFmtId="38" fontId="9" fillId="14" borderId="289" xfId="0" applyNumberFormat="1" applyFont="1" applyFill="1" applyBorder="1" applyAlignment="1">
      <alignment horizontal="center" shrinkToFit="1"/>
    </xf>
    <xf numFmtId="38" fontId="9" fillId="14" borderId="290" xfId="0" applyNumberFormat="1" applyFont="1" applyFill="1" applyBorder="1" applyAlignment="1">
      <alignment horizontal="right" shrinkToFit="1"/>
    </xf>
    <xf numFmtId="38" fontId="9" fillId="14" borderId="291" xfId="0" applyNumberFormat="1" applyFont="1" applyFill="1" applyBorder="1" applyAlignment="1">
      <alignment horizontal="right" shrinkToFit="1"/>
    </xf>
    <xf numFmtId="0" fontId="9" fillId="0" borderId="287" xfId="0" applyFont="1" applyFill="1" applyBorder="1" applyAlignment="1">
      <alignment horizontal="right"/>
    </xf>
    <xf numFmtId="0" fontId="9" fillId="0" borderId="204" xfId="0" applyFont="1" applyFill="1" applyBorder="1" applyAlignment="1">
      <alignment horizontal="right"/>
    </xf>
    <xf numFmtId="0" fontId="9" fillId="0" borderId="286" xfId="0" applyFont="1" applyFill="1" applyBorder="1" applyAlignment="1">
      <alignment horizontal="right"/>
    </xf>
    <xf numFmtId="38" fontId="9" fillId="26" borderId="290" xfId="0" applyNumberFormat="1" applyFont="1" applyFill="1" applyBorder="1" applyAlignment="1">
      <alignment horizontal="right" shrinkToFit="1"/>
    </xf>
    <xf numFmtId="38" fontId="9" fillId="14" borderId="287" xfId="0" applyNumberFormat="1" applyFont="1" applyFill="1" applyBorder="1" applyAlignment="1">
      <alignment horizontal="right" shrinkToFit="1"/>
    </xf>
    <xf numFmtId="38" fontId="9" fillId="23" borderId="201" xfId="0" applyNumberFormat="1" applyFont="1" applyFill="1" applyBorder="1" applyAlignment="1">
      <alignment horizontal="right"/>
    </xf>
    <xf numFmtId="38" fontId="9" fillId="28" borderId="290" xfId="0" applyNumberFormat="1" applyFont="1" applyFill="1" applyBorder="1" applyAlignment="1">
      <alignment horizontal="right"/>
    </xf>
    <xf numFmtId="38" fontId="9" fillId="0" borderId="291" xfId="0" applyNumberFormat="1" applyFont="1" applyFill="1" applyBorder="1" applyAlignment="1">
      <alignment horizontal="right"/>
    </xf>
    <xf numFmtId="0" fontId="9" fillId="14" borderId="293" xfId="0" applyFont="1" applyFill="1" applyBorder="1" applyAlignment="1"/>
    <xf numFmtId="0" fontId="38" fillId="14" borderId="293" xfId="0" applyFont="1" applyFill="1" applyBorder="1" applyAlignment="1"/>
    <xf numFmtId="0" fontId="9" fillId="14" borderId="295" xfId="0" applyFont="1" applyFill="1" applyBorder="1" applyAlignment="1"/>
    <xf numFmtId="0" fontId="38" fillId="14" borderId="295" xfId="0" applyFont="1" applyFill="1" applyBorder="1" applyAlignment="1"/>
    <xf numFmtId="0" fontId="9" fillId="0" borderId="296" xfId="0" applyFont="1" applyFill="1" applyBorder="1" applyAlignment="1">
      <alignment horizontal="right"/>
    </xf>
    <xf numFmtId="0" fontId="9" fillId="0" borderId="296" xfId="0" applyFont="1" applyFill="1" applyBorder="1" applyAlignment="1">
      <alignment horizontal="right" shrinkToFit="1"/>
    </xf>
    <xf numFmtId="0" fontId="9" fillId="14" borderId="226" xfId="0" applyFont="1" applyFill="1" applyBorder="1" applyAlignment="1"/>
    <xf numFmtId="0" fontId="38" fillId="14" borderId="226" xfId="0" applyFont="1" applyFill="1" applyBorder="1" applyAlignment="1"/>
    <xf numFmtId="0" fontId="40" fillId="0" borderId="14" xfId="0" applyFont="1" applyFill="1" applyBorder="1" applyAlignment="1">
      <alignment horizontal="right"/>
    </xf>
    <xf numFmtId="49" fontId="9" fillId="14" borderId="297" xfId="0" applyNumberFormat="1" applyFont="1" applyFill="1" applyBorder="1" applyAlignment="1">
      <alignment horizontal="right"/>
    </xf>
    <xf numFmtId="49" fontId="9" fillId="14" borderId="298" xfId="0" applyNumberFormat="1" applyFont="1" applyFill="1" applyBorder="1" applyAlignment="1">
      <alignment horizontal="right"/>
    </xf>
    <xf numFmtId="0" fontId="9" fillId="14" borderId="226" xfId="0" applyFont="1" applyFill="1" applyBorder="1" applyAlignment="1">
      <alignment horizontal="left"/>
    </xf>
    <xf numFmtId="0" fontId="9" fillId="14" borderId="226" xfId="0" applyFont="1" applyFill="1" applyBorder="1" applyAlignment="1">
      <alignment horizontal="center"/>
    </xf>
    <xf numFmtId="0" fontId="9" fillId="14" borderId="226" xfId="0" applyFont="1" applyFill="1" applyBorder="1" applyAlignment="1">
      <alignment horizontal="left" shrinkToFit="1"/>
    </xf>
    <xf numFmtId="49" fontId="9" fillId="14" borderId="297" xfId="0" applyNumberFormat="1" applyFont="1" applyFill="1" applyBorder="1" applyAlignment="1">
      <alignment horizontal="right" vertical="center"/>
    </xf>
    <xf numFmtId="0" fontId="9" fillId="14" borderId="226" xfId="0" applyFont="1" applyFill="1" applyBorder="1" applyAlignment="1">
      <alignment horizontal="left" vertical="center" shrinkToFit="1"/>
    </xf>
    <xf numFmtId="0" fontId="9" fillId="14" borderId="226" xfId="0" applyFont="1" applyFill="1" applyBorder="1" applyAlignment="1">
      <alignment horizontal="right"/>
    </xf>
    <xf numFmtId="49" fontId="9" fillId="0" borderId="297" xfId="0" applyNumberFormat="1" applyFont="1" applyFill="1" applyBorder="1" applyAlignment="1">
      <alignment horizontal="right"/>
    </xf>
    <xf numFmtId="0" fontId="9" fillId="0" borderId="226" xfId="0" applyFont="1" applyFill="1" applyBorder="1" applyAlignment="1">
      <alignment horizontal="left"/>
    </xf>
    <xf numFmtId="0" fontId="9" fillId="0" borderId="226" xfId="0" applyFont="1" applyFill="1" applyBorder="1" applyAlignment="1">
      <alignment horizontal="center"/>
    </xf>
    <xf numFmtId="0" fontId="9" fillId="0" borderId="226" xfId="0" applyFont="1" applyFill="1" applyBorder="1" applyAlignment="1">
      <alignment horizontal="center" shrinkToFit="1"/>
    </xf>
    <xf numFmtId="49" fontId="9" fillId="14" borderId="248" xfId="0" applyNumberFormat="1" applyFont="1" applyFill="1" applyBorder="1" applyAlignment="1">
      <alignment horizontal="right"/>
    </xf>
    <xf numFmtId="0" fontId="9" fillId="14" borderId="270" xfId="0" applyFont="1" applyFill="1" applyBorder="1" applyAlignment="1">
      <alignment horizontal="left"/>
    </xf>
    <xf numFmtId="0" fontId="9" fillId="14" borderId="270" xfId="0" applyFont="1" applyFill="1" applyBorder="1" applyAlignment="1">
      <alignment horizontal="center"/>
    </xf>
    <xf numFmtId="0" fontId="9" fillId="14" borderId="293" xfId="0" applyFont="1" applyFill="1" applyBorder="1" applyAlignment="1">
      <alignment horizontal="left"/>
    </xf>
    <xf numFmtId="0" fontId="9" fillId="14" borderId="293" xfId="0" applyFont="1" applyFill="1" applyBorder="1" applyAlignment="1">
      <alignment horizontal="center"/>
    </xf>
    <xf numFmtId="0" fontId="9" fillId="0" borderId="190" xfId="0" applyFont="1" applyFill="1" applyBorder="1" applyAlignment="1">
      <alignment horizontal="right"/>
    </xf>
    <xf numFmtId="0" fontId="9" fillId="14" borderId="297" xfId="0" applyFont="1" applyFill="1" applyBorder="1" applyAlignment="1"/>
    <xf numFmtId="0" fontId="9" fillId="0" borderId="226" xfId="0" applyFont="1" applyFill="1" applyBorder="1" applyAlignment="1">
      <alignment horizontal="left" shrinkToFit="1"/>
    </xf>
    <xf numFmtId="0" fontId="9" fillId="0" borderId="227" xfId="0" applyFont="1" applyFill="1" applyBorder="1" applyAlignment="1">
      <alignment horizontal="left"/>
    </xf>
    <xf numFmtId="0" fontId="9" fillId="14" borderId="298" xfId="0" applyFont="1" applyFill="1" applyBorder="1" applyAlignment="1">
      <alignment vertical="center"/>
    </xf>
    <xf numFmtId="0" fontId="9" fillId="14" borderId="298" xfId="0" quotePrefix="1" applyFont="1" applyFill="1" applyBorder="1" applyAlignment="1">
      <alignment vertical="center"/>
    </xf>
    <xf numFmtId="0" fontId="9" fillId="0" borderId="298" xfId="0" applyFont="1" applyFill="1" applyBorder="1" applyAlignment="1"/>
    <xf numFmtId="0" fontId="19" fillId="0" borderId="190" xfId="0" applyFont="1" applyFill="1" applyBorder="1" applyAlignment="1">
      <alignment horizontal="right"/>
    </xf>
    <xf numFmtId="0" fontId="9" fillId="0" borderId="298" xfId="0" applyFont="1" applyFill="1" applyBorder="1" applyAlignment="1">
      <alignment horizontal="left" shrinkToFit="1"/>
    </xf>
    <xf numFmtId="0" fontId="10" fillId="0" borderId="298" xfId="0" applyFont="1" applyFill="1" applyBorder="1" applyAlignment="1">
      <alignment horizontal="left"/>
    </xf>
    <xf numFmtId="0" fontId="10" fillId="0" borderId="298" xfId="0" applyFont="1" applyFill="1" applyBorder="1" applyAlignment="1">
      <alignment horizontal="left" shrinkToFit="1"/>
    </xf>
    <xf numFmtId="0" fontId="9" fillId="14" borderId="298" xfId="0" applyFont="1" applyFill="1" applyBorder="1" applyAlignment="1">
      <alignment horizontal="left" shrinkToFit="1"/>
    </xf>
    <xf numFmtId="0" fontId="10" fillId="14" borderId="298" xfId="0" applyFont="1" applyFill="1" applyBorder="1" applyAlignment="1">
      <alignment horizontal="left"/>
    </xf>
    <xf numFmtId="0" fontId="10" fillId="14" borderId="298" xfId="0" applyFont="1" applyFill="1" applyBorder="1" applyAlignment="1">
      <alignment horizontal="left" shrinkToFit="1"/>
    </xf>
    <xf numFmtId="0" fontId="9" fillId="0" borderId="298" xfId="0" applyFont="1" applyFill="1" applyBorder="1" applyAlignment="1">
      <alignment horizontal="left"/>
    </xf>
    <xf numFmtId="0" fontId="9" fillId="0" borderId="298" xfId="0" applyFont="1" applyFill="1" applyBorder="1" applyAlignment="1">
      <alignment horizontal="center"/>
    </xf>
    <xf numFmtId="0" fontId="9" fillId="0" borderId="297" xfId="0" applyFont="1" applyFill="1" applyBorder="1" applyAlignment="1">
      <alignment horizontal="left" shrinkToFit="1"/>
    </xf>
    <xf numFmtId="0" fontId="9" fillId="0" borderId="294" xfId="0" applyFont="1" applyFill="1" applyBorder="1" applyAlignment="1">
      <alignment horizontal="left"/>
    </xf>
    <xf numFmtId="0" fontId="10" fillId="0" borderId="297" xfId="0" applyFont="1" applyFill="1" applyBorder="1" applyAlignment="1">
      <alignment horizontal="left" shrinkToFit="1"/>
    </xf>
    <xf numFmtId="0" fontId="9" fillId="14" borderId="297" xfId="0" applyFont="1" applyFill="1" applyBorder="1" applyAlignment="1">
      <alignment horizontal="left"/>
    </xf>
    <xf numFmtId="0" fontId="9" fillId="0" borderId="297" xfId="0" applyFont="1" applyFill="1" applyBorder="1" applyAlignment="1"/>
    <xf numFmtId="0" fontId="9" fillId="0" borderId="297" xfId="0" applyFont="1" applyFill="1" applyBorder="1" applyAlignment="1">
      <alignment horizontal="left"/>
    </xf>
    <xf numFmtId="0" fontId="9" fillId="0" borderId="298" xfId="0" applyFont="1" applyFill="1" applyBorder="1" applyAlignment="1">
      <alignment vertical="center"/>
    </xf>
    <xf numFmtId="0" fontId="9" fillId="14" borderId="298" xfId="0" quotePrefix="1" applyFont="1" applyFill="1" applyBorder="1" applyAlignment="1">
      <alignment horizontal="left" vertical="center"/>
    </xf>
    <xf numFmtId="0" fontId="9" fillId="14" borderId="298" xfId="0" applyFont="1" applyFill="1" applyBorder="1" applyAlignment="1">
      <alignment horizontal="left"/>
    </xf>
    <xf numFmtId="0" fontId="9" fillId="0" borderId="298" xfId="0" quotePrefix="1" applyFont="1" applyFill="1" applyBorder="1" applyAlignment="1">
      <alignment vertical="center"/>
    </xf>
    <xf numFmtId="0" fontId="24" fillId="0" borderId="132" xfId="0" applyFont="1" applyFill="1" applyBorder="1" applyAlignment="1">
      <alignment horizontal="center" vertical="center" shrinkToFit="1"/>
    </xf>
    <xf numFmtId="0" fontId="19" fillId="14" borderId="299" xfId="0" applyFont="1" applyFill="1" applyBorder="1" applyAlignment="1">
      <alignment horizontal="right"/>
    </xf>
    <xf numFmtId="0" fontId="9" fillId="14" borderId="299" xfId="0" applyFont="1" applyFill="1" applyBorder="1" applyAlignment="1">
      <alignment horizontal="center"/>
    </xf>
    <xf numFmtId="0" fontId="9" fillId="14" borderId="300" xfId="0" applyFont="1" applyFill="1" applyBorder="1" applyAlignment="1">
      <alignment horizontal="right"/>
    </xf>
    <xf numFmtId="0" fontId="9" fillId="0" borderId="179" xfId="0" applyFont="1" applyFill="1" applyBorder="1" applyAlignment="1">
      <alignment horizontal="right"/>
    </xf>
    <xf numFmtId="0" fontId="9" fillId="0" borderId="85" xfId="0" applyFont="1" applyFill="1" applyBorder="1" applyAlignment="1">
      <alignment horizontal="right"/>
    </xf>
    <xf numFmtId="0" fontId="9" fillId="0" borderId="225" xfId="0" applyFont="1" applyFill="1" applyBorder="1" applyAlignment="1">
      <alignment horizontal="right"/>
    </xf>
    <xf numFmtId="0" fontId="9" fillId="14" borderId="225" xfId="0" applyFont="1" applyFill="1" applyBorder="1" applyAlignment="1">
      <alignment horizontal="right"/>
    </xf>
    <xf numFmtId="0" fontId="9" fillId="14" borderId="296" xfId="0" applyFont="1" applyFill="1" applyBorder="1" applyAlignment="1">
      <alignment horizontal="right"/>
    </xf>
    <xf numFmtId="0" fontId="9" fillId="14" borderId="95" xfId="0" applyFont="1" applyFill="1" applyBorder="1" applyAlignment="1">
      <alignment horizontal="center"/>
    </xf>
    <xf numFmtId="0" fontId="9" fillId="14" borderId="301" xfId="0" applyFont="1" applyFill="1" applyBorder="1" applyAlignment="1">
      <alignment horizontal="center"/>
    </xf>
    <xf numFmtId="0" fontId="0" fillId="14" borderId="95" xfId="0" applyFont="1" applyFill="1" applyBorder="1" applyAlignment="1">
      <alignment horizontal="center"/>
    </xf>
    <xf numFmtId="0" fontId="9" fillId="14" borderId="85" xfId="0" applyFont="1" applyFill="1" applyBorder="1" applyAlignment="1">
      <alignment horizontal="left" shrinkToFit="1"/>
    </xf>
    <xf numFmtId="0" fontId="9" fillId="14" borderId="225" xfId="0" applyFont="1" applyFill="1" applyBorder="1" applyAlignment="1">
      <alignment horizontal="left" shrinkToFit="1"/>
    </xf>
    <xf numFmtId="0" fontId="23" fillId="14" borderId="225" xfId="0" applyFont="1" applyFill="1" applyBorder="1" applyAlignment="1">
      <alignment vertical="top" wrapText="1" shrinkToFit="1"/>
    </xf>
    <xf numFmtId="0" fontId="9" fillId="14" borderId="225" xfId="0" applyFont="1" applyFill="1" applyBorder="1" applyAlignment="1">
      <alignment horizontal="left" vertical="center" shrinkToFit="1"/>
    </xf>
    <xf numFmtId="0" fontId="23" fillId="14" borderId="225" xfId="0" applyFont="1" applyFill="1" applyBorder="1" applyAlignment="1">
      <alignment horizontal="left" vertical="top" wrapText="1" shrinkToFit="1"/>
    </xf>
    <xf numFmtId="0" fontId="9" fillId="0" borderId="225" xfId="0" applyFont="1" applyFill="1" applyBorder="1" applyAlignment="1">
      <alignment horizontal="left" shrinkToFit="1"/>
    </xf>
    <xf numFmtId="0" fontId="38" fillId="14" borderId="299" xfId="0" applyFont="1" applyFill="1" applyBorder="1" applyAlignment="1">
      <alignment horizontal="right"/>
    </xf>
    <xf numFmtId="0" fontId="9" fillId="14" borderId="269" xfId="0" applyFont="1" applyFill="1" applyBorder="1" applyAlignment="1">
      <alignment horizontal="left" shrinkToFit="1"/>
    </xf>
    <xf numFmtId="0" fontId="9" fillId="14" borderId="301" xfId="0" applyFont="1" applyFill="1" applyBorder="1" applyAlignment="1">
      <alignment horizontal="left" shrinkToFit="1"/>
    </xf>
    <xf numFmtId="0" fontId="9" fillId="14" borderId="95" xfId="0" applyFont="1" applyFill="1" applyBorder="1" applyAlignment="1">
      <alignment horizontal="left" shrinkToFit="1"/>
    </xf>
    <xf numFmtId="0" fontId="9" fillId="14" borderId="300" xfId="0" applyFont="1" applyFill="1" applyBorder="1" applyAlignment="1">
      <alignment horizontal="left" shrinkToFit="1"/>
    </xf>
    <xf numFmtId="0" fontId="9" fillId="0" borderId="225" xfId="0" applyFont="1" applyFill="1" applyBorder="1" applyAlignment="1">
      <alignment horizontal="left"/>
    </xf>
    <xf numFmtId="0" fontId="38" fillId="14" borderId="302" xfId="0" applyFont="1" applyFill="1" applyBorder="1" applyAlignment="1">
      <alignment horizontal="right"/>
    </xf>
    <xf numFmtId="0" fontId="38" fillId="14" borderId="303" xfId="0" applyFont="1" applyFill="1" applyBorder="1" applyAlignment="1">
      <alignment horizontal="right"/>
    </xf>
    <xf numFmtId="0" fontId="10" fillId="0" borderId="167" xfId="0" applyFont="1" applyFill="1" applyBorder="1" applyAlignment="1">
      <alignment horizontal="right"/>
    </xf>
    <xf numFmtId="0" fontId="10" fillId="0" borderId="298" xfId="0" applyFont="1" applyFill="1" applyBorder="1" applyAlignment="1">
      <alignment horizontal="right"/>
    </xf>
    <xf numFmtId="0" fontId="10" fillId="14" borderId="298" xfId="0" applyFont="1" applyFill="1" applyBorder="1" applyAlignment="1">
      <alignment horizontal="right"/>
    </xf>
    <xf numFmtId="0" fontId="10" fillId="0" borderId="297" xfId="0" applyFont="1" applyFill="1" applyBorder="1" applyAlignment="1">
      <alignment horizontal="right"/>
    </xf>
    <xf numFmtId="0" fontId="9" fillId="24" borderId="15" xfId="0" applyFont="1" applyFill="1" applyBorder="1" applyAlignment="1">
      <alignment horizontal="right"/>
    </xf>
    <xf numFmtId="0" fontId="9" fillId="25" borderId="15" xfId="0" applyFont="1" applyFill="1" applyBorder="1" applyAlignment="1">
      <alignment horizontal="right"/>
    </xf>
    <xf numFmtId="0" fontId="9" fillId="26" borderId="198" xfId="0" applyFont="1" applyFill="1" applyBorder="1" applyAlignment="1">
      <alignment horizontal="right"/>
    </xf>
    <xf numFmtId="0" fontId="9" fillId="14" borderId="297" xfId="0" applyFont="1" applyFill="1" applyBorder="1" applyAlignment="1">
      <alignment horizontal="right"/>
    </xf>
    <xf numFmtId="0" fontId="9" fillId="14" borderId="298" xfId="0" applyFont="1" applyFill="1" applyBorder="1" applyAlignment="1">
      <alignment horizontal="right"/>
    </xf>
    <xf numFmtId="0" fontId="9" fillId="23" borderId="198" xfId="0" applyFont="1" applyFill="1" applyBorder="1" applyAlignment="1">
      <alignment horizontal="right"/>
    </xf>
    <xf numFmtId="0" fontId="9" fillId="28" borderId="198" xfId="0" applyFont="1" applyFill="1" applyBorder="1" applyAlignment="1">
      <alignment horizontal="right"/>
    </xf>
    <xf numFmtId="0" fontId="38" fillId="14" borderId="194" xfId="0" applyFont="1" applyFill="1" applyBorder="1" applyAlignment="1">
      <alignment horizontal="right"/>
    </xf>
    <xf numFmtId="0" fontId="9" fillId="22" borderId="11" xfId="0" applyFont="1" applyFill="1" applyBorder="1" applyAlignment="1">
      <alignment horizontal="center" shrinkToFit="1"/>
    </xf>
    <xf numFmtId="38" fontId="9" fillId="0" borderId="11" xfId="0" applyNumberFormat="1" applyFont="1" applyFill="1" applyBorder="1" applyAlignment="1">
      <alignment horizontal="right" shrinkToFit="1"/>
    </xf>
    <xf numFmtId="38" fontId="9" fillId="0" borderId="304" xfId="0" applyNumberFormat="1" applyFont="1" applyFill="1" applyBorder="1" applyAlignment="1">
      <alignment horizontal="right" shrinkToFit="1"/>
    </xf>
    <xf numFmtId="38" fontId="9" fillId="0" borderId="305" xfId="4" applyFont="1" applyFill="1" applyBorder="1" applyAlignment="1">
      <alignment horizontal="right"/>
    </xf>
    <xf numFmtId="38" fontId="9" fillId="0" borderId="306" xfId="4" applyFont="1" applyFill="1" applyBorder="1" applyAlignment="1">
      <alignment horizontal="right"/>
    </xf>
    <xf numFmtId="38" fontId="9" fillId="0" borderId="267" xfId="4" applyFont="1" applyFill="1" applyBorder="1" applyAlignment="1">
      <alignment horizontal="right"/>
    </xf>
    <xf numFmtId="38" fontId="9" fillId="0" borderId="307" xfId="4" applyFont="1" applyFill="1" applyBorder="1" applyAlignment="1">
      <alignment horizontal="right"/>
    </xf>
    <xf numFmtId="38" fontId="9" fillId="0" borderId="308" xfId="4" applyFont="1" applyFill="1" applyBorder="1" applyAlignment="1">
      <alignment horizontal="right"/>
    </xf>
    <xf numFmtId="38" fontId="9" fillId="0" borderId="307" xfId="0" applyNumberFormat="1" applyFont="1" applyFill="1" applyBorder="1" applyAlignment="1">
      <alignment horizontal="right" shrinkToFit="1"/>
    </xf>
    <xf numFmtId="38" fontId="9" fillId="0" borderId="306" xfId="0" applyNumberFormat="1" applyFont="1" applyFill="1" applyBorder="1" applyAlignment="1">
      <alignment horizontal="right" shrinkToFit="1"/>
    </xf>
    <xf numFmtId="38" fontId="9" fillId="14" borderId="13" xfId="0" applyNumberFormat="1" applyFont="1" applyFill="1" applyBorder="1" applyAlignment="1">
      <alignment horizontal="right" shrinkToFit="1"/>
    </xf>
    <xf numFmtId="0" fontId="37" fillId="14" borderId="11" xfId="0" applyFont="1" applyFill="1" applyBorder="1" applyAlignment="1">
      <alignment horizontal="center"/>
    </xf>
    <xf numFmtId="38" fontId="9" fillId="0" borderId="12" xfId="0" applyNumberFormat="1" applyFont="1" applyFill="1" applyBorder="1" applyAlignment="1">
      <alignment horizontal="center" shrinkToFit="1"/>
    </xf>
    <xf numFmtId="38" fontId="9" fillId="22" borderId="13" xfId="0" applyNumberFormat="1" applyFont="1" applyFill="1" applyBorder="1" applyAlignment="1">
      <alignment horizontal="center" shrinkToFit="1"/>
    </xf>
    <xf numFmtId="38" fontId="9" fillId="0" borderId="13" xfId="0" applyNumberFormat="1" applyFont="1" applyFill="1" applyBorder="1" applyAlignment="1">
      <alignment horizontal="center" shrinkToFit="1"/>
    </xf>
    <xf numFmtId="38" fontId="9" fillId="0" borderId="308" xfId="0" applyNumberFormat="1" applyFont="1" applyFill="1" applyBorder="1" applyAlignment="1">
      <alignment horizontal="right" shrinkToFit="1"/>
    </xf>
    <xf numFmtId="38" fontId="9" fillId="0" borderId="305" xfId="0" applyNumberFormat="1" applyFont="1" applyFill="1" applyBorder="1" applyAlignment="1">
      <alignment horizontal="right" shrinkToFit="1"/>
    </xf>
    <xf numFmtId="38" fontId="9" fillId="0" borderId="13" xfId="0" applyNumberFormat="1" applyFont="1" applyFill="1" applyBorder="1" applyAlignment="1">
      <alignment horizontal="right" shrinkToFit="1"/>
    </xf>
    <xf numFmtId="38" fontId="9" fillId="14" borderId="309" xfId="0" applyNumberFormat="1" applyFont="1" applyFill="1" applyBorder="1" applyAlignment="1">
      <alignment horizontal="right" shrinkToFit="1"/>
    </xf>
    <xf numFmtId="38" fontId="9" fillId="14" borderId="310" xfId="0" applyNumberFormat="1" applyFont="1" applyFill="1" applyBorder="1" applyAlignment="1">
      <alignment horizontal="right" shrinkToFit="1"/>
    </xf>
    <xf numFmtId="0" fontId="9" fillId="14" borderId="305" xfId="0" applyFont="1" applyFill="1" applyBorder="1" applyAlignment="1">
      <alignment horizontal="center" shrinkToFit="1"/>
    </xf>
    <xf numFmtId="38" fontId="9" fillId="14" borderId="307" xfId="0" applyNumberFormat="1" applyFont="1" applyFill="1" applyBorder="1" applyAlignment="1">
      <alignment horizontal="right" shrinkToFit="1"/>
    </xf>
    <xf numFmtId="0" fontId="9" fillId="0" borderId="307" xfId="0" applyFont="1" applyFill="1" applyBorder="1" applyAlignment="1">
      <alignment horizontal="right"/>
    </xf>
    <xf numFmtId="38" fontId="9" fillId="24" borderId="11" xfId="0" applyNumberFormat="1" applyFont="1" applyFill="1" applyBorder="1" applyAlignment="1">
      <alignment horizontal="right" shrinkToFit="1"/>
    </xf>
    <xf numFmtId="38" fontId="9" fillId="25" borderId="11" xfId="0" applyNumberFormat="1" applyFont="1" applyFill="1" applyBorder="1" applyAlignment="1">
      <alignment horizontal="right"/>
    </xf>
    <xf numFmtId="0" fontId="9" fillId="0" borderId="306" xfId="0" applyFont="1" applyFill="1" applyBorder="1" applyAlignment="1">
      <alignment horizontal="right"/>
    </xf>
    <xf numFmtId="38" fontId="9" fillId="26" borderId="309" xfId="0" applyNumberFormat="1" applyFont="1" applyFill="1" applyBorder="1" applyAlignment="1">
      <alignment horizontal="right" shrinkToFit="1"/>
    </xf>
    <xf numFmtId="38" fontId="9" fillId="23" borderId="309" xfId="0" applyNumberFormat="1" applyFont="1" applyFill="1" applyBorder="1" applyAlignment="1">
      <alignment horizontal="right"/>
    </xf>
    <xf numFmtId="38" fontId="9" fillId="28" borderId="309" xfId="0" applyNumberFormat="1" applyFont="1" applyFill="1" applyBorder="1" applyAlignment="1">
      <alignment horizontal="right"/>
    </xf>
    <xf numFmtId="38" fontId="9" fillId="0" borderId="310" xfId="0" applyNumberFormat="1" applyFont="1" applyFill="1" applyBorder="1" applyAlignment="1">
      <alignment horizontal="right"/>
    </xf>
    <xf numFmtId="38" fontId="19" fillId="25" borderId="132" xfId="0" applyNumberFormat="1" applyFont="1" applyFill="1" applyBorder="1" applyAlignment="1">
      <alignment horizontal="right"/>
    </xf>
    <xf numFmtId="0" fontId="9" fillId="29" borderId="189" xfId="0" applyFont="1" applyFill="1" applyBorder="1" applyAlignment="1">
      <alignment horizontal="right"/>
    </xf>
    <xf numFmtId="0" fontId="9" fillId="29" borderId="0" xfId="0" applyFont="1" applyFill="1" applyBorder="1" applyAlignment="1">
      <alignment horizontal="left"/>
    </xf>
    <xf numFmtId="0" fontId="9" fillId="29" borderId="0" xfId="0" applyFont="1" applyFill="1" applyBorder="1" applyAlignment="1">
      <alignment horizontal="right"/>
    </xf>
    <xf numFmtId="38" fontId="9" fillId="29" borderId="311" xfId="0" applyNumberFormat="1" applyFont="1" applyFill="1" applyBorder="1" applyAlignment="1">
      <alignment horizontal="right"/>
    </xf>
    <xf numFmtId="38" fontId="9" fillId="29" borderId="292" xfId="0" applyNumberFormat="1" applyFont="1" applyFill="1" applyBorder="1" applyAlignment="1">
      <alignment horizontal="right"/>
    </xf>
    <xf numFmtId="38" fontId="9" fillId="29" borderId="284" xfId="0" applyNumberFormat="1" applyFont="1" applyFill="1" applyBorder="1" applyAlignment="1">
      <alignment horizontal="right"/>
    </xf>
    <xf numFmtId="38" fontId="9" fillId="14" borderId="0" xfId="0" applyNumberFormat="1" applyFont="1" applyFill="1" applyBorder="1" applyAlignment="1">
      <alignment horizontal="right" shrinkToFit="1"/>
    </xf>
    <xf numFmtId="0" fontId="19" fillId="0" borderId="132" xfId="0" applyFont="1" applyFill="1" applyBorder="1" applyAlignment="1">
      <alignment horizontal="center" vertical="center" shrinkToFit="1"/>
    </xf>
    <xf numFmtId="0" fontId="19" fillId="0" borderId="11" xfId="0" applyFont="1" applyFill="1" applyBorder="1" applyAlignment="1">
      <alignment horizontal="center" vertical="center" shrinkToFit="1"/>
    </xf>
    <xf numFmtId="0" fontId="9" fillId="0" borderId="276" xfId="0" applyFont="1" applyBorder="1" applyAlignment="1" applyProtection="1">
      <alignment horizontal="center" vertical="center"/>
      <protection locked="0"/>
    </xf>
    <xf numFmtId="0" fontId="65" fillId="14" borderId="0" xfId="0" applyFont="1" applyFill="1" applyBorder="1" applyAlignment="1">
      <alignment horizontal="left" vertical="center"/>
    </xf>
    <xf numFmtId="58" fontId="22" fillId="0" borderId="0" xfId="0" applyNumberFormat="1" applyFont="1" applyAlignment="1" applyProtection="1">
      <alignment vertical="center" shrinkToFit="1"/>
      <protection locked="0"/>
    </xf>
    <xf numFmtId="0" fontId="11" fillId="0" borderId="0" xfId="0" applyFont="1" applyAlignment="1">
      <alignment horizontal="center" vertical="center" wrapText="1"/>
    </xf>
    <xf numFmtId="0" fontId="11" fillId="0" borderId="0" xfId="0" applyFont="1" applyAlignment="1">
      <alignment horizontal="center" vertical="center"/>
    </xf>
    <xf numFmtId="0" fontId="15" fillId="30" borderId="272" xfId="0" applyFont="1" applyFill="1" applyBorder="1" applyAlignment="1">
      <alignment horizontal="center" vertical="center" shrinkToFit="1"/>
    </xf>
    <xf numFmtId="177" fontId="15" fillId="0" borderId="0" xfId="0" applyNumberFormat="1" applyFont="1" applyAlignment="1">
      <alignment horizontal="left" vertical="center"/>
    </xf>
    <xf numFmtId="58" fontId="22" fillId="0" borderId="0" xfId="0" applyNumberFormat="1" applyFont="1" applyAlignment="1" applyProtection="1">
      <alignment horizontal="left" vertical="center" shrinkToFit="1"/>
      <protection locked="0"/>
    </xf>
    <xf numFmtId="177" fontId="15" fillId="30" borderId="272" xfId="0" applyNumberFormat="1" applyFont="1" applyFill="1" applyBorder="1" applyAlignment="1">
      <alignment horizontal="center" vertical="center" shrinkToFit="1"/>
    </xf>
    <xf numFmtId="0" fontId="12" fillId="0" borderId="0" xfId="0" applyFont="1" applyAlignment="1">
      <alignment vertical="center"/>
    </xf>
    <xf numFmtId="0" fontId="11" fillId="0" borderId="0" xfId="0" applyFont="1" applyAlignment="1">
      <alignment vertical="center"/>
    </xf>
    <xf numFmtId="0" fontId="11" fillId="0" borderId="0" xfId="0" applyFont="1" applyAlignment="1">
      <alignment vertical="center" wrapText="1"/>
    </xf>
    <xf numFmtId="0" fontId="15" fillId="30" borderId="272" xfId="0" applyFont="1" applyFill="1" applyBorder="1" applyAlignment="1">
      <alignment horizontal="right" vertical="center" shrinkToFit="1"/>
    </xf>
    <xf numFmtId="0" fontId="11" fillId="0" borderId="0" xfId="0" applyFont="1" applyAlignment="1">
      <alignment horizontal="righ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177" fontId="14" fillId="0" borderId="0" xfId="0" applyNumberFormat="1" applyFont="1" applyAlignment="1">
      <alignment vertical="center" shrinkToFit="1"/>
    </xf>
    <xf numFmtId="0" fontId="15" fillId="0" borderId="0" xfId="0" applyFont="1" applyAlignment="1" applyProtection="1">
      <alignment vertical="center"/>
      <protection locked="0"/>
    </xf>
    <xf numFmtId="187" fontId="15" fillId="0" borderId="0" xfId="0" applyNumberFormat="1" applyFont="1" applyAlignment="1" applyProtection="1">
      <alignment vertical="center"/>
      <protection locked="0"/>
    </xf>
    <xf numFmtId="177" fontId="15" fillId="0" borderId="0" xfId="0" applyNumberFormat="1" applyFont="1" applyAlignment="1">
      <alignment vertical="center"/>
    </xf>
    <xf numFmtId="177" fontId="15" fillId="0" borderId="0" xfId="0" applyNumberFormat="1" applyFont="1" applyAlignment="1">
      <alignment horizontal="center" vertical="center" shrinkToFit="1"/>
    </xf>
    <xf numFmtId="177" fontId="15" fillId="0" borderId="0" xfId="0" applyNumberFormat="1" applyFont="1" applyAlignment="1">
      <alignment vertical="center" shrinkToFit="1"/>
    </xf>
    <xf numFmtId="0" fontId="29" fillId="0" borderId="210" xfId="0" applyFont="1" applyBorder="1" applyAlignment="1">
      <alignment horizontal="center" vertical="center" shrinkToFit="1"/>
    </xf>
    <xf numFmtId="0" fontId="15" fillId="0" borderId="0" xfId="0" applyFont="1" applyAlignment="1">
      <alignment horizontal="center" vertical="center" shrinkToFit="1"/>
    </xf>
    <xf numFmtId="0" fontId="15" fillId="0" borderId="0" xfId="0" applyFont="1" applyAlignment="1">
      <alignment vertical="center"/>
    </xf>
    <xf numFmtId="177" fontId="11" fillId="0" borderId="0" xfId="0" applyNumberFormat="1" applyFont="1" applyAlignment="1">
      <alignment vertical="center" shrinkToFit="1"/>
    </xf>
    <xf numFmtId="177" fontId="22" fillId="0" borderId="0" xfId="0" applyNumberFormat="1" applyFont="1" applyAlignment="1">
      <alignment horizontal="right" vertical="center" shrinkToFit="1"/>
    </xf>
    <xf numFmtId="0" fontId="18" fillId="0" borderId="64" xfId="0" applyFont="1" applyBorder="1" applyAlignment="1">
      <alignment horizontal="centerContinuous" vertical="center"/>
    </xf>
    <xf numFmtId="0" fontId="18" fillId="0" borderId="65" xfId="0" applyFont="1" applyBorder="1" applyAlignment="1">
      <alignment horizontal="centerContinuous" vertical="center"/>
    </xf>
    <xf numFmtId="0" fontId="18" fillId="0" borderId="40" xfId="0" applyFont="1" applyBorder="1" applyAlignment="1">
      <alignment horizontal="center" vertical="center" wrapText="1"/>
    </xf>
    <xf numFmtId="0" fontId="18" fillId="0" borderId="40" xfId="0" applyFont="1" applyBorder="1" applyAlignment="1">
      <alignment horizontal="center" vertical="center"/>
    </xf>
    <xf numFmtId="177" fontId="18" fillId="0" borderId="40" xfId="0" applyNumberFormat="1" applyFont="1" applyBorder="1" applyAlignment="1">
      <alignment horizontal="center" vertical="center" shrinkToFit="1"/>
    </xf>
    <xf numFmtId="0" fontId="17" fillId="0" borderId="277" xfId="0" applyFont="1" applyBorder="1" applyAlignment="1" applyProtection="1">
      <alignment vertical="center"/>
      <protection locked="0"/>
    </xf>
    <xf numFmtId="177" fontId="14" fillId="0" borderId="279" xfId="0" applyNumberFormat="1" applyFont="1" applyBorder="1" applyAlignment="1">
      <alignment horizontal="right" vertical="top" shrinkToFit="1"/>
    </xf>
    <xf numFmtId="0" fontId="23" fillId="0" borderId="17" xfId="0" applyFont="1" applyFill="1" applyBorder="1" applyAlignment="1" applyProtection="1">
      <alignment horizontal="center" vertical="center"/>
      <protection locked="0"/>
    </xf>
    <xf numFmtId="178" fontId="23" fillId="0" borderId="67" xfId="0" applyNumberFormat="1" applyFont="1" applyFill="1" applyBorder="1" applyAlignment="1" applyProtection="1">
      <alignment horizontal="center" vertical="center"/>
      <protection locked="0"/>
    </xf>
    <xf numFmtId="178" fontId="23" fillId="0" borderId="41" xfId="0" applyNumberFormat="1" applyFont="1" applyFill="1" applyBorder="1" applyAlignment="1" applyProtection="1">
      <alignment horizontal="center" vertical="center"/>
      <protection locked="0"/>
    </xf>
    <xf numFmtId="0" fontId="23" fillId="0" borderId="41" xfId="0" applyFont="1" applyFill="1" applyBorder="1" applyAlignment="1" applyProtection="1">
      <alignment vertical="center"/>
      <protection locked="0"/>
    </xf>
    <xf numFmtId="0" fontId="23" fillId="0" borderId="51" xfId="0" applyFont="1" applyFill="1" applyBorder="1" applyAlignment="1" applyProtection="1">
      <alignment vertical="center" shrinkToFit="1"/>
      <protection locked="0"/>
    </xf>
    <xf numFmtId="0" fontId="23" fillId="0" borderId="22" xfId="0" applyFont="1" applyFill="1" applyBorder="1" applyAlignment="1" applyProtection="1">
      <alignment vertical="center"/>
      <protection locked="0"/>
    </xf>
    <xf numFmtId="0" fontId="23" fillId="0" borderId="46" xfId="0" applyFont="1" applyFill="1" applyBorder="1" applyAlignment="1" applyProtection="1">
      <alignment horizontal="center" vertical="center"/>
      <protection locked="0"/>
    </xf>
    <xf numFmtId="179" fontId="23" fillId="0" borderId="282" xfId="0" applyNumberFormat="1" applyFont="1" applyBorder="1" applyAlignment="1">
      <alignment vertical="center" shrinkToFit="1"/>
    </xf>
    <xf numFmtId="0" fontId="9" fillId="0" borderId="189" xfId="0" applyFont="1" applyBorder="1" applyAlignment="1">
      <alignment vertical="center"/>
    </xf>
    <xf numFmtId="0" fontId="9" fillId="0" borderId="189" xfId="0" applyFont="1" applyBorder="1" applyAlignment="1">
      <alignment horizontal="center" vertical="top" wrapText="1"/>
    </xf>
    <xf numFmtId="0" fontId="17" fillId="0" borderId="277" xfId="0" applyFont="1" applyBorder="1" applyAlignment="1">
      <alignment vertical="center"/>
    </xf>
    <xf numFmtId="0" fontId="19" fillId="0" borderId="278" xfId="0" applyFont="1" applyBorder="1" applyAlignment="1">
      <alignment vertical="center"/>
    </xf>
    <xf numFmtId="0" fontId="19" fillId="0" borderId="279" xfId="0" applyFont="1" applyBorder="1" applyAlignment="1">
      <alignment horizontal="center" vertical="center"/>
    </xf>
    <xf numFmtId="0" fontId="9" fillId="0" borderId="189" xfId="0" applyFont="1" applyBorder="1" applyAlignment="1">
      <alignment vertical="center" shrinkToFit="1"/>
    </xf>
    <xf numFmtId="0" fontId="11" fillId="0" borderId="64" xfId="0" applyFont="1" applyBorder="1" applyAlignment="1">
      <alignment horizontal="centerContinuous" vertical="center"/>
    </xf>
    <xf numFmtId="0" fontId="11" fillId="0" borderId="65" xfId="0" applyFont="1" applyBorder="1" applyAlignment="1">
      <alignment horizontal="centerContinuous" vertical="center"/>
    </xf>
    <xf numFmtId="0" fontId="11" fillId="0" borderId="40" xfId="0" applyFont="1" applyBorder="1" applyAlignment="1">
      <alignment horizontal="center" vertical="center" wrapText="1"/>
    </xf>
    <xf numFmtId="0" fontId="11" fillId="0" borderId="40" xfId="0" applyFont="1" applyBorder="1" applyAlignment="1">
      <alignment horizontal="center" vertical="center"/>
    </xf>
    <xf numFmtId="177" fontId="11" fillId="0" borderId="40" xfId="0" applyNumberFormat="1" applyFont="1" applyBorder="1" applyAlignment="1">
      <alignment horizontal="center" vertical="center" shrinkToFit="1"/>
    </xf>
    <xf numFmtId="0" fontId="11" fillId="0" borderId="66" xfId="0" applyFont="1" applyBorder="1" applyAlignment="1">
      <alignment horizontal="centerContinuous" vertical="center"/>
    </xf>
    <xf numFmtId="0" fontId="34" fillId="0" borderId="0" xfId="0" applyFont="1" applyAlignment="1">
      <alignment vertical="center"/>
    </xf>
    <xf numFmtId="0" fontId="10" fillId="0" borderId="263" xfId="2" applyFont="1" applyFill="1" applyBorder="1" applyAlignment="1">
      <alignment vertical="center"/>
    </xf>
    <xf numFmtId="38" fontId="10" fillId="0" borderId="0" xfId="1" applyFont="1" applyFill="1" applyBorder="1" applyAlignment="1"/>
    <xf numFmtId="0" fontId="10" fillId="0" borderId="0" xfId="2" applyFont="1" applyFill="1" applyBorder="1" applyAlignment="1">
      <alignment horizontal="center" vertical="center" shrinkToFit="1"/>
    </xf>
    <xf numFmtId="193" fontId="10" fillId="0" borderId="23" xfId="2" applyNumberFormat="1" applyFont="1" applyFill="1" applyBorder="1" applyAlignment="1" applyProtection="1">
      <alignment horizontal="center" vertical="center"/>
    </xf>
    <xf numFmtId="2" fontId="10" fillId="0" borderId="144" xfId="2" applyNumberFormat="1" applyFont="1" applyFill="1" applyBorder="1" applyAlignment="1" applyProtection="1">
      <alignment horizontal="center" vertical="center"/>
    </xf>
    <xf numFmtId="0" fontId="10" fillId="0" borderId="23" xfId="2" applyFont="1" applyFill="1" applyBorder="1" applyAlignment="1" applyProtection="1">
      <alignment horizontal="center" vertical="center"/>
    </xf>
    <xf numFmtId="0" fontId="10" fillId="0" borderId="186" xfId="2" applyFont="1" applyFill="1" applyBorder="1" applyAlignment="1"/>
    <xf numFmtId="0" fontId="10" fillId="0" borderId="137" xfId="2" applyFont="1" applyFill="1" applyBorder="1" applyAlignment="1"/>
    <xf numFmtId="2" fontId="10" fillId="0" borderId="126" xfId="2" applyNumberFormat="1" applyFont="1" applyFill="1" applyBorder="1" applyAlignment="1" applyProtection="1">
      <alignment horizontal="center" vertical="center"/>
    </xf>
    <xf numFmtId="0" fontId="10" fillId="0" borderId="126" xfId="2" applyFont="1" applyFill="1" applyBorder="1" applyAlignment="1" applyProtection="1">
      <alignment horizontal="center" vertical="center"/>
    </xf>
    <xf numFmtId="0" fontId="10" fillId="0" borderId="136" xfId="2" applyFont="1" applyFill="1" applyBorder="1" applyAlignment="1"/>
    <xf numFmtId="0" fontId="10" fillId="0" borderId="125" xfId="2" applyFont="1" applyFill="1" applyBorder="1" applyAlignment="1" applyProtection="1">
      <alignment horizontal="center" vertical="center"/>
    </xf>
    <xf numFmtId="0" fontId="10" fillId="0" borderId="266" xfId="2" applyFont="1" applyFill="1" applyBorder="1" applyAlignment="1" applyProtection="1">
      <alignment horizontal="center" vertical="center"/>
    </xf>
    <xf numFmtId="0" fontId="21" fillId="0" borderId="0" xfId="0" applyFont="1" applyAlignment="1">
      <alignment horizontal="center" vertical="center"/>
    </xf>
    <xf numFmtId="0" fontId="9" fillId="0" borderId="0" xfId="0" applyFont="1" applyAlignment="1">
      <alignment horizontal="center" vertical="center"/>
    </xf>
    <xf numFmtId="0" fontId="17" fillId="0" borderId="0" xfId="0" applyFont="1" applyFill="1" applyBorder="1" applyAlignment="1">
      <alignment horizontal="left"/>
    </xf>
    <xf numFmtId="0" fontId="19" fillId="0" borderId="319" xfId="0" applyFont="1" applyBorder="1" applyAlignment="1" applyProtection="1">
      <alignment vertical="center" wrapText="1"/>
      <protection locked="0"/>
    </xf>
    <xf numFmtId="186" fontId="19" fillId="0" borderId="319" xfId="0" applyNumberFormat="1" applyFont="1" applyBorder="1" applyAlignment="1" applyProtection="1">
      <alignment vertical="center" shrinkToFit="1"/>
      <protection locked="0"/>
    </xf>
    <xf numFmtId="0" fontId="19" fillId="0" borderId="319" xfId="0" applyFont="1" applyBorder="1" applyAlignment="1" applyProtection="1">
      <alignment horizontal="center" vertical="center"/>
      <protection locked="0"/>
    </xf>
    <xf numFmtId="177" fontId="19" fillId="0" borderId="319" xfId="0" applyNumberFormat="1" applyFont="1" applyBorder="1" applyAlignment="1" applyProtection="1">
      <alignment vertical="center" shrinkToFit="1"/>
      <protection locked="0"/>
    </xf>
    <xf numFmtId="0" fontId="19" fillId="0" borderId="321" xfId="0" applyFont="1" applyBorder="1" applyAlignment="1" applyProtection="1">
      <alignment vertical="center"/>
      <protection locked="0"/>
    </xf>
    <xf numFmtId="0" fontId="19" fillId="0" borderId="322" xfId="0" applyFont="1" applyBorder="1" applyAlignment="1" applyProtection="1">
      <alignment vertical="center"/>
      <protection locked="0"/>
    </xf>
    <xf numFmtId="0" fontId="19" fillId="0" borderId="323" xfId="0" applyFont="1" applyBorder="1" applyAlignment="1" applyProtection="1">
      <alignment horizontal="right" vertical="center"/>
      <protection locked="0"/>
    </xf>
    <xf numFmtId="9" fontId="19" fillId="0" borderId="321" xfId="0" applyNumberFormat="1" applyFont="1" applyBorder="1" applyAlignment="1" applyProtection="1">
      <alignment vertical="center"/>
      <protection locked="0"/>
    </xf>
    <xf numFmtId="0" fontId="19" fillId="0" borderId="321" xfId="0" applyFont="1" applyBorder="1" applyAlignment="1" applyProtection="1">
      <alignment horizontal="left" vertical="center" indent="1"/>
      <protection locked="0"/>
    </xf>
    <xf numFmtId="0" fontId="15" fillId="0" borderId="321" xfId="0" applyFont="1" applyBorder="1" applyAlignment="1" applyProtection="1">
      <alignment vertical="center"/>
      <protection locked="0"/>
    </xf>
    <xf numFmtId="9" fontId="19" fillId="0" borderId="321" xfId="0" quotePrefix="1" applyNumberFormat="1" applyFont="1" applyBorder="1" applyAlignment="1" applyProtection="1">
      <alignment horizontal="center" vertical="center"/>
      <protection locked="0"/>
    </xf>
    <xf numFmtId="0" fontId="11" fillId="0" borderId="321" xfId="0" applyFont="1" applyBorder="1" applyAlignment="1" applyProtection="1">
      <alignment vertical="center"/>
      <protection locked="0"/>
    </xf>
    <xf numFmtId="0" fontId="11" fillId="0" borderId="322" xfId="0" applyFont="1" applyBorder="1" applyAlignment="1" applyProtection="1">
      <alignment vertical="center"/>
      <protection locked="0"/>
    </xf>
    <xf numFmtId="0" fontId="19" fillId="0" borderId="324" xfId="0" applyFont="1" applyBorder="1" applyAlignment="1" applyProtection="1">
      <alignment vertical="center"/>
      <protection locked="0"/>
    </xf>
    <xf numFmtId="0" fontId="19" fillId="0" borderId="325" xfId="0" applyFont="1" applyBorder="1" applyAlignment="1" applyProtection="1">
      <alignment vertical="center"/>
      <protection locked="0"/>
    </xf>
    <xf numFmtId="0" fontId="19" fillId="0" borderId="326" xfId="0" applyFont="1" applyBorder="1" applyAlignment="1" applyProtection="1">
      <alignment vertical="center" wrapText="1"/>
      <protection locked="0"/>
    </xf>
    <xf numFmtId="186" fontId="19" fillId="0" borderId="326" xfId="0" applyNumberFormat="1" applyFont="1" applyBorder="1" applyAlignment="1" applyProtection="1">
      <alignment vertical="center" shrinkToFit="1"/>
      <protection locked="0"/>
    </xf>
    <xf numFmtId="0" fontId="19" fillId="0" borderId="326" xfId="0" applyFont="1" applyBorder="1" applyAlignment="1" applyProtection="1">
      <alignment horizontal="center" vertical="center"/>
      <protection locked="0"/>
    </xf>
    <xf numFmtId="177" fontId="19" fillId="0" borderId="326" xfId="0" applyNumberFormat="1" applyFont="1" applyBorder="1" applyAlignment="1" applyProtection="1">
      <alignment vertical="center" shrinkToFit="1"/>
      <protection locked="0"/>
    </xf>
    <xf numFmtId="0" fontId="19" fillId="0" borderId="323" xfId="0" quotePrefix="1" applyFont="1" applyBorder="1" applyAlignment="1" applyProtection="1">
      <alignment horizontal="right" vertical="center"/>
      <protection locked="0"/>
    </xf>
    <xf numFmtId="0" fontId="19" fillId="0" borderId="321" xfId="0" applyFont="1" applyBorder="1" applyAlignment="1" applyProtection="1">
      <alignment horizontal="right" vertical="center"/>
      <protection locked="0"/>
    </xf>
    <xf numFmtId="177" fontId="19" fillId="0" borderId="328" xfId="0" applyNumberFormat="1" applyFont="1" applyBorder="1" applyAlignment="1" applyProtection="1">
      <alignment vertical="center" shrinkToFit="1"/>
      <protection locked="0"/>
    </xf>
    <xf numFmtId="179" fontId="23" fillId="0" borderId="329" xfId="0" applyNumberFormat="1" applyFont="1" applyBorder="1" applyAlignment="1">
      <alignment horizontal="center" vertical="center"/>
    </xf>
    <xf numFmtId="179" fontId="23" fillId="0" borderId="330" xfId="0" applyNumberFormat="1" applyFont="1" applyBorder="1" applyAlignment="1">
      <alignment horizontal="center" vertical="center"/>
    </xf>
    <xf numFmtId="179" fontId="23" fillId="0" borderId="331" xfId="0" applyNumberFormat="1" applyFont="1" applyBorder="1" applyAlignment="1">
      <alignment horizontal="center" vertical="center"/>
    </xf>
    <xf numFmtId="179" fontId="23" fillId="0" borderId="333" xfId="0" applyNumberFormat="1" applyFont="1" applyBorder="1" applyAlignment="1" applyProtection="1">
      <alignment vertical="center" shrinkToFit="1"/>
      <protection locked="0"/>
    </xf>
    <xf numFmtId="179" fontId="23" fillId="0" borderId="332" xfId="0" applyNumberFormat="1" applyFont="1" applyBorder="1" applyAlignment="1" applyProtection="1">
      <alignment vertical="center" shrinkToFit="1"/>
      <protection locked="0"/>
    </xf>
    <xf numFmtId="0" fontId="23" fillId="0" borderId="334" xfId="0" applyFont="1" applyBorder="1" applyAlignment="1" applyProtection="1">
      <alignment horizontal="center" vertical="center"/>
      <protection locked="0"/>
    </xf>
    <xf numFmtId="178" fontId="23" fillId="0" borderId="335" xfId="0" applyNumberFormat="1" applyFont="1" applyBorder="1" applyAlignment="1" applyProtection="1">
      <alignment horizontal="center" vertical="center"/>
      <protection locked="0"/>
    </xf>
    <xf numFmtId="178" fontId="23" fillId="0" borderId="336" xfId="0" applyNumberFormat="1" applyFont="1" applyBorder="1" applyAlignment="1" applyProtection="1">
      <alignment horizontal="center" vertical="center"/>
      <protection locked="0"/>
    </xf>
    <xf numFmtId="0" fontId="23" fillId="0" borderId="336" xfId="0" applyFont="1" applyBorder="1" applyAlignment="1" applyProtection="1">
      <alignment vertical="center" shrinkToFit="1"/>
      <protection locked="0"/>
    </xf>
    <xf numFmtId="0" fontId="23" fillId="0" borderId="337" xfId="0" applyFont="1" applyBorder="1" applyAlignment="1" applyProtection="1">
      <alignment vertical="center" shrinkToFit="1"/>
      <protection locked="0"/>
    </xf>
    <xf numFmtId="0" fontId="23" fillId="0" borderId="338" xfId="0" applyFont="1" applyBorder="1" applyAlignment="1" applyProtection="1">
      <alignment vertical="center"/>
      <protection locked="0"/>
    </xf>
    <xf numFmtId="0" fontId="23" fillId="0" borderId="339" xfId="0" applyFont="1" applyBorder="1" applyAlignment="1" applyProtection="1">
      <alignment horizontal="center" vertical="center"/>
      <protection locked="0"/>
    </xf>
    <xf numFmtId="179" fontId="23" fillId="0" borderId="340" xfId="0" applyNumberFormat="1" applyFont="1" applyBorder="1" applyAlignment="1" applyProtection="1">
      <alignment vertical="center" shrinkToFit="1"/>
      <protection locked="0"/>
    </xf>
    <xf numFmtId="179" fontId="23" fillId="0" borderId="341" xfId="0" applyNumberFormat="1" applyFont="1" applyBorder="1" applyAlignment="1">
      <alignment vertical="center" shrinkToFit="1"/>
    </xf>
    <xf numFmtId="179" fontId="23" fillId="0" borderId="338" xfId="0" applyNumberFormat="1" applyFont="1" applyBorder="1" applyAlignment="1" applyProtection="1">
      <alignment vertical="center" shrinkToFit="1"/>
      <protection locked="0"/>
    </xf>
    <xf numFmtId="179" fontId="23" fillId="0" borderId="342" xfId="0" applyNumberFormat="1" applyFont="1" applyBorder="1" applyAlignment="1">
      <alignment vertical="center" shrinkToFit="1"/>
    </xf>
    <xf numFmtId="0" fontId="19" fillId="0" borderId="319" xfId="0" applyFont="1" applyBorder="1" applyAlignment="1" applyProtection="1">
      <alignment horizontal="center" vertical="center" shrinkToFit="1"/>
      <protection locked="0"/>
    </xf>
    <xf numFmtId="0" fontId="19" fillId="0" borderId="326" xfId="0" applyFont="1" applyBorder="1" applyAlignment="1" applyProtection="1">
      <alignment horizontal="center" vertical="center" shrinkToFit="1"/>
      <protection locked="0"/>
    </xf>
    <xf numFmtId="38" fontId="19" fillId="0" borderId="319" xfId="0" applyNumberFormat="1" applyFont="1" applyBorder="1" applyAlignment="1" applyProtection="1">
      <alignment vertical="center" shrinkToFit="1"/>
      <protection locked="0"/>
    </xf>
    <xf numFmtId="0" fontId="19" fillId="0" borderId="343" xfId="0" applyFont="1" applyBorder="1" applyAlignment="1" applyProtection="1">
      <alignment horizontal="right" vertical="center"/>
      <protection locked="0"/>
    </xf>
    <xf numFmtId="0" fontId="19" fillId="0" borderId="344" xfId="0" applyFont="1" applyBorder="1" applyAlignment="1" applyProtection="1">
      <alignment vertical="center"/>
      <protection locked="0"/>
    </xf>
    <xf numFmtId="0" fontId="19" fillId="0" borderId="345" xfId="0" applyFont="1" applyBorder="1" applyAlignment="1" applyProtection="1">
      <alignment vertical="center" wrapText="1"/>
      <protection locked="0"/>
    </xf>
    <xf numFmtId="186" fontId="19" fillId="0" borderId="345" xfId="0" applyNumberFormat="1" applyFont="1" applyBorder="1" applyAlignment="1" applyProtection="1">
      <alignment vertical="center" shrinkToFit="1"/>
      <protection locked="0"/>
    </xf>
    <xf numFmtId="0" fontId="19" fillId="0" borderId="345" xfId="0" applyFont="1" applyBorder="1" applyAlignment="1" applyProtection="1">
      <alignment horizontal="center" vertical="center" shrinkToFit="1"/>
      <protection locked="0"/>
    </xf>
    <xf numFmtId="38" fontId="19" fillId="0" borderId="345" xfId="0" applyNumberFormat="1" applyFont="1" applyBorder="1" applyAlignment="1" applyProtection="1">
      <alignment vertical="center" shrinkToFit="1"/>
      <protection locked="0"/>
    </xf>
    <xf numFmtId="177" fontId="19" fillId="0" borderId="345" xfId="0" applyNumberFormat="1" applyFont="1" applyBorder="1" applyAlignment="1" applyProtection="1">
      <alignment vertical="center" shrinkToFit="1"/>
      <protection locked="0"/>
    </xf>
    <xf numFmtId="0" fontId="19" fillId="0" borderId="346" xfId="0" applyFont="1" applyBorder="1" applyAlignment="1" applyProtection="1">
      <alignment vertical="center"/>
      <protection locked="0"/>
    </xf>
    <xf numFmtId="38" fontId="19" fillId="0" borderId="326" xfId="0" applyNumberFormat="1" applyFont="1" applyBorder="1" applyAlignment="1" applyProtection="1">
      <alignment horizontal="right" vertical="center" shrinkToFit="1"/>
      <protection locked="0"/>
    </xf>
    <xf numFmtId="0" fontId="68" fillId="17" borderId="325" xfId="0" applyFont="1" applyFill="1" applyBorder="1" applyAlignment="1" applyProtection="1">
      <alignment vertical="center"/>
      <protection locked="0"/>
    </xf>
    <xf numFmtId="176" fontId="19" fillId="17" borderId="327" xfId="0" applyNumberFormat="1" applyFont="1" applyFill="1" applyBorder="1" applyAlignment="1" applyProtection="1">
      <alignment vertical="center"/>
      <protection locked="0"/>
    </xf>
    <xf numFmtId="0" fontId="9" fillId="0" borderId="347" xfId="0" applyFont="1" applyFill="1" applyBorder="1" applyAlignment="1" applyProtection="1">
      <alignment vertical="center"/>
      <protection locked="0"/>
    </xf>
    <xf numFmtId="0" fontId="9" fillId="0" borderId="347" xfId="0" applyFont="1" applyBorder="1" applyAlignment="1" applyProtection="1">
      <alignment vertical="center"/>
      <protection locked="0"/>
    </xf>
    <xf numFmtId="180" fontId="19" fillId="0" borderId="323" xfId="0" applyNumberFormat="1" applyFont="1" applyBorder="1" applyAlignment="1" applyProtection="1">
      <alignment horizontal="right" vertical="center" shrinkToFit="1"/>
      <protection locked="0"/>
    </xf>
    <xf numFmtId="0" fontId="19" fillId="0" borderId="321" xfId="0" applyFont="1" applyBorder="1" applyAlignment="1" applyProtection="1">
      <alignment vertical="center" shrinkToFit="1"/>
      <protection locked="0"/>
    </xf>
    <xf numFmtId="0" fontId="19" fillId="0" borderId="319" xfId="0" applyFont="1" applyBorder="1" applyAlignment="1" applyProtection="1">
      <alignment vertical="center" shrinkToFit="1"/>
      <protection locked="0"/>
    </xf>
    <xf numFmtId="38" fontId="19" fillId="0" borderId="319" xfId="0" applyNumberFormat="1" applyFont="1" applyBorder="1" applyAlignment="1" applyProtection="1">
      <alignment horizontal="right" vertical="center" shrinkToFit="1"/>
      <protection locked="0"/>
    </xf>
    <xf numFmtId="181" fontId="19" fillId="0" borderId="321" xfId="0" applyNumberFormat="1" applyFont="1" applyBorder="1" applyAlignment="1" applyProtection="1">
      <alignment horizontal="left" vertical="center"/>
      <protection locked="0"/>
    </xf>
    <xf numFmtId="0" fontId="0" fillId="0" borderId="347" xfId="0" applyBorder="1" applyAlignment="1">
      <alignment vertical="center" shrinkToFit="1"/>
    </xf>
    <xf numFmtId="0" fontId="19" fillId="0" borderId="348" xfId="0" applyFont="1" applyBorder="1" applyAlignment="1" applyProtection="1">
      <alignment vertical="center"/>
      <protection locked="0"/>
    </xf>
    <xf numFmtId="0" fontId="19" fillId="17" borderId="325" xfId="0" applyFont="1" applyFill="1" applyBorder="1" applyAlignment="1" applyProtection="1">
      <alignment vertical="center"/>
      <protection locked="0"/>
    </xf>
    <xf numFmtId="179" fontId="69" fillId="17" borderId="325" xfId="0" applyNumberFormat="1" applyFont="1" applyFill="1" applyBorder="1" applyAlignment="1" applyProtection="1">
      <alignment vertical="center"/>
      <protection locked="0"/>
    </xf>
    <xf numFmtId="0" fontId="9" fillId="0" borderId="349" xfId="0" applyFont="1" applyFill="1" applyBorder="1" applyAlignment="1">
      <alignment vertical="center"/>
    </xf>
    <xf numFmtId="0" fontId="0" fillId="0" borderId="349" xfId="0" applyBorder="1"/>
    <xf numFmtId="0" fontId="19" fillId="0" borderId="321" xfId="0" applyFont="1" applyBorder="1" applyAlignment="1" applyProtection="1">
      <alignment vertical="center"/>
      <protection locked="0"/>
    </xf>
    <xf numFmtId="0" fontId="19" fillId="0" borderId="322" xfId="0" applyFont="1" applyBorder="1" applyAlignment="1" applyProtection="1">
      <alignment vertical="center"/>
      <protection locked="0"/>
    </xf>
    <xf numFmtId="0" fontId="9" fillId="0" borderId="321" xfId="0" applyFont="1" applyBorder="1" applyAlignment="1" applyProtection="1">
      <alignment horizontal="center" vertical="center"/>
      <protection locked="0"/>
    </xf>
    <xf numFmtId="0" fontId="10" fillId="0" borderId="189" xfId="10" applyFont="1" applyFill="1" applyBorder="1" applyAlignment="1">
      <alignment horizontal="center" wrapText="1"/>
    </xf>
    <xf numFmtId="177" fontId="15" fillId="31" borderId="272" xfId="0" applyNumberFormat="1" applyFont="1" applyFill="1" applyBorder="1" applyAlignment="1">
      <alignment vertical="center" shrinkToFit="1"/>
    </xf>
    <xf numFmtId="0" fontId="15" fillId="31" borderId="272" xfId="0" applyFont="1" applyFill="1" applyBorder="1" applyAlignment="1" applyProtection="1">
      <alignment vertical="center" shrinkToFit="1"/>
      <protection locked="0"/>
    </xf>
    <xf numFmtId="0" fontId="15" fillId="31" borderId="272" xfId="0" applyFont="1" applyFill="1" applyBorder="1" applyAlignment="1">
      <alignment vertical="center" shrinkToFit="1"/>
    </xf>
    <xf numFmtId="0" fontId="31" fillId="0" borderId="12" xfId="0" applyFont="1" applyFill="1" applyBorder="1" applyProtection="1">
      <protection locked="0"/>
    </xf>
    <xf numFmtId="0" fontId="55" fillId="0" borderId="13" xfId="9" applyFill="1" applyBorder="1" applyProtection="1">
      <protection locked="0"/>
    </xf>
    <xf numFmtId="0" fontId="25" fillId="0" borderId="0" xfId="0" applyFont="1" applyFill="1" applyProtection="1">
      <protection locked="0"/>
    </xf>
    <xf numFmtId="0" fontId="39" fillId="32" borderId="0" xfId="0" applyFont="1" applyFill="1" applyBorder="1" applyAlignment="1">
      <alignment horizontal="center" vertical="center" shrinkToFit="1"/>
    </xf>
    <xf numFmtId="57" fontId="39" fillId="32" borderId="0" xfId="0" applyNumberFormat="1" applyFont="1" applyFill="1" applyBorder="1" applyAlignment="1">
      <alignment horizontal="center" vertical="center" shrinkToFit="1"/>
    </xf>
    <xf numFmtId="0" fontId="64" fillId="32" borderId="0" xfId="0" applyFont="1" applyFill="1" applyBorder="1" applyAlignment="1">
      <alignment horizontal="center" vertical="center" shrinkToFit="1"/>
    </xf>
    <xf numFmtId="57" fontId="64" fillId="32" borderId="0" xfId="0" applyNumberFormat="1" applyFont="1" applyFill="1" applyBorder="1" applyAlignment="1">
      <alignment horizontal="left" vertical="center"/>
    </xf>
    <xf numFmtId="57" fontId="64" fillId="32" borderId="0" xfId="0" applyNumberFormat="1" applyFont="1" applyFill="1" applyBorder="1" applyAlignment="1">
      <alignment horizontal="center" vertical="center" shrinkToFit="1"/>
    </xf>
    <xf numFmtId="0" fontId="64" fillId="32" borderId="0" xfId="0" applyFont="1" applyFill="1" applyBorder="1" applyAlignment="1">
      <alignment vertical="center"/>
    </xf>
    <xf numFmtId="188" fontId="64" fillId="32" borderId="0" xfId="0" applyNumberFormat="1" applyFont="1" applyFill="1" applyBorder="1" applyAlignment="1">
      <alignment horizontal="center" vertical="center"/>
    </xf>
    <xf numFmtId="0" fontId="17" fillId="0" borderId="74" xfId="2" applyFont="1" applyFill="1" applyBorder="1" applyAlignment="1" applyProtection="1">
      <alignment vertical="center"/>
      <protection locked="0"/>
    </xf>
    <xf numFmtId="0" fontId="51" fillId="0" borderId="190" xfId="0" applyFont="1" applyFill="1" applyBorder="1" applyAlignment="1">
      <alignment horizontal="left"/>
    </xf>
    <xf numFmtId="177" fontId="11" fillId="32" borderId="71" xfId="0" applyNumberFormat="1" applyFont="1" applyFill="1" applyBorder="1" applyAlignment="1" applyProtection="1">
      <alignment vertical="center" shrinkToFit="1"/>
    </xf>
    <xf numFmtId="0" fontId="10" fillId="22" borderId="294" xfId="2" applyFont="1" applyFill="1" applyBorder="1" applyAlignment="1">
      <alignment horizontal="center"/>
    </xf>
    <xf numFmtId="193" fontId="63" fillId="0" borderId="23" xfId="2" applyNumberFormat="1" applyFont="1" applyFill="1" applyBorder="1" applyAlignment="1">
      <alignment shrinkToFit="1"/>
    </xf>
    <xf numFmtId="10" fontId="63" fillId="0" borderId="23" xfId="2" applyNumberFormat="1" applyFont="1" applyFill="1" applyBorder="1" applyAlignment="1">
      <alignment horizontal="right" shrinkToFit="1"/>
    </xf>
    <xf numFmtId="0" fontId="63" fillId="0" borderId="23" xfId="2" applyNumberFormat="1" applyFont="1" applyFill="1" applyBorder="1" applyAlignment="1">
      <alignment shrinkToFit="1"/>
    </xf>
    <xf numFmtId="0" fontId="10" fillId="0" borderId="0" xfId="0" applyFont="1" applyFill="1" applyBorder="1" applyAlignment="1">
      <alignment vertical="center"/>
    </xf>
    <xf numFmtId="0" fontId="72" fillId="0" borderId="0" xfId="0" applyFont="1" applyBorder="1" applyAlignment="1">
      <alignment vertical="center"/>
    </xf>
    <xf numFmtId="38" fontId="72" fillId="0" borderId="0" xfId="2" applyNumberFormat="1" applyFont="1" applyFill="1" applyBorder="1" applyAlignment="1">
      <alignment horizontal="center" vertical="center" shrinkToFit="1"/>
    </xf>
    <xf numFmtId="0" fontId="54" fillId="31" borderId="71" xfId="2" applyFont="1" applyFill="1" applyBorder="1" applyAlignment="1">
      <alignment horizontal="center"/>
    </xf>
    <xf numFmtId="0" fontId="54" fillId="31" borderId="316" xfId="2" applyFont="1" applyFill="1" applyBorder="1" applyAlignment="1">
      <alignment horizontal="center"/>
    </xf>
    <xf numFmtId="0" fontId="16" fillId="0" borderId="0" xfId="0" applyFont="1" applyFill="1" applyBorder="1" applyAlignment="1">
      <alignment horizontal="right" shrinkToFit="1"/>
    </xf>
    <xf numFmtId="0" fontId="54" fillId="31" borderId="266" xfId="2" applyFont="1" applyFill="1" applyBorder="1" applyAlignment="1"/>
    <xf numFmtId="0" fontId="54" fillId="31" borderId="266" xfId="2" applyFont="1" applyFill="1" applyBorder="1" applyAlignment="1">
      <alignment horizontal="left"/>
    </xf>
    <xf numFmtId="0" fontId="54" fillId="31" borderId="266" xfId="2" applyFont="1" applyFill="1" applyBorder="1" applyAlignment="1">
      <alignment horizontal="right"/>
    </xf>
    <xf numFmtId="0" fontId="54" fillId="31" borderId="317" xfId="2" applyFont="1" applyFill="1" applyBorder="1" applyAlignment="1">
      <alignment horizontal="center"/>
    </xf>
    <xf numFmtId="0" fontId="65" fillId="0" borderId="0" xfId="2" applyFont="1" applyFill="1" applyBorder="1" applyAlignment="1">
      <alignment horizontal="right"/>
    </xf>
    <xf numFmtId="0" fontId="65" fillId="0" borderId="0" xfId="2" applyFont="1" applyFill="1" applyBorder="1" applyAlignment="1">
      <alignment horizontal="left"/>
    </xf>
    <xf numFmtId="0" fontId="10" fillId="0" borderId="352" xfId="2" applyFont="1" applyBorder="1" applyAlignment="1">
      <alignment horizontal="center"/>
    </xf>
    <xf numFmtId="0" fontId="23" fillId="0" borderId="353" xfId="0" applyFont="1" applyBorder="1" applyAlignment="1" applyProtection="1">
      <alignment horizontal="center" vertical="center"/>
      <protection locked="0"/>
    </xf>
    <xf numFmtId="178" fontId="23" fillId="0" borderId="354" xfId="0" applyNumberFormat="1" applyFont="1" applyBorder="1" applyAlignment="1" applyProtection="1">
      <alignment horizontal="center" vertical="center"/>
      <protection locked="0"/>
    </xf>
    <xf numFmtId="178" fontId="23" fillId="0" borderId="355" xfId="0" applyNumberFormat="1" applyFont="1" applyBorder="1" applyAlignment="1" applyProtection="1">
      <alignment horizontal="center" vertical="center"/>
      <protection locked="0"/>
    </xf>
    <xf numFmtId="0" fontId="23" fillId="0" borderId="355" xfId="0" applyFont="1" applyBorder="1" applyAlignment="1" applyProtection="1">
      <alignment vertical="center" shrinkToFit="1"/>
      <protection locked="0"/>
    </xf>
    <xf numFmtId="0" fontId="23" fillId="0" borderId="350" xfId="0" applyFont="1" applyBorder="1" applyAlignment="1" applyProtection="1">
      <alignment vertical="center" shrinkToFit="1"/>
      <protection locked="0"/>
    </xf>
    <xf numFmtId="0" fontId="23" fillId="0" borderId="356" xfId="0" applyFont="1" applyBorder="1" applyAlignment="1" applyProtection="1">
      <alignment vertical="center"/>
      <protection locked="0"/>
    </xf>
    <xf numFmtId="0" fontId="23" fillId="0" borderId="357" xfId="0" applyFont="1" applyBorder="1" applyAlignment="1" applyProtection="1">
      <alignment horizontal="center" vertical="center"/>
      <protection locked="0"/>
    </xf>
    <xf numFmtId="0" fontId="67" fillId="0" borderId="355" xfId="0" applyFont="1" applyBorder="1" applyAlignment="1" applyProtection="1">
      <alignment vertical="center" shrinkToFit="1"/>
      <protection locked="0"/>
    </xf>
    <xf numFmtId="0" fontId="21" fillId="0" borderId="0" xfId="0" applyFont="1" applyAlignment="1">
      <alignment horizontal="center" vertical="center"/>
    </xf>
    <xf numFmtId="179" fontId="19" fillId="0" borderId="321" xfId="0" applyNumberFormat="1" applyFont="1" applyBorder="1" applyAlignment="1" applyProtection="1">
      <alignment horizontal="right" vertical="center"/>
      <protection locked="0"/>
    </xf>
    <xf numFmtId="179" fontId="19" fillId="0" borderId="322" xfId="0" applyNumberFormat="1" applyFont="1" applyBorder="1" applyAlignment="1" applyProtection="1">
      <alignment horizontal="right" vertical="center"/>
      <protection locked="0"/>
    </xf>
    <xf numFmtId="179" fontId="19" fillId="0" borderId="321" xfId="0" applyNumberFormat="1" applyFont="1" applyBorder="1" applyAlignment="1" applyProtection="1">
      <alignment horizontal="right" vertical="center"/>
      <protection locked="0"/>
    </xf>
    <xf numFmtId="179" fontId="19" fillId="0" borderId="322" xfId="0" applyNumberFormat="1" applyFont="1" applyBorder="1" applyAlignment="1" applyProtection="1">
      <alignment horizontal="right" vertical="center"/>
      <protection locked="0"/>
    </xf>
    <xf numFmtId="177" fontId="18" fillId="0" borderId="321" xfId="0" applyNumberFormat="1" applyFont="1" applyBorder="1" applyAlignment="1" applyProtection="1">
      <alignment horizontal="right" vertical="center"/>
      <protection locked="0"/>
    </xf>
    <xf numFmtId="0" fontId="18" fillId="0" borderId="322" xfId="0" applyFont="1" applyBorder="1" applyAlignment="1" applyProtection="1">
      <alignment horizontal="right" vertical="center"/>
      <protection locked="0"/>
    </xf>
    <xf numFmtId="177" fontId="18" fillId="0" borderId="325" xfId="0" applyNumberFormat="1" applyFont="1" applyBorder="1" applyAlignment="1" applyProtection="1">
      <alignment horizontal="right" vertical="center"/>
      <protection locked="0"/>
    </xf>
    <xf numFmtId="0" fontId="18" fillId="0" borderId="327" xfId="0" applyFont="1" applyBorder="1" applyAlignment="1" applyProtection="1">
      <alignment horizontal="right" vertical="center"/>
      <protection locked="0"/>
    </xf>
    <xf numFmtId="0" fontId="13" fillId="0" borderId="231" xfId="0" applyFont="1" applyBorder="1" applyAlignment="1">
      <alignment horizontal="center" vertical="center"/>
    </xf>
    <xf numFmtId="0" fontId="18" fillId="0" borderId="152" xfId="0" applyFont="1" applyBorder="1" applyAlignment="1">
      <alignment horizontal="center" vertical="center"/>
    </xf>
    <xf numFmtId="0" fontId="18" fillId="0" borderId="65" xfId="0" applyFont="1" applyBorder="1" applyAlignment="1">
      <alignment horizontal="center" vertical="center"/>
    </xf>
    <xf numFmtId="0" fontId="18" fillId="0" borderId="66" xfId="0" applyFont="1" applyBorder="1" applyAlignment="1">
      <alignment horizontal="center" vertical="center"/>
    </xf>
    <xf numFmtId="177" fontId="18" fillId="0" borderId="70" xfId="2" applyNumberFormat="1" applyFont="1" applyBorder="1" applyAlignment="1" applyProtection="1">
      <alignment horizontal="right" vertical="center"/>
      <protection locked="0"/>
    </xf>
    <xf numFmtId="0" fontId="18" fillId="0" borderId="79" xfId="2" applyFont="1" applyBorder="1" applyAlignment="1" applyProtection="1">
      <alignment horizontal="right" vertical="center"/>
      <protection locked="0"/>
    </xf>
    <xf numFmtId="179" fontId="19" fillId="0" borderId="38" xfId="2" applyNumberFormat="1" applyFont="1" applyBorder="1" applyAlignment="1" applyProtection="1">
      <alignment horizontal="right" vertical="center"/>
      <protection locked="0"/>
    </xf>
    <xf numFmtId="179" fontId="19" fillId="0" borderId="39" xfId="2" applyNumberFormat="1" applyFont="1" applyBorder="1" applyAlignment="1" applyProtection="1">
      <alignment horizontal="right" vertical="center"/>
      <protection locked="0"/>
    </xf>
    <xf numFmtId="177" fontId="18" fillId="0" borderId="38" xfId="2" applyNumberFormat="1" applyFont="1" applyBorder="1" applyAlignment="1" applyProtection="1">
      <alignment horizontal="right" vertical="center"/>
      <protection locked="0"/>
    </xf>
    <xf numFmtId="0" fontId="18" fillId="0" borderId="39" xfId="2" applyFont="1" applyBorder="1" applyAlignment="1" applyProtection="1">
      <alignment horizontal="right" vertical="center"/>
      <protection locked="0"/>
    </xf>
    <xf numFmtId="0" fontId="9" fillId="0" borderId="0" xfId="0" applyFont="1" applyAlignment="1">
      <alignment horizontal="center" vertical="center"/>
    </xf>
    <xf numFmtId="189" fontId="15" fillId="0" borderId="312" xfId="0" applyNumberFormat="1" applyFont="1" applyBorder="1" applyAlignment="1" applyProtection="1">
      <alignment horizontal="center" vertical="center" shrinkToFit="1"/>
      <protection locked="0"/>
    </xf>
    <xf numFmtId="189" fontId="15" fillId="0" borderId="313" xfId="0" applyNumberFormat="1" applyFont="1" applyBorder="1" applyAlignment="1" applyProtection="1">
      <alignment horizontal="center" vertical="center" shrinkToFit="1"/>
      <protection locked="0"/>
    </xf>
    <xf numFmtId="189" fontId="15" fillId="31" borderId="350" xfId="0" applyNumberFormat="1" applyFont="1" applyFill="1" applyBorder="1" applyAlignment="1" applyProtection="1">
      <alignment horizontal="center" vertical="center" shrinkToFit="1"/>
      <protection locked="0"/>
    </xf>
    <xf numFmtId="189" fontId="15" fillId="31" borderId="351" xfId="0" applyNumberFormat="1" applyFont="1" applyFill="1" applyBorder="1" applyAlignment="1" applyProtection="1">
      <alignment horizontal="center" vertical="center" shrinkToFit="1"/>
      <protection locked="0"/>
    </xf>
    <xf numFmtId="187" fontId="15" fillId="0" borderId="0" xfId="0" applyNumberFormat="1" applyFont="1" applyFill="1" applyBorder="1" applyAlignment="1" applyProtection="1">
      <alignment horizontal="left" vertical="center"/>
      <protection locked="0"/>
    </xf>
    <xf numFmtId="0" fontId="13" fillId="0" borderId="153" xfId="0" applyFont="1" applyBorder="1" applyAlignment="1" applyProtection="1">
      <alignment horizontal="center" vertical="center"/>
    </xf>
    <xf numFmtId="0" fontId="32" fillId="0" borderId="0" xfId="0" applyFont="1" applyBorder="1" applyAlignment="1" applyProtection="1">
      <alignment vertical="center" shrinkToFit="1"/>
    </xf>
    <xf numFmtId="0" fontId="0" fillId="0" borderId="0" xfId="0" applyFont="1" applyAlignment="1">
      <alignment vertical="center" shrinkToFit="1"/>
    </xf>
    <xf numFmtId="0" fontId="18" fillId="0" borderId="152" xfId="0" applyFont="1" applyBorder="1" applyAlignment="1" applyProtection="1">
      <alignment horizontal="center" vertical="center"/>
    </xf>
    <xf numFmtId="0" fontId="18" fillId="0" borderId="65" xfId="0" applyFont="1" applyBorder="1" applyAlignment="1" applyProtection="1">
      <alignment horizontal="center" vertical="center"/>
    </xf>
    <xf numFmtId="0" fontId="18" fillId="0" borderId="66" xfId="0" applyFont="1" applyBorder="1" applyAlignment="1" applyProtection="1">
      <alignment horizontal="center" vertical="center"/>
    </xf>
    <xf numFmtId="0" fontId="21" fillId="0" borderId="0" xfId="0" applyFont="1" applyFill="1" applyBorder="1" applyAlignment="1" applyProtection="1">
      <alignment horizontal="center" vertical="center"/>
    </xf>
    <xf numFmtId="0" fontId="29" fillId="0" borderId="154" xfId="0" applyFont="1" applyBorder="1" applyAlignment="1">
      <alignment horizontal="center" vertical="center" shrinkToFit="1"/>
    </xf>
    <xf numFmtId="0" fontId="29" fillId="0" borderId="176" xfId="0" applyFont="1" applyBorder="1" applyAlignment="1">
      <alignment horizontal="center" vertical="center" shrinkToFit="1"/>
    </xf>
    <xf numFmtId="0" fontId="29" fillId="0" borderId="155" xfId="0" applyFont="1" applyBorder="1" applyAlignment="1">
      <alignment horizontal="center" vertical="center" shrinkToFit="1"/>
    </xf>
    <xf numFmtId="0" fontId="11" fillId="0" borderId="0" xfId="0" applyFont="1" applyFill="1" applyBorder="1" applyAlignment="1" applyProtection="1">
      <alignment horizontal="center" vertical="center"/>
    </xf>
    <xf numFmtId="0" fontId="18" fillId="0" borderId="208" xfId="0" applyFont="1" applyBorder="1" applyAlignment="1">
      <alignment horizontal="center" vertical="center"/>
    </xf>
    <xf numFmtId="0" fontId="23" fillId="0" borderId="209" xfId="0" applyFont="1" applyBorder="1" applyAlignment="1">
      <alignment horizontal="center" vertical="center" wrapText="1" shrinkToFit="1"/>
    </xf>
    <xf numFmtId="0" fontId="23" fillId="0" borderId="210" xfId="0" applyFont="1" applyBorder="1" applyAlignment="1">
      <alignment horizontal="center" vertical="center" wrapText="1" shrinkToFit="1"/>
    </xf>
    <xf numFmtId="177" fontId="45" fillId="30" borderId="312" xfId="0" applyNumberFormat="1" applyFont="1" applyFill="1" applyBorder="1" applyAlignment="1">
      <alignment horizontal="center" vertical="center"/>
    </xf>
    <xf numFmtId="177" fontId="45" fillId="30" borderId="313" xfId="0" applyNumberFormat="1" applyFont="1" applyFill="1" applyBorder="1" applyAlignment="1">
      <alignment horizontal="center" vertical="center"/>
    </xf>
    <xf numFmtId="0" fontId="29" fillId="0" borderId="0" xfId="0" applyFont="1" applyBorder="1" applyAlignment="1" applyProtection="1">
      <alignment horizontal="center" vertical="center" shrinkToFit="1"/>
    </xf>
    <xf numFmtId="0" fontId="21" fillId="0" borderId="0" xfId="0" applyFont="1" applyAlignment="1">
      <alignment horizontal="center" vertical="center"/>
    </xf>
    <xf numFmtId="0" fontId="66" fillId="31" borderId="186" xfId="0" applyFont="1" applyFill="1" applyBorder="1" applyAlignment="1" applyProtection="1">
      <alignment horizontal="distributed" vertical="center" justifyLastLine="1"/>
      <protection locked="0"/>
    </xf>
    <xf numFmtId="190" fontId="15" fillId="31" borderId="272" xfId="0" applyNumberFormat="1" applyFont="1" applyFill="1" applyBorder="1" applyAlignment="1" applyProtection="1">
      <alignment horizontal="center" vertical="center" shrinkToFit="1"/>
      <protection locked="0"/>
    </xf>
    <xf numFmtId="0" fontId="15" fillId="31" borderId="350" xfId="0" applyNumberFormat="1" applyFont="1" applyFill="1" applyBorder="1" applyAlignment="1" applyProtection="1">
      <alignment horizontal="center" vertical="center" shrinkToFit="1"/>
    </xf>
    <xf numFmtId="0" fontId="15" fillId="31" borderId="351" xfId="0" applyNumberFormat="1" applyFont="1" applyFill="1" applyBorder="1" applyAlignment="1" applyProtection="1">
      <alignment horizontal="center" vertical="center" shrinkToFit="1"/>
    </xf>
    <xf numFmtId="0" fontId="15" fillId="30" borderId="318" xfId="0" applyFont="1" applyFill="1" applyBorder="1" applyAlignment="1">
      <alignment horizontal="center" vertical="center" shrinkToFit="1"/>
    </xf>
    <xf numFmtId="0" fontId="15" fillId="30" borderId="294" xfId="0" applyFont="1" applyFill="1" applyBorder="1" applyAlignment="1">
      <alignment horizontal="center" vertical="center" shrinkToFit="1"/>
    </xf>
    <xf numFmtId="195" fontId="70" fillId="31" borderId="269" xfId="0" applyNumberFormat="1" applyFont="1" applyFill="1" applyBorder="1" applyAlignment="1" applyProtection="1">
      <alignment horizontal="center" vertical="center"/>
      <protection locked="0"/>
    </xf>
    <xf numFmtId="0" fontId="0" fillId="31" borderId="300" xfId="0" applyFill="1" applyBorder="1" applyAlignment="1">
      <alignment horizontal="center" vertical="center"/>
    </xf>
    <xf numFmtId="194" fontId="71" fillId="31" borderId="270" xfId="0" applyNumberFormat="1" applyFont="1" applyFill="1" applyBorder="1" applyAlignment="1">
      <alignment horizontal="center" vertical="center"/>
    </xf>
    <xf numFmtId="194" fontId="0" fillId="31" borderId="275" xfId="0" applyNumberFormat="1" applyFill="1" applyBorder="1" applyAlignment="1">
      <alignment horizontal="center" vertical="center"/>
    </xf>
    <xf numFmtId="0" fontId="21" fillId="0" borderId="358" xfId="0" applyFont="1" applyBorder="1" applyAlignment="1">
      <alignment horizontal="center"/>
    </xf>
    <xf numFmtId="0" fontId="0" fillId="0" borderId="358" xfId="0" applyBorder="1" applyAlignment="1">
      <alignment horizontal="center"/>
    </xf>
    <xf numFmtId="0" fontId="10" fillId="0" borderId="261" xfId="2" applyFont="1" applyFill="1" applyBorder="1" applyAlignment="1">
      <alignment vertical="center" wrapText="1"/>
    </xf>
    <xf numFmtId="0" fontId="10" fillId="0" borderId="262" xfId="2" applyFont="1" applyFill="1" applyBorder="1" applyAlignment="1">
      <alignment vertical="center" wrapText="1"/>
    </xf>
    <xf numFmtId="0" fontId="10" fillId="0" borderId="264" xfId="2" applyFont="1" applyFill="1" applyBorder="1" applyAlignment="1">
      <alignment vertical="center" wrapText="1"/>
    </xf>
    <xf numFmtId="0" fontId="57" fillId="0" borderId="253" xfId="2" applyFont="1" applyFill="1" applyBorder="1" applyAlignment="1">
      <alignment vertical="center" wrapText="1"/>
    </xf>
    <xf numFmtId="0" fontId="57" fillId="0" borderId="196" xfId="2" applyFont="1" applyFill="1" applyBorder="1" applyAlignment="1">
      <alignment vertical="center" wrapText="1"/>
    </xf>
    <xf numFmtId="0" fontId="57" fillId="0" borderId="180" xfId="2" applyFont="1" applyFill="1" applyBorder="1" applyAlignment="1">
      <alignment vertical="center" wrapText="1"/>
    </xf>
    <xf numFmtId="0" fontId="10" fillId="0" borderId="135" xfId="2" applyFont="1" applyFill="1" applyBorder="1" applyAlignment="1">
      <alignment horizontal="center" vertical="center"/>
    </xf>
    <xf numFmtId="0" fontId="7" fillId="0" borderId="136" xfId="2" applyFont="1" applyFill="1" applyBorder="1" applyAlignment="1">
      <alignment horizontal="center" vertical="center"/>
    </xf>
    <xf numFmtId="0" fontId="10" fillId="0" borderId="263" xfId="2" applyFont="1" applyFill="1" applyBorder="1" applyAlignment="1">
      <alignment vertical="center"/>
    </xf>
    <xf numFmtId="0" fontId="7" fillId="0" borderId="98" xfId="2" applyFont="1" applyFill="1" applyBorder="1" applyAlignment="1">
      <alignment vertical="center"/>
    </xf>
    <xf numFmtId="0" fontId="10" fillId="0" borderId="265" xfId="2" applyFont="1" applyFill="1" applyBorder="1" applyAlignment="1">
      <alignment horizontal="left" vertical="center"/>
    </xf>
    <xf numFmtId="0" fontId="7" fillId="0" borderId="211" xfId="2" applyFont="1" applyFill="1" applyBorder="1" applyAlignment="1">
      <alignment horizontal="left" vertical="center"/>
    </xf>
    <xf numFmtId="0" fontId="7" fillId="0" borderId="182" xfId="2" applyFont="1" applyFill="1" applyBorder="1" applyAlignment="1">
      <alignment horizontal="left" vertical="center"/>
    </xf>
    <xf numFmtId="0" fontId="10" fillId="0" borderId="135" xfId="2" applyFont="1" applyFill="1" applyBorder="1" applyAlignment="1">
      <alignment horizontal="left" vertical="center"/>
    </xf>
    <xf numFmtId="0" fontId="7" fillId="0" borderId="136" xfId="2" applyFont="1" applyFill="1" applyBorder="1" applyAlignment="1">
      <alignment horizontal="left" vertical="center"/>
    </xf>
    <xf numFmtId="0" fontId="7" fillId="0" borderId="137" xfId="2" applyFont="1" applyFill="1" applyBorder="1" applyAlignment="1">
      <alignment horizontal="left" vertical="center"/>
    </xf>
    <xf numFmtId="0" fontId="10" fillId="0" borderId="247" xfId="2" applyFont="1" applyFill="1" applyBorder="1" applyAlignment="1">
      <alignment horizontal="center" vertical="center" textRotation="255"/>
    </xf>
    <xf numFmtId="0" fontId="10" fillId="0" borderId="130" xfId="2" applyFont="1" applyFill="1" applyBorder="1" applyAlignment="1">
      <alignment horizontal="center" vertical="center" textRotation="255"/>
    </xf>
    <xf numFmtId="0" fontId="10" fillId="0" borderId="97" xfId="2" applyFont="1" applyFill="1" applyBorder="1" applyAlignment="1">
      <alignment horizontal="center" vertical="center" textRotation="255"/>
    </xf>
    <xf numFmtId="0" fontId="33" fillId="20" borderId="247" xfId="2" applyFont="1" applyFill="1" applyBorder="1" applyAlignment="1">
      <alignment horizontal="center" vertical="center" textRotation="255" wrapText="1"/>
    </xf>
    <xf numFmtId="0" fontId="36" fillId="0" borderId="91" xfId="2" applyFont="1" applyBorder="1" applyAlignment="1">
      <alignment horizontal="center" vertical="center" textRotation="255" wrapText="1"/>
    </xf>
    <xf numFmtId="38" fontId="10" fillId="0" borderId="85" xfId="2" applyNumberFormat="1" applyFont="1" applyFill="1" applyBorder="1" applyAlignment="1">
      <alignment horizontal="left"/>
    </xf>
    <xf numFmtId="38" fontId="10" fillId="0" borderId="192" xfId="2" applyNumberFormat="1" applyFont="1" applyFill="1" applyBorder="1" applyAlignment="1">
      <alignment horizontal="left"/>
    </xf>
    <xf numFmtId="0" fontId="38" fillId="0" borderId="190" xfId="2" applyFont="1" applyFill="1" applyBorder="1" applyAlignment="1">
      <alignment horizontal="left"/>
    </xf>
    <xf numFmtId="0" fontId="38" fillId="0" borderId="89" xfId="2" applyFont="1" applyFill="1" applyBorder="1" applyAlignment="1">
      <alignment horizontal="left"/>
    </xf>
    <xf numFmtId="0" fontId="38" fillId="0" borderId="183" xfId="2" applyFont="1" applyFill="1" applyBorder="1" applyAlignment="1">
      <alignment horizontal="left"/>
    </xf>
    <xf numFmtId="38" fontId="10" fillId="0" borderId="88" xfId="2" applyNumberFormat="1" applyFont="1" applyFill="1" applyBorder="1" applyAlignment="1">
      <alignment horizontal="left"/>
    </xf>
    <xf numFmtId="38" fontId="10" fillId="0" borderId="181" xfId="2" applyNumberFormat="1" applyFont="1" applyFill="1" applyBorder="1" applyAlignment="1">
      <alignment horizontal="left"/>
    </xf>
    <xf numFmtId="0" fontId="10" fillId="0" borderId="249" xfId="2" applyFont="1" applyFill="1" applyBorder="1" applyAlignment="1">
      <alignment horizontal="center"/>
    </xf>
    <xf numFmtId="0" fontId="10" fillId="0" borderId="148" xfId="2" applyFont="1" applyFill="1" applyBorder="1" applyAlignment="1">
      <alignment horizontal="center"/>
    </xf>
    <xf numFmtId="0" fontId="10" fillId="0" borderId="90" xfId="2" applyFont="1" applyFill="1" applyBorder="1" applyAlignment="1">
      <alignment horizontal="center"/>
    </xf>
    <xf numFmtId="0" fontId="10" fillId="0" borderId="91" xfId="2" applyFont="1" applyFill="1" applyBorder="1" applyAlignment="1">
      <alignment horizontal="center" vertical="center" textRotation="255"/>
    </xf>
    <xf numFmtId="0" fontId="10" fillId="0" borderId="187" xfId="2" applyFont="1" applyFill="1" applyBorder="1" applyAlignment="1">
      <alignment horizontal="center" wrapText="1"/>
    </xf>
    <xf numFmtId="0" fontId="10" fillId="0" borderId="188" xfId="2" applyFont="1" applyFill="1" applyBorder="1" applyAlignment="1">
      <alignment horizontal="center" wrapText="1"/>
    </xf>
    <xf numFmtId="0" fontId="10" fillId="0" borderId="207" xfId="2" applyFont="1" applyFill="1" applyBorder="1" applyAlignment="1">
      <alignment horizontal="center" wrapText="1"/>
    </xf>
    <xf numFmtId="0" fontId="16" fillId="0" borderId="190" xfId="2" applyFont="1" applyFill="1" applyBorder="1" applyAlignment="1">
      <alignment horizontal="center" wrapText="1"/>
    </xf>
    <xf numFmtId="0" fontId="16" fillId="0" borderId="89" xfId="2" applyFont="1" applyFill="1" applyBorder="1" applyAlignment="1">
      <alignment horizontal="center" wrapText="1"/>
    </xf>
    <xf numFmtId="0" fontId="16" fillId="0" borderId="183" xfId="2" applyFont="1" applyFill="1" applyBorder="1" applyAlignment="1">
      <alignment horizontal="center" wrapText="1"/>
    </xf>
    <xf numFmtId="0" fontId="23" fillId="0" borderId="162" xfId="2" applyFont="1" applyFill="1" applyBorder="1" applyAlignment="1">
      <alignment horizontal="left" shrinkToFit="1"/>
    </xf>
    <xf numFmtId="0" fontId="7" fillId="0" borderId="162" xfId="2" applyFont="1" applyBorder="1" applyAlignment="1">
      <alignment shrinkToFit="1"/>
    </xf>
    <xf numFmtId="0" fontId="7" fillId="0" borderId="181" xfId="2" applyFont="1" applyBorder="1" applyAlignment="1">
      <alignment shrinkToFit="1"/>
    </xf>
    <xf numFmtId="0" fontId="23" fillId="0" borderId="191" xfId="2" applyFont="1" applyFill="1" applyBorder="1" applyAlignment="1">
      <alignment horizontal="center" vertical="center" wrapText="1"/>
    </xf>
    <xf numFmtId="0" fontId="23" fillId="0" borderId="91" xfId="2" applyFont="1" applyFill="1" applyBorder="1" applyAlignment="1">
      <alignment horizontal="center" vertical="center" wrapText="1"/>
    </xf>
    <xf numFmtId="0" fontId="38" fillId="0" borderId="190" xfId="2" applyFont="1" applyFill="1" applyBorder="1" applyAlignment="1">
      <alignment horizontal="left" shrinkToFit="1"/>
    </xf>
    <xf numFmtId="0" fontId="38" fillId="0" borderId="89" xfId="2" applyFont="1" applyFill="1" applyBorder="1" applyAlignment="1">
      <alignment horizontal="left" shrinkToFit="1"/>
    </xf>
    <xf numFmtId="0" fontId="38" fillId="0" borderId="183" xfId="2" applyFont="1" applyFill="1" applyBorder="1" applyAlignment="1">
      <alignment horizontal="left" shrinkToFit="1"/>
    </xf>
    <xf numFmtId="0" fontId="10" fillId="0" borderId="249" xfId="2" applyFont="1" applyFill="1" applyBorder="1" applyAlignment="1">
      <alignment horizontal="center" shrinkToFit="1"/>
    </xf>
    <xf numFmtId="0" fontId="10" fillId="0" borderId="148" xfId="2" applyFont="1" applyFill="1" applyBorder="1" applyAlignment="1">
      <alignment horizontal="center" shrinkToFit="1"/>
    </xf>
    <xf numFmtId="0" fontId="10" fillId="0" borderId="90" xfId="2" applyFont="1" applyFill="1" applyBorder="1" applyAlignment="1">
      <alignment horizontal="center" shrinkToFit="1"/>
    </xf>
    <xf numFmtId="0" fontId="10" fillId="20" borderId="247" xfId="2" applyFont="1" applyFill="1" applyBorder="1" applyAlignment="1">
      <alignment horizontal="center" vertical="center" textRotation="255"/>
    </xf>
    <xf numFmtId="0" fontId="10" fillId="20" borderId="130" xfId="2" applyFont="1" applyFill="1" applyBorder="1" applyAlignment="1">
      <alignment horizontal="center" vertical="center" textRotation="255"/>
    </xf>
    <xf numFmtId="0" fontId="10" fillId="20" borderId="97" xfId="2" applyFont="1" applyFill="1" applyBorder="1" applyAlignment="1">
      <alignment horizontal="center" vertical="center" textRotation="255"/>
    </xf>
    <xf numFmtId="0" fontId="10" fillId="0" borderId="191" xfId="2" applyFont="1" applyFill="1" applyBorder="1" applyAlignment="1">
      <alignment horizontal="center" vertical="center" wrapText="1"/>
    </xf>
    <xf numFmtId="0" fontId="10" fillId="0" borderId="91" xfId="2" applyFont="1" applyFill="1" applyBorder="1" applyAlignment="1">
      <alignment horizontal="center" vertical="center" wrapText="1"/>
    </xf>
    <xf numFmtId="0" fontId="10" fillId="0" borderId="250" xfId="2" applyFont="1" applyFill="1" applyBorder="1" applyAlignment="1">
      <alignment horizontal="center" shrinkToFit="1"/>
    </xf>
    <xf numFmtId="0" fontId="10" fillId="20" borderId="191" xfId="2" applyFont="1" applyFill="1" applyBorder="1" applyAlignment="1">
      <alignment horizontal="center" vertical="center" textRotation="255"/>
    </xf>
    <xf numFmtId="0" fontId="36" fillId="0" borderId="97" xfId="2" applyFont="1" applyBorder="1" applyAlignment="1">
      <alignment horizontal="center" vertical="center" textRotation="255" wrapText="1"/>
    </xf>
    <xf numFmtId="0" fontId="38" fillId="31" borderId="314" xfId="2" applyFont="1" applyFill="1" applyBorder="1" applyAlignment="1">
      <alignment horizontal="center" vertical="center"/>
    </xf>
    <xf numFmtId="0" fontId="24" fillId="31" borderId="315" xfId="0" applyFont="1" applyFill="1" applyBorder="1" applyAlignment="1">
      <alignment horizontal="center" vertical="center"/>
    </xf>
    <xf numFmtId="0" fontId="10" fillId="0" borderId="211" xfId="2" applyFont="1" applyBorder="1" applyAlignment="1">
      <alignment horizontal="right"/>
    </xf>
    <xf numFmtId="0" fontId="10" fillId="0" borderId="182" xfId="2" applyFont="1" applyBorder="1" applyAlignment="1">
      <alignment horizontal="right"/>
    </xf>
    <xf numFmtId="0" fontId="10" fillId="0" borderId="163" xfId="2" applyFont="1" applyBorder="1" applyAlignment="1">
      <alignment horizontal="right" vertical="center" wrapText="1" shrinkToFit="1"/>
    </xf>
    <xf numFmtId="0" fontId="10" fillId="0" borderId="164" xfId="2" applyFont="1" applyBorder="1" applyAlignment="1">
      <alignment horizontal="right" vertical="center" shrinkToFit="1"/>
    </xf>
    <xf numFmtId="0" fontId="10" fillId="0" borderId="180" xfId="2" applyFont="1" applyBorder="1" applyAlignment="1">
      <alignment horizontal="right" vertical="center" shrinkToFit="1"/>
    </xf>
    <xf numFmtId="0" fontId="10" fillId="0" borderId="161" xfId="2" applyFont="1" applyBorder="1" applyAlignment="1">
      <alignment horizontal="right" vertical="center" wrapText="1" shrinkToFit="1"/>
    </xf>
    <xf numFmtId="0" fontId="10" fillId="0" borderId="162" xfId="2" applyFont="1" applyBorder="1" applyAlignment="1">
      <alignment horizontal="right" vertical="center" shrinkToFit="1"/>
    </xf>
    <xf numFmtId="0" fontId="10" fillId="0" borderId="181" xfId="2" applyFont="1" applyBorder="1" applyAlignment="1">
      <alignment horizontal="right" vertical="center" shrinkToFit="1"/>
    </xf>
    <xf numFmtId="0" fontId="10" fillId="20" borderId="148" xfId="2" applyFont="1" applyFill="1" applyBorder="1" applyAlignment="1">
      <alignment horizontal="center"/>
    </xf>
    <xf numFmtId="0" fontId="10" fillId="20" borderId="90" xfId="2" applyFont="1" applyFill="1" applyBorder="1" applyAlignment="1">
      <alignment horizontal="center"/>
    </xf>
    <xf numFmtId="0" fontId="10" fillId="20" borderId="91" xfId="2" applyFont="1" applyFill="1" applyBorder="1" applyAlignment="1">
      <alignment horizontal="center" vertical="center" textRotation="255"/>
    </xf>
    <xf numFmtId="0" fontId="12" fillId="0" borderId="14" xfId="0" applyFont="1" applyFill="1" applyBorder="1" applyAlignment="1">
      <alignment horizontal="left" vertical="center" shrinkToFit="1"/>
    </xf>
    <xf numFmtId="0" fontId="0" fillId="0" borderId="15" xfId="0" applyFill="1" applyBorder="1" applyAlignment="1">
      <alignment vertical="center" shrinkToFit="1"/>
    </xf>
    <xf numFmtId="38" fontId="15" fillId="0" borderId="15" xfId="2" applyNumberFormat="1" applyFont="1" applyFill="1" applyBorder="1" applyAlignment="1">
      <alignment horizontal="left" vertical="center"/>
    </xf>
    <xf numFmtId="0" fontId="0" fillId="0" borderId="15" xfId="0" applyFill="1" applyBorder="1" applyAlignment="1">
      <alignment vertical="center"/>
    </xf>
    <xf numFmtId="0" fontId="9" fillId="14" borderId="89" xfId="0" applyFont="1" applyFill="1" applyBorder="1" applyAlignment="1">
      <alignment horizontal="right" shrinkToFit="1"/>
    </xf>
    <xf numFmtId="0" fontId="0" fillId="0" borderId="89" xfId="0" applyFont="1" applyBorder="1" applyAlignment="1">
      <alignment shrinkToFit="1"/>
    </xf>
    <xf numFmtId="0" fontId="0" fillId="0" borderId="183" xfId="0" applyFont="1" applyBorder="1" applyAlignment="1">
      <alignment shrinkToFit="1"/>
    </xf>
    <xf numFmtId="0" fontId="38" fillId="14" borderId="187" xfId="0" applyFont="1" applyFill="1" applyBorder="1" applyAlignment="1">
      <alignment horizontal="center" shrinkToFit="1"/>
    </xf>
    <xf numFmtId="0" fontId="38" fillId="14" borderId="188" xfId="0" applyFont="1" applyFill="1" applyBorder="1" applyAlignment="1">
      <alignment horizontal="center" shrinkToFit="1"/>
    </xf>
    <xf numFmtId="0" fontId="38" fillId="14" borderId="207" xfId="0" applyFont="1" applyFill="1" applyBorder="1" applyAlignment="1">
      <alignment horizontal="center" shrinkToFit="1"/>
    </xf>
    <xf numFmtId="0" fontId="17" fillId="0" borderId="15" xfId="0" applyFont="1" applyFill="1" applyBorder="1" applyAlignment="1">
      <alignment horizontal="center" vertical="center" shrinkToFit="1"/>
    </xf>
    <xf numFmtId="0" fontId="0" fillId="0" borderId="15" xfId="0" applyFill="1" applyBorder="1" applyAlignment="1">
      <alignment horizontal="center" vertical="center" shrinkToFit="1"/>
    </xf>
    <xf numFmtId="0" fontId="33" fillId="14" borderId="191" xfId="0" applyFont="1" applyFill="1" applyBorder="1" applyAlignment="1">
      <alignment horizontal="center" wrapText="1"/>
    </xf>
    <xf numFmtId="0" fontId="36" fillId="0" borderId="91" xfId="0" applyFont="1" applyBorder="1" applyAlignment="1">
      <alignment horizontal="center" wrapText="1"/>
    </xf>
    <xf numFmtId="0" fontId="9" fillId="14" borderId="207" xfId="0" applyFont="1" applyFill="1" applyBorder="1" applyAlignment="1">
      <alignment horizontal="center" vertical="center" textRotation="255"/>
    </xf>
    <xf numFmtId="0" fontId="0" fillId="0" borderId="196" xfId="0" applyBorder="1" applyAlignment="1">
      <alignment horizontal="center" vertical="center" textRotation="255"/>
    </xf>
    <xf numFmtId="0" fontId="0" fillId="0" borderId="183" xfId="0" applyBorder="1" applyAlignment="1">
      <alignment horizontal="center" vertical="center" textRotation="255"/>
    </xf>
    <xf numFmtId="0" fontId="27" fillId="0" borderId="11" xfId="0" applyFont="1" applyBorder="1" applyAlignment="1">
      <alignment horizontal="center" vertical="center"/>
    </xf>
    <xf numFmtId="0" fontId="0" fillId="0" borderId="11" xfId="0" applyBorder="1" applyAlignment="1">
      <alignment vertical="center"/>
    </xf>
    <xf numFmtId="181" fontId="29" fillId="0" borderId="228" xfId="0" applyNumberFormat="1" applyFont="1" applyBorder="1" applyAlignment="1" applyProtection="1">
      <alignment horizontal="center" vertical="center" wrapText="1"/>
      <protection locked="0"/>
    </xf>
    <xf numFmtId="181" fontId="29" fillId="0" borderId="229" xfId="0" applyNumberFormat="1" applyFont="1" applyBorder="1" applyAlignment="1" applyProtection="1">
      <alignment horizontal="center" vertical="center" wrapText="1"/>
      <protection locked="0"/>
    </xf>
    <xf numFmtId="181" fontId="29" fillId="0" borderId="230" xfId="0" applyNumberFormat="1" applyFont="1" applyBorder="1" applyAlignment="1" applyProtection="1">
      <alignment horizontal="center" vertical="center" wrapText="1"/>
      <protection locked="0"/>
    </xf>
    <xf numFmtId="181" fontId="29" fillId="0" borderId="320" xfId="0" applyNumberFormat="1" applyFont="1" applyBorder="1" applyAlignment="1" applyProtection="1">
      <alignment horizontal="left" vertical="center" wrapText="1"/>
      <protection locked="0"/>
    </xf>
    <xf numFmtId="181" fontId="29" fillId="0" borderId="321" xfId="0" applyNumberFormat="1" applyFont="1" applyBorder="1" applyAlignment="1" applyProtection="1">
      <alignment horizontal="left" vertical="center" wrapText="1"/>
      <protection locked="0"/>
    </xf>
    <xf numFmtId="181" fontId="29" fillId="0" borderId="322" xfId="0" applyNumberFormat="1" applyFont="1" applyBorder="1" applyAlignment="1" applyProtection="1">
      <alignment horizontal="left" vertical="center" wrapText="1"/>
      <protection locked="0"/>
    </xf>
    <xf numFmtId="181" fontId="29" fillId="0" borderId="156" xfId="0" applyNumberFormat="1" applyFont="1" applyBorder="1" applyAlignment="1" applyProtection="1">
      <alignment horizontal="left" vertical="center" wrapText="1"/>
      <protection locked="0"/>
    </xf>
    <xf numFmtId="181" fontId="29" fillId="0" borderId="38" xfId="0" applyNumberFormat="1" applyFont="1" applyBorder="1" applyAlignment="1" applyProtection="1">
      <alignment horizontal="left" vertical="center" wrapText="1"/>
      <protection locked="0"/>
    </xf>
    <xf numFmtId="181" fontId="29" fillId="0" borderId="39" xfId="0" applyNumberFormat="1" applyFont="1" applyBorder="1" applyAlignment="1" applyProtection="1">
      <alignment horizontal="left" vertical="center" wrapText="1"/>
      <protection locked="0"/>
    </xf>
    <xf numFmtId="179" fontId="23" fillId="0" borderId="157" xfId="0" applyNumberFormat="1" applyFont="1" applyBorder="1" applyAlignment="1">
      <alignment horizontal="center" vertical="center" shrinkToFit="1"/>
    </xf>
    <xf numFmtId="179" fontId="23" fillId="0" borderId="158" xfId="0" applyNumberFormat="1" applyFont="1" applyBorder="1" applyAlignment="1">
      <alignment horizontal="center" vertical="center" shrinkToFit="1"/>
    </xf>
    <xf numFmtId="0" fontId="26" fillId="0" borderId="0" xfId="0" applyFont="1" applyAlignment="1" applyProtection="1">
      <alignment horizontal="center" vertical="center"/>
      <protection locked="0"/>
    </xf>
    <xf numFmtId="179" fontId="23" fillId="0" borderId="159" xfId="0" applyNumberFormat="1" applyFont="1" applyBorder="1" applyAlignment="1" applyProtection="1">
      <alignment horizontal="center" vertical="center" shrinkToFit="1"/>
      <protection locked="0"/>
    </xf>
    <xf numFmtId="179" fontId="23" fillId="0" borderId="103" xfId="0" applyNumberFormat="1" applyFont="1" applyBorder="1" applyAlignment="1" applyProtection="1">
      <alignment horizontal="center" vertical="center" shrinkToFit="1"/>
      <protection locked="0"/>
    </xf>
    <xf numFmtId="179" fontId="23" fillId="0" borderId="104" xfId="0" applyNumberFormat="1" applyFont="1" applyBorder="1" applyAlignment="1" applyProtection="1">
      <alignment horizontal="center" vertical="center" shrinkToFit="1"/>
      <protection locked="0"/>
    </xf>
    <xf numFmtId="179" fontId="23" fillId="0" borderId="160" xfId="0" applyNumberFormat="1" applyFont="1" applyBorder="1" applyAlignment="1" applyProtection="1">
      <alignment horizontal="center" vertical="center" shrinkToFit="1"/>
      <protection locked="0"/>
    </xf>
    <xf numFmtId="0" fontId="28" fillId="0" borderId="166" xfId="0" applyFont="1" applyBorder="1" applyAlignment="1">
      <alignment horizontal="center" vertical="center" shrinkToFit="1"/>
    </xf>
    <xf numFmtId="0" fontId="28" fillId="0" borderId="167" xfId="0" applyFont="1" applyBorder="1" applyAlignment="1">
      <alignment horizontal="center" vertical="center" shrinkToFit="1"/>
    </xf>
    <xf numFmtId="0" fontId="28" fillId="0" borderId="92" xfId="0" applyFont="1" applyBorder="1" applyAlignment="1">
      <alignment horizontal="center" vertical="center" shrinkToFit="1"/>
    </xf>
    <xf numFmtId="0" fontId="28" fillId="0" borderId="166" xfId="0" applyFont="1" applyBorder="1" applyAlignment="1">
      <alignment horizontal="center" shrinkToFit="1"/>
    </xf>
    <xf numFmtId="0" fontId="28" fillId="0" borderId="167" xfId="0" applyFont="1" applyBorder="1" applyAlignment="1">
      <alignment horizontal="center" shrinkToFit="1"/>
    </xf>
    <xf numFmtId="0" fontId="0" fillId="0" borderId="167" xfId="0" applyBorder="1" applyAlignment="1">
      <alignment horizontal="center" shrinkToFit="1"/>
    </xf>
    <xf numFmtId="0" fontId="0" fillId="0" borderId="92" xfId="0" applyBorder="1" applyAlignment="1">
      <alignment horizontal="center" shrinkToFit="1"/>
    </xf>
    <xf numFmtId="0" fontId="0" fillId="0" borderId="167" xfId="0" applyBorder="1" applyAlignment="1">
      <alignment shrinkToFit="1"/>
    </xf>
    <xf numFmtId="0" fontId="0" fillId="0" borderId="92" xfId="0" applyBorder="1" applyAlignment="1">
      <alignment shrinkToFit="1"/>
    </xf>
    <xf numFmtId="0" fontId="28" fillId="11" borderId="161" xfId="0" applyFont="1" applyFill="1" applyBorder="1" applyAlignment="1">
      <alignment horizontal="center" vertical="center" shrinkToFit="1"/>
    </xf>
    <xf numFmtId="0" fontId="28" fillId="11" borderId="162" xfId="0" applyFont="1" applyFill="1" applyBorder="1" applyAlignment="1">
      <alignment horizontal="center" vertical="center" shrinkToFit="1"/>
    </xf>
    <xf numFmtId="0" fontId="28" fillId="11" borderId="94" xfId="0" applyFont="1" applyFill="1" applyBorder="1" applyAlignment="1">
      <alignment horizontal="center" vertical="center" shrinkToFit="1"/>
    </xf>
    <xf numFmtId="0" fontId="28" fillId="11" borderId="163" xfId="0" applyFont="1" applyFill="1" applyBorder="1" applyAlignment="1">
      <alignment horizontal="center" vertical="center" shrinkToFit="1"/>
    </xf>
    <xf numFmtId="0" fontId="28" fillId="11" borderId="164" xfId="0" applyFont="1" applyFill="1" applyBorder="1" applyAlignment="1">
      <alignment horizontal="center" vertical="center" shrinkToFit="1"/>
    </xf>
    <xf numFmtId="0" fontId="28" fillId="11" borderId="99" xfId="0" applyFont="1" applyFill="1" applyBorder="1" applyAlignment="1">
      <alignment horizontal="center" vertical="center" shrinkToFit="1"/>
    </xf>
    <xf numFmtId="0" fontId="28" fillId="11" borderId="118" xfId="0" applyFont="1" applyFill="1" applyBorder="1" applyAlignment="1">
      <alignment horizontal="center" vertical="center" shrinkToFit="1"/>
    </xf>
    <xf numFmtId="0" fontId="28" fillId="11" borderId="165" xfId="0" applyFont="1" applyFill="1" applyBorder="1" applyAlignment="1">
      <alignment horizontal="center" vertical="center" shrinkToFit="1"/>
    </xf>
    <xf numFmtId="0" fontId="28" fillId="11" borderId="93" xfId="0" applyFont="1" applyFill="1" applyBorder="1" applyAlignment="1">
      <alignment horizontal="center" vertical="center" shrinkToFit="1"/>
    </xf>
    <xf numFmtId="0" fontId="28" fillId="11" borderId="163" xfId="0" applyFont="1" applyFill="1" applyBorder="1" applyAlignment="1">
      <alignment horizontal="center" vertical="center"/>
    </xf>
    <xf numFmtId="0" fontId="28" fillId="11" borderId="164" xfId="0" applyFont="1" applyFill="1" applyBorder="1" applyAlignment="1">
      <alignment horizontal="center" vertical="center"/>
    </xf>
    <xf numFmtId="0" fontId="28" fillId="11" borderId="99" xfId="0" applyFont="1" applyFill="1" applyBorder="1" applyAlignment="1">
      <alignment horizontal="center" vertical="center"/>
    </xf>
    <xf numFmtId="0" fontId="28" fillId="11" borderId="118" xfId="0" applyFont="1" applyFill="1" applyBorder="1" applyAlignment="1">
      <alignment horizontal="center" vertical="center"/>
    </xf>
    <xf numFmtId="0" fontId="28" fillId="11" borderId="165" xfId="0" applyFont="1" applyFill="1" applyBorder="1" applyAlignment="1">
      <alignment horizontal="center" vertical="center"/>
    </xf>
    <xf numFmtId="0" fontId="28" fillId="11" borderId="93" xfId="0" applyFont="1" applyFill="1" applyBorder="1" applyAlignment="1">
      <alignment horizontal="center" vertical="center"/>
    </xf>
    <xf numFmtId="0" fontId="23" fillId="0" borderId="133" xfId="0" applyFont="1" applyBorder="1" applyAlignment="1">
      <alignment horizontal="center" vertical="center" shrinkToFit="1"/>
    </xf>
    <xf numFmtId="0" fontId="23" fillId="0" borderId="169" xfId="0" applyFont="1" applyBorder="1" applyAlignment="1">
      <alignment horizontal="center" vertical="center" shrinkToFit="1"/>
    </xf>
    <xf numFmtId="0" fontId="23" fillId="0" borderId="170" xfId="0" applyFont="1" applyBorder="1" applyAlignment="1">
      <alignment horizontal="center" vertical="center"/>
    </xf>
    <xf numFmtId="0" fontId="0" fillId="0" borderId="133" xfId="0" applyBorder="1" applyAlignment="1">
      <alignment horizontal="center" vertical="center"/>
    </xf>
    <xf numFmtId="0" fontId="0" fillId="0" borderId="171" xfId="0" applyBorder="1" applyAlignment="1">
      <alignment horizontal="center" vertical="center"/>
    </xf>
    <xf numFmtId="9" fontId="23" fillId="10" borderId="172" xfId="0" applyNumberFormat="1" applyFont="1" applyFill="1" applyBorder="1" applyAlignment="1" applyProtection="1">
      <alignment horizontal="center" vertical="center" shrinkToFit="1"/>
      <protection locked="0"/>
    </xf>
    <xf numFmtId="9" fontId="0" fillId="10" borderId="173" xfId="0" applyNumberFormat="1" applyFill="1" applyBorder="1" applyAlignment="1">
      <alignment horizontal="center" vertical="center" shrinkToFit="1"/>
    </xf>
    <xf numFmtId="178" fontId="23" fillId="0" borderId="174" xfId="0" applyNumberFormat="1" applyFont="1" applyBorder="1" applyAlignment="1" applyProtection="1">
      <alignment horizontal="left" vertical="center" shrinkToFit="1"/>
      <protection locked="0"/>
    </xf>
    <xf numFmtId="178" fontId="23" fillId="0" borderId="136" xfId="0" applyNumberFormat="1" applyFont="1" applyBorder="1" applyAlignment="1" applyProtection="1">
      <alignment horizontal="left" vertical="center" shrinkToFit="1"/>
      <protection locked="0"/>
    </xf>
    <xf numFmtId="178" fontId="23" fillId="0" borderId="175" xfId="0" applyNumberFormat="1" applyFont="1" applyBorder="1" applyAlignment="1" applyProtection="1">
      <alignment horizontal="left" vertical="center" shrinkToFit="1"/>
      <protection locked="0"/>
    </xf>
    <xf numFmtId="0" fontId="26" fillId="0" borderId="168" xfId="0" applyFont="1" applyBorder="1" applyAlignment="1" applyProtection="1">
      <alignment horizontal="center" vertical="center"/>
      <protection locked="0"/>
    </xf>
    <xf numFmtId="0" fontId="26" fillId="9" borderId="168" xfId="0" applyFont="1" applyFill="1" applyBorder="1" applyAlignment="1" applyProtection="1">
      <alignment vertical="center" shrinkToFit="1"/>
      <protection locked="0"/>
    </xf>
    <xf numFmtId="181" fontId="29" fillId="0" borderId="215" xfId="0" applyNumberFormat="1" applyFont="1" applyBorder="1" applyAlignment="1" applyProtection="1">
      <alignment horizontal="center" vertical="center" wrapText="1"/>
      <protection locked="0"/>
    </xf>
    <xf numFmtId="181" fontId="29" fillId="0" borderId="213" xfId="0" applyNumberFormat="1" applyFont="1" applyBorder="1" applyAlignment="1" applyProtection="1">
      <alignment horizontal="center" vertical="center" wrapText="1"/>
      <protection locked="0"/>
    </xf>
    <xf numFmtId="181" fontId="29" fillId="0" borderId="214" xfId="0" applyNumberFormat="1" applyFont="1" applyBorder="1" applyAlignment="1" applyProtection="1">
      <alignment horizontal="center" vertical="center" wrapText="1"/>
      <protection locked="0"/>
    </xf>
    <xf numFmtId="0" fontId="13" fillId="0" borderId="231" xfId="0" applyFont="1" applyBorder="1" applyAlignment="1" applyProtection="1">
      <alignment horizontal="center" vertical="center"/>
    </xf>
    <xf numFmtId="0" fontId="27" fillId="0" borderId="14" xfId="0" applyFont="1" applyBorder="1" applyAlignment="1">
      <alignment horizontal="center" vertical="center"/>
    </xf>
    <xf numFmtId="0" fontId="27" fillId="0" borderId="15" xfId="0" applyFont="1" applyBorder="1" applyAlignment="1">
      <alignment horizontal="center" vertical="center"/>
    </xf>
    <xf numFmtId="0" fontId="27" fillId="0" borderId="132" xfId="0" applyFont="1" applyBorder="1" applyAlignment="1">
      <alignment horizontal="center" vertical="center"/>
    </xf>
    <xf numFmtId="181" fontId="29" fillId="0" borderId="238" xfId="0" applyNumberFormat="1" applyFont="1" applyBorder="1" applyAlignment="1" applyProtection="1">
      <alignment horizontal="center" vertical="center" wrapText="1"/>
      <protection locked="0"/>
    </xf>
    <xf numFmtId="181" fontId="29" fillId="0" borderId="239" xfId="0" applyNumberFormat="1" applyFont="1" applyBorder="1" applyAlignment="1" applyProtection="1">
      <alignment horizontal="center" vertical="center" wrapText="1"/>
      <protection locked="0"/>
    </xf>
    <xf numFmtId="181" fontId="29" fillId="0" borderId="240" xfId="0" applyNumberFormat="1" applyFont="1" applyBorder="1" applyAlignment="1" applyProtection="1">
      <alignment horizontal="center" vertical="center" wrapText="1"/>
      <protection locked="0"/>
    </xf>
  </cellXfs>
  <cellStyles count="12">
    <cellStyle name="パーセント 2" xfId="3" xr:uid="{00000000-0005-0000-0000-000000000000}"/>
    <cellStyle name="ハイパーリンク" xfId="9" builtinId="8"/>
    <cellStyle name="桁区切り" xfId="4" builtinId="6"/>
    <cellStyle name="桁区切り 2" xfId="1" xr:uid="{00000000-0005-0000-0000-000003000000}"/>
    <cellStyle name="標準" xfId="0" builtinId="0"/>
    <cellStyle name="標準 2" xfId="2" xr:uid="{00000000-0005-0000-0000-000005000000}"/>
    <cellStyle name="標準 3" xfId="5" xr:uid="{00000000-0005-0000-0000-000006000000}"/>
    <cellStyle name="標準 4" xfId="6" xr:uid="{00000000-0005-0000-0000-000007000000}"/>
    <cellStyle name="標準 4 2" xfId="11" xr:uid="{00000000-0005-0000-0000-000008000000}"/>
    <cellStyle name="標準 5" xfId="7" xr:uid="{00000000-0005-0000-0000-000009000000}"/>
    <cellStyle name="標準 6" xfId="8" xr:uid="{00000000-0005-0000-0000-00000A000000}"/>
    <cellStyle name="標準 7" xfId="10" xr:uid="{00000000-0005-0000-0000-00000B000000}"/>
  </cellStyles>
  <dxfs count="4">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9" defaultPivotStyle="PivotStyleLight16"/>
  <colors>
    <mruColors>
      <color rgb="FFFFCCFF"/>
      <color rgb="FFCCECFF"/>
      <color rgb="FFFFFFCC"/>
      <color rgb="FF99FFCC"/>
      <color rgb="FFFF66FF"/>
      <color rgb="FFFF00FF"/>
      <color rgb="FFFF6600"/>
      <color rgb="FFFF9900"/>
      <color rgb="FFFF99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12700</xdr:colOff>
          <xdr:row>18</xdr:row>
          <xdr:rowOff>76200</xdr:rowOff>
        </xdr:from>
        <xdr:to>
          <xdr:col>20</xdr:col>
          <xdr:colOff>1181100</xdr:colOff>
          <xdr:row>20</xdr:row>
          <xdr:rowOff>139700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既存明細転記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1181100</xdr:colOff>
          <xdr:row>26</xdr:row>
          <xdr:rowOff>457200</xdr:rowOff>
        </xdr:from>
        <xdr:to>
          <xdr:col>20</xdr:col>
          <xdr:colOff>1168400</xdr:colOff>
          <xdr:row>28</xdr:row>
          <xdr:rowOff>25400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諸経費表非表示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1193800</xdr:colOff>
          <xdr:row>29</xdr:row>
          <xdr:rowOff>241300</xdr:rowOff>
        </xdr:from>
        <xdr:to>
          <xdr:col>20</xdr:col>
          <xdr:colOff>1181100</xdr:colOff>
          <xdr:row>31</xdr:row>
          <xdr:rowOff>38100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諸経費表表示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63500</xdr:colOff>
      <xdr:row>4</xdr:row>
      <xdr:rowOff>42334</xdr:rowOff>
    </xdr:from>
    <xdr:to>
      <xdr:col>8</xdr:col>
      <xdr:colOff>349250</xdr:colOff>
      <xdr:row>28</xdr:row>
      <xdr:rowOff>88402</xdr:rowOff>
    </xdr:to>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6868583" y="719667"/>
          <a:ext cx="285750" cy="452281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gn="ctr"/>
          <a:r>
            <a:rPr kumimoji="1" lang="ja-JP" altLang="en-US" sz="1100"/>
            <a:t>この列はシステム上必要な列なので、削除しないで下さい。</a:t>
          </a:r>
        </a:p>
      </xdr:txBody>
    </xdr:sp>
    <xdr:clientData/>
  </xdr:twoCellAnchor>
  <mc:AlternateContent xmlns:mc="http://schemas.openxmlformats.org/markup-compatibility/2006">
    <mc:Choice xmlns:a14="http://schemas.microsoft.com/office/drawing/2010/main" Requires="a14">
      <xdr:twoCellAnchor>
        <xdr:from>
          <xdr:col>11</xdr:col>
          <xdr:colOff>177800</xdr:colOff>
          <xdr:row>2</xdr:row>
          <xdr:rowOff>12700</xdr:rowOff>
        </xdr:from>
        <xdr:to>
          <xdr:col>11</xdr:col>
          <xdr:colOff>1778000</xdr:colOff>
          <xdr:row>6</xdr:row>
          <xdr:rowOff>63500</xdr:rowOff>
        </xdr:to>
        <xdr:sp macro="" textlink="">
          <xdr:nvSpPr>
            <xdr:cNvPr id="23596" name="Button 44" hidden="1">
              <a:extLst>
                <a:ext uri="{63B3BB69-23CF-44E3-9099-C40C66FF867C}">
                  <a14:compatExt spid="_x0000_s23596"/>
                </a:ext>
                <a:ext uri="{FF2B5EF4-FFF2-40B4-BE49-F238E27FC236}">
                  <a16:creationId xmlns:a16="http://schemas.microsoft.com/office/drawing/2014/main" id="{00000000-0008-0000-0100-00002C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1" i="0" u="none" strike="noStrike" baseline="0">
                  <a:solidFill>
                    <a:srgbClr val="0000FF"/>
                  </a:solidFill>
                  <a:latin typeface="Meiryo UI" charset="-128"/>
                  <a:ea typeface="Meiryo UI" charset="-128"/>
                </a:rPr>
                <a:t>諸経費表</a:t>
              </a:r>
            </a:p>
            <a:p>
              <a:pPr algn="ctr" rtl="0">
                <a:defRPr sz="1000"/>
              </a:pPr>
              <a:r>
                <a:rPr lang="ja-JP" altLang="en-US" sz="1100" b="1" i="0" u="none" strike="noStrike" baseline="0">
                  <a:solidFill>
                    <a:srgbClr val="0000FF"/>
                  </a:solidFill>
                  <a:latin typeface="Meiryo UI" charset="-128"/>
                  <a:ea typeface="Meiryo UI" charset="-128"/>
                </a:rPr>
                <a:t>入力フォームを起動</a:t>
              </a:r>
            </a:p>
          </xdr:txBody>
        </xdr:sp>
        <xdr:clientData fPrintsWithSheet="0"/>
      </xdr:twoCellAnchor>
    </mc:Choice>
    <mc:Fallback/>
  </mc:AlternateContent>
  <xdr:twoCellAnchor>
    <xdr:from>
      <xdr:col>11</xdr:col>
      <xdr:colOff>243417</xdr:colOff>
      <xdr:row>9</xdr:row>
      <xdr:rowOff>10584</xdr:rowOff>
    </xdr:from>
    <xdr:to>
      <xdr:col>11</xdr:col>
      <xdr:colOff>1566334</xdr:colOff>
      <xdr:row>13</xdr:row>
      <xdr:rowOff>10583</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318750" y="1534584"/>
          <a:ext cx="1322917" cy="1100666"/>
        </a:xfrm>
        <a:prstGeom prst="rect">
          <a:avLst/>
        </a:prstGeom>
        <a:solidFill>
          <a:schemeClr val="tx2">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状態コード</a:t>
          </a:r>
          <a:endParaRPr kumimoji="1" lang="en-US" altLang="ja-JP" sz="1100"/>
        </a:p>
        <a:p>
          <a:r>
            <a:rPr kumimoji="1" lang="en-US" altLang="ja-JP" sz="1100"/>
            <a:t>0</a:t>
          </a:r>
          <a:r>
            <a:rPr kumimoji="1" lang="ja-JP" altLang="en-US" sz="1100"/>
            <a:t>：初期状態</a:t>
          </a:r>
          <a:endParaRPr kumimoji="1" lang="en-US" altLang="ja-JP" sz="1100"/>
        </a:p>
        <a:p>
          <a:r>
            <a:rPr kumimoji="1" lang="en-US" altLang="ja-JP" sz="1100"/>
            <a:t>1</a:t>
          </a:r>
          <a:r>
            <a:rPr kumimoji="1" lang="ja-JP" altLang="en-US" sz="1100"/>
            <a:t>：</a:t>
          </a:r>
          <a:r>
            <a:rPr kumimoji="1" lang="en-US" altLang="ja-JP" sz="1100"/>
            <a:t>STEP1</a:t>
          </a:r>
          <a:r>
            <a:rPr kumimoji="1" lang="ja-JP" altLang="en-US" sz="1100"/>
            <a:t>完了</a:t>
          </a:r>
          <a:endParaRPr kumimoji="1" lang="en-US" altLang="ja-JP" sz="1100"/>
        </a:p>
        <a:p>
          <a:r>
            <a:rPr kumimoji="1" lang="en-US" altLang="ja-JP" sz="1100"/>
            <a:t>2</a:t>
          </a:r>
          <a:r>
            <a:rPr kumimoji="1" lang="ja-JP" altLang="en-US" sz="1100"/>
            <a:t>：</a:t>
          </a:r>
          <a:r>
            <a:rPr kumimoji="1" lang="en-US" altLang="ja-JP" sz="1100"/>
            <a:t>STEP2</a:t>
          </a:r>
          <a:r>
            <a:rPr kumimoji="1" lang="ja-JP" altLang="en-US" sz="1100"/>
            <a:t>完了</a:t>
          </a:r>
          <a:endParaRPr kumimoji="1" lang="en-US" altLang="ja-JP" sz="1100"/>
        </a:p>
        <a:p>
          <a:r>
            <a:rPr kumimoji="1" lang="en-US" altLang="ja-JP" sz="1100"/>
            <a:t>3</a:t>
          </a:r>
          <a:r>
            <a:rPr kumimoji="1" lang="ja-JP" altLang="en-US" sz="1100"/>
            <a:t>：完了</a:t>
          </a:r>
          <a:endParaRPr kumimoji="1" lang="en-US" altLang="ja-JP" sz="1100"/>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279400</xdr:colOff>
          <xdr:row>2</xdr:row>
          <xdr:rowOff>12700</xdr:rowOff>
        </xdr:from>
        <xdr:to>
          <xdr:col>12</xdr:col>
          <xdr:colOff>1905000</xdr:colOff>
          <xdr:row>6</xdr:row>
          <xdr:rowOff>25400</xdr:rowOff>
        </xdr:to>
        <xdr:sp macro="" textlink="">
          <xdr:nvSpPr>
            <xdr:cNvPr id="12362" name="Button 74" hidden="1">
              <a:extLst>
                <a:ext uri="{63B3BB69-23CF-44E3-9099-C40C66FF867C}">
                  <a14:compatExt spid="_x0000_s12362"/>
                </a:ext>
                <a:ext uri="{FF2B5EF4-FFF2-40B4-BE49-F238E27FC236}">
                  <a16:creationId xmlns:a16="http://schemas.microsoft.com/office/drawing/2014/main" id="{00000000-0008-0000-0200-00004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FF"/>
                  </a:solidFill>
                  <a:latin typeface="Meiryo UI" charset="-128"/>
                  <a:ea typeface="Meiryo UI" charset="-128"/>
                </a:rPr>
                <a:t>資産クラス分割表</a:t>
              </a:r>
            </a:p>
            <a:p>
              <a:pPr algn="ctr" rtl="0">
                <a:defRPr sz="1000"/>
              </a:pPr>
              <a:r>
                <a:rPr lang="ja-JP" altLang="en-US" sz="1200" b="0" i="0" u="none" strike="noStrike" baseline="0">
                  <a:solidFill>
                    <a:srgbClr val="0000FF"/>
                  </a:solidFill>
                  <a:latin typeface="Meiryo UI" charset="-128"/>
                  <a:ea typeface="Meiryo UI" charset="-128"/>
                </a:rPr>
                <a:t>入力フォームを起動</a:t>
              </a:r>
            </a:p>
          </xdr:txBody>
        </xdr:sp>
        <xdr:clientData fPrintsWithSheet="0"/>
      </xdr:twoCellAnchor>
    </mc:Choice>
    <mc:Fallback/>
  </mc:AlternateContent>
  <xdr:twoCellAnchor>
    <xdr:from>
      <xdr:col>9</xdr:col>
      <xdr:colOff>163286</xdr:colOff>
      <xdr:row>2</xdr:row>
      <xdr:rowOff>13607</xdr:rowOff>
    </xdr:from>
    <xdr:to>
      <xdr:col>9</xdr:col>
      <xdr:colOff>503464</xdr:colOff>
      <xdr:row>29</xdr:row>
      <xdr:rowOff>46067</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9701893" y="544286"/>
          <a:ext cx="340178" cy="480856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gn="ctr"/>
          <a:r>
            <a:rPr kumimoji="1" lang="ja-JP" altLang="en-US" sz="1100"/>
            <a:t>この列はシステム上必要な列なので、削除しないで下さい。</a:t>
          </a:r>
        </a:p>
      </xdr:txBody>
    </xdr:sp>
    <xdr:clientData/>
  </xdr:twoCellAnchor>
  <xdr:twoCellAnchor>
    <xdr:from>
      <xdr:col>12</xdr:col>
      <xdr:colOff>449036</xdr:colOff>
      <xdr:row>8</xdr:row>
      <xdr:rowOff>81642</xdr:rowOff>
    </xdr:from>
    <xdr:to>
      <xdr:col>12</xdr:col>
      <xdr:colOff>1771953</xdr:colOff>
      <xdr:row>15</xdr:row>
      <xdr:rowOff>95249</xdr:rowOff>
    </xdr:to>
    <xdr:sp macro="" textlink="">
      <xdr:nvSpPr>
        <xdr:cNvPr id="4" name="テキスト ボックス 3">
          <a:extLst>
            <a:ext uri="{FF2B5EF4-FFF2-40B4-BE49-F238E27FC236}">
              <a16:creationId xmlns:a16="http://schemas.microsoft.com/office/drawing/2014/main" id="{00000000-0008-0000-0200-000004000000}"/>
            </a:ext>
          </a:extLst>
        </xdr:cNvPr>
        <xdr:cNvSpPr txBox="1"/>
      </xdr:nvSpPr>
      <xdr:spPr>
        <a:xfrm>
          <a:off x="13702393" y="1673678"/>
          <a:ext cx="1322917" cy="1251857"/>
        </a:xfrm>
        <a:prstGeom prst="rect">
          <a:avLst/>
        </a:prstGeom>
        <a:solidFill>
          <a:schemeClr val="tx2">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状態コード</a:t>
          </a:r>
          <a:endParaRPr kumimoji="1" lang="en-US" altLang="ja-JP" sz="1100"/>
        </a:p>
        <a:p>
          <a:r>
            <a:rPr kumimoji="1" lang="en-US" altLang="ja-JP" sz="1100"/>
            <a:t>0</a:t>
          </a:r>
          <a:r>
            <a:rPr kumimoji="1" lang="ja-JP" altLang="en-US" sz="1100"/>
            <a:t>：初期状態</a:t>
          </a:r>
          <a:endParaRPr kumimoji="1" lang="en-US" altLang="ja-JP" sz="1100"/>
        </a:p>
        <a:p>
          <a:r>
            <a:rPr kumimoji="1" lang="en-US" altLang="ja-JP" sz="1100"/>
            <a:t>1</a:t>
          </a:r>
          <a:r>
            <a:rPr kumimoji="1" lang="ja-JP" altLang="en-US" sz="1100"/>
            <a:t>：</a:t>
          </a:r>
          <a:r>
            <a:rPr kumimoji="1" lang="en-US" altLang="ja-JP" sz="1100"/>
            <a:t>STEP1</a:t>
          </a:r>
          <a:r>
            <a:rPr kumimoji="1" lang="ja-JP" altLang="en-US" sz="1100"/>
            <a:t>完了</a:t>
          </a:r>
          <a:endParaRPr kumimoji="1" lang="en-US" altLang="ja-JP" sz="1100"/>
        </a:p>
        <a:p>
          <a:r>
            <a:rPr kumimoji="1" lang="en-US" altLang="ja-JP" sz="1100"/>
            <a:t>2</a:t>
          </a:r>
          <a:r>
            <a:rPr kumimoji="1" lang="ja-JP" altLang="en-US" sz="1100"/>
            <a:t>：</a:t>
          </a:r>
          <a:r>
            <a:rPr kumimoji="1" lang="en-US" altLang="ja-JP" sz="1100"/>
            <a:t>STEP2</a:t>
          </a:r>
          <a:r>
            <a:rPr kumimoji="1" lang="ja-JP" altLang="en-US" sz="1100"/>
            <a:t>完了</a:t>
          </a:r>
          <a:endParaRPr kumimoji="1" lang="en-US" altLang="ja-JP" sz="1100"/>
        </a:p>
        <a:p>
          <a:r>
            <a:rPr kumimoji="1" lang="en-US" altLang="ja-JP" sz="1100"/>
            <a:t>3</a:t>
          </a:r>
          <a:r>
            <a:rPr kumimoji="1" lang="ja-JP" altLang="en-US" sz="1100"/>
            <a:t>：</a:t>
          </a:r>
          <a:r>
            <a:rPr kumimoji="1" lang="en-US" altLang="ja-JP" sz="1100"/>
            <a:t>STEP3</a:t>
          </a:r>
          <a:r>
            <a:rPr kumimoji="1" lang="ja-JP" altLang="en-US" sz="1100"/>
            <a:t>完了</a:t>
          </a:r>
          <a:endParaRPr kumimoji="1" lang="en-US" altLang="ja-JP" sz="1100"/>
        </a:p>
        <a:p>
          <a:r>
            <a:rPr kumimoji="1" lang="en-US" altLang="ja-JP" sz="1100"/>
            <a:t>4</a:t>
          </a:r>
          <a:r>
            <a:rPr kumimoji="1" lang="ja-JP" altLang="en-US" sz="1100"/>
            <a:t>：完了</a:t>
          </a:r>
          <a:endParaRPr kumimoji="1" lang="en-US" altLang="ja-JP" sz="1100"/>
        </a:p>
        <a:p>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123825</xdr:rowOff>
    </xdr:from>
    <xdr:to>
      <xdr:col>4</xdr:col>
      <xdr:colOff>1333500</xdr:colOff>
      <xdr:row>3</xdr:row>
      <xdr:rowOff>219075</xdr:rowOff>
    </xdr:to>
    <xdr:sp macro="" textlink="">
      <xdr:nvSpPr>
        <xdr:cNvPr id="11267" name="Text Box 3">
          <a:extLst>
            <a:ext uri="{FF2B5EF4-FFF2-40B4-BE49-F238E27FC236}">
              <a16:creationId xmlns:a16="http://schemas.microsoft.com/office/drawing/2014/main" id="{00000000-0008-0000-0500-0000032C0000}"/>
            </a:ext>
          </a:extLst>
        </xdr:cNvPr>
        <xdr:cNvSpPr txBox="1">
          <a:spLocks noChangeArrowheads="1"/>
        </xdr:cNvSpPr>
      </xdr:nvSpPr>
      <xdr:spPr bwMode="auto">
        <a:xfrm>
          <a:off x="714375" y="0"/>
          <a:ext cx="3857625" cy="542925"/>
        </a:xfrm>
        <a:prstGeom prst="rect">
          <a:avLst/>
        </a:prstGeom>
        <a:solidFill>
          <a:srgbClr val="FFCC99"/>
        </a:solidFill>
        <a:ln w="28575">
          <a:solidFill>
            <a:srgbClr val="000000"/>
          </a:solidFill>
          <a:miter lim="800000"/>
          <a:headEnd/>
          <a:tailEnd/>
        </a:ln>
      </xdr:spPr>
      <xdr:txBody>
        <a:bodyPr vertOverflow="clip" wrap="square" lIns="27432" tIns="18288" rIns="0" bIns="0" anchor="t" upright="1"/>
        <a:lstStyle/>
        <a:p>
          <a:pPr algn="l" rtl="0">
            <a:defRPr sz="1000"/>
          </a:pPr>
          <a:r>
            <a:rPr lang="ja-JP" altLang="en-US" sz="1200" b="0" i="0" strike="noStrike">
              <a:solidFill>
                <a:srgbClr val="000000"/>
              </a:solidFill>
              <a:latin typeface="ＭＳ Ｐゴシック"/>
              <a:ea typeface="ＭＳ Ｐゴシック"/>
            </a:rPr>
            <a:t>代価では、各ページの先頭行（名称の下の代価</a:t>
          </a:r>
          <a:r>
            <a:rPr lang="en-US" altLang="ja-JP" sz="1200" b="0" i="0" strike="noStrike">
              <a:solidFill>
                <a:srgbClr val="000000"/>
              </a:solidFill>
              <a:latin typeface="ＭＳ Ｐゴシック"/>
              <a:ea typeface="ＭＳ Ｐゴシック"/>
            </a:rPr>
            <a:t>??</a:t>
          </a:r>
          <a:r>
            <a:rPr lang="ja-JP" altLang="en-US" sz="1200" b="0" i="0" strike="noStrike">
              <a:solidFill>
                <a:srgbClr val="000000"/>
              </a:solidFill>
              <a:latin typeface="ＭＳ Ｐゴシック"/>
              <a:ea typeface="ＭＳ Ｐゴシック"/>
            </a:rPr>
            <a:t>の行）に、そのページの項目、単位を記載してください。コード入力の際に使用します。　</a:t>
          </a:r>
          <a:r>
            <a:rPr lang="en-US" altLang="ja-JP" sz="1200" b="0" i="0" strike="noStrike">
              <a:solidFill>
                <a:srgbClr val="000000"/>
              </a:solidFill>
              <a:latin typeface="ＭＳ Ｐゴシック"/>
              <a:ea typeface="ＭＳ Ｐゴシック"/>
            </a:rPr>
            <a:t>[</a:t>
          </a:r>
          <a:r>
            <a:rPr lang="ja-JP" altLang="en-US" sz="1200" b="0" i="0" strike="noStrike">
              <a:solidFill>
                <a:srgbClr val="000000"/>
              </a:solidFill>
              <a:latin typeface="ＭＳ Ｐゴシック"/>
              <a:ea typeface="ＭＳ Ｐゴシック"/>
            </a:rPr>
            <a:t>未使用</a:t>
          </a:r>
          <a:r>
            <a:rPr lang="en-US" altLang="ja-JP" sz="1200" b="0" i="0" strike="noStrike">
              <a:solidFill>
                <a:srgbClr val="000000"/>
              </a:solidFill>
              <a:latin typeface="ＭＳ Ｐゴシック"/>
              <a:ea typeface="ＭＳ Ｐゴシック"/>
            </a:rPr>
            <a:t>]</a:t>
          </a:r>
          <a:r>
            <a:rPr lang="ja-JP" altLang="en-US" sz="1200" b="0" i="0" strike="noStrike">
              <a:solidFill>
                <a:srgbClr val="000000"/>
              </a:solidFill>
              <a:latin typeface="ＭＳ Ｐゴシック"/>
              <a:ea typeface="ＭＳ Ｐゴシック"/>
            </a:rPr>
            <a:t>の欄を記入してください</a:t>
          </a:r>
          <a:r>
            <a:rPr lang="en-US" altLang="ja-JP" sz="1200" b="0" i="0" strike="noStrike">
              <a:solidFill>
                <a:srgbClr val="000000"/>
              </a:solidFill>
              <a:latin typeface="ＭＳ Ｐゴシック"/>
              <a:ea typeface="ＭＳ Ｐゴシック"/>
            </a:rPr>
            <a:t>.</a:t>
          </a:r>
        </a:p>
        <a:p>
          <a:pPr algn="l" rtl="0">
            <a:defRPr sz="1000"/>
          </a:pPr>
          <a:r>
            <a:rPr lang="en-US" altLang="ja-JP" sz="1200" b="0" i="0" strike="noStrike">
              <a:solidFill>
                <a:srgbClr val="000000"/>
              </a:solidFill>
              <a:latin typeface="ＭＳ Ｐゴシック"/>
              <a:ea typeface="ＭＳ Ｐゴシック"/>
            </a:rPr>
            <a:t>Z</a:t>
          </a:r>
          <a:r>
            <a:rPr lang="ja-JP" altLang="en-US" sz="1200" b="0" i="0" strike="noStrike">
              <a:solidFill>
                <a:srgbClr val="000000"/>
              </a:solidFill>
              <a:latin typeface="ＭＳ Ｐゴシック"/>
              <a:ea typeface="ＭＳ Ｐゴシック"/>
            </a:rPr>
            <a:t>列以降に表計算が記入されています。</a:t>
          </a:r>
        </a:p>
        <a:p>
          <a:pPr algn="l" rtl="0">
            <a:defRPr sz="1000"/>
          </a:pPr>
          <a:r>
            <a:rPr lang="ja-JP" altLang="en-US" sz="1200" b="0" i="0" strike="noStrike">
              <a:solidFill>
                <a:srgbClr val="000000"/>
              </a:solidFill>
              <a:latin typeface="ＭＳ Ｐゴシック"/>
              <a:ea typeface="ＭＳ Ｐゴシック"/>
            </a:rPr>
            <a:t>！！！行全体の削除は止めてください！！</a:t>
          </a:r>
        </a:p>
      </xdr:txBody>
    </xdr:sp>
    <xdr:clientData fPrintsWithSheet="0"/>
  </xdr:twoCellAnchor>
  <xdr:twoCellAnchor>
    <xdr:from>
      <xdr:col>3</xdr:col>
      <xdr:colOff>1917700</xdr:colOff>
      <xdr:row>8</xdr:row>
      <xdr:rowOff>152400</xdr:rowOff>
    </xdr:from>
    <xdr:to>
      <xdr:col>5</xdr:col>
      <xdr:colOff>749300</xdr:colOff>
      <xdr:row>12</xdr:row>
      <xdr:rowOff>228600</xdr:rowOff>
    </xdr:to>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2984500" y="2235200"/>
          <a:ext cx="2921000"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400" b="1">
              <a:solidFill>
                <a:srgbClr val="FF0000"/>
              </a:solidFill>
            </a:rPr>
            <a:t>・右欄の小運搬重量の計算部がマクロ修正必要です。</a:t>
          </a:r>
          <a:endParaRPr kumimoji="1" lang="en-US" altLang="ja-JP" sz="1400" b="1">
            <a:solidFill>
              <a:srgbClr val="FF0000"/>
            </a:solidFill>
          </a:endParaRPr>
        </a:p>
        <a:p>
          <a:pPr algn="l"/>
          <a:r>
            <a:rPr kumimoji="1" lang="ja-JP" altLang="en-US" sz="1400" b="1">
              <a:solidFill>
                <a:srgbClr val="FF0000"/>
              </a:solidFill>
            </a:rPr>
            <a:t>・ページ数を増やすと、正しく集計されません。当面非表示にしときます</a:t>
          </a:r>
          <a:r>
            <a:rPr kumimoji="1" lang="ja-JP" altLang="en-US" sz="11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239245</xdr:colOff>
      <xdr:row>0</xdr:row>
      <xdr:rowOff>100293</xdr:rowOff>
    </xdr:from>
    <xdr:to>
      <xdr:col>4</xdr:col>
      <xdr:colOff>267820</xdr:colOff>
      <xdr:row>1</xdr:row>
      <xdr:rowOff>81243</xdr:rowOff>
    </xdr:to>
    <xdr:sp macro="" textlink="">
      <xdr:nvSpPr>
        <xdr:cNvPr id="9217" name="Text Box 1">
          <a:extLst>
            <a:ext uri="{FF2B5EF4-FFF2-40B4-BE49-F238E27FC236}">
              <a16:creationId xmlns:a16="http://schemas.microsoft.com/office/drawing/2014/main" id="{00000000-0008-0000-0600-000001240000}"/>
            </a:ext>
          </a:extLst>
        </xdr:cNvPr>
        <xdr:cNvSpPr txBox="1">
          <a:spLocks noChangeArrowheads="1"/>
        </xdr:cNvSpPr>
      </xdr:nvSpPr>
      <xdr:spPr bwMode="auto">
        <a:xfrm>
          <a:off x="239245" y="100293"/>
          <a:ext cx="2953310" cy="227479"/>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239245</xdr:colOff>
      <xdr:row>0</xdr:row>
      <xdr:rowOff>100293</xdr:rowOff>
    </xdr:from>
    <xdr:to>
      <xdr:col>4</xdr:col>
      <xdr:colOff>267820</xdr:colOff>
      <xdr:row>1</xdr:row>
      <xdr:rowOff>81243</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239245" y="100293"/>
          <a:ext cx="2952750"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239245</xdr:colOff>
      <xdr:row>0</xdr:row>
      <xdr:rowOff>100293</xdr:rowOff>
    </xdr:from>
    <xdr:to>
      <xdr:col>4</xdr:col>
      <xdr:colOff>267820</xdr:colOff>
      <xdr:row>1</xdr:row>
      <xdr:rowOff>81243</xdr:rowOff>
    </xdr:to>
    <xdr:sp macro="" textlink="">
      <xdr:nvSpPr>
        <xdr:cNvPr id="4" name="Text Box 1">
          <a:extLst>
            <a:ext uri="{FF2B5EF4-FFF2-40B4-BE49-F238E27FC236}">
              <a16:creationId xmlns:a16="http://schemas.microsoft.com/office/drawing/2014/main" id="{00000000-0008-0000-0600-000004000000}"/>
            </a:ext>
          </a:extLst>
        </xdr:cNvPr>
        <xdr:cNvSpPr txBox="1">
          <a:spLocks noChangeArrowheads="1"/>
        </xdr:cNvSpPr>
      </xdr:nvSpPr>
      <xdr:spPr bwMode="auto">
        <a:xfrm>
          <a:off x="239245" y="100293"/>
          <a:ext cx="2952750"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239245</xdr:colOff>
      <xdr:row>0</xdr:row>
      <xdr:rowOff>100293</xdr:rowOff>
    </xdr:from>
    <xdr:to>
      <xdr:col>4</xdr:col>
      <xdr:colOff>267820</xdr:colOff>
      <xdr:row>1</xdr:row>
      <xdr:rowOff>81243</xdr:rowOff>
    </xdr:to>
    <xdr:sp macro="" textlink="">
      <xdr:nvSpPr>
        <xdr:cNvPr id="5" name="Text Box 1">
          <a:extLst>
            <a:ext uri="{FF2B5EF4-FFF2-40B4-BE49-F238E27FC236}">
              <a16:creationId xmlns:a16="http://schemas.microsoft.com/office/drawing/2014/main" id="{00000000-0008-0000-0600-000005000000}"/>
            </a:ext>
          </a:extLst>
        </xdr:cNvPr>
        <xdr:cNvSpPr txBox="1">
          <a:spLocks noChangeArrowheads="1"/>
        </xdr:cNvSpPr>
      </xdr:nvSpPr>
      <xdr:spPr bwMode="auto">
        <a:xfrm>
          <a:off x="239245" y="100293"/>
          <a:ext cx="2952750"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239245</xdr:colOff>
      <xdr:row>0</xdr:row>
      <xdr:rowOff>100293</xdr:rowOff>
    </xdr:from>
    <xdr:to>
      <xdr:col>4</xdr:col>
      <xdr:colOff>267820</xdr:colOff>
      <xdr:row>1</xdr:row>
      <xdr:rowOff>81243</xdr:rowOff>
    </xdr:to>
    <xdr:sp macro="" textlink="">
      <xdr:nvSpPr>
        <xdr:cNvPr id="6" name="Text Box 1">
          <a:extLst>
            <a:ext uri="{FF2B5EF4-FFF2-40B4-BE49-F238E27FC236}">
              <a16:creationId xmlns:a16="http://schemas.microsoft.com/office/drawing/2014/main" id="{00000000-0008-0000-0600-000006000000}"/>
            </a:ext>
          </a:extLst>
        </xdr:cNvPr>
        <xdr:cNvSpPr txBox="1">
          <a:spLocks noChangeArrowheads="1"/>
        </xdr:cNvSpPr>
      </xdr:nvSpPr>
      <xdr:spPr bwMode="auto">
        <a:xfrm>
          <a:off x="239245" y="100293"/>
          <a:ext cx="2952750"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239245</xdr:colOff>
      <xdr:row>0</xdr:row>
      <xdr:rowOff>100293</xdr:rowOff>
    </xdr:from>
    <xdr:to>
      <xdr:col>4</xdr:col>
      <xdr:colOff>267820</xdr:colOff>
      <xdr:row>1</xdr:row>
      <xdr:rowOff>81243</xdr:rowOff>
    </xdr:to>
    <xdr:sp macro="" textlink="">
      <xdr:nvSpPr>
        <xdr:cNvPr id="7" name="Text Box 1">
          <a:extLst>
            <a:ext uri="{FF2B5EF4-FFF2-40B4-BE49-F238E27FC236}">
              <a16:creationId xmlns:a16="http://schemas.microsoft.com/office/drawing/2014/main" id="{00000000-0008-0000-0600-000007000000}"/>
            </a:ext>
          </a:extLst>
        </xdr:cNvPr>
        <xdr:cNvSpPr txBox="1">
          <a:spLocks noChangeArrowheads="1"/>
        </xdr:cNvSpPr>
      </xdr:nvSpPr>
      <xdr:spPr bwMode="auto">
        <a:xfrm>
          <a:off x="239245" y="100293"/>
          <a:ext cx="2952750"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239245</xdr:colOff>
      <xdr:row>0</xdr:row>
      <xdr:rowOff>100293</xdr:rowOff>
    </xdr:from>
    <xdr:to>
      <xdr:col>4</xdr:col>
      <xdr:colOff>267820</xdr:colOff>
      <xdr:row>1</xdr:row>
      <xdr:rowOff>81243</xdr:rowOff>
    </xdr:to>
    <xdr:sp macro="" textlink="">
      <xdr:nvSpPr>
        <xdr:cNvPr id="8" name="Text Box 1">
          <a:extLst>
            <a:ext uri="{FF2B5EF4-FFF2-40B4-BE49-F238E27FC236}">
              <a16:creationId xmlns:a16="http://schemas.microsoft.com/office/drawing/2014/main" id="{00000000-0008-0000-0600-000008000000}"/>
            </a:ext>
          </a:extLst>
        </xdr:cNvPr>
        <xdr:cNvSpPr txBox="1">
          <a:spLocks noChangeArrowheads="1"/>
        </xdr:cNvSpPr>
      </xdr:nvSpPr>
      <xdr:spPr bwMode="auto">
        <a:xfrm>
          <a:off x="239245" y="100293"/>
          <a:ext cx="2952750"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1</xdr:col>
      <xdr:colOff>326232</xdr:colOff>
      <xdr:row>48</xdr:row>
      <xdr:rowOff>138113</xdr:rowOff>
    </xdr:from>
    <xdr:to>
      <xdr:col>4</xdr:col>
      <xdr:colOff>235745</xdr:colOff>
      <xdr:row>55</xdr:row>
      <xdr:rowOff>23813</xdr:rowOff>
    </xdr:to>
    <xdr:sp macro="" textlink="">
      <xdr:nvSpPr>
        <xdr:cNvPr id="10244" name="Text Box 4">
          <a:extLst>
            <a:ext uri="{FF2B5EF4-FFF2-40B4-BE49-F238E27FC236}">
              <a16:creationId xmlns:a16="http://schemas.microsoft.com/office/drawing/2014/main" id="{00000000-0008-0000-0700-000004280000}"/>
            </a:ext>
          </a:extLst>
        </xdr:cNvPr>
        <xdr:cNvSpPr txBox="1">
          <a:spLocks noChangeArrowheads="1"/>
        </xdr:cNvSpPr>
      </xdr:nvSpPr>
      <xdr:spPr bwMode="auto">
        <a:xfrm>
          <a:off x="326232" y="7448551"/>
          <a:ext cx="3493294" cy="885825"/>
        </a:xfrm>
        <a:prstGeom prst="rect">
          <a:avLst/>
        </a:prstGeom>
        <a:solidFill>
          <a:srgbClr val="FFCC99"/>
        </a:solidFill>
        <a:ln w="57150">
          <a:solidFill>
            <a:srgbClr val="FF0000"/>
          </a:solid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非表示セルにデータが入っています。</a:t>
          </a:r>
        </a:p>
        <a:p>
          <a:pPr algn="l" rtl="0">
            <a:defRPr sz="1000"/>
          </a:pPr>
          <a:r>
            <a:rPr lang="ja-JP" altLang="en-US" sz="1100" b="0" i="0" strike="noStrike">
              <a:solidFill>
                <a:srgbClr val="000000"/>
              </a:solidFill>
              <a:latin typeface="ＭＳ Ｐゴシック"/>
              <a:ea typeface="ＭＳ Ｐゴシック"/>
            </a:rPr>
            <a:t>挿入する場合は、それぞれ下３行より上で挿入してください。また、削除も、下３行はしないでください。</a:t>
          </a:r>
        </a:p>
        <a:p>
          <a:pPr algn="l" rtl="0">
            <a:defRPr sz="1000"/>
          </a:pPr>
          <a:endParaRPr lang="ja-JP" altLang="en-US" sz="1100" b="0" i="0" strike="noStrike">
            <a:solidFill>
              <a:srgbClr val="000000"/>
            </a:solidFill>
            <a:latin typeface="ＭＳ Ｐゴシック"/>
            <a:ea typeface="ＭＳ Ｐゴシック"/>
          </a:endParaRP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5</xdr:col>
      <xdr:colOff>752475</xdr:colOff>
      <xdr:row>11</xdr:row>
      <xdr:rowOff>0</xdr:rowOff>
    </xdr:from>
    <xdr:to>
      <xdr:col>5</xdr:col>
      <xdr:colOff>828675</xdr:colOff>
      <xdr:row>12</xdr:row>
      <xdr:rowOff>57150</xdr:rowOff>
    </xdr:to>
    <xdr:sp macro="" textlink="">
      <xdr:nvSpPr>
        <xdr:cNvPr id="13349" name="Text Box 1">
          <a:extLst>
            <a:ext uri="{FF2B5EF4-FFF2-40B4-BE49-F238E27FC236}">
              <a16:creationId xmlns:a16="http://schemas.microsoft.com/office/drawing/2014/main" id="{00000000-0008-0000-0800-000025340000}"/>
            </a:ext>
          </a:extLst>
        </xdr:cNvPr>
        <xdr:cNvSpPr txBox="1">
          <a:spLocks noChangeArrowheads="1"/>
        </xdr:cNvSpPr>
      </xdr:nvSpPr>
      <xdr:spPr bwMode="auto">
        <a:xfrm>
          <a:off x="4333875" y="1676400"/>
          <a:ext cx="76200" cy="209550"/>
        </a:xfrm>
        <a:prstGeom prst="rect">
          <a:avLst/>
        </a:prstGeom>
        <a:noFill/>
        <a:ln w="9525">
          <a:noFill/>
          <a:miter lim="800000"/>
          <a:headEnd/>
          <a:tailEnd/>
        </a:ln>
      </xdr:spPr>
    </xdr:sp>
    <xdr:clientData/>
  </xdr:twoCellAnchor>
  <xdr:twoCellAnchor>
    <xdr:from>
      <xdr:col>5</xdr:col>
      <xdr:colOff>838200</xdr:colOff>
      <xdr:row>3</xdr:row>
      <xdr:rowOff>28575</xdr:rowOff>
    </xdr:from>
    <xdr:to>
      <xdr:col>9</xdr:col>
      <xdr:colOff>9525</xdr:colOff>
      <xdr:row>8</xdr:row>
      <xdr:rowOff>28575</xdr:rowOff>
    </xdr:to>
    <xdr:sp macro="" textlink="">
      <xdr:nvSpPr>
        <xdr:cNvPr id="13314" name="Text Box 2">
          <a:extLst>
            <a:ext uri="{FF2B5EF4-FFF2-40B4-BE49-F238E27FC236}">
              <a16:creationId xmlns:a16="http://schemas.microsoft.com/office/drawing/2014/main" id="{00000000-0008-0000-0800-000002340000}"/>
            </a:ext>
          </a:extLst>
        </xdr:cNvPr>
        <xdr:cNvSpPr txBox="1">
          <a:spLocks noChangeArrowheads="1"/>
        </xdr:cNvSpPr>
      </xdr:nvSpPr>
      <xdr:spPr bwMode="auto">
        <a:xfrm>
          <a:off x="4419600" y="485775"/>
          <a:ext cx="2038350" cy="762000"/>
        </a:xfrm>
        <a:prstGeom prst="rect">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コード番号は</a:t>
          </a:r>
          <a:r>
            <a:rPr lang="en-US" altLang="ja-JP" sz="1100" b="0" i="0" strike="noStrike">
              <a:solidFill>
                <a:srgbClr val="000000"/>
              </a:solidFill>
              <a:latin typeface="ＭＳ Ｐゴシック"/>
              <a:ea typeface="ＭＳ Ｐゴシック"/>
            </a:rPr>
            <a:t>100</a:t>
          </a:r>
          <a:r>
            <a:rPr lang="ja-JP" altLang="en-US" sz="1100" b="0" i="0" strike="noStrike">
              <a:solidFill>
                <a:srgbClr val="000000"/>
              </a:solidFill>
              <a:latin typeface="ＭＳ Ｐゴシック"/>
              <a:ea typeface="ＭＳ Ｐゴシック"/>
            </a:rPr>
            <a:t>以上。</a:t>
          </a:r>
        </a:p>
        <a:p>
          <a:pPr algn="l" rtl="0">
            <a:defRPr sz="1000"/>
          </a:pPr>
          <a:r>
            <a:rPr lang="en-US" altLang="ja-JP" sz="1100" b="0" i="0" strike="noStrike">
              <a:solidFill>
                <a:srgbClr val="000000"/>
              </a:solidFill>
              <a:latin typeface="ＭＳ Ｐゴシック"/>
              <a:ea typeface="ＭＳ Ｐゴシック"/>
            </a:rPr>
            <a:t>1</a:t>
          </a:r>
          <a:r>
            <a:rPr lang="ja-JP" altLang="en-US" sz="1100" b="0" i="0" strike="noStrike">
              <a:solidFill>
                <a:srgbClr val="000000"/>
              </a:solidFill>
              <a:latin typeface="ＭＳ Ｐゴシック"/>
              <a:ea typeface="ＭＳ Ｐゴシック"/>
            </a:rPr>
            <a:t>～</a:t>
          </a:r>
          <a:r>
            <a:rPr lang="en-US" altLang="ja-JP" sz="1100" b="0" i="0" strike="noStrike">
              <a:solidFill>
                <a:srgbClr val="000000"/>
              </a:solidFill>
              <a:latin typeface="ＭＳ Ｐゴシック"/>
              <a:ea typeface="ＭＳ Ｐゴシック"/>
            </a:rPr>
            <a:t>99</a:t>
          </a:r>
          <a:r>
            <a:rPr lang="ja-JP" altLang="en-US" sz="1100" b="0" i="0" strike="noStrike">
              <a:solidFill>
                <a:srgbClr val="000000"/>
              </a:solidFill>
              <a:latin typeface="ＭＳ Ｐゴシック"/>
              <a:ea typeface="ＭＳ Ｐゴシック"/>
            </a:rPr>
            <a:t>は代価（複合）で使用するため、</a:t>
          </a:r>
        </a:p>
        <a:p>
          <a:pPr algn="l" rtl="0">
            <a:defRPr sz="1000"/>
          </a:pPr>
          <a:r>
            <a:rPr lang="ja-JP" altLang="en-US" sz="1100" b="0" i="0" strike="noStrike">
              <a:solidFill>
                <a:srgbClr val="000000"/>
              </a:solidFill>
              <a:latin typeface="ＭＳ Ｐゴシック"/>
              <a:ea typeface="ＭＳ Ｐゴシック"/>
            </a:rPr>
            <a:t>入力しても削除されます。</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0</xdr:col>
      <xdr:colOff>657225</xdr:colOff>
      <xdr:row>1</xdr:row>
      <xdr:rowOff>0</xdr:rowOff>
    </xdr:from>
    <xdr:to>
      <xdr:col>7</xdr:col>
      <xdr:colOff>314325</xdr:colOff>
      <xdr:row>6</xdr:row>
      <xdr:rowOff>57150</xdr:rowOff>
    </xdr:to>
    <xdr:sp macro="" textlink="">
      <xdr:nvSpPr>
        <xdr:cNvPr id="2" name="テキスト ボックス 1">
          <a:extLst>
            <a:ext uri="{FF2B5EF4-FFF2-40B4-BE49-F238E27FC236}">
              <a16:creationId xmlns:a16="http://schemas.microsoft.com/office/drawing/2014/main" id="{00000000-0008-0000-0A00-000002000000}"/>
            </a:ext>
          </a:extLst>
        </xdr:cNvPr>
        <xdr:cNvSpPr txBox="1"/>
      </xdr:nvSpPr>
      <xdr:spPr>
        <a:xfrm>
          <a:off x="657225" y="171450"/>
          <a:ext cx="4457700"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専業表諸経費表は</a:t>
          </a:r>
          <a:r>
            <a:rPr kumimoji="1" lang="en-US" altLang="ja-JP" sz="1100"/>
            <a:t>2020</a:t>
          </a:r>
          <a:r>
            <a:rPr kumimoji="1" lang="ja-JP" altLang="en-US" sz="1100"/>
            <a:t>年度に廃止しました。</a:t>
          </a:r>
          <a:endParaRPr kumimoji="1" lang="en-US" altLang="ja-JP" sz="1100"/>
        </a:p>
        <a:p>
          <a:r>
            <a:rPr kumimoji="1" lang="ja-JP" altLang="en-US" sz="1100"/>
            <a:t>このシートを削除するとマクロエラーが発生しますので、</a:t>
          </a:r>
          <a:endParaRPr kumimoji="1" lang="en-US" altLang="ja-JP" sz="1100"/>
        </a:p>
        <a:p>
          <a:r>
            <a:rPr kumimoji="1" lang="ja-JP" altLang="en-US" sz="1100"/>
            <a:t>シートは削除せず残しておいてください。</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1</xdr:row>
      <xdr:rowOff>0</xdr:rowOff>
    </xdr:from>
    <xdr:to>
      <xdr:col>7</xdr:col>
      <xdr:colOff>257175</xdr:colOff>
      <xdr:row>4</xdr:row>
      <xdr:rowOff>104775</xdr:rowOff>
    </xdr:to>
    <xdr:sp macro="" textlink="">
      <xdr:nvSpPr>
        <xdr:cNvPr id="2" name="テキスト ボックス 1">
          <a:extLst>
            <a:ext uri="{FF2B5EF4-FFF2-40B4-BE49-F238E27FC236}">
              <a16:creationId xmlns:a16="http://schemas.microsoft.com/office/drawing/2014/main" id="{00000000-0008-0000-0B00-000002000000}"/>
            </a:ext>
          </a:extLst>
        </xdr:cNvPr>
        <xdr:cNvSpPr txBox="1"/>
      </xdr:nvSpPr>
      <xdr:spPr>
        <a:xfrm>
          <a:off x="685800" y="171450"/>
          <a:ext cx="4371975" cy="6191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このシートを削除するとマクロエラーが発生しますので、</a:t>
          </a:r>
          <a:endParaRPr kumimoji="1" lang="en-US" altLang="ja-JP" sz="1100"/>
        </a:p>
        <a:p>
          <a:r>
            <a:rPr kumimoji="1" lang="ja-JP" altLang="en-US" sz="1100"/>
            <a:t>シートは削除せず残しておいてください。</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104775</xdr:colOff>
      <xdr:row>109</xdr:row>
      <xdr:rowOff>66675</xdr:rowOff>
    </xdr:from>
    <xdr:to>
      <xdr:col>4</xdr:col>
      <xdr:colOff>133350</xdr:colOff>
      <xdr:row>110</xdr:row>
      <xdr:rowOff>47625</xdr:rowOff>
    </xdr:to>
    <xdr:sp macro="" textlink="">
      <xdr:nvSpPr>
        <xdr:cNvPr id="14337" name="Text Box 1">
          <a:extLst>
            <a:ext uri="{FF2B5EF4-FFF2-40B4-BE49-F238E27FC236}">
              <a16:creationId xmlns:a16="http://schemas.microsoft.com/office/drawing/2014/main" id="{00000000-0008-0000-0C00-000001380000}"/>
            </a:ext>
          </a:extLst>
        </xdr:cNvPr>
        <xdr:cNvSpPr txBox="1">
          <a:spLocks noChangeArrowheads="1"/>
        </xdr:cNvSpPr>
      </xdr:nvSpPr>
      <xdr:spPr bwMode="auto">
        <a:xfrm>
          <a:off x="104775" y="24450675"/>
          <a:ext cx="2619375"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104775</xdr:colOff>
      <xdr:row>109</xdr:row>
      <xdr:rowOff>66675</xdr:rowOff>
    </xdr:from>
    <xdr:to>
      <xdr:col>4</xdr:col>
      <xdr:colOff>133350</xdr:colOff>
      <xdr:row>110</xdr:row>
      <xdr:rowOff>47625</xdr:rowOff>
    </xdr:to>
    <xdr:sp macro="" textlink="">
      <xdr:nvSpPr>
        <xdr:cNvPr id="14338" name="Text Box 2">
          <a:extLst>
            <a:ext uri="{FF2B5EF4-FFF2-40B4-BE49-F238E27FC236}">
              <a16:creationId xmlns:a16="http://schemas.microsoft.com/office/drawing/2014/main" id="{00000000-0008-0000-0C00-000002380000}"/>
            </a:ext>
          </a:extLst>
        </xdr:cNvPr>
        <xdr:cNvSpPr txBox="1">
          <a:spLocks noChangeArrowheads="1"/>
        </xdr:cNvSpPr>
      </xdr:nvSpPr>
      <xdr:spPr bwMode="auto">
        <a:xfrm>
          <a:off x="104775" y="24450675"/>
          <a:ext cx="2619375"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104775</xdr:colOff>
      <xdr:row>109</xdr:row>
      <xdr:rowOff>66675</xdr:rowOff>
    </xdr:from>
    <xdr:to>
      <xdr:col>4</xdr:col>
      <xdr:colOff>133350</xdr:colOff>
      <xdr:row>110</xdr:row>
      <xdr:rowOff>47625</xdr:rowOff>
    </xdr:to>
    <xdr:sp macro="" textlink="">
      <xdr:nvSpPr>
        <xdr:cNvPr id="14339" name="Text Box 3">
          <a:extLst>
            <a:ext uri="{FF2B5EF4-FFF2-40B4-BE49-F238E27FC236}">
              <a16:creationId xmlns:a16="http://schemas.microsoft.com/office/drawing/2014/main" id="{00000000-0008-0000-0C00-000003380000}"/>
            </a:ext>
          </a:extLst>
        </xdr:cNvPr>
        <xdr:cNvSpPr txBox="1">
          <a:spLocks noChangeArrowheads="1"/>
        </xdr:cNvSpPr>
      </xdr:nvSpPr>
      <xdr:spPr bwMode="auto">
        <a:xfrm>
          <a:off x="104775" y="24450675"/>
          <a:ext cx="2619375"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portalweb/Users/A0814/Desktop/OKK%20work/0072_&#24037;&#20107;&#31649;&#29702;&#12471;&#12540;&#12488;VBA&#38283;&#30330;/&#38283;&#30330;&#20013;/TMP_&#24037;&#20107;&#31649;&#29702;&#12471;&#12540;&#12488;/TM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事監理シート説明資料"/>
      <sheetName val="メンテナンス方法"/>
      <sheetName val="変更履歴"/>
      <sheetName val="用語説明シート"/>
      <sheetName val="リスト"/>
      <sheetName val="マニュアル"/>
      <sheetName val="工事情報入力シート"/>
      <sheetName val="資産数量・単位記入シート"/>
      <sheetName val="建仮精算アップロード"/>
      <sheetName val="工事種別情報アップロード"/>
      <sheetName val="資産クラスコード"/>
      <sheetName val="勘定科目コード"/>
      <sheetName val="財務分類コード"/>
      <sheetName val="予算掌理部署コード"/>
      <sheetName val="WBS第2階層コード"/>
      <sheetName val="原価センタコード"/>
      <sheetName val="事業コード"/>
      <sheetName val="所管コード"/>
      <sheetName val="所在コード"/>
      <sheetName val="品目コード"/>
      <sheetName val="車号 車系"/>
      <sheetName val="単位リスト"/>
      <sheetName val="元構造・元割当"/>
      <sheetName val="建仮科目"/>
    </sheetNames>
    <sheetDataSet>
      <sheetData sheetId="0" refreshError="1"/>
      <sheetData sheetId="1" refreshError="1"/>
      <sheetData sheetId="2" refreshError="1"/>
      <sheetData sheetId="3" refreshError="1"/>
      <sheetData sheetId="4" refreshError="1"/>
      <sheetData sheetId="5" refreshError="1"/>
      <sheetData sheetId="6">
        <row r="14">
          <cell r="B14">
            <v>14</v>
          </cell>
        </row>
        <row r="515">
          <cell r="B515">
            <v>515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file://///svfile92/k1_eizen$/&#24314;&#31689;&#12464;&#12523;&#12540;&#12503;&#20849;&#26377;/&#65296;&#65304;&#65289;&#20104;&#31639;&#12289;&#36039;&#37329;&#35336;&#30011;&#12289;&#38263;&#26399;&#35336;&#30011;&#12289;&#31309;&#31639;&#38306;&#36899;/&#65301;&#65294;&#31309;&#31639;&#36039;&#26009;/&#27161;&#28310;&#21336;&#20385;/"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94"/>
  <sheetViews>
    <sheetView tabSelected="1" topLeftCell="A70" zoomScale="85" zoomScaleNormal="85" zoomScaleSheetLayoutView="80" workbookViewId="0">
      <selection activeCell="K99" sqref="K99"/>
    </sheetView>
  </sheetViews>
  <sheetFormatPr baseColWidth="10" defaultColWidth="6.6640625" defaultRowHeight="26.25" customHeight="1"/>
  <cols>
    <col min="1" max="2" width="2.6640625" style="6" customWidth="1"/>
    <col min="3" max="3" width="8.6640625" style="1" customWidth="1"/>
    <col min="4" max="4" width="28.6640625" style="1" customWidth="1"/>
    <col min="5" max="5" width="25" style="2" customWidth="1"/>
    <col min="6" max="6" width="10.6640625" style="1" customWidth="1"/>
    <col min="7" max="7" width="7.6640625" style="3" customWidth="1"/>
    <col min="8" max="8" width="11.6640625" style="4" customWidth="1"/>
    <col min="9" max="9" width="15.6640625" style="4" customWidth="1"/>
    <col min="10" max="12" width="9.6640625" style="1" customWidth="1"/>
    <col min="13" max="14" width="6.6640625" style="1" customWidth="1"/>
    <col min="15" max="16" width="4.83203125" style="1" customWidth="1"/>
    <col min="17" max="23" width="15.6640625" style="1" customWidth="1"/>
    <col min="24" max="25" width="6.6640625" style="1"/>
    <col min="26" max="26" width="6.6640625" style="427"/>
    <col min="27" max="16384" width="6.6640625" style="1"/>
  </cols>
  <sheetData>
    <row r="1" spans="1:26" ht="13.5" customHeight="1">
      <c r="G1" s="1252"/>
      <c r="J1" s="1383"/>
      <c r="K1" s="1383"/>
      <c r="L1" s="1383"/>
    </row>
    <row r="2" spans="1:26" ht="13.5" customHeight="1">
      <c r="A2" s="5"/>
      <c r="B2" s="5"/>
      <c r="C2" s="1184"/>
      <c r="D2" s="1184"/>
      <c r="E2" s="1185"/>
      <c r="F2" s="1186"/>
      <c r="G2" s="1186"/>
      <c r="H2" s="1403" t="s">
        <v>2385</v>
      </c>
      <c r="I2" s="1404"/>
      <c r="J2" s="1187" t="s">
        <v>2291</v>
      </c>
      <c r="K2" s="1384">
        <f ca="1">TODAY()</f>
        <v>44637</v>
      </c>
      <c r="L2" s="1385"/>
    </row>
    <row r="3" spans="1:26" ht="13.5" customHeight="1">
      <c r="A3" s="5"/>
      <c r="B3" s="1188"/>
      <c r="C3" s="1189"/>
      <c r="D3" s="1189"/>
      <c r="E3" s="1185"/>
      <c r="F3" s="1192"/>
      <c r="G3" s="1186"/>
      <c r="H3" s="1190" t="s">
        <v>2278</v>
      </c>
      <c r="I3" s="1323" t="s">
        <v>3190</v>
      </c>
      <c r="J3" s="1187" t="s">
        <v>2292</v>
      </c>
      <c r="K3" s="1384"/>
      <c r="L3" s="1385"/>
      <c r="P3" s="429"/>
      <c r="Q3" s="429"/>
      <c r="R3" s="429"/>
      <c r="S3" s="429"/>
      <c r="T3" s="429"/>
    </row>
    <row r="4" spans="1:26" ht="13.5" customHeight="1">
      <c r="A4" s="7"/>
      <c r="B4" s="7"/>
      <c r="C4" s="1191"/>
      <c r="D4" s="1192"/>
      <c r="E4" s="1193"/>
      <c r="F4" s="1192"/>
      <c r="G4" s="1186"/>
      <c r="H4" s="1190" t="s">
        <v>2279</v>
      </c>
      <c r="I4" s="1323" t="s">
        <v>3191</v>
      </c>
      <c r="J4" s="1187" t="s">
        <v>2266</v>
      </c>
      <c r="K4" s="1386" t="s">
        <v>3196</v>
      </c>
      <c r="L4" s="1387"/>
      <c r="P4" s="429"/>
      <c r="Q4" s="600"/>
      <c r="R4" s="429"/>
      <c r="S4" s="429"/>
      <c r="T4" s="429"/>
      <c r="W4" s="563"/>
      <c r="Z4" s="427" t="s">
        <v>287</v>
      </c>
    </row>
    <row r="5" spans="1:26" ht="13.5" customHeight="1">
      <c r="A5" s="7"/>
      <c r="B5" s="7"/>
      <c r="C5" s="1191"/>
      <c r="D5" s="1192"/>
      <c r="E5" s="1193"/>
      <c r="F5" s="1192"/>
      <c r="G5" s="1186"/>
      <c r="H5" s="1187" t="s">
        <v>2262</v>
      </c>
      <c r="I5" s="1323" t="s">
        <v>3192</v>
      </c>
      <c r="J5" s="1187" t="s">
        <v>2267</v>
      </c>
      <c r="K5" s="1386" t="s">
        <v>3196</v>
      </c>
      <c r="L5" s="1387"/>
      <c r="P5" s="429"/>
      <c r="Q5" s="561" t="s">
        <v>44</v>
      </c>
      <c r="R5" s="561"/>
      <c r="S5" s="562" t="str">
        <f>W5</f>
        <v>標準単価金額無2021.xls</v>
      </c>
      <c r="T5" s="429"/>
      <c r="U5" s="127" t="s">
        <v>44</v>
      </c>
      <c r="V5" s="127"/>
      <c r="W5" s="1326" t="str">
        <f>+VLOOKUP(K7,入力規則マスタ!O:P,2,0)</f>
        <v>標準単価金額無2021.xls</v>
      </c>
      <c r="Z5" s="427" t="s">
        <v>86</v>
      </c>
    </row>
    <row r="6" spans="1:26" ht="13.5" customHeight="1">
      <c r="A6" s="7"/>
      <c r="B6" s="7"/>
      <c r="C6" s="1191"/>
      <c r="D6" s="1192"/>
      <c r="E6" s="1193"/>
      <c r="F6" s="1192"/>
      <c r="G6" s="1186"/>
      <c r="H6" s="1187" t="s">
        <v>2263</v>
      </c>
      <c r="I6" s="1324" t="s">
        <v>2939</v>
      </c>
      <c r="J6" s="1187" t="s">
        <v>2268</v>
      </c>
      <c r="K6" s="1386">
        <v>44820</v>
      </c>
      <c r="L6" s="1387"/>
      <c r="P6" s="429"/>
      <c r="Q6" s="561" t="s">
        <v>45</v>
      </c>
      <c r="R6" s="561"/>
      <c r="S6" s="598" t="str">
        <f>W6</f>
        <v>\\svfile92\k1_eizen$\建築グループ共有\０８）予算、資金計画、長期計画、積算関連\５．積算資料\標準単価\</v>
      </c>
      <c r="T6" s="429"/>
      <c r="U6" s="127" t="s">
        <v>45</v>
      </c>
      <c r="V6" s="127"/>
      <c r="W6" s="1327" t="s">
        <v>3117</v>
      </c>
      <c r="Z6" s="427" t="s">
        <v>288</v>
      </c>
    </row>
    <row r="7" spans="1:26" ht="13.5" customHeight="1">
      <c r="A7" s="7"/>
      <c r="B7" s="7"/>
      <c r="C7" s="1191"/>
      <c r="D7" s="1192"/>
      <c r="E7" s="1193"/>
      <c r="F7" s="1192"/>
      <c r="G7" s="1186"/>
      <c r="H7" s="1187" t="s">
        <v>2264</v>
      </c>
      <c r="I7" s="1325" t="s">
        <v>3193</v>
      </c>
      <c r="J7" s="1194" t="s">
        <v>2270</v>
      </c>
      <c r="K7" s="1409" t="s">
        <v>3185</v>
      </c>
      <c r="L7" s="1410"/>
      <c r="P7" s="429"/>
      <c r="Q7" s="602"/>
      <c r="R7" s="602"/>
      <c r="S7" s="602"/>
      <c r="T7" s="429"/>
      <c r="W7" s="563" t="s">
        <v>3169</v>
      </c>
      <c r="Z7" s="427" t="s">
        <v>300</v>
      </c>
    </row>
    <row r="8" spans="1:26" ht="13.5" customHeight="1">
      <c r="A8" s="7"/>
      <c r="B8" s="7"/>
      <c r="C8" s="1191"/>
      <c r="D8" s="1192"/>
      <c r="E8" s="1193"/>
      <c r="F8" s="1192"/>
      <c r="G8" s="1186"/>
      <c r="H8" s="1187" t="s">
        <v>2387</v>
      </c>
      <c r="I8" s="1324" t="s">
        <v>3194</v>
      </c>
      <c r="J8" s="1187" t="s">
        <v>2386</v>
      </c>
      <c r="K8" s="1408" t="s">
        <v>3197</v>
      </c>
      <c r="L8" s="1408"/>
      <c r="P8" s="429"/>
      <c r="Q8" s="601" t="s">
        <v>56</v>
      </c>
      <c r="R8" s="429"/>
      <c r="S8" s="429"/>
      <c r="T8" s="429"/>
      <c r="U8" s="127" t="s">
        <v>179</v>
      </c>
      <c r="V8" s="127"/>
      <c r="W8" s="1326" t="s">
        <v>2927</v>
      </c>
      <c r="Z8" s="427" t="s">
        <v>301</v>
      </c>
    </row>
    <row r="9" spans="1:26" ht="13.5" customHeight="1">
      <c r="A9" s="7"/>
      <c r="B9" s="7"/>
      <c r="C9" s="1191"/>
      <c r="D9" s="1192"/>
      <c r="E9" s="1193"/>
      <c r="F9" s="1192"/>
      <c r="G9" s="1186"/>
      <c r="H9" s="1187" t="s">
        <v>2265</v>
      </c>
      <c r="I9" s="1324" t="s">
        <v>3195</v>
      </c>
      <c r="J9" s="1411" t="s">
        <v>2384</v>
      </c>
      <c r="K9" s="1413">
        <v>2021</v>
      </c>
      <c r="L9" s="1415">
        <v>1024</v>
      </c>
      <c r="S9" s="1328">
        <v>1</v>
      </c>
      <c r="U9" s="127" t="s">
        <v>180</v>
      </c>
      <c r="V9" s="127"/>
      <c r="W9" s="971" t="s">
        <v>2926</v>
      </c>
      <c r="Z9" s="427" t="s">
        <v>302</v>
      </c>
    </row>
    <row r="10" spans="1:26" ht="13.5" customHeight="1">
      <c r="A10" s="7"/>
      <c r="B10" s="7"/>
      <c r="C10" s="1191"/>
      <c r="D10" s="1192"/>
      <c r="E10" s="1193"/>
      <c r="F10" s="1192"/>
      <c r="G10" s="1186"/>
      <c r="H10" s="1187" t="s">
        <v>2388</v>
      </c>
      <c r="I10" s="1324" t="s">
        <v>2939</v>
      </c>
      <c r="J10" s="1412"/>
      <c r="K10" s="1414"/>
      <c r="L10" s="1416"/>
      <c r="Q10" s="1329"/>
      <c r="R10" s="1329"/>
      <c r="S10" s="1329"/>
      <c r="T10" s="1329"/>
      <c r="U10" s="1329"/>
      <c r="V10" s="1329"/>
      <c r="Z10" s="427" t="s">
        <v>289</v>
      </c>
    </row>
    <row r="11" spans="1:26" ht="25" customHeight="1">
      <c r="A11" s="7"/>
      <c r="B11" s="7"/>
      <c r="C11" s="1195"/>
      <c r="D11" s="1196"/>
      <c r="E11" s="1197"/>
      <c r="F11" s="1196"/>
      <c r="G11" s="1198"/>
      <c r="H11" s="1199"/>
      <c r="I11" s="1199"/>
      <c r="J11" s="1200"/>
      <c r="L11" s="1201"/>
      <c r="O11" s="128"/>
      <c r="P11" s="128"/>
      <c r="Q11" s="1329"/>
      <c r="R11" s="1330"/>
      <c r="S11" s="1330"/>
      <c r="T11" s="1330"/>
      <c r="U11" s="1330"/>
      <c r="V11" s="1330"/>
      <c r="Z11" s="427" t="s">
        <v>2271</v>
      </c>
    </row>
    <row r="12" spans="1:26" s="886" customFormat="1" ht="25" customHeight="1" thickBot="1">
      <c r="A12" s="7"/>
      <c r="B12" s="7"/>
      <c r="C12" s="1195"/>
      <c r="D12" s="1407" t="s">
        <v>3189</v>
      </c>
      <c r="E12" s="1407"/>
      <c r="F12" s="1407"/>
      <c r="G12" s="1407"/>
      <c r="H12" s="1407"/>
      <c r="I12" s="1407"/>
      <c r="J12" s="1407"/>
      <c r="K12" s="1407"/>
      <c r="L12" s="1192"/>
      <c r="Q12" s="1331"/>
      <c r="R12" s="1332" t="s">
        <v>3162</v>
      </c>
      <c r="S12" s="1333"/>
      <c r="T12" s="1331"/>
      <c r="U12" s="1331"/>
      <c r="V12" s="1331"/>
      <c r="Z12" s="887" t="s">
        <v>2272</v>
      </c>
    </row>
    <row r="13" spans="1:26" s="886" customFormat="1" ht="36" customHeight="1">
      <c r="A13" s="7"/>
      <c r="B13" s="7"/>
      <c r="C13" s="1195"/>
      <c r="D13" s="1364"/>
      <c r="E13" s="1417"/>
      <c r="F13" s="1418"/>
      <c r="G13" s="1418"/>
      <c r="H13" s="1418"/>
      <c r="I13" s="1418"/>
      <c r="J13" s="1364"/>
      <c r="K13" s="1364"/>
      <c r="L13" s="1192"/>
      <c r="Q13" s="1334"/>
      <c r="R13" s="1335"/>
      <c r="S13" s="1335"/>
      <c r="T13" s="1335"/>
      <c r="U13" s="1335"/>
      <c r="V13" s="1335"/>
      <c r="Z13" s="887" t="s">
        <v>2273</v>
      </c>
    </row>
    <row r="14" spans="1:26" s="886" customFormat="1" ht="30" customHeight="1">
      <c r="A14" s="7"/>
      <c r="B14" s="7"/>
      <c r="C14" s="1195"/>
      <c r="D14" s="1406" t="s">
        <v>2261</v>
      </c>
      <c r="E14" s="1406"/>
      <c r="F14" s="1406"/>
      <c r="G14" s="1406"/>
      <c r="H14" s="1406"/>
      <c r="I14" s="1406"/>
      <c r="J14" s="1406"/>
      <c r="K14" s="1406"/>
      <c r="L14" s="1192"/>
      <c r="Z14" s="887" t="s">
        <v>2274</v>
      </c>
    </row>
    <row r="15" spans="1:26" ht="30" customHeight="1">
      <c r="A15" s="7"/>
      <c r="B15" s="7"/>
      <c r="C15" s="1195"/>
      <c r="D15" s="1251"/>
      <c r="E15" s="1251"/>
      <c r="F15" s="1251"/>
      <c r="G15" s="1251"/>
      <c r="H15" s="1251"/>
      <c r="I15" s="1251"/>
      <c r="J15" s="1251"/>
      <c r="K15" s="1251"/>
      <c r="L15" s="1192"/>
      <c r="Z15" s="427" t="s">
        <v>2275</v>
      </c>
    </row>
    <row r="16" spans="1:26" ht="14.25" customHeight="1">
      <c r="A16" s="7"/>
      <c r="B16" s="7"/>
      <c r="C16" s="1195"/>
      <c r="D16" s="1251"/>
      <c r="E16" s="1251"/>
      <c r="F16" s="1251"/>
      <c r="G16" s="1251"/>
      <c r="H16" s="1251"/>
      <c r="I16" s="1251"/>
      <c r="J16" s="1396" t="s">
        <v>2277</v>
      </c>
      <c r="K16" s="1397"/>
      <c r="L16" s="1398"/>
      <c r="Z16" s="427" t="s">
        <v>290</v>
      </c>
    </row>
    <row r="17" spans="1:26" ht="14.25" customHeight="1">
      <c r="A17" s="7"/>
      <c r="B17" s="7"/>
      <c r="C17" s="1195"/>
      <c r="D17" s="1251"/>
      <c r="E17" s="1251"/>
      <c r="F17" s="1251"/>
      <c r="G17" s="1251"/>
      <c r="H17" s="1202"/>
      <c r="I17" s="1202"/>
      <c r="J17" s="1396" t="s">
        <v>2260</v>
      </c>
      <c r="K17" s="1398"/>
      <c r="L17" s="1401" t="s">
        <v>3166</v>
      </c>
      <c r="N17" s="202"/>
      <c r="O17" s="202"/>
      <c r="P17" s="202"/>
      <c r="Q17" s="202"/>
      <c r="Z17" s="427" t="s">
        <v>291</v>
      </c>
    </row>
    <row r="18" spans="1:26" ht="14.25" customHeight="1">
      <c r="A18" s="7"/>
      <c r="B18" s="7"/>
      <c r="C18" s="1195"/>
      <c r="D18" s="1251"/>
      <c r="E18" s="1251"/>
      <c r="F18" s="1251"/>
      <c r="G18" s="1251"/>
      <c r="H18" s="1203"/>
      <c r="I18" s="1204"/>
      <c r="J18" s="1205" t="s">
        <v>2377</v>
      </c>
      <c r="K18" s="1205" t="s">
        <v>2259</v>
      </c>
      <c r="L18" s="1402"/>
      <c r="N18" s="202"/>
      <c r="O18" s="202"/>
      <c r="P18" s="202"/>
      <c r="Q18" s="202"/>
      <c r="Z18" s="427" t="s">
        <v>292</v>
      </c>
    </row>
    <row r="19" spans="1:26" ht="14.25" customHeight="1">
      <c r="A19" s="7"/>
      <c r="B19" s="7"/>
      <c r="C19" s="1195"/>
      <c r="D19" s="1251"/>
      <c r="E19" s="1251"/>
      <c r="F19" s="1251"/>
      <c r="G19" s="1251"/>
      <c r="H19" s="1203"/>
      <c r="I19" s="1202"/>
      <c r="J19" s="1400" t="s">
        <v>3157</v>
      </c>
      <c r="K19" s="1400" t="s">
        <v>3158</v>
      </c>
      <c r="L19" s="1400" t="s">
        <v>3163</v>
      </c>
      <c r="N19" s="1405"/>
      <c r="O19" s="1405"/>
      <c r="P19" s="1405"/>
      <c r="Q19" s="202"/>
      <c r="R19" s="10" t="s">
        <v>3165</v>
      </c>
      <c r="Z19" s="427" t="s">
        <v>293</v>
      </c>
    </row>
    <row r="20" spans="1:26" ht="14.25" customHeight="1">
      <c r="A20" s="7"/>
      <c r="B20" s="7"/>
      <c r="C20" s="1195"/>
      <c r="D20" s="1251"/>
      <c r="E20" s="1251"/>
      <c r="F20" s="1251"/>
      <c r="G20" s="1251"/>
      <c r="H20" s="1206"/>
      <c r="I20" s="1200"/>
      <c r="J20" s="1400"/>
      <c r="K20" s="1400"/>
      <c r="L20" s="1400"/>
      <c r="N20" s="1405"/>
      <c r="O20" s="1405"/>
      <c r="P20" s="1405"/>
      <c r="T20" s="970" t="s">
        <v>3164</v>
      </c>
      <c r="V20" s="429"/>
      <c r="Z20" s="427" t="s">
        <v>2276</v>
      </c>
    </row>
    <row r="21" spans="1:26" ht="14.25" customHeight="1">
      <c r="A21" s="7"/>
      <c r="B21" s="7"/>
      <c r="C21" s="1195"/>
      <c r="D21" s="1251"/>
      <c r="E21" s="1251"/>
      <c r="F21" s="1251"/>
      <c r="G21" s="1251"/>
      <c r="H21" s="1206"/>
      <c r="I21" s="1200"/>
      <c r="J21" s="1400"/>
      <c r="K21" s="1400"/>
      <c r="L21" s="1400"/>
      <c r="N21" s="1405"/>
      <c r="O21" s="524"/>
      <c r="Q21" s="202"/>
      <c r="Z21" s="427" t="s">
        <v>294</v>
      </c>
    </row>
    <row r="22" spans="1:26" ht="14.25" customHeight="1">
      <c r="A22" s="7"/>
      <c r="B22" s="7"/>
      <c r="C22" s="1195"/>
      <c r="D22" s="1251"/>
      <c r="E22" s="1251"/>
      <c r="F22" s="1251"/>
      <c r="G22" s="1251"/>
      <c r="H22" s="1206"/>
      <c r="I22" s="1207"/>
      <c r="J22" s="1400"/>
      <c r="K22" s="1400"/>
      <c r="L22" s="1400"/>
      <c r="N22" s="1395"/>
      <c r="O22" s="1395"/>
      <c r="P22" s="1399"/>
      <c r="Q22" s="202"/>
      <c r="Z22" s="427" t="s">
        <v>295</v>
      </c>
    </row>
    <row r="23" spans="1:26" ht="19.5" customHeight="1">
      <c r="A23" s="7"/>
      <c r="B23" s="7"/>
      <c r="C23" s="1195"/>
      <c r="D23" s="1192"/>
      <c r="E23" s="1193"/>
      <c r="F23" s="1192"/>
      <c r="G23" s="1186"/>
      <c r="H23" s="1206"/>
      <c r="I23" s="1200"/>
      <c r="J23" s="1200"/>
      <c r="K23" s="1200"/>
      <c r="L23" s="1200"/>
      <c r="N23" s="1395"/>
      <c r="O23" s="1395"/>
      <c r="P23" s="1399"/>
      <c r="Q23" s="202"/>
      <c r="T23" s="1012" t="s">
        <v>3119</v>
      </c>
      <c r="U23" s="994"/>
      <c r="Z23" s="427" t="s">
        <v>296</v>
      </c>
    </row>
    <row r="24" spans="1:26" ht="19.5" customHeight="1">
      <c r="A24" s="7"/>
      <c r="B24" s="7"/>
      <c r="C24" s="1195"/>
      <c r="D24" s="1192"/>
      <c r="E24" s="1193"/>
      <c r="F24" s="1192"/>
      <c r="G24" s="1186"/>
      <c r="H24" s="1208"/>
      <c r="I24" s="1209"/>
      <c r="J24" s="1189"/>
      <c r="K24" s="1189"/>
      <c r="L24" s="1192"/>
      <c r="N24" s="202"/>
      <c r="O24" s="202"/>
      <c r="P24" s="202"/>
      <c r="Q24" s="202"/>
      <c r="T24" s="1012" t="s">
        <v>3120</v>
      </c>
      <c r="U24" s="994"/>
      <c r="Z24" s="427" t="s">
        <v>297</v>
      </c>
    </row>
    <row r="25" spans="1:26" ht="20.25" customHeight="1">
      <c r="B25" s="1390" t="s">
        <v>286</v>
      </c>
      <c r="C25" s="1391"/>
      <c r="D25" s="1391"/>
      <c r="E25" s="1391"/>
      <c r="F25" s="197">
        <v>0</v>
      </c>
      <c r="H25" s="198">
        <f>+work!H18</f>
        <v>7</v>
      </c>
      <c r="I25" s="1338">
        <v>3</v>
      </c>
      <c r="J25" s="9"/>
      <c r="K25" s="8"/>
      <c r="L25" s="8"/>
      <c r="M25" s="428"/>
      <c r="N25" s="1388"/>
      <c r="O25" s="1388"/>
      <c r="Z25" s="427" t="s">
        <v>298</v>
      </c>
    </row>
    <row r="26" spans="1:26" ht="26.25" customHeight="1" thickBot="1">
      <c r="C26" s="1389" t="s">
        <v>312</v>
      </c>
      <c r="D26" s="1389"/>
      <c r="E26" s="1389"/>
      <c r="F26" s="1389"/>
      <c r="G26" s="1389"/>
      <c r="H26" s="1389"/>
      <c r="I26" s="1389"/>
      <c r="J26" s="1389"/>
      <c r="K26" s="1389"/>
      <c r="L26" s="1389"/>
      <c r="M26" s="428"/>
      <c r="N26" s="1388"/>
      <c r="O26" s="1388"/>
      <c r="Z26" s="427" t="s">
        <v>299</v>
      </c>
    </row>
    <row r="27" spans="1:26" ht="42" customHeight="1">
      <c r="A27" s="5" t="s">
        <v>2073</v>
      </c>
      <c r="B27" s="5" t="s">
        <v>10</v>
      </c>
      <c r="C27" s="97" t="s">
        <v>0</v>
      </c>
      <c r="D27" s="93"/>
      <c r="E27" s="94" t="s">
        <v>1</v>
      </c>
      <c r="F27" s="95" t="s">
        <v>2</v>
      </c>
      <c r="G27" s="95" t="s">
        <v>3</v>
      </c>
      <c r="H27" s="96" t="s">
        <v>4</v>
      </c>
      <c r="I27" s="96" t="s">
        <v>5</v>
      </c>
      <c r="J27" s="1392" t="s">
        <v>6</v>
      </c>
      <c r="K27" s="1393"/>
      <c r="L27" s="1394"/>
      <c r="M27" s="428"/>
      <c r="N27" s="1388"/>
      <c r="O27" s="1388"/>
      <c r="R27" s="10" t="s">
        <v>3182</v>
      </c>
      <c r="Z27" s="1" t="s">
        <v>303</v>
      </c>
    </row>
    <row r="28" spans="1:26" ht="24" customHeight="1">
      <c r="A28" s="28"/>
      <c r="B28" s="28"/>
      <c r="C28" s="1336" t="str">
        <f>D12</f>
        <v>地下空間の大規模改革に伴う基本設計その他業務委託（4号線谷町四丁目外5駅の部）</v>
      </c>
      <c r="D28" s="380"/>
      <c r="E28" s="381"/>
      <c r="F28" s="374"/>
      <c r="G28" s="375"/>
      <c r="H28" s="376" t="s">
        <v>12</v>
      </c>
      <c r="I28" s="376" t="s">
        <v>12</v>
      </c>
      <c r="J28" s="377"/>
      <c r="K28" s="377"/>
      <c r="L28" s="378"/>
      <c r="M28" s="428"/>
      <c r="N28" s="1388"/>
      <c r="O28" s="1388"/>
      <c r="T28" s="970" t="s">
        <v>3164</v>
      </c>
      <c r="Z28" s="427" t="s">
        <v>304</v>
      </c>
    </row>
    <row r="29" spans="1:26" ht="24" customHeight="1">
      <c r="A29" s="28"/>
      <c r="B29" s="28"/>
      <c r="C29" s="379"/>
      <c r="D29" s="380"/>
      <c r="E29" s="381"/>
      <c r="F29" s="382"/>
      <c r="G29" s="383"/>
      <c r="H29" s="384"/>
      <c r="I29" s="384"/>
      <c r="J29" s="380"/>
      <c r="K29" s="380"/>
      <c r="L29" s="385"/>
      <c r="Z29" s="427" t="s">
        <v>305</v>
      </c>
    </row>
    <row r="30" spans="1:26" ht="24" customHeight="1">
      <c r="A30" s="28"/>
      <c r="B30" s="28"/>
      <c r="C30" s="386"/>
      <c r="D30" s="387" t="s">
        <v>3198</v>
      </c>
      <c r="E30" s="388"/>
      <c r="F30" s="389"/>
      <c r="G30" s="390"/>
      <c r="H30" s="391"/>
      <c r="I30" s="391"/>
      <c r="J30" s="387"/>
      <c r="K30" s="387"/>
      <c r="L30" s="392" t="s">
        <v>3218</v>
      </c>
      <c r="R30" s="10" t="s">
        <v>3183</v>
      </c>
      <c r="Z30" s="427" t="s">
        <v>306</v>
      </c>
    </row>
    <row r="31" spans="1:26" ht="24" customHeight="1">
      <c r="A31" s="28"/>
      <c r="B31" s="28"/>
      <c r="C31" s="393"/>
      <c r="D31" s="387" t="s">
        <v>3199</v>
      </c>
      <c r="E31" s="388" t="s">
        <v>3200</v>
      </c>
      <c r="F31" s="389">
        <v>1</v>
      </c>
      <c r="G31" s="390" t="s">
        <v>3201</v>
      </c>
      <c r="H31" s="391"/>
      <c r="I31" s="391">
        <v>9000000</v>
      </c>
      <c r="J31" s="387" t="s">
        <v>3202</v>
      </c>
      <c r="K31" s="387"/>
      <c r="L31" s="1320" t="s">
        <v>3219</v>
      </c>
      <c r="T31" s="970" t="s">
        <v>3164</v>
      </c>
      <c r="Z31" s="427" t="s">
        <v>307</v>
      </c>
    </row>
    <row r="32" spans="1:26" ht="24" customHeight="1">
      <c r="A32" s="28"/>
      <c r="B32" s="28"/>
      <c r="C32" s="386"/>
      <c r="D32" s="387" t="s">
        <v>3203</v>
      </c>
      <c r="E32" s="388" t="s">
        <v>3200</v>
      </c>
      <c r="F32" s="389">
        <v>1</v>
      </c>
      <c r="G32" s="390" t="s">
        <v>7</v>
      </c>
      <c r="H32" s="391"/>
      <c r="I32" s="391">
        <v>9000000</v>
      </c>
      <c r="J32" s="387" t="s">
        <v>3202</v>
      </c>
      <c r="K32" s="387"/>
      <c r="L32" s="1320" t="s">
        <v>3220</v>
      </c>
      <c r="Z32" s="427" t="s">
        <v>308</v>
      </c>
    </row>
    <row r="33" spans="1:26" ht="24" customHeight="1">
      <c r="A33" s="28"/>
      <c r="B33" s="28"/>
      <c r="C33" s="393"/>
      <c r="D33" s="387" t="s">
        <v>3204</v>
      </c>
      <c r="E33" s="388"/>
      <c r="F33" s="389"/>
      <c r="G33" s="390"/>
      <c r="H33" s="391"/>
      <c r="I33" s="391">
        <v>18000000</v>
      </c>
      <c r="J33" s="387"/>
      <c r="K33" s="387"/>
      <c r="L33" s="392"/>
      <c r="Z33" s="427" t="s">
        <v>309</v>
      </c>
    </row>
    <row r="34" spans="1:26" ht="24" customHeight="1">
      <c r="A34" s="28"/>
      <c r="B34" s="28"/>
      <c r="C34" s="386"/>
      <c r="D34" s="387" t="s">
        <v>3205</v>
      </c>
      <c r="E34" s="388"/>
      <c r="F34" s="389">
        <v>1</v>
      </c>
      <c r="G34" s="390" t="s">
        <v>7</v>
      </c>
      <c r="H34" s="391"/>
      <c r="I34" s="391">
        <v>1800000</v>
      </c>
      <c r="J34" s="387">
        <v>0.1</v>
      </c>
      <c r="K34" s="387"/>
      <c r="L34" s="392"/>
      <c r="Z34" s="427" t="s">
        <v>310</v>
      </c>
    </row>
    <row r="35" spans="1:26" ht="24" customHeight="1">
      <c r="A35" s="28"/>
      <c r="B35" s="28"/>
      <c r="C35" s="393"/>
      <c r="D35" s="394" t="s">
        <v>3206</v>
      </c>
      <c r="E35" s="388"/>
      <c r="F35" s="389"/>
      <c r="G35" s="390"/>
      <c r="H35" s="391"/>
      <c r="I35" s="391">
        <v>19800000</v>
      </c>
      <c r="J35" s="387"/>
      <c r="K35" s="387"/>
      <c r="L35" s="392"/>
      <c r="Z35" s="427" t="s">
        <v>311</v>
      </c>
    </row>
    <row r="36" spans="1:26" ht="24" customHeight="1">
      <c r="A36" s="28"/>
      <c r="B36" s="28"/>
      <c r="C36" s="393"/>
      <c r="D36" s="394"/>
      <c r="E36" s="388"/>
      <c r="F36" s="389"/>
      <c r="G36" s="390"/>
      <c r="H36" s="391"/>
      <c r="I36" s="391"/>
      <c r="J36" s="387"/>
      <c r="K36" s="387"/>
      <c r="L36" s="392"/>
    </row>
    <row r="37" spans="1:26" ht="24" customHeight="1">
      <c r="A37" s="28"/>
      <c r="B37" s="28"/>
      <c r="C37" s="393"/>
      <c r="D37" s="394"/>
      <c r="E37" s="388"/>
      <c r="F37" s="389"/>
      <c r="G37" s="390"/>
      <c r="H37" s="391"/>
      <c r="I37" s="391"/>
      <c r="J37" s="387"/>
      <c r="K37" s="387"/>
      <c r="L37" s="392"/>
    </row>
    <row r="38" spans="1:26" ht="24" customHeight="1">
      <c r="A38" s="28"/>
      <c r="B38" s="28"/>
      <c r="C38" s="393"/>
      <c r="D38" s="394" t="s">
        <v>3207</v>
      </c>
      <c r="E38" s="388"/>
      <c r="F38" s="389"/>
      <c r="G38" s="390"/>
      <c r="H38" s="391"/>
      <c r="I38" s="391"/>
      <c r="J38" s="387"/>
      <c r="K38" s="387"/>
      <c r="L38" s="392" t="s">
        <v>3218</v>
      </c>
    </row>
    <row r="39" spans="1:26" ht="24" customHeight="1">
      <c r="A39" s="28"/>
      <c r="B39" s="28"/>
      <c r="C39" s="393"/>
      <c r="D39" s="395" t="s">
        <v>3208</v>
      </c>
      <c r="E39" s="388" t="s">
        <v>3200</v>
      </c>
      <c r="F39" s="389">
        <v>1</v>
      </c>
      <c r="G39" s="390" t="s">
        <v>3201</v>
      </c>
      <c r="H39" s="391"/>
      <c r="I39" s="391">
        <v>4500000</v>
      </c>
      <c r="J39" s="387" t="s">
        <v>3202</v>
      </c>
      <c r="K39" s="387"/>
      <c r="L39" s="392" t="s">
        <v>3225</v>
      </c>
    </row>
    <row r="40" spans="1:26" ht="24" customHeight="1">
      <c r="A40" s="28"/>
      <c r="B40" s="28"/>
      <c r="C40" s="393"/>
      <c r="D40" s="387" t="s">
        <v>3209</v>
      </c>
      <c r="E40" s="388" t="s">
        <v>3200</v>
      </c>
      <c r="F40" s="389">
        <v>1</v>
      </c>
      <c r="G40" s="390" t="s">
        <v>7</v>
      </c>
      <c r="H40" s="391"/>
      <c r="I40" s="391">
        <v>4500000</v>
      </c>
      <c r="J40" s="387" t="s">
        <v>3202</v>
      </c>
      <c r="K40" s="387"/>
      <c r="L40" s="392" t="s">
        <v>3226</v>
      </c>
    </row>
    <row r="41" spans="1:26" ht="24" customHeight="1">
      <c r="A41" s="28"/>
      <c r="B41" s="28"/>
      <c r="C41" s="393"/>
      <c r="D41" s="387" t="s">
        <v>3204</v>
      </c>
      <c r="E41" s="388"/>
      <c r="F41" s="389"/>
      <c r="G41" s="390"/>
      <c r="H41" s="391"/>
      <c r="I41" s="391">
        <v>9000000</v>
      </c>
      <c r="J41" s="396"/>
      <c r="K41" s="1379"/>
      <c r="L41" s="1380"/>
    </row>
    <row r="42" spans="1:26" ht="24" customHeight="1">
      <c r="A42" s="28"/>
      <c r="B42" s="28"/>
      <c r="C42" s="393"/>
      <c r="D42" s="387" t="s">
        <v>3205</v>
      </c>
      <c r="E42" s="388"/>
      <c r="F42" s="389">
        <v>1</v>
      </c>
      <c r="G42" s="390" t="s">
        <v>7</v>
      </c>
      <c r="H42" s="391"/>
      <c r="I42" s="391">
        <v>900000</v>
      </c>
      <c r="J42" s="396">
        <v>0.1</v>
      </c>
      <c r="K42" s="1379"/>
      <c r="L42" s="1380"/>
    </row>
    <row r="43" spans="1:26" ht="24" customHeight="1">
      <c r="A43" s="28"/>
      <c r="B43" s="28"/>
      <c r="C43" s="393"/>
      <c r="D43" s="387" t="s">
        <v>3206</v>
      </c>
      <c r="E43" s="388"/>
      <c r="F43" s="389"/>
      <c r="G43" s="390"/>
      <c r="H43" s="391"/>
      <c r="I43" s="391">
        <v>9900000</v>
      </c>
      <c r="J43" s="430"/>
      <c r="K43" s="1379"/>
      <c r="L43" s="1380"/>
    </row>
    <row r="44" spans="1:26" ht="24" customHeight="1">
      <c r="A44" s="28"/>
      <c r="B44" s="28"/>
      <c r="C44" s="393"/>
      <c r="D44" s="387"/>
      <c r="E44" s="388"/>
      <c r="F44" s="389"/>
      <c r="G44" s="390"/>
      <c r="H44" s="391"/>
      <c r="I44" s="391"/>
      <c r="J44" s="396"/>
      <c r="K44" s="1379"/>
      <c r="L44" s="1380"/>
    </row>
    <row r="45" spans="1:26" ht="24" customHeight="1">
      <c r="A45" s="28"/>
      <c r="B45" s="28"/>
      <c r="C45" s="393"/>
      <c r="D45" s="387"/>
      <c r="E45" s="388"/>
      <c r="F45" s="389"/>
      <c r="G45" s="390"/>
      <c r="H45" s="391"/>
      <c r="I45" s="391"/>
      <c r="J45" s="397"/>
      <c r="K45" s="398"/>
      <c r="L45" s="399"/>
    </row>
    <row r="46" spans="1:26" ht="24" customHeight="1">
      <c r="A46" s="28"/>
      <c r="B46" s="28"/>
      <c r="C46" s="393"/>
      <c r="D46" s="387"/>
      <c r="E46" s="388"/>
      <c r="F46" s="389"/>
      <c r="G46" s="390"/>
      <c r="H46" s="391"/>
      <c r="I46" s="391"/>
      <c r="J46" s="387"/>
      <c r="K46" s="1381"/>
      <c r="L46" s="1382"/>
    </row>
    <row r="47" spans="1:26" ht="24" customHeight="1" thickBot="1">
      <c r="A47" s="28"/>
      <c r="B47" s="28"/>
      <c r="C47" s="400"/>
      <c r="D47" s="401"/>
      <c r="E47" s="402"/>
      <c r="F47" s="403"/>
      <c r="G47" s="404"/>
      <c r="H47" s="405"/>
      <c r="I47" s="405"/>
      <c r="J47" s="401"/>
      <c r="K47" s="1377"/>
      <c r="L47" s="1378"/>
    </row>
    <row r="48" spans="1:26" ht="14.25" customHeight="1">
      <c r="E48" s="24" t="s">
        <v>53</v>
      </c>
      <c r="F48" s="83">
        <f>F25+1</f>
        <v>1</v>
      </c>
      <c r="G48" s="25" t="s">
        <v>54</v>
      </c>
      <c r="H48" s="4">
        <f>H25</f>
        <v>7</v>
      </c>
      <c r="M48" s="23" t="str">
        <f>IF(A73="","EOL","")</f>
        <v/>
      </c>
      <c r="N48" s="1">
        <f>+F48</f>
        <v>1</v>
      </c>
    </row>
    <row r="49" spans="1:12" ht="26.25" customHeight="1" thickBot="1">
      <c r="C49" s="1373" t="s">
        <v>312</v>
      </c>
      <c r="D49" s="1373"/>
      <c r="E49" s="1373"/>
      <c r="F49" s="1373"/>
      <c r="G49" s="1373"/>
      <c r="H49" s="1373"/>
      <c r="I49" s="1373"/>
      <c r="J49" s="1373"/>
      <c r="K49" s="1373"/>
      <c r="L49" s="1373"/>
    </row>
    <row r="50" spans="1:12" ht="42" customHeight="1">
      <c r="A50" s="5" t="s">
        <v>11</v>
      </c>
      <c r="B50" s="5" t="s">
        <v>10</v>
      </c>
      <c r="C50" s="1210" t="s">
        <v>0</v>
      </c>
      <c r="D50" s="1211"/>
      <c r="E50" s="1212" t="s">
        <v>1</v>
      </c>
      <c r="F50" s="1213" t="s">
        <v>2</v>
      </c>
      <c r="G50" s="1213" t="s">
        <v>3</v>
      </c>
      <c r="H50" s="1214" t="s">
        <v>4</v>
      </c>
      <c r="I50" s="1214" t="s">
        <v>5</v>
      </c>
      <c r="J50" s="1374" t="s">
        <v>6</v>
      </c>
      <c r="K50" s="1375"/>
      <c r="L50" s="1376"/>
    </row>
    <row r="51" spans="1:12" ht="24" customHeight="1">
      <c r="A51" s="28"/>
      <c r="B51" s="28"/>
      <c r="C51" s="1215"/>
      <c r="D51" s="995"/>
      <c r="E51" s="996"/>
      <c r="F51" s="997"/>
      <c r="G51" s="998"/>
      <c r="H51" s="1216" t="s">
        <v>12</v>
      </c>
      <c r="I51" s="1216" t="s">
        <v>12</v>
      </c>
      <c r="J51" s="995"/>
      <c r="K51" s="995"/>
      <c r="L51" s="999"/>
    </row>
    <row r="52" spans="1:12" ht="24" customHeight="1">
      <c r="A52" s="28"/>
      <c r="B52" s="28"/>
      <c r="C52" s="1273"/>
      <c r="D52" s="1319"/>
      <c r="E52" s="1254"/>
      <c r="F52" s="1255"/>
      <c r="G52" s="1256"/>
      <c r="H52" s="1257"/>
      <c r="I52" s="1257"/>
      <c r="J52" s="1319"/>
      <c r="K52" s="1319"/>
      <c r="L52" s="1320"/>
    </row>
    <row r="53" spans="1:12" ht="24" customHeight="1">
      <c r="A53" s="28"/>
      <c r="B53" s="28"/>
      <c r="C53" s="1000"/>
      <c r="D53" s="995" t="s">
        <v>3210</v>
      </c>
      <c r="E53" s="1254"/>
      <c r="F53" s="1255"/>
      <c r="G53" s="1256"/>
      <c r="H53" s="1257"/>
      <c r="I53" s="1257"/>
      <c r="J53" s="1319"/>
      <c r="K53" s="1319"/>
      <c r="L53" s="1320" t="s">
        <v>3218</v>
      </c>
    </row>
    <row r="54" spans="1:12" ht="24" customHeight="1">
      <c r="A54" s="28"/>
      <c r="B54" s="28"/>
      <c r="C54" s="1260"/>
      <c r="D54" s="1319" t="s">
        <v>3211</v>
      </c>
      <c r="E54" s="1254" t="s">
        <v>3212</v>
      </c>
      <c r="F54" s="1255">
        <v>1</v>
      </c>
      <c r="G54" s="1256" t="s">
        <v>3201</v>
      </c>
      <c r="H54" s="1257"/>
      <c r="I54" s="1257">
        <v>2500000</v>
      </c>
      <c r="J54" s="1261" t="s">
        <v>3202</v>
      </c>
      <c r="K54" s="1319"/>
      <c r="L54" s="1320" t="s">
        <v>3227</v>
      </c>
    </row>
    <row r="55" spans="1:12" ht="24" customHeight="1">
      <c r="A55" s="28"/>
      <c r="B55" s="28"/>
      <c r="C55" s="1260"/>
      <c r="D55" s="1319" t="s">
        <v>3213</v>
      </c>
      <c r="E55" s="1254" t="s">
        <v>3212</v>
      </c>
      <c r="F55" s="1255">
        <v>1</v>
      </c>
      <c r="G55" s="1256" t="s">
        <v>7</v>
      </c>
      <c r="H55" s="1257"/>
      <c r="I55" s="1257">
        <v>2500000</v>
      </c>
      <c r="J55" s="1319" t="s">
        <v>3202</v>
      </c>
      <c r="K55" s="1319"/>
      <c r="L55" s="1320" t="s">
        <v>3221</v>
      </c>
    </row>
    <row r="56" spans="1:12" ht="24" customHeight="1">
      <c r="A56" s="28"/>
      <c r="B56" s="28"/>
      <c r="C56" s="1273"/>
      <c r="D56" s="1319" t="s">
        <v>3204</v>
      </c>
      <c r="E56" s="1254"/>
      <c r="F56" s="1255"/>
      <c r="G56" s="1256"/>
      <c r="H56" s="1257"/>
      <c r="I56" s="1257">
        <v>5000000</v>
      </c>
      <c r="J56" s="1319"/>
      <c r="K56" s="1319"/>
      <c r="L56" s="1320"/>
    </row>
    <row r="57" spans="1:12" ht="24" customHeight="1">
      <c r="A57" s="28"/>
      <c r="B57" s="28"/>
      <c r="C57" s="1000"/>
      <c r="D57" s="1319" t="s">
        <v>3205</v>
      </c>
      <c r="E57" s="1254"/>
      <c r="F57" s="1255">
        <v>1</v>
      </c>
      <c r="G57" s="1256" t="s">
        <v>7</v>
      </c>
      <c r="H57" s="1257"/>
      <c r="I57" s="1257">
        <v>500000</v>
      </c>
      <c r="J57" s="1319">
        <v>0.1</v>
      </c>
      <c r="K57" s="1319"/>
      <c r="L57" s="1320"/>
    </row>
    <row r="58" spans="1:12" ht="24" customHeight="1">
      <c r="A58" s="28"/>
      <c r="B58" s="28"/>
      <c r="C58" s="1260"/>
      <c r="D58" s="1319" t="s">
        <v>3206</v>
      </c>
      <c r="E58" s="1254"/>
      <c r="F58" s="1255"/>
      <c r="G58" s="1256"/>
      <c r="H58" s="1257"/>
      <c r="I58" s="1257">
        <v>5500000</v>
      </c>
      <c r="J58" s="1261"/>
      <c r="K58" s="1319"/>
      <c r="L58" s="1320"/>
    </row>
    <row r="59" spans="1:12" ht="24" customHeight="1">
      <c r="A59" s="28"/>
      <c r="B59" s="28"/>
      <c r="C59" s="1260"/>
      <c r="D59" s="1319"/>
      <c r="E59" s="1254"/>
      <c r="F59" s="1255"/>
      <c r="G59" s="1256"/>
      <c r="H59" s="1257"/>
      <c r="I59" s="1257"/>
      <c r="J59" s="1319"/>
      <c r="K59" s="1319"/>
      <c r="L59" s="1320"/>
    </row>
    <row r="60" spans="1:12" ht="24" customHeight="1">
      <c r="A60" s="28"/>
      <c r="B60" s="28"/>
      <c r="C60" s="1260"/>
      <c r="D60" s="1262"/>
      <c r="E60" s="1254"/>
      <c r="F60" s="1255"/>
      <c r="G60" s="1256"/>
      <c r="H60" s="1257"/>
      <c r="I60" s="1257"/>
      <c r="J60" s="1319"/>
      <c r="K60" s="1319"/>
      <c r="L60" s="1320"/>
    </row>
    <row r="61" spans="1:12" ht="24" customHeight="1">
      <c r="A61" s="28"/>
      <c r="B61" s="28"/>
      <c r="C61" s="1260"/>
      <c r="D61" s="1319" t="s">
        <v>3214</v>
      </c>
      <c r="E61" s="1254"/>
      <c r="F61" s="1255"/>
      <c r="G61" s="1256"/>
      <c r="H61" s="1257"/>
      <c r="I61" s="1257"/>
      <c r="J61" s="1319"/>
      <c r="K61" s="1319"/>
      <c r="L61" s="1320" t="s">
        <v>3218</v>
      </c>
    </row>
    <row r="62" spans="1:12" ht="24" customHeight="1">
      <c r="A62" s="28"/>
      <c r="B62" s="28"/>
      <c r="C62" s="1260"/>
      <c r="D62" s="1319" t="s">
        <v>3199</v>
      </c>
      <c r="E62" s="1254" t="s">
        <v>3212</v>
      </c>
      <c r="F62" s="1255">
        <v>1</v>
      </c>
      <c r="G62" s="1256" t="s">
        <v>3201</v>
      </c>
      <c r="H62" s="1257"/>
      <c r="I62" s="1257">
        <v>2500000</v>
      </c>
      <c r="J62" s="1319" t="s">
        <v>3202</v>
      </c>
      <c r="K62" s="1319"/>
      <c r="L62" s="1320" t="s">
        <v>3222</v>
      </c>
    </row>
    <row r="63" spans="1:12" ht="24" customHeight="1">
      <c r="A63" s="28"/>
      <c r="B63" s="28"/>
      <c r="C63" s="1260"/>
      <c r="D63" s="1319" t="s">
        <v>3203</v>
      </c>
      <c r="E63" s="1254" t="s">
        <v>3212</v>
      </c>
      <c r="F63" s="1255">
        <v>1</v>
      </c>
      <c r="G63" s="1256" t="s">
        <v>7</v>
      </c>
      <c r="H63" s="1257"/>
      <c r="I63" s="1257">
        <v>2500000</v>
      </c>
      <c r="J63" s="1274" t="s">
        <v>3202</v>
      </c>
      <c r="K63" s="1365"/>
      <c r="L63" s="1366" t="s">
        <v>3228</v>
      </c>
    </row>
    <row r="64" spans="1:12" ht="24" customHeight="1">
      <c r="A64" s="28"/>
      <c r="B64" s="28"/>
      <c r="C64" s="1260"/>
      <c r="D64" s="1319" t="s">
        <v>3204</v>
      </c>
      <c r="E64" s="1254"/>
      <c r="F64" s="1255"/>
      <c r="G64" s="1256"/>
      <c r="H64" s="1257"/>
      <c r="I64" s="1257">
        <v>5000000</v>
      </c>
      <c r="J64" s="1274"/>
      <c r="K64" s="1367"/>
      <c r="L64" s="1368"/>
    </row>
    <row r="65" spans="1:14" ht="24" customHeight="1">
      <c r="A65" s="28"/>
      <c r="B65" s="28"/>
      <c r="C65" s="1260"/>
      <c r="D65" s="1319" t="s">
        <v>3205</v>
      </c>
      <c r="E65" s="1254"/>
      <c r="F65" s="1255">
        <v>1</v>
      </c>
      <c r="G65" s="1256" t="s">
        <v>7</v>
      </c>
      <c r="H65" s="1257"/>
      <c r="I65" s="1275">
        <v>500000</v>
      </c>
      <c r="J65" s="1274">
        <v>0.1</v>
      </c>
      <c r="K65" s="1367"/>
      <c r="L65" s="1368"/>
    </row>
    <row r="66" spans="1:14" ht="24" customHeight="1">
      <c r="A66" s="28"/>
      <c r="B66" s="28"/>
      <c r="C66" s="1260"/>
      <c r="D66" s="1319" t="s">
        <v>3206</v>
      </c>
      <c r="E66" s="1254"/>
      <c r="F66" s="1255"/>
      <c r="G66" s="1256"/>
      <c r="H66" s="1257"/>
      <c r="I66" s="1257">
        <v>5500000</v>
      </c>
      <c r="J66" s="1263"/>
      <c r="K66" s="1367"/>
      <c r="L66" s="1368"/>
    </row>
    <row r="67" spans="1:14" ht="24" customHeight="1">
      <c r="A67" s="28"/>
      <c r="B67" s="28"/>
      <c r="C67" s="1260"/>
      <c r="D67" s="1319"/>
      <c r="E67" s="1254"/>
      <c r="F67" s="1255"/>
      <c r="G67" s="1256"/>
      <c r="H67" s="1257"/>
      <c r="I67" s="1257"/>
      <c r="J67" s="1263"/>
      <c r="K67" s="1265"/>
      <c r="L67" s="1266"/>
    </row>
    <row r="68" spans="1:14" ht="24" customHeight="1">
      <c r="A68" s="28"/>
      <c r="B68" s="28"/>
      <c r="C68" s="1260"/>
      <c r="D68" s="1319"/>
      <c r="E68" s="1254"/>
      <c r="F68" s="1255"/>
      <c r="G68" s="1256"/>
      <c r="H68" s="1257"/>
      <c r="I68" s="1257"/>
      <c r="J68" s="1264"/>
      <c r="K68" s="1319"/>
      <c r="L68" s="1320"/>
    </row>
    <row r="69" spans="1:14" ht="24" customHeight="1">
      <c r="A69" s="28"/>
      <c r="B69" s="28"/>
      <c r="C69" s="1260"/>
      <c r="D69" s="1319"/>
      <c r="E69" s="1254"/>
      <c r="F69" s="1255"/>
      <c r="G69" s="1256"/>
      <c r="H69" s="1257"/>
      <c r="I69" s="1257"/>
      <c r="J69" s="1319"/>
      <c r="K69" s="1369"/>
      <c r="L69" s="1370"/>
    </row>
    <row r="70" spans="1:14" ht="24" customHeight="1" thickBot="1">
      <c r="A70" s="28"/>
      <c r="B70" s="28"/>
      <c r="C70" s="1267"/>
      <c r="D70" s="1268"/>
      <c r="E70" s="1269"/>
      <c r="F70" s="1270"/>
      <c r="G70" s="1271"/>
      <c r="H70" s="1272"/>
      <c r="I70" s="1272"/>
      <c r="J70" s="1268"/>
      <c r="K70" s="1371"/>
      <c r="L70" s="1372"/>
    </row>
    <row r="71" spans="1:14" ht="14.25" customHeight="1">
      <c r="E71" s="24" t="s">
        <v>53</v>
      </c>
      <c r="F71" s="83">
        <f>F48+1</f>
        <v>2</v>
      </c>
      <c r="G71" s="25" t="s">
        <v>54</v>
      </c>
      <c r="H71" s="4">
        <f>H25</f>
        <v>7</v>
      </c>
      <c r="M71" s="23" t="str">
        <f>IF(A73="","EOL","")</f>
        <v/>
      </c>
      <c r="N71" s="1">
        <f>+F71</f>
        <v>2</v>
      </c>
    </row>
    <row r="72" spans="1:14" ht="26.25" customHeight="1" thickBot="1">
      <c r="C72" s="1373" t="s">
        <v>312</v>
      </c>
      <c r="D72" s="1373"/>
      <c r="E72" s="1373"/>
      <c r="F72" s="1373"/>
      <c r="G72" s="1373"/>
      <c r="H72" s="1373"/>
      <c r="I72" s="1373"/>
      <c r="J72" s="1373"/>
      <c r="K72" s="1373"/>
      <c r="L72" s="1373"/>
    </row>
    <row r="73" spans="1:14" ht="42" customHeight="1">
      <c r="A73" s="5" t="s">
        <v>11</v>
      </c>
      <c r="B73" s="5" t="s">
        <v>10</v>
      </c>
      <c r="C73" s="1210" t="s">
        <v>0</v>
      </c>
      <c r="D73" s="1211"/>
      <c r="E73" s="1212" t="s">
        <v>1</v>
      </c>
      <c r="F73" s="1213" t="s">
        <v>2</v>
      </c>
      <c r="G73" s="1213" t="s">
        <v>3</v>
      </c>
      <c r="H73" s="1214" t="s">
        <v>4</v>
      </c>
      <c r="I73" s="1214" t="s">
        <v>5</v>
      </c>
      <c r="J73" s="1374" t="s">
        <v>6</v>
      </c>
      <c r="K73" s="1375"/>
      <c r="L73" s="1376"/>
    </row>
    <row r="74" spans="1:14" ht="24" customHeight="1">
      <c r="A74" s="28"/>
      <c r="B74" s="28"/>
      <c r="C74" s="1215"/>
      <c r="D74" s="995"/>
      <c r="E74" s="996"/>
      <c r="F74" s="997"/>
      <c r="G74" s="998"/>
      <c r="H74" s="1216" t="s">
        <v>12</v>
      </c>
      <c r="I74" s="1216" t="s">
        <v>12</v>
      </c>
      <c r="J74" s="995"/>
      <c r="K74" s="995"/>
      <c r="L74" s="999"/>
    </row>
    <row r="75" spans="1:14" ht="24" customHeight="1">
      <c r="A75" s="28"/>
      <c r="B75" s="28"/>
      <c r="C75" s="1273"/>
      <c r="D75" s="1258"/>
      <c r="E75" s="1254"/>
      <c r="F75" s="1255"/>
      <c r="G75" s="1256"/>
      <c r="H75" s="1257"/>
      <c r="I75" s="1257"/>
      <c r="J75" s="1258"/>
      <c r="K75" s="1258"/>
      <c r="L75" s="1259"/>
    </row>
    <row r="76" spans="1:14" ht="24" customHeight="1">
      <c r="A76" s="28"/>
      <c r="B76" s="28"/>
      <c r="C76" s="1000"/>
      <c r="D76" s="995" t="s">
        <v>3215</v>
      </c>
      <c r="E76" s="1254"/>
      <c r="F76" s="1255"/>
      <c r="G76" s="1256"/>
      <c r="H76" s="1257"/>
      <c r="I76" s="1257"/>
      <c r="J76" s="1258"/>
      <c r="K76" s="1258"/>
      <c r="L76" s="1259" t="s">
        <v>3217</v>
      </c>
    </row>
    <row r="77" spans="1:14" ht="24" customHeight="1">
      <c r="A77" s="28"/>
      <c r="B77" s="28"/>
      <c r="C77" s="1260"/>
      <c r="D77" s="1319" t="s">
        <v>3208</v>
      </c>
      <c r="E77" s="1254" t="s">
        <v>3212</v>
      </c>
      <c r="F77" s="1255">
        <v>1</v>
      </c>
      <c r="G77" s="1256" t="s">
        <v>3201</v>
      </c>
      <c r="H77" s="1257"/>
      <c r="I77" s="1257">
        <v>4000000</v>
      </c>
      <c r="J77" s="1261" t="s">
        <v>3202</v>
      </c>
      <c r="K77" s="1258"/>
      <c r="L77" s="1320" t="s">
        <v>3223</v>
      </c>
    </row>
    <row r="78" spans="1:14" ht="24" customHeight="1">
      <c r="A78" s="28"/>
      <c r="B78" s="28"/>
      <c r="C78" s="1260"/>
      <c r="D78" s="1319" t="s">
        <v>3209</v>
      </c>
      <c r="E78" s="1254" t="s">
        <v>3212</v>
      </c>
      <c r="F78" s="1255">
        <v>1</v>
      </c>
      <c r="G78" s="1256" t="s">
        <v>7</v>
      </c>
      <c r="H78" s="1257"/>
      <c r="I78" s="1257">
        <v>4000000</v>
      </c>
      <c r="J78" s="1258" t="s">
        <v>3202</v>
      </c>
      <c r="K78" s="1258"/>
      <c r="L78" s="1259" t="s">
        <v>3224</v>
      </c>
    </row>
    <row r="79" spans="1:14" ht="24" customHeight="1">
      <c r="A79" s="28"/>
      <c r="B79" s="28"/>
      <c r="C79" s="1273"/>
      <c r="D79" s="1319" t="s">
        <v>3204</v>
      </c>
      <c r="E79" s="1254"/>
      <c r="F79" s="1255"/>
      <c r="G79" s="1256"/>
      <c r="H79" s="1257"/>
      <c r="I79" s="1257">
        <v>8000000</v>
      </c>
      <c r="J79" s="1258"/>
      <c r="K79" s="1258"/>
      <c r="L79" s="1259"/>
    </row>
    <row r="80" spans="1:14" ht="24" customHeight="1">
      <c r="A80" s="28"/>
      <c r="B80" s="28"/>
      <c r="C80" s="1000"/>
      <c r="D80" s="1258" t="s">
        <v>3205</v>
      </c>
      <c r="E80" s="1254"/>
      <c r="F80" s="1255">
        <v>1</v>
      </c>
      <c r="G80" s="1256" t="s">
        <v>7</v>
      </c>
      <c r="H80" s="1257"/>
      <c r="I80" s="1257">
        <v>800000</v>
      </c>
      <c r="J80" s="1258">
        <v>0.1</v>
      </c>
      <c r="K80" s="1258"/>
      <c r="L80" s="1259"/>
    </row>
    <row r="81" spans="1:14" ht="24" customHeight="1">
      <c r="A81" s="28"/>
      <c r="B81" s="28"/>
      <c r="C81" s="1260"/>
      <c r="D81" s="1258" t="s">
        <v>3206</v>
      </c>
      <c r="E81" s="1254"/>
      <c r="F81" s="1255"/>
      <c r="G81" s="1256"/>
      <c r="H81" s="1257"/>
      <c r="I81" s="1257">
        <v>8800000</v>
      </c>
      <c r="J81" s="1261"/>
      <c r="K81" s="1258"/>
      <c r="L81" s="1259"/>
    </row>
    <row r="82" spans="1:14" ht="24" customHeight="1">
      <c r="A82" s="28"/>
      <c r="B82" s="28"/>
      <c r="C82" s="1260"/>
      <c r="D82" s="1258"/>
      <c r="E82" s="1254"/>
      <c r="F82" s="1255"/>
      <c r="G82" s="1256"/>
      <c r="H82" s="1257"/>
      <c r="I82" s="1257"/>
      <c r="J82" s="1258"/>
      <c r="K82" s="1258"/>
      <c r="L82" s="1259"/>
    </row>
    <row r="83" spans="1:14" ht="24" customHeight="1">
      <c r="A83" s="28"/>
      <c r="B83" s="28"/>
      <c r="C83" s="1260"/>
      <c r="D83" s="1262"/>
      <c r="E83" s="1254"/>
      <c r="F83" s="1255"/>
      <c r="G83" s="1256"/>
      <c r="H83" s="1257"/>
      <c r="I83" s="1257"/>
      <c r="J83" s="1258"/>
      <c r="K83" s="1258"/>
      <c r="L83" s="1259"/>
    </row>
    <row r="84" spans="1:14" ht="24" customHeight="1">
      <c r="A84" s="28"/>
      <c r="B84" s="28"/>
      <c r="C84" s="1260"/>
      <c r="D84" s="1262"/>
      <c r="E84" s="1254"/>
      <c r="F84" s="1255"/>
      <c r="G84" s="1256"/>
      <c r="H84" s="1257"/>
      <c r="I84" s="1257"/>
      <c r="J84" s="1258"/>
      <c r="K84" s="1258"/>
      <c r="L84" s="1259"/>
    </row>
    <row r="85" spans="1:14" ht="24" customHeight="1">
      <c r="A85" s="28"/>
      <c r="B85" s="28"/>
      <c r="C85" s="1260"/>
      <c r="D85" s="1262"/>
      <c r="E85" s="1254"/>
      <c r="F85" s="1255"/>
      <c r="G85" s="1256"/>
      <c r="H85" s="1257"/>
      <c r="I85" s="1257"/>
      <c r="J85" s="1258"/>
      <c r="K85" s="1258"/>
      <c r="L85" s="1259"/>
    </row>
    <row r="86" spans="1:14" ht="24" customHeight="1">
      <c r="A86" s="28"/>
      <c r="B86" s="28"/>
      <c r="C86" s="1260"/>
      <c r="D86" s="1262"/>
      <c r="E86" s="1254"/>
      <c r="F86" s="1255"/>
      <c r="G86" s="1256"/>
      <c r="H86" s="1257"/>
      <c r="I86" s="1257"/>
      <c r="J86" s="1274"/>
      <c r="K86" s="1367"/>
      <c r="L86" s="1368"/>
    </row>
    <row r="87" spans="1:14" ht="24" customHeight="1">
      <c r="A87" s="28"/>
      <c r="B87" s="28"/>
      <c r="C87" s="1260"/>
      <c r="D87" s="1262"/>
      <c r="E87" s="1254"/>
      <c r="F87" s="1255"/>
      <c r="G87" s="1256"/>
      <c r="H87" s="1257"/>
      <c r="I87" s="1257"/>
      <c r="J87" s="1274"/>
      <c r="K87" s="1367"/>
      <c r="L87" s="1368"/>
    </row>
    <row r="88" spans="1:14" ht="24" customHeight="1">
      <c r="A88" s="28"/>
      <c r="B88" s="28"/>
      <c r="C88" s="1260"/>
      <c r="D88" s="1258"/>
      <c r="E88" s="1254"/>
      <c r="F88" s="1255"/>
      <c r="G88" s="1256"/>
      <c r="H88" s="1257"/>
      <c r="I88" s="1275"/>
      <c r="J88" s="1274"/>
      <c r="K88" s="1367"/>
      <c r="L88" s="1368"/>
    </row>
    <row r="89" spans="1:14" ht="24" customHeight="1">
      <c r="A89" s="28"/>
      <c r="B89" s="28"/>
      <c r="C89" s="1260"/>
      <c r="D89" s="1319"/>
      <c r="E89" s="1254"/>
      <c r="F89" s="1255"/>
      <c r="G89" s="1256"/>
      <c r="H89" s="1257"/>
      <c r="I89" s="1257"/>
      <c r="J89" s="1263"/>
      <c r="K89" s="1367"/>
      <c r="L89" s="1368"/>
    </row>
    <row r="90" spans="1:14" ht="24" customHeight="1">
      <c r="A90" s="28"/>
      <c r="B90" s="28"/>
      <c r="C90" s="1260"/>
      <c r="D90" s="1319"/>
      <c r="E90" s="1254"/>
      <c r="F90" s="1255"/>
      <c r="G90" s="1256"/>
      <c r="H90" s="1257"/>
      <c r="I90" s="1257"/>
      <c r="J90" s="1263"/>
      <c r="K90" s="1265"/>
      <c r="L90" s="1266"/>
    </row>
    <row r="91" spans="1:14" ht="24" customHeight="1">
      <c r="A91" s="28"/>
      <c r="B91" s="28"/>
      <c r="C91" s="1260"/>
      <c r="D91" s="1319"/>
      <c r="E91" s="1254"/>
      <c r="F91" s="1255"/>
      <c r="G91" s="1256"/>
      <c r="H91" s="1257"/>
      <c r="I91" s="1257"/>
      <c r="J91" s="1264"/>
      <c r="K91" s="1319"/>
      <c r="L91" s="1320"/>
    </row>
    <row r="92" spans="1:14" ht="24" customHeight="1">
      <c r="A92" s="28"/>
      <c r="B92" s="28"/>
      <c r="C92" s="1260"/>
      <c r="D92" s="1319"/>
      <c r="E92" s="1254"/>
      <c r="F92" s="1255"/>
      <c r="G92" s="1256"/>
      <c r="H92" s="1257"/>
      <c r="I92" s="1257"/>
      <c r="J92" s="1319"/>
      <c r="K92" s="1369"/>
      <c r="L92" s="1370"/>
    </row>
    <row r="93" spans="1:14" ht="24" customHeight="1" thickBot="1">
      <c r="A93" s="28"/>
      <c r="B93" s="28"/>
      <c r="C93" s="1267"/>
      <c r="D93" s="1268" t="s">
        <v>3216</v>
      </c>
      <c r="E93" s="1269"/>
      <c r="F93" s="1270"/>
      <c r="G93" s="1271"/>
      <c r="H93" s="1272"/>
      <c r="I93" s="1272">
        <v>49500000</v>
      </c>
      <c r="J93" s="1268"/>
      <c r="K93" s="1371"/>
      <c r="L93" s="1372"/>
    </row>
    <row r="94" spans="1:14" ht="14.25" customHeight="1">
      <c r="E94" s="24" t="s">
        <v>53</v>
      </c>
      <c r="F94" s="1">
        <f>F71+1</f>
        <v>3</v>
      </c>
      <c r="G94" s="25" t="s">
        <v>54</v>
      </c>
      <c r="H94" s="4">
        <f>H25</f>
        <v>7</v>
      </c>
      <c r="M94" s="23" t="str">
        <f>IF(A96="","EOL","")</f>
        <v>EOL</v>
      </c>
      <c r="N94" s="1">
        <f>+F94</f>
        <v>3</v>
      </c>
    </row>
  </sheetData>
  <mergeCells count="55">
    <mergeCell ref="K89:L89"/>
    <mergeCell ref="K92:L92"/>
    <mergeCell ref="K93:L93"/>
    <mergeCell ref="C72:L72"/>
    <mergeCell ref="J73:L73"/>
    <mergeCell ref="K86:L86"/>
    <mergeCell ref="K87:L87"/>
    <mergeCell ref="K88:L88"/>
    <mergeCell ref="H2:I2"/>
    <mergeCell ref="N19:P19"/>
    <mergeCell ref="N20:N21"/>
    <mergeCell ref="O20:P20"/>
    <mergeCell ref="D14:K14"/>
    <mergeCell ref="D12:K12"/>
    <mergeCell ref="K8:L8"/>
    <mergeCell ref="K7:L7"/>
    <mergeCell ref="J9:J10"/>
    <mergeCell ref="K9:K10"/>
    <mergeCell ref="L9:L10"/>
    <mergeCell ref="E13:I13"/>
    <mergeCell ref="N22:N23"/>
    <mergeCell ref="J16:L16"/>
    <mergeCell ref="O22:O23"/>
    <mergeCell ref="P22:P23"/>
    <mergeCell ref="J19:J22"/>
    <mergeCell ref="K19:K22"/>
    <mergeCell ref="L19:L22"/>
    <mergeCell ref="J17:K17"/>
    <mergeCell ref="L17:L18"/>
    <mergeCell ref="N25:O25"/>
    <mergeCell ref="N26:O26"/>
    <mergeCell ref="N27:O27"/>
    <mergeCell ref="N28:O28"/>
    <mergeCell ref="C26:L26"/>
    <mergeCell ref="B25:E25"/>
    <mergeCell ref="J27:L27"/>
    <mergeCell ref="J1:L1"/>
    <mergeCell ref="K3:L3"/>
    <mergeCell ref="K4:L4"/>
    <mergeCell ref="K5:L5"/>
    <mergeCell ref="K6:L6"/>
    <mergeCell ref="K2:L2"/>
    <mergeCell ref="K47:L47"/>
    <mergeCell ref="K41:L41"/>
    <mergeCell ref="K42:L42"/>
    <mergeCell ref="K43:L43"/>
    <mergeCell ref="K44:L44"/>
    <mergeCell ref="K46:L46"/>
    <mergeCell ref="K66:L66"/>
    <mergeCell ref="K69:L69"/>
    <mergeCell ref="K70:L70"/>
    <mergeCell ref="C49:L49"/>
    <mergeCell ref="J50:L50"/>
    <mergeCell ref="K64:L64"/>
    <mergeCell ref="K65:L65"/>
  </mergeCells>
  <phoneticPr fontId="8"/>
  <dataValidations count="10">
    <dataValidation type="list" showInputMessage="1" showErrorMessage="1" sqref="I21 I6" xr:uid="{00000000-0002-0000-0000-000000000000}">
      <formula1>"有り,無し"</formula1>
    </dataValidation>
    <dataValidation type="list" allowBlank="1" showInputMessage="1" sqref="I23" xr:uid="{00000000-0002-0000-0000-000001000000}">
      <formula1>"有り,無し"</formula1>
    </dataValidation>
    <dataValidation type="list" allowBlank="1" showInputMessage="1" sqref="I9" xr:uid="{00000000-0002-0000-0000-000002000000}">
      <formula1>"適用,適用外"</formula1>
    </dataValidation>
    <dataValidation type="list" allowBlank="1" showInputMessage="1" showErrorMessage="1" sqref="I22" xr:uid="{00000000-0002-0000-0000-000003000000}">
      <formula1>$Z$11:$Z$25</formula1>
    </dataValidation>
    <dataValidation type="list" allowBlank="1" showInputMessage="1" showErrorMessage="1" sqref="I7" xr:uid="{00000000-0002-0000-0000-000004000000}">
      <formula1>$Z$4:$Z$35</formula1>
    </dataValidation>
    <dataValidation allowBlank="1" showInputMessage="1" sqref="J23:L25 J11" xr:uid="{00000000-0002-0000-0000-000005000000}"/>
    <dataValidation type="list" allowBlank="1" showInputMessage="1" sqref="I8" xr:uid="{00000000-0002-0000-0000-000006000000}">
      <formula1>"一般競争,指名競争,随意契約,指定契約"</formula1>
    </dataValidation>
    <dataValidation type="list" allowBlank="1" showInputMessage="1" sqref="I10" xr:uid="{00000000-0002-0000-0000-000007000000}">
      <formula1>"有り(40％),有り(年度分割),無し"</formula1>
    </dataValidation>
    <dataValidation type="list" allowBlank="1" showInputMessage="1" showErrorMessage="1" sqref="K7" xr:uid="{00000000-0002-0000-0000-000008000000}">
      <formula1>OFFSET(INDIRECT("入力規則マスタ!$O$3"),0,0,COUNTA(INDIRECT("入力規則マスタ!$O:$O"))-1,1)</formula1>
    </dataValidation>
    <dataValidation type="list" allowBlank="1" showInputMessage="1" showErrorMessage="1" sqref="E13:I13" xr:uid="{00000000-0002-0000-0000-000009000000}">
      <formula1>"概　算　"</formula1>
    </dataValidation>
  </dataValidations>
  <hyperlinks>
    <hyperlink ref="W6" r:id="rId1" xr:uid="{00000000-0004-0000-0000-000000000000}"/>
  </hyperlinks>
  <printOptions horizontalCentered="1" verticalCentered="1"/>
  <pageMargins left="0.196850393700787" right="0.196850393700787" top="0.78740157480314998" bottom="0.196850393700787" header="0.51181102362204722" footer="0.51181102362204722"/>
  <pageSetup paperSize="9" orientation="landscape" cellComments="asDisplayed" horizontalDpi="300" verticalDpi="300" r:id="rId2"/>
  <headerFooter alignWithMargins="0"/>
  <rowBreaks count="1" manualBreakCount="1">
    <brk id="25" max="22" man="1"/>
  </rowBreaks>
  <drawing r:id="rId3"/>
  <legacyDrawing r:id="rId4"/>
  <mc:AlternateContent xmlns:mc="http://schemas.openxmlformats.org/markup-compatibility/2006">
    <mc:Choice Requires="x14">
      <controls>
        <mc:AlternateContent xmlns:mc="http://schemas.openxmlformats.org/markup-compatibility/2006">
          <mc:Choice Requires="x14">
            <control shapeId="1064" r:id="rId5" name="Button 40">
              <controlPr defaultSize="0" print="0" autoFill="0" autoPict="0" macro="[0]!ファイル間転記">
                <anchor moveWithCells="1" sizeWithCells="1">
                  <from>
                    <xdr:col>20</xdr:col>
                    <xdr:colOff>12700</xdr:colOff>
                    <xdr:row>18</xdr:row>
                    <xdr:rowOff>76200</xdr:rowOff>
                  </from>
                  <to>
                    <xdr:col>20</xdr:col>
                    <xdr:colOff>1181100</xdr:colOff>
                    <xdr:row>20</xdr:row>
                    <xdr:rowOff>139700</xdr:rowOff>
                  </to>
                </anchor>
              </controlPr>
            </control>
          </mc:Choice>
        </mc:AlternateContent>
        <mc:AlternateContent xmlns:mc="http://schemas.openxmlformats.org/markup-compatibility/2006">
          <mc:Choice Requires="x14">
            <control shapeId="1079" r:id="rId6" name="Button 55">
              <controlPr defaultSize="0" print="0" autoFill="0" autoPict="0" macro="[0]!諸経費表非表示">
                <anchor moveWithCells="1" sizeWithCells="1">
                  <from>
                    <xdr:col>19</xdr:col>
                    <xdr:colOff>1181100</xdr:colOff>
                    <xdr:row>26</xdr:row>
                    <xdr:rowOff>457200</xdr:rowOff>
                  </from>
                  <to>
                    <xdr:col>20</xdr:col>
                    <xdr:colOff>1168400</xdr:colOff>
                    <xdr:row>28</xdr:row>
                    <xdr:rowOff>25400</xdr:rowOff>
                  </to>
                </anchor>
              </controlPr>
            </control>
          </mc:Choice>
        </mc:AlternateContent>
        <mc:AlternateContent xmlns:mc="http://schemas.openxmlformats.org/markup-compatibility/2006">
          <mc:Choice Requires="x14">
            <control shapeId="1080" r:id="rId7" name="Button 56">
              <controlPr defaultSize="0" print="0" autoFill="0" autoPict="0" macro="[0]!諸経費表表示">
                <anchor moveWithCells="1" sizeWithCells="1">
                  <from>
                    <xdr:col>19</xdr:col>
                    <xdr:colOff>1193800</xdr:colOff>
                    <xdr:row>29</xdr:row>
                    <xdr:rowOff>241300</xdr:rowOff>
                  </from>
                  <to>
                    <xdr:col>20</xdr:col>
                    <xdr:colOff>1181100</xdr:colOff>
                    <xdr:row>31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A000000}">
          <x14:formula1>
            <xm:f>入力規則マスタ!$H$3:$H$22</xm:f>
          </x14:formula1>
          <xm:sqref>I3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L216"/>
  <sheetViews>
    <sheetView zoomScale="90" zoomScaleNormal="90" zoomScaleSheetLayoutView="80" workbookViewId="0">
      <pane xSplit="6" ySplit="11" topLeftCell="G12" activePane="bottomRight" state="frozen"/>
      <selection pane="topRight" activeCell="G1" sqref="G1"/>
      <selection pane="bottomLeft" activeCell="A12" sqref="A12"/>
      <selection pane="bottomRight" activeCell="K16" sqref="K16"/>
    </sheetView>
  </sheetViews>
  <sheetFormatPr baseColWidth="10" defaultColWidth="9" defaultRowHeight="13.5" customHeight="1"/>
  <cols>
    <col min="1" max="1" width="2.5" style="603" customWidth="1"/>
    <col min="2" max="2" width="3.5" style="603" customWidth="1"/>
    <col min="3" max="3" width="21.5" style="603" customWidth="1"/>
    <col min="4" max="4" width="4" style="603" customWidth="1"/>
    <col min="5" max="5" width="11.5" style="603" bestFit="1" customWidth="1"/>
    <col min="6" max="6" width="17.6640625" style="603" customWidth="1"/>
    <col min="7" max="8" width="14.33203125" style="793" customWidth="1"/>
    <col min="9" max="9" width="6" style="809" customWidth="1"/>
    <col min="10" max="10" width="9" style="603"/>
    <col min="11" max="11" width="27.83203125" style="603" bestFit="1" customWidth="1"/>
    <col min="12" max="12" width="23.83203125" style="603" customWidth="1"/>
    <col min="13" max="16384" width="9" style="603"/>
  </cols>
  <sheetData>
    <row r="1" spans="1:12" ht="21" thickTop="1" thickBot="1">
      <c r="A1" s="659"/>
      <c r="B1" s="659"/>
      <c r="C1" s="690"/>
      <c r="D1" s="690"/>
      <c r="E1" s="1353" t="s">
        <v>315</v>
      </c>
      <c r="F1" s="1354" t="str">
        <f>表紙!D12</f>
        <v>地下空間の大規模改革に伴う基本設計その他業務委託（4号線谷町四丁目外5駅の部）</v>
      </c>
      <c r="G1" s="909"/>
      <c r="H1" s="691"/>
      <c r="I1" s="910" t="s">
        <v>2928</v>
      </c>
      <c r="J1" s="1348" t="s">
        <v>3184</v>
      </c>
      <c r="K1" s="1476" t="s">
        <v>3148</v>
      </c>
      <c r="L1" s="1477"/>
    </row>
    <row r="2" spans="1:12" s="662" customFormat="1" ht="13.5" customHeight="1" thickTop="1">
      <c r="A2" s="659">
        <f>+work!H16</f>
        <v>1</v>
      </c>
      <c r="B2" s="659"/>
      <c r="C2" s="888" t="s">
        <v>3081</v>
      </c>
      <c r="D2" s="690"/>
      <c r="E2" s="907"/>
      <c r="F2" s="908"/>
      <c r="G2" s="911">
        <f>F2+1</f>
        <v>1</v>
      </c>
      <c r="H2" s="911">
        <f>G2+1</f>
        <v>2</v>
      </c>
      <c r="I2" s="903"/>
      <c r="K2" s="1349"/>
      <c r="L2" s="1346"/>
    </row>
    <row r="3" spans="1:12" s="662" customFormat="1" ht="13.5" customHeight="1">
      <c r="A3" s="1343">
        <f ca="1">+MATCH("FixColumn",4:4,0)</f>
        <v>9</v>
      </c>
      <c r="B3" s="659"/>
      <c r="C3" s="912" t="s">
        <v>3069</v>
      </c>
      <c r="D3" s="690"/>
      <c r="E3" s="690"/>
      <c r="G3" s="911" t="str">
        <f>CONCATENATE("工事",G2)</f>
        <v>工事1</v>
      </c>
      <c r="H3" s="911" t="str">
        <f>CONCATENATE("工事",H2)</f>
        <v>工事2</v>
      </c>
      <c r="I3" s="913"/>
      <c r="K3" s="1349" t="s">
        <v>3150</v>
      </c>
      <c r="L3" s="1346"/>
    </row>
    <row r="4" spans="1:12" ht="13.5" customHeight="1">
      <c r="A4" s="914"/>
      <c r="B4" s="914"/>
      <c r="C4" s="915" t="s">
        <v>2929</v>
      </c>
      <c r="D4" s="689"/>
      <c r="E4" s="665" t="s">
        <v>3085</v>
      </c>
      <c r="F4" s="659"/>
      <c r="G4" s="974" t="str">
        <f ca="1">+INDIRECT(G$3&amp;"!＄C＄2")</f>
        <v>建築工事</v>
      </c>
      <c r="H4" s="974" t="str">
        <f ca="1">IFERROR(INDIRECT(H$3&amp;"!＄C＄2"),"")</f>
        <v/>
      </c>
      <c r="I4" s="1345" t="s">
        <v>3074</v>
      </c>
      <c r="K4" s="1350" t="s">
        <v>3151</v>
      </c>
      <c r="L4" s="1346"/>
    </row>
    <row r="5" spans="1:12" ht="13.5" customHeight="1">
      <c r="A5" s="604"/>
      <c r="B5" s="605"/>
      <c r="C5" s="606" t="s">
        <v>2930</v>
      </c>
      <c r="D5" s="607"/>
      <c r="E5" s="608"/>
      <c r="F5" s="609" t="s">
        <v>2931</v>
      </c>
      <c r="G5" s="844" t="str">
        <f ca="1">IFERROR(INDIRECT(G7&amp;"!L6"),"")</f>
        <v/>
      </c>
      <c r="H5" s="844" t="str">
        <f ca="1">IFERROR(INDIRECT(H7&amp;"!L6"),"")</f>
        <v/>
      </c>
      <c r="I5" s="824"/>
      <c r="K5" s="1351" t="s">
        <v>3152</v>
      </c>
      <c r="L5" s="1346"/>
    </row>
    <row r="6" spans="1:12" ht="13.5" customHeight="1">
      <c r="A6" s="610"/>
      <c r="B6" s="611"/>
      <c r="C6" s="612" t="s">
        <v>2932</v>
      </c>
      <c r="D6" s="613"/>
      <c r="E6" s="614"/>
      <c r="F6" s="615" t="s">
        <v>2933</v>
      </c>
      <c r="G6" s="852" t="s">
        <v>2934</v>
      </c>
      <c r="H6" s="852"/>
      <c r="I6" s="825"/>
      <c r="K6" s="1351"/>
      <c r="L6" s="1346"/>
    </row>
    <row r="7" spans="1:12" ht="13.5" customHeight="1" thickBot="1">
      <c r="A7" s="610"/>
      <c r="B7" s="611"/>
      <c r="C7" s="611" t="s">
        <v>2935</v>
      </c>
      <c r="D7" s="611"/>
      <c r="E7" s="1355" t="str">
        <f>IF(表紙!$I$10="無し","無し","有り")</f>
        <v>無し</v>
      </c>
      <c r="F7" s="916" t="s">
        <v>2937</v>
      </c>
      <c r="G7" s="845" t="str">
        <f>CONCATENATE("工事",G2)</f>
        <v>工事1</v>
      </c>
      <c r="H7" s="846" t="str">
        <f>CONCATENATE("工事",H2)</f>
        <v>工事2</v>
      </c>
      <c r="I7" s="1322"/>
      <c r="K7" s="1350" t="s">
        <v>3167</v>
      </c>
      <c r="L7" s="1347"/>
    </row>
    <row r="8" spans="1:12" ht="13.5" customHeight="1" thickTop="1" thickBot="1">
      <c r="A8" s="610"/>
      <c r="B8" s="611"/>
      <c r="C8" s="611" t="s">
        <v>2938</v>
      </c>
      <c r="D8" s="611"/>
      <c r="E8" s="1339" t="s">
        <v>2936</v>
      </c>
      <c r="F8" s="917" t="s">
        <v>2940</v>
      </c>
      <c r="G8" s="847" t="str">
        <f ca="1">+INDIRECT(G7&amp;"!C2")</f>
        <v>建築工事</v>
      </c>
      <c r="H8" s="847" t="str">
        <f ca="1">IFERROR(INDIRECT(H7&amp;"!C2"),"")</f>
        <v/>
      </c>
      <c r="I8" s="1322"/>
      <c r="K8" s="1352" t="s">
        <v>3149</v>
      </c>
      <c r="L8" s="1347">
        <v>0</v>
      </c>
    </row>
    <row r="9" spans="1:12" ht="13.5" customHeight="1" thickTop="1">
      <c r="A9" s="610"/>
      <c r="B9" s="611"/>
      <c r="C9" s="1478" t="s">
        <v>2941</v>
      </c>
      <c r="D9" s="1478"/>
      <c r="E9" s="1478"/>
      <c r="F9" s="1479"/>
      <c r="G9" s="975" t="s">
        <v>2942</v>
      </c>
      <c r="H9" s="975"/>
      <c r="I9" s="826"/>
    </row>
    <row r="10" spans="1:12" ht="30" customHeight="1">
      <c r="A10" s="1480" t="s">
        <v>2943</v>
      </c>
      <c r="B10" s="1481"/>
      <c r="C10" s="1481"/>
      <c r="D10" s="1481"/>
      <c r="E10" s="1481"/>
      <c r="F10" s="1482"/>
      <c r="G10" s="976" t="s">
        <v>2944</v>
      </c>
      <c r="H10" s="976"/>
      <c r="I10" s="827"/>
    </row>
    <row r="11" spans="1:12" ht="30" customHeight="1">
      <c r="A11" s="1483" t="s">
        <v>2945</v>
      </c>
      <c r="B11" s="1484"/>
      <c r="C11" s="1484"/>
      <c r="D11" s="1484"/>
      <c r="E11" s="1484"/>
      <c r="F11" s="1485"/>
      <c r="G11" s="853" t="s">
        <v>2939</v>
      </c>
      <c r="H11" s="853"/>
      <c r="I11" s="827"/>
    </row>
    <row r="12" spans="1:12" ht="13.5" customHeight="1">
      <c r="A12" s="604"/>
      <c r="B12" s="616" t="s">
        <v>2946</v>
      </c>
      <c r="C12" s="617"/>
      <c r="D12" s="617"/>
      <c r="E12" s="618"/>
      <c r="F12" s="918">
        <f ca="1">SUM(G12:I12)</f>
        <v>0</v>
      </c>
      <c r="G12" s="619">
        <f ca="1">+G13+G17</f>
        <v>0</v>
      </c>
      <c r="H12" s="619">
        <f ca="1">+H13+H17</f>
        <v>0</v>
      </c>
      <c r="I12" s="828"/>
    </row>
    <row r="13" spans="1:12" ht="13.5" customHeight="1">
      <c r="A13" s="610"/>
      <c r="B13" s="611"/>
      <c r="C13" s="620" t="s">
        <v>2947</v>
      </c>
      <c r="D13" s="621"/>
      <c r="E13" s="622"/>
      <c r="F13" s="919">
        <f ca="1">SUM(G13:I13)</f>
        <v>0</v>
      </c>
      <c r="G13" s="848">
        <f ca="1">SUMIF(INDIRECT(G$7&amp;"!$M:$M"),$J13,INDIRECT(G$7&amp;"!$i:$i"))</f>
        <v>0</v>
      </c>
      <c r="H13" s="848">
        <f ca="1">IFERROR(SUMIF(INDIRECT(H$7&amp;"!$M:$M"),$J13,INDIRECT(H$7&amp;"!$i:$i")),0)</f>
        <v>0</v>
      </c>
      <c r="I13" s="829"/>
      <c r="J13" s="623" t="s">
        <v>2631</v>
      </c>
    </row>
    <row r="14" spans="1:12" ht="13.5" customHeight="1">
      <c r="A14" s="610"/>
      <c r="B14" s="611"/>
      <c r="C14" s="624"/>
      <c r="D14" s="624"/>
      <c r="E14" s="625"/>
      <c r="F14" s="627" t="s">
        <v>2948</v>
      </c>
      <c r="G14" s="626">
        <f ca="1">SUM(G106:G115)</f>
        <v>0</v>
      </c>
      <c r="H14" s="626">
        <f ca="1">SUM(H106:H115)</f>
        <v>0</v>
      </c>
      <c r="I14" s="828"/>
    </row>
    <row r="15" spans="1:12" ht="13.5" customHeight="1">
      <c r="A15" s="610"/>
      <c r="B15" s="611"/>
      <c r="C15" s="624"/>
      <c r="D15" s="624"/>
      <c r="E15" s="625"/>
      <c r="F15" s="627" t="s">
        <v>2949</v>
      </c>
      <c r="G15" s="626">
        <f ca="1">SUM(G152:G154)</f>
        <v>0</v>
      </c>
      <c r="H15" s="626">
        <f ca="1">SUM(H152:H154)</f>
        <v>0</v>
      </c>
      <c r="I15" s="828"/>
    </row>
    <row r="16" spans="1:12" ht="13.5" customHeight="1">
      <c r="A16" s="610"/>
      <c r="B16" s="611"/>
      <c r="C16" s="624"/>
      <c r="D16" s="624"/>
      <c r="E16" s="625"/>
      <c r="F16" s="627" t="s">
        <v>2950</v>
      </c>
      <c r="G16" s="626">
        <f ca="1">+G55</f>
        <v>0</v>
      </c>
      <c r="H16" s="626">
        <f ca="1">+H55</f>
        <v>0</v>
      </c>
      <c r="I16" s="828"/>
    </row>
    <row r="17" spans="1:10" s="633" customFormat="1" ht="13.5" customHeight="1">
      <c r="A17" s="628"/>
      <c r="B17" s="629"/>
      <c r="C17" s="630" t="s">
        <v>2951</v>
      </c>
      <c r="D17" s="630"/>
      <c r="E17" s="631"/>
      <c r="F17" s="920">
        <f t="shared" ref="F17:F34" ca="1" si="0">SUM(G17:I17)</f>
        <v>0</v>
      </c>
      <c r="G17" s="632">
        <f ca="1">G18+G19</f>
        <v>0</v>
      </c>
      <c r="H17" s="632">
        <f ca="1">H18+H19</f>
        <v>0</v>
      </c>
      <c r="I17" s="828"/>
    </row>
    <row r="18" spans="1:10" s="633" customFormat="1" ht="13.5" customHeight="1">
      <c r="A18" s="628"/>
      <c r="B18" s="629"/>
      <c r="C18" s="634" t="s">
        <v>2952</v>
      </c>
      <c r="D18" s="630"/>
      <c r="E18" s="631"/>
      <c r="F18" s="627">
        <f t="shared" ca="1" si="0"/>
        <v>0</v>
      </c>
      <c r="G18" s="635">
        <f ca="1">IF(G9="積上げ",0,G95)</f>
        <v>0</v>
      </c>
      <c r="H18" s="635">
        <f ca="1">IF(H9="積上げ",0,H95)</f>
        <v>0</v>
      </c>
      <c r="I18" s="828"/>
    </row>
    <row r="19" spans="1:10" ht="13.5" customHeight="1">
      <c r="A19" s="610"/>
      <c r="B19" s="611"/>
      <c r="C19" s="634" t="s">
        <v>2953</v>
      </c>
      <c r="D19" s="630"/>
      <c r="E19" s="625"/>
      <c r="F19" s="627">
        <f t="shared" ca="1" si="0"/>
        <v>0</v>
      </c>
      <c r="G19" s="848">
        <f ca="1">SUMIF(INDIRECT(G$7&amp;"!$M:$M"),$J19,INDIRECT(G$7&amp;"!$i:$i"))</f>
        <v>0</v>
      </c>
      <c r="H19" s="848">
        <f ca="1">IFERROR(SUMIF(INDIRECT(H$7&amp;"!$M:$M"),$J19,INDIRECT(H$7&amp;"!$i:$i")),0)</f>
        <v>0</v>
      </c>
      <c r="I19" s="829"/>
      <c r="J19" s="623" t="s">
        <v>2954</v>
      </c>
    </row>
    <row r="20" spans="1:10" ht="13.5" customHeight="1">
      <c r="A20" s="610"/>
      <c r="B20" s="611"/>
      <c r="C20" s="636" t="s">
        <v>2955</v>
      </c>
      <c r="D20" s="630"/>
      <c r="E20" s="625"/>
      <c r="F20" s="627">
        <f t="shared" ca="1" si="0"/>
        <v>0</v>
      </c>
      <c r="G20" s="848">
        <f ca="1">SUMIF(INDIRECT(G$7&amp;"!$M:$M"),$J20,INDIRECT(G$7&amp;"!$i:$i"))</f>
        <v>0</v>
      </c>
      <c r="H20" s="848">
        <f ca="1">IFERROR(SUMIF(INDIRECT(H$7&amp;"!$M:$M"),$J20,INDIRECT(H$7&amp;"!$i:$i")),0)</f>
        <v>0</v>
      </c>
      <c r="I20" s="829"/>
      <c r="J20" s="623" t="s">
        <v>2824</v>
      </c>
    </row>
    <row r="21" spans="1:10" ht="13.5" customHeight="1">
      <c r="A21" s="610"/>
      <c r="B21" s="611"/>
      <c r="C21" s="637" t="s">
        <v>2638</v>
      </c>
      <c r="D21" s="638"/>
      <c r="E21" s="639"/>
      <c r="F21" s="921">
        <f t="shared" ca="1" si="0"/>
        <v>0</v>
      </c>
      <c r="G21" s="848">
        <f ca="1">SUMIF(INDIRECT(G$7&amp;"!$M:$M"),$J21,INDIRECT(G$7&amp;"!$i:$i"))</f>
        <v>0</v>
      </c>
      <c r="H21" s="848">
        <f ca="1">IFERROR(SUMIF(INDIRECT(H$7&amp;"!$M:$M"),$J21,INDIRECT(H$7&amp;"!$i:$i")),0)</f>
        <v>0</v>
      </c>
      <c r="I21" s="829"/>
      <c r="J21" s="623" t="s">
        <v>2825</v>
      </c>
    </row>
    <row r="22" spans="1:10" ht="13.5" customHeight="1">
      <c r="A22" s="640"/>
      <c r="B22" s="641"/>
      <c r="C22" s="642" t="s">
        <v>2956</v>
      </c>
      <c r="D22" s="643"/>
      <c r="E22" s="644"/>
      <c r="F22" s="922">
        <f t="shared" ca="1" si="0"/>
        <v>0</v>
      </c>
      <c r="G22" s="645">
        <f ca="1">+G56</f>
        <v>0</v>
      </c>
      <c r="H22" s="645">
        <f ca="1">+H56</f>
        <v>0</v>
      </c>
      <c r="I22" s="828"/>
    </row>
    <row r="23" spans="1:10" ht="13.5" customHeight="1">
      <c r="A23" s="610"/>
      <c r="B23" s="638" t="s">
        <v>2957</v>
      </c>
      <c r="C23" s="638"/>
      <c r="D23" s="638"/>
      <c r="E23" s="639"/>
      <c r="F23" s="921">
        <f t="shared" ca="1" si="0"/>
        <v>0</v>
      </c>
      <c r="G23" s="646">
        <f ca="1">G24+G29</f>
        <v>0</v>
      </c>
      <c r="H23" s="647">
        <f ca="1">H24+H29</f>
        <v>0</v>
      </c>
      <c r="I23" s="828"/>
    </row>
    <row r="24" spans="1:10" s="633" customFormat="1" ht="13.5" customHeight="1">
      <c r="A24" s="628"/>
      <c r="B24" s="629"/>
      <c r="C24" s="648" t="s">
        <v>2958</v>
      </c>
      <c r="D24" s="648"/>
      <c r="E24" s="649"/>
      <c r="F24" s="923">
        <f t="shared" ca="1" si="0"/>
        <v>0</v>
      </c>
      <c r="G24" s="650">
        <f ca="1">G25+G28</f>
        <v>0</v>
      </c>
      <c r="H24" s="651">
        <f ca="1">H25+H28</f>
        <v>0</v>
      </c>
      <c r="I24" s="828"/>
    </row>
    <row r="25" spans="1:10" s="633" customFormat="1" ht="13.5" customHeight="1">
      <c r="A25" s="628"/>
      <c r="B25" s="629"/>
      <c r="C25" s="652" t="s">
        <v>2959</v>
      </c>
      <c r="D25" s="652"/>
      <c r="E25" s="653"/>
      <c r="F25" s="920">
        <f t="shared" ca="1" si="0"/>
        <v>0</v>
      </c>
      <c r="G25" s="654">
        <f ca="1">SUM(G26:G27)-G28</f>
        <v>0</v>
      </c>
      <c r="H25" s="655">
        <f ca="1">SUM(H26:H27)-H28</f>
        <v>0</v>
      </c>
      <c r="I25" s="828"/>
    </row>
    <row r="26" spans="1:10" s="633" customFormat="1" ht="12.75" customHeight="1">
      <c r="A26" s="628"/>
      <c r="B26" s="629"/>
      <c r="C26" s="656" t="s">
        <v>2960</v>
      </c>
      <c r="D26" s="656"/>
      <c r="E26" s="631"/>
      <c r="F26" s="920">
        <f t="shared" ca="1" si="0"/>
        <v>0</v>
      </c>
      <c r="G26" s="657">
        <f ca="1">SUM(G121:G123)+G119</f>
        <v>0</v>
      </c>
      <c r="H26" s="632">
        <f ca="1">SUM(H121:H123)+H119</f>
        <v>0</v>
      </c>
      <c r="I26" s="828"/>
    </row>
    <row r="27" spans="1:10" s="633" customFormat="1" ht="13.5" customHeight="1">
      <c r="A27" s="628"/>
      <c r="B27" s="629"/>
      <c r="C27" s="656" t="s">
        <v>2961</v>
      </c>
      <c r="D27" s="656"/>
      <c r="E27" s="631"/>
      <c r="F27" s="920">
        <f t="shared" ca="1" si="0"/>
        <v>0</v>
      </c>
      <c r="G27" s="657">
        <f ca="1">SUM(G124:G135)</f>
        <v>0</v>
      </c>
      <c r="H27" s="632">
        <f ca="1">SUM(H124:H135)</f>
        <v>0</v>
      </c>
      <c r="I27" s="828"/>
    </row>
    <row r="28" spans="1:10" ht="13.5" customHeight="1">
      <c r="A28" s="610"/>
      <c r="B28" s="611"/>
      <c r="C28" s="656" t="s">
        <v>2962</v>
      </c>
      <c r="D28" s="656"/>
      <c r="E28" s="625"/>
      <c r="F28" s="920">
        <f t="shared" ca="1" si="0"/>
        <v>0</v>
      </c>
      <c r="G28" s="657">
        <f ca="1">+G133</f>
        <v>0</v>
      </c>
      <c r="H28" s="632">
        <f ca="1">+H133</f>
        <v>0</v>
      </c>
      <c r="I28" s="828"/>
    </row>
    <row r="29" spans="1:10" s="662" customFormat="1" ht="13.5" customHeight="1">
      <c r="A29" s="658"/>
      <c r="B29" s="659"/>
      <c r="C29" s="660" t="s">
        <v>2963</v>
      </c>
      <c r="D29" s="660"/>
      <c r="E29" s="661"/>
      <c r="F29" s="722">
        <f t="shared" ca="1" si="0"/>
        <v>0</v>
      </c>
      <c r="G29" s="657">
        <f ca="1">SUM(G30:G33)</f>
        <v>0</v>
      </c>
      <c r="H29" s="657">
        <f ca="1">SUM(H30:H33)</f>
        <v>0</v>
      </c>
      <c r="I29" s="828"/>
    </row>
    <row r="30" spans="1:10" s="662" customFormat="1" ht="13.5" customHeight="1">
      <c r="A30" s="658"/>
      <c r="B30" s="659"/>
      <c r="C30" s="663" t="s">
        <v>2960</v>
      </c>
      <c r="D30" s="663"/>
      <c r="E30" s="661"/>
      <c r="F30" s="664">
        <f t="shared" ca="1" si="0"/>
        <v>0</v>
      </c>
      <c r="G30" s="657">
        <f ca="1">IF(G157=0,0,+G157-G174)</f>
        <v>0</v>
      </c>
      <c r="H30" s="657">
        <f ca="1">IF(H157=0,0,+H157-H174)</f>
        <v>0</v>
      </c>
      <c r="I30" s="828"/>
    </row>
    <row r="31" spans="1:10" ht="13.5" customHeight="1">
      <c r="A31" s="610"/>
      <c r="B31" s="611"/>
      <c r="C31" s="656" t="s">
        <v>2964</v>
      </c>
      <c r="D31" s="656"/>
      <c r="E31" s="625"/>
      <c r="F31" s="627">
        <f t="shared" ca="1" si="0"/>
        <v>0</v>
      </c>
      <c r="G31" s="657">
        <f ca="1">+G158+G159</f>
        <v>0</v>
      </c>
      <c r="H31" s="626">
        <f ca="1">+H158+H159</f>
        <v>0</v>
      </c>
      <c r="I31" s="828"/>
    </row>
    <row r="32" spans="1:10" ht="13.5" customHeight="1">
      <c r="A32" s="610"/>
      <c r="B32" s="611"/>
      <c r="C32" s="656" t="s">
        <v>2965</v>
      </c>
      <c r="D32" s="656"/>
      <c r="E32" s="625"/>
      <c r="F32" s="627">
        <f t="shared" ca="1" si="0"/>
        <v>0</v>
      </c>
      <c r="G32" s="657">
        <f ca="1">SUM(G160:G164)</f>
        <v>0</v>
      </c>
      <c r="H32" s="626">
        <f ca="1">SUM(H160:H164)</f>
        <v>0</v>
      </c>
      <c r="I32" s="828"/>
    </row>
    <row r="33" spans="1:10" s="662" customFormat="1" ht="13.5" customHeight="1">
      <c r="A33" s="658"/>
      <c r="B33" s="659"/>
      <c r="C33" s="665" t="s">
        <v>2966</v>
      </c>
      <c r="D33" s="659"/>
      <c r="E33" s="666"/>
      <c r="F33" s="924">
        <f t="shared" ca="1" si="0"/>
        <v>0</v>
      </c>
      <c r="G33" s="646">
        <f ca="1">IF(G165=0,0,+G165-G174)</f>
        <v>0</v>
      </c>
      <c r="H33" s="646">
        <f ca="1">IF(H165=0,0,+H165-H174)</f>
        <v>0</v>
      </c>
      <c r="I33" s="828"/>
    </row>
    <row r="34" spans="1:10" ht="13.5" customHeight="1">
      <c r="A34" s="667"/>
      <c r="B34" s="617" t="s">
        <v>2967</v>
      </c>
      <c r="C34" s="617"/>
      <c r="D34" s="617"/>
      <c r="E34" s="668"/>
      <c r="F34" s="918">
        <f t="shared" ca="1" si="0"/>
        <v>0</v>
      </c>
      <c r="G34" s="619">
        <f ca="1">G12+G23</f>
        <v>0</v>
      </c>
      <c r="H34" s="669">
        <f ca="1">H12+H23</f>
        <v>0</v>
      </c>
      <c r="I34" s="828"/>
    </row>
    <row r="35" spans="1:10" ht="13.5" customHeight="1">
      <c r="A35" s="670"/>
      <c r="B35" s="611"/>
      <c r="C35" s="671" t="s">
        <v>2968</v>
      </c>
      <c r="D35" s="671"/>
      <c r="E35" s="672"/>
      <c r="F35" s="637"/>
      <c r="G35" s="673"/>
      <c r="H35" s="633"/>
      <c r="I35" s="830"/>
    </row>
    <row r="36" spans="1:10" ht="13.5" customHeight="1">
      <c r="A36" s="604"/>
      <c r="B36" s="605"/>
      <c r="C36" s="605"/>
      <c r="D36" s="605"/>
      <c r="E36" s="674"/>
      <c r="F36" s="674" t="s">
        <v>2969</v>
      </c>
      <c r="G36" s="675" t="str">
        <f>+G7</f>
        <v>工事1</v>
      </c>
      <c r="H36" s="675" t="str">
        <f>+H7</f>
        <v>工事2</v>
      </c>
      <c r="I36" s="825"/>
    </row>
    <row r="37" spans="1:10" ht="13.5" customHeight="1">
      <c r="A37" s="676" t="s">
        <v>2970</v>
      </c>
      <c r="B37" s="677"/>
      <c r="C37" s="678"/>
      <c r="D37" s="678"/>
      <c r="E37" s="679"/>
      <c r="F37" s="925"/>
      <c r="G37" s="680"/>
      <c r="H37" s="680"/>
      <c r="I37" s="830"/>
    </row>
    <row r="38" spans="1:10" ht="13.5" customHeight="1">
      <c r="A38" s="1486"/>
      <c r="B38" s="1474" t="s">
        <v>2066</v>
      </c>
      <c r="C38" s="621" t="s">
        <v>2971</v>
      </c>
      <c r="D38" s="621"/>
      <c r="E38" s="649"/>
      <c r="F38" s="919">
        <f t="shared" ref="F38:F44" si="1">SUM(G38:I38)</f>
        <v>0</v>
      </c>
      <c r="G38" s="650">
        <f>IF(G$6="新営",(G13-SUM(G40:G51)-G55-G54),0)</f>
        <v>0</v>
      </c>
      <c r="H38" s="650">
        <f>IF(H$6="新営",(H13-SUM(H40:H51)-H55-H54),0)</f>
        <v>0</v>
      </c>
      <c r="I38" s="828"/>
    </row>
    <row r="39" spans="1:10" ht="13.5" customHeight="1">
      <c r="A39" s="1486"/>
      <c r="B39" s="1469"/>
      <c r="C39" s="681" t="s">
        <v>2972</v>
      </c>
      <c r="D39" s="681"/>
      <c r="E39" s="625"/>
      <c r="F39" s="627">
        <f t="shared" ca="1" si="1"/>
        <v>0</v>
      </c>
      <c r="G39" s="657">
        <f ca="1">IF(G$6="改修",(G13-SUM(G40:G51)-G55-G54),0)</f>
        <v>0</v>
      </c>
      <c r="H39" s="657">
        <f>IF(H$6="改修",(H13-SUM(H40:H51)-H55-H54),0)</f>
        <v>0</v>
      </c>
      <c r="I39" s="828"/>
    </row>
    <row r="40" spans="1:10" ht="13.5" customHeight="1">
      <c r="A40" s="1486"/>
      <c r="B40" s="1469"/>
      <c r="C40" s="682" t="s">
        <v>2973</v>
      </c>
      <c r="D40" s="681"/>
      <c r="E40" s="625"/>
      <c r="F40" s="627">
        <f t="shared" ca="1" si="1"/>
        <v>0</v>
      </c>
      <c r="G40" s="848">
        <f ca="1">SUMIF(INDIRECT(G$7&amp;"!$M:$M"),$J40,INDIRECT(G$7&amp;"!$i:$i"))</f>
        <v>0</v>
      </c>
      <c r="H40" s="848">
        <f ca="1">IFERROR(SUMIF(INDIRECT(H$7&amp;"!$M:$M"),$J40,INDIRECT(H$7&amp;"!$i:$i")),0)</f>
        <v>0</v>
      </c>
      <c r="I40" s="829"/>
      <c r="J40" s="623" t="s">
        <v>2651</v>
      </c>
    </row>
    <row r="41" spans="1:10" ht="13.5" customHeight="1">
      <c r="A41" s="1486"/>
      <c r="B41" s="1470"/>
      <c r="C41" s="682" t="s">
        <v>2639</v>
      </c>
      <c r="D41" s="681"/>
      <c r="E41" s="625"/>
      <c r="F41" s="627">
        <f t="shared" ca="1" si="1"/>
        <v>0</v>
      </c>
      <c r="G41" s="848">
        <f ca="1">SUMIF(INDIRECT(G$7&amp;"!$M:$M"),$J41,INDIRECT(G$7&amp;"!$i:$i"))</f>
        <v>0</v>
      </c>
      <c r="H41" s="848">
        <f ca="1">IFERROR(SUMIF(INDIRECT(H$7&amp;"!$M:$M"),$J41,INDIRECT(H$7&amp;"!$i:$i")),0)</f>
        <v>0</v>
      </c>
      <c r="I41" s="829"/>
      <c r="J41" s="623" t="s">
        <v>2652</v>
      </c>
    </row>
    <row r="42" spans="1:10" ht="13.5" customHeight="1">
      <c r="A42" s="1486"/>
      <c r="B42" s="1468" t="s">
        <v>2974</v>
      </c>
      <c r="C42" s="630" t="s">
        <v>2975</v>
      </c>
      <c r="D42" s="681"/>
      <c r="E42" s="625"/>
      <c r="F42" s="627">
        <f t="shared" ca="1" si="1"/>
        <v>0</v>
      </c>
      <c r="G42" s="848">
        <f ca="1">SUMIF(INDIRECT(G$7&amp;"!$M:$M"),$J42,INDIRECT(G$7&amp;"!$i:$i"))</f>
        <v>0</v>
      </c>
      <c r="H42" s="848">
        <f ca="1">IFERROR(SUMIF(INDIRECT(H$7&amp;"!$M:$M"),$J42,INDIRECT(H$7&amp;"!$i:$i")),0)</f>
        <v>0</v>
      </c>
      <c r="I42" s="829"/>
      <c r="J42" s="623" t="s">
        <v>2632</v>
      </c>
    </row>
    <row r="43" spans="1:10" ht="13.5" customHeight="1">
      <c r="A43" s="1486"/>
      <c r="B43" s="1469"/>
      <c r="C43" s="630" t="s">
        <v>2640</v>
      </c>
      <c r="D43" s="681"/>
      <c r="E43" s="625"/>
      <c r="F43" s="627">
        <f t="shared" ca="1" si="1"/>
        <v>0</v>
      </c>
      <c r="G43" s="848">
        <f ca="1">SUMIF(INDIRECT(G$7&amp;"!$M:$M"),$J43,INDIRECT(G$7&amp;"!$i:$i"))</f>
        <v>0</v>
      </c>
      <c r="H43" s="848">
        <f ca="1">IFERROR(SUMIF(INDIRECT(H$7&amp;"!$M:$M"),$J43,INDIRECT(H$7&amp;"!$i:$i")),0)</f>
        <v>0</v>
      </c>
      <c r="I43" s="829"/>
      <c r="J43" s="623" t="s">
        <v>2633</v>
      </c>
    </row>
    <row r="44" spans="1:10" ht="13.5" customHeight="1">
      <c r="A44" s="1486"/>
      <c r="B44" s="1469"/>
      <c r="C44" s="681" t="s">
        <v>2641</v>
      </c>
      <c r="D44" s="681"/>
      <c r="E44" s="625"/>
      <c r="F44" s="627">
        <f t="shared" ca="1" si="1"/>
        <v>0</v>
      </c>
      <c r="G44" s="848">
        <f ca="1">SUMIF(INDIRECT(G$7&amp;"!$M:$M"),$J44,INDIRECT(G$7&amp;"!$i:$i"))</f>
        <v>0</v>
      </c>
      <c r="H44" s="848">
        <f ca="1">IFERROR(SUMIF(INDIRECT(H$7&amp;"!$M:$M"),$J44,INDIRECT(H$7&amp;"!$i:$i")),0)</f>
        <v>0</v>
      </c>
      <c r="I44" s="829"/>
      <c r="J44" s="623" t="s">
        <v>2634</v>
      </c>
    </row>
    <row r="45" spans="1:10" ht="13.5" customHeight="1">
      <c r="A45" s="1486"/>
      <c r="B45" s="1469"/>
      <c r="C45" s="681" t="s">
        <v>2976</v>
      </c>
      <c r="D45" s="681"/>
      <c r="E45" s="625"/>
      <c r="F45" s="627"/>
      <c r="G45" s="657"/>
      <c r="H45" s="657"/>
      <c r="I45" s="828"/>
    </row>
    <row r="46" spans="1:10" ht="13.5" customHeight="1">
      <c r="A46" s="1486"/>
      <c r="B46" s="1469"/>
      <c r="C46" s="681" t="s">
        <v>2977</v>
      </c>
      <c r="D46" s="681"/>
      <c r="E46" s="625"/>
      <c r="F46" s="627"/>
      <c r="G46" s="657"/>
      <c r="H46" s="657"/>
      <c r="I46" s="828"/>
    </row>
    <row r="47" spans="1:10" ht="13.5" customHeight="1">
      <c r="A47" s="1486"/>
      <c r="B47" s="1469"/>
      <c r="C47" s="681" t="s">
        <v>2642</v>
      </c>
      <c r="D47" s="681"/>
      <c r="E47" s="625"/>
      <c r="F47" s="627">
        <f t="shared" ref="F47:F57" ca="1" si="2">SUM(G47:I47)</f>
        <v>0</v>
      </c>
      <c r="G47" s="848">
        <f ca="1">SUMIF(INDIRECT(G$7&amp;"!$M:$M"),$J47,INDIRECT(G$7&amp;"!$i:$i"))</f>
        <v>0</v>
      </c>
      <c r="H47" s="848">
        <f ca="1">IFERROR(SUMIF(INDIRECT(H$7&amp;"!$M:$M"),$J47,INDIRECT(H$7&amp;"!$i:$i")),0)</f>
        <v>0</v>
      </c>
      <c r="I47" s="829"/>
      <c r="J47" s="623" t="s">
        <v>2978</v>
      </c>
    </row>
    <row r="48" spans="1:10" ht="13.5" customHeight="1">
      <c r="A48" s="1486"/>
      <c r="B48" s="1469"/>
      <c r="C48" s="683" t="s">
        <v>2979</v>
      </c>
      <c r="D48" s="681"/>
      <c r="E48" s="625"/>
      <c r="F48" s="627">
        <f t="shared" si="2"/>
        <v>0</v>
      </c>
      <c r="G48" s="926"/>
      <c r="H48" s="926"/>
      <c r="I48" s="828"/>
      <c r="J48" s="962" t="s">
        <v>3075</v>
      </c>
    </row>
    <row r="49" spans="1:12" ht="13.5" customHeight="1">
      <c r="A49" s="1486"/>
      <c r="B49" s="1469"/>
      <c r="C49" s="684" t="s">
        <v>2980</v>
      </c>
      <c r="D49" s="681"/>
      <c r="E49" s="625"/>
      <c r="F49" s="627">
        <f t="shared" si="2"/>
        <v>0</v>
      </c>
      <c r="G49" s="926"/>
      <c r="H49" s="926"/>
      <c r="I49" s="828"/>
      <c r="J49" s="962" t="s">
        <v>3075</v>
      </c>
    </row>
    <row r="50" spans="1:12" ht="13.5" customHeight="1">
      <c r="A50" s="1486"/>
      <c r="B50" s="1470"/>
      <c r="C50" s="681" t="s">
        <v>2643</v>
      </c>
      <c r="D50" s="681"/>
      <c r="E50" s="625"/>
      <c r="F50" s="627">
        <f t="shared" ca="1" si="2"/>
        <v>0</v>
      </c>
      <c r="G50" s="848">
        <f ca="1">SUMIF(INDIRECT(G$7&amp;"!$M:$M"),$J50,INDIRECT(G$7&amp;"!$i:$i"))</f>
        <v>0</v>
      </c>
      <c r="H50" s="848">
        <f ca="1">IFERROR(SUMIF(INDIRECT(H$7&amp;"!$M:$M"),$J50,INDIRECT(H$7&amp;"!$i:$i")),0)</f>
        <v>0</v>
      </c>
      <c r="I50" s="829"/>
      <c r="J50" s="623" t="s">
        <v>2635</v>
      </c>
    </row>
    <row r="51" spans="1:12" ht="13.5" customHeight="1">
      <c r="A51" s="1486"/>
      <c r="B51" s="1468" t="s">
        <v>2981</v>
      </c>
      <c r="C51" s="682" t="s">
        <v>2644</v>
      </c>
      <c r="D51" s="681"/>
      <c r="E51" s="625"/>
      <c r="F51" s="627">
        <f t="shared" ca="1" si="2"/>
        <v>0</v>
      </c>
      <c r="G51" s="848">
        <f ca="1">SUMIF(INDIRECT(G$7&amp;"!$M:$M"),$J51,INDIRECT(G$7&amp;"!$i:$i"))</f>
        <v>0</v>
      </c>
      <c r="H51" s="848">
        <f ca="1">IFERROR(SUMIF(INDIRECT(H$7&amp;"!$M:$M"),$J51,INDIRECT(H$7&amp;"!$i:$i")),0)</f>
        <v>0</v>
      </c>
      <c r="I51" s="829"/>
      <c r="J51" s="623" t="s">
        <v>2636</v>
      </c>
    </row>
    <row r="52" spans="1:12" ht="13.5" customHeight="1">
      <c r="A52" s="1486"/>
      <c r="B52" s="1469"/>
      <c r="C52" s="682" t="s">
        <v>2982</v>
      </c>
      <c r="D52" s="681"/>
      <c r="E52" s="625"/>
      <c r="F52" s="627">
        <f t="shared" ca="1" si="2"/>
        <v>0</v>
      </c>
      <c r="G52" s="657">
        <f ca="1">+G21</f>
        <v>0</v>
      </c>
      <c r="H52" s="657">
        <f ca="1">+H21</f>
        <v>0</v>
      </c>
      <c r="I52" s="828"/>
    </row>
    <row r="53" spans="1:12" ht="13.5" customHeight="1">
      <c r="A53" s="1486"/>
      <c r="B53" s="1469"/>
      <c r="C53" s="660" t="s">
        <v>2983</v>
      </c>
      <c r="D53" s="685"/>
      <c r="E53" s="625"/>
      <c r="F53" s="627">
        <f t="shared" ca="1" si="2"/>
        <v>0</v>
      </c>
      <c r="G53" s="657">
        <f ca="1">+G20</f>
        <v>0</v>
      </c>
      <c r="H53" s="657">
        <f ca="1">+H20</f>
        <v>0</v>
      </c>
      <c r="I53" s="828"/>
    </row>
    <row r="54" spans="1:12" ht="13.5" customHeight="1">
      <c r="A54" s="1486"/>
      <c r="B54" s="1469"/>
      <c r="C54" s="660" t="s">
        <v>2645</v>
      </c>
      <c r="D54" s="685"/>
      <c r="E54" s="625"/>
      <c r="F54" s="627">
        <f t="shared" ca="1" si="2"/>
        <v>0</v>
      </c>
      <c r="G54" s="848">
        <f ca="1">SUMIF(INDIRECT(G$7&amp;"!$M:$M"),$J54,INDIRECT(G$7&amp;"!$i:$i"))</f>
        <v>0</v>
      </c>
      <c r="H54" s="848">
        <f ca="1">IFERROR(SUMIF(INDIRECT(H$7&amp;"!$M:$M"),$J54,INDIRECT(H$7&amp;"!$i:$i")),0)</f>
        <v>0</v>
      </c>
      <c r="I54" s="829"/>
      <c r="J54" s="623" t="s">
        <v>2822</v>
      </c>
    </row>
    <row r="55" spans="1:12" ht="13.5" customHeight="1">
      <c r="A55" s="1486"/>
      <c r="B55" s="1469"/>
      <c r="C55" s="686" t="s">
        <v>2984</v>
      </c>
      <c r="D55" s="686"/>
      <c r="E55" s="687"/>
      <c r="F55" s="627">
        <f t="shared" ca="1" si="2"/>
        <v>0</v>
      </c>
      <c r="G55" s="972">
        <f ca="1">IFERROR(IF(INDIRECT(G3&amp;"!N1")="附帯工事明細",G13,0),0)</f>
        <v>0</v>
      </c>
      <c r="H55" s="972">
        <f ca="1">IFERROR(IF(INDIRECT(H3&amp;"!N1")="附帯工事明細",H13,0),0)</f>
        <v>0</v>
      </c>
      <c r="I55" s="828"/>
      <c r="J55" s="662" t="s">
        <v>3084</v>
      </c>
      <c r="K55" s="662"/>
      <c r="L55" s="662"/>
    </row>
    <row r="56" spans="1:12" ht="13.5" customHeight="1">
      <c r="A56" s="1486"/>
      <c r="B56" s="1469"/>
      <c r="C56" s="686" t="s">
        <v>2985</v>
      </c>
      <c r="D56" s="686"/>
      <c r="E56" s="687"/>
      <c r="F56" s="627">
        <f t="shared" ca="1" si="2"/>
        <v>0</v>
      </c>
      <c r="G56" s="972">
        <f ca="1">IFERROR(IF(INDIRECT(G3&amp;"!N1")="附帯工事明細",G19,0),0)</f>
        <v>0</v>
      </c>
      <c r="H56" s="972">
        <f ca="1">IFERROR(IF(INDIRECT(H3&amp;"!N1")="附帯工事明細",H19,0),0)</f>
        <v>0</v>
      </c>
      <c r="I56" s="828"/>
      <c r="J56" s="662" t="s">
        <v>3084</v>
      </c>
      <c r="K56" s="662"/>
      <c r="L56" s="662"/>
    </row>
    <row r="57" spans="1:12" ht="13.5" customHeight="1">
      <c r="A57" s="1487"/>
      <c r="B57" s="1488"/>
      <c r="C57" s="688" t="s">
        <v>2646</v>
      </c>
      <c r="D57" s="688"/>
      <c r="E57" s="644"/>
      <c r="F57" s="922">
        <f t="shared" ca="1" si="2"/>
        <v>0</v>
      </c>
      <c r="G57" s="849">
        <f ca="1">SUMIF(INDIRECT(G$7&amp;"!$M:$M"),$J57,INDIRECT(G$7&amp;"!$i:$i"))</f>
        <v>0</v>
      </c>
      <c r="H57" s="849">
        <f ca="1">IFERROR(SUMIF(INDIRECT(H$7&amp;"!$M:$M"),$J57,INDIRECT(H$7&amp;"!$i:$i")),0)</f>
        <v>0</v>
      </c>
      <c r="I57" s="829"/>
      <c r="J57" s="623" t="s">
        <v>2821</v>
      </c>
    </row>
    <row r="58" spans="1:12" s="662" customFormat="1" ht="14.25" customHeight="1">
      <c r="A58" s="659"/>
      <c r="B58" s="659"/>
      <c r="C58" s="689" t="s">
        <v>2986</v>
      </c>
      <c r="D58" s="689"/>
      <c r="E58" s="690"/>
      <c r="F58" s="690"/>
      <c r="G58" s="927"/>
      <c r="H58" s="927"/>
      <c r="I58" s="825"/>
    </row>
    <row r="59" spans="1:12" s="662" customFormat="1" ht="14.25" customHeight="1">
      <c r="A59" s="659"/>
      <c r="B59" s="659"/>
      <c r="C59" s="691" t="s">
        <v>2987</v>
      </c>
      <c r="D59" s="691"/>
      <c r="E59" s="690"/>
      <c r="F59" s="690"/>
      <c r="G59" s="927"/>
      <c r="H59" s="927"/>
      <c r="I59" s="825"/>
    </row>
    <row r="60" spans="1:12" s="662" customFormat="1" ht="14.25" customHeight="1">
      <c r="A60" s="692"/>
      <c r="B60" s="693"/>
      <c r="C60" s="693"/>
      <c r="D60" s="1460" t="s">
        <v>2988</v>
      </c>
      <c r="E60" s="1460" t="s">
        <v>2989</v>
      </c>
      <c r="F60" s="746" t="s">
        <v>2969</v>
      </c>
      <c r="G60" s="696" t="str">
        <f>+G7</f>
        <v>工事1</v>
      </c>
      <c r="H60" s="696" t="str">
        <f>+H7</f>
        <v>工事2</v>
      </c>
      <c r="I60" s="825"/>
    </row>
    <row r="61" spans="1:12" s="662" customFormat="1" ht="14.25" customHeight="1">
      <c r="A61" s="1462" t="s">
        <v>2990</v>
      </c>
      <c r="B61" s="1463"/>
      <c r="C61" s="1464"/>
      <c r="D61" s="1461"/>
      <c r="E61" s="1461"/>
      <c r="F61" s="928"/>
      <c r="G61" s="929"/>
      <c r="H61" s="929"/>
      <c r="I61" s="828"/>
    </row>
    <row r="62" spans="1:12" s="662" customFormat="1" ht="14.25" customHeight="1">
      <c r="A62" s="1465"/>
      <c r="B62" s="694" t="s">
        <v>3072</v>
      </c>
      <c r="C62" s="930"/>
      <c r="D62" s="930"/>
      <c r="E62" s="931"/>
      <c r="F62" s="932">
        <f t="shared" ref="F62:F69" ca="1" si="3">SUM(G62:I62)</f>
        <v>0</v>
      </c>
      <c r="G62" s="933">
        <f ca="1">SUM(G38:G50)+SUM(G54)</f>
        <v>0</v>
      </c>
      <c r="H62" s="933">
        <f ca="1">SUM(H38:H50)+SUM(H54)</f>
        <v>0</v>
      </c>
      <c r="I62" s="828"/>
    </row>
    <row r="63" spans="1:12" s="662" customFormat="1" ht="14.25" customHeight="1">
      <c r="A63" s="1466"/>
      <c r="B63" s="1468" t="s">
        <v>2066</v>
      </c>
      <c r="C63" s="698" t="s">
        <v>2971</v>
      </c>
      <c r="D63" s="699">
        <v>1</v>
      </c>
      <c r="E63" s="700" t="s">
        <v>2991</v>
      </c>
      <c r="F63" s="722">
        <f t="shared" si="3"/>
        <v>0</v>
      </c>
      <c r="G63" s="657">
        <f>IF(G9="積上げ",0,+G38)</f>
        <v>0</v>
      </c>
      <c r="H63" s="657">
        <f>IF(H9="積上げ",0,+H38)</f>
        <v>0</v>
      </c>
      <c r="I63" s="828"/>
    </row>
    <row r="64" spans="1:12" s="662" customFormat="1" ht="14.25" customHeight="1">
      <c r="A64" s="1466"/>
      <c r="B64" s="1469"/>
      <c r="C64" s="698" t="s">
        <v>2972</v>
      </c>
      <c r="D64" s="699">
        <v>1</v>
      </c>
      <c r="E64" s="700" t="s">
        <v>2991</v>
      </c>
      <c r="F64" s="722">
        <f t="shared" ca="1" si="3"/>
        <v>0</v>
      </c>
      <c r="G64" s="657">
        <f ca="1">IF(G9="積上げ",0,+G39)</f>
        <v>0</v>
      </c>
      <c r="H64" s="657">
        <f>IF(H9="積上げ",0,+H39)</f>
        <v>0</v>
      </c>
      <c r="I64" s="828"/>
    </row>
    <row r="65" spans="1:9" s="662" customFormat="1" ht="14.25" customHeight="1">
      <c r="A65" s="1466"/>
      <c r="B65" s="1469"/>
      <c r="C65" s="698" t="s">
        <v>2647</v>
      </c>
      <c r="D65" s="699">
        <v>0.9</v>
      </c>
      <c r="E65" s="700" t="s">
        <v>2991</v>
      </c>
      <c r="F65" s="722">
        <f t="shared" ca="1" si="3"/>
        <v>0</v>
      </c>
      <c r="G65" s="657">
        <f ca="1">IF(G9="積上げ",0,+G40)</f>
        <v>0</v>
      </c>
      <c r="H65" s="657">
        <f ca="1">IF(H9="積上げ",0,+H40)</f>
        <v>0</v>
      </c>
      <c r="I65" s="828"/>
    </row>
    <row r="66" spans="1:9" s="662" customFormat="1" ht="14.25" customHeight="1">
      <c r="A66" s="1466"/>
      <c r="B66" s="1470"/>
      <c r="C66" s="698" t="s">
        <v>2992</v>
      </c>
      <c r="D66" s="699">
        <v>0.9</v>
      </c>
      <c r="E66" s="700" t="s">
        <v>2991</v>
      </c>
      <c r="F66" s="722">
        <f t="shared" ca="1" si="3"/>
        <v>0</v>
      </c>
      <c r="G66" s="657">
        <f ca="1">IF(G9="積上げ",0,+G41)</f>
        <v>0</v>
      </c>
      <c r="H66" s="657">
        <f ca="1">IF(H9="積上げ",0,+H41)</f>
        <v>0</v>
      </c>
      <c r="I66" s="828"/>
    </row>
    <row r="67" spans="1:9" s="662" customFormat="1" ht="14.25" customHeight="1">
      <c r="A67" s="1466"/>
      <c r="B67" s="1468" t="s">
        <v>2974</v>
      </c>
      <c r="C67" s="704" t="s">
        <v>2648</v>
      </c>
      <c r="D67" s="699">
        <v>1</v>
      </c>
      <c r="E67" s="705">
        <v>0.01</v>
      </c>
      <c r="F67" s="722">
        <f t="shared" ca="1" si="3"/>
        <v>0</v>
      </c>
      <c r="G67" s="657">
        <f ca="1">IF(G9="積上げ",0,+G42)</f>
        <v>0</v>
      </c>
      <c r="H67" s="657">
        <f ca="1">IF(H9="積上げ",0,+H42)</f>
        <v>0</v>
      </c>
      <c r="I67" s="828"/>
    </row>
    <row r="68" spans="1:9" s="662" customFormat="1" ht="14.25" customHeight="1">
      <c r="A68" s="1466"/>
      <c r="B68" s="1469"/>
      <c r="C68" s="704" t="s">
        <v>2993</v>
      </c>
      <c r="D68" s="699">
        <v>1</v>
      </c>
      <c r="E68" s="705">
        <v>0.01</v>
      </c>
      <c r="F68" s="722">
        <f t="shared" ca="1" si="3"/>
        <v>0</v>
      </c>
      <c r="G68" s="657">
        <f ca="1">IF(G9="積上げ",0,G43)</f>
        <v>0</v>
      </c>
      <c r="H68" s="657">
        <f ca="1">IF(H9="積上げ",0,H43)</f>
        <v>0</v>
      </c>
      <c r="I68" s="828"/>
    </row>
    <row r="69" spans="1:9" s="662" customFormat="1" ht="14.25" customHeight="1">
      <c r="A69" s="1466"/>
      <c r="B69" s="1469"/>
      <c r="C69" s="704" t="s">
        <v>2641</v>
      </c>
      <c r="D69" s="699">
        <v>1</v>
      </c>
      <c r="E69" s="705">
        <v>0.01</v>
      </c>
      <c r="F69" s="722">
        <f t="shared" ca="1" si="3"/>
        <v>0</v>
      </c>
      <c r="G69" s="657">
        <f ca="1">IF(G9="積上げ",0,G44)</f>
        <v>0</v>
      </c>
      <c r="H69" s="657">
        <f ca="1">IF(H9="積上げ",0,H44)</f>
        <v>0</v>
      </c>
      <c r="I69" s="828"/>
    </row>
    <row r="70" spans="1:9" s="662" customFormat="1" ht="14.25" customHeight="1">
      <c r="A70" s="1466"/>
      <c r="B70" s="1469"/>
      <c r="C70" s="704" t="s">
        <v>2976</v>
      </c>
      <c r="D70" s="699"/>
      <c r="E70" s="705"/>
      <c r="F70" s="722"/>
      <c r="G70" s="657"/>
      <c r="H70" s="657"/>
      <c r="I70" s="828"/>
    </row>
    <row r="71" spans="1:9" s="662" customFormat="1" ht="14.25" customHeight="1">
      <c r="A71" s="1466"/>
      <c r="B71" s="1469"/>
      <c r="C71" s="704" t="s">
        <v>2977</v>
      </c>
      <c r="D71" s="699"/>
      <c r="E71" s="705"/>
      <c r="F71" s="722"/>
      <c r="G71" s="657"/>
      <c r="H71" s="657"/>
      <c r="I71" s="828"/>
    </row>
    <row r="72" spans="1:9" s="662" customFormat="1" ht="14.25" customHeight="1">
      <c r="A72" s="1466"/>
      <c r="B72" s="1469"/>
      <c r="C72" s="704" t="s">
        <v>2642</v>
      </c>
      <c r="D72" s="699">
        <v>1</v>
      </c>
      <c r="E72" s="705">
        <v>0.01</v>
      </c>
      <c r="F72" s="722">
        <f ca="1">SUM(G72:I72)</f>
        <v>0</v>
      </c>
      <c r="G72" s="657">
        <f ca="1">IF(G9="積上げ",0,+G47)</f>
        <v>0</v>
      </c>
      <c r="H72" s="657">
        <f ca="1">IF(H9="積上げ",0,+H47)</f>
        <v>0</v>
      </c>
      <c r="I72" s="828"/>
    </row>
    <row r="73" spans="1:9" s="662" customFormat="1" ht="14.25" customHeight="1">
      <c r="A73" s="1466"/>
      <c r="B73" s="1469"/>
      <c r="C73" s="706" t="s">
        <v>2979</v>
      </c>
      <c r="D73" s="699">
        <v>1</v>
      </c>
      <c r="E73" s="705">
        <v>0.01</v>
      </c>
      <c r="F73" s="722">
        <f>SUM(G73:I73)</f>
        <v>0</v>
      </c>
      <c r="G73" s="657">
        <f>IF(G9="積上げ",0,+G48)</f>
        <v>0</v>
      </c>
      <c r="H73" s="657">
        <f>IF(H9="積上げ",0,+H48)</f>
        <v>0</v>
      </c>
      <c r="I73" s="828"/>
    </row>
    <row r="74" spans="1:9" s="662" customFormat="1" ht="14.25" customHeight="1">
      <c r="A74" s="1466"/>
      <c r="B74" s="1469"/>
      <c r="C74" s="706" t="s">
        <v>2980</v>
      </c>
      <c r="D74" s="699">
        <v>1</v>
      </c>
      <c r="E74" s="705">
        <v>0.01</v>
      </c>
      <c r="F74" s="722">
        <f>SUM(G74:I74)</f>
        <v>0</v>
      </c>
      <c r="G74" s="657">
        <f>IF(G9="積上げ",0,+G49)</f>
        <v>0</v>
      </c>
      <c r="H74" s="657">
        <f>IF(H9="積上げ",0,+H49)</f>
        <v>0</v>
      </c>
      <c r="I74" s="828"/>
    </row>
    <row r="75" spans="1:9" s="662" customFormat="1" ht="14.25" customHeight="1">
      <c r="A75" s="1466"/>
      <c r="B75" s="1470"/>
      <c r="C75" s="704" t="s">
        <v>2643</v>
      </c>
      <c r="D75" s="699">
        <v>1</v>
      </c>
      <c r="E75" s="705">
        <v>0.01</v>
      </c>
      <c r="F75" s="722">
        <f ca="1">SUM(G75:I75)</f>
        <v>0</v>
      </c>
      <c r="G75" s="657">
        <f ca="1">IF(G9="積上げ",0,+G50)</f>
        <v>0</v>
      </c>
      <c r="H75" s="657">
        <f ca="1">IF(H9="積上げ",0,+H50)</f>
        <v>0</v>
      </c>
      <c r="I75" s="828"/>
    </row>
    <row r="76" spans="1:9" s="662" customFormat="1" ht="14.25" customHeight="1">
      <c r="A76" s="1467"/>
      <c r="B76" s="707" t="s">
        <v>2994</v>
      </c>
      <c r="C76" s="934" t="s">
        <v>2995</v>
      </c>
      <c r="D76" s="709">
        <v>1</v>
      </c>
      <c r="E76" s="710">
        <v>0</v>
      </c>
      <c r="F76" s="935">
        <f ca="1">SUM(G76:I76)</f>
        <v>0</v>
      </c>
      <c r="G76" s="645">
        <f ca="1">IF(G9="積上げ",0,(SUM(G54:G57)+G51))</f>
        <v>0</v>
      </c>
      <c r="H76" s="645">
        <f ca="1">IF(H9="積上げ",0,(SUM(H54:H57)+H51))</f>
        <v>0</v>
      </c>
      <c r="I76" s="828"/>
    </row>
    <row r="77" spans="1:9" s="662" customFormat="1" ht="14.25" customHeight="1">
      <c r="A77" s="711"/>
      <c r="B77" s="712"/>
      <c r="C77" s="713"/>
      <c r="D77" s="1471"/>
      <c r="E77" s="1471"/>
      <c r="F77" s="932"/>
      <c r="G77" s="933"/>
      <c r="H77" s="933"/>
      <c r="I77" s="828"/>
    </row>
    <row r="78" spans="1:9" s="662" customFormat="1" ht="14.25" customHeight="1">
      <c r="A78" s="1462" t="s">
        <v>2996</v>
      </c>
      <c r="B78" s="1463"/>
      <c r="C78" s="1464"/>
      <c r="D78" s="1472"/>
      <c r="E78" s="1472"/>
      <c r="F78" s="928"/>
      <c r="G78" s="929"/>
      <c r="H78" s="929"/>
      <c r="I78" s="828"/>
    </row>
    <row r="79" spans="1:9" s="662" customFormat="1" ht="14.25" customHeight="1">
      <c r="A79" s="1465"/>
      <c r="B79" s="1474" t="s">
        <v>2066</v>
      </c>
      <c r="C79" s="714" t="s">
        <v>2971</v>
      </c>
      <c r="D79" s="715"/>
      <c r="E79" s="716" t="s">
        <v>2991</v>
      </c>
      <c r="F79" s="717" t="s">
        <v>2997</v>
      </c>
      <c r="G79" s="718">
        <f>IF(G63=0,0,G185/100)</f>
        <v>0</v>
      </c>
      <c r="H79" s="718">
        <f>IF(H63=0,0,H185/100)</f>
        <v>0</v>
      </c>
      <c r="I79" s="831"/>
    </row>
    <row r="80" spans="1:9" s="662" customFormat="1" ht="14.25" customHeight="1">
      <c r="A80" s="1466"/>
      <c r="B80" s="1469"/>
      <c r="C80" s="719"/>
      <c r="D80" s="720">
        <f>+D63</f>
        <v>1</v>
      </c>
      <c r="E80" s="721" t="s">
        <v>2991</v>
      </c>
      <c r="F80" s="722">
        <f>SUM(G80:I80)</f>
        <v>0</v>
      </c>
      <c r="G80" s="654">
        <f>ROUNDDOWN(G63*G79*$D80,0)</f>
        <v>0</v>
      </c>
      <c r="H80" s="654">
        <f>ROUNDDOWN(H63*H79*$D80,0)</f>
        <v>0</v>
      </c>
      <c r="I80" s="828"/>
    </row>
    <row r="81" spans="1:9" s="662" customFormat="1" ht="14.25" customHeight="1">
      <c r="A81" s="1466"/>
      <c r="B81" s="1469"/>
      <c r="C81" s="723" t="s">
        <v>2972</v>
      </c>
      <c r="D81" s="724"/>
      <c r="E81" s="721" t="s">
        <v>2991</v>
      </c>
      <c r="F81" s="725" t="s">
        <v>2997</v>
      </c>
      <c r="G81" s="726">
        <f ca="1">IF(G64=0,0,G194/100)</f>
        <v>0</v>
      </c>
      <c r="H81" s="726">
        <f>IF(H64=0,0,H194/100)</f>
        <v>0</v>
      </c>
      <c r="I81" s="832"/>
    </row>
    <row r="82" spans="1:9" s="662" customFormat="1" ht="14.25" customHeight="1">
      <c r="A82" s="1466"/>
      <c r="B82" s="1469"/>
      <c r="C82" s="719"/>
      <c r="D82" s="727">
        <f t="shared" ref="D82:D87" si="4">+D64</f>
        <v>1</v>
      </c>
      <c r="E82" s="721" t="s">
        <v>2991</v>
      </c>
      <c r="F82" s="722">
        <f ca="1">SUM(G82:I82)</f>
        <v>0</v>
      </c>
      <c r="G82" s="654">
        <f ca="1">ROUNDDOWN(G64*G81*$D82,0)</f>
        <v>0</v>
      </c>
      <c r="H82" s="654">
        <f>ROUNDDOWN(H64*H81*$D82,0)</f>
        <v>0</v>
      </c>
      <c r="I82" s="828"/>
    </row>
    <row r="83" spans="1:9" s="662" customFormat="1" ht="14.25" customHeight="1">
      <c r="A83" s="1466"/>
      <c r="B83" s="1469"/>
      <c r="C83" s="698" t="s">
        <v>2998</v>
      </c>
      <c r="D83" s="728">
        <v>0.9</v>
      </c>
      <c r="E83" s="721" t="s">
        <v>2991</v>
      </c>
      <c r="F83" s="722">
        <f ca="1">SUM(G83:I83)</f>
        <v>0</v>
      </c>
      <c r="G83" s="654">
        <f ca="1">ROUNDDOWN(G65*G79*$D83,0)</f>
        <v>0</v>
      </c>
      <c r="H83" s="654">
        <f ca="1">ROUNDDOWN(H65*H79*$D83,0)</f>
        <v>0</v>
      </c>
      <c r="I83" s="828"/>
    </row>
    <row r="84" spans="1:9" s="662" customFormat="1" ht="14.25" customHeight="1">
      <c r="A84" s="1466"/>
      <c r="B84" s="1470"/>
      <c r="C84" s="698" t="s">
        <v>2999</v>
      </c>
      <c r="D84" s="728">
        <v>0.9</v>
      </c>
      <c r="E84" s="721" t="s">
        <v>2991</v>
      </c>
      <c r="F84" s="722">
        <f ca="1">SUM(G84:I84)</f>
        <v>0</v>
      </c>
      <c r="G84" s="654">
        <f ca="1">ROUNDDOWN(G66*G81*$D84,0)</f>
        <v>0</v>
      </c>
      <c r="H84" s="654">
        <f ca="1">ROUNDDOWN(H66*H81*$D84,0)</f>
        <v>0</v>
      </c>
      <c r="I84" s="828"/>
    </row>
    <row r="85" spans="1:9" s="662" customFormat="1" ht="14.25" customHeight="1">
      <c r="A85" s="1466"/>
      <c r="B85" s="1468" t="s">
        <v>2974</v>
      </c>
      <c r="C85" s="704" t="s">
        <v>2648</v>
      </c>
      <c r="D85" s="728">
        <f>+D67</f>
        <v>1</v>
      </c>
      <c r="E85" s="705">
        <f>+E67</f>
        <v>0.01</v>
      </c>
      <c r="F85" s="722">
        <f ca="1">IF(諸経費表!$C$4="共通費集計表",ROUNDDOWN(D85*E85*F67,0),#REF!)</f>
        <v>0</v>
      </c>
      <c r="G85" s="654">
        <f t="shared" ref="G85:H93" ca="1" si="5">ROUNDDOWN(G67*$E85*$D85,0)</f>
        <v>0</v>
      </c>
      <c r="H85" s="654">
        <f t="shared" ca="1" si="5"/>
        <v>0</v>
      </c>
      <c r="I85" s="828"/>
    </row>
    <row r="86" spans="1:9" s="662" customFormat="1" ht="14.25" customHeight="1">
      <c r="A86" s="1466"/>
      <c r="B86" s="1469"/>
      <c r="C86" s="704" t="s">
        <v>3000</v>
      </c>
      <c r="D86" s="728">
        <f t="shared" si="4"/>
        <v>1</v>
      </c>
      <c r="E86" s="705">
        <f>+E68</f>
        <v>0.01</v>
      </c>
      <c r="F86" s="722">
        <f ca="1">IF(諸経費表!$C$4="共通費集計表",ROUNDDOWN(D86*E86*F68,0),#REF!)</f>
        <v>0</v>
      </c>
      <c r="G86" s="654">
        <f t="shared" ca="1" si="5"/>
        <v>0</v>
      </c>
      <c r="H86" s="654">
        <f t="shared" ca="1" si="5"/>
        <v>0</v>
      </c>
      <c r="I86" s="828"/>
    </row>
    <row r="87" spans="1:9" s="662" customFormat="1" ht="14.25" customHeight="1">
      <c r="A87" s="1466"/>
      <c r="B87" s="1469"/>
      <c r="C87" s="704" t="s">
        <v>2641</v>
      </c>
      <c r="D87" s="728">
        <f t="shared" si="4"/>
        <v>1</v>
      </c>
      <c r="E87" s="705">
        <f>+E69</f>
        <v>0.01</v>
      </c>
      <c r="F87" s="722">
        <f ca="1">IF(諸経費表!$C$4="共通費集計表",ROUNDDOWN(D87*E87*F69,0),#REF!)</f>
        <v>0</v>
      </c>
      <c r="G87" s="654">
        <f t="shared" ca="1" si="5"/>
        <v>0</v>
      </c>
      <c r="H87" s="654">
        <f t="shared" ca="1" si="5"/>
        <v>0</v>
      </c>
      <c r="I87" s="828"/>
    </row>
    <row r="88" spans="1:9" s="662" customFormat="1" ht="14.25" customHeight="1">
      <c r="A88" s="1466"/>
      <c r="B88" s="1469"/>
      <c r="C88" s="704" t="s">
        <v>3001</v>
      </c>
      <c r="D88" s="728"/>
      <c r="E88" s="705"/>
      <c r="F88" s="722"/>
      <c r="G88" s="654"/>
      <c r="H88" s="654"/>
      <c r="I88" s="828"/>
    </row>
    <row r="89" spans="1:9" s="662" customFormat="1" ht="14.25" customHeight="1">
      <c r="A89" s="1466"/>
      <c r="B89" s="1469"/>
      <c r="C89" s="729" t="s">
        <v>2977</v>
      </c>
      <c r="D89" s="728"/>
      <c r="E89" s="705"/>
      <c r="F89" s="722"/>
      <c r="G89" s="654"/>
      <c r="H89" s="654"/>
      <c r="I89" s="828"/>
    </row>
    <row r="90" spans="1:9" s="662" customFormat="1" ht="14.25" customHeight="1">
      <c r="A90" s="1466"/>
      <c r="B90" s="1469"/>
      <c r="C90" s="704" t="s">
        <v>2642</v>
      </c>
      <c r="D90" s="728">
        <f t="shared" ref="D90:E94" si="6">+D72</f>
        <v>1</v>
      </c>
      <c r="E90" s="705">
        <f t="shared" si="6"/>
        <v>0.01</v>
      </c>
      <c r="F90" s="722">
        <f ca="1">IF(諸経費表!$C$4="共通費集計表",ROUNDDOWN(D90*E90*F72,0),#REF!)</f>
        <v>0</v>
      </c>
      <c r="G90" s="654">
        <f t="shared" ca="1" si="5"/>
        <v>0</v>
      </c>
      <c r="H90" s="654">
        <f t="shared" ca="1" si="5"/>
        <v>0</v>
      </c>
      <c r="I90" s="828"/>
    </row>
    <row r="91" spans="1:9" s="662" customFormat="1" ht="14.25" customHeight="1">
      <c r="A91" s="1466"/>
      <c r="B91" s="1469"/>
      <c r="C91" s="706" t="s">
        <v>3002</v>
      </c>
      <c r="D91" s="728">
        <f t="shared" si="6"/>
        <v>1</v>
      </c>
      <c r="E91" s="705">
        <f t="shared" si="6"/>
        <v>0.01</v>
      </c>
      <c r="F91" s="722">
        <f>IF(諸経費表!$C$4="共通費集計表",ROUNDDOWN(D91*E91*F73,0),#REF!)</f>
        <v>0</v>
      </c>
      <c r="G91" s="654">
        <f t="shared" si="5"/>
        <v>0</v>
      </c>
      <c r="H91" s="654">
        <f t="shared" si="5"/>
        <v>0</v>
      </c>
      <c r="I91" s="828"/>
    </row>
    <row r="92" spans="1:9" s="662" customFormat="1" ht="14.25" customHeight="1">
      <c r="A92" s="1466"/>
      <c r="B92" s="1469"/>
      <c r="C92" s="706" t="s">
        <v>2649</v>
      </c>
      <c r="D92" s="728">
        <f t="shared" si="6"/>
        <v>1</v>
      </c>
      <c r="E92" s="705">
        <f t="shared" si="6"/>
        <v>0.01</v>
      </c>
      <c r="F92" s="722">
        <f>IF(諸経費表!$C$4="共通費集計表",ROUNDDOWN(D92*E92*F74,0),#REF!)</f>
        <v>0</v>
      </c>
      <c r="G92" s="654">
        <f>ROUNDDOWN(G74*$E92*$D92,0)</f>
        <v>0</v>
      </c>
      <c r="H92" s="654">
        <f t="shared" si="5"/>
        <v>0</v>
      </c>
      <c r="I92" s="828"/>
    </row>
    <row r="93" spans="1:9" s="662" customFormat="1" ht="14.25" customHeight="1">
      <c r="A93" s="1466"/>
      <c r="B93" s="1470"/>
      <c r="C93" s="704" t="s">
        <v>2643</v>
      </c>
      <c r="D93" s="728">
        <f t="shared" si="6"/>
        <v>1</v>
      </c>
      <c r="E93" s="705">
        <f t="shared" si="6"/>
        <v>0.01</v>
      </c>
      <c r="F93" s="722">
        <f ca="1">IF(諸経費表!$C$4="共通費集計表",ROUNDDOWN(D93*E93*F75,0),#REF!)</f>
        <v>0</v>
      </c>
      <c r="G93" s="654">
        <f t="shared" ca="1" si="5"/>
        <v>0</v>
      </c>
      <c r="H93" s="654">
        <f t="shared" ca="1" si="5"/>
        <v>0</v>
      </c>
      <c r="I93" s="828"/>
    </row>
    <row r="94" spans="1:9" s="662" customFormat="1" ht="14.25" customHeight="1" thickBot="1">
      <c r="A94" s="1473"/>
      <c r="B94" s="936" t="s">
        <v>2994</v>
      </c>
      <c r="C94" s="937" t="s">
        <v>3003</v>
      </c>
      <c r="D94" s="938">
        <f t="shared" si="6"/>
        <v>1</v>
      </c>
      <c r="E94" s="939">
        <f t="shared" si="6"/>
        <v>0</v>
      </c>
      <c r="F94" s="940">
        <f ca="1">ROUNDDOWN(D94*E94*F76,0)</f>
        <v>0</v>
      </c>
      <c r="G94" s="654">
        <f ca="1">ROUNDDOWN(G76*$E94*$D94,0)</f>
        <v>0</v>
      </c>
      <c r="H94" s="654">
        <f ca="1">ROUNDDOWN(H76*$E94*$D94,0)</f>
        <v>0</v>
      </c>
      <c r="I94" s="828"/>
    </row>
    <row r="95" spans="1:9" s="662" customFormat="1" ht="14.25" customHeight="1" thickTop="1">
      <c r="A95" s="941"/>
      <c r="B95" s="942"/>
      <c r="C95" s="943" t="s">
        <v>3004</v>
      </c>
      <c r="D95" s="944"/>
      <c r="E95" s="945"/>
      <c r="F95" s="946">
        <f ca="1">SUM(G95:I95)</f>
        <v>0</v>
      </c>
      <c r="G95" s="947">
        <f ca="1">SUM(G82:G94)+G80</f>
        <v>0</v>
      </c>
      <c r="H95" s="947">
        <f ca="1">SUM(H82:H94)+H80</f>
        <v>0</v>
      </c>
      <c r="I95" s="828"/>
    </row>
    <row r="96" spans="1:9" s="662" customFormat="1" ht="14.25" customHeight="1">
      <c r="A96" s="659"/>
      <c r="B96" s="659"/>
      <c r="C96" s="665"/>
      <c r="D96" s="665"/>
      <c r="E96" s="659"/>
      <c r="F96" s="664"/>
      <c r="G96" s="948"/>
      <c r="H96" s="948"/>
      <c r="I96" s="828"/>
    </row>
    <row r="97" spans="1:9" s="662" customFormat="1" ht="14.25" customHeight="1">
      <c r="A97" s="659"/>
      <c r="B97" s="659"/>
      <c r="C97" s="689" t="s">
        <v>3005</v>
      </c>
      <c r="D97" s="689"/>
      <c r="E97" s="690"/>
      <c r="F97" s="690"/>
      <c r="G97" s="927"/>
      <c r="H97" s="927"/>
      <c r="I97" s="825"/>
    </row>
    <row r="98" spans="1:9" s="662" customFormat="1" ht="14.25" customHeight="1">
      <c r="A98" s="659"/>
      <c r="B98" s="659"/>
      <c r="C98" s="691" t="s">
        <v>3006</v>
      </c>
      <c r="D98" s="691"/>
      <c r="E98" s="690"/>
      <c r="F98" s="690"/>
      <c r="G98" s="927"/>
      <c r="H98" s="927"/>
      <c r="I98" s="825"/>
    </row>
    <row r="99" spans="1:9" s="662" customFormat="1" ht="14.25" customHeight="1">
      <c r="A99" s="692"/>
      <c r="B99" s="693"/>
      <c r="C99" s="693"/>
      <c r="D99" s="1460" t="s">
        <v>2988</v>
      </c>
      <c r="E99" s="1460" t="s">
        <v>2989</v>
      </c>
      <c r="F99" s="746" t="s">
        <v>2969</v>
      </c>
      <c r="G99" s="696" t="str">
        <f>+G7</f>
        <v>工事1</v>
      </c>
      <c r="H99" s="696" t="str">
        <f>+H7</f>
        <v>工事2</v>
      </c>
      <c r="I99" s="825"/>
    </row>
    <row r="100" spans="1:9" s="662" customFormat="1" ht="14.25" customHeight="1">
      <c r="A100" s="1462" t="s">
        <v>3007</v>
      </c>
      <c r="B100" s="1463"/>
      <c r="C100" s="1464"/>
      <c r="D100" s="1461"/>
      <c r="E100" s="1461"/>
      <c r="F100" s="928"/>
      <c r="G100" s="929"/>
      <c r="H100" s="929"/>
      <c r="I100" s="828"/>
    </row>
    <row r="101" spans="1:9" s="662" customFormat="1" ht="14.25" customHeight="1">
      <c r="A101" s="1465"/>
      <c r="B101" s="694" t="s">
        <v>3008</v>
      </c>
      <c r="C101" s="695"/>
      <c r="D101" s="696"/>
      <c r="E101" s="697"/>
      <c r="F101" s="932">
        <f t="shared" ref="F101:F108" ca="1" si="7">SUM(G101:I101)</f>
        <v>0</v>
      </c>
      <c r="G101" s="933">
        <f ca="1">+G12-G56-G55-G51-G52</f>
        <v>0</v>
      </c>
      <c r="H101" s="933">
        <f ca="1">+H12-H56-H55-H51-H52</f>
        <v>0</v>
      </c>
      <c r="I101" s="828"/>
    </row>
    <row r="102" spans="1:9" s="662" customFormat="1" ht="14.25" customHeight="1">
      <c r="A102" s="1466"/>
      <c r="B102" s="1468" t="s">
        <v>2066</v>
      </c>
      <c r="C102" s="698" t="s">
        <v>2971</v>
      </c>
      <c r="D102" s="699">
        <v>1</v>
      </c>
      <c r="E102" s="700" t="s">
        <v>2991</v>
      </c>
      <c r="F102" s="722">
        <f t="shared" ca="1" si="7"/>
        <v>0</v>
      </c>
      <c r="G102" s="657">
        <f ca="1">IF(G38&gt;G39,+G38+G80+G19-G20-G21-G56,G38+G80)</f>
        <v>0</v>
      </c>
      <c r="H102" s="657">
        <f>IF(H38&gt;H39,+H38+H80+H19-H20-H21-H56,H38+H80)</f>
        <v>0</v>
      </c>
      <c r="I102" s="828"/>
    </row>
    <row r="103" spans="1:9" s="633" customFormat="1" ht="14.25" customHeight="1">
      <c r="A103" s="1466"/>
      <c r="B103" s="1469"/>
      <c r="C103" s="701" t="s">
        <v>2972</v>
      </c>
      <c r="D103" s="702">
        <v>1</v>
      </c>
      <c r="E103" s="703" t="s">
        <v>2991</v>
      </c>
      <c r="F103" s="722">
        <f t="shared" ca="1" si="7"/>
        <v>0</v>
      </c>
      <c r="G103" s="657">
        <f ca="1">IF(G38&gt;G39,+G39+G82,G39+G82+G19-G20-G21-G56)</f>
        <v>0</v>
      </c>
      <c r="H103" s="657">
        <f ca="1">IF(H38&gt;H39,+H39+H82,H39+H82+H19-H20-H21-H56)</f>
        <v>0</v>
      </c>
      <c r="I103" s="828"/>
    </row>
    <row r="104" spans="1:9" s="662" customFormat="1" ht="14.25" customHeight="1">
      <c r="A104" s="1466"/>
      <c r="B104" s="1469"/>
      <c r="C104" s="698" t="s">
        <v>2647</v>
      </c>
      <c r="D104" s="699">
        <v>1</v>
      </c>
      <c r="E104" s="700" t="s">
        <v>2991</v>
      </c>
      <c r="F104" s="722">
        <f t="shared" ca="1" si="7"/>
        <v>0</v>
      </c>
      <c r="G104" s="657">
        <f t="shared" ref="G104:H108" ca="1" si="8">+G40+G83</f>
        <v>0</v>
      </c>
      <c r="H104" s="657">
        <f t="shared" ca="1" si="8"/>
        <v>0</v>
      </c>
      <c r="I104" s="828"/>
    </row>
    <row r="105" spans="1:9" s="662" customFormat="1" ht="14.25" customHeight="1">
      <c r="A105" s="1466"/>
      <c r="B105" s="1470"/>
      <c r="C105" s="698" t="s">
        <v>2992</v>
      </c>
      <c r="D105" s="699">
        <v>1</v>
      </c>
      <c r="E105" s="700" t="s">
        <v>2991</v>
      </c>
      <c r="F105" s="722">
        <f t="shared" ca="1" si="7"/>
        <v>0</v>
      </c>
      <c r="G105" s="632">
        <f t="shared" ca="1" si="8"/>
        <v>0</v>
      </c>
      <c r="H105" s="632">
        <f t="shared" ca="1" si="8"/>
        <v>0</v>
      </c>
      <c r="I105" s="828"/>
    </row>
    <row r="106" spans="1:9" s="662" customFormat="1" ht="14.25" customHeight="1">
      <c r="A106" s="1466"/>
      <c r="B106" s="1468" t="s">
        <v>2974</v>
      </c>
      <c r="C106" s="704" t="s">
        <v>2648</v>
      </c>
      <c r="D106" s="699">
        <v>1</v>
      </c>
      <c r="E106" s="705">
        <v>0.02</v>
      </c>
      <c r="F106" s="722">
        <f t="shared" ca="1" si="7"/>
        <v>0</v>
      </c>
      <c r="G106" s="632">
        <f t="shared" ca="1" si="8"/>
        <v>0</v>
      </c>
      <c r="H106" s="632">
        <f t="shared" ca="1" si="8"/>
        <v>0</v>
      </c>
      <c r="I106" s="828"/>
    </row>
    <row r="107" spans="1:9" s="662" customFormat="1" ht="14.25" customHeight="1">
      <c r="A107" s="1466"/>
      <c r="B107" s="1469"/>
      <c r="C107" s="704" t="s">
        <v>2993</v>
      </c>
      <c r="D107" s="699">
        <v>1</v>
      </c>
      <c r="E107" s="705">
        <v>0.02</v>
      </c>
      <c r="F107" s="722">
        <f t="shared" ca="1" si="7"/>
        <v>0</v>
      </c>
      <c r="G107" s="632">
        <f t="shared" ca="1" si="8"/>
        <v>0</v>
      </c>
      <c r="H107" s="632">
        <f t="shared" ca="1" si="8"/>
        <v>0</v>
      </c>
      <c r="I107" s="828"/>
    </row>
    <row r="108" spans="1:9" s="662" customFormat="1" ht="14.25" customHeight="1">
      <c r="A108" s="1466"/>
      <c r="B108" s="1469"/>
      <c r="C108" s="704" t="s">
        <v>2641</v>
      </c>
      <c r="D108" s="699">
        <v>1</v>
      </c>
      <c r="E108" s="705">
        <v>0.02</v>
      </c>
      <c r="F108" s="722">
        <f t="shared" ca="1" si="7"/>
        <v>0</v>
      </c>
      <c r="G108" s="632">
        <f t="shared" ca="1" si="8"/>
        <v>0</v>
      </c>
      <c r="H108" s="632">
        <f t="shared" ca="1" si="8"/>
        <v>0</v>
      </c>
      <c r="I108" s="828"/>
    </row>
    <row r="109" spans="1:9" s="662" customFormat="1" ht="14.25" customHeight="1">
      <c r="A109" s="1466"/>
      <c r="B109" s="1469"/>
      <c r="C109" s="704" t="s">
        <v>2976</v>
      </c>
      <c r="D109" s="699"/>
      <c r="E109" s="705"/>
      <c r="F109" s="722"/>
      <c r="G109" s="632"/>
      <c r="H109" s="632"/>
      <c r="I109" s="828"/>
    </row>
    <row r="110" spans="1:9" s="662" customFormat="1" ht="14.25" customHeight="1">
      <c r="A110" s="1466"/>
      <c r="B110" s="1469"/>
      <c r="C110" s="704" t="s">
        <v>2977</v>
      </c>
      <c r="D110" s="699"/>
      <c r="E110" s="705"/>
      <c r="F110" s="722"/>
      <c r="G110" s="632"/>
      <c r="H110" s="632"/>
      <c r="I110" s="828"/>
    </row>
    <row r="111" spans="1:9" s="662" customFormat="1" ht="14.25" customHeight="1">
      <c r="A111" s="1466"/>
      <c r="B111" s="1469"/>
      <c r="C111" s="704" t="s">
        <v>2642</v>
      </c>
      <c r="D111" s="699">
        <v>1</v>
      </c>
      <c r="E111" s="705">
        <v>0.02</v>
      </c>
      <c r="F111" s="722">
        <f ca="1">SUM(G111:I111)</f>
        <v>0</v>
      </c>
      <c r="G111" s="632">
        <f t="shared" ref="G111:H114" ca="1" si="9">+G47+G90</f>
        <v>0</v>
      </c>
      <c r="H111" s="632">
        <f t="shared" ca="1" si="9"/>
        <v>0</v>
      </c>
      <c r="I111" s="828"/>
    </row>
    <row r="112" spans="1:9" s="662" customFormat="1" ht="14.25" customHeight="1">
      <c r="A112" s="1466"/>
      <c r="B112" s="1469"/>
      <c r="C112" s="706" t="s">
        <v>2979</v>
      </c>
      <c r="D112" s="699">
        <v>1</v>
      </c>
      <c r="E112" s="705">
        <v>0.02</v>
      </c>
      <c r="F112" s="722">
        <f>SUM(G112:I112)</f>
        <v>0</v>
      </c>
      <c r="G112" s="632">
        <f t="shared" si="9"/>
        <v>0</v>
      </c>
      <c r="H112" s="632">
        <f t="shared" si="9"/>
        <v>0</v>
      </c>
      <c r="I112" s="828"/>
    </row>
    <row r="113" spans="1:9" s="662" customFormat="1" ht="14.25" customHeight="1">
      <c r="A113" s="1466"/>
      <c r="B113" s="1469"/>
      <c r="C113" s="706" t="s">
        <v>2980</v>
      </c>
      <c r="D113" s="699">
        <v>1</v>
      </c>
      <c r="E113" s="705">
        <v>0.02</v>
      </c>
      <c r="F113" s="722">
        <f>SUM(G113:I113)</f>
        <v>0</v>
      </c>
      <c r="G113" s="632">
        <f t="shared" si="9"/>
        <v>0</v>
      </c>
      <c r="H113" s="632">
        <f t="shared" si="9"/>
        <v>0</v>
      </c>
      <c r="I113" s="828"/>
    </row>
    <row r="114" spans="1:9" s="662" customFormat="1" ht="14.25" customHeight="1">
      <c r="A114" s="1466"/>
      <c r="B114" s="1470"/>
      <c r="C114" s="704" t="s">
        <v>2643</v>
      </c>
      <c r="D114" s="699">
        <v>1</v>
      </c>
      <c r="E114" s="705">
        <v>0.02</v>
      </c>
      <c r="F114" s="722">
        <f ca="1">SUM(G114:I114)</f>
        <v>0</v>
      </c>
      <c r="G114" s="632">
        <f t="shared" ca="1" si="9"/>
        <v>0</v>
      </c>
      <c r="H114" s="632">
        <f t="shared" ca="1" si="9"/>
        <v>0</v>
      </c>
      <c r="I114" s="828"/>
    </row>
    <row r="115" spans="1:9" s="662" customFormat="1" ht="14.25" customHeight="1">
      <c r="A115" s="1467"/>
      <c r="B115" s="707" t="s">
        <v>2994</v>
      </c>
      <c r="C115" s="708" t="s">
        <v>3009</v>
      </c>
      <c r="D115" s="709">
        <v>1</v>
      </c>
      <c r="E115" s="710">
        <v>0</v>
      </c>
      <c r="F115" s="935">
        <f ca="1">SUM(G115:I115)</f>
        <v>0</v>
      </c>
      <c r="G115" s="645">
        <f ca="1">SUM(G51:G57)</f>
        <v>0</v>
      </c>
      <c r="H115" s="645">
        <f ca="1">SUM(H51:H57)</f>
        <v>0</v>
      </c>
      <c r="I115" s="828"/>
    </row>
    <row r="116" spans="1:9" s="662" customFormat="1" ht="14.25" customHeight="1">
      <c r="A116" s="711"/>
      <c r="B116" s="712"/>
      <c r="C116" s="713"/>
      <c r="D116" s="1471"/>
      <c r="E116" s="1471"/>
      <c r="F116" s="932"/>
      <c r="G116" s="933"/>
      <c r="H116" s="933"/>
      <c r="I116" s="828"/>
    </row>
    <row r="117" spans="1:9" s="662" customFormat="1" ht="14.25" customHeight="1">
      <c r="A117" s="1462" t="s">
        <v>3010</v>
      </c>
      <c r="B117" s="1463"/>
      <c r="C117" s="1464"/>
      <c r="D117" s="1472"/>
      <c r="E117" s="1472"/>
      <c r="F117" s="928"/>
      <c r="G117" s="929"/>
      <c r="H117" s="929"/>
      <c r="I117" s="828"/>
    </row>
    <row r="118" spans="1:9" s="662" customFormat="1" ht="14.25" customHeight="1">
      <c r="A118" s="1465"/>
      <c r="B118" s="1474" t="s">
        <v>2066</v>
      </c>
      <c r="C118" s="714" t="s">
        <v>2971</v>
      </c>
      <c r="D118" s="715"/>
      <c r="E118" s="716" t="s">
        <v>2991</v>
      </c>
      <c r="F118" s="717" t="s">
        <v>2997</v>
      </c>
      <c r="G118" s="718">
        <f ca="1">IF(G102=0,0,+G202/100)</f>
        <v>0</v>
      </c>
      <c r="H118" s="718">
        <f>IF(H102=0,0,+H202/100)</f>
        <v>0</v>
      </c>
      <c r="I118" s="831"/>
    </row>
    <row r="119" spans="1:9" s="662" customFormat="1" ht="14.25" customHeight="1">
      <c r="A119" s="1466"/>
      <c r="B119" s="1469"/>
      <c r="C119" s="719"/>
      <c r="D119" s="720">
        <f>+D102</f>
        <v>1</v>
      </c>
      <c r="E119" s="721" t="s">
        <v>2991</v>
      </c>
      <c r="F119" s="722">
        <f ca="1">SUM(G119:I119)</f>
        <v>0</v>
      </c>
      <c r="G119" s="654">
        <f ca="1">ROUNDDOWN(G102*G118*$D119,0)</f>
        <v>0</v>
      </c>
      <c r="H119" s="654">
        <f>ROUNDDOWN(H102*H118*$D119,0)</f>
        <v>0</v>
      </c>
      <c r="I119" s="828"/>
    </row>
    <row r="120" spans="1:9" s="662" customFormat="1" ht="14.25" customHeight="1">
      <c r="A120" s="1466"/>
      <c r="B120" s="1469"/>
      <c r="C120" s="723" t="s">
        <v>2972</v>
      </c>
      <c r="D120" s="724"/>
      <c r="E120" s="721" t="s">
        <v>2991</v>
      </c>
      <c r="F120" s="725" t="s">
        <v>2997</v>
      </c>
      <c r="G120" s="850">
        <f ca="1">IF(G103=0,0,+G210/100)</f>
        <v>0</v>
      </c>
      <c r="H120" s="726">
        <f ca="1">IF(H103=0,0,+H210/100)</f>
        <v>0</v>
      </c>
      <c r="I120" s="832"/>
    </row>
    <row r="121" spans="1:9" s="662" customFormat="1" ht="14.25" customHeight="1">
      <c r="A121" s="1466"/>
      <c r="B121" s="1469"/>
      <c r="C121" s="719"/>
      <c r="D121" s="727">
        <f t="shared" ref="D121:D126" si="10">+D103</f>
        <v>1</v>
      </c>
      <c r="E121" s="721" t="s">
        <v>2991</v>
      </c>
      <c r="F121" s="722">
        <f t="shared" ref="F121:F126" ca="1" si="11">SUM(G121:I121)</f>
        <v>0</v>
      </c>
      <c r="G121" s="654">
        <f ca="1">ROUNDDOWN(G103*G120*$D121,0)</f>
        <v>0</v>
      </c>
      <c r="H121" s="654">
        <f ca="1">ROUNDDOWN(H103*H120*$D121,0)</f>
        <v>0</v>
      </c>
      <c r="I121" s="828"/>
    </row>
    <row r="122" spans="1:9" s="662" customFormat="1" ht="14.25" customHeight="1">
      <c r="A122" s="1466"/>
      <c r="B122" s="1469"/>
      <c r="C122" s="698" t="s">
        <v>2998</v>
      </c>
      <c r="D122" s="728">
        <f t="shared" si="10"/>
        <v>1</v>
      </c>
      <c r="E122" s="721" t="s">
        <v>2991</v>
      </c>
      <c r="F122" s="722">
        <f t="shared" ca="1" si="11"/>
        <v>0</v>
      </c>
      <c r="G122" s="654">
        <f ca="1">ROUNDDOWN(G104*G118*$D122,0)</f>
        <v>0</v>
      </c>
      <c r="H122" s="654">
        <f ca="1">ROUNDDOWN(H104*H118*$D122,0)</f>
        <v>0</v>
      </c>
      <c r="I122" s="828"/>
    </row>
    <row r="123" spans="1:9" s="662" customFormat="1" ht="14.25" customHeight="1">
      <c r="A123" s="1466"/>
      <c r="B123" s="1470"/>
      <c r="C123" s="698" t="s">
        <v>2999</v>
      </c>
      <c r="D123" s="728">
        <f t="shared" si="10"/>
        <v>1</v>
      </c>
      <c r="E123" s="721" t="s">
        <v>2991</v>
      </c>
      <c r="F123" s="722">
        <f t="shared" ca="1" si="11"/>
        <v>0</v>
      </c>
      <c r="G123" s="654">
        <f ca="1">ROUNDDOWN(G105*G120*$D123,0)</f>
        <v>0</v>
      </c>
      <c r="H123" s="654">
        <f ca="1">ROUNDDOWN(H105*H120*$D123,0)</f>
        <v>0</v>
      </c>
      <c r="I123" s="828"/>
    </row>
    <row r="124" spans="1:9" s="662" customFormat="1" ht="14.25" customHeight="1">
      <c r="A124" s="1466"/>
      <c r="B124" s="1468" t="s">
        <v>2974</v>
      </c>
      <c r="C124" s="704" t="s">
        <v>2648</v>
      </c>
      <c r="D124" s="728">
        <f t="shared" si="10"/>
        <v>1</v>
      </c>
      <c r="E124" s="705">
        <f>+E106</f>
        <v>0.02</v>
      </c>
      <c r="F124" s="722">
        <f t="shared" ca="1" si="11"/>
        <v>0</v>
      </c>
      <c r="G124" s="654">
        <f t="shared" ref="G124:H126" ca="1" si="12">ROUNDDOWN(G106*$E124*$D124,0)</f>
        <v>0</v>
      </c>
      <c r="H124" s="654">
        <f t="shared" ca="1" si="12"/>
        <v>0</v>
      </c>
      <c r="I124" s="828"/>
    </row>
    <row r="125" spans="1:9" s="662" customFormat="1" ht="14.25" customHeight="1">
      <c r="A125" s="1466"/>
      <c r="B125" s="1469"/>
      <c r="C125" s="704" t="s">
        <v>3000</v>
      </c>
      <c r="D125" s="728">
        <f t="shared" si="10"/>
        <v>1</v>
      </c>
      <c r="E125" s="705">
        <f>+E107</f>
        <v>0.02</v>
      </c>
      <c r="F125" s="722">
        <f t="shared" ca="1" si="11"/>
        <v>0</v>
      </c>
      <c r="G125" s="654">
        <f t="shared" ca="1" si="12"/>
        <v>0</v>
      </c>
      <c r="H125" s="654">
        <f t="shared" ca="1" si="12"/>
        <v>0</v>
      </c>
      <c r="I125" s="828"/>
    </row>
    <row r="126" spans="1:9" s="662" customFormat="1" ht="14.25" customHeight="1">
      <c r="A126" s="1466"/>
      <c r="B126" s="1469"/>
      <c r="C126" s="704" t="s">
        <v>2641</v>
      </c>
      <c r="D126" s="728">
        <f t="shared" si="10"/>
        <v>1</v>
      </c>
      <c r="E126" s="705">
        <f>+E108</f>
        <v>0.02</v>
      </c>
      <c r="F126" s="722">
        <f t="shared" ca="1" si="11"/>
        <v>0</v>
      </c>
      <c r="G126" s="654">
        <f ca="1">ROUNDDOWN(G108*$E126*$D126,0)</f>
        <v>0</v>
      </c>
      <c r="H126" s="654">
        <f t="shared" ca="1" si="12"/>
        <v>0</v>
      </c>
      <c r="I126" s="828"/>
    </row>
    <row r="127" spans="1:9" s="662" customFormat="1" ht="14.25" customHeight="1">
      <c r="A127" s="1466"/>
      <c r="B127" s="1469"/>
      <c r="C127" s="704" t="s">
        <v>2976</v>
      </c>
      <c r="D127" s="728"/>
      <c r="E127" s="705"/>
      <c r="F127" s="722"/>
      <c r="G127" s="654"/>
      <c r="H127" s="654"/>
      <c r="I127" s="828"/>
    </row>
    <row r="128" spans="1:9" s="662" customFormat="1" ht="14.25" customHeight="1">
      <c r="A128" s="1466"/>
      <c r="B128" s="1469"/>
      <c r="C128" s="729"/>
      <c r="D128" s="728"/>
      <c r="E128" s="705"/>
      <c r="F128" s="722"/>
      <c r="G128" s="654"/>
      <c r="H128" s="654"/>
      <c r="I128" s="828"/>
    </row>
    <row r="129" spans="1:10" s="662" customFormat="1" ht="14.25" customHeight="1">
      <c r="A129" s="1466"/>
      <c r="B129" s="1469"/>
      <c r="C129" s="704" t="s">
        <v>2642</v>
      </c>
      <c r="D129" s="728">
        <f t="shared" ref="D129:E132" si="13">+D111</f>
        <v>1</v>
      </c>
      <c r="E129" s="705">
        <f t="shared" si="13"/>
        <v>0.02</v>
      </c>
      <c r="F129" s="722">
        <f t="shared" ref="F129:F137" ca="1" si="14">SUM(G129:I129)</f>
        <v>0</v>
      </c>
      <c r="G129" s="654">
        <f t="shared" ref="G129:H132" ca="1" si="15">ROUNDDOWN(G111*$E129*$D129,0)</f>
        <v>0</v>
      </c>
      <c r="H129" s="654">
        <f t="shared" ca="1" si="15"/>
        <v>0</v>
      </c>
      <c r="I129" s="828"/>
    </row>
    <row r="130" spans="1:10" s="662" customFormat="1" ht="14.25" customHeight="1">
      <c r="A130" s="1466"/>
      <c r="B130" s="1469"/>
      <c r="C130" s="706" t="s">
        <v>2979</v>
      </c>
      <c r="D130" s="728">
        <f t="shared" si="13"/>
        <v>1</v>
      </c>
      <c r="E130" s="705">
        <f t="shared" si="13"/>
        <v>0.02</v>
      </c>
      <c r="F130" s="722">
        <f t="shared" si="14"/>
        <v>0</v>
      </c>
      <c r="G130" s="654">
        <f t="shared" si="15"/>
        <v>0</v>
      </c>
      <c r="H130" s="654">
        <f t="shared" si="15"/>
        <v>0</v>
      </c>
      <c r="I130" s="828"/>
    </row>
    <row r="131" spans="1:10" s="662" customFormat="1" ht="14.25" customHeight="1">
      <c r="A131" s="1466"/>
      <c r="B131" s="1469"/>
      <c r="C131" s="706" t="s">
        <v>2980</v>
      </c>
      <c r="D131" s="728">
        <f t="shared" si="13"/>
        <v>1</v>
      </c>
      <c r="E131" s="705">
        <f t="shared" si="13"/>
        <v>0.02</v>
      </c>
      <c r="F131" s="722">
        <f t="shared" si="14"/>
        <v>0</v>
      </c>
      <c r="G131" s="654">
        <f t="shared" si="15"/>
        <v>0</v>
      </c>
      <c r="H131" s="654">
        <f t="shared" si="15"/>
        <v>0</v>
      </c>
      <c r="I131" s="828"/>
    </row>
    <row r="132" spans="1:10" s="662" customFormat="1" ht="14.25" customHeight="1">
      <c r="A132" s="1466"/>
      <c r="B132" s="1470"/>
      <c r="C132" s="704" t="s">
        <v>3011</v>
      </c>
      <c r="D132" s="728">
        <f t="shared" si="13"/>
        <v>1</v>
      </c>
      <c r="E132" s="705">
        <f t="shared" si="13"/>
        <v>0.02</v>
      </c>
      <c r="F132" s="722">
        <f t="shared" ca="1" si="14"/>
        <v>0</v>
      </c>
      <c r="G132" s="654">
        <f ca="1">ROUNDDOWN(G114*$E132*$D132,0)</f>
        <v>0</v>
      </c>
      <c r="H132" s="654">
        <f t="shared" ca="1" si="15"/>
        <v>0</v>
      </c>
      <c r="I132" s="828"/>
    </row>
    <row r="133" spans="1:10" s="662" customFormat="1" ht="14.25" customHeight="1">
      <c r="A133" s="1466"/>
      <c r="B133" s="1438" t="s">
        <v>3012</v>
      </c>
      <c r="C133" s="698" t="s">
        <v>3013</v>
      </c>
      <c r="D133" s="730"/>
      <c r="E133" s="731"/>
      <c r="F133" s="722">
        <f t="shared" ca="1" si="14"/>
        <v>0</v>
      </c>
      <c r="G133" s="972">
        <f ca="1">+IF(INDIRECT(G3&amp;"!N1")="附帯工事明細",INDIRECT(G3&amp;"!I20"),0)</f>
        <v>0</v>
      </c>
      <c r="H133" s="972">
        <f ca="1">IFERROR(IF(INDIRECT(H3&amp;"!N1")="附帯工事明細",INDIRECT(H3&amp;"!I20"),0),0)</f>
        <v>0</v>
      </c>
      <c r="I133" s="828"/>
      <c r="J133" s="662" t="s">
        <v>3084</v>
      </c>
    </row>
    <row r="134" spans="1:10" s="662" customFormat="1" ht="14.25" customHeight="1">
      <c r="A134" s="1466"/>
      <c r="B134" s="1475"/>
      <c r="C134" s="973" t="s">
        <v>3014</v>
      </c>
      <c r="D134" s="730"/>
      <c r="E134" s="731"/>
      <c r="F134" s="722">
        <f t="shared" si="14"/>
        <v>0</v>
      </c>
      <c r="G134" s="657"/>
      <c r="H134" s="657"/>
      <c r="I134" s="828"/>
    </row>
    <row r="135" spans="1:10" s="662" customFormat="1" ht="14.25" customHeight="1" thickBot="1">
      <c r="A135" s="1473"/>
      <c r="B135" s="732" t="s">
        <v>2994</v>
      </c>
      <c r="C135" s="708" t="s">
        <v>3009</v>
      </c>
      <c r="D135" s="730">
        <f>+D115</f>
        <v>1</v>
      </c>
      <c r="E135" s="731">
        <f>+E115</f>
        <v>0</v>
      </c>
      <c r="F135" s="722">
        <f t="shared" ca="1" si="14"/>
        <v>0</v>
      </c>
      <c r="G135" s="654">
        <f ca="1">ROUNDDOWN(G115*$E135*$D135,0)</f>
        <v>0</v>
      </c>
      <c r="H135" s="654">
        <f ca="1">ROUNDDOWN(H115*$E135*$D135,0)</f>
        <v>0</v>
      </c>
      <c r="I135" s="828"/>
    </row>
    <row r="136" spans="1:10" s="662" customFormat="1" ht="14.25" customHeight="1" thickTop="1">
      <c r="A136" s="733"/>
      <c r="B136" s="734"/>
      <c r="C136" s="735" t="s">
        <v>3015</v>
      </c>
      <c r="D136" s="736"/>
      <c r="E136" s="737"/>
      <c r="F136" s="949">
        <f t="shared" ca="1" si="14"/>
        <v>0</v>
      </c>
      <c r="G136" s="950">
        <f ca="1">SUM(G121:G135)+G119</f>
        <v>0</v>
      </c>
      <c r="H136" s="950">
        <f ca="1">SUM(H121:H135)+H119</f>
        <v>0</v>
      </c>
      <c r="I136" s="828"/>
    </row>
    <row r="137" spans="1:10" s="662" customFormat="1" ht="14.25" customHeight="1">
      <c r="A137" s="738"/>
      <c r="B137" s="739"/>
      <c r="C137" s="740" t="s">
        <v>3016</v>
      </c>
      <c r="D137" s="741"/>
      <c r="E137" s="742"/>
      <c r="F137" s="935">
        <f t="shared" ca="1" si="14"/>
        <v>0</v>
      </c>
      <c r="G137" s="645">
        <f ca="1">+G12+G136</f>
        <v>0</v>
      </c>
      <c r="H137" s="645">
        <f ca="1">+H12+H136</f>
        <v>0</v>
      </c>
      <c r="I137" s="828"/>
    </row>
    <row r="138" spans="1:10" s="662" customFormat="1" ht="14.25" customHeight="1">
      <c r="A138" s="692"/>
      <c r="B138" s="693"/>
      <c r="C138" s="743" t="s">
        <v>3017</v>
      </c>
      <c r="D138" s="743"/>
      <c r="E138" s="744"/>
      <c r="F138" s="744"/>
      <c r="G138" s="951"/>
      <c r="H138" s="952"/>
      <c r="I138" s="825"/>
    </row>
    <row r="139" spans="1:10" s="662" customFormat="1" ht="14.25" customHeight="1">
      <c r="A139" s="658"/>
      <c r="B139" s="659"/>
      <c r="C139" s="659"/>
      <c r="D139" s="659"/>
      <c r="E139" s="659"/>
      <c r="F139" s="659"/>
      <c r="G139" s="927"/>
      <c r="H139" s="927"/>
      <c r="I139" s="830"/>
    </row>
    <row r="140" spans="1:10" s="662" customFormat="1" ht="14.25" customHeight="1">
      <c r="A140" s="1451"/>
      <c r="B140" s="1452"/>
      <c r="C140" s="1453"/>
      <c r="D140" s="745"/>
      <c r="E140" s="746" t="s">
        <v>3018</v>
      </c>
      <c r="F140" s="746" t="s">
        <v>2969</v>
      </c>
      <c r="G140" s="696" t="str">
        <f>+G7</f>
        <v>工事1</v>
      </c>
      <c r="H140" s="696" t="str">
        <f>+H7</f>
        <v>工事2</v>
      </c>
      <c r="I140" s="825"/>
    </row>
    <row r="141" spans="1:10" s="662" customFormat="1" ht="14.25" customHeight="1" thickBot="1">
      <c r="A141" s="1454"/>
      <c r="B141" s="1455"/>
      <c r="C141" s="1456"/>
      <c r="D141" s="747"/>
      <c r="E141" s="748"/>
      <c r="F141" s="756"/>
      <c r="G141" s="953"/>
      <c r="H141" s="953"/>
      <c r="I141" s="825"/>
    </row>
    <row r="142" spans="1:10" s="662" customFormat="1" ht="14.25" customHeight="1" thickBot="1">
      <c r="A142" s="749"/>
      <c r="B142" s="750"/>
      <c r="C142" s="751" t="s">
        <v>3019</v>
      </c>
      <c r="D142" s="752"/>
      <c r="E142" s="753"/>
      <c r="F142" s="954">
        <f ca="1">SUM(G142:I142)</f>
        <v>0</v>
      </c>
      <c r="G142" s="955">
        <f ca="1">IF(G143=0,+G137,0)</f>
        <v>0</v>
      </c>
      <c r="H142" s="955">
        <f ca="1">IF(H143=0,+H137,0)</f>
        <v>0</v>
      </c>
      <c r="I142" s="956"/>
    </row>
    <row r="143" spans="1:10" s="662" customFormat="1" ht="14.25" customHeight="1">
      <c r="A143" s="658"/>
      <c r="B143" s="659"/>
      <c r="C143" s="754" t="s">
        <v>3020</v>
      </c>
      <c r="D143" s="755"/>
      <c r="E143" s="756"/>
      <c r="F143" s="991"/>
      <c r="G143" s="957">
        <f ca="1">IF(G165=0,0,G137)</f>
        <v>0</v>
      </c>
      <c r="H143" s="957">
        <f ca="1">IF(H165=0,0,H137)</f>
        <v>0</v>
      </c>
      <c r="I143" s="956"/>
      <c r="J143" s="962" t="s">
        <v>3087</v>
      </c>
    </row>
    <row r="144" spans="1:10" s="662" customFormat="1" ht="14.25" customHeight="1">
      <c r="A144" s="738"/>
      <c r="B144" s="739"/>
      <c r="C144" s="1457" t="s">
        <v>3021</v>
      </c>
      <c r="D144" s="1458"/>
      <c r="E144" s="1459"/>
      <c r="F144" s="935">
        <f ca="1">F142+F143-F152</f>
        <v>0</v>
      </c>
      <c r="G144" s="645"/>
      <c r="H144" s="645"/>
      <c r="I144" s="828"/>
    </row>
    <row r="145" spans="1:9" s="662" customFormat="1" ht="14.25" customHeight="1">
      <c r="A145" s="692"/>
      <c r="B145" s="693"/>
      <c r="C145" s="693"/>
      <c r="D145" s="757"/>
      <c r="E145" s="608" t="str">
        <f>E7</f>
        <v>無し</v>
      </c>
      <c r="F145" s="1440" t="s">
        <v>3022</v>
      </c>
      <c r="G145" s="1441"/>
      <c r="H145" s="650"/>
      <c r="I145" s="828"/>
    </row>
    <row r="146" spans="1:9" s="662" customFormat="1" ht="14.25" customHeight="1">
      <c r="A146" s="1442" t="s">
        <v>3023</v>
      </c>
      <c r="B146" s="1443"/>
      <c r="C146" s="1444"/>
      <c r="D146" s="758"/>
      <c r="E146" s="759" t="str">
        <f>+E8</f>
        <v>有り</v>
      </c>
      <c r="F146" s="1445" t="s">
        <v>3024</v>
      </c>
      <c r="G146" s="1446"/>
      <c r="H146" s="645"/>
      <c r="I146" s="828"/>
    </row>
    <row r="147" spans="1:9" s="662" customFormat="1" ht="14.25" customHeight="1">
      <c r="A147" s="1447"/>
      <c r="B147" s="760" t="s">
        <v>3025</v>
      </c>
      <c r="C147" s="761" t="s">
        <v>3026</v>
      </c>
      <c r="D147" s="762">
        <v>1</v>
      </c>
      <c r="E147" s="851">
        <f ca="1">+G216/100</f>
        <v>0.1724</v>
      </c>
      <c r="F147" s="958">
        <f ca="1">SUM(G147:I147)</f>
        <v>0</v>
      </c>
      <c r="G147" s="650">
        <f ca="1">+G142-G152</f>
        <v>0</v>
      </c>
      <c r="H147" s="650">
        <f ca="1">+H142-H152</f>
        <v>0</v>
      </c>
      <c r="I147" s="828"/>
    </row>
    <row r="148" spans="1:9" s="662" customFormat="1" ht="14.25" customHeight="1">
      <c r="A148" s="1448"/>
      <c r="B148" s="1435" t="s">
        <v>3027</v>
      </c>
      <c r="C148" s="661" t="s">
        <v>3028</v>
      </c>
      <c r="D148" s="1340">
        <f>IF(E145="無し",0.05,0)</f>
        <v>0.05</v>
      </c>
      <c r="E148" s="1341">
        <f ca="1">E147</f>
        <v>0.1724</v>
      </c>
      <c r="F148" s="722">
        <f ca="1">SUM(G148:I148)</f>
        <v>0</v>
      </c>
      <c r="G148" s="657">
        <f ca="1">IF(G165=0,+G147,0)</f>
        <v>0</v>
      </c>
      <c r="H148" s="657">
        <f ca="1">IF(H165=0,+H147,0)</f>
        <v>0</v>
      </c>
      <c r="I148" s="828"/>
    </row>
    <row r="149" spans="1:9" s="662" customFormat="1" ht="14.25" customHeight="1">
      <c r="A149" s="1448"/>
      <c r="B149" s="1437"/>
      <c r="C149" s="661" t="s">
        <v>3029</v>
      </c>
      <c r="D149" s="1342">
        <f>IF(E146="有り",1,0)</f>
        <v>1</v>
      </c>
      <c r="E149" s="1341">
        <v>4.0000000000000002E-4</v>
      </c>
      <c r="F149" s="722">
        <f ca="1">SUM(G149:I149)</f>
        <v>0</v>
      </c>
      <c r="G149" s="657">
        <f ca="1">IF(G165=0,+G147,0)</f>
        <v>0</v>
      </c>
      <c r="H149" s="657">
        <f ca="1">IF(H165=0,+H147,0)</f>
        <v>0</v>
      </c>
      <c r="I149" s="828"/>
    </row>
    <row r="150" spans="1:9" s="662" customFormat="1" ht="14.25" customHeight="1">
      <c r="A150" s="1448"/>
      <c r="B150" s="614"/>
      <c r="C150" s="661"/>
      <c r="D150" s="763"/>
      <c r="E150" s="763"/>
      <c r="F150" s="722"/>
      <c r="G150" s="657"/>
      <c r="H150" s="657"/>
      <c r="I150" s="828"/>
    </row>
    <row r="151" spans="1:9" s="662" customFormat="1" ht="14.25" customHeight="1">
      <c r="A151" s="1448"/>
      <c r="B151" s="614"/>
      <c r="C151" s="661"/>
      <c r="D151" s="763"/>
      <c r="E151" s="763"/>
      <c r="F151" s="722"/>
      <c r="G151" s="657"/>
      <c r="H151" s="657"/>
      <c r="I151" s="828"/>
    </row>
    <row r="152" spans="1:9" s="662" customFormat="1" ht="14.25" customHeight="1">
      <c r="A152" s="1448"/>
      <c r="B152" s="1435" t="s">
        <v>3030</v>
      </c>
      <c r="C152" s="698" t="str">
        <f>+C57</f>
        <v>(17)下水道使用料、各種負担金（共通仮設）</v>
      </c>
      <c r="D152" s="764">
        <v>1</v>
      </c>
      <c r="E152" s="765">
        <v>0</v>
      </c>
      <c r="F152" s="722">
        <f ca="1">SUM(G152:I152)</f>
        <v>0</v>
      </c>
      <c r="G152" s="657">
        <f ca="1">+G57</f>
        <v>0</v>
      </c>
      <c r="H152" s="657">
        <f ca="1">+H57</f>
        <v>0</v>
      </c>
      <c r="I152" s="828"/>
    </row>
    <row r="153" spans="1:9" s="662" customFormat="1" ht="14.25" customHeight="1">
      <c r="A153" s="1448"/>
      <c r="B153" s="1436"/>
      <c r="C153" s="766"/>
      <c r="D153" s="698"/>
      <c r="E153" s="765"/>
      <c r="F153" s="722"/>
      <c r="G153" s="657"/>
      <c r="H153" s="657"/>
      <c r="I153" s="828"/>
    </row>
    <row r="154" spans="1:9" s="662" customFormat="1" ht="14.25" customHeight="1">
      <c r="A154" s="1449"/>
      <c r="B154" s="1450"/>
      <c r="C154" s="767"/>
      <c r="D154" s="768"/>
      <c r="E154" s="769"/>
      <c r="F154" s="935"/>
      <c r="G154" s="645"/>
      <c r="H154" s="645"/>
      <c r="I154" s="828"/>
    </row>
    <row r="155" spans="1:9" s="662" customFormat="1" ht="14.25" customHeight="1">
      <c r="A155" s="692"/>
      <c r="B155" s="693"/>
      <c r="C155" s="770"/>
      <c r="D155" s="771"/>
      <c r="E155" s="772"/>
      <c r="F155" s="958"/>
      <c r="G155" s="650"/>
      <c r="H155" s="650"/>
      <c r="I155" s="828"/>
    </row>
    <row r="156" spans="1:9" s="662" customFormat="1" ht="14.25" customHeight="1">
      <c r="A156" s="1442" t="s">
        <v>3031</v>
      </c>
      <c r="B156" s="1443"/>
      <c r="C156" s="1444"/>
      <c r="D156" s="773"/>
      <c r="E156" s="774"/>
      <c r="F156" s="645"/>
      <c r="G156" s="645"/>
      <c r="H156" s="645"/>
      <c r="I156" s="828"/>
    </row>
    <row r="157" spans="1:9" s="662" customFormat="1" ht="14.25" customHeight="1">
      <c r="A157" s="658"/>
      <c r="B157" s="775" t="s">
        <v>3025</v>
      </c>
      <c r="C157" s="761" t="s">
        <v>3026</v>
      </c>
      <c r="D157" s="762">
        <f t="shared" ref="D157:E159" si="16">+D147</f>
        <v>1</v>
      </c>
      <c r="E157" s="776">
        <f ca="1">+E147</f>
        <v>0.1724</v>
      </c>
      <c r="F157" s="722">
        <f ca="1">INT(D157*E157*F147)</f>
        <v>0</v>
      </c>
      <c r="G157" s="650">
        <f ca="1">F157-SUM(H157:I157)</f>
        <v>0</v>
      </c>
      <c r="H157" s="650">
        <f ca="1">IF(H147=0,0,ROUND($F157/$F147*H147,0))</f>
        <v>0</v>
      </c>
      <c r="I157" s="828"/>
    </row>
    <row r="158" spans="1:9" s="662" customFormat="1" ht="14.25" customHeight="1">
      <c r="A158" s="658"/>
      <c r="B158" s="1435" t="s">
        <v>3027</v>
      </c>
      <c r="C158" s="661" t="s">
        <v>3028</v>
      </c>
      <c r="D158" s="764">
        <f t="shared" si="16"/>
        <v>0.05</v>
      </c>
      <c r="E158" s="705">
        <f t="shared" ca="1" si="16"/>
        <v>0.1724</v>
      </c>
      <c r="F158" s="722">
        <f ca="1">INT(D158*E158*F148)</f>
        <v>0</v>
      </c>
      <c r="G158" s="657">
        <f ca="1">F158-SUM(H158:I158)</f>
        <v>0</v>
      </c>
      <c r="H158" s="657">
        <f ca="1">IF(H148=0,0,ROUND($F158/$F148*H148,0))</f>
        <v>0</v>
      </c>
      <c r="I158" s="828"/>
    </row>
    <row r="159" spans="1:9" s="662" customFormat="1" ht="14.25" customHeight="1">
      <c r="A159" s="658"/>
      <c r="B159" s="1437"/>
      <c r="C159" s="661" t="s">
        <v>3029</v>
      </c>
      <c r="D159" s="764">
        <f t="shared" si="16"/>
        <v>1</v>
      </c>
      <c r="E159" s="705">
        <f t="shared" si="16"/>
        <v>4.0000000000000002E-4</v>
      </c>
      <c r="F159" s="722">
        <f ca="1">INT(D159*E159*F149)</f>
        <v>0</v>
      </c>
      <c r="G159" s="657">
        <f ca="1">F159-SUM(H159:I159)</f>
        <v>0</v>
      </c>
      <c r="H159" s="657">
        <f ca="1">IF(H149=0,0,ROUND($F159/$F149*H149,0))</f>
        <v>0</v>
      </c>
      <c r="I159" s="828"/>
    </row>
    <row r="160" spans="1:9" s="662" customFormat="1" ht="14.25" customHeight="1">
      <c r="A160" s="658"/>
      <c r="B160" s="614"/>
      <c r="C160" s="661"/>
      <c r="D160" s="763"/>
      <c r="E160" s="763"/>
      <c r="F160" s="722"/>
      <c r="G160" s="657"/>
      <c r="H160" s="657"/>
      <c r="I160" s="828"/>
    </row>
    <row r="161" spans="1:10" s="662" customFormat="1" ht="14.25" customHeight="1">
      <c r="A161" s="658"/>
      <c r="B161" s="614"/>
      <c r="C161" s="661"/>
      <c r="D161" s="763"/>
      <c r="E161" s="763"/>
      <c r="F161" s="722"/>
      <c r="G161" s="657"/>
      <c r="H161" s="657"/>
      <c r="I161" s="828"/>
    </row>
    <row r="162" spans="1:10" s="662" customFormat="1" ht="14.25" customHeight="1">
      <c r="A162" s="658"/>
      <c r="B162" s="1435" t="s">
        <v>3030</v>
      </c>
      <c r="C162" s="698" t="str">
        <f>+C57</f>
        <v>(17)下水道使用料、各種負担金（共通仮設）</v>
      </c>
      <c r="D162" s="764">
        <f>+D152</f>
        <v>1</v>
      </c>
      <c r="E162" s="705">
        <f>+E152</f>
        <v>0</v>
      </c>
      <c r="F162" s="722">
        <f ca="1">INT(D162*E162*F152)</f>
        <v>0</v>
      </c>
      <c r="G162" s="657">
        <f ca="1">F162-SUM(H162:I162)</f>
        <v>0</v>
      </c>
      <c r="H162" s="657">
        <f ca="1">IF(H152=0,0,ROUND($F162/$F152*H152,0))</f>
        <v>0</v>
      </c>
      <c r="I162" s="828"/>
    </row>
    <row r="163" spans="1:10" s="662" customFormat="1" ht="14.25" customHeight="1">
      <c r="A163" s="658"/>
      <c r="B163" s="1436"/>
      <c r="C163" s="766"/>
      <c r="D163" s="698"/>
      <c r="E163" s="763">
        <f>+G154</f>
        <v>0</v>
      </c>
      <c r="F163" s="722"/>
      <c r="G163" s="657"/>
      <c r="H163" s="657"/>
      <c r="I163" s="828"/>
    </row>
    <row r="164" spans="1:10" s="662" customFormat="1" ht="14.25" customHeight="1">
      <c r="A164" s="777"/>
      <c r="B164" s="1437"/>
      <c r="C164" s="766"/>
      <c r="D164" s="698"/>
      <c r="E164" s="763">
        <f>+G155</f>
        <v>0</v>
      </c>
      <c r="F164" s="722"/>
      <c r="G164" s="657"/>
      <c r="H164" s="657"/>
      <c r="I164" s="828"/>
    </row>
    <row r="165" spans="1:10" s="662" customFormat="1" ht="14.25" customHeight="1">
      <c r="A165" s="777"/>
      <c r="B165" s="1438" t="s">
        <v>3012</v>
      </c>
      <c r="C165" s="719" t="s">
        <v>3032</v>
      </c>
      <c r="D165" s="778"/>
      <c r="E165" s="779"/>
      <c r="F165" s="780">
        <f ca="1">SUM(G165:I165)</f>
        <v>0</v>
      </c>
      <c r="G165" s="972">
        <f ca="1">IFERROR(IF(INDIRECT(G$3&amp;"!＄N＄2")="土木工事",INDIRECT(G$3&amp;"!＄I＄21"),0),0)</f>
        <v>0</v>
      </c>
      <c r="H165" s="972">
        <f ca="1">IFERROR(IF(INDIRECT(H$3&amp;"!＄N＄2")="土木工事",INDIRECT(H$3&amp;"!＄I＄21"),0),0)</f>
        <v>0</v>
      </c>
      <c r="I165" s="828"/>
      <c r="J165" s="662" t="s">
        <v>3083</v>
      </c>
    </row>
    <row r="166" spans="1:10" s="662" customFormat="1" ht="14.25" customHeight="1">
      <c r="A166" s="658"/>
      <c r="B166" s="1439"/>
      <c r="C166" s="973" t="s">
        <v>3033</v>
      </c>
      <c r="D166" s="730"/>
      <c r="E166" s="731"/>
      <c r="F166" s="722"/>
      <c r="G166" s="657"/>
      <c r="H166" s="657"/>
      <c r="I166" s="828"/>
    </row>
    <row r="167" spans="1:10" s="662" customFormat="1" ht="14.25" customHeight="1">
      <c r="A167" s="749"/>
      <c r="B167" s="750"/>
      <c r="C167" s="750"/>
      <c r="D167" s="609"/>
      <c r="E167" s="609"/>
      <c r="F167" s="958"/>
      <c r="G167" s="650"/>
      <c r="H167" s="650"/>
      <c r="I167" s="828"/>
    </row>
    <row r="168" spans="1:10" s="662" customFormat="1" ht="14.25" customHeight="1">
      <c r="A168" s="781"/>
      <c r="B168" s="663"/>
      <c r="C168" s="660" t="s">
        <v>3034</v>
      </c>
      <c r="D168" s="766"/>
      <c r="E168" s="661"/>
      <c r="F168" s="722">
        <f ca="1">SUM(G168:I168)</f>
        <v>0</v>
      </c>
      <c r="G168" s="657">
        <f ca="1">SUM(G157:G166)</f>
        <v>0</v>
      </c>
      <c r="H168" s="657">
        <f ca="1">SUM(H157:H166)</f>
        <v>0</v>
      </c>
      <c r="I168" s="828"/>
    </row>
    <row r="169" spans="1:10" s="662" customFormat="1" ht="14.25" customHeight="1">
      <c r="A169" s="781"/>
      <c r="B169" s="663"/>
      <c r="C169" s="660" t="s">
        <v>3016</v>
      </c>
      <c r="D169" s="766"/>
      <c r="E169" s="661"/>
      <c r="F169" s="722">
        <f ca="1">SUM(G169:I169)</f>
        <v>0</v>
      </c>
      <c r="G169" s="657">
        <f ca="1">+G137</f>
        <v>0</v>
      </c>
      <c r="H169" s="657">
        <f ca="1">+H137</f>
        <v>0</v>
      </c>
      <c r="I169" s="828"/>
    </row>
    <row r="170" spans="1:10" s="662" customFormat="1" ht="14.25" customHeight="1" thickBot="1">
      <c r="A170" s="782"/>
      <c r="B170" s="783"/>
      <c r="C170" s="784" t="s">
        <v>3035</v>
      </c>
      <c r="D170" s="785"/>
      <c r="E170" s="786"/>
      <c r="F170" s="940">
        <f ca="1">SUM(G170:I170)</f>
        <v>0</v>
      </c>
      <c r="G170" s="959">
        <f ca="1">SUM(G168:G169)</f>
        <v>0</v>
      </c>
      <c r="H170" s="959">
        <f ca="1">SUM(H168:H169)</f>
        <v>0</v>
      </c>
      <c r="I170" s="828"/>
    </row>
    <row r="171" spans="1:10" s="662" customFormat="1" ht="14.25" customHeight="1" thickTop="1">
      <c r="A171" s="658"/>
      <c r="B171" s="659"/>
      <c r="C171" s="659"/>
      <c r="D171" s="666"/>
      <c r="E171" s="666"/>
      <c r="F171" s="924"/>
      <c r="G171" s="960">
        <f ca="1">ROUNDDOWN(G170,-3)</f>
        <v>0</v>
      </c>
      <c r="H171" s="960">
        <f ca="1">ROUNDDOWN(H170,-3)</f>
        <v>0</v>
      </c>
      <c r="I171" s="961"/>
    </row>
    <row r="172" spans="1:10" s="662" customFormat="1" ht="14.25" customHeight="1">
      <c r="A172" s="977"/>
      <c r="B172" s="978"/>
      <c r="C172" s="979" t="s">
        <v>3016</v>
      </c>
      <c r="D172" s="980"/>
      <c r="E172" s="981"/>
      <c r="F172" s="982">
        <f ca="1">SUM(G172:I172)</f>
        <v>0</v>
      </c>
      <c r="G172" s="983">
        <f ca="1">+G169</f>
        <v>0</v>
      </c>
      <c r="H172" s="983">
        <f ca="1">+H169</f>
        <v>0</v>
      </c>
      <c r="I172" s="828"/>
    </row>
    <row r="173" spans="1:10" s="662" customFormat="1" ht="14.25" customHeight="1">
      <c r="A173" s="977"/>
      <c r="B173" s="978"/>
      <c r="C173" s="979" t="s">
        <v>3036</v>
      </c>
      <c r="D173" s="980"/>
      <c r="E173" s="984"/>
      <c r="F173" s="982" t="e">
        <f ca="1">SUM(G173:I173)</f>
        <v>#DIV/0!</v>
      </c>
      <c r="G173" s="983" t="e">
        <f ca="1">+G168-(G170-G175)</f>
        <v>#DIV/0!</v>
      </c>
      <c r="H173" s="983" t="e">
        <f ca="1">+H168-(H170-H175)</f>
        <v>#DIV/0!</v>
      </c>
      <c r="I173" s="828"/>
    </row>
    <row r="174" spans="1:10" s="662" customFormat="1" ht="14.25" customHeight="1">
      <c r="A174" s="977"/>
      <c r="B174" s="978"/>
      <c r="C174" s="978"/>
      <c r="D174" s="981"/>
      <c r="E174" s="985">
        <f ca="1">SUM(G171:I171)</f>
        <v>0</v>
      </c>
      <c r="F174" s="982" t="s">
        <v>3037</v>
      </c>
      <c r="G174" s="983" t="e">
        <f ca="1">+G168-G173</f>
        <v>#DIV/0!</v>
      </c>
      <c r="H174" s="983" t="e">
        <f ca="1">+H168-H173</f>
        <v>#DIV/0!</v>
      </c>
      <c r="I174" s="833"/>
    </row>
    <row r="175" spans="1:10" s="662" customFormat="1" ht="14.25" customHeight="1">
      <c r="A175" s="986"/>
      <c r="B175" s="987"/>
      <c r="C175" s="987" t="s">
        <v>3038</v>
      </c>
      <c r="D175" s="988"/>
      <c r="E175" s="985">
        <f ca="1">ROUNDDOWN(E174,4-LEN(E174))</f>
        <v>0</v>
      </c>
      <c r="F175" s="989">
        <f ca="1">+E175</f>
        <v>0</v>
      </c>
      <c r="G175" s="990" t="e">
        <f ca="1">IF(F176+SUM(H175:I175)=F175,F176,F175-SUM(H175:I175))</f>
        <v>#DIV/0!</v>
      </c>
      <c r="H175" s="990" t="e">
        <f ca="1">IF(H165=0,+H171-ROUND($E$176*H170/$F$170,-3),H170)</f>
        <v>#DIV/0!</v>
      </c>
      <c r="I175" s="833"/>
    </row>
    <row r="176" spans="1:10" s="662" customFormat="1" ht="14.25" customHeight="1">
      <c r="A176" s="788"/>
      <c r="B176" s="789"/>
      <c r="C176" s="789"/>
      <c r="D176" s="790"/>
      <c r="E176" s="791">
        <f ca="1">E174-E175</f>
        <v>0</v>
      </c>
      <c r="F176" s="792" t="e">
        <f ca="1">+G171-ROUND($E$176*G170/$F$170,-3)</f>
        <v>#DIV/0!</v>
      </c>
      <c r="G176" s="791">
        <f ca="1">IF(LEN(G170)&lt;=7,-3,IF(LEN(G170)=8,-4,IF(LEN(G170)&gt;=9,-5,-6)))</f>
        <v>-3</v>
      </c>
      <c r="H176" s="791">
        <f ca="1">IF(LEN(H170)&lt;=7,-3,IF(LEN(H170)=8,-4,IF(LEN(H170)&gt;=9,-5,-6)))</f>
        <v>-3</v>
      </c>
      <c r="I176" s="834"/>
    </row>
    <row r="177" spans="1:9" s="662" customFormat="1" ht="13.5" customHeight="1" thickBot="1">
      <c r="F177" s="1239"/>
      <c r="G177" s="1240"/>
      <c r="H177" s="809"/>
      <c r="I177" s="809"/>
    </row>
    <row r="178" spans="1:9" s="662" customFormat="1" ht="13.5" customHeight="1">
      <c r="A178" s="796"/>
      <c r="B178" s="797"/>
      <c r="C178" s="798" t="s">
        <v>3039</v>
      </c>
      <c r="D178" s="799"/>
      <c r="E178" s="797"/>
      <c r="F178" s="800" t="s">
        <v>3040</v>
      </c>
      <c r="G178" s="794" t="str">
        <f ca="1">+G5</f>
        <v/>
      </c>
      <c r="H178" s="794" t="str">
        <f ca="1">+H5</f>
        <v/>
      </c>
      <c r="I178" s="819"/>
    </row>
    <row r="179" spans="1:9" s="662" customFormat="1" ht="13.5" customHeight="1">
      <c r="A179" s="1419"/>
      <c r="B179" s="1422" t="s">
        <v>3041</v>
      </c>
      <c r="C179" s="801" t="s">
        <v>3042</v>
      </c>
      <c r="D179" s="787"/>
      <c r="E179" s="802"/>
      <c r="F179" s="803" t="s">
        <v>3043</v>
      </c>
      <c r="G179" s="1241" t="e">
        <f ca="1">IF($F$62&lt;=10000000,ROUND(7.56*(10000^-0.1105)*(G178^0.2389),2),ROUND(7.56*(($F$62/1000)^-0.1105)*(G178^0.2389),2))</f>
        <v>#VALUE!</v>
      </c>
      <c r="H179" s="1241" t="e">
        <f ca="1">IF($F$62&lt;=10000000,ROUND(7.56*(10000^-0.1105)*(H178^0.2389),2),ROUND(7.56*(($F$62/1000)^-0.1105)*(H178^0.2389),2))</f>
        <v>#VALUE!</v>
      </c>
      <c r="I179" s="820"/>
    </row>
    <row r="180" spans="1:9" s="662" customFormat="1" ht="13.5" customHeight="1">
      <c r="A180" s="1420"/>
      <c r="B180" s="1423"/>
      <c r="C180" s="1427" t="s">
        <v>3044</v>
      </c>
      <c r="D180" s="724"/>
      <c r="E180" s="804"/>
      <c r="F180" s="803" t="s">
        <v>3045</v>
      </c>
      <c r="G180" s="805">
        <f ca="1">IF($F$62&lt;=10000000,ROUND(4.33,2),0)</f>
        <v>4.33</v>
      </c>
      <c r="H180" s="805">
        <f ca="1">IF($F$62&lt;=10000000,ROUND(4.33,2),0)</f>
        <v>4.33</v>
      </c>
      <c r="I180" s="821"/>
    </row>
    <row r="181" spans="1:9" s="662" customFormat="1" ht="13.5" customHeight="1">
      <c r="A181" s="1420"/>
      <c r="B181" s="1423"/>
      <c r="C181" s="1428"/>
      <c r="D181" s="806"/>
      <c r="E181" s="807"/>
      <c r="F181" s="803" t="s">
        <v>3046</v>
      </c>
      <c r="G181" s="805">
        <f ca="1">IF($F$62&lt;=10000000,ROUND(3.25,2),0)</f>
        <v>3.25</v>
      </c>
      <c r="H181" s="805">
        <f ca="1">IF($F$62&lt;=10000000,ROUND(3.25,2),0)</f>
        <v>3.25</v>
      </c>
      <c r="I181" s="821"/>
    </row>
    <row r="182" spans="1:9" s="662" customFormat="1" ht="13.5" customHeight="1">
      <c r="A182" s="1420"/>
      <c r="B182" s="1423"/>
      <c r="C182" s="1427" t="s">
        <v>3047</v>
      </c>
      <c r="D182" s="724"/>
      <c r="E182" s="804"/>
      <c r="F182" s="803" t="s">
        <v>3045</v>
      </c>
      <c r="G182" s="808">
        <f ca="1">IF($F$62&gt;10000000,ROUND(5.78*($F$62/1000)^-0.0313,2),0)</f>
        <v>0</v>
      </c>
      <c r="H182" s="808">
        <f ca="1">IF($F$62&gt;10000000,ROUND(5.78*($F$62/1000)^-0.0313,2),0)</f>
        <v>0</v>
      </c>
      <c r="I182" s="822"/>
    </row>
    <row r="183" spans="1:9" s="662" customFormat="1" ht="13.5" customHeight="1">
      <c r="A183" s="1421"/>
      <c r="B183" s="1424"/>
      <c r="C183" s="1428"/>
      <c r="D183" s="806"/>
      <c r="E183" s="807"/>
      <c r="F183" s="803" t="s">
        <v>3046</v>
      </c>
      <c r="G183" s="808">
        <f ca="1">IF($F$62&gt;10000000,ROUND(4.34*($F$62/1000)^-0.0313,2),0)</f>
        <v>0</v>
      </c>
      <c r="H183" s="808">
        <f ca="1">IF($F$62&gt;10000000,ROUND(4.34*($F$62/1000)^-0.0313,2),0)</f>
        <v>0</v>
      </c>
      <c r="I183" s="822"/>
    </row>
    <row r="184" spans="1:9" s="662" customFormat="1" ht="13.5" customHeight="1">
      <c r="A184" s="1429" t="s">
        <v>3048</v>
      </c>
      <c r="B184" s="1430"/>
      <c r="C184" s="1430"/>
      <c r="D184" s="1430"/>
      <c r="E184" s="1430"/>
      <c r="F184" s="1431"/>
      <c r="G184" s="808" t="e">
        <f ca="1">IF($F$62&lt;=10000000,IF(G$179&gt;G$180,G$180,IF(G$179&lt;G$181,G$181,G$179)),IF(G$179&gt;G$182,G$182,IF(G$179&lt;G$183,G$183,G$179)))</f>
        <v>#VALUE!</v>
      </c>
      <c r="H184" s="808" t="e">
        <f ca="1">IF($F$62&lt;=10000000,IF(H$179&gt;H$180,H$180,IF(H$179&lt;H$181,H$181,H$179)),IF(H$179&gt;H$182,H$182,IF(H$179&lt;H$183,H$183,H$179)))</f>
        <v>#VALUE!</v>
      </c>
      <c r="I184" s="822"/>
    </row>
    <row r="185" spans="1:9" s="662" customFormat="1" ht="13.5" customHeight="1" thickBot="1">
      <c r="A185" s="1432" t="s">
        <v>3049</v>
      </c>
      <c r="B185" s="1433"/>
      <c r="C185" s="1433"/>
      <c r="D185" s="1433"/>
      <c r="E185" s="1433"/>
      <c r="F185" s="1434"/>
      <c r="G185" s="1242" t="e">
        <f ca="1">ROUND(G184*IF(AND(G10="駅施設",G11="無し"),0.7,IF(AND(G10="駅施設",G11="有り"),0.7,IF(AND(G10="地上建物",G11="無し"),0.9,IF(AND(G10="地上建物",G11="有り"),1,0)))),2)</f>
        <v>#VALUE!</v>
      </c>
      <c r="H185" s="1242" t="e">
        <f ca="1">ROUND(H184*IF(AND(H10="駅施設",H11="無し"),0.7,IF(AND(H10="駅施設",H11="有り"),0.7,IF(AND(H10="地上建物",H11="無し"),0.9,IF(AND(H10="地上建物",H11="有り"),1,0)))),2)</f>
        <v>#VALUE!</v>
      </c>
      <c r="I185" s="822"/>
    </row>
    <row r="186" spans="1:9" s="662" customFormat="1" ht="13.5" customHeight="1" thickBot="1">
      <c r="G186" s="795"/>
      <c r="H186" s="795"/>
      <c r="I186" s="795"/>
    </row>
    <row r="187" spans="1:9" s="662" customFormat="1" ht="13.5" customHeight="1">
      <c r="A187" s="796"/>
      <c r="B187" s="797"/>
      <c r="C187" s="798" t="s">
        <v>3039</v>
      </c>
      <c r="D187" s="799"/>
      <c r="E187" s="797"/>
      <c r="F187" s="800" t="s">
        <v>3040</v>
      </c>
      <c r="G187" s="794" t="str">
        <f ca="1">+G5</f>
        <v/>
      </c>
      <c r="H187" s="794" t="str">
        <f ca="1">+H5</f>
        <v/>
      </c>
      <c r="I187" s="819"/>
    </row>
    <row r="188" spans="1:9" s="662" customFormat="1" ht="13.5" customHeight="1">
      <c r="A188" s="1419"/>
      <c r="B188" s="1422" t="s">
        <v>3050</v>
      </c>
      <c r="C188" s="801" t="s">
        <v>3042</v>
      </c>
      <c r="D188" s="787"/>
      <c r="E188" s="802"/>
      <c r="F188" s="803" t="s">
        <v>3051</v>
      </c>
      <c r="G188" s="1241" t="e">
        <f ca="1">IF($F$62&lt;=5000000,ROUND(18.03*(5000^-0.2027)*(G187^0.4017),2),ROUND(18.03*(($F$62/1000)^-0.2027)*(G187^0.4017),2))</f>
        <v>#VALUE!</v>
      </c>
      <c r="H188" s="1241" t="e">
        <f ca="1">IF($F$62&lt;=5000000,ROUND(18.03*(5000^-0.2027)*(H187^0.4017),2),ROUND(18.03*(($F$62/1000)^-0.2027)*(H187^0.4017),2))</f>
        <v>#VALUE!</v>
      </c>
      <c r="I188" s="820"/>
    </row>
    <row r="189" spans="1:9" s="662" customFormat="1" ht="13.5" customHeight="1">
      <c r="A189" s="1420"/>
      <c r="B189" s="1423"/>
      <c r="C189" s="1427" t="s">
        <v>3052</v>
      </c>
      <c r="D189" s="724"/>
      <c r="E189" s="804"/>
      <c r="F189" s="803" t="s">
        <v>3045</v>
      </c>
      <c r="G189" s="805">
        <f ca="1">IF($F$62&lt;=5000000,ROUND(6.07,2),0)</f>
        <v>6.07</v>
      </c>
      <c r="H189" s="805">
        <f ca="1">IF($F$62&lt;=5000000,ROUND(6.07,2),0)</f>
        <v>6.07</v>
      </c>
      <c r="I189" s="821"/>
    </row>
    <row r="190" spans="1:9" s="662" customFormat="1" ht="13.5" customHeight="1">
      <c r="A190" s="1420"/>
      <c r="B190" s="1423"/>
      <c r="C190" s="1428"/>
      <c r="D190" s="806"/>
      <c r="E190" s="807"/>
      <c r="F190" s="803" t="s">
        <v>3046</v>
      </c>
      <c r="G190" s="805">
        <f ca="1">IF($F$62&lt;=5000000,ROUND(3.59,2),0)</f>
        <v>3.59</v>
      </c>
      <c r="H190" s="805">
        <f ca="1">IF($F$62&lt;=5000000,ROUND(3.59,2),0)</f>
        <v>3.59</v>
      </c>
      <c r="I190" s="821"/>
    </row>
    <row r="191" spans="1:9" s="662" customFormat="1" ht="13.5" customHeight="1">
      <c r="A191" s="1420"/>
      <c r="B191" s="1423"/>
      <c r="C191" s="1427" t="s">
        <v>3053</v>
      </c>
      <c r="D191" s="724"/>
      <c r="E191" s="804"/>
      <c r="F191" s="803" t="s">
        <v>3045</v>
      </c>
      <c r="G191" s="808">
        <f ca="1">IF($F$62&gt;5000000,ROUND(11.74*($F$62/1000)^-0.0774,2),0)</f>
        <v>0</v>
      </c>
      <c r="H191" s="808">
        <f ca="1">IF($F$62&gt;5000000,ROUND(11.74*($F$62/1000)^-0.0774,2),0)</f>
        <v>0</v>
      </c>
      <c r="I191" s="822"/>
    </row>
    <row r="192" spans="1:9" s="662" customFormat="1" ht="13.5" customHeight="1">
      <c r="A192" s="1421"/>
      <c r="B192" s="1424"/>
      <c r="C192" s="1428"/>
      <c r="D192" s="806"/>
      <c r="E192" s="807"/>
      <c r="F192" s="803" t="s">
        <v>3046</v>
      </c>
      <c r="G192" s="808">
        <f ca="1">IF($F$62&gt;5000000,ROUND(6.94*($F$62/1000)^-0.0774,2),0)</f>
        <v>0</v>
      </c>
      <c r="H192" s="808">
        <f ca="1">IF($F$62&gt;5000000,ROUND(6.94*($F$62/1000)^-0.0774,2),0)</f>
        <v>0</v>
      </c>
      <c r="I192" s="822"/>
    </row>
    <row r="193" spans="1:9" s="662" customFormat="1" ht="13.5" customHeight="1">
      <c r="A193" s="1429" t="s">
        <v>3048</v>
      </c>
      <c r="B193" s="1430"/>
      <c r="C193" s="1430"/>
      <c r="D193" s="1430"/>
      <c r="E193" s="1430"/>
      <c r="F193" s="1431"/>
      <c r="G193" s="1243" t="e">
        <f ca="1">IF($F$62&lt;=5000000,IF(G$188&gt;G$189,G$189,IF(G$188&lt;G$190,G$190,G$188)),IF(G$188&gt;G$191,G$191,IF(G$188&lt;G$192,G$192,G$188)))</f>
        <v>#VALUE!</v>
      </c>
      <c r="H193" s="1243" t="e">
        <f ca="1">IF($F$62&lt;=5000000,IF(H$188&gt;H$189,H$189,IF(H$188&lt;H$190,H$190,H$188)),IF(H$188&gt;H$191,H$191,IF(H$188&lt;H$192,H$192,H$188)))</f>
        <v>#VALUE!</v>
      </c>
      <c r="I193" s="823"/>
    </row>
    <row r="194" spans="1:9" s="662" customFormat="1" ht="13.5" customHeight="1" thickBot="1">
      <c r="A194" s="1432" t="s">
        <v>3049</v>
      </c>
      <c r="B194" s="1433"/>
      <c r="C194" s="1433"/>
      <c r="D194" s="1433"/>
      <c r="E194" s="1433"/>
      <c r="F194" s="1434"/>
      <c r="G194" s="1242" t="e">
        <f ca="1">ROUND(G193*IF(AND(G10="駅施設",G11="無し"),0.7,IF(AND(G10="駅施設",G11="有り"),0.7,IF(AND(G10="地上建物",G11="無し"),0.9,IF(AND(G10="地上建物",G11="有り"),1,0)))),2)</f>
        <v>#VALUE!</v>
      </c>
      <c r="H194" s="1242" t="e">
        <f ca="1">ROUND(H193*IF(AND(H10="駅施設",H11="無し"),0.7,IF(AND(H10="駅施設",H11="有り"),0.7,IF(AND(H10="地上建物",H11="無し"),0.9,IF(AND(H10="地上建物",H11="有り"),1,0)))),2)</f>
        <v>#VALUE!</v>
      </c>
      <c r="I194" s="822"/>
    </row>
    <row r="195" spans="1:9" s="662" customFormat="1" ht="13.5" customHeight="1" thickBot="1">
      <c r="G195" s="809"/>
      <c r="H195" s="809"/>
      <c r="I195" s="809"/>
    </row>
    <row r="196" spans="1:9" s="662" customFormat="1" ht="13.5" customHeight="1">
      <c r="A196" s="796"/>
      <c r="B196" s="797"/>
      <c r="C196" s="798" t="s">
        <v>3054</v>
      </c>
      <c r="D196" s="799"/>
      <c r="E196" s="797"/>
      <c r="F196" s="800" t="s">
        <v>3040</v>
      </c>
      <c r="G196" s="794" t="str">
        <f ca="1">+G204</f>
        <v/>
      </c>
      <c r="H196" s="794" t="str">
        <f ca="1">+H204</f>
        <v/>
      </c>
      <c r="I196" s="819"/>
    </row>
    <row r="197" spans="1:9" s="662" customFormat="1" ht="13.5" customHeight="1">
      <c r="A197" s="1419"/>
      <c r="B197" s="1422" t="s">
        <v>3041</v>
      </c>
      <c r="C197" s="801" t="s">
        <v>3055</v>
      </c>
      <c r="D197" s="787"/>
      <c r="E197" s="802"/>
      <c r="F197" s="803" t="s">
        <v>3056</v>
      </c>
      <c r="G197" s="1241" t="e">
        <f ca="1">IF($F$101&lt;=10000000,ROUND(151.08*((10000)^-0.3396)*(G196^0.586),2),ROUND(151.08*(($F$101/1000)^-0.3396)*(G196^0.586),2))</f>
        <v>#VALUE!</v>
      </c>
      <c r="H197" s="1241" t="e">
        <f ca="1">IF($F$101&lt;=10000000,ROUND(151.08*((10000)^-0.3396)*(H196^0.586),2),ROUND(151.08*(($F$101/1000)^-0.3396)*(H196^0.586),2))</f>
        <v>#VALUE!</v>
      </c>
      <c r="I197" s="820"/>
    </row>
    <row r="198" spans="1:9" s="662" customFormat="1" ht="13.5" customHeight="1">
      <c r="A198" s="1420"/>
      <c r="B198" s="1423"/>
      <c r="C198" s="1427" t="s">
        <v>3057</v>
      </c>
      <c r="D198" s="724"/>
      <c r="E198" s="804"/>
      <c r="F198" s="803" t="s">
        <v>3045</v>
      </c>
      <c r="G198" s="805">
        <f ca="1">IF($F$101&lt;=10000000,ROUND(20.13,2),0)</f>
        <v>20.13</v>
      </c>
      <c r="H198" s="805">
        <f ca="1">IF($F$101&lt;=10000000,ROUND(20.13,2),0)</f>
        <v>20.13</v>
      </c>
      <c r="I198" s="821"/>
    </row>
    <row r="199" spans="1:9" s="662" customFormat="1" ht="13.5" customHeight="1">
      <c r="A199" s="1420"/>
      <c r="B199" s="1423"/>
      <c r="C199" s="1428"/>
      <c r="D199" s="806"/>
      <c r="E199" s="807"/>
      <c r="F199" s="803" t="s">
        <v>3046</v>
      </c>
      <c r="G199" s="805">
        <f ca="1">IF($F$101&lt;=10000000,ROUND(10.01,2),0)</f>
        <v>10.01</v>
      </c>
      <c r="H199" s="805">
        <f ca="1">IF($F$101&lt;=10000000,ROUND(10.01,2),0)</f>
        <v>10.01</v>
      </c>
      <c r="I199" s="821"/>
    </row>
    <row r="200" spans="1:9" s="662" customFormat="1" ht="13.5" customHeight="1">
      <c r="A200" s="1420"/>
      <c r="B200" s="1423"/>
      <c r="C200" s="1427" t="s">
        <v>3058</v>
      </c>
      <c r="D200" s="724"/>
      <c r="E200" s="804"/>
      <c r="F200" s="803" t="s">
        <v>3045</v>
      </c>
      <c r="G200" s="808">
        <f ca="1">IF($F$101&gt;10000000,ROUND(75.97*($F$101/1000)^-0.1442,2),0)</f>
        <v>0</v>
      </c>
      <c r="H200" s="808">
        <f ca="1">IF($F$101&gt;10000000,ROUND(75.97*($F$101/1000)^-0.1442*0.95,2),0)</f>
        <v>0</v>
      </c>
      <c r="I200" s="822"/>
    </row>
    <row r="201" spans="1:9" s="662" customFormat="1" ht="13.5" customHeight="1">
      <c r="A201" s="1421"/>
      <c r="B201" s="1424"/>
      <c r="C201" s="1428"/>
      <c r="D201" s="806"/>
      <c r="E201" s="807"/>
      <c r="F201" s="803" t="s">
        <v>3046</v>
      </c>
      <c r="G201" s="808">
        <f ca="1">IF($F$101&gt;10000000,ROUND(37.76*($F$101/1000)^-0.1442,2),0)</f>
        <v>0</v>
      </c>
      <c r="H201" s="808">
        <f ca="1">IF($F$101&gt;10000000,ROUND(37.76*($F$101/1000)^-0.1442,2),0)</f>
        <v>0</v>
      </c>
      <c r="I201" s="822"/>
    </row>
    <row r="202" spans="1:9" s="662" customFormat="1" ht="13.5" customHeight="1" thickBot="1">
      <c r="A202" s="1425" t="s">
        <v>3059</v>
      </c>
      <c r="B202" s="1426"/>
      <c r="C202" s="1426"/>
      <c r="D202" s="1426"/>
      <c r="E202" s="1244"/>
      <c r="F202" s="1245"/>
      <c r="G202" s="1246" t="e">
        <f ca="1">IF($F$101&lt;=10000000,IF(G$197&gt;G$198,G$198,IF(G$197&lt;G$199,G$199,G$197)),IF(G$197&gt;G$200,G$200,IF(G$197&lt;G$201,G$201,G$197)))</f>
        <v>#VALUE!</v>
      </c>
      <c r="H202" s="1247" t="e">
        <f ca="1">IF($F$101&lt;=10000000,IF(H$197&gt;H$198,H$198,IF(H$197&lt;H$199,H$199,H$197)),IF(H$197&gt;H$200,H$200,IF(H$197&lt;H$201,H$201,H$197)))</f>
        <v>#VALUE!</v>
      </c>
      <c r="I202" s="823"/>
    </row>
    <row r="203" spans="1:9" s="662" customFormat="1" ht="13.5" customHeight="1" thickBot="1">
      <c r="G203" s="795"/>
      <c r="H203" s="795"/>
      <c r="I203" s="795"/>
    </row>
    <row r="204" spans="1:9" s="662" customFormat="1" ht="13.5" customHeight="1">
      <c r="A204" s="796"/>
      <c r="B204" s="797"/>
      <c r="C204" s="798" t="s">
        <v>3054</v>
      </c>
      <c r="D204" s="799"/>
      <c r="E204" s="797"/>
      <c r="F204" s="800" t="s">
        <v>3040</v>
      </c>
      <c r="G204" s="794" t="str">
        <f ca="1">+G5</f>
        <v/>
      </c>
      <c r="H204" s="794" t="str">
        <f ca="1">+H5</f>
        <v/>
      </c>
      <c r="I204" s="819"/>
    </row>
    <row r="205" spans="1:9" s="662" customFormat="1" ht="13.5" customHeight="1">
      <c r="A205" s="1419"/>
      <c r="B205" s="1422" t="s">
        <v>3050</v>
      </c>
      <c r="C205" s="801" t="s">
        <v>3055</v>
      </c>
      <c r="D205" s="787"/>
      <c r="E205" s="802"/>
      <c r="F205" s="803" t="s">
        <v>3056</v>
      </c>
      <c r="G205" s="1241" t="e">
        <f ca="1">IF($F$101&lt;=5000000,ROUND(356.2*((5000)^-0.4085)*(G204^0.5766),2),ROUND(356.2*(($F$101/1000)^-0.4085)*(G204^0.5766),2))</f>
        <v>#VALUE!</v>
      </c>
      <c r="H205" s="1241" t="e">
        <f ca="1">IF($F$101&lt;=5000000,ROUND(356.2*((5000)^-0.4085)*(H204^0.5766),2),ROUND(356.2*(($F$101/1000)^-0.4085)*(H204^0.5766),2))</f>
        <v>#VALUE!</v>
      </c>
      <c r="I205" s="820"/>
    </row>
    <row r="206" spans="1:9" s="662" customFormat="1" ht="13.5" customHeight="1">
      <c r="A206" s="1420"/>
      <c r="B206" s="1423"/>
      <c r="C206" s="1427" t="s">
        <v>3060</v>
      </c>
      <c r="D206" s="724"/>
      <c r="E206" s="804"/>
      <c r="F206" s="803" t="s">
        <v>3045</v>
      </c>
      <c r="G206" s="805">
        <f ca="1">IF($F$101&lt;=5000000,ROUND(26.86,2),0)</f>
        <v>26.86</v>
      </c>
      <c r="H206" s="805">
        <f ca="1">IF($F$101&lt;=5000000,ROUND(26.86,2),0)</f>
        <v>26.86</v>
      </c>
      <c r="I206" s="821"/>
    </row>
    <row r="207" spans="1:9" s="662" customFormat="1" ht="13.5" customHeight="1">
      <c r="A207" s="1420"/>
      <c r="B207" s="1423"/>
      <c r="C207" s="1428"/>
      <c r="D207" s="806"/>
      <c r="E207" s="807"/>
      <c r="F207" s="803" t="s">
        <v>3046</v>
      </c>
      <c r="G207" s="805">
        <f ca="1">IF($F$101&lt;=5000000,ROUND(12.7,2),0)</f>
        <v>12.7</v>
      </c>
      <c r="H207" s="805">
        <f ca="1">IF($F$101&lt;=5000000,ROUND(12.7,2),0)</f>
        <v>12.7</v>
      </c>
      <c r="I207" s="821"/>
    </row>
    <row r="208" spans="1:9" s="662" customFormat="1" ht="13.5" customHeight="1">
      <c r="A208" s="1420"/>
      <c r="B208" s="1423"/>
      <c r="C208" s="1427" t="s">
        <v>3061</v>
      </c>
      <c r="D208" s="724"/>
      <c r="E208" s="804"/>
      <c r="F208" s="803" t="s">
        <v>3045</v>
      </c>
      <c r="G208" s="808">
        <f ca="1">IF($F$101&gt;5000000,ROUND(184.58*($F$101/1000)^-0.2263,2),0)</f>
        <v>0</v>
      </c>
      <c r="H208" s="808">
        <f ca="1">IF($F$101&gt;5000000,ROUND(184.58*($F$101/1000)^-0.2263,2),0)</f>
        <v>0</v>
      </c>
      <c r="I208" s="822"/>
    </row>
    <row r="209" spans="1:9" s="662" customFormat="1" ht="13.5" customHeight="1">
      <c r="A209" s="1421"/>
      <c r="B209" s="1424"/>
      <c r="C209" s="1428"/>
      <c r="D209" s="806"/>
      <c r="E209" s="807"/>
      <c r="F209" s="803" t="s">
        <v>3046</v>
      </c>
      <c r="G209" s="808">
        <f ca="1">IF($F$101&gt;5000000,ROUND(87.29*($F$101/1000)^-0.2263,2),0)</f>
        <v>0</v>
      </c>
      <c r="H209" s="808">
        <f ca="1">IF($F$101&gt;5000000,ROUND(87.29*($F$101/1000)^-0.2263,2),0)</f>
        <v>0</v>
      </c>
      <c r="I209" s="822"/>
    </row>
    <row r="210" spans="1:9" s="662" customFormat="1" ht="13.5" customHeight="1" thickBot="1">
      <c r="A210" s="1425" t="s">
        <v>3059</v>
      </c>
      <c r="B210" s="1426"/>
      <c r="C210" s="1426"/>
      <c r="D210" s="1426"/>
      <c r="E210" s="1248"/>
      <c r="F210" s="1245"/>
      <c r="G210" s="1247" t="e">
        <f ca="1">IF($F$101&lt;=5000000,IF(G$205&gt;G$206,G$206,IF(G$205&lt;G$207,G$207,G$205)),IF(G$205&gt;G$208,G$208,IF(G$205&lt;G$209,G$209,G$205)))</f>
        <v>#VALUE!</v>
      </c>
      <c r="H210" s="1247" t="e">
        <f ca="1">IF($F$101&lt;=5000000,IF(H$205&gt;H$206,H$206,IF(H$205&lt;H$207,H$207,H$205)),IF(H$205&gt;H$208,H$208,IF(H$205&lt;H$209,H$209,H$205)))</f>
        <v>#VALUE!</v>
      </c>
      <c r="I210" s="823"/>
    </row>
    <row r="211" spans="1:9" s="662" customFormat="1" ht="13.5" customHeight="1" thickBot="1">
      <c r="G211" s="809"/>
      <c r="H211" s="809"/>
      <c r="I211" s="809"/>
    </row>
    <row r="212" spans="1:9" s="662" customFormat="1" ht="13.5" customHeight="1">
      <c r="A212" s="796"/>
      <c r="B212" s="797"/>
      <c r="C212" s="798" t="s">
        <v>3062</v>
      </c>
      <c r="D212" s="799"/>
      <c r="E212" s="797"/>
      <c r="F212" s="800"/>
      <c r="G212" s="810"/>
      <c r="H212" s="811"/>
      <c r="I212" s="819"/>
    </row>
    <row r="213" spans="1:9" s="662" customFormat="1" ht="13.5" customHeight="1">
      <c r="A213" s="1419"/>
      <c r="B213" s="1422" t="s">
        <v>86</v>
      </c>
      <c r="C213" s="801" t="s">
        <v>3063</v>
      </c>
      <c r="D213" s="787"/>
      <c r="E213" s="802"/>
      <c r="F213" s="803" t="s">
        <v>3064</v>
      </c>
      <c r="G213" s="812" t="e">
        <f ca="1">ROUND(28.978-3.173*LOG($F$144/1000),2)</f>
        <v>#NUM!</v>
      </c>
      <c r="H213" s="813"/>
      <c r="I213" s="820"/>
    </row>
    <row r="214" spans="1:9" s="662" customFormat="1" ht="13.5" customHeight="1">
      <c r="A214" s="1420"/>
      <c r="B214" s="1423"/>
      <c r="C214" s="1238" t="s">
        <v>3065</v>
      </c>
      <c r="D214" s="724"/>
      <c r="E214" s="724"/>
      <c r="F214" s="814"/>
      <c r="G214" s="815">
        <f ca="1">IF($F$144&lt;=5000000,17.24,0)</f>
        <v>17.239999999999998</v>
      </c>
      <c r="H214" s="816"/>
      <c r="I214" s="821"/>
    </row>
    <row r="215" spans="1:9" s="662" customFormat="1" ht="13.5" customHeight="1">
      <c r="A215" s="1421"/>
      <c r="B215" s="1424"/>
      <c r="C215" s="1238" t="s">
        <v>3066</v>
      </c>
      <c r="D215" s="724"/>
      <c r="E215" s="787"/>
      <c r="F215" s="814"/>
      <c r="G215" s="815">
        <f ca="1">IF($F$144&gt;3000000000,8.43,0)</f>
        <v>0</v>
      </c>
      <c r="H215" s="817"/>
      <c r="I215" s="822"/>
    </row>
    <row r="216" spans="1:9" s="662" customFormat="1" ht="13.5" customHeight="1" thickBot="1">
      <c r="A216" s="1425" t="s">
        <v>3067</v>
      </c>
      <c r="B216" s="1426"/>
      <c r="C216" s="1426"/>
      <c r="D216" s="1426"/>
      <c r="E216" s="1248"/>
      <c r="F216" s="1245"/>
      <c r="G216" s="1249">
        <f ca="1">IF($F$144&lt;=5000000,G214,IF($F$144&gt;3000000000,G215,G213))</f>
        <v>17.239999999999998</v>
      </c>
      <c r="H216" s="1250"/>
      <c r="I216" s="823"/>
    </row>
  </sheetData>
  <sheetProtection selectLockedCells="1" selectUnlockedCells="1"/>
  <mergeCells count="70">
    <mergeCell ref="K1:L1"/>
    <mergeCell ref="C9:F9"/>
    <mergeCell ref="A10:F10"/>
    <mergeCell ref="A11:F11"/>
    <mergeCell ref="A38:A57"/>
    <mergeCell ref="B38:B41"/>
    <mergeCell ref="B42:B50"/>
    <mergeCell ref="B51:B57"/>
    <mergeCell ref="D60:D61"/>
    <mergeCell ref="E60:E61"/>
    <mergeCell ref="A61:C61"/>
    <mergeCell ref="A62:A76"/>
    <mergeCell ref="B63:B66"/>
    <mergeCell ref="B67:B75"/>
    <mergeCell ref="D77:D78"/>
    <mergeCell ref="E77:E78"/>
    <mergeCell ref="A78:C78"/>
    <mergeCell ref="A79:A94"/>
    <mergeCell ref="B79:B84"/>
    <mergeCell ref="B85:B93"/>
    <mergeCell ref="A140:C141"/>
    <mergeCell ref="C144:E144"/>
    <mergeCell ref="D99:D100"/>
    <mergeCell ref="E99:E100"/>
    <mergeCell ref="A100:C100"/>
    <mergeCell ref="A101:A115"/>
    <mergeCell ref="B102:B105"/>
    <mergeCell ref="B106:B114"/>
    <mergeCell ref="D116:D117"/>
    <mergeCell ref="E116:E117"/>
    <mergeCell ref="A117:C117"/>
    <mergeCell ref="A118:A135"/>
    <mergeCell ref="B118:B123"/>
    <mergeCell ref="B124:B132"/>
    <mergeCell ref="B133:B134"/>
    <mergeCell ref="F145:G145"/>
    <mergeCell ref="A146:C146"/>
    <mergeCell ref="F146:G146"/>
    <mergeCell ref="A156:C156"/>
    <mergeCell ref="B158:B159"/>
    <mergeCell ref="A147:A154"/>
    <mergeCell ref="B148:B149"/>
    <mergeCell ref="B152:B154"/>
    <mergeCell ref="B162:B164"/>
    <mergeCell ref="B165:B166"/>
    <mergeCell ref="A179:A183"/>
    <mergeCell ref="B179:B183"/>
    <mergeCell ref="C180:C181"/>
    <mergeCell ref="C182:C183"/>
    <mergeCell ref="A184:F184"/>
    <mergeCell ref="A185:F185"/>
    <mergeCell ref="A188:A192"/>
    <mergeCell ref="B188:B192"/>
    <mergeCell ref="C189:C190"/>
    <mergeCell ref="C191:C192"/>
    <mergeCell ref="A193:F193"/>
    <mergeCell ref="A194:F194"/>
    <mergeCell ref="A197:A201"/>
    <mergeCell ref="B197:B201"/>
    <mergeCell ref="C198:C199"/>
    <mergeCell ref="C200:C201"/>
    <mergeCell ref="A213:A215"/>
    <mergeCell ref="B213:B215"/>
    <mergeCell ref="A216:D216"/>
    <mergeCell ref="A202:D202"/>
    <mergeCell ref="A205:A209"/>
    <mergeCell ref="B205:B209"/>
    <mergeCell ref="C206:C207"/>
    <mergeCell ref="C208:C209"/>
    <mergeCell ref="A210:D210"/>
  </mergeCells>
  <phoneticPr fontId="8"/>
  <conditionalFormatting sqref="F8">
    <cfRule type="expression" dxfId="3" priority="1" stopIfTrue="1">
      <formula>AND($F$34&gt;5000000,OR($E$8="無し",$E$8="なし"))</formula>
    </cfRule>
  </conditionalFormatting>
  <dataValidations count="4">
    <dataValidation type="list" allowBlank="1" showInputMessage="1" showErrorMessage="1" sqref="E8 G11:I11" xr:uid="{00000000-0002-0000-0100-000000000000}">
      <formula1>"有り,無し"</formula1>
    </dataValidation>
    <dataValidation type="list" allowBlank="1" showInputMessage="1" showErrorMessage="1" sqref="G10:I10" xr:uid="{00000000-0002-0000-0100-000001000000}">
      <formula1>"駅施設,地上建物"</formula1>
    </dataValidation>
    <dataValidation type="list" allowBlank="1" showInputMessage="1" showErrorMessage="1" sqref="G6:I6" xr:uid="{00000000-0002-0000-0100-000002000000}">
      <formula1>"改修,新営"</formula1>
    </dataValidation>
    <dataValidation type="list" allowBlank="1" showInputMessage="1" showErrorMessage="1" sqref="G9:I9" xr:uid="{00000000-0002-0000-0100-000003000000}">
      <formula1>"積上げ,積上げ・率処理併用"</formula1>
    </dataValidation>
  </dataValidations>
  <printOptions horizontalCentered="1"/>
  <pageMargins left="0.19685039370078741" right="0.19685039370078741" top="0.47244094488188981" bottom="0.19685039370078741" header="0.51181102362204722" footer="0.51181102362204722"/>
  <pageSetup paperSize="9" scale="71" fitToHeight="3" orientation="landscape" cellComments="asDisplayed" horizontalDpi="300" verticalDpi="300" r:id="rId1"/>
  <headerFooter alignWithMargins="0"/>
  <rowBreaks count="4" manualBreakCount="4">
    <brk id="57" max="16383" man="1"/>
    <brk id="96" max="16383" man="1"/>
    <brk id="137" max="16383" man="1"/>
    <brk id="17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3596" r:id="rId4" name="Button 44">
              <controlPr defaultSize="0" print="0" autoFill="0" autoPict="0" macro="[0]!諸経費表入力フォームの呼出し">
                <anchor moveWithCells="1" sizeWithCells="1">
                  <from>
                    <xdr:col>11</xdr:col>
                    <xdr:colOff>177800</xdr:colOff>
                    <xdr:row>2</xdr:row>
                    <xdr:rowOff>12700</xdr:rowOff>
                  </from>
                  <to>
                    <xdr:col>11</xdr:col>
                    <xdr:colOff>1778000</xdr:colOff>
                    <xdr:row>6</xdr:row>
                    <xdr:rowOff>63500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M436"/>
  <sheetViews>
    <sheetView zoomScale="80" zoomScaleNormal="80" zoomScaleSheetLayoutView="100" workbookViewId="0">
      <pane xSplit="7" ySplit="3" topLeftCell="H4" activePane="bottomRight" state="frozen"/>
      <selection pane="topRight" activeCell="H1" sqref="H1"/>
      <selection pane="bottomLeft" activeCell="A4" sqref="A4"/>
      <selection pane="bottomRight" activeCell="C30" sqref="C30"/>
    </sheetView>
  </sheetViews>
  <sheetFormatPr baseColWidth="10" defaultColWidth="9" defaultRowHeight="13.5" customHeight="1"/>
  <cols>
    <col min="1" max="1" width="5.83203125" style="447" customWidth="1"/>
    <col min="2" max="2" width="2.5" style="447" customWidth="1"/>
    <col min="3" max="3" width="9.6640625" style="438" customWidth="1"/>
    <col min="4" max="4" width="13.83203125" style="438" customWidth="1"/>
    <col min="5" max="5" width="4.33203125" style="438" customWidth="1"/>
    <col min="6" max="6" width="45.1640625" style="438" customWidth="1"/>
    <col min="7" max="7" width="15.33203125" style="438" customWidth="1"/>
    <col min="8" max="9" width="14.33203125" style="452" customWidth="1"/>
    <col min="10" max="10" width="7.33203125" style="447" customWidth="1"/>
    <col min="11" max="11" width="9" style="438"/>
    <col min="12" max="12" width="32.5" style="438" bestFit="1" customWidth="1"/>
    <col min="13" max="13" width="28.1640625" style="438" customWidth="1"/>
    <col min="14" max="16384" width="9" style="438"/>
  </cols>
  <sheetData>
    <row r="1" spans="1:13" ht="28.5" customHeight="1" thickTop="1" thickBot="1">
      <c r="A1" s="1253">
        <f>諸経費表!A2</f>
        <v>1</v>
      </c>
      <c r="B1" s="859"/>
      <c r="D1" s="885" t="s">
        <v>315</v>
      </c>
      <c r="E1" s="1183" t="str">
        <f>諸経費表!F1</f>
        <v>地下空間の大規模改革に伴う基本設計その他業務委託（4号線谷町四丁目外5駅の部）</v>
      </c>
      <c r="H1" s="431"/>
      <c r="I1" s="431"/>
      <c r="L1" s="1476" t="s">
        <v>3153</v>
      </c>
      <c r="M1" s="1477"/>
    </row>
    <row r="2" spans="1:13" ht="13.5" customHeight="1" thickTop="1">
      <c r="A2" s="1337">
        <f>+MATCH("FixColumn",3:3,0)</f>
        <v>10</v>
      </c>
      <c r="B2" s="859"/>
      <c r="C2" s="967"/>
      <c r="D2" s="968"/>
      <c r="E2" s="431"/>
      <c r="F2" s="437"/>
      <c r="G2" s="856"/>
      <c r="H2" s="854" t="str">
        <f ca="1">IFERROR(諸経費表!G$8,0)</f>
        <v>建築工事</v>
      </c>
      <c r="I2" s="854" t="str">
        <f ca="1">IFERROR(諸経費表!H$8,0)</f>
        <v/>
      </c>
      <c r="L2" s="1349"/>
      <c r="M2" s="1346"/>
    </row>
    <row r="3" spans="1:13" ht="13.5" customHeight="1">
      <c r="B3" s="1019"/>
      <c r="C3" s="1491"/>
      <c r="D3" s="1492"/>
      <c r="E3" s="1020"/>
      <c r="F3" s="1021" t="s">
        <v>3082</v>
      </c>
      <c r="G3" s="1023" t="s">
        <v>3070</v>
      </c>
      <c r="H3" s="1022" t="str">
        <f>IFERROR(諸経費表!G$7,0)</f>
        <v>工事1</v>
      </c>
      <c r="I3" s="1024" t="str">
        <f>IFERROR(諸経費表!H$7,0)</f>
        <v>工事2</v>
      </c>
      <c r="J3" s="1344" t="s">
        <v>3073</v>
      </c>
      <c r="L3" s="1349" t="s">
        <v>3156</v>
      </c>
      <c r="M3" s="1346"/>
    </row>
    <row r="4" spans="1:13" ht="13.5" customHeight="1">
      <c r="A4" s="860"/>
      <c r="B4" s="861"/>
      <c r="C4" s="463"/>
      <c r="D4" s="455"/>
      <c r="E4" s="456"/>
      <c r="F4" s="1105" t="s">
        <v>3076</v>
      </c>
      <c r="G4" s="1142" t="s">
        <v>3077</v>
      </c>
      <c r="H4" s="1025"/>
      <c r="I4" s="882"/>
      <c r="L4" s="1349" t="s">
        <v>3154</v>
      </c>
      <c r="M4" s="1346"/>
    </row>
    <row r="5" spans="1:13" s="439" customFormat="1" ht="13.5" customHeight="1">
      <c r="A5" s="857"/>
      <c r="B5" s="858"/>
      <c r="C5" s="464"/>
      <c r="D5" s="461" t="s">
        <v>283</v>
      </c>
      <c r="E5" s="435"/>
      <c r="F5" s="1106"/>
      <c r="G5" s="1143">
        <f t="shared" ref="G5:G19" ca="1" si="0">SUM(H5:J5)</f>
        <v>0</v>
      </c>
      <c r="H5" s="1026">
        <f ca="1">IFERROR(諸経費表!G$13,0)</f>
        <v>0</v>
      </c>
      <c r="I5" s="475">
        <f ca="1">IFERROR(諸経費表!H$13,0)</f>
        <v>0</v>
      </c>
      <c r="J5" s="904"/>
      <c r="L5" s="1351" t="s">
        <v>3155</v>
      </c>
      <c r="M5" s="1346"/>
    </row>
    <row r="6" spans="1:13" s="439" customFormat="1" ht="13.5" customHeight="1">
      <c r="A6" s="857"/>
      <c r="B6" s="858"/>
      <c r="C6" s="460"/>
      <c r="D6" s="1052"/>
      <c r="E6" s="1053"/>
      <c r="F6" s="1107" t="s">
        <v>42</v>
      </c>
      <c r="G6" s="1144">
        <f t="shared" ca="1" si="0"/>
        <v>0</v>
      </c>
      <c r="H6" s="1027">
        <f ca="1">IFERROR(SUMIF(INDIRECT(H$3&amp;"!$ｄ:$ｄ"),$F$6,INDIRECT(H$3&amp;"!$i:$i")),0)</f>
        <v>0</v>
      </c>
      <c r="I6" s="483">
        <f ca="1">IFERROR(SUMIF(INDIRECT(I$3&amp;"!$ｄ:$ｄ"),$F$6,INDIRECT(I$3&amp;"!$i:$i")),0)</f>
        <v>0</v>
      </c>
      <c r="J6" s="904"/>
      <c r="L6" s="1350"/>
      <c r="M6" s="1346"/>
    </row>
    <row r="7" spans="1:13" s="439" customFormat="1" ht="13.5" customHeight="1" thickBot="1">
      <c r="A7" s="857"/>
      <c r="B7" s="858"/>
      <c r="C7" s="460"/>
      <c r="D7" s="500"/>
      <c r="E7" s="501"/>
      <c r="F7" s="1108" t="s">
        <v>2079</v>
      </c>
      <c r="G7" s="1145">
        <f t="shared" ca="1" si="0"/>
        <v>0</v>
      </c>
      <c r="H7" s="1028" t="str">
        <f ca="1">IFERROR(IF(COUNTIF(INDIRECT("'"&amp;H$3&amp;"'!＄ｄ:$ｄ"),"部分撤去工事")=0,"0",VLOOKUP("部分撤去工事",INDIRECT("'"&amp;H$3&amp;"'!＄D:$L"),6,FALSE)),0)</f>
        <v>0</v>
      </c>
      <c r="I7" s="502">
        <f ca="1">IFERROR(IF(COUNTIF(INDIRECT("'"&amp;I$3&amp;"'!＄ｄ:$ｄ"),"部分撤去工事")=0,"0",VLOOKUP("部分撤去工事",INDIRECT("'"&amp;I$3&amp;"'!＄D:$L"),6,FALSE)),0)</f>
        <v>0</v>
      </c>
      <c r="J7" s="904"/>
      <c r="L7" s="1350" t="s">
        <v>3167</v>
      </c>
      <c r="M7" s="1347"/>
    </row>
    <row r="8" spans="1:13" s="439" customFormat="1" ht="13.5" customHeight="1" thickTop="1" thickBot="1">
      <c r="A8" s="857"/>
      <c r="B8" s="858"/>
      <c r="C8" s="460"/>
      <c r="D8" s="1054"/>
      <c r="E8" s="1055"/>
      <c r="F8" s="1056" t="s">
        <v>2080</v>
      </c>
      <c r="G8" s="1146">
        <f t="shared" ca="1" si="0"/>
        <v>0</v>
      </c>
      <c r="H8" s="1029">
        <f ca="1">IFERROR(H5-H6-H7,0)</f>
        <v>0</v>
      </c>
      <c r="I8" s="503">
        <f ca="1">IFERROR(I5-I6-I7,0)</f>
        <v>0</v>
      </c>
      <c r="J8" s="904"/>
      <c r="L8" s="1352" t="s">
        <v>3149</v>
      </c>
      <c r="M8" s="1347">
        <v>0</v>
      </c>
    </row>
    <row r="9" spans="1:13" s="439" customFormat="1" ht="13.5" customHeight="1" thickTop="1">
      <c r="A9" s="857"/>
      <c r="B9" s="858"/>
      <c r="C9" s="460"/>
      <c r="D9" s="504"/>
      <c r="E9" s="1503" t="s">
        <v>2081</v>
      </c>
      <c r="F9" s="1109" t="s">
        <v>283</v>
      </c>
      <c r="G9" s="1147">
        <f t="shared" ca="1" si="0"/>
        <v>0</v>
      </c>
      <c r="H9" s="1030">
        <f ca="1">IFERROR(H5-H12,0)</f>
        <v>0</v>
      </c>
      <c r="I9" s="573">
        <f ca="1">IFERROR(I5-I12,0)</f>
        <v>0</v>
      </c>
      <c r="J9" s="904"/>
    </row>
    <row r="10" spans="1:13" s="439" customFormat="1" ht="13.5" customHeight="1">
      <c r="A10" s="857"/>
      <c r="B10" s="858"/>
      <c r="C10" s="460"/>
      <c r="D10" s="505"/>
      <c r="E10" s="1504"/>
      <c r="F10" s="1110" t="s">
        <v>2082</v>
      </c>
      <c r="G10" s="1148">
        <f t="shared" ca="1" si="0"/>
        <v>0</v>
      </c>
      <c r="H10" s="1031">
        <f ca="1">IFERROR(H7-H13,0)</f>
        <v>0</v>
      </c>
      <c r="I10" s="574">
        <f ca="1">IFERROR(I7-I13,0)</f>
        <v>0</v>
      </c>
      <c r="J10" s="904"/>
    </row>
    <row r="11" spans="1:13" s="439" customFormat="1" ht="13.5" customHeight="1">
      <c r="A11" s="857"/>
      <c r="B11" s="858"/>
      <c r="C11" s="460"/>
      <c r="D11" s="505"/>
      <c r="E11" s="1505"/>
      <c r="F11" s="1056" t="s">
        <v>2080</v>
      </c>
      <c r="G11" s="1146">
        <f t="shared" ca="1" si="0"/>
        <v>0</v>
      </c>
      <c r="H11" s="1029">
        <f ca="1">IFERROR(H8-H14,0)</f>
        <v>0</v>
      </c>
      <c r="I11" s="575">
        <f ca="1">IFERROR(I8-I14,0)</f>
        <v>0</v>
      </c>
      <c r="J11" s="904"/>
    </row>
    <row r="12" spans="1:13" s="439" customFormat="1" ht="13.5" customHeight="1">
      <c r="A12" s="857"/>
      <c r="B12" s="858"/>
      <c r="C12" s="460"/>
      <c r="D12" s="506"/>
      <c r="E12" s="1503" t="s">
        <v>313</v>
      </c>
      <c r="F12" s="1109" t="s">
        <v>283</v>
      </c>
      <c r="G12" s="906">
        <f t="shared" ca="1" si="0"/>
        <v>0</v>
      </c>
      <c r="H12" s="1032">
        <f ca="1">IFERROR(IF(H$4="費用",H5,SUMIF(INDIRECT(H$3&amp;"!$ｊ:$ｊ"),"うち費用",INDIRECT(H$3&amp;"!$ｋ:$ｋ"))),0)</f>
        <v>0</v>
      </c>
      <c r="I12" s="479">
        <f ca="1">IFERROR(IF(I$4="費用",I5,SUMIF(INDIRECT(I$3&amp;"!$ｊ:$ｊ"),"うち費用",INDIRECT(I$3&amp;"!$ｋ:$ｋ"))),0)</f>
        <v>0</v>
      </c>
      <c r="J12" s="904"/>
    </row>
    <row r="13" spans="1:13" s="439" customFormat="1" ht="13.5" customHeight="1">
      <c r="A13" s="857"/>
      <c r="B13" s="858"/>
      <c r="C13" s="460"/>
      <c r="D13" s="505"/>
      <c r="E13" s="1504"/>
      <c r="F13" s="1110" t="s">
        <v>2082</v>
      </c>
      <c r="G13" s="1149">
        <f t="shared" ca="1" si="0"/>
        <v>0</v>
      </c>
      <c r="H13" s="507">
        <f ca="1">IFERROR(IF(H$4="費用",H7,SUMIF(INDIRECT(H$3&amp;"!$ｊ:$ｊ"),"）うち費用",INDIRECT(H$3&amp;"!$ｋ:$ｋ"))),0)</f>
        <v>0</v>
      </c>
      <c r="I13" s="507">
        <f ca="1">IFERROR(IF(I$4="費用",I7,SUMIF(INDIRECT(I$3&amp;"!$ｊ:$ｊ"),"）うち費用",INDIRECT(I$3&amp;"!$ｋ:$ｋ"))),0)</f>
        <v>0</v>
      </c>
      <c r="J13" s="904"/>
    </row>
    <row r="14" spans="1:13" s="439" customFormat="1" ht="13.5" customHeight="1">
      <c r="A14" s="857"/>
      <c r="B14" s="858"/>
      <c r="C14" s="460"/>
      <c r="D14" s="508"/>
      <c r="E14" s="1505"/>
      <c r="F14" s="1057" t="s">
        <v>2080</v>
      </c>
      <c r="G14" s="1146">
        <f t="shared" ca="1" si="0"/>
        <v>0</v>
      </c>
      <c r="H14" s="1029">
        <f ca="1">IFERROR(IF(H$4="費用",H12-H13-H6,H12-H13),0)</f>
        <v>0</v>
      </c>
      <c r="I14" s="503">
        <f ca="1">IFERROR(IF(I$4="費用",I12-I13-I6,I12-I13),0)</f>
        <v>0</v>
      </c>
      <c r="J14" s="904"/>
    </row>
    <row r="15" spans="1:13" s="439" customFormat="1" ht="13.5" customHeight="1">
      <c r="A15" s="857"/>
      <c r="B15" s="858"/>
      <c r="C15" s="465"/>
      <c r="D15" s="461" t="s">
        <v>284</v>
      </c>
      <c r="E15" s="435"/>
      <c r="F15" s="1106"/>
      <c r="G15" s="1143">
        <f t="shared" ca="1" si="0"/>
        <v>0</v>
      </c>
      <c r="H15" s="1026">
        <f ca="1">IFERROR(SUM(H16:H18),0)</f>
        <v>0</v>
      </c>
      <c r="I15" s="475">
        <f ca="1">IFERROR(SUM(I16:I18),0)</f>
        <v>0</v>
      </c>
      <c r="J15" s="904"/>
    </row>
    <row r="16" spans="1:13" s="439" customFormat="1" ht="13.5" customHeight="1">
      <c r="A16" s="857"/>
      <c r="B16" s="858"/>
      <c r="C16" s="460"/>
      <c r="D16" s="1052"/>
      <c r="E16" s="1053"/>
      <c r="F16" s="1107" t="s">
        <v>2051</v>
      </c>
      <c r="G16" s="1144">
        <f t="shared" ca="1" si="0"/>
        <v>0</v>
      </c>
      <c r="H16" s="1027">
        <f ca="1">IFERROR(SUMIF(INDIRECT(H$3&amp;"!$ｄ:$ｄ"),"共通仮設費",INDIRECT(H$3&amp;"!$I:$ｉ")),0)</f>
        <v>0</v>
      </c>
      <c r="I16" s="483">
        <f ca="1">IFERROR(SUMIF(INDIRECT(I$3&amp;"!$ｄ:$ｄ"),"共通仮設費",INDIRECT(I$3&amp;"!$I:$ｉ")),0)</f>
        <v>0</v>
      </c>
      <c r="J16" s="904"/>
    </row>
    <row r="17" spans="1:10" ht="13.5" customHeight="1">
      <c r="A17" s="857"/>
      <c r="B17" s="858"/>
      <c r="C17" s="460"/>
      <c r="D17" s="1058"/>
      <c r="E17" s="1059"/>
      <c r="F17" s="1111" t="s">
        <v>2052</v>
      </c>
      <c r="G17" s="1150">
        <f t="shared" ca="1" si="0"/>
        <v>0</v>
      </c>
      <c r="H17" s="1033">
        <f ca="1">IFERROR(諸経費表!G$24,0)</f>
        <v>0</v>
      </c>
      <c r="I17" s="480">
        <f ca="1">IFERROR(諸経費表!H$24,0)</f>
        <v>0</v>
      </c>
    </row>
    <row r="18" spans="1:10" ht="13.5" customHeight="1">
      <c r="A18" s="857"/>
      <c r="B18" s="858"/>
      <c r="C18" s="460"/>
      <c r="D18" s="1054"/>
      <c r="E18" s="1055"/>
      <c r="F18" s="1112" t="s">
        <v>2050</v>
      </c>
      <c r="G18" s="1151">
        <f t="shared" ca="1" si="0"/>
        <v>0</v>
      </c>
      <c r="H18" s="1034">
        <f ca="1">IFERROR(諸経費表!G$29,0)</f>
        <v>0</v>
      </c>
      <c r="I18" s="855">
        <f ca="1">IFERROR(諸経費表!H$29,0)</f>
        <v>0</v>
      </c>
    </row>
    <row r="19" spans="1:10" s="440" customFormat="1" ht="13.5" customHeight="1">
      <c r="A19" s="862"/>
      <c r="B19" s="863"/>
      <c r="C19" s="436"/>
      <c r="D19" s="462" t="s">
        <v>316</v>
      </c>
      <c r="E19" s="434"/>
      <c r="F19" s="1113"/>
      <c r="G19" s="1152">
        <f t="shared" ca="1" si="0"/>
        <v>0</v>
      </c>
      <c r="H19" s="485">
        <f ca="1">IFERROR(H15+H5,0)</f>
        <v>0</v>
      </c>
      <c r="I19" s="476">
        <f ca="1">IFERROR(I15+I5,0)</f>
        <v>0</v>
      </c>
      <c r="J19" s="905"/>
    </row>
    <row r="20" spans="1:10" s="440" customFormat="1" ht="13.5" customHeight="1">
      <c r="A20" s="1060"/>
      <c r="B20" s="864"/>
      <c r="C20" s="441"/>
      <c r="D20" s="433"/>
      <c r="E20" s="433"/>
      <c r="F20" s="442"/>
      <c r="G20" s="1153" t="str">
        <f ca="1">IF(G$19=諸経費表!F$34,"","↑error")</f>
        <v/>
      </c>
      <c r="H20" s="477" t="str">
        <f ca="1">IFERROR(IF(H$19=諸経費表!G$34,"","↑error"),0)</f>
        <v/>
      </c>
      <c r="I20" s="477" t="str">
        <f ca="1">IFERROR(IF(I$19=諸経費表!H$34,"","↑error"),0)</f>
        <v/>
      </c>
      <c r="J20" s="905"/>
    </row>
    <row r="21" spans="1:10" s="440" customFormat="1" ht="13.5" customHeight="1">
      <c r="A21" s="1496" t="s">
        <v>2909</v>
      </c>
      <c r="B21" s="1497"/>
      <c r="C21" s="1497"/>
      <c r="D21" s="1498"/>
      <c r="E21" s="1501" t="s">
        <v>1981</v>
      </c>
      <c r="F21" s="1114"/>
      <c r="G21" s="1154" t="s">
        <v>1991</v>
      </c>
      <c r="H21" s="1035" t="s">
        <v>2070</v>
      </c>
      <c r="I21" s="478" t="s">
        <v>2070</v>
      </c>
      <c r="J21" s="905"/>
    </row>
    <row r="22" spans="1:10" s="440" customFormat="1" ht="13.5" customHeight="1">
      <c r="A22" s="865"/>
      <c r="B22" s="1493" t="s">
        <v>2910</v>
      </c>
      <c r="C22" s="1494"/>
      <c r="D22" s="1495"/>
      <c r="E22" s="1502"/>
      <c r="F22" s="1115"/>
      <c r="G22" s="1155" t="s">
        <v>1992</v>
      </c>
      <c r="H22" s="1036"/>
      <c r="I22" s="883"/>
      <c r="J22" s="905"/>
    </row>
    <row r="23" spans="1:10" ht="13.5" customHeight="1">
      <c r="A23" s="857"/>
      <c r="B23" s="866"/>
      <c r="C23" s="1061" t="s">
        <v>2083</v>
      </c>
      <c r="D23" s="445" t="s">
        <v>1980</v>
      </c>
      <c r="E23" s="454">
        <v>38</v>
      </c>
      <c r="F23" s="1116" t="s">
        <v>2084</v>
      </c>
      <c r="G23" s="906">
        <f t="shared" ref="G23:G54" ca="1" si="1">SUM(H23:J23)</f>
        <v>0</v>
      </c>
      <c r="H23" s="1032">
        <f ca="1">IFERROR(IF(OR(H436="附帯",H4="費用"),0,(IF(H$22=入力規則マスタ!$K10,0,H11-SUM(H24:H31)-SUM(H59:H77)-H117-H99))),0)</f>
        <v>0</v>
      </c>
      <c r="I23" s="479">
        <f ca="1">IFERROR(IF(OR(I436="附帯",I4="費用"),0,(IF(I$22=入力規則マスタ!$K10,0,I11-SUM(I24:I31)-SUM(I59:I77)-I117-I99))),0)</f>
        <v>0</v>
      </c>
    </row>
    <row r="24" spans="1:10" ht="13.5" customHeight="1">
      <c r="A24" s="857"/>
      <c r="B24" s="858"/>
      <c r="C24" s="1062" t="s">
        <v>2085</v>
      </c>
      <c r="D24" s="1063" t="s">
        <v>1980</v>
      </c>
      <c r="E24" s="1064">
        <v>34</v>
      </c>
      <c r="F24" s="1117" t="s">
        <v>2086</v>
      </c>
      <c r="G24" s="1150">
        <f t="shared" si="1"/>
        <v>0</v>
      </c>
      <c r="H24" s="1037"/>
      <c r="I24" s="899"/>
    </row>
    <row r="25" spans="1:10" ht="13.5" customHeight="1">
      <c r="A25" s="857"/>
      <c r="B25" s="858"/>
      <c r="C25" s="1061" t="s">
        <v>2087</v>
      </c>
      <c r="D25" s="1063" t="s">
        <v>1980</v>
      </c>
      <c r="E25" s="1064">
        <v>31</v>
      </c>
      <c r="F25" s="1117" t="s">
        <v>2088</v>
      </c>
      <c r="G25" s="1150">
        <f t="shared" si="1"/>
        <v>0</v>
      </c>
      <c r="H25" s="1037"/>
      <c r="I25" s="899"/>
    </row>
    <row r="26" spans="1:10" ht="13.5" customHeight="1">
      <c r="A26" s="857"/>
      <c r="B26" s="858"/>
      <c r="C26" s="1062" t="s">
        <v>2089</v>
      </c>
      <c r="D26" s="1063" t="s">
        <v>1980</v>
      </c>
      <c r="E26" s="1064">
        <v>25</v>
      </c>
      <c r="F26" s="1117" t="s">
        <v>2090</v>
      </c>
      <c r="G26" s="1150">
        <f t="shared" si="1"/>
        <v>0</v>
      </c>
      <c r="H26" s="1037"/>
      <c r="I26" s="899"/>
    </row>
    <row r="27" spans="1:10" ht="13.5" customHeight="1">
      <c r="A27" s="857"/>
      <c r="B27" s="858"/>
      <c r="C27" s="1061" t="s">
        <v>2091</v>
      </c>
      <c r="D27" s="1063" t="s">
        <v>1980</v>
      </c>
      <c r="E27" s="1064">
        <v>19</v>
      </c>
      <c r="F27" s="1117" t="s">
        <v>2092</v>
      </c>
      <c r="G27" s="1150">
        <f t="shared" si="1"/>
        <v>0</v>
      </c>
      <c r="H27" s="1037"/>
      <c r="I27" s="899"/>
    </row>
    <row r="28" spans="1:10" ht="13.5" customHeight="1">
      <c r="A28" s="857"/>
      <c r="B28" s="858"/>
      <c r="C28" s="1062" t="s">
        <v>2093</v>
      </c>
      <c r="D28" s="1063" t="s">
        <v>1980</v>
      </c>
      <c r="E28" s="1064">
        <v>17</v>
      </c>
      <c r="F28" s="1117" t="s">
        <v>2094</v>
      </c>
      <c r="G28" s="1150">
        <f t="shared" si="1"/>
        <v>0</v>
      </c>
      <c r="H28" s="1037"/>
      <c r="I28" s="899"/>
    </row>
    <row r="29" spans="1:10" ht="13.5" customHeight="1">
      <c r="A29" s="857"/>
      <c r="B29" s="858"/>
      <c r="C29" s="1061" t="s">
        <v>2095</v>
      </c>
      <c r="D29" s="1063" t="s">
        <v>1980</v>
      </c>
      <c r="E29" s="1064">
        <v>15</v>
      </c>
      <c r="F29" s="1117" t="s">
        <v>2096</v>
      </c>
      <c r="G29" s="1150">
        <f t="shared" si="1"/>
        <v>0</v>
      </c>
      <c r="H29" s="1037"/>
      <c r="I29" s="899"/>
    </row>
    <row r="30" spans="1:10" ht="13.5" customHeight="1">
      <c r="A30" s="857"/>
      <c r="B30" s="858"/>
      <c r="C30" s="1062" t="s">
        <v>2097</v>
      </c>
      <c r="D30" s="1063" t="s">
        <v>1980</v>
      </c>
      <c r="E30" s="1064">
        <v>10</v>
      </c>
      <c r="F30" s="1117" t="s">
        <v>2098</v>
      </c>
      <c r="G30" s="1150">
        <f t="shared" si="1"/>
        <v>0</v>
      </c>
      <c r="H30" s="1037"/>
      <c r="I30" s="899"/>
    </row>
    <row r="31" spans="1:10" ht="13.5" customHeight="1">
      <c r="A31" s="857"/>
      <c r="B31" s="858"/>
      <c r="C31" s="1061" t="s">
        <v>2099</v>
      </c>
      <c r="D31" s="1063" t="s">
        <v>1980</v>
      </c>
      <c r="E31" s="1064">
        <v>7</v>
      </c>
      <c r="F31" s="1117" t="s">
        <v>2100</v>
      </c>
      <c r="G31" s="1150">
        <f t="shared" si="1"/>
        <v>0</v>
      </c>
      <c r="H31" s="1037"/>
      <c r="I31" s="899"/>
    </row>
    <row r="32" spans="1:10" ht="13.5" customHeight="1">
      <c r="A32" s="857"/>
      <c r="B32" s="858"/>
      <c r="C32" s="1061" t="s">
        <v>2828</v>
      </c>
      <c r="D32" s="1065" t="s">
        <v>2868</v>
      </c>
      <c r="E32" s="1064">
        <v>50</v>
      </c>
      <c r="F32" s="1117" t="s">
        <v>2895</v>
      </c>
      <c r="G32" s="1150">
        <f t="shared" ca="1" si="1"/>
        <v>0</v>
      </c>
      <c r="H32" s="1033">
        <f ca="1">IFERROR(IF(OR(H$436="附帯",H$4="費用"),0,(IF(H$22=入力規則マスタ!$K10,H$11-SUM(H$33:H$77)-H$117-H$99,0))),0)</f>
        <v>0</v>
      </c>
      <c r="I32" s="480">
        <f ca="1">IFERROR(IF(OR(I$436="附帯",I$4="費用"),0,(IF(I$22=入力規則マスタ!$K10,I$11-SUM(I$33:I$77)-I$117-I$99,0))),0)</f>
        <v>0</v>
      </c>
    </row>
    <row r="33" spans="1:9" ht="13.5" customHeight="1">
      <c r="A33" s="857"/>
      <c r="B33" s="858"/>
      <c r="C33" s="1061" t="s">
        <v>2829</v>
      </c>
      <c r="D33" s="1065" t="s">
        <v>2869</v>
      </c>
      <c r="E33" s="1064">
        <v>47</v>
      </c>
      <c r="F33" s="1117" t="s">
        <v>501</v>
      </c>
      <c r="G33" s="1150">
        <f t="shared" si="1"/>
        <v>0</v>
      </c>
      <c r="H33" s="1037"/>
      <c r="I33" s="899"/>
    </row>
    <row r="34" spans="1:9" ht="13.5" customHeight="1">
      <c r="A34" s="857"/>
      <c r="B34" s="858"/>
      <c r="C34" s="1061" t="s">
        <v>2830</v>
      </c>
      <c r="D34" s="1065" t="s">
        <v>2870</v>
      </c>
      <c r="E34" s="1064">
        <v>41</v>
      </c>
      <c r="F34" s="1117" t="s">
        <v>2896</v>
      </c>
      <c r="G34" s="1150">
        <f t="shared" si="1"/>
        <v>0</v>
      </c>
      <c r="H34" s="1037"/>
      <c r="I34" s="899"/>
    </row>
    <row r="35" spans="1:9" ht="13.5" customHeight="1">
      <c r="A35" s="857"/>
      <c r="B35" s="858"/>
      <c r="C35" s="1061" t="s">
        <v>2831</v>
      </c>
      <c r="D35" s="1065" t="s">
        <v>2871</v>
      </c>
      <c r="E35" s="1064">
        <v>39</v>
      </c>
      <c r="F35" s="1117" t="s">
        <v>503</v>
      </c>
      <c r="G35" s="1150">
        <f t="shared" si="1"/>
        <v>0</v>
      </c>
      <c r="H35" s="1037"/>
      <c r="I35" s="899"/>
    </row>
    <row r="36" spans="1:9" ht="27" customHeight="1">
      <c r="A36" s="857"/>
      <c r="B36" s="858"/>
      <c r="C36" s="1066" t="s">
        <v>2832</v>
      </c>
      <c r="D36" s="1067" t="s">
        <v>2872</v>
      </c>
      <c r="E36" s="1064">
        <v>38</v>
      </c>
      <c r="F36" s="1118" t="s">
        <v>2900</v>
      </c>
      <c r="G36" s="1150">
        <f t="shared" si="1"/>
        <v>0</v>
      </c>
      <c r="H36" s="1037"/>
      <c r="I36" s="899"/>
    </row>
    <row r="37" spans="1:9" ht="13.5" customHeight="1">
      <c r="A37" s="857"/>
      <c r="B37" s="858"/>
      <c r="C37" s="1061" t="s">
        <v>2833</v>
      </c>
      <c r="D37" s="1065" t="s">
        <v>2873</v>
      </c>
      <c r="E37" s="1064">
        <v>36</v>
      </c>
      <c r="F37" s="1117" t="s">
        <v>505</v>
      </c>
      <c r="G37" s="1150">
        <f t="shared" si="1"/>
        <v>0</v>
      </c>
      <c r="H37" s="1037"/>
      <c r="I37" s="899"/>
    </row>
    <row r="38" spans="1:9" ht="13.5" customHeight="1">
      <c r="A38" s="857"/>
      <c r="B38" s="858"/>
      <c r="C38" s="1061" t="s">
        <v>2834</v>
      </c>
      <c r="D38" s="1065" t="s">
        <v>2874</v>
      </c>
      <c r="E38" s="1064">
        <v>34</v>
      </c>
      <c r="F38" s="1119" t="s">
        <v>2897</v>
      </c>
      <c r="G38" s="1150">
        <f t="shared" si="1"/>
        <v>0</v>
      </c>
      <c r="H38" s="1037"/>
      <c r="I38" s="899"/>
    </row>
    <row r="39" spans="1:9" ht="13.5" customHeight="1">
      <c r="A39" s="857"/>
      <c r="B39" s="858"/>
      <c r="C39" s="1061" t="s">
        <v>2835</v>
      </c>
      <c r="D39" s="1065" t="s">
        <v>2875</v>
      </c>
      <c r="E39" s="1064">
        <v>31</v>
      </c>
      <c r="F39" s="1119" t="s">
        <v>2898</v>
      </c>
      <c r="G39" s="1150">
        <f t="shared" si="1"/>
        <v>0</v>
      </c>
      <c r="H39" s="1037"/>
      <c r="I39" s="899"/>
    </row>
    <row r="40" spans="1:9" ht="13.5" customHeight="1">
      <c r="A40" s="857"/>
      <c r="B40" s="858"/>
      <c r="C40" s="1061" t="s">
        <v>2836</v>
      </c>
      <c r="D40" s="1065" t="s">
        <v>2876</v>
      </c>
      <c r="E40" s="1064">
        <v>30</v>
      </c>
      <c r="F40" s="1117" t="s">
        <v>2901</v>
      </c>
      <c r="G40" s="1150">
        <f t="shared" si="1"/>
        <v>0</v>
      </c>
      <c r="H40" s="1037"/>
      <c r="I40" s="899"/>
    </row>
    <row r="41" spans="1:9" ht="13.5" customHeight="1">
      <c r="A41" s="857"/>
      <c r="B41" s="858"/>
      <c r="C41" s="1061" t="s">
        <v>2649</v>
      </c>
      <c r="D41" s="1065" t="s">
        <v>2877</v>
      </c>
      <c r="E41" s="1064">
        <v>29</v>
      </c>
      <c r="F41" s="1117" t="s">
        <v>509</v>
      </c>
      <c r="G41" s="1150">
        <f t="shared" si="1"/>
        <v>0</v>
      </c>
      <c r="H41" s="1037"/>
      <c r="I41" s="899"/>
    </row>
    <row r="42" spans="1:9" ht="13.5" customHeight="1">
      <c r="A42" s="857"/>
      <c r="B42" s="858"/>
      <c r="C42" s="1061" t="s">
        <v>2650</v>
      </c>
      <c r="D42" s="1065" t="s">
        <v>2878</v>
      </c>
      <c r="E42" s="1064">
        <v>28</v>
      </c>
      <c r="F42" s="1117" t="s">
        <v>510</v>
      </c>
      <c r="G42" s="1150">
        <f t="shared" si="1"/>
        <v>0</v>
      </c>
      <c r="H42" s="1037"/>
      <c r="I42" s="899"/>
    </row>
    <row r="43" spans="1:9" ht="13.5" customHeight="1">
      <c r="A43" s="857"/>
      <c r="B43" s="858"/>
      <c r="C43" s="1061" t="s">
        <v>2837</v>
      </c>
      <c r="D43" s="1065" t="s">
        <v>2879</v>
      </c>
      <c r="E43" s="1064">
        <v>27</v>
      </c>
      <c r="F43" s="1117" t="s">
        <v>511</v>
      </c>
      <c r="G43" s="1150">
        <f t="shared" si="1"/>
        <v>0</v>
      </c>
      <c r="H43" s="1037"/>
      <c r="I43" s="899"/>
    </row>
    <row r="44" spans="1:9" ht="13.5" customHeight="1">
      <c r="A44" s="857"/>
      <c r="B44" s="858"/>
      <c r="C44" s="1061" t="s">
        <v>2838</v>
      </c>
      <c r="D44" s="1065" t="s">
        <v>2880</v>
      </c>
      <c r="E44" s="1064">
        <v>26</v>
      </c>
      <c r="F44" s="1117" t="s">
        <v>512</v>
      </c>
      <c r="G44" s="1150">
        <f t="shared" si="1"/>
        <v>0</v>
      </c>
      <c r="H44" s="1037"/>
      <c r="I44" s="899"/>
    </row>
    <row r="45" spans="1:9" ht="13.5" customHeight="1">
      <c r="A45" s="857"/>
      <c r="B45" s="858"/>
      <c r="C45" s="1061" t="s">
        <v>2839</v>
      </c>
      <c r="D45" s="1065" t="s">
        <v>2881</v>
      </c>
      <c r="E45" s="1064">
        <v>25</v>
      </c>
      <c r="F45" s="1119" t="s">
        <v>2899</v>
      </c>
      <c r="G45" s="1150">
        <f t="shared" si="1"/>
        <v>0</v>
      </c>
      <c r="H45" s="1037"/>
      <c r="I45" s="899"/>
    </row>
    <row r="46" spans="1:9" ht="13.5" customHeight="1">
      <c r="A46" s="857"/>
      <c r="B46" s="858"/>
      <c r="C46" s="1061" t="s">
        <v>2840</v>
      </c>
      <c r="D46" s="1065" t="s">
        <v>2882</v>
      </c>
      <c r="E46" s="1064">
        <v>24</v>
      </c>
      <c r="F46" s="1117" t="s">
        <v>2902</v>
      </c>
      <c r="G46" s="1150">
        <f t="shared" si="1"/>
        <v>0</v>
      </c>
      <c r="H46" s="1037"/>
      <c r="I46" s="899"/>
    </row>
    <row r="47" spans="1:9" ht="27" customHeight="1">
      <c r="A47" s="857"/>
      <c r="B47" s="858"/>
      <c r="C47" s="1061" t="s">
        <v>2841</v>
      </c>
      <c r="D47" s="1065" t="s">
        <v>2883</v>
      </c>
      <c r="E47" s="1064">
        <v>22</v>
      </c>
      <c r="F47" s="1120" t="s">
        <v>2903</v>
      </c>
      <c r="G47" s="1150">
        <f t="shared" si="1"/>
        <v>0</v>
      </c>
      <c r="H47" s="1037"/>
      <c r="I47" s="899"/>
    </row>
    <row r="48" spans="1:9" ht="13.5" customHeight="1">
      <c r="A48" s="857"/>
      <c r="B48" s="858"/>
      <c r="C48" s="1061" t="s">
        <v>2842</v>
      </c>
      <c r="D48" s="1065" t="s">
        <v>2884</v>
      </c>
      <c r="E48" s="1064">
        <v>21</v>
      </c>
      <c r="F48" s="1117" t="s">
        <v>516</v>
      </c>
      <c r="G48" s="1150">
        <f t="shared" si="1"/>
        <v>0</v>
      </c>
      <c r="H48" s="1037"/>
      <c r="I48" s="899"/>
    </row>
    <row r="49" spans="1:9" ht="13.5" customHeight="1">
      <c r="A49" s="857"/>
      <c r="B49" s="858"/>
      <c r="C49" s="1061" t="s">
        <v>2843</v>
      </c>
      <c r="D49" s="1065" t="s">
        <v>2885</v>
      </c>
      <c r="E49" s="1064">
        <v>20</v>
      </c>
      <c r="F49" s="1117" t="s">
        <v>517</v>
      </c>
      <c r="G49" s="1150">
        <f t="shared" si="1"/>
        <v>0</v>
      </c>
      <c r="H49" s="1037"/>
      <c r="I49" s="899"/>
    </row>
    <row r="50" spans="1:9" ht="13.5" customHeight="1">
      <c r="A50" s="857"/>
      <c r="B50" s="858"/>
      <c r="C50" s="1061" t="s">
        <v>2844</v>
      </c>
      <c r="D50" s="1065" t="s">
        <v>2886</v>
      </c>
      <c r="E50" s="1064">
        <v>19</v>
      </c>
      <c r="F50" s="1117" t="s">
        <v>2904</v>
      </c>
      <c r="G50" s="1150">
        <f t="shared" si="1"/>
        <v>0</v>
      </c>
      <c r="H50" s="1037"/>
      <c r="I50" s="899"/>
    </row>
    <row r="51" spans="1:9" ht="13.5" customHeight="1">
      <c r="A51" s="857"/>
      <c r="B51" s="858"/>
      <c r="C51" s="1061" t="s">
        <v>2845</v>
      </c>
      <c r="D51" s="1065" t="s">
        <v>2887</v>
      </c>
      <c r="E51" s="1064">
        <v>17</v>
      </c>
      <c r="F51" s="1117" t="s">
        <v>2905</v>
      </c>
      <c r="G51" s="1150">
        <f t="shared" si="1"/>
        <v>0</v>
      </c>
      <c r="H51" s="1037"/>
      <c r="I51" s="899"/>
    </row>
    <row r="52" spans="1:9" ht="13.5" customHeight="1">
      <c r="A52" s="857"/>
      <c r="B52" s="858"/>
      <c r="C52" s="1061" t="s">
        <v>2846</v>
      </c>
      <c r="D52" s="1065" t="s">
        <v>2888</v>
      </c>
      <c r="E52" s="1064">
        <v>15</v>
      </c>
      <c r="F52" s="1117" t="s">
        <v>2906</v>
      </c>
      <c r="G52" s="1150">
        <f t="shared" si="1"/>
        <v>0</v>
      </c>
      <c r="H52" s="1037"/>
      <c r="I52" s="899"/>
    </row>
    <row r="53" spans="1:9" ht="13.5" customHeight="1">
      <c r="A53" s="857"/>
      <c r="B53" s="858"/>
      <c r="C53" s="1061" t="s">
        <v>2847</v>
      </c>
      <c r="D53" s="1065" t="s">
        <v>2889</v>
      </c>
      <c r="E53" s="1064">
        <v>14</v>
      </c>
      <c r="F53" s="1117" t="s">
        <v>521</v>
      </c>
      <c r="G53" s="1150">
        <f t="shared" si="1"/>
        <v>0</v>
      </c>
      <c r="H53" s="1037"/>
      <c r="I53" s="899"/>
    </row>
    <row r="54" spans="1:9" ht="13.5" customHeight="1">
      <c r="A54" s="857"/>
      <c r="B54" s="858"/>
      <c r="C54" s="1061" t="s">
        <v>2848</v>
      </c>
      <c r="D54" s="1065" t="s">
        <v>2890</v>
      </c>
      <c r="E54" s="1064">
        <v>12</v>
      </c>
      <c r="F54" s="1117" t="s">
        <v>522</v>
      </c>
      <c r="G54" s="1150">
        <f t="shared" si="1"/>
        <v>0</v>
      </c>
      <c r="H54" s="1037"/>
      <c r="I54" s="899"/>
    </row>
    <row r="55" spans="1:9" ht="13.5" customHeight="1">
      <c r="A55" s="857"/>
      <c r="B55" s="858"/>
      <c r="C55" s="1061" t="s">
        <v>2849</v>
      </c>
      <c r="D55" s="1065" t="s">
        <v>2891</v>
      </c>
      <c r="E55" s="1064">
        <v>11</v>
      </c>
      <c r="F55" s="1117" t="s">
        <v>523</v>
      </c>
      <c r="G55" s="1150">
        <f t="shared" ref="G55:G79" si="2">SUM(H55:J55)</f>
        <v>0</v>
      </c>
      <c r="H55" s="1037"/>
      <c r="I55" s="899"/>
    </row>
    <row r="56" spans="1:9" ht="13.5" customHeight="1">
      <c r="A56" s="857"/>
      <c r="B56" s="858"/>
      <c r="C56" s="1061" t="s">
        <v>2850</v>
      </c>
      <c r="D56" s="1065" t="s">
        <v>2892</v>
      </c>
      <c r="E56" s="1064">
        <v>10</v>
      </c>
      <c r="F56" s="1117" t="s">
        <v>2907</v>
      </c>
      <c r="G56" s="1150">
        <f t="shared" si="2"/>
        <v>0</v>
      </c>
      <c r="H56" s="1037"/>
      <c r="I56" s="899"/>
    </row>
    <row r="57" spans="1:9" ht="13.5" customHeight="1">
      <c r="A57" s="857"/>
      <c r="B57" s="858"/>
      <c r="C57" s="1061" t="s">
        <v>2851</v>
      </c>
      <c r="D57" s="1065" t="s">
        <v>2893</v>
      </c>
      <c r="E57" s="1064">
        <v>9</v>
      </c>
      <c r="F57" s="1117" t="s">
        <v>525</v>
      </c>
      <c r="G57" s="1150">
        <f t="shared" si="2"/>
        <v>0</v>
      </c>
      <c r="H57" s="1037"/>
      <c r="I57" s="899"/>
    </row>
    <row r="58" spans="1:9" ht="13.5" customHeight="1">
      <c r="A58" s="857"/>
      <c r="B58" s="858"/>
      <c r="C58" s="1061" t="s">
        <v>2852</v>
      </c>
      <c r="D58" s="1065" t="s">
        <v>2894</v>
      </c>
      <c r="E58" s="1064">
        <v>7</v>
      </c>
      <c r="F58" s="1117" t="s">
        <v>2908</v>
      </c>
      <c r="G58" s="1150">
        <f t="shared" si="2"/>
        <v>0</v>
      </c>
      <c r="H58" s="1037"/>
      <c r="I58" s="899"/>
    </row>
    <row r="59" spans="1:9" s="447" customFormat="1" ht="13.5" customHeight="1">
      <c r="A59" s="857"/>
      <c r="B59" s="858"/>
      <c r="C59" s="1061" t="s">
        <v>2853</v>
      </c>
      <c r="D59" s="1068" t="s">
        <v>314</v>
      </c>
      <c r="E59" s="1064">
        <v>6</v>
      </c>
      <c r="F59" s="1121" t="s">
        <v>2101</v>
      </c>
      <c r="G59" s="1150">
        <f t="shared" si="2"/>
        <v>0</v>
      </c>
      <c r="H59" s="1037"/>
      <c r="I59" s="899"/>
    </row>
    <row r="60" spans="1:9" s="447" customFormat="1" ht="13.5" customHeight="1">
      <c r="A60" s="857"/>
      <c r="B60" s="858"/>
      <c r="C60" s="1061" t="s">
        <v>2854</v>
      </c>
      <c r="D60" s="1068" t="s">
        <v>314</v>
      </c>
      <c r="E60" s="1064">
        <v>15</v>
      </c>
      <c r="F60" s="1121" t="s">
        <v>2102</v>
      </c>
      <c r="G60" s="1150">
        <f t="shared" si="2"/>
        <v>0</v>
      </c>
      <c r="H60" s="1037"/>
      <c r="I60" s="899"/>
    </row>
    <row r="61" spans="1:9" s="447" customFormat="1" ht="13.5" customHeight="1">
      <c r="A61" s="857"/>
      <c r="B61" s="858"/>
      <c r="C61" s="1061" t="s">
        <v>2855</v>
      </c>
      <c r="D61" s="1068" t="s">
        <v>314</v>
      </c>
      <c r="E61" s="1064">
        <v>15</v>
      </c>
      <c r="F61" s="1121" t="s">
        <v>2103</v>
      </c>
      <c r="G61" s="1150">
        <f t="shared" si="2"/>
        <v>0</v>
      </c>
      <c r="H61" s="1037"/>
      <c r="I61" s="899"/>
    </row>
    <row r="62" spans="1:9" s="447" customFormat="1" ht="13.5" customHeight="1">
      <c r="A62" s="857"/>
      <c r="B62" s="858"/>
      <c r="C62" s="1061" t="s">
        <v>2856</v>
      </c>
      <c r="D62" s="1068" t="s">
        <v>314</v>
      </c>
      <c r="E62" s="1064">
        <v>13</v>
      </c>
      <c r="F62" s="1121" t="s">
        <v>2104</v>
      </c>
      <c r="G62" s="1150">
        <f t="shared" si="2"/>
        <v>0</v>
      </c>
      <c r="H62" s="1037"/>
      <c r="I62" s="899"/>
    </row>
    <row r="63" spans="1:9" s="447" customFormat="1" ht="13.5" customHeight="1">
      <c r="A63" s="857"/>
      <c r="B63" s="858"/>
      <c r="C63" s="1061" t="s">
        <v>2857</v>
      </c>
      <c r="D63" s="1068" t="s">
        <v>314</v>
      </c>
      <c r="E63" s="1064">
        <v>15</v>
      </c>
      <c r="F63" s="1121" t="s">
        <v>2105</v>
      </c>
      <c r="G63" s="1150">
        <f t="shared" si="2"/>
        <v>0</v>
      </c>
      <c r="H63" s="1037"/>
      <c r="I63" s="899"/>
    </row>
    <row r="64" spans="1:9" s="447" customFormat="1" ht="13.5" customHeight="1">
      <c r="A64" s="857"/>
      <c r="B64" s="858"/>
      <c r="C64" s="1061" t="s">
        <v>2858</v>
      </c>
      <c r="D64" s="1068" t="s">
        <v>314</v>
      </c>
      <c r="E64" s="1064">
        <v>17</v>
      </c>
      <c r="F64" s="1121" t="s">
        <v>2106</v>
      </c>
      <c r="G64" s="1150">
        <f t="shared" si="2"/>
        <v>0</v>
      </c>
      <c r="H64" s="1037"/>
      <c r="I64" s="899"/>
    </row>
    <row r="65" spans="1:10" s="447" customFormat="1" ht="13.5" customHeight="1">
      <c r="A65" s="857"/>
      <c r="B65" s="858"/>
      <c r="C65" s="1061" t="s">
        <v>2859</v>
      </c>
      <c r="D65" s="1068" t="s">
        <v>314</v>
      </c>
      <c r="E65" s="1064">
        <v>15</v>
      </c>
      <c r="F65" s="1121" t="s">
        <v>2107</v>
      </c>
      <c r="G65" s="1150">
        <f t="shared" si="2"/>
        <v>0</v>
      </c>
      <c r="H65" s="1037"/>
      <c r="I65" s="899"/>
    </row>
    <row r="66" spans="1:10" ht="13.5" customHeight="1">
      <c r="A66" s="857"/>
      <c r="B66" s="858"/>
      <c r="C66" s="1061" t="s">
        <v>2860</v>
      </c>
      <c r="D66" s="1063"/>
      <c r="E66" s="1064">
        <v>8</v>
      </c>
      <c r="F66" s="1117" t="s">
        <v>2108</v>
      </c>
      <c r="G66" s="1150">
        <f t="shared" si="2"/>
        <v>0</v>
      </c>
      <c r="H66" s="1037"/>
      <c r="I66" s="899"/>
    </row>
    <row r="67" spans="1:10" s="447" customFormat="1" ht="13.5" customHeight="1">
      <c r="A67" s="857"/>
      <c r="B67" s="858"/>
      <c r="C67" s="1069" t="s">
        <v>2861</v>
      </c>
      <c r="D67" s="1070" t="s">
        <v>2072</v>
      </c>
      <c r="E67" s="1071">
        <v>12</v>
      </c>
      <c r="F67" s="1121" t="s">
        <v>2109</v>
      </c>
      <c r="G67" s="1150">
        <f t="shared" ca="1" si="2"/>
        <v>0</v>
      </c>
      <c r="H67" s="1033">
        <f ca="1">IFERROR(SUMIF(INDIRECT(H$3&amp;"!$ｎ:$ｎ"),入力規則マスタ!$J3,INDIRECT(H$3&amp;"!$i:$i")),0)</f>
        <v>0</v>
      </c>
      <c r="I67" s="480">
        <f ca="1">IFERROR(SUMIF(INDIRECT(I$3&amp;"!$ｎ:$ｎ"),入力規則マスタ!$J3,INDIRECT(I$3&amp;"!$i:$i")),0)</f>
        <v>0</v>
      </c>
    </row>
    <row r="68" spans="1:10" s="447" customFormat="1" ht="13.5" customHeight="1">
      <c r="A68" s="857"/>
      <c r="B68" s="858"/>
      <c r="C68" s="1069" t="s">
        <v>2862</v>
      </c>
      <c r="D68" s="1070" t="s">
        <v>2072</v>
      </c>
      <c r="E68" s="1071">
        <v>15</v>
      </c>
      <c r="F68" s="1121" t="s">
        <v>2110</v>
      </c>
      <c r="G68" s="1150">
        <f t="shared" ca="1" si="2"/>
        <v>0</v>
      </c>
      <c r="H68" s="1033">
        <f ca="1">IFERROR(SUMIF(INDIRECT(H$3&amp;"!$ｎ:$ｎ"),入力規則マスタ!$J4,INDIRECT(H$3&amp;"!$i:$i")),0)</f>
        <v>0</v>
      </c>
      <c r="I68" s="480">
        <f ca="1">IFERROR(SUMIF(INDIRECT(I$3&amp;"!$ｎ:$ｎ"),入力規則マスタ!$J4,INDIRECT(I$3&amp;"!$i:$i")),0)</f>
        <v>0</v>
      </c>
    </row>
    <row r="69" spans="1:10" s="447" customFormat="1" ht="13.5" customHeight="1">
      <c r="A69" s="857"/>
      <c r="B69" s="858"/>
      <c r="C69" s="1069" t="s">
        <v>2863</v>
      </c>
      <c r="D69" s="1070" t="s">
        <v>2072</v>
      </c>
      <c r="E69" s="1071">
        <v>8</v>
      </c>
      <c r="F69" s="1121" t="s">
        <v>2756</v>
      </c>
      <c r="G69" s="1150">
        <f t="shared" ca="1" si="2"/>
        <v>0</v>
      </c>
      <c r="H69" s="1033">
        <f ca="1">IFERROR(SUMIF(INDIRECT(H$3&amp;"!$ｎ:$ｎ"),入力規則マスタ!$J5,INDIRECT(H$3&amp;"!$i:$i")),0)</f>
        <v>0</v>
      </c>
      <c r="I69" s="480">
        <f ca="1">IFERROR(SUMIF(INDIRECT(I$3&amp;"!$ｎ:$ｎ"),入力規則マスタ!$J5,INDIRECT(I$3&amp;"!$i:$i")),0)</f>
        <v>0</v>
      </c>
    </row>
    <row r="70" spans="1:10" s="447" customFormat="1" ht="13.5" customHeight="1">
      <c r="A70" s="857"/>
      <c r="B70" s="858"/>
      <c r="C70" s="1069" t="s">
        <v>2864</v>
      </c>
      <c r="D70" s="1070" t="s">
        <v>2072</v>
      </c>
      <c r="E70" s="1071">
        <v>3</v>
      </c>
      <c r="F70" s="1121" t="s">
        <v>2757</v>
      </c>
      <c r="G70" s="1150">
        <f t="shared" ca="1" si="2"/>
        <v>0</v>
      </c>
      <c r="H70" s="1033">
        <f ca="1">IFERROR(SUMIF(INDIRECT(H$3&amp;"!$ｎ:$ｎ"),入力規則マスタ!$J6,INDIRECT(H$3&amp;"!$i:$i")),0)</f>
        <v>0</v>
      </c>
      <c r="I70" s="480">
        <f ca="1">IFERROR(SUMIF(INDIRECT(I$3&amp;"!$ｎ:$ｎ"),入力規則マスタ!$J6,INDIRECT(I$3&amp;"!$i:$i")),0)</f>
        <v>0</v>
      </c>
    </row>
    <row r="71" spans="1:10" s="447" customFormat="1" ht="13.5" customHeight="1">
      <c r="A71" s="857"/>
      <c r="B71" s="858"/>
      <c r="C71" s="1069" t="s">
        <v>2865</v>
      </c>
      <c r="D71" s="1070" t="s">
        <v>2072</v>
      </c>
      <c r="E71" s="1071">
        <v>3</v>
      </c>
      <c r="F71" s="1121" t="s">
        <v>2676</v>
      </c>
      <c r="G71" s="1150">
        <f t="shared" ca="1" si="2"/>
        <v>0</v>
      </c>
      <c r="H71" s="1033">
        <f ca="1">IFERROR(SUMIF(INDIRECT(H$3&amp;"!$ｎ:$ｎ"),入力規則マスタ!$J7,INDIRECT(H$3&amp;"!$i:$i")),0)</f>
        <v>0</v>
      </c>
      <c r="I71" s="480">
        <f ca="1">IFERROR(SUMIF(INDIRECT(I$3&amp;"!$ｎ:$ｎ"),入力規則マスタ!$J7,INDIRECT(I$3&amp;"!$i:$i")),0)</f>
        <v>0</v>
      </c>
    </row>
    <row r="72" spans="1:10" s="447" customFormat="1" ht="13.5" customHeight="1">
      <c r="A72" s="857"/>
      <c r="B72" s="866"/>
      <c r="C72" s="1069" t="s">
        <v>2866</v>
      </c>
      <c r="D72" s="1070" t="s">
        <v>2072</v>
      </c>
      <c r="E72" s="1071">
        <v>15</v>
      </c>
      <c r="F72" s="1121" t="s">
        <v>2677</v>
      </c>
      <c r="G72" s="1150">
        <f t="shared" ca="1" si="2"/>
        <v>0</v>
      </c>
      <c r="H72" s="1033">
        <f ca="1">IFERROR(SUMIF(INDIRECT(H$3&amp;"!$ｎ:$ｎ"),入力規則マスタ!$J8,INDIRECT(H$3&amp;"!$i:$i")),0)</f>
        <v>0</v>
      </c>
      <c r="I72" s="480">
        <f ca="1">IFERROR(SUMIF(INDIRECT(I$3&amp;"!$ｎ:$ｎ"),入力規則マスタ!$J8,INDIRECT(I$3&amp;"!$i:$i")),0)</f>
        <v>0</v>
      </c>
    </row>
    <row r="73" spans="1:10" s="447" customFormat="1" ht="13.5" customHeight="1">
      <c r="A73" s="857"/>
      <c r="B73" s="858"/>
      <c r="C73" s="1069" t="s">
        <v>2911</v>
      </c>
      <c r="D73" s="1070" t="s">
        <v>2072</v>
      </c>
      <c r="E73" s="1071">
        <v>18</v>
      </c>
      <c r="F73" s="1121" t="s">
        <v>2678</v>
      </c>
      <c r="G73" s="1150">
        <f t="shared" ca="1" si="2"/>
        <v>0</v>
      </c>
      <c r="H73" s="1033">
        <f ca="1">IFERROR(SUMIF(INDIRECT(H$3&amp;"!$ｎ:$ｎ"),入力規則マスタ!$J9,INDIRECT(H$3&amp;"!$i:$i")),0)</f>
        <v>0</v>
      </c>
      <c r="I73" s="480">
        <f ca="1">IFERROR(SUMIF(INDIRECT(I$3&amp;"!$ｎ:$ｎ"),入力規則マスタ!$J9,INDIRECT(I$3&amp;"!$i:$i")),0)</f>
        <v>0</v>
      </c>
    </row>
    <row r="74" spans="1:10" s="447" customFormat="1" ht="13.5" customHeight="1">
      <c r="A74" s="857"/>
      <c r="B74" s="858"/>
      <c r="C74" s="1069" t="s">
        <v>2912</v>
      </c>
      <c r="D74" s="1070" t="s">
        <v>2072</v>
      </c>
      <c r="E74" s="1071">
        <v>18</v>
      </c>
      <c r="F74" s="1121" t="s">
        <v>2679</v>
      </c>
      <c r="G74" s="1150">
        <f t="shared" ca="1" si="2"/>
        <v>0</v>
      </c>
      <c r="H74" s="1033">
        <f ca="1">IFERROR(SUMIF(INDIRECT(H$3&amp;"!$ｎ:$ｎ"),入力規則マスタ!$J10,INDIRECT(H$3&amp;"!$i:$i")),0)</f>
        <v>0</v>
      </c>
      <c r="I74" s="480">
        <f ca="1">IFERROR(SUMIF(INDIRECT(I$3&amp;"!$ｎ:$ｎ"),入力規則マスタ!$J10,INDIRECT(I$3&amp;"!$i:$i")),0)</f>
        <v>0</v>
      </c>
    </row>
    <row r="75" spans="1:10" s="447" customFormat="1" ht="13.5" customHeight="1">
      <c r="A75" s="857"/>
      <c r="B75" s="858"/>
      <c r="C75" s="1069" t="s">
        <v>2913</v>
      </c>
      <c r="D75" s="1070" t="s">
        <v>2072</v>
      </c>
      <c r="E75" s="1071">
        <v>18</v>
      </c>
      <c r="F75" s="1121" t="s">
        <v>2680</v>
      </c>
      <c r="G75" s="1150">
        <f t="shared" ca="1" si="2"/>
        <v>0</v>
      </c>
      <c r="H75" s="1033">
        <f ca="1">IFERROR(SUMIF(INDIRECT(H$3&amp;"!$ｎ:$ｎ"),入力規則マスタ!$J11,INDIRECT(H$3&amp;"!$i:$i")),0)</f>
        <v>0</v>
      </c>
      <c r="I75" s="480">
        <f ca="1">IFERROR(SUMIF(INDIRECT(I$3&amp;"!$ｎ:$ｎ"),入力規則マスタ!$J11,INDIRECT(I$3&amp;"!$i:$i")),0)</f>
        <v>0</v>
      </c>
    </row>
    <row r="76" spans="1:10" s="447" customFormat="1" ht="13.5" customHeight="1">
      <c r="A76" s="857"/>
      <c r="B76" s="858"/>
      <c r="C76" s="1069" t="s">
        <v>2914</v>
      </c>
      <c r="D76" s="1070" t="s">
        <v>2072</v>
      </c>
      <c r="E76" s="1072">
        <v>10</v>
      </c>
      <c r="F76" s="1121" t="s">
        <v>2681</v>
      </c>
      <c r="G76" s="1150">
        <f t="shared" ca="1" si="2"/>
        <v>0</v>
      </c>
      <c r="H76" s="1033">
        <f ca="1">IFERROR(SUMIF(INDIRECT(H$3&amp;"!$ｎ:$ｎ"),入力規則マスタ!$J12,INDIRECT(H$3&amp;"!$i:$i")),0)</f>
        <v>0</v>
      </c>
      <c r="I76" s="480">
        <f ca="1">IFERROR(SUMIF(INDIRECT(I$3&amp;"!$ｎ:$ｎ"),入力規則マスタ!$J12,INDIRECT(I$3&amp;"!$i:$i")),0)</f>
        <v>0</v>
      </c>
    </row>
    <row r="77" spans="1:10" s="447" customFormat="1" ht="13.5" customHeight="1">
      <c r="A77" s="857"/>
      <c r="B77" s="858"/>
      <c r="C77" s="1069" t="s">
        <v>2915</v>
      </c>
      <c r="D77" s="1070" t="s">
        <v>2072</v>
      </c>
      <c r="E77" s="1072">
        <v>10</v>
      </c>
      <c r="F77" s="1121" t="s">
        <v>2682</v>
      </c>
      <c r="G77" s="1150">
        <f t="shared" ca="1" si="2"/>
        <v>0</v>
      </c>
      <c r="H77" s="1033">
        <f ca="1">IFERROR(SUMIF(INDIRECT(H$3&amp;"!$ｎ:$ｎ"),入力規則マスタ!$J13,INDIRECT(H$3&amp;"!$i:$i")),0)</f>
        <v>0</v>
      </c>
      <c r="I77" s="480">
        <f ca="1">IFERROR(SUMIF(INDIRECT(I$3&amp;"!$ｎ:$ｎ"),入力規則マスタ!$J13,INDIRECT(I$3&amp;"!$i:$i")),0)</f>
        <v>0</v>
      </c>
    </row>
    <row r="78" spans="1:10" s="447" customFormat="1" ht="13.5" customHeight="1">
      <c r="A78" s="857"/>
      <c r="B78" s="858"/>
      <c r="C78" s="1069"/>
      <c r="D78" s="1070"/>
      <c r="E78" s="1072"/>
      <c r="F78" s="1121"/>
      <c r="G78" s="1150">
        <f t="shared" si="2"/>
        <v>0</v>
      </c>
      <c r="H78" s="1033"/>
      <c r="I78" s="480"/>
    </row>
    <row r="79" spans="1:10" ht="13.5" customHeight="1">
      <c r="A79" s="867"/>
      <c r="B79" s="868"/>
      <c r="C79" s="446"/>
      <c r="D79" s="446"/>
      <c r="E79" s="467"/>
      <c r="F79" s="1122" t="s">
        <v>1988</v>
      </c>
      <c r="G79" s="1143">
        <f t="shared" ca="1" si="2"/>
        <v>0</v>
      </c>
      <c r="H79" s="1038">
        <f ca="1">IF(H$4="費用",0,SUM(H23:H78))</f>
        <v>0</v>
      </c>
      <c r="I79" s="481">
        <f ca="1">IF(I$4="費用",0,SUM(I23:I78))</f>
        <v>0</v>
      </c>
    </row>
    <row r="80" spans="1:10" s="440" customFormat="1" ht="13.5" customHeight="1">
      <c r="A80" s="869" t="s">
        <v>2053</v>
      </c>
      <c r="B80" s="870"/>
      <c r="C80" s="443"/>
      <c r="D80" s="432"/>
      <c r="E80" s="1501" t="s">
        <v>1981</v>
      </c>
      <c r="F80" s="1114"/>
      <c r="G80" s="1154" t="s">
        <v>1991</v>
      </c>
      <c r="H80" s="1035" t="s">
        <v>2071</v>
      </c>
      <c r="I80" s="478" t="s">
        <v>2071</v>
      </c>
      <c r="J80" s="905"/>
    </row>
    <row r="81" spans="1:10" s="440" customFormat="1" ht="13.5" customHeight="1">
      <c r="A81" s="865"/>
      <c r="B81" s="1493" t="s">
        <v>2258</v>
      </c>
      <c r="C81" s="1494"/>
      <c r="D81" s="1495"/>
      <c r="E81" s="1502"/>
      <c r="F81" s="1115"/>
      <c r="G81" s="1156" t="s">
        <v>1992</v>
      </c>
      <c r="H81" s="1039" t="str">
        <f>入力規則マスタ!$L$3</f>
        <v>024雑設備</v>
      </c>
      <c r="I81" s="482" t="str">
        <f>入力規則マスタ!$L$3</f>
        <v>024雑設備</v>
      </c>
      <c r="J81" s="905"/>
    </row>
    <row r="82" spans="1:10" ht="13.5" customHeight="1">
      <c r="A82" s="857"/>
      <c r="B82" s="866"/>
      <c r="C82" s="445" t="s">
        <v>2078</v>
      </c>
      <c r="D82" s="445"/>
      <c r="E82" s="454">
        <v>32</v>
      </c>
      <c r="F82" s="1116"/>
      <c r="G82" s="1150">
        <f>SUM(H82:J82)</f>
        <v>0</v>
      </c>
      <c r="H82" s="1033">
        <f>SUM(H83:H84)</f>
        <v>0</v>
      </c>
      <c r="I82" s="480">
        <f>SUM(I83:I84)</f>
        <v>0</v>
      </c>
    </row>
    <row r="83" spans="1:10" ht="13.5" customHeight="1">
      <c r="A83" s="857"/>
      <c r="B83" s="858"/>
      <c r="C83" s="1062" t="s">
        <v>2083</v>
      </c>
      <c r="D83" s="1063" t="s">
        <v>1997</v>
      </c>
      <c r="E83" s="1064"/>
      <c r="F83" s="1117" t="s">
        <v>2074</v>
      </c>
      <c r="G83" s="1150">
        <f>SUM(H83:J83)</f>
        <v>0</v>
      </c>
      <c r="H83" s="1037"/>
      <c r="I83" s="899"/>
    </row>
    <row r="84" spans="1:10" ht="13.5" customHeight="1">
      <c r="A84" s="857"/>
      <c r="B84" s="858"/>
      <c r="C84" s="1073" t="s">
        <v>2002</v>
      </c>
      <c r="D84" s="1074" t="s">
        <v>2111</v>
      </c>
      <c r="E84" s="1075"/>
      <c r="F84" s="1123" t="s">
        <v>2111</v>
      </c>
      <c r="G84" s="1157">
        <f>SUM(H84:J84)</f>
        <v>0</v>
      </c>
      <c r="H84" s="1040"/>
      <c r="I84" s="900"/>
    </row>
    <row r="85" spans="1:10" ht="13.5" customHeight="1">
      <c r="A85" s="857"/>
      <c r="B85" s="858"/>
      <c r="C85" s="496"/>
      <c r="D85" s="497"/>
      <c r="E85" s="498"/>
      <c r="F85" s="1124"/>
      <c r="G85" s="1154" t="s">
        <v>1991</v>
      </c>
      <c r="H85" s="1041" t="s">
        <v>2071</v>
      </c>
      <c r="I85" s="499" t="s">
        <v>2071</v>
      </c>
    </row>
    <row r="86" spans="1:10" ht="13.5" customHeight="1">
      <c r="A86" s="857"/>
      <c r="B86" s="858"/>
      <c r="C86" s="457"/>
      <c r="D86" s="458"/>
      <c r="E86" s="459"/>
      <c r="F86" s="1125"/>
      <c r="G86" s="1156" t="s">
        <v>1990</v>
      </c>
      <c r="H86" s="1036"/>
      <c r="I86" s="883"/>
    </row>
    <row r="87" spans="1:10" ht="13.5" customHeight="1">
      <c r="A87" s="857"/>
      <c r="B87" s="858"/>
      <c r="C87" s="1076" t="s">
        <v>2112</v>
      </c>
      <c r="D87" s="1076"/>
      <c r="E87" s="1077"/>
      <c r="F87" s="1126"/>
      <c r="G87" s="1144"/>
      <c r="H87" s="1027"/>
      <c r="I87" s="483"/>
    </row>
    <row r="88" spans="1:10" ht="13.5" customHeight="1">
      <c r="A88" s="857"/>
      <c r="B88" s="858"/>
      <c r="C88" s="1062" t="s">
        <v>2113</v>
      </c>
      <c r="D88" s="1063" t="s">
        <v>1997</v>
      </c>
      <c r="E88" s="1064">
        <v>15</v>
      </c>
      <c r="F88" s="1117" t="s">
        <v>1998</v>
      </c>
      <c r="G88" s="1150">
        <f t="shared" ref="G88:G99" si="3">SUM(H88:J88)</f>
        <v>0</v>
      </c>
      <c r="H88" s="1037"/>
      <c r="I88" s="899"/>
    </row>
    <row r="89" spans="1:10" ht="13.5" customHeight="1">
      <c r="A89" s="857"/>
      <c r="B89" s="858"/>
      <c r="C89" s="1062" t="s">
        <v>2002</v>
      </c>
      <c r="D89" s="1063" t="s">
        <v>1997</v>
      </c>
      <c r="E89" s="1064">
        <v>10</v>
      </c>
      <c r="F89" s="1117" t="s">
        <v>1999</v>
      </c>
      <c r="G89" s="1150">
        <f t="shared" si="3"/>
        <v>0</v>
      </c>
      <c r="H89" s="1037"/>
      <c r="I89" s="899"/>
    </row>
    <row r="90" spans="1:10" ht="13.5" customHeight="1">
      <c r="A90" s="857"/>
      <c r="B90" s="858"/>
      <c r="C90" s="1062" t="s">
        <v>2003</v>
      </c>
      <c r="D90" s="1063" t="s">
        <v>1997</v>
      </c>
      <c r="E90" s="1064">
        <v>3</v>
      </c>
      <c r="F90" s="1121" t="s">
        <v>2000</v>
      </c>
      <c r="G90" s="1150">
        <f t="shared" si="3"/>
        <v>0</v>
      </c>
      <c r="H90" s="1037"/>
      <c r="I90" s="899"/>
    </row>
    <row r="91" spans="1:10" ht="13.5" customHeight="1">
      <c r="A91" s="857"/>
      <c r="B91" s="858"/>
      <c r="C91" s="1062" t="s">
        <v>2004</v>
      </c>
      <c r="D91" s="1063" t="s">
        <v>2114</v>
      </c>
      <c r="E91" s="1064">
        <v>30</v>
      </c>
      <c r="F91" s="1121" t="s">
        <v>2008</v>
      </c>
      <c r="G91" s="1150">
        <f t="shared" si="3"/>
        <v>0</v>
      </c>
      <c r="H91" s="1037"/>
      <c r="I91" s="899"/>
    </row>
    <row r="92" spans="1:10" ht="13.5" customHeight="1">
      <c r="A92" s="857"/>
      <c r="B92" s="858"/>
      <c r="C92" s="1062" t="s">
        <v>2005</v>
      </c>
      <c r="D92" s="1063" t="s">
        <v>2001</v>
      </c>
      <c r="E92" s="1064">
        <v>60</v>
      </c>
      <c r="F92" s="1121" t="s">
        <v>2008</v>
      </c>
      <c r="G92" s="1150">
        <f t="shared" si="3"/>
        <v>0</v>
      </c>
      <c r="H92" s="1037"/>
      <c r="I92" s="899"/>
    </row>
    <row r="93" spans="1:10" ht="13.5" customHeight="1">
      <c r="A93" s="857"/>
      <c r="B93" s="858"/>
      <c r="C93" s="1062" t="s">
        <v>2006</v>
      </c>
      <c r="D93" s="1063" t="s">
        <v>2114</v>
      </c>
      <c r="E93" s="1064">
        <v>15</v>
      </c>
      <c r="F93" s="1121" t="s">
        <v>2009</v>
      </c>
      <c r="G93" s="1150">
        <f t="shared" si="3"/>
        <v>0</v>
      </c>
      <c r="H93" s="1037"/>
      <c r="I93" s="899"/>
    </row>
    <row r="94" spans="1:10" ht="13.5" customHeight="1">
      <c r="A94" s="857"/>
      <c r="B94" s="858"/>
      <c r="C94" s="1062" t="s">
        <v>2007</v>
      </c>
      <c r="D94" s="1063" t="s">
        <v>2001</v>
      </c>
      <c r="E94" s="1064">
        <v>40</v>
      </c>
      <c r="F94" s="1121" t="s">
        <v>2009</v>
      </c>
      <c r="G94" s="1150">
        <f t="shared" si="3"/>
        <v>0</v>
      </c>
      <c r="H94" s="1037"/>
      <c r="I94" s="899"/>
    </row>
    <row r="95" spans="1:10" ht="13.5" customHeight="1">
      <c r="A95" s="857"/>
      <c r="B95" s="858"/>
      <c r="C95" s="1062" t="s">
        <v>2010</v>
      </c>
      <c r="D95" s="1063" t="s">
        <v>2114</v>
      </c>
      <c r="E95" s="1064">
        <v>10</v>
      </c>
      <c r="F95" s="1121" t="s">
        <v>2012</v>
      </c>
      <c r="G95" s="1150">
        <f t="shared" si="3"/>
        <v>0</v>
      </c>
      <c r="H95" s="1037"/>
      <c r="I95" s="899"/>
    </row>
    <row r="96" spans="1:10" ht="13.5" customHeight="1">
      <c r="A96" s="857"/>
      <c r="B96" s="858"/>
      <c r="C96" s="1062" t="s">
        <v>2011</v>
      </c>
      <c r="D96" s="1063" t="s">
        <v>2001</v>
      </c>
      <c r="E96" s="1064">
        <v>45</v>
      </c>
      <c r="F96" s="1121" t="s">
        <v>2012</v>
      </c>
      <c r="G96" s="1150">
        <f t="shared" si="3"/>
        <v>0</v>
      </c>
      <c r="H96" s="1037"/>
      <c r="I96" s="899"/>
    </row>
    <row r="97" spans="1:10" ht="13.5" customHeight="1">
      <c r="A97" s="857"/>
      <c r="B97" s="858"/>
      <c r="C97" s="1062" t="s">
        <v>2115</v>
      </c>
      <c r="D97" s="1063" t="s">
        <v>2114</v>
      </c>
      <c r="E97" s="1064">
        <v>10</v>
      </c>
      <c r="F97" s="1121" t="s">
        <v>2013</v>
      </c>
      <c r="G97" s="1150">
        <f t="shared" si="3"/>
        <v>0</v>
      </c>
      <c r="H97" s="1037"/>
      <c r="I97" s="899"/>
    </row>
    <row r="98" spans="1:10" ht="13.5" customHeight="1">
      <c r="A98" s="857"/>
      <c r="B98" s="858"/>
      <c r="C98" s="1062" t="s">
        <v>2116</v>
      </c>
      <c r="D98" s="1063" t="s">
        <v>2001</v>
      </c>
      <c r="E98" s="1064">
        <v>15</v>
      </c>
      <c r="F98" s="1121" t="s">
        <v>2013</v>
      </c>
      <c r="G98" s="1150">
        <f t="shared" si="3"/>
        <v>0</v>
      </c>
      <c r="H98" s="1037"/>
      <c r="I98" s="899"/>
    </row>
    <row r="99" spans="1:10" ht="13.5" customHeight="1">
      <c r="A99" s="867"/>
      <c r="B99" s="868"/>
      <c r="C99" s="446"/>
      <c r="D99" s="446"/>
      <c r="E99" s="467"/>
      <c r="F99" s="1122" t="s">
        <v>1996</v>
      </c>
      <c r="G99" s="1143">
        <f t="shared" si="3"/>
        <v>0</v>
      </c>
      <c r="H99" s="1038">
        <f>IF(H$4="費用",0,SUM(H82,H88:H98))</f>
        <v>0</v>
      </c>
      <c r="I99" s="481">
        <f>IF(I$4="費用",0,SUM(I82,I88:I98))</f>
        <v>0</v>
      </c>
    </row>
    <row r="100" spans="1:10" ht="13.5" customHeight="1">
      <c r="A100" s="857"/>
      <c r="B100" s="866"/>
      <c r="C100" s="444"/>
      <c r="D100" s="444"/>
      <c r="E100" s="444"/>
      <c r="F100" s="466"/>
      <c r="G100" s="1158"/>
      <c r="H100" s="484"/>
      <c r="I100" s="484"/>
    </row>
    <row r="101" spans="1:10" ht="13.5" customHeight="1">
      <c r="A101" s="1078"/>
      <c r="B101" s="871"/>
      <c r="C101" s="462"/>
      <c r="D101" s="462"/>
      <c r="E101" s="462"/>
      <c r="F101" s="453"/>
      <c r="G101" s="1159"/>
      <c r="H101" s="485"/>
      <c r="I101" s="485"/>
    </row>
    <row r="102" spans="1:10" s="440" customFormat="1" ht="13.5" customHeight="1">
      <c r="A102" s="872" t="s">
        <v>2054</v>
      </c>
      <c r="B102" s="870"/>
      <c r="C102" s="443"/>
      <c r="D102" s="432"/>
      <c r="E102" s="1501" t="s">
        <v>1981</v>
      </c>
      <c r="F102" s="1114"/>
      <c r="G102" s="1154" t="s">
        <v>1991</v>
      </c>
      <c r="H102" s="1035" t="s">
        <v>2117</v>
      </c>
      <c r="I102" s="478" t="s">
        <v>2117</v>
      </c>
      <c r="J102" s="905"/>
    </row>
    <row r="103" spans="1:10" s="440" customFormat="1" ht="13.5" customHeight="1">
      <c r="A103" s="865"/>
      <c r="B103" s="1493" t="s">
        <v>2258</v>
      </c>
      <c r="C103" s="1494"/>
      <c r="D103" s="1495"/>
      <c r="E103" s="1502"/>
      <c r="F103" s="1115"/>
      <c r="G103" s="1156" t="s">
        <v>1992</v>
      </c>
      <c r="H103" s="1039" t="s">
        <v>2118</v>
      </c>
      <c r="I103" s="482" t="s">
        <v>2118</v>
      </c>
      <c r="J103" s="905"/>
    </row>
    <row r="104" spans="1:10" ht="13.5" customHeight="1">
      <c r="A104" s="857"/>
      <c r="B104" s="858"/>
      <c r="C104" s="1079" t="s">
        <v>669</v>
      </c>
      <c r="D104" s="1080" t="s">
        <v>2919</v>
      </c>
      <c r="E104" s="1071">
        <v>10</v>
      </c>
      <c r="F104" s="1127" t="s">
        <v>2917</v>
      </c>
      <c r="G104" s="1150">
        <f t="shared" ref="G104:G115" ca="1" si="4">SUM(H104:J104)</f>
        <v>0</v>
      </c>
      <c r="H104" s="1033">
        <f ca="1">IFERROR(SUMIF(INDIRECT(H$3&amp;"!$ｎ:$ｎ"),入力規則マスタ!$J14,INDIRECT(H$3&amp;"!$i:$i")),0)</f>
        <v>0</v>
      </c>
      <c r="I104" s="480">
        <f ca="1">IFERROR(SUMIF(INDIRECT(I$3&amp;"!$ｎ:$ｎ"),入力規則マスタ!$J14,INDIRECT(I$3&amp;"!$i:$i")),0)</f>
        <v>0</v>
      </c>
    </row>
    <row r="105" spans="1:10" ht="13.5" customHeight="1">
      <c r="A105" s="857"/>
      <c r="B105" s="858"/>
      <c r="C105" s="1079" t="s">
        <v>669</v>
      </c>
      <c r="D105" s="1080" t="s">
        <v>2919</v>
      </c>
      <c r="E105" s="1071">
        <v>10</v>
      </c>
      <c r="F105" s="1127" t="s">
        <v>2749</v>
      </c>
      <c r="G105" s="1150">
        <f t="shared" ca="1" si="4"/>
        <v>0</v>
      </c>
      <c r="H105" s="1033">
        <f ca="1">IFERROR(SUMIF(INDIRECT(H$3&amp;"!$ｎ:$ｎ"),入力規則マスタ!$J15,INDIRECT(H$3&amp;"!$i:$i")),0)</f>
        <v>0</v>
      </c>
      <c r="I105" s="480">
        <f ca="1">IFERROR(SUMIF(INDIRECT(I$3&amp;"!$ｎ:$ｎ"),入力規則マスタ!$J15,INDIRECT(I$3&amp;"!$i:$i")),0)</f>
        <v>0</v>
      </c>
    </row>
    <row r="106" spans="1:10" ht="13.5" customHeight="1">
      <c r="A106" s="857"/>
      <c r="B106" s="858"/>
      <c r="C106" s="1079" t="s">
        <v>669</v>
      </c>
      <c r="D106" s="1080" t="s">
        <v>2919</v>
      </c>
      <c r="E106" s="1071">
        <v>10</v>
      </c>
      <c r="F106" s="1127" t="s">
        <v>2750</v>
      </c>
      <c r="G106" s="1150">
        <f t="shared" ca="1" si="4"/>
        <v>0</v>
      </c>
      <c r="H106" s="1033">
        <f ca="1">IFERROR(SUMIF(INDIRECT(H$3&amp;"!$ｎ:$ｎ"),入力規則マスタ!$J16,INDIRECT(H$3&amp;"!$i:$i")),0)</f>
        <v>0</v>
      </c>
      <c r="I106" s="480">
        <f ca="1">IFERROR(SUMIF(INDIRECT(I$3&amp;"!$ｎ:$ｎ"),入力規則マスタ!$J16,INDIRECT(I$3&amp;"!$i:$i")),0)</f>
        <v>0</v>
      </c>
    </row>
    <row r="107" spans="1:10" s="447" customFormat="1" ht="13.5" customHeight="1">
      <c r="A107" s="857"/>
      <c r="B107" s="858"/>
      <c r="C107" s="1079" t="s">
        <v>669</v>
      </c>
      <c r="D107" s="1080" t="s">
        <v>2919</v>
      </c>
      <c r="E107" s="1071">
        <v>10</v>
      </c>
      <c r="F107" s="1127" t="s">
        <v>2751</v>
      </c>
      <c r="G107" s="1150">
        <f t="shared" ca="1" si="4"/>
        <v>0</v>
      </c>
      <c r="H107" s="1033">
        <f ca="1">IFERROR(SUMIF(INDIRECT(H$3&amp;"!$ｎ:$ｎ"),入力規則マスタ!$J17,INDIRECT(H$3&amp;"!$i:$i")),0)</f>
        <v>0</v>
      </c>
      <c r="I107" s="480">
        <f ca="1">IFERROR(SUMIF(INDIRECT(I$3&amp;"!$ｎ:$ｎ"),入力規則マスタ!$J17,INDIRECT(I$3&amp;"!$i:$i")),0)</f>
        <v>0</v>
      </c>
    </row>
    <row r="108" spans="1:10" s="447" customFormat="1" ht="13.5" customHeight="1">
      <c r="A108" s="857"/>
      <c r="B108" s="858"/>
      <c r="C108" s="1079" t="s">
        <v>669</v>
      </c>
      <c r="D108" s="1080" t="s">
        <v>2014</v>
      </c>
      <c r="E108" s="1071">
        <v>5</v>
      </c>
      <c r="F108" s="1127"/>
      <c r="G108" s="1150">
        <f t="shared" ca="1" si="4"/>
        <v>0</v>
      </c>
      <c r="H108" s="1033">
        <f ca="1">IFERROR(SUMIF(INDIRECT(H$3&amp;"!$ｎ:$ｎ"),入力規則マスタ!$J18,INDIRECT(H$3&amp;"!$i:$i")),0)</f>
        <v>0</v>
      </c>
      <c r="I108" s="480">
        <f ca="1">IFERROR(SUMIF(INDIRECT(I$3&amp;"!$ｎ:$ｎ"),入力規則マスタ!$J18,INDIRECT(I$3&amp;"!$i:$i")),0)</f>
        <v>0</v>
      </c>
    </row>
    <row r="109" spans="1:10" ht="13.5" customHeight="1">
      <c r="A109" s="857"/>
      <c r="B109" s="858"/>
      <c r="C109" s="1082" t="s">
        <v>671</v>
      </c>
      <c r="D109" s="1080" t="s">
        <v>2919</v>
      </c>
      <c r="E109" s="1071">
        <v>5</v>
      </c>
      <c r="F109" s="1127" t="s">
        <v>2918</v>
      </c>
      <c r="G109" s="1150">
        <f t="shared" ca="1" si="4"/>
        <v>0</v>
      </c>
      <c r="H109" s="1033">
        <f ca="1">IFERROR(SUMIF(INDIRECT(H$3&amp;"!$ｎ:$ｎ"),入力規則マスタ!$J19,INDIRECT(H$3&amp;"!$i:$i")),0)</f>
        <v>0</v>
      </c>
      <c r="I109" s="480">
        <f ca="1">IFERROR(SUMIF(INDIRECT(I$3&amp;"!$ｎ:$ｎ"),入力規則マスタ!$J19,INDIRECT(I$3&amp;"!$i:$i")),0)</f>
        <v>0</v>
      </c>
    </row>
    <row r="110" spans="1:10" ht="13.5" customHeight="1">
      <c r="A110" s="857"/>
      <c r="B110" s="858"/>
      <c r="C110" s="1082" t="s">
        <v>671</v>
      </c>
      <c r="D110" s="1080" t="s">
        <v>2919</v>
      </c>
      <c r="E110" s="1071">
        <v>5</v>
      </c>
      <c r="F110" s="1127" t="s">
        <v>2753</v>
      </c>
      <c r="G110" s="1150">
        <f t="shared" ca="1" si="4"/>
        <v>0</v>
      </c>
      <c r="H110" s="1033">
        <f ca="1">IFERROR(SUMIF(INDIRECT(H$3&amp;"!$ｎ:$ｎ"),入力規則マスタ!$J20,INDIRECT(H$3&amp;"!$i:$i")),0)</f>
        <v>0</v>
      </c>
      <c r="I110" s="480">
        <f ca="1">IFERROR(SUMIF(INDIRECT(I$3&amp;"!$ｎ:$ｎ"),入力規則マスタ!$J20,INDIRECT(I$3&amp;"!$i:$i")),0)</f>
        <v>0</v>
      </c>
    </row>
    <row r="111" spans="1:10" ht="13.5" customHeight="1">
      <c r="A111" s="857"/>
      <c r="B111" s="858"/>
      <c r="C111" s="1082" t="s">
        <v>671</v>
      </c>
      <c r="D111" s="1080" t="s">
        <v>2919</v>
      </c>
      <c r="E111" s="1071">
        <v>5</v>
      </c>
      <c r="F111" s="1127" t="s">
        <v>2754</v>
      </c>
      <c r="G111" s="1150">
        <f t="shared" ca="1" si="4"/>
        <v>0</v>
      </c>
      <c r="H111" s="1033">
        <f ca="1">IFERROR(SUMIF(INDIRECT(H$3&amp;"!$ｎ:$ｎ"),入力規則マスタ!$J21,INDIRECT(H$3&amp;"!$i:$i")),0)</f>
        <v>0</v>
      </c>
      <c r="I111" s="480">
        <f ca="1">IFERROR(SUMIF(INDIRECT(I$3&amp;"!$ｎ:$ｎ"),入力規則マスタ!$J21,INDIRECT(I$3&amp;"!$i:$i")),0)</f>
        <v>0</v>
      </c>
    </row>
    <row r="112" spans="1:10" ht="13.5" customHeight="1">
      <c r="A112" s="857"/>
      <c r="B112" s="858"/>
      <c r="C112" s="1082" t="s">
        <v>671</v>
      </c>
      <c r="D112" s="1080" t="s">
        <v>2919</v>
      </c>
      <c r="E112" s="1071">
        <v>5</v>
      </c>
      <c r="F112" s="1127" t="s">
        <v>2755</v>
      </c>
      <c r="G112" s="1150">
        <f t="shared" ca="1" si="4"/>
        <v>0</v>
      </c>
      <c r="H112" s="1033">
        <f ca="1">IFERROR(SUMIF(INDIRECT(H$3&amp;"!$ｎ:$ｎ"),入力規則マスタ!$J22,INDIRECT(H$3&amp;"!$i:$i")),0)</f>
        <v>0</v>
      </c>
      <c r="I112" s="480">
        <f ca="1">IFERROR(SUMIF(INDIRECT(I$3&amp;"!$ｎ:$ｎ"),入力規則マスタ!$J22,INDIRECT(I$3&amp;"!$i:$i")),0)</f>
        <v>0</v>
      </c>
    </row>
    <row r="113" spans="1:9" ht="13.5" customHeight="1">
      <c r="A113" s="857"/>
      <c r="B113" s="858"/>
      <c r="C113" s="1083" t="s">
        <v>2119</v>
      </c>
      <c r="D113" s="1080" t="s">
        <v>2075</v>
      </c>
      <c r="E113" s="1071">
        <v>5</v>
      </c>
      <c r="F113" s="1127"/>
      <c r="G113" s="1150">
        <f t="shared" ca="1" si="4"/>
        <v>0</v>
      </c>
      <c r="H113" s="1033">
        <f ca="1">IFERROR(SUMIF(INDIRECT(H$3&amp;"!$ｎ:$ｎ"),入力規則マスタ!$J23,INDIRECT(H$3&amp;"!$i:$i")),0)</f>
        <v>0</v>
      </c>
      <c r="I113" s="480">
        <f ca="1">IFERROR(SUMIF(INDIRECT(I$3&amp;"!$ｎ:$ｎ"),入力規則マスタ!$J23,INDIRECT(I$3&amp;"!$i:$i")),0)</f>
        <v>0</v>
      </c>
    </row>
    <row r="114" spans="1:9" ht="13.5" customHeight="1">
      <c r="A114" s="857"/>
      <c r="B114" s="858"/>
      <c r="C114" s="1083" t="s">
        <v>2120</v>
      </c>
      <c r="D114" s="1080" t="s">
        <v>2076</v>
      </c>
      <c r="E114" s="1071">
        <v>10</v>
      </c>
      <c r="F114" s="1127"/>
      <c r="G114" s="1150">
        <f t="shared" ca="1" si="4"/>
        <v>0</v>
      </c>
      <c r="H114" s="1033">
        <f ca="1">IFERROR(SUMIF(INDIRECT(H$3&amp;"!$ｎ:$ｎ"),入力規則マスタ!$J24,INDIRECT(H$3&amp;"!$i:$i")),0)</f>
        <v>0</v>
      </c>
      <c r="I114" s="480">
        <f ca="1">IFERROR(SUMIF(INDIRECT(I$3&amp;"!$ｎ:$ｎ"),入力規則マスタ!$J24,INDIRECT(I$3&amp;"!$i:$i")),0)</f>
        <v>0</v>
      </c>
    </row>
    <row r="115" spans="1:9" ht="13.5" customHeight="1">
      <c r="A115" s="857"/>
      <c r="B115" s="858"/>
      <c r="C115" s="1083" t="s">
        <v>2121</v>
      </c>
      <c r="D115" s="1080" t="s">
        <v>2077</v>
      </c>
      <c r="E115" s="1071">
        <v>5</v>
      </c>
      <c r="F115" s="1127"/>
      <c r="G115" s="1150">
        <f t="shared" ca="1" si="4"/>
        <v>0</v>
      </c>
      <c r="H115" s="1033">
        <f ca="1">IFERROR(SUMIF(INDIRECT(H$3&amp;"!$ｎ:$ｎ"),入力規則マスタ!$J25,INDIRECT(H$3&amp;"!$i:$i")),0)</f>
        <v>0</v>
      </c>
      <c r="I115" s="480">
        <f ca="1">IFERROR(SUMIF(INDIRECT(I$3&amp;"!$ｎ:$ｎ"),入力規則マスタ!$J25,INDIRECT(I$3&amp;"!$i:$i")),0)</f>
        <v>0</v>
      </c>
    </row>
    <row r="116" spans="1:9" ht="13.5" customHeight="1">
      <c r="A116" s="857"/>
      <c r="B116" s="858"/>
      <c r="C116" s="1084"/>
      <c r="D116" s="1070"/>
      <c r="E116" s="1071"/>
      <c r="F116" s="1127"/>
      <c r="G116" s="1150"/>
      <c r="H116" s="1033"/>
      <c r="I116" s="480"/>
    </row>
    <row r="117" spans="1:9" ht="13.5" customHeight="1" thickBot="1">
      <c r="A117" s="873"/>
      <c r="B117" s="874"/>
      <c r="C117" s="448"/>
      <c r="D117" s="448"/>
      <c r="E117" s="448"/>
      <c r="F117" s="1128" t="s">
        <v>1989</v>
      </c>
      <c r="G117" s="1160">
        <f ca="1">SUM(H117:J117)</f>
        <v>0</v>
      </c>
      <c r="H117" s="1042">
        <f ca="1">SUM(H104:H116)</f>
        <v>0</v>
      </c>
      <c r="I117" s="486">
        <f ca="1">SUM(I104:I116)</f>
        <v>0</v>
      </c>
    </row>
    <row r="118" spans="1:9" ht="13.5" customHeight="1" thickTop="1">
      <c r="A118" s="875"/>
      <c r="B118" s="876"/>
      <c r="C118" s="449"/>
      <c r="D118" s="449"/>
      <c r="E118" s="449"/>
      <c r="F118" s="1129" t="s">
        <v>2122</v>
      </c>
      <c r="G118" s="1161">
        <f ca="1">SUM(H118:J118)</f>
        <v>0</v>
      </c>
      <c r="H118" s="1043">
        <f ca="1">+H117+H79+H99</f>
        <v>0</v>
      </c>
      <c r="I118" s="487">
        <f ca="1">+I117+I79+I99</f>
        <v>0</v>
      </c>
    </row>
    <row r="119" spans="1:9" ht="13.5" customHeight="1">
      <c r="A119" s="858"/>
      <c r="B119" s="866"/>
      <c r="C119" s="444"/>
      <c r="D119" s="444"/>
      <c r="E119" s="444"/>
      <c r="F119" s="466"/>
      <c r="G119" s="1179"/>
      <c r="H119" s="1179"/>
      <c r="I119" s="1179"/>
    </row>
    <row r="120" spans="1:9" s="447" customFormat="1" ht="25.5" customHeight="1">
      <c r="A120" s="1489" t="s">
        <v>3080</v>
      </c>
      <c r="B120" s="1490"/>
      <c r="C120" s="1490"/>
      <c r="D120" s="1490"/>
      <c r="E120" s="1499" t="str">
        <f>E1</f>
        <v>地下空間の大規模改革に伴う基本設計その他業務委託（4号線谷町四丁目外5駅の部）</v>
      </c>
      <c r="F120" s="1500"/>
      <c r="G120" s="1104"/>
      <c r="H120" s="1180" t="str">
        <f ca="1">IFERROR(INDIRECT(H$3&amp;"!＄C＄2"),0)</f>
        <v>建築工事</v>
      </c>
      <c r="I120" s="1181" t="str">
        <f ca="1">IFERROR(INDIRECT(I$3&amp;"!＄C＄2"),"")</f>
        <v/>
      </c>
    </row>
    <row r="121" spans="1:9" ht="13.5" customHeight="1">
      <c r="A121" s="1085"/>
      <c r="C121" s="468"/>
      <c r="D121" s="431"/>
      <c r="E121" s="437" t="s">
        <v>2055</v>
      </c>
      <c r="F121" s="437"/>
      <c r="G121" s="1162" t="s">
        <v>317</v>
      </c>
      <c r="H121" s="488" t="str">
        <f>H3</f>
        <v>工事1</v>
      </c>
      <c r="I121" s="488" t="str">
        <f>I3</f>
        <v>工事2</v>
      </c>
    </row>
    <row r="122" spans="1:9" s="447" customFormat="1" ht="13.5" customHeight="1">
      <c r="A122" s="509"/>
      <c r="B122" s="510"/>
      <c r="C122" s="511">
        <v>10500701</v>
      </c>
      <c r="D122" s="512" t="s">
        <v>2123</v>
      </c>
      <c r="E122" s="513"/>
      <c r="F122" s="1130"/>
      <c r="G122" s="906" t="e">
        <f t="shared" ref="G122:G149" ca="1" si="5">SUM(H122:J122)</f>
        <v>#REF!</v>
      </c>
      <c r="H122" s="1032">
        <f ca="1">IF(OR(H$4="費用",H436="附帯",H$3=0,H$5-H$6=0),0,IF(H$22=入力規則マスタ!$K$3,ROUND(((H23+H23/(H$5-H$6)*H$6+H23/(H$5-H$6)*H$15)),(-3)),0))</f>
        <v>0</v>
      </c>
      <c r="I122" s="479" t="e">
        <f ca="1">IF(OR(I$4="費用",I436="附帯",I$3=0,I$5-I$6=0),0,IF(I$22=入力規則マスタ!$K$3,ROUND(((I23+I23/(I$5-I$6)*I$6+I23/(I$5-I$6)*I$15)),(-3)),0))</f>
        <v>#REF!</v>
      </c>
    </row>
    <row r="123" spans="1:9" s="447" customFormat="1" ht="13.5" customHeight="1">
      <c r="A123" s="514"/>
      <c r="B123" s="515"/>
      <c r="C123" s="1086">
        <v>10500702</v>
      </c>
      <c r="D123" s="1087" t="s">
        <v>2124</v>
      </c>
      <c r="E123" s="1088"/>
      <c r="F123" s="1131"/>
      <c r="G123" s="1144" t="e">
        <f t="shared" ca="1" si="5"/>
        <v>#REF!</v>
      </c>
      <c r="H123" s="1027">
        <f ca="1">IF(OR(H$4="費用",H436="附帯",H$3=0,H$5-H$6=0),0,IF(H$22=入力規則マスタ!$K$3,ROUND(((H24+H24/(H$5-H$6)*H$6+H24/(H$5-H$6)*H$15)),(-3)),0))</f>
        <v>0</v>
      </c>
      <c r="I123" s="1014" t="e">
        <f ca="1">IF(OR(I$4="費用",I436="附帯",I$3=0,I$5-I$6=0),0,IF(I$22=入力規則マスタ!$K$3,ROUND(((I24+I24/(I$5-I$6)*I$6+I24/(I$5-I$6)*I$15)),(-3)),0))</f>
        <v>#REF!</v>
      </c>
    </row>
    <row r="124" spans="1:9" ht="13.5" customHeight="1">
      <c r="A124" s="514"/>
      <c r="B124" s="515"/>
      <c r="C124" s="1089">
        <v>10500703</v>
      </c>
      <c r="D124" s="1090" t="s">
        <v>2125</v>
      </c>
      <c r="E124" s="1091"/>
      <c r="F124" s="1132"/>
      <c r="G124" s="1163" t="e">
        <f t="shared" ca="1" si="5"/>
        <v>#REF!</v>
      </c>
      <c r="H124" s="1033">
        <f ca="1">IF(OR(H$4="費用",H436="附帯",H$3=0,H$5-H$6=0),0,IF(H$22=入力規則マスタ!$K$3,ROUND(((H25+H25/(H$5-H$6)*H$6+H25/(H$5-H$6)*H$15)),(-3)),0))</f>
        <v>0</v>
      </c>
      <c r="I124" s="1015" t="e">
        <f ca="1">IF(OR(I$4="費用",I436="附帯",I$3=0,I$5-I$6=0),0,IF(I$22=入力規則マスタ!$K$3,ROUND(((I25+I25/(I$5-I$6)*I$6+I25/(I$5-I$6)*I$15)),(-3)),0))</f>
        <v>#REF!</v>
      </c>
    </row>
    <row r="125" spans="1:9" ht="13.5" customHeight="1">
      <c r="A125" s="514"/>
      <c r="B125" s="515"/>
      <c r="C125" s="1089">
        <v>10500704</v>
      </c>
      <c r="D125" s="1090" t="s">
        <v>2126</v>
      </c>
      <c r="E125" s="1091"/>
      <c r="F125" s="1132"/>
      <c r="G125" s="1163" t="e">
        <f t="shared" ca="1" si="5"/>
        <v>#REF!</v>
      </c>
      <c r="H125" s="1033">
        <f ca="1">IF(OR(H$4="費用",H436="附帯",H$3=0,H$5-H$6=0),0,IF(H$22=入力規則マスタ!$K$3,ROUND(((H26+H26/(H$5-H$6)*H$6+H26/(H$5-H$6)*H$15)),(-3)),0))</f>
        <v>0</v>
      </c>
      <c r="I125" s="1015" t="e">
        <f ca="1">IF(OR(I$4="費用",I436="附帯",I$3=0,I$5-I$6=0),0,IF(I$22=入力規則マスタ!$K$3,ROUND(((I26+I26/(I$5-I$6)*I$6+I26/(I$5-I$6)*I$15)),(-3)),0))</f>
        <v>#REF!</v>
      </c>
    </row>
    <row r="126" spans="1:9" ht="13.5" customHeight="1">
      <c r="A126" s="514"/>
      <c r="B126" s="515"/>
      <c r="C126" s="1089">
        <v>10500705</v>
      </c>
      <c r="D126" s="1090" t="s">
        <v>2127</v>
      </c>
      <c r="E126" s="1091"/>
      <c r="F126" s="1132"/>
      <c r="G126" s="1163" t="e">
        <f t="shared" ca="1" si="5"/>
        <v>#REF!</v>
      </c>
      <c r="H126" s="1033">
        <f ca="1">IF(OR(H$4="費用",H436="附帯",H$3=0,H$5-H$6=0),0,IF(H$22=入力規則マスタ!$K$3,ROUND(((H27+H27/(H$5-H$6)*H$6+H27/(H$5-H$6)*H$15)),(-3)),0))</f>
        <v>0</v>
      </c>
      <c r="I126" s="1015" t="e">
        <f ca="1">IF(OR(I$4="費用",I436="附帯",I$3=0,I$5-I$6=0),0,IF(I$22=入力規則マスタ!$K$3,ROUND(((I27+I27/(I$5-I$6)*I$6+I27/(I$5-I$6)*I$15)),(-3)),0))</f>
        <v>#REF!</v>
      </c>
    </row>
    <row r="127" spans="1:9" ht="13.5" customHeight="1">
      <c r="A127" s="514"/>
      <c r="B127" s="515"/>
      <c r="C127" s="1089">
        <v>10500706</v>
      </c>
      <c r="D127" s="1090" t="s">
        <v>2128</v>
      </c>
      <c r="E127" s="1091"/>
      <c r="F127" s="1132"/>
      <c r="G127" s="1163" t="e">
        <f t="shared" ca="1" si="5"/>
        <v>#REF!</v>
      </c>
      <c r="H127" s="1033">
        <f ca="1">IF(OR(H$4="費用",H436="附帯",H$3=0,H$5-H$6=0),0,IF(H$22=入力規則マスタ!$K$3,ROUND(((H28+H28/(H$5-H$6)*H$6+H28/(H$5-H$6)*H$15)),(-3)),0))</f>
        <v>0</v>
      </c>
      <c r="I127" s="1015" t="e">
        <f ca="1">IF(OR(I$4="費用",I436="附帯",I$3=0,I$5-I$6=0),0,IF(I$22=入力規則マスタ!$K$3,ROUND(((I28+I28/(I$5-I$6)*I$6+I28/(I$5-I$6)*I$15)),(-3)),0))</f>
        <v>#REF!</v>
      </c>
    </row>
    <row r="128" spans="1:9" ht="13.5" customHeight="1">
      <c r="A128" s="514"/>
      <c r="B128" s="515"/>
      <c r="C128" s="1089">
        <v>10500707</v>
      </c>
      <c r="D128" s="1090" t="s">
        <v>2129</v>
      </c>
      <c r="E128" s="1091"/>
      <c r="F128" s="1132"/>
      <c r="G128" s="1163" t="e">
        <f t="shared" ca="1" si="5"/>
        <v>#REF!</v>
      </c>
      <c r="H128" s="1033">
        <f ca="1">IF(OR(H$4="費用",H436="附帯",H$3=0,H$5-H$6=0),0,IF(H$22=入力規則マスタ!$K$3,ROUND(((H29+H29/(H$5-H$6)*H$6+H29/(H$5-H$6)*H$15)),(-3)),0))</f>
        <v>0</v>
      </c>
      <c r="I128" s="1015" t="e">
        <f ca="1">IF(OR(I$4="費用",I436="附帯",I$3=0,I$5-I$6=0),0,IF(I$22=入力規則マスタ!$K$3,ROUND(((I29+I29/(I$5-I$6)*I$6+I29/(I$5-I$6)*I$15)),(-3)),0))</f>
        <v>#REF!</v>
      </c>
    </row>
    <row r="129" spans="1:9" ht="13.5" customHeight="1">
      <c r="A129" s="514"/>
      <c r="B129" s="515"/>
      <c r="C129" s="1089">
        <v>10500708</v>
      </c>
      <c r="D129" s="1090" t="s">
        <v>2130</v>
      </c>
      <c r="E129" s="1091"/>
      <c r="F129" s="1132"/>
      <c r="G129" s="1163" t="e">
        <f t="shared" ca="1" si="5"/>
        <v>#REF!</v>
      </c>
      <c r="H129" s="1033">
        <f ca="1">IF(OR(H$4="費用",H436="附帯",H$3=0,H$5-H$6=0),0,IF(H$22=入力規則マスタ!$K$3,ROUND(((H30+H30/(H$5-H$6)*H$6+H30/(H$5-H$6)*H$15)),(-3)),0))</f>
        <v>0</v>
      </c>
      <c r="I129" s="1015" t="e">
        <f ca="1">IF(OR(I$4="費用",I436="附帯",I$3=0,I$5-I$6=0),0,IF(I$22=入力規則マスタ!$K$3,ROUND(((I30+I30/(I$5-I$6)*I$6+I30/(I$5-I$6)*I$15)),(-3)),0))</f>
        <v>#REF!</v>
      </c>
    </row>
    <row r="130" spans="1:9" ht="13.5" customHeight="1">
      <c r="A130" s="514"/>
      <c r="B130" s="515"/>
      <c r="C130" s="1089">
        <v>10500709</v>
      </c>
      <c r="D130" s="1090" t="s">
        <v>2131</v>
      </c>
      <c r="E130" s="1091"/>
      <c r="F130" s="1132"/>
      <c r="G130" s="1163" t="e">
        <f t="shared" ca="1" si="5"/>
        <v>#REF!</v>
      </c>
      <c r="H130" s="1033">
        <f ca="1">IF(OR(H$4="費用",H436="附帯",H$3=0,H$5-H$6=0),0,IF(H$22=入力規則マスタ!$K$3,ROUND(((H31+H31/(H$5-H$6)*H$6+H31/(H$5-H$6)*H$15)),(-3)),0))</f>
        <v>0</v>
      </c>
      <c r="I130" s="1015" t="e">
        <f ca="1">IF(OR(I$4="費用",I436="附帯",I$3=0,I$5-I$6=0),0,IF(I$22=入力規則マスタ!$K$3,ROUND(((I31+I31/(I$5-I$6)*I$6+I31/(I$5-I$6)*I$15)),(-3)),0))</f>
        <v>#REF!</v>
      </c>
    </row>
    <row r="131" spans="1:9" ht="13.5" customHeight="1">
      <c r="A131" s="514"/>
      <c r="B131" s="515"/>
      <c r="C131" s="1089">
        <v>10500710</v>
      </c>
      <c r="D131" s="1090" t="s">
        <v>2132</v>
      </c>
      <c r="E131" s="1091"/>
      <c r="F131" s="1132"/>
      <c r="G131" s="1163" t="e">
        <f t="shared" ca="1" si="5"/>
        <v>#REF!</v>
      </c>
      <c r="H131" s="1033">
        <f ca="1">IF(OR(H$4="費用",H436="附帯",H$3=0,H$5-H$6=0),0,IF(H$22=入力規則マスタ!$K$3,ROUND(((H59+H59/(H$5-H$6)*H$6+H59/(H$5-H$6)*H$15)),(-3)),0))</f>
        <v>0</v>
      </c>
      <c r="I131" s="1015" t="e">
        <f ca="1">IF(OR(I$4="費用",I436="附帯",I$3=0,I$5-I$6=0),0,IF(I$22=入力規則マスタ!$K$3,ROUND(((I59+I59/(I$5-I$6)*I$6+I59/(I$5-I$6)*I$15)),(-3)),0))</f>
        <v>#REF!</v>
      </c>
    </row>
    <row r="132" spans="1:9" ht="13.5" customHeight="1">
      <c r="A132" s="514"/>
      <c r="B132" s="515"/>
      <c r="C132" s="1089">
        <v>10500711</v>
      </c>
      <c r="D132" s="1090" t="s">
        <v>2133</v>
      </c>
      <c r="E132" s="1091"/>
      <c r="F132" s="1132"/>
      <c r="G132" s="1163" t="e">
        <f t="shared" ca="1" si="5"/>
        <v>#REF!</v>
      </c>
      <c r="H132" s="1033">
        <f ca="1">IF(OR(H$4="費用",H436="附帯",H$3=0,H$5-H$6=0),0,IF(H$22=入力規則マスタ!$K$3,ROUND(((H60+H60/(H$5-H$6)*H$6+H60/(H$5-H$6)*H$15)),(-3)),0))</f>
        <v>0</v>
      </c>
      <c r="I132" s="1015" t="e">
        <f ca="1">IF(OR(I$4="費用",I436="附帯",I$3=0,I$5-I$6=0),0,IF(I$22=入力規則マスタ!$K$3,ROUND(((I60+I60/(I$5-I$6)*I$6+I60/(I$5-I$6)*I$15)),(-3)),0))</f>
        <v>#REF!</v>
      </c>
    </row>
    <row r="133" spans="1:9" ht="13.5" customHeight="1">
      <c r="A133" s="514"/>
      <c r="B133" s="515"/>
      <c r="C133" s="1089">
        <v>10500712</v>
      </c>
      <c r="D133" s="1090" t="s">
        <v>2134</v>
      </c>
      <c r="E133" s="1091"/>
      <c r="F133" s="1132"/>
      <c r="G133" s="1163" t="e">
        <f t="shared" ca="1" si="5"/>
        <v>#REF!</v>
      </c>
      <c r="H133" s="1033">
        <f ca="1">IF(OR(H$4="費用",H436="附帯",H$3=0,H$5-H$6=0),0,IF(H$22=入力規則マスタ!$K$3,ROUND(((H61+H61/(H$5-H$6)*H$6+H61/(H$5-H$6)*H$15)),(-3)),0))</f>
        <v>0</v>
      </c>
      <c r="I133" s="1015" t="e">
        <f ca="1">IF(OR(I$4="費用",I436="附帯",I$3=0,I$5-I$6=0),0,IF(I$22=入力規則マスタ!$K$3,ROUND(((I61+I61/(I$5-I$6)*I$6+I61/(I$5-I$6)*I$15)),(-3)),0))</f>
        <v>#REF!</v>
      </c>
    </row>
    <row r="134" spans="1:9" ht="13.5" customHeight="1">
      <c r="A134" s="514"/>
      <c r="B134" s="515"/>
      <c r="C134" s="1089">
        <v>10500713</v>
      </c>
      <c r="D134" s="1090" t="s">
        <v>2135</v>
      </c>
      <c r="E134" s="1091"/>
      <c r="F134" s="1132"/>
      <c r="G134" s="1163" t="e">
        <f t="shared" ca="1" si="5"/>
        <v>#REF!</v>
      </c>
      <c r="H134" s="1033">
        <f ca="1">IF(OR(H$4="費用",H436="附帯",H$3=0,H$5-H$6=0),0,IF(H$22=入力規則マスタ!$K$3,ROUND(((H62+H62/(H$5-H$6)*H$6+H62/(H$5-H$6)*H$15)),(-3)),0))</f>
        <v>0</v>
      </c>
      <c r="I134" s="1015" t="e">
        <f ca="1">IF(OR(I$4="費用",I436="附帯",I$3=0,I$5-I$6=0),0,IF(I$22=入力規則マスタ!$K$3,ROUND(((I62+I62/(I$5-I$6)*I$6+I62/(I$5-I$6)*I$15)),(-3)),0))</f>
        <v>#REF!</v>
      </c>
    </row>
    <row r="135" spans="1:9" ht="13.5" customHeight="1">
      <c r="A135" s="514"/>
      <c r="B135" s="515"/>
      <c r="C135" s="1089">
        <v>10500714</v>
      </c>
      <c r="D135" s="1090" t="s">
        <v>2136</v>
      </c>
      <c r="E135" s="1091"/>
      <c r="F135" s="1132"/>
      <c r="G135" s="1163" t="e">
        <f t="shared" ca="1" si="5"/>
        <v>#REF!</v>
      </c>
      <c r="H135" s="1033">
        <f ca="1">IF(OR(H$4="費用",H436="附帯",H$3=0,H$5-H$6=0),0,IF(H$22=入力規則マスタ!$K$3,ROUND(((H63+H63/(H$5-H$6)*H$6+H63/(H$5-H$6)*H$15)),(-3)),0))</f>
        <v>0</v>
      </c>
      <c r="I135" s="1015" t="e">
        <f ca="1">IF(OR(I$4="費用",I436="附帯",I$3=0,I$5-I$6=0),0,IF(I$22=入力規則マスタ!$K$3,ROUND(((I63+I63/(I$5-I$6)*I$6+I63/(I$5-I$6)*I$15)),(-3)),0))</f>
        <v>#REF!</v>
      </c>
    </row>
    <row r="136" spans="1:9" ht="13.5" customHeight="1">
      <c r="A136" s="514"/>
      <c r="B136" s="515"/>
      <c r="C136" s="1089">
        <v>10500715</v>
      </c>
      <c r="D136" s="1090" t="s">
        <v>2137</v>
      </c>
      <c r="E136" s="1091"/>
      <c r="F136" s="1132"/>
      <c r="G136" s="1163" t="e">
        <f t="shared" ca="1" si="5"/>
        <v>#REF!</v>
      </c>
      <c r="H136" s="1033">
        <f ca="1">IF(OR(H$4="費用",H436="附帯",H$3=0,H$5-H$6=0),0,IF(H$22=入力規則マスタ!$K$3,ROUND(((H64+H64/(H$5-H$6)*H$6+H64/(H$5-H$6)*H$15)),(-3)),0))</f>
        <v>0</v>
      </c>
      <c r="I136" s="1015" t="e">
        <f ca="1">IF(OR(I$4="費用",I436="附帯",I$3=0,I$5-I$6=0),0,IF(I$22=入力規則マスタ!$K$3,ROUND(((I64+I64/(I$5-I$6)*I$6+I64/(I$5-I$6)*I$15)),(-3)),0))</f>
        <v>#REF!</v>
      </c>
    </row>
    <row r="137" spans="1:9" ht="13.5" customHeight="1">
      <c r="A137" s="514"/>
      <c r="B137" s="515"/>
      <c r="C137" s="1089">
        <v>10500716</v>
      </c>
      <c r="D137" s="1090" t="s">
        <v>2138</v>
      </c>
      <c r="E137" s="1091"/>
      <c r="F137" s="1132"/>
      <c r="G137" s="1163" t="e">
        <f t="shared" ca="1" si="5"/>
        <v>#REF!</v>
      </c>
      <c r="H137" s="1033">
        <f ca="1">IF(OR(H$4="費用",H436="附帯",H$3=0,H$5-H$6=0),0,IF(H$22=入力規則マスタ!$K$3,ROUND(((H65+H65/(H$5-H$6)*H$6+H65/(H$5-H$6)*H$15)),(-3)),0))</f>
        <v>0</v>
      </c>
      <c r="I137" s="1015" t="e">
        <f ca="1">IF(OR(I$4="費用",I436="附帯",I$3=0,I$5-I$6=0),0,IF(I$22=入力規則マスタ!$K$3,ROUND(((I65+I65/(I$5-I$6)*I$6+I65/(I$5-I$6)*I$15)),(-3)),0))</f>
        <v>#REF!</v>
      </c>
    </row>
    <row r="138" spans="1:9" ht="13.5" customHeight="1">
      <c r="A138" s="514"/>
      <c r="B138" s="515"/>
      <c r="C138" s="1089">
        <v>10500717</v>
      </c>
      <c r="D138" s="1090" t="s">
        <v>2139</v>
      </c>
      <c r="E138" s="1091"/>
      <c r="F138" s="1132"/>
      <c r="G138" s="1163" t="e">
        <f t="shared" ca="1" si="5"/>
        <v>#REF!</v>
      </c>
      <c r="H138" s="1033">
        <f ca="1">IF(OR(H$4="費用",H436="附帯",H$3=0,H$5-H$6=0),0,IF(H$22=入力規則マスタ!$K$3,ROUND(((H66+H66/(H$5-H$6)*H$6+H66/(H$5-H$6)*H$15)),(-3)),0))</f>
        <v>0</v>
      </c>
      <c r="I138" s="1015" t="e">
        <f ca="1">IF(OR(I$4="費用",I436="附帯",I$3=0,I$5-I$6=0),0,IF(I$22=入力規則マスタ!$K$3,ROUND(((I66+I66/(I$5-I$6)*I$6+I66/(I$5-I$6)*I$15)),(-3)),0))</f>
        <v>#REF!</v>
      </c>
    </row>
    <row r="139" spans="1:9" s="447" customFormat="1" ht="13.5" customHeight="1">
      <c r="A139" s="514"/>
      <c r="B139" s="515"/>
      <c r="C139" s="1086">
        <v>10500718</v>
      </c>
      <c r="D139" s="1087" t="s">
        <v>2140</v>
      </c>
      <c r="E139" s="1088"/>
      <c r="F139" s="1131"/>
      <c r="G139" s="1150" t="e">
        <f t="shared" ca="1" si="5"/>
        <v>#REF!</v>
      </c>
      <c r="H139" s="1033">
        <f ca="1">IF(OR(H$4="費用",H436="附帯",H$3=0,H$5-H$6=0),0,IF(H$22=入力規則マスタ!$K$3,ROUND(((H67+H67/(H$5-H$6)*H$6+H67/(H$5-H$6)*H$15)),(-3)),0))</f>
        <v>0</v>
      </c>
      <c r="I139" s="1015" t="e">
        <f ca="1">IF(OR(I$4="費用",I436="附帯",I$3=0,I$5-I$6=0),0,IF(I$22=入力規則マスタ!$K$3,ROUND(((I67+I67/(I$5-I$6)*I$6+I67/(I$5-I$6)*I$15)),(-3)),0))</f>
        <v>#REF!</v>
      </c>
    </row>
    <row r="140" spans="1:9" s="447" customFormat="1" ht="13.5" customHeight="1">
      <c r="A140" s="514"/>
      <c r="B140" s="515"/>
      <c r="C140" s="1086">
        <v>10500719</v>
      </c>
      <c r="D140" s="1087" t="s">
        <v>2141</v>
      </c>
      <c r="E140" s="1088"/>
      <c r="F140" s="1131"/>
      <c r="G140" s="1150" t="e">
        <f t="shared" ca="1" si="5"/>
        <v>#REF!</v>
      </c>
      <c r="H140" s="1033">
        <f ca="1">IF(OR(H$4="費用",H436="附帯",H$3=0,H$5-H$6=0),0,IF(H$22=入力規則マスタ!$K$3,ROUND(((H68+H68/(H$5-H$6)*H$6+H68/(H$5-H$6)*H$15)),(-3)),0))</f>
        <v>0</v>
      </c>
      <c r="I140" s="1015" t="e">
        <f ca="1">IF(OR(I$4="費用",I436="附帯",I$3=0,I$5-I$6=0),0,IF(I$22=入力規則マスタ!$K$3,ROUND(((I68+I68/(I$5-I$6)*I$6+I68/(I$5-I$6)*I$15)),(-3)),0))</f>
        <v>#REF!</v>
      </c>
    </row>
    <row r="141" spans="1:9" s="447" customFormat="1" ht="13.5" customHeight="1">
      <c r="A141" s="514"/>
      <c r="B141" s="515"/>
      <c r="C141" s="1086">
        <v>10500720</v>
      </c>
      <c r="D141" s="1087" t="s">
        <v>2142</v>
      </c>
      <c r="E141" s="1088"/>
      <c r="F141" s="1131"/>
      <c r="G141" s="1150" t="e">
        <f t="shared" ca="1" si="5"/>
        <v>#REF!</v>
      </c>
      <c r="H141" s="1033">
        <f ca="1">IF(OR(H$4="費用",H436="附帯",H$3=0,H$5-H$6=0),0,IF(H$22=入力規則マスタ!$K$3,ROUND(((H69+H69/(H$5-H$6)*H$6+H69/(H$5-H$6)*H$15)),(-3)),0))</f>
        <v>0</v>
      </c>
      <c r="I141" s="1015" t="e">
        <f ca="1">IF(OR(I$4="費用",I436="附帯",I$3=0,I$5-I$6=0),0,IF(I$22=入力規則マスタ!$K$3,ROUND(((I69+I69/(I$5-I$6)*I$6+I69/(I$5-I$6)*I$15)),(-3)),0))</f>
        <v>#REF!</v>
      </c>
    </row>
    <row r="142" spans="1:9" s="447" customFormat="1" ht="13.5" customHeight="1">
      <c r="A142" s="514"/>
      <c r="B142" s="515"/>
      <c r="C142" s="1086">
        <v>10500721</v>
      </c>
      <c r="D142" s="1087" t="s">
        <v>2143</v>
      </c>
      <c r="E142" s="1088"/>
      <c r="F142" s="1131"/>
      <c r="G142" s="1150" t="e">
        <f t="shared" ca="1" si="5"/>
        <v>#REF!</v>
      </c>
      <c r="H142" s="1033">
        <f ca="1">IF(OR(H$4="費用",H436="附帯",H$3=0,H$5-H$6=0),0,IF(H$22=入力規則マスタ!$K$3,ROUND(((H70+H70/(H$5-H$6)*H$6+H70/(H$5-H$6)*H$15)),(-3)),0))</f>
        <v>0</v>
      </c>
      <c r="I142" s="1015" t="e">
        <f ca="1">IF(OR(I$4="費用",I436="附帯",I$3=0,I$5-I$6=0),0,IF(I$22=入力規則マスタ!$K$3,ROUND(((I70+I70/(I$5-I$6)*I$6+I70/(I$5-I$6)*I$15)),(-3)),0))</f>
        <v>#REF!</v>
      </c>
    </row>
    <row r="143" spans="1:9" s="447" customFormat="1" ht="13.5" customHeight="1">
      <c r="A143" s="514"/>
      <c r="B143" s="515"/>
      <c r="C143" s="1086">
        <v>10500722</v>
      </c>
      <c r="D143" s="1087" t="s">
        <v>2683</v>
      </c>
      <c r="E143" s="1088"/>
      <c r="F143" s="1131"/>
      <c r="G143" s="1150" t="e">
        <f t="shared" ca="1" si="5"/>
        <v>#REF!</v>
      </c>
      <c r="H143" s="1033">
        <f ca="1">IF(OR(H$4="費用",H436="附帯",H$3=0,H$5-H$6=0),0,IF(H$22=入力規則マスタ!$K$3,ROUND(((H71+H71/(H$5-H$6)*H$6+H71/(H$5-H$6)*H$15)),(-3)),0))</f>
        <v>0</v>
      </c>
      <c r="I143" s="1015" t="e">
        <f ca="1">IF(OR(I$4="費用",I436="附帯",I$3=0,I$5-I$6=0),0,IF(I$22=入力規則マスタ!$K$3,ROUND(((I71+I71/(I$5-I$6)*I$6+I71/(I$5-I$6)*I$15)),(-3)),0))</f>
        <v>#REF!</v>
      </c>
    </row>
    <row r="144" spans="1:9" s="447" customFormat="1" ht="13.5" customHeight="1">
      <c r="A144" s="514"/>
      <c r="B144" s="515"/>
      <c r="C144" s="1086">
        <v>10500723</v>
      </c>
      <c r="D144" s="1087" t="s">
        <v>2684</v>
      </c>
      <c r="E144" s="1088"/>
      <c r="F144" s="1131"/>
      <c r="G144" s="1150" t="e">
        <f t="shared" ca="1" si="5"/>
        <v>#REF!</v>
      </c>
      <c r="H144" s="1033">
        <f ca="1">IF(OR(H$4="費用",H436="附帯",H$3=0,H$5-H$6=0),0,IF(H$22=入力規則マスタ!$K$3,ROUND(((H72+H72/(H$5-H$6)*H$6+H72/(H$5-H$6)*H$15)),(-3)),0))</f>
        <v>0</v>
      </c>
      <c r="I144" s="1015" t="e">
        <f ca="1">IF(OR(I$4="費用",I436="附帯",I$3=0,I$5-I$6=0),0,IF(I$22=入力規則マスタ!$K$3,ROUND(((I72+I72/(I$5-I$6)*I$6+I72/(I$5-I$6)*I$15)),(-3)),0))</f>
        <v>#REF!</v>
      </c>
    </row>
    <row r="145" spans="1:9" s="447" customFormat="1" ht="13.5" customHeight="1">
      <c r="A145" s="514"/>
      <c r="B145" s="515"/>
      <c r="C145" s="1086">
        <v>10500724</v>
      </c>
      <c r="D145" s="1087" t="s">
        <v>2685</v>
      </c>
      <c r="E145" s="1088"/>
      <c r="F145" s="1131"/>
      <c r="G145" s="1150" t="e">
        <f t="shared" ca="1" si="5"/>
        <v>#REF!</v>
      </c>
      <c r="H145" s="1033">
        <f ca="1">IF(OR(H$4="費用",H436="附帯",H$3=0,H$5-H$6=0),0,IF(H$22=入力規則マスタ!$K$3,ROUND(((H73+H73/(H$5-H$6)*H$6+H73/(H$5-H$6)*H$15)),(-3)),0))</f>
        <v>0</v>
      </c>
      <c r="I145" s="1015" t="e">
        <f ca="1">IF(OR(I$4="費用",I436="附帯",I$3=0,I$5-I$6=0),0,IF(I$22=入力規則マスタ!$K$3,ROUND(((I73+I73/(I$5-I$6)*I$6+I73/(I$5-I$6)*I$15)),(-3)),0))</f>
        <v>#REF!</v>
      </c>
    </row>
    <row r="146" spans="1:9" s="447" customFormat="1" ht="13.5" customHeight="1">
      <c r="A146" s="514"/>
      <c r="B146" s="515"/>
      <c r="C146" s="1086">
        <v>10500724</v>
      </c>
      <c r="D146" s="1087" t="s">
        <v>2686</v>
      </c>
      <c r="E146" s="1088"/>
      <c r="F146" s="1131"/>
      <c r="G146" s="1150" t="e">
        <f t="shared" ca="1" si="5"/>
        <v>#REF!</v>
      </c>
      <c r="H146" s="1033">
        <f ca="1">IF(OR(H$4="費用",H436="附帯",H$3=0,H$5-H$6=0),0,IF(H$22=入力規則マスタ!$K$3,ROUND(((H74+H74/(H$5-H$6)*H$6+H74/(H$5-H$6)*H$15)),(-3)),0))</f>
        <v>0</v>
      </c>
      <c r="I146" s="1015" t="e">
        <f ca="1">IF(OR(I$4="費用",I436="附帯",I$3=0,I$5-I$6=0),0,IF(I$22=入力規則マスタ!$K$3,ROUND(((I74+I74/(I$5-I$6)*I$6+I74/(I$5-I$6)*I$15)),(-3)),0))</f>
        <v>#REF!</v>
      </c>
    </row>
    <row r="147" spans="1:9" s="447" customFormat="1" ht="13.5" customHeight="1">
      <c r="A147" s="514"/>
      <c r="B147" s="515"/>
      <c r="C147" s="1086">
        <v>10500724</v>
      </c>
      <c r="D147" s="1087" t="s">
        <v>2687</v>
      </c>
      <c r="E147" s="1088"/>
      <c r="F147" s="1131"/>
      <c r="G147" s="1150" t="e">
        <f t="shared" ca="1" si="5"/>
        <v>#REF!</v>
      </c>
      <c r="H147" s="1033">
        <f ca="1">IF(OR(H$4="費用",H436="附帯",H$3=0,H$5-H$6=0),0,IF(H$22=入力規則マスタ!$K$3,ROUND(((H75+H75/(H$5-H$6)*H$6+H75/(H$5-H$6)*H$15)),(-3)),0))</f>
        <v>0</v>
      </c>
      <c r="I147" s="1015" t="e">
        <f ca="1">IF(OR(I$4="費用",I436="附帯",I$3=0,I$5-I$6=0),0,IF(I$22=入力規則マスタ!$K$3,ROUND(((I75+I75/(I$5-I$6)*I$6+I75/(I$5-I$6)*I$15)),(-3)),0))</f>
        <v>#REF!</v>
      </c>
    </row>
    <row r="148" spans="1:9" s="447" customFormat="1" ht="13.5" customHeight="1">
      <c r="A148" s="514"/>
      <c r="B148" s="515"/>
      <c r="C148" s="1086">
        <v>10500725</v>
      </c>
      <c r="D148" s="1087" t="s">
        <v>2688</v>
      </c>
      <c r="E148" s="1088"/>
      <c r="F148" s="1131"/>
      <c r="G148" s="1150" t="e">
        <f t="shared" ca="1" si="5"/>
        <v>#REF!</v>
      </c>
      <c r="H148" s="1033">
        <f ca="1">IF(OR(H$4="費用",H436="附帯",H$3=0,H$5-H$6=0),0,IF(H$22=入力規則マスタ!$K$3,ROUND(((H76+H76/(H$5-H$6)*H$6+H76/(H$5-H$6)*H$15)),(-3)),0))</f>
        <v>0</v>
      </c>
      <c r="I148" s="1015" t="e">
        <f ca="1">IF(OR(I$4="費用",I436="附帯",I$3=0,I$5-I$6=0),0,IF(I$22=入力規則マスタ!$K$3,ROUND(((I76+I76/(I$5-I$6)*I$6+I76/(I$5-I$6)*I$15)),(-3)),0))</f>
        <v>#REF!</v>
      </c>
    </row>
    <row r="149" spans="1:9" s="447" customFormat="1" ht="13.5" customHeight="1">
      <c r="A149" s="514"/>
      <c r="B149" s="515"/>
      <c r="C149" s="1086">
        <v>10500725</v>
      </c>
      <c r="D149" s="1087" t="s">
        <v>2689</v>
      </c>
      <c r="E149" s="1088"/>
      <c r="F149" s="1131"/>
      <c r="G149" s="1150" t="e">
        <f t="shared" ca="1" si="5"/>
        <v>#REF!</v>
      </c>
      <c r="H149" s="1033">
        <f ca="1">IF(OR(H$4="費用",H436="附帯",H$3=0,H$5-H$6=0),0,IF(H$22=入力規則マスタ!$K$3,ROUND(((H77+H77/(H$5-H$6)*H$6+H77/(H$5-H$6)*H$15)),(-3)),0))</f>
        <v>0</v>
      </c>
      <c r="I149" s="1015" t="e">
        <f ca="1">IF(OR(I$4="費用",I436="附帯",I$3=0,I$5-I$6=0),0,IF(I$22=入力規則マスタ!$K$3,ROUND(((I77+I77/(I$5-I$6)*I$6+I77/(I$5-I$6)*I$15)),(-3)),0))</f>
        <v>#REF!</v>
      </c>
    </row>
    <row r="150" spans="1:9" s="447" customFormat="1" ht="13.5" customHeight="1">
      <c r="A150" s="514"/>
      <c r="B150" s="515"/>
      <c r="C150" s="880" t="s">
        <v>3079</v>
      </c>
      <c r="D150" s="1092"/>
      <c r="E150" s="1093"/>
      <c r="F150" s="1092"/>
      <c r="G150" s="1150"/>
      <c r="H150" s="1044"/>
      <c r="I150" s="1016"/>
    </row>
    <row r="151" spans="1:9" s="447" customFormat="1" ht="13.5" customHeight="1">
      <c r="A151" s="514"/>
      <c r="B151" s="515"/>
      <c r="C151" s="1086">
        <v>10500801</v>
      </c>
      <c r="D151" s="1087" t="s">
        <v>2144</v>
      </c>
      <c r="E151" s="1088"/>
      <c r="F151" s="1131"/>
      <c r="G151" s="1144" t="e">
        <f t="shared" ref="G151:G178" ca="1" si="6">SUM(H151:J151)</f>
        <v>#REF!</v>
      </c>
      <c r="H151" s="1027">
        <f ca="1">IF(OR(H$4="費用",H436="附帯",H$3=0,H$5-H$6=0),0,IF(H$22=入力規則マスタ!$K$4,ROUND(((H23+H23/(H$5-H$6)*H$6+H23/(H$5-H$6)*H$15)),(-3)),0))</f>
        <v>0</v>
      </c>
      <c r="I151" s="1014" t="e">
        <f ca="1">IF(OR(I$4="費用",I436="附帯",I$3=0,I$5-I$6=0),0,IF(I$22=入力規則マスタ!$K$4,ROUND(((I23+I23/(I$5-I$6)*I$6+I23/(I$5-I$6)*I$15)),(-3)),0))</f>
        <v>#REF!</v>
      </c>
    </row>
    <row r="152" spans="1:9" s="447" customFormat="1" ht="13.5" customHeight="1">
      <c r="A152" s="514"/>
      <c r="B152" s="515"/>
      <c r="C152" s="1086">
        <v>10500802</v>
      </c>
      <c r="D152" s="1087" t="s">
        <v>2145</v>
      </c>
      <c r="E152" s="1088"/>
      <c r="F152" s="1131"/>
      <c r="G152" s="1150" t="e">
        <f t="shared" ca="1" si="6"/>
        <v>#REF!</v>
      </c>
      <c r="H152" s="1027">
        <f ca="1">IF(OR(H$4="費用",H436="附帯",H$3=0,H$5-H$6=0),0,IF(H$22=入力規則マスタ!$K$4,ROUND(((H24+H24/(H$5-H$6)*H$6+H24/(H$5-H$6)*H$15)),(-3)),0))</f>
        <v>0</v>
      </c>
      <c r="I152" s="1014" t="e">
        <f ca="1">IF(OR(I$4="費用",I436="附帯",I$3=0,I$5-I$6=0),0,IF(I$22=入力規則マスタ!$K$4,ROUND(((I24+I24/(I$5-I$6)*I$6+I24/(I$5-I$6)*I$15)),(-3)),0))</f>
        <v>#REF!</v>
      </c>
    </row>
    <row r="153" spans="1:9" s="447" customFormat="1" ht="13.5" customHeight="1">
      <c r="A153" s="514"/>
      <c r="B153" s="515"/>
      <c r="C153" s="1086">
        <v>10500803</v>
      </c>
      <c r="D153" s="1087" t="s">
        <v>2146</v>
      </c>
      <c r="E153" s="1088"/>
      <c r="F153" s="1131"/>
      <c r="G153" s="1150" t="e">
        <f t="shared" ca="1" si="6"/>
        <v>#REF!</v>
      </c>
      <c r="H153" s="1027">
        <f ca="1">IF(OR(H$4="費用",H436="附帯",H$3=0,H$5-H$6=0),0,IF(H$22=入力規則マスタ!$K$4,ROUND(((H25+H25/(H$5-H$6)*H$6+H25/(H$5-H$6)*H$15)),(-3)),0))</f>
        <v>0</v>
      </c>
      <c r="I153" s="1014" t="e">
        <f ca="1">IF(OR(I$4="費用",I436="附帯",I$3=0,I$5-I$6=0),0,IF(I$22=入力規則マスタ!$K$4,ROUND(((I25+I25/(I$5-I$6)*I$6+I25/(I$5-I$6)*I$15)),(-3)),0))</f>
        <v>#REF!</v>
      </c>
    </row>
    <row r="154" spans="1:9" s="447" customFormat="1" ht="13.5" customHeight="1">
      <c r="A154" s="514"/>
      <c r="B154" s="515"/>
      <c r="C154" s="1086">
        <v>10500804</v>
      </c>
      <c r="D154" s="1087" t="s">
        <v>2147</v>
      </c>
      <c r="E154" s="1088"/>
      <c r="F154" s="1131"/>
      <c r="G154" s="1150" t="e">
        <f t="shared" ca="1" si="6"/>
        <v>#REF!</v>
      </c>
      <c r="H154" s="1027">
        <f ca="1">IF(OR(H$4="費用",H436="附帯",H$3=0,H$5-H$6=0),0,IF(H$22=入力規則マスタ!$K$4,ROUND(((H26+H26/(H$5-H$6)*H$6+H26/(H$5-H$6)*H$15)),(-3)),0))</f>
        <v>0</v>
      </c>
      <c r="I154" s="1014" t="e">
        <f ca="1">IF(OR(I$4="費用",I436="附帯",I$3=0,I$5-I$6=0),0,IF(I$22=入力規則マスタ!$K$4,ROUND(((I26+I26/(I$5-I$6)*I$6+I26/(I$5-I$6)*I$15)),(-3)),0))</f>
        <v>#REF!</v>
      </c>
    </row>
    <row r="155" spans="1:9" s="447" customFormat="1" ht="13.5" customHeight="1">
      <c r="A155" s="514"/>
      <c r="B155" s="515"/>
      <c r="C155" s="1086">
        <v>10500805</v>
      </c>
      <c r="D155" s="1087" t="s">
        <v>2148</v>
      </c>
      <c r="E155" s="1088"/>
      <c r="F155" s="1131"/>
      <c r="G155" s="1150" t="e">
        <f t="shared" ca="1" si="6"/>
        <v>#REF!</v>
      </c>
      <c r="H155" s="1027">
        <f ca="1">IF(OR(H$4="費用",H436="附帯",H$3=0,H$5-H$6=0),0,IF(H$22=入力規則マスタ!$K$4,ROUND(((H27+H27/(H$5-H$6)*H$6+H27/(H$5-H$6)*H$15)),(-3)),0))</f>
        <v>0</v>
      </c>
      <c r="I155" s="1014" t="e">
        <f ca="1">IF(OR(I$4="費用",I436="附帯",I$3=0,I$5-I$6=0),0,IF(I$22=入力規則マスタ!$K$4,ROUND(((I27+I27/(I$5-I$6)*I$6+I27/(I$5-I$6)*I$15)),(-3)),0))</f>
        <v>#REF!</v>
      </c>
    </row>
    <row r="156" spans="1:9" s="447" customFormat="1" ht="13.5" customHeight="1">
      <c r="A156" s="514"/>
      <c r="B156" s="515"/>
      <c r="C156" s="1086">
        <v>10500806</v>
      </c>
      <c r="D156" s="1087" t="s">
        <v>2149</v>
      </c>
      <c r="E156" s="1088"/>
      <c r="F156" s="1131"/>
      <c r="G156" s="1150" t="e">
        <f t="shared" ca="1" si="6"/>
        <v>#REF!</v>
      </c>
      <c r="H156" s="1027">
        <f ca="1">IF(OR(H$4="費用",H436="附帯",H$3=0,H$5-H$6=0),0,IF(H$22=入力規則マスタ!$K$4,ROUND(((H28+H28/(H$5-H$6)*H$6+H28/(H$5-H$6)*H$15)),(-3)),0))</f>
        <v>0</v>
      </c>
      <c r="I156" s="1014" t="e">
        <f ca="1">IF(OR(I$4="費用",I436="附帯",I$3=0,I$5-I$6=0),0,IF(I$22=入力規則マスタ!$K$4,ROUND(((I28+I28/(I$5-I$6)*I$6+I28/(I$5-I$6)*I$15)),(-3)),0))</f>
        <v>#REF!</v>
      </c>
    </row>
    <row r="157" spans="1:9" s="447" customFormat="1" ht="13.5" customHeight="1">
      <c r="A157" s="514"/>
      <c r="B157" s="515"/>
      <c r="C157" s="1086">
        <v>10500807</v>
      </c>
      <c r="D157" s="1087" t="s">
        <v>2150</v>
      </c>
      <c r="E157" s="1088"/>
      <c r="F157" s="1131"/>
      <c r="G157" s="1150" t="e">
        <f t="shared" ca="1" si="6"/>
        <v>#REF!</v>
      </c>
      <c r="H157" s="1027">
        <f ca="1">IF(OR(H$4="費用",H436="附帯",H$3=0,H$5-H$6=0),0,IF(H$22=入力規則マスタ!$K$4,ROUND(((H29+H29/(H$5-H$6)*H$6+H29/(H$5-H$6)*H$15)),(-3)),0))</f>
        <v>0</v>
      </c>
      <c r="I157" s="1014" t="e">
        <f ca="1">IF(OR(I$4="費用",I436="附帯",I$3=0,I$5-I$6=0),0,IF(I$22=入力規則マスタ!$K$4,ROUND(((I29+I29/(I$5-I$6)*I$6+I29/(I$5-I$6)*I$15)),(-3)),0))</f>
        <v>#REF!</v>
      </c>
    </row>
    <row r="158" spans="1:9" s="447" customFormat="1" ht="13.5" customHeight="1">
      <c r="A158" s="514"/>
      <c r="B158" s="515"/>
      <c r="C158" s="1086">
        <v>10500808</v>
      </c>
      <c r="D158" s="1087" t="s">
        <v>2151</v>
      </c>
      <c r="E158" s="1088"/>
      <c r="F158" s="1131"/>
      <c r="G158" s="1150" t="e">
        <f t="shared" ca="1" si="6"/>
        <v>#REF!</v>
      </c>
      <c r="H158" s="1027">
        <f ca="1">IF(OR(H$4="費用",H436="附帯",H$3=0,H$5-H$6=0),0,IF(H$22=入力規則マスタ!$K$4,ROUND(((H30+H30/(H$5-H$6)*H$6+H30/(H$5-H$6)*H$15)),(-3)),0))</f>
        <v>0</v>
      </c>
      <c r="I158" s="1014" t="e">
        <f ca="1">IF(OR(I$4="費用",I436="附帯",I$3=0,I$5-I$6=0),0,IF(I$22=入力規則マスタ!$K$4,ROUND(((I30+I30/(I$5-I$6)*I$6+I30/(I$5-I$6)*I$15)),(-3)),0))</f>
        <v>#REF!</v>
      </c>
    </row>
    <row r="159" spans="1:9" s="447" customFormat="1" ht="13.5" customHeight="1">
      <c r="A159" s="514"/>
      <c r="B159" s="515"/>
      <c r="C159" s="1086">
        <v>10500809</v>
      </c>
      <c r="D159" s="1087" t="s">
        <v>2152</v>
      </c>
      <c r="E159" s="1088"/>
      <c r="F159" s="1131"/>
      <c r="G159" s="1150" t="e">
        <f t="shared" ca="1" si="6"/>
        <v>#REF!</v>
      </c>
      <c r="H159" s="1027">
        <f ca="1">IF(OR(H$4="費用",H436="附帯",H$3=0,H$5-H$6=0),0,IF(H$22=入力規則マスタ!$K$4,ROUND(((H31+H31/(H$5-H$6)*H$6+H31/(H$5-H$6)*H$15)),(-3)),0))</f>
        <v>0</v>
      </c>
      <c r="I159" s="1014" t="e">
        <f ca="1">IF(OR(I$4="費用",I436="附帯",I$3=0,I$5-I$6=0),0,IF(I$22=入力規則マスタ!$K$4,ROUND(((I31+I31/(I$5-I$6)*I$6+I31/(I$5-I$6)*I$15)),(-3)),0))</f>
        <v>#REF!</v>
      </c>
    </row>
    <row r="160" spans="1:9" s="447" customFormat="1" ht="13.5" customHeight="1">
      <c r="A160" s="514"/>
      <c r="B160" s="515"/>
      <c r="C160" s="1086">
        <v>10500810</v>
      </c>
      <c r="D160" s="1087" t="s">
        <v>2153</v>
      </c>
      <c r="E160" s="1088"/>
      <c r="F160" s="1131"/>
      <c r="G160" s="1150" t="e">
        <f t="shared" ca="1" si="6"/>
        <v>#REF!</v>
      </c>
      <c r="H160" s="1033">
        <f ca="1">IF(OR(H$4="費用",H436="附帯",H$3=0,H$5-H$6=0),0,IF(H$22=入力規則マスタ!$K$4,ROUND(((H59+H59/(H$5-H$6)*H$6+H59/(H$5-H$6)*H$15)),(-3)),0))</f>
        <v>0</v>
      </c>
      <c r="I160" s="1015" t="e">
        <f ca="1">IF(OR(I$4="費用",I436="附帯",I$3=0,I$5-I$6=0),0,IF(I$22=入力規則マスタ!$K$4,ROUND(((I59+I59/(I$5-I$6)*I$6+I59/(I$5-I$6)*I$15)),(-3)),0))</f>
        <v>#REF!</v>
      </c>
    </row>
    <row r="161" spans="1:9" s="447" customFormat="1" ht="13.5" customHeight="1">
      <c r="A161" s="514"/>
      <c r="B161" s="515"/>
      <c r="C161" s="1086">
        <v>10500811</v>
      </c>
      <c r="D161" s="1087" t="s">
        <v>2154</v>
      </c>
      <c r="E161" s="1088"/>
      <c r="F161" s="1131"/>
      <c r="G161" s="1150" t="e">
        <f t="shared" ca="1" si="6"/>
        <v>#REF!</v>
      </c>
      <c r="H161" s="1033">
        <f ca="1">IF(OR(H$4="費用",H436="附帯",H$3=0,H$5-H$6=0),0,IF(H$22=入力規則マスタ!$K$4,ROUND(((H60+H60/(H$5-H$6)*H$6+H60/(H$5-H$6)*H$15)),(-3)),0))</f>
        <v>0</v>
      </c>
      <c r="I161" s="1015" t="e">
        <f ca="1">IF(OR(I$4="費用",I436="附帯",I$3=0,I$5-I$6=0),0,IF(I$22=入力規則マスタ!$K$4,ROUND(((I60+I60/(I$5-I$6)*I$6+I60/(I$5-I$6)*I$15)),(-3)),0))</f>
        <v>#REF!</v>
      </c>
    </row>
    <row r="162" spans="1:9" s="447" customFormat="1" ht="13.5" customHeight="1">
      <c r="A162" s="514"/>
      <c r="B162" s="515"/>
      <c r="C162" s="1086">
        <v>10500812</v>
      </c>
      <c r="D162" s="1087" t="s">
        <v>2155</v>
      </c>
      <c r="E162" s="1088"/>
      <c r="F162" s="1131"/>
      <c r="G162" s="1150" t="e">
        <f t="shared" ca="1" si="6"/>
        <v>#REF!</v>
      </c>
      <c r="H162" s="1033">
        <f ca="1">IF(OR(H$4="費用",H436="附帯",H$3=0,H$5-H$6=0),0,IF(H$22=入力規則マスタ!$K$4,ROUND(((H61+H61/(H$5-H$6)*H$6+H61/(H$5-H$6)*H$15)),(-3)),0))</f>
        <v>0</v>
      </c>
      <c r="I162" s="1015" t="e">
        <f ca="1">IF(OR(I$4="費用",I436="附帯",I$3=0,I$5-I$6=0),0,IF(I$22=入力規則マスタ!$K$4,ROUND(((I61+I61/(I$5-I$6)*I$6+I61/(I$5-I$6)*I$15)),(-3)),0))</f>
        <v>#REF!</v>
      </c>
    </row>
    <row r="163" spans="1:9" s="447" customFormat="1" ht="13.5" customHeight="1">
      <c r="A163" s="514"/>
      <c r="B163" s="515"/>
      <c r="C163" s="1086">
        <v>10500813</v>
      </c>
      <c r="D163" s="1087" t="s">
        <v>2156</v>
      </c>
      <c r="E163" s="1088"/>
      <c r="F163" s="1131"/>
      <c r="G163" s="1150" t="e">
        <f t="shared" ca="1" si="6"/>
        <v>#REF!</v>
      </c>
      <c r="H163" s="1033">
        <f ca="1">IF(OR(H$4="費用",H436="附帯",H$3=0,H$5-H$6=0),0,IF(H$22=入力規則マスタ!$K$4,ROUND(((H62+H62/(H$5-H$6)*H$6+H62/(H$5-H$6)*H$15)),(-3)),0))</f>
        <v>0</v>
      </c>
      <c r="I163" s="1015" t="e">
        <f ca="1">IF(OR(I$4="費用",I436="附帯",I$3=0,I$5-I$6=0),0,IF(I$22=入力規則マスタ!$K$4,ROUND(((I62+I62/(I$5-I$6)*I$6+I62/(I$5-I$6)*I$15)),(-3)),0))</f>
        <v>#REF!</v>
      </c>
    </row>
    <row r="164" spans="1:9" s="447" customFormat="1" ht="13.5" customHeight="1">
      <c r="A164" s="514"/>
      <c r="B164" s="515"/>
      <c r="C164" s="1086">
        <v>10500814</v>
      </c>
      <c r="D164" s="1087" t="s">
        <v>2157</v>
      </c>
      <c r="E164" s="1088"/>
      <c r="F164" s="1131"/>
      <c r="G164" s="1150" t="e">
        <f t="shared" ca="1" si="6"/>
        <v>#REF!</v>
      </c>
      <c r="H164" s="1033">
        <f ca="1">IF(OR(H$4="費用",H436="附帯",H$3=0,H$5-H$6=0),0,IF(H$22=入力規則マスタ!$K$4,ROUND(((H63+H63/(H$5-H$6)*H$6+H63/(H$5-H$6)*H$15)),(-3)),0))</f>
        <v>0</v>
      </c>
      <c r="I164" s="1015" t="e">
        <f ca="1">IF(OR(I$4="費用",I436="附帯",I$3=0,I$5-I$6=0),0,IF(I$22=入力規則マスタ!$K$4,ROUND(((I63+I63/(I$5-I$6)*I$6+I63/(I$5-I$6)*I$15)),(-3)),0))</f>
        <v>#REF!</v>
      </c>
    </row>
    <row r="165" spans="1:9" s="447" customFormat="1" ht="13.5" customHeight="1">
      <c r="A165" s="514"/>
      <c r="B165" s="515"/>
      <c r="C165" s="1086">
        <v>10500815</v>
      </c>
      <c r="D165" s="1087" t="s">
        <v>2158</v>
      </c>
      <c r="E165" s="1088"/>
      <c r="F165" s="1131"/>
      <c r="G165" s="1150" t="e">
        <f t="shared" ca="1" si="6"/>
        <v>#REF!</v>
      </c>
      <c r="H165" s="1033">
        <f ca="1">IF(OR(H$4="費用",H436="附帯",H$3=0,H$5-H$6=0),0,IF(H$22=入力規則マスタ!$K$4,ROUND(((H64+H64/(H$5-H$6)*H$6+H64/(H$5-H$6)*H$15)),(-3)),0))</f>
        <v>0</v>
      </c>
      <c r="I165" s="1015" t="e">
        <f ca="1">IF(OR(I$4="費用",I436="附帯",I$3=0,I$5-I$6=0),0,IF(I$22=入力規則マスタ!$K$4,ROUND(((I64+I64/(I$5-I$6)*I$6+I64/(I$5-I$6)*I$15)),(-3)),0))</f>
        <v>#REF!</v>
      </c>
    </row>
    <row r="166" spans="1:9" s="447" customFormat="1" ht="13.5" customHeight="1">
      <c r="A166" s="514"/>
      <c r="B166" s="515"/>
      <c r="C166" s="1086">
        <v>10500816</v>
      </c>
      <c r="D166" s="1087" t="s">
        <v>2159</v>
      </c>
      <c r="E166" s="1088"/>
      <c r="F166" s="1131"/>
      <c r="G166" s="1150" t="e">
        <f t="shared" ca="1" si="6"/>
        <v>#REF!</v>
      </c>
      <c r="H166" s="1033">
        <f ca="1">IF(OR(H$4="費用",H436="附帯",H$3=0,H$5-H$6=0),0,IF(H$22=入力規則マスタ!$K$4,ROUND(((H65+H65/(H$5-H$6)*H$6+H65/(H$5-H$6)*H$15)),(-3)),0))</f>
        <v>0</v>
      </c>
      <c r="I166" s="1015" t="e">
        <f ca="1">IF(OR(I$4="費用",I436="附帯",I$3=0,I$5-I$6=0),0,IF(I$22=入力規則マスタ!$K$4,ROUND(((I65+I65/(I$5-I$6)*I$6+I65/(I$5-I$6)*I$15)),(-3)),0))</f>
        <v>#REF!</v>
      </c>
    </row>
    <row r="167" spans="1:9" s="447" customFormat="1" ht="13.5" customHeight="1">
      <c r="A167" s="514"/>
      <c r="B167" s="515"/>
      <c r="C167" s="1086">
        <v>10500817</v>
      </c>
      <c r="D167" s="1087" t="s">
        <v>2160</v>
      </c>
      <c r="E167" s="1088"/>
      <c r="F167" s="1131"/>
      <c r="G167" s="1150" t="e">
        <f t="shared" ca="1" si="6"/>
        <v>#REF!</v>
      </c>
      <c r="H167" s="1033">
        <f ca="1">IF(OR(H$4="費用",H436="附帯",H$3=0,H$5-H$6=0),0,IF(H$22=入力規則マスタ!$K$4,ROUND(((H66+H66/(H$5-H$6)*H$6+H66/(H$5-H$6)*H$15)),(-3)),0))</f>
        <v>0</v>
      </c>
      <c r="I167" s="1015" t="e">
        <f ca="1">IF(OR(I$4="費用",I436="附帯",I$3=0,I$5-I$6=0),0,IF(I$22=入力規則マスタ!$K$4,ROUND(((I66+I66/(I$5-I$6)*I$6+I66/(I$5-I$6)*I$15)),(-3)),0))</f>
        <v>#REF!</v>
      </c>
    </row>
    <row r="168" spans="1:9" s="447" customFormat="1" ht="13.5" customHeight="1">
      <c r="A168" s="514"/>
      <c r="B168" s="515"/>
      <c r="C168" s="1086">
        <v>10500818</v>
      </c>
      <c r="D168" s="1087" t="s">
        <v>2161</v>
      </c>
      <c r="E168" s="1088"/>
      <c r="F168" s="1131"/>
      <c r="G168" s="1150" t="e">
        <f t="shared" ca="1" si="6"/>
        <v>#REF!</v>
      </c>
      <c r="H168" s="1033">
        <f ca="1">IF(OR(H$4="費用",H436="附帯",H$3=0,H$5-H$6=0),0,IF(H$22=入力規則マスタ!$K$4,ROUND(((H67+H67/(H$5-H$6)*H$6+H67/(H$5-H$6)*H$15)),(-3)),0))</f>
        <v>0</v>
      </c>
      <c r="I168" s="1015" t="e">
        <f ca="1">IF(OR(I$4="費用",I436="附帯",I$3=0,I$5-I$6=0),0,IF(I$22=入力規則マスタ!$K$4,ROUND(((I67+I67/(I$5-I$6)*I$6+I67/(I$5-I$6)*I$15)),(-3)),0))</f>
        <v>#REF!</v>
      </c>
    </row>
    <row r="169" spans="1:9" s="447" customFormat="1" ht="13.5" customHeight="1">
      <c r="A169" s="514"/>
      <c r="B169" s="515"/>
      <c r="C169" s="1086">
        <v>10500819</v>
      </c>
      <c r="D169" s="1087" t="s">
        <v>2162</v>
      </c>
      <c r="E169" s="1088"/>
      <c r="F169" s="1131"/>
      <c r="G169" s="1150" t="e">
        <f t="shared" ca="1" si="6"/>
        <v>#REF!</v>
      </c>
      <c r="H169" s="1033">
        <f ca="1">IF(OR(H$4="費用",H436="附帯",H$3=0,H$5-H$6=0),0,IF(H$22=入力規則マスタ!$K$4,ROUND(((H68+H68/(H$5-H$6)*H$6+H68/(H$5-H$6)*H$15)),(-3)),0))</f>
        <v>0</v>
      </c>
      <c r="I169" s="1015" t="e">
        <f ca="1">IF(OR(I$4="費用",I436="附帯",I$3=0,I$5-I$6=0),0,IF(I$22=入力規則マスタ!$K$4,ROUND(((I68+I68/(I$5-I$6)*I$6+I68/(I$5-I$6)*I$15)),(-3)),0))</f>
        <v>#REF!</v>
      </c>
    </row>
    <row r="170" spans="1:9" s="447" customFormat="1" ht="13.5" customHeight="1">
      <c r="A170" s="514"/>
      <c r="B170" s="515"/>
      <c r="C170" s="1086">
        <v>10500820</v>
      </c>
      <c r="D170" s="1087" t="s">
        <v>2163</v>
      </c>
      <c r="E170" s="1088"/>
      <c r="F170" s="1131"/>
      <c r="G170" s="1150" t="e">
        <f t="shared" ca="1" si="6"/>
        <v>#REF!</v>
      </c>
      <c r="H170" s="1033">
        <f ca="1">IF(OR(H$4="費用",H436="附帯",H$3=0,H$5-H$6=0),0,IF(H$22=入力規則マスタ!$K$4,ROUND(((H69+H69/(H$5-H$6)*H$6+H69/(H$5-H$6)*H$15)),(-3)),0))</f>
        <v>0</v>
      </c>
      <c r="I170" s="1015" t="e">
        <f ca="1">IF(OR(I$4="費用",I436="附帯",I$3=0,I$5-I$6=0),0,IF(I$22=入力規則マスタ!$K$4,ROUND(((I69+I69/(I$5-I$6)*I$6+I69/(I$5-I$6)*I$15)),(-3)),0))</f>
        <v>#REF!</v>
      </c>
    </row>
    <row r="171" spans="1:9" s="447" customFormat="1" ht="13.5" customHeight="1">
      <c r="A171" s="514"/>
      <c r="B171" s="515"/>
      <c r="C171" s="1086">
        <v>10500821</v>
      </c>
      <c r="D171" s="1087" t="s">
        <v>2164</v>
      </c>
      <c r="E171" s="1088"/>
      <c r="F171" s="1131"/>
      <c r="G171" s="1150" t="e">
        <f t="shared" ca="1" si="6"/>
        <v>#REF!</v>
      </c>
      <c r="H171" s="1033">
        <f ca="1">IF(OR(H$4="費用",H436="附帯",H$3=0,H$5-H$6=0),0,IF(H$22=入力規則マスタ!$K$4,ROUND(((H70+H70/(H$5-H$6)*H$6+H70/(H$5-H$6)*H$15)),(-3)),0))</f>
        <v>0</v>
      </c>
      <c r="I171" s="1015" t="e">
        <f ca="1">IF(OR(I$4="費用",I436="附帯",I$3=0,I$5-I$6=0),0,IF(I$22=入力規則マスタ!$K$4,ROUND(((I70+I70/(I$5-I$6)*I$6+I70/(I$5-I$6)*I$15)),(-3)),0))</f>
        <v>#REF!</v>
      </c>
    </row>
    <row r="172" spans="1:9" s="447" customFormat="1" ht="13.5" customHeight="1">
      <c r="A172" s="514"/>
      <c r="B172" s="515"/>
      <c r="C172" s="1086">
        <v>10500822</v>
      </c>
      <c r="D172" s="1087" t="s">
        <v>2690</v>
      </c>
      <c r="E172" s="1088"/>
      <c r="F172" s="1131"/>
      <c r="G172" s="1150" t="e">
        <f t="shared" ca="1" si="6"/>
        <v>#REF!</v>
      </c>
      <c r="H172" s="1033">
        <f ca="1">IF(OR(H$4="費用",H436="附帯",H$3=0,H$5-H$6=0),0,IF(H$22=入力規則マスタ!$K$4,ROUND(((H71+H71/(H$5-H$6)*H$6+H71/(H$5-H$6)*H$15)),(-3)),0))</f>
        <v>0</v>
      </c>
      <c r="I172" s="1015" t="e">
        <f ca="1">IF(OR(I$4="費用",I436="附帯",I$3=0,I$5-I$6=0),0,IF(I$22=入力規則マスタ!$K$4,ROUND(((I71+I71/(I$5-I$6)*I$6+I71/(I$5-I$6)*I$15)),(-3)),0))</f>
        <v>#REF!</v>
      </c>
    </row>
    <row r="173" spans="1:9" s="447" customFormat="1" ht="13.5" customHeight="1">
      <c r="A173" s="514"/>
      <c r="B173" s="515"/>
      <c r="C173" s="1086">
        <v>10500823</v>
      </c>
      <c r="D173" s="1087" t="s">
        <v>2691</v>
      </c>
      <c r="E173" s="1088"/>
      <c r="F173" s="1131"/>
      <c r="G173" s="1150" t="e">
        <f t="shared" ca="1" si="6"/>
        <v>#REF!</v>
      </c>
      <c r="H173" s="1033">
        <f ca="1">IF(OR(H$4="費用",H436="附帯",H$3=0,H$5-H$6=0),0,IF(H$22=入力規則マスタ!$K$4,ROUND(((H72+H72/(H$5-H$6)*H$6+H72/(H$5-H$6)*H$15)),(-3)),0))</f>
        <v>0</v>
      </c>
      <c r="I173" s="1015" t="e">
        <f ca="1">IF(OR(I$4="費用",I436="附帯",I$3=0,I$5-I$6=0),0,IF(I$22=入力規則マスタ!$K$4,ROUND(((I72+I72/(I$5-I$6)*I$6+I72/(I$5-I$6)*I$15)),(-3)),0))</f>
        <v>#REF!</v>
      </c>
    </row>
    <row r="174" spans="1:9" s="447" customFormat="1" ht="13.5" customHeight="1">
      <c r="A174" s="514"/>
      <c r="B174" s="515"/>
      <c r="C174" s="1086">
        <v>10500824</v>
      </c>
      <c r="D174" s="1087" t="s">
        <v>2702</v>
      </c>
      <c r="E174" s="1088"/>
      <c r="F174" s="1131"/>
      <c r="G174" s="1150" t="e">
        <f t="shared" ca="1" si="6"/>
        <v>#REF!</v>
      </c>
      <c r="H174" s="1033">
        <f ca="1">IF(OR(H$4="費用",H436="附帯",H$3=0,H$5-H$6=0),0,IF(H$22=入力規則マスタ!$K$4,ROUND(((H73+H73/(H$5-H$6)*H$6+H73/(H$5-H$6)*H$15)),(-3)),0))</f>
        <v>0</v>
      </c>
      <c r="I174" s="1015" t="e">
        <f ca="1">IF(OR(I$4="費用",I436="附帯",I$3=0,I$5-I$6=0),0,IF(I$22=入力規則マスタ!$K$4,ROUND(((I73+I73/(I$5-I$6)*I$6+I73/(I$5-I$6)*I$15)),(-3)),0))</f>
        <v>#REF!</v>
      </c>
    </row>
    <row r="175" spans="1:9" s="447" customFormat="1" ht="13.5" customHeight="1">
      <c r="A175" s="514"/>
      <c r="B175" s="515"/>
      <c r="C175" s="1086">
        <v>10500824</v>
      </c>
      <c r="D175" s="1087" t="s">
        <v>2703</v>
      </c>
      <c r="E175" s="1088"/>
      <c r="F175" s="1131"/>
      <c r="G175" s="1150" t="e">
        <f t="shared" ca="1" si="6"/>
        <v>#REF!</v>
      </c>
      <c r="H175" s="1033">
        <f ca="1">IF(OR(H$4="費用",H436="附帯",H$3=0,H$5-H$6=0),0,IF(H$22=入力規則マスタ!$K$4,ROUND(((H74+H74/(H$5-H$6)*H$6+H74/(H$5-H$6)*H$15)),(-3)),0))</f>
        <v>0</v>
      </c>
      <c r="I175" s="1015" t="e">
        <f ca="1">IF(OR(I$4="費用",I436="附帯",I$3=0,I$5-I$6=0),0,IF(I$22=入力規則マスタ!$K$4,ROUND(((I74+I74/(I$5-I$6)*I$6+I74/(I$5-I$6)*I$15)),(-3)),0))</f>
        <v>#REF!</v>
      </c>
    </row>
    <row r="176" spans="1:9" s="447" customFormat="1" ht="13.5" customHeight="1">
      <c r="A176" s="514"/>
      <c r="B176" s="515"/>
      <c r="C176" s="1086">
        <v>10500824</v>
      </c>
      <c r="D176" s="1087" t="s">
        <v>2704</v>
      </c>
      <c r="E176" s="1088"/>
      <c r="F176" s="1131"/>
      <c r="G176" s="1150" t="e">
        <f t="shared" ca="1" si="6"/>
        <v>#REF!</v>
      </c>
      <c r="H176" s="1033">
        <f ca="1">IF(OR(H$4="費用",H436="附帯",H$3=0,H$5-H$6=0),0,IF(H$22=入力規則マスタ!$K$4,ROUND(((H75+H75/(H$5-H$6)*H$6+H75/(H$5-H$6)*H$15)),(-3)),0))</f>
        <v>0</v>
      </c>
      <c r="I176" s="1015" t="e">
        <f ca="1">IF(OR(I$4="費用",I436="附帯",I$3=0,I$5-I$6=0),0,IF(I$22=入力規則マスタ!$K$4,ROUND(((I75+I75/(I$5-I$6)*I$6+I75/(I$5-I$6)*I$15)),(-3)),0))</f>
        <v>#REF!</v>
      </c>
    </row>
    <row r="177" spans="1:9" s="447" customFormat="1" ht="13.5" customHeight="1">
      <c r="A177" s="514"/>
      <c r="B177" s="515"/>
      <c r="C177" s="1086">
        <v>10500825</v>
      </c>
      <c r="D177" s="1087" t="s">
        <v>2705</v>
      </c>
      <c r="E177" s="1088"/>
      <c r="F177" s="1131"/>
      <c r="G177" s="1150" t="e">
        <f t="shared" ca="1" si="6"/>
        <v>#REF!</v>
      </c>
      <c r="H177" s="1033">
        <f ca="1">IF(OR(H$4="費用",H436="附帯",H$3=0,H$5-H$6=0),0,IF(H$22=入力規則マスタ!$K$4,ROUND(((H76+H76/(H$5-H$6)*H$6+H76/(H$5-H$6)*H$15)),(-3)),0))</f>
        <v>0</v>
      </c>
      <c r="I177" s="1015" t="e">
        <f ca="1">IF(OR(I$4="費用",I436="附帯",I$3=0,I$5-I$6=0),0,IF(I$22=入力規則マスタ!$K$4,ROUND(((I76+I76/(I$5-I$6)*I$6+I76/(I$5-I$6)*I$15)),(-3)),0))</f>
        <v>#REF!</v>
      </c>
    </row>
    <row r="178" spans="1:9" s="447" customFormat="1" ht="13.5" customHeight="1">
      <c r="A178" s="514"/>
      <c r="B178" s="515"/>
      <c r="C178" s="1086">
        <v>10500825</v>
      </c>
      <c r="D178" s="1087" t="s">
        <v>2706</v>
      </c>
      <c r="E178" s="1088"/>
      <c r="F178" s="1131"/>
      <c r="G178" s="1150" t="e">
        <f t="shared" ca="1" si="6"/>
        <v>#REF!</v>
      </c>
      <c r="H178" s="1033">
        <f ca="1">IF(OR(H$4="費用",H436="附帯",H$3=0,H$5-H$6=0),0,IF(H$22=入力規則マスタ!$K$4,ROUND(((H77+H77/(H$5-H$6)*H$6+H77/(H$5-H$6)*H$15)),(-3)),0))</f>
        <v>0</v>
      </c>
      <c r="I178" s="1015" t="e">
        <f ca="1">IF(OR(I$4="費用",I436="附帯",I$3=0,I$5-I$6=0),0,IF(I$22=入力規則マスタ!$K$4,ROUND(((I77+I77/(I$5-I$6)*I$6+I77/(I$5-I$6)*I$15)),(-3)),0))</f>
        <v>#REF!</v>
      </c>
    </row>
    <row r="179" spans="1:9" s="447" customFormat="1" ht="13.5" customHeight="1">
      <c r="A179" s="514"/>
      <c r="B179" s="515"/>
      <c r="C179" s="880" t="s">
        <v>3079</v>
      </c>
      <c r="D179" s="1092"/>
      <c r="E179" s="1093"/>
      <c r="F179" s="1092"/>
      <c r="G179" s="1164"/>
      <c r="H179" s="1044" t="str">
        <f>IF(H$22="008変電所建物",ROUND(H78+H78/(H$5-H$6)*H$6+H78/(H$5-H$6)*H$15,-3),"")</f>
        <v/>
      </c>
      <c r="I179" s="1016" t="str">
        <f>IF(I$22="008変電所建物",ROUND(I78+I78/(I$5-I$6)*I$6+I78/(I$5-I$6)*I$15,-3),"")</f>
        <v/>
      </c>
    </row>
    <row r="180" spans="1:9" s="447" customFormat="1" ht="13.5" customHeight="1">
      <c r="A180" s="514"/>
      <c r="B180" s="515"/>
      <c r="C180" s="1086">
        <v>10500901</v>
      </c>
      <c r="D180" s="1087" t="s">
        <v>2165</v>
      </c>
      <c r="E180" s="1088"/>
      <c r="F180" s="1131"/>
      <c r="G180" s="1144" t="e">
        <f t="shared" ref="G180:G207" ca="1" si="7">SUM(H180:J180)</f>
        <v>#REF!</v>
      </c>
      <c r="H180" s="1027">
        <f ca="1">IF(OR(H$4="費用",H436="附帯",H$3=0,H$5-H$6=0),0,IF(H$22=入力規則マスタ!$K$5,ROUND(((H23+H23/(H$5-H$6)*H$6+H23/(H$5-H$6)*H$15)),(-3)),0))</f>
        <v>0</v>
      </c>
      <c r="I180" s="1014" t="e">
        <f ca="1">IF(OR(I$4="費用",I436="附帯",I$3=0,I$5-I$6=0),0,IF(I$22=入力規則マスタ!$K$5,ROUND(((I23+I23/(I$5-I$6)*I$6+I23/(I$5-I$6)*I$15)),(-3)),0))</f>
        <v>#REF!</v>
      </c>
    </row>
    <row r="181" spans="1:9" s="447" customFormat="1" ht="13.5" customHeight="1">
      <c r="A181" s="514"/>
      <c r="B181" s="515"/>
      <c r="C181" s="1086">
        <v>10500902</v>
      </c>
      <c r="D181" s="1087" t="s">
        <v>2166</v>
      </c>
      <c r="E181" s="1088"/>
      <c r="F181" s="1131"/>
      <c r="G181" s="1150" t="e">
        <f t="shared" ca="1" si="7"/>
        <v>#REF!</v>
      </c>
      <c r="H181" s="1027">
        <f ca="1">IF(OR(H$4="費用",H436="附帯",H$3=0,H$5-H$6=0),0,IF(H$22=入力規則マスタ!$K$5,ROUND(((H24+H24/(H$5-H$6)*H$6+H24/(H$5-H$6)*H$15)),(-3)),0))</f>
        <v>0</v>
      </c>
      <c r="I181" s="1014" t="e">
        <f ca="1">IF(OR(I$4="費用",I436="附帯",I$3=0,I$5-I$6=0),0,IF(I$22=入力規則マスタ!$K$5,ROUND(((I24+I24/(I$5-I$6)*I$6+I24/(I$5-I$6)*I$15)),(-3)),0))</f>
        <v>#REF!</v>
      </c>
    </row>
    <row r="182" spans="1:9" s="447" customFormat="1" ht="13.5" customHeight="1">
      <c r="A182" s="514"/>
      <c r="B182" s="515"/>
      <c r="C182" s="1086">
        <v>10500903</v>
      </c>
      <c r="D182" s="1087" t="s">
        <v>2167</v>
      </c>
      <c r="E182" s="1088"/>
      <c r="F182" s="1131"/>
      <c r="G182" s="1150" t="e">
        <f t="shared" ca="1" si="7"/>
        <v>#REF!</v>
      </c>
      <c r="H182" s="1027">
        <f ca="1">IF(OR(H$4="費用",H436="附帯",H$3=0,H$5-H$6=0),0,IF(H$22=入力規則マスタ!$K$5,ROUND(((H25+H25/(H$5-H$6)*H$6+H25/(H$5-H$6)*H$15)),(-3)),0))</f>
        <v>0</v>
      </c>
      <c r="I182" s="1014" t="e">
        <f ca="1">IF(OR(I$4="費用",I436="附帯",I$3=0,I$5-I$6=0),0,IF(I$22=入力規則マスタ!$K$5,ROUND(((I25+I25/(I$5-I$6)*I$6+I25/(I$5-I$6)*I$15)),(-3)),0))</f>
        <v>#REF!</v>
      </c>
    </row>
    <row r="183" spans="1:9" s="447" customFormat="1" ht="13.5" customHeight="1">
      <c r="A183" s="514"/>
      <c r="B183" s="515"/>
      <c r="C183" s="1086">
        <v>10500904</v>
      </c>
      <c r="D183" s="1087" t="s">
        <v>2168</v>
      </c>
      <c r="E183" s="1088"/>
      <c r="F183" s="1131"/>
      <c r="G183" s="1150" t="e">
        <f t="shared" ca="1" si="7"/>
        <v>#REF!</v>
      </c>
      <c r="H183" s="1027">
        <f ca="1">IF(OR(H$4="費用",H436="附帯",H$3=0,H$5-H$6=0),0,IF(H$22=入力規則マスタ!$K$5,ROUND(((H26+H26/(H$5-H$6)*H$6+H26/(H$5-H$6)*H$15)),(-3)),0))</f>
        <v>0</v>
      </c>
      <c r="I183" s="1014" t="e">
        <f ca="1">IF(OR(I$4="費用",I436="附帯",I$3=0,I$5-I$6=0),0,IF(I$22=入力規則マスタ!$K$5,ROUND(((I26+I26/(I$5-I$6)*I$6+I26/(I$5-I$6)*I$15)),(-3)),0))</f>
        <v>#REF!</v>
      </c>
    </row>
    <row r="184" spans="1:9" s="447" customFormat="1" ht="13.5" customHeight="1">
      <c r="A184" s="514"/>
      <c r="B184" s="515"/>
      <c r="C184" s="1086">
        <v>10500905</v>
      </c>
      <c r="D184" s="1087" t="s">
        <v>2169</v>
      </c>
      <c r="E184" s="1088"/>
      <c r="F184" s="1131"/>
      <c r="G184" s="1150" t="e">
        <f t="shared" ca="1" si="7"/>
        <v>#REF!</v>
      </c>
      <c r="H184" s="1027">
        <f ca="1">IF(OR(H$4="費用",H436="附帯",H$3=0,H$5-H$6=0),0,IF(H$22=入力規則マスタ!$K$5,ROUND(((H27+H27/(H$5-H$6)*H$6+H27/(H$5-H$6)*H$15)),(-3)),0))</f>
        <v>0</v>
      </c>
      <c r="I184" s="1014" t="e">
        <f ca="1">IF(OR(I$4="費用",I436="附帯",I$3=0,I$5-I$6=0),0,IF(I$22=入力規則マスタ!$K$5,ROUND(((I27+I27/(I$5-I$6)*I$6+I27/(I$5-I$6)*I$15)),(-3)),0))</f>
        <v>#REF!</v>
      </c>
    </row>
    <row r="185" spans="1:9" s="447" customFormat="1" ht="13.5" customHeight="1">
      <c r="A185" s="514"/>
      <c r="B185" s="515"/>
      <c r="C185" s="1086">
        <v>10500906</v>
      </c>
      <c r="D185" s="1087" t="s">
        <v>2170</v>
      </c>
      <c r="E185" s="1088"/>
      <c r="F185" s="1131"/>
      <c r="G185" s="1150" t="e">
        <f t="shared" ca="1" si="7"/>
        <v>#REF!</v>
      </c>
      <c r="H185" s="1027">
        <f ca="1">IF(OR(H$4="費用",H436="附帯",H$3=0,H$5-H$6=0),0,IF(H$22=入力規則マスタ!$K$5,ROUND(((H28+H28/(H$5-H$6)*H$6+H28/(H$5-H$6)*H$15)),(-3)),0))</f>
        <v>0</v>
      </c>
      <c r="I185" s="1014" t="e">
        <f ca="1">IF(OR(I$4="費用",I436="附帯",I$3=0,I$5-I$6=0),0,IF(I$22=入力規則マスタ!$K$5,ROUND(((I28+I28/(I$5-I$6)*I$6+I28/(I$5-I$6)*I$15)),(-3)),0))</f>
        <v>#REF!</v>
      </c>
    </row>
    <row r="186" spans="1:9" s="447" customFormat="1" ht="13.5" customHeight="1">
      <c r="A186" s="514"/>
      <c r="B186" s="515"/>
      <c r="C186" s="1086">
        <v>10500907</v>
      </c>
      <c r="D186" s="1087" t="s">
        <v>2171</v>
      </c>
      <c r="E186" s="1088"/>
      <c r="F186" s="1131"/>
      <c r="G186" s="1150" t="e">
        <f t="shared" ca="1" si="7"/>
        <v>#REF!</v>
      </c>
      <c r="H186" s="1027">
        <f ca="1">IF(OR(H$4="費用",H436="附帯",H$3=0,H$5-H$6=0),0,IF(H$22=入力規則マスタ!$K$5,ROUND(((H29+H29/(H$5-H$6)*H$6+H29/(H$5-H$6)*H$15)),(-3)),0))</f>
        <v>0</v>
      </c>
      <c r="I186" s="1014" t="e">
        <f ca="1">IF(OR(I$4="費用",I436="附帯",I$3=0,I$5-I$6=0),0,IF(I$22=入力規則マスタ!$K$5,ROUND(((I29+I29/(I$5-I$6)*I$6+I29/(I$5-I$6)*I$15)),(-3)),0))</f>
        <v>#REF!</v>
      </c>
    </row>
    <row r="187" spans="1:9" s="447" customFormat="1" ht="13.5" customHeight="1">
      <c r="A187" s="514"/>
      <c r="B187" s="515"/>
      <c r="C187" s="1086">
        <v>10500908</v>
      </c>
      <c r="D187" s="1087" t="s">
        <v>2172</v>
      </c>
      <c r="E187" s="1088"/>
      <c r="F187" s="1131"/>
      <c r="G187" s="1150" t="e">
        <f t="shared" ca="1" si="7"/>
        <v>#REF!</v>
      </c>
      <c r="H187" s="1027">
        <f ca="1">IF(OR(H$4="費用",H436="附帯",H$3=0,H$5-H$6=0),0,IF(H$22=入力規則マスタ!$K$5,ROUND(((H30+H30/(H$5-H$6)*H$6+H30/(H$5-H$6)*H$15)),(-3)),0))</f>
        <v>0</v>
      </c>
      <c r="I187" s="1014" t="e">
        <f ca="1">IF(OR(I$4="費用",I436="附帯",I$3=0,I$5-I$6=0),0,IF(I$22=入力規則マスタ!$K$5,ROUND(((I30+I30/(I$5-I$6)*I$6+I30/(I$5-I$6)*I$15)),(-3)),0))</f>
        <v>#REF!</v>
      </c>
    </row>
    <row r="188" spans="1:9" s="447" customFormat="1" ht="13.5" customHeight="1">
      <c r="A188" s="514"/>
      <c r="B188" s="515"/>
      <c r="C188" s="1086">
        <v>10500909</v>
      </c>
      <c r="D188" s="1087" t="s">
        <v>2173</v>
      </c>
      <c r="E188" s="1088"/>
      <c r="F188" s="1131"/>
      <c r="G188" s="1150" t="e">
        <f t="shared" ca="1" si="7"/>
        <v>#REF!</v>
      </c>
      <c r="H188" s="1027">
        <f ca="1">IF(OR(H$4="費用",H436="附帯",H$3=0,H$5-H$6=0),0,IF(H$22=入力規則マスタ!$K$5,ROUND(((H31+H31/(H$5-H$6)*H$6+H31/(H$5-H$6)*H$15)),(-3)),0))</f>
        <v>0</v>
      </c>
      <c r="I188" s="1014" t="e">
        <f ca="1">IF(OR(I$4="費用",I436="附帯",I$3=0,I$5-I$6=0),0,IF(I$22=入力規則マスタ!$K$5,ROUND(((I31+I31/(I$5-I$6)*I$6+I31/(I$5-I$6)*I$15)),(-3)),0))</f>
        <v>#REF!</v>
      </c>
    </row>
    <row r="189" spans="1:9" s="447" customFormat="1" ht="13.5" customHeight="1">
      <c r="A189" s="514"/>
      <c r="B189" s="515"/>
      <c r="C189" s="1086">
        <v>10500910</v>
      </c>
      <c r="D189" s="1087" t="s">
        <v>2174</v>
      </c>
      <c r="E189" s="1088"/>
      <c r="F189" s="1131"/>
      <c r="G189" s="1150" t="e">
        <f t="shared" ca="1" si="7"/>
        <v>#REF!</v>
      </c>
      <c r="H189" s="1033">
        <f ca="1">IF(OR(H$4="費用",H436="附帯",H$3=0,H$5-H$6=0),0,IF(H$22=入力規則マスタ!$K$5,ROUND(((H59+H59/(H$5-H$6)*H$6+H59/(H$5-H$6)*H$15)),(-3)),0))</f>
        <v>0</v>
      </c>
      <c r="I189" s="1015" t="e">
        <f ca="1">IF(OR(I$4="費用",I436="附帯",I$3=0,I$5-I$6=0),0,IF(I$22=入力規則マスタ!$K$5,ROUND(((I59+I59/(I$5-I$6)*I$6+I59/(I$5-I$6)*I$15)),(-3)),0))</f>
        <v>#REF!</v>
      </c>
    </row>
    <row r="190" spans="1:9" s="447" customFormat="1" ht="13.5" customHeight="1">
      <c r="A190" s="514"/>
      <c r="B190" s="515"/>
      <c r="C190" s="1086">
        <v>10500911</v>
      </c>
      <c r="D190" s="1087" t="s">
        <v>2175</v>
      </c>
      <c r="E190" s="1088"/>
      <c r="F190" s="1131"/>
      <c r="G190" s="1150" t="e">
        <f t="shared" ca="1" si="7"/>
        <v>#REF!</v>
      </c>
      <c r="H190" s="1033">
        <f ca="1">IF(OR(H$4="費用",H436="附帯",H$3=0,H$5-H$6=0),0,IF(H$22=入力規則マスタ!$K$5,ROUND(((H60+H60/(H$5-H$6)*H$6+H60/(H$5-H$6)*H$15)),(-3)),0))</f>
        <v>0</v>
      </c>
      <c r="I190" s="1015" t="e">
        <f ca="1">IF(OR(I$4="費用",I436="附帯",I$3=0,I$5-I$6=0),0,IF(I$22=入力規則マスタ!$K$5,ROUND(((I60+I60/(I$5-I$6)*I$6+I60/(I$5-I$6)*I$15)),(-3)),0))</f>
        <v>#REF!</v>
      </c>
    </row>
    <row r="191" spans="1:9" s="447" customFormat="1" ht="13.5" customHeight="1">
      <c r="A191" s="514"/>
      <c r="B191" s="515"/>
      <c r="C191" s="1086">
        <v>10500912</v>
      </c>
      <c r="D191" s="1087" t="s">
        <v>2176</v>
      </c>
      <c r="E191" s="1088"/>
      <c r="F191" s="1131"/>
      <c r="G191" s="1150" t="e">
        <f t="shared" ca="1" si="7"/>
        <v>#REF!</v>
      </c>
      <c r="H191" s="1033">
        <f ca="1">IF(OR(H$4="費用",H436="附帯",H$3=0,H$5-H$6=0),0,IF(H$22=入力規則マスタ!$K$5,ROUND(((H61+H61/(H$5-H$6)*H$6+H61/(H$5-H$6)*H$15)),(-3)),0))</f>
        <v>0</v>
      </c>
      <c r="I191" s="1015" t="e">
        <f ca="1">IF(OR(I$4="費用",I436="附帯",I$3=0,I$5-I$6=0),0,IF(I$22=入力規則マスタ!$K$5,ROUND(((I61+I61/(I$5-I$6)*I$6+I61/(I$5-I$6)*I$15)),(-3)),0))</f>
        <v>#REF!</v>
      </c>
    </row>
    <row r="192" spans="1:9" s="447" customFormat="1" ht="13.5" customHeight="1">
      <c r="A192" s="514"/>
      <c r="B192" s="515"/>
      <c r="C192" s="1086">
        <v>10500913</v>
      </c>
      <c r="D192" s="1087" t="s">
        <v>2177</v>
      </c>
      <c r="E192" s="1088"/>
      <c r="F192" s="1131"/>
      <c r="G192" s="1150" t="e">
        <f t="shared" ca="1" si="7"/>
        <v>#REF!</v>
      </c>
      <c r="H192" s="1033">
        <f ca="1">IF(OR(H$4="費用",H436="附帯",H$3=0,H$5-H$6=0),0,IF(H$22=入力規則マスタ!$K$5,ROUND(((H62+H62/(H$5-H$6)*H$6+H62/(H$5-H$6)*H$15)),(-3)),0))</f>
        <v>0</v>
      </c>
      <c r="I192" s="1015" t="e">
        <f ca="1">IF(OR(I$4="費用",I436="附帯",I$3=0,I$5-I$6=0),0,IF(I$22=入力規則マスタ!$K$5,ROUND(((I62+I62/(I$5-I$6)*I$6+I62/(I$5-I$6)*I$15)),(-3)),0))</f>
        <v>#REF!</v>
      </c>
    </row>
    <row r="193" spans="1:9" s="447" customFormat="1" ht="13.5" customHeight="1">
      <c r="A193" s="514"/>
      <c r="B193" s="515"/>
      <c r="C193" s="1086">
        <v>10500914</v>
      </c>
      <c r="D193" s="1087" t="s">
        <v>2178</v>
      </c>
      <c r="E193" s="1088"/>
      <c r="F193" s="1131"/>
      <c r="G193" s="1150" t="e">
        <f t="shared" ca="1" si="7"/>
        <v>#REF!</v>
      </c>
      <c r="H193" s="1033">
        <f ca="1">IF(OR(H$4="費用",H436="附帯",H$3=0,H$5-H$6=0),0,IF(H$22=入力規則マスタ!$K$5,ROUND(((H63+H63/(H$5-H$6)*H$6+H63/(H$5-H$6)*H$15)),(-3)),0))</f>
        <v>0</v>
      </c>
      <c r="I193" s="1015" t="e">
        <f ca="1">IF(OR(I$4="費用",I436="附帯",I$3=0,I$5-I$6=0),0,IF(I$22=入力規則マスタ!$K$5,ROUND(((I63+I63/(I$5-I$6)*I$6+I63/(I$5-I$6)*I$15)),(-3)),0))</f>
        <v>#REF!</v>
      </c>
    </row>
    <row r="194" spans="1:9" s="447" customFormat="1" ht="13.5" customHeight="1">
      <c r="A194" s="514"/>
      <c r="B194" s="515"/>
      <c r="C194" s="1086">
        <v>10500915</v>
      </c>
      <c r="D194" s="1087" t="s">
        <v>2179</v>
      </c>
      <c r="E194" s="1088"/>
      <c r="F194" s="1131"/>
      <c r="G194" s="1150" t="e">
        <f t="shared" ca="1" si="7"/>
        <v>#REF!</v>
      </c>
      <c r="H194" s="1033">
        <f ca="1">IF(OR(H$4="費用",H436="附帯",H$3=0,H$5-H$6=0),0,IF(H$22=入力規則マスタ!$K$5,ROUND(((H64+H64/(H$5-H$6)*H$6+H64/(H$5-H$6)*H$15)),(-3)),0))</f>
        <v>0</v>
      </c>
      <c r="I194" s="1015" t="e">
        <f ca="1">IF(OR(I$4="費用",I436="附帯",I$3=0,I$5-I$6=0),0,IF(I$22=入力規則マスタ!$K$5,ROUND(((I64+I64/(I$5-I$6)*I$6+I64/(I$5-I$6)*I$15)),(-3)),0))</f>
        <v>#REF!</v>
      </c>
    </row>
    <row r="195" spans="1:9" s="447" customFormat="1" ht="13.5" customHeight="1">
      <c r="A195" s="514"/>
      <c r="B195" s="515"/>
      <c r="C195" s="1086">
        <v>10500916</v>
      </c>
      <c r="D195" s="1087" t="s">
        <v>2180</v>
      </c>
      <c r="E195" s="1088"/>
      <c r="F195" s="1131"/>
      <c r="G195" s="1150" t="e">
        <f t="shared" ca="1" si="7"/>
        <v>#REF!</v>
      </c>
      <c r="H195" s="1033">
        <f ca="1">IF(OR(H$4="費用",H436="附帯",H$3=0,H$5-H$6=0),0,IF(H$22=入力規則マスタ!$K$5,ROUND(((H65+H65/(H$5-H$6)*H$6+H65/(H$5-H$6)*H$15)),(-3)),0))</f>
        <v>0</v>
      </c>
      <c r="I195" s="1015" t="e">
        <f ca="1">IF(OR(I$4="費用",I436="附帯",I$3=0,I$5-I$6=0),0,IF(I$22=入力規則マスタ!$K$5,ROUND(((I65+I65/(I$5-I$6)*I$6+I65/(I$5-I$6)*I$15)),(-3)),0))</f>
        <v>#REF!</v>
      </c>
    </row>
    <row r="196" spans="1:9" s="447" customFormat="1" ht="13.5" customHeight="1">
      <c r="A196" s="514"/>
      <c r="B196" s="515"/>
      <c r="C196" s="1086">
        <v>10500917</v>
      </c>
      <c r="D196" s="1087" t="s">
        <v>2181</v>
      </c>
      <c r="E196" s="1088"/>
      <c r="F196" s="1131"/>
      <c r="G196" s="1150" t="e">
        <f t="shared" ca="1" si="7"/>
        <v>#REF!</v>
      </c>
      <c r="H196" s="1033">
        <f ca="1">IF(OR(H$4="費用",H436="附帯",H$3=0,H$5-H$6=0),0,IF(H$22=入力規則マスタ!$K$5,ROUND(((H66+H66/(H$5-H$6)*H$6+H66/(H$5-H$6)*H$15)),(-3)),0))</f>
        <v>0</v>
      </c>
      <c r="I196" s="1015" t="e">
        <f ca="1">IF(OR(I$4="費用",I436="附帯",I$3=0,I$5-I$6=0),0,IF(I$22=入力規則マスタ!$K$5,ROUND(((I66+I66/(I$5-I$6)*I$6+I66/(I$5-I$6)*I$15)),(-3)),0))</f>
        <v>#REF!</v>
      </c>
    </row>
    <row r="197" spans="1:9" s="447" customFormat="1" ht="13.5" customHeight="1">
      <c r="A197" s="514"/>
      <c r="B197" s="515"/>
      <c r="C197" s="1086">
        <v>10500918</v>
      </c>
      <c r="D197" s="1087" t="s">
        <v>2182</v>
      </c>
      <c r="E197" s="1088"/>
      <c r="F197" s="1131"/>
      <c r="G197" s="1150" t="e">
        <f t="shared" ca="1" si="7"/>
        <v>#REF!</v>
      </c>
      <c r="H197" s="1033">
        <f ca="1">IF(OR(H$4="費用",H436="附帯",H$3=0,H$5-H$6=0),0,IF(H$22=入力規則マスタ!$K$5,ROUND(((H67+H67/(H$5-H$6)*H$6+H67/(H$5-H$6)*H$15)),(-3)),0))</f>
        <v>0</v>
      </c>
      <c r="I197" s="1015" t="e">
        <f ca="1">IF(OR(I$4="費用",I436="附帯",I$3=0,I$5-I$6=0),0,IF(I$22=入力規則マスタ!$K$5,ROUND(((I67+I67/(I$5-I$6)*I$6+I67/(I$5-I$6)*I$15)),(-3)),0))</f>
        <v>#REF!</v>
      </c>
    </row>
    <row r="198" spans="1:9" s="447" customFormat="1" ht="13.5" customHeight="1">
      <c r="A198" s="514"/>
      <c r="B198" s="515"/>
      <c r="C198" s="1086">
        <v>10500919</v>
      </c>
      <c r="D198" s="1087" t="s">
        <v>2707</v>
      </c>
      <c r="E198" s="1088"/>
      <c r="F198" s="1131"/>
      <c r="G198" s="1150" t="e">
        <f t="shared" ca="1" si="7"/>
        <v>#REF!</v>
      </c>
      <c r="H198" s="1033">
        <f ca="1">IF(OR(H$4="費用",H436="附帯",H$3=0,H$5-H$6=0),0,IF(H$22=入力規則マスタ!$K$5,ROUND(((H68+H68/(H$5-H$6)*H$6+H68/(H$5-H$6)*H$15)),(-3)),0))</f>
        <v>0</v>
      </c>
      <c r="I198" s="1015" t="e">
        <f ca="1">IF(OR(I$4="費用",I436="附帯",I$3=0,I$5-I$6=0),0,IF(I$22=入力規則マスタ!$K$5,ROUND(((I68+I68/(I$5-I$6)*I$6+I68/(I$5-I$6)*I$15)),(-3)),0))</f>
        <v>#REF!</v>
      </c>
    </row>
    <row r="199" spans="1:9" s="447" customFormat="1" ht="13.5" customHeight="1">
      <c r="A199" s="514"/>
      <c r="B199" s="515"/>
      <c r="C199" s="1086">
        <v>10500920</v>
      </c>
      <c r="D199" s="1087" t="s">
        <v>2708</v>
      </c>
      <c r="E199" s="1088"/>
      <c r="F199" s="1131"/>
      <c r="G199" s="1150" t="e">
        <f t="shared" ca="1" si="7"/>
        <v>#REF!</v>
      </c>
      <c r="H199" s="1033">
        <f ca="1">IF(OR(H$4="費用",H436="附帯",H$3=0,H$5-H$6=0),0,IF(H$22=入力規則マスタ!$K$5,ROUND(((H69+H69/(H$5-H$6)*H$6+H69/(H$5-H$6)*H$15)),(-3)),0))</f>
        <v>0</v>
      </c>
      <c r="I199" s="1015" t="e">
        <f ca="1">IF(OR(I$4="費用",I436="附帯",I$3=0,I$5-I$6=0),0,IF(I$22=入力規則マスタ!$K$5,ROUND(((I69+I69/(I$5-I$6)*I$6+I69/(I$5-I$6)*I$15)),(-3)),0))</f>
        <v>#REF!</v>
      </c>
    </row>
    <row r="200" spans="1:9" s="447" customFormat="1" ht="13.5" customHeight="1">
      <c r="A200" s="514"/>
      <c r="B200" s="515"/>
      <c r="C200" s="1086">
        <v>10500921</v>
      </c>
      <c r="D200" s="1087" t="s">
        <v>2709</v>
      </c>
      <c r="E200" s="1088"/>
      <c r="F200" s="1131"/>
      <c r="G200" s="1150" t="e">
        <f t="shared" ca="1" si="7"/>
        <v>#REF!</v>
      </c>
      <c r="H200" s="1033">
        <f ca="1">IF(OR(H$4="費用",H436="附帯",H$3=0,H$5-H$6=0),0,IF(H$22=入力規則マスタ!$K$5,ROUND(((H70+H70/(H$5-H$6)*H$6+H70/(H$5-H$6)*H$15)),(-3)),0))</f>
        <v>0</v>
      </c>
      <c r="I200" s="1015" t="e">
        <f ca="1">IF(OR(I$4="費用",I436="附帯",I$3=0,I$5-I$6=0),0,IF(I$22=入力規則マスタ!$K$5,ROUND(((I70+I70/(I$5-I$6)*I$6+I70/(I$5-I$6)*I$15)),(-3)),0))</f>
        <v>#REF!</v>
      </c>
    </row>
    <row r="201" spans="1:9" s="447" customFormat="1" ht="13.5" customHeight="1">
      <c r="A201" s="514"/>
      <c r="B201" s="515"/>
      <c r="C201" s="1086">
        <v>10500922</v>
      </c>
      <c r="D201" s="1087" t="s">
        <v>2692</v>
      </c>
      <c r="E201" s="1088"/>
      <c r="F201" s="1131"/>
      <c r="G201" s="1150" t="e">
        <f t="shared" ca="1" si="7"/>
        <v>#REF!</v>
      </c>
      <c r="H201" s="1033">
        <f ca="1">IF(OR(H$4="費用",H436="附帯",H$3=0,H$5-H$6=0),0,IF(H$22=入力規則マスタ!$K$5,ROUND(((H71+H71/(H$5-H$6)*H$6+H71/(H$5-H$6)*H$15)),(-3)),0))</f>
        <v>0</v>
      </c>
      <c r="I201" s="1015" t="e">
        <f ca="1">IF(OR(I$4="費用",I436="附帯",I$3=0,I$5-I$6=0),0,IF(I$22=入力規則マスタ!$K$5,ROUND(((I71+I71/(I$5-I$6)*I$6+I71/(I$5-I$6)*I$15)),(-3)),0))</f>
        <v>#REF!</v>
      </c>
    </row>
    <row r="202" spans="1:9" s="447" customFormat="1" ht="13.5" customHeight="1">
      <c r="A202" s="514"/>
      <c r="B202" s="515"/>
      <c r="C202" s="1086">
        <v>10500923</v>
      </c>
      <c r="D202" s="1087" t="s">
        <v>2693</v>
      </c>
      <c r="E202" s="1088"/>
      <c r="F202" s="1131"/>
      <c r="G202" s="1150" t="e">
        <f t="shared" ca="1" si="7"/>
        <v>#REF!</v>
      </c>
      <c r="H202" s="1033">
        <f ca="1">IF(OR(H$4="費用",H436="附帯",H$3=0,H$5-H$6=0),0,IF(H$22=入力規則マスタ!$K$5,ROUND(((H72+H72/(H$5-H$6)*H$6+H72/(H$5-H$6)*H$15)),(-3)),0))</f>
        <v>0</v>
      </c>
      <c r="I202" s="1015" t="e">
        <f ca="1">IF(OR(I$4="費用",I436="附帯",I$3=0,I$5-I$6=0),0,IF(I$22=入力規則マスタ!$K$5,ROUND(((I72+I72/(I$5-I$6)*I$6+I72/(I$5-I$6)*I$15)),(-3)),0))</f>
        <v>#REF!</v>
      </c>
    </row>
    <row r="203" spans="1:9" s="447" customFormat="1" ht="13.5" customHeight="1">
      <c r="A203" s="514"/>
      <c r="B203" s="515"/>
      <c r="C203" s="1086">
        <v>10500924</v>
      </c>
      <c r="D203" s="1087" t="s">
        <v>2710</v>
      </c>
      <c r="E203" s="1088"/>
      <c r="F203" s="1131"/>
      <c r="G203" s="1150" t="e">
        <f t="shared" ca="1" si="7"/>
        <v>#REF!</v>
      </c>
      <c r="H203" s="1033">
        <f ca="1">IF(OR(H$4="費用",H436="附帯",H$3=0,H$5-H$6=0),0,IF(H$22=入力規則マスタ!$K$5,ROUND(((H73+H73/(H$5-H$6)*H$6+H73/(H$5-H$6)*H$15)),(-3)),0))</f>
        <v>0</v>
      </c>
      <c r="I203" s="1015" t="e">
        <f ca="1">IF(OR(I$4="費用",I436="附帯",I$3=0,I$5-I$6=0),0,IF(I$22=入力規則マスタ!$K$5,ROUND(((I73+I73/(I$5-I$6)*I$6+I73/(I$5-I$6)*I$15)),(-3)),0))</f>
        <v>#REF!</v>
      </c>
    </row>
    <row r="204" spans="1:9" s="447" customFormat="1" ht="13.5" customHeight="1">
      <c r="A204" s="514"/>
      <c r="B204" s="515"/>
      <c r="C204" s="1086">
        <v>10500924</v>
      </c>
      <c r="D204" s="1087" t="s">
        <v>2711</v>
      </c>
      <c r="E204" s="1088"/>
      <c r="F204" s="1131"/>
      <c r="G204" s="1150" t="e">
        <f t="shared" ca="1" si="7"/>
        <v>#REF!</v>
      </c>
      <c r="H204" s="1033">
        <f ca="1">IF(OR(H$4="費用",H436="附帯",H$3=0,H$5-H$6=0),0,IF(H$22=入力規則マスタ!$K$5,ROUND(((H74+H74/(H$5-H$6)*H$6+H74/(H$5-H$6)*H$15)),(-3)),0))</f>
        <v>0</v>
      </c>
      <c r="I204" s="1015" t="e">
        <f ca="1">IF(OR(I$4="費用",I436="附帯",I$3=0,I$5-I$6=0),0,IF(I$22=入力規則マスタ!$K$5,ROUND(((I74+I74/(I$5-I$6)*I$6+I74/(I$5-I$6)*I$15)),(-3)),0))</f>
        <v>#REF!</v>
      </c>
    </row>
    <row r="205" spans="1:9" s="447" customFormat="1" ht="13.5" customHeight="1">
      <c r="A205" s="514"/>
      <c r="B205" s="515"/>
      <c r="C205" s="1086">
        <v>10500924</v>
      </c>
      <c r="D205" s="1087" t="s">
        <v>2712</v>
      </c>
      <c r="E205" s="1088"/>
      <c r="F205" s="1131"/>
      <c r="G205" s="1150" t="e">
        <f t="shared" ca="1" si="7"/>
        <v>#REF!</v>
      </c>
      <c r="H205" s="1033">
        <f ca="1">IF(OR(H$4="費用",H436="附帯",H$3=0,H$5-H$6=0),0,IF(H$22=入力規則マスタ!$K$5,ROUND(((H75+H75/(H$5-H$6)*H$6+H75/(H$5-H$6)*H$15)),(-3)),0))</f>
        <v>0</v>
      </c>
      <c r="I205" s="1015" t="e">
        <f ca="1">IF(OR(I$4="費用",I436="附帯",I$3=0,I$5-I$6=0),0,IF(I$22=入力規則マスタ!$K$5,ROUND(((I75+I75/(I$5-I$6)*I$6+I75/(I$5-I$6)*I$15)),(-3)),0))</f>
        <v>#REF!</v>
      </c>
    </row>
    <row r="206" spans="1:9" s="447" customFormat="1" ht="13.5" customHeight="1">
      <c r="A206" s="514"/>
      <c r="B206" s="515"/>
      <c r="C206" s="1086">
        <v>10500925</v>
      </c>
      <c r="D206" s="1087" t="s">
        <v>2713</v>
      </c>
      <c r="E206" s="1088"/>
      <c r="F206" s="1131"/>
      <c r="G206" s="1150" t="e">
        <f t="shared" ca="1" si="7"/>
        <v>#REF!</v>
      </c>
      <c r="H206" s="1033">
        <f ca="1">IF(OR(H$4="費用",H436="附帯",H$3=0,H$5-H$6=0),0,IF(H$22=入力規則マスタ!$K$5,ROUND(((H76+H76/(H$5-H$6)*H$6+H76/(H$5-H$6)*H$15)),(-3)),0))</f>
        <v>0</v>
      </c>
      <c r="I206" s="1015" t="e">
        <f ca="1">IF(OR(I$4="費用",I436="附帯",I$3=0,I$5-I$6=0),0,IF(I$22=入力規則マスタ!$K$5,ROUND(((I76+I76/(I$5-I$6)*I$6+I76/(I$5-I$6)*I$15)),(-3)),0))</f>
        <v>#REF!</v>
      </c>
    </row>
    <row r="207" spans="1:9" s="447" customFormat="1" ht="13.5" customHeight="1">
      <c r="A207" s="514"/>
      <c r="B207" s="515"/>
      <c r="C207" s="1086">
        <v>10500925</v>
      </c>
      <c r="D207" s="1087" t="s">
        <v>2714</v>
      </c>
      <c r="E207" s="1088"/>
      <c r="F207" s="1131"/>
      <c r="G207" s="1150" t="e">
        <f t="shared" ca="1" si="7"/>
        <v>#REF!</v>
      </c>
      <c r="H207" s="1033">
        <f ca="1">IF(OR(H$4="費用",H436="附帯",H$3=0,H$5-H$6=0),0,IF(H$22=入力規則マスタ!$K$5,ROUND(((H77+H77/(H$5-H$6)*H$6+H77/(H$5-H$6)*H$15)),(-3)),0))</f>
        <v>0</v>
      </c>
      <c r="I207" s="1015" t="e">
        <f ca="1">IF(OR(I$4="費用",I436="附帯",I$3=0,I$5-I$6=0),0,IF(I$22=入力規則マスタ!$K$5,ROUND(((I77+I77/(I$5-I$6)*I$6+I77/(I$5-I$6)*I$15)),(-3)),0))</f>
        <v>#REF!</v>
      </c>
    </row>
    <row r="208" spans="1:9" s="447" customFormat="1" ht="13.5" customHeight="1">
      <c r="A208" s="514"/>
      <c r="B208" s="515"/>
      <c r="C208" s="880" t="s">
        <v>3079</v>
      </c>
      <c r="D208" s="1092"/>
      <c r="E208" s="1093"/>
      <c r="F208" s="1092"/>
      <c r="G208" s="1164"/>
      <c r="H208" s="1044" t="str">
        <f>IF(H$22="009車庫、工場建物",ROUND(H78+H78/(H$5-H$6)*H$6+H78/(H$5-H$6)*H$15,-3),"")</f>
        <v/>
      </c>
      <c r="I208" s="1016" t="str">
        <f>IF(I$22="009車庫、工場建物",ROUND(I78+I78/(I$5-I$6)*I$6+I78/(I$5-I$6)*I$15,-3),"")</f>
        <v/>
      </c>
    </row>
    <row r="209" spans="1:9" s="447" customFormat="1" ht="13.5" customHeight="1">
      <c r="A209" s="514"/>
      <c r="B209" s="858"/>
      <c r="C209" s="1086">
        <v>10501001</v>
      </c>
      <c r="D209" s="1087" t="s">
        <v>2183</v>
      </c>
      <c r="E209" s="1088"/>
      <c r="F209" s="1131"/>
      <c r="G209" s="1144" t="e">
        <f t="shared" ref="G209:G236" ca="1" si="8">SUM(H209:J209)</f>
        <v>#REF!</v>
      </c>
      <c r="H209" s="1027">
        <f ca="1">IF(OR(H$4="費用",H436="附帯",H$3=0,H$5-H$6=0),0,IF(H$22=入力規則マスタ!$K$6,ROUND(((H23+H23/(H$5-H$6)*H$6+H23/(H$5-H$6)*H$15)),(-3)),0))</f>
        <v>0</v>
      </c>
      <c r="I209" s="1014" t="e">
        <f ca="1">IF(OR(I$4="費用",I436="附帯",I$3=0,I$5-I$6=0),0,IF(I$22=入力規則マスタ!$K$6,ROUND(((I23+I23/(I$5-I$6)*I$6+I23/(I$5-I$6)*I$15)),(-3)),0))</f>
        <v>#REF!</v>
      </c>
    </row>
    <row r="210" spans="1:9" s="447" customFormat="1" ht="13.5" customHeight="1">
      <c r="A210" s="514"/>
      <c r="C210" s="1086">
        <v>10501002</v>
      </c>
      <c r="D210" s="1087" t="s">
        <v>2184</v>
      </c>
      <c r="E210" s="1088"/>
      <c r="F210" s="1131"/>
      <c r="G210" s="1150" t="e">
        <f t="shared" ca="1" si="8"/>
        <v>#REF!</v>
      </c>
      <c r="H210" s="1027">
        <f ca="1">IF(OR(H$4="費用",H436="附帯",H$3=0,H$5-H$6=0),0,IF(H$22=入力規則マスタ!$K$6,ROUND(((H24+H24/(H$5-H$6)*H$6+H24/(H$5-H$6)*H$15)),(-3)),0))</f>
        <v>0</v>
      </c>
      <c r="I210" s="1014" t="e">
        <f ca="1">IF(OR(I$4="費用",I436="附帯",I$3=0,I$5-I$6=0),0,IF(I$22=入力規則マスタ!$K$6,ROUND(((I24+I24/(I$5-I$6)*I$6+I24/(I$5-I$6)*I$15)),(-3)),0))</f>
        <v>#REF!</v>
      </c>
    </row>
    <row r="211" spans="1:9" s="447" customFormat="1" ht="13.5" customHeight="1">
      <c r="A211" s="514"/>
      <c r="C211" s="1086">
        <v>10501003</v>
      </c>
      <c r="D211" s="1087" t="s">
        <v>2185</v>
      </c>
      <c r="E211" s="1088"/>
      <c r="F211" s="1131"/>
      <c r="G211" s="1150" t="e">
        <f t="shared" ca="1" si="8"/>
        <v>#REF!</v>
      </c>
      <c r="H211" s="1027">
        <f ca="1">IF(OR(H$4="費用",H436="附帯",H$3=0,H$5-H$6=0),0,IF(H$22=入力規則マスタ!$K$6,ROUND(((H25+H25/(H$5-H$6)*H$6+H25/(H$5-H$6)*H$15)),(-3)),0))</f>
        <v>0</v>
      </c>
      <c r="I211" s="1014" t="e">
        <f ca="1">IF(OR(I$4="費用",I436="附帯",I$3=0,I$5-I$6=0),0,IF(I$22=入力規則マスタ!$K$6,ROUND(((I25+I25/(I$5-I$6)*I$6+I25/(I$5-I$6)*I$15)),(-3)),0))</f>
        <v>#REF!</v>
      </c>
    </row>
    <row r="212" spans="1:9" s="447" customFormat="1" ht="13.5" customHeight="1">
      <c r="A212" s="514"/>
      <c r="C212" s="1086">
        <v>10501004</v>
      </c>
      <c r="D212" s="1087" t="s">
        <v>2186</v>
      </c>
      <c r="E212" s="1088"/>
      <c r="F212" s="1131"/>
      <c r="G212" s="1150" t="e">
        <f t="shared" ca="1" si="8"/>
        <v>#REF!</v>
      </c>
      <c r="H212" s="1027">
        <f ca="1">IF(OR(H$4="費用",H436="附帯",H$3=0,H$5-H$6=0),0,IF(H$22=入力規則マスタ!$K$6,ROUND(((H26+H26/(H$5-H$6)*H$6+H26/(H$5-H$6)*H$15)),(-3)),0))</f>
        <v>0</v>
      </c>
      <c r="I212" s="1014" t="e">
        <f ca="1">IF(OR(I$4="費用",I436="附帯",I$3=0,I$5-I$6=0),0,IF(I$22=入力規則マスタ!$K$6,ROUND(((I26+I26/(I$5-I$6)*I$6+I26/(I$5-I$6)*I$15)),(-3)),0))</f>
        <v>#REF!</v>
      </c>
    </row>
    <row r="213" spans="1:9" s="447" customFormat="1" ht="13.5" customHeight="1">
      <c r="A213" s="514"/>
      <c r="C213" s="1086">
        <v>10501005</v>
      </c>
      <c r="D213" s="1087" t="s">
        <v>2187</v>
      </c>
      <c r="E213" s="1088"/>
      <c r="F213" s="1131"/>
      <c r="G213" s="1150" t="e">
        <f t="shared" ca="1" si="8"/>
        <v>#REF!</v>
      </c>
      <c r="H213" s="1027">
        <f ca="1">IF(OR(H$4="費用",H436="附帯",H$3=0,H$5-H$6=0),0,IF(H$22=入力規則マスタ!$K$6,ROUND(((H27+H27/(H$5-H$6)*H$6+H27/(H$5-H$6)*H$15)),(-3)),0))</f>
        <v>0</v>
      </c>
      <c r="I213" s="1014" t="e">
        <f ca="1">IF(OR(I$4="費用",I436="附帯",I$3=0,I$5-I$6=0),0,IF(I$22=入力規則マスタ!$K$6,ROUND(((I27+I27/(I$5-I$6)*I$6+I27/(I$5-I$6)*I$15)),(-3)),0))</f>
        <v>#REF!</v>
      </c>
    </row>
    <row r="214" spans="1:9" s="447" customFormat="1" ht="13.5" customHeight="1">
      <c r="A214" s="514"/>
      <c r="C214" s="1086">
        <v>10501006</v>
      </c>
      <c r="D214" s="1087" t="s">
        <v>2188</v>
      </c>
      <c r="E214" s="1088"/>
      <c r="F214" s="1131"/>
      <c r="G214" s="1150" t="e">
        <f t="shared" ca="1" si="8"/>
        <v>#REF!</v>
      </c>
      <c r="H214" s="1027">
        <f ca="1">IF(OR(H$4="費用",H436="附帯",H$3=0,H$5-H$6=0),0,IF(H$22=入力規則マスタ!$K$6,ROUND(((H28+H28/(H$5-H$6)*H$6+H28/(H$5-H$6)*H$15)),(-3)),0))</f>
        <v>0</v>
      </c>
      <c r="I214" s="1014" t="e">
        <f ca="1">IF(OR(I$4="費用",I436="附帯",I$3=0,I$5-I$6=0),0,IF(I$22=入力規則マスタ!$K$6,ROUND(((I28+I28/(I$5-I$6)*I$6+I28/(I$5-I$6)*I$15)),(-3)),0))</f>
        <v>#REF!</v>
      </c>
    </row>
    <row r="215" spans="1:9" s="447" customFormat="1" ht="13.5" customHeight="1">
      <c r="A215" s="514"/>
      <c r="C215" s="1086">
        <v>10501007</v>
      </c>
      <c r="D215" s="1087" t="s">
        <v>2189</v>
      </c>
      <c r="E215" s="1088"/>
      <c r="F215" s="1131"/>
      <c r="G215" s="1150" t="e">
        <f t="shared" ca="1" si="8"/>
        <v>#REF!</v>
      </c>
      <c r="H215" s="1027">
        <f ca="1">IF(OR(H$4="費用",H436="附帯",H$3=0,H$5-H$6=0),0,IF(H$22=入力規則マスタ!$K$6,ROUND(((H29+H29/(H$5-H$6)*H$6+H29/(H$5-H$6)*H$15)),(-3)),0))</f>
        <v>0</v>
      </c>
      <c r="I215" s="1014" t="e">
        <f ca="1">IF(OR(I$4="費用",I436="附帯",I$3=0,I$5-I$6=0),0,IF(I$22=入力規則マスタ!$K$6,ROUND(((I29+I29/(I$5-I$6)*I$6+I29/(I$5-I$6)*I$15)),(-3)),0))</f>
        <v>#REF!</v>
      </c>
    </row>
    <row r="216" spans="1:9" s="447" customFormat="1" ht="13.5" customHeight="1">
      <c r="A216" s="514"/>
      <c r="C216" s="1086">
        <v>10501008</v>
      </c>
      <c r="D216" s="1087" t="s">
        <v>2190</v>
      </c>
      <c r="E216" s="1088"/>
      <c r="F216" s="1131"/>
      <c r="G216" s="1150" t="e">
        <f t="shared" ca="1" si="8"/>
        <v>#REF!</v>
      </c>
      <c r="H216" s="1027">
        <f ca="1">IF(OR(H$4="費用",H436="附帯",H$3=0,H$5-H$6=0),0,IF(H$22=入力規則マスタ!$K$6,ROUND(((H30+H30/(H$5-H$6)*H$6+H30/(H$5-H$6)*H$15)),(-3)),0))</f>
        <v>0</v>
      </c>
      <c r="I216" s="1014" t="e">
        <f ca="1">IF(OR(I$4="費用",I436="附帯",I$3=0,I$5-I$6=0),0,IF(I$22=入力規則マスタ!$K$6,ROUND(((I30+I30/(I$5-I$6)*I$6+I30/(I$5-I$6)*I$15)),(-3)),0))</f>
        <v>#REF!</v>
      </c>
    </row>
    <row r="217" spans="1:9" s="447" customFormat="1" ht="13.5" customHeight="1">
      <c r="A217" s="514"/>
      <c r="C217" s="1086">
        <v>10501009</v>
      </c>
      <c r="D217" s="1087" t="s">
        <v>2191</v>
      </c>
      <c r="E217" s="1088"/>
      <c r="F217" s="1131"/>
      <c r="G217" s="1150" t="e">
        <f t="shared" ca="1" si="8"/>
        <v>#REF!</v>
      </c>
      <c r="H217" s="1027">
        <f ca="1">IF(OR(H$4="費用",H436="附帯",H$3=0,H$5-H$6=0),0,IF(H$22=入力規則マスタ!$K$6,ROUND(((H31+H31/(H$5-H$6)*H$6+H31/(H$5-H$6)*H$15)),(-3)),0))</f>
        <v>0</v>
      </c>
      <c r="I217" s="1014" t="e">
        <f ca="1">IF(OR(I$4="費用",I436="附帯",I$3=0,I$5-I$6=0),0,IF(I$22=入力規則マスタ!$K$6,ROUND(((I31+I31/(I$5-I$6)*I$6+I31/(I$5-I$6)*I$15)),(-3)),0))</f>
        <v>#REF!</v>
      </c>
    </row>
    <row r="218" spans="1:9" s="447" customFormat="1" ht="13.5" customHeight="1">
      <c r="A218" s="514"/>
      <c r="C218" s="1086">
        <v>10501010</v>
      </c>
      <c r="D218" s="1087" t="s">
        <v>2192</v>
      </c>
      <c r="E218" s="1088"/>
      <c r="F218" s="1131"/>
      <c r="G218" s="1150" t="e">
        <f t="shared" ca="1" si="8"/>
        <v>#REF!</v>
      </c>
      <c r="H218" s="1033">
        <f ca="1">IF(OR(H$4="費用",H436="附帯",H$3=0,H$5-H$6=0),0,IF(H$22=入力規則マスタ!$K$6,ROUND(((H59+H59/(H$5-H$6)*H$6+H59/(H$5-H$6)*H$15)),(-3)),0))</f>
        <v>0</v>
      </c>
      <c r="I218" s="1015" t="e">
        <f ca="1">IF(OR(I$4="費用",I436="附帯",I$3=0,I$5-I$6=0),0,IF(I$22=入力規則マスタ!$K$6,ROUND(((I59+I59/(I$5-I$6)*I$6+I59/(I$5-I$6)*I$15)),(-3)),0))</f>
        <v>#REF!</v>
      </c>
    </row>
    <row r="219" spans="1:9" s="447" customFormat="1" ht="13.5" customHeight="1">
      <c r="A219" s="514"/>
      <c r="C219" s="1086">
        <v>10501011</v>
      </c>
      <c r="D219" s="1087" t="s">
        <v>1985</v>
      </c>
      <c r="E219" s="1088"/>
      <c r="F219" s="1131"/>
      <c r="G219" s="1150" t="e">
        <f t="shared" ca="1" si="8"/>
        <v>#REF!</v>
      </c>
      <c r="H219" s="1033">
        <f ca="1">IF(OR(H$4="費用",H436="附帯",H$3=0,H$5-H$6=0),0,IF(H$22=入力規則マスタ!$K$6,ROUND(((H60+H60/(H$5-H$6)*H$6+H60/(H$5-H$6)*H$15)),(-3)),0))</f>
        <v>0</v>
      </c>
      <c r="I219" s="1015" t="e">
        <f ca="1">IF(OR(I$4="費用",I436="附帯",I$3=0,I$5-I$6=0),0,IF(I$22=入力規則マスタ!$K$6,ROUND(((I60+I60/(I$5-I$6)*I$6+I60/(I$5-I$6)*I$15)),(-3)),0))</f>
        <v>#REF!</v>
      </c>
    </row>
    <row r="220" spans="1:9" s="447" customFormat="1" ht="13.5" customHeight="1">
      <c r="A220" s="514"/>
      <c r="C220" s="1086">
        <v>10501012</v>
      </c>
      <c r="D220" s="1087" t="s">
        <v>2193</v>
      </c>
      <c r="E220" s="1088"/>
      <c r="F220" s="1131"/>
      <c r="G220" s="1150" t="e">
        <f t="shared" ca="1" si="8"/>
        <v>#REF!</v>
      </c>
      <c r="H220" s="1033">
        <f ca="1">IF(OR(H$4="費用",H436="附帯",H$3=0,H$5-H$6=0),0,IF(H$22=入力規則マスタ!$K$6,ROUND(((H61+H61/(H$5-H$6)*H$6+H61/(H$5-H$6)*H$15)),(-3)),0))</f>
        <v>0</v>
      </c>
      <c r="I220" s="1015" t="e">
        <f ca="1">IF(OR(I$4="費用",I436="附帯",I$3=0,I$5-I$6=0),0,IF(I$22=入力規則マスタ!$K$6,ROUND(((I61+I61/(I$5-I$6)*I$6+I61/(I$5-I$6)*I$15)),(-3)),0))</f>
        <v>#REF!</v>
      </c>
    </row>
    <row r="221" spans="1:9" s="447" customFormat="1" ht="13.5" customHeight="1">
      <c r="A221" s="514"/>
      <c r="C221" s="1086">
        <v>10501013</v>
      </c>
      <c r="D221" s="1087" t="s">
        <v>2194</v>
      </c>
      <c r="E221" s="1088"/>
      <c r="F221" s="1131"/>
      <c r="G221" s="1150" t="e">
        <f t="shared" ca="1" si="8"/>
        <v>#REF!</v>
      </c>
      <c r="H221" s="1033">
        <f ca="1">IF(OR(H$4="費用",H436="附帯",H$3=0,H$5-H$6=0),0,IF(H$22=入力規則マスタ!$K$6,ROUND(((H62+H62/(H$5-H$6)*H$6+H62/(H$5-H$6)*H$15)),(-3)),0))</f>
        <v>0</v>
      </c>
      <c r="I221" s="1015" t="e">
        <f ca="1">IF(OR(I$4="費用",I436="附帯",I$3=0,I$5-I$6=0),0,IF(I$22=入力規則マスタ!$K$6,ROUND(((I62+I62/(I$5-I$6)*I$6+I62/(I$5-I$6)*I$15)),(-3)),0))</f>
        <v>#REF!</v>
      </c>
    </row>
    <row r="222" spans="1:9" s="447" customFormat="1" ht="13.5" customHeight="1">
      <c r="A222" s="514"/>
      <c r="C222" s="1086">
        <v>10501014</v>
      </c>
      <c r="D222" s="1087" t="s">
        <v>2195</v>
      </c>
      <c r="E222" s="1088"/>
      <c r="F222" s="1131"/>
      <c r="G222" s="1150" t="e">
        <f t="shared" ca="1" si="8"/>
        <v>#REF!</v>
      </c>
      <c r="H222" s="1033">
        <f ca="1">IF(OR(H$4="費用",H436="附帯",H$3=0,H$5-H$6=0),0,IF(H$22=入力規則マスタ!$K$6,ROUND(((H63+H63/(H$5-H$6)*H$6+H63/(H$5-H$6)*H$15)),(-3)),0))</f>
        <v>0</v>
      </c>
      <c r="I222" s="1015" t="e">
        <f ca="1">IF(OR(I$4="費用",I436="附帯",I$3=0,I$5-I$6=0),0,IF(I$22=入力規則マスタ!$K$6,ROUND(((I63+I63/(I$5-I$6)*I$6+I63/(I$5-I$6)*I$15)),(-3)),0))</f>
        <v>#REF!</v>
      </c>
    </row>
    <row r="223" spans="1:9" s="447" customFormat="1" ht="13.5" customHeight="1">
      <c r="A223" s="514"/>
      <c r="C223" s="1086">
        <v>10501015</v>
      </c>
      <c r="D223" s="1087" t="s">
        <v>2196</v>
      </c>
      <c r="E223" s="1088"/>
      <c r="F223" s="1131"/>
      <c r="G223" s="1150" t="e">
        <f t="shared" ca="1" si="8"/>
        <v>#REF!</v>
      </c>
      <c r="H223" s="1033">
        <f ca="1">IF(OR(H$4="費用",H436="附帯",H$3=0,H$5-H$6=0),0,IF(H$22=入力規則マスタ!$K$6,ROUND(((H64+H64/(H$5-H$6)*H$6+H64/(H$5-H$6)*H$15)),(-3)),0))</f>
        <v>0</v>
      </c>
      <c r="I223" s="1015" t="e">
        <f ca="1">IF(OR(I$4="費用",I436="附帯",I$3=0,I$5-I$6=0),0,IF(I$22=入力規則マスタ!$K$6,ROUND(((I64+I64/(I$5-I$6)*I$6+I64/(I$5-I$6)*I$15)),(-3)),0))</f>
        <v>#REF!</v>
      </c>
    </row>
    <row r="224" spans="1:9" s="447" customFormat="1" ht="13.5" customHeight="1">
      <c r="A224" s="514"/>
      <c r="C224" s="1086">
        <v>10501016</v>
      </c>
      <c r="D224" s="1087" t="s">
        <v>2197</v>
      </c>
      <c r="E224" s="1088"/>
      <c r="F224" s="1131"/>
      <c r="G224" s="1150" t="e">
        <f t="shared" ca="1" si="8"/>
        <v>#REF!</v>
      </c>
      <c r="H224" s="1033">
        <f ca="1">IF(OR(H$4="費用",H436="附帯",H$3=0,H$5-H$6=0),0,IF(H$22=入力規則マスタ!$K$6,ROUND(((H65+H65/(H$5-H$6)*H$6+H65/(H$5-H$6)*H$15)),(-3)),0))</f>
        <v>0</v>
      </c>
      <c r="I224" s="1015" t="e">
        <f ca="1">IF(OR(I$4="費用",I436="附帯",I$3=0,I$5-I$6=0),0,IF(I$22=入力規則マスタ!$K$6,ROUND(((I65+I65/(I$5-I$6)*I$6+I65/(I$5-I$6)*I$15)),(-3)),0))</f>
        <v>#REF!</v>
      </c>
    </row>
    <row r="225" spans="1:9" s="447" customFormat="1" ht="13.5" customHeight="1">
      <c r="A225" s="514"/>
      <c r="C225" s="1086">
        <v>10501017</v>
      </c>
      <c r="D225" s="1087" t="s">
        <v>1986</v>
      </c>
      <c r="E225" s="1088"/>
      <c r="F225" s="1131"/>
      <c r="G225" s="1150" t="e">
        <f t="shared" ca="1" si="8"/>
        <v>#REF!</v>
      </c>
      <c r="H225" s="1033">
        <f ca="1">IF(OR(H$4="費用",H436="附帯",H$3=0,H$5-H$6=0),0,IF(H$22=入力規則マスタ!$K$6,ROUND(((H66+H66/(H$5-H$6)*H$6+H66/(H$5-H$6)*H$15)),(-3)),0))</f>
        <v>0</v>
      </c>
      <c r="I225" s="1015" t="e">
        <f ca="1">IF(OR(I$4="費用",I436="附帯",I$3=0,I$5-I$6=0),0,IF(I$22=入力規則マスタ!$K$6,ROUND(((I66+I66/(I$5-I$6)*I$6+I66/(I$5-I$6)*I$15)),(-3)),0))</f>
        <v>#REF!</v>
      </c>
    </row>
    <row r="226" spans="1:9" s="447" customFormat="1" ht="13.5" customHeight="1">
      <c r="A226" s="514"/>
      <c r="C226" s="1086">
        <v>10501018</v>
      </c>
      <c r="D226" s="1087" t="s">
        <v>2198</v>
      </c>
      <c r="E226" s="1088"/>
      <c r="F226" s="1131"/>
      <c r="G226" s="1150" t="e">
        <f t="shared" ca="1" si="8"/>
        <v>#REF!</v>
      </c>
      <c r="H226" s="1033">
        <f ca="1">IF(OR(H$4="費用",H436="附帯",H$3=0,H$5-H$6=0),0,IF(H$22=入力規則マスタ!$K$6,ROUND(((H67+H67/(H$5-H$6)*H$6+H67/(H$5-H$6)*H$15)),(-3)),0))</f>
        <v>0</v>
      </c>
      <c r="I226" s="1015" t="e">
        <f ca="1">IF(OR(I$4="費用",I436="附帯",I$3=0,I$5-I$6=0),0,IF(I$22=入力規則マスタ!$K$6,ROUND(((I67+I67/(I$5-I$6)*I$6+I67/(I$5-I$6)*I$15)),(-3)),0))</f>
        <v>#REF!</v>
      </c>
    </row>
    <row r="227" spans="1:9" s="447" customFormat="1" ht="13.5" customHeight="1">
      <c r="A227" s="514"/>
      <c r="C227" s="1086">
        <v>10501019</v>
      </c>
      <c r="D227" s="1087" t="s">
        <v>2722</v>
      </c>
      <c r="E227" s="1088"/>
      <c r="F227" s="1131"/>
      <c r="G227" s="1150" t="e">
        <f t="shared" ca="1" si="8"/>
        <v>#REF!</v>
      </c>
      <c r="H227" s="1033">
        <f ca="1">IF(OR(H$4="費用",H436="附帯",H$3=0,H$5-H$6=0),0,IF(H$22=入力規則マスタ!$K$6,ROUND(((H68+H68/(H$5-H$6)*H$6+H68/(H$5-H$6)*H$15)),(-3)),0))</f>
        <v>0</v>
      </c>
      <c r="I227" s="1015" t="e">
        <f ca="1">IF(OR(I$4="費用",I436="附帯",I$3=0,I$5-I$6=0),0,IF(I$22=入力規則マスタ!$K$6,ROUND(((I68+I68/(I$5-I$6)*I$6+I68/(I$5-I$6)*I$15)),(-3)),0))</f>
        <v>#REF!</v>
      </c>
    </row>
    <row r="228" spans="1:9" s="447" customFormat="1" ht="13.5" customHeight="1">
      <c r="A228" s="514"/>
      <c r="C228" s="1086">
        <v>10501020</v>
      </c>
      <c r="D228" s="1087" t="s">
        <v>2715</v>
      </c>
      <c r="E228" s="1088"/>
      <c r="F228" s="1131"/>
      <c r="G228" s="1150" t="e">
        <f t="shared" ca="1" si="8"/>
        <v>#REF!</v>
      </c>
      <c r="H228" s="1033">
        <f ca="1">IF(OR(H$4="費用",H436="附帯",H$3=0,H$5-H$6=0),0,IF(H$22=入力規則マスタ!$K$6,ROUND(((H69+H69/(H$5-H$6)*H$6+H69/(H$5-H$6)*H$15)),(-3)),0))</f>
        <v>0</v>
      </c>
      <c r="I228" s="1015" t="e">
        <f ca="1">IF(OR(I$4="費用",I436="附帯",I$3=0,I$5-I$6=0),0,IF(I$22=入力規則マスタ!$K$6,ROUND(((I69+I69/(I$5-I$6)*I$6+I69/(I$5-I$6)*I$15)),(-3)),0))</f>
        <v>#REF!</v>
      </c>
    </row>
    <row r="229" spans="1:9" s="447" customFormat="1" ht="13.5" customHeight="1">
      <c r="A229" s="514"/>
      <c r="C229" s="1086">
        <v>10501021</v>
      </c>
      <c r="D229" s="1087" t="s">
        <v>2716</v>
      </c>
      <c r="E229" s="1088"/>
      <c r="F229" s="1131"/>
      <c r="G229" s="1150" t="e">
        <f t="shared" ca="1" si="8"/>
        <v>#REF!</v>
      </c>
      <c r="H229" s="1033">
        <f ca="1">IF(OR(H$4="費用",H436="附帯",H$3=0,H$5-H$6=0),0,IF(H$22=入力規則マスタ!$K$6,ROUND(((H70+H70/(H$5-H$6)*H$6+H70/(H$5-H$6)*H$15)),(-3)),0))</f>
        <v>0</v>
      </c>
      <c r="I229" s="1015" t="e">
        <f ca="1">IF(OR(I$4="費用",I436="附帯",I$3=0,I$5-I$6=0),0,IF(I$22=入力規則マスタ!$K$6,ROUND(((I70+I70/(I$5-I$6)*I$6+I70/(I$5-I$6)*I$15)),(-3)),0))</f>
        <v>#REF!</v>
      </c>
    </row>
    <row r="230" spans="1:9" s="447" customFormat="1" ht="13.5" customHeight="1">
      <c r="A230" s="514"/>
      <c r="C230" s="1086">
        <v>10501022</v>
      </c>
      <c r="D230" s="1087" t="s">
        <v>2694</v>
      </c>
      <c r="E230" s="1088"/>
      <c r="F230" s="1131"/>
      <c r="G230" s="1150" t="e">
        <f t="shared" ca="1" si="8"/>
        <v>#REF!</v>
      </c>
      <c r="H230" s="1033">
        <f ca="1">IF(OR(H$4="費用",H436="附帯",H$3=0,H$5-H$6=0),0,IF(H$22=入力規則マスタ!$K$6,ROUND(((H71+H71/(H$5-H$6)*H$6+H71/(H$5-H$6)*H$15)),(-3)),0))</f>
        <v>0</v>
      </c>
      <c r="I230" s="1015" t="e">
        <f ca="1">IF(OR(I$4="費用",I436="附帯",I$3=0,I$5-I$6=0),0,IF(I$22=入力規則マスタ!$K$6,ROUND(((I71+I71/(I$5-I$6)*I$6+I71/(I$5-I$6)*I$15)),(-3)),0))</f>
        <v>#REF!</v>
      </c>
    </row>
    <row r="231" spans="1:9" s="447" customFormat="1" ht="13.5" customHeight="1">
      <c r="A231" s="514"/>
      <c r="C231" s="1086">
        <v>10501023</v>
      </c>
      <c r="D231" s="1087" t="s">
        <v>2695</v>
      </c>
      <c r="E231" s="1088"/>
      <c r="F231" s="1131"/>
      <c r="G231" s="1150" t="e">
        <f t="shared" ca="1" si="8"/>
        <v>#REF!</v>
      </c>
      <c r="H231" s="1033">
        <f ca="1">IF(OR(H$4="費用",H436="附帯",H$3=0,H$5-H$6=0),0,IF(H$22=入力規則マスタ!$K$6,ROUND(((H72+H72/(H$5-H$6)*H$6+H72/(H$5-H$6)*H$15)),(-3)),0))</f>
        <v>0</v>
      </c>
      <c r="I231" s="1015" t="e">
        <f ca="1">IF(OR(I$4="費用",I436="附帯",I$3=0,I$5-I$6=0),0,IF(I$22=入力規則マスタ!$K$6,ROUND(((I72+I72/(I$5-I$6)*I$6+I72/(I$5-I$6)*I$15)),(-3)),0))</f>
        <v>#REF!</v>
      </c>
    </row>
    <row r="232" spans="1:9" s="447" customFormat="1" ht="13.5" customHeight="1">
      <c r="A232" s="514"/>
      <c r="C232" s="1086">
        <v>10501024</v>
      </c>
      <c r="D232" s="1087" t="s">
        <v>2717</v>
      </c>
      <c r="E232" s="1088"/>
      <c r="F232" s="1131"/>
      <c r="G232" s="1150" t="e">
        <f t="shared" ca="1" si="8"/>
        <v>#REF!</v>
      </c>
      <c r="H232" s="1033">
        <f ca="1">IF(OR(H$4="費用",H436="附帯",H$3=0,H$5-H$6=0),0,IF(H$22=入力規則マスタ!$K$6,ROUND(((H73+H73/(H$5-H$6)*H$6+H73/(H$5-H$6)*H$15)),(-3)),0))</f>
        <v>0</v>
      </c>
      <c r="I232" s="1015" t="e">
        <f ca="1">IF(OR(I$4="費用",I436="附帯",I$3=0,I$5-I$6=0),0,IF(I$22=入力規則マスタ!$K$6,ROUND(((I73+I73/(I$5-I$6)*I$6+I73/(I$5-I$6)*I$15)),(-3)),0))</f>
        <v>#REF!</v>
      </c>
    </row>
    <row r="233" spans="1:9" s="447" customFormat="1" ht="13.5" customHeight="1">
      <c r="A233" s="514"/>
      <c r="C233" s="1086">
        <v>10501024</v>
      </c>
      <c r="D233" s="1087" t="s">
        <v>2718</v>
      </c>
      <c r="E233" s="1088"/>
      <c r="F233" s="1131"/>
      <c r="G233" s="1150" t="e">
        <f t="shared" ca="1" si="8"/>
        <v>#REF!</v>
      </c>
      <c r="H233" s="1033">
        <f ca="1">IF(OR(H$4="費用",H436="附帯",H$3=0,H$5-H$6=0),0,IF(H$22=入力規則マスタ!$K$6,ROUND(((H74+H74/(H$5-H$6)*H$6+H74/(H$5-H$6)*H$15)),(-3)),0))</f>
        <v>0</v>
      </c>
      <c r="I233" s="1015" t="e">
        <f ca="1">IF(OR(I$4="費用",I436="附帯",I$3=0,I$5-I$6=0),0,IF(I$22=入力規則マスタ!$K$6,ROUND(((I74+I74/(I$5-I$6)*I$6+I74/(I$5-I$6)*I$15)),(-3)),0))</f>
        <v>#REF!</v>
      </c>
    </row>
    <row r="234" spans="1:9" s="447" customFormat="1" ht="13.5" customHeight="1">
      <c r="A234" s="514"/>
      <c r="C234" s="1086">
        <v>10501024</v>
      </c>
      <c r="D234" s="1087" t="s">
        <v>2719</v>
      </c>
      <c r="E234" s="1088"/>
      <c r="F234" s="1131"/>
      <c r="G234" s="1150" t="e">
        <f t="shared" ca="1" si="8"/>
        <v>#REF!</v>
      </c>
      <c r="H234" s="1033">
        <f ca="1">IF(OR(H$4="費用",H436="附帯",H$3=0,H$5-H$6=0),0,IF(H$22=入力規則マスタ!$K$6,ROUND(((H75+H75/(H$5-H$6)*H$6+H75/(H$5-H$6)*H$15)),(-3)),0))</f>
        <v>0</v>
      </c>
      <c r="I234" s="1015" t="e">
        <f ca="1">IF(OR(I$4="費用",I436="附帯",I$3=0,I$5-I$6=0),0,IF(I$22=入力規則マスタ!$K$6,ROUND(((I75+I75/(I$5-I$6)*I$6+I75/(I$5-I$6)*I$15)),(-3)),0))</f>
        <v>#REF!</v>
      </c>
    </row>
    <row r="235" spans="1:9" s="447" customFormat="1" ht="13.5" customHeight="1">
      <c r="A235" s="514"/>
      <c r="C235" s="1086">
        <v>10501025</v>
      </c>
      <c r="D235" s="1087" t="s">
        <v>2720</v>
      </c>
      <c r="E235" s="1088"/>
      <c r="F235" s="1131"/>
      <c r="G235" s="1150" t="e">
        <f t="shared" ca="1" si="8"/>
        <v>#REF!</v>
      </c>
      <c r="H235" s="1033">
        <f ca="1">IF(OR(H$4="費用",H436="附帯",H$3=0,H$5-H$6=0),0,IF(H$22=入力規則マスタ!$K$6,ROUND(((H76+H76/(H$5-H$6)*H$6+H76/(H$5-H$6)*H$15)),(-3)),0))</f>
        <v>0</v>
      </c>
      <c r="I235" s="1015" t="e">
        <f ca="1">IF(OR(I$4="費用",I436="附帯",I$3=0,I$5-I$6=0),0,IF(I$22=入力規則マスタ!$K$6,ROUND(((I76+I76/(I$5-I$6)*I$6+I76/(I$5-I$6)*I$15)),(-3)),0))</f>
        <v>#REF!</v>
      </c>
    </row>
    <row r="236" spans="1:9" s="447" customFormat="1" ht="13.5" customHeight="1">
      <c r="A236" s="514"/>
      <c r="C236" s="1086">
        <v>10501025</v>
      </c>
      <c r="D236" s="1087" t="s">
        <v>2721</v>
      </c>
      <c r="E236" s="1088"/>
      <c r="F236" s="1131"/>
      <c r="G236" s="1150" t="e">
        <f t="shared" ca="1" si="8"/>
        <v>#REF!</v>
      </c>
      <c r="H236" s="1033">
        <f ca="1">IF(OR(H$4="費用",H436="附帯",H$3=0,H$5-H$6=0),0,IF(H$22=入力規則マスタ!$K$6,ROUND(((H77+H77/(H$5-H$6)*H$6+H77/(H$5-H$6)*H$15)),(-3)),0))</f>
        <v>0</v>
      </c>
      <c r="I236" s="1015" t="e">
        <f ca="1">IF(OR(I$4="費用",I436="附帯",I$3=0,I$5-I$6=0),0,IF(I$22=入力規則マスタ!$K$6,ROUND(((I77+I77/(I$5-I$6)*I$6+I77/(I$5-I$6)*I$15)),(-3)),0))</f>
        <v>#REF!</v>
      </c>
    </row>
    <row r="237" spans="1:9" s="447" customFormat="1" ht="13.5" customHeight="1">
      <c r="A237" s="514"/>
      <c r="B237" s="515"/>
      <c r="C237" s="880" t="s">
        <v>3079</v>
      </c>
      <c r="D237" s="1092"/>
      <c r="E237" s="1093"/>
      <c r="F237" s="1092"/>
      <c r="G237" s="1164"/>
      <c r="H237" s="1044" t="str">
        <f>IF(H$22="010倉庫建物",ROUND(H78+H78/(H$5-H$6)*H$6+H78/(H$5-H$6)*H$15,-3),"")</f>
        <v/>
      </c>
      <c r="I237" s="1016" t="str">
        <f>IF(I$22="010倉庫建物",ROUND(I78+I78/(I$5-I$6)*I$6+I78/(I$5-I$6)*I$15,-3),"")</f>
        <v/>
      </c>
    </row>
    <row r="238" spans="1:9" s="447" customFormat="1" ht="13.5" customHeight="1">
      <c r="A238" s="514"/>
      <c r="C238" s="1086">
        <v>10501101</v>
      </c>
      <c r="D238" s="1087" t="s">
        <v>2199</v>
      </c>
      <c r="E238" s="1088"/>
      <c r="F238" s="1131"/>
      <c r="G238" s="1144" t="e">
        <f t="shared" ref="G238:G265" ca="1" si="9">SUM(H238:J238)</f>
        <v>#REF!</v>
      </c>
      <c r="H238" s="1027">
        <f ca="1">IF(OR(H$4="費用",H436="附帯",H$3=0,H$5-H$6=0),0,IF(H$22=入力規則マスタ!$K$7,ROUND(((H23+H23/(H$5-H$6)*H$6+H23/(H$5-H$6)*H$15)),(-3)),0))</f>
        <v>0</v>
      </c>
      <c r="I238" s="1014" t="e">
        <f ca="1">IF(OR(I$4="費用",I436="附帯",I$3=0,I$5-I$6=0),0,IF(I$22=入力規則マスタ!$K$7,ROUND(((I23+I23/(I$5-I$6)*I$6+I23/(I$5-I$6)*I$15)),(-3)),0))</f>
        <v>#REF!</v>
      </c>
    </row>
    <row r="239" spans="1:9" s="447" customFormat="1" ht="13.5" customHeight="1">
      <c r="A239" s="514"/>
      <c r="C239" s="1086">
        <v>10501102</v>
      </c>
      <c r="D239" s="1087" t="s">
        <v>2200</v>
      </c>
      <c r="E239" s="1088"/>
      <c r="F239" s="1131"/>
      <c r="G239" s="1150" t="e">
        <f t="shared" ca="1" si="9"/>
        <v>#REF!</v>
      </c>
      <c r="H239" s="1027">
        <f ca="1">IF(OR(H$4="費用",H436="附帯",H$3=0,H$5-H$6=0),0,IF(H$22=入力規則マスタ!$K$7,ROUND(((H24+H24/(H$5-H$6)*H$6+H24/(H$5-H$6)*H$15)),(-3)),0))</f>
        <v>0</v>
      </c>
      <c r="I239" s="1014" t="e">
        <f ca="1">IF(OR(I$4="費用",I436="附帯",I$3=0,I$5-I$6=0),0,IF(I$22=入力規則マスタ!$K$7,ROUND(((I24+I24/(I$5-I$6)*I$6+I24/(I$5-I$6)*I$15)),(-3)),0))</f>
        <v>#REF!</v>
      </c>
    </row>
    <row r="240" spans="1:9" s="447" customFormat="1" ht="13.5" customHeight="1">
      <c r="A240" s="514"/>
      <c r="C240" s="1086">
        <v>10501103</v>
      </c>
      <c r="D240" s="1087" t="s">
        <v>2201</v>
      </c>
      <c r="E240" s="1088"/>
      <c r="F240" s="1131"/>
      <c r="G240" s="1150" t="e">
        <f t="shared" ca="1" si="9"/>
        <v>#REF!</v>
      </c>
      <c r="H240" s="1027">
        <f ca="1">IF(OR(H$4="費用",H436="附帯",H$3=0,H$5-H$6=0),0,IF(H$22=入力規則マスタ!$K$7,ROUND(((H25+H25/(H$5-H$6)*H$6+H25/(H$5-H$6)*H$15)),(-3)),0))</f>
        <v>0</v>
      </c>
      <c r="I240" s="1014" t="e">
        <f ca="1">IF(OR(I$4="費用",I436="附帯",I$3=0,I$5-I$6=0),0,IF(I$22=入力規則マスタ!$K$7,ROUND(((I25+I25/(I$5-I$6)*I$6+I25/(I$5-I$6)*I$15)),(-3)),0))</f>
        <v>#REF!</v>
      </c>
    </row>
    <row r="241" spans="1:9" s="447" customFormat="1" ht="13.5" customHeight="1">
      <c r="A241" s="514"/>
      <c r="C241" s="1086">
        <v>10501104</v>
      </c>
      <c r="D241" s="1087" t="s">
        <v>2202</v>
      </c>
      <c r="E241" s="1088"/>
      <c r="F241" s="1131"/>
      <c r="G241" s="1150" t="e">
        <f t="shared" ca="1" si="9"/>
        <v>#REF!</v>
      </c>
      <c r="H241" s="1027">
        <f ca="1">IF(OR(H$4="費用",H436="附帯",H$3=0,H$5-H$6=0),0,IF(H$22=入力規則マスタ!$K$7,ROUND(((H26+H26/(H$5-H$6)*H$6+H26/(H$5-H$6)*H$15)),(-3)),0))</f>
        <v>0</v>
      </c>
      <c r="I241" s="1014" t="e">
        <f ca="1">IF(OR(I$4="費用",I436="附帯",I$3=0,I$5-I$6=0),0,IF(I$22=入力規則マスタ!$K$7,ROUND(((I26+I26/(I$5-I$6)*I$6+I26/(I$5-I$6)*I$15)),(-3)),0))</f>
        <v>#REF!</v>
      </c>
    </row>
    <row r="242" spans="1:9" s="447" customFormat="1" ht="13.5" customHeight="1">
      <c r="A242" s="514"/>
      <c r="C242" s="1086">
        <v>10501105</v>
      </c>
      <c r="D242" s="1087" t="s">
        <v>2203</v>
      </c>
      <c r="E242" s="1088"/>
      <c r="F242" s="1131"/>
      <c r="G242" s="1150" t="e">
        <f t="shared" ca="1" si="9"/>
        <v>#REF!</v>
      </c>
      <c r="H242" s="1027">
        <f ca="1">IF(OR(H$4="費用",H436="附帯",H$3=0,H$5-H$6=0),0,IF(H$22=入力規則マスタ!$K$7,ROUND(((H27+H27/(H$5-H$6)*H$6+H27/(H$5-H$6)*H$15)),(-3)),0))</f>
        <v>0</v>
      </c>
      <c r="I242" s="1014" t="e">
        <f ca="1">IF(OR(I$4="費用",I436="附帯",I$3=0,I$5-I$6=0),0,IF(I$22=入力規則マスタ!$K$7,ROUND(((I27+I27/(I$5-I$6)*I$6+I27/(I$5-I$6)*I$15)),(-3)),0))</f>
        <v>#REF!</v>
      </c>
    </row>
    <row r="243" spans="1:9" s="447" customFormat="1" ht="13.5" customHeight="1">
      <c r="A243" s="514"/>
      <c r="C243" s="1086">
        <v>10501106</v>
      </c>
      <c r="D243" s="1087" t="s">
        <v>2204</v>
      </c>
      <c r="E243" s="1088"/>
      <c r="F243" s="1131"/>
      <c r="G243" s="1150" t="e">
        <f t="shared" ca="1" si="9"/>
        <v>#REF!</v>
      </c>
      <c r="H243" s="1027">
        <f ca="1">IF(OR(H$4="費用",H436="附帯",H$3=0,H$5-H$6=0),0,IF(H$22=入力規則マスタ!$K$7,ROUND(((H28+H28/(H$5-H$6)*H$6+H28/(H$5-H$6)*H$15)),(-3)),0))</f>
        <v>0</v>
      </c>
      <c r="I243" s="1014" t="e">
        <f ca="1">IF(OR(I$4="費用",I436="附帯",I$3=0,I$5-I$6=0),0,IF(I$22=入力規則マスタ!$K$7,ROUND(((I28+I28/(I$5-I$6)*I$6+I28/(I$5-I$6)*I$15)),(-3)),0))</f>
        <v>#REF!</v>
      </c>
    </row>
    <row r="244" spans="1:9" s="447" customFormat="1" ht="13.5" customHeight="1">
      <c r="A244" s="514"/>
      <c r="C244" s="1086">
        <v>10501107</v>
      </c>
      <c r="D244" s="1087" t="s">
        <v>2205</v>
      </c>
      <c r="E244" s="1088"/>
      <c r="F244" s="1131"/>
      <c r="G244" s="1150" t="e">
        <f t="shared" ca="1" si="9"/>
        <v>#REF!</v>
      </c>
      <c r="H244" s="1027">
        <f ca="1">IF(OR(H$4="費用",H436="附帯",H$3=0,H$5-H$6=0),0,IF(H$22=入力規則マスタ!$K$7,ROUND(((H29+H29/(H$5-H$6)*H$6+H29/(H$5-H$6)*H$15)),(-3)),0))</f>
        <v>0</v>
      </c>
      <c r="I244" s="1014" t="e">
        <f ca="1">IF(OR(I$4="費用",I436="附帯",I$3=0,I$5-I$6=0),0,IF(I$22=入力規則マスタ!$K$7,ROUND(((I29+I29/(I$5-I$6)*I$6+I29/(I$5-I$6)*I$15)),(-3)),0))</f>
        <v>#REF!</v>
      </c>
    </row>
    <row r="245" spans="1:9" s="447" customFormat="1" ht="13.5" customHeight="1">
      <c r="A245" s="514"/>
      <c r="C245" s="1086">
        <v>10501108</v>
      </c>
      <c r="D245" s="1087" t="s">
        <v>2206</v>
      </c>
      <c r="E245" s="1088"/>
      <c r="F245" s="1131"/>
      <c r="G245" s="1150" t="e">
        <f t="shared" ca="1" si="9"/>
        <v>#REF!</v>
      </c>
      <c r="H245" s="1027">
        <f ca="1">IF(OR(H$4="費用",H436="附帯",H$3=0,H$5-H$6=0),0,IF(H$22=入力規則マスタ!$K$7,ROUND(((H30+H30/(H$5-H$6)*H$6+H30/(H$5-H$6)*H$15)),(-3)),0))</f>
        <v>0</v>
      </c>
      <c r="I245" s="1014" t="e">
        <f ca="1">IF(OR(I$4="費用",I436="附帯",I$3=0,I$5-I$6=0),0,IF(I$22=入力規則マスタ!$K$7,ROUND(((I30+I30/(I$5-I$6)*I$6+I30/(I$5-I$6)*I$15)),(-3)),0))</f>
        <v>#REF!</v>
      </c>
    </row>
    <row r="246" spans="1:9" s="447" customFormat="1" ht="13.5" customHeight="1">
      <c r="A246" s="514"/>
      <c r="C246" s="1086">
        <v>10501109</v>
      </c>
      <c r="D246" s="1087" t="s">
        <v>2207</v>
      </c>
      <c r="E246" s="1088"/>
      <c r="F246" s="1131"/>
      <c r="G246" s="1150" t="e">
        <f t="shared" ca="1" si="9"/>
        <v>#REF!</v>
      </c>
      <c r="H246" s="1027">
        <f ca="1">IF(OR(H$4="費用",H436="附帯",H$3=0,H$5-H$6=0),0,IF(H$22=入力規則マスタ!$K$7,ROUND(((H31+H31/(H$5-H$6)*H$6+H31/(H$5-H$6)*H$15)),(-3)),0))</f>
        <v>0</v>
      </c>
      <c r="I246" s="1014" t="e">
        <f ca="1">IF(OR(I$4="費用",I436="附帯",I$3=0,I$5-I$6=0),0,IF(I$22=入力規則マスタ!$K$7,ROUND(((I31+I31/(I$5-I$6)*I$6+I31/(I$5-I$6)*I$15)),(-3)),0))</f>
        <v>#REF!</v>
      </c>
    </row>
    <row r="247" spans="1:9" s="447" customFormat="1" ht="13.5" customHeight="1">
      <c r="A247" s="514"/>
      <c r="C247" s="1086">
        <v>10501110</v>
      </c>
      <c r="D247" s="1087" t="s">
        <v>2208</v>
      </c>
      <c r="E247" s="1088"/>
      <c r="F247" s="1131"/>
      <c r="G247" s="1150" t="e">
        <f t="shared" ca="1" si="9"/>
        <v>#REF!</v>
      </c>
      <c r="H247" s="1033">
        <f ca="1">IF(OR(H$4="費用",H436="附帯",H$3=0,H$5-H$6=0),0,IF(H$22=入力規則マスタ!$K$7,ROUND(((H59+H59/(H$5-H$6)*H$6+H59/(H$5-H$6)*H$15)),(-3)),0))</f>
        <v>0</v>
      </c>
      <c r="I247" s="1015" t="e">
        <f ca="1">IF(OR(I$4="費用",I436="附帯",I$3=0,I$5-I$6=0),0,IF(I$22=入力規則マスタ!$K$7,ROUND(((I59+I59/(I$5-I$6)*I$6+I59/(I$5-I$6)*I$15)),(-3)),0))</f>
        <v>#REF!</v>
      </c>
    </row>
    <row r="248" spans="1:9" s="447" customFormat="1" ht="13.5" customHeight="1">
      <c r="A248" s="514"/>
      <c r="C248" s="1086">
        <v>10501111</v>
      </c>
      <c r="D248" s="1087" t="s">
        <v>2209</v>
      </c>
      <c r="E248" s="1088"/>
      <c r="F248" s="1131"/>
      <c r="G248" s="1150" t="e">
        <f t="shared" ca="1" si="9"/>
        <v>#REF!</v>
      </c>
      <c r="H248" s="1033">
        <f ca="1">IF(OR(H$4="費用",H436="附帯",H$3=0,H$5-H$6=0),0,IF(H$22=入力規則マスタ!$K$7,ROUND(((H60+H60/(H$5-H$6)*H$6+H60/(H$5-H$6)*H$15)),(-3)),0))</f>
        <v>0</v>
      </c>
      <c r="I248" s="1015" t="e">
        <f ca="1">IF(OR(I$4="費用",I436="附帯",I$3=0,I$5-I$6=0),0,IF(I$22=入力規則マスタ!$K$7,ROUND(((I60+I60/(I$5-I$6)*I$6+I60/(I$5-I$6)*I$15)),(-3)),0))</f>
        <v>#REF!</v>
      </c>
    </row>
    <row r="249" spans="1:9" s="447" customFormat="1" ht="13.5" customHeight="1">
      <c r="A249" s="514"/>
      <c r="C249" s="1086">
        <v>10501112</v>
      </c>
      <c r="D249" s="1087" t="s">
        <v>2210</v>
      </c>
      <c r="E249" s="1088"/>
      <c r="F249" s="1131"/>
      <c r="G249" s="1150" t="e">
        <f t="shared" ca="1" si="9"/>
        <v>#REF!</v>
      </c>
      <c r="H249" s="1033">
        <f ca="1">IF(OR(H$4="費用",H436="附帯",H$3=0,H$5-H$6=0),0,IF(H$22=入力規則マスタ!$K$7,ROUND(((H61+H61/(H$5-H$6)*H$6+H61/(H$5-H$6)*H$15)),(-3)),0))</f>
        <v>0</v>
      </c>
      <c r="I249" s="1015" t="e">
        <f ca="1">IF(OR(I$4="費用",I436="附帯",I$3=0,I$5-I$6=0),0,IF(I$22=入力規則マスタ!$K$7,ROUND(((I61+I61/(I$5-I$6)*I$6+I61/(I$5-I$6)*I$15)),(-3)),0))</f>
        <v>#REF!</v>
      </c>
    </row>
    <row r="250" spans="1:9" s="447" customFormat="1" ht="13.5" customHeight="1">
      <c r="A250" s="514"/>
      <c r="C250" s="1086">
        <v>10501113</v>
      </c>
      <c r="D250" s="1087" t="s">
        <v>2211</v>
      </c>
      <c r="E250" s="1088"/>
      <c r="F250" s="1131"/>
      <c r="G250" s="1150" t="e">
        <f t="shared" ca="1" si="9"/>
        <v>#REF!</v>
      </c>
      <c r="H250" s="1033">
        <f ca="1">IF(OR(H$4="費用",H436="附帯",H$3=0,H$5-H$6=0),0,IF(H$22=入力規則マスタ!$K$7,ROUND(((H62+H62/(H$5-H$6)*H$6+H62/(H$5-H$6)*H$15)),(-3)),0))</f>
        <v>0</v>
      </c>
      <c r="I250" s="1015" t="e">
        <f ca="1">IF(OR(I$4="費用",I436="附帯",I$3=0,I$5-I$6=0),0,IF(I$22=入力規則マスタ!$K$7,ROUND(((I62+I62/(I$5-I$6)*I$6+I62/(I$5-I$6)*I$15)),(-3)),0))</f>
        <v>#REF!</v>
      </c>
    </row>
    <row r="251" spans="1:9" s="447" customFormat="1" ht="13.5" customHeight="1">
      <c r="A251" s="514"/>
      <c r="C251" s="1086">
        <v>10501114</v>
      </c>
      <c r="D251" s="1087" t="s">
        <v>2212</v>
      </c>
      <c r="E251" s="1088"/>
      <c r="F251" s="1131"/>
      <c r="G251" s="1150" t="e">
        <f t="shared" ca="1" si="9"/>
        <v>#REF!</v>
      </c>
      <c r="H251" s="1033">
        <f ca="1">IF(OR(H$4="費用",H436="附帯",H$3=0,H$5-H$6=0),0,IF(H$22=入力規則マスタ!$K$7,ROUND(((H63+H63/(H$5-H$6)*H$6+H63/(H$5-H$6)*H$15)),(-3)),0))</f>
        <v>0</v>
      </c>
      <c r="I251" s="1015" t="e">
        <f ca="1">IF(OR(I$4="費用",I436="附帯",I$3=0,I$5-I$6=0),0,IF(I$22=入力規則マスタ!$K$7,ROUND(((I63+I63/(I$5-I$6)*I$6+I63/(I$5-I$6)*I$15)),(-3)),0))</f>
        <v>#REF!</v>
      </c>
    </row>
    <row r="252" spans="1:9" s="447" customFormat="1" ht="13.5" customHeight="1">
      <c r="A252" s="514"/>
      <c r="C252" s="1086">
        <v>10501115</v>
      </c>
      <c r="D252" s="1087" t="s">
        <v>2213</v>
      </c>
      <c r="E252" s="1088"/>
      <c r="F252" s="1131"/>
      <c r="G252" s="1150" t="e">
        <f t="shared" ca="1" si="9"/>
        <v>#REF!</v>
      </c>
      <c r="H252" s="1033">
        <f ca="1">IF(OR(H$4="費用",H436="附帯",H$3=0,H$5-H$6=0),0,IF(H$22=入力規則マスタ!$K$7,ROUND(((H64+H64/(H$5-H$6)*H$6+H64/(H$5-H$6)*H$15)),(-3)),0))</f>
        <v>0</v>
      </c>
      <c r="I252" s="1015" t="e">
        <f ca="1">IF(OR(I$4="費用",I436="附帯",I$3=0,I$5-I$6=0),0,IF(I$22=入力規則マスタ!$K$7,ROUND(((I64+I64/(I$5-I$6)*I$6+I64/(I$5-I$6)*I$15)),(-3)),0))</f>
        <v>#REF!</v>
      </c>
    </row>
    <row r="253" spans="1:9" s="447" customFormat="1" ht="13.5" customHeight="1">
      <c r="A253" s="514"/>
      <c r="C253" s="1086">
        <v>10501116</v>
      </c>
      <c r="D253" s="1087" t="s">
        <v>2214</v>
      </c>
      <c r="E253" s="1088"/>
      <c r="F253" s="1131"/>
      <c r="G253" s="1150" t="e">
        <f t="shared" ca="1" si="9"/>
        <v>#REF!</v>
      </c>
      <c r="H253" s="1033">
        <f ca="1">IF(OR(H$4="費用",H436="附帯",H$3=0,H$5-H$6=0),0,IF(H$22=入力規則マスタ!$K$7,ROUND(((H65+H65/(H$5-H$6)*H$6+H65/(H$5-H$6)*H$15)),(-3)),0))</f>
        <v>0</v>
      </c>
      <c r="I253" s="1015" t="e">
        <f ca="1">IF(OR(I$4="費用",I436="附帯",I$3=0,I$5-I$6=0),0,IF(I$22=入力規則マスタ!$K$7,ROUND(((I65+I65/(I$5-I$6)*I$6+I65/(I$5-I$6)*I$15)),(-3)),0))</f>
        <v>#REF!</v>
      </c>
    </row>
    <row r="254" spans="1:9" s="447" customFormat="1" ht="13.5" customHeight="1">
      <c r="A254" s="514"/>
      <c r="C254" s="1086">
        <v>10501117</v>
      </c>
      <c r="D254" s="1087" t="s">
        <v>2215</v>
      </c>
      <c r="E254" s="1088"/>
      <c r="F254" s="1131"/>
      <c r="G254" s="1150" t="e">
        <f t="shared" ca="1" si="9"/>
        <v>#REF!</v>
      </c>
      <c r="H254" s="1033">
        <f ca="1">IF(OR(H$4="費用",H436="附帯",H$3=0,H$5-H$6=0),0,IF(H$22=入力規則マスタ!$K$7,ROUND(((H66+H66/(H$5-H$6)*H$6+H66/(H$5-H$6)*H$15)),(-3)),0))</f>
        <v>0</v>
      </c>
      <c r="I254" s="1015" t="e">
        <f ca="1">IF(OR(I$4="費用",I436="附帯",I$3=0,I$5-I$6=0),0,IF(I$22=入力規則マスタ!$K$7,ROUND(((I66+I66/(I$5-I$6)*I$6+I66/(I$5-I$6)*I$15)),(-3)),0))</f>
        <v>#REF!</v>
      </c>
    </row>
    <row r="255" spans="1:9" s="447" customFormat="1" ht="13.5" customHeight="1">
      <c r="A255" s="514"/>
      <c r="C255" s="1086">
        <v>10501118</v>
      </c>
      <c r="D255" s="1087" t="s">
        <v>2723</v>
      </c>
      <c r="E255" s="1088"/>
      <c r="F255" s="1131"/>
      <c r="G255" s="1150" t="e">
        <f t="shared" ca="1" si="9"/>
        <v>#REF!</v>
      </c>
      <c r="H255" s="1033">
        <f ca="1">IF(OR(H$4="費用",H436="附帯",H$3=0,H$5-H$6=0),0,IF(H$22=入力規則マスタ!$K$7,ROUND(((H67+H67/(H$5-H$6)*H$6+H67/(H$5-H$6)*H$15)),(-3)),0))</f>
        <v>0</v>
      </c>
      <c r="I255" s="1015" t="e">
        <f ca="1">IF(OR(I$4="費用",I436="附帯",I$3=0,I$5-I$6=0),0,IF(I$22=入力規則マスタ!$K$7,ROUND(((I67+I67/(I$5-I$6)*I$6+I67/(I$5-I$6)*I$15)),(-3)),0))</f>
        <v>#REF!</v>
      </c>
    </row>
    <row r="256" spans="1:9" s="447" customFormat="1" ht="13.5" customHeight="1">
      <c r="A256" s="514"/>
      <c r="C256" s="1086">
        <v>10501119</v>
      </c>
      <c r="D256" s="1087" t="s">
        <v>2724</v>
      </c>
      <c r="E256" s="1088"/>
      <c r="F256" s="1131"/>
      <c r="G256" s="1150" t="e">
        <f t="shared" ca="1" si="9"/>
        <v>#REF!</v>
      </c>
      <c r="H256" s="1033">
        <f ca="1">IF(OR(H$4="費用",H436="附帯",H$3=0,H$5-H$6=0),0,IF(H$22=入力規則マスタ!$K$7,ROUND(((H68+H68/(H$5-H$6)*H$6+H68/(H$5-H$6)*H$15)),(-3)),0))</f>
        <v>0</v>
      </c>
      <c r="I256" s="1015" t="e">
        <f ca="1">IF(OR(I$4="費用",I436="附帯",I$3=0,I$5-I$6=0),0,IF(I$22=入力規則マスタ!$K$7,ROUND(((I68+I68/(I$5-I$6)*I$6+I68/(I$5-I$6)*I$15)),(-3)),0))</f>
        <v>#REF!</v>
      </c>
    </row>
    <row r="257" spans="1:9" s="447" customFormat="1" ht="13.5" customHeight="1">
      <c r="A257" s="514"/>
      <c r="C257" s="1086">
        <v>10501120</v>
      </c>
      <c r="D257" s="1087" t="s">
        <v>2725</v>
      </c>
      <c r="E257" s="1088"/>
      <c r="F257" s="1131"/>
      <c r="G257" s="1150" t="e">
        <f t="shared" ca="1" si="9"/>
        <v>#REF!</v>
      </c>
      <c r="H257" s="1033">
        <f ca="1">IF(OR(H$4="費用",H436="附帯",H$3=0,H$5-H$6=0),0,IF(H$22=入力規則マスタ!$K$7,ROUND(((H69+H69/(H$5-H$6)*H$6+H69/(H$5-H$6)*H$15)),(-3)),0))</f>
        <v>0</v>
      </c>
      <c r="I257" s="1015" t="e">
        <f ca="1">IF(OR(I$4="費用",I436="附帯",I$3=0,I$5-I$6=0),0,IF(I$22=入力規則マスタ!$K$7,ROUND(((I69+I69/(I$5-I$6)*I$6+I69/(I$5-I$6)*I$15)),(-3)),0))</f>
        <v>#REF!</v>
      </c>
    </row>
    <row r="258" spans="1:9" s="447" customFormat="1" ht="13.5" customHeight="1">
      <c r="A258" s="514"/>
      <c r="C258" s="1086">
        <v>10501121</v>
      </c>
      <c r="D258" s="1087" t="s">
        <v>2726</v>
      </c>
      <c r="E258" s="1088"/>
      <c r="F258" s="1131"/>
      <c r="G258" s="1150" t="e">
        <f t="shared" ca="1" si="9"/>
        <v>#REF!</v>
      </c>
      <c r="H258" s="1033">
        <f ca="1">IF(OR(H$4="費用",H436="附帯",H$3=0,H$5-H$6=0),0,IF(H$22=入力規則マスタ!$K$7,ROUND(((H70+H70/(H$5-H$6)*H$6+H70/(H$5-H$6)*H$15)),(-3)),0))</f>
        <v>0</v>
      </c>
      <c r="I258" s="1015" t="e">
        <f ca="1">IF(OR(I$4="費用",I436="附帯",I$3=0,I$5-I$6=0),0,IF(I$22=入力規則マスタ!$K$7,ROUND(((I70+I70/(I$5-I$6)*I$6+I70/(I$5-I$6)*I$15)),(-3)),0))</f>
        <v>#REF!</v>
      </c>
    </row>
    <row r="259" spans="1:9" s="447" customFormat="1" ht="13.5" customHeight="1">
      <c r="A259" s="514"/>
      <c r="C259" s="1086">
        <v>10501122</v>
      </c>
      <c r="D259" s="1087" t="s">
        <v>2696</v>
      </c>
      <c r="E259" s="1088"/>
      <c r="F259" s="1131"/>
      <c r="G259" s="1150" t="e">
        <f t="shared" ca="1" si="9"/>
        <v>#REF!</v>
      </c>
      <c r="H259" s="1033">
        <f ca="1">IF(OR(H$4="費用",H436="附帯",H$3=0,H$5-H$6=0),0,IF(H$22=入力規則マスタ!$K$7,ROUND(((H71+H71/(H$5-H$6)*H$6+H71/(H$5-H$6)*H$15)),(-3)),0))</f>
        <v>0</v>
      </c>
      <c r="I259" s="1015" t="e">
        <f ca="1">IF(OR(I$4="費用",I436="附帯",I$3=0,I$5-I$6=0),0,IF(I$22=入力規則マスタ!$K$7,ROUND(((I71+I71/(I$5-I$6)*I$6+I71/(I$5-I$6)*I$15)),(-3)),0))</f>
        <v>#REF!</v>
      </c>
    </row>
    <row r="260" spans="1:9" s="447" customFormat="1" ht="13.5" customHeight="1">
      <c r="A260" s="514"/>
      <c r="C260" s="1086">
        <v>10501123</v>
      </c>
      <c r="D260" s="1087" t="s">
        <v>2697</v>
      </c>
      <c r="E260" s="1088"/>
      <c r="F260" s="1131"/>
      <c r="G260" s="1150" t="e">
        <f t="shared" ca="1" si="9"/>
        <v>#REF!</v>
      </c>
      <c r="H260" s="1033">
        <f ca="1">IF(OR(H$4="費用",H436="附帯",H$3=0,H$5-H$6=0),0,IF(H$22=入力規則マスタ!$K$7,ROUND(((H72+H72/(H$5-H$6)*H$6+H72/(H$5-H$6)*H$15)),(-3)),0))</f>
        <v>0</v>
      </c>
      <c r="I260" s="1015" t="e">
        <f ca="1">IF(OR(I$4="費用",I436="附帯",I$3=0,I$5-I$6=0),0,IF(I$22=入力規則マスタ!$K$7,ROUND(((I72+I72/(I$5-I$6)*I$6+I72/(I$5-I$6)*I$15)),(-3)),0))</f>
        <v>#REF!</v>
      </c>
    </row>
    <row r="261" spans="1:9" s="447" customFormat="1" ht="13.5" customHeight="1">
      <c r="A261" s="514"/>
      <c r="C261" s="1086">
        <v>10501124</v>
      </c>
      <c r="D261" s="1087" t="s">
        <v>2727</v>
      </c>
      <c r="E261" s="1088"/>
      <c r="F261" s="1131"/>
      <c r="G261" s="1150" t="e">
        <f t="shared" ca="1" si="9"/>
        <v>#REF!</v>
      </c>
      <c r="H261" s="1033">
        <f ca="1">IF(OR(H$4="費用",H436="附帯",H$3=0,H$5-H$6=0),0,IF(H$22=入力規則マスタ!$K$7,ROUND(((H73+H73/(H$5-H$6)*H$6+H73/(H$5-H$6)*H$15)),(-3)),0))</f>
        <v>0</v>
      </c>
      <c r="I261" s="1015" t="e">
        <f ca="1">IF(OR(I$4="費用",I436="附帯",I$3=0,I$5-I$6=0),0,IF(I$22=入力規則マスタ!$K$7,ROUND(((I73+I73/(I$5-I$6)*I$6+I73/(I$5-I$6)*I$15)),(-3)),0))</f>
        <v>#REF!</v>
      </c>
    </row>
    <row r="262" spans="1:9" s="447" customFormat="1" ht="13.5" customHeight="1">
      <c r="A262" s="514"/>
      <c r="C262" s="1086">
        <v>10501124</v>
      </c>
      <c r="D262" s="1087" t="s">
        <v>2728</v>
      </c>
      <c r="E262" s="1088"/>
      <c r="F262" s="1131"/>
      <c r="G262" s="1150" t="e">
        <f t="shared" ca="1" si="9"/>
        <v>#REF!</v>
      </c>
      <c r="H262" s="1033">
        <f ca="1">IF(OR(H$4="費用",H436="附帯",H$3=0,H$5-H$6=0),0,IF(H$22=入力規則マスタ!$K$7,ROUND(((H74+H74/(H$5-H$6)*H$6+H74/(H$5-H$6)*H$15)),(-3)),0))</f>
        <v>0</v>
      </c>
      <c r="I262" s="1015" t="e">
        <f ca="1">IF(OR(I$4="費用",I436="附帯",I$3=0,I$5-I$6=0),0,IF(I$22=入力規則マスタ!$K$7,ROUND(((I74+I74/(I$5-I$6)*I$6+I74/(I$5-I$6)*I$15)),(-3)),0))</f>
        <v>#REF!</v>
      </c>
    </row>
    <row r="263" spans="1:9" s="447" customFormat="1" ht="13.5" customHeight="1">
      <c r="A263" s="514"/>
      <c r="C263" s="1086">
        <v>10501124</v>
      </c>
      <c r="D263" s="1087" t="s">
        <v>2729</v>
      </c>
      <c r="E263" s="1088"/>
      <c r="F263" s="1131"/>
      <c r="G263" s="1150" t="e">
        <f t="shared" ca="1" si="9"/>
        <v>#REF!</v>
      </c>
      <c r="H263" s="1033">
        <f ca="1">IF(OR(H$4="費用",H436="附帯",H$3=0,H$5-H$6=0),0,IF(H$22=入力規則マスタ!$K$7,ROUND(((H75+H75/(H$5-H$6)*H$6+H75/(H$5-H$6)*H$15)),(-3)),0))</f>
        <v>0</v>
      </c>
      <c r="I263" s="1015" t="e">
        <f ca="1">IF(OR(I$4="費用",I436="附帯",I$3=0,I$5-I$6=0),0,IF(I$22=入力規則マスタ!$K$7,ROUND(((I75+I75/(I$5-I$6)*I$6+I75/(I$5-I$6)*I$15)),(-3)),0))</f>
        <v>#REF!</v>
      </c>
    </row>
    <row r="264" spans="1:9" s="447" customFormat="1" ht="13.5" customHeight="1">
      <c r="A264" s="514"/>
      <c r="C264" s="1086">
        <v>10501125</v>
      </c>
      <c r="D264" s="1087" t="s">
        <v>2730</v>
      </c>
      <c r="E264" s="1088"/>
      <c r="F264" s="1131"/>
      <c r="G264" s="1150" t="e">
        <f t="shared" ca="1" si="9"/>
        <v>#REF!</v>
      </c>
      <c r="H264" s="1033">
        <f ca="1">IF(OR(H$4="費用",H436="附帯",H$3=0,H$5-H$6=0),0,IF(H$22=入力規則マスタ!$K$7,ROUND(((H76+H76/(H$5-H$6)*H$6+H76/(H$5-H$6)*H$15)),(-3)),0))</f>
        <v>0</v>
      </c>
      <c r="I264" s="1015" t="e">
        <f ca="1">IF(OR(I$4="費用",I436="附帯",I$3=0,I$5-I$6=0),0,IF(I$22=入力規則マスタ!$K$7,ROUND(((I76+I76/(I$5-I$6)*I$6+I76/(I$5-I$6)*I$15)),(-3)),0))</f>
        <v>#REF!</v>
      </c>
    </row>
    <row r="265" spans="1:9" s="447" customFormat="1" ht="13.5" customHeight="1">
      <c r="A265" s="514"/>
      <c r="C265" s="1086">
        <v>10501125</v>
      </c>
      <c r="D265" s="1087" t="s">
        <v>2731</v>
      </c>
      <c r="E265" s="1088"/>
      <c r="F265" s="1131"/>
      <c r="G265" s="1150" t="e">
        <f t="shared" ca="1" si="9"/>
        <v>#REF!</v>
      </c>
      <c r="H265" s="1033">
        <f ca="1">IF(OR(H$4="費用",H436="附帯",H$3=0,H$5-H$6=0),0,IF(H$22=入力規則マスタ!$K$7,ROUND(((H77+H77/(H$5-H$6)*H$6+H77/(H$5-H$6)*H$15)),(-3)),0))</f>
        <v>0</v>
      </c>
      <c r="I265" s="1015" t="e">
        <f ca="1">IF(OR(I$4="費用",I436="附帯",I$3=0,I$5-I$6=0),0,IF(I$22=入力規則マスタ!$K$7,ROUND(((I77+I77/(I$5-I$6)*I$6+I77/(I$5-I$6)*I$15)),(-3)),0))</f>
        <v>#REF!</v>
      </c>
    </row>
    <row r="266" spans="1:9" s="447" customFormat="1" ht="13.5" customHeight="1">
      <c r="A266" s="514"/>
      <c r="B266" s="515"/>
      <c r="C266" s="880" t="s">
        <v>3079</v>
      </c>
      <c r="D266" s="1092"/>
      <c r="E266" s="1093"/>
      <c r="F266" s="1092"/>
      <c r="G266" s="1164"/>
      <c r="H266" s="1044" t="str">
        <f>IF(H$22="011詰所建物",ROUND(H78+H78/(H$5-H$6)*H$6+H78/(H$5-H$6)*H$15,-3),"")</f>
        <v/>
      </c>
      <c r="I266" s="1016" t="str">
        <f>IF(I$22="011詰所建物",ROUND(I78+I78/(I$5-I$6)*I$6+I78/(I$5-I$6)*I$15,-3),"")</f>
        <v/>
      </c>
    </row>
    <row r="267" spans="1:9" s="447" customFormat="1" ht="13.5" customHeight="1">
      <c r="A267" s="514"/>
      <c r="C267" s="1086">
        <v>10501201</v>
      </c>
      <c r="D267" s="1087" t="s">
        <v>2216</v>
      </c>
      <c r="E267" s="1088"/>
      <c r="F267" s="1131"/>
      <c r="G267" s="1144" t="e">
        <f t="shared" ref="G267:G294" ca="1" si="10">SUM(H267:J267)</f>
        <v>#REF!</v>
      </c>
      <c r="H267" s="1027">
        <f ca="1">IF(OR(H$4="費用",H436="附帯",H$3=0,H$5-H$6=0),0,IF(H$22=入力規則マスタ!$K$8,ROUND(((H23+H23/(H$5-H$6)*H$6+H23/(H$5-H$6)*H$15)),(-3)),0))</f>
        <v>0</v>
      </c>
      <c r="I267" s="1014" t="e">
        <f ca="1">IF(OR(I$4="費用",I436="附帯",I$3=0,I$5-I$6=0),0,IF(I$22=入力規則マスタ!$K$8,ROUND(((I23+I23/(I$5-I$6)*I$6+I23/(I$5-I$6)*I$15)),(-3)),0))</f>
        <v>#REF!</v>
      </c>
    </row>
    <row r="268" spans="1:9" s="447" customFormat="1" ht="13.5" customHeight="1">
      <c r="A268" s="514"/>
      <c r="C268" s="1086">
        <v>10501202</v>
      </c>
      <c r="D268" s="1087" t="s">
        <v>2217</v>
      </c>
      <c r="E268" s="1088"/>
      <c r="F268" s="1131"/>
      <c r="G268" s="1150" t="e">
        <f t="shared" ca="1" si="10"/>
        <v>#REF!</v>
      </c>
      <c r="H268" s="1027">
        <f ca="1">IF(OR(H$4="費用",H436="附帯",H$3=0,H$5-H$6=0),0,IF(H$22=入力規則マスタ!$K$8,ROUND(((H24+H24/(H$5-H$6)*H$6+H24/(H$5-H$6)*H$15)),(-3)),0))</f>
        <v>0</v>
      </c>
      <c r="I268" s="1014" t="e">
        <f ca="1">IF(OR(I$4="費用",I436="附帯",I$3=0,I$5-I$6=0),0,IF(I$22=入力規則マスタ!$K$8,ROUND(((I24+I24/(I$5-I$6)*I$6+I24/(I$5-I$6)*I$15)),(-3)),0))</f>
        <v>#REF!</v>
      </c>
    </row>
    <row r="269" spans="1:9" s="447" customFormat="1" ht="13.5" customHeight="1">
      <c r="A269" s="514"/>
      <c r="C269" s="1086">
        <v>10501203</v>
      </c>
      <c r="D269" s="1087" t="s">
        <v>2218</v>
      </c>
      <c r="E269" s="1088"/>
      <c r="F269" s="1131"/>
      <c r="G269" s="1150" t="e">
        <f t="shared" ca="1" si="10"/>
        <v>#REF!</v>
      </c>
      <c r="H269" s="1027">
        <f ca="1">IF(OR(H$4="費用",H436="附帯",H$3=0,H$5-H$6=0),0,IF(H$22=入力規則マスタ!$K$8,ROUND(((H25+H25/(H$5-H$6)*H$6+H25/(H$5-H$6)*H$15)),(-3)),0))</f>
        <v>0</v>
      </c>
      <c r="I269" s="1014" t="e">
        <f ca="1">IF(OR(I$4="費用",I436="附帯",I$3=0,I$5-I$6=0),0,IF(I$22=入力規則マスタ!$K$8,ROUND(((I25+I25/(I$5-I$6)*I$6+I25/(I$5-I$6)*I$15)),(-3)),0))</f>
        <v>#REF!</v>
      </c>
    </row>
    <row r="270" spans="1:9" s="447" customFormat="1" ht="13.5" customHeight="1">
      <c r="A270" s="514"/>
      <c r="C270" s="1086">
        <v>10501204</v>
      </c>
      <c r="D270" s="1087" t="s">
        <v>2219</v>
      </c>
      <c r="E270" s="1088"/>
      <c r="F270" s="1131"/>
      <c r="G270" s="1150" t="e">
        <f t="shared" ca="1" si="10"/>
        <v>#REF!</v>
      </c>
      <c r="H270" s="1027">
        <f ca="1">IF(OR(H$4="費用",H436="附帯",H$3=0,H$5-H$6=0),0,IF(H$22=入力規則マスタ!$K$8,ROUND(((H26+H26/(H$5-H$6)*H$6+H26/(H$5-H$6)*H$15)),(-3)),0))</f>
        <v>0</v>
      </c>
      <c r="I270" s="1014" t="e">
        <f ca="1">IF(OR(I$4="費用",I436="附帯",I$3=0,I$5-I$6=0),0,IF(I$22=入力規則マスタ!$K$8,ROUND(((I26+I26/(I$5-I$6)*I$6+I26/(I$5-I$6)*I$15)),(-3)),0))</f>
        <v>#REF!</v>
      </c>
    </row>
    <row r="271" spans="1:9" s="447" customFormat="1" ht="13.5" customHeight="1">
      <c r="A271" s="514"/>
      <c r="C271" s="1086">
        <v>10501205</v>
      </c>
      <c r="D271" s="1087" t="s">
        <v>2220</v>
      </c>
      <c r="E271" s="1088"/>
      <c r="F271" s="1131"/>
      <c r="G271" s="1150" t="e">
        <f t="shared" ca="1" si="10"/>
        <v>#REF!</v>
      </c>
      <c r="H271" s="1027">
        <f ca="1">IF(OR(H$4="費用",H436="附帯",H$3=0,H$5-H$6=0),0,IF(H$22=入力規則マスタ!$K$8,ROUND(((H27+H27/(H$5-H$6)*H$6+H27/(H$5-H$6)*H$15)),(-3)),0))</f>
        <v>0</v>
      </c>
      <c r="I271" s="1014" t="e">
        <f ca="1">IF(OR(I$4="費用",I436="附帯",I$3=0,I$5-I$6=0),0,IF(I$22=入力規則マスタ!$K$8,ROUND(((I27+I27/(I$5-I$6)*I$6+I27/(I$5-I$6)*I$15)),(-3)),0))</f>
        <v>#REF!</v>
      </c>
    </row>
    <row r="272" spans="1:9" s="447" customFormat="1" ht="13.5" customHeight="1">
      <c r="A272" s="514"/>
      <c r="C272" s="1086">
        <v>10501206</v>
      </c>
      <c r="D272" s="1087" t="s">
        <v>2221</v>
      </c>
      <c r="E272" s="1088"/>
      <c r="F272" s="1131"/>
      <c r="G272" s="1150" t="e">
        <f t="shared" ca="1" si="10"/>
        <v>#REF!</v>
      </c>
      <c r="H272" s="1027">
        <f ca="1">IF(OR(H$4="費用",H436="附帯",H$3=0,H$5-H$6=0),0,IF(H$22=入力規則マスタ!$K$8,ROUND(((H28+H28/(H$5-H$6)*H$6+H28/(H$5-H$6)*H$15)),(-3)),0))</f>
        <v>0</v>
      </c>
      <c r="I272" s="1014" t="e">
        <f ca="1">IF(OR(I$4="費用",I436="附帯",I$3=0,I$5-I$6=0),0,IF(I$22=入力規則マスタ!$K$8,ROUND(((I28+I28/(I$5-I$6)*I$6+I28/(I$5-I$6)*I$15)),(-3)),0))</f>
        <v>#REF!</v>
      </c>
    </row>
    <row r="273" spans="1:9" s="447" customFormat="1" ht="13.5" customHeight="1">
      <c r="A273" s="514"/>
      <c r="C273" s="1086">
        <v>10501207</v>
      </c>
      <c r="D273" s="1087" t="s">
        <v>2222</v>
      </c>
      <c r="E273" s="1088"/>
      <c r="F273" s="1131"/>
      <c r="G273" s="1150" t="e">
        <f t="shared" ca="1" si="10"/>
        <v>#REF!</v>
      </c>
      <c r="H273" s="1027">
        <f ca="1">IF(OR(H$4="費用",H436="附帯",H$3=0,H$5-H$6=0),0,IF(H$22=入力規則マスタ!$K$8,ROUND(((H29+H29/(H$5-H$6)*H$6+H29/(H$5-H$6)*H$15)),(-3)),0))</f>
        <v>0</v>
      </c>
      <c r="I273" s="1014" t="e">
        <f ca="1">IF(OR(I$4="費用",I436="附帯",I$3=0,I$5-I$6=0),0,IF(I$22=入力規則マスタ!$K$8,ROUND(((I29+I29/(I$5-I$6)*I$6+I29/(I$5-I$6)*I$15)),(-3)),0))</f>
        <v>#REF!</v>
      </c>
    </row>
    <row r="274" spans="1:9" s="447" customFormat="1" ht="13.5" customHeight="1">
      <c r="A274" s="514"/>
      <c r="C274" s="1086">
        <v>10501208</v>
      </c>
      <c r="D274" s="1087" t="s">
        <v>1987</v>
      </c>
      <c r="E274" s="1088"/>
      <c r="F274" s="1131"/>
      <c r="G274" s="1150" t="e">
        <f t="shared" ca="1" si="10"/>
        <v>#REF!</v>
      </c>
      <c r="H274" s="1027">
        <f ca="1">IF(OR(H$4="費用",H436="附帯",H$3=0,H$5-H$6=0),0,IF(H$22=入力規則マスタ!$K$8,ROUND(((H30+H30/(H$5-H$6)*H$6+H30/(H$5-H$6)*H$15)),(-3)),0))</f>
        <v>0</v>
      </c>
      <c r="I274" s="1014" t="e">
        <f ca="1">IF(OR(I$4="費用",I436="附帯",I$3=0,I$5-I$6=0),0,IF(I$22=入力規則マスタ!$K$8,ROUND(((I30+I30/(I$5-I$6)*I$6+I30/(I$5-I$6)*I$15)),(-3)),0))</f>
        <v>#REF!</v>
      </c>
    </row>
    <row r="275" spans="1:9" s="447" customFormat="1" ht="13.5" customHeight="1">
      <c r="A275" s="514"/>
      <c r="C275" s="1086">
        <v>10501209</v>
      </c>
      <c r="D275" s="1087" t="s">
        <v>2223</v>
      </c>
      <c r="E275" s="1088"/>
      <c r="F275" s="1131"/>
      <c r="G275" s="1150" t="e">
        <f t="shared" ca="1" si="10"/>
        <v>#REF!</v>
      </c>
      <c r="H275" s="1027">
        <f ca="1">IF(OR(H$4="費用",H436="附帯",H$3=0,H$5-H$6=0),0,IF(H$22=入力規則マスタ!$K$8,ROUND(((H31+H31/(H$5-H$6)*H$6+H31/(H$5-H$6)*H$15)),(-3)),0))</f>
        <v>0</v>
      </c>
      <c r="I275" s="1014" t="e">
        <f ca="1">IF(OR(I$4="費用",I436="附帯",I$3=0,I$5-I$6=0),0,IF(I$22=入力規則マスタ!$K$8,ROUND(((I31+I31/(I$5-I$6)*I$6+I31/(I$5-I$6)*I$15)),(-3)),0))</f>
        <v>#REF!</v>
      </c>
    </row>
    <row r="276" spans="1:9" s="447" customFormat="1" ht="13.5" customHeight="1">
      <c r="A276" s="514"/>
      <c r="C276" s="1086">
        <v>10501210</v>
      </c>
      <c r="D276" s="1087" t="s">
        <v>2224</v>
      </c>
      <c r="E276" s="1088"/>
      <c r="F276" s="1131"/>
      <c r="G276" s="1150" t="e">
        <f t="shared" ca="1" si="10"/>
        <v>#REF!</v>
      </c>
      <c r="H276" s="1033">
        <f ca="1">IF(OR(H$4="費用",H436="附帯",H$3=0,H$5-H$6=0),0,IF(H$22=入力規則マスタ!$K$8,ROUND(((H59+H59/(H$5-H$6)*H$6+H59/(H$5-H$6)*H$15)),(-3)),0))</f>
        <v>0</v>
      </c>
      <c r="I276" s="1015" t="e">
        <f ca="1">IF(OR(I$4="費用",I436="附帯",I$3=0,I$5-I$6=0),0,IF(I$22=入力規則マスタ!$K$8,ROUND(((I59+I59/(I$5-I$6)*I$6+I59/(I$5-I$6)*I$15)),(-3)),0))</f>
        <v>#REF!</v>
      </c>
    </row>
    <row r="277" spans="1:9" s="447" customFormat="1" ht="13.5" customHeight="1">
      <c r="A277" s="514"/>
      <c r="C277" s="1086">
        <v>10501211</v>
      </c>
      <c r="D277" s="1087" t="s">
        <v>2225</v>
      </c>
      <c r="E277" s="1088"/>
      <c r="F277" s="1131"/>
      <c r="G277" s="1150" t="e">
        <f t="shared" ca="1" si="10"/>
        <v>#REF!</v>
      </c>
      <c r="H277" s="1033">
        <f ca="1">IF(OR(H$4="費用",H436="附帯",H$3=0,H$5-H$6=0),0,IF(H$22=入力規則マスタ!$K$8,ROUND(((H60+H60/(H$5-H$6)*H$6+H60/(H$5-H$6)*H$15)),(-3)),0))</f>
        <v>0</v>
      </c>
      <c r="I277" s="1015" t="e">
        <f ca="1">IF(OR(I$4="費用",I436="附帯",I$3=0,I$5-I$6=0),0,IF(I$22=入力規則マスタ!$K$8,ROUND(((I60+I60/(I$5-I$6)*I$6+I60/(I$5-I$6)*I$15)),(-3)),0))</f>
        <v>#REF!</v>
      </c>
    </row>
    <row r="278" spans="1:9" s="447" customFormat="1" ht="13.5" customHeight="1">
      <c r="A278" s="514"/>
      <c r="C278" s="1086">
        <v>10501212</v>
      </c>
      <c r="D278" s="1087" t="s">
        <v>2226</v>
      </c>
      <c r="E278" s="1088"/>
      <c r="F278" s="1131"/>
      <c r="G278" s="1150" t="e">
        <f t="shared" ca="1" si="10"/>
        <v>#REF!</v>
      </c>
      <c r="H278" s="1033">
        <f ca="1">IF(OR(H$4="費用",H436="附帯",H$3=0,H$5-H$6=0),0,IF(H$22=入力規則マスタ!$K$8,ROUND(((H61+H61/(H$5-H$6)*H$6+H61/(H$5-H$6)*H$15)),(-3)),0))</f>
        <v>0</v>
      </c>
      <c r="I278" s="1015" t="e">
        <f ca="1">IF(OR(I$4="費用",I436="附帯",I$3=0,I$5-I$6=0),0,IF(I$22=入力規則マスタ!$K$8,ROUND(((I61+I61/(I$5-I$6)*I$6+I61/(I$5-I$6)*I$15)),(-3)),0))</f>
        <v>#REF!</v>
      </c>
    </row>
    <row r="279" spans="1:9" s="447" customFormat="1" ht="13.5" customHeight="1">
      <c r="A279" s="514"/>
      <c r="C279" s="1086">
        <v>10501213</v>
      </c>
      <c r="D279" s="1087" t="s">
        <v>2227</v>
      </c>
      <c r="E279" s="1088"/>
      <c r="F279" s="1131"/>
      <c r="G279" s="1150" t="e">
        <f t="shared" ca="1" si="10"/>
        <v>#REF!</v>
      </c>
      <c r="H279" s="1033">
        <f ca="1">IF(OR(H$4="費用",H436="附帯",H$3=0,H$5-H$6=0),0,IF(H$22=入力規則マスタ!$K$8,ROUND(((H62+H62/(H$5-H$6)*H$6+H62/(H$5-H$6)*H$15)),(-3)),0))</f>
        <v>0</v>
      </c>
      <c r="I279" s="1015" t="e">
        <f ca="1">IF(OR(I$4="費用",I436="附帯",I$3=0,I$5-I$6=0),0,IF(I$22=入力規則マスタ!$K$8,ROUND(((I62+I62/(I$5-I$6)*I$6+I62/(I$5-I$6)*I$15)),(-3)),0))</f>
        <v>#REF!</v>
      </c>
    </row>
    <row r="280" spans="1:9" s="447" customFormat="1" ht="13.5" customHeight="1">
      <c r="A280" s="514"/>
      <c r="C280" s="1086">
        <v>10501214</v>
      </c>
      <c r="D280" s="1087" t="s">
        <v>2228</v>
      </c>
      <c r="E280" s="1088"/>
      <c r="F280" s="1131"/>
      <c r="G280" s="1150" t="e">
        <f t="shared" ca="1" si="10"/>
        <v>#REF!</v>
      </c>
      <c r="H280" s="1033">
        <f ca="1">IF(OR(H$4="費用",H436="附帯",H$3=0,H$5-H$6=0),0,IF(H$22=入力規則マスタ!$K$8,ROUND(((H63+H63/(H$5-H$6)*H$6+H63/(H$5-H$6)*H$15)),(-3)),0))</f>
        <v>0</v>
      </c>
      <c r="I280" s="1015" t="e">
        <f ca="1">IF(OR(I$4="費用",I436="附帯",I$3=0,I$5-I$6=0),0,IF(I$22=入力規則マスタ!$K$8,ROUND(((I63+I63/(I$5-I$6)*I$6+I63/(I$5-I$6)*I$15)),(-3)),0))</f>
        <v>#REF!</v>
      </c>
    </row>
    <row r="281" spans="1:9" s="447" customFormat="1" ht="13.5" customHeight="1">
      <c r="A281" s="514"/>
      <c r="C281" s="1086">
        <v>10501215</v>
      </c>
      <c r="D281" s="1087" t="s">
        <v>2229</v>
      </c>
      <c r="E281" s="1088"/>
      <c r="F281" s="1131"/>
      <c r="G281" s="1150" t="e">
        <f t="shared" ca="1" si="10"/>
        <v>#REF!</v>
      </c>
      <c r="H281" s="1033">
        <f ca="1">IF(OR(H$4="費用",H436="附帯",H$3=0,H$5-H$6=0),0,IF(H$22=入力規則マスタ!$K$8,ROUND(((H64+H64/(H$5-H$6)*H$6+H64/(H$5-H$6)*H$15)),(-3)),0))</f>
        <v>0</v>
      </c>
      <c r="I281" s="1015" t="e">
        <f ca="1">IF(OR(I$4="費用",I436="附帯",I$3=0,I$5-I$6=0),0,IF(I$22=入力規則マスタ!$K$8,ROUND(((I64+I64/(I$5-I$6)*I$6+I64/(I$5-I$6)*I$15)),(-3)),0))</f>
        <v>#REF!</v>
      </c>
    </row>
    <row r="282" spans="1:9" s="447" customFormat="1" ht="13.5" customHeight="1">
      <c r="A282" s="514"/>
      <c r="C282" s="1086">
        <v>10501216</v>
      </c>
      <c r="D282" s="1087" t="s">
        <v>2230</v>
      </c>
      <c r="E282" s="1088"/>
      <c r="F282" s="1131"/>
      <c r="G282" s="1150" t="e">
        <f t="shared" ca="1" si="10"/>
        <v>#REF!</v>
      </c>
      <c r="H282" s="1033">
        <f ca="1">IF(OR(H$4="費用",H436="附帯",H$3=0,H$5-H$6=0),0,IF(H$22=入力規則マスタ!$K$8,ROUND(((H65+H65/(H$5-H$6)*H$6+H65/(H$5-H$6)*H$15)),(-3)),0))</f>
        <v>0</v>
      </c>
      <c r="I282" s="1015" t="e">
        <f ca="1">IF(OR(I$4="費用",I436="附帯",I$3=0,I$5-I$6=0),0,IF(I$22=入力規則マスタ!$K$8,ROUND(((I65+I65/(I$5-I$6)*I$6+I65/(I$5-I$6)*I$15)),(-3)),0))</f>
        <v>#REF!</v>
      </c>
    </row>
    <row r="283" spans="1:9" s="447" customFormat="1" ht="13.5" customHeight="1">
      <c r="A283" s="514"/>
      <c r="C283" s="1086">
        <v>10501217</v>
      </c>
      <c r="D283" s="1087" t="s">
        <v>2231</v>
      </c>
      <c r="E283" s="1088"/>
      <c r="F283" s="1131"/>
      <c r="G283" s="1150" t="e">
        <f t="shared" ca="1" si="10"/>
        <v>#REF!</v>
      </c>
      <c r="H283" s="1033">
        <f ca="1">IF(OR(H$4="費用",H436="附帯",H$3=0,H$5-H$6=0),0,IF(H$22=入力規則マスタ!$K$8,ROUND(((H66+H66/(H$5-H$6)*H$6+H66/(H$5-H$6)*H$15)),(-3)),0))</f>
        <v>0</v>
      </c>
      <c r="I283" s="1015" t="e">
        <f ca="1">IF(OR(I$4="費用",I436="附帯",I$3=0,I$5-I$6=0),0,IF(I$22=入力規則マスタ!$K$8,ROUND(((I66+I66/(I$5-I$6)*I$6+I66/(I$5-I$6)*I$15)),(-3)),0))</f>
        <v>#REF!</v>
      </c>
    </row>
    <row r="284" spans="1:9" s="447" customFormat="1" ht="13.5" customHeight="1">
      <c r="A284" s="514"/>
      <c r="C284" s="1086">
        <v>10501218</v>
      </c>
      <c r="D284" s="1087" t="s">
        <v>2232</v>
      </c>
      <c r="E284" s="1088"/>
      <c r="F284" s="1131"/>
      <c r="G284" s="1150" t="e">
        <f t="shared" ca="1" si="10"/>
        <v>#REF!</v>
      </c>
      <c r="H284" s="1033">
        <f ca="1">IF(OR(H$4="費用",H436="附帯",H$3=0,H$5-H$6=0),0,IF(H$22=入力規則マスタ!$K$8,ROUND(((H67+H67/(H$5-H$6)*H$6+H67/(H$5-H$6)*H$15)),(-3)),0))</f>
        <v>0</v>
      </c>
      <c r="I284" s="1015" t="e">
        <f ca="1">IF(OR(I$4="費用",I436="附帯",I$3=0,I$5-I$6=0),0,IF(I$22=入力規則マスタ!$K$8,ROUND(((I67+I67/(I$5-I$6)*I$6+I67/(I$5-I$6)*I$15)),(-3)),0))</f>
        <v>#REF!</v>
      </c>
    </row>
    <row r="285" spans="1:9" s="447" customFormat="1" ht="13.5" customHeight="1">
      <c r="A285" s="514"/>
      <c r="C285" s="1086">
        <v>10501219</v>
      </c>
      <c r="D285" s="1087" t="s">
        <v>2732</v>
      </c>
      <c r="E285" s="1088"/>
      <c r="F285" s="1131"/>
      <c r="G285" s="1150" t="e">
        <f t="shared" ca="1" si="10"/>
        <v>#REF!</v>
      </c>
      <c r="H285" s="1033">
        <f ca="1">IF(OR(H$4="費用",H436="附帯",H$3=0,H$5-H$6=0),0,IF(H$22=入力規則マスタ!$K$8,ROUND(((H68+H68/(H$5-H$6)*H$6+H68/(H$5-H$6)*H$15)),(-3)),0))</f>
        <v>0</v>
      </c>
      <c r="I285" s="1015" t="e">
        <f ca="1">IF(OR(I$4="費用",I436="附帯",I$3=0,I$5-I$6=0),0,IF(I$22=入力規則マスタ!$K$8,ROUND(((I68+I68/(I$5-I$6)*I$6+I68/(I$5-I$6)*I$15)),(-3)),0))</f>
        <v>#REF!</v>
      </c>
    </row>
    <row r="286" spans="1:9" s="447" customFormat="1" ht="13.5" customHeight="1">
      <c r="A286" s="514"/>
      <c r="C286" s="1086">
        <v>10501220</v>
      </c>
      <c r="D286" s="1087" t="s">
        <v>2733</v>
      </c>
      <c r="E286" s="1088"/>
      <c r="F286" s="1131"/>
      <c r="G286" s="1150" t="e">
        <f t="shared" ca="1" si="10"/>
        <v>#REF!</v>
      </c>
      <c r="H286" s="1033">
        <f ca="1">IF(OR(H$4="費用",H436="附帯",H$3=0,H$5-H$6=0),0,IF(H$22=入力規則マスタ!$K$8,ROUND(((H69+H69/(H$5-H$6)*H$6+H69/(H$5-H$6)*H$15)),(-3)),0))</f>
        <v>0</v>
      </c>
      <c r="I286" s="1015" t="e">
        <f ca="1">IF(OR(I$4="費用",I436="附帯",I$3=0,I$5-I$6=0),0,IF(I$22=入力規則マスタ!$K$8,ROUND(((I69+I69/(I$5-I$6)*I$6+I69/(I$5-I$6)*I$15)),(-3)),0))</f>
        <v>#REF!</v>
      </c>
    </row>
    <row r="287" spans="1:9" s="447" customFormat="1" ht="13.5" customHeight="1">
      <c r="A287" s="514"/>
      <c r="C287" s="1086">
        <v>10501221</v>
      </c>
      <c r="D287" s="1087" t="s">
        <v>2734</v>
      </c>
      <c r="E287" s="1088"/>
      <c r="F287" s="1131"/>
      <c r="G287" s="1150" t="e">
        <f t="shared" ca="1" si="10"/>
        <v>#REF!</v>
      </c>
      <c r="H287" s="1033">
        <f ca="1">IF(OR(H$4="費用",H436="附帯",H$3=0,H$5-H$6=0),0,IF(H$22=入力規則マスタ!$K$8,ROUND(((H70+H70/(H$5-H$6)*H$6+H70/(H$5-H$6)*H$15)),(-3)),0))</f>
        <v>0</v>
      </c>
      <c r="I287" s="1015" t="e">
        <f ca="1">IF(OR(I$4="費用",I436="附帯",I$3=0,I$5-I$6=0),0,IF(I$22=入力規則マスタ!$K$8,ROUND(((I70+I70/(I$5-I$6)*I$6+I70/(I$5-I$6)*I$15)),(-3)),0))</f>
        <v>#REF!</v>
      </c>
    </row>
    <row r="288" spans="1:9" s="447" customFormat="1" ht="13.5" customHeight="1">
      <c r="A288" s="514"/>
      <c r="C288" s="1086">
        <v>10501222</v>
      </c>
      <c r="D288" s="1087" t="s">
        <v>2698</v>
      </c>
      <c r="E288" s="1088"/>
      <c r="F288" s="1131"/>
      <c r="G288" s="1150" t="e">
        <f t="shared" ca="1" si="10"/>
        <v>#REF!</v>
      </c>
      <c r="H288" s="1033">
        <f ca="1">IF(OR(H$4="費用",H436="附帯",H$3=0,H$5-H$6=0),0,IF(H$22=入力規則マスタ!$K$8,ROUND(((H71+H71/(H$5-H$6)*H$6+H71/(H$5-H$6)*H$15)),(-3)),0))</f>
        <v>0</v>
      </c>
      <c r="I288" s="1015" t="e">
        <f ca="1">IF(OR(I$4="費用",I436="附帯",I$3=0,I$5-I$6=0),0,IF(I$22=入力規則マスタ!$K$8,ROUND(((I71+I71/(I$5-I$6)*I$6+I71/(I$5-I$6)*I$15)),(-3)),0))</f>
        <v>#REF!</v>
      </c>
    </row>
    <row r="289" spans="1:9" s="447" customFormat="1" ht="13.5" customHeight="1">
      <c r="A289" s="514"/>
      <c r="C289" s="1086">
        <v>10501223</v>
      </c>
      <c r="D289" s="1087" t="s">
        <v>2699</v>
      </c>
      <c r="E289" s="1088"/>
      <c r="F289" s="1131"/>
      <c r="G289" s="1150" t="e">
        <f t="shared" ca="1" si="10"/>
        <v>#REF!</v>
      </c>
      <c r="H289" s="1033">
        <f ca="1">IF(OR(H$4="費用",H436="附帯",H$3=0,H$5-H$6=0),0,IF(H$22=入力規則マスタ!$K$8,ROUND(((H72+H72/(H$5-H$6)*H$6+H72/(H$5-H$6)*H$15)),(-3)),0))</f>
        <v>0</v>
      </c>
      <c r="I289" s="1015" t="e">
        <f ca="1">IF(OR(I$4="費用",I436="附帯",I$3=0,I$5-I$6=0),0,IF(I$22=入力規則マスタ!$K$8,ROUND(((I72+I72/(I$5-I$6)*I$6+I72/(I$5-I$6)*I$15)),(-3)),0))</f>
        <v>#REF!</v>
      </c>
    </row>
    <row r="290" spans="1:9" s="447" customFormat="1" ht="13.5" customHeight="1">
      <c r="A290" s="514"/>
      <c r="C290" s="1086">
        <v>10501224</v>
      </c>
      <c r="D290" s="1087" t="s">
        <v>2735</v>
      </c>
      <c r="E290" s="1088"/>
      <c r="F290" s="1131"/>
      <c r="G290" s="1150" t="e">
        <f t="shared" ca="1" si="10"/>
        <v>#REF!</v>
      </c>
      <c r="H290" s="1033">
        <f ca="1">IF(OR(H$4="費用",H436="附帯",H$3=0,H$5-H$6=0),0,IF(H$22=入力規則マスタ!$K$8,ROUND(((H73+H73/(H$5-H$6)*H$6+H73/(H$5-H$6)*H$15)),(-3)),0))</f>
        <v>0</v>
      </c>
      <c r="I290" s="1015" t="e">
        <f ca="1">IF(OR(I$4="費用",I436="附帯",I$3=0,I$5-I$6=0),0,IF(I$22=入力規則マスタ!$K$8,ROUND(((I73+I73/(I$5-I$6)*I$6+I73/(I$5-I$6)*I$15)),(-3)),0))</f>
        <v>#REF!</v>
      </c>
    </row>
    <row r="291" spans="1:9" s="447" customFormat="1" ht="13.5" customHeight="1">
      <c r="A291" s="514"/>
      <c r="C291" s="1086">
        <v>10501224</v>
      </c>
      <c r="D291" s="1087" t="s">
        <v>2736</v>
      </c>
      <c r="E291" s="1088"/>
      <c r="F291" s="1131"/>
      <c r="G291" s="1150" t="e">
        <f t="shared" ca="1" si="10"/>
        <v>#REF!</v>
      </c>
      <c r="H291" s="1033">
        <f ca="1">IF(OR(H$4="費用",H436="附帯",H$3=0,H$5-H$6=0),0,IF(H$22=入力規則マスタ!$K$8,ROUND(((H74+H74/(H$5-H$6)*H$6+H74/(H$5-H$6)*H$15)),(-3)),0))</f>
        <v>0</v>
      </c>
      <c r="I291" s="1015" t="e">
        <f ca="1">IF(OR(I$4="費用",I436="附帯",I$3=0,I$5-I$6=0),0,IF(I$22=入力規則マスタ!$K$8,ROUND(((I74+I74/(I$5-I$6)*I$6+I74/(I$5-I$6)*I$15)),(-3)),0))</f>
        <v>#REF!</v>
      </c>
    </row>
    <row r="292" spans="1:9" s="447" customFormat="1" ht="13.5" customHeight="1">
      <c r="A292" s="514"/>
      <c r="C292" s="1086">
        <v>10501224</v>
      </c>
      <c r="D292" s="1087" t="s">
        <v>2737</v>
      </c>
      <c r="E292" s="1088"/>
      <c r="F292" s="1131"/>
      <c r="G292" s="1150" t="e">
        <f t="shared" ca="1" si="10"/>
        <v>#REF!</v>
      </c>
      <c r="H292" s="1033">
        <f ca="1">IF(OR(H$4="費用",H436="附帯",H$3=0,H$5-H$6=0),0,IF(H$22=入力規則マスタ!$K$8,ROUND(((H75+H75/(H$5-H$6)*H$6+H75/(H$5-H$6)*H$15)),(-3)),0))</f>
        <v>0</v>
      </c>
      <c r="I292" s="1015" t="e">
        <f ca="1">IF(OR(I$4="費用",I436="附帯",I$3=0,I$5-I$6=0),0,IF(I$22=入力規則マスタ!$K$8,ROUND(((I75+I75/(I$5-I$6)*I$6+I75/(I$5-I$6)*I$15)),(-3)),0))</f>
        <v>#REF!</v>
      </c>
    </row>
    <row r="293" spans="1:9" s="447" customFormat="1" ht="13.5" customHeight="1">
      <c r="A293" s="514"/>
      <c r="C293" s="1086">
        <v>10501225</v>
      </c>
      <c r="D293" s="1087" t="s">
        <v>2738</v>
      </c>
      <c r="E293" s="1088"/>
      <c r="F293" s="1131"/>
      <c r="G293" s="1150" t="e">
        <f t="shared" ca="1" si="10"/>
        <v>#REF!</v>
      </c>
      <c r="H293" s="1033">
        <f ca="1">IF(OR(H$4="費用",H436="附帯",H$3=0,H$5-H$6=0),0,IF(H$22=入力規則マスタ!$K$8,ROUND(((H76+H76/(H$5-H$6)*H$6+H76/(H$5-H$6)*H$15)),(-3)),0))</f>
        <v>0</v>
      </c>
      <c r="I293" s="1015" t="e">
        <f ca="1">IF(OR(I$4="費用",I436="附帯",I$3=0,I$5-I$6=0),0,IF(I$22=入力規則マスタ!$K$8,ROUND(((I76+I76/(I$5-I$6)*I$6+I76/(I$5-I$6)*I$15)),(-3)),0))</f>
        <v>#REF!</v>
      </c>
    </row>
    <row r="294" spans="1:9" s="447" customFormat="1" ht="13.5" customHeight="1">
      <c r="A294" s="514"/>
      <c r="C294" s="1086">
        <v>10501225</v>
      </c>
      <c r="D294" s="1087" t="s">
        <v>2739</v>
      </c>
      <c r="E294" s="1088"/>
      <c r="F294" s="1131"/>
      <c r="G294" s="1150" t="e">
        <f t="shared" ca="1" si="10"/>
        <v>#REF!</v>
      </c>
      <c r="H294" s="1033">
        <f ca="1">IF(OR(H$4="費用",H436="附帯",H$3=0,H$5-H$6=0),0,IF(H$22=入力規則マスタ!$K$8,ROUND(((H77+H77/(H$5-H$6)*H$6+H77/(H$5-H$6)*H$15)),(-3)),0))</f>
        <v>0</v>
      </c>
      <c r="I294" s="1015" t="e">
        <f ca="1">IF(OR(I$4="費用",I436="附帯",I$3=0,I$5-I$6=0),0,IF(I$22=入力規則マスタ!$K$8,ROUND(((I77+I77/(I$5-I$6)*I$6+I77/(I$5-I$6)*I$15)),(-3)),0))</f>
        <v>#REF!</v>
      </c>
    </row>
    <row r="295" spans="1:9" s="447" customFormat="1" ht="13.5" customHeight="1">
      <c r="A295" s="514"/>
      <c r="B295" s="515"/>
      <c r="C295" s="880" t="s">
        <v>3079</v>
      </c>
      <c r="D295" s="1092"/>
      <c r="E295" s="1093"/>
      <c r="F295" s="1092"/>
      <c r="G295" s="1164"/>
      <c r="H295" s="1044" t="str">
        <f>IF(H$22="012事務所建物",ROUND(H78+H78/(H$5-H$6)*H$6+H78/(H$5-H$6)*H$15,-3),"")</f>
        <v/>
      </c>
      <c r="I295" s="1016" t="str">
        <f>IF(I$22="012事務所建物",ROUND(I78+I78/(I$5-I$6)*I$6+I78/(I$5-I$6)*I$15,-3),"")</f>
        <v/>
      </c>
    </row>
    <row r="296" spans="1:9" s="447" customFormat="1" ht="13.5" customHeight="1">
      <c r="A296" s="514"/>
      <c r="C296" s="1086">
        <v>10501301</v>
      </c>
      <c r="D296" s="1087" t="s">
        <v>2233</v>
      </c>
      <c r="E296" s="1088"/>
      <c r="F296" s="1131"/>
      <c r="G296" s="1144" t="e">
        <f t="shared" ref="G296:G323" ca="1" si="11">SUM(H296:J296)</f>
        <v>#REF!</v>
      </c>
      <c r="H296" s="1027">
        <f ca="1">IF(OR(H$4="費用",H436="附帯",H$3=0,H$5-H$6=0),0,IF(H$22=入力規則マスタ!$K$9,ROUND(((H23+H23/(H$5-H$6)*H$6+H23/(H$5-H$6)*H$15)),(-3)),0))</f>
        <v>0</v>
      </c>
      <c r="I296" s="1014" t="e">
        <f ca="1">IF(OR(I$4="費用",I436="附帯",I$3=0,I$5-I$6=0),0,IF(I$22=入力規則マスタ!$K$9,ROUND(((I23+I23/(I$5-I$6)*I$6+I23/(I$5-I$6)*I$15)),(-3)),0))</f>
        <v>#REF!</v>
      </c>
    </row>
    <row r="297" spans="1:9" s="447" customFormat="1" ht="13.5" customHeight="1">
      <c r="A297" s="514"/>
      <c r="C297" s="1086">
        <v>10501302</v>
      </c>
      <c r="D297" s="1087" t="s">
        <v>2234</v>
      </c>
      <c r="E297" s="1088"/>
      <c r="F297" s="1131"/>
      <c r="G297" s="1150" t="e">
        <f t="shared" ca="1" si="11"/>
        <v>#REF!</v>
      </c>
      <c r="H297" s="1027">
        <f ca="1">IF(OR(H$4="費用",H436="附帯",H$3=0,H$5-H$6=0),0,IF(H$22=入力規則マスタ!$K$9,ROUND(((H24+H24/(H$5-H$6)*H$6+H24/(H$5-H$6)*H$15)),(-3)),0))</f>
        <v>0</v>
      </c>
      <c r="I297" s="1014" t="e">
        <f ca="1">IF(OR(I$4="費用",I436="附帯",I$3=0,I$5-I$6=0),0,IF(I$22=入力規則マスタ!$K$9,ROUND(((I24+I24/(I$5-I$6)*I$6+I24/(I$5-I$6)*I$15)),(-3)),0))</f>
        <v>#REF!</v>
      </c>
    </row>
    <row r="298" spans="1:9" s="447" customFormat="1" ht="13.5" customHeight="1">
      <c r="A298" s="514"/>
      <c r="C298" s="1086">
        <v>10501303</v>
      </c>
      <c r="D298" s="1087" t="s">
        <v>2235</v>
      </c>
      <c r="E298" s="1088"/>
      <c r="F298" s="1131"/>
      <c r="G298" s="1150" t="e">
        <f t="shared" ca="1" si="11"/>
        <v>#REF!</v>
      </c>
      <c r="H298" s="1027">
        <f ca="1">IF(OR(H$4="費用",H436="附帯",H$3=0,H$5-H$6=0),0,IF(H$22=入力規則マスタ!$K$9,ROUND(((H25+H25/(H$5-H$6)*H$6+H25/(H$5-H$6)*H$15)),(-3)),0))</f>
        <v>0</v>
      </c>
      <c r="I298" s="1014" t="e">
        <f ca="1">IF(OR(I$4="費用",I436="附帯",I$3=0,I$5-I$6=0),0,IF(I$22=入力規則マスタ!$K$9,ROUND(((I25+I25/(I$5-I$6)*I$6+I25/(I$5-I$6)*I$15)),(-3)),0))</f>
        <v>#REF!</v>
      </c>
    </row>
    <row r="299" spans="1:9" s="447" customFormat="1" ht="13.5" customHeight="1">
      <c r="A299" s="514"/>
      <c r="C299" s="1086">
        <v>10501304</v>
      </c>
      <c r="D299" s="1087" t="s">
        <v>2236</v>
      </c>
      <c r="E299" s="1088"/>
      <c r="F299" s="1131"/>
      <c r="G299" s="1150" t="e">
        <f t="shared" ca="1" si="11"/>
        <v>#REF!</v>
      </c>
      <c r="H299" s="1027">
        <f ca="1">IF(OR(H$4="費用",H436="附帯",H$3=0,H$5-H$6=0),0,IF(H$22=入力規則マスタ!$K$9,ROUND(((H26+H26/(H$5-H$6)*H$6+H26/(H$5-H$6)*H$15)),(-3)),0))</f>
        <v>0</v>
      </c>
      <c r="I299" s="1014" t="e">
        <f ca="1">IF(OR(I$4="費用",I436="附帯",I$3=0,I$5-I$6=0),0,IF(I$22=入力規則マスタ!$K$9,ROUND(((I26+I26/(I$5-I$6)*I$6+I26/(I$5-I$6)*I$15)),(-3)),0))</f>
        <v>#REF!</v>
      </c>
    </row>
    <row r="300" spans="1:9" s="447" customFormat="1" ht="13.5" customHeight="1">
      <c r="A300" s="514"/>
      <c r="C300" s="1086">
        <v>10501305</v>
      </c>
      <c r="D300" s="1087" t="s">
        <v>2237</v>
      </c>
      <c r="E300" s="1088"/>
      <c r="F300" s="1131"/>
      <c r="G300" s="1150" t="e">
        <f t="shared" ca="1" si="11"/>
        <v>#REF!</v>
      </c>
      <c r="H300" s="1027">
        <f ca="1">IF(OR(H$4="費用",H436="附帯",H$3=0,H$5-H$6=0),0,IF(H$22=入力規則マスタ!$K$9,ROUND(((H27+H27/(H$5-H$6)*H$6+H27/(H$5-H$6)*H$15)),(-3)),0))</f>
        <v>0</v>
      </c>
      <c r="I300" s="1014" t="e">
        <f ca="1">IF(OR(I$4="費用",I436="附帯",I$3=0,I$5-I$6=0),0,IF(I$22=入力規則マスタ!$K$9,ROUND(((I27+I27/(I$5-I$6)*I$6+I27/(I$5-I$6)*I$15)),(-3)),0))</f>
        <v>#REF!</v>
      </c>
    </row>
    <row r="301" spans="1:9" s="447" customFormat="1" ht="13.5" customHeight="1">
      <c r="A301" s="514"/>
      <c r="C301" s="1086">
        <v>10501306</v>
      </c>
      <c r="D301" s="1087" t="s">
        <v>2238</v>
      </c>
      <c r="E301" s="1088"/>
      <c r="F301" s="1131"/>
      <c r="G301" s="1150" t="e">
        <f t="shared" ca="1" si="11"/>
        <v>#REF!</v>
      </c>
      <c r="H301" s="1027">
        <f ca="1">IF(OR(H$4="費用",H436="附帯",H$3=0,H$5-H$6=0),0,IF(H$22=入力規則マスタ!$K$9,ROUND(((H28+H28/(H$5-H$6)*H$6+H28/(H$5-H$6)*H$15)),(-3)),0))</f>
        <v>0</v>
      </c>
      <c r="I301" s="1014" t="e">
        <f ca="1">IF(OR(I$4="費用",I436="附帯",I$3=0,I$5-I$6=0),0,IF(I$22=入力規則マスタ!$K$9,ROUND(((I28+I28/(I$5-I$6)*I$6+I28/(I$5-I$6)*I$15)),(-3)),0))</f>
        <v>#REF!</v>
      </c>
    </row>
    <row r="302" spans="1:9" s="447" customFormat="1" ht="13.5" customHeight="1">
      <c r="A302" s="514"/>
      <c r="C302" s="1086">
        <v>10501307</v>
      </c>
      <c r="D302" s="1087" t="s">
        <v>2239</v>
      </c>
      <c r="E302" s="1088"/>
      <c r="F302" s="1131"/>
      <c r="G302" s="1150" t="e">
        <f t="shared" ca="1" si="11"/>
        <v>#REF!</v>
      </c>
      <c r="H302" s="1027">
        <f ca="1">IF(OR(H$4="費用",H436="附帯",H$3=0,H$5-H$6=0),0,IF(H$22=入力規則マスタ!$K$9,ROUND(((H29+H29/(H$5-H$6)*H$6+H29/(H$5-H$6)*H$15)),(-3)),0))</f>
        <v>0</v>
      </c>
      <c r="I302" s="1014" t="e">
        <f ca="1">IF(OR(I$4="費用",I436="附帯",I$3=0,I$5-I$6=0),0,IF(I$22=入力規則マスタ!$K$9,ROUND(((I29+I29/(I$5-I$6)*I$6+I29/(I$5-I$6)*I$15)),(-3)),0))</f>
        <v>#REF!</v>
      </c>
    </row>
    <row r="303" spans="1:9" s="447" customFormat="1" ht="13.5" customHeight="1">
      <c r="A303" s="514"/>
      <c r="C303" s="1086">
        <v>10501308</v>
      </c>
      <c r="D303" s="1087" t="s">
        <v>2240</v>
      </c>
      <c r="E303" s="1088"/>
      <c r="F303" s="1131"/>
      <c r="G303" s="1150" t="e">
        <f t="shared" ca="1" si="11"/>
        <v>#REF!</v>
      </c>
      <c r="H303" s="1027">
        <f ca="1">IF(OR(H$4="費用",H436="附帯",H$3=0,H$5-H$6=0),0,IF(H$22=入力規則マスタ!$K$9,ROUND(((H30+H30/(H$5-H$6)*H$6+H30/(H$5-H$6)*H$15)),(-3)),0))</f>
        <v>0</v>
      </c>
      <c r="I303" s="1014" t="e">
        <f ca="1">IF(OR(I$4="費用",I436="附帯",I$3=0,I$5-I$6=0),0,IF(I$22=入力規則マスタ!$K$9,ROUND(((I30+I30/(I$5-I$6)*I$6+I30/(I$5-I$6)*I$15)),(-3)),0))</f>
        <v>#REF!</v>
      </c>
    </row>
    <row r="304" spans="1:9" s="447" customFormat="1" ht="13.5" customHeight="1">
      <c r="A304" s="514"/>
      <c r="C304" s="1086">
        <v>10501309</v>
      </c>
      <c r="D304" s="1087" t="s">
        <v>2241</v>
      </c>
      <c r="E304" s="1088"/>
      <c r="F304" s="1131"/>
      <c r="G304" s="1150" t="e">
        <f t="shared" ca="1" si="11"/>
        <v>#REF!</v>
      </c>
      <c r="H304" s="1027">
        <f ca="1">IF(OR(H$4="費用",H436="附帯",H$3=0,H$5-H$6=0),0,IF(H$22=入力規則マスタ!$K$9,ROUND(((H31+H31/(H$5-H$6)*H$6+H31/(H$5-H$6)*H$15)),(-3)),0))</f>
        <v>0</v>
      </c>
      <c r="I304" s="1014" t="e">
        <f ca="1">IF(OR(I$4="費用",I436="附帯",I$3=0,I$5-I$6=0),0,IF(I$22=入力規則マスタ!$K$9,ROUND(((I31+I31/(I$5-I$6)*I$6+I31/(I$5-I$6)*I$15)),(-3)),0))</f>
        <v>#REF!</v>
      </c>
    </row>
    <row r="305" spans="1:9" s="447" customFormat="1" ht="13.5" customHeight="1">
      <c r="A305" s="514"/>
      <c r="C305" s="1086">
        <v>10501310</v>
      </c>
      <c r="D305" s="1087" t="s">
        <v>2242</v>
      </c>
      <c r="E305" s="1088"/>
      <c r="F305" s="1131"/>
      <c r="G305" s="1150" t="e">
        <f t="shared" ca="1" si="11"/>
        <v>#REF!</v>
      </c>
      <c r="H305" s="1033">
        <f ca="1">IF(OR(H$4="費用",H436="附帯",H$3=0,H$5-H$6=0),0,IF(H$22=入力規則マスタ!$K$9,ROUND(((H59+H59/(H$5-H$6)*H$6+H59/(H$5-H$6)*H$15)),(-3)),0))</f>
        <v>0</v>
      </c>
      <c r="I305" s="1015" t="e">
        <f ca="1">IF(OR(I$4="費用",I436="附帯",I$3=0,I$5-I$6=0),0,IF(I$22=入力規則マスタ!$K$9,ROUND(((I59+I59/(I$5-I$6)*I$6+I59/(I$5-I$6)*I$15)),(-3)),0))</f>
        <v>#REF!</v>
      </c>
    </row>
    <row r="306" spans="1:9" s="447" customFormat="1" ht="13.5" customHeight="1">
      <c r="A306" s="514"/>
      <c r="C306" s="1086">
        <v>10501311</v>
      </c>
      <c r="D306" s="1087" t="s">
        <v>2243</v>
      </c>
      <c r="E306" s="1088"/>
      <c r="F306" s="1131"/>
      <c r="G306" s="1150" t="e">
        <f t="shared" ca="1" si="11"/>
        <v>#REF!</v>
      </c>
      <c r="H306" s="1033">
        <f ca="1">IF(OR(H$4="費用",H436="附帯",H$3=0,H$5-H$6=0),0,IF(H$22=入力規則マスタ!$K$9,ROUND(((H60+H60/(H$5-H$6)*H$6+H60/(H$5-H$6)*H$15)),(-3)),0))</f>
        <v>0</v>
      </c>
      <c r="I306" s="1015" t="e">
        <f ca="1">IF(OR(I$4="費用",I436="附帯",I$3=0,I$5-I$6=0),0,IF(I$22=入力規則マスタ!$K$9,ROUND(((I60+I60/(I$5-I$6)*I$6+I60/(I$5-I$6)*I$15)),(-3)),0))</f>
        <v>#REF!</v>
      </c>
    </row>
    <row r="307" spans="1:9" s="447" customFormat="1" ht="13.5" customHeight="1">
      <c r="A307" s="514"/>
      <c r="C307" s="1086">
        <v>10501312</v>
      </c>
      <c r="D307" s="1087" t="s">
        <v>2244</v>
      </c>
      <c r="E307" s="1088"/>
      <c r="F307" s="1131"/>
      <c r="G307" s="1150" t="e">
        <f t="shared" ca="1" si="11"/>
        <v>#REF!</v>
      </c>
      <c r="H307" s="1033">
        <f ca="1">IF(OR(H$4="費用",H436="附帯",H$3=0,H$5-H$6=0),0,IF(H$22=入力規則マスタ!$K$9,ROUND(((H61+H61/(H$5-H$6)*H$6+H61/(H$5-H$6)*H$15)),(-3)),0))</f>
        <v>0</v>
      </c>
      <c r="I307" s="1015" t="e">
        <f ca="1">IF(OR(I$4="費用",I436="附帯",I$3=0,I$5-I$6=0),0,IF(I$22=入力規則マスタ!$K$9,ROUND(((I61+I61/(I$5-I$6)*I$6+I61/(I$5-I$6)*I$15)),(-3)),0))</f>
        <v>#REF!</v>
      </c>
    </row>
    <row r="308" spans="1:9" s="447" customFormat="1" ht="13.5" customHeight="1">
      <c r="A308" s="514"/>
      <c r="C308" s="1086">
        <v>10501313</v>
      </c>
      <c r="D308" s="1087" t="s">
        <v>2245</v>
      </c>
      <c r="E308" s="1088"/>
      <c r="F308" s="1131"/>
      <c r="G308" s="1150" t="e">
        <f t="shared" ca="1" si="11"/>
        <v>#REF!</v>
      </c>
      <c r="H308" s="1033">
        <f ca="1">IF(OR(H$4="費用",H436="附帯",H$3=0,H$5-H$6=0),0,IF(H$22=入力規則マスタ!$K$9,ROUND(((H62+H62/(H$5-H$6)*H$6+H62/(H$5-H$6)*H$15)),(-3)),0))</f>
        <v>0</v>
      </c>
      <c r="I308" s="1015" t="e">
        <f ca="1">IF(OR(I$4="費用",I436="附帯",I$3=0,I$5-I$6=0),0,IF(I$22=入力規則マスタ!$K$9,ROUND(((I62+I62/(I$5-I$6)*I$6+I62/(I$5-I$6)*I$15)),(-3)),0))</f>
        <v>#REF!</v>
      </c>
    </row>
    <row r="309" spans="1:9" s="447" customFormat="1" ht="13.5" customHeight="1">
      <c r="A309" s="514"/>
      <c r="C309" s="1086">
        <v>10501314</v>
      </c>
      <c r="D309" s="1087" t="s">
        <v>2246</v>
      </c>
      <c r="E309" s="1088"/>
      <c r="F309" s="1131"/>
      <c r="G309" s="1150" t="e">
        <f t="shared" ca="1" si="11"/>
        <v>#REF!</v>
      </c>
      <c r="H309" s="1033">
        <f ca="1">IF(OR(H$4="費用",H436="附帯",H$3=0,H$5-H$6=0),0,IF(H$22=入力規則マスタ!$K$9,ROUND(((H63+H63/(H$5-H$6)*H$6+H63/(H$5-H$6)*H$15)),(-3)),0))</f>
        <v>0</v>
      </c>
      <c r="I309" s="1015" t="e">
        <f ca="1">IF(OR(I$4="費用",I436="附帯",I$3=0,I$5-I$6=0),0,IF(I$22=入力規則マスタ!$K$9,ROUND(((I63+I63/(I$5-I$6)*I$6+I63/(I$5-I$6)*I$15)),(-3)),0))</f>
        <v>#REF!</v>
      </c>
    </row>
    <row r="310" spans="1:9" s="447" customFormat="1" ht="13.5" customHeight="1">
      <c r="A310" s="514"/>
      <c r="C310" s="1086">
        <v>10501315</v>
      </c>
      <c r="D310" s="1087" t="s">
        <v>2247</v>
      </c>
      <c r="E310" s="1088"/>
      <c r="F310" s="1131"/>
      <c r="G310" s="1150" t="e">
        <f t="shared" ca="1" si="11"/>
        <v>#REF!</v>
      </c>
      <c r="H310" s="1033">
        <f ca="1">IF(OR(H$4="費用",H436="附帯",H$3=0,H$5-H$6=0),0,IF(H$22=入力規則マスタ!$K$9,ROUND(((H64+H64/(H$5-H$6)*H$6+H64/(H$5-H$6)*H$15)),(-3)),0))</f>
        <v>0</v>
      </c>
      <c r="I310" s="1015" t="e">
        <f ca="1">IF(OR(I$4="費用",I436="附帯",I$3=0,I$5-I$6=0),0,IF(I$22=入力規則マスタ!$K$9,ROUND(((I64+I64/(I$5-I$6)*I$6+I64/(I$5-I$6)*I$15)),(-3)),0))</f>
        <v>#REF!</v>
      </c>
    </row>
    <row r="311" spans="1:9" s="447" customFormat="1" ht="13.5" customHeight="1">
      <c r="A311" s="514"/>
      <c r="C311" s="1086">
        <v>10501316</v>
      </c>
      <c r="D311" s="1087" t="s">
        <v>2248</v>
      </c>
      <c r="E311" s="1088"/>
      <c r="F311" s="1131"/>
      <c r="G311" s="1150" t="e">
        <f t="shared" ca="1" si="11"/>
        <v>#REF!</v>
      </c>
      <c r="H311" s="1033">
        <f ca="1">IF(OR(H$4="費用",H436="附帯",H$3=0,H$5-H$6=0),0,IF(H$22=入力規則マスタ!$K$9,ROUND(((H65+H65/(H$5-H$6)*H$6+H65/(H$5-H$6)*H$15)),(-3)),0))</f>
        <v>0</v>
      </c>
      <c r="I311" s="1015" t="e">
        <f ca="1">IF(OR(I$4="費用",I436="附帯",I$3=0,I$5-I$6=0),0,IF(I$22=入力規則マスタ!$K$9,ROUND(((I65+I65/(I$5-I$6)*I$6+I65/(I$5-I$6)*I$15)),(-3)),0))</f>
        <v>#REF!</v>
      </c>
    </row>
    <row r="312" spans="1:9" s="447" customFormat="1" ht="13.5" customHeight="1">
      <c r="A312" s="514"/>
      <c r="C312" s="1086">
        <v>10501317</v>
      </c>
      <c r="D312" s="1087" t="s">
        <v>2249</v>
      </c>
      <c r="E312" s="1088"/>
      <c r="F312" s="1131"/>
      <c r="G312" s="1150" t="e">
        <f t="shared" ca="1" si="11"/>
        <v>#REF!</v>
      </c>
      <c r="H312" s="1033">
        <f ca="1">IF(OR(H$4="費用",H436="附帯",H$3=0,H$5-H$6=0),0,IF(H$22=入力規則マスタ!$K$9,ROUND(((H66+H66/(H$5-H$6)*H$6+H66/(H$5-H$6)*H$15)),(-3)),0))</f>
        <v>0</v>
      </c>
      <c r="I312" s="1015" t="e">
        <f ca="1">IF(OR(I$4="費用",I436="附帯",I$3=0,I$5-I$6=0),0,IF(I$22=入力規則マスタ!$K$9,ROUND(((I66+I66/(I$5-I$6)*I$6+I66/(I$5-I$6)*I$15)),(-3)),0))</f>
        <v>#REF!</v>
      </c>
    </row>
    <row r="313" spans="1:9" s="447" customFormat="1" ht="13.5" customHeight="1">
      <c r="A313" s="514"/>
      <c r="C313" s="1086">
        <v>10501318</v>
      </c>
      <c r="D313" s="1087" t="s">
        <v>2250</v>
      </c>
      <c r="E313" s="1088"/>
      <c r="F313" s="1131"/>
      <c r="G313" s="1150" t="e">
        <f t="shared" ca="1" si="11"/>
        <v>#REF!</v>
      </c>
      <c r="H313" s="1033">
        <f ca="1">IF(OR(H$4="費用",H436="附帯",H$3=0,H$5-H$6=0),0,IF(H$22=入力規則マスタ!$K$9,ROUND(((H67+H67/(H$5-H$6)*H$6+H67/(H$5-H$6)*H$15)),(-3)),0))</f>
        <v>0</v>
      </c>
      <c r="I313" s="1015" t="e">
        <f ca="1">IF(OR(I$4="費用",I436="附帯",I$3=0,I$5-I$6=0),0,IF(I$22=入力規則マスタ!$K$9,ROUND(((I67+I67/(I$5-I$6)*I$6+I67/(I$5-I$6)*I$15)),(-3)),0))</f>
        <v>#REF!</v>
      </c>
    </row>
    <row r="314" spans="1:9" s="447" customFormat="1" ht="13.5" customHeight="1">
      <c r="A314" s="514"/>
      <c r="C314" s="1086">
        <v>10501319</v>
      </c>
      <c r="D314" s="1087" t="s">
        <v>2740</v>
      </c>
      <c r="E314" s="1088"/>
      <c r="F314" s="1131"/>
      <c r="G314" s="1150" t="e">
        <f t="shared" ca="1" si="11"/>
        <v>#REF!</v>
      </c>
      <c r="H314" s="1033">
        <f ca="1">IF(OR(H$4="費用",H436="附帯",H$3=0,H$5-H$6=0),0,IF(H$22=入力規則マスタ!$K$9,ROUND(((H68+H68/(H$5-H$6)*H$6+H68/(H$5-H$6)*H$15)),(-3)),0))</f>
        <v>0</v>
      </c>
      <c r="I314" s="1015" t="e">
        <f ca="1">IF(OR(I$4="費用",I436="附帯",I$3=0,I$5-I$6=0),0,IF(I$22=入力規則マスタ!$K$9,ROUND(((I68+I68/(I$5-I$6)*I$6+I68/(I$5-I$6)*I$15)),(-3)),0))</f>
        <v>#REF!</v>
      </c>
    </row>
    <row r="315" spans="1:9" s="447" customFormat="1" ht="13.5" customHeight="1">
      <c r="A315" s="514"/>
      <c r="C315" s="1086">
        <v>10501320</v>
      </c>
      <c r="D315" s="1087" t="s">
        <v>2741</v>
      </c>
      <c r="E315" s="1088"/>
      <c r="F315" s="1131"/>
      <c r="G315" s="1150" t="e">
        <f t="shared" ca="1" si="11"/>
        <v>#REF!</v>
      </c>
      <c r="H315" s="1033">
        <f ca="1">IF(OR(H$4="費用",H436="附帯",H$3=0,H$5-H$6=0),0,IF(H$22=入力規則マスタ!$K$9,ROUND(((H69+H69/(H$5-H$6)*H$6+H69/(H$5-H$6)*H$15)),(-3)),0))</f>
        <v>0</v>
      </c>
      <c r="I315" s="1015" t="e">
        <f ca="1">IF(OR(I$4="費用",I436="附帯",I$3=0,I$5-I$6=0),0,IF(I$22=入力規則マスタ!$K$9,ROUND(((I69+I69/(I$5-I$6)*I$6+I69/(I$5-I$6)*I$15)),(-3)),0))</f>
        <v>#REF!</v>
      </c>
    </row>
    <row r="316" spans="1:9" s="447" customFormat="1" ht="13.5" customHeight="1">
      <c r="A316" s="514"/>
      <c r="C316" s="1086">
        <v>10501321</v>
      </c>
      <c r="D316" s="1087" t="s">
        <v>2742</v>
      </c>
      <c r="E316" s="1088"/>
      <c r="F316" s="1131"/>
      <c r="G316" s="1150" t="e">
        <f t="shared" ca="1" si="11"/>
        <v>#REF!</v>
      </c>
      <c r="H316" s="1033">
        <f ca="1">IF(OR(H$4="費用",H436="附帯",H$3=0,H$5-H$6=0),0,IF(H$22=入力規則マスタ!$K$9,ROUND(((H70+H70/(H$5-H$6)*H$6+H70/(H$5-H$6)*H$15)),(-3)),0))</f>
        <v>0</v>
      </c>
      <c r="I316" s="1015" t="e">
        <f ca="1">IF(OR(I$4="費用",I436="附帯",I$3=0,I$5-I$6=0),0,IF(I$22=入力規則マスタ!$K$9,ROUND(((I70+I70/(I$5-I$6)*I$6+I70/(I$5-I$6)*I$15)),(-3)),0))</f>
        <v>#REF!</v>
      </c>
    </row>
    <row r="317" spans="1:9" s="447" customFormat="1" ht="13.5" customHeight="1">
      <c r="A317" s="514"/>
      <c r="C317" s="1086">
        <v>10501322</v>
      </c>
      <c r="D317" s="1087" t="s">
        <v>2700</v>
      </c>
      <c r="E317" s="1088"/>
      <c r="F317" s="1131"/>
      <c r="G317" s="1150" t="e">
        <f t="shared" ca="1" si="11"/>
        <v>#REF!</v>
      </c>
      <c r="H317" s="1033">
        <f ca="1">IF(OR(H$4="費用",H436="附帯",H$3=0,H$5-H$6=0),0,IF(H$22=入力規則マスタ!$K$9,ROUND(((H71+H71/(H$5-H$6)*H$6+H71/(H$5-H$6)*H$15)),(-3)),0))</f>
        <v>0</v>
      </c>
      <c r="I317" s="1015" t="e">
        <f ca="1">IF(OR(I$4="費用",I436="附帯",I$3=0,I$5-I$6=0),0,IF(I$22=入力規則マスタ!$K$9,ROUND(((I71+I71/(I$5-I$6)*I$6+I71/(I$5-I$6)*I$15)),(-3)),0))</f>
        <v>#REF!</v>
      </c>
    </row>
    <row r="318" spans="1:9" s="447" customFormat="1" ht="13.5" customHeight="1">
      <c r="A318" s="514"/>
      <c r="C318" s="1086">
        <v>10501323</v>
      </c>
      <c r="D318" s="1087" t="s">
        <v>2701</v>
      </c>
      <c r="E318" s="1088"/>
      <c r="F318" s="1131"/>
      <c r="G318" s="1150" t="e">
        <f t="shared" ca="1" si="11"/>
        <v>#REF!</v>
      </c>
      <c r="H318" s="1033">
        <f ca="1">IF(OR(H$4="費用",H436="附帯",H$3=0,H$5-H$6=0),0,IF(H$22=入力規則マスタ!$K$9,ROUND(((H72+H72/(H$5-H$6)*H$6+H72/(H$5-H$6)*H$15)),(-3)),0))</f>
        <v>0</v>
      </c>
      <c r="I318" s="1015" t="e">
        <f ca="1">IF(OR(I$4="費用",I436="附帯",I$3=0,I$5-I$6=0),0,IF(I$22=入力規則マスタ!$K$9,ROUND(((I72+I72/(I$5-I$6)*I$6+I72/(I$5-I$6)*I$15)),(-3)),0))</f>
        <v>#REF!</v>
      </c>
    </row>
    <row r="319" spans="1:9" s="447" customFormat="1" ht="13.5" customHeight="1">
      <c r="A319" s="514"/>
      <c r="C319" s="1086">
        <v>10501324</v>
      </c>
      <c r="D319" s="1087" t="s">
        <v>2743</v>
      </c>
      <c r="E319" s="1088"/>
      <c r="F319" s="1131"/>
      <c r="G319" s="1150" t="e">
        <f t="shared" ca="1" si="11"/>
        <v>#REF!</v>
      </c>
      <c r="H319" s="1033">
        <f ca="1">IF(OR(H$4="費用",H436="附帯",H$3=0,H$5-H$6=0),0,IF(H$22=入力規則マスタ!$K$9,ROUND(((H73+H73/(H$5-H$6)*H$6+H73/(H$5-H$6)*H$15)),(-3)),0))</f>
        <v>0</v>
      </c>
      <c r="I319" s="1015" t="e">
        <f ca="1">IF(OR(I$4="費用",I436="附帯",I$3=0,I$5-I$6=0),0,IF(I$22=入力規則マスタ!$K$9,ROUND(((I73+I73/(I$5-I$6)*I$6+I73/(I$5-I$6)*I$15)),(-3)),0))</f>
        <v>#REF!</v>
      </c>
    </row>
    <row r="320" spans="1:9" s="447" customFormat="1" ht="13.5" customHeight="1">
      <c r="A320" s="514"/>
      <c r="C320" s="1086">
        <v>10501324</v>
      </c>
      <c r="D320" s="1087" t="s">
        <v>2744</v>
      </c>
      <c r="E320" s="1088"/>
      <c r="F320" s="1131"/>
      <c r="G320" s="1150" t="e">
        <f t="shared" ca="1" si="11"/>
        <v>#REF!</v>
      </c>
      <c r="H320" s="1033">
        <f ca="1">IF(OR(H$4="費用",H436="附帯",H$3=0,H$5-H$6=0),0,IF(H$22=入力規則マスタ!$K$9,ROUND(((H74+H74/(H$5-H$6)*H$6+H74/(H$5-H$6)*H$15)),(-3)),0))</f>
        <v>0</v>
      </c>
      <c r="I320" s="1015" t="e">
        <f ca="1">IF(OR(I$4="費用",I436="附帯",I$3=0,I$5-I$6=0),0,IF(I$22=入力規則マスタ!$K$9,ROUND(((I74+I74/(I$5-I$6)*I$6+I74/(I$5-I$6)*I$15)),(-3)),0))</f>
        <v>#REF!</v>
      </c>
    </row>
    <row r="321" spans="1:9" s="447" customFormat="1" ht="13.5" customHeight="1">
      <c r="A321" s="514"/>
      <c r="C321" s="1086">
        <v>10501324</v>
      </c>
      <c r="D321" s="1087" t="s">
        <v>2745</v>
      </c>
      <c r="E321" s="1088"/>
      <c r="F321" s="1131"/>
      <c r="G321" s="1150" t="e">
        <f t="shared" ca="1" si="11"/>
        <v>#REF!</v>
      </c>
      <c r="H321" s="1033">
        <f ca="1">IF(OR(H$4="費用",H436="附帯",H$3=0,H$5-H$6=0),0,IF(H$22=入力規則マスタ!$K$9,ROUND(((H75+H75/(H$5-H$6)*H$6+H75/(H$5-H$6)*H$15)),(-3)),0))</f>
        <v>0</v>
      </c>
      <c r="I321" s="1015" t="e">
        <f ca="1">IF(OR(I$4="費用",I436="附帯",I$3=0,I$5-I$6=0),0,IF(I$22=入力規則マスタ!$K$9,ROUND(((I75+I75/(I$5-I$6)*I$6+I75/(I$5-I$6)*I$15)),(-3)),0))</f>
        <v>#REF!</v>
      </c>
    </row>
    <row r="322" spans="1:9" s="447" customFormat="1" ht="13.5" customHeight="1">
      <c r="A322" s="514"/>
      <c r="C322" s="1086">
        <v>10501325</v>
      </c>
      <c r="D322" s="1087" t="s">
        <v>2746</v>
      </c>
      <c r="E322" s="1088"/>
      <c r="F322" s="1131"/>
      <c r="G322" s="1150" t="e">
        <f t="shared" ca="1" si="11"/>
        <v>#REF!</v>
      </c>
      <c r="H322" s="1033">
        <f ca="1">IF(OR(H$4="費用",H436="附帯",H$3=0,H$5-H$6=0),0,IF(H$22=入力規則マスタ!$K$9,ROUND(((H76+H76/(H$5-H$6)*H$6+H76/(H$5-H$6)*H$15)),(-3)),0))</f>
        <v>0</v>
      </c>
      <c r="I322" s="1015" t="e">
        <f ca="1">IF(OR(I$4="費用",I436="附帯",I$3=0,I$5-I$6=0),0,IF(I$22=入力規則マスタ!$K$9,ROUND(((I76+I76/(I$5-I$6)*I$6+I76/(I$5-I$6)*I$15)),(-3)),0))</f>
        <v>#REF!</v>
      </c>
    </row>
    <row r="323" spans="1:9" s="447" customFormat="1" ht="13.5" customHeight="1">
      <c r="A323" s="514"/>
      <c r="C323" s="1086">
        <v>10501325</v>
      </c>
      <c r="D323" s="1087" t="s">
        <v>2747</v>
      </c>
      <c r="E323" s="1088"/>
      <c r="F323" s="1131"/>
      <c r="G323" s="1150" t="e">
        <f t="shared" ca="1" si="11"/>
        <v>#REF!</v>
      </c>
      <c r="H323" s="1033">
        <f ca="1">IF(OR(H$4="費用",H436="附帯",H$3=0,H$5-H$6=0),0,IF(H$22=入力規則マスタ!$K$9,ROUND(((H77+H77/(H$5-H$6)*H$6+H77/(H$5-H$6)*H$15)),(-3)),0))</f>
        <v>0</v>
      </c>
      <c r="I323" s="1015" t="e">
        <f ca="1">IF(OR(I$4="費用",I436="附帯",I$3=0,I$5-I$6=0),0,IF(I$22=入力規則マスタ!$K$9,ROUND(((I77+I77/(I$5-I$6)*I$6+I77/(I$5-I$6)*I$15)),(-3)),0))</f>
        <v>#REF!</v>
      </c>
    </row>
    <row r="324" spans="1:9" s="447" customFormat="1" ht="13.5" customHeight="1">
      <c r="A324" s="514"/>
      <c r="B324" s="515"/>
      <c r="C324" s="880" t="s">
        <v>3079</v>
      </c>
      <c r="D324" s="1092"/>
      <c r="E324" s="1093"/>
      <c r="F324" s="1092"/>
      <c r="G324" s="1164"/>
      <c r="H324" s="1044" t="str">
        <f>IF(H$22="013社宅及び寮建物",ROUND(H78+H78/(H$5-H$6)*H$6+H78/(H$5-H$6)*H$15,-3),"")</f>
        <v/>
      </c>
      <c r="I324" s="1016" t="str">
        <f>IF(I$22="013社宅及び寮建物",ROUND(I78+I78/(I$5-I$6)*I$6+I78/(I$5-I$6)*I$15,-3),"")</f>
        <v/>
      </c>
    </row>
    <row r="325" spans="1:9" s="447" customFormat="1" ht="13.5" customHeight="1">
      <c r="A325" s="514"/>
      <c r="C325" s="1094" t="s">
        <v>2791</v>
      </c>
      <c r="D325" s="1095" t="s">
        <v>500</v>
      </c>
      <c r="E325" s="1096"/>
      <c r="F325" s="1133"/>
      <c r="G325" s="1144" t="e">
        <f t="shared" ref="G325:G370" ca="1" si="12">SUM(H325:J325)</f>
        <v>#REF!</v>
      </c>
      <c r="H325" s="1027">
        <f ca="1">IF(OR(H$4="費用",H436="附帯",H$3=0,H$5-H$6=0),0,IF(H$22=入力規則マスタ!$K$10,ROUND(((H32+H32/(H$5-H$6)*H$6+H32/(H$5-H$6)*H$15)),(-3)),0))</f>
        <v>0</v>
      </c>
      <c r="I325" s="1014" t="e">
        <f ca="1">IF(OR(I$4="費用",I436="附帯",I$3=0,I$5-I$6=0),0,IF(I$22=入力規則マスタ!$K$10,ROUND(((I32+I32/(I$5-I$6)*I$6+I32/(I$5-I$6)*I$15)),(-3)),0))</f>
        <v>#REF!</v>
      </c>
    </row>
    <row r="326" spans="1:9" s="447" customFormat="1" ht="13.5" customHeight="1">
      <c r="A326" s="514"/>
      <c r="C326" s="1086" t="s">
        <v>2792</v>
      </c>
      <c r="D326" s="1081" t="s">
        <v>501</v>
      </c>
      <c r="E326" s="1088"/>
      <c r="F326" s="1131"/>
      <c r="G326" s="1144" t="e">
        <f t="shared" ca="1" si="12"/>
        <v>#REF!</v>
      </c>
      <c r="H326" s="1027">
        <f ca="1">IF(OR(H$4="費用",H436="附帯",H$3=0,H$5-H$6=0),0,IF(H$22=入力規則マスタ!$K$10,ROUND(((H33+H33/(H$5-H$6)*H$6+H33/(H$5-H$6)*H$15)),(-3)),0))</f>
        <v>0</v>
      </c>
      <c r="I326" s="1014" t="e">
        <f ca="1">IF(OR(I$4="費用",I436="附帯",I$3=0,I$5-I$6=0),0,IF(I$22=入力規則マスタ!$K$10,ROUND(((I33+I33/(I$5-I$6)*I$6+I33/(I$5-I$6)*I$15)),(-3)),0))</f>
        <v>#REF!</v>
      </c>
    </row>
    <row r="327" spans="1:9" s="447" customFormat="1" ht="13.5" customHeight="1">
      <c r="A327" s="514"/>
      <c r="C327" s="1086" t="s">
        <v>2793</v>
      </c>
      <c r="D327" s="1081" t="s">
        <v>502</v>
      </c>
      <c r="E327" s="1088"/>
      <c r="F327" s="1131"/>
      <c r="G327" s="1144" t="e">
        <f t="shared" ca="1" si="12"/>
        <v>#REF!</v>
      </c>
      <c r="H327" s="1027">
        <f ca="1">IF(OR(H$4="費用",H436="附帯",H$3=0,H$5-H$6=0),0,IF(H$22=入力規則マスタ!$K$10,ROUND(((H34+H34/(H$5-H$6)*H$6+H34/(H$5-H$6)*H$15)),(-3)),0))</f>
        <v>0</v>
      </c>
      <c r="I327" s="1014" t="e">
        <f ca="1">IF(OR(I$4="費用",I436="附帯",I$3=0,I$5-I$6=0),0,IF(I$22=入力規則マスタ!$K$10,ROUND(((I34+I34/(I$5-I$6)*I$6+I34/(I$5-I$6)*I$15)),(-3)),0))</f>
        <v>#REF!</v>
      </c>
    </row>
    <row r="328" spans="1:9" s="447" customFormat="1" ht="13.5" customHeight="1">
      <c r="A328" s="514"/>
      <c r="C328" s="1086" t="s">
        <v>2794</v>
      </c>
      <c r="D328" s="1081" t="s">
        <v>503</v>
      </c>
      <c r="E328" s="1088"/>
      <c r="F328" s="1131"/>
      <c r="G328" s="1144" t="e">
        <f t="shared" ca="1" si="12"/>
        <v>#REF!</v>
      </c>
      <c r="H328" s="1027">
        <f ca="1">IF(OR(H$4="費用",H436="附帯",H$3=0,H$5-H$6=0),0,IF(H$22=入力規則マスタ!$K$10,ROUND(((H35+H35/(H$5-H$6)*H$6+H35/(H$5-H$6)*H$15)),(-3)),0))</f>
        <v>0</v>
      </c>
      <c r="I328" s="1014" t="e">
        <f ca="1">IF(OR(I$4="費用",I436="附帯",I$3=0,I$5-I$6=0),0,IF(I$22=入力規則マスタ!$K$10,ROUND(((I35+I35/(I$5-I$6)*I$6+I35/(I$5-I$6)*I$15)),(-3)),0))</f>
        <v>#REF!</v>
      </c>
    </row>
    <row r="329" spans="1:9" s="447" customFormat="1" ht="13.5" customHeight="1">
      <c r="A329" s="514"/>
      <c r="C329" s="1086" t="s">
        <v>2795</v>
      </c>
      <c r="D329" s="1081" t="s">
        <v>504</v>
      </c>
      <c r="E329" s="1088"/>
      <c r="F329" s="1131"/>
      <c r="G329" s="1144" t="e">
        <f t="shared" ca="1" si="12"/>
        <v>#REF!</v>
      </c>
      <c r="H329" s="1027">
        <f ca="1">IF(OR(H$4="費用",H436="附帯",H$3=0,H$5-H$6=0),0,IF(H$22=入力規則マスタ!$K$10,ROUND(((H36+H36/(H$5-H$6)*H$6+H36/(H$5-H$6)*H$15)),(-3)),0))</f>
        <v>0</v>
      </c>
      <c r="I329" s="1014" t="e">
        <f ca="1">IF(OR(I$4="費用",I436="附帯",I$3=0,I$5-I$6=0),0,IF(I$22=入力規則マスタ!$K$10,ROUND(((I36+I36/(I$5-I$6)*I$6+I36/(I$5-I$6)*I$15)),(-3)),0))</f>
        <v>#REF!</v>
      </c>
    </row>
    <row r="330" spans="1:9" s="447" customFormat="1" ht="13.5" customHeight="1">
      <c r="A330" s="514"/>
      <c r="C330" s="1086" t="s">
        <v>2796</v>
      </c>
      <c r="D330" s="1081" t="s">
        <v>505</v>
      </c>
      <c r="E330" s="1088"/>
      <c r="F330" s="1131"/>
      <c r="G330" s="1144" t="e">
        <f t="shared" ca="1" si="12"/>
        <v>#REF!</v>
      </c>
      <c r="H330" s="1027">
        <f ca="1">IF(OR(H$4="費用",H436="附帯",H$3=0,H$5-H$6=0),0,IF(H$22=入力規則マスタ!$K$10,ROUND(((H37+H37/(H$5-H$6)*H$6+H37/(H$5-H$6)*H$15)),(-3)),0))</f>
        <v>0</v>
      </c>
      <c r="I330" s="1014" t="e">
        <f ca="1">IF(OR(I$4="費用",I436="附帯",I$3=0,I$5-I$6=0),0,IF(I$22=入力規則マスタ!$K$10,ROUND(((I37+I37/(I$5-I$6)*I$6+I37/(I$5-I$6)*I$15)),(-3)),0))</f>
        <v>#REF!</v>
      </c>
    </row>
    <row r="331" spans="1:9" s="447" customFormat="1" ht="13.5" customHeight="1">
      <c r="A331" s="514"/>
      <c r="C331" s="1086" t="s">
        <v>2797</v>
      </c>
      <c r="D331" s="1081" t="s">
        <v>506</v>
      </c>
      <c r="E331" s="1088"/>
      <c r="F331" s="1131"/>
      <c r="G331" s="1144" t="e">
        <f t="shared" ca="1" si="12"/>
        <v>#REF!</v>
      </c>
      <c r="H331" s="1027">
        <f ca="1">IF(OR(H$4="費用",H436="附帯",H$3=0,H$5-H$6=0),0,IF(H$22=入力規則マスタ!$K$10,ROUND(((H38+H38/(H$5-H$6)*H$6+H38/(H$5-H$6)*H$15)),(-3)),0))</f>
        <v>0</v>
      </c>
      <c r="I331" s="1014" t="e">
        <f ca="1">IF(OR(I$4="費用",I436="附帯",I$3=0,I$5-I$6=0),0,IF(I$22=入力規則マスタ!$K$10,ROUND(((I38+I38/(I$5-I$6)*I$6+I38/(I$5-I$6)*I$15)),(-3)),0))</f>
        <v>#REF!</v>
      </c>
    </row>
    <row r="332" spans="1:9" s="447" customFormat="1" ht="13.5" customHeight="1">
      <c r="A332" s="514"/>
      <c r="C332" s="1086" t="s">
        <v>2798</v>
      </c>
      <c r="D332" s="1081" t="s">
        <v>507</v>
      </c>
      <c r="E332" s="1088"/>
      <c r="F332" s="1131"/>
      <c r="G332" s="1144" t="e">
        <f t="shared" ca="1" si="12"/>
        <v>#REF!</v>
      </c>
      <c r="H332" s="1027">
        <f ca="1">IF(OR(H$4="費用",H436="附帯",H$3=0,H$5-H$6=0),0,IF(H$22=入力規則マスタ!$K$10,ROUND(((H39+H39/(H$5-H$6)*H$6+H39/(H$5-H$6)*H$15)),(-3)),0))</f>
        <v>0</v>
      </c>
      <c r="I332" s="1014" t="e">
        <f ca="1">IF(OR(I$4="費用",I436="附帯",I$3=0,I$5-I$6=0),0,IF(I$22=入力規則マスタ!$K$10,ROUND(((I39+I39/(I$5-I$6)*I$6+I39/(I$5-I$6)*I$15)),(-3)),0))</f>
        <v>#REF!</v>
      </c>
    </row>
    <row r="333" spans="1:9" s="447" customFormat="1" ht="13.5" customHeight="1">
      <c r="A333" s="514"/>
      <c r="C333" s="1086" t="s">
        <v>2799</v>
      </c>
      <c r="D333" s="1081" t="s">
        <v>508</v>
      </c>
      <c r="E333" s="1088"/>
      <c r="F333" s="1131"/>
      <c r="G333" s="1144" t="e">
        <f t="shared" ca="1" si="12"/>
        <v>#REF!</v>
      </c>
      <c r="H333" s="1027">
        <f ca="1">IF(OR(H$4="費用",H436="附帯",H$3=0,H$5-H$6=0),0,IF(H$22=入力規則マスタ!$K$10,ROUND(((H40+H40/(H$5-H$6)*H$6+H40/(H$5-H$6)*H$15)),(-3)),0))</f>
        <v>0</v>
      </c>
      <c r="I333" s="1014" t="e">
        <f ca="1">IF(OR(I$4="費用",I436="附帯",I$3=0,I$5-I$6=0),0,IF(I$22=入力規則マスタ!$K$10,ROUND(((I40+I40/(I$5-I$6)*I$6+I40/(I$5-I$6)*I$15)),(-3)),0))</f>
        <v>#REF!</v>
      </c>
    </row>
    <row r="334" spans="1:9" s="447" customFormat="1" ht="13.5" customHeight="1">
      <c r="A334" s="514"/>
      <c r="C334" s="1086" t="s">
        <v>2800</v>
      </c>
      <c r="D334" s="1081" t="s">
        <v>509</v>
      </c>
      <c r="E334" s="1088"/>
      <c r="F334" s="1131"/>
      <c r="G334" s="1144" t="e">
        <f t="shared" ca="1" si="12"/>
        <v>#REF!</v>
      </c>
      <c r="H334" s="1027">
        <f ca="1">IF(OR(H$4="費用",H436="附帯",H$3=0,H$5-H$6=0),0,IF(H$22=入力規則マスタ!$K$10,ROUND(((H41+H41/(H$5-H$6)*H$6+H41/(H$5-H$6)*H$15)),(-3)),0))</f>
        <v>0</v>
      </c>
      <c r="I334" s="1014" t="e">
        <f ca="1">IF(OR(I$4="費用",I436="附帯",I$3=0,I$5-I$6=0),0,IF(I$22=入力規則マスタ!$K$10,ROUND(((I41+I41/(I$5-I$6)*I$6+I41/(I$5-I$6)*I$15)),(-3)),0))</f>
        <v>#REF!</v>
      </c>
    </row>
    <row r="335" spans="1:9" s="447" customFormat="1" ht="13.5" customHeight="1">
      <c r="A335" s="514"/>
      <c r="C335" s="1086" t="s">
        <v>2801</v>
      </c>
      <c r="D335" s="1081" t="s">
        <v>510</v>
      </c>
      <c r="E335" s="1088"/>
      <c r="F335" s="1131"/>
      <c r="G335" s="1144" t="e">
        <f t="shared" ca="1" si="12"/>
        <v>#REF!</v>
      </c>
      <c r="H335" s="1027">
        <f ca="1">IF(OR(H$4="費用",H436="附帯",H$3=0,H$5-H$6=0),0,IF(H$22=入力規則マスタ!$K$10,ROUND(((H42+H42/(H$5-H$6)*H$6+H42/(H$5-H$6)*H$15)),(-3)),0))</f>
        <v>0</v>
      </c>
      <c r="I335" s="1014" t="e">
        <f ca="1">IF(OR(I$4="費用",I436="附帯",I$3=0,I$5-I$6=0),0,IF(I$22=入力規則マスタ!$K$10,ROUND(((I42+I42/(I$5-I$6)*I$6+I42/(I$5-I$6)*I$15)),(-3)),0))</f>
        <v>#REF!</v>
      </c>
    </row>
    <row r="336" spans="1:9" s="447" customFormat="1" ht="13.5" customHeight="1">
      <c r="A336" s="514"/>
      <c r="C336" s="1086" t="s">
        <v>2802</v>
      </c>
      <c r="D336" s="1081" t="s">
        <v>511</v>
      </c>
      <c r="E336" s="1088"/>
      <c r="F336" s="1131"/>
      <c r="G336" s="1144" t="e">
        <f t="shared" ca="1" si="12"/>
        <v>#REF!</v>
      </c>
      <c r="H336" s="1027">
        <f ca="1">IF(OR(H$4="費用",H436="附帯",H$3=0,H$5-H$6=0),0,IF(H$22=入力規則マスタ!$K$10,ROUND(((H43+H43/(H$5-H$6)*H$6+H43/(H$5-H$6)*H$15)),(-3)),0))</f>
        <v>0</v>
      </c>
      <c r="I336" s="1014" t="e">
        <f ca="1">IF(OR(I$4="費用",I436="附帯",I$3=0,I$5-I$6=0),0,IF(I$22=入力規則マスタ!$K$10,ROUND(((I43+I43/(I$5-I$6)*I$6+I43/(I$5-I$6)*I$15)),(-3)),0))</f>
        <v>#REF!</v>
      </c>
    </row>
    <row r="337" spans="1:9" s="447" customFormat="1" ht="13.5" customHeight="1">
      <c r="A337" s="514"/>
      <c r="C337" s="1086" t="s">
        <v>2803</v>
      </c>
      <c r="D337" s="1081" t="s">
        <v>512</v>
      </c>
      <c r="E337" s="1088"/>
      <c r="F337" s="1131"/>
      <c r="G337" s="1144" t="e">
        <f t="shared" ca="1" si="12"/>
        <v>#REF!</v>
      </c>
      <c r="H337" s="1027">
        <f ca="1">IF(OR(H$4="費用",H436="附帯",H$3=0,H$5-H$6=0),0,IF(H$22=入力規則マスタ!$K$10,ROUND(((H44+H44/(H$5-H$6)*H$6+H44/(H$5-H$6)*H$15)),(-3)),0))</f>
        <v>0</v>
      </c>
      <c r="I337" s="1014" t="e">
        <f ca="1">IF(OR(I$4="費用",I436="附帯",I$3=0,I$5-I$6=0),0,IF(I$22=入力規則マスタ!$K$10,ROUND(((I44+I44/(I$5-I$6)*I$6+I44/(I$5-I$6)*I$15)),(-3)),0))</f>
        <v>#REF!</v>
      </c>
    </row>
    <row r="338" spans="1:9" s="447" customFormat="1" ht="13.5" customHeight="1">
      <c r="A338" s="514"/>
      <c r="C338" s="1086" t="s">
        <v>2804</v>
      </c>
      <c r="D338" s="1081" t="s">
        <v>513</v>
      </c>
      <c r="E338" s="1088"/>
      <c r="F338" s="1131"/>
      <c r="G338" s="1144" t="e">
        <f t="shared" ca="1" si="12"/>
        <v>#REF!</v>
      </c>
      <c r="H338" s="1027">
        <f ca="1">IF(OR(H$4="費用",H436="附帯",H$3=0,H$5-H$6=0),0,IF(H$22=入力規則マスタ!$K$10,ROUND(((H45+H45/(H$5-H$6)*H$6+H45/(H$5-H$6)*H$15)),(-3)),0))</f>
        <v>0</v>
      </c>
      <c r="I338" s="1014" t="e">
        <f ca="1">IF(OR(I$4="費用",I436="附帯",I$3=0,I$5-I$6=0),0,IF(I$22=入力規則マスタ!$K$10,ROUND(((I45+I45/(I$5-I$6)*I$6+I45/(I$5-I$6)*I$15)),(-3)),0))</f>
        <v>#REF!</v>
      </c>
    </row>
    <row r="339" spans="1:9" s="447" customFormat="1" ht="13.5" customHeight="1">
      <c r="A339" s="514"/>
      <c r="C339" s="1086" t="s">
        <v>2805</v>
      </c>
      <c r="D339" s="1081" t="s">
        <v>514</v>
      </c>
      <c r="E339" s="1088"/>
      <c r="F339" s="1131"/>
      <c r="G339" s="1144" t="e">
        <f t="shared" ca="1" si="12"/>
        <v>#REF!</v>
      </c>
      <c r="H339" s="1027">
        <f ca="1">IF(OR(H$4="費用",H436="附帯",H$3=0,H$5-H$6=0),0,IF(H$22=入力規則マスタ!$K$10,ROUND(((H46+H46/(H$5-H$6)*H$6+H46/(H$5-H$6)*H$15)),(-3)),0))</f>
        <v>0</v>
      </c>
      <c r="I339" s="1014" t="e">
        <f ca="1">IF(OR(I$4="費用",I436="附帯",I$3=0,I$5-I$6=0),0,IF(I$22=入力規則マスタ!$K$10,ROUND(((I46+I46/(I$5-I$6)*I$6+I46/(I$5-I$6)*I$15)),(-3)),0))</f>
        <v>#REF!</v>
      </c>
    </row>
    <row r="340" spans="1:9" s="447" customFormat="1" ht="13.5" customHeight="1">
      <c r="A340" s="514"/>
      <c r="C340" s="1086" t="s">
        <v>2806</v>
      </c>
      <c r="D340" s="1081" t="s">
        <v>515</v>
      </c>
      <c r="E340" s="1088"/>
      <c r="F340" s="1131"/>
      <c r="G340" s="1144" t="e">
        <f t="shared" ca="1" si="12"/>
        <v>#REF!</v>
      </c>
      <c r="H340" s="1027">
        <f ca="1">IF(OR(H$4="費用",H436="附帯",H$3=0,H$5-H$6=0),0,IF(H$22=入力規則マスタ!$K$10,ROUND(((H47+H47/(H$5-H$6)*H$6+H47/(H$5-H$6)*H$15)),(-3)),0))</f>
        <v>0</v>
      </c>
      <c r="I340" s="1014" t="e">
        <f ca="1">IF(OR(I$4="費用",I436="附帯",I$3=0,I$5-I$6=0),0,IF(I$22=入力規則マスタ!$K$10,ROUND(((I47+I47/(I$5-I$6)*I$6+I47/(I$5-I$6)*I$15)),(-3)),0))</f>
        <v>#REF!</v>
      </c>
    </row>
    <row r="341" spans="1:9" s="447" customFormat="1" ht="13.5" customHeight="1">
      <c r="A341" s="514"/>
      <c r="C341" s="1086" t="s">
        <v>2807</v>
      </c>
      <c r="D341" s="1081" t="s">
        <v>516</v>
      </c>
      <c r="E341" s="1088"/>
      <c r="F341" s="1131"/>
      <c r="G341" s="1144" t="e">
        <f t="shared" ca="1" si="12"/>
        <v>#REF!</v>
      </c>
      <c r="H341" s="1027">
        <f ca="1">IF(OR(H$4="費用",H436="附帯",H$3=0,H$5-H$6=0),0,IF(H$22=入力規則マスタ!$K$10,ROUND(((H48+H48/(H$5-H$6)*H$6+H48/(H$5-H$6)*H$15)),(-3)),0))</f>
        <v>0</v>
      </c>
      <c r="I341" s="1014" t="e">
        <f ca="1">IF(OR(I$4="費用",I436="附帯",I$3=0,I$5-I$6=0),0,IF(I$22=入力規則マスタ!$K$10,ROUND(((I48+I48/(I$5-I$6)*I$6+I48/(I$5-I$6)*I$15)),(-3)),0))</f>
        <v>#REF!</v>
      </c>
    </row>
    <row r="342" spans="1:9" s="447" customFormat="1" ht="13.5" customHeight="1">
      <c r="A342" s="514"/>
      <c r="C342" s="1086" t="s">
        <v>2808</v>
      </c>
      <c r="D342" s="1081" t="s">
        <v>517</v>
      </c>
      <c r="E342" s="1088"/>
      <c r="F342" s="1131"/>
      <c r="G342" s="1144" t="e">
        <f t="shared" ca="1" si="12"/>
        <v>#REF!</v>
      </c>
      <c r="H342" s="1027">
        <f ca="1">IF(OR(H$4="費用",H436="附帯",H$3=0,H$5-H$6=0),0,IF(H$22=入力規則マスタ!$K$10,ROUND(((H49+H49/(H$5-H$6)*H$6+H49/(H$5-H$6)*H$15)),(-3)),0))</f>
        <v>0</v>
      </c>
      <c r="I342" s="1014" t="e">
        <f ca="1">IF(OR(I$4="費用",I436="附帯",I$3=0,I$5-I$6=0),0,IF(I$22=入力規則マスタ!$K$10,ROUND(((I49+I49/(I$5-I$6)*I$6+I49/(I$5-I$6)*I$15)),(-3)),0))</f>
        <v>#REF!</v>
      </c>
    </row>
    <row r="343" spans="1:9" s="447" customFormat="1" ht="13.5" customHeight="1">
      <c r="A343" s="514"/>
      <c r="C343" s="1086" t="s">
        <v>2809</v>
      </c>
      <c r="D343" s="1081" t="s">
        <v>518</v>
      </c>
      <c r="E343" s="1088"/>
      <c r="F343" s="1131"/>
      <c r="G343" s="1144" t="e">
        <f t="shared" ca="1" si="12"/>
        <v>#REF!</v>
      </c>
      <c r="H343" s="1027">
        <f ca="1">IF(OR(H$4="費用",H436="附帯",H$3=0,H$5-H$6=0),0,IF(H$22=入力規則マスタ!$K$10,ROUND(((H50+H50/(H$5-H$6)*H$6+H50/(H$5-H$6)*H$15)),(-3)),0))</f>
        <v>0</v>
      </c>
      <c r="I343" s="1014" t="e">
        <f ca="1">IF(OR(I$4="費用",I436="附帯",I$3=0,I$5-I$6=0),0,IF(I$22=入力規則マスタ!$K$10,ROUND(((I50+I50/(I$5-I$6)*I$6+I50/(I$5-I$6)*I$15)),(-3)),0))</f>
        <v>#REF!</v>
      </c>
    </row>
    <row r="344" spans="1:9" s="447" customFormat="1" ht="13.5" customHeight="1">
      <c r="A344" s="514"/>
      <c r="C344" s="1086" t="s">
        <v>2810</v>
      </c>
      <c r="D344" s="1081" t="s">
        <v>519</v>
      </c>
      <c r="E344" s="1088"/>
      <c r="F344" s="1131"/>
      <c r="G344" s="1144" t="e">
        <f t="shared" ca="1" si="12"/>
        <v>#REF!</v>
      </c>
      <c r="H344" s="1027">
        <f ca="1">IF(OR(H$4="費用",H436="附帯",H$3=0,H$5-H$6=0),0,IF(H$22=入力規則マスタ!$K$10,ROUND(((H51+H51/(H$5-H$6)*H$6+H51/(H$5-H$6)*H$15)),(-3)),0))</f>
        <v>0</v>
      </c>
      <c r="I344" s="1014" t="e">
        <f ca="1">IF(OR(I$4="費用",I436="附帯",I$3=0,I$5-I$6=0),0,IF(I$22=入力規則マスタ!$K$10,ROUND(((I51+I51/(I$5-I$6)*I$6+I51/(I$5-I$6)*I$15)),(-3)),0))</f>
        <v>#REF!</v>
      </c>
    </row>
    <row r="345" spans="1:9" s="447" customFormat="1" ht="13.5" customHeight="1">
      <c r="A345" s="514"/>
      <c r="C345" s="1086" t="s">
        <v>2811</v>
      </c>
      <c r="D345" s="1081" t="s">
        <v>520</v>
      </c>
      <c r="E345" s="1088"/>
      <c r="F345" s="1131"/>
      <c r="G345" s="1144" t="e">
        <f t="shared" ca="1" si="12"/>
        <v>#REF!</v>
      </c>
      <c r="H345" s="1027">
        <f ca="1">IF(OR(H$4="費用",H436="附帯",H$3=0,H$5-H$6=0),0,IF(H$22=入力規則マスタ!$K$10,ROUND(((H52+H52/(H$5-H$6)*H$6+H52/(H$5-H$6)*H$15)),(-3)),0))</f>
        <v>0</v>
      </c>
      <c r="I345" s="1014" t="e">
        <f ca="1">IF(OR(I$4="費用",I436="附帯",I$3=0,I$5-I$6=0),0,IF(I$22=入力規則マスタ!$K$10,ROUND(((I52+I52/(I$5-I$6)*I$6+I52/(I$5-I$6)*I$15)),(-3)),0))</f>
        <v>#REF!</v>
      </c>
    </row>
    <row r="346" spans="1:9" s="447" customFormat="1" ht="13.5" customHeight="1">
      <c r="A346" s="514"/>
      <c r="C346" s="1086" t="s">
        <v>2812</v>
      </c>
      <c r="D346" s="1081" t="s">
        <v>521</v>
      </c>
      <c r="E346" s="1088"/>
      <c r="F346" s="1131"/>
      <c r="G346" s="1144" t="e">
        <f t="shared" ca="1" si="12"/>
        <v>#REF!</v>
      </c>
      <c r="H346" s="1027">
        <f ca="1">IF(OR(H$4="費用",H436="附帯",H$3=0,H$5-H$6=0),0,IF(H$22=入力規則マスタ!$K$10,ROUND(((H53+H53/(H$5-H$6)*H$6+H53/(H$5-H$6)*H$15)),(-3)),0))</f>
        <v>0</v>
      </c>
      <c r="I346" s="1014" t="e">
        <f ca="1">IF(OR(I$4="費用",I436="附帯",I$3=0,I$5-I$6=0),0,IF(I$22=入力規則マスタ!$K$10,ROUND(((I53+I53/(I$5-I$6)*I$6+I53/(I$5-I$6)*I$15)),(-3)),0))</f>
        <v>#REF!</v>
      </c>
    </row>
    <row r="347" spans="1:9" s="447" customFormat="1" ht="13.5" customHeight="1">
      <c r="A347" s="514"/>
      <c r="C347" s="1086" t="s">
        <v>2813</v>
      </c>
      <c r="D347" s="1081" t="s">
        <v>522</v>
      </c>
      <c r="E347" s="1088"/>
      <c r="F347" s="1131"/>
      <c r="G347" s="1144" t="e">
        <f t="shared" ca="1" si="12"/>
        <v>#REF!</v>
      </c>
      <c r="H347" s="1027">
        <f ca="1">IF(OR(H$4="費用",H436="附帯",H$3=0,H$5-H$6=0),0,IF(H$22=入力規則マスタ!$K$10,ROUND(((H54+H54/(H$5-H$6)*H$6+H54/(H$5-H$6)*H$15)),(-3)),0))</f>
        <v>0</v>
      </c>
      <c r="I347" s="1014" t="e">
        <f ca="1">IF(OR(I$4="費用",I436="附帯",I$3=0,I$5-I$6=0),0,IF(I$22=入力規則マスタ!$K$10,ROUND(((I54+I54/(I$5-I$6)*I$6+I54/(I$5-I$6)*I$15)),(-3)),0))</f>
        <v>#REF!</v>
      </c>
    </row>
    <row r="348" spans="1:9" s="447" customFormat="1" ht="13.5" customHeight="1">
      <c r="A348" s="514"/>
      <c r="C348" s="1086" t="s">
        <v>2814</v>
      </c>
      <c r="D348" s="1081" t="s">
        <v>523</v>
      </c>
      <c r="E348" s="1088"/>
      <c r="F348" s="1131"/>
      <c r="G348" s="1144" t="e">
        <f t="shared" ca="1" si="12"/>
        <v>#REF!</v>
      </c>
      <c r="H348" s="1027">
        <f ca="1">IF(OR(H$4="費用",H436="附帯",H$3=0,H$5-H$6=0),0,IF(H$22=入力規則マスタ!$K$10,ROUND(((H55+H55/(H$5-H$6)*H$6+H55/(H$5-H$6)*H$15)),(-3)),0))</f>
        <v>0</v>
      </c>
      <c r="I348" s="1014" t="e">
        <f ca="1">IF(OR(I$4="費用",I436="附帯",I$3=0,I$5-I$6=0),0,IF(I$22=入力規則マスタ!$K$10,ROUND(((I55+I55/(I$5-I$6)*I$6+I55/(I$5-I$6)*I$15)),(-3)),0))</f>
        <v>#REF!</v>
      </c>
    </row>
    <row r="349" spans="1:9" s="447" customFormat="1" ht="13.5" customHeight="1">
      <c r="A349" s="514"/>
      <c r="C349" s="1086" t="s">
        <v>2815</v>
      </c>
      <c r="D349" s="1081" t="s">
        <v>524</v>
      </c>
      <c r="E349" s="1088"/>
      <c r="F349" s="1131"/>
      <c r="G349" s="1144" t="e">
        <f t="shared" ca="1" si="12"/>
        <v>#REF!</v>
      </c>
      <c r="H349" s="1027">
        <f ca="1">IF(OR(H$4="費用",H436="附帯",H$3=0,H$5-H$6=0),0,IF(H$22=入力規則マスタ!$K$10,ROUND(((H56+H56/(H$5-H$6)*H$6+H56/(H$5-H$6)*H$15)),(-3)),0))</f>
        <v>0</v>
      </c>
      <c r="I349" s="1014" t="e">
        <f ca="1">IF(OR(I$4="費用",I436="附帯",I$3=0,I$5-I$6=0),0,IF(I$22=入力規則マスタ!$K$10,ROUND(((I56+I56/(I$5-I$6)*I$6+I56/(I$5-I$6)*I$15)),(-3)),0))</f>
        <v>#REF!</v>
      </c>
    </row>
    <row r="350" spans="1:9" s="447" customFormat="1" ht="13.5" customHeight="1">
      <c r="A350" s="514"/>
      <c r="C350" s="1086" t="s">
        <v>2816</v>
      </c>
      <c r="D350" s="1081" t="s">
        <v>525</v>
      </c>
      <c r="E350" s="1088"/>
      <c r="F350" s="1131"/>
      <c r="G350" s="1144" t="e">
        <f t="shared" ca="1" si="12"/>
        <v>#REF!</v>
      </c>
      <c r="H350" s="1027">
        <f ca="1">IF(OR(H$4="費用",H436="附帯",H$3=0,H$5-H$6=0),0,IF(H$22=入力規則マスタ!$K$10,ROUND(((H57+H57/(H$5-H$6)*H$6+H57/(H$5-H$6)*H$15)),(-3)),0))</f>
        <v>0</v>
      </c>
      <c r="I350" s="1014" t="e">
        <f ca="1">IF(OR(I$4="費用",I436="附帯",I$3=0,I$5-I$6=0),0,IF(I$22=入力規則マスタ!$K$10,ROUND(((I57+I57/(I$5-I$6)*I$6+I57/(I$5-I$6)*I$15)),(-3)),0))</f>
        <v>#REF!</v>
      </c>
    </row>
    <row r="351" spans="1:9" s="447" customFormat="1" ht="13.5" customHeight="1">
      <c r="A351" s="514"/>
      <c r="C351" s="1086" t="s">
        <v>2817</v>
      </c>
      <c r="D351" s="1081" t="s">
        <v>526</v>
      </c>
      <c r="E351" s="1088"/>
      <c r="F351" s="1131"/>
      <c r="G351" s="1144" t="e">
        <f t="shared" ca="1" si="12"/>
        <v>#REF!</v>
      </c>
      <c r="H351" s="1027">
        <f ca="1">IF(OR(H$4="費用",H436="附帯",H$3=0,H$5-H$6=0),0,IF(H$22=入力規則マスタ!$K$10,ROUND(((H58+H58/(H$5-H$6)*H$6+H58/(H$5-H$6)*H$15)),(-3)),0))</f>
        <v>0</v>
      </c>
      <c r="I351" s="1014" t="e">
        <f ca="1">IF(OR(I$4="費用",I436="附帯",I$3=0,I$5-I$6=0),0,IF(I$22=入力規則マスタ!$K$10,ROUND(((I58+I58/(I$5-I$6)*I$6+I58/(I$5-I$6)*I$15)),(-3)),0))</f>
        <v>#REF!</v>
      </c>
    </row>
    <row r="352" spans="1:9" s="447" customFormat="1" ht="13.5" customHeight="1">
      <c r="A352" s="514"/>
      <c r="C352" s="1086">
        <v>10599928</v>
      </c>
      <c r="D352" s="1087" t="s">
        <v>2759</v>
      </c>
      <c r="E352" s="1088"/>
      <c r="F352" s="1131"/>
      <c r="G352" s="1144" t="e">
        <f t="shared" ca="1" si="12"/>
        <v>#REF!</v>
      </c>
      <c r="H352" s="1027">
        <f ca="1">IF(OR(H$4="費用",H436="附帯",H$3=0,H$5-H$6=0),0,IF(H$22=入力規則マスタ!$K$10,ROUND(((H59+H59/(H$5-H$6)*H$6+H59/(H$5-H$6)*H$15)),(-3)),0))</f>
        <v>0</v>
      </c>
      <c r="I352" s="1014" t="e">
        <f ca="1">IF(OR(I$4="費用",I436="附帯",I$3=0,I$5-I$6=0),0,IF(I$22=入力規則マスタ!$K$10,ROUND(((I59+I59/(I$5-I$6)*I$6+I59/(I$5-I$6)*I$15)),(-3)),0))</f>
        <v>#REF!</v>
      </c>
    </row>
    <row r="353" spans="1:9" s="447" customFormat="1" ht="13.5" customHeight="1">
      <c r="A353" s="514"/>
      <c r="C353" s="1086">
        <v>10599929</v>
      </c>
      <c r="D353" s="1087" t="s">
        <v>2760</v>
      </c>
      <c r="E353" s="1088"/>
      <c r="F353" s="1131"/>
      <c r="G353" s="1144" t="e">
        <f t="shared" ca="1" si="12"/>
        <v>#REF!</v>
      </c>
      <c r="H353" s="1027">
        <f ca="1">IF(OR(H$4="費用",H436="附帯",H$3=0,H$5-H$6=0),0,IF(H$22=入力規則マスタ!$K$10,ROUND(((H60+H60/(H$5-H$6)*H$6+H60/(H$5-H$6)*H$15)),(-3)),0))</f>
        <v>0</v>
      </c>
      <c r="I353" s="1014" t="e">
        <f ca="1">IF(OR(I$4="費用",I436="附帯",I$3=0,I$5-I$6=0),0,IF(I$22=入力規則マスタ!$K$10,ROUND(((I60+I60/(I$5-I$6)*I$6+I60/(I$5-I$6)*I$15)),(-3)),0))</f>
        <v>#REF!</v>
      </c>
    </row>
    <row r="354" spans="1:9" s="447" customFormat="1" ht="13.5" customHeight="1">
      <c r="A354" s="514"/>
      <c r="C354" s="1086">
        <v>10599930</v>
      </c>
      <c r="D354" s="1087" t="s">
        <v>2761</v>
      </c>
      <c r="E354" s="1088"/>
      <c r="F354" s="1131"/>
      <c r="G354" s="1144" t="e">
        <f t="shared" ca="1" si="12"/>
        <v>#REF!</v>
      </c>
      <c r="H354" s="1027">
        <f ca="1">IF(OR(H$4="費用",H436="附帯",H$3=0,H$5-H$6=0),0,IF(H$22=入力規則マスタ!$K$10,ROUND(((H61+H61/(H$5-H$6)*H$6+H61/(H$5-H$6)*H$15)),(-3)),0))</f>
        <v>0</v>
      </c>
      <c r="I354" s="1014" t="e">
        <f ca="1">IF(OR(I$4="費用",I436="附帯",I$3=0,I$5-I$6=0),0,IF(I$22=入力規則マスタ!$K$10,ROUND(((I61+I61/(I$5-I$6)*I$6+I61/(I$5-I$6)*I$15)),(-3)),0))</f>
        <v>#REF!</v>
      </c>
    </row>
    <row r="355" spans="1:9" s="447" customFormat="1" ht="13.5" customHeight="1">
      <c r="A355" s="514"/>
      <c r="C355" s="1086">
        <v>10599931</v>
      </c>
      <c r="D355" s="1087" t="s">
        <v>2762</v>
      </c>
      <c r="E355" s="1088"/>
      <c r="F355" s="1131"/>
      <c r="G355" s="1144" t="e">
        <f t="shared" ca="1" si="12"/>
        <v>#REF!</v>
      </c>
      <c r="H355" s="1027">
        <f ca="1">IF(OR(H$4="費用",H436="附帯",H$3=0,H$5-H$6=0),0,IF(H$22=入力規則マスタ!$K$10,ROUND(((H62+H62/(H$5-H$6)*H$6+H62/(H$5-H$6)*H$15)),(-3)),0))</f>
        <v>0</v>
      </c>
      <c r="I355" s="1014" t="e">
        <f ca="1">IF(OR(I$4="費用",I436="附帯",I$3=0,I$5-I$6=0),0,IF(I$22=入力規則マスタ!$K$10,ROUND(((I62+I62/(I$5-I$6)*I$6+I62/(I$5-I$6)*I$15)),(-3)),0))</f>
        <v>#REF!</v>
      </c>
    </row>
    <row r="356" spans="1:9" s="447" customFormat="1" ht="13.5" customHeight="1">
      <c r="A356" s="514"/>
      <c r="C356" s="1086">
        <v>10599932</v>
      </c>
      <c r="D356" s="1087" t="s">
        <v>2763</v>
      </c>
      <c r="E356" s="1088"/>
      <c r="F356" s="1131"/>
      <c r="G356" s="1144" t="e">
        <f t="shared" ca="1" si="12"/>
        <v>#REF!</v>
      </c>
      <c r="H356" s="1027">
        <f ca="1">IF(OR(H$4="費用",H436="附帯",H$3=0,H$5-H$6=0),0,IF(H$22=入力規則マスタ!$K$10,ROUND(((H63+H63/(H$5-H$6)*H$6+H63/(H$5-H$6)*H$15)),(-3)),0))</f>
        <v>0</v>
      </c>
      <c r="I356" s="1014" t="e">
        <f ca="1">IF(OR(I$4="費用",I436="附帯",I$3=0,I$5-I$6=0),0,IF(I$22=入力規則マスタ!$K$10,ROUND(((I63+I63/(I$5-I$6)*I$6+I63/(I$5-I$6)*I$15)),(-3)),0))</f>
        <v>#REF!</v>
      </c>
    </row>
    <row r="357" spans="1:9" s="447" customFormat="1" ht="13.5" customHeight="1">
      <c r="A357" s="514"/>
      <c r="C357" s="1086">
        <v>10599933</v>
      </c>
      <c r="D357" s="1087" t="s">
        <v>2764</v>
      </c>
      <c r="E357" s="1088"/>
      <c r="F357" s="1131"/>
      <c r="G357" s="1144" t="e">
        <f t="shared" ca="1" si="12"/>
        <v>#REF!</v>
      </c>
      <c r="H357" s="1027">
        <f ca="1">IF(OR(H$4="費用",H436="附帯",H$3=0,H$5-H$6=0),0,IF(H$22=入力規則マスタ!$K$10,ROUND(((H64+H64/(H$5-H$6)*H$6+H64/(H$5-H$6)*H$15)),(-3)),0))</f>
        <v>0</v>
      </c>
      <c r="I357" s="1014" t="e">
        <f ca="1">IF(OR(I$4="費用",I436="附帯",I$3=0,I$5-I$6=0),0,IF(I$22=入力規則マスタ!$K$10,ROUND(((I64+I64/(I$5-I$6)*I$6+I64/(I$5-I$6)*I$15)),(-3)),0))</f>
        <v>#REF!</v>
      </c>
    </row>
    <row r="358" spans="1:9" s="447" customFormat="1" ht="13.5" customHeight="1">
      <c r="A358" s="514"/>
      <c r="C358" s="1086">
        <v>10599934</v>
      </c>
      <c r="D358" s="1087" t="s">
        <v>2765</v>
      </c>
      <c r="E358" s="1088"/>
      <c r="F358" s="1131"/>
      <c r="G358" s="1144" t="e">
        <f t="shared" ca="1" si="12"/>
        <v>#REF!</v>
      </c>
      <c r="H358" s="1027">
        <f ca="1">IF(OR(H$4="費用",H436="附帯",H$3=0,H$5-H$6=0),0,IF(H$22=入力規則マスタ!$K$10,ROUND(((H65+H65/(H$5-H$6)*H$6+H65/(H$5-H$6)*H$15)),(-3)),0))</f>
        <v>0</v>
      </c>
      <c r="I358" s="1014" t="e">
        <f ca="1">IF(OR(I$4="費用",I436="附帯",I$3=0,I$5-I$6=0),0,IF(I$22=入力規則マスタ!$K$10,ROUND(((I65+I65/(I$5-I$6)*I$6+I65/(I$5-I$6)*I$15)),(-3)),0))</f>
        <v>#REF!</v>
      </c>
    </row>
    <row r="359" spans="1:9" s="447" customFormat="1" ht="13.5" customHeight="1">
      <c r="A359" s="514"/>
      <c r="C359" s="1086">
        <v>10599935</v>
      </c>
      <c r="D359" s="1087" t="s">
        <v>2766</v>
      </c>
      <c r="E359" s="1088"/>
      <c r="F359" s="1131"/>
      <c r="G359" s="1144" t="e">
        <f t="shared" ca="1" si="12"/>
        <v>#REF!</v>
      </c>
      <c r="H359" s="1027">
        <f ca="1">IF(OR(H$4="費用",H436="附帯",H$3=0,H$5-H$6=0),0,IF(H$22=入力規則マスタ!$K$10,ROUND(((H66+H66/(H$5-H$6)*H$6+H66/(H$5-H$6)*H$15)),(-3)),0))</f>
        <v>0</v>
      </c>
      <c r="I359" s="1014" t="e">
        <f ca="1">IF(OR(I$4="費用",I436="附帯",I$3=0,I$5-I$6=0),0,IF(I$22=入力規則マスタ!$K$10,ROUND(((I66+I66/(I$5-I$6)*I$6+I66/(I$5-I$6)*I$15)),(-3)),0))</f>
        <v>#REF!</v>
      </c>
    </row>
    <row r="360" spans="1:9" s="447" customFormat="1" ht="13.5" customHeight="1">
      <c r="A360" s="514"/>
      <c r="C360" s="1086">
        <v>10599936</v>
      </c>
      <c r="D360" s="1087" t="s">
        <v>2767</v>
      </c>
      <c r="E360" s="1088"/>
      <c r="F360" s="1131"/>
      <c r="G360" s="1144" t="e">
        <f t="shared" ca="1" si="12"/>
        <v>#REF!</v>
      </c>
      <c r="H360" s="1027">
        <f ca="1">IF(OR(H$4="費用",H436="附帯",H$3=0,H$5-H$6=0),0,IF(H$22=入力規則マスタ!$K$10,ROUND(((H67+H67/(H$5-H$6)*H$6+H67/(H$5-H$6)*H$15)),(-3)),0))</f>
        <v>0</v>
      </c>
      <c r="I360" s="1014" t="e">
        <f ca="1">IF(OR(I$4="費用",I436="附帯",I$3=0,I$5-I$6=0),0,IF(I$22=入力規則マスタ!$K$10,ROUND(((I67+I67/(I$5-I$6)*I$6+I67/(I$5-I$6)*I$15)),(-3)),0))</f>
        <v>#REF!</v>
      </c>
    </row>
    <row r="361" spans="1:9" s="447" customFormat="1" ht="13.5" customHeight="1">
      <c r="A361" s="514"/>
      <c r="C361" s="1086">
        <v>10599937</v>
      </c>
      <c r="D361" s="1087" t="s">
        <v>2768</v>
      </c>
      <c r="E361" s="1088"/>
      <c r="F361" s="1131"/>
      <c r="G361" s="1144" t="e">
        <f t="shared" ca="1" si="12"/>
        <v>#REF!</v>
      </c>
      <c r="H361" s="1027">
        <f ca="1">IF(OR(H$4="費用",H436="附帯",H$3=0,H$5-H$6=0),0,IF(H$22=入力規則マスタ!$K$10,ROUND(((H68+H68/(H$5-H$6)*H$6+H68/(H$5-H$6)*H$15)),(-3)),0))</f>
        <v>0</v>
      </c>
      <c r="I361" s="1014" t="e">
        <f ca="1">IF(OR(I$4="費用",I436="附帯",I$3=0,I$5-I$6=0),0,IF(I$22=入力規則マスタ!$K$10,ROUND(((I68+I68/(I$5-I$6)*I$6+I68/(I$5-I$6)*I$15)),(-3)),0))</f>
        <v>#REF!</v>
      </c>
    </row>
    <row r="362" spans="1:9" s="447" customFormat="1" ht="13.5" customHeight="1">
      <c r="A362" s="514"/>
      <c r="C362" s="1086">
        <v>10599938</v>
      </c>
      <c r="D362" s="1087" t="s">
        <v>2769</v>
      </c>
      <c r="E362" s="1088"/>
      <c r="F362" s="1131"/>
      <c r="G362" s="1144" t="e">
        <f t="shared" ca="1" si="12"/>
        <v>#REF!</v>
      </c>
      <c r="H362" s="1027">
        <f ca="1">IF(OR(H$4="費用",H436="附帯",H$3=0,H$5-H$6=0),0,IF(H$22=入力規則マスタ!$K$10,ROUND(((H69+H69/(H$5-H$6)*H$6+H69/(H$5-H$6)*H$15)),(-3)),0))</f>
        <v>0</v>
      </c>
      <c r="I362" s="1014" t="e">
        <f ca="1">IF(OR(I$4="費用",I436="附帯",I$3=0,I$5-I$6=0),0,IF(I$22=入力規則マスタ!$K$10,ROUND(((I69+I69/(I$5-I$6)*I$6+I69/(I$5-I$6)*I$15)),(-3)),0))</f>
        <v>#REF!</v>
      </c>
    </row>
    <row r="363" spans="1:9" s="447" customFormat="1" ht="13.5" customHeight="1">
      <c r="A363" s="514"/>
      <c r="C363" s="1086">
        <v>10599939</v>
      </c>
      <c r="D363" s="1087" t="s">
        <v>2770</v>
      </c>
      <c r="E363" s="1088"/>
      <c r="F363" s="1131"/>
      <c r="G363" s="1144" t="e">
        <f t="shared" ca="1" si="12"/>
        <v>#REF!</v>
      </c>
      <c r="H363" s="1027">
        <f ca="1">IF(OR(H$4="費用",H436="附帯",H$3=0,H$5-H$6=0),0,IF(H$22=入力規則マスタ!$K$10,ROUND(((H70+H70/(H$5-H$6)*H$6+H70/(H$5-H$6)*H$15)),(-3)),0))</f>
        <v>0</v>
      </c>
      <c r="I363" s="1014" t="e">
        <f ca="1">IF(OR(I$4="費用",I436="附帯",I$3=0,I$5-I$6=0),0,IF(I$22=入力規則マスタ!$K$10,ROUND(((I70+I70/(I$5-I$6)*I$6+I70/(I$5-I$6)*I$15)),(-3)),0))</f>
        <v>#REF!</v>
      </c>
    </row>
    <row r="364" spans="1:9" s="447" customFormat="1" ht="13.5" customHeight="1">
      <c r="A364" s="514"/>
      <c r="C364" s="1086">
        <v>10599940</v>
      </c>
      <c r="D364" s="1087" t="s">
        <v>2771</v>
      </c>
      <c r="E364" s="1088"/>
      <c r="F364" s="1131"/>
      <c r="G364" s="1144" t="e">
        <f t="shared" ca="1" si="12"/>
        <v>#REF!</v>
      </c>
      <c r="H364" s="1027">
        <f ca="1">IF(OR(H$4="費用",H436="附帯",H$3=0,H$5-H$6=0),0,IF(H$22=入力規則マスタ!$K$10,ROUND(((H71+H71/(H$5-H$6)*H$6+H71/(H$5-H$6)*H$15)),(-3)),0))</f>
        <v>0</v>
      </c>
      <c r="I364" s="1014" t="e">
        <f ca="1">IF(OR(I$4="費用",I436="附帯",I$3=0,I$5-I$6=0),0,IF(I$22=入力規則マスタ!$K$10,ROUND(((I71+I71/(I$5-I$6)*I$6+I71/(I$5-I$6)*I$15)),(-3)),0))</f>
        <v>#REF!</v>
      </c>
    </row>
    <row r="365" spans="1:9" s="447" customFormat="1" ht="13.5" customHeight="1">
      <c r="A365" s="514"/>
      <c r="C365" s="1086">
        <v>10599941</v>
      </c>
      <c r="D365" s="1087" t="s">
        <v>2772</v>
      </c>
      <c r="E365" s="1088"/>
      <c r="F365" s="1131"/>
      <c r="G365" s="1144" t="e">
        <f t="shared" ca="1" si="12"/>
        <v>#REF!</v>
      </c>
      <c r="H365" s="1027">
        <f ca="1">IF(OR(H$4="費用",H436="附帯",H$3=0,H$5-H$6=0),0,IF(H$22=入力規則マスタ!$K$10,ROUND(((H72+H72/(H$5-H$6)*H$6+H72/(H$5-H$6)*H$15)),(-3)),0))</f>
        <v>0</v>
      </c>
      <c r="I365" s="1014" t="e">
        <f ca="1">IF(OR(I$4="費用",I436="附帯",I$3=0,I$5-I$6=0),0,IF(I$22=入力規則マスタ!$K$10,ROUND(((I72+I72/(I$5-I$6)*I$6+I72/(I$5-I$6)*I$15)),(-3)),0))</f>
        <v>#REF!</v>
      </c>
    </row>
    <row r="366" spans="1:9" s="447" customFormat="1" ht="13.5" customHeight="1">
      <c r="A366" s="514"/>
      <c r="C366" s="1086">
        <v>10599942</v>
      </c>
      <c r="D366" s="1087" t="s">
        <v>2773</v>
      </c>
      <c r="E366" s="1088"/>
      <c r="F366" s="1131"/>
      <c r="G366" s="1144" t="e">
        <f t="shared" ca="1" si="12"/>
        <v>#REF!</v>
      </c>
      <c r="H366" s="1027">
        <f ca="1">IF(OR(H$4="費用",H436="附帯",H$3=0,H$5-H$6=0),0,IF(H$22=入力規則マスタ!$K$10,ROUND(((H73+H73/(H$5-H$6)*H$6+H73/(H$5-H$6)*H$15)),(-3)),0))</f>
        <v>0</v>
      </c>
      <c r="I366" s="1014" t="e">
        <f ca="1">IF(OR(I$4="費用",I436="附帯",I$3=0,I$5-I$6=0),0,IF(I$22=入力規則マスタ!$K$10,ROUND(((I73+I73/(I$5-I$6)*I$6+I73/(I$5-I$6)*I$15)),(-3)),0))</f>
        <v>#REF!</v>
      </c>
    </row>
    <row r="367" spans="1:9" s="447" customFormat="1" ht="13.5" customHeight="1">
      <c r="A367" s="514"/>
      <c r="C367" s="1086">
        <v>10599942</v>
      </c>
      <c r="D367" s="1087" t="s">
        <v>2774</v>
      </c>
      <c r="E367" s="1088"/>
      <c r="F367" s="1131"/>
      <c r="G367" s="1144" t="e">
        <f t="shared" ca="1" si="12"/>
        <v>#REF!</v>
      </c>
      <c r="H367" s="1027">
        <f ca="1">IF(OR(H$4="費用",H436="附帯",H$3=0,H$5-H$6=0),0,IF(H$22=入力規則マスタ!$K$10,ROUND(((H74+H74/(H$5-H$6)*H$6+H74/(H$5-H$6)*H$15)),(-3)),0))</f>
        <v>0</v>
      </c>
      <c r="I367" s="1014" t="e">
        <f ca="1">IF(OR(I$4="費用",I436="附帯",I$3=0,I$5-I$6=0),0,IF(I$22=入力規則マスタ!$K$10,ROUND(((I74+I74/(I$5-I$6)*I$6+I74/(I$5-I$6)*I$15)),(-3)),0))</f>
        <v>#REF!</v>
      </c>
    </row>
    <row r="368" spans="1:9" s="447" customFormat="1" ht="13.5" customHeight="1">
      <c r="A368" s="514"/>
      <c r="C368" s="1086">
        <v>10599942</v>
      </c>
      <c r="D368" s="1087" t="s">
        <v>2775</v>
      </c>
      <c r="E368" s="1088"/>
      <c r="F368" s="1131"/>
      <c r="G368" s="1144" t="e">
        <f t="shared" ca="1" si="12"/>
        <v>#REF!</v>
      </c>
      <c r="H368" s="1027">
        <f ca="1">IF(OR(H$4="費用",H436="附帯",H$3=0,H$5-H$6=0),0,IF(H$22=入力規則マスタ!$K$10,ROUND(((H75+H75/(H$5-H$6)*H$6+H75/(H$5-H$6)*H$15)),(-3)),0))</f>
        <v>0</v>
      </c>
      <c r="I368" s="1014" t="e">
        <f ca="1">IF(OR(I$4="費用",I436="附帯",I$3=0,I$5-I$6=0),0,IF(I$22=入力規則マスタ!$K$10,ROUND(((I75+I75/(I$5-I$6)*I$6+I75/(I$5-I$6)*I$15)),(-3)),0))</f>
        <v>#REF!</v>
      </c>
    </row>
    <row r="369" spans="1:9" s="447" customFormat="1" ht="13.5" customHeight="1">
      <c r="A369" s="514"/>
      <c r="C369" s="1086">
        <v>10599943</v>
      </c>
      <c r="D369" s="1087" t="s">
        <v>2776</v>
      </c>
      <c r="E369" s="1088"/>
      <c r="F369" s="1131"/>
      <c r="G369" s="1144" t="e">
        <f t="shared" ca="1" si="12"/>
        <v>#REF!</v>
      </c>
      <c r="H369" s="1027">
        <f ca="1">IF(OR(H$4="費用",H436="附帯",H$3=0,H$5-H$6=0),0,IF(H$22=入力規則マスタ!$K$10,ROUND(((H76+H76/(H$5-H$6)*H$6+H76/(H$5-H$6)*H$15)),(-3)),0))</f>
        <v>0</v>
      </c>
      <c r="I369" s="1014" t="e">
        <f ca="1">IF(OR(I$4="費用",I436="附帯",I$3=0,I$5-I$6=0),0,IF(I$22=入力規則マスタ!$K$10,ROUND(((I76+I76/(I$5-I$6)*I$6+I76/(I$5-I$6)*I$15)),(-3)),0))</f>
        <v>#REF!</v>
      </c>
    </row>
    <row r="370" spans="1:9" s="447" customFormat="1" ht="13.5" customHeight="1">
      <c r="A370" s="514"/>
      <c r="C370" s="1086">
        <v>10599943</v>
      </c>
      <c r="D370" s="1087" t="s">
        <v>2777</v>
      </c>
      <c r="E370" s="1088"/>
      <c r="F370" s="1131"/>
      <c r="G370" s="1144" t="e">
        <f t="shared" ca="1" si="12"/>
        <v>#REF!</v>
      </c>
      <c r="H370" s="1027">
        <f ca="1">IF(OR(H$4="費用",H436="附帯",H$3=0,H$5-H$6=0),0,IF(H$22=入力規則マスタ!$K$10,ROUND(((H77+H77/(H$5-H$6)*H$6+H77/(H$5-H$6)*H$15)),(-3)),0))</f>
        <v>0</v>
      </c>
      <c r="I370" s="1014" t="e">
        <f ca="1">IF(OR(I$4="費用",I436="附帯",I$3=0,I$5-I$6=0),0,IF(I$22=入力規則マスタ!$K$10,ROUND(((I77+I77/(I$5-I$6)*I$6+I77/(I$5-I$6)*I$15)),(-3)),0))</f>
        <v>#REF!</v>
      </c>
    </row>
    <row r="371" spans="1:9" s="447" customFormat="1" ht="13.5" customHeight="1">
      <c r="A371" s="514"/>
      <c r="B371" s="515"/>
      <c r="C371" s="880" t="s">
        <v>3079</v>
      </c>
      <c r="D371" s="866"/>
      <c r="E371" s="856"/>
      <c r="F371" s="866"/>
      <c r="G371" s="1144"/>
      <c r="H371" s="1045"/>
      <c r="I371" s="881"/>
    </row>
    <row r="372" spans="1:9" s="447" customFormat="1" ht="13.5" customHeight="1">
      <c r="A372" s="889"/>
      <c r="B372" s="890"/>
      <c r="C372" s="890"/>
      <c r="D372" s="890"/>
      <c r="E372" s="890"/>
      <c r="F372" s="1134" t="s">
        <v>1982</v>
      </c>
      <c r="G372" s="1165" t="e">
        <f t="shared" ref="G372:G408" ca="1" si="13">SUM(H372:J372)</f>
        <v>#REF!</v>
      </c>
      <c r="H372" s="1165">
        <f ca="1">SUM(H122:H371)</f>
        <v>0</v>
      </c>
      <c r="I372" s="1165" t="e">
        <f ca="1">SUM(I122:I371)</f>
        <v>#REF!</v>
      </c>
    </row>
    <row r="373" spans="1:9" s="447" customFormat="1" ht="13.5" customHeight="1">
      <c r="A373" s="514"/>
      <c r="C373" s="1086">
        <v>11002401</v>
      </c>
      <c r="D373" s="1090" t="s">
        <v>2251</v>
      </c>
      <c r="E373" s="1091"/>
      <c r="F373" s="1132"/>
      <c r="G373" s="1150" t="e">
        <f t="shared" ca="1" si="13"/>
        <v>#REF!</v>
      </c>
      <c r="H373" s="1033">
        <f ca="1">IF(OR(H$4="費用",H436="附帯",H$3=0,H$5-H$6=0),0,IF(H$81=入力規則マスタ!$L$3,ROUND(((H83+H83/(H$5-H$6)*H$6+H83/(H$5-H$6)*H$15)),(-3)),0))</f>
        <v>0</v>
      </c>
      <c r="I373" s="1015" t="e">
        <f ca="1">IF(OR(I$4="費用",I436="附帯",I$3=0,I$5-I$6=0),0,IF(I$81=入力規則マスタ!$L$3,ROUND(((I83+I83/(I$5-I$6)*I$6+I83/(I$5-I$6)*I$15)),(-3)),0))</f>
        <v>#REF!</v>
      </c>
    </row>
    <row r="374" spans="1:9" s="447" customFormat="1" ht="13.5" customHeight="1">
      <c r="A374" s="514"/>
      <c r="C374" s="1086">
        <v>11002402</v>
      </c>
      <c r="D374" s="1090" t="s">
        <v>2252</v>
      </c>
      <c r="E374" s="1091"/>
      <c r="F374" s="1132"/>
      <c r="G374" s="1150" t="e">
        <f t="shared" ca="1" si="13"/>
        <v>#REF!</v>
      </c>
      <c r="H374" s="1033">
        <f ca="1">IF(OR(H$4="費用",H436="附帯",H$3=0,H$5-H$6=0),0,IF(H$81=入力規則マスタ!$L$3,ROUND(((H84+H84/(H$5-H$6)*H$6+H84/(H$5-H$6)*H$15)),(-3)),0))</f>
        <v>0</v>
      </c>
      <c r="I374" s="1015" t="e">
        <f ca="1">IF(OR(I$4="費用",I436="附帯",I$3=0,I$5-I$6=0),0,IF(I$81=入力規則マスタ!$L$3,ROUND(((I84+I84/(I$5-I$6)*I$6+I84/(I$5-I$6)*I$15)),(-3)),0))</f>
        <v>#REF!</v>
      </c>
    </row>
    <row r="375" spans="1:9" s="447" customFormat="1" ht="13.5" customHeight="1">
      <c r="A375" s="514"/>
      <c r="B375" s="877"/>
      <c r="C375" s="1089">
        <v>11004901</v>
      </c>
      <c r="D375" s="1090" t="s">
        <v>2017</v>
      </c>
      <c r="E375" s="1091"/>
      <c r="F375" s="1132"/>
      <c r="G375" s="1163" t="e">
        <f t="shared" ca="1" si="13"/>
        <v>#REF!</v>
      </c>
      <c r="H375" s="1033">
        <f ca="1">IF(OR(H$4="費用",H436="附帯",H$3=0,H$5-H$6=0),0,IF(H$86=入力規則マスタ!$L$4,ROUND(((H88+H88/(H$5-H$6)*H$6+H88/(H$5-H$6)*H$15)),(-3)),0))</f>
        <v>0</v>
      </c>
      <c r="I375" s="1015" t="e">
        <f ca="1">IF(OR(I$4="費用",I436="附帯",I$3=0,I$5-I$6=0),0,IF(I$86=入力規則マスタ!$L$4,ROUND(((I88+I88/(I$5-I$6)*I$6+I88/(I$5-I$6)*I$15)),(-3)),0))</f>
        <v>#REF!</v>
      </c>
    </row>
    <row r="376" spans="1:9" s="447" customFormat="1" ht="13.5" customHeight="1">
      <c r="A376" s="514"/>
      <c r="B376" s="877"/>
      <c r="C376" s="1089">
        <v>11004902</v>
      </c>
      <c r="D376" s="1090" t="s">
        <v>2018</v>
      </c>
      <c r="E376" s="1091"/>
      <c r="F376" s="1132"/>
      <c r="G376" s="1163" t="e">
        <f t="shared" ca="1" si="13"/>
        <v>#REF!</v>
      </c>
      <c r="H376" s="1033">
        <f ca="1">IF(OR(H$4="費用",H436="附帯",H$3=0,H$5-H$6=0),0,IF(H$86=入力規則マスタ!$L$4,ROUND(((H89+H89/(H$5-H$6)*H$6+H89/(H$5-H$6)*H$15)),(-3)),0))</f>
        <v>0</v>
      </c>
      <c r="I376" s="1015" t="e">
        <f ca="1">IF(OR(I$4="費用",I436="附帯",I$3=0,I$5-I$6=0),0,IF(I$86=入力規則マスタ!$L$4,ROUND(((I89+I89/(I$5-I$6)*I$6+I89/(I$5-I$6)*I$15)),(-3)),0))</f>
        <v>#REF!</v>
      </c>
    </row>
    <row r="377" spans="1:9" s="447" customFormat="1" ht="13.5" customHeight="1">
      <c r="A377" s="514"/>
      <c r="B377" s="877"/>
      <c r="C377" s="1089">
        <v>11004903</v>
      </c>
      <c r="D377" s="1090" t="s">
        <v>2019</v>
      </c>
      <c r="E377" s="1091"/>
      <c r="F377" s="1132"/>
      <c r="G377" s="1163" t="e">
        <f t="shared" ca="1" si="13"/>
        <v>#REF!</v>
      </c>
      <c r="H377" s="1033">
        <f ca="1">IF(OR(H$4="費用",H436="附帯",H$3=0,H$5-H$6=0),0,IF(H$86=入力規則マスタ!$L$4,ROUND(((H90+H90/(H$5-H$6)*H$6+H90/(H$5-H$6)*H$15)),(-3)),0))</f>
        <v>0</v>
      </c>
      <c r="I377" s="1015" t="e">
        <f ca="1">IF(OR(I$4="費用",I436="附帯",I$3=0,I$5-I$6=0),0,IF(I$86=入力規則マスタ!$L$4,ROUND(((I90+I90/(I$5-I$6)*I$6+I90/(I$5-I$6)*I$15)),(-3)),0))</f>
        <v>#REF!</v>
      </c>
    </row>
    <row r="378" spans="1:9" s="447" customFormat="1" ht="13.5" customHeight="1">
      <c r="A378" s="514"/>
      <c r="B378" s="877"/>
      <c r="C378" s="1089">
        <v>11004904</v>
      </c>
      <c r="D378" s="1090" t="s">
        <v>2020</v>
      </c>
      <c r="E378" s="1091"/>
      <c r="F378" s="1132"/>
      <c r="G378" s="1163" t="e">
        <f t="shared" ca="1" si="13"/>
        <v>#REF!</v>
      </c>
      <c r="H378" s="1033">
        <f ca="1">IF(OR(H$4="費用",H436="附帯",H$3=0,H$5-H$6=0),0,IF(H$86=入力規則マスタ!$L$4,ROUND(((H91+H91/(H$5-H$6)*H$6+H91/(H$5-H$6)*H$15)),(-3)),0))</f>
        <v>0</v>
      </c>
      <c r="I378" s="1015" t="e">
        <f ca="1">IF(OR(I$4="費用",I436="附帯",I$3=0,I$5-I$6=0),0,IF(I$86=入力規則マスタ!$L$4,ROUND(((I91+I91/(I$5-I$6)*I$6+I91/(I$5-I$6)*I$15)),(-3)),0))</f>
        <v>#REF!</v>
      </c>
    </row>
    <row r="379" spans="1:9" s="447" customFormat="1" ht="13.5" customHeight="1">
      <c r="A379" s="514"/>
      <c r="B379" s="877"/>
      <c r="C379" s="1089">
        <v>11004905</v>
      </c>
      <c r="D379" s="1090" t="s">
        <v>2021</v>
      </c>
      <c r="E379" s="1091"/>
      <c r="F379" s="1132"/>
      <c r="G379" s="1163" t="e">
        <f t="shared" ca="1" si="13"/>
        <v>#REF!</v>
      </c>
      <c r="H379" s="1033">
        <f ca="1">IF(OR(H$4="費用",H436="附帯",H$3=0,H$5-H$6=0),0,IF(H$86=入力規則マスタ!$L$4,ROUND(((H92+H92/(H$5-H$6)*H$6+H92/(H$5-H$6)*H$15)),(-3)),0))</f>
        <v>0</v>
      </c>
      <c r="I379" s="1015" t="e">
        <f ca="1">IF(OR(I$4="費用",I436="附帯",I$3=0,I$5-I$6=0),0,IF(I$86=入力規則マスタ!$L$4,ROUND(((I92+I92/(I$5-I$6)*I$6+I92/(I$5-I$6)*I$15)),(-3)),0))</f>
        <v>#REF!</v>
      </c>
    </row>
    <row r="380" spans="1:9" s="447" customFormat="1" ht="13.5" customHeight="1">
      <c r="A380" s="514"/>
      <c r="B380" s="877"/>
      <c r="C380" s="1089">
        <v>11004906</v>
      </c>
      <c r="D380" s="1090" t="s">
        <v>2022</v>
      </c>
      <c r="E380" s="1091"/>
      <c r="F380" s="1132"/>
      <c r="G380" s="1163" t="e">
        <f t="shared" ca="1" si="13"/>
        <v>#REF!</v>
      </c>
      <c r="H380" s="1033">
        <f ca="1">IF(OR(H$4="費用",H436="附帯",H$3=0,H$5-H$6=0),0,IF(H$86=入力規則マスタ!$L$4,ROUND(((H93+H93/(H$5-H$6)*H$6+H93/(H$5-H$6)*H$15)),(-3)),0))</f>
        <v>0</v>
      </c>
      <c r="I380" s="1015" t="e">
        <f ca="1">IF(OR(I$4="費用",I436="附帯",I$3=0,I$5-I$6=0),0,IF(I$86=入力規則マスタ!$L$4,ROUND(((I93+I93/(I$5-I$6)*I$6+I93/(I$5-I$6)*I$15)),(-3)),0))</f>
        <v>#REF!</v>
      </c>
    </row>
    <row r="381" spans="1:9" s="447" customFormat="1" ht="13.5" customHeight="1">
      <c r="A381" s="514"/>
      <c r="B381" s="877"/>
      <c r="C381" s="1089">
        <v>11004907</v>
      </c>
      <c r="D381" s="1090" t="s">
        <v>2023</v>
      </c>
      <c r="E381" s="1091"/>
      <c r="F381" s="1132"/>
      <c r="G381" s="1163" t="e">
        <f t="shared" ca="1" si="13"/>
        <v>#REF!</v>
      </c>
      <c r="H381" s="1033">
        <f ca="1">IF(OR(H$4="費用",H436="附帯",H$3=0,H$5-H$6=0),0,IF(H$86=入力規則マスタ!$L$4,ROUND(((H94+H94/(H$5-H$6)*H$6+H94/(H$5-H$6)*H$15)),(-3)),0))</f>
        <v>0</v>
      </c>
      <c r="I381" s="1015" t="e">
        <f ca="1">IF(OR(I$4="費用",I436="附帯",I$3=0,I$5-I$6=0),0,IF(I$86=入力規則マスタ!$L$4,ROUND(((I94+I94/(I$5-I$6)*I$6+I94/(I$5-I$6)*I$15)),(-3)),0))</f>
        <v>#REF!</v>
      </c>
    </row>
    <row r="382" spans="1:9" s="447" customFormat="1" ht="13.5" customHeight="1">
      <c r="A382" s="514"/>
      <c r="B382" s="877"/>
      <c r="C382" s="1089">
        <v>11004908</v>
      </c>
      <c r="D382" s="1090" t="s">
        <v>2024</v>
      </c>
      <c r="E382" s="1091"/>
      <c r="F382" s="1132"/>
      <c r="G382" s="1163" t="e">
        <f t="shared" ca="1" si="13"/>
        <v>#REF!</v>
      </c>
      <c r="H382" s="1033">
        <f ca="1">IF(OR(H$4="費用",H436="附帯",H$3=0,H$5-H$6=0),0,IF(H$86=入力規則マスタ!$L$4,ROUND(((H95+H95/(H$5-H$6)*H$6+H95/(H$5-H$6)*H$15)),(-3)),0))</f>
        <v>0</v>
      </c>
      <c r="I382" s="1015" t="e">
        <f ca="1">IF(OR(I$4="費用",I436="附帯",I$3=0,I$5-I$6=0),0,IF(I$86=入力規則マスタ!$L$4,ROUND(((I95+I95/(I$5-I$6)*I$6+I95/(I$5-I$6)*I$15)),(-3)),0))</f>
        <v>#REF!</v>
      </c>
    </row>
    <row r="383" spans="1:9" s="447" customFormat="1" ht="13.5" customHeight="1">
      <c r="A383" s="514"/>
      <c r="B383" s="877"/>
      <c r="C383" s="1089">
        <v>11004909</v>
      </c>
      <c r="D383" s="1090" t="s">
        <v>2025</v>
      </c>
      <c r="E383" s="1091"/>
      <c r="F383" s="1132"/>
      <c r="G383" s="1163" t="e">
        <f t="shared" ca="1" si="13"/>
        <v>#REF!</v>
      </c>
      <c r="H383" s="1033">
        <f ca="1">IF(OR(H$4="費用",H436="附帯",H$3=0,H$5-H$6=0),0,IF(H$86=入力規則マスタ!$L$4,ROUND(((H96+H96/(H$5-H$6)*H$6+H96/(H$5-H$6)*H$15)),(-3)),0))</f>
        <v>0</v>
      </c>
      <c r="I383" s="1015" t="e">
        <f ca="1">IF(OR(I$4="費用",I436="附帯",I$3=0,I$5-I$6=0),0,IF(I$86=入力規則マスタ!$L$4,ROUND(((I96+I96/(I$5-I$6)*I$6+I96/(I$5-I$6)*I$15)),(-3)),0))</f>
        <v>#REF!</v>
      </c>
    </row>
    <row r="384" spans="1:9" s="447" customFormat="1" ht="13.5" customHeight="1">
      <c r="A384" s="514"/>
      <c r="B384" s="877"/>
      <c r="C384" s="1089">
        <v>11004910</v>
      </c>
      <c r="D384" s="1090" t="s">
        <v>2026</v>
      </c>
      <c r="E384" s="1091"/>
      <c r="F384" s="1132"/>
      <c r="G384" s="1163" t="e">
        <f t="shared" ca="1" si="13"/>
        <v>#REF!</v>
      </c>
      <c r="H384" s="1033">
        <f ca="1">IF(OR(H$4="費用",H436="附帯",H$3=0,H$5-H$6=0),0,IF(H$86=入力規則マスタ!$L$4,ROUND(((H97+H97/(H$5-H$6)*H$6+H97/(H$5-H$6)*H$15)),(-3)),0))</f>
        <v>0</v>
      </c>
      <c r="I384" s="1015" t="e">
        <f ca="1">IF(OR(I$4="費用",I436="附帯",I$3=0,I$5-I$6=0),0,IF(I$86=入力規則マスタ!$L$4,ROUND(((I97+I97/(I$5-I$6)*I$6+I97/(I$5-I$6)*I$15)),(-3)),0))</f>
        <v>#REF!</v>
      </c>
    </row>
    <row r="385" spans="1:9" s="447" customFormat="1" ht="13.5" customHeight="1">
      <c r="A385" s="514"/>
      <c r="B385" s="877"/>
      <c r="C385" s="1089">
        <v>11004911</v>
      </c>
      <c r="D385" s="1090" t="s">
        <v>2027</v>
      </c>
      <c r="E385" s="1091"/>
      <c r="F385" s="1132"/>
      <c r="G385" s="1163" t="e">
        <f t="shared" ca="1" si="13"/>
        <v>#REF!</v>
      </c>
      <c r="H385" s="1033">
        <f ca="1">IF(OR(H$4="費用",H436="附帯",H$3=0,H$5-H$6=0),0,IF(H$86=入力規則マスタ!$L$4,ROUND(((H98+H98/(H$5-H$6)*H$6+H98/(H$5-H$6)*H$15)),(-3)),0))</f>
        <v>0</v>
      </c>
      <c r="I385" s="1015" t="e">
        <f ca="1">IF(OR(I$4="費用",I436="附帯",I$3=0,I$5-I$6=0),0,IF(I$86=入力規則マスタ!$L$4,ROUND(((I98+I98/(I$5-I$6)*I$6+I98/(I$5-I$6)*I$15)),(-3)),0))</f>
        <v>#REF!</v>
      </c>
    </row>
    <row r="386" spans="1:9" s="447" customFormat="1" ht="13.5" customHeight="1">
      <c r="A386" s="514"/>
      <c r="B386" s="877"/>
      <c r="C386" s="1089">
        <v>11005001</v>
      </c>
      <c r="D386" s="1090" t="s">
        <v>2028</v>
      </c>
      <c r="E386" s="1091"/>
      <c r="F386" s="1132"/>
      <c r="G386" s="1163" t="e">
        <f t="shared" ca="1" si="13"/>
        <v>#REF!</v>
      </c>
      <c r="H386" s="1033">
        <f ca="1">IF(OR(H$4="費用",H436="附帯",H$3=0,H$5-H$6=0),0,IF(H$86=入力規則マスタ!$L$5,ROUND(((H88+H88/(H$5-H$6)*H$6+H88/(H$5-H$6)*H$15)),(-3)),0))</f>
        <v>0</v>
      </c>
      <c r="I386" s="1015" t="e">
        <f ca="1">IF(OR(I$4="費用",I436="附帯",I$3=0,I$5-I$6=0),0,IF(I$86=入力規則マスタ!$L$5,ROUND(((I88+I88/(I$5-I$6)*I$6+I88/(I$5-I$6)*I$15)),(-3)),0))</f>
        <v>#REF!</v>
      </c>
    </row>
    <row r="387" spans="1:9" s="447" customFormat="1" ht="13.5" customHeight="1">
      <c r="A387" s="514"/>
      <c r="B387" s="877"/>
      <c r="C387" s="1089">
        <v>11005002</v>
      </c>
      <c r="D387" s="1090" t="s">
        <v>2029</v>
      </c>
      <c r="E387" s="1091"/>
      <c r="F387" s="1132"/>
      <c r="G387" s="1163" t="e">
        <f t="shared" ca="1" si="13"/>
        <v>#REF!</v>
      </c>
      <c r="H387" s="1033">
        <f ca="1">IF(OR(H$4="費用",H436="附帯",H$3=0,H$5-H$6=0),0,IF(H$86=入力規則マスタ!$L$5,ROUND(((H89+H89/(H$5-H$6)*H$6+H89/(H$5-H$6)*H$15)),(-3)),0))</f>
        <v>0</v>
      </c>
      <c r="I387" s="1015" t="e">
        <f ca="1">IF(OR(I$4="費用",I436="附帯",I$3=0,I$5-I$6=0),0,IF(I$86=入力規則マスタ!$L$5,ROUND(((I89+I89/(I$5-I$6)*I$6+I89/(I$5-I$6)*I$15)),(-3)),0))</f>
        <v>#REF!</v>
      </c>
    </row>
    <row r="388" spans="1:9" s="447" customFormat="1" ht="13.5" customHeight="1">
      <c r="A388" s="514"/>
      <c r="B388" s="877"/>
      <c r="C388" s="1089">
        <v>11005003</v>
      </c>
      <c r="D388" s="1090" t="s">
        <v>2030</v>
      </c>
      <c r="E388" s="1091"/>
      <c r="F388" s="1132"/>
      <c r="G388" s="1163" t="e">
        <f t="shared" ca="1" si="13"/>
        <v>#REF!</v>
      </c>
      <c r="H388" s="1033">
        <f ca="1">IF(OR(H$4="費用",H436="附帯",H$3=0,H$5-H$6=0),0,IF(H$86=入力規則マスタ!$L$5,ROUND(((H90+H90/(H$5-H$6)*H$6+H90/(H$5-H$6)*H$15)),(-3)),0))</f>
        <v>0</v>
      </c>
      <c r="I388" s="1015" t="e">
        <f ca="1">IF(OR(I$4="費用",I436="附帯",I$3=0,I$5-I$6=0),0,IF(I$86=入力規則マスタ!$L$5,ROUND(((I90+I90/(I$5-I$6)*I$6+I90/(I$5-I$6)*I$15)),(-3)),0))</f>
        <v>#REF!</v>
      </c>
    </row>
    <row r="389" spans="1:9" s="447" customFormat="1" ht="13.5" customHeight="1">
      <c r="A389" s="514"/>
      <c r="B389" s="877"/>
      <c r="C389" s="1089">
        <v>11005004</v>
      </c>
      <c r="D389" s="1090" t="s">
        <v>2031</v>
      </c>
      <c r="E389" s="1091"/>
      <c r="F389" s="1132"/>
      <c r="G389" s="1163" t="e">
        <f t="shared" ca="1" si="13"/>
        <v>#REF!</v>
      </c>
      <c r="H389" s="1033">
        <f ca="1">IF(OR(H$4="費用",H436="附帯",H$3=0,H$5-H$6=0),0,IF(H$86=入力規則マスタ!$L$5,ROUND(((H91+H91/(H$5-H$6)*H$6+H91/(H$5-H$6)*H$15)),(-3)),0))</f>
        <v>0</v>
      </c>
      <c r="I389" s="1015" t="e">
        <f ca="1">IF(OR(I$4="費用",I436="附帯",I$3=0,I$5-I$6=0),0,IF(I$86=入力規則マスタ!$L$5,ROUND(((I91+I91/(I$5-I$6)*I$6+I91/(I$5-I$6)*I$15)),(-3)),0))</f>
        <v>#REF!</v>
      </c>
    </row>
    <row r="390" spans="1:9" s="447" customFormat="1" ht="13.5" customHeight="1">
      <c r="A390" s="514"/>
      <c r="B390" s="877"/>
      <c r="C390" s="1089">
        <v>11005005</v>
      </c>
      <c r="D390" s="1090" t="s">
        <v>2032</v>
      </c>
      <c r="E390" s="1091"/>
      <c r="F390" s="1132"/>
      <c r="G390" s="1163" t="e">
        <f t="shared" ca="1" si="13"/>
        <v>#REF!</v>
      </c>
      <c r="H390" s="1033">
        <f ca="1">IF(OR(H$4="費用",H436="附帯",H$3=0,H$5-H$6=0),0,IF(H$86=入力規則マスタ!$L$5,ROUND(((H92+H92/(H$5-H$6)*H$6+H92/(H$5-H$6)*H$15)),(-3)),0))</f>
        <v>0</v>
      </c>
      <c r="I390" s="1015" t="e">
        <f ca="1">IF(OR(I$4="費用",I436="附帯",I$3=0,I$5-I$6=0),0,IF(I$86=入力規則マスタ!$L$5,ROUND(((I92+I92/(I$5-I$6)*I$6+I92/(I$5-I$6)*I$15)),(-3)),0))</f>
        <v>#REF!</v>
      </c>
    </row>
    <row r="391" spans="1:9" s="447" customFormat="1" ht="13.5" customHeight="1">
      <c r="A391" s="514"/>
      <c r="B391" s="877"/>
      <c r="C391" s="1089">
        <v>11005006</v>
      </c>
      <c r="D391" s="1090" t="s">
        <v>2033</v>
      </c>
      <c r="E391" s="1091"/>
      <c r="F391" s="1132"/>
      <c r="G391" s="1163" t="e">
        <f t="shared" ca="1" si="13"/>
        <v>#REF!</v>
      </c>
      <c r="H391" s="1033">
        <f ca="1">IF(OR(H$4="費用",H436="附帯",H$3=0,H$5-H$6=0),0,IF(H$86=入力規則マスタ!$L$5,ROUND(((H93+H93/(H$5-H$6)*H$6+H93/(H$5-H$6)*H$15)),(-3)),0))</f>
        <v>0</v>
      </c>
      <c r="I391" s="1015" t="e">
        <f ca="1">IF(OR(I$4="費用",I436="附帯",I$3=0,I$5-I$6=0),0,IF(I$86=入力規則マスタ!$L$5,ROUND(((I93+I93/(I$5-I$6)*I$6+I93/(I$5-I$6)*I$15)),(-3)),0))</f>
        <v>#REF!</v>
      </c>
    </row>
    <row r="392" spans="1:9" s="447" customFormat="1" ht="13.5" customHeight="1">
      <c r="A392" s="514"/>
      <c r="B392" s="877"/>
      <c r="C392" s="1089">
        <v>11005007</v>
      </c>
      <c r="D392" s="1090" t="s">
        <v>2034</v>
      </c>
      <c r="E392" s="1091"/>
      <c r="F392" s="1132"/>
      <c r="G392" s="1163" t="e">
        <f t="shared" ca="1" si="13"/>
        <v>#REF!</v>
      </c>
      <c r="H392" s="1033">
        <f ca="1">IF(OR(H$4="費用",H436="附帯",H$3=0,H$5-H$6=0),0,IF(H$86=入力規則マスタ!$L$5,ROUND(((H94+H94/(H$5-H$6)*H$6+H94/(H$5-H$6)*H$15)),(-3)),0))</f>
        <v>0</v>
      </c>
      <c r="I392" s="1015" t="e">
        <f ca="1">IF(OR(I$4="費用",I436="附帯",I$3=0,I$5-I$6=0),0,IF(I$86=入力規則マスタ!$L$5,ROUND(((I94+I94/(I$5-I$6)*I$6+I94/(I$5-I$6)*I$15)),(-3)),0))</f>
        <v>#REF!</v>
      </c>
    </row>
    <row r="393" spans="1:9" s="447" customFormat="1" ht="13.5" customHeight="1">
      <c r="A393" s="514"/>
      <c r="B393" s="877"/>
      <c r="C393" s="1089">
        <v>11005008</v>
      </c>
      <c r="D393" s="1090" t="s">
        <v>2035</v>
      </c>
      <c r="E393" s="1091"/>
      <c r="F393" s="1132"/>
      <c r="G393" s="1163" t="e">
        <f t="shared" ca="1" si="13"/>
        <v>#REF!</v>
      </c>
      <c r="H393" s="1033">
        <f ca="1">IF(OR(H$4="費用",H436="附帯",H$3=0,H$5-H$6=0),0,IF(H$86=入力規則マスタ!$L$5,ROUND(((H95+H95/(H$5-H$6)*H$6+H95/(H$5-H$6)*H$15)),(-3)),0))</f>
        <v>0</v>
      </c>
      <c r="I393" s="1015" t="e">
        <f ca="1">IF(OR(I$4="費用",I436="附帯",I$3=0,I$5-I$6=0),0,IF(I$86=入力規則マスタ!$L$5,ROUND(((I95+I95/(I$5-I$6)*I$6+I95/(I$5-I$6)*I$15)),(-3)),0))</f>
        <v>#REF!</v>
      </c>
    </row>
    <row r="394" spans="1:9" s="447" customFormat="1" ht="13.5" customHeight="1">
      <c r="A394" s="514"/>
      <c r="B394" s="877"/>
      <c r="C394" s="1089">
        <v>11005009</v>
      </c>
      <c r="D394" s="1090" t="s">
        <v>2036</v>
      </c>
      <c r="E394" s="1091"/>
      <c r="F394" s="1132"/>
      <c r="G394" s="1163" t="e">
        <f t="shared" ca="1" si="13"/>
        <v>#REF!</v>
      </c>
      <c r="H394" s="1033">
        <f ca="1">IF(OR(H$4="費用",H436="附帯",H$3=0,H$5-H$6=0),0,IF(H$86=入力規則マスタ!$L$5,ROUND(((H96+H96/(H$5-H$6)*H$6+H96/(H$5-H$6)*H$15)),(-3)),0))</f>
        <v>0</v>
      </c>
      <c r="I394" s="1015" t="e">
        <f ca="1">IF(OR(I$4="費用",I436="附帯",I$3=0,I$5-I$6=0),0,IF(I$86=入力規則マスタ!$L$5,ROUND(((I96+I96/(I$5-I$6)*I$6+I96/(I$5-I$6)*I$15)),(-3)),0))</f>
        <v>#REF!</v>
      </c>
    </row>
    <row r="395" spans="1:9" s="447" customFormat="1" ht="13.5" customHeight="1">
      <c r="A395" s="514"/>
      <c r="B395" s="877"/>
      <c r="C395" s="1089">
        <v>11005010</v>
      </c>
      <c r="D395" s="1090" t="s">
        <v>2037</v>
      </c>
      <c r="E395" s="1091"/>
      <c r="F395" s="1132"/>
      <c r="G395" s="1163" t="e">
        <f t="shared" ca="1" si="13"/>
        <v>#REF!</v>
      </c>
      <c r="H395" s="1033">
        <f ca="1">IF(OR(H$4="費用",H436="附帯",H$3=0,H$5-H$6=0),0,IF(H$86=入力規則マスタ!$L$5,ROUND(((H97+H97/(H$5-H$6)*H$6+H97/(H$5-H$6)*H$15)),(-3)),0))</f>
        <v>0</v>
      </c>
      <c r="I395" s="1015" t="e">
        <f ca="1">IF(OR(I$4="費用",I436="附帯",I$3=0,I$5-I$6=0),0,IF(I$86=入力規則マスタ!$L$5,ROUND(((I97+I97/(I$5-I$6)*I$6+I97/(I$5-I$6)*I$15)),(-3)),0))</f>
        <v>#REF!</v>
      </c>
    </row>
    <row r="396" spans="1:9" s="447" customFormat="1" ht="13.5" customHeight="1">
      <c r="A396" s="514"/>
      <c r="B396" s="877"/>
      <c r="C396" s="1089">
        <v>11005011</v>
      </c>
      <c r="D396" s="1090" t="s">
        <v>2038</v>
      </c>
      <c r="E396" s="1091"/>
      <c r="F396" s="1132"/>
      <c r="G396" s="1163" t="e">
        <f t="shared" ca="1" si="13"/>
        <v>#REF!</v>
      </c>
      <c r="H396" s="1033">
        <f ca="1">IF(OR(H$4="費用",H436="附帯",H$3=0,H$5-H$6=0),0,IF(H$86=入力規則マスタ!$L$5,ROUND(((H98+H98/(H$5-H$6)*H$6+H98/(H$5-H$6)*H$15)),(-3)),0))</f>
        <v>0</v>
      </c>
      <c r="I396" s="1015" t="e">
        <f ca="1">IF(OR(I$4="費用",I436="附帯",I$3=0,I$5-I$6=0),0,IF(I$86=入力規則マスタ!$L$5,ROUND(((I98+I98/(I$5-I$6)*I$6+I98/(I$5-I$6)*I$15)),(-3)),0))</f>
        <v>#REF!</v>
      </c>
    </row>
    <row r="397" spans="1:9" s="447" customFormat="1" ht="13.5" customHeight="1">
      <c r="A397" s="514"/>
      <c r="B397" s="877"/>
      <c r="C397" s="1089">
        <v>11099901</v>
      </c>
      <c r="D397" s="1090" t="s">
        <v>2039</v>
      </c>
      <c r="E397" s="1091"/>
      <c r="F397" s="1132"/>
      <c r="G397" s="1163" t="e">
        <f t="shared" ca="1" si="13"/>
        <v>#REF!</v>
      </c>
      <c r="H397" s="1033">
        <f ca="1">IF(OR(H$4="費用",H436="附帯",H$3=0,H$5-H$6=0),0,IF(H$86=入力規則マスタ!$L$6,ROUND(((H88+H88/(H$5-H$6)*H$6+H88/(H$5-H$6)*H$15)),(-3)),0))</f>
        <v>0</v>
      </c>
      <c r="I397" s="1015" t="e">
        <f ca="1">IF(OR(I$4="費用",I436="附帯",I$3=0,I$5-I$6=0),0,IF(I$86=入力規則マスタ!$L$6,ROUND(((I88+I88/(I$5-I$6)*I$6+I88/(I$5-I$6)*I$15)),(-3)),0))</f>
        <v>#REF!</v>
      </c>
    </row>
    <row r="398" spans="1:9" s="447" customFormat="1" ht="13.5" customHeight="1">
      <c r="A398" s="514"/>
      <c r="B398" s="877"/>
      <c r="C398" s="1089">
        <v>11099902</v>
      </c>
      <c r="D398" s="1090" t="s">
        <v>2040</v>
      </c>
      <c r="E398" s="1091"/>
      <c r="F398" s="1132"/>
      <c r="G398" s="1163" t="e">
        <f t="shared" ca="1" si="13"/>
        <v>#REF!</v>
      </c>
      <c r="H398" s="1033">
        <f ca="1">IF(OR(H$4="費用",H436="附帯",H$3=0,H$5-H$6=0),0,IF(H$86=入力規則マスタ!$L$6,ROUND(((H89+H89/(H$5-H$6)*H$6+H89/(H$5-H$6)*H$15)),(-3)),0))</f>
        <v>0</v>
      </c>
      <c r="I398" s="1015" t="e">
        <f ca="1">IF(OR(I$4="費用",I436="附帯",I$3=0,I$5-I$6=0),0,IF(I$86=入力規則マスタ!$L$6,ROUND(((I89+I89/(I$5-I$6)*I$6+I89/(I$5-I$6)*I$15)),(-3)),0))</f>
        <v>#REF!</v>
      </c>
    </row>
    <row r="399" spans="1:9" s="447" customFormat="1" ht="13.5" customHeight="1">
      <c r="A399" s="514"/>
      <c r="B399" s="877"/>
      <c r="C399" s="1089">
        <v>11099903</v>
      </c>
      <c r="D399" s="1090" t="s">
        <v>2041</v>
      </c>
      <c r="E399" s="1091"/>
      <c r="F399" s="1132"/>
      <c r="G399" s="1163" t="e">
        <f t="shared" ca="1" si="13"/>
        <v>#REF!</v>
      </c>
      <c r="H399" s="1033">
        <f ca="1">IF(OR(H$4="費用",H436="附帯",H$3=0,H$5-H$6=0),0,IF(H$86=入力規則マスタ!$L$6,ROUND(((H90+H90/(H$5-H$6)*H$6+H90/(H$5-H$6)*H$15)),(-3)),0))</f>
        <v>0</v>
      </c>
      <c r="I399" s="1015" t="e">
        <f ca="1">IF(OR(I$4="費用",I436="附帯",I$3=0,I$5-I$6=0),0,IF(I$86=入力規則マスタ!$L$6,ROUND(((I90+I90/(I$5-I$6)*I$6+I90/(I$5-I$6)*I$15)),(-3)),0))</f>
        <v>#REF!</v>
      </c>
    </row>
    <row r="400" spans="1:9" s="447" customFormat="1" ht="13.5" customHeight="1">
      <c r="A400" s="514"/>
      <c r="B400" s="877"/>
      <c r="C400" s="1089">
        <v>11099904</v>
      </c>
      <c r="D400" s="1090" t="s">
        <v>2042</v>
      </c>
      <c r="E400" s="1091"/>
      <c r="F400" s="1132"/>
      <c r="G400" s="1163" t="e">
        <f t="shared" ca="1" si="13"/>
        <v>#REF!</v>
      </c>
      <c r="H400" s="1033">
        <f ca="1">IF(OR(H$4="費用",H436="附帯",H$3=0,H$5-H$6=0),0,IF(H$86=入力規則マスタ!$L$6,ROUND(((H91+H91/(H$5-H$6)*H$6+H91/(H$5-H$6)*H$15)),(-3)),0))</f>
        <v>0</v>
      </c>
      <c r="I400" s="1015" t="e">
        <f ca="1">IF(OR(I$4="費用",I436="附帯",I$3=0,I$5-I$6=0),0,IF(I$86=入力規則マスタ!$L$6,ROUND(((I91+I91/(I$5-I$6)*I$6+I91/(I$5-I$6)*I$15)),(-3)),0))</f>
        <v>#REF!</v>
      </c>
    </row>
    <row r="401" spans="1:9" s="447" customFormat="1" ht="13.5" customHeight="1">
      <c r="A401" s="514"/>
      <c r="B401" s="877"/>
      <c r="C401" s="1089">
        <v>11099905</v>
      </c>
      <c r="D401" s="1090" t="s">
        <v>2043</v>
      </c>
      <c r="E401" s="1091"/>
      <c r="F401" s="1132"/>
      <c r="G401" s="1163" t="e">
        <f t="shared" ca="1" si="13"/>
        <v>#REF!</v>
      </c>
      <c r="H401" s="1033">
        <f ca="1">IF(OR(H$4="費用",H436="附帯",H$3=0,H$5-H$6=0),0,IF(H$86=入力規則マスタ!$L$6,ROUND(((H92+H92/(H$5-H$6)*H$6+H92/(H$5-H$6)*H$15)),(-3)),0))</f>
        <v>0</v>
      </c>
      <c r="I401" s="1015" t="e">
        <f ca="1">IF(OR(I$4="費用",I436="附帯",I$3=0,I$5-I$6=0),0,IF(I$86=入力規則マスタ!$L$6,ROUND(((I92+I92/(I$5-I$6)*I$6+I92/(I$5-I$6)*I$15)),(-3)),0))</f>
        <v>#REF!</v>
      </c>
    </row>
    <row r="402" spans="1:9" s="447" customFormat="1" ht="13.5" customHeight="1">
      <c r="A402" s="514"/>
      <c r="B402" s="877"/>
      <c r="C402" s="1089">
        <v>11099906</v>
      </c>
      <c r="D402" s="1090" t="s">
        <v>2044</v>
      </c>
      <c r="E402" s="1091"/>
      <c r="F402" s="1132"/>
      <c r="G402" s="1163" t="e">
        <f t="shared" ca="1" si="13"/>
        <v>#REF!</v>
      </c>
      <c r="H402" s="1033">
        <f ca="1">IF(OR(H$4="費用",H436="附帯",H$3=0,H$5-H$6=0),0,IF(H$86=入力規則マスタ!$L$6,ROUND(((H93+H93/(H$5-H$6)*H$6+H93/(H$5-H$6)*H$15)),(-3)),0))</f>
        <v>0</v>
      </c>
      <c r="I402" s="1015" t="e">
        <f ca="1">IF(OR(I$4="費用",I436="附帯",I$3=0,I$5-I$6=0),0,IF(I$86=入力規則マスタ!$L$6,ROUND(((I93+I93/(I$5-I$6)*I$6+I93/(I$5-I$6)*I$15)),(-3)),0))</f>
        <v>#REF!</v>
      </c>
    </row>
    <row r="403" spans="1:9" s="447" customFormat="1" ht="13.5" customHeight="1">
      <c r="A403" s="514"/>
      <c r="B403" s="877"/>
      <c r="C403" s="1089">
        <v>11099907</v>
      </c>
      <c r="D403" s="1090" t="s">
        <v>2045</v>
      </c>
      <c r="E403" s="1091"/>
      <c r="F403" s="1132"/>
      <c r="G403" s="1163" t="e">
        <f t="shared" ca="1" si="13"/>
        <v>#REF!</v>
      </c>
      <c r="H403" s="1033">
        <f ca="1">IF(OR(H$4="費用",H436="附帯",H$3=0,H$5-H$6=0),0,IF(H$86=入力規則マスタ!$L$6,ROUND(((H94+H94/(H$5-H$6)*H$6+H94/(H$5-H$6)*H$15)),(-3)),0))</f>
        <v>0</v>
      </c>
      <c r="I403" s="1015" t="e">
        <f ca="1">IF(OR(I$4="費用",I436="附帯",I$3=0,I$5-I$6=0),0,IF(I$86=入力規則マスタ!$L$6,ROUND(((I94+I94/(I$5-I$6)*I$6+I94/(I$5-I$6)*I$15)),(-3)),0))</f>
        <v>#REF!</v>
      </c>
    </row>
    <row r="404" spans="1:9" s="447" customFormat="1" ht="13.5" customHeight="1">
      <c r="A404" s="514"/>
      <c r="B404" s="877"/>
      <c r="C404" s="1089">
        <v>11099908</v>
      </c>
      <c r="D404" s="1090" t="s">
        <v>2046</v>
      </c>
      <c r="E404" s="1091"/>
      <c r="F404" s="1132"/>
      <c r="G404" s="1163" t="e">
        <f t="shared" ca="1" si="13"/>
        <v>#REF!</v>
      </c>
      <c r="H404" s="1033">
        <f ca="1">IF(OR(H$4="費用",H436="附帯",H$3=0,H$5-H$6=0),0,IF(H$86=入力規則マスタ!$L$6,ROUND(((H95+H95/(H$5-H$6)*H$6+H95/(H$5-H$6)*H$15)),(-3)),0))</f>
        <v>0</v>
      </c>
      <c r="I404" s="1015" t="e">
        <f ca="1">IF(OR(I$4="費用",I436="附帯",I$3=0,I$5-I$6=0),0,IF(I$86=入力規則マスタ!$L$6,ROUND(((I95+I95/(I$5-I$6)*I$6+I95/(I$5-I$6)*I$15)),(-3)),0))</f>
        <v>#REF!</v>
      </c>
    </row>
    <row r="405" spans="1:9" s="447" customFormat="1" ht="13.5" customHeight="1">
      <c r="A405" s="514"/>
      <c r="B405" s="877"/>
      <c r="C405" s="1089">
        <v>11099909</v>
      </c>
      <c r="D405" s="1090" t="s">
        <v>2047</v>
      </c>
      <c r="E405" s="1091"/>
      <c r="F405" s="1132"/>
      <c r="G405" s="1163" t="e">
        <f t="shared" ca="1" si="13"/>
        <v>#REF!</v>
      </c>
      <c r="H405" s="1033">
        <f ca="1">IF(OR(H$4="費用",H436="附帯",H$3=0,H$5-H$6=0),0,IF(H$86=入力規則マスタ!$L$6,ROUND(((H96+H96/(H$5-H$6)*H$6+H96/(H$5-H$6)*H$15)),(-3)),0))</f>
        <v>0</v>
      </c>
      <c r="I405" s="1015" t="e">
        <f ca="1">IF(OR(I$4="費用",I436="附帯",I$3=0,I$5-I$6=0),0,IF(I$86=入力規則マスタ!$L$6,ROUND(((I96+I96/(I$5-I$6)*I$6+I96/(I$5-I$6)*I$15)),(-3)),0))</f>
        <v>#REF!</v>
      </c>
    </row>
    <row r="406" spans="1:9" s="447" customFormat="1" ht="13.5" customHeight="1">
      <c r="A406" s="514"/>
      <c r="B406" s="877"/>
      <c r="C406" s="1089">
        <v>11099910</v>
      </c>
      <c r="D406" s="1090" t="s">
        <v>2048</v>
      </c>
      <c r="E406" s="1091"/>
      <c r="F406" s="1132"/>
      <c r="G406" s="1163" t="e">
        <f t="shared" ca="1" si="13"/>
        <v>#REF!</v>
      </c>
      <c r="H406" s="1033">
        <f ca="1">IF(OR(H$4="費用",H436="附帯",H$3=0,H$5-H$6=0),0,IF(H$86=入力規則マスタ!$L$6,ROUND(((H97+H97/(H$5-H$6)*H$6+H97/(H$5-H$6)*H$15)),(-3)),0))</f>
        <v>0</v>
      </c>
      <c r="I406" s="1015" t="e">
        <f ca="1">IF(OR(I$4="費用",I436="附帯",I$3=0,I$5-I$6=0),0,IF(I$86=入力規則マスタ!$L$6,ROUND(((I97+I97/(I$5-I$6)*I$6+I97/(I$5-I$6)*I$15)),(-3)),0))</f>
        <v>#REF!</v>
      </c>
    </row>
    <row r="407" spans="1:9" s="447" customFormat="1" ht="13.5" customHeight="1">
      <c r="A407" s="514"/>
      <c r="B407" s="877"/>
      <c r="C407" s="1089">
        <v>11099911</v>
      </c>
      <c r="D407" s="1090" t="s">
        <v>2049</v>
      </c>
      <c r="E407" s="1091"/>
      <c r="F407" s="1132"/>
      <c r="G407" s="1163" t="e">
        <f t="shared" ca="1" si="13"/>
        <v>#REF!</v>
      </c>
      <c r="H407" s="1033">
        <f ca="1">IF(OR(H$4="費用",H436="附帯",H$3=0,H$5-H$6=0),0,IF(H$86=入力規則マスタ!$L$6,ROUND(((H98+H98/(H$5-H$6)*H$6+H98/(H$5-H$6)*H$15)),(-3)),0))</f>
        <v>0</v>
      </c>
      <c r="I407" s="1015" t="e">
        <f ca="1">IF(OR(I$4="費用",I436="附帯",I$3=0,I$5-I$6=0),0,IF(I$86=入力規則マスタ!$L$6,ROUND(((I98+I98/(I$5-I$6)*I$6+I98/(I$5-I$6)*I$15)),(-3)),0))</f>
        <v>#REF!</v>
      </c>
    </row>
    <row r="408" spans="1:9" s="447" customFormat="1" ht="13.5" customHeight="1">
      <c r="A408" s="891"/>
      <c r="B408" s="892"/>
      <c r="C408" s="892"/>
      <c r="D408" s="892"/>
      <c r="E408" s="892"/>
      <c r="F408" s="1135" t="s">
        <v>2015</v>
      </c>
      <c r="G408" s="1166" t="e">
        <f t="shared" ca="1" si="13"/>
        <v>#REF!</v>
      </c>
      <c r="H408" s="1172">
        <f ca="1">SUM(H373:H407)</f>
        <v>0</v>
      </c>
      <c r="I408" s="893" t="e">
        <f ca="1">SUM(I373:I407)</f>
        <v>#REF!</v>
      </c>
    </row>
    <row r="409" spans="1:9" ht="13.5" customHeight="1">
      <c r="A409" s="857"/>
      <c r="B409" s="866"/>
      <c r="C409" s="1097" t="s">
        <v>3079</v>
      </c>
      <c r="D409" s="450"/>
      <c r="E409" s="450"/>
      <c r="F409" s="450"/>
      <c r="G409" s="1150"/>
      <c r="H409" s="1032"/>
      <c r="I409" s="479"/>
    </row>
    <row r="410" spans="1:9" ht="13.5" customHeight="1">
      <c r="A410" s="857"/>
      <c r="B410" s="866"/>
      <c r="C410" s="1098" t="s">
        <v>669</v>
      </c>
      <c r="D410" s="1070" t="s">
        <v>2748</v>
      </c>
      <c r="E410" s="1095"/>
      <c r="F410" s="1127"/>
      <c r="G410" s="1150" t="e">
        <f t="shared" ref="G410:G421" ca="1" si="14">SUM(H410:J410)</f>
        <v>#REF!</v>
      </c>
      <c r="H410" s="1033">
        <f ca="1">IF(OR(H$4="費用",H436="附帯",H$3=0,H$5-H$6=0),0,ROUND((H104+H104/(H$5-H$6)*H$6+H104/(H$5-H$6)*H$15),(-3)))</f>
        <v>0</v>
      </c>
      <c r="I410" s="1015" t="e">
        <f ca="1">IF(OR(I$4="費用",I436="附帯",I$3=0,I$5-I$6=0),0,ROUND((I104+I104/(I$5-I$6)*I$6+I104/(I$5-I$6)*I$15),(-3)))</f>
        <v>#REF!</v>
      </c>
    </row>
    <row r="411" spans="1:9" ht="13.5" customHeight="1">
      <c r="A411" s="857"/>
      <c r="B411" s="866"/>
      <c r="C411" s="1098" t="s">
        <v>669</v>
      </c>
      <c r="D411" s="1070" t="s">
        <v>2749</v>
      </c>
      <c r="E411" s="1081"/>
      <c r="F411" s="1127"/>
      <c r="G411" s="1150" t="e">
        <f t="shared" ca="1" si="14"/>
        <v>#REF!</v>
      </c>
      <c r="H411" s="1033">
        <f ca="1">IF(OR(H$4="費用",H436="附帯",H$3=0,H$5-H$6=0),0,ROUND((H105+H105/(H$5-H$6)*H$6+H105/(H$5-H$6)*H$15),(-3)))</f>
        <v>0</v>
      </c>
      <c r="I411" s="1015" t="e">
        <f ca="1">IF(OR(I$4="費用",I436="附帯",I$3=0,I$5-I$6=0),0,ROUND((I105+I105/(I$5-I$6)*I$6+I105/(I$5-I$6)*I$15),(-3)))</f>
        <v>#REF!</v>
      </c>
    </row>
    <row r="412" spans="1:9" ht="13.5" customHeight="1">
      <c r="A412" s="857"/>
      <c r="B412" s="866"/>
      <c r="C412" s="1098" t="s">
        <v>669</v>
      </c>
      <c r="D412" s="1070" t="s">
        <v>2750</v>
      </c>
      <c r="E412" s="1081"/>
      <c r="F412" s="1127"/>
      <c r="G412" s="1150" t="e">
        <f t="shared" ca="1" si="14"/>
        <v>#REF!</v>
      </c>
      <c r="H412" s="1033">
        <f ca="1">IF(OR(H$4="費用",H436="附帯",H$3=0,H$5-H$6=0),0,ROUND((H106+H106/(H$5-H$6)*H$6+H106/(H$5-H$6)*H$15),(-3)))</f>
        <v>0</v>
      </c>
      <c r="I412" s="1015" t="e">
        <f ca="1">IF(OR(I$4="費用",I436="附帯",I$3=0,I$5-I$6=0),0,ROUND((I106+I106/(I$5-I$6)*I$6+I106/(I$5-I$6)*I$15),(-3)))</f>
        <v>#REF!</v>
      </c>
    </row>
    <row r="413" spans="1:9" ht="13.5" customHeight="1">
      <c r="A413" s="857"/>
      <c r="B413" s="866"/>
      <c r="C413" s="1098" t="s">
        <v>669</v>
      </c>
      <c r="D413" s="1070" t="s">
        <v>2751</v>
      </c>
      <c r="E413" s="1081"/>
      <c r="F413" s="1127"/>
      <c r="G413" s="1150" t="e">
        <f t="shared" ca="1" si="14"/>
        <v>#REF!</v>
      </c>
      <c r="H413" s="1033">
        <f ca="1">IF(OR(H$4="費用",H436="附帯",H$3=0,H$5-H$6=0),0,ROUND((H107+H107/(H$5-H$6)*H$6+H107/(H$5-H$6)*H$15),(-3)))</f>
        <v>0</v>
      </c>
      <c r="I413" s="1015" t="e">
        <f ca="1">IF(OR(I$4="費用",I436="附帯",I$3=0,I$5-I$6=0),0,ROUND((I107+I107/(I$5-I$6)*I$6+I107/(I$5-I$6)*I$15),(-3)))</f>
        <v>#REF!</v>
      </c>
    </row>
    <row r="414" spans="1:9" ht="13.5" customHeight="1">
      <c r="A414" s="857"/>
      <c r="B414" s="866"/>
      <c r="C414" s="1098" t="s">
        <v>669</v>
      </c>
      <c r="D414" s="1070" t="s">
        <v>2014</v>
      </c>
      <c r="E414" s="1099"/>
      <c r="F414" s="1099"/>
      <c r="G414" s="1150" t="e">
        <f t="shared" ca="1" si="14"/>
        <v>#REF!</v>
      </c>
      <c r="H414" s="1033">
        <f ca="1">IF(OR(H$4="費用",H436="附帯",H$3=0,H$5-H$6=0),0,ROUND((H108+H108/(H$5-H$6)*H$6+H108/(H$5-H$6)*H$15),(-3)))</f>
        <v>0</v>
      </c>
      <c r="I414" s="1015" t="e">
        <f ca="1">IF(OR(I$4="費用",I436="附帯",I$3=0,I$5-I$6=0),0,ROUND((I108+I108/(I$5-I$6)*I$6+I108/(I$5-I$6)*I$15),(-3)))</f>
        <v>#REF!</v>
      </c>
    </row>
    <row r="415" spans="1:9" ht="13.5" customHeight="1">
      <c r="A415" s="857"/>
      <c r="B415" s="866"/>
      <c r="C415" s="1100" t="s">
        <v>671</v>
      </c>
      <c r="D415" s="1070" t="s">
        <v>2752</v>
      </c>
      <c r="E415" s="1092"/>
      <c r="F415" s="1092"/>
      <c r="G415" s="1150" t="e">
        <f t="shared" ca="1" si="14"/>
        <v>#REF!</v>
      </c>
      <c r="H415" s="1033">
        <f ca="1">IF(OR(H$4="費用",H436="附帯",H$3=0,H$5-H$6=0),0,ROUND((H109+H109/(H$5-H$6)*H$6+H109/(H$5-H$6)*H$15),(-3)))</f>
        <v>0</v>
      </c>
      <c r="I415" s="1015" t="e">
        <f ca="1">IF(OR(I$4="費用",I436="附帯",I$3=0,I$5-I$6=0),0,ROUND((I109+I109/(I$5-I$6)*I$6+I109/(I$5-I$6)*I$15),(-3)))</f>
        <v>#REF!</v>
      </c>
    </row>
    <row r="416" spans="1:9" ht="13.5" customHeight="1">
      <c r="A416" s="857"/>
      <c r="B416" s="866"/>
      <c r="C416" s="1100" t="s">
        <v>671</v>
      </c>
      <c r="D416" s="1070" t="s">
        <v>2753</v>
      </c>
      <c r="E416" s="1092"/>
      <c r="F416" s="1092"/>
      <c r="G416" s="1150" t="e">
        <f t="shared" ca="1" si="14"/>
        <v>#REF!</v>
      </c>
      <c r="H416" s="1033">
        <f ca="1">IF(OR(H$4="費用",H436="附帯",H$3=0,H$5-H$6=0),0,ROUND((H110+H110/(H$5-H$6)*H$6+H110/(H$5-H$6)*H$15),(-3)))</f>
        <v>0</v>
      </c>
      <c r="I416" s="1015" t="e">
        <f ca="1">IF(OR(I$4="費用",I436="附帯",I$3=0,I$5-I$6=0),0,ROUND((I110+I110/(I$5-I$6)*I$6+I110/(I$5-I$6)*I$15),(-3)))</f>
        <v>#REF!</v>
      </c>
    </row>
    <row r="417" spans="1:9" ht="13.5" customHeight="1">
      <c r="A417" s="857"/>
      <c r="B417" s="866"/>
      <c r="C417" s="1100" t="s">
        <v>671</v>
      </c>
      <c r="D417" s="1070" t="s">
        <v>2754</v>
      </c>
      <c r="E417" s="1092"/>
      <c r="F417" s="1092"/>
      <c r="G417" s="1150" t="e">
        <f t="shared" ca="1" si="14"/>
        <v>#REF!</v>
      </c>
      <c r="H417" s="1033">
        <f ca="1">IF(OR(H$4="費用",H436="附帯",H$3=0,H$5-H$6=0),0,ROUND((H111+H111/(H$5-H$6)*H$6+H111/(H$5-H$6)*H$15),(-3)))</f>
        <v>0</v>
      </c>
      <c r="I417" s="1015" t="e">
        <f ca="1">IF(OR(I$4="費用",I436="附帯",I$3=0,I$5-I$6=0),0,ROUND((I111+I111/(I$5-I$6)*I$6+I111/(I$5-I$6)*I$15),(-3)))</f>
        <v>#REF!</v>
      </c>
    </row>
    <row r="418" spans="1:9" ht="13.5" customHeight="1">
      <c r="A418" s="857"/>
      <c r="B418" s="866"/>
      <c r="C418" s="1100" t="s">
        <v>671</v>
      </c>
      <c r="D418" s="1070" t="s">
        <v>2755</v>
      </c>
      <c r="E418" s="1092"/>
      <c r="F418" s="1092"/>
      <c r="G418" s="1150" t="e">
        <f t="shared" ca="1" si="14"/>
        <v>#REF!</v>
      </c>
      <c r="H418" s="1033">
        <f ca="1">IF(OR(H$4="費用",H436="附帯",H$3=0,H$5-H$6=0),0,ROUND((H112+H112/(H$5-H$6)*H$6+H112/(H$5-H$6)*H$15),(-3)))</f>
        <v>0</v>
      </c>
      <c r="I418" s="1015" t="e">
        <f ca="1">IF(OR(I$4="費用",I436="附帯",I$3=0,I$5-I$6=0),0,ROUND((I112+I112/(I$5-I$6)*I$6+I112/(I$5-I$6)*I$15),(-3)))</f>
        <v>#REF!</v>
      </c>
    </row>
    <row r="419" spans="1:9" ht="13.5" customHeight="1">
      <c r="A419" s="857"/>
      <c r="B419" s="866"/>
      <c r="C419" s="1101">
        <v>12505988</v>
      </c>
      <c r="D419" s="1102" t="s">
        <v>2075</v>
      </c>
      <c r="E419" s="1102"/>
      <c r="F419" s="1102"/>
      <c r="G419" s="1150" t="e">
        <f t="shared" ca="1" si="14"/>
        <v>#REF!</v>
      </c>
      <c r="H419" s="1033">
        <f ca="1">IF(OR(H$4="費用",H436="附帯",H$3=0,H$5-H$6=0),0,ROUND((H113+H113/(H$5-H$6)*H$6+H113/(H$5-H$6)*H$15),(-3)))</f>
        <v>0</v>
      </c>
      <c r="I419" s="1015" t="e">
        <f ca="1">IF(OR(I$4="費用",I436="附帯",I$3=0,I$5-I$6=0),0,ROUND((I113+I113/(I$5-I$6)*I$6+I113/(I$5-I$6)*I$15),(-3)))</f>
        <v>#REF!</v>
      </c>
    </row>
    <row r="420" spans="1:9" ht="13.5" customHeight="1">
      <c r="A420" s="857"/>
      <c r="B420" s="866"/>
      <c r="C420" s="1101">
        <v>12505990</v>
      </c>
      <c r="D420" s="1102" t="s">
        <v>2076</v>
      </c>
      <c r="E420" s="1102"/>
      <c r="F420" s="1102"/>
      <c r="G420" s="1150" t="e">
        <f t="shared" ca="1" si="14"/>
        <v>#REF!</v>
      </c>
      <c r="H420" s="1033">
        <f ca="1">IF(OR(H$4="費用",H436="附帯",H$3=0,H$5-H$6=0),0,ROUND((H114+H114/(H$5-H$6)*H$6+H114/(H$5-H$6)*H$15),(-3)))</f>
        <v>0</v>
      </c>
      <c r="I420" s="1015" t="e">
        <f ca="1">IF(OR(I$4="費用",I436="附帯",I$3=0,I$5-I$6=0),0,ROUND((I114+I114/(I$5-I$6)*I$6+I114/(I$5-I$6)*I$15),(-3)))</f>
        <v>#REF!</v>
      </c>
    </row>
    <row r="421" spans="1:9" ht="13.5" customHeight="1">
      <c r="A421" s="857"/>
      <c r="B421" s="866"/>
      <c r="C421" s="1101">
        <v>12505991</v>
      </c>
      <c r="D421" s="1102" t="s">
        <v>2077</v>
      </c>
      <c r="E421" s="1102"/>
      <c r="F421" s="1102"/>
      <c r="G421" s="1150" t="e">
        <f t="shared" ca="1" si="14"/>
        <v>#REF!</v>
      </c>
      <c r="H421" s="1033">
        <f ca="1">IF(OR(H$4="費用",H436="附帯",H$3=0,H$5-H$6=0),0,ROUND((H115+H115/(H$5-H$6)*H$6+H115/(H$5-H$6)*H$15),(-3)))</f>
        <v>0</v>
      </c>
      <c r="I421" s="1015" t="e">
        <f ca="1">IF(OR(I$4="費用",I436="附帯",I$3=0,I$5-I$6=0),0,ROUND((I115+I115/(I$5-I$6)*I$6+I115/(I$5-I$6)*I$15),(-3)))</f>
        <v>#REF!</v>
      </c>
    </row>
    <row r="422" spans="1:9" s="447" customFormat="1" ht="13.5" customHeight="1">
      <c r="A422" s="857"/>
      <c r="B422" s="866"/>
      <c r="C422" s="1103" t="s">
        <v>3079</v>
      </c>
      <c r="D422" s="1092"/>
      <c r="E422" s="1093"/>
      <c r="F422" s="1092"/>
      <c r="G422" s="1167"/>
      <c r="H422" s="1046" t="str">
        <f>IF(H116="","",ROUND(H116+H116/(H$5-H$6)*H$6+H116/(H$5-H$6)*H$15,-3))</f>
        <v/>
      </c>
      <c r="I422" s="1013" t="str">
        <f>IF(I116="","",ROUND(I116+I116/(I$5-I$6)*I$6+I116/(I$5-I$6)*I$15,-3))</f>
        <v/>
      </c>
    </row>
    <row r="423" spans="1:9" s="447" customFormat="1" ht="13.5" customHeight="1" thickBot="1">
      <c r="A423" s="894"/>
      <c r="B423" s="895"/>
      <c r="C423" s="895"/>
      <c r="D423" s="895"/>
      <c r="E423" s="895"/>
      <c r="F423" s="1136" t="s">
        <v>1983</v>
      </c>
      <c r="G423" s="1168" t="e">
        <f t="shared" ref="G423:G429" ca="1" si="15">SUM(H423:J423)</f>
        <v>#REF!</v>
      </c>
      <c r="H423" s="1047">
        <f ca="1">SUM(H409:H421)</f>
        <v>0</v>
      </c>
      <c r="I423" s="896" t="e">
        <f ca="1">SUM(I409:I421)</f>
        <v>#REF!</v>
      </c>
    </row>
    <row r="424" spans="1:9" ht="13.5" customHeight="1" thickTop="1">
      <c r="A424" s="857"/>
      <c r="B424" s="866"/>
      <c r="C424" s="1102" t="s">
        <v>2253</v>
      </c>
      <c r="D424" s="1097" t="s">
        <v>2254</v>
      </c>
      <c r="E424" s="1097"/>
      <c r="F424" s="1137"/>
      <c r="G424" s="1163" t="e">
        <f t="shared" ca="1" si="15"/>
        <v>#REF!</v>
      </c>
      <c r="H424" s="1048">
        <f ca="1">IF(OR(H$4="費用",H436="附帯",H$3=0,H$5-H$6=0),0,ROUND((H10+H10/(H$5-H$6)*H$6+H10/(H$5-H$6)*H$15),(-3)))</f>
        <v>0</v>
      </c>
      <c r="I424" s="489" t="e">
        <f ca="1">IF(OR(I$4="費用",I436="附帯",I$3=0,I$5-I$6=0),0,ROUND((I10+I10/(I$5-I$6)*I$6+I10/(I$5-I$6)*I$15),(-3)))</f>
        <v>#REF!</v>
      </c>
    </row>
    <row r="425" spans="1:9" ht="13.5" customHeight="1">
      <c r="A425" s="857"/>
      <c r="B425" s="866"/>
      <c r="C425" s="1102" t="s">
        <v>2253</v>
      </c>
      <c r="D425" s="1097" t="s">
        <v>2255</v>
      </c>
      <c r="E425" s="1102"/>
      <c r="F425" s="1138"/>
      <c r="G425" s="1163" t="e">
        <f t="shared" ca="1" si="15"/>
        <v>#REF!</v>
      </c>
      <c r="H425" s="1048">
        <f ca="1">IF(OR(H$4="費用",H436="附帯",H$3=0,H$5-H$6=0),0,ROUND((H13+H13/(H$5-H$6)*H$6+H13/(H$5-H$6)*H$15),(-3)))</f>
        <v>0</v>
      </c>
      <c r="I425" s="489" t="e">
        <f ca="1">IF(OR(I$4="費用",I436="附帯",I$3=0,I$5-I$6=0),0,ROUND((I13+I13/(I$5-I$6)*I$6+I13/(I$5-I$6)*I$15),(-3)))</f>
        <v>#REF!</v>
      </c>
    </row>
    <row r="426" spans="1:9" s="447" customFormat="1" ht="13.5" customHeight="1" thickBot="1">
      <c r="A426" s="897"/>
      <c r="B426" s="884"/>
      <c r="C426" s="884"/>
      <c r="D426" s="884"/>
      <c r="E426" s="884"/>
      <c r="F426" s="1139" t="s">
        <v>2256</v>
      </c>
      <c r="G426" s="1169" t="e">
        <f t="shared" ca="1" si="15"/>
        <v>#REF!</v>
      </c>
      <c r="H426" s="1049">
        <f ca="1">SUM(H424:H425)</f>
        <v>0</v>
      </c>
      <c r="I426" s="898" t="e">
        <f ca="1">SUM(I424:I425)</f>
        <v>#REF!</v>
      </c>
    </row>
    <row r="427" spans="1:9" ht="13.5" customHeight="1" thickTop="1">
      <c r="A427" s="857"/>
      <c r="B427" s="866"/>
      <c r="C427" s="1102" t="s">
        <v>2253</v>
      </c>
      <c r="D427" s="1102" t="s">
        <v>2257</v>
      </c>
      <c r="E427" s="1102"/>
      <c r="F427" s="1138"/>
      <c r="G427" s="1163" t="e">
        <f t="shared" ca="1" si="15"/>
        <v>#REF!</v>
      </c>
      <c r="H427" s="1048">
        <f ca="1">IF(OR(H$4="費用",H436="附帯",H$3=0,H$5-H$6=0),0,ROUND((H14+H14/(H$5-H$6)*H$6+H14/(H$5-H$6)*H$15),(-3)))</f>
        <v>0</v>
      </c>
      <c r="I427" s="489" t="e">
        <f ca="1">IF(OR(I$4="費用",I436="附帯",I$3=0,I$5-I$6=0),0,ROUND((I14+I14/(I$5-I$6)*I$6+I14/(I$5-I$6)*I$15),(-3)))</f>
        <v>#REF!</v>
      </c>
    </row>
    <row r="428" spans="1:9" ht="13.5" customHeight="1">
      <c r="A428" s="857" t="s">
        <v>3068</v>
      </c>
      <c r="B428" s="866"/>
      <c r="C428" s="1102" t="s">
        <v>2253</v>
      </c>
      <c r="D428" s="1102" t="s">
        <v>2016</v>
      </c>
      <c r="E428" s="1102"/>
      <c r="F428" s="1138"/>
      <c r="G428" s="1163" t="e">
        <f t="shared" ca="1" si="15"/>
        <v>#REF!</v>
      </c>
      <c r="H428" s="1048">
        <f ca="1">IF(AND(H$4="費用",H$436="建築"),H$19,0)</f>
        <v>0</v>
      </c>
      <c r="I428" s="489" t="e">
        <f ca="1">IF(AND(I$4="費用",I$436="建築"),I$19,0)</f>
        <v>#REF!</v>
      </c>
    </row>
    <row r="429" spans="1:9" s="447" customFormat="1" ht="13.5" customHeight="1" thickBot="1">
      <c r="A429" s="963"/>
      <c r="B429" s="964"/>
      <c r="C429" s="964"/>
      <c r="D429" s="964"/>
      <c r="E429" s="964"/>
      <c r="F429" s="1140" t="str">
        <f>IF(H4="費用","費用計上　工事価格　計","費用計上（部分撤去工事を除く）　工事価格　計")</f>
        <v>費用計上（部分撤去工事を除く）　工事価格　計</v>
      </c>
      <c r="G429" s="1170" t="e">
        <f t="shared" ca="1" si="15"/>
        <v>#REF!</v>
      </c>
      <c r="H429" s="1050">
        <f ca="1">SUM(H427:H428)</f>
        <v>0</v>
      </c>
      <c r="I429" s="965" t="e">
        <f ca="1">SUM(I427:I428)</f>
        <v>#REF!</v>
      </c>
    </row>
    <row r="430" spans="1:9" s="447" customFormat="1" ht="13.5" customHeight="1" thickTop="1" thickBot="1">
      <c r="A430" s="1173"/>
      <c r="B430" s="1174"/>
      <c r="C430" s="1174"/>
      <c r="D430" s="1174"/>
      <c r="E430" s="1174"/>
      <c r="F430" s="1175" t="s">
        <v>3121</v>
      </c>
      <c r="G430" s="1176" t="e">
        <f ca="1">SUM(H430:N430)</f>
        <v>#REF!</v>
      </c>
      <c r="H430" s="1177">
        <f ca="1">IF(H$436="附帯",H19,0)</f>
        <v>0</v>
      </c>
      <c r="I430" s="1178" t="e">
        <f ca="1">IF(I$436="附帯",I19,0)</f>
        <v>#REF!</v>
      </c>
    </row>
    <row r="431" spans="1:9" ht="13.5" customHeight="1" thickTop="1">
      <c r="A431" s="878"/>
      <c r="B431" s="879"/>
      <c r="C431" s="451"/>
      <c r="D431" s="451"/>
      <c r="E431" s="451"/>
      <c r="F431" s="1141" t="s">
        <v>1984</v>
      </c>
      <c r="G431" s="1171" t="e">
        <f ca="1">SUM(H431:N431)</f>
        <v>#REF!</v>
      </c>
      <c r="H431" s="1051">
        <f ca="1">SUM(H372,H408,H423,H426,H429,H430)</f>
        <v>0</v>
      </c>
      <c r="I431" s="1017" t="e">
        <f ca="1">SUM(I372,I408,I423,I426,I429,I430)</f>
        <v>#REF!</v>
      </c>
    </row>
    <row r="432" spans="1:9" ht="13.5" customHeight="1">
      <c r="F432" s="966" t="s">
        <v>3078</v>
      </c>
      <c r="G432" s="969" t="e">
        <f ca="1">IF(G$19=G$431,"OK","工事価格が一致ません。↑")</f>
        <v>#REF!</v>
      </c>
      <c r="H432" s="969" t="str">
        <f ca="1">IF(H$19=H$431,"OK","工事価格が一致ません。↑")</f>
        <v>OK</v>
      </c>
      <c r="I432" s="969" t="e">
        <f ca="1">IF(I$19=I$431,"OK","工事価格が一致ません。↑")</f>
        <v>#REF!</v>
      </c>
    </row>
    <row r="433" spans="6:9" ht="13.5" customHeight="1">
      <c r="F433" s="901" t="s">
        <v>3071</v>
      </c>
      <c r="G433" s="902">
        <f ca="1">諸経費表!F$34</f>
        <v>0</v>
      </c>
      <c r="H433" s="902">
        <f ca="1">諸経費表!G$34</f>
        <v>0</v>
      </c>
      <c r="I433" s="902">
        <f ca="1">諸経費表!H$34</f>
        <v>0</v>
      </c>
    </row>
    <row r="436" spans="6:9" ht="13.5" customHeight="1">
      <c r="G436" s="901" t="s">
        <v>3122</v>
      </c>
      <c r="H436" s="1018" t="str">
        <f ca="1">IF((INDIRECT(H$3&amp;"!＄n＄1"))="附帯工事明細","附帯","建築")</f>
        <v>建築</v>
      </c>
      <c r="I436" s="1018" t="e">
        <f ca="1">IF((INDIRECT(I$3&amp;"!＄n＄1"))="附帯工事明細","附帯","建築")</f>
        <v>#REF!</v>
      </c>
    </row>
  </sheetData>
  <sheetProtection selectLockedCells="1" selectUnlockedCells="1"/>
  <mergeCells count="13">
    <mergeCell ref="L1:M1"/>
    <mergeCell ref="A120:D120"/>
    <mergeCell ref="C3:D3"/>
    <mergeCell ref="B22:D22"/>
    <mergeCell ref="B81:D81"/>
    <mergeCell ref="B103:D103"/>
    <mergeCell ref="A21:D21"/>
    <mergeCell ref="E120:F120"/>
    <mergeCell ref="E102:E103"/>
    <mergeCell ref="E9:E11"/>
    <mergeCell ref="E12:E14"/>
    <mergeCell ref="E21:E22"/>
    <mergeCell ref="E80:E81"/>
  </mergeCells>
  <phoneticPr fontId="8"/>
  <conditionalFormatting sqref="H20">
    <cfRule type="expression" dxfId="2" priority="101" stopIfTrue="1">
      <formula>AND($G$79&gt;5000000,OR($F$18="無し",$F$18="なし"))</formula>
    </cfRule>
  </conditionalFormatting>
  <conditionalFormatting sqref="G20">
    <cfRule type="expression" dxfId="1" priority="61" stopIfTrue="1">
      <formula>AND($G$79&gt;5000000,OR($F$18="無し",$F$18="なし"))</formula>
    </cfRule>
  </conditionalFormatting>
  <conditionalFormatting sqref="I20">
    <cfRule type="expression" dxfId="0" priority="46" stopIfTrue="1">
      <formula>AND($G$79&gt;5000000,OR($F$18="無し",$F$18="なし"))</formula>
    </cfRule>
  </conditionalFormatting>
  <dataValidations count="3">
    <dataValidation type="list" allowBlank="1" showInputMessage="1" showErrorMessage="1" sqref="H4:I4" xr:uid="{00000000-0002-0000-0200-000000000000}">
      <formula1>"資産,費用"</formula1>
    </dataValidation>
    <dataValidation type="list" allowBlank="1" showInputMessage="1" showErrorMessage="1" sqref="H22:I22" xr:uid="{00000000-0002-0000-0200-000001000000}">
      <formula1>OFFSET(INDIRECT("入力規則マスタ!$K$3"),0,0,COUNTA(INDIRECT("入力規則マスタ!$K:$K"))-1,1)</formula1>
    </dataValidation>
    <dataValidation type="list" allowBlank="1" showInputMessage="1" showErrorMessage="1" sqref="H86:I86" xr:uid="{00000000-0002-0000-0200-000002000000}">
      <formula1>OFFSET(INDIRECT("入力規則マスタ!$L$3"),0,0,COUNTA(INDIRECT("入力規則マスタ!$L:$L"))-1,1)</formula1>
    </dataValidation>
  </dataValidations>
  <printOptions horizontalCentered="1"/>
  <pageMargins left="0.19685039370078741" right="0.19685039370078741" top="0.6692913385826772" bottom="0.19685039370078741" header="0.51181102362204722" footer="0.51181102362204722"/>
  <pageSetup paperSize="9" scale="45" fitToHeight="0" orientation="portrait" cellComments="asDisplayed"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62" r:id="rId4" name="Button 74">
              <controlPr defaultSize="0" print="0" autoFill="0" autoPict="0" macro="[0]!資産クラス入力フォーム呼出し">
                <anchor moveWithCells="1" sizeWithCells="1">
                  <from>
                    <xdr:col>12</xdr:col>
                    <xdr:colOff>279400</xdr:colOff>
                    <xdr:row>2</xdr:row>
                    <xdr:rowOff>12700</xdr:rowOff>
                  </from>
                  <to>
                    <xdr:col>12</xdr:col>
                    <xdr:colOff>1905000</xdr:colOff>
                    <xdr:row>6</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T202"/>
  <sheetViews>
    <sheetView view="pageBreakPreview" topLeftCell="M1" zoomScale="110" zoomScaleNormal="100" zoomScaleSheetLayoutView="110" workbookViewId="0">
      <selection activeCell="O19" sqref="O19"/>
    </sheetView>
  </sheetViews>
  <sheetFormatPr baseColWidth="10" defaultColWidth="9" defaultRowHeight="16"/>
  <cols>
    <col min="1" max="1" width="9" style="553"/>
    <col min="2" max="2" width="1.83203125" style="553" customWidth="1"/>
    <col min="3" max="3" width="9" style="553"/>
    <col min="4" max="4" width="32.1640625" style="553" bestFit="1" customWidth="1"/>
    <col min="5" max="5" width="22.1640625" style="553" bestFit="1" customWidth="1"/>
    <col min="6" max="6" width="9" style="553"/>
    <col min="7" max="7" width="16.6640625" style="553" bestFit="1" customWidth="1"/>
    <col min="8" max="8" width="31.5" style="553" bestFit="1" customWidth="1"/>
    <col min="9" max="9" width="22.5" style="553" bestFit="1" customWidth="1"/>
    <col min="10" max="10" width="30.5" style="553" customWidth="1"/>
    <col min="11" max="11" width="22.5" style="553" bestFit="1" customWidth="1"/>
    <col min="12" max="12" width="30.5" style="553" customWidth="1"/>
    <col min="13" max="13" width="38.33203125" style="553" bestFit="1" customWidth="1"/>
    <col min="14" max="18" width="30.5" style="553" customWidth="1"/>
    <col min="19" max="16384" width="9" style="553"/>
  </cols>
  <sheetData>
    <row r="1" spans="1:20">
      <c r="A1" s="557" t="s">
        <v>2602</v>
      </c>
      <c r="C1" s="560" t="s">
        <v>2599</v>
      </c>
      <c r="D1" s="560"/>
      <c r="E1" s="560"/>
      <c r="G1" s="556" t="s">
        <v>2269</v>
      </c>
      <c r="H1" s="556"/>
      <c r="I1" s="556"/>
      <c r="J1" s="557" t="s">
        <v>2653</v>
      </c>
      <c r="K1" s="556"/>
      <c r="L1" s="565"/>
      <c r="M1" s="565"/>
      <c r="N1" s="565"/>
      <c r="O1" s="565"/>
      <c r="P1" s="565"/>
      <c r="Q1" s="565" t="s">
        <v>41</v>
      </c>
      <c r="R1" s="565"/>
      <c r="S1" s="565"/>
    </row>
    <row r="2" spans="1:20" ht="18">
      <c r="A2" s="555" t="s">
        <v>2603</v>
      </c>
      <c r="C2" s="559" t="s">
        <v>2604</v>
      </c>
      <c r="D2" s="558" t="s">
        <v>2389</v>
      </c>
      <c r="E2" s="558" t="s">
        <v>2601</v>
      </c>
      <c r="G2" s="555" t="s">
        <v>2600</v>
      </c>
      <c r="H2" s="552" t="s">
        <v>2389</v>
      </c>
      <c r="I2" s="552" t="s">
        <v>2601</v>
      </c>
      <c r="J2" s="552" t="s">
        <v>2675</v>
      </c>
      <c r="K2" s="576" t="s">
        <v>2789</v>
      </c>
      <c r="L2" s="576" t="s">
        <v>2790</v>
      </c>
      <c r="M2" s="564"/>
      <c r="N2" s="564" t="s">
        <v>2820</v>
      </c>
      <c r="O2" s="564" t="s">
        <v>3090</v>
      </c>
      <c r="P2" s="564"/>
      <c r="Q2" s="564" t="s">
        <v>3123</v>
      </c>
      <c r="R2" s="564"/>
      <c r="S2" s="553">
        <f>COUNTA(L:L)</f>
        <v>5</v>
      </c>
    </row>
    <row r="3" spans="1:20">
      <c r="A3" s="553" t="s">
        <v>2399</v>
      </c>
      <c r="C3" s="526" t="s">
        <v>2605</v>
      </c>
      <c r="D3" s="527" t="s">
        <v>2606</v>
      </c>
      <c r="E3" s="553" t="str">
        <f>C3&amp;"_"&amp;D3</f>
        <v>1_資産【自己調達資金】</v>
      </c>
      <c r="G3" s="554" t="s">
        <v>2360</v>
      </c>
      <c r="H3" s="553" t="s">
        <v>2280</v>
      </c>
      <c r="I3" s="553" t="str">
        <f>G3&amp;"_"&amp;H3</f>
        <v>1_建築企画課（建築企画）</v>
      </c>
      <c r="J3" s="585" t="s">
        <v>2654</v>
      </c>
      <c r="K3" s="577" t="s">
        <v>2782</v>
      </c>
      <c r="L3" s="578" t="s">
        <v>2780</v>
      </c>
      <c r="M3" s="578" t="s">
        <v>2826</v>
      </c>
      <c r="N3" s="578" t="s">
        <v>2824</v>
      </c>
      <c r="O3" s="993" t="s">
        <v>3091</v>
      </c>
      <c r="P3" s="993" t="s">
        <v>3092</v>
      </c>
      <c r="Q3" s="992" t="s">
        <v>3161</v>
      </c>
      <c r="R3" s="992"/>
      <c r="S3" s="553">
        <f>COUNTA(I:I)</f>
        <v>27</v>
      </c>
      <c r="T3" s="553">
        <f ca="1">+COUNTA(INDIRECT("入力規則マスタ!$K:$K"))</f>
        <v>9</v>
      </c>
    </row>
    <row r="4" spans="1:20">
      <c r="A4" s="553" t="s">
        <v>2400</v>
      </c>
      <c r="C4" s="526" t="s">
        <v>2607</v>
      </c>
      <c r="D4" s="527" t="s">
        <v>2608</v>
      </c>
      <c r="E4" s="553" t="str">
        <f t="shared" ref="E4:E19" si="0">C4&amp;"_"&amp;D4</f>
        <v>2_費用（撤去費)【自己調達資金】</v>
      </c>
      <c r="G4" s="554" t="s">
        <v>2361</v>
      </c>
      <c r="H4" s="553" t="s">
        <v>2281</v>
      </c>
      <c r="I4" s="553" t="str">
        <f t="shared" ref="I4:I28" si="1">G4&amp;"_"&amp;H4</f>
        <v>2_建築企画課（建築計画）</v>
      </c>
      <c r="J4" s="586" t="s">
        <v>2670</v>
      </c>
      <c r="K4" s="577" t="s">
        <v>2783</v>
      </c>
      <c r="L4" s="578" t="s">
        <v>2778</v>
      </c>
      <c r="M4" s="579" t="s">
        <v>2638</v>
      </c>
      <c r="N4" s="578" t="s">
        <v>2825</v>
      </c>
      <c r="O4" s="993" t="s">
        <v>3093</v>
      </c>
      <c r="P4" s="993" t="s">
        <v>3094</v>
      </c>
      <c r="Q4" s="992" t="s">
        <v>3124</v>
      </c>
      <c r="R4" s="992"/>
    </row>
    <row r="5" spans="1:20">
      <c r="A5" s="553" t="s">
        <v>2401</v>
      </c>
      <c r="C5" s="526" t="s">
        <v>2362</v>
      </c>
      <c r="D5" s="527" t="s">
        <v>2609</v>
      </c>
      <c r="E5" s="553" t="str">
        <f t="shared" si="0"/>
        <v>3_費用（修繕費)【自己調達資金】</v>
      </c>
      <c r="G5" s="554" t="s">
        <v>2362</v>
      </c>
      <c r="H5" s="553" t="s">
        <v>2282</v>
      </c>
      <c r="I5" s="553" t="str">
        <f t="shared" si="1"/>
        <v>3_建築企画課（建築協議）</v>
      </c>
      <c r="J5" s="586" t="s">
        <v>2671</v>
      </c>
      <c r="K5" s="577" t="s">
        <v>2784</v>
      </c>
      <c r="L5" s="578" t="s">
        <v>2779</v>
      </c>
      <c r="M5" s="579" t="s">
        <v>2647</v>
      </c>
      <c r="N5" s="578" t="s">
        <v>2651</v>
      </c>
      <c r="O5" s="993" t="s">
        <v>3095</v>
      </c>
      <c r="P5" s="993" t="s">
        <v>3096</v>
      </c>
      <c r="Q5" s="992" t="s">
        <v>3125</v>
      </c>
    </row>
    <row r="6" spans="1:20">
      <c r="A6" s="553" t="s">
        <v>2402</v>
      </c>
      <c r="C6" s="526" t="s">
        <v>2363</v>
      </c>
      <c r="D6" s="527" t="s">
        <v>2610</v>
      </c>
      <c r="E6" s="553" t="str">
        <f t="shared" si="0"/>
        <v>4_費用（保守費)【自己調達資金】</v>
      </c>
      <c r="G6" s="554" t="s">
        <v>2363</v>
      </c>
      <c r="H6" s="553" t="s">
        <v>2283</v>
      </c>
      <c r="I6" s="553" t="str">
        <f t="shared" si="1"/>
        <v>4_建築企画課（安全推進）</v>
      </c>
      <c r="J6" s="586" t="s">
        <v>2672</v>
      </c>
      <c r="K6" s="577" t="s">
        <v>2785</v>
      </c>
      <c r="L6" s="578" t="s">
        <v>2916</v>
      </c>
      <c r="M6" s="580" t="s">
        <v>2639</v>
      </c>
      <c r="N6" s="578" t="s">
        <v>2652</v>
      </c>
      <c r="O6" s="993" t="s">
        <v>3097</v>
      </c>
      <c r="P6" s="993" t="s">
        <v>3098</v>
      </c>
      <c r="Q6" s="553" t="s">
        <v>3126</v>
      </c>
    </row>
    <row r="7" spans="1:20">
      <c r="A7" s="553" t="s">
        <v>2403</v>
      </c>
      <c r="C7" s="526" t="s">
        <v>2365</v>
      </c>
      <c r="D7" s="527" t="s">
        <v>2611</v>
      </c>
      <c r="E7" s="553" t="str">
        <f t="shared" si="0"/>
        <v>6_資産【その他調達資金】</v>
      </c>
      <c r="G7" s="554" t="s">
        <v>2364</v>
      </c>
      <c r="I7" s="553" t="str">
        <f t="shared" si="1"/>
        <v>5_</v>
      </c>
      <c r="J7" s="586" t="s">
        <v>2655</v>
      </c>
      <c r="K7" s="577" t="s">
        <v>2786</v>
      </c>
      <c r="L7" s="578"/>
      <c r="M7" s="580" t="s">
        <v>2648</v>
      </c>
      <c r="N7" s="578" t="s">
        <v>2632</v>
      </c>
      <c r="O7" s="1010" t="s">
        <v>3099</v>
      </c>
      <c r="P7" s="993" t="s">
        <v>3100</v>
      </c>
      <c r="Q7" s="553" t="s">
        <v>3127</v>
      </c>
    </row>
    <row r="8" spans="1:20">
      <c r="A8" s="553" t="s">
        <v>2404</v>
      </c>
      <c r="C8" s="526" t="s">
        <v>2366</v>
      </c>
      <c r="D8" s="527" t="s">
        <v>2612</v>
      </c>
      <c r="E8" s="553" t="str">
        <f t="shared" si="0"/>
        <v>7_費用（撤去費)【その他調達資金】</v>
      </c>
      <c r="G8" s="554" t="s">
        <v>2365</v>
      </c>
      <c r="H8" s="553" t="s">
        <v>3176</v>
      </c>
      <c r="I8" s="553" t="str">
        <f t="shared" si="1"/>
        <v>6_建築企画課（建築技術）</v>
      </c>
      <c r="J8" s="586" t="s">
        <v>2656</v>
      </c>
      <c r="K8" s="577" t="s">
        <v>2787</v>
      </c>
      <c r="L8" s="578"/>
      <c r="M8" s="581" t="s">
        <v>2640</v>
      </c>
      <c r="N8" s="578" t="s">
        <v>2633</v>
      </c>
      <c r="O8" s="1010" t="s">
        <v>3118</v>
      </c>
      <c r="P8" s="993" t="s">
        <v>3101</v>
      </c>
      <c r="Q8" s="553" t="s">
        <v>3128</v>
      </c>
    </row>
    <row r="9" spans="1:20">
      <c r="A9" s="553" t="s">
        <v>2405</v>
      </c>
      <c r="C9" s="526" t="s">
        <v>2367</v>
      </c>
      <c r="D9" s="527" t="s">
        <v>2613</v>
      </c>
      <c r="E9" s="553" t="str">
        <f t="shared" si="0"/>
        <v>8_費用（修繕費)【その他調達資金】</v>
      </c>
      <c r="G9" s="554" t="s">
        <v>2366</v>
      </c>
      <c r="H9" s="553" t="s">
        <v>3181</v>
      </c>
      <c r="I9" s="553" t="str">
        <f t="shared" si="1"/>
        <v>7_建築企画課（建築検査）</v>
      </c>
      <c r="J9" s="586" t="s">
        <v>2657</v>
      </c>
      <c r="K9" s="577" t="s">
        <v>2788</v>
      </c>
      <c r="L9" s="578"/>
      <c r="M9" s="581" t="s">
        <v>2641</v>
      </c>
      <c r="N9" s="578" t="s">
        <v>2634</v>
      </c>
      <c r="O9" s="1010" t="s">
        <v>3089</v>
      </c>
      <c r="P9" s="993" t="s">
        <v>3102</v>
      </c>
      <c r="Q9" s="553" t="s">
        <v>3129</v>
      </c>
    </row>
    <row r="10" spans="1:20">
      <c r="A10" s="553" t="s">
        <v>2406</v>
      </c>
      <c r="C10" s="526" t="s">
        <v>2368</v>
      </c>
      <c r="D10" s="527" t="s">
        <v>2614</v>
      </c>
      <c r="E10" s="553" t="str">
        <f t="shared" si="0"/>
        <v>9_費用（保守費)【その他調達資金】</v>
      </c>
      <c r="G10" s="554" t="s">
        <v>2367</v>
      </c>
      <c r="H10" s="553" t="s">
        <v>3177</v>
      </c>
      <c r="I10" s="553" t="str">
        <f t="shared" si="1"/>
        <v>8_建築企画課（建築資産管理）</v>
      </c>
      <c r="J10" s="586" t="s">
        <v>2658</v>
      </c>
      <c r="K10" s="577" t="s">
        <v>2867</v>
      </c>
      <c r="L10" s="578"/>
      <c r="M10" s="582" t="s">
        <v>2642</v>
      </c>
      <c r="N10" s="578" t="s">
        <v>2819</v>
      </c>
      <c r="O10" s="1010" t="s">
        <v>3187</v>
      </c>
      <c r="P10" s="993" t="s">
        <v>3188</v>
      </c>
      <c r="Q10" s="553" t="s">
        <v>3130</v>
      </c>
    </row>
    <row r="11" spans="1:20">
      <c r="A11" s="553" t="s">
        <v>2407</v>
      </c>
      <c r="C11" s="526" t="s">
        <v>2369</v>
      </c>
      <c r="D11" s="527" t="s">
        <v>2615</v>
      </c>
      <c r="E11" s="553" t="str">
        <f t="shared" si="0"/>
        <v>A_他流動資産（受託工事）</v>
      </c>
      <c r="G11" s="554" t="s">
        <v>2368</v>
      </c>
      <c r="H11" s="553" t="s">
        <v>3178</v>
      </c>
      <c r="I11" s="553" t="str">
        <f t="shared" si="1"/>
        <v>9_建築設計課（建築設計）</v>
      </c>
      <c r="J11" s="586" t="s">
        <v>2659</v>
      </c>
      <c r="K11" s="578"/>
      <c r="L11" s="578"/>
      <c r="M11" s="582" t="s">
        <v>2643</v>
      </c>
      <c r="N11" s="578" t="s">
        <v>2635</v>
      </c>
      <c r="O11" s="993" t="s">
        <v>3103</v>
      </c>
      <c r="P11" s="993" t="s">
        <v>3104</v>
      </c>
      <c r="Q11" s="553" t="s">
        <v>3131</v>
      </c>
      <c r="R11" s="992"/>
    </row>
    <row r="12" spans="1:20">
      <c r="A12" s="553" t="s">
        <v>2408</v>
      </c>
      <c r="C12" s="526" t="s">
        <v>2370</v>
      </c>
      <c r="D12" s="527" t="s">
        <v>2616</v>
      </c>
      <c r="E12" s="553" t="str">
        <f t="shared" si="0"/>
        <v xml:space="preserve">B_資産【補助金対象】 </v>
      </c>
      <c r="G12" s="554" t="s">
        <v>2369</v>
      </c>
      <c r="H12" s="553" t="s">
        <v>3179</v>
      </c>
      <c r="I12" s="553" t="str">
        <f t="shared" si="1"/>
        <v>A_建築設計課（建築プロジェクト）</v>
      </c>
      <c r="J12" s="586" t="s">
        <v>2660</v>
      </c>
      <c r="K12" s="578"/>
      <c r="L12" s="578"/>
      <c r="M12" s="582" t="s">
        <v>2644</v>
      </c>
      <c r="N12" s="578" t="s">
        <v>2636</v>
      </c>
      <c r="O12" s="993" t="s">
        <v>3105</v>
      </c>
      <c r="P12" s="993" t="s">
        <v>3106</v>
      </c>
      <c r="Q12" s="992" t="s">
        <v>3132</v>
      </c>
      <c r="R12" s="992"/>
    </row>
    <row r="13" spans="1:20">
      <c r="A13" s="553" t="s">
        <v>2409</v>
      </c>
      <c r="C13" s="526" t="s">
        <v>2371</v>
      </c>
      <c r="D13" s="527" t="s">
        <v>2617</v>
      </c>
      <c r="E13" s="553" t="str">
        <f t="shared" si="0"/>
        <v xml:space="preserve">C_費用（撤去費） 【補助金対象】 </v>
      </c>
      <c r="G13" s="554" t="s">
        <v>2370</v>
      </c>
      <c r="H13" s="553" t="s">
        <v>3180</v>
      </c>
      <c r="I13" s="553" t="str">
        <f t="shared" si="1"/>
        <v>B_建築設計課(地上建築物）</v>
      </c>
      <c r="J13" s="586" t="s">
        <v>2661</v>
      </c>
      <c r="K13" s="578"/>
      <c r="L13" s="578"/>
      <c r="M13" s="582" t="s">
        <v>2645</v>
      </c>
      <c r="N13" s="578" t="s">
        <v>2822</v>
      </c>
      <c r="O13" s="993" t="s">
        <v>3107</v>
      </c>
      <c r="P13" s="993" t="s">
        <v>3108</v>
      </c>
      <c r="Q13" s="992" t="s">
        <v>3133</v>
      </c>
      <c r="R13" s="992"/>
    </row>
    <row r="14" spans="1:20">
      <c r="A14" s="553" t="s">
        <v>2410</v>
      </c>
      <c r="C14" s="526" t="s">
        <v>2372</v>
      </c>
      <c r="D14" s="527" t="s">
        <v>2618</v>
      </c>
      <c r="E14" s="553" t="str">
        <f t="shared" si="0"/>
        <v xml:space="preserve">D_費用（修繕費） 【補助金対象】 </v>
      </c>
      <c r="G14" s="554" t="s">
        <v>2371</v>
      </c>
      <c r="I14" s="553" t="str">
        <f t="shared" si="1"/>
        <v>C_</v>
      </c>
      <c r="J14" s="586" t="s">
        <v>2662</v>
      </c>
      <c r="K14" s="578"/>
      <c r="L14" s="578"/>
      <c r="M14" s="583" t="s">
        <v>2646</v>
      </c>
      <c r="N14" s="578" t="s">
        <v>2821</v>
      </c>
      <c r="O14" s="993" t="s">
        <v>3109</v>
      </c>
      <c r="P14" s="993" t="s">
        <v>3110</v>
      </c>
      <c r="Q14" s="992" t="s">
        <v>3134</v>
      </c>
      <c r="R14" s="992"/>
    </row>
    <row r="15" spans="1:20">
      <c r="A15" s="553" t="s">
        <v>2411</v>
      </c>
      <c r="C15" s="526" t="s">
        <v>2373</v>
      </c>
      <c r="D15" s="527" t="s">
        <v>2619</v>
      </c>
      <c r="E15" s="553" t="str">
        <f t="shared" si="0"/>
        <v xml:space="preserve">E_費用（保守費） 【補助金対象】 </v>
      </c>
      <c r="G15" s="554" t="s">
        <v>2372</v>
      </c>
      <c r="H15" s="553" t="s">
        <v>2284</v>
      </c>
      <c r="I15" s="553" t="str">
        <f t="shared" si="1"/>
        <v>D_建築管理事務所（施設管理）</v>
      </c>
      <c r="J15" s="586" t="s">
        <v>2666</v>
      </c>
      <c r="K15" s="578"/>
      <c r="L15" s="578"/>
      <c r="M15" s="584"/>
      <c r="N15" s="578"/>
      <c r="O15" s="993" t="s">
        <v>3111</v>
      </c>
      <c r="P15" s="993" t="s">
        <v>3112</v>
      </c>
      <c r="Q15" s="992" t="s">
        <v>3135</v>
      </c>
      <c r="R15" s="992"/>
    </row>
    <row r="16" spans="1:20">
      <c r="A16" s="553" t="s">
        <v>2412</v>
      </c>
      <c r="C16" s="526" t="s">
        <v>2620</v>
      </c>
      <c r="D16" s="527" t="s">
        <v>2621</v>
      </c>
      <c r="E16" s="553" t="str">
        <f t="shared" si="0"/>
        <v>W_費用（原価企画）【自己調達資金】</v>
      </c>
      <c r="G16" s="554" t="s">
        <v>2373</v>
      </c>
      <c r="H16" s="553" t="s">
        <v>2285</v>
      </c>
      <c r="I16" s="553" t="str">
        <f t="shared" si="1"/>
        <v>E_建築管理事務所（安全管理）</v>
      </c>
      <c r="J16" s="586" t="s">
        <v>2663</v>
      </c>
      <c r="K16" s="578"/>
      <c r="L16" s="578"/>
      <c r="M16" s="582"/>
      <c r="N16" s="578"/>
      <c r="O16" s="993" t="s">
        <v>3113</v>
      </c>
      <c r="P16" s="993" t="s">
        <v>3114</v>
      </c>
      <c r="Q16" s="992" t="s">
        <v>3136</v>
      </c>
      <c r="R16" s="992"/>
    </row>
    <row r="17" spans="1:18">
      <c r="A17" s="553" t="s">
        <v>2413</v>
      </c>
      <c r="C17" s="526" t="s">
        <v>2622</v>
      </c>
      <c r="D17" s="527" t="s">
        <v>2623</v>
      </c>
      <c r="E17" s="553" t="str">
        <f t="shared" si="0"/>
        <v>X_費用【その他調達資金】</v>
      </c>
      <c r="G17" s="554" t="s">
        <v>2374</v>
      </c>
      <c r="H17" s="553" t="s">
        <v>2293</v>
      </c>
      <c r="I17" s="553" t="str">
        <f t="shared" si="1"/>
        <v>F_建築管理事務所（保守管理）</v>
      </c>
      <c r="J17" s="586" t="s">
        <v>2667</v>
      </c>
      <c r="K17" s="578"/>
      <c r="L17" s="578"/>
      <c r="M17" s="580"/>
      <c r="N17" s="578"/>
      <c r="O17" s="993" t="s">
        <v>3115</v>
      </c>
      <c r="P17" s="993" t="s">
        <v>3116</v>
      </c>
      <c r="Q17" s="992" t="s">
        <v>3137</v>
      </c>
      <c r="R17" s="992"/>
    </row>
    <row r="18" spans="1:18">
      <c r="A18" s="553" t="s">
        <v>2414</v>
      </c>
      <c r="C18" s="526" t="s">
        <v>2624</v>
      </c>
      <c r="D18" s="527" t="s">
        <v>2625</v>
      </c>
      <c r="E18" s="553" t="str">
        <f t="shared" si="0"/>
        <v>Y_収入（その他収入）</v>
      </c>
      <c r="G18" s="554" t="s">
        <v>2375</v>
      </c>
      <c r="H18" s="553" t="s">
        <v>2286</v>
      </c>
      <c r="I18" s="553" t="str">
        <f t="shared" si="1"/>
        <v>G_建築管理事務所（駅施設改造）</v>
      </c>
      <c r="J18" s="586" t="s">
        <v>2014</v>
      </c>
      <c r="K18" s="578"/>
      <c r="L18" s="578"/>
      <c r="M18" s="580"/>
      <c r="N18" s="578"/>
      <c r="O18" s="993" t="s">
        <v>3185</v>
      </c>
      <c r="P18" s="993" t="s">
        <v>3186</v>
      </c>
      <c r="Q18" s="992" t="s">
        <v>3138</v>
      </c>
      <c r="R18" s="992"/>
    </row>
    <row r="19" spans="1:18">
      <c r="A19" s="553" t="s">
        <v>2415</v>
      </c>
      <c r="C19" s="526" t="s">
        <v>2626</v>
      </c>
      <c r="D19" s="527" t="s">
        <v>2627</v>
      </c>
      <c r="E19" s="553" t="str">
        <f t="shared" si="0"/>
        <v>Z_収入（運輸収入）</v>
      </c>
      <c r="G19" s="554" t="s">
        <v>2376</v>
      </c>
      <c r="H19" s="553" t="s">
        <v>2287</v>
      </c>
      <c r="I19" s="553" t="str">
        <f t="shared" si="1"/>
        <v>H_建築管理事務所（小規模補修）</v>
      </c>
      <c r="J19" s="586" t="s">
        <v>2668</v>
      </c>
      <c r="K19" s="578"/>
      <c r="L19" s="578"/>
      <c r="M19" s="587"/>
      <c r="N19" s="588"/>
      <c r="O19" s="1011"/>
      <c r="P19" s="1011"/>
      <c r="Q19" s="992" t="s">
        <v>3139</v>
      </c>
      <c r="R19" s="992"/>
    </row>
    <row r="20" spans="1:18">
      <c r="A20" s="553" t="s">
        <v>2416</v>
      </c>
      <c r="G20" s="553" t="s">
        <v>2390</v>
      </c>
      <c r="H20" s="553" t="s">
        <v>2288</v>
      </c>
      <c r="I20" s="553" t="str">
        <f t="shared" si="1"/>
        <v>I_建築管理事務所（建築工事）</v>
      </c>
      <c r="J20" s="586" t="s">
        <v>2664</v>
      </c>
      <c r="K20" s="578"/>
      <c r="L20" s="578"/>
      <c r="M20" s="587"/>
      <c r="N20" s="588"/>
      <c r="O20" s="992"/>
      <c r="P20" s="992"/>
      <c r="Q20" s="992" t="s">
        <v>3140</v>
      </c>
      <c r="R20" s="992"/>
    </row>
    <row r="21" spans="1:18">
      <c r="A21" s="553" t="s">
        <v>2417</v>
      </c>
      <c r="G21" s="553" t="s">
        <v>2391</v>
      </c>
      <c r="H21" s="553" t="s">
        <v>2289</v>
      </c>
      <c r="I21" s="553" t="str">
        <f t="shared" si="1"/>
        <v>J_建築管理事務所（北部建築保守）</v>
      </c>
      <c r="J21" s="586" t="s">
        <v>2669</v>
      </c>
      <c r="K21" s="578"/>
      <c r="L21" s="578"/>
      <c r="M21" s="582"/>
      <c r="N21" s="588"/>
      <c r="O21" s="992"/>
      <c r="P21" s="992"/>
      <c r="Q21" s="992" t="s">
        <v>3141</v>
      </c>
      <c r="R21" s="992"/>
    </row>
    <row r="22" spans="1:18">
      <c r="A22" s="553" t="s">
        <v>2418</v>
      </c>
      <c r="G22" s="553" t="s">
        <v>2392</v>
      </c>
      <c r="H22" s="553" t="s">
        <v>2290</v>
      </c>
      <c r="I22" s="553" t="str">
        <f t="shared" si="1"/>
        <v>K_建築管理事務所（南部建築保守）</v>
      </c>
      <c r="J22" s="586" t="s">
        <v>2665</v>
      </c>
      <c r="K22" s="578"/>
      <c r="L22" s="578"/>
      <c r="M22" s="582"/>
      <c r="N22" s="588"/>
      <c r="O22" s="992"/>
      <c r="P22" s="992"/>
      <c r="Q22" s="992" t="s">
        <v>3142</v>
      </c>
      <c r="R22" s="992"/>
    </row>
    <row r="23" spans="1:18">
      <c r="A23" s="553" t="s">
        <v>2419</v>
      </c>
      <c r="G23" s="553" t="s">
        <v>2393</v>
      </c>
      <c r="I23" s="553" t="str">
        <f t="shared" si="1"/>
        <v>L_</v>
      </c>
      <c r="J23" s="586" t="s">
        <v>2758</v>
      </c>
      <c r="K23" s="578"/>
      <c r="L23" s="578"/>
      <c r="M23" s="582"/>
      <c r="N23" s="588"/>
      <c r="O23" s="992"/>
      <c r="P23" s="992"/>
      <c r="Q23" s="992" t="s">
        <v>3143</v>
      </c>
      <c r="R23" s="992"/>
    </row>
    <row r="24" spans="1:18">
      <c r="A24" s="553" t="s">
        <v>2420</v>
      </c>
      <c r="G24" s="553" t="s">
        <v>2394</v>
      </c>
      <c r="I24" s="553" t="str">
        <f t="shared" si="1"/>
        <v>M_</v>
      </c>
      <c r="J24" s="586" t="s">
        <v>2673</v>
      </c>
      <c r="K24" s="578"/>
      <c r="L24" s="578"/>
      <c r="M24" s="578"/>
      <c r="N24" s="588"/>
      <c r="O24" s="992"/>
      <c r="P24" s="992"/>
      <c r="Q24" s="992" t="s">
        <v>3144</v>
      </c>
      <c r="R24" s="992"/>
    </row>
    <row r="25" spans="1:18">
      <c r="A25" s="553" t="s">
        <v>2421</v>
      </c>
      <c r="G25" s="553" t="s">
        <v>2395</v>
      </c>
      <c r="I25" s="553" t="str">
        <f t="shared" si="1"/>
        <v>N_</v>
      </c>
      <c r="J25" s="586" t="s">
        <v>2674</v>
      </c>
      <c r="K25" s="578"/>
      <c r="L25" s="578"/>
      <c r="M25" s="578"/>
      <c r="N25" s="588"/>
      <c r="O25" s="992"/>
      <c r="P25" s="992"/>
      <c r="Q25" s="992" t="s">
        <v>3145</v>
      </c>
      <c r="R25" s="992"/>
    </row>
    <row r="26" spans="1:18">
      <c r="A26" s="553" t="s">
        <v>2422</v>
      </c>
      <c r="G26" s="553" t="s">
        <v>2396</v>
      </c>
      <c r="I26" s="553" t="str">
        <f t="shared" si="1"/>
        <v>P_</v>
      </c>
      <c r="J26" s="586"/>
      <c r="K26" s="578"/>
      <c r="L26" s="578"/>
      <c r="M26" s="578"/>
      <c r="N26" s="588"/>
      <c r="O26" s="992"/>
      <c r="P26" s="992"/>
      <c r="Q26" s="992" t="s">
        <v>3146</v>
      </c>
      <c r="R26" s="992"/>
    </row>
    <row r="27" spans="1:18">
      <c r="A27" s="553" t="s">
        <v>2423</v>
      </c>
      <c r="G27" s="553" t="s">
        <v>2397</v>
      </c>
      <c r="I27" s="553" t="str">
        <f t="shared" si="1"/>
        <v>Q_</v>
      </c>
      <c r="J27" s="589" t="s">
        <v>2781</v>
      </c>
      <c r="K27" s="590"/>
      <c r="L27" s="590"/>
      <c r="M27" s="590"/>
      <c r="N27" s="591"/>
      <c r="O27" s="992"/>
      <c r="P27" s="992"/>
      <c r="Q27" s="992" t="s">
        <v>3147</v>
      </c>
      <c r="R27" s="992"/>
    </row>
    <row r="28" spans="1:18">
      <c r="A28" s="553" t="s">
        <v>2424</v>
      </c>
      <c r="G28" s="553" t="s">
        <v>2398</v>
      </c>
      <c r="I28" s="553" t="str">
        <f t="shared" si="1"/>
        <v>R_</v>
      </c>
      <c r="O28" s="992"/>
      <c r="P28" s="992"/>
      <c r="Q28" s="992"/>
    </row>
    <row r="29" spans="1:18">
      <c r="A29" s="553" t="s">
        <v>2425</v>
      </c>
    </row>
    <row r="30" spans="1:18">
      <c r="A30" s="553" t="s">
        <v>2426</v>
      </c>
    </row>
    <row r="31" spans="1:18">
      <c r="A31" s="553" t="s">
        <v>2427</v>
      </c>
    </row>
    <row r="32" spans="1:18">
      <c r="A32" s="553" t="s">
        <v>2428</v>
      </c>
    </row>
    <row r="33" spans="1:1">
      <c r="A33" s="553" t="s">
        <v>2429</v>
      </c>
    </row>
    <row r="34" spans="1:1">
      <c r="A34" s="553" t="s">
        <v>2430</v>
      </c>
    </row>
    <row r="35" spans="1:1">
      <c r="A35" s="553" t="s">
        <v>2431</v>
      </c>
    </row>
    <row r="36" spans="1:1">
      <c r="A36" s="553" t="s">
        <v>2432</v>
      </c>
    </row>
    <row r="37" spans="1:1">
      <c r="A37" s="553" t="s">
        <v>2433</v>
      </c>
    </row>
    <row r="38" spans="1:1">
      <c r="A38" s="553" t="s">
        <v>2434</v>
      </c>
    </row>
    <row r="39" spans="1:1">
      <c r="A39" s="553" t="s">
        <v>2435</v>
      </c>
    </row>
    <row r="40" spans="1:1">
      <c r="A40" s="553" t="s">
        <v>2436</v>
      </c>
    </row>
    <row r="41" spans="1:1">
      <c r="A41" s="553" t="s">
        <v>2437</v>
      </c>
    </row>
    <row r="42" spans="1:1">
      <c r="A42" s="553" t="s">
        <v>2438</v>
      </c>
    </row>
    <row r="43" spans="1:1">
      <c r="A43" s="553" t="s">
        <v>2439</v>
      </c>
    </row>
    <row r="44" spans="1:1">
      <c r="A44" s="553" t="s">
        <v>2440</v>
      </c>
    </row>
    <row r="45" spans="1:1">
      <c r="A45" s="553" t="s">
        <v>2441</v>
      </c>
    </row>
    <row r="46" spans="1:1">
      <c r="A46" s="553" t="s">
        <v>2442</v>
      </c>
    </row>
    <row r="47" spans="1:1">
      <c r="A47" s="553" t="s">
        <v>2443</v>
      </c>
    </row>
    <row r="48" spans="1:1">
      <c r="A48" s="553" t="s">
        <v>2444</v>
      </c>
    </row>
    <row r="49" spans="1:1">
      <c r="A49" s="553" t="s">
        <v>2445</v>
      </c>
    </row>
    <row r="50" spans="1:1">
      <c r="A50" s="553" t="s">
        <v>2446</v>
      </c>
    </row>
    <row r="51" spans="1:1">
      <c r="A51" s="553" t="s">
        <v>2447</v>
      </c>
    </row>
    <row r="52" spans="1:1">
      <c r="A52" s="553" t="s">
        <v>2448</v>
      </c>
    </row>
    <row r="53" spans="1:1">
      <c r="A53" s="553" t="s">
        <v>2449</v>
      </c>
    </row>
    <row r="54" spans="1:1">
      <c r="A54" s="553" t="s">
        <v>2450</v>
      </c>
    </row>
    <row r="55" spans="1:1">
      <c r="A55" s="553" t="s">
        <v>2451</v>
      </c>
    </row>
    <row r="56" spans="1:1">
      <c r="A56" s="553" t="s">
        <v>2452</v>
      </c>
    </row>
    <row r="57" spans="1:1">
      <c r="A57" s="553" t="s">
        <v>2453</v>
      </c>
    </row>
    <row r="58" spans="1:1">
      <c r="A58" s="553" t="s">
        <v>2454</v>
      </c>
    </row>
    <row r="59" spans="1:1">
      <c r="A59" s="553" t="s">
        <v>2455</v>
      </c>
    </row>
    <row r="60" spans="1:1">
      <c r="A60" s="553" t="s">
        <v>2456</v>
      </c>
    </row>
    <row r="61" spans="1:1">
      <c r="A61" s="553" t="s">
        <v>2457</v>
      </c>
    </row>
    <row r="62" spans="1:1">
      <c r="A62" s="553" t="s">
        <v>2458</v>
      </c>
    </row>
    <row r="63" spans="1:1">
      <c r="A63" s="553" t="s">
        <v>2459</v>
      </c>
    </row>
    <row r="64" spans="1:1">
      <c r="A64" s="553" t="s">
        <v>2460</v>
      </c>
    </row>
    <row r="65" spans="1:1">
      <c r="A65" s="553" t="s">
        <v>2461</v>
      </c>
    </row>
    <row r="66" spans="1:1">
      <c r="A66" s="553" t="s">
        <v>2462</v>
      </c>
    </row>
    <row r="67" spans="1:1">
      <c r="A67" s="553" t="s">
        <v>2463</v>
      </c>
    </row>
    <row r="68" spans="1:1">
      <c r="A68" s="553" t="s">
        <v>2464</v>
      </c>
    </row>
    <row r="69" spans="1:1">
      <c r="A69" s="553" t="s">
        <v>2465</v>
      </c>
    </row>
    <row r="70" spans="1:1">
      <c r="A70" s="553" t="s">
        <v>2466</v>
      </c>
    </row>
    <row r="71" spans="1:1">
      <c r="A71" s="553" t="s">
        <v>2467</v>
      </c>
    </row>
    <row r="72" spans="1:1">
      <c r="A72" s="553" t="s">
        <v>2468</v>
      </c>
    </row>
    <row r="73" spans="1:1">
      <c r="A73" s="553" t="s">
        <v>2469</v>
      </c>
    </row>
    <row r="74" spans="1:1">
      <c r="A74" s="553" t="s">
        <v>2470</v>
      </c>
    </row>
    <row r="75" spans="1:1">
      <c r="A75" s="553" t="s">
        <v>2471</v>
      </c>
    </row>
    <row r="76" spans="1:1">
      <c r="A76" s="553" t="s">
        <v>2472</v>
      </c>
    </row>
    <row r="77" spans="1:1">
      <c r="A77" s="553" t="s">
        <v>2473</v>
      </c>
    </row>
    <row r="78" spans="1:1">
      <c r="A78" s="553" t="s">
        <v>2474</v>
      </c>
    </row>
    <row r="79" spans="1:1">
      <c r="A79" s="553" t="s">
        <v>2475</v>
      </c>
    </row>
    <row r="80" spans="1:1">
      <c r="A80" s="553" t="s">
        <v>2476</v>
      </c>
    </row>
    <row r="81" spans="1:1">
      <c r="A81" s="553" t="s">
        <v>2477</v>
      </c>
    </row>
    <row r="82" spans="1:1">
      <c r="A82" s="553" t="s">
        <v>2478</v>
      </c>
    </row>
    <row r="83" spans="1:1">
      <c r="A83" s="553" t="s">
        <v>2479</v>
      </c>
    </row>
    <row r="84" spans="1:1">
      <c r="A84" s="553" t="s">
        <v>2480</v>
      </c>
    </row>
    <row r="85" spans="1:1">
      <c r="A85" s="553" t="s">
        <v>2481</v>
      </c>
    </row>
    <row r="86" spans="1:1">
      <c r="A86" s="553" t="s">
        <v>2482</v>
      </c>
    </row>
    <row r="87" spans="1:1">
      <c r="A87" s="553" t="s">
        <v>2483</v>
      </c>
    </row>
    <row r="88" spans="1:1">
      <c r="A88" s="553" t="s">
        <v>2484</v>
      </c>
    </row>
    <row r="89" spans="1:1">
      <c r="A89" s="553" t="s">
        <v>2485</v>
      </c>
    </row>
    <row r="90" spans="1:1">
      <c r="A90" s="553" t="s">
        <v>2486</v>
      </c>
    </row>
    <row r="91" spans="1:1">
      <c r="A91" s="553" t="s">
        <v>2487</v>
      </c>
    </row>
    <row r="92" spans="1:1">
      <c r="A92" s="553" t="s">
        <v>2488</v>
      </c>
    </row>
    <row r="93" spans="1:1">
      <c r="A93" s="553" t="s">
        <v>2489</v>
      </c>
    </row>
    <row r="94" spans="1:1">
      <c r="A94" s="553" t="s">
        <v>2490</v>
      </c>
    </row>
    <row r="95" spans="1:1">
      <c r="A95" s="553" t="s">
        <v>2491</v>
      </c>
    </row>
    <row r="96" spans="1:1">
      <c r="A96" s="553" t="s">
        <v>2492</v>
      </c>
    </row>
    <row r="97" spans="1:1">
      <c r="A97" s="553" t="s">
        <v>2493</v>
      </c>
    </row>
    <row r="98" spans="1:1">
      <c r="A98" s="553" t="s">
        <v>2494</v>
      </c>
    </row>
    <row r="99" spans="1:1">
      <c r="A99" s="553" t="s">
        <v>2495</v>
      </c>
    </row>
    <row r="100" spans="1:1">
      <c r="A100" s="553" t="s">
        <v>2496</v>
      </c>
    </row>
    <row r="101" spans="1:1">
      <c r="A101" s="553" t="s">
        <v>2497</v>
      </c>
    </row>
    <row r="102" spans="1:1">
      <c r="A102" s="553" t="s">
        <v>2498</v>
      </c>
    </row>
    <row r="103" spans="1:1">
      <c r="A103" s="553" t="s">
        <v>2499</v>
      </c>
    </row>
    <row r="104" spans="1:1">
      <c r="A104" s="553" t="s">
        <v>2500</v>
      </c>
    </row>
    <row r="105" spans="1:1">
      <c r="A105" s="553" t="s">
        <v>2501</v>
      </c>
    </row>
    <row r="106" spans="1:1">
      <c r="A106" s="553" t="s">
        <v>2502</v>
      </c>
    </row>
    <row r="107" spans="1:1">
      <c r="A107" s="553" t="s">
        <v>2503</v>
      </c>
    </row>
    <row r="108" spans="1:1">
      <c r="A108" s="553" t="s">
        <v>2504</v>
      </c>
    </row>
    <row r="109" spans="1:1">
      <c r="A109" s="553" t="s">
        <v>2505</v>
      </c>
    </row>
    <row r="110" spans="1:1">
      <c r="A110" s="553" t="s">
        <v>2506</v>
      </c>
    </row>
    <row r="111" spans="1:1">
      <c r="A111" s="553" t="s">
        <v>2507</v>
      </c>
    </row>
    <row r="112" spans="1:1">
      <c r="A112" s="553" t="s">
        <v>2508</v>
      </c>
    </row>
    <row r="113" spans="1:1">
      <c r="A113" s="553" t="s">
        <v>2509</v>
      </c>
    </row>
    <row r="114" spans="1:1">
      <c r="A114" s="553" t="s">
        <v>2510</v>
      </c>
    </row>
    <row r="115" spans="1:1">
      <c r="A115" s="553" t="s">
        <v>2511</v>
      </c>
    </row>
    <row r="116" spans="1:1">
      <c r="A116" s="553" t="s">
        <v>2512</v>
      </c>
    </row>
    <row r="117" spans="1:1">
      <c r="A117" s="553" t="s">
        <v>2513</v>
      </c>
    </row>
    <row r="118" spans="1:1">
      <c r="A118" s="553" t="s">
        <v>2514</v>
      </c>
    </row>
    <row r="119" spans="1:1">
      <c r="A119" s="553" t="s">
        <v>2515</v>
      </c>
    </row>
    <row r="120" spans="1:1">
      <c r="A120" s="553" t="s">
        <v>2516</v>
      </c>
    </row>
    <row r="121" spans="1:1">
      <c r="A121" s="553" t="s">
        <v>2517</v>
      </c>
    </row>
    <row r="122" spans="1:1">
      <c r="A122" s="553" t="s">
        <v>2518</v>
      </c>
    </row>
    <row r="123" spans="1:1">
      <c r="A123" s="553" t="s">
        <v>2519</v>
      </c>
    </row>
    <row r="124" spans="1:1">
      <c r="A124" s="553" t="s">
        <v>2520</v>
      </c>
    </row>
    <row r="125" spans="1:1">
      <c r="A125" s="553" t="s">
        <v>2521</v>
      </c>
    </row>
    <row r="126" spans="1:1">
      <c r="A126" s="553" t="s">
        <v>2522</v>
      </c>
    </row>
    <row r="127" spans="1:1">
      <c r="A127" s="553" t="s">
        <v>2523</v>
      </c>
    </row>
    <row r="128" spans="1:1">
      <c r="A128" s="553" t="s">
        <v>2524</v>
      </c>
    </row>
    <row r="129" spans="1:1">
      <c r="A129" s="553" t="s">
        <v>2525</v>
      </c>
    </row>
    <row r="130" spans="1:1">
      <c r="A130" s="553" t="s">
        <v>2526</v>
      </c>
    </row>
    <row r="131" spans="1:1">
      <c r="A131" s="553" t="s">
        <v>2527</v>
      </c>
    </row>
    <row r="132" spans="1:1">
      <c r="A132" s="553" t="s">
        <v>2528</v>
      </c>
    </row>
    <row r="133" spans="1:1">
      <c r="A133" s="553" t="s">
        <v>2529</v>
      </c>
    </row>
    <row r="134" spans="1:1">
      <c r="A134" s="553" t="s">
        <v>2530</v>
      </c>
    </row>
    <row r="135" spans="1:1">
      <c r="A135" s="553" t="s">
        <v>2531</v>
      </c>
    </row>
    <row r="136" spans="1:1">
      <c r="A136" s="553" t="s">
        <v>2532</v>
      </c>
    </row>
    <row r="137" spans="1:1">
      <c r="A137" s="553" t="s">
        <v>2533</v>
      </c>
    </row>
    <row r="138" spans="1:1">
      <c r="A138" s="553" t="s">
        <v>2534</v>
      </c>
    </row>
    <row r="139" spans="1:1">
      <c r="A139" s="553" t="s">
        <v>2535</v>
      </c>
    </row>
    <row r="140" spans="1:1">
      <c r="A140" s="553" t="s">
        <v>2536</v>
      </c>
    </row>
    <row r="141" spans="1:1">
      <c r="A141" s="553" t="s">
        <v>2537</v>
      </c>
    </row>
    <row r="142" spans="1:1">
      <c r="A142" s="553" t="s">
        <v>2538</v>
      </c>
    </row>
    <row r="143" spans="1:1">
      <c r="A143" s="553" t="s">
        <v>2539</v>
      </c>
    </row>
    <row r="144" spans="1:1">
      <c r="A144" s="553" t="s">
        <v>2540</v>
      </c>
    </row>
    <row r="145" spans="1:1">
      <c r="A145" s="553" t="s">
        <v>2541</v>
      </c>
    </row>
    <row r="146" spans="1:1">
      <c r="A146" s="553" t="s">
        <v>2542</v>
      </c>
    </row>
    <row r="147" spans="1:1">
      <c r="A147" s="553" t="s">
        <v>2543</v>
      </c>
    </row>
    <row r="148" spans="1:1">
      <c r="A148" s="553" t="s">
        <v>2544</v>
      </c>
    </row>
    <row r="149" spans="1:1">
      <c r="A149" s="553" t="s">
        <v>2545</v>
      </c>
    </row>
    <row r="150" spans="1:1">
      <c r="A150" s="553" t="s">
        <v>2546</v>
      </c>
    </row>
    <row r="151" spans="1:1">
      <c r="A151" s="553" t="s">
        <v>2547</v>
      </c>
    </row>
    <row r="152" spans="1:1">
      <c r="A152" s="553" t="s">
        <v>2548</v>
      </c>
    </row>
    <row r="153" spans="1:1">
      <c r="A153" s="553" t="s">
        <v>2549</v>
      </c>
    </row>
    <row r="154" spans="1:1">
      <c r="A154" s="553" t="s">
        <v>2550</v>
      </c>
    </row>
    <row r="155" spans="1:1">
      <c r="A155" s="553" t="s">
        <v>2551</v>
      </c>
    </row>
    <row r="156" spans="1:1">
      <c r="A156" s="553" t="s">
        <v>2552</v>
      </c>
    </row>
    <row r="157" spans="1:1">
      <c r="A157" s="553" t="s">
        <v>2553</v>
      </c>
    </row>
    <row r="158" spans="1:1">
      <c r="A158" s="553" t="s">
        <v>2554</v>
      </c>
    </row>
    <row r="159" spans="1:1">
      <c r="A159" s="553" t="s">
        <v>2555</v>
      </c>
    </row>
    <row r="160" spans="1:1">
      <c r="A160" s="553" t="s">
        <v>2556</v>
      </c>
    </row>
    <row r="161" spans="1:1">
      <c r="A161" s="553" t="s">
        <v>2557</v>
      </c>
    </row>
    <row r="162" spans="1:1">
      <c r="A162" s="553" t="s">
        <v>2558</v>
      </c>
    </row>
    <row r="163" spans="1:1">
      <c r="A163" s="553" t="s">
        <v>2559</v>
      </c>
    </row>
    <row r="164" spans="1:1">
      <c r="A164" s="553" t="s">
        <v>2560</v>
      </c>
    </row>
    <row r="165" spans="1:1">
      <c r="A165" s="553" t="s">
        <v>2561</v>
      </c>
    </row>
    <row r="166" spans="1:1">
      <c r="A166" s="553" t="s">
        <v>2562</v>
      </c>
    </row>
    <row r="167" spans="1:1">
      <c r="A167" s="553" t="s">
        <v>2563</v>
      </c>
    </row>
    <row r="168" spans="1:1">
      <c r="A168" s="553" t="s">
        <v>2564</v>
      </c>
    </row>
    <row r="169" spans="1:1">
      <c r="A169" s="553" t="s">
        <v>2565</v>
      </c>
    </row>
    <row r="170" spans="1:1">
      <c r="A170" s="553" t="s">
        <v>2566</v>
      </c>
    </row>
    <row r="171" spans="1:1">
      <c r="A171" s="553" t="s">
        <v>2567</v>
      </c>
    </row>
    <row r="172" spans="1:1">
      <c r="A172" s="553" t="s">
        <v>2568</v>
      </c>
    </row>
    <row r="173" spans="1:1">
      <c r="A173" s="553" t="s">
        <v>2569</v>
      </c>
    </row>
    <row r="174" spans="1:1">
      <c r="A174" s="553" t="s">
        <v>2570</v>
      </c>
    </row>
    <row r="175" spans="1:1">
      <c r="A175" s="553" t="s">
        <v>2571</v>
      </c>
    </row>
    <row r="176" spans="1:1">
      <c r="A176" s="553" t="s">
        <v>2572</v>
      </c>
    </row>
    <row r="177" spans="1:1">
      <c r="A177" s="553" t="s">
        <v>2573</v>
      </c>
    </row>
    <row r="178" spans="1:1">
      <c r="A178" s="553" t="s">
        <v>2574</v>
      </c>
    </row>
    <row r="179" spans="1:1">
      <c r="A179" s="553" t="s">
        <v>2575</v>
      </c>
    </row>
    <row r="180" spans="1:1">
      <c r="A180" s="553" t="s">
        <v>2576</v>
      </c>
    </row>
    <row r="181" spans="1:1">
      <c r="A181" s="553" t="s">
        <v>2577</v>
      </c>
    </row>
    <row r="182" spans="1:1">
      <c r="A182" s="553" t="s">
        <v>2578</v>
      </c>
    </row>
    <row r="183" spans="1:1">
      <c r="A183" s="553" t="s">
        <v>2579</v>
      </c>
    </row>
    <row r="184" spans="1:1">
      <c r="A184" s="553" t="s">
        <v>2580</v>
      </c>
    </row>
    <row r="185" spans="1:1">
      <c r="A185" s="553" t="s">
        <v>2581</v>
      </c>
    </row>
    <row r="186" spans="1:1">
      <c r="A186" s="553" t="s">
        <v>2582</v>
      </c>
    </row>
    <row r="187" spans="1:1">
      <c r="A187" s="553" t="s">
        <v>2583</v>
      </c>
    </row>
    <row r="188" spans="1:1">
      <c r="A188" s="553" t="s">
        <v>2584</v>
      </c>
    </row>
    <row r="189" spans="1:1">
      <c r="A189" s="553" t="s">
        <v>2585</v>
      </c>
    </row>
    <row r="190" spans="1:1">
      <c r="A190" s="553" t="s">
        <v>2586</v>
      </c>
    </row>
    <row r="191" spans="1:1">
      <c r="A191" s="553" t="s">
        <v>2587</v>
      </c>
    </row>
    <row r="192" spans="1:1">
      <c r="A192" s="553" t="s">
        <v>2588</v>
      </c>
    </row>
    <row r="193" spans="1:1">
      <c r="A193" s="553" t="s">
        <v>2589</v>
      </c>
    </row>
    <row r="194" spans="1:1">
      <c r="A194" s="553" t="s">
        <v>2590</v>
      </c>
    </row>
    <row r="195" spans="1:1">
      <c r="A195" s="553" t="s">
        <v>2591</v>
      </c>
    </row>
    <row r="196" spans="1:1">
      <c r="A196" s="553" t="s">
        <v>2592</v>
      </c>
    </row>
    <row r="197" spans="1:1">
      <c r="A197" s="553" t="s">
        <v>2593</v>
      </c>
    </row>
    <row r="198" spans="1:1">
      <c r="A198" s="553" t="s">
        <v>2594</v>
      </c>
    </row>
    <row r="199" spans="1:1">
      <c r="A199" s="553" t="s">
        <v>2595</v>
      </c>
    </row>
    <row r="200" spans="1:1">
      <c r="A200" s="553" t="s">
        <v>2596</v>
      </c>
    </row>
    <row r="201" spans="1:1">
      <c r="A201" s="553" t="s">
        <v>2597</v>
      </c>
    </row>
    <row r="202" spans="1:1">
      <c r="A202" s="553" t="s">
        <v>2598</v>
      </c>
    </row>
  </sheetData>
  <phoneticPr fontId="2"/>
  <printOptions headings="1"/>
  <pageMargins left="0.70866141732283472" right="0.70866141732283472" top="0.74803149606299213" bottom="0.74803149606299213" header="0.31496062992125984" footer="0.31496062992125984"/>
  <pageSetup paperSize="9" scale="59" orientation="landscape" r:id="rId1"/>
  <colBreaks count="3" manualBreakCount="3">
    <brk id="6" max="35" man="1"/>
    <brk id="9" max="35" man="1"/>
    <brk id="18" max="3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K95"/>
  <sheetViews>
    <sheetView zoomScale="70" zoomScaleNormal="70" zoomScaleSheetLayoutView="110" workbookViewId="0">
      <selection activeCell="I47" sqref="I47"/>
    </sheetView>
  </sheetViews>
  <sheetFormatPr baseColWidth="10" defaultColWidth="6.6640625" defaultRowHeight="26.25" customHeight="1"/>
  <cols>
    <col min="1" max="2" width="2.6640625" style="6" customWidth="1"/>
    <col min="3" max="3" width="8.6640625" style="1" customWidth="1"/>
    <col min="4" max="4" width="28.6640625" style="1" customWidth="1"/>
    <col min="5" max="5" width="25" style="2" customWidth="1"/>
    <col min="6" max="6" width="10.6640625" style="1" customWidth="1"/>
    <col min="7" max="7" width="7.6640625" style="3" customWidth="1"/>
    <col min="8" max="8" width="11.6640625" style="843" customWidth="1"/>
    <col min="9" max="9" width="15.6640625" style="843" customWidth="1"/>
    <col min="10" max="12" width="9.6640625" style="1" customWidth="1"/>
    <col min="13" max="13" width="5.5" style="429" customWidth="1"/>
    <col min="14" max="14" width="19.6640625" style="1" customWidth="1"/>
    <col min="15" max="16" width="5.33203125" style="29" customWidth="1"/>
    <col min="17" max="34" width="5.33203125" style="1" customWidth="1"/>
    <col min="35" max="35" width="11.6640625" style="491" customWidth="1"/>
    <col min="36" max="36" width="5.6640625" style="1" bestFit="1" customWidth="1"/>
    <col min="37" max="16384" width="6.6640625" style="1"/>
  </cols>
  <sheetData>
    <row r="1" spans="1:35" ht="26.25" customHeight="1" thickBot="1">
      <c r="H1" s="592"/>
      <c r="I1" s="836"/>
      <c r="J1" s="595" t="str">
        <f ca="1">J5&amp;"の工期"</f>
        <v>工事1の工期</v>
      </c>
      <c r="K1" s="835" t="s">
        <v>3088</v>
      </c>
      <c r="L1" s="597" t="e">
        <f>IF(K1="","",IF(OR(表紙!$K$5,K1)="","",ROUND((K1-表紙!$K$5-7)/30,1)))</f>
        <v>#VALUE!</v>
      </c>
      <c r="N1" s="6"/>
    </row>
    <row r="2" spans="1:35" ht="26.25" customHeight="1">
      <c r="C2" s="27" t="s">
        <v>3168</v>
      </c>
      <c r="E2" s="26" t="s">
        <v>55</v>
      </c>
      <c r="F2" s="71">
        <f>VLOOKUP("EOL",表紙!$M$3:$N$65387,2,FALSE)</f>
        <v>3</v>
      </c>
      <c r="G2" s="1" t="s">
        <v>185</v>
      </c>
      <c r="H2" s="843">
        <f>表紙!H25</f>
        <v>7</v>
      </c>
      <c r="I2" s="843" t="s">
        <v>61</v>
      </c>
      <c r="J2" s="29">
        <f>VLOOKUP("EOL",$M$25:$N$65559,2,FALSE)</f>
        <v>7</v>
      </c>
      <c r="K2" s="599" t="s">
        <v>3086</v>
      </c>
      <c r="L2" s="427"/>
    </row>
    <row r="3" spans="1:35" ht="26.25" customHeight="1" thickBot="1">
      <c r="C3" s="1373" t="s">
        <v>312</v>
      </c>
      <c r="D3" s="1373"/>
      <c r="E3" s="1373"/>
      <c r="F3" s="1373"/>
      <c r="G3" s="1373"/>
      <c r="H3" s="1373"/>
      <c r="I3" s="1373"/>
      <c r="J3" s="1373"/>
      <c r="K3" s="1373"/>
      <c r="L3" s="1373"/>
      <c r="M3" s="1"/>
      <c r="O3" s="1506" t="s">
        <v>137</v>
      </c>
      <c r="P3" s="1506"/>
      <c r="Q3" s="1506"/>
      <c r="R3" s="1506"/>
      <c r="S3" s="1506"/>
      <c r="T3" s="1506"/>
      <c r="U3" s="1506"/>
      <c r="V3" s="1506"/>
      <c r="W3" s="1506"/>
      <c r="X3" s="1506"/>
      <c r="Y3" s="1506"/>
      <c r="Z3" s="1506"/>
      <c r="AA3" s="1506"/>
      <c r="AB3" s="1506"/>
      <c r="AC3" s="1506"/>
      <c r="AD3" s="1506"/>
      <c r="AE3" s="1506"/>
      <c r="AF3" s="1506"/>
      <c r="AG3" s="1506"/>
      <c r="AH3" s="1507"/>
      <c r="AI3" s="1225"/>
    </row>
    <row r="4" spans="1:35" ht="42" customHeight="1">
      <c r="A4" s="5" t="s">
        <v>11</v>
      </c>
      <c r="B4" s="5" t="s">
        <v>10</v>
      </c>
      <c r="C4" s="1210" t="s">
        <v>0</v>
      </c>
      <c r="D4" s="1211"/>
      <c r="E4" s="1212" t="s">
        <v>1</v>
      </c>
      <c r="F4" s="1213" t="s">
        <v>2</v>
      </c>
      <c r="G4" s="1213" t="s">
        <v>3</v>
      </c>
      <c r="H4" s="1214" t="s">
        <v>4</v>
      </c>
      <c r="I4" s="1214" t="s">
        <v>5</v>
      </c>
      <c r="J4" s="1374" t="s">
        <v>6</v>
      </c>
      <c r="K4" s="1375"/>
      <c r="L4" s="1376"/>
      <c r="M4" s="1"/>
      <c r="O4" s="138" t="s">
        <v>72</v>
      </c>
      <c r="P4" s="334" t="s">
        <v>246</v>
      </c>
      <c r="Q4" s="266" t="s">
        <v>261</v>
      </c>
      <c r="R4" s="266" t="s">
        <v>208</v>
      </c>
      <c r="S4" s="266" t="s">
        <v>209</v>
      </c>
      <c r="T4" s="266" t="s">
        <v>224</v>
      </c>
      <c r="U4" s="266" t="s">
        <v>131</v>
      </c>
      <c r="V4" s="137" t="s">
        <v>130</v>
      </c>
      <c r="W4" s="266" t="s">
        <v>210</v>
      </c>
      <c r="X4" s="200" t="s">
        <v>211</v>
      </c>
      <c r="Y4" s="200" t="s">
        <v>212</v>
      </c>
      <c r="Z4" s="200" t="s">
        <v>213</v>
      </c>
      <c r="AA4" s="200" t="s">
        <v>214</v>
      </c>
      <c r="AB4" s="200" t="s">
        <v>256</v>
      </c>
      <c r="AC4" s="336" t="s">
        <v>265</v>
      </c>
      <c r="AD4" s="337" t="s">
        <v>266</v>
      </c>
      <c r="AE4" s="338" t="s">
        <v>133</v>
      </c>
      <c r="AF4" s="136" t="s">
        <v>136</v>
      </c>
      <c r="AG4" s="136" t="s">
        <v>134</v>
      </c>
      <c r="AH4" s="136" t="s">
        <v>135</v>
      </c>
      <c r="AI4" s="1226"/>
    </row>
    <row r="5" spans="1:35" ht="24" customHeight="1" thickBot="1">
      <c r="A5" s="7"/>
      <c r="B5" s="7"/>
      <c r="C5" s="1227" t="str">
        <f>+C2</f>
        <v>建築工事</v>
      </c>
      <c r="D5" s="1228"/>
      <c r="E5" s="996"/>
      <c r="F5" s="997"/>
      <c r="G5" s="1229"/>
      <c r="H5" s="1216" t="s">
        <v>12</v>
      </c>
      <c r="I5" s="1216" t="s">
        <v>12</v>
      </c>
      <c r="J5" s="1508" t="str">
        <f ca="1">RIGHT(CELL("filename",$A$1),LEN(CELL("filename",$A$1))-FIND("]",CELL("filename",$A$1)))</f>
        <v>工事1</v>
      </c>
      <c r="K5" s="1509"/>
      <c r="L5" s="1510"/>
      <c r="M5" s="29"/>
      <c r="N5" s="29"/>
      <c r="O5" s="207"/>
      <c r="P5" s="208"/>
      <c r="Q5" s="209"/>
      <c r="R5" s="209"/>
      <c r="S5" s="209"/>
      <c r="T5" s="209"/>
      <c r="U5" s="209"/>
      <c r="V5" s="209"/>
      <c r="W5" s="209"/>
      <c r="X5" s="210"/>
      <c r="Y5" s="210"/>
      <c r="Z5" s="210"/>
      <c r="AA5" s="210"/>
      <c r="AB5" s="210"/>
      <c r="AC5" s="209"/>
      <c r="AD5" s="339"/>
      <c r="AE5" s="340"/>
      <c r="AF5" s="209"/>
      <c r="AG5" s="209"/>
      <c r="AH5" s="209"/>
      <c r="AI5" s="1230"/>
    </row>
    <row r="6" spans="1:35" ht="24" customHeight="1" thickBot="1">
      <c r="A6" s="7"/>
      <c r="B6" s="7"/>
      <c r="C6" s="169" t="s">
        <v>147</v>
      </c>
      <c r="D6" s="53"/>
      <c r="E6" s="86"/>
      <c r="F6" s="264"/>
      <c r="G6" s="102"/>
      <c r="H6" s="88"/>
      <c r="I6" s="88"/>
      <c r="J6" s="595" t="str">
        <f ca="1">+$J$1</f>
        <v>工事1の工期</v>
      </c>
      <c r="K6" s="596" t="str">
        <f>+$K$1</f>
        <v>2022/**/**</v>
      </c>
      <c r="L6" s="597" t="e">
        <f>+$L$1</f>
        <v>#VALUE!</v>
      </c>
      <c r="M6" s="839"/>
      <c r="N6" s="29"/>
      <c r="O6" s="207"/>
      <c r="P6" s="208"/>
      <c r="Q6" s="209"/>
      <c r="R6" s="209"/>
      <c r="S6" s="209"/>
      <c r="T6" s="209"/>
      <c r="U6" s="209"/>
      <c r="V6" s="209"/>
      <c r="W6" s="209"/>
      <c r="X6" s="210"/>
      <c r="Y6" s="210"/>
      <c r="Z6" s="210"/>
      <c r="AA6" s="210"/>
      <c r="AB6" s="210"/>
      <c r="AC6" s="209"/>
      <c r="AD6" s="339"/>
      <c r="AE6" s="340"/>
      <c r="AF6" s="209"/>
      <c r="AG6" s="209"/>
      <c r="AH6" s="209"/>
      <c r="AI6" s="1230"/>
    </row>
    <row r="7" spans="1:35" ht="24" customHeight="1">
      <c r="A7" s="7"/>
      <c r="B7" s="7"/>
      <c r="C7" s="89"/>
      <c r="D7" s="53" t="s">
        <v>8</v>
      </c>
      <c r="E7" s="86"/>
      <c r="F7" s="264">
        <v>1</v>
      </c>
      <c r="G7" s="102" t="s">
        <v>7</v>
      </c>
      <c r="H7" s="88"/>
      <c r="I7" s="88">
        <f>I70</f>
        <v>0</v>
      </c>
      <c r="J7" s="53"/>
      <c r="K7" s="53"/>
      <c r="L7" s="54"/>
      <c r="M7" s="839"/>
      <c r="N7" s="29"/>
      <c r="O7" s="207"/>
      <c r="P7" s="208"/>
      <c r="Q7" s="209"/>
      <c r="R7" s="209"/>
      <c r="S7" s="209"/>
      <c r="T7" s="209"/>
      <c r="U7" s="209"/>
      <c r="V7" s="209"/>
      <c r="W7" s="209"/>
      <c r="X7" s="210"/>
      <c r="Y7" s="210"/>
      <c r="Z7" s="210"/>
      <c r="AA7" s="210"/>
      <c r="AB7" s="210"/>
      <c r="AC7" s="209"/>
      <c r="AD7" s="339"/>
      <c r="AE7" s="340"/>
      <c r="AF7" s="209"/>
      <c r="AG7" s="209"/>
      <c r="AH7" s="209"/>
      <c r="AI7" s="1230"/>
    </row>
    <row r="8" spans="1:35" ht="24" customHeight="1">
      <c r="A8" s="7"/>
      <c r="B8" s="7"/>
      <c r="C8" s="89"/>
      <c r="D8" s="53" t="s">
        <v>3160</v>
      </c>
      <c r="E8" s="86"/>
      <c r="F8" s="264">
        <v>1</v>
      </c>
      <c r="G8" s="102" t="s">
        <v>7</v>
      </c>
      <c r="H8" s="88"/>
      <c r="I8" s="88">
        <f>I93</f>
        <v>0</v>
      </c>
      <c r="J8" s="53"/>
      <c r="K8" s="53"/>
      <c r="L8" s="54"/>
      <c r="M8" s="839"/>
      <c r="N8" s="29"/>
      <c r="O8" s="207"/>
      <c r="P8" s="208"/>
      <c r="Q8" s="209"/>
      <c r="R8" s="209"/>
      <c r="S8" s="209"/>
      <c r="T8" s="209"/>
      <c r="U8" s="209"/>
      <c r="V8" s="209"/>
      <c r="W8" s="209"/>
      <c r="X8" s="210"/>
      <c r="Y8" s="210"/>
      <c r="Z8" s="210"/>
      <c r="AA8" s="210"/>
      <c r="AB8" s="210"/>
      <c r="AC8" s="209"/>
      <c r="AD8" s="339"/>
      <c r="AE8" s="340"/>
      <c r="AF8" s="209"/>
      <c r="AG8" s="209"/>
      <c r="AH8" s="209"/>
      <c r="AI8" s="1230"/>
    </row>
    <row r="9" spans="1:35" ht="24" customHeight="1">
      <c r="A9" s="7"/>
      <c r="B9" s="7"/>
      <c r="C9" s="89"/>
      <c r="D9" s="53"/>
      <c r="E9" s="86"/>
      <c r="F9" s="264"/>
      <c r="G9" s="102"/>
      <c r="H9" s="88"/>
      <c r="I9" s="88"/>
      <c r="J9" s="53"/>
      <c r="K9" s="53"/>
      <c r="L9" s="54"/>
      <c r="M9" s="839"/>
      <c r="N9" s="29"/>
      <c r="O9" s="207"/>
      <c r="P9" s="208"/>
      <c r="Q9" s="209"/>
      <c r="R9" s="209"/>
      <c r="S9" s="209"/>
      <c r="T9" s="209"/>
      <c r="U9" s="209"/>
      <c r="V9" s="209"/>
      <c r="W9" s="209"/>
      <c r="X9" s="210"/>
      <c r="Y9" s="210"/>
      <c r="Z9" s="210"/>
      <c r="AA9" s="210"/>
      <c r="AB9" s="210"/>
      <c r="AC9" s="209"/>
      <c r="AD9" s="339"/>
      <c r="AE9" s="340"/>
      <c r="AF9" s="209"/>
      <c r="AG9" s="209"/>
      <c r="AH9" s="209"/>
      <c r="AI9" s="1230"/>
    </row>
    <row r="10" spans="1:35" ht="24" customHeight="1">
      <c r="A10" s="7"/>
      <c r="B10" s="7"/>
      <c r="C10" s="89"/>
      <c r="D10" s="53"/>
      <c r="E10" s="86"/>
      <c r="F10" s="264"/>
      <c r="G10" s="102"/>
      <c r="H10" s="88"/>
      <c r="I10" s="88"/>
      <c r="J10" s="53"/>
      <c r="K10" s="53"/>
      <c r="L10" s="54"/>
      <c r="M10" s="839"/>
      <c r="N10" s="29"/>
      <c r="O10" s="207"/>
      <c r="P10" s="208"/>
      <c r="Q10" s="209"/>
      <c r="R10" s="209"/>
      <c r="S10" s="209"/>
      <c r="T10" s="209"/>
      <c r="U10" s="209"/>
      <c r="V10" s="209"/>
      <c r="W10" s="209"/>
      <c r="X10" s="210"/>
      <c r="Y10" s="210"/>
      <c r="Z10" s="210"/>
      <c r="AA10" s="210"/>
      <c r="AB10" s="210"/>
      <c r="AC10" s="209"/>
      <c r="AD10" s="339"/>
      <c r="AE10" s="340"/>
      <c r="AF10" s="209"/>
      <c r="AG10" s="209"/>
      <c r="AH10" s="209"/>
      <c r="AI10" s="1230"/>
    </row>
    <row r="11" spans="1:35" ht="24" customHeight="1">
      <c r="A11" s="7"/>
      <c r="B11" s="7"/>
      <c r="C11" s="89"/>
      <c r="D11" s="53"/>
      <c r="E11" s="86"/>
      <c r="F11" s="264"/>
      <c r="G11" s="102"/>
      <c r="H11" s="88"/>
      <c r="I11" s="88"/>
      <c r="J11" s="53"/>
      <c r="K11" s="53"/>
      <c r="L11" s="54"/>
      <c r="M11" s="839"/>
      <c r="N11" s="29"/>
      <c r="O11" s="207"/>
      <c r="P11" s="208"/>
      <c r="Q11" s="209"/>
      <c r="R11" s="209"/>
      <c r="S11" s="209"/>
      <c r="T11" s="209"/>
      <c r="U11" s="209"/>
      <c r="V11" s="209"/>
      <c r="W11" s="209"/>
      <c r="X11" s="210"/>
      <c r="Y11" s="210"/>
      <c r="Z11" s="210"/>
      <c r="AA11" s="210"/>
      <c r="AB11" s="210"/>
      <c r="AC11" s="209"/>
      <c r="AD11" s="339"/>
      <c r="AE11" s="340"/>
      <c r="AF11" s="209"/>
      <c r="AG11" s="209"/>
      <c r="AH11" s="209"/>
      <c r="AI11" s="1230"/>
    </row>
    <row r="12" spans="1:35" s="29" customFormat="1" ht="24" customHeight="1">
      <c r="A12" s="7"/>
      <c r="B12" s="7"/>
      <c r="C12" s="89"/>
      <c r="D12" s="53"/>
      <c r="E12" s="86"/>
      <c r="F12" s="264"/>
      <c r="G12" s="102"/>
      <c r="H12" s="88"/>
      <c r="I12" s="88"/>
      <c r="J12" s="53"/>
      <c r="K12" s="53"/>
      <c r="L12" s="54"/>
      <c r="M12" s="839"/>
      <c r="O12" s="207"/>
      <c r="P12" s="208"/>
      <c r="Q12" s="209"/>
      <c r="R12" s="209"/>
      <c r="S12" s="209"/>
      <c r="T12" s="209"/>
      <c r="U12" s="209"/>
      <c r="V12" s="209"/>
      <c r="W12" s="209"/>
      <c r="X12" s="210"/>
      <c r="Y12" s="210"/>
      <c r="Z12" s="210"/>
      <c r="AA12" s="210"/>
      <c r="AB12" s="210"/>
      <c r="AC12" s="209"/>
      <c r="AD12" s="339"/>
      <c r="AE12" s="340"/>
      <c r="AF12" s="209"/>
      <c r="AG12" s="209"/>
      <c r="AH12" s="209"/>
      <c r="AI12" s="1230"/>
    </row>
    <row r="13" spans="1:35" ht="24" customHeight="1">
      <c r="A13" s="7"/>
      <c r="B13" s="7"/>
      <c r="C13" s="89"/>
      <c r="D13" s="53"/>
      <c r="E13" s="86"/>
      <c r="F13" s="264"/>
      <c r="G13" s="102"/>
      <c r="H13" s="88"/>
      <c r="I13" s="88"/>
      <c r="J13" s="53"/>
      <c r="K13" s="53"/>
      <c r="L13" s="54"/>
      <c r="M13" s="839"/>
      <c r="N13" s="29"/>
      <c r="O13" s="207"/>
      <c r="P13" s="208"/>
      <c r="Q13" s="209"/>
      <c r="R13" s="209"/>
      <c r="S13" s="209"/>
      <c r="T13" s="209"/>
      <c r="U13" s="209"/>
      <c r="V13" s="209"/>
      <c r="W13" s="209"/>
      <c r="X13" s="210"/>
      <c r="Y13" s="210"/>
      <c r="Z13" s="210"/>
      <c r="AA13" s="210"/>
      <c r="AB13" s="210"/>
      <c r="AC13" s="209"/>
      <c r="AD13" s="339"/>
      <c r="AE13" s="340"/>
      <c r="AF13" s="209"/>
      <c r="AG13" s="209"/>
      <c r="AH13" s="209"/>
      <c r="AI13" s="1230"/>
    </row>
    <row r="14" spans="1:35" ht="24" customHeight="1">
      <c r="A14" s="7"/>
      <c r="B14" s="7"/>
      <c r="C14" s="89"/>
      <c r="D14" s="53"/>
      <c r="E14" s="86"/>
      <c r="F14" s="264"/>
      <c r="G14" s="102"/>
      <c r="H14" s="88"/>
      <c r="I14" s="88"/>
      <c r="J14" s="53"/>
      <c r="K14" s="53"/>
      <c r="L14" s="54"/>
      <c r="M14" s="839"/>
      <c r="N14" s="29"/>
      <c r="O14" s="207"/>
      <c r="P14" s="208"/>
      <c r="Q14" s="209"/>
      <c r="R14" s="209"/>
      <c r="S14" s="209"/>
      <c r="T14" s="209"/>
      <c r="U14" s="209"/>
      <c r="V14" s="209"/>
      <c r="W14" s="209"/>
      <c r="X14" s="210"/>
      <c r="Y14" s="210"/>
      <c r="Z14" s="210"/>
      <c r="AA14" s="210"/>
      <c r="AB14" s="210"/>
      <c r="AC14" s="209"/>
      <c r="AD14" s="339"/>
      <c r="AE14" s="340"/>
      <c r="AF14" s="209"/>
      <c r="AG14" s="209"/>
      <c r="AH14" s="209"/>
      <c r="AI14" s="1230"/>
    </row>
    <row r="15" spans="1:35" s="29" customFormat="1" ht="24" customHeight="1">
      <c r="A15" s="7"/>
      <c r="B15" s="7"/>
      <c r="C15" s="89"/>
      <c r="D15" s="53"/>
      <c r="E15" s="86"/>
      <c r="F15" s="264"/>
      <c r="G15" s="102"/>
      <c r="H15" s="88"/>
      <c r="I15" s="88"/>
      <c r="J15" s="53"/>
      <c r="K15" s="53"/>
      <c r="L15" s="54"/>
      <c r="M15" s="839"/>
      <c r="O15" s="207"/>
      <c r="P15" s="208"/>
      <c r="Q15" s="209"/>
      <c r="R15" s="209"/>
      <c r="S15" s="209"/>
      <c r="T15" s="209"/>
      <c r="U15" s="209"/>
      <c r="V15" s="209"/>
      <c r="W15" s="209"/>
      <c r="X15" s="210"/>
      <c r="Y15" s="210"/>
      <c r="Z15" s="210"/>
      <c r="AA15" s="210"/>
      <c r="AB15" s="210"/>
      <c r="AC15" s="209"/>
      <c r="AD15" s="339"/>
      <c r="AE15" s="340"/>
      <c r="AF15" s="209"/>
      <c r="AG15" s="209"/>
      <c r="AH15" s="209"/>
      <c r="AI15" s="1230"/>
    </row>
    <row r="16" spans="1:35" ht="24" customHeight="1">
      <c r="A16" s="7"/>
      <c r="B16" s="7"/>
      <c r="C16" s="89"/>
      <c r="D16" s="53" t="s">
        <v>52</v>
      </c>
      <c r="E16" s="86"/>
      <c r="F16" s="264"/>
      <c r="G16" s="102"/>
      <c r="H16" s="88"/>
      <c r="I16" s="88">
        <f>SUM(I7:I15)</f>
        <v>0</v>
      </c>
      <c r="J16" s="516" t="str">
        <f>IF(COUNTIF(N:N,"費用")=0,"","うち費用")</f>
        <v/>
      </c>
      <c r="K16" s="517" t="str">
        <f>IF(COUNTIF(N:N,"費用")=0,"",SUMIF(N:N,"費用",I:I))</f>
        <v/>
      </c>
      <c r="L16" s="54"/>
      <c r="M16" s="839" t="s">
        <v>2631</v>
      </c>
      <c r="N16" s="29"/>
      <c r="O16" s="207"/>
      <c r="P16" s="208"/>
      <c r="Q16" s="209"/>
      <c r="R16" s="209"/>
      <c r="S16" s="209"/>
      <c r="T16" s="209"/>
      <c r="U16" s="209"/>
      <c r="V16" s="209"/>
      <c r="W16" s="209"/>
      <c r="X16" s="210"/>
      <c r="Y16" s="210"/>
      <c r="Z16" s="210"/>
      <c r="AA16" s="210"/>
      <c r="AB16" s="210"/>
      <c r="AC16" s="209"/>
      <c r="AD16" s="339"/>
      <c r="AE16" s="340"/>
      <c r="AF16" s="209"/>
      <c r="AG16" s="209"/>
      <c r="AH16" s="209"/>
      <c r="AI16" s="1230"/>
    </row>
    <row r="17" spans="1:37" s="29" customFormat="1" ht="24" customHeight="1">
      <c r="A17" s="7"/>
      <c r="B17" s="7"/>
      <c r="C17" s="89"/>
      <c r="D17" s="103"/>
      <c r="E17" s="86"/>
      <c r="F17" s="264"/>
      <c r="G17" s="102"/>
      <c r="H17" s="88"/>
      <c r="I17" s="88"/>
      <c r="J17" s="53"/>
      <c r="K17" s="53"/>
      <c r="L17" s="54"/>
      <c r="M17" s="839"/>
      <c r="O17" s="207"/>
      <c r="P17" s="208"/>
      <c r="Q17" s="209"/>
      <c r="R17" s="209"/>
      <c r="S17" s="209"/>
      <c r="T17" s="209"/>
      <c r="U17" s="209"/>
      <c r="V17" s="209"/>
      <c r="W17" s="209"/>
      <c r="X17" s="210"/>
      <c r="Y17" s="210"/>
      <c r="Z17" s="210"/>
      <c r="AA17" s="210"/>
      <c r="AB17" s="210"/>
      <c r="AC17" s="209"/>
      <c r="AD17" s="339"/>
      <c r="AE17" s="340"/>
      <c r="AF17" s="209"/>
      <c r="AG17" s="209"/>
      <c r="AH17" s="209"/>
      <c r="AI17" s="1230"/>
    </row>
    <row r="18" spans="1:37" ht="24" customHeight="1">
      <c r="A18" s="7"/>
      <c r="B18" s="7"/>
      <c r="C18" s="169" t="s">
        <v>148</v>
      </c>
      <c r="D18" s="53"/>
      <c r="E18" s="86"/>
      <c r="F18" s="264"/>
      <c r="G18" s="102"/>
      <c r="H18" s="88"/>
      <c r="I18" s="88"/>
      <c r="J18" s="53"/>
      <c r="K18" s="53"/>
      <c r="L18" s="54"/>
      <c r="M18" s="839"/>
      <c r="N18" s="29"/>
      <c r="O18" s="207"/>
      <c r="P18" s="208"/>
      <c r="Q18" s="209"/>
      <c r="R18" s="209"/>
      <c r="S18" s="209"/>
      <c r="T18" s="209"/>
      <c r="U18" s="209"/>
      <c r="V18" s="209"/>
      <c r="W18" s="209"/>
      <c r="X18" s="210"/>
      <c r="Y18" s="210"/>
      <c r="Z18" s="210"/>
      <c r="AA18" s="210"/>
      <c r="AB18" s="210"/>
      <c r="AC18" s="209"/>
      <c r="AD18" s="339"/>
      <c r="AE18" s="340"/>
      <c r="AF18" s="209"/>
      <c r="AG18" s="209"/>
      <c r="AH18" s="209"/>
      <c r="AI18" s="1230"/>
    </row>
    <row r="19" spans="1:37" ht="24" customHeight="1">
      <c r="A19" s="7"/>
      <c r="B19" s="7"/>
      <c r="C19" s="89"/>
      <c r="D19" s="53" t="s">
        <v>149</v>
      </c>
      <c r="E19" s="86"/>
      <c r="F19" s="264">
        <v>1</v>
      </c>
      <c r="G19" s="102" t="s">
        <v>7</v>
      </c>
      <c r="H19" s="88"/>
      <c r="I19" s="88">
        <f ca="1">+I47</f>
        <v>0</v>
      </c>
      <c r="J19" s="53"/>
      <c r="K19" s="53"/>
      <c r="L19" s="54"/>
      <c r="M19" s="839"/>
      <c r="N19" s="29"/>
      <c r="O19" s="207"/>
      <c r="P19" s="208"/>
      <c r="Q19" s="209"/>
      <c r="R19" s="209"/>
      <c r="S19" s="209"/>
      <c r="T19" s="209"/>
      <c r="U19" s="209"/>
      <c r="V19" s="209"/>
      <c r="W19" s="209"/>
      <c r="X19" s="210"/>
      <c r="Y19" s="210"/>
      <c r="Z19" s="210"/>
      <c r="AA19" s="210"/>
      <c r="AB19" s="210"/>
      <c r="AC19" s="209"/>
      <c r="AD19" s="339"/>
      <c r="AE19" s="340"/>
      <c r="AF19" s="209"/>
      <c r="AG19" s="209"/>
      <c r="AH19" s="209"/>
      <c r="AI19" s="1230"/>
    </row>
    <row r="20" spans="1:37" ht="24" customHeight="1">
      <c r="A20" s="7"/>
      <c r="B20" s="7"/>
      <c r="C20" s="89"/>
      <c r="D20" s="53" t="s">
        <v>2628</v>
      </c>
      <c r="E20" s="86"/>
      <c r="F20" s="264">
        <v>1</v>
      </c>
      <c r="G20" s="102" t="s">
        <v>7</v>
      </c>
      <c r="H20" s="88"/>
      <c r="I20" s="837">
        <f ca="1">+HLOOKUP($J$5,諸経費表!$G$7:$J$34,18,0)</f>
        <v>0</v>
      </c>
      <c r="J20" s="170"/>
      <c r="K20" s="53"/>
      <c r="L20" s="54"/>
      <c r="M20" s="839"/>
      <c r="N20" s="29"/>
      <c r="O20" s="207"/>
      <c r="P20" s="208"/>
      <c r="Q20" s="209"/>
      <c r="R20" s="209"/>
      <c r="S20" s="209"/>
      <c r="T20" s="209"/>
      <c r="U20" s="209"/>
      <c r="V20" s="209"/>
      <c r="W20" s="209"/>
      <c r="X20" s="210"/>
      <c r="Y20" s="210"/>
      <c r="Z20" s="210"/>
      <c r="AA20" s="210"/>
      <c r="AB20" s="210"/>
      <c r="AC20" s="209"/>
      <c r="AD20" s="339"/>
      <c r="AE20" s="340"/>
      <c r="AF20" s="209"/>
      <c r="AG20" s="209"/>
      <c r="AH20" s="209"/>
      <c r="AI20" s="1230"/>
    </row>
    <row r="21" spans="1:37" ht="24" customHeight="1">
      <c r="A21" s="7"/>
      <c r="B21" s="7"/>
      <c r="C21" s="89"/>
      <c r="D21" s="53" t="s">
        <v>2629</v>
      </c>
      <c r="E21" s="86"/>
      <c r="F21" s="264">
        <v>1</v>
      </c>
      <c r="G21" s="102" t="s">
        <v>2630</v>
      </c>
      <c r="H21" s="88"/>
      <c r="I21" s="837">
        <f ca="1">+HLOOKUP($J$5,諸経費表!$G$7:$J$34,23,0)</f>
        <v>0</v>
      </c>
      <c r="J21" s="53"/>
      <c r="K21" s="53"/>
      <c r="L21" s="54"/>
      <c r="M21" s="839"/>
      <c r="N21" s="29"/>
      <c r="O21" s="207"/>
      <c r="P21" s="208"/>
      <c r="Q21" s="209"/>
      <c r="R21" s="209"/>
      <c r="S21" s="209"/>
      <c r="T21" s="209"/>
      <c r="U21" s="209"/>
      <c r="V21" s="209"/>
      <c r="W21" s="209"/>
      <c r="X21" s="210"/>
      <c r="Y21" s="210"/>
      <c r="Z21" s="210"/>
      <c r="AA21" s="210"/>
      <c r="AB21" s="210"/>
      <c r="AC21" s="209"/>
      <c r="AD21" s="339"/>
      <c r="AE21" s="340"/>
      <c r="AF21" s="209"/>
      <c r="AG21" s="209"/>
      <c r="AH21" s="209"/>
      <c r="AI21" s="1230"/>
    </row>
    <row r="22" spans="1:37" ht="24" customHeight="1">
      <c r="A22" s="7"/>
      <c r="B22" s="7"/>
      <c r="C22" s="89"/>
      <c r="D22" s="53" t="s">
        <v>52</v>
      </c>
      <c r="E22" s="86"/>
      <c r="F22" s="264"/>
      <c r="G22" s="102"/>
      <c r="H22" s="88"/>
      <c r="I22" s="837">
        <f ca="1">SUM(I19:I21)</f>
        <v>0</v>
      </c>
      <c r="J22" s="53"/>
      <c r="K22" s="53"/>
      <c r="L22" s="54"/>
      <c r="M22" s="839"/>
      <c r="N22" s="29"/>
      <c r="O22" s="207"/>
      <c r="P22" s="208"/>
      <c r="Q22" s="209"/>
      <c r="R22" s="209"/>
      <c r="S22" s="209"/>
      <c r="T22" s="209"/>
      <c r="U22" s="209"/>
      <c r="V22" s="209"/>
      <c r="W22" s="209"/>
      <c r="X22" s="210"/>
      <c r="Y22" s="210"/>
      <c r="Z22" s="210"/>
      <c r="AA22" s="210"/>
      <c r="AB22" s="210"/>
      <c r="AC22" s="209"/>
      <c r="AD22" s="339"/>
      <c r="AE22" s="340"/>
      <c r="AF22" s="209"/>
      <c r="AG22" s="209"/>
      <c r="AH22" s="209"/>
      <c r="AI22" s="1230"/>
    </row>
    <row r="23" spans="1:37" s="29" customFormat="1" ht="24" customHeight="1">
      <c r="A23" s="7"/>
      <c r="B23" s="7"/>
      <c r="C23" s="89"/>
      <c r="D23" s="53"/>
      <c r="E23" s="86"/>
      <c r="F23" s="264"/>
      <c r="G23" s="102"/>
      <c r="H23" s="88"/>
      <c r="I23" s="88"/>
      <c r="J23" s="53"/>
      <c r="K23" s="53"/>
      <c r="L23" s="54"/>
      <c r="M23" s="839"/>
      <c r="O23" s="207"/>
      <c r="P23" s="208"/>
      <c r="Q23" s="209"/>
      <c r="R23" s="209"/>
      <c r="S23" s="209"/>
      <c r="T23" s="209"/>
      <c r="U23" s="209"/>
      <c r="V23" s="209"/>
      <c r="W23" s="209"/>
      <c r="X23" s="210"/>
      <c r="Y23" s="210"/>
      <c r="Z23" s="210"/>
      <c r="AA23" s="210"/>
      <c r="AB23" s="210"/>
      <c r="AC23" s="209"/>
      <c r="AD23" s="339"/>
      <c r="AE23" s="340"/>
      <c r="AF23" s="209"/>
      <c r="AG23" s="209"/>
      <c r="AH23" s="209"/>
      <c r="AI23" s="1230"/>
    </row>
    <row r="24" spans="1:37" ht="24" customHeight="1" thickBot="1">
      <c r="A24" s="7"/>
      <c r="B24" s="7"/>
      <c r="C24" s="90"/>
      <c r="D24" s="81" t="s">
        <v>48</v>
      </c>
      <c r="E24" s="91"/>
      <c r="F24" s="265"/>
      <c r="G24" s="104"/>
      <c r="H24" s="105" t="s">
        <v>75</v>
      </c>
      <c r="I24" s="92">
        <f ca="1">+I22+I16</f>
        <v>0</v>
      </c>
      <c r="J24" s="81" t="s">
        <v>76</v>
      </c>
      <c r="K24" s="81"/>
      <c r="L24" s="106"/>
      <c r="O24" s="207"/>
      <c r="P24" s="208"/>
      <c r="Q24" s="209"/>
      <c r="R24" s="209"/>
      <c r="S24" s="209"/>
      <c r="T24" s="209"/>
      <c r="U24" s="209"/>
      <c r="V24" s="209"/>
      <c r="W24" s="209"/>
      <c r="X24" s="210"/>
      <c r="Y24" s="210"/>
      <c r="Z24" s="210"/>
      <c r="AA24" s="210"/>
      <c r="AB24" s="210"/>
      <c r="AC24" s="209"/>
      <c r="AD24" s="339"/>
      <c r="AE24" s="340"/>
      <c r="AF24" s="209"/>
      <c r="AG24" s="209"/>
      <c r="AH24" s="209"/>
      <c r="AI24" s="1230"/>
    </row>
    <row r="25" spans="1:37" ht="14.25" customHeight="1">
      <c r="E25" s="107" t="s">
        <v>53</v>
      </c>
      <c r="F25" s="108">
        <f>+F2+1</f>
        <v>4</v>
      </c>
      <c r="G25" s="109" t="s">
        <v>54</v>
      </c>
      <c r="H25" s="110">
        <f>H2</f>
        <v>7</v>
      </c>
      <c r="I25" s="4"/>
      <c r="M25" s="23" t="str">
        <f>IF(A27="","EOL","")</f>
        <v/>
      </c>
      <c r="N25" s="1">
        <f>+F25</f>
        <v>4</v>
      </c>
      <c r="AI25" s="1"/>
    </row>
    <row r="26" spans="1:37" ht="26.25" customHeight="1" thickBot="1">
      <c r="C26" s="1373" t="s">
        <v>312</v>
      </c>
      <c r="D26" s="1373"/>
      <c r="E26" s="1373"/>
      <c r="F26" s="1373"/>
      <c r="G26" s="1373"/>
      <c r="H26" s="1373"/>
      <c r="I26" s="1373"/>
      <c r="J26" s="1373"/>
      <c r="K26" s="1373"/>
      <c r="L26" s="1373"/>
      <c r="M26" s="1"/>
      <c r="O26" s="1506" t="s">
        <v>137</v>
      </c>
      <c r="P26" s="1506"/>
      <c r="Q26" s="1506"/>
      <c r="R26" s="1506"/>
      <c r="S26" s="1506"/>
      <c r="T26" s="1506"/>
      <c r="U26" s="1506"/>
      <c r="V26" s="1506"/>
      <c r="W26" s="1506"/>
      <c r="X26" s="1506"/>
      <c r="Y26" s="1506"/>
      <c r="Z26" s="1506"/>
      <c r="AA26" s="1506"/>
      <c r="AB26" s="1506"/>
      <c r="AC26" s="1506"/>
      <c r="AD26" s="1506"/>
      <c r="AE26" s="1506"/>
      <c r="AF26" s="1506"/>
      <c r="AG26" s="1506"/>
      <c r="AH26" s="1507"/>
      <c r="AI26" s="1225"/>
    </row>
    <row r="27" spans="1:37" ht="42" customHeight="1">
      <c r="A27" s="5" t="s">
        <v>11</v>
      </c>
      <c r="B27" s="5" t="s">
        <v>10</v>
      </c>
      <c r="C27" s="1231" t="s">
        <v>0</v>
      </c>
      <c r="D27" s="1232"/>
      <c r="E27" s="1233" t="s">
        <v>1</v>
      </c>
      <c r="F27" s="1234" t="s">
        <v>2</v>
      </c>
      <c r="G27" s="1234" t="s">
        <v>3</v>
      </c>
      <c r="H27" s="1235" t="s">
        <v>4</v>
      </c>
      <c r="I27" s="1235" t="s">
        <v>5</v>
      </c>
      <c r="J27" s="1232" t="s">
        <v>6</v>
      </c>
      <c r="K27" s="1232"/>
      <c r="L27" s="1236"/>
      <c r="M27" s="29"/>
      <c r="N27" s="29"/>
      <c r="O27" s="138" t="s">
        <v>72</v>
      </c>
      <c r="P27" s="334" t="s">
        <v>246</v>
      </c>
      <c r="Q27" s="266" t="s">
        <v>261</v>
      </c>
      <c r="R27" s="266" t="s">
        <v>208</v>
      </c>
      <c r="S27" s="266" t="s">
        <v>209</v>
      </c>
      <c r="T27" s="266" t="s">
        <v>224</v>
      </c>
      <c r="U27" s="266" t="s">
        <v>131</v>
      </c>
      <c r="V27" s="137" t="s">
        <v>130</v>
      </c>
      <c r="W27" s="266" t="s">
        <v>210</v>
      </c>
      <c r="X27" s="200" t="s">
        <v>211</v>
      </c>
      <c r="Y27" s="200" t="s">
        <v>212</v>
      </c>
      <c r="Z27" s="200" t="s">
        <v>213</v>
      </c>
      <c r="AA27" s="200" t="s">
        <v>214</v>
      </c>
      <c r="AB27" s="200" t="s">
        <v>256</v>
      </c>
      <c r="AC27" s="336" t="s">
        <v>265</v>
      </c>
      <c r="AD27" s="337" t="s">
        <v>266</v>
      </c>
      <c r="AE27" s="338" t="s">
        <v>133</v>
      </c>
      <c r="AF27" s="136" t="s">
        <v>136</v>
      </c>
      <c r="AG27" s="136" t="s">
        <v>134</v>
      </c>
      <c r="AH27" s="136" t="s">
        <v>135</v>
      </c>
      <c r="AI27" s="1226"/>
      <c r="AJ27" s="29"/>
      <c r="AK27" s="29"/>
    </row>
    <row r="28" spans="1:37" ht="24" customHeight="1">
      <c r="A28" s="7"/>
      <c r="B28" s="7"/>
      <c r="C28" s="1003" t="s">
        <v>150</v>
      </c>
      <c r="D28" s="995"/>
      <c r="E28" s="996"/>
      <c r="F28" s="997"/>
      <c r="G28" s="1004"/>
      <c r="H28" s="1005" t="s">
        <v>12</v>
      </c>
      <c r="I28" s="1005" t="s">
        <v>12</v>
      </c>
      <c r="J28" s="995"/>
      <c r="K28" s="995"/>
      <c r="L28" s="999"/>
      <c r="M28" s="1"/>
      <c r="O28" s="207"/>
      <c r="P28" s="208"/>
      <c r="Q28" s="209"/>
      <c r="R28" s="209"/>
      <c r="S28" s="209"/>
      <c r="T28" s="209"/>
      <c r="U28" s="209"/>
      <c r="V28" s="209"/>
      <c r="W28" s="209"/>
      <c r="X28" s="210"/>
      <c r="Y28" s="210"/>
      <c r="Z28" s="210"/>
      <c r="AA28" s="210"/>
      <c r="AB28" s="210"/>
      <c r="AC28" s="209"/>
      <c r="AD28" s="339"/>
      <c r="AE28" s="340"/>
      <c r="AF28" s="209"/>
      <c r="AG28" s="209"/>
      <c r="AH28" s="209"/>
      <c r="AI28" s="1230"/>
    </row>
    <row r="29" spans="1:37" s="29" customFormat="1" ht="24" customHeight="1">
      <c r="A29" s="7"/>
      <c r="B29" s="7"/>
      <c r="C29" s="1260"/>
      <c r="D29" s="1258" t="s">
        <v>2380</v>
      </c>
      <c r="E29" s="1254"/>
      <c r="F29" s="1255"/>
      <c r="G29" s="1292"/>
      <c r="H29" s="1294"/>
      <c r="I29" s="1257" t="str">
        <f t="shared" ref="I29:I46" si="0">IF(F29="","",INT(F29*H29))</f>
        <v/>
      </c>
      <c r="J29" s="1258"/>
      <c r="K29" s="1258"/>
      <c r="L29" s="1259"/>
      <c r="O29" s="207"/>
      <c r="P29" s="208"/>
      <c r="Q29" s="209"/>
      <c r="R29" s="209"/>
      <c r="S29" s="209"/>
      <c r="T29" s="209"/>
      <c r="U29" s="209"/>
      <c r="V29" s="209"/>
      <c r="W29" s="209"/>
      <c r="X29" s="210"/>
      <c r="Y29" s="210"/>
      <c r="Z29" s="210"/>
      <c r="AA29" s="210"/>
      <c r="AB29" s="210"/>
      <c r="AC29" s="209"/>
      <c r="AD29" s="339"/>
      <c r="AE29" s="340"/>
      <c r="AF29" s="209"/>
      <c r="AG29" s="209"/>
      <c r="AH29" s="209"/>
      <c r="AI29" s="1230"/>
    </row>
    <row r="30" spans="1:37" s="29" customFormat="1" ht="24" customHeight="1">
      <c r="A30" s="7"/>
      <c r="B30" s="7"/>
      <c r="C30" s="1260"/>
      <c r="D30" s="1258" t="s">
        <v>2378</v>
      </c>
      <c r="E30" s="1254"/>
      <c r="F30" s="1255">
        <v>1</v>
      </c>
      <c r="G30" s="1292" t="s">
        <v>285</v>
      </c>
      <c r="H30" s="838">
        <f ca="1">+HLOOKUP($J$5,諸経費表!$G$7:$J$34,12,0)</f>
        <v>0</v>
      </c>
      <c r="I30" s="1294">
        <f t="shared" ca="1" si="0"/>
        <v>0</v>
      </c>
      <c r="J30" s="1258"/>
      <c r="K30" s="1258"/>
      <c r="L30" s="1259"/>
      <c r="O30" s="207"/>
      <c r="P30" s="208"/>
      <c r="Q30" s="209"/>
      <c r="R30" s="209"/>
      <c r="S30" s="209"/>
      <c r="T30" s="209"/>
      <c r="U30" s="209"/>
      <c r="V30" s="209"/>
      <c r="W30" s="209"/>
      <c r="X30" s="210"/>
      <c r="Y30" s="210"/>
      <c r="Z30" s="210"/>
      <c r="AA30" s="210"/>
      <c r="AB30" s="210"/>
      <c r="AC30" s="209"/>
      <c r="AD30" s="339"/>
      <c r="AE30" s="340"/>
      <c r="AF30" s="209"/>
      <c r="AG30" s="209"/>
      <c r="AH30" s="209"/>
      <c r="AI30" s="1230"/>
    </row>
    <row r="31" spans="1:37" s="29" customFormat="1" ht="24" customHeight="1">
      <c r="A31" s="7"/>
      <c r="B31" s="7"/>
      <c r="C31" s="1260"/>
      <c r="D31" s="1258"/>
      <c r="E31" s="1254"/>
      <c r="F31" s="1255"/>
      <c r="G31" s="1292"/>
      <c r="H31" s="1294"/>
      <c r="I31" s="1257" t="str">
        <f t="shared" si="0"/>
        <v/>
      </c>
      <c r="J31" s="1258"/>
      <c r="K31" s="1258"/>
      <c r="L31" s="1259"/>
      <c r="O31" s="207"/>
      <c r="P31" s="208"/>
      <c r="Q31" s="209"/>
      <c r="R31" s="209"/>
      <c r="S31" s="209"/>
      <c r="T31" s="209"/>
      <c r="U31" s="209"/>
      <c r="V31" s="209"/>
      <c r="W31" s="209"/>
      <c r="X31" s="210"/>
      <c r="Y31" s="210"/>
      <c r="Z31" s="210"/>
      <c r="AA31" s="210"/>
      <c r="AB31" s="210"/>
      <c r="AC31" s="209"/>
      <c r="AD31" s="339"/>
      <c r="AE31" s="340"/>
      <c r="AF31" s="209"/>
      <c r="AG31" s="209"/>
      <c r="AH31" s="209"/>
      <c r="AI31" s="1230"/>
    </row>
    <row r="32" spans="1:37" s="29" customFormat="1" ht="24" customHeight="1">
      <c r="A32" s="7"/>
      <c r="B32" s="7"/>
      <c r="C32" s="1295"/>
      <c r="D32" s="1296" t="s">
        <v>2383</v>
      </c>
      <c r="E32" s="1297"/>
      <c r="F32" s="1298"/>
      <c r="G32" s="1299"/>
      <c r="H32" s="1300"/>
      <c r="I32" s="1301">
        <f ca="1">SUM(I30:I31)</f>
        <v>0</v>
      </c>
      <c r="J32" s="1296"/>
      <c r="K32" s="1296"/>
      <c r="L32" s="1302"/>
      <c r="O32" s="207"/>
      <c r="P32" s="208"/>
      <c r="Q32" s="209"/>
      <c r="R32" s="209"/>
      <c r="S32" s="209"/>
      <c r="T32" s="209"/>
      <c r="U32" s="209"/>
      <c r="V32" s="209"/>
      <c r="W32" s="209"/>
      <c r="X32" s="210"/>
      <c r="Y32" s="210"/>
      <c r="Z32" s="210"/>
      <c r="AA32" s="210"/>
      <c r="AB32" s="210"/>
      <c r="AC32" s="209"/>
      <c r="AD32" s="339"/>
      <c r="AE32" s="340"/>
      <c r="AF32" s="209"/>
      <c r="AG32" s="209"/>
      <c r="AH32" s="209"/>
      <c r="AI32" s="1230"/>
    </row>
    <row r="33" spans="1:36" s="29" customFormat="1" ht="24" customHeight="1">
      <c r="A33" s="7"/>
      <c r="B33" s="7"/>
      <c r="C33" s="1000"/>
      <c r="D33" s="995"/>
      <c r="E33" s="996"/>
      <c r="F33" s="1001"/>
      <c r="G33" s="1004"/>
      <c r="H33" s="1006"/>
      <c r="I33" s="1002" t="str">
        <f t="shared" si="0"/>
        <v/>
      </c>
      <c r="J33" s="995"/>
      <c r="K33" s="995"/>
      <c r="L33" s="999"/>
      <c r="O33" s="207"/>
      <c r="P33" s="208"/>
      <c r="Q33" s="209"/>
      <c r="R33" s="209"/>
      <c r="S33" s="209"/>
      <c r="T33" s="209"/>
      <c r="U33" s="209"/>
      <c r="V33" s="209"/>
      <c r="W33" s="209"/>
      <c r="X33" s="210"/>
      <c r="Y33" s="210"/>
      <c r="Z33" s="210"/>
      <c r="AA33" s="210"/>
      <c r="AB33" s="210"/>
      <c r="AC33" s="209"/>
      <c r="AD33" s="339"/>
      <c r="AE33" s="340"/>
      <c r="AF33" s="209"/>
      <c r="AG33" s="209"/>
      <c r="AH33" s="209"/>
      <c r="AI33" s="1230"/>
    </row>
    <row r="34" spans="1:36" s="29" customFormat="1" ht="24" customHeight="1">
      <c r="A34" s="7"/>
      <c r="B34" s="7"/>
      <c r="C34" s="1260"/>
      <c r="D34" s="1258" t="s">
        <v>2381</v>
      </c>
      <c r="E34" s="1254"/>
      <c r="F34" s="1255"/>
      <c r="G34" s="1292"/>
      <c r="H34" s="1294"/>
      <c r="I34" s="1257" t="str">
        <f t="shared" si="0"/>
        <v/>
      </c>
      <c r="J34" s="1258"/>
      <c r="K34" s="1258"/>
      <c r="L34" s="1259"/>
      <c r="O34" s="207"/>
      <c r="P34" s="208"/>
      <c r="Q34" s="209"/>
      <c r="R34" s="209"/>
      <c r="S34" s="209"/>
      <c r="T34" s="209"/>
      <c r="U34" s="209"/>
      <c r="V34" s="209"/>
      <c r="W34" s="209"/>
      <c r="X34" s="210"/>
      <c r="Y34" s="210"/>
      <c r="Z34" s="210"/>
      <c r="AA34" s="210"/>
      <c r="AB34" s="210"/>
      <c r="AC34" s="209"/>
      <c r="AD34" s="339"/>
      <c r="AE34" s="340"/>
      <c r="AF34" s="209"/>
      <c r="AG34" s="209"/>
      <c r="AH34" s="209"/>
      <c r="AI34" s="1230"/>
    </row>
    <row r="35" spans="1:36" s="29" customFormat="1" ht="24" customHeight="1">
      <c r="A35" s="7"/>
      <c r="B35" s="7"/>
      <c r="C35" s="1260"/>
      <c r="D35" s="1319"/>
      <c r="E35" s="1254"/>
      <c r="F35" s="1255"/>
      <c r="G35" s="1292"/>
      <c r="H35" s="1294"/>
      <c r="I35" s="1257" t="str">
        <f t="shared" si="0"/>
        <v/>
      </c>
      <c r="J35" s="1321"/>
      <c r="K35" s="1319"/>
      <c r="L35" s="1320"/>
      <c r="O35" s="207"/>
      <c r="P35" s="208"/>
      <c r="Q35" s="209"/>
      <c r="R35" s="209"/>
      <c r="S35" s="209"/>
      <c r="T35" s="209"/>
      <c r="U35" s="209"/>
      <c r="V35" s="209"/>
      <c r="W35" s="209"/>
      <c r="X35" s="210"/>
      <c r="Y35" s="210"/>
      <c r="Z35" s="210"/>
      <c r="AA35" s="210"/>
      <c r="AB35" s="210"/>
      <c r="AC35" s="209"/>
      <c r="AD35" s="339"/>
      <c r="AE35" s="340"/>
      <c r="AF35" s="209"/>
      <c r="AG35" s="209"/>
      <c r="AH35" s="209"/>
      <c r="AI35" s="1230"/>
    </row>
    <row r="36" spans="1:36" s="29" customFormat="1" ht="24" customHeight="1">
      <c r="A36" s="7"/>
      <c r="B36" s="7"/>
      <c r="C36" s="1260"/>
      <c r="D36" s="1319"/>
      <c r="E36" s="1254"/>
      <c r="F36" s="1255"/>
      <c r="G36" s="1292"/>
      <c r="H36" s="1294"/>
      <c r="I36" s="1257" t="str">
        <f t="shared" si="0"/>
        <v/>
      </c>
      <c r="J36" s="1321"/>
      <c r="K36" s="1319"/>
      <c r="L36" s="1320"/>
      <c r="O36" s="207"/>
      <c r="P36" s="208"/>
      <c r="Q36" s="209"/>
      <c r="R36" s="209"/>
      <c r="S36" s="209"/>
      <c r="T36" s="209"/>
      <c r="U36" s="209"/>
      <c r="V36" s="209"/>
      <c r="W36" s="209"/>
      <c r="X36" s="210"/>
      <c r="Y36" s="210"/>
      <c r="Z36" s="210"/>
      <c r="AA36" s="210"/>
      <c r="AB36" s="210"/>
      <c r="AC36" s="209"/>
      <c r="AD36" s="339"/>
      <c r="AE36" s="340"/>
      <c r="AF36" s="209"/>
      <c r="AG36" s="209"/>
      <c r="AH36" s="209"/>
      <c r="AI36" s="1230"/>
    </row>
    <row r="37" spans="1:36" s="29" customFormat="1" ht="24" customHeight="1">
      <c r="A37" s="7"/>
      <c r="B37" s="7"/>
      <c r="C37" s="1260"/>
      <c r="D37" s="1319"/>
      <c r="E37" s="1254"/>
      <c r="F37" s="1255"/>
      <c r="G37" s="1292"/>
      <c r="H37" s="1294"/>
      <c r="I37" s="1257" t="str">
        <f t="shared" si="0"/>
        <v/>
      </c>
      <c r="J37" s="1321"/>
      <c r="K37" s="1319"/>
      <c r="L37" s="1320"/>
      <c r="O37" s="207"/>
      <c r="P37" s="208"/>
      <c r="Q37" s="209"/>
      <c r="R37" s="209"/>
      <c r="S37" s="209"/>
      <c r="T37" s="209"/>
      <c r="U37" s="209"/>
      <c r="V37" s="209"/>
      <c r="W37" s="209"/>
      <c r="X37" s="210"/>
      <c r="Y37" s="210"/>
      <c r="Z37" s="210"/>
      <c r="AA37" s="210"/>
      <c r="AB37" s="210"/>
      <c r="AC37" s="209"/>
      <c r="AD37" s="339"/>
      <c r="AE37" s="340"/>
      <c r="AF37" s="209"/>
      <c r="AG37" s="209"/>
      <c r="AH37" s="209"/>
      <c r="AI37" s="1230"/>
    </row>
    <row r="38" spans="1:36" s="29" customFormat="1" ht="24" customHeight="1">
      <c r="A38" s="7"/>
      <c r="B38" s="7"/>
      <c r="C38" s="1260"/>
      <c r="D38" s="1319"/>
      <c r="E38" s="1254"/>
      <c r="F38" s="1255"/>
      <c r="G38" s="1292"/>
      <c r="H38" s="1294"/>
      <c r="I38" s="1257" t="str">
        <f t="shared" si="0"/>
        <v/>
      </c>
      <c r="J38" s="1321"/>
      <c r="K38" s="1319"/>
      <c r="L38" s="1320"/>
      <c r="O38" s="207"/>
      <c r="P38" s="208"/>
      <c r="Q38" s="209"/>
      <c r="R38" s="209"/>
      <c r="S38" s="209"/>
      <c r="T38" s="209"/>
      <c r="U38" s="209"/>
      <c r="V38" s="209"/>
      <c r="W38" s="209"/>
      <c r="X38" s="210"/>
      <c r="Y38" s="210"/>
      <c r="Z38" s="210"/>
      <c r="AA38" s="210"/>
      <c r="AB38" s="210"/>
      <c r="AC38" s="209"/>
      <c r="AD38" s="339"/>
      <c r="AE38" s="340"/>
      <c r="AF38" s="209"/>
      <c r="AG38" s="209"/>
      <c r="AH38" s="209"/>
      <c r="AI38" s="1230"/>
    </row>
    <row r="39" spans="1:36" s="29" customFormat="1" ht="24" customHeight="1">
      <c r="A39" s="7"/>
      <c r="B39" s="7"/>
      <c r="C39" s="1260"/>
      <c r="D39" s="1319"/>
      <c r="E39" s="1254"/>
      <c r="F39" s="1255"/>
      <c r="G39" s="1292"/>
      <c r="H39" s="1294"/>
      <c r="I39" s="1257" t="str">
        <f t="shared" si="0"/>
        <v/>
      </c>
      <c r="J39" s="1321"/>
      <c r="K39" s="1319"/>
      <c r="L39" s="1320"/>
      <c r="O39" s="207"/>
      <c r="P39" s="208"/>
      <c r="Q39" s="209"/>
      <c r="R39" s="209"/>
      <c r="S39" s="209"/>
      <c r="T39" s="209"/>
      <c r="U39" s="209"/>
      <c r="V39" s="209"/>
      <c r="W39" s="209"/>
      <c r="X39" s="210"/>
      <c r="Y39" s="210"/>
      <c r="Z39" s="210"/>
      <c r="AA39" s="210"/>
      <c r="AB39" s="210"/>
      <c r="AC39" s="209"/>
      <c r="AD39" s="339"/>
      <c r="AE39" s="340"/>
      <c r="AF39" s="209"/>
      <c r="AG39" s="209"/>
      <c r="AH39" s="209"/>
      <c r="AI39" s="1230"/>
    </row>
    <row r="40" spans="1:36" s="29" customFormat="1" ht="24" customHeight="1">
      <c r="A40" s="7"/>
      <c r="B40" s="7"/>
      <c r="C40" s="1260"/>
      <c r="D40" s="1319"/>
      <c r="E40" s="1254"/>
      <c r="F40" s="1255"/>
      <c r="G40" s="1292"/>
      <c r="H40" s="1294"/>
      <c r="I40" s="1257" t="str">
        <f t="shared" si="0"/>
        <v/>
      </c>
      <c r="J40" s="1321"/>
      <c r="K40" s="1319"/>
      <c r="L40" s="1320"/>
      <c r="O40" s="207"/>
      <c r="P40" s="208"/>
      <c r="Q40" s="209"/>
      <c r="R40" s="209"/>
      <c r="S40" s="209"/>
      <c r="T40" s="209"/>
      <c r="U40" s="209"/>
      <c r="V40" s="209"/>
      <c r="W40" s="209"/>
      <c r="X40" s="210"/>
      <c r="Y40" s="210"/>
      <c r="Z40" s="210"/>
      <c r="AA40" s="210"/>
      <c r="AB40" s="210"/>
      <c r="AC40" s="209"/>
      <c r="AD40" s="339"/>
      <c r="AE40" s="340"/>
      <c r="AF40" s="209"/>
      <c r="AG40" s="209"/>
      <c r="AH40" s="209"/>
      <c r="AI40" s="1230"/>
    </row>
    <row r="41" spans="1:36" s="29" customFormat="1" ht="24" customHeight="1">
      <c r="A41" s="7"/>
      <c r="B41" s="7"/>
      <c r="C41" s="1260"/>
      <c r="D41" s="1319"/>
      <c r="E41" s="1254"/>
      <c r="F41" s="1255"/>
      <c r="G41" s="1292"/>
      <c r="H41" s="1294"/>
      <c r="I41" s="1257" t="str">
        <f t="shared" si="0"/>
        <v/>
      </c>
      <c r="J41" s="1321"/>
      <c r="K41" s="1319"/>
      <c r="L41" s="1320"/>
      <c r="O41" s="207"/>
      <c r="P41" s="208"/>
      <c r="Q41" s="209"/>
      <c r="R41" s="209"/>
      <c r="S41" s="209"/>
      <c r="T41" s="209"/>
      <c r="U41" s="209"/>
      <c r="V41" s="209"/>
      <c r="W41" s="209"/>
      <c r="X41" s="210"/>
      <c r="Y41" s="210"/>
      <c r="Z41" s="210"/>
      <c r="AA41" s="210"/>
      <c r="AB41" s="210"/>
      <c r="AC41" s="209"/>
      <c r="AD41" s="339"/>
      <c r="AE41" s="340"/>
      <c r="AF41" s="209"/>
      <c r="AG41" s="209"/>
      <c r="AH41" s="209"/>
      <c r="AI41" s="1230"/>
    </row>
    <row r="42" spans="1:36" s="29" customFormat="1" ht="24" customHeight="1">
      <c r="A42" s="7"/>
      <c r="B42" s="7"/>
      <c r="C42" s="1260"/>
      <c r="D42" s="1319"/>
      <c r="E42" s="1254"/>
      <c r="F42" s="1255"/>
      <c r="G42" s="1292"/>
      <c r="H42" s="1294"/>
      <c r="I42" s="1257" t="str">
        <f t="shared" si="0"/>
        <v/>
      </c>
      <c r="J42" s="1321"/>
      <c r="K42" s="1319"/>
      <c r="L42" s="1320"/>
      <c r="O42" s="207"/>
      <c r="P42" s="208"/>
      <c r="Q42" s="209"/>
      <c r="R42" s="209"/>
      <c r="S42" s="209"/>
      <c r="T42" s="209"/>
      <c r="U42" s="209"/>
      <c r="V42" s="209"/>
      <c r="W42" s="209"/>
      <c r="X42" s="210"/>
      <c r="Y42" s="210"/>
      <c r="Z42" s="210"/>
      <c r="AA42" s="210"/>
      <c r="AB42" s="210"/>
      <c r="AC42" s="209"/>
      <c r="AD42" s="339"/>
      <c r="AE42" s="340"/>
      <c r="AF42" s="209"/>
      <c r="AG42" s="209"/>
      <c r="AH42" s="209"/>
      <c r="AI42" s="1230"/>
    </row>
    <row r="43" spans="1:36" s="29" customFormat="1" ht="24" customHeight="1">
      <c r="A43" s="7"/>
      <c r="B43" s="7"/>
      <c r="C43" s="1260"/>
      <c r="D43" s="1319"/>
      <c r="E43" s="1254"/>
      <c r="F43" s="1255"/>
      <c r="G43" s="1292"/>
      <c r="H43" s="1294"/>
      <c r="I43" s="1257" t="str">
        <f t="shared" si="0"/>
        <v/>
      </c>
      <c r="J43" s="1321"/>
      <c r="K43" s="1319"/>
      <c r="L43" s="1320"/>
      <c r="O43" s="207"/>
      <c r="P43" s="208"/>
      <c r="Q43" s="209"/>
      <c r="R43" s="209"/>
      <c r="S43" s="209"/>
      <c r="T43" s="209"/>
      <c r="U43" s="209"/>
      <c r="V43" s="209"/>
      <c r="W43" s="209"/>
      <c r="X43" s="210"/>
      <c r="Y43" s="210"/>
      <c r="Z43" s="210"/>
      <c r="AA43" s="210"/>
      <c r="AB43" s="210"/>
      <c r="AC43" s="209"/>
      <c r="AD43" s="339"/>
      <c r="AE43" s="340"/>
      <c r="AF43" s="209"/>
      <c r="AG43" s="209"/>
      <c r="AH43" s="209"/>
      <c r="AI43" s="1230"/>
    </row>
    <row r="44" spans="1:36" s="29" customFormat="1" ht="24" customHeight="1">
      <c r="A44" s="7"/>
      <c r="B44" s="7"/>
      <c r="C44" s="1260"/>
      <c r="D44" s="1258"/>
      <c r="E44" s="1254"/>
      <c r="F44" s="1255"/>
      <c r="G44" s="1292"/>
      <c r="H44" s="1294"/>
      <c r="I44" s="1257" t="str">
        <f t="shared" si="0"/>
        <v/>
      </c>
      <c r="J44" s="1258"/>
      <c r="K44" s="1258"/>
      <c r="L44" s="1259"/>
      <c r="O44" s="207"/>
      <c r="P44" s="208"/>
      <c r="Q44" s="209"/>
      <c r="R44" s="209"/>
      <c r="S44" s="209"/>
      <c r="T44" s="209"/>
      <c r="U44" s="209"/>
      <c r="V44" s="209"/>
      <c r="W44" s="209"/>
      <c r="X44" s="210"/>
      <c r="Y44" s="210"/>
      <c r="Z44" s="210"/>
      <c r="AA44" s="210"/>
      <c r="AB44" s="210"/>
      <c r="AC44" s="209"/>
      <c r="AD44" s="339"/>
      <c r="AE44" s="340"/>
      <c r="AF44" s="209"/>
      <c r="AG44" s="209"/>
      <c r="AH44" s="209"/>
      <c r="AI44" s="1230"/>
    </row>
    <row r="45" spans="1:36" s="29" customFormat="1" ht="24" customHeight="1">
      <c r="A45" s="7"/>
      <c r="B45" s="7"/>
      <c r="C45" s="1295"/>
      <c r="D45" s="1296" t="s">
        <v>2382</v>
      </c>
      <c r="E45" s="1297"/>
      <c r="F45" s="1298"/>
      <c r="G45" s="1299"/>
      <c r="H45" s="1300"/>
      <c r="I45" s="1301">
        <f>SUM(I35:I44)</f>
        <v>0</v>
      </c>
      <c r="J45" s="1296"/>
      <c r="K45" s="1296"/>
      <c r="L45" s="1302"/>
      <c r="M45" s="29" t="s">
        <v>3159</v>
      </c>
      <c r="O45" s="207"/>
      <c r="P45" s="208"/>
      <c r="Q45" s="209"/>
      <c r="R45" s="209"/>
      <c r="S45" s="209"/>
      <c r="T45" s="209"/>
      <c r="U45" s="209"/>
      <c r="V45" s="209"/>
      <c r="W45" s="209"/>
      <c r="X45" s="210"/>
      <c r="Y45" s="210"/>
      <c r="Z45" s="210"/>
      <c r="AA45" s="210"/>
      <c r="AB45" s="210"/>
      <c r="AC45" s="209"/>
      <c r="AD45" s="339"/>
      <c r="AE45" s="340"/>
      <c r="AF45" s="209"/>
      <c r="AG45" s="209"/>
      <c r="AH45" s="209"/>
      <c r="AI45" s="1230"/>
    </row>
    <row r="46" spans="1:36" s="29" customFormat="1" ht="24" customHeight="1">
      <c r="A46" s="7"/>
      <c r="B46" s="7"/>
      <c r="C46" s="1000"/>
      <c r="D46" s="995"/>
      <c r="E46" s="996"/>
      <c r="F46" s="1001"/>
      <c r="G46" s="1004"/>
      <c r="H46" s="1006"/>
      <c r="I46" s="1002" t="str">
        <f t="shared" si="0"/>
        <v/>
      </c>
      <c r="J46" s="995"/>
      <c r="K46" s="995"/>
      <c r="L46" s="999"/>
      <c r="O46" s="207"/>
      <c r="P46" s="208"/>
      <c r="Q46" s="209"/>
      <c r="R46" s="209"/>
      <c r="S46" s="209"/>
      <c r="T46" s="209"/>
      <c r="U46" s="209"/>
      <c r="V46" s="209"/>
      <c r="W46" s="209"/>
      <c r="X46" s="210"/>
      <c r="Y46" s="210"/>
      <c r="Z46" s="210"/>
      <c r="AA46" s="210"/>
      <c r="AB46" s="210"/>
      <c r="AC46" s="209"/>
      <c r="AD46" s="339"/>
      <c r="AE46" s="340"/>
      <c r="AF46" s="209"/>
      <c r="AG46" s="209"/>
      <c r="AH46" s="209"/>
      <c r="AI46" s="1230"/>
    </row>
    <row r="47" spans="1:36" ht="24" customHeight="1" thickBot="1">
      <c r="A47" s="7"/>
      <c r="B47" s="7"/>
      <c r="C47" s="1267"/>
      <c r="D47" s="1268" t="s">
        <v>9</v>
      </c>
      <c r="E47" s="1269"/>
      <c r="F47" s="1270"/>
      <c r="G47" s="1293"/>
      <c r="H47" s="1303" t="s">
        <v>75</v>
      </c>
      <c r="I47" s="1272">
        <f ca="1">I32+I45</f>
        <v>0</v>
      </c>
      <c r="J47" s="1268" t="s">
        <v>76</v>
      </c>
      <c r="K47" s="1304" t="str">
        <f>IF(C28="部分撤去工事",(K24+L47),"")</f>
        <v/>
      </c>
      <c r="L47" s="1305">
        <f>IF(C28="部分撤去工事",SUMIF(N29:N46,"費用",I29:I46),0)</f>
        <v>0</v>
      </c>
      <c r="M47" s="1"/>
      <c r="O47" s="207"/>
      <c r="P47" s="208"/>
      <c r="Q47" s="209"/>
      <c r="R47" s="209"/>
      <c r="S47" s="209"/>
      <c r="T47" s="209"/>
      <c r="U47" s="209"/>
      <c r="V47" s="209"/>
      <c r="W47" s="209"/>
      <c r="X47" s="210"/>
      <c r="Y47" s="210"/>
      <c r="Z47" s="210"/>
      <c r="AA47" s="210"/>
      <c r="AB47" s="210"/>
      <c r="AC47" s="209"/>
      <c r="AD47" s="339"/>
      <c r="AE47" s="340"/>
      <c r="AF47" s="209"/>
      <c r="AG47" s="209"/>
      <c r="AH47" s="209"/>
      <c r="AI47" s="1230"/>
    </row>
    <row r="48" spans="1:36" ht="14.25" customHeight="1">
      <c r="C48" s="1237"/>
      <c r="D48" s="1237"/>
      <c r="E48" s="107" t="s">
        <v>53</v>
      </c>
      <c r="F48" s="108">
        <f>+F25+1</f>
        <v>5</v>
      </c>
      <c r="G48" s="109" t="s">
        <v>54</v>
      </c>
      <c r="H48" s="110">
        <f>+H25</f>
        <v>7</v>
      </c>
      <c r="I48" s="110"/>
      <c r="M48" s="23" t="str">
        <f>IF(A50="","EOL","")</f>
        <v/>
      </c>
      <c r="N48" s="1">
        <f>+F48</f>
        <v>5</v>
      </c>
      <c r="O48" s="1"/>
      <c r="P48" s="1"/>
      <c r="AI48" s="1"/>
      <c r="AJ48"/>
    </row>
    <row r="49" spans="1:35" ht="26.25" customHeight="1" thickBot="1">
      <c r="C49" s="1373" t="s">
        <v>312</v>
      </c>
      <c r="D49" s="1373"/>
      <c r="E49" s="1373"/>
      <c r="F49" s="1373"/>
      <c r="G49" s="1373"/>
      <c r="H49" s="1373"/>
      <c r="I49" s="1373"/>
      <c r="J49" s="1373"/>
      <c r="K49" s="1373"/>
      <c r="L49" s="1373"/>
      <c r="M49" s="1"/>
      <c r="O49" s="1506" t="s">
        <v>137</v>
      </c>
      <c r="P49" s="1506"/>
      <c r="Q49" s="1506"/>
      <c r="R49" s="1506"/>
      <c r="S49" s="1506"/>
      <c r="T49" s="1506"/>
      <c r="U49" s="1506"/>
      <c r="V49" s="1506"/>
      <c r="W49" s="1506"/>
      <c r="X49" s="1506"/>
      <c r="Y49" s="1506"/>
      <c r="Z49" s="1506"/>
      <c r="AA49" s="1506"/>
      <c r="AB49" s="1506"/>
      <c r="AC49" s="1506"/>
      <c r="AD49" s="1506"/>
      <c r="AE49" s="1506"/>
      <c r="AF49" s="1506"/>
      <c r="AG49" s="1506"/>
      <c r="AH49" s="1507"/>
      <c r="AI49" s="1225"/>
    </row>
    <row r="50" spans="1:35" ht="41.25" customHeight="1">
      <c r="A50" s="5" t="s">
        <v>11</v>
      </c>
      <c r="B50" s="5" t="s">
        <v>47</v>
      </c>
      <c r="C50" s="1210" t="s">
        <v>0</v>
      </c>
      <c r="D50" s="1211"/>
      <c r="E50" s="1212" t="s">
        <v>1</v>
      </c>
      <c r="F50" s="1213" t="s">
        <v>2</v>
      </c>
      <c r="G50" s="1213" t="s">
        <v>3</v>
      </c>
      <c r="H50" s="1214" t="s">
        <v>4</v>
      </c>
      <c r="I50" s="1214" t="s">
        <v>5</v>
      </c>
      <c r="J50" s="1374" t="s">
        <v>6</v>
      </c>
      <c r="K50" s="1375"/>
      <c r="L50" s="1376"/>
      <c r="M50" s="840" t="s">
        <v>2827</v>
      </c>
      <c r="N50" s="567" t="s">
        <v>2818</v>
      </c>
      <c r="O50" s="138" t="s">
        <v>72</v>
      </c>
      <c r="P50" s="334" t="s">
        <v>246</v>
      </c>
      <c r="Q50" s="266" t="s">
        <v>261</v>
      </c>
      <c r="R50" s="266" t="s">
        <v>208</v>
      </c>
      <c r="S50" s="266" t="s">
        <v>209</v>
      </c>
      <c r="T50" s="266" t="s">
        <v>224</v>
      </c>
      <c r="U50" s="266" t="s">
        <v>131</v>
      </c>
      <c r="V50" s="137" t="s">
        <v>130</v>
      </c>
      <c r="W50" s="266" t="s">
        <v>210</v>
      </c>
      <c r="X50" s="200" t="s">
        <v>211</v>
      </c>
      <c r="Y50" s="200" t="s">
        <v>212</v>
      </c>
      <c r="Z50" s="200" t="s">
        <v>213</v>
      </c>
      <c r="AA50" s="200" t="s">
        <v>214</v>
      </c>
      <c r="AB50" s="200" t="s">
        <v>256</v>
      </c>
      <c r="AC50" s="336" t="s">
        <v>265</v>
      </c>
      <c r="AD50" s="337" t="s">
        <v>266</v>
      </c>
      <c r="AE50" s="338" t="s">
        <v>133</v>
      </c>
      <c r="AF50" s="136" t="s">
        <v>136</v>
      </c>
      <c r="AG50" s="136" t="s">
        <v>134</v>
      </c>
      <c r="AH50" s="136" t="s">
        <v>135</v>
      </c>
      <c r="AI50" s="1226"/>
    </row>
    <row r="51" spans="1:35" ht="24" customHeight="1">
      <c r="A51" s="7"/>
      <c r="B51" s="7"/>
      <c r="C51" s="1003" t="s">
        <v>8</v>
      </c>
      <c r="D51" s="1007"/>
      <c r="E51" s="1008"/>
      <c r="F51" s="997"/>
      <c r="G51" s="998"/>
      <c r="H51" s="1009" t="s">
        <v>12</v>
      </c>
      <c r="I51" s="1009" t="s">
        <v>12</v>
      </c>
      <c r="J51" s="1511"/>
      <c r="K51" s="1512"/>
      <c r="L51" s="1513"/>
      <c r="M51" s="1306"/>
      <c r="N51" s="1307"/>
      <c r="O51" s="207"/>
      <c r="P51" s="208"/>
      <c r="Q51" s="209"/>
      <c r="R51" s="209"/>
      <c r="S51" s="209"/>
      <c r="T51" s="209"/>
      <c r="U51" s="209"/>
      <c r="V51" s="209"/>
      <c r="W51" s="209"/>
      <c r="X51" s="210"/>
      <c r="Y51" s="210"/>
      <c r="Z51" s="210"/>
      <c r="AA51" s="210"/>
      <c r="AB51" s="210"/>
      <c r="AC51" s="209"/>
      <c r="AD51" s="339"/>
      <c r="AE51" s="340"/>
      <c r="AF51" s="209"/>
      <c r="AG51" s="209"/>
      <c r="AH51" s="209"/>
      <c r="AI51" s="1230"/>
    </row>
    <row r="52" spans="1:35" s="29" customFormat="1" ht="24" customHeight="1">
      <c r="A52" s="7"/>
      <c r="B52" s="7"/>
      <c r="C52" s="1308"/>
      <c r="D52" s="1309"/>
      <c r="E52" s="1310"/>
      <c r="F52" s="1255"/>
      <c r="G52" s="1292"/>
      <c r="H52" s="1311"/>
      <c r="I52" s="1257" t="str">
        <f t="shared" ref="I52:I69" si="1">IF(F52="","",INT(F52*H52))</f>
        <v/>
      </c>
      <c r="J52" s="1312"/>
      <c r="K52" s="1258"/>
      <c r="L52" s="1259"/>
      <c r="M52" s="1306"/>
      <c r="N52" s="1313"/>
      <c r="O52" s="207"/>
      <c r="P52" s="208"/>
      <c r="Q52" s="209"/>
      <c r="R52" s="209"/>
      <c r="S52" s="209"/>
      <c r="T52" s="209"/>
      <c r="U52" s="209"/>
      <c r="V52" s="209"/>
      <c r="W52" s="209"/>
      <c r="X52" s="210"/>
      <c r="Y52" s="210"/>
      <c r="Z52" s="210"/>
      <c r="AA52" s="210"/>
      <c r="AB52" s="210"/>
      <c r="AC52" s="209"/>
      <c r="AD52" s="339"/>
      <c r="AE52" s="340"/>
      <c r="AF52" s="209"/>
      <c r="AG52" s="209"/>
      <c r="AH52" s="209"/>
      <c r="AI52" s="1230"/>
    </row>
    <row r="53" spans="1:35" s="29" customFormat="1" ht="24" customHeight="1">
      <c r="A53" s="7"/>
      <c r="B53" s="7"/>
      <c r="C53" s="1260"/>
      <c r="D53" s="1314"/>
      <c r="E53" s="1254"/>
      <c r="F53" s="1255"/>
      <c r="G53" s="1292"/>
      <c r="H53" s="1294"/>
      <c r="I53" s="1257" t="str">
        <f t="shared" si="1"/>
        <v/>
      </c>
      <c r="J53" s="1321"/>
      <c r="K53" s="1319"/>
      <c r="L53" s="1320"/>
      <c r="M53" s="1306"/>
      <c r="N53" s="1313"/>
      <c r="O53" s="207"/>
      <c r="P53" s="208"/>
      <c r="Q53" s="209"/>
      <c r="R53" s="209"/>
      <c r="S53" s="209"/>
      <c r="T53" s="209"/>
      <c r="U53" s="209"/>
      <c r="V53" s="209"/>
      <c r="W53" s="209"/>
      <c r="X53" s="210"/>
      <c r="Y53" s="210"/>
      <c r="Z53" s="210"/>
      <c r="AA53" s="210"/>
      <c r="AB53" s="210"/>
      <c r="AC53" s="209"/>
      <c r="AD53" s="339"/>
      <c r="AE53" s="340"/>
      <c r="AF53" s="209"/>
      <c r="AG53" s="209"/>
      <c r="AH53" s="209"/>
      <c r="AI53" s="1230"/>
    </row>
    <row r="54" spans="1:35" s="29" customFormat="1" ht="24" customHeight="1">
      <c r="A54" s="7"/>
      <c r="B54" s="7"/>
      <c r="C54" s="1260"/>
      <c r="D54" s="1314"/>
      <c r="E54" s="1254"/>
      <c r="F54" s="1255"/>
      <c r="G54" s="1292"/>
      <c r="H54" s="1294"/>
      <c r="I54" s="1257" t="str">
        <f t="shared" si="1"/>
        <v/>
      </c>
      <c r="J54" s="1321"/>
      <c r="K54" s="1319"/>
      <c r="L54" s="1320"/>
      <c r="M54" s="1306"/>
      <c r="N54" s="1313"/>
      <c r="O54" s="207"/>
      <c r="P54" s="208"/>
      <c r="Q54" s="209"/>
      <c r="R54" s="209"/>
      <c r="S54" s="209"/>
      <c r="T54" s="209"/>
      <c r="U54" s="209"/>
      <c r="V54" s="209"/>
      <c r="W54" s="209"/>
      <c r="X54" s="210"/>
      <c r="Y54" s="210"/>
      <c r="Z54" s="210"/>
      <c r="AA54" s="210"/>
      <c r="AB54" s="210"/>
      <c r="AC54" s="209"/>
      <c r="AD54" s="339"/>
      <c r="AE54" s="340"/>
      <c r="AF54" s="209"/>
      <c r="AG54" s="209"/>
      <c r="AH54" s="209"/>
      <c r="AI54" s="1230"/>
    </row>
    <row r="55" spans="1:35" s="29" customFormat="1" ht="24" customHeight="1">
      <c r="A55" s="7"/>
      <c r="B55" s="7"/>
      <c r="C55" s="1260"/>
      <c r="D55" s="1314"/>
      <c r="E55" s="1254"/>
      <c r="F55" s="1255"/>
      <c r="G55" s="1292"/>
      <c r="H55" s="1294"/>
      <c r="I55" s="1257" t="str">
        <f t="shared" si="1"/>
        <v/>
      </c>
      <c r="J55" s="1321"/>
      <c r="K55" s="1319"/>
      <c r="L55" s="1320"/>
      <c r="M55" s="1306"/>
      <c r="N55" s="1313"/>
      <c r="O55" s="207"/>
      <c r="P55" s="208"/>
      <c r="Q55" s="209"/>
      <c r="R55" s="209"/>
      <c r="S55" s="209"/>
      <c r="T55" s="209"/>
      <c r="U55" s="209"/>
      <c r="V55" s="209"/>
      <c r="W55" s="209"/>
      <c r="X55" s="210"/>
      <c r="Y55" s="210"/>
      <c r="Z55" s="210"/>
      <c r="AA55" s="210"/>
      <c r="AB55" s="210"/>
      <c r="AC55" s="209"/>
      <c r="AD55" s="339"/>
      <c r="AE55" s="340"/>
      <c r="AF55" s="209"/>
      <c r="AG55" s="209"/>
      <c r="AH55" s="209"/>
      <c r="AI55" s="1230"/>
    </row>
    <row r="56" spans="1:35" s="29" customFormat="1" ht="24" customHeight="1">
      <c r="A56" s="7"/>
      <c r="B56" s="7"/>
      <c r="C56" s="1260"/>
      <c r="D56" s="1314"/>
      <c r="E56" s="1254"/>
      <c r="F56" s="1255"/>
      <c r="G56" s="1292"/>
      <c r="H56" s="1294"/>
      <c r="I56" s="1257" t="str">
        <f t="shared" ref="I56" si="2">IF(F56="","",INT(F56*H56))</f>
        <v/>
      </c>
      <c r="J56" s="1321"/>
      <c r="K56" s="1319"/>
      <c r="L56" s="1320"/>
      <c r="M56" s="1306"/>
      <c r="N56" s="1313"/>
      <c r="O56" s="207"/>
      <c r="P56" s="208"/>
      <c r="Q56" s="209"/>
      <c r="R56" s="209"/>
      <c r="S56" s="209"/>
      <c r="T56" s="209"/>
      <c r="U56" s="209"/>
      <c r="V56" s="209"/>
      <c r="W56" s="209"/>
      <c r="X56" s="210"/>
      <c r="Y56" s="210"/>
      <c r="Z56" s="210"/>
      <c r="AA56" s="210"/>
      <c r="AB56" s="210"/>
      <c r="AC56" s="209"/>
      <c r="AD56" s="339"/>
      <c r="AE56" s="340"/>
      <c r="AF56" s="209"/>
      <c r="AG56" s="209"/>
      <c r="AH56" s="209"/>
      <c r="AI56" s="1230"/>
    </row>
    <row r="57" spans="1:35" s="29" customFormat="1" ht="24" customHeight="1">
      <c r="A57" s="7"/>
      <c r="B57" s="7"/>
      <c r="C57" s="1260"/>
      <c r="D57" s="1314"/>
      <c r="E57" s="1254"/>
      <c r="F57" s="1255"/>
      <c r="G57" s="1292"/>
      <c r="H57" s="1294"/>
      <c r="I57" s="1257" t="str">
        <f t="shared" si="1"/>
        <v/>
      </c>
      <c r="J57" s="1321"/>
      <c r="K57" s="1319"/>
      <c r="L57" s="1320"/>
      <c r="M57" s="1306"/>
      <c r="N57" s="1313"/>
      <c r="O57" s="207"/>
      <c r="P57" s="208"/>
      <c r="Q57" s="209"/>
      <c r="R57" s="209"/>
      <c r="S57" s="209"/>
      <c r="T57" s="209"/>
      <c r="U57" s="209"/>
      <c r="V57" s="209"/>
      <c r="W57" s="209"/>
      <c r="X57" s="210"/>
      <c r="Y57" s="210"/>
      <c r="Z57" s="210"/>
      <c r="AA57" s="210"/>
      <c r="AB57" s="210"/>
      <c r="AC57" s="209"/>
      <c r="AD57" s="339"/>
      <c r="AE57" s="340"/>
      <c r="AF57" s="209"/>
      <c r="AG57" s="209"/>
      <c r="AH57" s="209"/>
      <c r="AI57" s="1230"/>
    </row>
    <row r="58" spans="1:35" s="29" customFormat="1" ht="24" customHeight="1">
      <c r="A58" s="7"/>
      <c r="B58" s="7"/>
      <c r="C58" s="1260"/>
      <c r="D58" s="1314"/>
      <c r="E58" s="1254"/>
      <c r="F58" s="1255"/>
      <c r="G58" s="1292"/>
      <c r="H58" s="1294"/>
      <c r="I58" s="1257" t="str">
        <f t="shared" si="1"/>
        <v/>
      </c>
      <c r="J58" s="1321"/>
      <c r="K58" s="1319"/>
      <c r="L58" s="1320"/>
      <c r="M58" s="1306"/>
      <c r="N58" s="1313"/>
      <c r="O58" s="207"/>
      <c r="P58" s="208"/>
      <c r="Q58" s="209"/>
      <c r="R58" s="209"/>
      <c r="S58" s="209"/>
      <c r="T58" s="209"/>
      <c r="U58" s="209"/>
      <c r="V58" s="209"/>
      <c r="W58" s="209"/>
      <c r="X58" s="210"/>
      <c r="Y58" s="210"/>
      <c r="Z58" s="210"/>
      <c r="AA58" s="210"/>
      <c r="AB58" s="210"/>
      <c r="AC58" s="209"/>
      <c r="AD58" s="339"/>
      <c r="AE58" s="340"/>
      <c r="AF58" s="209"/>
      <c r="AG58" s="209"/>
      <c r="AH58" s="209"/>
      <c r="AI58" s="1230"/>
    </row>
    <row r="59" spans="1:35" s="29" customFormat="1" ht="24" customHeight="1">
      <c r="A59" s="7"/>
      <c r="B59" s="7"/>
      <c r="C59" s="1308"/>
      <c r="D59" s="1309"/>
      <c r="E59" s="1310"/>
      <c r="F59" s="1255"/>
      <c r="G59" s="1292"/>
      <c r="H59" s="1311"/>
      <c r="I59" s="1257" t="str">
        <f t="shared" si="1"/>
        <v/>
      </c>
      <c r="J59" s="1312"/>
      <c r="K59" s="1319"/>
      <c r="L59" s="1320"/>
      <c r="M59" s="1306"/>
      <c r="N59" s="1313"/>
      <c r="O59" s="207"/>
      <c r="P59" s="208"/>
      <c r="Q59" s="209"/>
      <c r="R59" s="209"/>
      <c r="S59" s="209"/>
      <c r="T59" s="209"/>
      <c r="U59" s="209"/>
      <c r="V59" s="209"/>
      <c r="W59" s="209"/>
      <c r="X59" s="210"/>
      <c r="Y59" s="210"/>
      <c r="Z59" s="210"/>
      <c r="AA59" s="210"/>
      <c r="AB59" s="210"/>
      <c r="AC59" s="209"/>
      <c r="AD59" s="339"/>
      <c r="AE59" s="340"/>
      <c r="AF59" s="209"/>
      <c r="AG59" s="209"/>
      <c r="AH59" s="209"/>
      <c r="AI59" s="1230"/>
    </row>
    <row r="60" spans="1:35" s="29" customFormat="1" ht="24" customHeight="1">
      <c r="A60" s="7"/>
      <c r="B60" s="7"/>
      <c r="C60" s="1308"/>
      <c r="D60" s="1314"/>
      <c r="E60" s="1254"/>
      <c r="F60" s="1255"/>
      <c r="G60" s="1292"/>
      <c r="H60" s="1311"/>
      <c r="I60" s="1257" t="str">
        <f t="shared" si="1"/>
        <v/>
      </c>
      <c r="J60" s="1312"/>
      <c r="K60" s="1319"/>
      <c r="L60" s="1320"/>
      <c r="M60" s="1306"/>
      <c r="N60" s="1313"/>
      <c r="O60" s="207"/>
      <c r="P60" s="208"/>
      <c r="Q60" s="209"/>
      <c r="R60" s="209"/>
      <c r="S60" s="209"/>
      <c r="T60" s="209"/>
      <c r="U60" s="209"/>
      <c r="V60" s="209"/>
      <c r="W60" s="209"/>
      <c r="X60" s="210"/>
      <c r="Y60" s="210"/>
      <c r="Z60" s="210"/>
      <c r="AA60" s="210"/>
      <c r="AB60" s="210"/>
      <c r="AC60" s="209"/>
      <c r="AD60" s="339"/>
      <c r="AE60" s="340"/>
      <c r="AF60" s="209"/>
      <c r="AG60" s="209"/>
      <c r="AH60" s="209"/>
      <c r="AI60" s="1230"/>
    </row>
    <row r="61" spans="1:35" s="29" customFormat="1" ht="24" customHeight="1">
      <c r="A61" s="7"/>
      <c r="B61" s="7"/>
      <c r="C61" s="1308"/>
      <c r="D61" s="1319"/>
      <c r="E61" s="1254"/>
      <c r="F61" s="1255"/>
      <c r="G61" s="1292"/>
      <c r="H61" s="1311"/>
      <c r="I61" s="1257" t="str">
        <f t="shared" si="1"/>
        <v/>
      </c>
      <c r="J61" s="1312"/>
      <c r="K61" s="1319"/>
      <c r="L61" s="1320"/>
      <c r="M61" s="1306"/>
      <c r="N61" s="1313"/>
      <c r="O61" s="207"/>
      <c r="P61" s="208"/>
      <c r="Q61" s="209"/>
      <c r="R61" s="209"/>
      <c r="S61" s="209"/>
      <c r="T61" s="209"/>
      <c r="U61" s="209"/>
      <c r="V61" s="209"/>
      <c r="W61" s="209"/>
      <c r="X61" s="210"/>
      <c r="Y61" s="210"/>
      <c r="Z61" s="210"/>
      <c r="AA61" s="210"/>
      <c r="AB61" s="210"/>
      <c r="AC61" s="209"/>
      <c r="AD61" s="339"/>
      <c r="AE61" s="340"/>
      <c r="AF61" s="209"/>
      <c r="AG61" s="209"/>
      <c r="AH61" s="209"/>
      <c r="AI61" s="1230"/>
    </row>
    <row r="62" spans="1:35" s="29" customFormat="1" ht="24" customHeight="1">
      <c r="A62" s="7"/>
      <c r="B62" s="7"/>
      <c r="C62" s="1308"/>
      <c r="D62" s="1319"/>
      <c r="E62" s="1254"/>
      <c r="F62" s="1255"/>
      <c r="G62" s="1292"/>
      <c r="H62" s="1311"/>
      <c r="I62" s="1257" t="str">
        <f t="shared" si="1"/>
        <v/>
      </c>
      <c r="J62" s="1312"/>
      <c r="K62" s="1319"/>
      <c r="L62" s="1320"/>
      <c r="M62" s="1306"/>
      <c r="N62" s="1313"/>
      <c r="O62" s="207"/>
      <c r="P62" s="208"/>
      <c r="Q62" s="209"/>
      <c r="R62" s="209"/>
      <c r="S62" s="209"/>
      <c r="T62" s="209"/>
      <c r="U62" s="209"/>
      <c r="V62" s="209"/>
      <c r="W62" s="209"/>
      <c r="X62" s="210"/>
      <c r="Y62" s="210"/>
      <c r="Z62" s="210"/>
      <c r="AA62" s="210"/>
      <c r="AB62" s="210"/>
      <c r="AC62" s="209"/>
      <c r="AD62" s="339"/>
      <c r="AE62" s="340"/>
      <c r="AF62" s="209"/>
      <c r="AG62" s="209"/>
      <c r="AH62" s="209"/>
      <c r="AI62" s="1230"/>
    </row>
    <row r="63" spans="1:35" s="29" customFormat="1" ht="24" customHeight="1">
      <c r="A63" s="7"/>
      <c r="B63" s="7"/>
      <c r="C63" s="1308"/>
      <c r="D63" s="1309"/>
      <c r="E63" s="1310"/>
      <c r="F63" s="1255"/>
      <c r="G63" s="1292"/>
      <c r="H63" s="1311"/>
      <c r="I63" s="1257" t="str">
        <f t="shared" si="1"/>
        <v/>
      </c>
      <c r="J63" s="1312"/>
      <c r="K63" s="1319"/>
      <c r="L63" s="1320"/>
      <c r="M63" s="1306"/>
      <c r="N63" s="1313"/>
      <c r="O63" s="207"/>
      <c r="P63" s="208"/>
      <c r="Q63" s="209"/>
      <c r="R63" s="209"/>
      <c r="S63" s="209"/>
      <c r="T63" s="209"/>
      <c r="U63" s="209"/>
      <c r="V63" s="209"/>
      <c r="W63" s="209"/>
      <c r="X63" s="210"/>
      <c r="Y63" s="210"/>
      <c r="Z63" s="210"/>
      <c r="AA63" s="210"/>
      <c r="AB63" s="210"/>
      <c r="AC63" s="209"/>
      <c r="AD63" s="339"/>
      <c r="AE63" s="340"/>
      <c r="AF63" s="209"/>
      <c r="AG63" s="209"/>
      <c r="AH63" s="209"/>
      <c r="AI63" s="1230"/>
    </row>
    <row r="64" spans="1:35" s="29" customFormat="1" ht="24" customHeight="1">
      <c r="A64" s="7"/>
      <c r="B64" s="7"/>
      <c r="C64" s="1308"/>
      <c r="D64" s="1309"/>
      <c r="E64" s="1310"/>
      <c r="F64" s="1255"/>
      <c r="G64" s="1292"/>
      <c r="H64" s="1311"/>
      <c r="I64" s="1257" t="str">
        <f t="shared" si="1"/>
        <v/>
      </c>
      <c r="J64" s="1312"/>
      <c r="K64" s="1319"/>
      <c r="L64" s="1320"/>
      <c r="M64" s="1306"/>
      <c r="N64" s="1313"/>
      <c r="O64" s="207"/>
      <c r="P64" s="208"/>
      <c r="Q64" s="209"/>
      <c r="R64" s="209"/>
      <c r="S64" s="209"/>
      <c r="T64" s="209"/>
      <c r="U64" s="209"/>
      <c r="V64" s="209"/>
      <c r="W64" s="209"/>
      <c r="X64" s="210"/>
      <c r="Y64" s="210"/>
      <c r="Z64" s="210"/>
      <c r="AA64" s="210"/>
      <c r="AB64" s="210"/>
      <c r="AC64" s="209"/>
      <c r="AD64" s="339"/>
      <c r="AE64" s="340"/>
      <c r="AF64" s="209"/>
      <c r="AG64" s="209"/>
      <c r="AH64" s="209"/>
      <c r="AI64" s="1230"/>
    </row>
    <row r="65" spans="1:37" s="29" customFormat="1" ht="24" customHeight="1">
      <c r="A65" s="7"/>
      <c r="B65" s="7"/>
      <c r="C65" s="1308"/>
      <c r="D65" s="1309"/>
      <c r="E65" s="1310"/>
      <c r="F65" s="1255"/>
      <c r="G65" s="1292"/>
      <c r="H65" s="1311"/>
      <c r="I65" s="1257"/>
      <c r="J65" s="1312"/>
      <c r="K65" s="1258"/>
      <c r="L65" s="1259"/>
      <c r="M65" s="1306"/>
      <c r="N65" s="1313"/>
      <c r="O65" s="207"/>
      <c r="P65" s="208"/>
      <c r="Q65" s="209"/>
      <c r="R65" s="209"/>
      <c r="S65" s="209"/>
      <c r="T65" s="209"/>
      <c r="U65" s="209"/>
      <c r="V65" s="209"/>
      <c r="W65" s="209"/>
      <c r="X65" s="210"/>
      <c r="Y65" s="210"/>
      <c r="Z65" s="210"/>
      <c r="AA65" s="210"/>
      <c r="AB65" s="210"/>
      <c r="AC65" s="209"/>
      <c r="AD65" s="339"/>
      <c r="AE65" s="340"/>
      <c r="AF65" s="209"/>
      <c r="AG65" s="209"/>
      <c r="AH65" s="209"/>
      <c r="AI65" s="1230"/>
    </row>
    <row r="66" spans="1:37" s="29" customFormat="1" ht="24" customHeight="1">
      <c r="A66" s="7"/>
      <c r="B66" s="7"/>
      <c r="C66" s="1308"/>
      <c r="D66" s="1309"/>
      <c r="E66" s="1310"/>
      <c r="F66" s="1255"/>
      <c r="G66" s="1292"/>
      <c r="H66" s="1311"/>
      <c r="I66" s="1257" t="str">
        <f t="shared" si="1"/>
        <v/>
      </c>
      <c r="J66" s="1312"/>
      <c r="K66" s="1258"/>
      <c r="L66" s="1259"/>
      <c r="M66" s="1306"/>
      <c r="N66" s="1313"/>
      <c r="O66" s="207"/>
      <c r="P66" s="208"/>
      <c r="Q66" s="209"/>
      <c r="R66" s="209"/>
      <c r="S66" s="209"/>
      <c r="T66" s="209"/>
      <c r="U66" s="209"/>
      <c r="V66" s="209"/>
      <c r="W66" s="209"/>
      <c r="X66" s="210"/>
      <c r="Y66" s="210"/>
      <c r="Z66" s="210"/>
      <c r="AA66" s="210"/>
      <c r="AB66" s="210"/>
      <c r="AC66" s="209"/>
      <c r="AD66" s="339"/>
      <c r="AE66" s="340"/>
      <c r="AF66" s="209"/>
      <c r="AG66" s="209"/>
      <c r="AH66" s="209"/>
      <c r="AI66" s="1230"/>
    </row>
    <row r="67" spans="1:37" s="29" customFormat="1" ht="24" customHeight="1">
      <c r="A67" s="7"/>
      <c r="B67" s="7"/>
      <c r="C67" s="1308"/>
      <c r="D67" s="1309"/>
      <c r="E67" s="1310"/>
      <c r="F67" s="1255"/>
      <c r="G67" s="1292"/>
      <c r="H67" s="1311"/>
      <c r="I67" s="1257" t="str">
        <f t="shared" si="1"/>
        <v/>
      </c>
      <c r="J67" s="1312"/>
      <c r="K67" s="1258"/>
      <c r="L67" s="1259"/>
      <c r="M67" s="1306"/>
      <c r="N67" s="1313"/>
      <c r="O67" s="207"/>
      <c r="P67" s="208"/>
      <c r="Q67" s="209"/>
      <c r="R67" s="209"/>
      <c r="S67" s="209"/>
      <c r="T67" s="209"/>
      <c r="U67" s="209"/>
      <c r="V67" s="209"/>
      <c r="W67" s="209"/>
      <c r="X67" s="210"/>
      <c r="Y67" s="210"/>
      <c r="Z67" s="210"/>
      <c r="AA67" s="210"/>
      <c r="AB67" s="210"/>
      <c r="AC67" s="209"/>
      <c r="AD67" s="339"/>
      <c r="AE67" s="340"/>
      <c r="AF67" s="209"/>
      <c r="AG67" s="209"/>
      <c r="AH67" s="209"/>
      <c r="AI67" s="1230"/>
    </row>
    <row r="68" spans="1:37" s="29" customFormat="1" ht="24" customHeight="1">
      <c r="A68" s="7"/>
      <c r="B68" s="7"/>
      <c r="C68" s="1308"/>
      <c r="D68" s="1309"/>
      <c r="E68" s="1310"/>
      <c r="F68" s="1255"/>
      <c r="G68" s="1292"/>
      <c r="H68" s="1311"/>
      <c r="I68" s="1257" t="str">
        <f t="shared" si="1"/>
        <v/>
      </c>
      <c r="J68" s="1312"/>
      <c r="K68" s="1258"/>
      <c r="L68" s="1259"/>
      <c r="M68" s="1306"/>
      <c r="N68" s="1313"/>
      <c r="O68" s="207"/>
      <c r="P68" s="208"/>
      <c r="Q68" s="209"/>
      <c r="R68" s="209"/>
      <c r="S68" s="209"/>
      <c r="T68" s="209"/>
      <c r="U68" s="209"/>
      <c r="V68" s="209"/>
      <c r="W68" s="209"/>
      <c r="X68" s="210"/>
      <c r="Y68" s="210"/>
      <c r="Z68" s="210"/>
      <c r="AA68" s="210"/>
      <c r="AB68" s="210"/>
      <c r="AC68" s="209"/>
      <c r="AD68" s="339"/>
      <c r="AE68" s="340"/>
      <c r="AF68" s="209"/>
      <c r="AG68" s="209"/>
      <c r="AH68" s="209"/>
      <c r="AI68" s="1230"/>
    </row>
    <row r="69" spans="1:37" s="29" customFormat="1" ht="24" customHeight="1">
      <c r="A69" s="7"/>
      <c r="B69" s="7"/>
      <c r="C69" s="1308"/>
      <c r="D69" s="1309"/>
      <c r="E69" s="1310"/>
      <c r="F69" s="1255"/>
      <c r="G69" s="1292"/>
      <c r="H69" s="1311"/>
      <c r="I69" s="1257" t="str">
        <f t="shared" si="1"/>
        <v/>
      </c>
      <c r="J69" s="1312"/>
      <c r="K69" s="1258"/>
      <c r="L69" s="1259"/>
      <c r="M69" s="1306"/>
      <c r="N69" s="1313"/>
      <c r="O69" s="207"/>
      <c r="P69" s="208"/>
      <c r="Q69" s="209"/>
      <c r="R69" s="209"/>
      <c r="S69" s="209"/>
      <c r="T69" s="209"/>
      <c r="U69" s="209"/>
      <c r="V69" s="209"/>
      <c r="W69" s="209"/>
      <c r="X69" s="210"/>
      <c r="Y69" s="210"/>
      <c r="Z69" s="210"/>
      <c r="AA69" s="210"/>
      <c r="AB69" s="210"/>
      <c r="AC69" s="209"/>
      <c r="AD69" s="339"/>
      <c r="AE69" s="340"/>
      <c r="AF69" s="209"/>
      <c r="AG69" s="209"/>
      <c r="AH69" s="209"/>
      <c r="AI69" s="1230"/>
      <c r="AJ69"/>
      <c r="AK69"/>
    </row>
    <row r="70" spans="1:37" ht="24" customHeight="1" thickBot="1">
      <c r="A70" s="7"/>
      <c r="B70" s="7"/>
      <c r="C70" s="1267"/>
      <c r="D70" s="1268" t="s">
        <v>9</v>
      </c>
      <c r="E70" s="1269"/>
      <c r="F70" s="1270"/>
      <c r="G70" s="1293"/>
      <c r="H70" s="1303" t="s">
        <v>75</v>
      </c>
      <c r="I70" s="1272">
        <f>SUM(I52:I69)</f>
        <v>0</v>
      </c>
      <c r="J70" s="1315" t="str">
        <f>IF(C51="部分撤去工事","）うち費用",")")</f>
        <v>)</v>
      </c>
      <c r="K70" s="1316">
        <f>IF(C51="部分撤去工事",(K47+L70),0)</f>
        <v>0</v>
      </c>
      <c r="L70" s="1305">
        <f>IF(C51="部分撤去工事",SUMIF(N52:N69,"費用",I52:I69),0)</f>
        <v>0</v>
      </c>
      <c r="M70" s="1317"/>
      <c r="N70" s="1318"/>
      <c r="O70" s="207"/>
      <c r="P70" s="208"/>
      <c r="Q70" s="209"/>
      <c r="R70" s="209"/>
      <c r="S70" s="209"/>
      <c r="T70" s="209"/>
      <c r="U70" s="209"/>
      <c r="V70" s="209"/>
      <c r="W70" s="209"/>
      <c r="X70" s="210"/>
      <c r="Y70" s="210"/>
      <c r="Z70" s="210"/>
      <c r="AA70" s="210"/>
      <c r="AB70" s="210"/>
      <c r="AC70" s="209"/>
      <c r="AD70" s="339"/>
      <c r="AE70" s="340"/>
      <c r="AF70" s="209"/>
      <c r="AG70" s="209"/>
      <c r="AH70" s="209"/>
      <c r="AI70" s="1230"/>
      <c r="AJ70"/>
      <c r="AK70"/>
    </row>
    <row r="71" spans="1:37" ht="14.25" customHeight="1">
      <c r="E71" s="107" t="s">
        <v>53</v>
      </c>
      <c r="F71" s="108">
        <f>+F48+1</f>
        <v>6</v>
      </c>
      <c r="G71" s="109" t="s">
        <v>54</v>
      </c>
      <c r="H71" s="110">
        <f>+H48</f>
        <v>7</v>
      </c>
      <c r="I71" s="110"/>
      <c r="M71" s="523" t="str">
        <f>IF(A73="","EOL","")</f>
        <v/>
      </c>
      <c r="N71" s="1">
        <f>+F71</f>
        <v>6</v>
      </c>
      <c r="Q71" s="29"/>
      <c r="R71" s="29"/>
      <c r="S71" s="29"/>
      <c r="T71" s="29"/>
      <c r="U71" s="29"/>
      <c r="V71" s="29"/>
      <c r="W71" s="29"/>
      <c r="X71" s="29"/>
      <c r="Y71" s="29"/>
      <c r="Z71" s="29"/>
      <c r="AI71" s="1"/>
      <c r="AJ71"/>
      <c r="AK71"/>
    </row>
    <row r="72" spans="1:37" ht="26.25" customHeight="1" thickBot="1">
      <c r="C72" s="1373" t="s">
        <v>312</v>
      </c>
      <c r="D72" s="1373"/>
      <c r="E72" s="1373"/>
      <c r="F72" s="1373"/>
      <c r="G72" s="1373"/>
      <c r="H72" s="1373"/>
      <c r="I72" s="1373"/>
      <c r="J72" s="1373"/>
      <c r="K72" s="1373"/>
      <c r="L72" s="1373"/>
      <c r="M72" s="1"/>
      <c r="O72" s="1506" t="s">
        <v>137</v>
      </c>
      <c r="P72" s="1506"/>
      <c r="Q72" s="1506"/>
      <c r="R72" s="1506"/>
      <c r="S72" s="1506"/>
      <c r="T72" s="1506"/>
      <c r="U72" s="1506"/>
      <c r="V72" s="1506"/>
      <c r="W72" s="1506"/>
      <c r="X72" s="1506"/>
      <c r="Y72" s="1506"/>
      <c r="Z72" s="1506"/>
      <c r="AA72" s="1506"/>
      <c r="AB72" s="1506"/>
      <c r="AC72" s="1506"/>
      <c r="AD72" s="1506"/>
      <c r="AE72" s="1506"/>
      <c r="AF72" s="1506"/>
      <c r="AG72" s="1506"/>
      <c r="AH72" s="1507"/>
      <c r="AI72" s="1225"/>
      <c r="AJ72"/>
      <c r="AK72"/>
    </row>
    <row r="73" spans="1:37" ht="41.25" customHeight="1">
      <c r="A73" s="5" t="s">
        <v>11</v>
      </c>
      <c r="B73" s="5" t="s">
        <v>47</v>
      </c>
      <c r="C73" s="1210" t="s">
        <v>0</v>
      </c>
      <c r="D73" s="1211"/>
      <c r="E73" s="1212" t="s">
        <v>1</v>
      </c>
      <c r="F73" s="1213" t="s">
        <v>2</v>
      </c>
      <c r="G73" s="1213" t="s">
        <v>3</v>
      </c>
      <c r="H73" s="1214" t="s">
        <v>4</v>
      </c>
      <c r="I73" s="1214" t="s">
        <v>5</v>
      </c>
      <c r="J73" s="1374" t="s">
        <v>6</v>
      </c>
      <c r="K73" s="1375"/>
      <c r="L73" s="1376"/>
      <c r="M73" s="840" t="s">
        <v>2827</v>
      </c>
      <c r="N73" s="567" t="s">
        <v>2818</v>
      </c>
      <c r="O73" s="521" t="s">
        <v>72</v>
      </c>
      <c r="P73" s="334" t="s">
        <v>246</v>
      </c>
      <c r="Q73" s="266" t="s">
        <v>261</v>
      </c>
      <c r="R73" s="266" t="s">
        <v>208</v>
      </c>
      <c r="S73" s="266" t="s">
        <v>209</v>
      </c>
      <c r="T73" s="266" t="s">
        <v>224</v>
      </c>
      <c r="U73" s="266" t="s">
        <v>131</v>
      </c>
      <c r="V73" s="137" t="s">
        <v>130</v>
      </c>
      <c r="W73" s="266" t="s">
        <v>210</v>
      </c>
      <c r="X73" s="200" t="s">
        <v>211</v>
      </c>
      <c r="Y73" s="200" t="s">
        <v>212</v>
      </c>
      <c r="Z73" s="200" t="s">
        <v>213</v>
      </c>
      <c r="AA73" s="200" t="s">
        <v>214</v>
      </c>
      <c r="AB73" s="200" t="s">
        <v>256</v>
      </c>
      <c r="AC73" s="336" t="s">
        <v>265</v>
      </c>
      <c r="AD73" s="337" t="s">
        <v>266</v>
      </c>
      <c r="AE73" s="338" t="s">
        <v>133</v>
      </c>
      <c r="AF73" s="136" t="s">
        <v>136</v>
      </c>
      <c r="AG73" s="136" t="s">
        <v>134</v>
      </c>
      <c r="AH73" s="136" t="s">
        <v>135</v>
      </c>
      <c r="AI73" s="1226"/>
      <c r="AJ73"/>
      <c r="AK73"/>
    </row>
    <row r="74" spans="1:37" ht="24" customHeight="1">
      <c r="A74" s="7"/>
      <c r="B74" s="7"/>
      <c r="C74" s="1003" t="s">
        <v>3160</v>
      </c>
      <c r="D74" s="1007"/>
      <c r="E74" s="1008"/>
      <c r="F74" s="997"/>
      <c r="G74" s="998"/>
      <c r="H74" s="1009" t="s">
        <v>12</v>
      </c>
      <c r="I74" s="1009" t="s">
        <v>12</v>
      </c>
      <c r="J74" s="1511"/>
      <c r="K74" s="1512"/>
      <c r="L74" s="1513"/>
      <c r="M74" s="1306"/>
      <c r="N74" s="1307"/>
      <c r="O74" s="522"/>
      <c r="P74" s="208"/>
      <c r="Q74" s="209"/>
      <c r="R74" s="209"/>
      <c r="S74" s="209"/>
      <c r="T74" s="209"/>
      <c r="U74" s="209"/>
      <c r="V74" s="209"/>
      <c r="W74" s="209"/>
      <c r="X74" s="210"/>
      <c r="Y74" s="210"/>
      <c r="Z74" s="210"/>
      <c r="AA74" s="210"/>
      <c r="AB74" s="210"/>
      <c r="AC74" s="209"/>
      <c r="AD74" s="339"/>
      <c r="AE74" s="340"/>
      <c r="AF74" s="209"/>
      <c r="AG74" s="209"/>
      <c r="AH74" s="209"/>
      <c r="AI74" s="1230"/>
      <c r="AJ74"/>
      <c r="AK74"/>
    </row>
    <row r="75" spans="1:37" s="29" customFormat="1" ht="24" customHeight="1">
      <c r="A75" s="7"/>
      <c r="B75" s="7"/>
      <c r="C75" s="1308"/>
      <c r="D75" s="1309"/>
      <c r="E75" s="1310"/>
      <c r="F75" s="1255"/>
      <c r="G75" s="1292"/>
      <c r="H75" s="1311"/>
      <c r="I75" s="1257" t="str">
        <f t="shared" ref="I75:I80" si="3">IF(F75="","",INT(F75*H75))</f>
        <v/>
      </c>
      <c r="J75" s="1312"/>
      <c r="K75" s="1319"/>
      <c r="L75" s="1320"/>
      <c r="M75" s="1306"/>
      <c r="N75" s="1313"/>
      <c r="O75" s="522"/>
      <c r="P75" s="208"/>
      <c r="Q75" s="209"/>
      <c r="R75" s="209"/>
      <c r="S75" s="209"/>
      <c r="T75" s="209"/>
      <c r="U75" s="209"/>
      <c r="V75" s="209"/>
      <c r="W75" s="209"/>
      <c r="X75" s="210"/>
      <c r="Y75" s="210"/>
      <c r="Z75" s="210"/>
      <c r="AA75" s="210"/>
      <c r="AB75" s="210"/>
      <c r="AC75" s="209"/>
      <c r="AD75" s="339"/>
      <c r="AE75" s="340"/>
      <c r="AF75" s="209"/>
      <c r="AG75" s="209"/>
      <c r="AH75" s="471"/>
      <c r="AI75" s="1230"/>
      <c r="AJ75"/>
      <c r="AK75"/>
    </row>
    <row r="76" spans="1:37" s="29" customFormat="1" ht="24" customHeight="1">
      <c r="A76" s="7"/>
      <c r="B76" s="7"/>
      <c r="C76" s="1308"/>
      <c r="D76" s="1309"/>
      <c r="E76" s="1310"/>
      <c r="F76" s="1255"/>
      <c r="G76" s="1292"/>
      <c r="H76" s="1311"/>
      <c r="I76" s="1257" t="str">
        <f t="shared" si="3"/>
        <v/>
      </c>
      <c r="J76" s="1312"/>
      <c r="K76" s="1319"/>
      <c r="L76" s="1320"/>
      <c r="M76" s="1306"/>
      <c r="N76" s="1313"/>
      <c r="O76" s="522"/>
      <c r="P76" s="208"/>
      <c r="Q76" s="209"/>
      <c r="R76" s="209"/>
      <c r="S76" s="209"/>
      <c r="T76" s="209"/>
      <c r="U76" s="209"/>
      <c r="V76" s="209"/>
      <c r="W76" s="209"/>
      <c r="X76" s="210"/>
      <c r="Y76" s="210"/>
      <c r="Z76" s="210"/>
      <c r="AA76" s="210"/>
      <c r="AB76" s="210"/>
      <c r="AC76" s="209"/>
      <c r="AD76" s="339"/>
      <c r="AE76" s="340"/>
      <c r="AF76" s="209"/>
      <c r="AG76" s="209"/>
      <c r="AH76" s="471"/>
      <c r="AI76" s="1230"/>
      <c r="AJ76"/>
      <c r="AK76"/>
    </row>
    <row r="77" spans="1:37" s="29" customFormat="1" ht="24" customHeight="1">
      <c r="A77" s="7"/>
      <c r="B77" s="7"/>
      <c r="C77" s="1308"/>
      <c r="D77" s="1309"/>
      <c r="E77" s="1310"/>
      <c r="F77" s="1255"/>
      <c r="G77" s="1292"/>
      <c r="H77" s="1311"/>
      <c r="I77" s="1257" t="str">
        <f t="shared" si="3"/>
        <v/>
      </c>
      <c r="J77" s="1312"/>
      <c r="K77" s="1319"/>
      <c r="L77" s="1320"/>
      <c r="M77" s="1306"/>
      <c r="N77" s="1313"/>
      <c r="O77" s="522"/>
      <c r="P77" s="208"/>
      <c r="Q77" s="209"/>
      <c r="R77" s="209"/>
      <c r="S77" s="209"/>
      <c r="T77" s="209"/>
      <c r="U77" s="209"/>
      <c r="V77" s="209"/>
      <c r="W77" s="209"/>
      <c r="X77" s="210"/>
      <c r="Y77" s="210"/>
      <c r="Z77" s="210"/>
      <c r="AA77" s="210"/>
      <c r="AB77" s="210"/>
      <c r="AC77" s="209"/>
      <c r="AD77" s="339"/>
      <c r="AE77" s="340"/>
      <c r="AF77" s="209"/>
      <c r="AG77" s="209"/>
      <c r="AH77" s="471"/>
      <c r="AI77" s="1230"/>
      <c r="AJ77"/>
      <c r="AK77"/>
    </row>
    <row r="78" spans="1:37" s="29" customFormat="1" ht="24" customHeight="1">
      <c r="A78" s="7"/>
      <c r="B78" s="7"/>
      <c r="C78" s="1308"/>
      <c r="D78" s="1309"/>
      <c r="E78" s="1310"/>
      <c r="F78" s="1255"/>
      <c r="G78" s="1292"/>
      <c r="H78" s="1311"/>
      <c r="I78" s="1257" t="str">
        <f t="shared" si="3"/>
        <v/>
      </c>
      <c r="J78" s="1312"/>
      <c r="K78" s="1319"/>
      <c r="L78" s="1320"/>
      <c r="M78" s="1306"/>
      <c r="N78" s="1313"/>
      <c r="O78" s="522"/>
      <c r="P78" s="208"/>
      <c r="Q78" s="209"/>
      <c r="R78" s="209"/>
      <c r="S78" s="209"/>
      <c r="T78" s="209"/>
      <c r="U78" s="209"/>
      <c r="V78" s="209"/>
      <c r="W78" s="209"/>
      <c r="X78" s="210"/>
      <c r="Y78" s="210"/>
      <c r="Z78" s="210"/>
      <c r="AA78" s="210"/>
      <c r="AB78" s="210"/>
      <c r="AC78" s="209"/>
      <c r="AD78" s="339"/>
      <c r="AE78" s="340"/>
      <c r="AF78" s="209"/>
      <c r="AG78" s="209"/>
      <c r="AH78" s="471"/>
      <c r="AI78" s="1230"/>
      <c r="AJ78"/>
      <c r="AK78"/>
    </row>
    <row r="79" spans="1:37" s="29" customFormat="1" ht="24" customHeight="1">
      <c r="A79" s="7"/>
      <c r="B79" s="7"/>
      <c r="C79" s="1308"/>
      <c r="D79" s="1309"/>
      <c r="E79" s="1310"/>
      <c r="F79" s="1255"/>
      <c r="G79" s="1292"/>
      <c r="H79" s="1311"/>
      <c r="I79" s="1257" t="str">
        <f t="shared" si="3"/>
        <v/>
      </c>
      <c r="J79" s="1312"/>
      <c r="K79" s="1319"/>
      <c r="L79" s="1320"/>
      <c r="M79" s="1306"/>
      <c r="N79" s="1313"/>
      <c r="O79" s="522"/>
      <c r="P79" s="208"/>
      <c r="Q79" s="209"/>
      <c r="R79" s="209"/>
      <c r="S79" s="209"/>
      <c r="T79" s="209"/>
      <c r="U79" s="209"/>
      <c r="V79" s="209"/>
      <c r="W79" s="209"/>
      <c r="X79" s="210"/>
      <c r="Y79" s="210"/>
      <c r="Z79" s="210"/>
      <c r="AA79" s="210"/>
      <c r="AB79" s="210"/>
      <c r="AC79" s="209"/>
      <c r="AD79" s="339"/>
      <c r="AE79" s="340"/>
      <c r="AF79" s="209"/>
      <c r="AG79" s="209"/>
      <c r="AH79" s="471"/>
      <c r="AI79" s="1230"/>
      <c r="AJ79"/>
      <c r="AK79"/>
    </row>
    <row r="80" spans="1:37" s="29" customFormat="1" ht="24" customHeight="1">
      <c r="A80" s="7"/>
      <c r="B80" s="7"/>
      <c r="C80" s="1308"/>
      <c r="D80" s="1309"/>
      <c r="E80" s="1310"/>
      <c r="F80" s="1255"/>
      <c r="G80" s="1292"/>
      <c r="H80" s="1311"/>
      <c r="I80" s="1257" t="str">
        <f t="shared" si="3"/>
        <v/>
      </c>
      <c r="J80" s="1312"/>
      <c r="K80" s="1319"/>
      <c r="L80" s="1320"/>
      <c r="M80" s="1306"/>
      <c r="N80" s="1313"/>
      <c r="O80" s="522"/>
      <c r="P80" s="208"/>
      <c r="Q80" s="209"/>
      <c r="R80" s="209"/>
      <c r="S80" s="209"/>
      <c r="T80" s="209"/>
      <c r="U80" s="209"/>
      <c r="V80" s="209"/>
      <c r="W80" s="209"/>
      <c r="X80" s="210"/>
      <c r="Y80" s="210"/>
      <c r="Z80" s="210"/>
      <c r="AA80" s="210"/>
      <c r="AB80" s="210"/>
      <c r="AC80" s="209"/>
      <c r="AD80" s="339"/>
      <c r="AE80" s="340"/>
      <c r="AF80" s="209"/>
      <c r="AG80" s="209"/>
      <c r="AH80" s="471"/>
      <c r="AI80" s="1230"/>
      <c r="AJ80"/>
      <c r="AK80"/>
    </row>
    <row r="81" spans="1:37" s="29" customFormat="1" ht="24" customHeight="1">
      <c r="A81" s="7"/>
      <c r="B81" s="7"/>
      <c r="C81" s="1308"/>
      <c r="D81" s="1309"/>
      <c r="E81" s="1310"/>
      <c r="F81" s="1255"/>
      <c r="G81" s="1292"/>
      <c r="H81" s="1311"/>
      <c r="I81" s="1257" t="str">
        <f t="shared" ref="I81:I92" si="4">IF(F81="","",INT(F81*H81))</f>
        <v/>
      </c>
      <c r="J81" s="1312"/>
      <c r="K81" s="1258"/>
      <c r="L81" s="1259"/>
      <c r="M81" s="1306"/>
      <c r="N81" s="1313"/>
      <c r="O81" s="522"/>
      <c r="P81" s="208"/>
      <c r="Q81" s="209"/>
      <c r="R81" s="209"/>
      <c r="S81" s="209"/>
      <c r="T81" s="209"/>
      <c r="U81" s="209"/>
      <c r="V81" s="209"/>
      <c r="W81" s="209"/>
      <c r="X81" s="210"/>
      <c r="Y81" s="210"/>
      <c r="Z81" s="210"/>
      <c r="AA81" s="210"/>
      <c r="AB81" s="210"/>
      <c r="AC81" s="209"/>
      <c r="AD81" s="339"/>
      <c r="AE81" s="340"/>
      <c r="AF81" s="209"/>
      <c r="AG81" s="209"/>
      <c r="AH81" s="471"/>
      <c r="AI81" s="1230"/>
      <c r="AJ81"/>
      <c r="AK81"/>
    </row>
    <row r="82" spans="1:37" s="29" customFormat="1" ht="24" customHeight="1">
      <c r="A82" s="7"/>
      <c r="B82" s="7"/>
      <c r="C82" s="1308"/>
      <c r="D82" s="1309"/>
      <c r="E82" s="1310"/>
      <c r="F82" s="1255"/>
      <c r="G82" s="1292"/>
      <c r="H82" s="1311"/>
      <c r="I82" s="1257" t="str">
        <f t="shared" si="4"/>
        <v/>
      </c>
      <c r="J82" s="1312"/>
      <c r="K82" s="1258"/>
      <c r="L82" s="1259"/>
      <c r="M82" s="1306"/>
      <c r="N82" s="1313"/>
      <c r="O82" s="522"/>
      <c r="P82" s="208"/>
      <c r="Q82" s="209"/>
      <c r="R82" s="209"/>
      <c r="S82" s="209"/>
      <c r="T82" s="209"/>
      <c r="U82" s="209"/>
      <c r="V82" s="209"/>
      <c r="W82" s="209"/>
      <c r="X82" s="210"/>
      <c r="Y82" s="210"/>
      <c r="Z82" s="210"/>
      <c r="AA82" s="210"/>
      <c r="AB82" s="210"/>
      <c r="AC82" s="209"/>
      <c r="AD82" s="339"/>
      <c r="AE82" s="340"/>
      <c r="AF82" s="209"/>
      <c r="AG82" s="209"/>
      <c r="AH82" s="471"/>
      <c r="AI82" s="1230"/>
      <c r="AJ82"/>
      <c r="AK82"/>
    </row>
    <row r="83" spans="1:37" s="29" customFormat="1" ht="24" customHeight="1">
      <c r="A83" s="7"/>
      <c r="B83" s="7"/>
      <c r="C83" s="1308"/>
      <c r="D83" s="1309"/>
      <c r="E83" s="1310"/>
      <c r="F83" s="1255"/>
      <c r="G83" s="1292"/>
      <c r="H83" s="1311"/>
      <c r="I83" s="1257" t="str">
        <f t="shared" si="4"/>
        <v/>
      </c>
      <c r="J83" s="1312"/>
      <c r="K83" s="1258"/>
      <c r="L83" s="1259"/>
      <c r="M83" s="1306"/>
      <c r="N83" s="1313"/>
      <c r="O83" s="522"/>
      <c r="P83" s="208"/>
      <c r="Q83" s="209"/>
      <c r="R83" s="209"/>
      <c r="S83" s="209"/>
      <c r="T83" s="209"/>
      <c r="U83" s="209"/>
      <c r="V83" s="209"/>
      <c r="W83" s="209"/>
      <c r="X83" s="210"/>
      <c r="Y83" s="210"/>
      <c r="Z83" s="210"/>
      <c r="AA83" s="210"/>
      <c r="AB83" s="210"/>
      <c r="AC83" s="209"/>
      <c r="AD83" s="339"/>
      <c r="AE83" s="340"/>
      <c r="AF83" s="209"/>
      <c r="AG83" s="209"/>
      <c r="AH83" s="471"/>
      <c r="AI83" s="1230"/>
      <c r="AJ83"/>
      <c r="AK83"/>
    </row>
    <row r="84" spans="1:37" s="29" customFormat="1" ht="24" customHeight="1">
      <c r="A84" s="7"/>
      <c r="B84" s="7"/>
      <c r="C84" s="1308"/>
      <c r="D84" s="1309"/>
      <c r="E84" s="1310"/>
      <c r="F84" s="1255"/>
      <c r="G84" s="1292"/>
      <c r="H84" s="1311"/>
      <c r="I84" s="1257" t="str">
        <f t="shared" si="4"/>
        <v/>
      </c>
      <c r="J84" s="1312"/>
      <c r="K84" s="1258"/>
      <c r="L84" s="1259"/>
      <c r="M84" s="1306"/>
      <c r="N84" s="1313"/>
      <c r="O84" s="522"/>
      <c r="P84" s="208"/>
      <c r="Q84" s="209"/>
      <c r="R84" s="209"/>
      <c r="S84" s="209"/>
      <c r="T84" s="209"/>
      <c r="U84" s="209"/>
      <c r="V84" s="209"/>
      <c r="W84" s="209"/>
      <c r="X84" s="210"/>
      <c r="Y84" s="210"/>
      <c r="Z84" s="210"/>
      <c r="AA84" s="210"/>
      <c r="AB84" s="210"/>
      <c r="AC84" s="209"/>
      <c r="AD84" s="339"/>
      <c r="AE84" s="340"/>
      <c r="AF84" s="209"/>
      <c r="AG84" s="209"/>
      <c r="AH84" s="471"/>
      <c r="AI84" s="1230"/>
      <c r="AJ84"/>
      <c r="AK84"/>
    </row>
    <row r="85" spans="1:37" s="29" customFormat="1" ht="24" customHeight="1">
      <c r="A85" s="7"/>
      <c r="B85" s="7"/>
      <c r="C85" s="1308"/>
      <c r="D85" s="1309"/>
      <c r="E85" s="1310"/>
      <c r="F85" s="1255"/>
      <c r="G85" s="1292"/>
      <c r="H85" s="1311"/>
      <c r="I85" s="1257" t="str">
        <f t="shared" si="4"/>
        <v/>
      </c>
      <c r="J85" s="1312"/>
      <c r="K85" s="1258"/>
      <c r="L85" s="1259"/>
      <c r="M85" s="1306"/>
      <c r="N85" s="1313"/>
      <c r="O85" s="522"/>
      <c r="P85" s="208"/>
      <c r="Q85" s="209"/>
      <c r="R85" s="209"/>
      <c r="S85" s="209"/>
      <c r="T85" s="209"/>
      <c r="U85" s="209"/>
      <c r="V85" s="209"/>
      <c r="W85" s="209"/>
      <c r="X85" s="210"/>
      <c r="Y85" s="210"/>
      <c r="Z85" s="210"/>
      <c r="AA85" s="210"/>
      <c r="AB85" s="210"/>
      <c r="AC85" s="209"/>
      <c r="AD85" s="339"/>
      <c r="AE85" s="340"/>
      <c r="AF85" s="209"/>
      <c r="AG85" s="209"/>
      <c r="AH85" s="471"/>
      <c r="AI85" s="1230"/>
      <c r="AJ85"/>
      <c r="AK85"/>
    </row>
    <row r="86" spans="1:37" s="29" customFormat="1" ht="24" customHeight="1">
      <c r="A86" s="7"/>
      <c r="B86" s="7"/>
      <c r="C86" s="1308"/>
      <c r="D86" s="1309"/>
      <c r="E86" s="1310"/>
      <c r="F86" s="1255"/>
      <c r="G86" s="1292"/>
      <c r="H86" s="1311"/>
      <c r="I86" s="1257" t="str">
        <f t="shared" si="4"/>
        <v/>
      </c>
      <c r="J86" s="1312"/>
      <c r="K86" s="1258"/>
      <c r="L86" s="1259"/>
      <c r="M86" s="1306"/>
      <c r="N86" s="1313"/>
      <c r="O86" s="522"/>
      <c r="P86" s="208"/>
      <c r="Q86" s="209"/>
      <c r="R86" s="209"/>
      <c r="S86" s="209"/>
      <c r="T86" s="209"/>
      <c r="U86" s="209"/>
      <c r="V86" s="209"/>
      <c r="W86" s="209"/>
      <c r="X86" s="210"/>
      <c r="Y86" s="210"/>
      <c r="Z86" s="210"/>
      <c r="AA86" s="210"/>
      <c r="AB86" s="210"/>
      <c r="AC86" s="209"/>
      <c r="AD86" s="339"/>
      <c r="AE86" s="340"/>
      <c r="AF86" s="209"/>
      <c r="AG86" s="209"/>
      <c r="AH86" s="471"/>
      <c r="AI86" s="1230"/>
      <c r="AJ86"/>
      <c r="AK86"/>
    </row>
    <row r="87" spans="1:37" s="29" customFormat="1" ht="24" customHeight="1">
      <c r="A87" s="7"/>
      <c r="B87" s="7"/>
      <c r="C87" s="1308"/>
      <c r="D87" s="1309"/>
      <c r="E87" s="1310"/>
      <c r="F87" s="1255"/>
      <c r="G87" s="1292"/>
      <c r="H87" s="1311"/>
      <c r="I87" s="1257" t="str">
        <f t="shared" si="4"/>
        <v/>
      </c>
      <c r="J87" s="1312"/>
      <c r="K87" s="1258"/>
      <c r="L87" s="1259"/>
      <c r="M87" s="1306"/>
      <c r="N87" s="1313"/>
      <c r="O87" s="522"/>
      <c r="P87" s="208"/>
      <c r="Q87" s="209"/>
      <c r="R87" s="209"/>
      <c r="S87" s="209"/>
      <c r="T87" s="209"/>
      <c r="U87" s="209"/>
      <c r="V87" s="209"/>
      <c r="W87" s="209"/>
      <c r="X87" s="210"/>
      <c r="Y87" s="210"/>
      <c r="Z87" s="210"/>
      <c r="AA87" s="210"/>
      <c r="AB87" s="210"/>
      <c r="AC87" s="209"/>
      <c r="AD87" s="339"/>
      <c r="AE87" s="340"/>
      <c r="AF87" s="209"/>
      <c r="AG87" s="209"/>
      <c r="AH87" s="471"/>
      <c r="AI87" s="1230"/>
      <c r="AJ87"/>
      <c r="AK87"/>
    </row>
    <row r="88" spans="1:37" s="29" customFormat="1" ht="24" customHeight="1">
      <c r="A88" s="7"/>
      <c r="B88" s="7"/>
      <c r="C88" s="1308"/>
      <c r="D88" s="1309"/>
      <c r="E88" s="1310"/>
      <c r="F88" s="1255"/>
      <c r="G88" s="1292"/>
      <c r="H88" s="1311"/>
      <c r="I88" s="1257" t="str">
        <f t="shared" si="4"/>
        <v/>
      </c>
      <c r="J88" s="1312"/>
      <c r="K88" s="1258"/>
      <c r="L88" s="1259"/>
      <c r="M88" s="1306"/>
      <c r="N88" s="1313"/>
      <c r="O88" s="522"/>
      <c r="P88" s="208"/>
      <c r="Q88" s="209"/>
      <c r="R88" s="209"/>
      <c r="S88" s="209"/>
      <c r="T88" s="209"/>
      <c r="U88" s="209"/>
      <c r="V88" s="209"/>
      <c r="W88" s="209"/>
      <c r="X88" s="210"/>
      <c r="Y88" s="210"/>
      <c r="Z88" s="210"/>
      <c r="AA88" s="210"/>
      <c r="AB88" s="210"/>
      <c r="AC88" s="209"/>
      <c r="AD88" s="339"/>
      <c r="AE88" s="340"/>
      <c r="AF88" s="209"/>
      <c r="AG88" s="209"/>
      <c r="AH88" s="471"/>
      <c r="AI88" s="1230"/>
      <c r="AJ88"/>
      <c r="AK88"/>
    </row>
    <row r="89" spans="1:37" s="29" customFormat="1" ht="24" customHeight="1">
      <c r="A89" s="7"/>
      <c r="B89" s="7"/>
      <c r="C89" s="1308"/>
      <c r="D89" s="1309"/>
      <c r="E89" s="1310"/>
      <c r="F89" s="1255"/>
      <c r="G89" s="1292"/>
      <c r="H89" s="1311"/>
      <c r="I89" s="1257" t="str">
        <f t="shared" si="4"/>
        <v/>
      </c>
      <c r="J89" s="1312"/>
      <c r="K89" s="1258"/>
      <c r="L89" s="1259"/>
      <c r="M89" s="1306"/>
      <c r="N89" s="1313"/>
      <c r="O89" s="522"/>
      <c r="P89" s="208"/>
      <c r="Q89" s="209"/>
      <c r="R89" s="209"/>
      <c r="S89" s="209"/>
      <c r="T89" s="209"/>
      <c r="U89" s="209"/>
      <c r="V89" s="209"/>
      <c r="W89" s="209"/>
      <c r="X89" s="210"/>
      <c r="Y89" s="210"/>
      <c r="Z89" s="210"/>
      <c r="AA89" s="210"/>
      <c r="AB89" s="210"/>
      <c r="AC89" s="209"/>
      <c r="AD89" s="339"/>
      <c r="AE89" s="340"/>
      <c r="AF89" s="209"/>
      <c r="AG89" s="209"/>
      <c r="AH89" s="471"/>
      <c r="AI89" s="1230"/>
      <c r="AJ89"/>
      <c r="AK89"/>
    </row>
    <row r="90" spans="1:37" s="29" customFormat="1" ht="24" customHeight="1">
      <c r="A90" s="7"/>
      <c r="B90" s="7"/>
      <c r="C90" s="1308"/>
      <c r="D90" s="1309"/>
      <c r="E90" s="1310"/>
      <c r="F90" s="1255"/>
      <c r="G90" s="1292"/>
      <c r="H90" s="1311"/>
      <c r="I90" s="1257" t="str">
        <f t="shared" si="4"/>
        <v/>
      </c>
      <c r="J90" s="1312"/>
      <c r="K90" s="1258"/>
      <c r="L90" s="1259"/>
      <c r="M90" s="1306"/>
      <c r="N90" s="1313"/>
      <c r="O90" s="522"/>
      <c r="P90" s="208"/>
      <c r="Q90" s="209"/>
      <c r="R90" s="209"/>
      <c r="S90" s="209"/>
      <c r="T90" s="209"/>
      <c r="U90" s="209"/>
      <c r="V90" s="209"/>
      <c r="W90" s="209"/>
      <c r="X90" s="210"/>
      <c r="Y90" s="210"/>
      <c r="Z90" s="210"/>
      <c r="AA90" s="210"/>
      <c r="AB90" s="210"/>
      <c r="AC90" s="209"/>
      <c r="AD90" s="339"/>
      <c r="AE90" s="340"/>
      <c r="AF90" s="209"/>
      <c r="AG90" s="209"/>
      <c r="AH90" s="471"/>
      <c r="AI90" s="1230"/>
      <c r="AJ90"/>
      <c r="AK90"/>
    </row>
    <row r="91" spans="1:37" s="29" customFormat="1" ht="24" customHeight="1">
      <c r="A91" s="7"/>
      <c r="B91" s="7"/>
      <c r="C91" s="1308"/>
      <c r="D91" s="1309"/>
      <c r="E91" s="1310"/>
      <c r="F91" s="1255"/>
      <c r="G91" s="1292"/>
      <c r="H91" s="1311"/>
      <c r="I91" s="1257" t="str">
        <f t="shared" si="4"/>
        <v/>
      </c>
      <c r="J91" s="1312"/>
      <c r="K91" s="1258"/>
      <c r="L91" s="1259"/>
      <c r="M91" s="1306"/>
      <c r="N91" s="1313"/>
      <c r="O91" s="522"/>
      <c r="P91" s="208"/>
      <c r="Q91" s="209"/>
      <c r="R91" s="209"/>
      <c r="S91" s="209"/>
      <c r="T91" s="209"/>
      <c r="U91" s="209"/>
      <c r="V91" s="209"/>
      <c r="W91" s="209"/>
      <c r="X91" s="210"/>
      <c r="Y91" s="210"/>
      <c r="Z91" s="210"/>
      <c r="AA91" s="210"/>
      <c r="AB91" s="210"/>
      <c r="AC91" s="209"/>
      <c r="AD91" s="339"/>
      <c r="AE91" s="340"/>
      <c r="AF91" s="209"/>
      <c r="AG91" s="209"/>
      <c r="AH91" s="471"/>
      <c r="AI91" s="1230"/>
      <c r="AJ91"/>
      <c r="AK91"/>
    </row>
    <row r="92" spans="1:37" s="29" customFormat="1" ht="24" customHeight="1">
      <c r="A92" s="7"/>
      <c r="B92" s="7"/>
      <c r="C92" s="1308"/>
      <c r="D92" s="1309"/>
      <c r="E92" s="1310"/>
      <c r="F92" s="1255"/>
      <c r="G92" s="1292"/>
      <c r="H92" s="1311"/>
      <c r="I92" s="1257" t="str">
        <f t="shared" si="4"/>
        <v/>
      </c>
      <c r="J92" s="1312"/>
      <c r="K92" s="1258"/>
      <c r="L92" s="1259"/>
      <c r="M92" s="1306"/>
      <c r="N92" s="1313"/>
      <c r="O92" s="522"/>
      <c r="P92" s="208"/>
      <c r="Q92" s="209"/>
      <c r="R92" s="209"/>
      <c r="S92" s="209"/>
      <c r="T92" s="209"/>
      <c r="U92" s="209"/>
      <c r="V92" s="209"/>
      <c r="W92" s="209"/>
      <c r="X92" s="210"/>
      <c r="Y92" s="210"/>
      <c r="Z92" s="210"/>
      <c r="AA92" s="210"/>
      <c r="AB92" s="210"/>
      <c r="AC92" s="209"/>
      <c r="AD92" s="339"/>
      <c r="AE92" s="340"/>
      <c r="AF92" s="209"/>
      <c r="AG92" s="209"/>
      <c r="AH92" s="471"/>
      <c r="AI92" s="1230"/>
      <c r="AJ92"/>
      <c r="AK92"/>
    </row>
    <row r="93" spans="1:37" ht="24" customHeight="1" thickBot="1">
      <c r="A93" s="7"/>
      <c r="B93" s="7"/>
      <c r="C93" s="1267"/>
      <c r="D93" s="81" t="s">
        <v>9</v>
      </c>
      <c r="E93" s="91"/>
      <c r="F93" s="265"/>
      <c r="G93" s="104"/>
      <c r="H93" s="114" t="s">
        <v>75</v>
      </c>
      <c r="I93" s="1272">
        <f>SUM(I75:I92)</f>
        <v>0</v>
      </c>
      <c r="J93" s="518" t="str">
        <f>IF(C74="部分撤去工事","）うち費用",")")</f>
        <v>)</v>
      </c>
      <c r="K93" s="520">
        <f>IF(C74="部分撤去工事",(K70+L93),0)</f>
        <v>0</v>
      </c>
      <c r="L93" s="519">
        <f>IF(C74="部分撤去工事",SUMIF(N75:N92,"費用",I75:I92),0)</f>
        <v>0</v>
      </c>
      <c r="M93" s="570"/>
      <c r="N93" s="1318"/>
      <c r="O93" s="522"/>
      <c r="P93" s="208"/>
      <c r="Q93" s="209"/>
      <c r="R93" s="209"/>
      <c r="S93" s="209"/>
      <c r="T93" s="209"/>
      <c r="U93" s="209"/>
      <c r="V93" s="209"/>
      <c r="W93" s="209"/>
      <c r="X93" s="210"/>
      <c r="Y93" s="210"/>
      <c r="Z93" s="210"/>
      <c r="AA93" s="210"/>
      <c r="AB93" s="210"/>
      <c r="AC93" s="209"/>
      <c r="AD93" s="339"/>
      <c r="AE93" s="340"/>
      <c r="AF93" s="209"/>
      <c r="AG93" s="209"/>
      <c r="AH93" s="209"/>
      <c r="AI93" s="1230"/>
      <c r="AJ93"/>
      <c r="AK93"/>
    </row>
    <row r="94" spans="1:37" ht="14.25" customHeight="1">
      <c r="E94" s="107" t="s">
        <v>53</v>
      </c>
      <c r="F94" s="108">
        <f>+F71+1</f>
        <v>7</v>
      </c>
      <c r="G94" s="109" t="s">
        <v>54</v>
      </c>
      <c r="H94" s="110">
        <f>+H71</f>
        <v>7</v>
      </c>
      <c r="I94" s="110"/>
      <c r="M94" s="523" t="str">
        <f>IF(A96="","EOL","")</f>
        <v>EOL</v>
      </c>
      <c r="N94" s="1">
        <f>+F94</f>
        <v>7</v>
      </c>
      <c r="Q94" s="29"/>
      <c r="R94" s="29"/>
      <c r="S94" s="29"/>
      <c r="T94" s="29"/>
      <c r="U94" s="29"/>
      <c r="V94" s="29"/>
      <c r="W94" s="29"/>
      <c r="X94" s="29"/>
      <c r="Y94" s="29"/>
      <c r="Z94" s="29"/>
      <c r="AI94" s="1"/>
      <c r="AJ94"/>
      <c r="AK94"/>
    </row>
    <row r="95" spans="1:37" ht="26.25" customHeight="1">
      <c r="AJ95"/>
      <c r="AK95"/>
    </row>
  </sheetData>
  <mergeCells count="14">
    <mergeCell ref="C72:L72"/>
    <mergeCell ref="O72:AH72"/>
    <mergeCell ref="J73:L73"/>
    <mergeCell ref="J74:L74"/>
    <mergeCell ref="J50:L50"/>
    <mergeCell ref="J51:L51"/>
    <mergeCell ref="O3:AH3"/>
    <mergeCell ref="J5:L5"/>
    <mergeCell ref="C3:L3"/>
    <mergeCell ref="J4:L4"/>
    <mergeCell ref="C49:L49"/>
    <mergeCell ref="O49:AH49"/>
    <mergeCell ref="C26:L26"/>
    <mergeCell ref="O26:AH26"/>
  </mergeCells>
  <phoneticPr fontId="8"/>
  <dataValidations count="4">
    <dataValidation type="list" allowBlank="1" showInputMessage="1" showErrorMessage="1" prompt="費用/建物附属設備/工具・器具・備品の場合、選択してください。" sqref="N75:N92 N52:N69" xr:uid="{00000000-0002-0000-0400-000000000000}">
      <formula1>OFFSET(INDIRECT("入力規則マスタ!$J$3"),0,0,COUNTA(INDIRECT("入力規則マスタ!$J:$J"))-1,1)</formula1>
    </dataValidation>
    <dataValidation type="list" allowBlank="1" showInputMessage="1" showErrorMessage="1" sqref="M75:M92 M52:M69" xr:uid="{00000000-0002-0000-0400-000001000000}">
      <formula1>OFFSET(INDIRECT("入力規則マスタ!$N$3"),0,0,COUNTA(INDIRECT("入力規則マスタ!$N:$N"))-1,1)</formula1>
    </dataValidation>
    <dataValidation type="list" allowBlank="1" showInputMessage="1" showErrorMessage="1" sqref="M16" xr:uid="{00000000-0002-0000-0400-000002000000}">
      <formula1>"直"</formula1>
    </dataValidation>
    <dataValidation type="whole" allowBlank="1" showInputMessage="1" showErrorMessage="1" sqref="A5:B24 A28:B47 A74:B93 A51:B70" xr:uid="{00000000-0002-0000-0400-000003000000}">
      <formula1>1</formula1>
      <formula2>4</formula2>
    </dataValidation>
  </dataValidations>
  <printOptions horizontalCentered="1" verticalCentered="1"/>
  <pageMargins left="0.196850393700787" right="0.196850393700787" top="0.78740157480314998" bottom="0.196850393700787" header="0.511811023622047" footer="0.511811023622047"/>
  <pageSetup paperSize="9" orientation="landscape" r:id="rId1"/>
  <headerFooter alignWithMargins="0"/>
  <rowBreaks count="1" manualBreakCount="1">
    <brk id="2" max="16383" man="1"/>
  </rowBreaks>
  <colBreaks count="1" manualBreakCount="1">
    <brk id="12"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C48"/>
  <sheetViews>
    <sheetView topLeftCell="A3" zoomScale="70" zoomScaleNormal="70" workbookViewId="0">
      <selection activeCell="A3" sqref="A3"/>
    </sheetView>
  </sheetViews>
  <sheetFormatPr baseColWidth="10" defaultColWidth="6.6640625" defaultRowHeight="26.25" customHeight="1"/>
  <cols>
    <col min="1" max="2" width="2.6640625" style="6" customWidth="1"/>
    <col min="3" max="3" width="8.6640625" style="1" customWidth="1"/>
    <col min="4" max="4" width="28.6640625" style="1" customWidth="1"/>
    <col min="5" max="5" width="25" style="2" customWidth="1"/>
    <col min="6" max="6" width="10.6640625" style="1" customWidth="1"/>
    <col min="7" max="7" width="7.6640625" style="3" customWidth="1"/>
    <col min="8" max="8" width="11.6640625" style="4" customWidth="1"/>
    <col min="9" max="9" width="15.6640625" style="4" customWidth="1"/>
    <col min="10" max="12" width="9.6640625" style="1" customWidth="1"/>
    <col min="13" max="14" width="3.6640625" style="1" customWidth="1"/>
    <col min="15" max="33" width="5.33203125" style="29" customWidth="1"/>
    <col min="34" max="36" width="5.33203125" style="1" customWidth="1"/>
    <col min="37" max="55" width="4.33203125" style="1" customWidth="1"/>
    <col min="56" max="16384" width="6.6640625" style="1"/>
  </cols>
  <sheetData>
    <row r="1" spans="1:55" ht="25.5" hidden="1" customHeight="1"/>
    <row r="2" spans="1:55" ht="24" hidden="1" customHeight="1">
      <c r="C2" s="27"/>
      <c r="E2" s="26" t="s">
        <v>55</v>
      </c>
      <c r="F2" s="71">
        <v>0</v>
      </c>
      <c r="G2" s="1"/>
      <c r="I2" s="4" t="s">
        <v>61</v>
      </c>
      <c r="J2" s="29">
        <f>VLOOKUP("EOL",$M$25:$N$65536,2,FALSE)</f>
        <v>2</v>
      </c>
    </row>
    <row r="3" spans="1:55" ht="26.25" customHeight="1" thickBot="1">
      <c r="C3" s="1389" t="s">
        <v>312</v>
      </c>
      <c r="D3" s="1389"/>
      <c r="E3" s="1389"/>
      <c r="F3" s="1389"/>
      <c r="G3" s="1389"/>
      <c r="H3" s="1389"/>
      <c r="I3" s="1389"/>
      <c r="J3" s="1389"/>
      <c r="K3" s="1389"/>
      <c r="L3" s="1389"/>
      <c r="O3" s="1506" t="s">
        <v>137</v>
      </c>
      <c r="P3" s="1506"/>
      <c r="Q3" s="1506"/>
      <c r="R3" s="1506"/>
      <c r="S3" s="1506"/>
      <c r="T3" s="1506"/>
      <c r="U3" s="1506"/>
      <c r="V3" s="1506"/>
      <c r="W3" s="1506"/>
      <c r="X3" s="1506"/>
      <c r="Y3" s="1506"/>
      <c r="Z3" s="1506"/>
      <c r="AA3" s="1506"/>
      <c r="AB3" s="1506"/>
      <c r="AC3" s="1506"/>
      <c r="AD3" s="1506"/>
      <c r="AE3" s="1506"/>
      <c r="AF3" s="1506"/>
      <c r="AG3" s="1506"/>
      <c r="AH3" s="1507"/>
      <c r="AI3" s="469"/>
    </row>
    <row r="4" spans="1:55" ht="42" customHeight="1">
      <c r="A4" s="5" t="s">
        <v>156</v>
      </c>
      <c r="B4" s="5" t="s">
        <v>10</v>
      </c>
      <c r="C4" s="97" t="s">
        <v>0</v>
      </c>
      <c r="D4" s="93"/>
      <c r="E4" s="94" t="s">
        <v>1</v>
      </c>
      <c r="F4" s="95" t="s">
        <v>2</v>
      </c>
      <c r="G4" s="95" t="s">
        <v>3</v>
      </c>
      <c r="H4" s="96" t="s">
        <v>4</v>
      </c>
      <c r="I4" s="96" t="s">
        <v>5</v>
      </c>
      <c r="J4" s="1392" t="s">
        <v>6</v>
      </c>
      <c r="K4" s="1393"/>
      <c r="L4" s="1394"/>
      <c r="O4" s="138" t="s">
        <v>72</v>
      </c>
      <c r="P4" s="334" t="s">
        <v>246</v>
      </c>
      <c r="Q4" s="266" t="s">
        <v>261</v>
      </c>
      <c r="R4" s="266" t="s">
        <v>208</v>
      </c>
      <c r="S4" s="266" t="s">
        <v>209</v>
      </c>
      <c r="T4" s="266" t="s">
        <v>224</v>
      </c>
      <c r="U4" s="266" t="s">
        <v>131</v>
      </c>
      <c r="V4" s="137" t="s">
        <v>130</v>
      </c>
      <c r="W4" s="266" t="s">
        <v>210</v>
      </c>
      <c r="X4" s="200" t="s">
        <v>211</v>
      </c>
      <c r="Y4" s="200" t="s">
        <v>212</v>
      </c>
      <c r="Z4" s="200" t="s">
        <v>213</v>
      </c>
      <c r="AA4" s="200" t="s">
        <v>214</v>
      </c>
      <c r="AB4" s="200" t="s">
        <v>256</v>
      </c>
      <c r="AC4" s="336" t="s">
        <v>265</v>
      </c>
      <c r="AD4" s="337" t="s">
        <v>266</v>
      </c>
      <c r="AE4" s="338" t="s">
        <v>133</v>
      </c>
      <c r="AF4" s="136" t="s">
        <v>136</v>
      </c>
      <c r="AG4" s="136" t="s">
        <v>134</v>
      </c>
      <c r="AH4" s="136" t="s">
        <v>135</v>
      </c>
      <c r="AI4" s="470" t="s">
        <v>2056</v>
      </c>
    </row>
    <row r="5" spans="1:55" ht="24" customHeight="1">
      <c r="A5" s="216">
        <v>1</v>
      </c>
      <c r="B5" s="216">
        <v>1</v>
      </c>
      <c r="C5" s="115" t="s">
        <v>182</v>
      </c>
      <c r="D5" s="187" t="s">
        <v>159</v>
      </c>
      <c r="E5" s="188" t="s">
        <v>159</v>
      </c>
      <c r="F5" s="189" t="s">
        <v>159</v>
      </c>
      <c r="G5" s="190" t="s">
        <v>159</v>
      </c>
      <c r="H5" s="72" t="s">
        <v>12</v>
      </c>
      <c r="I5" s="80" t="s">
        <v>12</v>
      </c>
      <c r="J5" s="1514"/>
      <c r="K5" s="1515"/>
      <c r="L5" s="1516"/>
      <c r="M5" s="29"/>
      <c r="N5" s="29"/>
      <c r="O5" s="207"/>
      <c r="P5" s="208"/>
      <c r="Q5" s="209"/>
      <c r="R5" s="209"/>
      <c r="S5" s="209"/>
      <c r="T5" s="209"/>
      <c r="U5" s="209"/>
      <c r="V5" s="209"/>
      <c r="W5" s="209"/>
      <c r="X5" s="210"/>
      <c r="Y5" s="210"/>
      <c r="Z5" s="210"/>
      <c r="AA5" s="210"/>
      <c r="AB5" s="210"/>
      <c r="AC5" s="209"/>
      <c r="AD5" s="339"/>
      <c r="AE5" s="340"/>
      <c r="AF5" s="209"/>
      <c r="AG5" s="209"/>
      <c r="AH5" s="341"/>
      <c r="AI5" s="472"/>
    </row>
    <row r="6" spans="1:55" ht="24" customHeight="1">
      <c r="A6" s="28"/>
      <c r="B6" s="28"/>
      <c r="C6" s="169"/>
      <c r="D6" s="53"/>
      <c r="E6" s="86"/>
      <c r="F6" s="101"/>
      <c r="G6" s="102"/>
      <c r="H6" s="88"/>
      <c r="I6" s="88" t="str">
        <f t="shared" ref="I6:I23" si="0">IF(F6="","",ROUNDDOWN(F6*H6,0))</f>
        <v/>
      </c>
      <c r="J6" s="53"/>
      <c r="K6" s="53"/>
      <c r="L6" s="54"/>
      <c r="M6" s="29"/>
      <c r="N6" s="29"/>
      <c r="O6" s="207"/>
      <c r="P6" s="208"/>
      <c r="Q6" s="209"/>
      <c r="R6" s="209"/>
      <c r="S6" s="209"/>
      <c r="T6" s="209"/>
      <c r="U6" s="209"/>
      <c r="V6" s="209"/>
      <c r="W6" s="209"/>
      <c r="X6" s="210"/>
      <c r="Y6" s="210"/>
      <c r="Z6" s="210"/>
      <c r="AA6" s="210"/>
      <c r="AB6" s="210"/>
      <c r="AC6" s="209"/>
      <c r="AD6" s="339"/>
      <c r="AE6" s="340"/>
      <c r="AF6" s="209"/>
      <c r="AG6" s="209"/>
      <c r="AH6" s="191"/>
      <c r="AI6" s="472"/>
      <c r="AJ6" s="183">
        <f t="shared" ref="AJ6:BC6" si="1">$F6*O6</f>
        <v>0</v>
      </c>
      <c r="AK6" s="183">
        <f t="shared" si="1"/>
        <v>0</v>
      </c>
      <c r="AL6" s="183">
        <f t="shared" si="1"/>
        <v>0</v>
      </c>
      <c r="AM6" s="183">
        <f t="shared" si="1"/>
        <v>0</v>
      </c>
      <c r="AN6" s="183">
        <f t="shared" si="1"/>
        <v>0</v>
      </c>
      <c r="AO6" s="183">
        <f t="shared" si="1"/>
        <v>0</v>
      </c>
      <c r="AP6" s="183">
        <f t="shared" si="1"/>
        <v>0</v>
      </c>
      <c r="AQ6" s="183">
        <f t="shared" si="1"/>
        <v>0</v>
      </c>
      <c r="AR6" s="183">
        <f t="shared" si="1"/>
        <v>0</v>
      </c>
      <c r="AS6" s="183">
        <f t="shared" si="1"/>
        <v>0</v>
      </c>
      <c r="AT6" s="183">
        <f t="shared" si="1"/>
        <v>0</v>
      </c>
      <c r="AU6" s="183">
        <f t="shared" si="1"/>
        <v>0</v>
      </c>
      <c r="AV6" s="183">
        <f t="shared" si="1"/>
        <v>0</v>
      </c>
      <c r="AW6" s="183">
        <f t="shared" si="1"/>
        <v>0</v>
      </c>
      <c r="AX6" s="183">
        <f t="shared" si="1"/>
        <v>0</v>
      </c>
      <c r="AY6" s="183">
        <f t="shared" si="1"/>
        <v>0</v>
      </c>
      <c r="AZ6" s="183">
        <f t="shared" si="1"/>
        <v>0</v>
      </c>
      <c r="BA6" s="183">
        <f t="shared" si="1"/>
        <v>0</v>
      </c>
      <c r="BB6" s="183">
        <f t="shared" si="1"/>
        <v>0</v>
      </c>
      <c r="BC6" s="183">
        <f t="shared" si="1"/>
        <v>0</v>
      </c>
    </row>
    <row r="7" spans="1:55" ht="24" customHeight="1">
      <c r="A7" s="28">
        <v>1</v>
      </c>
      <c r="B7" s="28">
        <v>1</v>
      </c>
      <c r="C7" s="89"/>
      <c r="D7" s="53"/>
      <c r="E7" s="86"/>
      <c r="F7" s="101"/>
      <c r="G7" s="102"/>
      <c r="H7" s="88"/>
      <c r="I7" s="88" t="str">
        <f t="shared" si="0"/>
        <v/>
      </c>
      <c r="J7" s="53"/>
      <c r="K7" s="53"/>
      <c r="L7" s="54"/>
      <c r="M7" s="29"/>
      <c r="N7" s="29"/>
      <c r="O7" s="207"/>
      <c r="P7" s="208"/>
      <c r="Q7" s="209"/>
      <c r="R7" s="209"/>
      <c r="S7" s="209"/>
      <c r="T7" s="209"/>
      <c r="U7" s="209"/>
      <c r="V7" s="209"/>
      <c r="W7" s="209"/>
      <c r="X7" s="210"/>
      <c r="Y7" s="210"/>
      <c r="Z7" s="210"/>
      <c r="AA7" s="210"/>
      <c r="AB7" s="210"/>
      <c r="AC7" s="209"/>
      <c r="AD7" s="339"/>
      <c r="AE7" s="340"/>
      <c r="AF7" s="209"/>
      <c r="AG7" s="209"/>
      <c r="AH7" s="191"/>
      <c r="AI7" s="472"/>
      <c r="AJ7" s="183">
        <f t="shared" ref="AJ7:AJ22" si="2">$F7*O7</f>
        <v>0</v>
      </c>
      <c r="AK7" s="183">
        <f t="shared" ref="AK7:AK23" si="3">$F7*P7</f>
        <v>0</v>
      </c>
      <c r="AL7" s="183">
        <f t="shared" ref="AL7:AL23" si="4">$F7*Q7</f>
        <v>0</v>
      </c>
      <c r="AM7" s="183">
        <f t="shared" ref="AM7:AM23" si="5">$F7*R7</f>
        <v>0</v>
      </c>
      <c r="AN7" s="183">
        <f t="shared" ref="AN7:AN23" si="6">$F7*S7</f>
        <v>0</v>
      </c>
      <c r="AO7" s="183">
        <f t="shared" ref="AO7:AO23" si="7">$F7*T7</f>
        <v>0</v>
      </c>
      <c r="AP7" s="183">
        <f t="shared" ref="AP7:AP23" si="8">$F7*U7</f>
        <v>0</v>
      </c>
      <c r="AQ7" s="183">
        <f t="shared" ref="AQ7:AQ23" si="9">$F7*V7</f>
        <v>0</v>
      </c>
      <c r="AR7" s="183">
        <f t="shared" ref="AR7:AR23" si="10">$F7*W7</f>
        <v>0</v>
      </c>
      <c r="AS7" s="183">
        <f t="shared" ref="AS7:AS23" si="11">$F7*X7</f>
        <v>0</v>
      </c>
      <c r="AT7" s="183">
        <f t="shared" ref="AT7:AT23" si="12">$F7*Y7</f>
        <v>0</v>
      </c>
      <c r="AU7" s="183">
        <f t="shared" ref="AU7:AU23" si="13">$F7*Z7</f>
        <v>0</v>
      </c>
      <c r="AV7" s="183">
        <f t="shared" ref="AV7:AV23" si="14">$F7*AA7</f>
        <v>0</v>
      </c>
      <c r="AW7" s="183">
        <f t="shared" ref="AW7:AW23" si="15">$F7*AB7</f>
        <v>0</v>
      </c>
      <c r="AX7" s="183">
        <f t="shared" ref="AX7:AX23" si="16">$F7*AC7</f>
        <v>0</v>
      </c>
      <c r="AY7" s="183">
        <f t="shared" ref="AY7:AY23" si="17">$F7*AD7</f>
        <v>0</v>
      </c>
      <c r="AZ7" s="183">
        <f t="shared" ref="AZ7:AZ23" si="18">$F7*AE7</f>
        <v>0</v>
      </c>
      <c r="BA7" s="183">
        <f t="shared" ref="BA7:BA23" si="19">$F7*AF7</f>
        <v>0</v>
      </c>
      <c r="BB7" s="183">
        <f t="shared" ref="BB7:BC22" si="20">$F7*AG7</f>
        <v>0</v>
      </c>
      <c r="BC7" s="183">
        <f t="shared" si="20"/>
        <v>0</v>
      </c>
    </row>
    <row r="8" spans="1:55" ht="24" customHeight="1">
      <c r="A8" s="28"/>
      <c r="B8" s="28"/>
      <c r="C8" s="89"/>
      <c r="D8" s="53"/>
      <c r="E8" s="86"/>
      <c r="F8" s="101"/>
      <c r="G8" s="102"/>
      <c r="H8" s="88"/>
      <c r="I8" s="88" t="str">
        <f t="shared" si="0"/>
        <v/>
      </c>
      <c r="J8" s="53"/>
      <c r="K8" s="53"/>
      <c r="L8" s="54"/>
      <c r="M8" s="29"/>
      <c r="N8" s="29"/>
      <c r="O8" s="207"/>
      <c r="P8" s="208"/>
      <c r="Q8" s="209"/>
      <c r="R8" s="209"/>
      <c r="S8" s="209"/>
      <c r="T8" s="209"/>
      <c r="U8" s="209"/>
      <c r="V8" s="209"/>
      <c r="W8" s="209"/>
      <c r="X8" s="210"/>
      <c r="Y8" s="210"/>
      <c r="Z8" s="210"/>
      <c r="AA8" s="210"/>
      <c r="AB8" s="210"/>
      <c r="AC8" s="209"/>
      <c r="AD8" s="339"/>
      <c r="AE8" s="340"/>
      <c r="AF8" s="209"/>
      <c r="AG8" s="209"/>
      <c r="AH8" s="191"/>
      <c r="AI8" s="472"/>
      <c r="AJ8" s="183">
        <f t="shared" si="2"/>
        <v>0</v>
      </c>
      <c r="AK8" s="183">
        <f t="shared" si="3"/>
        <v>0</v>
      </c>
      <c r="AL8" s="183">
        <f t="shared" si="4"/>
        <v>0</v>
      </c>
      <c r="AM8" s="183">
        <f t="shared" si="5"/>
        <v>0</v>
      </c>
      <c r="AN8" s="183">
        <f t="shared" si="6"/>
        <v>0</v>
      </c>
      <c r="AO8" s="183">
        <f t="shared" si="7"/>
        <v>0</v>
      </c>
      <c r="AP8" s="183">
        <f t="shared" si="8"/>
        <v>0</v>
      </c>
      <c r="AQ8" s="183">
        <f t="shared" si="9"/>
        <v>0</v>
      </c>
      <c r="AR8" s="183">
        <f t="shared" si="10"/>
        <v>0</v>
      </c>
      <c r="AS8" s="183">
        <f t="shared" si="11"/>
        <v>0</v>
      </c>
      <c r="AT8" s="183">
        <f t="shared" si="12"/>
        <v>0</v>
      </c>
      <c r="AU8" s="183">
        <f t="shared" si="13"/>
        <v>0</v>
      </c>
      <c r="AV8" s="183">
        <f t="shared" si="14"/>
        <v>0</v>
      </c>
      <c r="AW8" s="183">
        <f t="shared" si="15"/>
        <v>0</v>
      </c>
      <c r="AX8" s="183">
        <f t="shared" si="16"/>
        <v>0</v>
      </c>
      <c r="AY8" s="183">
        <f t="shared" si="17"/>
        <v>0</v>
      </c>
      <c r="AZ8" s="183">
        <f t="shared" si="18"/>
        <v>0</v>
      </c>
      <c r="BA8" s="183">
        <f t="shared" si="19"/>
        <v>0</v>
      </c>
      <c r="BB8" s="183">
        <f t="shared" si="20"/>
        <v>0</v>
      </c>
      <c r="BC8" s="183">
        <f t="shared" si="20"/>
        <v>0</v>
      </c>
    </row>
    <row r="9" spans="1:55" ht="24" customHeight="1">
      <c r="A9" s="28"/>
      <c r="B9" s="28"/>
      <c r="C9" s="89"/>
      <c r="D9" s="53"/>
      <c r="E9" s="86"/>
      <c r="F9" s="101"/>
      <c r="G9" s="102"/>
      <c r="H9" s="88"/>
      <c r="I9" s="88" t="str">
        <f t="shared" si="0"/>
        <v/>
      </c>
      <c r="J9" s="53"/>
      <c r="K9" s="53"/>
      <c r="L9" s="54"/>
      <c r="M9" s="29"/>
      <c r="N9" s="29"/>
      <c r="O9" s="207"/>
      <c r="P9" s="208"/>
      <c r="Q9" s="209"/>
      <c r="R9" s="209"/>
      <c r="S9" s="209"/>
      <c r="T9" s="209"/>
      <c r="U9" s="209"/>
      <c r="V9" s="209"/>
      <c r="W9" s="209"/>
      <c r="X9" s="210"/>
      <c r="Y9" s="210"/>
      <c r="Z9" s="210"/>
      <c r="AA9" s="210"/>
      <c r="AB9" s="210"/>
      <c r="AC9" s="209"/>
      <c r="AD9" s="339"/>
      <c r="AE9" s="340"/>
      <c r="AF9" s="209"/>
      <c r="AG9" s="209"/>
      <c r="AH9" s="191"/>
      <c r="AI9" s="472"/>
      <c r="AJ9" s="183">
        <f t="shared" si="2"/>
        <v>0</v>
      </c>
      <c r="AK9" s="183">
        <f t="shared" si="3"/>
        <v>0</v>
      </c>
      <c r="AL9" s="183">
        <f t="shared" si="4"/>
        <v>0</v>
      </c>
      <c r="AM9" s="183">
        <f t="shared" si="5"/>
        <v>0</v>
      </c>
      <c r="AN9" s="183">
        <f t="shared" si="6"/>
        <v>0</v>
      </c>
      <c r="AO9" s="183">
        <f t="shared" si="7"/>
        <v>0</v>
      </c>
      <c r="AP9" s="183">
        <f t="shared" si="8"/>
        <v>0</v>
      </c>
      <c r="AQ9" s="183">
        <f t="shared" si="9"/>
        <v>0</v>
      </c>
      <c r="AR9" s="183">
        <f t="shared" si="10"/>
        <v>0</v>
      </c>
      <c r="AS9" s="183">
        <f t="shared" si="11"/>
        <v>0</v>
      </c>
      <c r="AT9" s="183">
        <f t="shared" si="12"/>
        <v>0</v>
      </c>
      <c r="AU9" s="183">
        <f t="shared" si="13"/>
        <v>0</v>
      </c>
      <c r="AV9" s="183">
        <f t="shared" si="14"/>
        <v>0</v>
      </c>
      <c r="AW9" s="183">
        <f t="shared" si="15"/>
        <v>0</v>
      </c>
      <c r="AX9" s="183">
        <f t="shared" si="16"/>
        <v>0</v>
      </c>
      <c r="AY9" s="183">
        <f t="shared" si="17"/>
        <v>0</v>
      </c>
      <c r="AZ9" s="183">
        <f t="shared" si="18"/>
        <v>0</v>
      </c>
      <c r="BA9" s="183">
        <f t="shared" si="19"/>
        <v>0</v>
      </c>
      <c r="BB9" s="183">
        <f t="shared" si="20"/>
        <v>0</v>
      </c>
      <c r="BC9" s="183">
        <f t="shared" si="20"/>
        <v>0</v>
      </c>
    </row>
    <row r="10" spans="1:55" ht="24" customHeight="1">
      <c r="A10" s="28"/>
      <c r="B10" s="28"/>
      <c r="C10" s="89"/>
      <c r="D10" s="53"/>
      <c r="E10" s="86"/>
      <c r="F10" s="101"/>
      <c r="G10" s="102"/>
      <c r="H10" s="88"/>
      <c r="I10" s="88" t="str">
        <f t="shared" si="0"/>
        <v/>
      </c>
      <c r="J10" s="53"/>
      <c r="K10" s="53"/>
      <c r="L10" s="54"/>
      <c r="M10" s="29"/>
      <c r="N10" s="29"/>
      <c r="O10" s="207"/>
      <c r="P10" s="208"/>
      <c r="Q10" s="209"/>
      <c r="R10" s="209"/>
      <c r="S10" s="209"/>
      <c r="T10" s="209"/>
      <c r="U10" s="209"/>
      <c r="V10" s="209"/>
      <c r="W10" s="209"/>
      <c r="X10" s="210"/>
      <c r="Y10" s="210"/>
      <c r="Z10" s="210"/>
      <c r="AA10" s="210"/>
      <c r="AB10" s="210"/>
      <c r="AC10" s="209"/>
      <c r="AD10" s="339"/>
      <c r="AE10" s="340"/>
      <c r="AF10" s="209"/>
      <c r="AG10" s="209"/>
      <c r="AH10" s="191"/>
      <c r="AI10" s="472"/>
      <c r="AJ10" s="183">
        <f t="shared" si="2"/>
        <v>0</v>
      </c>
      <c r="AK10" s="183">
        <f t="shared" si="3"/>
        <v>0</v>
      </c>
      <c r="AL10" s="183">
        <f t="shared" si="4"/>
        <v>0</v>
      </c>
      <c r="AM10" s="183">
        <f t="shared" si="5"/>
        <v>0</v>
      </c>
      <c r="AN10" s="183">
        <f t="shared" si="6"/>
        <v>0</v>
      </c>
      <c r="AO10" s="183">
        <f t="shared" si="7"/>
        <v>0</v>
      </c>
      <c r="AP10" s="183">
        <f t="shared" si="8"/>
        <v>0</v>
      </c>
      <c r="AQ10" s="183">
        <f t="shared" si="9"/>
        <v>0</v>
      </c>
      <c r="AR10" s="183">
        <f t="shared" si="10"/>
        <v>0</v>
      </c>
      <c r="AS10" s="183">
        <f t="shared" si="11"/>
        <v>0</v>
      </c>
      <c r="AT10" s="183">
        <f t="shared" si="12"/>
        <v>0</v>
      </c>
      <c r="AU10" s="183">
        <f t="shared" si="13"/>
        <v>0</v>
      </c>
      <c r="AV10" s="183">
        <f t="shared" si="14"/>
        <v>0</v>
      </c>
      <c r="AW10" s="183">
        <f t="shared" si="15"/>
        <v>0</v>
      </c>
      <c r="AX10" s="183">
        <f t="shared" si="16"/>
        <v>0</v>
      </c>
      <c r="AY10" s="183">
        <f t="shared" si="17"/>
        <v>0</v>
      </c>
      <c r="AZ10" s="183">
        <f t="shared" si="18"/>
        <v>0</v>
      </c>
      <c r="BA10" s="183">
        <f t="shared" si="19"/>
        <v>0</v>
      </c>
      <c r="BB10" s="183">
        <f t="shared" si="20"/>
        <v>0</v>
      </c>
      <c r="BC10" s="183">
        <f t="shared" si="20"/>
        <v>0</v>
      </c>
    </row>
    <row r="11" spans="1:55" ht="24" customHeight="1">
      <c r="A11" s="28"/>
      <c r="B11" s="28"/>
      <c r="C11" s="89"/>
      <c r="D11" s="53"/>
      <c r="E11" s="86"/>
      <c r="F11" s="101"/>
      <c r="G11" s="102"/>
      <c r="H11" s="88"/>
      <c r="I11" s="88" t="str">
        <f t="shared" si="0"/>
        <v/>
      </c>
      <c r="J11" s="53"/>
      <c r="K11" s="53"/>
      <c r="L11" s="54"/>
      <c r="M11" s="29"/>
      <c r="N11" s="29"/>
      <c r="O11" s="207"/>
      <c r="P11" s="208"/>
      <c r="Q11" s="209"/>
      <c r="R11" s="209"/>
      <c r="S11" s="209"/>
      <c r="T11" s="209"/>
      <c r="U11" s="209"/>
      <c r="V11" s="209"/>
      <c r="W11" s="209"/>
      <c r="X11" s="210"/>
      <c r="Y11" s="210"/>
      <c r="Z11" s="210"/>
      <c r="AA11" s="210"/>
      <c r="AB11" s="210"/>
      <c r="AC11" s="209"/>
      <c r="AD11" s="339"/>
      <c r="AE11" s="340"/>
      <c r="AF11" s="209"/>
      <c r="AG11" s="209"/>
      <c r="AH11" s="191"/>
      <c r="AI11" s="472"/>
      <c r="AJ11" s="183">
        <f t="shared" si="2"/>
        <v>0</v>
      </c>
      <c r="AK11" s="183">
        <f t="shared" si="3"/>
        <v>0</v>
      </c>
      <c r="AL11" s="183">
        <f t="shared" si="4"/>
        <v>0</v>
      </c>
      <c r="AM11" s="183">
        <f t="shared" si="5"/>
        <v>0</v>
      </c>
      <c r="AN11" s="183">
        <f t="shared" si="6"/>
        <v>0</v>
      </c>
      <c r="AO11" s="183">
        <f t="shared" si="7"/>
        <v>0</v>
      </c>
      <c r="AP11" s="183">
        <f t="shared" si="8"/>
        <v>0</v>
      </c>
      <c r="AQ11" s="183">
        <f t="shared" si="9"/>
        <v>0</v>
      </c>
      <c r="AR11" s="183">
        <f t="shared" si="10"/>
        <v>0</v>
      </c>
      <c r="AS11" s="183">
        <f t="shared" si="11"/>
        <v>0</v>
      </c>
      <c r="AT11" s="183">
        <f t="shared" si="12"/>
        <v>0</v>
      </c>
      <c r="AU11" s="183">
        <f t="shared" si="13"/>
        <v>0</v>
      </c>
      <c r="AV11" s="183">
        <f t="shared" si="14"/>
        <v>0</v>
      </c>
      <c r="AW11" s="183">
        <f t="shared" si="15"/>
        <v>0</v>
      </c>
      <c r="AX11" s="183">
        <f t="shared" si="16"/>
        <v>0</v>
      </c>
      <c r="AY11" s="183">
        <f t="shared" si="17"/>
        <v>0</v>
      </c>
      <c r="AZ11" s="183">
        <f t="shared" si="18"/>
        <v>0</v>
      </c>
      <c r="BA11" s="183">
        <f t="shared" si="19"/>
        <v>0</v>
      </c>
      <c r="BB11" s="183">
        <f t="shared" si="20"/>
        <v>0</v>
      </c>
      <c r="BC11" s="183">
        <f t="shared" si="20"/>
        <v>0</v>
      </c>
    </row>
    <row r="12" spans="1:55" s="29" customFormat="1" ht="24" customHeight="1">
      <c r="A12" s="28"/>
      <c r="B12" s="28"/>
      <c r="C12" s="89"/>
      <c r="D12" s="53"/>
      <c r="E12" s="86"/>
      <c r="F12" s="101"/>
      <c r="G12" s="102"/>
      <c r="H12" s="88"/>
      <c r="I12" s="88" t="str">
        <f t="shared" si="0"/>
        <v/>
      </c>
      <c r="J12" s="53"/>
      <c r="K12" s="53"/>
      <c r="L12" s="54"/>
      <c r="O12" s="207"/>
      <c r="P12" s="208"/>
      <c r="Q12" s="209"/>
      <c r="R12" s="209"/>
      <c r="S12" s="209"/>
      <c r="T12" s="209"/>
      <c r="U12" s="209"/>
      <c r="V12" s="209"/>
      <c r="W12" s="209"/>
      <c r="X12" s="210"/>
      <c r="Y12" s="210"/>
      <c r="Z12" s="210"/>
      <c r="AA12" s="210"/>
      <c r="AB12" s="210"/>
      <c r="AC12" s="209"/>
      <c r="AD12" s="339"/>
      <c r="AE12" s="340"/>
      <c r="AF12" s="209"/>
      <c r="AG12" s="209"/>
      <c r="AH12" s="191"/>
      <c r="AI12" s="472"/>
      <c r="AJ12" s="183">
        <f t="shared" si="2"/>
        <v>0</v>
      </c>
      <c r="AK12" s="183">
        <f t="shared" si="3"/>
        <v>0</v>
      </c>
      <c r="AL12" s="183">
        <f t="shared" si="4"/>
        <v>0</v>
      </c>
      <c r="AM12" s="183">
        <f t="shared" si="5"/>
        <v>0</v>
      </c>
      <c r="AN12" s="183">
        <f t="shared" si="6"/>
        <v>0</v>
      </c>
      <c r="AO12" s="183">
        <f t="shared" si="7"/>
        <v>0</v>
      </c>
      <c r="AP12" s="183">
        <f t="shared" si="8"/>
        <v>0</v>
      </c>
      <c r="AQ12" s="183">
        <f t="shared" si="9"/>
        <v>0</v>
      </c>
      <c r="AR12" s="183">
        <f t="shared" si="10"/>
        <v>0</v>
      </c>
      <c r="AS12" s="183">
        <f t="shared" si="11"/>
        <v>0</v>
      </c>
      <c r="AT12" s="183">
        <f t="shared" si="12"/>
        <v>0</v>
      </c>
      <c r="AU12" s="183">
        <f t="shared" si="13"/>
        <v>0</v>
      </c>
      <c r="AV12" s="183">
        <f t="shared" si="14"/>
        <v>0</v>
      </c>
      <c r="AW12" s="183">
        <f t="shared" si="15"/>
        <v>0</v>
      </c>
      <c r="AX12" s="183">
        <f t="shared" si="16"/>
        <v>0</v>
      </c>
      <c r="AY12" s="183">
        <f t="shared" si="17"/>
        <v>0</v>
      </c>
      <c r="AZ12" s="183">
        <f t="shared" si="18"/>
        <v>0</v>
      </c>
      <c r="BA12" s="183">
        <f t="shared" si="19"/>
        <v>0</v>
      </c>
      <c r="BB12" s="183">
        <f t="shared" si="20"/>
        <v>0</v>
      </c>
      <c r="BC12" s="183">
        <f t="shared" si="20"/>
        <v>0</v>
      </c>
    </row>
    <row r="13" spans="1:55" ht="24" customHeight="1">
      <c r="A13" s="28"/>
      <c r="B13" s="28"/>
      <c r="C13" s="89"/>
      <c r="D13" s="53"/>
      <c r="E13" s="86"/>
      <c r="F13" s="101"/>
      <c r="G13" s="102"/>
      <c r="H13" s="88"/>
      <c r="I13" s="88" t="str">
        <f t="shared" si="0"/>
        <v/>
      </c>
      <c r="J13" s="53"/>
      <c r="K13" s="53"/>
      <c r="L13" s="54"/>
      <c r="M13" s="29"/>
      <c r="N13" s="29"/>
      <c r="O13" s="207"/>
      <c r="P13" s="208"/>
      <c r="Q13" s="209"/>
      <c r="R13" s="209"/>
      <c r="S13" s="209"/>
      <c r="T13" s="209"/>
      <c r="U13" s="209"/>
      <c r="V13" s="209"/>
      <c r="W13" s="209"/>
      <c r="X13" s="210"/>
      <c r="Y13" s="210"/>
      <c r="Z13" s="210"/>
      <c r="AA13" s="210"/>
      <c r="AB13" s="210"/>
      <c r="AC13" s="209"/>
      <c r="AD13" s="339"/>
      <c r="AE13" s="340"/>
      <c r="AF13" s="209"/>
      <c r="AG13" s="209"/>
      <c r="AH13" s="191"/>
      <c r="AI13" s="472"/>
      <c r="AJ13" s="183">
        <f t="shared" si="2"/>
        <v>0</v>
      </c>
      <c r="AK13" s="183">
        <f t="shared" si="3"/>
        <v>0</v>
      </c>
      <c r="AL13" s="183">
        <f t="shared" si="4"/>
        <v>0</v>
      </c>
      <c r="AM13" s="183">
        <f t="shared" si="5"/>
        <v>0</v>
      </c>
      <c r="AN13" s="183">
        <f t="shared" si="6"/>
        <v>0</v>
      </c>
      <c r="AO13" s="183">
        <f t="shared" si="7"/>
        <v>0</v>
      </c>
      <c r="AP13" s="183">
        <f t="shared" si="8"/>
        <v>0</v>
      </c>
      <c r="AQ13" s="183">
        <f t="shared" si="9"/>
        <v>0</v>
      </c>
      <c r="AR13" s="183">
        <f t="shared" si="10"/>
        <v>0</v>
      </c>
      <c r="AS13" s="183">
        <f t="shared" si="11"/>
        <v>0</v>
      </c>
      <c r="AT13" s="183">
        <f t="shared" si="12"/>
        <v>0</v>
      </c>
      <c r="AU13" s="183">
        <f t="shared" si="13"/>
        <v>0</v>
      </c>
      <c r="AV13" s="183">
        <f t="shared" si="14"/>
        <v>0</v>
      </c>
      <c r="AW13" s="183">
        <f t="shared" si="15"/>
        <v>0</v>
      </c>
      <c r="AX13" s="183">
        <f t="shared" si="16"/>
        <v>0</v>
      </c>
      <c r="AY13" s="183">
        <f t="shared" si="17"/>
        <v>0</v>
      </c>
      <c r="AZ13" s="183">
        <f t="shared" si="18"/>
        <v>0</v>
      </c>
      <c r="BA13" s="183">
        <f t="shared" si="19"/>
        <v>0</v>
      </c>
      <c r="BB13" s="183">
        <f t="shared" si="20"/>
        <v>0</v>
      </c>
      <c r="BC13" s="183">
        <f t="shared" si="20"/>
        <v>0</v>
      </c>
    </row>
    <row r="14" spans="1:55" ht="24" customHeight="1">
      <c r="A14" s="28"/>
      <c r="B14" s="28"/>
      <c r="C14" s="89"/>
      <c r="D14" s="53"/>
      <c r="E14" s="186"/>
      <c r="F14" s="101"/>
      <c r="G14" s="102"/>
      <c r="H14" s="88"/>
      <c r="I14" s="88" t="str">
        <f t="shared" si="0"/>
        <v/>
      </c>
      <c r="J14" s="53"/>
      <c r="K14" s="53"/>
      <c r="L14" s="54"/>
      <c r="M14" s="29"/>
      <c r="N14" s="29"/>
      <c r="O14" s="207"/>
      <c r="P14" s="208"/>
      <c r="Q14" s="209"/>
      <c r="R14" s="209"/>
      <c r="S14" s="209"/>
      <c r="T14" s="209"/>
      <c r="U14" s="209"/>
      <c r="V14" s="209"/>
      <c r="W14" s="209"/>
      <c r="X14" s="210"/>
      <c r="Y14" s="210"/>
      <c r="Z14" s="210"/>
      <c r="AA14" s="210"/>
      <c r="AB14" s="210"/>
      <c r="AC14" s="209"/>
      <c r="AD14" s="339"/>
      <c r="AE14" s="340"/>
      <c r="AF14" s="209"/>
      <c r="AG14" s="209"/>
      <c r="AH14" s="191"/>
      <c r="AI14" s="472"/>
      <c r="AJ14" s="183">
        <f t="shared" si="2"/>
        <v>0</v>
      </c>
      <c r="AK14" s="183">
        <f t="shared" si="3"/>
        <v>0</v>
      </c>
      <c r="AL14" s="183">
        <f t="shared" si="4"/>
        <v>0</v>
      </c>
      <c r="AM14" s="183">
        <f t="shared" si="5"/>
        <v>0</v>
      </c>
      <c r="AN14" s="183">
        <f t="shared" si="6"/>
        <v>0</v>
      </c>
      <c r="AO14" s="183">
        <f t="shared" si="7"/>
        <v>0</v>
      </c>
      <c r="AP14" s="183">
        <f t="shared" si="8"/>
        <v>0</v>
      </c>
      <c r="AQ14" s="183">
        <f t="shared" si="9"/>
        <v>0</v>
      </c>
      <c r="AR14" s="183">
        <f t="shared" si="10"/>
        <v>0</v>
      </c>
      <c r="AS14" s="183">
        <f t="shared" si="11"/>
        <v>0</v>
      </c>
      <c r="AT14" s="183">
        <f t="shared" si="12"/>
        <v>0</v>
      </c>
      <c r="AU14" s="183">
        <f t="shared" si="13"/>
        <v>0</v>
      </c>
      <c r="AV14" s="183">
        <f t="shared" si="14"/>
        <v>0</v>
      </c>
      <c r="AW14" s="183">
        <f t="shared" si="15"/>
        <v>0</v>
      </c>
      <c r="AX14" s="183">
        <f t="shared" si="16"/>
        <v>0</v>
      </c>
      <c r="AY14" s="183">
        <f t="shared" si="17"/>
        <v>0</v>
      </c>
      <c r="AZ14" s="183">
        <f t="shared" si="18"/>
        <v>0</v>
      </c>
      <c r="BA14" s="183">
        <f t="shared" si="19"/>
        <v>0</v>
      </c>
      <c r="BB14" s="183">
        <f t="shared" si="20"/>
        <v>0</v>
      </c>
      <c r="BC14" s="183">
        <f t="shared" si="20"/>
        <v>0</v>
      </c>
    </row>
    <row r="15" spans="1:55" s="29" customFormat="1" ht="24" customHeight="1">
      <c r="A15" s="28"/>
      <c r="B15" s="28"/>
      <c r="C15" s="89"/>
      <c r="D15" s="53"/>
      <c r="E15" s="86"/>
      <c r="F15" s="101"/>
      <c r="G15" s="102"/>
      <c r="H15" s="88"/>
      <c r="I15" s="88" t="str">
        <f t="shared" si="0"/>
        <v/>
      </c>
      <c r="J15" s="53"/>
      <c r="K15" s="53"/>
      <c r="L15" s="54"/>
      <c r="O15" s="207"/>
      <c r="P15" s="208"/>
      <c r="Q15" s="209"/>
      <c r="R15" s="209"/>
      <c r="S15" s="209"/>
      <c r="T15" s="209"/>
      <c r="U15" s="209"/>
      <c r="V15" s="209"/>
      <c r="W15" s="209"/>
      <c r="X15" s="210"/>
      <c r="Y15" s="210"/>
      <c r="Z15" s="210"/>
      <c r="AA15" s="210"/>
      <c r="AB15" s="210"/>
      <c r="AC15" s="209"/>
      <c r="AD15" s="339"/>
      <c r="AE15" s="340"/>
      <c r="AF15" s="209"/>
      <c r="AG15" s="209"/>
      <c r="AH15" s="191"/>
      <c r="AI15" s="472"/>
      <c r="AJ15" s="183">
        <f t="shared" si="2"/>
        <v>0</v>
      </c>
      <c r="AK15" s="183">
        <f t="shared" si="3"/>
        <v>0</v>
      </c>
      <c r="AL15" s="183">
        <f t="shared" si="4"/>
        <v>0</v>
      </c>
      <c r="AM15" s="183">
        <f t="shared" si="5"/>
        <v>0</v>
      </c>
      <c r="AN15" s="183">
        <f t="shared" si="6"/>
        <v>0</v>
      </c>
      <c r="AO15" s="183">
        <f t="shared" si="7"/>
        <v>0</v>
      </c>
      <c r="AP15" s="183">
        <f t="shared" si="8"/>
        <v>0</v>
      </c>
      <c r="AQ15" s="183">
        <f t="shared" si="9"/>
        <v>0</v>
      </c>
      <c r="AR15" s="183">
        <f t="shared" si="10"/>
        <v>0</v>
      </c>
      <c r="AS15" s="183">
        <f t="shared" si="11"/>
        <v>0</v>
      </c>
      <c r="AT15" s="183">
        <f t="shared" si="12"/>
        <v>0</v>
      </c>
      <c r="AU15" s="183">
        <f t="shared" si="13"/>
        <v>0</v>
      </c>
      <c r="AV15" s="183">
        <f t="shared" si="14"/>
        <v>0</v>
      </c>
      <c r="AW15" s="183">
        <f t="shared" si="15"/>
        <v>0</v>
      </c>
      <c r="AX15" s="183">
        <f t="shared" si="16"/>
        <v>0</v>
      </c>
      <c r="AY15" s="183">
        <f t="shared" si="17"/>
        <v>0</v>
      </c>
      <c r="AZ15" s="183">
        <f t="shared" si="18"/>
        <v>0</v>
      </c>
      <c r="BA15" s="183">
        <f t="shared" si="19"/>
        <v>0</v>
      </c>
      <c r="BB15" s="183">
        <f t="shared" si="20"/>
        <v>0</v>
      </c>
      <c r="BC15" s="183">
        <f t="shared" si="20"/>
        <v>0</v>
      </c>
    </row>
    <row r="16" spans="1:55" ht="24" customHeight="1">
      <c r="A16" s="28"/>
      <c r="B16" s="28"/>
      <c r="C16" s="89"/>
      <c r="D16" s="53"/>
      <c r="E16" s="86"/>
      <c r="F16" s="101"/>
      <c r="G16" s="102"/>
      <c r="H16" s="88"/>
      <c r="I16" s="88" t="str">
        <f t="shared" si="0"/>
        <v/>
      </c>
      <c r="J16" s="53"/>
      <c r="K16" s="53"/>
      <c r="L16" s="54"/>
      <c r="M16" s="29"/>
      <c r="N16" s="29"/>
      <c r="O16" s="207"/>
      <c r="P16" s="208"/>
      <c r="Q16" s="209"/>
      <c r="R16" s="209"/>
      <c r="S16" s="209"/>
      <c r="T16" s="209"/>
      <c r="U16" s="209"/>
      <c r="V16" s="209"/>
      <c r="W16" s="209"/>
      <c r="X16" s="210"/>
      <c r="Y16" s="210"/>
      <c r="Z16" s="210"/>
      <c r="AA16" s="210"/>
      <c r="AB16" s="210"/>
      <c r="AC16" s="209"/>
      <c r="AD16" s="339"/>
      <c r="AE16" s="340"/>
      <c r="AF16" s="209"/>
      <c r="AG16" s="209"/>
      <c r="AH16" s="191"/>
      <c r="AI16" s="472"/>
      <c r="AJ16" s="183">
        <f t="shared" si="2"/>
        <v>0</v>
      </c>
      <c r="AK16" s="183">
        <f t="shared" si="3"/>
        <v>0</v>
      </c>
      <c r="AL16" s="183">
        <f t="shared" si="4"/>
        <v>0</v>
      </c>
      <c r="AM16" s="183">
        <f t="shared" si="5"/>
        <v>0</v>
      </c>
      <c r="AN16" s="183">
        <f t="shared" si="6"/>
        <v>0</v>
      </c>
      <c r="AO16" s="183">
        <f t="shared" si="7"/>
        <v>0</v>
      </c>
      <c r="AP16" s="183">
        <f t="shared" si="8"/>
        <v>0</v>
      </c>
      <c r="AQ16" s="183">
        <f t="shared" si="9"/>
        <v>0</v>
      </c>
      <c r="AR16" s="183">
        <f t="shared" si="10"/>
        <v>0</v>
      </c>
      <c r="AS16" s="183">
        <f t="shared" si="11"/>
        <v>0</v>
      </c>
      <c r="AT16" s="183">
        <f t="shared" si="12"/>
        <v>0</v>
      </c>
      <c r="AU16" s="183">
        <f t="shared" si="13"/>
        <v>0</v>
      </c>
      <c r="AV16" s="183">
        <f t="shared" si="14"/>
        <v>0</v>
      </c>
      <c r="AW16" s="183">
        <f t="shared" si="15"/>
        <v>0</v>
      </c>
      <c r="AX16" s="183">
        <f t="shared" si="16"/>
        <v>0</v>
      </c>
      <c r="AY16" s="183">
        <f t="shared" si="17"/>
        <v>0</v>
      </c>
      <c r="AZ16" s="183">
        <f t="shared" si="18"/>
        <v>0</v>
      </c>
      <c r="BA16" s="183">
        <f t="shared" si="19"/>
        <v>0</v>
      </c>
      <c r="BB16" s="183">
        <f t="shared" si="20"/>
        <v>0</v>
      </c>
      <c r="BC16" s="183">
        <f t="shared" si="20"/>
        <v>0</v>
      </c>
    </row>
    <row r="17" spans="1:55" s="29" customFormat="1" ht="24" customHeight="1">
      <c r="A17" s="28"/>
      <c r="B17" s="28"/>
      <c r="C17" s="89"/>
      <c r="D17" s="53"/>
      <c r="E17" s="86"/>
      <c r="F17" s="101"/>
      <c r="G17" s="102"/>
      <c r="H17" s="88"/>
      <c r="I17" s="88" t="str">
        <f t="shared" si="0"/>
        <v/>
      </c>
      <c r="J17" s="53"/>
      <c r="K17" s="53"/>
      <c r="L17" s="54"/>
      <c r="O17" s="207"/>
      <c r="P17" s="208"/>
      <c r="Q17" s="209"/>
      <c r="R17" s="209"/>
      <c r="S17" s="209"/>
      <c r="T17" s="209"/>
      <c r="U17" s="209"/>
      <c r="V17" s="209"/>
      <c r="W17" s="209"/>
      <c r="X17" s="210"/>
      <c r="Y17" s="210"/>
      <c r="Z17" s="210"/>
      <c r="AA17" s="210"/>
      <c r="AB17" s="210"/>
      <c r="AC17" s="209"/>
      <c r="AD17" s="339"/>
      <c r="AE17" s="340"/>
      <c r="AF17" s="209"/>
      <c r="AG17" s="209"/>
      <c r="AH17" s="191"/>
      <c r="AI17" s="472"/>
      <c r="AJ17" s="183">
        <f t="shared" si="2"/>
        <v>0</v>
      </c>
      <c r="AK17" s="183">
        <f t="shared" si="3"/>
        <v>0</v>
      </c>
      <c r="AL17" s="183">
        <f t="shared" si="4"/>
        <v>0</v>
      </c>
      <c r="AM17" s="183">
        <f t="shared" si="5"/>
        <v>0</v>
      </c>
      <c r="AN17" s="183">
        <f t="shared" si="6"/>
        <v>0</v>
      </c>
      <c r="AO17" s="183">
        <f t="shared" si="7"/>
        <v>0</v>
      </c>
      <c r="AP17" s="183">
        <f t="shared" si="8"/>
        <v>0</v>
      </c>
      <c r="AQ17" s="183">
        <f t="shared" si="9"/>
        <v>0</v>
      </c>
      <c r="AR17" s="183">
        <f t="shared" si="10"/>
        <v>0</v>
      </c>
      <c r="AS17" s="183">
        <f t="shared" si="11"/>
        <v>0</v>
      </c>
      <c r="AT17" s="183">
        <f t="shared" si="12"/>
        <v>0</v>
      </c>
      <c r="AU17" s="183">
        <f t="shared" si="13"/>
        <v>0</v>
      </c>
      <c r="AV17" s="183">
        <f t="shared" si="14"/>
        <v>0</v>
      </c>
      <c r="AW17" s="183">
        <f t="shared" si="15"/>
        <v>0</v>
      </c>
      <c r="AX17" s="183">
        <f t="shared" si="16"/>
        <v>0</v>
      </c>
      <c r="AY17" s="183">
        <f t="shared" si="17"/>
        <v>0</v>
      </c>
      <c r="AZ17" s="183">
        <f t="shared" si="18"/>
        <v>0</v>
      </c>
      <c r="BA17" s="183">
        <f t="shared" si="19"/>
        <v>0</v>
      </c>
      <c r="BB17" s="183">
        <f t="shared" si="20"/>
        <v>0</v>
      </c>
      <c r="BC17" s="183">
        <f t="shared" si="20"/>
        <v>0</v>
      </c>
    </row>
    <row r="18" spans="1:55" ht="24" customHeight="1">
      <c r="A18" s="28"/>
      <c r="B18" s="28"/>
      <c r="C18" s="169"/>
      <c r="D18" s="53"/>
      <c r="E18" s="86"/>
      <c r="F18" s="101"/>
      <c r="G18" s="102"/>
      <c r="H18" s="88"/>
      <c r="I18" s="88" t="str">
        <f t="shared" si="0"/>
        <v/>
      </c>
      <c r="J18" s="53"/>
      <c r="K18" s="53"/>
      <c r="L18" s="54"/>
      <c r="M18" s="29"/>
      <c r="N18" s="29"/>
      <c r="O18" s="207"/>
      <c r="P18" s="208"/>
      <c r="Q18" s="209"/>
      <c r="R18" s="209"/>
      <c r="S18" s="209"/>
      <c r="T18" s="209"/>
      <c r="U18" s="209"/>
      <c r="V18" s="209"/>
      <c r="W18" s="209"/>
      <c r="X18" s="210"/>
      <c r="Y18" s="210"/>
      <c r="Z18" s="210"/>
      <c r="AA18" s="210"/>
      <c r="AB18" s="210"/>
      <c r="AC18" s="209"/>
      <c r="AD18" s="339"/>
      <c r="AE18" s="340"/>
      <c r="AF18" s="209"/>
      <c r="AG18" s="209"/>
      <c r="AH18" s="191"/>
      <c r="AI18" s="472"/>
      <c r="AJ18" s="183">
        <f t="shared" si="2"/>
        <v>0</v>
      </c>
      <c r="AK18" s="183">
        <f t="shared" si="3"/>
        <v>0</v>
      </c>
      <c r="AL18" s="183">
        <f t="shared" si="4"/>
        <v>0</v>
      </c>
      <c r="AM18" s="183">
        <f t="shared" si="5"/>
        <v>0</v>
      </c>
      <c r="AN18" s="183">
        <f t="shared" si="6"/>
        <v>0</v>
      </c>
      <c r="AO18" s="183">
        <f t="shared" si="7"/>
        <v>0</v>
      </c>
      <c r="AP18" s="183">
        <f t="shared" si="8"/>
        <v>0</v>
      </c>
      <c r="AQ18" s="183">
        <f t="shared" si="9"/>
        <v>0</v>
      </c>
      <c r="AR18" s="183">
        <f t="shared" si="10"/>
        <v>0</v>
      </c>
      <c r="AS18" s="183">
        <f t="shared" si="11"/>
        <v>0</v>
      </c>
      <c r="AT18" s="183">
        <f t="shared" si="12"/>
        <v>0</v>
      </c>
      <c r="AU18" s="183">
        <f t="shared" si="13"/>
        <v>0</v>
      </c>
      <c r="AV18" s="183">
        <f t="shared" si="14"/>
        <v>0</v>
      </c>
      <c r="AW18" s="183">
        <f t="shared" si="15"/>
        <v>0</v>
      </c>
      <c r="AX18" s="183">
        <f t="shared" si="16"/>
        <v>0</v>
      </c>
      <c r="AY18" s="183">
        <f t="shared" si="17"/>
        <v>0</v>
      </c>
      <c r="AZ18" s="183">
        <f t="shared" si="18"/>
        <v>0</v>
      </c>
      <c r="BA18" s="183">
        <f t="shared" si="19"/>
        <v>0</v>
      </c>
      <c r="BB18" s="183">
        <f t="shared" si="20"/>
        <v>0</v>
      </c>
      <c r="BC18" s="183">
        <f t="shared" si="20"/>
        <v>0</v>
      </c>
    </row>
    <row r="19" spans="1:55" ht="24" customHeight="1">
      <c r="A19" s="28"/>
      <c r="B19" s="28"/>
      <c r="C19" s="89"/>
      <c r="D19" s="53"/>
      <c r="E19" s="86"/>
      <c r="F19" s="101"/>
      <c r="G19" s="102"/>
      <c r="H19" s="88"/>
      <c r="I19" s="88" t="str">
        <f t="shared" si="0"/>
        <v/>
      </c>
      <c r="J19" s="53"/>
      <c r="K19" s="53"/>
      <c r="L19" s="54"/>
      <c r="M19" s="29"/>
      <c r="N19" s="29"/>
      <c r="O19" s="207"/>
      <c r="P19" s="208"/>
      <c r="Q19" s="209"/>
      <c r="R19" s="209"/>
      <c r="S19" s="209"/>
      <c r="T19" s="209"/>
      <c r="U19" s="209"/>
      <c r="V19" s="209"/>
      <c r="W19" s="209"/>
      <c r="X19" s="210"/>
      <c r="Y19" s="210"/>
      <c r="Z19" s="210"/>
      <c r="AA19" s="210"/>
      <c r="AB19" s="210"/>
      <c r="AC19" s="209"/>
      <c r="AD19" s="339"/>
      <c r="AE19" s="340"/>
      <c r="AF19" s="209"/>
      <c r="AG19" s="209"/>
      <c r="AH19" s="191"/>
      <c r="AI19" s="472"/>
      <c r="AJ19" s="183">
        <f t="shared" si="2"/>
        <v>0</v>
      </c>
      <c r="AK19" s="183">
        <f t="shared" si="3"/>
        <v>0</v>
      </c>
      <c r="AL19" s="183">
        <f t="shared" si="4"/>
        <v>0</v>
      </c>
      <c r="AM19" s="183">
        <f t="shared" si="5"/>
        <v>0</v>
      </c>
      <c r="AN19" s="183">
        <f t="shared" si="6"/>
        <v>0</v>
      </c>
      <c r="AO19" s="183">
        <f t="shared" si="7"/>
        <v>0</v>
      </c>
      <c r="AP19" s="183">
        <f t="shared" si="8"/>
        <v>0</v>
      </c>
      <c r="AQ19" s="183">
        <f t="shared" si="9"/>
        <v>0</v>
      </c>
      <c r="AR19" s="183">
        <f t="shared" si="10"/>
        <v>0</v>
      </c>
      <c r="AS19" s="183">
        <f t="shared" si="11"/>
        <v>0</v>
      </c>
      <c r="AT19" s="183">
        <f t="shared" si="12"/>
        <v>0</v>
      </c>
      <c r="AU19" s="183">
        <f t="shared" si="13"/>
        <v>0</v>
      </c>
      <c r="AV19" s="183">
        <f t="shared" si="14"/>
        <v>0</v>
      </c>
      <c r="AW19" s="183">
        <f t="shared" si="15"/>
        <v>0</v>
      </c>
      <c r="AX19" s="183">
        <f t="shared" si="16"/>
        <v>0</v>
      </c>
      <c r="AY19" s="183">
        <f t="shared" si="17"/>
        <v>0</v>
      </c>
      <c r="AZ19" s="183">
        <f t="shared" si="18"/>
        <v>0</v>
      </c>
      <c r="BA19" s="183">
        <f t="shared" si="19"/>
        <v>0</v>
      </c>
      <c r="BB19" s="183">
        <f t="shared" si="20"/>
        <v>0</v>
      </c>
      <c r="BC19" s="183">
        <f t="shared" si="20"/>
        <v>0</v>
      </c>
    </row>
    <row r="20" spans="1:55" ht="24" customHeight="1">
      <c r="A20" s="28"/>
      <c r="B20" s="28"/>
      <c r="C20" s="89"/>
      <c r="D20" s="53"/>
      <c r="E20" s="86"/>
      <c r="F20" s="101"/>
      <c r="G20" s="102"/>
      <c r="H20" s="88"/>
      <c r="I20" s="88" t="str">
        <f t="shared" si="0"/>
        <v/>
      </c>
      <c r="J20" s="170"/>
      <c r="K20" s="53"/>
      <c r="L20" s="54"/>
      <c r="M20" s="29"/>
      <c r="N20" s="29"/>
      <c r="O20" s="207"/>
      <c r="P20" s="208"/>
      <c r="Q20" s="209"/>
      <c r="R20" s="209"/>
      <c r="S20" s="209"/>
      <c r="T20" s="209"/>
      <c r="U20" s="209"/>
      <c r="V20" s="209"/>
      <c r="W20" s="209"/>
      <c r="X20" s="210"/>
      <c r="Y20" s="210"/>
      <c r="Z20" s="210"/>
      <c r="AA20" s="210"/>
      <c r="AB20" s="210"/>
      <c r="AC20" s="209"/>
      <c r="AD20" s="339"/>
      <c r="AE20" s="340"/>
      <c r="AF20" s="209"/>
      <c r="AG20" s="209"/>
      <c r="AH20" s="191"/>
      <c r="AI20" s="472"/>
      <c r="AJ20" s="183">
        <f t="shared" si="2"/>
        <v>0</v>
      </c>
      <c r="AK20" s="183">
        <f t="shared" si="3"/>
        <v>0</v>
      </c>
      <c r="AL20" s="183">
        <f t="shared" si="4"/>
        <v>0</v>
      </c>
      <c r="AM20" s="183">
        <f t="shared" si="5"/>
        <v>0</v>
      </c>
      <c r="AN20" s="183">
        <f t="shared" si="6"/>
        <v>0</v>
      </c>
      <c r="AO20" s="183">
        <f t="shared" si="7"/>
        <v>0</v>
      </c>
      <c r="AP20" s="183">
        <f t="shared" si="8"/>
        <v>0</v>
      </c>
      <c r="AQ20" s="183">
        <f t="shared" si="9"/>
        <v>0</v>
      </c>
      <c r="AR20" s="183">
        <f t="shared" si="10"/>
        <v>0</v>
      </c>
      <c r="AS20" s="183">
        <f t="shared" si="11"/>
        <v>0</v>
      </c>
      <c r="AT20" s="183">
        <f t="shared" si="12"/>
        <v>0</v>
      </c>
      <c r="AU20" s="183">
        <f t="shared" si="13"/>
        <v>0</v>
      </c>
      <c r="AV20" s="183">
        <f t="shared" si="14"/>
        <v>0</v>
      </c>
      <c r="AW20" s="183">
        <f t="shared" si="15"/>
        <v>0</v>
      </c>
      <c r="AX20" s="183">
        <f t="shared" si="16"/>
        <v>0</v>
      </c>
      <c r="AY20" s="183">
        <f t="shared" si="17"/>
        <v>0</v>
      </c>
      <c r="AZ20" s="183">
        <f t="shared" si="18"/>
        <v>0</v>
      </c>
      <c r="BA20" s="183">
        <f t="shared" si="19"/>
        <v>0</v>
      </c>
      <c r="BB20" s="183">
        <f t="shared" si="20"/>
        <v>0</v>
      </c>
      <c r="BC20" s="183">
        <f t="shared" si="20"/>
        <v>0</v>
      </c>
    </row>
    <row r="21" spans="1:55" ht="24" customHeight="1">
      <c r="A21" s="28"/>
      <c r="B21" s="28"/>
      <c r="C21" s="89"/>
      <c r="D21" s="53"/>
      <c r="E21" s="86"/>
      <c r="F21" s="101"/>
      <c r="G21" s="102"/>
      <c r="H21" s="88"/>
      <c r="I21" s="88"/>
      <c r="J21" s="53"/>
      <c r="K21" s="53"/>
      <c r="L21" s="54"/>
      <c r="M21" s="29"/>
      <c r="N21" s="29"/>
      <c r="O21" s="207"/>
      <c r="P21" s="208"/>
      <c r="Q21" s="209"/>
      <c r="R21" s="209"/>
      <c r="S21" s="209"/>
      <c r="T21" s="209"/>
      <c r="U21" s="209"/>
      <c r="V21" s="209"/>
      <c r="W21" s="209"/>
      <c r="X21" s="210"/>
      <c r="Y21" s="210"/>
      <c r="Z21" s="210"/>
      <c r="AA21" s="210"/>
      <c r="AB21" s="210"/>
      <c r="AC21" s="209"/>
      <c r="AD21" s="339"/>
      <c r="AE21" s="340"/>
      <c r="AF21" s="209"/>
      <c r="AG21" s="209"/>
      <c r="AH21" s="191"/>
      <c r="AI21" s="472"/>
      <c r="AJ21" s="183">
        <f t="shared" si="2"/>
        <v>0</v>
      </c>
      <c r="AK21" s="183">
        <f t="shared" si="3"/>
        <v>0</v>
      </c>
      <c r="AL21" s="183">
        <f t="shared" si="4"/>
        <v>0</v>
      </c>
      <c r="AM21" s="183">
        <f t="shared" si="5"/>
        <v>0</v>
      </c>
      <c r="AN21" s="183">
        <f t="shared" si="6"/>
        <v>0</v>
      </c>
      <c r="AO21" s="183">
        <f t="shared" si="7"/>
        <v>0</v>
      </c>
      <c r="AP21" s="183">
        <f t="shared" si="8"/>
        <v>0</v>
      </c>
      <c r="AQ21" s="183">
        <f t="shared" si="9"/>
        <v>0</v>
      </c>
      <c r="AR21" s="183">
        <f t="shared" si="10"/>
        <v>0</v>
      </c>
      <c r="AS21" s="183">
        <f t="shared" si="11"/>
        <v>0</v>
      </c>
      <c r="AT21" s="183">
        <f t="shared" si="12"/>
        <v>0</v>
      </c>
      <c r="AU21" s="183">
        <f t="shared" si="13"/>
        <v>0</v>
      </c>
      <c r="AV21" s="183">
        <f t="shared" si="14"/>
        <v>0</v>
      </c>
      <c r="AW21" s="183">
        <f t="shared" si="15"/>
        <v>0</v>
      </c>
      <c r="AX21" s="183">
        <f t="shared" si="16"/>
        <v>0</v>
      </c>
      <c r="AY21" s="183">
        <f t="shared" si="17"/>
        <v>0</v>
      </c>
      <c r="AZ21" s="183">
        <f t="shared" si="18"/>
        <v>0</v>
      </c>
      <c r="BA21" s="183">
        <f t="shared" si="19"/>
        <v>0</v>
      </c>
      <c r="BB21" s="183">
        <f t="shared" si="20"/>
        <v>0</v>
      </c>
      <c r="BC21" s="183">
        <f t="shared" si="20"/>
        <v>0</v>
      </c>
    </row>
    <row r="22" spans="1:55" ht="24" customHeight="1">
      <c r="A22" s="28"/>
      <c r="B22" s="28"/>
      <c r="C22" s="89"/>
      <c r="D22" s="53"/>
      <c r="E22" s="86"/>
      <c r="F22" s="101"/>
      <c r="G22" s="102"/>
      <c r="H22" s="88"/>
      <c r="I22" s="88" t="str">
        <f t="shared" si="0"/>
        <v/>
      </c>
      <c r="J22" s="53"/>
      <c r="K22" s="53"/>
      <c r="L22" s="54"/>
      <c r="M22" s="29"/>
      <c r="N22" s="29"/>
      <c r="O22" s="207"/>
      <c r="P22" s="208"/>
      <c r="Q22" s="209"/>
      <c r="R22" s="209"/>
      <c r="S22" s="209"/>
      <c r="T22" s="209"/>
      <c r="U22" s="209"/>
      <c r="V22" s="209"/>
      <c r="W22" s="209"/>
      <c r="X22" s="210"/>
      <c r="Y22" s="210"/>
      <c r="Z22" s="210"/>
      <c r="AA22" s="210"/>
      <c r="AB22" s="210"/>
      <c r="AC22" s="209"/>
      <c r="AD22" s="339"/>
      <c r="AE22" s="340"/>
      <c r="AF22" s="209"/>
      <c r="AG22" s="209"/>
      <c r="AH22" s="191"/>
      <c r="AI22" s="472"/>
      <c r="AJ22" s="183">
        <f t="shared" si="2"/>
        <v>0</v>
      </c>
      <c r="AK22" s="183">
        <f t="shared" si="3"/>
        <v>0</v>
      </c>
      <c r="AL22" s="183">
        <f>$F22*Q22</f>
        <v>0</v>
      </c>
      <c r="AM22" s="183">
        <f t="shared" si="5"/>
        <v>0</v>
      </c>
      <c r="AN22" s="183">
        <f t="shared" si="6"/>
        <v>0</v>
      </c>
      <c r="AO22" s="183">
        <f t="shared" si="7"/>
        <v>0</v>
      </c>
      <c r="AP22" s="183">
        <f t="shared" si="8"/>
        <v>0</v>
      </c>
      <c r="AQ22" s="183">
        <f t="shared" si="9"/>
        <v>0</v>
      </c>
      <c r="AR22" s="183">
        <f t="shared" si="10"/>
        <v>0</v>
      </c>
      <c r="AS22" s="183">
        <f t="shared" si="11"/>
        <v>0</v>
      </c>
      <c r="AT22" s="183">
        <f t="shared" si="12"/>
        <v>0</v>
      </c>
      <c r="AU22" s="183">
        <f t="shared" si="13"/>
        <v>0</v>
      </c>
      <c r="AV22" s="183">
        <f t="shared" si="14"/>
        <v>0</v>
      </c>
      <c r="AW22" s="183">
        <f t="shared" si="15"/>
        <v>0</v>
      </c>
      <c r="AX22" s="183">
        <f t="shared" si="16"/>
        <v>0</v>
      </c>
      <c r="AY22" s="183">
        <f t="shared" si="17"/>
        <v>0</v>
      </c>
      <c r="AZ22" s="183">
        <f t="shared" si="18"/>
        <v>0</v>
      </c>
      <c r="BA22" s="183">
        <f t="shared" si="19"/>
        <v>0</v>
      </c>
      <c r="BB22" s="183">
        <f t="shared" si="20"/>
        <v>0</v>
      </c>
      <c r="BC22" s="183">
        <f t="shared" si="20"/>
        <v>0</v>
      </c>
    </row>
    <row r="23" spans="1:55" s="29" customFormat="1" ht="24" customHeight="1">
      <c r="A23" s="28"/>
      <c r="B23" s="28"/>
      <c r="C23" s="89"/>
      <c r="D23" s="53"/>
      <c r="E23" s="86"/>
      <c r="F23" s="101"/>
      <c r="G23" s="102"/>
      <c r="H23" s="88"/>
      <c r="I23" s="88" t="str">
        <f t="shared" si="0"/>
        <v/>
      </c>
      <c r="J23" s="53"/>
      <c r="K23" s="53"/>
      <c r="L23" s="54"/>
      <c r="O23" s="207"/>
      <c r="P23" s="208"/>
      <c r="Q23" s="209"/>
      <c r="R23" s="209"/>
      <c r="S23" s="209"/>
      <c r="T23" s="209"/>
      <c r="U23" s="209"/>
      <c r="V23" s="209"/>
      <c r="W23" s="209"/>
      <c r="X23" s="210"/>
      <c r="Y23" s="210"/>
      <c r="Z23" s="210"/>
      <c r="AA23" s="210"/>
      <c r="AB23" s="210"/>
      <c r="AC23" s="209"/>
      <c r="AD23" s="339"/>
      <c r="AE23" s="340"/>
      <c r="AF23" s="209"/>
      <c r="AG23" s="209"/>
      <c r="AH23" s="191"/>
      <c r="AI23" s="472"/>
      <c r="AJ23" s="183">
        <f>$F23*O23</f>
        <v>0</v>
      </c>
      <c r="AK23" s="183">
        <f t="shared" si="3"/>
        <v>0</v>
      </c>
      <c r="AL23" s="183">
        <f t="shared" si="4"/>
        <v>0</v>
      </c>
      <c r="AM23" s="183">
        <f t="shared" si="5"/>
        <v>0</v>
      </c>
      <c r="AN23" s="183">
        <f t="shared" si="6"/>
        <v>0</v>
      </c>
      <c r="AO23" s="183">
        <f t="shared" si="7"/>
        <v>0</v>
      </c>
      <c r="AP23" s="183">
        <f t="shared" si="8"/>
        <v>0</v>
      </c>
      <c r="AQ23" s="183">
        <f t="shared" si="9"/>
        <v>0</v>
      </c>
      <c r="AR23" s="183">
        <f t="shared" si="10"/>
        <v>0</v>
      </c>
      <c r="AS23" s="183">
        <f t="shared" si="11"/>
        <v>0</v>
      </c>
      <c r="AT23" s="183">
        <f t="shared" si="12"/>
        <v>0</v>
      </c>
      <c r="AU23" s="183">
        <f t="shared" si="13"/>
        <v>0</v>
      </c>
      <c r="AV23" s="183">
        <f t="shared" si="14"/>
        <v>0</v>
      </c>
      <c r="AW23" s="183">
        <f t="shared" si="15"/>
        <v>0</v>
      </c>
      <c r="AX23" s="183">
        <f t="shared" si="16"/>
        <v>0</v>
      </c>
      <c r="AY23" s="183">
        <f t="shared" si="17"/>
        <v>0</v>
      </c>
      <c r="AZ23" s="183">
        <f t="shared" si="18"/>
        <v>0</v>
      </c>
      <c r="BA23" s="183">
        <f t="shared" si="19"/>
        <v>0</v>
      </c>
      <c r="BB23" s="183">
        <f>$F23*AG23</f>
        <v>0</v>
      </c>
      <c r="BC23" s="183">
        <f>$F23*AH23</f>
        <v>0</v>
      </c>
    </row>
    <row r="24" spans="1:55" ht="24" customHeight="1" thickBot="1">
      <c r="A24" s="28"/>
      <c r="B24" s="28"/>
      <c r="C24" s="90"/>
      <c r="D24" s="81" t="s">
        <v>9</v>
      </c>
      <c r="E24" s="91"/>
      <c r="F24" s="265"/>
      <c r="G24" s="104"/>
      <c r="H24" s="114" t="s">
        <v>96</v>
      </c>
      <c r="I24" s="185">
        <f>SUM(I6:I23)</f>
        <v>0</v>
      </c>
      <c r="J24" s="81" t="s">
        <v>97</v>
      </c>
      <c r="K24" s="81"/>
      <c r="L24" s="106"/>
      <c r="O24" s="276">
        <f>AJ24</f>
        <v>0</v>
      </c>
      <c r="P24" s="277">
        <f t="shared" ref="P24:AG24" si="21">AK24</f>
        <v>0</v>
      </c>
      <c r="Q24" s="278">
        <f>AL24</f>
        <v>0</v>
      </c>
      <c r="R24" s="278">
        <f t="shared" si="21"/>
        <v>0</v>
      </c>
      <c r="S24" s="278">
        <f t="shared" si="21"/>
        <v>0</v>
      </c>
      <c r="T24" s="278">
        <f t="shared" si="21"/>
        <v>0</v>
      </c>
      <c r="U24" s="278">
        <f t="shared" si="21"/>
        <v>0</v>
      </c>
      <c r="V24" s="279">
        <f t="shared" si="21"/>
        <v>0</v>
      </c>
      <c r="W24" s="279">
        <f t="shared" si="21"/>
        <v>0</v>
      </c>
      <c r="X24" s="279">
        <f t="shared" si="21"/>
        <v>0</v>
      </c>
      <c r="Y24" s="279">
        <f t="shared" si="21"/>
        <v>0</v>
      </c>
      <c r="Z24" s="279">
        <f t="shared" si="21"/>
        <v>0</v>
      </c>
      <c r="AA24" s="279">
        <f t="shared" si="21"/>
        <v>0</v>
      </c>
      <c r="AB24" s="373">
        <f t="shared" si="21"/>
        <v>0</v>
      </c>
      <c r="AC24" s="279">
        <f t="shared" si="21"/>
        <v>0</v>
      </c>
      <c r="AD24" s="276">
        <f t="shared" si="21"/>
        <v>0</v>
      </c>
      <c r="AE24" s="278">
        <f t="shared" si="21"/>
        <v>0</v>
      </c>
      <c r="AF24" s="279">
        <f>BA24</f>
        <v>0</v>
      </c>
      <c r="AG24" s="279">
        <f t="shared" si="21"/>
        <v>0</v>
      </c>
      <c r="AH24" s="279">
        <f>BC24</f>
        <v>0</v>
      </c>
      <c r="AI24" s="472"/>
      <c r="AJ24" s="184">
        <f>SUM(AJ6:AJ23)</f>
        <v>0</v>
      </c>
      <c r="AK24" s="184">
        <f t="shared" ref="AK24:AT24" si="22">SUM(AK6:AK23)</f>
        <v>0</v>
      </c>
      <c r="AL24" s="184">
        <f t="shared" si="22"/>
        <v>0</v>
      </c>
      <c r="AM24" s="184">
        <f t="shared" si="22"/>
        <v>0</v>
      </c>
      <c r="AN24" s="184">
        <f>SUM(AN6:AN23)</f>
        <v>0</v>
      </c>
      <c r="AO24" s="184">
        <f>SUM(AO6:AO23)</f>
        <v>0</v>
      </c>
      <c r="AP24" s="184">
        <f t="shared" si="22"/>
        <v>0</v>
      </c>
      <c r="AQ24" s="184">
        <f t="shared" si="22"/>
        <v>0</v>
      </c>
      <c r="AR24" s="184">
        <f t="shared" si="22"/>
        <v>0</v>
      </c>
      <c r="AS24" s="184">
        <f t="shared" si="22"/>
        <v>0</v>
      </c>
      <c r="AT24" s="184">
        <f t="shared" si="22"/>
        <v>0</v>
      </c>
      <c r="AU24" s="184">
        <f>SUM(AU6:AU23)</f>
        <v>0</v>
      </c>
      <c r="AV24" s="184">
        <f t="shared" ref="AV24:BA24" si="23">SUM(AV6:AV23)</f>
        <v>0</v>
      </c>
      <c r="AW24" s="184">
        <f t="shared" si="23"/>
        <v>0</v>
      </c>
      <c r="AX24" s="184">
        <f t="shared" si="23"/>
        <v>0</v>
      </c>
      <c r="AY24" s="184">
        <f t="shared" si="23"/>
        <v>0</v>
      </c>
      <c r="AZ24" s="184">
        <f t="shared" si="23"/>
        <v>0</v>
      </c>
      <c r="BA24" s="184">
        <f t="shared" si="23"/>
        <v>0</v>
      </c>
      <c r="BB24" s="184">
        <f>SUM(BB6:BB23)</f>
        <v>0</v>
      </c>
      <c r="BC24" s="184">
        <f>SUM(BC6:BC23)</f>
        <v>0</v>
      </c>
    </row>
    <row r="25" spans="1:55" ht="14.25" customHeight="1">
      <c r="E25" s="107" t="s">
        <v>92</v>
      </c>
      <c r="F25" s="108">
        <f>+F2+1</f>
        <v>1</v>
      </c>
      <c r="G25" s="109" t="s">
        <v>93</v>
      </c>
      <c r="H25" s="110">
        <f>+H2</f>
        <v>0</v>
      </c>
      <c r="I25" s="110"/>
      <c r="M25" s="23" t="str">
        <f>IF(A27="","EOL","")</f>
        <v/>
      </c>
      <c r="N25" s="1">
        <f>+F25</f>
        <v>1</v>
      </c>
    </row>
    <row r="26" spans="1:55" ht="26.25" customHeight="1" thickBot="1">
      <c r="C26" s="1389" t="s">
        <v>312</v>
      </c>
      <c r="D26" s="1389"/>
      <c r="E26" s="1389"/>
      <c r="F26" s="1389"/>
      <c r="G26" s="1389"/>
      <c r="H26" s="1389"/>
      <c r="I26" s="1389"/>
      <c r="J26" s="1389"/>
      <c r="K26" s="1389"/>
      <c r="L26" s="1389"/>
      <c r="O26" s="1506" t="s">
        <v>137</v>
      </c>
      <c r="P26" s="1506"/>
      <c r="Q26" s="1506"/>
      <c r="R26" s="1506"/>
      <c r="S26" s="1506"/>
      <c r="T26" s="1506"/>
      <c r="U26" s="1506"/>
      <c r="V26" s="1506"/>
      <c r="W26" s="1506"/>
      <c r="X26" s="1506"/>
      <c r="Y26" s="1506"/>
      <c r="Z26" s="1506"/>
      <c r="AA26" s="1506"/>
      <c r="AB26" s="1506"/>
      <c r="AC26" s="1506"/>
      <c r="AD26" s="1506"/>
      <c r="AE26" s="1506"/>
      <c r="AF26" s="1506"/>
      <c r="AG26" s="1506"/>
      <c r="AH26" s="1507"/>
      <c r="AI26" s="469"/>
    </row>
    <row r="27" spans="1:55" ht="41.25" customHeight="1">
      <c r="A27" s="5" t="s">
        <v>13</v>
      </c>
      <c r="B27" s="5" t="s">
        <v>47</v>
      </c>
      <c r="C27" s="97" t="s">
        <v>0</v>
      </c>
      <c r="D27" s="93"/>
      <c r="E27" s="94" t="s">
        <v>1</v>
      </c>
      <c r="F27" s="95" t="s">
        <v>2</v>
      </c>
      <c r="G27" s="95" t="s">
        <v>3</v>
      </c>
      <c r="H27" s="96" t="s">
        <v>4</v>
      </c>
      <c r="I27" s="96" t="s">
        <v>5</v>
      </c>
      <c r="J27" s="1392" t="s">
        <v>6</v>
      </c>
      <c r="K27" s="1393"/>
      <c r="L27" s="1394"/>
      <c r="O27" s="138" t="s">
        <v>72</v>
      </c>
      <c r="P27" s="334" t="s">
        <v>246</v>
      </c>
      <c r="Q27" s="266" t="s">
        <v>261</v>
      </c>
      <c r="R27" s="266" t="s">
        <v>208</v>
      </c>
      <c r="S27" s="266" t="s">
        <v>209</v>
      </c>
      <c r="T27" s="266" t="s">
        <v>224</v>
      </c>
      <c r="U27" s="266" t="s">
        <v>131</v>
      </c>
      <c r="V27" s="137" t="s">
        <v>130</v>
      </c>
      <c r="W27" s="266" t="s">
        <v>210</v>
      </c>
      <c r="X27" s="200" t="s">
        <v>211</v>
      </c>
      <c r="Y27" s="200" t="s">
        <v>212</v>
      </c>
      <c r="Z27" s="200" t="s">
        <v>213</v>
      </c>
      <c r="AA27" s="200" t="s">
        <v>214</v>
      </c>
      <c r="AB27" s="200" t="s">
        <v>256</v>
      </c>
      <c r="AC27" s="336" t="s">
        <v>265</v>
      </c>
      <c r="AD27" s="337" t="s">
        <v>266</v>
      </c>
      <c r="AE27" s="338" t="s">
        <v>133</v>
      </c>
      <c r="AF27" s="136" t="s">
        <v>136</v>
      </c>
      <c r="AG27" s="136" t="s">
        <v>134</v>
      </c>
      <c r="AH27" s="136" t="s">
        <v>135</v>
      </c>
      <c r="AI27" s="470" t="s">
        <v>2056</v>
      </c>
    </row>
    <row r="28" spans="1:55" ht="24" customHeight="1">
      <c r="A28" s="216">
        <v>1</v>
      </c>
      <c r="B28" s="216">
        <v>1</v>
      </c>
      <c r="C28" s="115" t="s">
        <v>158</v>
      </c>
      <c r="D28" s="187" t="s">
        <v>157</v>
      </c>
      <c r="E28" s="188" t="s">
        <v>160</v>
      </c>
      <c r="F28" s="189">
        <v>1</v>
      </c>
      <c r="G28" s="190" t="s">
        <v>120</v>
      </c>
      <c r="H28" s="79" t="s">
        <v>12</v>
      </c>
      <c r="I28" s="79" t="s">
        <v>12</v>
      </c>
      <c r="J28" s="1514"/>
      <c r="K28" s="1515"/>
      <c r="L28" s="1516"/>
      <c r="O28" s="207"/>
      <c r="P28" s="208"/>
      <c r="Q28" s="209"/>
      <c r="R28" s="209"/>
      <c r="S28" s="209"/>
      <c r="T28" s="209"/>
      <c r="U28" s="209"/>
      <c r="V28" s="209"/>
      <c r="W28" s="209"/>
      <c r="X28" s="210"/>
      <c r="Y28" s="210"/>
      <c r="Z28" s="210"/>
      <c r="AA28" s="210"/>
      <c r="AB28" s="210"/>
      <c r="AC28" s="209"/>
      <c r="AD28" s="339"/>
      <c r="AE28" s="340"/>
      <c r="AF28" s="209"/>
      <c r="AG28" s="209"/>
      <c r="AH28" s="341"/>
      <c r="AI28" s="472"/>
    </row>
    <row r="29" spans="1:55" s="29" customFormat="1" ht="24" customHeight="1">
      <c r="A29" s="28"/>
      <c r="B29" s="28"/>
      <c r="C29" s="111"/>
      <c r="D29" s="332" t="s">
        <v>251</v>
      </c>
      <c r="E29" s="101"/>
      <c r="F29" s="101"/>
      <c r="G29" s="102"/>
      <c r="H29" s="118"/>
      <c r="I29" s="88" t="str">
        <f t="shared" ref="I29:I40" si="24">IF(F29="","",ROUNDDOWN(F29*H29,0))</f>
        <v/>
      </c>
      <c r="J29" s="52"/>
      <c r="K29" s="53"/>
      <c r="L29" s="54"/>
      <c r="O29" s="207"/>
      <c r="P29" s="208"/>
      <c r="Q29" s="209"/>
      <c r="R29" s="209"/>
      <c r="S29" s="209"/>
      <c r="T29" s="209"/>
      <c r="U29" s="209"/>
      <c r="V29" s="209"/>
      <c r="W29" s="209"/>
      <c r="X29" s="210"/>
      <c r="Y29" s="210"/>
      <c r="Z29" s="210"/>
      <c r="AA29" s="210"/>
      <c r="AB29" s="210"/>
      <c r="AC29" s="209"/>
      <c r="AD29" s="339"/>
      <c r="AE29" s="340"/>
      <c r="AF29" s="209"/>
      <c r="AG29" s="209"/>
      <c r="AH29" s="191"/>
      <c r="AI29" s="472"/>
      <c r="AJ29" s="183">
        <f t="shared" ref="AJ29:AJ36" si="25">$F29*O29</f>
        <v>0</v>
      </c>
      <c r="AK29" s="183">
        <f t="shared" ref="AK29:AK46" si="26">$F29*P29</f>
        <v>0</v>
      </c>
      <c r="AL29" s="183">
        <f t="shared" ref="AL29:AL46" si="27">$F29*Q29</f>
        <v>0</v>
      </c>
      <c r="AM29" s="183">
        <f t="shared" ref="AM29:AM46" si="28">$F29*R29</f>
        <v>0</v>
      </c>
      <c r="AN29" s="183">
        <f t="shared" ref="AN29:AN46" si="29">$F29*S29</f>
        <v>0</v>
      </c>
      <c r="AO29" s="183">
        <f t="shared" ref="AO29:AO46" si="30">$F29*T29</f>
        <v>0</v>
      </c>
      <c r="AP29" s="183">
        <f t="shared" ref="AP29:AP46" si="31">$F29*U29</f>
        <v>0</v>
      </c>
      <c r="AQ29" s="183">
        <f t="shared" ref="AQ29:AQ46" si="32">$F29*V29</f>
        <v>0</v>
      </c>
      <c r="AR29" s="183">
        <f t="shared" ref="AR29:AR46" si="33">$F29*W29</f>
        <v>0</v>
      </c>
      <c r="AS29" s="183">
        <f t="shared" ref="AS29:AS46" si="34">$F29*X29</f>
        <v>0</v>
      </c>
      <c r="AT29" s="183">
        <f t="shared" ref="AT29:AT46" si="35">$F29*Y29</f>
        <v>0</v>
      </c>
      <c r="AU29" s="183">
        <f t="shared" ref="AU29:AU46" si="36">$F29*Z29</f>
        <v>0</v>
      </c>
      <c r="AV29" s="183">
        <f t="shared" ref="AV29:AV46" si="37">$F29*AA29</f>
        <v>0</v>
      </c>
      <c r="AW29" s="183">
        <f t="shared" ref="AW29:AW46" si="38">$F29*AB29</f>
        <v>0</v>
      </c>
      <c r="AX29" s="183">
        <f t="shared" ref="AX29:AX46" si="39">$F29*AC29</f>
        <v>0</v>
      </c>
      <c r="AY29" s="183">
        <f t="shared" ref="AY29:AY46" si="40">$F29*AD29</f>
        <v>0</v>
      </c>
      <c r="AZ29" s="183">
        <f t="shared" ref="AZ29:AZ46" si="41">$F29*AE29</f>
        <v>0</v>
      </c>
      <c r="BA29" s="183">
        <f t="shared" ref="BA29:BA46" si="42">$F29*AF29</f>
        <v>0</v>
      </c>
      <c r="BB29" s="183">
        <f t="shared" ref="BB29:BC46" si="43">$F29*AG29</f>
        <v>0</v>
      </c>
      <c r="BC29" s="183">
        <f t="shared" si="43"/>
        <v>0</v>
      </c>
    </row>
    <row r="30" spans="1:55" ht="24" customHeight="1">
      <c r="A30" s="28">
        <v>1</v>
      </c>
      <c r="B30" s="28">
        <v>1</v>
      </c>
      <c r="C30" s="89">
        <v>300901</v>
      </c>
      <c r="D30" s="474" t="s">
        <v>2061</v>
      </c>
      <c r="E30" s="86" t="s">
        <v>2062</v>
      </c>
      <c r="F30" s="101">
        <v>0.4</v>
      </c>
      <c r="G30" s="102" t="s">
        <v>2068</v>
      </c>
      <c r="H30" s="88"/>
      <c r="I30" s="88">
        <f>IF(F30="","",INT(F30*H30))</f>
        <v>0</v>
      </c>
      <c r="J30" s="53" t="s">
        <v>2069</v>
      </c>
      <c r="K30" s="53"/>
      <c r="L30" s="54"/>
      <c r="M30" s="29"/>
      <c r="N30" s="29"/>
      <c r="O30" s="207">
        <v>0</v>
      </c>
      <c r="P30" s="208"/>
      <c r="Q30" s="209"/>
      <c r="R30" s="209"/>
      <c r="S30" s="209"/>
      <c r="T30" s="209"/>
      <c r="U30" s="209"/>
      <c r="V30" s="209"/>
      <c r="W30" s="209"/>
      <c r="X30" s="210"/>
      <c r="Y30" s="210"/>
      <c r="Z30" s="210"/>
      <c r="AA30" s="210"/>
      <c r="AB30" s="210"/>
      <c r="AC30" s="209"/>
      <c r="AD30" s="339"/>
      <c r="AE30" s="340"/>
      <c r="AF30" s="209"/>
      <c r="AG30" s="209"/>
      <c r="AH30" s="191"/>
      <c r="AI30" s="472" t="s">
        <v>1995</v>
      </c>
      <c r="AJ30" s="183">
        <f t="shared" si="25"/>
        <v>0</v>
      </c>
      <c r="AK30" s="183">
        <f t="shared" si="26"/>
        <v>0</v>
      </c>
      <c r="AL30" s="183">
        <f t="shared" si="27"/>
        <v>0</v>
      </c>
      <c r="AM30" s="183">
        <f t="shared" si="28"/>
        <v>0</v>
      </c>
      <c r="AN30" s="183">
        <f t="shared" si="29"/>
        <v>0</v>
      </c>
      <c r="AO30" s="183">
        <f t="shared" si="30"/>
        <v>0</v>
      </c>
      <c r="AP30" s="183">
        <f t="shared" si="31"/>
        <v>0</v>
      </c>
      <c r="AQ30" s="183">
        <f t="shared" si="32"/>
        <v>0</v>
      </c>
      <c r="AR30" s="183">
        <f t="shared" si="33"/>
        <v>0</v>
      </c>
      <c r="AS30" s="183">
        <f t="shared" si="34"/>
        <v>0</v>
      </c>
      <c r="AT30" s="183">
        <f t="shared" si="35"/>
        <v>0</v>
      </c>
      <c r="AU30" s="183">
        <f t="shared" si="36"/>
        <v>0</v>
      </c>
      <c r="AV30" s="183">
        <f t="shared" si="37"/>
        <v>0</v>
      </c>
      <c r="AW30" s="183">
        <f t="shared" si="38"/>
        <v>0</v>
      </c>
      <c r="AX30" s="183">
        <f t="shared" si="39"/>
        <v>0</v>
      </c>
      <c r="AY30" s="183">
        <f t="shared" si="40"/>
        <v>0</v>
      </c>
      <c r="AZ30" s="183">
        <f t="shared" si="41"/>
        <v>0</v>
      </c>
      <c r="BA30" s="183">
        <f t="shared" si="42"/>
        <v>0</v>
      </c>
      <c r="BB30" s="183">
        <f t="shared" si="43"/>
        <v>0</v>
      </c>
      <c r="BC30" s="183">
        <f t="shared" si="43"/>
        <v>0</v>
      </c>
    </row>
    <row r="31" spans="1:55" ht="24" customHeight="1">
      <c r="A31" s="28">
        <v>1</v>
      </c>
      <c r="B31" s="28">
        <v>1</v>
      </c>
      <c r="C31" s="89">
        <v>3011</v>
      </c>
      <c r="D31" s="474" t="s">
        <v>2064</v>
      </c>
      <c r="E31" s="86" t="s">
        <v>2065</v>
      </c>
      <c r="F31" s="101">
        <v>0.1</v>
      </c>
      <c r="G31" s="102" t="s">
        <v>2063</v>
      </c>
      <c r="H31" s="88"/>
      <c r="I31" s="88">
        <f>IF(F31="","",INT(F31*H31))</f>
        <v>0</v>
      </c>
      <c r="J31" s="53" t="s">
        <v>2066</v>
      </c>
      <c r="K31" s="53"/>
      <c r="L31" s="54"/>
      <c r="M31" s="29"/>
      <c r="N31" s="29"/>
      <c r="O31" s="207">
        <v>0</v>
      </c>
      <c r="P31" s="208"/>
      <c r="Q31" s="209"/>
      <c r="R31" s="209"/>
      <c r="S31" s="209"/>
      <c r="T31" s="209"/>
      <c r="U31" s="209"/>
      <c r="V31" s="209"/>
      <c r="W31" s="209"/>
      <c r="X31" s="210"/>
      <c r="Y31" s="210"/>
      <c r="Z31" s="210"/>
      <c r="AA31" s="210"/>
      <c r="AB31" s="210"/>
      <c r="AC31" s="209"/>
      <c r="AD31" s="339"/>
      <c r="AE31" s="340"/>
      <c r="AF31" s="209"/>
      <c r="AG31" s="209"/>
      <c r="AH31" s="191"/>
      <c r="AI31" s="472"/>
      <c r="AJ31" s="183">
        <f t="shared" si="25"/>
        <v>0</v>
      </c>
      <c r="AK31" s="183">
        <f t="shared" si="26"/>
        <v>0</v>
      </c>
      <c r="AL31" s="183">
        <f t="shared" si="27"/>
        <v>0</v>
      </c>
      <c r="AM31" s="183">
        <f t="shared" si="28"/>
        <v>0</v>
      </c>
      <c r="AN31" s="183">
        <f t="shared" si="29"/>
        <v>0</v>
      </c>
      <c r="AO31" s="183">
        <f t="shared" si="30"/>
        <v>0</v>
      </c>
      <c r="AP31" s="183">
        <f t="shared" si="31"/>
        <v>0</v>
      </c>
      <c r="AQ31" s="183">
        <f t="shared" si="32"/>
        <v>0</v>
      </c>
      <c r="AR31" s="183">
        <f t="shared" si="33"/>
        <v>0</v>
      </c>
      <c r="AS31" s="183">
        <f t="shared" si="34"/>
        <v>0</v>
      </c>
      <c r="AT31" s="183">
        <f t="shared" si="35"/>
        <v>0</v>
      </c>
      <c r="AU31" s="183">
        <f t="shared" si="36"/>
        <v>0</v>
      </c>
      <c r="AV31" s="183">
        <f t="shared" si="37"/>
        <v>0</v>
      </c>
      <c r="AW31" s="183">
        <f t="shared" si="38"/>
        <v>0</v>
      </c>
      <c r="AX31" s="183">
        <f t="shared" si="39"/>
        <v>0</v>
      </c>
      <c r="AY31" s="183">
        <f t="shared" si="40"/>
        <v>0</v>
      </c>
      <c r="AZ31" s="183">
        <f t="shared" si="41"/>
        <v>0</v>
      </c>
      <c r="BA31" s="183">
        <f t="shared" si="42"/>
        <v>0</v>
      </c>
      <c r="BB31" s="183">
        <f t="shared" si="43"/>
        <v>0</v>
      </c>
      <c r="BC31" s="183">
        <f t="shared" si="43"/>
        <v>0</v>
      </c>
    </row>
    <row r="32" spans="1:55" ht="24" customHeight="1">
      <c r="A32" s="28">
        <v>1</v>
      </c>
      <c r="B32" s="28">
        <v>1</v>
      </c>
      <c r="C32" s="89">
        <v>301004</v>
      </c>
      <c r="D32" s="372" t="s">
        <v>161</v>
      </c>
      <c r="E32" s="86" t="s">
        <v>162</v>
      </c>
      <c r="F32" s="101">
        <v>0.3</v>
      </c>
      <c r="G32" s="102" t="s">
        <v>65</v>
      </c>
      <c r="H32" s="88"/>
      <c r="I32" s="88">
        <f t="shared" si="24"/>
        <v>0</v>
      </c>
      <c r="J32" s="53"/>
      <c r="K32" s="53"/>
      <c r="L32" s="54"/>
      <c r="M32" s="29"/>
      <c r="N32" s="29"/>
      <c r="O32" s="207"/>
      <c r="P32" s="208"/>
      <c r="Q32" s="209"/>
      <c r="R32" s="209"/>
      <c r="S32" s="209"/>
      <c r="T32" s="209"/>
      <c r="U32" s="209"/>
      <c r="V32" s="209"/>
      <c r="W32" s="209"/>
      <c r="X32" s="210"/>
      <c r="Y32" s="210"/>
      <c r="Z32" s="210"/>
      <c r="AA32" s="210"/>
      <c r="AB32" s="210"/>
      <c r="AC32" s="209"/>
      <c r="AD32" s="339"/>
      <c r="AE32" s="340"/>
      <c r="AF32" s="209"/>
      <c r="AG32" s="209"/>
      <c r="AH32" s="191"/>
      <c r="AI32" s="472"/>
      <c r="AJ32" s="183">
        <f t="shared" si="25"/>
        <v>0</v>
      </c>
      <c r="AK32" s="183">
        <f t="shared" si="26"/>
        <v>0</v>
      </c>
      <c r="AL32" s="183">
        <f t="shared" si="27"/>
        <v>0</v>
      </c>
      <c r="AM32" s="183">
        <f t="shared" si="28"/>
        <v>0</v>
      </c>
      <c r="AN32" s="183">
        <f>$F32*S32</f>
        <v>0</v>
      </c>
      <c r="AO32" s="183">
        <f t="shared" si="30"/>
        <v>0</v>
      </c>
      <c r="AP32" s="183">
        <f t="shared" si="31"/>
        <v>0</v>
      </c>
      <c r="AQ32" s="183">
        <f t="shared" si="32"/>
        <v>0</v>
      </c>
      <c r="AR32" s="183">
        <f t="shared" si="33"/>
        <v>0</v>
      </c>
      <c r="AS32" s="183">
        <f t="shared" si="34"/>
        <v>0</v>
      </c>
      <c r="AT32" s="183">
        <f t="shared" si="35"/>
        <v>0</v>
      </c>
      <c r="AU32" s="183">
        <f t="shared" si="36"/>
        <v>0</v>
      </c>
      <c r="AV32" s="183">
        <f t="shared" si="37"/>
        <v>0</v>
      </c>
      <c r="AW32" s="183">
        <f t="shared" si="38"/>
        <v>0</v>
      </c>
      <c r="AX32" s="183">
        <f t="shared" si="39"/>
        <v>0</v>
      </c>
      <c r="AY32" s="183">
        <f t="shared" si="40"/>
        <v>0</v>
      </c>
      <c r="AZ32" s="183">
        <f t="shared" si="41"/>
        <v>0</v>
      </c>
      <c r="BA32" s="183">
        <f t="shared" si="42"/>
        <v>0</v>
      </c>
      <c r="BB32" s="183">
        <f t="shared" si="43"/>
        <v>0</v>
      </c>
      <c r="BC32" s="183">
        <f t="shared" si="43"/>
        <v>0</v>
      </c>
    </row>
    <row r="33" spans="1:55" ht="24" customHeight="1">
      <c r="A33" s="28">
        <v>1</v>
      </c>
      <c r="B33" s="28">
        <v>1</v>
      </c>
      <c r="C33" s="89">
        <v>3045</v>
      </c>
      <c r="D33" s="372" t="s">
        <v>163</v>
      </c>
      <c r="E33" s="86" t="s">
        <v>164</v>
      </c>
      <c r="F33" s="101">
        <v>0.3</v>
      </c>
      <c r="G33" s="102" t="s">
        <v>65</v>
      </c>
      <c r="H33" s="88"/>
      <c r="I33" s="88">
        <f t="shared" si="24"/>
        <v>0</v>
      </c>
      <c r="J33" s="53"/>
      <c r="K33" s="53"/>
      <c r="L33" s="54"/>
      <c r="M33" s="29"/>
      <c r="N33" s="29"/>
      <c r="O33" s="207"/>
      <c r="P33" s="208"/>
      <c r="Q33" s="209"/>
      <c r="R33" s="209"/>
      <c r="S33" s="209"/>
      <c r="T33" s="209"/>
      <c r="U33" s="209"/>
      <c r="V33" s="209"/>
      <c r="W33" s="209"/>
      <c r="X33" s="210"/>
      <c r="Y33" s="210"/>
      <c r="Z33" s="210"/>
      <c r="AA33" s="210"/>
      <c r="AB33" s="210"/>
      <c r="AC33" s="209"/>
      <c r="AD33" s="339"/>
      <c r="AE33" s="340"/>
      <c r="AF33" s="209"/>
      <c r="AG33" s="209"/>
      <c r="AH33" s="191"/>
      <c r="AI33" s="472"/>
      <c r="AJ33" s="183">
        <f t="shared" si="25"/>
        <v>0</v>
      </c>
      <c r="AK33" s="183">
        <f t="shared" si="26"/>
        <v>0</v>
      </c>
      <c r="AL33" s="183">
        <f t="shared" si="27"/>
        <v>0</v>
      </c>
      <c r="AM33" s="183">
        <f t="shared" si="28"/>
        <v>0</v>
      </c>
      <c r="AN33" s="183">
        <f t="shared" si="29"/>
        <v>0</v>
      </c>
      <c r="AO33" s="183">
        <f t="shared" si="30"/>
        <v>0</v>
      </c>
      <c r="AP33" s="183">
        <f t="shared" si="31"/>
        <v>0</v>
      </c>
      <c r="AQ33" s="183">
        <f t="shared" si="32"/>
        <v>0</v>
      </c>
      <c r="AR33" s="183">
        <f t="shared" si="33"/>
        <v>0</v>
      </c>
      <c r="AS33" s="183">
        <f t="shared" si="34"/>
        <v>0</v>
      </c>
      <c r="AT33" s="183">
        <f t="shared" si="35"/>
        <v>0</v>
      </c>
      <c r="AU33" s="183">
        <f t="shared" si="36"/>
        <v>0</v>
      </c>
      <c r="AV33" s="183">
        <f t="shared" si="37"/>
        <v>0</v>
      </c>
      <c r="AW33" s="183">
        <f t="shared" si="38"/>
        <v>0</v>
      </c>
      <c r="AX33" s="183">
        <f t="shared" si="39"/>
        <v>0</v>
      </c>
      <c r="AY33" s="183">
        <f t="shared" si="40"/>
        <v>0</v>
      </c>
      <c r="AZ33" s="183">
        <f t="shared" si="41"/>
        <v>0</v>
      </c>
      <c r="BA33" s="183">
        <f t="shared" si="42"/>
        <v>0</v>
      </c>
      <c r="BB33" s="183">
        <f t="shared" si="43"/>
        <v>0</v>
      </c>
      <c r="BC33" s="183">
        <f t="shared" si="43"/>
        <v>0</v>
      </c>
    </row>
    <row r="34" spans="1:55" ht="24" customHeight="1">
      <c r="A34" s="28">
        <v>1</v>
      </c>
      <c r="B34" s="28">
        <v>1</v>
      </c>
      <c r="C34" s="89">
        <v>102</v>
      </c>
      <c r="D34" s="372" t="s">
        <v>165</v>
      </c>
      <c r="E34" s="86" t="s">
        <v>79</v>
      </c>
      <c r="F34" s="101">
        <v>0.01</v>
      </c>
      <c r="G34" s="102" t="s">
        <v>166</v>
      </c>
      <c r="H34" s="88"/>
      <c r="I34" s="88">
        <f t="shared" si="24"/>
        <v>0</v>
      </c>
      <c r="J34" s="53"/>
      <c r="K34" s="53"/>
      <c r="L34" s="54"/>
      <c r="M34" s="29"/>
      <c r="N34" s="29"/>
      <c r="O34" s="207"/>
      <c r="P34" s="208"/>
      <c r="Q34" s="209"/>
      <c r="R34" s="209"/>
      <c r="S34" s="209"/>
      <c r="T34" s="209"/>
      <c r="U34" s="209"/>
      <c r="V34" s="209"/>
      <c r="W34" s="209"/>
      <c r="X34" s="210"/>
      <c r="Y34" s="210"/>
      <c r="Z34" s="210"/>
      <c r="AA34" s="210"/>
      <c r="AB34" s="210"/>
      <c r="AC34" s="209"/>
      <c r="AD34" s="339"/>
      <c r="AE34" s="340"/>
      <c r="AF34" s="209"/>
      <c r="AG34" s="209"/>
      <c r="AH34" s="191"/>
      <c r="AI34" s="472"/>
      <c r="AJ34" s="183">
        <f t="shared" si="25"/>
        <v>0</v>
      </c>
      <c r="AK34" s="183">
        <f t="shared" si="26"/>
        <v>0</v>
      </c>
      <c r="AL34" s="183">
        <f t="shared" si="27"/>
        <v>0</v>
      </c>
      <c r="AM34" s="183">
        <f t="shared" si="28"/>
        <v>0</v>
      </c>
      <c r="AN34" s="183">
        <f t="shared" si="29"/>
        <v>0</v>
      </c>
      <c r="AO34" s="183">
        <f t="shared" si="30"/>
        <v>0</v>
      </c>
      <c r="AP34" s="183">
        <f t="shared" si="31"/>
        <v>0</v>
      </c>
      <c r="AQ34" s="183">
        <f t="shared" si="32"/>
        <v>0</v>
      </c>
      <c r="AR34" s="183">
        <f t="shared" si="33"/>
        <v>0</v>
      </c>
      <c r="AS34" s="183">
        <f t="shared" si="34"/>
        <v>0</v>
      </c>
      <c r="AT34" s="183">
        <f t="shared" si="35"/>
        <v>0</v>
      </c>
      <c r="AU34" s="183">
        <f t="shared" si="36"/>
        <v>0</v>
      </c>
      <c r="AV34" s="183">
        <f t="shared" si="37"/>
        <v>0</v>
      </c>
      <c r="AW34" s="183">
        <f t="shared" si="38"/>
        <v>0</v>
      </c>
      <c r="AX34" s="183">
        <f t="shared" si="39"/>
        <v>0</v>
      </c>
      <c r="AY34" s="183">
        <f t="shared" si="40"/>
        <v>0</v>
      </c>
      <c r="AZ34" s="183">
        <f t="shared" si="41"/>
        <v>0</v>
      </c>
      <c r="BA34" s="183">
        <f t="shared" si="42"/>
        <v>0</v>
      </c>
      <c r="BB34" s="183">
        <f t="shared" si="43"/>
        <v>0</v>
      </c>
      <c r="BC34" s="183">
        <f t="shared" si="43"/>
        <v>0</v>
      </c>
    </row>
    <row r="35" spans="1:55" s="29" customFormat="1" ht="24" customHeight="1">
      <c r="A35" s="28">
        <v>1</v>
      </c>
      <c r="B35" s="28">
        <v>1</v>
      </c>
      <c r="C35" s="89">
        <v>411102</v>
      </c>
      <c r="D35" s="372" t="s">
        <v>167</v>
      </c>
      <c r="E35" s="86" t="s">
        <v>168</v>
      </c>
      <c r="F35" s="101">
        <v>0.01</v>
      </c>
      <c r="G35" s="102" t="s">
        <v>166</v>
      </c>
      <c r="H35" s="88"/>
      <c r="I35" s="88">
        <f t="shared" si="24"/>
        <v>0</v>
      </c>
      <c r="J35" s="53"/>
      <c r="K35" s="53"/>
      <c r="L35" s="54"/>
      <c r="O35" s="207"/>
      <c r="P35" s="208"/>
      <c r="Q35" s="209"/>
      <c r="R35" s="209"/>
      <c r="S35" s="209"/>
      <c r="T35" s="209"/>
      <c r="U35" s="209"/>
      <c r="V35" s="209"/>
      <c r="W35" s="209"/>
      <c r="X35" s="210"/>
      <c r="Y35" s="210"/>
      <c r="Z35" s="210"/>
      <c r="AA35" s="210"/>
      <c r="AB35" s="210"/>
      <c r="AC35" s="209"/>
      <c r="AD35" s="339"/>
      <c r="AE35" s="340"/>
      <c r="AF35" s="209"/>
      <c r="AG35" s="209"/>
      <c r="AH35" s="191"/>
      <c r="AI35" s="472"/>
      <c r="AJ35" s="183">
        <f t="shared" si="25"/>
        <v>0</v>
      </c>
      <c r="AK35" s="183">
        <f t="shared" si="26"/>
        <v>0</v>
      </c>
      <c r="AL35" s="183">
        <f t="shared" si="27"/>
        <v>0</v>
      </c>
      <c r="AM35" s="183">
        <f t="shared" si="28"/>
        <v>0</v>
      </c>
      <c r="AN35" s="183">
        <f t="shared" si="29"/>
        <v>0</v>
      </c>
      <c r="AO35" s="183">
        <f t="shared" si="30"/>
        <v>0</v>
      </c>
      <c r="AP35" s="183">
        <f t="shared" si="31"/>
        <v>0</v>
      </c>
      <c r="AQ35" s="183">
        <f t="shared" si="32"/>
        <v>0</v>
      </c>
      <c r="AR35" s="183">
        <f t="shared" si="33"/>
        <v>0</v>
      </c>
      <c r="AS35" s="183">
        <f t="shared" si="34"/>
        <v>0</v>
      </c>
      <c r="AT35" s="183">
        <f t="shared" si="35"/>
        <v>0</v>
      </c>
      <c r="AU35" s="183">
        <f t="shared" si="36"/>
        <v>0</v>
      </c>
      <c r="AV35" s="183">
        <f t="shared" si="37"/>
        <v>0</v>
      </c>
      <c r="AW35" s="183">
        <f t="shared" si="38"/>
        <v>0</v>
      </c>
      <c r="AX35" s="183">
        <f t="shared" si="39"/>
        <v>0</v>
      </c>
      <c r="AY35" s="183">
        <f t="shared" si="40"/>
        <v>0</v>
      </c>
      <c r="AZ35" s="183">
        <f t="shared" si="41"/>
        <v>0</v>
      </c>
      <c r="BA35" s="183">
        <f t="shared" si="42"/>
        <v>0</v>
      </c>
      <c r="BB35" s="183">
        <f t="shared" si="43"/>
        <v>0</v>
      </c>
      <c r="BC35" s="183">
        <f t="shared" si="43"/>
        <v>0</v>
      </c>
    </row>
    <row r="36" spans="1:55" ht="24" customHeight="1">
      <c r="A36" s="28">
        <v>1</v>
      </c>
      <c r="B36" s="28">
        <v>1</v>
      </c>
      <c r="C36" s="89">
        <v>7022</v>
      </c>
      <c r="D36" s="372" t="s">
        <v>169</v>
      </c>
      <c r="E36" s="86" t="s">
        <v>170</v>
      </c>
      <c r="F36" s="101">
        <v>0.01</v>
      </c>
      <c r="G36" s="102" t="s">
        <v>166</v>
      </c>
      <c r="H36" s="88"/>
      <c r="I36" s="88">
        <f t="shared" si="24"/>
        <v>0</v>
      </c>
      <c r="J36" s="53"/>
      <c r="K36" s="53"/>
      <c r="L36" s="54"/>
      <c r="M36" s="29"/>
      <c r="N36" s="29"/>
      <c r="O36" s="207"/>
      <c r="P36" s="208"/>
      <c r="Q36" s="209"/>
      <c r="R36" s="209"/>
      <c r="S36" s="209"/>
      <c r="T36" s="209"/>
      <c r="U36" s="209"/>
      <c r="V36" s="209"/>
      <c r="W36" s="209"/>
      <c r="X36" s="210"/>
      <c r="Y36" s="210"/>
      <c r="Z36" s="210"/>
      <c r="AA36" s="210"/>
      <c r="AB36" s="210"/>
      <c r="AC36" s="209"/>
      <c r="AD36" s="339"/>
      <c r="AE36" s="340"/>
      <c r="AF36" s="209"/>
      <c r="AG36" s="209"/>
      <c r="AH36" s="191"/>
      <c r="AI36" s="472"/>
      <c r="AJ36" s="183">
        <f t="shared" si="25"/>
        <v>0</v>
      </c>
      <c r="AK36" s="183">
        <f t="shared" si="26"/>
        <v>0</v>
      </c>
      <c r="AL36" s="183">
        <f t="shared" si="27"/>
        <v>0</v>
      </c>
      <c r="AM36" s="183">
        <f t="shared" si="28"/>
        <v>0</v>
      </c>
      <c r="AN36" s="183">
        <f t="shared" si="29"/>
        <v>0</v>
      </c>
      <c r="AO36" s="183">
        <f t="shared" si="30"/>
        <v>0</v>
      </c>
      <c r="AP36" s="183">
        <f t="shared" si="31"/>
        <v>0</v>
      </c>
      <c r="AQ36" s="183">
        <f t="shared" si="32"/>
        <v>0</v>
      </c>
      <c r="AR36" s="183">
        <f t="shared" si="33"/>
        <v>0</v>
      </c>
      <c r="AS36" s="183">
        <f t="shared" si="34"/>
        <v>0</v>
      </c>
      <c r="AT36" s="183">
        <f t="shared" si="35"/>
        <v>0</v>
      </c>
      <c r="AU36" s="183">
        <f t="shared" si="36"/>
        <v>0</v>
      </c>
      <c r="AV36" s="183">
        <f t="shared" si="37"/>
        <v>0</v>
      </c>
      <c r="AW36" s="183">
        <f t="shared" si="38"/>
        <v>0</v>
      </c>
      <c r="AX36" s="183">
        <f t="shared" si="39"/>
        <v>0</v>
      </c>
      <c r="AY36" s="183">
        <f t="shared" si="40"/>
        <v>0</v>
      </c>
      <c r="AZ36" s="183">
        <f t="shared" si="41"/>
        <v>0</v>
      </c>
      <c r="BA36" s="183">
        <f t="shared" si="42"/>
        <v>0</v>
      </c>
      <c r="BB36" s="183">
        <f t="shared" si="43"/>
        <v>0</v>
      </c>
      <c r="BC36" s="183">
        <f t="shared" si="43"/>
        <v>0</v>
      </c>
    </row>
    <row r="37" spans="1:55" ht="24" customHeight="1">
      <c r="A37" s="28">
        <v>1</v>
      </c>
      <c r="B37" s="28">
        <v>1</v>
      </c>
      <c r="C37" s="89">
        <v>518200</v>
      </c>
      <c r="D37" s="372" t="s">
        <v>171</v>
      </c>
      <c r="E37" s="196" t="s">
        <v>183</v>
      </c>
      <c r="F37" s="101">
        <v>0.2</v>
      </c>
      <c r="G37" s="102" t="s">
        <v>65</v>
      </c>
      <c r="H37" s="88"/>
      <c r="I37" s="88">
        <f t="shared" si="24"/>
        <v>0</v>
      </c>
      <c r="J37" s="53" t="s">
        <v>172</v>
      </c>
      <c r="K37" s="53"/>
      <c r="L37" s="54"/>
      <c r="M37" s="29"/>
      <c r="N37" s="29"/>
      <c r="O37" s="207"/>
      <c r="P37" s="208"/>
      <c r="Q37" s="209"/>
      <c r="R37" s="209"/>
      <c r="S37" s="209"/>
      <c r="T37" s="209"/>
      <c r="U37" s="209"/>
      <c r="V37" s="209"/>
      <c r="W37" s="209"/>
      <c r="X37" s="210"/>
      <c r="Y37" s="210"/>
      <c r="Z37" s="210"/>
      <c r="AA37" s="210"/>
      <c r="AB37" s="210"/>
      <c r="AC37" s="209"/>
      <c r="AD37" s="339"/>
      <c r="AE37" s="340"/>
      <c r="AF37" s="209"/>
      <c r="AG37" s="209"/>
      <c r="AH37" s="191"/>
      <c r="AI37" s="472"/>
      <c r="AJ37" s="183">
        <f t="shared" ref="AJ37:AJ46" si="44">$F37*O37</f>
        <v>0</v>
      </c>
      <c r="AK37" s="183">
        <f t="shared" si="26"/>
        <v>0</v>
      </c>
      <c r="AL37" s="183">
        <f t="shared" si="27"/>
        <v>0</v>
      </c>
      <c r="AM37" s="183">
        <f t="shared" si="28"/>
        <v>0</v>
      </c>
      <c r="AN37" s="183">
        <f t="shared" si="29"/>
        <v>0</v>
      </c>
      <c r="AO37" s="183">
        <f t="shared" si="30"/>
        <v>0</v>
      </c>
      <c r="AP37" s="183">
        <f t="shared" si="31"/>
        <v>0</v>
      </c>
      <c r="AQ37" s="183">
        <f t="shared" si="32"/>
        <v>0</v>
      </c>
      <c r="AR37" s="183">
        <f t="shared" si="33"/>
        <v>0</v>
      </c>
      <c r="AS37" s="183">
        <f t="shared" si="34"/>
        <v>0</v>
      </c>
      <c r="AT37" s="183">
        <f t="shared" si="35"/>
        <v>0</v>
      </c>
      <c r="AU37" s="183">
        <f t="shared" si="36"/>
        <v>0</v>
      </c>
      <c r="AV37" s="183">
        <f t="shared" si="37"/>
        <v>0</v>
      </c>
      <c r="AW37" s="183">
        <f t="shared" si="38"/>
        <v>0</v>
      </c>
      <c r="AX37" s="183">
        <f t="shared" si="39"/>
        <v>0</v>
      </c>
      <c r="AY37" s="183">
        <f t="shared" si="40"/>
        <v>0</v>
      </c>
      <c r="AZ37" s="183">
        <f t="shared" si="41"/>
        <v>0</v>
      </c>
      <c r="BA37" s="183">
        <f t="shared" si="42"/>
        <v>0</v>
      </c>
      <c r="BB37" s="183">
        <f t="shared" si="43"/>
        <v>0</v>
      </c>
      <c r="BC37" s="183">
        <f t="shared" si="43"/>
        <v>0</v>
      </c>
    </row>
    <row r="38" spans="1:55" s="29" customFormat="1" ht="24" customHeight="1">
      <c r="A38" s="28">
        <v>1</v>
      </c>
      <c r="B38" s="28">
        <v>1</v>
      </c>
      <c r="C38" s="89">
        <v>5008</v>
      </c>
      <c r="D38" s="372" t="s">
        <v>173</v>
      </c>
      <c r="E38" s="86" t="s">
        <v>174</v>
      </c>
      <c r="F38" s="101">
        <v>0.2</v>
      </c>
      <c r="G38" s="102" t="s">
        <v>65</v>
      </c>
      <c r="H38" s="88"/>
      <c r="I38" s="88">
        <f t="shared" si="24"/>
        <v>0</v>
      </c>
      <c r="J38" s="53"/>
      <c r="K38" s="53"/>
      <c r="L38" s="54"/>
      <c r="O38" s="207"/>
      <c r="P38" s="208"/>
      <c r="Q38" s="209"/>
      <c r="R38" s="209"/>
      <c r="S38" s="209"/>
      <c r="T38" s="209"/>
      <c r="U38" s="209"/>
      <c r="V38" s="209"/>
      <c r="W38" s="209"/>
      <c r="X38" s="210"/>
      <c r="Y38" s="210"/>
      <c r="Z38" s="210"/>
      <c r="AA38" s="210"/>
      <c r="AB38" s="210"/>
      <c r="AC38" s="209"/>
      <c r="AD38" s="339"/>
      <c r="AE38" s="340"/>
      <c r="AF38" s="209"/>
      <c r="AG38" s="209"/>
      <c r="AH38" s="191"/>
      <c r="AI38" s="472"/>
      <c r="AJ38" s="183">
        <f t="shared" si="44"/>
        <v>0</v>
      </c>
      <c r="AK38" s="183">
        <f t="shared" si="26"/>
        <v>0</v>
      </c>
      <c r="AL38" s="183">
        <f t="shared" si="27"/>
        <v>0</v>
      </c>
      <c r="AM38" s="183">
        <f t="shared" si="28"/>
        <v>0</v>
      </c>
      <c r="AN38" s="183">
        <f t="shared" si="29"/>
        <v>0</v>
      </c>
      <c r="AO38" s="183">
        <f t="shared" si="30"/>
        <v>0</v>
      </c>
      <c r="AP38" s="183">
        <f t="shared" si="31"/>
        <v>0</v>
      </c>
      <c r="AQ38" s="183">
        <f t="shared" si="32"/>
        <v>0</v>
      </c>
      <c r="AR38" s="183">
        <f t="shared" si="33"/>
        <v>0</v>
      </c>
      <c r="AS38" s="183">
        <f t="shared" si="34"/>
        <v>0</v>
      </c>
      <c r="AT38" s="183">
        <f t="shared" si="35"/>
        <v>0</v>
      </c>
      <c r="AU38" s="183">
        <f t="shared" si="36"/>
        <v>0</v>
      </c>
      <c r="AV38" s="183">
        <f t="shared" si="37"/>
        <v>0</v>
      </c>
      <c r="AW38" s="183">
        <f t="shared" si="38"/>
        <v>0</v>
      </c>
      <c r="AX38" s="183">
        <f t="shared" si="39"/>
        <v>0</v>
      </c>
      <c r="AY38" s="183">
        <f t="shared" si="40"/>
        <v>0</v>
      </c>
      <c r="AZ38" s="183">
        <f t="shared" si="41"/>
        <v>0</v>
      </c>
      <c r="BA38" s="183">
        <f t="shared" si="42"/>
        <v>0</v>
      </c>
      <c r="BB38" s="183">
        <f t="shared" si="43"/>
        <v>0</v>
      </c>
      <c r="BC38" s="183">
        <f t="shared" si="43"/>
        <v>0</v>
      </c>
    </row>
    <row r="39" spans="1:55" ht="24" customHeight="1">
      <c r="A39" s="28">
        <v>1</v>
      </c>
      <c r="B39" s="28">
        <v>1</v>
      </c>
      <c r="C39" s="89">
        <v>6001</v>
      </c>
      <c r="D39" s="372" t="s">
        <v>175</v>
      </c>
      <c r="E39" s="86" t="s">
        <v>174</v>
      </c>
      <c r="F39" s="101">
        <v>0.2</v>
      </c>
      <c r="G39" s="102" t="s">
        <v>146</v>
      </c>
      <c r="H39" s="88"/>
      <c r="I39" s="88">
        <f t="shared" si="24"/>
        <v>0</v>
      </c>
      <c r="J39" s="53"/>
      <c r="K39" s="53"/>
      <c r="L39" s="54"/>
      <c r="M39" s="29"/>
      <c r="N39" s="29"/>
      <c r="O39" s="207"/>
      <c r="P39" s="208"/>
      <c r="Q39" s="209"/>
      <c r="R39" s="209"/>
      <c r="S39" s="209"/>
      <c r="T39" s="209"/>
      <c r="U39" s="209"/>
      <c r="V39" s="209"/>
      <c r="W39" s="209"/>
      <c r="X39" s="210"/>
      <c r="Y39" s="210"/>
      <c r="Z39" s="210"/>
      <c r="AA39" s="210"/>
      <c r="AB39" s="210"/>
      <c r="AC39" s="209"/>
      <c r="AD39" s="339"/>
      <c r="AE39" s="340"/>
      <c r="AF39" s="209"/>
      <c r="AG39" s="209"/>
      <c r="AH39" s="191"/>
      <c r="AI39" s="472"/>
      <c r="AJ39" s="183">
        <f t="shared" si="44"/>
        <v>0</v>
      </c>
      <c r="AK39" s="183">
        <f t="shared" si="26"/>
        <v>0</v>
      </c>
      <c r="AL39" s="183">
        <f t="shared" si="27"/>
        <v>0</v>
      </c>
      <c r="AM39" s="183">
        <f t="shared" si="28"/>
        <v>0</v>
      </c>
      <c r="AN39" s="183">
        <f t="shared" si="29"/>
        <v>0</v>
      </c>
      <c r="AO39" s="183">
        <f t="shared" si="30"/>
        <v>0</v>
      </c>
      <c r="AP39" s="183">
        <f t="shared" si="31"/>
        <v>0</v>
      </c>
      <c r="AQ39" s="183">
        <f t="shared" si="32"/>
        <v>0</v>
      </c>
      <c r="AR39" s="183">
        <f t="shared" si="33"/>
        <v>0</v>
      </c>
      <c r="AS39" s="183">
        <f t="shared" si="34"/>
        <v>0</v>
      </c>
      <c r="AT39" s="183">
        <f t="shared" si="35"/>
        <v>0</v>
      </c>
      <c r="AU39" s="183">
        <f t="shared" si="36"/>
        <v>0</v>
      </c>
      <c r="AV39" s="183">
        <f t="shared" si="37"/>
        <v>0</v>
      </c>
      <c r="AW39" s="183">
        <f t="shared" si="38"/>
        <v>0</v>
      </c>
      <c r="AX39" s="183">
        <f t="shared" si="39"/>
        <v>0</v>
      </c>
      <c r="AY39" s="183">
        <f t="shared" si="40"/>
        <v>0</v>
      </c>
      <c r="AZ39" s="183">
        <f t="shared" si="41"/>
        <v>0</v>
      </c>
      <c r="BA39" s="183">
        <f t="shared" si="42"/>
        <v>0</v>
      </c>
      <c r="BB39" s="183">
        <f t="shared" si="43"/>
        <v>0</v>
      </c>
      <c r="BC39" s="183">
        <f t="shared" si="43"/>
        <v>0</v>
      </c>
    </row>
    <row r="40" spans="1:55" s="29" customFormat="1" ht="24" customHeight="1">
      <c r="A40" s="28">
        <v>1</v>
      </c>
      <c r="B40" s="28">
        <v>1</v>
      </c>
      <c r="C40" s="89">
        <v>6020</v>
      </c>
      <c r="D40" s="372" t="s">
        <v>225</v>
      </c>
      <c r="E40" s="86" t="s">
        <v>176</v>
      </c>
      <c r="F40" s="101">
        <v>0.2</v>
      </c>
      <c r="G40" s="102" t="s">
        <v>177</v>
      </c>
      <c r="H40" s="88"/>
      <c r="I40" s="88">
        <f t="shared" si="24"/>
        <v>0</v>
      </c>
      <c r="J40" s="53" t="s">
        <v>178</v>
      </c>
      <c r="K40" s="53"/>
      <c r="L40" s="54"/>
      <c r="O40" s="207"/>
      <c r="P40" s="208"/>
      <c r="Q40" s="209"/>
      <c r="R40" s="209"/>
      <c r="S40" s="209"/>
      <c r="T40" s="209"/>
      <c r="U40" s="209"/>
      <c r="V40" s="209"/>
      <c r="W40" s="209"/>
      <c r="X40" s="210"/>
      <c r="Y40" s="210"/>
      <c r="Z40" s="210"/>
      <c r="AA40" s="210"/>
      <c r="AB40" s="210"/>
      <c r="AC40" s="209"/>
      <c r="AD40" s="339"/>
      <c r="AE40" s="340"/>
      <c r="AF40" s="209"/>
      <c r="AG40" s="209"/>
      <c r="AH40" s="191"/>
      <c r="AI40" s="472"/>
      <c r="AJ40" s="183">
        <f t="shared" si="44"/>
        <v>0</v>
      </c>
      <c r="AK40" s="183">
        <f t="shared" si="26"/>
        <v>0</v>
      </c>
      <c r="AL40" s="183">
        <f t="shared" si="27"/>
        <v>0</v>
      </c>
      <c r="AM40" s="183">
        <f t="shared" si="28"/>
        <v>0</v>
      </c>
      <c r="AN40" s="183">
        <f t="shared" si="29"/>
        <v>0</v>
      </c>
      <c r="AO40" s="183">
        <f t="shared" si="30"/>
        <v>0</v>
      </c>
      <c r="AP40" s="183">
        <f t="shared" si="31"/>
        <v>0</v>
      </c>
      <c r="AQ40" s="183">
        <f t="shared" si="32"/>
        <v>0</v>
      </c>
      <c r="AR40" s="183">
        <f t="shared" si="33"/>
        <v>0</v>
      </c>
      <c r="AS40" s="183">
        <f t="shared" si="34"/>
        <v>0</v>
      </c>
      <c r="AT40" s="183">
        <f t="shared" si="35"/>
        <v>0</v>
      </c>
      <c r="AU40" s="183">
        <f t="shared" si="36"/>
        <v>0</v>
      </c>
      <c r="AV40" s="183">
        <f t="shared" si="37"/>
        <v>0</v>
      </c>
      <c r="AW40" s="183">
        <f t="shared" si="38"/>
        <v>0</v>
      </c>
      <c r="AX40" s="183">
        <f t="shared" si="39"/>
        <v>0</v>
      </c>
      <c r="AY40" s="183">
        <f t="shared" si="40"/>
        <v>0</v>
      </c>
      <c r="AZ40" s="183">
        <f t="shared" si="41"/>
        <v>0</v>
      </c>
      <c r="BA40" s="183">
        <f t="shared" si="42"/>
        <v>0</v>
      </c>
      <c r="BB40" s="183">
        <f t="shared" si="43"/>
        <v>0</v>
      </c>
      <c r="BC40" s="183">
        <f t="shared" si="43"/>
        <v>0</v>
      </c>
    </row>
    <row r="41" spans="1:55" s="29" customFormat="1" ht="24" customHeight="1">
      <c r="A41" s="28"/>
      <c r="B41" s="28"/>
      <c r="C41" s="111"/>
      <c r="D41" s="53"/>
      <c r="E41" s="101"/>
      <c r="F41" s="101"/>
      <c r="G41" s="102"/>
      <c r="H41" s="118"/>
      <c r="I41" s="88" t="str">
        <f>IF(F41="","",ROUNDDOWN(F41*H41,0))</f>
        <v/>
      </c>
      <c r="J41" s="52"/>
      <c r="K41" s="53"/>
      <c r="L41" s="54"/>
      <c r="O41" s="207"/>
      <c r="P41" s="208"/>
      <c r="Q41" s="209"/>
      <c r="R41" s="209"/>
      <c r="S41" s="209"/>
      <c r="T41" s="209"/>
      <c r="U41" s="209"/>
      <c r="V41" s="209"/>
      <c r="W41" s="209"/>
      <c r="X41" s="210"/>
      <c r="Y41" s="210"/>
      <c r="Z41" s="210"/>
      <c r="AA41" s="210"/>
      <c r="AB41" s="210"/>
      <c r="AC41" s="209"/>
      <c r="AD41" s="339"/>
      <c r="AE41" s="340"/>
      <c r="AF41" s="209"/>
      <c r="AG41" s="209"/>
      <c r="AH41" s="191"/>
      <c r="AI41" s="472"/>
      <c r="AJ41" s="183">
        <f t="shared" si="44"/>
        <v>0</v>
      </c>
      <c r="AK41" s="183">
        <f t="shared" si="26"/>
        <v>0</v>
      </c>
      <c r="AL41" s="183">
        <f t="shared" si="27"/>
        <v>0</v>
      </c>
      <c r="AM41" s="183">
        <f t="shared" si="28"/>
        <v>0</v>
      </c>
      <c r="AN41" s="183">
        <f t="shared" si="29"/>
        <v>0</v>
      </c>
      <c r="AO41" s="183">
        <f t="shared" si="30"/>
        <v>0</v>
      </c>
      <c r="AP41" s="183">
        <f t="shared" si="31"/>
        <v>0</v>
      </c>
      <c r="AQ41" s="183">
        <f t="shared" si="32"/>
        <v>0</v>
      </c>
      <c r="AR41" s="183">
        <f t="shared" si="33"/>
        <v>0</v>
      </c>
      <c r="AS41" s="183">
        <f t="shared" si="34"/>
        <v>0</v>
      </c>
      <c r="AT41" s="183">
        <f t="shared" si="35"/>
        <v>0</v>
      </c>
      <c r="AU41" s="183">
        <f t="shared" si="36"/>
        <v>0</v>
      </c>
      <c r="AV41" s="183">
        <f t="shared" si="37"/>
        <v>0</v>
      </c>
      <c r="AW41" s="183">
        <f t="shared" si="38"/>
        <v>0</v>
      </c>
      <c r="AX41" s="183">
        <f t="shared" si="39"/>
        <v>0</v>
      </c>
      <c r="AY41" s="183">
        <f t="shared" si="40"/>
        <v>0</v>
      </c>
      <c r="AZ41" s="183">
        <f t="shared" si="41"/>
        <v>0</v>
      </c>
      <c r="BA41" s="183">
        <f t="shared" si="42"/>
        <v>0</v>
      </c>
      <c r="BB41" s="183">
        <f t="shared" si="43"/>
        <v>0</v>
      </c>
      <c r="BC41" s="183">
        <f t="shared" si="43"/>
        <v>0</v>
      </c>
    </row>
    <row r="42" spans="1:55" s="29" customFormat="1" ht="24" customHeight="1">
      <c r="A42" s="28"/>
      <c r="B42" s="28"/>
      <c r="C42" s="111"/>
      <c r="D42" s="332" t="s">
        <v>248</v>
      </c>
      <c r="E42" s="87"/>
      <c r="F42" s="101"/>
      <c r="G42" s="102"/>
      <c r="H42" s="118"/>
      <c r="I42" s="88" t="str">
        <f>IF(F42="","",ROUNDDOWN(F42*H42,0))</f>
        <v/>
      </c>
      <c r="J42" s="52"/>
      <c r="K42" s="53"/>
      <c r="L42" s="54"/>
      <c r="O42" s="207"/>
      <c r="P42" s="208"/>
      <c r="Q42" s="209"/>
      <c r="R42" s="209"/>
      <c r="S42" s="209"/>
      <c r="T42" s="209"/>
      <c r="U42" s="209"/>
      <c r="V42" s="209"/>
      <c r="W42" s="209"/>
      <c r="X42" s="210"/>
      <c r="Y42" s="210"/>
      <c r="Z42" s="210"/>
      <c r="AA42" s="210"/>
      <c r="AB42" s="210"/>
      <c r="AC42" s="209"/>
      <c r="AD42" s="339"/>
      <c r="AE42" s="340"/>
      <c r="AF42" s="209"/>
      <c r="AG42" s="209"/>
      <c r="AH42" s="191"/>
      <c r="AI42" s="472"/>
      <c r="AJ42" s="183">
        <f t="shared" si="44"/>
        <v>0</v>
      </c>
      <c r="AK42" s="183">
        <f t="shared" si="26"/>
        <v>0</v>
      </c>
      <c r="AL42" s="183">
        <f t="shared" si="27"/>
        <v>0</v>
      </c>
      <c r="AM42" s="183">
        <f t="shared" si="28"/>
        <v>0</v>
      </c>
      <c r="AN42" s="183">
        <f t="shared" si="29"/>
        <v>0</v>
      </c>
      <c r="AO42" s="183">
        <f t="shared" si="30"/>
        <v>0</v>
      </c>
      <c r="AP42" s="183">
        <f t="shared" si="31"/>
        <v>0</v>
      </c>
      <c r="AQ42" s="183">
        <f t="shared" si="32"/>
        <v>0</v>
      </c>
      <c r="AR42" s="183">
        <f t="shared" si="33"/>
        <v>0</v>
      </c>
      <c r="AS42" s="183">
        <f t="shared" si="34"/>
        <v>0</v>
      </c>
      <c r="AT42" s="183">
        <f t="shared" si="35"/>
        <v>0</v>
      </c>
      <c r="AU42" s="183">
        <f t="shared" si="36"/>
        <v>0</v>
      </c>
      <c r="AV42" s="183">
        <f t="shared" si="37"/>
        <v>0</v>
      </c>
      <c r="AW42" s="183">
        <f t="shared" si="38"/>
        <v>0</v>
      </c>
      <c r="AX42" s="183">
        <f t="shared" si="39"/>
        <v>0</v>
      </c>
      <c r="AY42" s="183">
        <f t="shared" si="40"/>
        <v>0</v>
      </c>
      <c r="AZ42" s="183">
        <f t="shared" si="41"/>
        <v>0</v>
      </c>
      <c r="BA42" s="183">
        <f t="shared" si="42"/>
        <v>0</v>
      </c>
      <c r="BB42" s="183">
        <f t="shared" si="43"/>
        <v>0</v>
      </c>
      <c r="BC42" s="183">
        <f t="shared" si="43"/>
        <v>0</v>
      </c>
    </row>
    <row r="43" spans="1:55" s="29" customFormat="1" ht="24" customHeight="1">
      <c r="A43" s="28"/>
      <c r="B43" s="28"/>
      <c r="C43" s="111"/>
      <c r="D43" s="332" t="s">
        <v>249</v>
      </c>
      <c r="E43" s="101"/>
      <c r="F43" s="87"/>
      <c r="G43" s="102"/>
      <c r="H43" s="118"/>
      <c r="I43" s="88" t="str">
        <f>IF(F43="","",ROUNDDOWN(F43*H43,0))</f>
        <v/>
      </c>
      <c r="J43" s="52"/>
      <c r="K43" s="53"/>
      <c r="L43" s="54"/>
      <c r="O43" s="207"/>
      <c r="P43" s="208"/>
      <c r="Q43" s="209"/>
      <c r="R43" s="209"/>
      <c r="S43" s="209"/>
      <c r="T43" s="209"/>
      <c r="U43" s="209"/>
      <c r="V43" s="209"/>
      <c r="W43" s="209"/>
      <c r="X43" s="210"/>
      <c r="Y43" s="210"/>
      <c r="Z43" s="210"/>
      <c r="AA43" s="210"/>
      <c r="AB43" s="210"/>
      <c r="AC43" s="209"/>
      <c r="AD43" s="339"/>
      <c r="AE43" s="340"/>
      <c r="AF43" s="209"/>
      <c r="AG43" s="209"/>
      <c r="AH43" s="191"/>
      <c r="AI43" s="472"/>
      <c r="AJ43" s="183">
        <f t="shared" si="44"/>
        <v>0</v>
      </c>
      <c r="AK43" s="183">
        <f t="shared" si="26"/>
        <v>0</v>
      </c>
      <c r="AL43" s="183">
        <f t="shared" si="27"/>
        <v>0</v>
      </c>
      <c r="AM43" s="183">
        <f t="shared" si="28"/>
        <v>0</v>
      </c>
      <c r="AN43" s="183">
        <f t="shared" si="29"/>
        <v>0</v>
      </c>
      <c r="AO43" s="183">
        <f t="shared" si="30"/>
        <v>0</v>
      </c>
      <c r="AP43" s="183">
        <f t="shared" si="31"/>
        <v>0</v>
      </c>
      <c r="AQ43" s="183">
        <f t="shared" si="32"/>
        <v>0</v>
      </c>
      <c r="AR43" s="183">
        <f t="shared" si="33"/>
        <v>0</v>
      </c>
      <c r="AS43" s="183">
        <f t="shared" si="34"/>
        <v>0</v>
      </c>
      <c r="AT43" s="183">
        <f t="shared" si="35"/>
        <v>0</v>
      </c>
      <c r="AU43" s="183">
        <f t="shared" si="36"/>
        <v>0</v>
      </c>
      <c r="AV43" s="183">
        <f t="shared" si="37"/>
        <v>0</v>
      </c>
      <c r="AW43" s="183">
        <f t="shared" si="38"/>
        <v>0</v>
      </c>
      <c r="AX43" s="183">
        <f t="shared" si="39"/>
        <v>0</v>
      </c>
      <c r="AY43" s="183">
        <f t="shared" si="40"/>
        <v>0</v>
      </c>
      <c r="AZ43" s="183">
        <f t="shared" si="41"/>
        <v>0</v>
      </c>
      <c r="BA43" s="183">
        <f t="shared" si="42"/>
        <v>0</v>
      </c>
      <c r="BB43" s="183">
        <f t="shared" si="43"/>
        <v>0</v>
      </c>
      <c r="BC43" s="183">
        <f t="shared" si="43"/>
        <v>0</v>
      </c>
    </row>
    <row r="44" spans="1:55" s="29" customFormat="1" ht="24" customHeight="1">
      <c r="A44" s="28"/>
      <c r="B44" s="28"/>
      <c r="C44" s="111"/>
      <c r="D44" s="332" t="s">
        <v>250</v>
      </c>
      <c r="E44" s="101"/>
      <c r="F44" s="101"/>
      <c r="G44" s="102"/>
      <c r="H44" s="118"/>
      <c r="I44" s="88"/>
      <c r="J44" s="52"/>
      <c r="K44" s="53"/>
      <c r="L44" s="54"/>
      <c r="O44" s="207"/>
      <c r="P44" s="208"/>
      <c r="Q44" s="209"/>
      <c r="R44" s="209"/>
      <c r="S44" s="209"/>
      <c r="T44" s="209"/>
      <c r="U44" s="209"/>
      <c r="V44" s="209"/>
      <c r="W44" s="209"/>
      <c r="X44" s="210"/>
      <c r="Y44" s="210"/>
      <c r="Z44" s="210"/>
      <c r="AA44" s="210"/>
      <c r="AB44" s="210"/>
      <c r="AC44" s="209"/>
      <c r="AD44" s="339"/>
      <c r="AE44" s="340"/>
      <c r="AF44" s="209"/>
      <c r="AG44" s="209"/>
      <c r="AH44" s="191"/>
      <c r="AI44" s="472"/>
      <c r="AJ44" s="183">
        <f t="shared" si="44"/>
        <v>0</v>
      </c>
      <c r="AK44" s="183">
        <f t="shared" si="26"/>
        <v>0</v>
      </c>
      <c r="AL44" s="183">
        <f t="shared" si="27"/>
        <v>0</v>
      </c>
      <c r="AM44" s="183">
        <f t="shared" si="28"/>
        <v>0</v>
      </c>
      <c r="AN44" s="183">
        <f t="shared" si="29"/>
        <v>0</v>
      </c>
      <c r="AO44" s="183">
        <f t="shared" si="30"/>
        <v>0</v>
      </c>
      <c r="AP44" s="183">
        <f t="shared" si="31"/>
        <v>0</v>
      </c>
      <c r="AQ44" s="183">
        <f t="shared" si="32"/>
        <v>0</v>
      </c>
      <c r="AR44" s="183">
        <f t="shared" si="33"/>
        <v>0</v>
      </c>
      <c r="AS44" s="183">
        <f t="shared" si="34"/>
        <v>0</v>
      </c>
      <c r="AT44" s="183">
        <f t="shared" si="35"/>
        <v>0</v>
      </c>
      <c r="AU44" s="183">
        <f t="shared" si="36"/>
        <v>0</v>
      </c>
      <c r="AV44" s="183">
        <f t="shared" si="37"/>
        <v>0</v>
      </c>
      <c r="AW44" s="183">
        <f t="shared" si="38"/>
        <v>0</v>
      </c>
      <c r="AX44" s="183">
        <f t="shared" si="39"/>
        <v>0</v>
      </c>
      <c r="AY44" s="183">
        <f t="shared" si="40"/>
        <v>0</v>
      </c>
      <c r="AZ44" s="183">
        <f t="shared" si="41"/>
        <v>0</v>
      </c>
      <c r="BA44" s="183">
        <f t="shared" si="42"/>
        <v>0</v>
      </c>
      <c r="BB44" s="183">
        <f t="shared" si="43"/>
        <v>0</v>
      </c>
      <c r="BC44" s="183">
        <f t="shared" si="43"/>
        <v>0</v>
      </c>
    </row>
    <row r="45" spans="1:55" s="29" customFormat="1" ht="24" customHeight="1">
      <c r="A45" s="28"/>
      <c r="B45" s="28"/>
      <c r="C45" s="111"/>
      <c r="D45" s="112"/>
      <c r="E45" s="333" t="s">
        <v>184</v>
      </c>
      <c r="F45" s="101"/>
      <c r="G45" s="102"/>
      <c r="H45" s="118"/>
      <c r="I45" s="88" t="str">
        <f>IF(F45="","",ROUNDDOWN(F45*H45,0))</f>
        <v/>
      </c>
      <c r="J45" s="52"/>
      <c r="K45" s="53"/>
      <c r="L45" s="54"/>
      <c r="O45" s="207"/>
      <c r="P45" s="208"/>
      <c r="Q45" s="209"/>
      <c r="R45" s="209"/>
      <c r="S45" s="209"/>
      <c r="T45" s="209"/>
      <c r="U45" s="209"/>
      <c r="V45" s="209"/>
      <c r="W45" s="209"/>
      <c r="X45" s="210"/>
      <c r="Y45" s="210"/>
      <c r="Z45" s="210"/>
      <c r="AA45" s="210"/>
      <c r="AB45" s="210"/>
      <c r="AC45" s="209"/>
      <c r="AD45" s="339"/>
      <c r="AE45" s="340"/>
      <c r="AF45" s="209"/>
      <c r="AG45" s="209"/>
      <c r="AH45" s="191"/>
      <c r="AI45" s="472"/>
      <c r="AJ45" s="183">
        <f t="shared" si="44"/>
        <v>0</v>
      </c>
      <c r="AK45" s="183">
        <f t="shared" si="26"/>
        <v>0</v>
      </c>
      <c r="AL45" s="183">
        <f t="shared" si="27"/>
        <v>0</v>
      </c>
      <c r="AM45" s="183">
        <f t="shared" si="28"/>
        <v>0</v>
      </c>
      <c r="AN45" s="183">
        <f t="shared" si="29"/>
        <v>0</v>
      </c>
      <c r="AO45" s="183">
        <f t="shared" si="30"/>
        <v>0</v>
      </c>
      <c r="AP45" s="183">
        <f t="shared" si="31"/>
        <v>0</v>
      </c>
      <c r="AQ45" s="183">
        <f t="shared" si="32"/>
        <v>0</v>
      </c>
      <c r="AR45" s="183">
        <f t="shared" si="33"/>
        <v>0</v>
      </c>
      <c r="AS45" s="183">
        <f t="shared" si="34"/>
        <v>0</v>
      </c>
      <c r="AT45" s="183">
        <f t="shared" si="35"/>
        <v>0</v>
      </c>
      <c r="AU45" s="183">
        <f t="shared" si="36"/>
        <v>0</v>
      </c>
      <c r="AV45" s="183">
        <f t="shared" si="37"/>
        <v>0</v>
      </c>
      <c r="AW45" s="183">
        <f t="shared" si="38"/>
        <v>0</v>
      </c>
      <c r="AX45" s="183">
        <f t="shared" si="39"/>
        <v>0</v>
      </c>
      <c r="AY45" s="183">
        <f t="shared" si="40"/>
        <v>0</v>
      </c>
      <c r="AZ45" s="183">
        <f t="shared" si="41"/>
        <v>0</v>
      </c>
      <c r="BA45" s="183">
        <f t="shared" si="42"/>
        <v>0</v>
      </c>
      <c r="BB45" s="183">
        <f t="shared" si="43"/>
        <v>0</v>
      </c>
      <c r="BC45" s="183">
        <f t="shared" si="43"/>
        <v>0</v>
      </c>
    </row>
    <row r="46" spans="1:55" s="29" customFormat="1" ht="24" customHeight="1">
      <c r="A46" s="28"/>
      <c r="B46" s="28"/>
      <c r="C46" s="111"/>
      <c r="D46" s="112"/>
      <c r="E46" s="333"/>
      <c r="F46" s="101"/>
      <c r="G46" s="102"/>
      <c r="H46" s="118"/>
      <c r="I46" s="88"/>
      <c r="J46" s="52"/>
      <c r="K46" s="53"/>
      <c r="L46" s="54"/>
      <c r="O46" s="207"/>
      <c r="P46" s="208"/>
      <c r="Q46" s="209"/>
      <c r="R46" s="209"/>
      <c r="S46" s="209"/>
      <c r="T46" s="209"/>
      <c r="U46" s="209"/>
      <c r="V46" s="209"/>
      <c r="W46" s="209"/>
      <c r="X46" s="210"/>
      <c r="Y46" s="210"/>
      <c r="Z46" s="210"/>
      <c r="AA46" s="210"/>
      <c r="AB46" s="210"/>
      <c r="AC46" s="209"/>
      <c r="AD46" s="339"/>
      <c r="AE46" s="340"/>
      <c r="AF46" s="209"/>
      <c r="AG46" s="209"/>
      <c r="AH46" s="191"/>
      <c r="AI46" s="472"/>
      <c r="AJ46" s="183">
        <f t="shared" si="44"/>
        <v>0</v>
      </c>
      <c r="AK46" s="183">
        <f t="shared" si="26"/>
        <v>0</v>
      </c>
      <c r="AL46" s="183">
        <f t="shared" si="27"/>
        <v>0</v>
      </c>
      <c r="AM46" s="183">
        <f t="shared" si="28"/>
        <v>0</v>
      </c>
      <c r="AN46" s="183">
        <f t="shared" si="29"/>
        <v>0</v>
      </c>
      <c r="AO46" s="183">
        <f t="shared" si="30"/>
        <v>0</v>
      </c>
      <c r="AP46" s="183">
        <f t="shared" si="31"/>
        <v>0</v>
      </c>
      <c r="AQ46" s="183">
        <f t="shared" si="32"/>
        <v>0</v>
      </c>
      <c r="AR46" s="183">
        <f t="shared" si="33"/>
        <v>0</v>
      </c>
      <c r="AS46" s="183">
        <f t="shared" si="34"/>
        <v>0</v>
      </c>
      <c r="AT46" s="183">
        <f t="shared" si="35"/>
        <v>0</v>
      </c>
      <c r="AU46" s="183">
        <f t="shared" si="36"/>
        <v>0</v>
      </c>
      <c r="AV46" s="183">
        <f t="shared" si="37"/>
        <v>0</v>
      </c>
      <c r="AW46" s="183">
        <f t="shared" si="38"/>
        <v>0</v>
      </c>
      <c r="AX46" s="183">
        <f t="shared" si="39"/>
        <v>0</v>
      </c>
      <c r="AY46" s="183">
        <f t="shared" si="40"/>
        <v>0</v>
      </c>
      <c r="AZ46" s="183">
        <f t="shared" si="41"/>
        <v>0</v>
      </c>
      <c r="BA46" s="183">
        <f t="shared" si="42"/>
        <v>0</v>
      </c>
      <c r="BB46" s="183">
        <f t="shared" si="43"/>
        <v>0</v>
      </c>
      <c r="BC46" s="183">
        <f>$F46*AH46</f>
        <v>0</v>
      </c>
    </row>
    <row r="47" spans="1:55" ht="24" customHeight="1" thickBot="1">
      <c r="A47" s="28"/>
      <c r="B47" s="28"/>
      <c r="C47" s="90"/>
      <c r="D47" s="81" t="s">
        <v>9</v>
      </c>
      <c r="E47" s="91"/>
      <c r="F47" s="265"/>
      <c r="G47" s="104"/>
      <c r="H47" s="114" t="s">
        <v>75</v>
      </c>
      <c r="I47" s="185">
        <f>SUM(I29:I46)</f>
        <v>0</v>
      </c>
      <c r="J47" s="81" t="s">
        <v>76</v>
      </c>
      <c r="K47" s="81"/>
      <c r="L47" s="106"/>
      <c r="N47"/>
      <c r="O47" s="276">
        <f t="shared" ref="O47:AH47" si="45">AJ47</f>
        <v>0</v>
      </c>
      <c r="P47" s="277">
        <f t="shared" si="45"/>
        <v>0</v>
      </c>
      <c r="Q47" s="278">
        <f t="shared" si="45"/>
        <v>0</v>
      </c>
      <c r="R47" s="278">
        <f t="shared" si="45"/>
        <v>0</v>
      </c>
      <c r="S47" s="278">
        <f t="shared" si="45"/>
        <v>0</v>
      </c>
      <c r="T47" s="278">
        <f t="shared" si="45"/>
        <v>0</v>
      </c>
      <c r="U47" s="278">
        <f t="shared" si="45"/>
        <v>0</v>
      </c>
      <c r="V47" s="279">
        <f t="shared" si="45"/>
        <v>0</v>
      </c>
      <c r="W47" s="279">
        <f t="shared" si="45"/>
        <v>0</v>
      </c>
      <c r="X47" s="279">
        <f t="shared" si="45"/>
        <v>0</v>
      </c>
      <c r="Y47" s="279">
        <f t="shared" si="45"/>
        <v>0</v>
      </c>
      <c r="Z47" s="279">
        <f t="shared" si="45"/>
        <v>0</v>
      </c>
      <c r="AA47" s="279">
        <f t="shared" si="45"/>
        <v>0</v>
      </c>
      <c r="AB47" s="373">
        <f t="shared" si="45"/>
        <v>0</v>
      </c>
      <c r="AC47" s="279">
        <f t="shared" si="45"/>
        <v>0</v>
      </c>
      <c r="AD47" s="276">
        <f t="shared" si="45"/>
        <v>0</v>
      </c>
      <c r="AE47" s="278">
        <f t="shared" si="45"/>
        <v>0</v>
      </c>
      <c r="AF47" s="279">
        <f t="shared" si="45"/>
        <v>0</v>
      </c>
      <c r="AG47" s="279">
        <f t="shared" si="45"/>
        <v>0</v>
      </c>
      <c r="AH47" s="279">
        <f t="shared" si="45"/>
        <v>0</v>
      </c>
      <c r="AI47" s="472"/>
      <c r="AJ47" s="184">
        <f t="shared" ref="AJ47:BB47" si="46">SUM(AJ29:AJ46)</f>
        <v>0</v>
      </c>
      <c r="AK47" s="184">
        <f t="shared" si="46"/>
        <v>0</v>
      </c>
      <c r="AL47" s="184">
        <f t="shared" si="46"/>
        <v>0</v>
      </c>
      <c r="AM47" s="184">
        <f t="shared" si="46"/>
        <v>0</v>
      </c>
      <c r="AN47" s="184">
        <f t="shared" si="46"/>
        <v>0</v>
      </c>
      <c r="AO47" s="184">
        <f t="shared" si="46"/>
        <v>0</v>
      </c>
      <c r="AP47" s="184">
        <f t="shared" si="46"/>
        <v>0</v>
      </c>
      <c r="AQ47" s="184">
        <f t="shared" si="46"/>
        <v>0</v>
      </c>
      <c r="AR47" s="184">
        <f t="shared" si="46"/>
        <v>0</v>
      </c>
      <c r="AS47" s="184">
        <f t="shared" si="46"/>
        <v>0</v>
      </c>
      <c r="AT47" s="184">
        <f t="shared" si="46"/>
        <v>0</v>
      </c>
      <c r="AU47" s="184">
        <f t="shared" si="46"/>
        <v>0</v>
      </c>
      <c r="AV47" s="184">
        <f t="shared" si="46"/>
        <v>0</v>
      </c>
      <c r="AW47" s="184">
        <f t="shared" si="46"/>
        <v>0</v>
      </c>
      <c r="AX47" s="184">
        <f t="shared" si="46"/>
        <v>0</v>
      </c>
      <c r="AY47" s="184">
        <f t="shared" si="46"/>
        <v>0</v>
      </c>
      <c r="AZ47" s="184">
        <f t="shared" si="46"/>
        <v>0</v>
      </c>
      <c r="BA47" s="184">
        <f t="shared" si="46"/>
        <v>0</v>
      </c>
      <c r="BB47" s="184">
        <f t="shared" si="46"/>
        <v>0</v>
      </c>
      <c r="BC47" s="184">
        <f>SUM(BC29:BC46)</f>
        <v>0</v>
      </c>
    </row>
    <row r="48" spans="1:55" ht="14.25" customHeight="1">
      <c r="E48" s="107" t="s">
        <v>92</v>
      </c>
      <c r="F48" s="108">
        <f>+F25+1</f>
        <v>2</v>
      </c>
      <c r="G48" s="109" t="s">
        <v>93</v>
      </c>
      <c r="H48" s="110">
        <f>+H25</f>
        <v>0</v>
      </c>
      <c r="I48" s="110"/>
      <c r="M48" s="23" t="str">
        <f>IF(A50="","EOL","")</f>
        <v>EOL</v>
      </c>
      <c r="N48" s="1">
        <f>+F48</f>
        <v>2</v>
      </c>
    </row>
  </sheetData>
  <mergeCells count="8">
    <mergeCell ref="O26:AH26"/>
    <mergeCell ref="O3:AH3"/>
    <mergeCell ref="C26:L26"/>
    <mergeCell ref="J27:L27"/>
    <mergeCell ref="J28:L28"/>
    <mergeCell ref="J5:L5"/>
    <mergeCell ref="C3:L3"/>
    <mergeCell ref="J4:L4"/>
  </mergeCells>
  <phoneticPr fontId="8"/>
  <printOptions horizontalCentered="1" verticalCentered="1"/>
  <pageMargins left="0.19685039370078741" right="0.19685039370078741" top="0.78740157480314965" bottom="0.19685039370078741" header="0.51181102362204722" footer="0.51181102362204722"/>
  <pageSetup paperSize="9" orientation="landscape" horizontalDpi="300" verticalDpi="300" r:id="rId1"/>
  <headerFooter alignWithMargins="0"/>
  <colBreaks count="1" manualBreakCount="1">
    <brk id="12"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Q27"/>
  <sheetViews>
    <sheetView zoomScale="80" zoomScaleNormal="80" workbookViewId="0">
      <selection sqref="A1:M1"/>
    </sheetView>
  </sheetViews>
  <sheetFormatPr baseColWidth="10" defaultColWidth="9" defaultRowHeight="20.25" customHeight="1"/>
  <cols>
    <col min="1" max="1" width="6.1640625" style="192" customWidth="1"/>
    <col min="2" max="3" width="4.1640625" style="192" customWidth="1"/>
    <col min="4" max="4" width="24" style="193" customWidth="1"/>
    <col min="5" max="5" width="21.1640625" style="193" customWidth="1"/>
    <col min="6" max="6" width="4.6640625" style="193" customWidth="1"/>
    <col min="7" max="7" width="4.33203125" style="192" customWidth="1"/>
    <col min="8" max="15" width="9.33203125" style="194" customWidth="1"/>
    <col min="16" max="16" width="9.33203125" style="193" bestFit="1" customWidth="1"/>
    <col min="17" max="17" width="5.83203125" style="193" customWidth="1"/>
    <col min="18" max="20" width="10.6640625" style="193" customWidth="1"/>
    <col min="21" max="16384" width="9" style="193"/>
  </cols>
  <sheetData>
    <row r="1" spans="1:17" s="10" customFormat="1" ht="20.25" customHeight="1" thickBot="1">
      <c r="A1" s="1519" t="s">
        <v>15</v>
      </c>
      <c r="B1" s="1519"/>
      <c r="C1" s="1519"/>
      <c r="D1" s="1519"/>
      <c r="E1" s="1519"/>
      <c r="F1" s="1519"/>
      <c r="G1" s="1519"/>
      <c r="H1" s="1519"/>
      <c r="I1" s="1519"/>
      <c r="J1" s="1519"/>
      <c r="K1" s="1519"/>
      <c r="L1" s="1519"/>
      <c r="M1" s="1519"/>
      <c r="N1" s="14" t="s">
        <v>91</v>
      </c>
      <c r="O1" s="195">
        <v>1</v>
      </c>
      <c r="P1" s="10" t="s">
        <v>67</v>
      </c>
      <c r="Q1" s="1">
        <f>VLOOKUP("EOL",$N$27:$O$64944,2,FALSE)</f>
        <v>1</v>
      </c>
    </row>
    <row r="2" spans="1:17" s="14" customFormat="1" ht="20.25" customHeight="1">
      <c r="A2" s="11"/>
      <c r="B2" s="12" t="s">
        <v>16</v>
      </c>
      <c r="C2" s="13" t="s">
        <v>18</v>
      </c>
      <c r="D2" s="13"/>
      <c r="E2" s="63"/>
      <c r="F2" s="43"/>
      <c r="G2" s="58"/>
      <c r="H2" s="1520" t="s">
        <v>3170</v>
      </c>
      <c r="I2" s="1521"/>
      <c r="J2" s="1521" t="s">
        <v>3171</v>
      </c>
      <c r="K2" s="1522"/>
      <c r="L2" s="1521" t="s">
        <v>27</v>
      </c>
      <c r="M2" s="1523"/>
      <c r="N2" s="1517" t="str">
        <f>IF(G53="",IF(O26=I26,H2,IF(O26=K26,J2,L2)),N29)</f>
        <v>B:YKKap㈱</v>
      </c>
      <c r="O2" s="1518"/>
    </row>
    <row r="3" spans="1:17" s="14" customFormat="1" ht="20.25" customHeight="1" thickBot="1">
      <c r="A3" s="15" t="s">
        <v>28</v>
      </c>
      <c r="B3" s="16" t="s">
        <v>17</v>
      </c>
      <c r="C3" s="17" t="s">
        <v>17</v>
      </c>
      <c r="D3" s="17" t="s">
        <v>19</v>
      </c>
      <c r="E3" s="64" t="s">
        <v>20</v>
      </c>
      <c r="F3" s="44" t="s">
        <v>21</v>
      </c>
      <c r="G3" s="59" t="s">
        <v>22</v>
      </c>
      <c r="H3" s="1276" t="s">
        <v>23</v>
      </c>
      <c r="I3" s="1277" t="s">
        <v>24</v>
      </c>
      <c r="J3" s="1278" t="s">
        <v>23</v>
      </c>
      <c r="K3" s="1277" t="s">
        <v>24</v>
      </c>
      <c r="L3" s="1278" t="s">
        <v>23</v>
      </c>
      <c r="M3" s="1277" t="s">
        <v>24</v>
      </c>
      <c r="N3" s="49" t="s">
        <v>29</v>
      </c>
      <c r="O3" s="68" t="s">
        <v>30</v>
      </c>
    </row>
    <row r="4" spans="1:17" s="10" customFormat="1" ht="20.25" customHeight="1">
      <c r="A4" s="1217"/>
      <c r="B4" s="1218"/>
      <c r="C4" s="1219"/>
      <c r="D4" s="1220"/>
      <c r="E4" s="1221"/>
      <c r="F4" s="1222"/>
      <c r="G4" s="1223"/>
      <c r="H4" s="406"/>
      <c r="I4" s="407" t="str">
        <f t="shared" ref="I4:I25" si="0">IF(H4="","",ROUNDDOWN(H4*F4,0))</f>
        <v/>
      </c>
      <c r="J4" s="414"/>
      <c r="K4" s="407" t="str">
        <f t="shared" ref="K4:K25" si="1">IF(J4="","",ROUNDDOWN(J4*$F4,0))</f>
        <v/>
      </c>
      <c r="L4" s="414"/>
      <c r="M4" s="418" t="str">
        <f t="shared" ref="M4:M25" si="2">IF(L4="","",ROUNDDOWN(L4*$F4,0))</f>
        <v/>
      </c>
      <c r="N4" s="406" t="str">
        <f>IF(F4="","",INT(HLOOKUP(N2,H2:M25,3,FALSE)*O1))</f>
        <v/>
      </c>
      <c r="O4" s="422" t="str">
        <f t="shared" ref="O4:O25" si="3">IF(N4="","",IF(N4&lt;10,INT(N4),IF(N4&lt;10000,ROUNDDOWN(N4,-1),ROUNDDOWN(N4,-2))))</f>
        <v/>
      </c>
    </row>
    <row r="5" spans="1:17" s="10" customFormat="1" ht="20.25" customHeight="1">
      <c r="A5" s="1356">
        <v>200</v>
      </c>
      <c r="B5" s="1357">
        <v>1</v>
      </c>
      <c r="C5" s="1358">
        <v>1</v>
      </c>
      <c r="D5" s="1359" t="s">
        <v>3172</v>
      </c>
      <c r="E5" s="1360" t="s">
        <v>3173</v>
      </c>
      <c r="F5" s="1361">
        <v>1</v>
      </c>
      <c r="G5" s="1362" t="s">
        <v>3174</v>
      </c>
      <c r="H5" s="1279">
        <v>110000</v>
      </c>
      <c r="I5" s="1224">
        <f t="shared" si="0"/>
        <v>110000</v>
      </c>
      <c r="J5" s="1280">
        <v>10540</v>
      </c>
      <c r="K5" s="1224">
        <f t="shared" si="1"/>
        <v>10540</v>
      </c>
      <c r="L5" s="1280"/>
      <c r="M5" s="419" t="str">
        <f t="shared" si="2"/>
        <v/>
      </c>
      <c r="N5" s="408">
        <f>IF(F5="","",INT(HLOOKUP(N2,H2:M25,4,FALSE)*O1))</f>
        <v>10540</v>
      </c>
      <c r="O5" s="423">
        <f t="shared" si="3"/>
        <v>10500</v>
      </c>
    </row>
    <row r="6" spans="1:17" s="10" customFormat="1" ht="20.25" customHeight="1">
      <c r="A6" s="1356"/>
      <c r="B6" s="1357"/>
      <c r="C6" s="1358"/>
      <c r="D6" s="1363" t="s">
        <v>3175</v>
      </c>
      <c r="E6" s="1360"/>
      <c r="F6" s="1361"/>
      <c r="G6" s="1362"/>
      <c r="H6" s="1279"/>
      <c r="I6" s="1224" t="str">
        <f t="shared" si="0"/>
        <v/>
      </c>
      <c r="J6" s="1280"/>
      <c r="K6" s="1224" t="str">
        <f t="shared" si="1"/>
        <v/>
      </c>
      <c r="L6" s="1280"/>
      <c r="M6" s="419" t="str">
        <f t="shared" si="2"/>
        <v/>
      </c>
      <c r="N6" s="408" t="str">
        <f>IF(F6="","",INT(HLOOKUP(N2,H2:M25,5,FALSE)*O1))</f>
        <v/>
      </c>
      <c r="O6" s="423" t="str">
        <f t="shared" si="3"/>
        <v/>
      </c>
    </row>
    <row r="7" spans="1:17" s="10" customFormat="1" ht="20.25" customHeight="1">
      <c r="A7" s="1356"/>
      <c r="B7" s="1357"/>
      <c r="C7" s="1358"/>
      <c r="D7" s="1359"/>
      <c r="E7" s="1360"/>
      <c r="F7" s="1361"/>
      <c r="G7" s="1362"/>
      <c r="H7" s="1279"/>
      <c r="I7" s="1224" t="str">
        <f t="shared" si="0"/>
        <v/>
      </c>
      <c r="J7" s="1280"/>
      <c r="K7" s="1224" t="str">
        <f t="shared" si="1"/>
        <v/>
      </c>
      <c r="L7" s="1280"/>
      <c r="M7" s="419" t="str">
        <f t="shared" si="2"/>
        <v/>
      </c>
      <c r="N7" s="408" t="str">
        <f>IF(F7="","",INT(HLOOKUP(N2,H2:M25,6,FALSE)*O1))</f>
        <v/>
      </c>
      <c r="O7" s="423" t="str">
        <f t="shared" si="3"/>
        <v/>
      </c>
    </row>
    <row r="8" spans="1:17" s="10" customFormat="1" ht="20.25" customHeight="1">
      <c r="A8" s="1356"/>
      <c r="B8" s="1357"/>
      <c r="C8" s="1358"/>
      <c r="D8" s="1359"/>
      <c r="E8" s="1360"/>
      <c r="F8" s="1361"/>
      <c r="G8" s="1362"/>
      <c r="H8" s="1279"/>
      <c r="I8" s="1224" t="str">
        <f t="shared" si="0"/>
        <v/>
      </c>
      <c r="J8" s="1280"/>
      <c r="K8" s="1224" t="str">
        <f t="shared" si="1"/>
        <v/>
      </c>
      <c r="L8" s="1280"/>
      <c r="M8" s="419" t="str">
        <f t="shared" si="2"/>
        <v/>
      </c>
      <c r="N8" s="408" t="str">
        <f>IF(F8="","",INT(HLOOKUP(N2,H2:M25,7,FALSE)*O1))</f>
        <v/>
      </c>
      <c r="O8" s="423" t="str">
        <f t="shared" si="3"/>
        <v/>
      </c>
    </row>
    <row r="9" spans="1:17" s="10" customFormat="1" ht="20.25" customHeight="1">
      <c r="A9" s="1356"/>
      <c r="B9" s="1357"/>
      <c r="C9" s="1358"/>
      <c r="D9" s="1359"/>
      <c r="E9" s="1360"/>
      <c r="F9" s="1361"/>
      <c r="G9" s="1362"/>
      <c r="H9" s="1279"/>
      <c r="I9" s="1224" t="str">
        <f t="shared" si="0"/>
        <v/>
      </c>
      <c r="J9" s="1280"/>
      <c r="K9" s="1224" t="str">
        <f t="shared" si="1"/>
        <v/>
      </c>
      <c r="L9" s="1280"/>
      <c r="M9" s="419" t="str">
        <f t="shared" si="2"/>
        <v/>
      </c>
      <c r="N9" s="408" t="str">
        <f>IF(F9="","",INT(HLOOKUP(N2,H2:M25,8,FALSE)*O1))</f>
        <v/>
      </c>
      <c r="O9" s="423" t="str">
        <f t="shared" si="3"/>
        <v/>
      </c>
    </row>
    <row r="10" spans="1:17" s="10" customFormat="1" ht="20.25" customHeight="1">
      <c r="A10" s="1356"/>
      <c r="B10" s="1357"/>
      <c r="C10" s="1358"/>
      <c r="D10" s="1359"/>
      <c r="E10" s="1360"/>
      <c r="F10" s="1361"/>
      <c r="G10" s="1362"/>
      <c r="H10" s="1279"/>
      <c r="I10" s="1224" t="str">
        <f t="shared" si="0"/>
        <v/>
      </c>
      <c r="J10" s="1280"/>
      <c r="K10" s="1224" t="str">
        <f t="shared" si="1"/>
        <v/>
      </c>
      <c r="L10" s="1280"/>
      <c r="M10" s="419" t="str">
        <f t="shared" si="2"/>
        <v/>
      </c>
      <c r="N10" s="408" t="str">
        <f>IF(F10="","",INT(HLOOKUP(N2,H2:M25,9,FALSE)*O1))</f>
        <v/>
      </c>
      <c r="O10" s="423" t="str">
        <f t="shared" si="3"/>
        <v/>
      </c>
    </row>
    <row r="11" spans="1:17" s="10" customFormat="1" ht="20.25" customHeight="1">
      <c r="A11" s="1356"/>
      <c r="B11" s="1357"/>
      <c r="C11" s="1358"/>
      <c r="D11" s="1359"/>
      <c r="E11" s="1360"/>
      <c r="F11" s="1361"/>
      <c r="G11" s="1362"/>
      <c r="H11" s="1279"/>
      <c r="I11" s="1224" t="str">
        <f t="shared" si="0"/>
        <v/>
      </c>
      <c r="J11" s="1280"/>
      <c r="K11" s="1224" t="str">
        <f t="shared" si="1"/>
        <v/>
      </c>
      <c r="L11" s="1280"/>
      <c r="M11" s="419" t="str">
        <f t="shared" si="2"/>
        <v/>
      </c>
      <c r="N11" s="408" t="str">
        <f>IF(F11="","",INT(HLOOKUP(N2,H2:M25,10,FALSE)*O1))</f>
        <v/>
      </c>
      <c r="O11" s="423" t="str">
        <f t="shared" si="3"/>
        <v/>
      </c>
    </row>
    <row r="12" spans="1:17" s="10" customFormat="1" ht="20.25" customHeight="1">
      <c r="A12" s="1356"/>
      <c r="B12" s="1357"/>
      <c r="C12" s="1358"/>
      <c r="D12" s="1359"/>
      <c r="E12" s="1360"/>
      <c r="F12" s="1361"/>
      <c r="G12" s="1362"/>
      <c r="H12" s="1279"/>
      <c r="I12" s="1224" t="str">
        <f t="shared" si="0"/>
        <v/>
      </c>
      <c r="J12" s="1280"/>
      <c r="K12" s="1224" t="str">
        <f t="shared" si="1"/>
        <v/>
      </c>
      <c r="L12" s="1280"/>
      <c r="M12" s="419" t="str">
        <f t="shared" si="2"/>
        <v/>
      </c>
      <c r="N12" s="408" t="str">
        <f>IF(F12="","",INT(HLOOKUP(N2,H2:M25,11,FALSE)*O1))</f>
        <v/>
      </c>
      <c r="O12" s="423" t="str">
        <f t="shared" si="3"/>
        <v/>
      </c>
    </row>
    <row r="13" spans="1:17" s="10" customFormat="1" ht="20.25" customHeight="1">
      <c r="A13" s="1356"/>
      <c r="B13" s="1357"/>
      <c r="C13" s="1358"/>
      <c r="D13" s="1359"/>
      <c r="E13" s="1360"/>
      <c r="F13" s="1361"/>
      <c r="G13" s="1362"/>
      <c r="H13" s="1279"/>
      <c r="I13" s="1224" t="str">
        <f t="shared" si="0"/>
        <v/>
      </c>
      <c r="J13" s="1280"/>
      <c r="K13" s="1224" t="str">
        <f t="shared" si="1"/>
        <v/>
      </c>
      <c r="L13" s="1280"/>
      <c r="M13" s="419" t="str">
        <f t="shared" si="2"/>
        <v/>
      </c>
      <c r="N13" s="408" t="str">
        <f>IF(F13="","",INT(HLOOKUP(N2,H2:M25,12,FALSE)*O1))</f>
        <v/>
      </c>
      <c r="O13" s="423" t="str">
        <f t="shared" si="3"/>
        <v/>
      </c>
    </row>
    <row r="14" spans="1:17" s="10" customFormat="1" ht="20.25" customHeight="1">
      <c r="A14" s="1356"/>
      <c r="B14" s="1357"/>
      <c r="C14" s="1358"/>
      <c r="D14" s="1359"/>
      <c r="E14" s="1360"/>
      <c r="F14" s="1361"/>
      <c r="G14" s="1362"/>
      <c r="H14" s="1279"/>
      <c r="I14" s="1224" t="str">
        <f t="shared" si="0"/>
        <v/>
      </c>
      <c r="J14" s="1280"/>
      <c r="K14" s="1224" t="str">
        <f t="shared" si="1"/>
        <v/>
      </c>
      <c r="L14" s="1280"/>
      <c r="M14" s="419" t="str">
        <f t="shared" si="2"/>
        <v/>
      </c>
      <c r="N14" s="408" t="str">
        <f>IF(F14="","",INT(HLOOKUP(N2,H2:M25,13,FALSE)*O1))</f>
        <v/>
      </c>
      <c r="O14" s="423" t="str">
        <f t="shared" si="3"/>
        <v/>
      </c>
    </row>
    <row r="15" spans="1:17" s="10" customFormat="1" ht="20.25" customHeight="1">
      <c r="A15" s="1356"/>
      <c r="B15" s="1357"/>
      <c r="C15" s="1358"/>
      <c r="D15" s="1359"/>
      <c r="E15" s="1360"/>
      <c r="F15" s="1361"/>
      <c r="G15" s="1362"/>
      <c r="H15" s="1279"/>
      <c r="I15" s="1224" t="str">
        <f t="shared" si="0"/>
        <v/>
      </c>
      <c r="J15" s="1280"/>
      <c r="K15" s="1224" t="str">
        <f t="shared" si="1"/>
        <v/>
      </c>
      <c r="L15" s="1280"/>
      <c r="M15" s="419" t="str">
        <f t="shared" si="2"/>
        <v/>
      </c>
      <c r="N15" s="408" t="str">
        <f>IF(F15="","",INT(HLOOKUP(N2,H2:M25,14,FALSE)*O1))</f>
        <v/>
      </c>
      <c r="O15" s="423" t="str">
        <f t="shared" si="3"/>
        <v/>
      </c>
    </row>
    <row r="16" spans="1:17" s="10" customFormat="1" ht="20.25" customHeight="1">
      <c r="A16" s="1356"/>
      <c r="B16" s="1357"/>
      <c r="C16" s="1358"/>
      <c r="D16" s="1359"/>
      <c r="E16" s="1360"/>
      <c r="F16" s="1361"/>
      <c r="G16" s="1362"/>
      <c r="H16" s="1279"/>
      <c r="I16" s="1224" t="str">
        <f t="shared" si="0"/>
        <v/>
      </c>
      <c r="J16" s="1280"/>
      <c r="K16" s="1224" t="str">
        <f t="shared" si="1"/>
        <v/>
      </c>
      <c r="L16" s="1280"/>
      <c r="M16" s="419" t="str">
        <f t="shared" si="2"/>
        <v/>
      </c>
      <c r="N16" s="408" t="str">
        <f>IF(F16="","",INT(HLOOKUP(N2,H2:M25,15,FALSE)*O1))</f>
        <v/>
      </c>
      <c r="O16" s="423" t="str">
        <f t="shared" si="3"/>
        <v/>
      </c>
    </row>
    <row r="17" spans="1:15" s="10" customFormat="1" ht="20.25" customHeight="1">
      <c r="A17" s="1356"/>
      <c r="B17" s="1357"/>
      <c r="C17" s="1358"/>
      <c r="D17" s="1359"/>
      <c r="E17" s="1360"/>
      <c r="F17" s="1361"/>
      <c r="G17" s="1362"/>
      <c r="H17" s="1279"/>
      <c r="I17" s="1224" t="str">
        <f t="shared" si="0"/>
        <v/>
      </c>
      <c r="J17" s="1280"/>
      <c r="K17" s="1224" t="str">
        <f t="shared" si="1"/>
        <v/>
      </c>
      <c r="L17" s="1280"/>
      <c r="M17" s="419" t="str">
        <f t="shared" si="2"/>
        <v/>
      </c>
      <c r="N17" s="408" t="str">
        <f>IF(F17="","",INT(HLOOKUP(N2,H2:M25,16,FALSE)*O1))</f>
        <v/>
      </c>
      <c r="O17" s="423" t="str">
        <f t="shared" si="3"/>
        <v/>
      </c>
    </row>
    <row r="18" spans="1:15" s="10" customFormat="1" ht="20.25" customHeight="1">
      <c r="A18" s="1356"/>
      <c r="B18" s="1357"/>
      <c r="C18" s="1358"/>
      <c r="D18" s="1359"/>
      <c r="E18" s="1360"/>
      <c r="F18" s="1361"/>
      <c r="G18" s="1362"/>
      <c r="H18" s="1279"/>
      <c r="I18" s="1224" t="str">
        <f t="shared" si="0"/>
        <v/>
      </c>
      <c r="J18" s="1280"/>
      <c r="K18" s="1224" t="str">
        <f t="shared" si="1"/>
        <v/>
      </c>
      <c r="L18" s="1280"/>
      <c r="M18" s="419" t="str">
        <f t="shared" si="2"/>
        <v/>
      </c>
      <c r="N18" s="408" t="str">
        <f>IF(F18="","",INT(HLOOKUP(N2,H2:M25,17,FALSE)*O1))</f>
        <v/>
      </c>
      <c r="O18" s="423" t="str">
        <f t="shared" si="3"/>
        <v/>
      </c>
    </row>
    <row r="19" spans="1:15" s="10" customFormat="1" ht="20.25" customHeight="1">
      <c r="A19" s="1356"/>
      <c r="B19" s="1357"/>
      <c r="C19" s="1358"/>
      <c r="D19" s="1359"/>
      <c r="E19" s="1360"/>
      <c r="F19" s="1361"/>
      <c r="G19" s="1362"/>
      <c r="H19" s="1279"/>
      <c r="I19" s="1224" t="str">
        <f t="shared" si="0"/>
        <v/>
      </c>
      <c r="J19" s="1280"/>
      <c r="K19" s="1224" t="str">
        <f t="shared" si="1"/>
        <v/>
      </c>
      <c r="L19" s="1280"/>
      <c r="M19" s="419" t="str">
        <f t="shared" si="2"/>
        <v/>
      </c>
      <c r="N19" s="408" t="str">
        <f>IF(F19="","",INT(HLOOKUP(N2,H2:M25,18,FALSE)*O1))</f>
        <v/>
      </c>
      <c r="O19" s="423" t="str">
        <f t="shared" si="3"/>
        <v/>
      </c>
    </row>
    <row r="20" spans="1:15" s="10" customFormat="1" ht="20.25" customHeight="1">
      <c r="A20" s="1356"/>
      <c r="B20" s="1357"/>
      <c r="C20" s="1358"/>
      <c r="D20" s="1359"/>
      <c r="E20" s="1360"/>
      <c r="F20" s="1361"/>
      <c r="G20" s="1362"/>
      <c r="H20" s="1279"/>
      <c r="I20" s="1224" t="str">
        <f t="shared" si="0"/>
        <v/>
      </c>
      <c r="J20" s="1280"/>
      <c r="K20" s="1224" t="str">
        <f t="shared" si="1"/>
        <v/>
      </c>
      <c r="L20" s="1280"/>
      <c r="M20" s="419" t="str">
        <f t="shared" si="2"/>
        <v/>
      </c>
      <c r="N20" s="408" t="str">
        <f>IF(F20="","",INT(HLOOKUP(N2,H2:M25,19,FALSE)*O1))</f>
        <v/>
      </c>
      <c r="O20" s="423" t="str">
        <f t="shared" si="3"/>
        <v/>
      </c>
    </row>
    <row r="21" spans="1:15" s="10" customFormat="1" ht="20.25" customHeight="1">
      <c r="A21" s="1356"/>
      <c r="B21" s="1357"/>
      <c r="C21" s="1358"/>
      <c r="D21" s="1359"/>
      <c r="E21" s="1360"/>
      <c r="F21" s="1361"/>
      <c r="G21" s="1362"/>
      <c r="H21" s="1279"/>
      <c r="I21" s="1224" t="str">
        <f t="shared" si="0"/>
        <v/>
      </c>
      <c r="J21" s="1280"/>
      <c r="K21" s="1224" t="str">
        <f t="shared" si="1"/>
        <v/>
      </c>
      <c r="L21" s="1280"/>
      <c r="M21" s="419" t="str">
        <f t="shared" si="2"/>
        <v/>
      </c>
      <c r="N21" s="408" t="str">
        <f>IF(F21="","",INT(HLOOKUP(N2,H2:M25,20,FALSE)*O1))</f>
        <v/>
      </c>
      <c r="O21" s="423" t="str">
        <f t="shared" si="3"/>
        <v/>
      </c>
    </row>
    <row r="22" spans="1:15" s="10" customFormat="1" ht="20.25" customHeight="1">
      <c r="A22" s="1356"/>
      <c r="B22" s="1357"/>
      <c r="C22" s="1358"/>
      <c r="D22" s="1359"/>
      <c r="E22" s="1360"/>
      <c r="F22" s="1361"/>
      <c r="G22" s="1362"/>
      <c r="H22" s="1279"/>
      <c r="I22" s="1224" t="str">
        <f t="shared" si="0"/>
        <v/>
      </c>
      <c r="J22" s="1280"/>
      <c r="K22" s="1224" t="str">
        <f t="shared" si="1"/>
        <v/>
      </c>
      <c r="L22" s="1280"/>
      <c r="M22" s="419" t="str">
        <f t="shared" si="2"/>
        <v/>
      </c>
      <c r="N22" s="408" t="str">
        <f>IF(F22="","",INT(HLOOKUP(N2,H2:M25,21,FALSE)*O1))</f>
        <v/>
      </c>
      <c r="O22" s="423" t="str">
        <f t="shared" si="3"/>
        <v/>
      </c>
    </row>
    <row r="23" spans="1:15" s="10" customFormat="1" ht="20.25" customHeight="1">
      <c r="A23" s="1356"/>
      <c r="B23" s="1357"/>
      <c r="C23" s="1358"/>
      <c r="D23" s="1359"/>
      <c r="E23" s="1360"/>
      <c r="F23" s="1361"/>
      <c r="G23" s="1362"/>
      <c r="H23" s="1279"/>
      <c r="I23" s="1224" t="str">
        <f t="shared" si="0"/>
        <v/>
      </c>
      <c r="J23" s="1280"/>
      <c r="K23" s="1224" t="str">
        <f t="shared" si="1"/>
        <v/>
      </c>
      <c r="L23" s="1280"/>
      <c r="M23" s="419" t="str">
        <f t="shared" si="2"/>
        <v/>
      </c>
      <c r="N23" s="408" t="str">
        <f>IF(F23="","",INT(HLOOKUP(N2,H2:M25,22,FALSE)*O1))</f>
        <v/>
      </c>
      <c r="O23" s="423" t="str">
        <f t="shared" si="3"/>
        <v/>
      </c>
    </row>
    <row r="24" spans="1:15" s="10" customFormat="1" ht="20.25" customHeight="1">
      <c r="A24" s="1356"/>
      <c r="B24" s="1357"/>
      <c r="C24" s="1358"/>
      <c r="D24" s="1359"/>
      <c r="E24" s="1360"/>
      <c r="F24" s="1361"/>
      <c r="G24" s="1362"/>
      <c r="H24" s="1279"/>
      <c r="I24" s="1224" t="str">
        <f t="shared" si="0"/>
        <v/>
      </c>
      <c r="J24" s="1280"/>
      <c r="K24" s="1224" t="str">
        <f t="shared" si="1"/>
        <v/>
      </c>
      <c r="L24" s="1280"/>
      <c r="M24" s="419" t="str">
        <f t="shared" si="2"/>
        <v/>
      </c>
      <c r="N24" s="408" t="str">
        <f>IF(F24="","",INT(HLOOKUP(N2,H2:M25,23,FALSE)*O1))</f>
        <v/>
      </c>
      <c r="O24" s="423" t="str">
        <f t="shared" si="3"/>
        <v/>
      </c>
    </row>
    <row r="25" spans="1:15" s="10" customFormat="1" ht="20.25" customHeight="1" thickBot="1">
      <c r="A25" s="1281"/>
      <c r="B25" s="1282"/>
      <c r="C25" s="1283"/>
      <c r="D25" s="1284"/>
      <c r="E25" s="1285"/>
      <c r="F25" s="1286"/>
      <c r="G25" s="1287"/>
      <c r="H25" s="1288"/>
      <c r="I25" s="1289" t="str">
        <f t="shared" si="0"/>
        <v/>
      </c>
      <c r="J25" s="1290"/>
      <c r="K25" s="1289" t="str">
        <f t="shared" si="1"/>
        <v/>
      </c>
      <c r="L25" s="1290"/>
      <c r="M25" s="1291" t="str">
        <f t="shared" si="2"/>
        <v/>
      </c>
      <c r="N25" s="410" t="str">
        <f>IF(F25="","",INT(HLOOKUP(N2,H2:M25,24,FALSE)*O1))</f>
        <v/>
      </c>
      <c r="O25" s="424" t="str">
        <f t="shared" si="3"/>
        <v/>
      </c>
    </row>
    <row r="26" spans="1:15" s="10" customFormat="1" ht="20.25" customHeight="1" thickTop="1" thickBot="1">
      <c r="A26" s="18"/>
      <c r="B26" s="19"/>
      <c r="C26" s="19"/>
      <c r="D26" s="20" t="str">
        <f>IF(G26="","合      計","")</f>
        <v>合      計</v>
      </c>
      <c r="E26" s="21" t="s">
        <v>66</v>
      </c>
      <c r="F26" s="21"/>
      <c r="G26" s="39"/>
      <c r="H26" s="412"/>
      <c r="I26" s="413">
        <f>IF($G26="",IF(SUM(I4:I25)=0,"",SUM(I4:I25)),IF(#REF!="","",SUM(I4:I25)+#REF!))</f>
        <v>110000</v>
      </c>
      <c r="J26" s="417"/>
      <c r="K26" s="413">
        <f>IF(G26="",IF(SUM(K4:K25)=0,"",SUM(K4:K25)),IF(#REF!="","",SUM(K4:K25)+#REF!))</f>
        <v>10540</v>
      </c>
      <c r="L26" s="417"/>
      <c r="M26" s="421" t="str">
        <f>IF(G26="",IF(SUM(M4:M25)=0,"",SUM(M4:M25)),IF(#REF!="","",SUM(M4:M25)+#REF!))</f>
        <v/>
      </c>
      <c r="N26" s="425" t="s">
        <v>31</v>
      </c>
      <c r="O26" s="426">
        <f>IF(G53="",MIN(I26,K26,M26),"")</f>
        <v>10540</v>
      </c>
    </row>
    <row r="27" spans="1:15" s="10" customFormat="1" ht="20.25" customHeight="1">
      <c r="A27" s="14"/>
      <c r="B27" s="14"/>
      <c r="C27" s="14"/>
      <c r="G27" s="14"/>
      <c r="H27" s="22"/>
      <c r="I27" s="22"/>
      <c r="J27" s="22"/>
      <c r="K27" s="22"/>
      <c r="L27" s="22"/>
      <c r="M27" s="22"/>
      <c r="N27" s="10" t="str">
        <f>IF(B29="","EOL","")</f>
        <v>EOL</v>
      </c>
      <c r="O27" s="22">
        <v>1</v>
      </c>
    </row>
  </sheetData>
  <mergeCells count="5">
    <mergeCell ref="N2:O2"/>
    <mergeCell ref="A1:M1"/>
    <mergeCell ref="H2:I2"/>
    <mergeCell ref="J2:K2"/>
    <mergeCell ref="L2:M2"/>
  </mergeCells>
  <phoneticPr fontId="8"/>
  <pageMargins left="0.19685039370078741" right="0.19685039370078741" top="0.78740157480314965" bottom="0.19685039370078741" header="0.51181102362204722" footer="0.51181102362204722"/>
  <pageSetup paperSize="9"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AE31"/>
  <sheetViews>
    <sheetView view="pageBreakPreview" topLeftCell="B1" zoomScale="90" zoomScaleNormal="100" zoomScaleSheetLayoutView="90" workbookViewId="0">
      <selection activeCell="B1" sqref="B1"/>
    </sheetView>
  </sheetViews>
  <sheetFormatPr baseColWidth="10" defaultColWidth="9" defaultRowHeight="13"/>
  <cols>
    <col min="1" max="1" width="2.6640625" style="139" hidden="1" customWidth="1"/>
    <col min="2" max="2" width="19.33203125" style="70" customWidth="1"/>
    <col min="3" max="3" width="22.5" style="70" customWidth="1"/>
    <col min="4" max="4" width="5.1640625" style="70" customWidth="1"/>
    <col min="5" max="5" width="5.1640625" style="82" customWidth="1"/>
    <col min="6" max="22" width="5.1640625" style="70" customWidth="1"/>
    <col min="23" max="27" width="4.6640625" style="70" customWidth="1"/>
    <col min="28" max="16384" width="9" style="70"/>
  </cols>
  <sheetData>
    <row r="1" spans="1:31" ht="15" customHeight="1">
      <c r="B1" s="153" t="s">
        <v>144</v>
      </c>
      <c r="C1" s="70" t="str">
        <f>工事1!C2</f>
        <v>建築工事</v>
      </c>
      <c r="F1" s="139"/>
      <c r="G1" s="314"/>
      <c r="H1" s="315"/>
      <c r="I1" s="315"/>
      <c r="J1" s="316"/>
      <c r="K1" s="317" t="s">
        <v>151</v>
      </c>
      <c r="L1" s="318" t="s">
        <v>152</v>
      </c>
      <c r="M1" s="318" t="s">
        <v>153</v>
      </c>
      <c r="N1" s="319" t="s">
        <v>154</v>
      </c>
      <c r="O1" s="320"/>
      <c r="P1" s="321"/>
      <c r="Q1" s="321"/>
      <c r="R1" s="322"/>
      <c r="S1" s="317" t="s">
        <v>151</v>
      </c>
      <c r="T1" s="318" t="s">
        <v>152</v>
      </c>
      <c r="U1" s="318" t="s">
        <v>153</v>
      </c>
      <c r="V1" s="319" t="s">
        <v>154</v>
      </c>
      <c r="W1" s="313"/>
    </row>
    <row r="2" spans="1:31" ht="15" customHeight="1">
      <c r="B2" s="153"/>
      <c r="E2" s="307"/>
      <c r="G2" s="1542" t="s">
        <v>242</v>
      </c>
      <c r="H2" s="1543"/>
      <c r="I2" s="1543"/>
      <c r="J2" s="1544"/>
      <c r="K2" s="323">
        <f>+H9+L9</f>
        <v>36964</v>
      </c>
      <c r="L2" s="324">
        <f>+I9+M9</f>
        <v>0</v>
      </c>
      <c r="M2" s="324">
        <f>+J9+N9</f>
        <v>0</v>
      </c>
      <c r="N2" s="325">
        <f>+K9+O9</f>
        <v>0</v>
      </c>
      <c r="O2" s="1536" t="s">
        <v>252</v>
      </c>
      <c r="P2" s="1537"/>
      <c r="Q2" s="1537"/>
      <c r="R2" s="1538"/>
      <c r="S2" s="323">
        <f>+P9+T9+X9</f>
        <v>36100</v>
      </c>
      <c r="T2" s="324">
        <f>+Q9+U9+Y9</f>
        <v>0</v>
      </c>
      <c r="U2" s="324">
        <f>+R9+V9+Z9</f>
        <v>0</v>
      </c>
      <c r="V2" s="325">
        <f>+S9+W9+AA9</f>
        <v>0</v>
      </c>
      <c r="W2" s="306"/>
    </row>
    <row r="3" spans="1:31" ht="15" customHeight="1">
      <c r="B3" s="153"/>
      <c r="E3" s="307"/>
      <c r="G3" s="1545" t="s">
        <v>243</v>
      </c>
      <c r="H3" s="1546"/>
      <c r="I3" s="1546"/>
      <c r="J3" s="1547"/>
      <c r="K3" s="326">
        <f>+H9</f>
        <v>864</v>
      </c>
      <c r="L3" s="327">
        <f>+I9</f>
        <v>0</v>
      </c>
      <c r="M3" s="327">
        <f>+J9</f>
        <v>0</v>
      </c>
      <c r="N3" s="328">
        <f>+K9</f>
        <v>0</v>
      </c>
      <c r="O3" s="1539" t="s">
        <v>253</v>
      </c>
      <c r="P3" s="1540"/>
      <c r="Q3" s="1540"/>
      <c r="R3" s="1541"/>
      <c r="S3" s="326">
        <f>+P9</f>
        <v>15600</v>
      </c>
      <c r="T3" s="327">
        <f>+Q9</f>
        <v>0</v>
      </c>
      <c r="U3" s="327">
        <f>+R9</f>
        <v>0</v>
      </c>
      <c r="V3" s="328">
        <f>+S9</f>
        <v>0</v>
      </c>
      <c r="W3" s="306"/>
    </row>
    <row r="4" spans="1:31" ht="15" customHeight="1">
      <c r="B4" s="153"/>
      <c r="E4" s="307"/>
      <c r="G4" s="1545" t="s">
        <v>244</v>
      </c>
      <c r="H4" s="1546"/>
      <c r="I4" s="1546"/>
      <c r="J4" s="1547"/>
      <c r="K4" s="326">
        <f>+L9</f>
        <v>36100</v>
      </c>
      <c r="L4" s="327">
        <f>+M9</f>
        <v>0</v>
      </c>
      <c r="M4" s="327">
        <f>+N9</f>
        <v>0</v>
      </c>
      <c r="N4" s="328">
        <f>+O9</f>
        <v>0</v>
      </c>
      <c r="O4" s="1539" t="s">
        <v>254</v>
      </c>
      <c r="P4" s="1540"/>
      <c r="Q4" s="1540"/>
      <c r="R4" s="1541"/>
      <c r="S4" s="326">
        <f>+T9</f>
        <v>12100</v>
      </c>
      <c r="T4" s="327">
        <f>+U9</f>
        <v>0</v>
      </c>
      <c r="U4" s="327">
        <f>+V9</f>
        <v>0</v>
      </c>
      <c r="V4" s="328">
        <f>+W9</f>
        <v>0</v>
      </c>
      <c r="W4" s="306"/>
    </row>
    <row r="5" spans="1:31" ht="15" customHeight="1">
      <c r="B5" s="153"/>
      <c r="E5" s="307"/>
      <c r="G5" s="1533"/>
      <c r="H5" s="1534"/>
      <c r="I5" s="1534"/>
      <c r="J5" s="1535"/>
      <c r="K5" s="329"/>
      <c r="L5" s="329"/>
      <c r="M5" s="329"/>
      <c r="N5" s="329"/>
      <c r="O5" s="1533" t="s">
        <v>272</v>
      </c>
      <c r="P5" s="1534"/>
      <c r="Q5" s="1534"/>
      <c r="R5" s="1535"/>
      <c r="S5" s="329">
        <f>X9</f>
        <v>8400</v>
      </c>
      <c r="T5" s="329">
        <f>Y9</f>
        <v>0</v>
      </c>
      <c r="U5" s="329">
        <f>Z9</f>
        <v>0</v>
      </c>
      <c r="V5" s="330">
        <f>AA9</f>
        <v>0</v>
      </c>
      <c r="W5" s="306"/>
      <c r="AB5" s="331"/>
      <c r="AC5" s="331"/>
      <c r="AD5" s="331"/>
      <c r="AE5" s="331"/>
    </row>
    <row r="6" spans="1:31" ht="7.5" customHeight="1">
      <c r="B6" s="153"/>
      <c r="E6" s="308"/>
      <c r="F6" s="309"/>
      <c r="G6" s="310"/>
      <c r="H6" s="310"/>
      <c r="I6" s="310"/>
      <c r="J6" s="310"/>
      <c r="K6" s="311"/>
      <c r="L6" s="309"/>
      <c r="M6" s="309"/>
      <c r="N6" s="309"/>
      <c r="O6" s="309"/>
      <c r="P6" s="309"/>
      <c r="Q6" s="309"/>
      <c r="R6" s="309"/>
      <c r="S6" s="312"/>
      <c r="T6" s="312"/>
      <c r="U6" s="312"/>
      <c r="V6" s="312"/>
      <c r="W6" s="306"/>
    </row>
    <row r="7" spans="1:31" ht="15" customHeight="1">
      <c r="B7" s="145"/>
      <c r="C7" s="146"/>
      <c r="D7" s="147"/>
      <c r="E7" s="160"/>
      <c r="F7" s="360"/>
      <c r="G7" s="367"/>
      <c r="H7" s="1524" t="s">
        <v>241</v>
      </c>
      <c r="I7" s="1525"/>
      <c r="J7" s="1525"/>
      <c r="K7" s="1526"/>
      <c r="L7" s="1524" t="s">
        <v>269</v>
      </c>
      <c r="M7" s="1525"/>
      <c r="N7" s="1525"/>
      <c r="O7" s="1526"/>
      <c r="P7" s="1524" t="s">
        <v>270</v>
      </c>
      <c r="Q7" s="1525"/>
      <c r="R7" s="1525"/>
      <c r="S7" s="1526"/>
      <c r="T7" s="1524" t="s">
        <v>255</v>
      </c>
      <c r="U7" s="1525"/>
      <c r="V7" s="1525"/>
      <c r="W7" s="1526"/>
      <c r="X7" s="1524" t="s">
        <v>271</v>
      </c>
      <c r="Y7" s="1525"/>
      <c r="Z7" s="1525"/>
      <c r="AA7" s="1526"/>
    </row>
    <row r="8" spans="1:31">
      <c r="B8" s="144" t="s">
        <v>72</v>
      </c>
      <c r="C8" s="129" t="s">
        <v>73</v>
      </c>
      <c r="D8" s="141" t="s">
        <v>21</v>
      </c>
      <c r="E8" s="161" t="s">
        <v>74</v>
      </c>
      <c r="F8" s="361" t="s">
        <v>145</v>
      </c>
      <c r="G8" s="366" t="s">
        <v>282</v>
      </c>
      <c r="H8" s="142" t="s">
        <v>151</v>
      </c>
      <c r="I8" s="46" t="s">
        <v>152</v>
      </c>
      <c r="J8" s="46" t="s">
        <v>153</v>
      </c>
      <c r="K8" s="143" t="s">
        <v>154</v>
      </c>
      <c r="L8" s="142" t="s">
        <v>151</v>
      </c>
      <c r="M8" s="46" t="s">
        <v>152</v>
      </c>
      <c r="N8" s="46" t="s">
        <v>153</v>
      </c>
      <c r="O8" s="143" t="s">
        <v>154</v>
      </c>
      <c r="P8" s="142" t="s">
        <v>151</v>
      </c>
      <c r="Q8" s="46" t="s">
        <v>152</v>
      </c>
      <c r="R8" s="46" t="s">
        <v>153</v>
      </c>
      <c r="S8" s="143" t="s">
        <v>154</v>
      </c>
      <c r="T8" s="142" t="s">
        <v>151</v>
      </c>
      <c r="U8" s="46" t="s">
        <v>152</v>
      </c>
      <c r="V8" s="46" t="s">
        <v>153</v>
      </c>
      <c r="W8" s="143" t="s">
        <v>154</v>
      </c>
      <c r="X8" s="142" t="s">
        <v>151</v>
      </c>
      <c r="Y8" s="46" t="s">
        <v>152</v>
      </c>
      <c r="Z8" s="46" t="s">
        <v>153</v>
      </c>
      <c r="AA8" s="143" t="s">
        <v>154</v>
      </c>
    </row>
    <row r="9" spans="1:31" s="151" customFormat="1" ht="15.75" customHeight="1">
      <c r="A9" s="148"/>
      <c r="B9" s="149"/>
      <c r="C9" s="150"/>
      <c r="D9" s="152"/>
      <c r="E9" s="303" t="s">
        <v>240</v>
      </c>
      <c r="F9" s="362" t="s">
        <v>155</v>
      </c>
      <c r="G9" s="368"/>
      <c r="H9" s="171">
        <f t="shared" ref="H9:AA9" si="0">SUM(H10:H19)</f>
        <v>864</v>
      </c>
      <c r="I9" s="172">
        <f t="shared" si="0"/>
        <v>0</v>
      </c>
      <c r="J9" s="172">
        <f t="shared" si="0"/>
        <v>0</v>
      </c>
      <c r="K9" s="173">
        <f t="shared" si="0"/>
        <v>0</v>
      </c>
      <c r="L9" s="171">
        <f t="shared" si="0"/>
        <v>36100</v>
      </c>
      <c r="M9" s="172">
        <f t="shared" si="0"/>
        <v>0</v>
      </c>
      <c r="N9" s="172">
        <f t="shared" si="0"/>
        <v>0</v>
      </c>
      <c r="O9" s="173">
        <f t="shared" si="0"/>
        <v>0</v>
      </c>
      <c r="P9" s="171">
        <f t="shared" si="0"/>
        <v>15600</v>
      </c>
      <c r="Q9" s="172">
        <f t="shared" si="0"/>
        <v>0</v>
      </c>
      <c r="R9" s="172">
        <f t="shared" si="0"/>
        <v>0</v>
      </c>
      <c r="S9" s="173">
        <f t="shared" si="0"/>
        <v>0</v>
      </c>
      <c r="T9" s="172">
        <f t="shared" si="0"/>
        <v>12100</v>
      </c>
      <c r="U9" s="172">
        <f t="shared" si="0"/>
        <v>0</v>
      </c>
      <c r="V9" s="172">
        <f t="shared" si="0"/>
        <v>0</v>
      </c>
      <c r="W9" s="173">
        <f t="shared" si="0"/>
        <v>0</v>
      </c>
      <c r="X9" s="172">
        <f t="shared" si="0"/>
        <v>8400</v>
      </c>
      <c r="Y9" s="172">
        <f t="shared" si="0"/>
        <v>0</v>
      </c>
      <c r="Z9" s="172">
        <f t="shared" si="0"/>
        <v>0</v>
      </c>
      <c r="AA9" s="173">
        <f t="shared" si="0"/>
        <v>0</v>
      </c>
    </row>
    <row r="10" spans="1:31" s="151" customFormat="1" ht="11.25" customHeight="1">
      <c r="B10" s="163"/>
      <c r="C10" s="164"/>
      <c r="D10" s="165"/>
      <c r="E10" s="166"/>
      <c r="F10" s="363"/>
      <c r="G10" s="369"/>
      <c r="H10" s="174"/>
      <c r="I10" s="175"/>
      <c r="J10" s="175"/>
      <c r="K10" s="176"/>
      <c r="L10" s="174"/>
      <c r="M10" s="175"/>
      <c r="N10" s="175"/>
      <c r="O10" s="176"/>
      <c r="P10" s="174"/>
      <c r="Q10" s="175"/>
      <c r="R10" s="175"/>
      <c r="S10" s="176"/>
      <c r="T10" s="174"/>
      <c r="U10" s="175"/>
      <c r="V10" s="175"/>
      <c r="W10" s="176"/>
      <c r="X10" s="174"/>
      <c r="Y10" s="175"/>
      <c r="Z10" s="175"/>
      <c r="AA10" s="176"/>
    </row>
    <row r="11" spans="1:31" s="151" customFormat="1" ht="11.25" customHeight="1">
      <c r="B11" s="163" t="s">
        <v>2057</v>
      </c>
      <c r="C11" s="164" t="s">
        <v>2058</v>
      </c>
      <c r="D11" s="165">
        <v>3</v>
      </c>
      <c r="E11" s="166">
        <v>144</v>
      </c>
      <c r="F11" s="363"/>
      <c r="G11" s="369"/>
      <c r="H11" s="174">
        <f>D11*E11</f>
        <v>432</v>
      </c>
      <c r="I11" s="175"/>
      <c r="J11" s="175"/>
      <c r="K11" s="176"/>
      <c r="L11" s="174"/>
      <c r="M11" s="175"/>
      <c r="N11" s="175"/>
      <c r="O11" s="176"/>
      <c r="P11" s="174"/>
      <c r="Q11" s="175"/>
      <c r="R11" s="175"/>
      <c r="S11" s="176"/>
      <c r="T11" s="174"/>
      <c r="U11" s="175"/>
      <c r="V11" s="175"/>
      <c r="W11" s="176"/>
      <c r="X11" s="174"/>
      <c r="Y11" s="175"/>
      <c r="Z11" s="175"/>
      <c r="AA11" s="176"/>
    </row>
    <row r="12" spans="1:31" s="151" customFormat="1" ht="11.25" customHeight="1">
      <c r="B12" s="163" t="s">
        <v>2057</v>
      </c>
      <c r="C12" s="164" t="s">
        <v>2058</v>
      </c>
      <c r="D12" s="165">
        <v>3</v>
      </c>
      <c r="E12" s="166">
        <v>144</v>
      </c>
      <c r="F12" s="363"/>
      <c r="G12" s="369"/>
      <c r="H12" s="174">
        <f>D12*E12</f>
        <v>432</v>
      </c>
      <c r="I12" s="175"/>
      <c r="J12" s="175"/>
      <c r="K12" s="176"/>
      <c r="L12" s="174"/>
      <c r="M12" s="175"/>
      <c r="N12" s="175"/>
      <c r="O12" s="176"/>
      <c r="P12" s="174"/>
      <c r="Q12" s="175"/>
      <c r="R12" s="175"/>
      <c r="S12" s="176"/>
      <c r="T12" s="174"/>
      <c r="U12" s="175"/>
      <c r="V12" s="175"/>
      <c r="W12" s="176"/>
      <c r="X12" s="174"/>
      <c r="Y12" s="175"/>
      <c r="Z12" s="175"/>
      <c r="AA12" s="176"/>
    </row>
    <row r="13" spans="1:31" s="151" customFormat="1" ht="11.25" customHeight="1">
      <c r="B13" s="163" t="s">
        <v>1993</v>
      </c>
      <c r="C13" s="164" t="s">
        <v>1994</v>
      </c>
      <c r="D13" s="165"/>
      <c r="E13" s="166">
        <v>200</v>
      </c>
      <c r="F13" s="363"/>
      <c r="G13" s="369"/>
      <c r="H13" s="174"/>
      <c r="I13" s="175"/>
      <c r="J13" s="175">
        <f>D13*E13</f>
        <v>0</v>
      </c>
      <c r="K13" s="176"/>
      <c r="L13" s="174"/>
      <c r="M13" s="175"/>
      <c r="N13" s="175"/>
      <c r="O13" s="176"/>
      <c r="P13" s="174"/>
      <c r="Q13" s="175"/>
      <c r="R13" s="175"/>
      <c r="S13" s="176"/>
      <c r="T13" s="174"/>
      <c r="U13" s="175"/>
      <c r="V13" s="175"/>
      <c r="W13" s="176"/>
      <c r="X13" s="174"/>
      <c r="Y13" s="175"/>
      <c r="Z13" s="175"/>
      <c r="AA13" s="176"/>
    </row>
    <row r="14" spans="1:31" s="151" customFormat="1" ht="11.25" customHeight="1">
      <c r="B14" s="163" t="s">
        <v>1993</v>
      </c>
      <c r="C14" s="164" t="s">
        <v>1994</v>
      </c>
      <c r="D14" s="165"/>
      <c r="E14" s="166">
        <v>200</v>
      </c>
      <c r="F14" s="363"/>
      <c r="G14" s="369"/>
      <c r="H14" s="174">
        <f>D14*E14</f>
        <v>0</v>
      </c>
      <c r="I14" s="175"/>
      <c r="J14" s="175"/>
      <c r="K14" s="176"/>
      <c r="L14" s="174"/>
      <c r="M14" s="175"/>
      <c r="N14" s="175"/>
      <c r="O14" s="176"/>
      <c r="P14" s="174"/>
      <c r="Q14" s="175"/>
      <c r="R14" s="175"/>
      <c r="S14" s="176"/>
      <c r="T14" s="174"/>
      <c r="U14" s="175"/>
      <c r="V14" s="175"/>
      <c r="W14" s="176"/>
      <c r="X14" s="174"/>
      <c r="Y14" s="175"/>
      <c r="Z14" s="175"/>
      <c r="AA14" s="176"/>
    </row>
    <row r="15" spans="1:31" s="151" customFormat="1" ht="11.25" customHeight="1">
      <c r="B15" s="163" t="s">
        <v>83</v>
      </c>
      <c r="C15" s="164" t="s">
        <v>90</v>
      </c>
      <c r="D15" s="165">
        <v>100</v>
      </c>
      <c r="E15" s="166">
        <v>78</v>
      </c>
      <c r="F15" s="363">
        <v>51</v>
      </c>
      <c r="G15" s="369">
        <v>42</v>
      </c>
      <c r="H15" s="174"/>
      <c r="I15" s="175"/>
      <c r="J15" s="175"/>
      <c r="K15" s="176"/>
      <c r="L15" s="174">
        <f>D15*(E15+F15+G15)</f>
        <v>17100</v>
      </c>
      <c r="M15" s="175"/>
      <c r="N15" s="175"/>
      <c r="O15" s="176"/>
      <c r="P15" s="174">
        <f>D15*E15</f>
        <v>7800</v>
      </c>
      <c r="Q15" s="175"/>
      <c r="R15" s="175"/>
      <c r="S15" s="176"/>
      <c r="T15" s="174">
        <f>D15*F15</f>
        <v>5100</v>
      </c>
      <c r="U15" s="175"/>
      <c r="V15" s="175"/>
      <c r="W15" s="176"/>
      <c r="X15" s="174">
        <f>D15*G15</f>
        <v>4200</v>
      </c>
      <c r="Y15" s="175"/>
      <c r="Z15" s="175"/>
      <c r="AA15" s="176"/>
    </row>
    <row r="16" spans="1:31" s="151" customFormat="1" ht="11.25" customHeight="1">
      <c r="B16" s="163" t="s">
        <v>83</v>
      </c>
      <c r="C16" s="164" t="s">
        <v>90</v>
      </c>
      <c r="D16" s="165">
        <v>100</v>
      </c>
      <c r="E16" s="166">
        <v>78</v>
      </c>
      <c r="F16" s="363">
        <v>70</v>
      </c>
      <c r="G16" s="369">
        <v>42</v>
      </c>
      <c r="H16" s="174"/>
      <c r="I16" s="175"/>
      <c r="J16" s="175"/>
      <c r="K16" s="176"/>
      <c r="L16" s="174">
        <f>D16*(E16+F16+G16)</f>
        <v>19000</v>
      </c>
      <c r="M16" s="175"/>
      <c r="N16" s="175"/>
      <c r="O16" s="176"/>
      <c r="P16" s="174">
        <f>D16*E16</f>
        <v>7800</v>
      </c>
      <c r="Q16" s="175"/>
      <c r="R16" s="175"/>
      <c r="S16" s="176"/>
      <c r="T16" s="174">
        <f>D16*F16</f>
        <v>7000</v>
      </c>
      <c r="U16" s="175"/>
      <c r="V16" s="175"/>
      <c r="W16" s="176"/>
      <c r="X16" s="174">
        <f>D16*G16</f>
        <v>4200</v>
      </c>
      <c r="Y16" s="175"/>
      <c r="Z16" s="175"/>
      <c r="AA16" s="176"/>
    </row>
    <row r="17" spans="1:27" s="151" customFormat="1" ht="11.25" customHeight="1">
      <c r="B17" s="163"/>
      <c r="C17" s="164"/>
      <c r="D17" s="165"/>
      <c r="E17" s="166"/>
      <c r="F17" s="363"/>
      <c r="G17" s="369"/>
      <c r="H17" s="174"/>
      <c r="I17" s="175"/>
      <c r="J17" s="175"/>
      <c r="K17" s="176"/>
      <c r="L17" s="174"/>
      <c r="M17" s="175"/>
      <c r="N17" s="175"/>
      <c r="O17" s="176"/>
      <c r="P17" s="174"/>
      <c r="Q17" s="175"/>
      <c r="R17" s="175"/>
      <c r="S17" s="176"/>
      <c r="T17" s="174"/>
      <c r="U17" s="175"/>
      <c r="V17" s="175"/>
      <c r="W17" s="176"/>
      <c r="X17" s="174"/>
      <c r="Y17" s="175"/>
      <c r="Z17" s="175"/>
      <c r="AA17" s="176"/>
    </row>
    <row r="18" spans="1:27" s="151" customFormat="1" ht="11.25" customHeight="1">
      <c r="A18" s="139" t="s">
        <v>245</v>
      </c>
      <c r="B18" s="157"/>
      <c r="C18" s="158"/>
      <c r="D18" s="159"/>
      <c r="E18" s="167"/>
      <c r="F18" s="364"/>
      <c r="G18" s="370"/>
      <c r="H18" s="177">
        <f>D18*E18</f>
        <v>0</v>
      </c>
      <c r="I18" s="178"/>
      <c r="J18" s="178"/>
      <c r="K18" s="179"/>
      <c r="L18" s="177"/>
      <c r="M18" s="178"/>
      <c r="N18" s="178"/>
      <c r="O18" s="179"/>
      <c r="P18" s="177"/>
      <c r="Q18" s="178"/>
      <c r="R18" s="178"/>
      <c r="S18" s="179"/>
      <c r="T18" s="177"/>
      <c r="U18" s="178"/>
      <c r="V18" s="178"/>
      <c r="W18" s="179"/>
      <c r="X18" s="177"/>
      <c r="Y18" s="178"/>
      <c r="Z18" s="178"/>
      <c r="AA18" s="179"/>
    </row>
    <row r="19" spans="1:27">
      <c r="A19" s="70"/>
      <c r="B19" s="155"/>
      <c r="C19" s="156"/>
      <c r="D19" s="162"/>
      <c r="E19" s="168"/>
      <c r="F19" s="365"/>
      <c r="G19" s="371"/>
      <c r="H19" s="180"/>
      <c r="I19" s="181"/>
      <c r="J19" s="181"/>
      <c r="K19" s="182"/>
      <c r="L19" s="180"/>
      <c r="M19" s="181"/>
      <c r="N19" s="181"/>
      <c r="O19" s="182"/>
      <c r="P19" s="180"/>
      <c r="Q19" s="181"/>
      <c r="R19" s="181"/>
      <c r="S19" s="182"/>
      <c r="T19" s="180"/>
      <c r="U19" s="181"/>
      <c r="V19" s="181"/>
      <c r="W19" s="182"/>
      <c r="X19" s="180"/>
      <c r="Y19" s="181"/>
      <c r="Z19" s="181"/>
      <c r="AA19" s="182"/>
    </row>
    <row r="20" spans="1:27" ht="15" customHeight="1">
      <c r="B20" s="154" t="s">
        <v>143</v>
      </c>
      <c r="C20"/>
      <c r="D20"/>
      <c r="E20"/>
      <c r="F20"/>
      <c r="G20"/>
      <c r="H20"/>
      <c r="I20"/>
      <c r="J20"/>
      <c r="K20"/>
      <c r="L20"/>
      <c r="M20"/>
      <c r="N20"/>
      <c r="O20"/>
    </row>
    <row r="21" spans="1:27" ht="13.5" customHeight="1">
      <c r="B21" s="145" t="s">
        <v>141</v>
      </c>
      <c r="C21" s="146"/>
      <c r="D21" s="147"/>
      <c r="E21" s="1527" t="s">
        <v>132</v>
      </c>
      <c r="F21" s="1528"/>
      <c r="G21" s="1528"/>
      <c r="H21" s="1528"/>
      <c r="I21" s="1528"/>
      <c r="J21" s="1528"/>
      <c r="K21" s="1528"/>
      <c r="L21" s="1528"/>
      <c r="M21" s="1528"/>
      <c r="N21" s="1528"/>
      <c r="O21" s="1528"/>
      <c r="P21" s="1528"/>
      <c r="Q21" s="1528"/>
      <c r="R21" s="1529"/>
      <c r="S21" s="1530"/>
      <c r="T21" s="1524" t="s">
        <v>273</v>
      </c>
      <c r="U21" s="1531"/>
      <c r="V21" s="1531"/>
      <c r="W21" s="1532"/>
    </row>
    <row r="22" spans="1:27" ht="12.75" customHeight="1">
      <c r="B22" s="213"/>
      <c r="C22" s="214"/>
      <c r="D22" s="215"/>
      <c r="E22" s="267" t="s">
        <v>260</v>
      </c>
      <c r="F22" s="268" t="s">
        <v>261</v>
      </c>
      <c r="G22" s="268" t="s">
        <v>207</v>
      </c>
      <c r="H22" s="268" t="s">
        <v>207</v>
      </c>
      <c r="I22" s="268" t="s">
        <v>262</v>
      </c>
      <c r="J22" s="269" t="s">
        <v>274</v>
      </c>
      <c r="K22" s="271" t="s">
        <v>218</v>
      </c>
      <c r="L22" s="268" t="s">
        <v>128</v>
      </c>
      <c r="M22" s="268" t="s">
        <v>219</v>
      </c>
      <c r="N22" s="268" t="s">
        <v>275</v>
      </c>
      <c r="O22" s="272" t="s">
        <v>220</v>
      </c>
      <c r="P22" s="273" t="s">
        <v>222</v>
      </c>
      <c r="Q22" s="342" t="s">
        <v>127</v>
      </c>
      <c r="R22" s="343" t="s">
        <v>211</v>
      </c>
      <c r="S22" s="344" t="s">
        <v>212</v>
      </c>
      <c r="T22" s="345" t="s">
        <v>133</v>
      </c>
      <c r="U22" s="268" t="s">
        <v>267</v>
      </c>
      <c r="V22" s="343" t="s">
        <v>276</v>
      </c>
      <c r="W22" s="344" t="s">
        <v>135</v>
      </c>
    </row>
    <row r="23" spans="1:27">
      <c r="B23" s="144" t="s">
        <v>72</v>
      </c>
      <c r="C23" s="129" t="s">
        <v>73</v>
      </c>
      <c r="D23" s="140" t="s">
        <v>21</v>
      </c>
      <c r="E23" s="304"/>
      <c r="F23" s="270"/>
      <c r="G23" s="270" t="s">
        <v>215</v>
      </c>
      <c r="H23" s="270" t="s">
        <v>216</v>
      </c>
      <c r="I23" s="270"/>
      <c r="J23" s="270" t="s">
        <v>217</v>
      </c>
      <c r="K23" s="270" t="s">
        <v>277</v>
      </c>
      <c r="L23" s="270"/>
      <c r="M23" s="270" t="s">
        <v>278</v>
      </c>
      <c r="N23" s="270" t="s">
        <v>279</v>
      </c>
      <c r="O23" s="270" t="s">
        <v>221</v>
      </c>
      <c r="P23" s="270" t="s">
        <v>223</v>
      </c>
      <c r="Q23" s="346" t="s">
        <v>280</v>
      </c>
      <c r="R23" s="215" t="s">
        <v>281</v>
      </c>
      <c r="S23" s="347" t="s">
        <v>281</v>
      </c>
      <c r="T23" s="348"/>
      <c r="U23" s="214"/>
      <c r="V23" s="349"/>
      <c r="W23" s="347"/>
    </row>
    <row r="24" spans="1:27" s="151" customFormat="1" ht="15.75" customHeight="1">
      <c r="A24" s="148"/>
      <c r="B24" s="149"/>
      <c r="C24" s="150"/>
      <c r="D24" s="152"/>
      <c r="E24" s="171">
        <f t="shared" ref="E24:W24" si="1">SUM(E25:E34)</f>
        <v>200</v>
      </c>
      <c r="F24" s="172">
        <f t="shared" si="1"/>
        <v>400</v>
      </c>
      <c r="G24" s="172">
        <f t="shared" si="1"/>
        <v>600</v>
      </c>
      <c r="H24" s="172">
        <f t="shared" si="1"/>
        <v>800</v>
      </c>
      <c r="I24" s="172">
        <f t="shared" si="1"/>
        <v>1000</v>
      </c>
      <c r="J24" s="172">
        <f t="shared" si="1"/>
        <v>1200</v>
      </c>
      <c r="K24" s="172">
        <f t="shared" si="1"/>
        <v>1400</v>
      </c>
      <c r="L24" s="172">
        <f t="shared" si="1"/>
        <v>1600</v>
      </c>
      <c r="M24" s="172">
        <f t="shared" si="1"/>
        <v>1800</v>
      </c>
      <c r="N24" s="172">
        <f t="shared" si="1"/>
        <v>2000</v>
      </c>
      <c r="O24" s="305">
        <f t="shared" si="1"/>
        <v>2200</v>
      </c>
      <c r="P24" s="172">
        <f t="shared" si="1"/>
        <v>2400</v>
      </c>
      <c r="Q24" s="350">
        <f t="shared" si="1"/>
        <v>2600</v>
      </c>
      <c r="R24" s="172">
        <f t="shared" si="1"/>
        <v>2800</v>
      </c>
      <c r="S24" s="173">
        <f t="shared" si="1"/>
        <v>3000</v>
      </c>
      <c r="T24" s="353">
        <f t="shared" si="1"/>
        <v>3200</v>
      </c>
      <c r="U24" s="172">
        <f t="shared" si="1"/>
        <v>3400</v>
      </c>
      <c r="V24" s="350">
        <f t="shared" si="1"/>
        <v>3600</v>
      </c>
      <c r="W24" s="173">
        <f t="shared" si="1"/>
        <v>1900</v>
      </c>
    </row>
    <row r="25" spans="1:27" s="151" customFormat="1" ht="11.25" customHeight="1">
      <c r="B25" s="157"/>
      <c r="C25" s="158"/>
      <c r="D25" s="159"/>
      <c r="E25" s="177"/>
      <c r="F25" s="178"/>
      <c r="G25" s="178"/>
      <c r="H25" s="178"/>
      <c r="I25" s="178"/>
      <c r="J25" s="178"/>
      <c r="K25" s="178"/>
      <c r="L25" s="178"/>
      <c r="M25" s="178"/>
      <c r="N25" s="178"/>
      <c r="O25" s="274"/>
      <c r="P25" s="178"/>
      <c r="Q25" s="351"/>
      <c r="R25" s="178"/>
      <c r="S25" s="179"/>
      <c r="T25" s="354"/>
      <c r="U25" s="178"/>
      <c r="V25" s="351"/>
      <c r="W25" s="357"/>
    </row>
    <row r="26" spans="1:27" s="151" customFormat="1" ht="11.25" customHeight="1">
      <c r="B26" s="157" t="s">
        <v>83</v>
      </c>
      <c r="C26" s="158" t="s">
        <v>90</v>
      </c>
      <c r="D26" s="159">
        <v>100</v>
      </c>
      <c r="E26" s="177">
        <f>D26*1</f>
        <v>100</v>
      </c>
      <c r="F26" s="178">
        <f>D26*2</f>
        <v>200</v>
      </c>
      <c r="G26" s="178">
        <f>D26*3</f>
        <v>300</v>
      </c>
      <c r="H26" s="178">
        <f>D26*4</f>
        <v>400</v>
      </c>
      <c r="I26" s="178">
        <f>D26*5</f>
        <v>500</v>
      </c>
      <c r="J26" s="178">
        <f>D26*6</f>
        <v>600</v>
      </c>
      <c r="K26" s="178">
        <f>D26*7</f>
        <v>700</v>
      </c>
      <c r="L26" s="178">
        <f>D26*8</f>
        <v>800</v>
      </c>
      <c r="M26" s="178">
        <f>D26*9</f>
        <v>900</v>
      </c>
      <c r="N26" s="178">
        <f>D26*10</f>
        <v>1000</v>
      </c>
      <c r="O26" s="274">
        <f>D26*11</f>
        <v>1100</v>
      </c>
      <c r="P26" s="178">
        <f>D26*12</f>
        <v>1200</v>
      </c>
      <c r="Q26" s="351">
        <f>D26*13</f>
        <v>1300</v>
      </c>
      <c r="R26" s="178">
        <f>D26*14</f>
        <v>1400</v>
      </c>
      <c r="S26" s="179">
        <f>D26*15</f>
        <v>1500</v>
      </c>
      <c r="T26" s="354">
        <f>D26*16</f>
        <v>1600</v>
      </c>
      <c r="U26" s="178">
        <f>D26*17</f>
        <v>1700</v>
      </c>
      <c r="V26" s="351">
        <f>D26*18</f>
        <v>1800</v>
      </c>
      <c r="W26" s="357"/>
    </row>
    <row r="27" spans="1:27" s="151" customFormat="1" ht="11.25" customHeight="1">
      <c r="B27" s="157" t="s">
        <v>83</v>
      </c>
      <c r="C27" s="158" t="s">
        <v>90</v>
      </c>
      <c r="D27" s="159">
        <v>100</v>
      </c>
      <c r="E27" s="177">
        <f>D27*1</f>
        <v>100</v>
      </c>
      <c r="F27" s="178">
        <f>D27*2</f>
        <v>200</v>
      </c>
      <c r="G27" s="178">
        <f>D27*3</f>
        <v>300</v>
      </c>
      <c r="H27" s="178">
        <f>D27*4</f>
        <v>400</v>
      </c>
      <c r="I27" s="178">
        <f>D27*5</f>
        <v>500</v>
      </c>
      <c r="J27" s="178">
        <f>D27*6</f>
        <v>600</v>
      </c>
      <c r="K27" s="178">
        <f>D27*7</f>
        <v>700</v>
      </c>
      <c r="L27" s="178">
        <f>D27*8</f>
        <v>800</v>
      </c>
      <c r="M27" s="178">
        <f>D27*9</f>
        <v>900</v>
      </c>
      <c r="N27" s="178">
        <f>D27*10</f>
        <v>1000</v>
      </c>
      <c r="O27" s="274">
        <f>D27*11</f>
        <v>1100</v>
      </c>
      <c r="P27" s="178">
        <f>D27*12</f>
        <v>1200</v>
      </c>
      <c r="Q27" s="351">
        <f>D27*13</f>
        <v>1300</v>
      </c>
      <c r="R27" s="178">
        <f>D27*14</f>
        <v>1400</v>
      </c>
      <c r="S27" s="179">
        <f>D27*15</f>
        <v>1500</v>
      </c>
      <c r="T27" s="354">
        <f>D27*16</f>
        <v>1600</v>
      </c>
      <c r="U27" s="178">
        <f>D27*17</f>
        <v>1700</v>
      </c>
      <c r="V27" s="351">
        <f>D27*18</f>
        <v>1800</v>
      </c>
      <c r="W27" s="357">
        <f>D27*19</f>
        <v>1900</v>
      </c>
    </row>
    <row r="28" spans="1:27" s="151" customFormat="1" ht="11.25" customHeight="1">
      <c r="B28" s="157"/>
      <c r="C28" s="158"/>
      <c r="D28" s="159"/>
      <c r="E28" s="177"/>
      <c r="F28" s="178"/>
      <c r="G28" s="178"/>
      <c r="H28" s="178"/>
      <c r="I28" s="178"/>
      <c r="J28" s="178"/>
      <c r="K28" s="178"/>
      <c r="L28" s="178"/>
      <c r="M28" s="178"/>
      <c r="N28" s="178"/>
      <c r="O28" s="274"/>
      <c r="P28" s="178"/>
      <c r="Q28" s="351"/>
      <c r="R28" s="178"/>
      <c r="S28" s="179"/>
      <c r="T28" s="354"/>
      <c r="U28" s="178"/>
      <c r="V28" s="351"/>
      <c r="W28" s="357"/>
    </row>
    <row r="29" spans="1:27" s="151" customFormat="1" ht="11.25" customHeight="1">
      <c r="A29" s="139" t="s">
        <v>247</v>
      </c>
      <c r="B29" s="157"/>
      <c r="C29" s="158"/>
      <c r="D29" s="159"/>
      <c r="E29" s="177"/>
      <c r="F29" s="178"/>
      <c r="G29" s="178"/>
      <c r="H29" s="178"/>
      <c r="I29" s="178"/>
      <c r="J29" s="178"/>
      <c r="K29" s="178"/>
      <c r="L29" s="178"/>
      <c r="M29" s="178"/>
      <c r="N29" s="178"/>
      <c r="O29" s="274"/>
      <c r="P29" s="178"/>
      <c r="Q29" s="351"/>
      <c r="R29" s="178"/>
      <c r="S29" s="179"/>
      <c r="T29" s="354"/>
      <c r="U29" s="178">
        <f>$D29*O29</f>
        <v>0</v>
      </c>
      <c r="V29" s="351">
        <f>$D29*P29</f>
        <v>0</v>
      </c>
      <c r="W29" s="359"/>
    </row>
    <row r="30" spans="1:27">
      <c r="A30" s="70"/>
      <c r="B30" s="155"/>
      <c r="C30" s="156"/>
      <c r="D30" s="162"/>
      <c r="E30" s="180"/>
      <c r="F30" s="181"/>
      <c r="G30" s="181"/>
      <c r="H30" s="275"/>
      <c r="I30" s="275"/>
      <c r="J30" s="275"/>
      <c r="K30" s="275"/>
      <c r="L30" s="275"/>
      <c r="M30" s="275"/>
      <c r="N30" s="275"/>
      <c r="O30" s="275"/>
      <c r="P30" s="275"/>
      <c r="Q30" s="352"/>
      <c r="R30" s="181"/>
      <c r="S30" s="182"/>
      <c r="T30" s="355"/>
      <c r="U30" s="181">
        <f>$D30*O30</f>
        <v>0</v>
      </c>
      <c r="V30" s="356">
        <f>$D30*P30</f>
        <v>0</v>
      </c>
      <c r="W30" s="358"/>
    </row>
    <row r="31" spans="1:27">
      <c r="E31" s="70"/>
    </row>
  </sheetData>
  <mergeCells count="15">
    <mergeCell ref="X7:AA7"/>
    <mergeCell ref="E21:S21"/>
    <mergeCell ref="T21:W21"/>
    <mergeCell ref="G5:J5"/>
    <mergeCell ref="O2:R2"/>
    <mergeCell ref="O3:R3"/>
    <mergeCell ref="O4:R4"/>
    <mergeCell ref="O5:R5"/>
    <mergeCell ref="G2:J2"/>
    <mergeCell ref="G3:J3"/>
    <mergeCell ref="G4:J4"/>
    <mergeCell ref="H7:K7"/>
    <mergeCell ref="T7:W7"/>
    <mergeCell ref="L7:O7"/>
    <mergeCell ref="P7:S7"/>
  </mergeCells>
  <phoneticPr fontId="8"/>
  <pageMargins left="0.19685039370078741" right="0.19685039370078741" top="0.78740157480314965" bottom="0.19685039370078741" header="0.51181102362204722" footer="0.51181102362204722"/>
  <pageSetup paperSize="9" scale="88" orientation="landscape"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AH13"/>
  <sheetViews>
    <sheetView workbookViewId="0">
      <pane xSplit="4" topLeftCell="E1" activePane="topRight" state="frozen"/>
      <selection activeCell="C73" sqref="C73"/>
      <selection pane="topRight" sqref="A1:XFD1048576"/>
    </sheetView>
  </sheetViews>
  <sheetFormatPr baseColWidth="10" defaultColWidth="9" defaultRowHeight="14"/>
  <cols>
    <col min="1" max="1" width="3.6640625" style="122" customWidth="1"/>
    <col min="2" max="2" width="4.83203125" style="122" customWidth="1"/>
    <col min="3" max="3" width="16.33203125" style="122" customWidth="1"/>
    <col min="4" max="4" width="16.6640625" style="122" customWidth="1"/>
    <col min="5" max="5" width="5.33203125" style="122" bestFit="1" customWidth="1"/>
    <col min="6" max="6" width="23.6640625" style="122" bestFit="1" customWidth="1"/>
    <col min="7" max="13" width="4.6640625" style="122" customWidth="1"/>
    <col min="14" max="34" width="5.6640625" style="122" customWidth="1"/>
    <col min="35" max="16384" width="9" style="122"/>
  </cols>
  <sheetData>
    <row r="1" spans="1:34">
      <c r="A1" s="122" t="s">
        <v>41</v>
      </c>
      <c r="B1" s="122" t="s">
        <v>32</v>
      </c>
      <c r="C1" s="122" t="s">
        <v>64</v>
      </c>
      <c r="D1" s="122" t="s">
        <v>33</v>
      </c>
      <c r="E1" s="122" t="s">
        <v>34</v>
      </c>
      <c r="F1" s="122" t="s">
        <v>40</v>
      </c>
      <c r="G1" s="122" t="s">
        <v>35</v>
      </c>
      <c r="H1" s="122" t="s">
        <v>36</v>
      </c>
      <c r="I1" s="122" t="s">
        <v>98</v>
      </c>
      <c r="J1" s="122" t="s">
        <v>99</v>
      </c>
      <c r="K1" s="122" t="s">
        <v>37</v>
      </c>
      <c r="L1" s="122" t="s">
        <v>38</v>
      </c>
      <c r="M1" s="122" t="s">
        <v>39</v>
      </c>
      <c r="N1" s="122" t="s">
        <v>142</v>
      </c>
      <c r="O1" s="122" t="s">
        <v>246</v>
      </c>
      <c r="P1" s="122" t="s">
        <v>206</v>
      </c>
      <c r="Q1" s="122" t="s">
        <v>226</v>
      </c>
      <c r="R1" s="122" t="s">
        <v>227</v>
      </c>
      <c r="S1" s="122" t="s">
        <v>127</v>
      </c>
      <c r="T1" s="122" t="s">
        <v>138</v>
      </c>
      <c r="U1" s="122" t="s">
        <v>129</v>
      </c>
      <c r="V1" s="122" t="s">
        <v>128</v>
      </c>
      <c r="W1" s="122" t="s">
        <v>228</v>
      </c>
      <c r="X1" s="122" t="s">
        <v>229</v>
      </c>
      <c r="Y1" s="122" t="s">
        <v>230</v>
      </c>
      <c r="Z1" s="122" t="s">
        <v>214</v>
      </c>
      <c r="AA1" s="122" t="s">
        <v>2059</v>
      </c>
      <c r="AB1" s="122" t="s">
        <v>265</v>
      </c>
      <c r="AC1" s="122" t="s">
        <v>266</v>
      </c>
      <c r="AD1" s="122" t="s">
        <v>133</v>
      </c>
      <c r="AE1" s="122" t="s">
        <v>139</v>
      </c>
      <c r="AF1" s="122" t="s">
        <v>140</v>
      </c>
      <c r="AG1" s="122" t="s">
        <v>135</v>
      </c>
      <c r="AH1" s="122" t="s">
        <v>2060</v>
      </c>
    </row>
    <row r="2" spans="1:34">
      <c r="A2" s="122">
        <v>3</v>
      </c>
      <c r="B2" s="122">
        <v>101</v>
      </c>
      <c r="C2" s="122" t="s">
        <v>116</v>
      </c>
      <c r="D2" s="122" t="s">
        <v>100</v>
      </c>
      <c r="E2" s="122" t="s">
        <v>101</v>
      </c>
      <c r="N2" s="122">
        <v>1000</v>
      </c>
    </row>
    <row r="3" spans="1:34">
      <c r="A3" s="122">
        <v>3</v>
      </c>
      <c r="B3" s="122">
        <v>102</v>
      </c>
      <c r="C3" s="122" t="s">
        <v>116</v>
      </c>
      <c r="D3" s="122" t="s">
        <v>79</v>
      </c>
      <c r="E3" s="122" t="s">
        <v>101</v>
      </c>
      <c r="N3" s="122">
        <v>1000</v>
      </c>
    </row>
    <row r="4" spans="1:34">
      <c r="A4" s="122">
        <v>3</v>
      </c>
      <c r="B4" s="122">
        <v>103</v>
      </c>
      <c r="C4" s="122" t="s">
        <v>116</v>
      </c>
      <c r="D4" s="122" t="s">
        <v>80</v>
      </c>
      <c r="E4" s="122" t="s">
        <v>101</v>
      </c>
      <c r="N4" s="122">
        <v>1000</v>
      </c>
    </row>
    <row r="5" spans="1:34">
      <c r="A5" s="122">
        <v>3</v>
      </c>
      <c r="B5" s="122">
        <v>104</v>
      </c>
      <c r="C5" s="122" t="s">
        <v>117</v>
      </c>
      <c r="D5" s="122" t="s">
        <v>81</v>
      </c>
      <c r="E5" s="122" t="s">
        <v>101</v>
      </c>
      <c r="N5" s="122">
        <v>1000</v>
      </c>
    </row>
    <row r="6" spans="1:34">
      <c r="A6" s="122">
        <v>3</v>
      </c>
      <c r="B6" s="122">
        <v>105</v>
      </c>
      <c r="C6" s="122" t="s">
        <v>117</v>
      </c>
      <c r="D6" s="122" t="s">
        <v>82</v>
      </c>
      <c r="E6" s="122" t="s">
        <v>101</v>
      </c>
      <c r="N6" s="122">
        <v>1000</v>
      </c>
    </row>
    <row r="7" spans="1:34">
      <c r="A7" s="122">
        <v>4</v>
      </c>
      <c r="B7" s="122">
        <v>106</v>
      </c>
      <c r="C7" s="122" t="s">
        <v>83</v>
      </c>
      <c r="D7" s="122" t="s">
        <v>84</v>
      </c>
      <c r="E7" s="122" t="s">
        <v>65</v>
      </c>
      <c r="N7" s="122">
        <v>0</v>
      </c>
    </row>
    <row r="8" spans="1:34">
      <c r="A8" s="122">
        <v>4</v>
      </c>
      <c r="B8" s="122">
        <v>107</v>
      </c>
      <c r="C8" s="122" t="s">
        <v>83</v>
      </c>
      <c r="D8" s="122" t="s">
        <v>85</v>
      </c>
      <c r="E8" s="122" t="s">
        <v>65</v>
      </c>
      <c r="N8" s="122">
        <v>0</v>
      </c>
    </row>
    <row r="9" spans="1:34">
      <c r="A9" s="122">
        <v>4</v>
      </c>
      <c r="B9" s="122">
        <v>109</v>
      </c>
      <c r="C9" s="122" t="s">
        <v>83</v>
      </c>
      <c r="D9" s="122" t="s">
        <v>113</v>
      </c>
      <c r="E9" s="122" t="s">
        <v>65</v>
      </c>
      <c r="N9" s="122">
        <v>0</v>
      </c>
    </row>
    <row r="10" spans="1:34">
      <c r="A10" s="122">
        <v>3</v>
      </c>
      <c r="B10" s="122">
        <v>110</v>
      </c>
      <c r="C10" s="122" t="s">
        <v>83</v>
      </c>
      <c r="D10" s="122" t="s">
        <v>181</v>
      </c>
      <c r="E10" s="122" t="s">
        <v>65</v>
      </c>
      <c r="N10" s="122">
        <v>0</v>
      </c>
    </row>
    <row r="11" spans="1:34" s="473" customFormat="1">
      <c r="A11" s="473">
        <v>4</v>
      </c>
      <c r="B11" s="473">
        <v>108</v>
      </c>
      <c r="C11" s="473" t="s">
        <v>83</v>
      </c>
      <c r="D11" s="473" t="s">
        <v>90</v>
      </c>
      <c r="E11" s="473" t="s">
        <v>65</v>
      </c>
      <c r="N11" s="473">
        <v>0</v>
      </c>
      <c r="O11" s="473">
        <v>1</v>
      </c>
      <c r="P11" s="473">
        <v>2</v>
      </c>
      <c r="Q11" s="473">
        <v>3</v>
      </c>
      <c r="R11" s="473">
        <v>4</v>
      </c>
      <c r="S11" s="473">
        <v>5</v>
      </c>
      <c r="T11" s="473">
        <v>6</v>
      </c>
      <c r="U11" s="473">
        <v>7</v>
      </c>
      <c r="V11" s="473">
        <v>8</v>
      </c>
      <c r="W11" s="473">
        <v>9</v>
      </c>
      <c r="X11" s="473">
        <v>10</v>
      </c>
      <c r="Y11" s="473">
        <v>11</v>
      </c>
      <c r="Z11" s="473">
        <v>12</v>
      </c>
      <c r="AA11" s="473">
        <v>13</v>
      </c>
      <c r="AB11" s="473">
        <v>14</v>
      </c>
      <c r="AC11" s="473">
        <v>15</v>
      </c>
      <c r="AD11" s="473">
        <v>16</v>
      </c>
      <c r="AE11" s="473">
        <v>17</v>
      </c>
      <c r="AF11" s="473">
        <v>18</v>
      </c>
      <c r="AG11" s="473">
        <v>19</v>
      </c>
      <c r="AH11" s="473">
        <v>20</v>
      </c>
    </row>
    <row r="12" spans="1:34">
      <c r="A12" s="122">
        <v>99</v>
      </c>
      <c r="B12" s="122">
        <v>1</v>
      </c>
      <c r="C12" s="122" t="str">
        <f>代価!$D$5</f>
        <v>未記入</v>
      </c>
      <c r="D12" s="122" t="str">
        <f>代価!$E$5</f>
        <v>未記入</v>
      </c>
      <c r="E12" s="122" t="str">
        <f>代価!$G$5</f>
        <v>未記入</v>
      </c>
      <c r="F12" s="122">
        <f>代価!$J$5</f>
        <v>0</v>
      </c>
      <c r="H12" s="122">
        <f>代価!$I24</f>
        <v>0</v>
      </c>
      <c r="I12" s="122" t="s">
        <v>2067</v>
      </c>
      <c r="J12" s="122" t="s">
        <v>2067</v>
      </c>
      <c r="K12" s="122" t="s">
        <v>2067</v>
      </c>
      <c r="L12" s="122" t="s">
        <v>2067</v>
      </c>
      <c r="M12" s="122" t="s">
        <v>2067</v>
      </c>
      <c r="N12" s="122">
        <f>代価!$O$24</f>
        <v>0</v>
      </c>
      <c r="O12" s="122">
        <f>代価!$P$24</f>
        <v>0</v>
      </c>
      <c r="P12" s="122">
        <f>代価!$Q$24</f>
        <v>0</v>
      </c>
      <c r="Q12" s="122">
        <f>代価!$R$24</f>
        <v>0</v>
      </c>
      <c r="R12" s="122">
        <f>代価!$S$24</f>
        <v>0</v>
      </c>
      <c r="S12" s="122">
        <f>代価!$T$24</f>
        <v>0</v>
      </c>
      <c r="T12" s="122">
        <f>代価!$U$24</f>
        <v>0</v>
      </c>
      <c r="U12" s="122">
        <f>代価!$V$24</f>
        <v>0</v>
      </c>
      <c r="V12" s="122">
        <f>代価!$W$24</f>
        <v>0</v>
      </c>
      <c r="W12" s="122">
        <f>代価!$X$24</f>
        <v>0</v>
      </c>
      <c r="X12" s="122">
        <f>代価!$Y$24</f>
        <v>0</v>
      </c>
      <c r="Y12" s="122">
        <f>代価!$Z$24</f>
        <v>0</v>
      </c>
      <c r="Z12" s="122">
        <f>代価!$AA$24</f>
        <v>0</v>
      </c>
      <c r="AA12" s="122">
        <f>代価!$AB$24</f>
        <v>0</v>
      </c>
      <c r="AB12" s="122">
        <f>代価!$AC$24</f>
        <v>0</v>
      </c>
      <c r="AC12" s="122">
        <f>代価!$AD$24</f>
        <v>0</v>
      </c>
      <c r="AD12" s="122">
        <f>代価!$AE$24</f>
        <v>0</v>
      </c>
      <c r="AE12" s="122">
        <f>代価!$AF$24</f>
        <v>0</v>
      </c>
      <c r="AF12" s="122">
        <f>代価!$AG$24</f>
        <v>0</v>
      </c>
    </row>
    <row r="13" spans="1:34">
      <c r="A13" s="122">
        <v>99</v>
      </c>
      <c r="B13" s="122">
        <v>2</v>
      </c>
      <c r="C13" s="122" t="str">
        <f>代価!$D$28</f>
        <v>会所４００角</v>
      </c>
      <c r="D13" s="122" t="str">
        <f>代価!$E$28</f>
        <v xml:space="preserve"> H=1200 根切共</v>
      </c>
      <c r="E13" s="122" t="str">
        <f>代価!$G$28</f>
        <v>ヵ所</v>
      </c>
      <c r="F13" s="122">
        <f>代価!$J$28</f>
        <v>0</v>
      </c>
      <c r="H13" s="122">
        <f>代価!$I47</f>
        <v>0</v>
      </c>
      <c r="I13" s="122" t="s">
        <v>2067</v>
      </c>
      <c r="J13" s="122" t="s">
        <v>2067</v>
      </c>
      <c r="K13" s="122" t="s">
        <v>2067</v>
      </c>
      <c r="L13" s="122" t="s">
        <v>2067</v>
      </c>
      <c r="M13" s="122" t="s">
        <v>2067</v>
      </c>
      <c r="N13" s="122">
        <f>代価!$O$47</f>
        <v>0</v>
      </c>
      <c r="O13" s="122">
        <f>代価!$P$47</f>
        <v>0</v>
      </c>
      <c r="P13" s="122">
        <f>代価!$Q$47</f>
        <v>0</v>
      </c>
      <c r="Q13" s="122">
        <f>代価!$R$47</f>
        <v>0</v>
      </c>
      <c r="R13" s="122">
        <f>代価!$S$47</f>
        <v>0</v>
      </c>
      <c r="S13" s="122">
        <f>代価!$T$47</f>
        <v>0</v>
      </c>
      <c r="T13" s="122">
        <f>代価!$U$47</f>
        <v>0</v>
      </c>
      <c r="U13" s="122">
        <f>代価!$V$47</f>
        <v>0</v>
      </c>
      <c r="V13" s="122">
        <f>代価!$W$47</f>
        <v>0</v>
      </c>
      <c r="W13" s="122">
        <f>代価!$X$47</f>
        <v>0</v>
      </c>
      <c r="X13" s="122">
        <f>代価!$Y$47</f>
        <v>0</v>
      </c>
      <c r="Y13" s="122">
        <f>代価!$Z$47</f>
        <v>0</v>
      </c>
      <c r="Z13" s="122">
        <f>代価!$AA$47</f>
        <v>0</v>
      </c>
      <c r="AA13" s="122">
        <f>代価!$AB$47</f>
        <v>0</v>
      </c>
      <c r="AB13" s="122">
        <f>代価!$AC$47</f>
        <v>0</v>
      </c>
      <c r="AC13" s="122">
        <f>代価!$AD$47</f>
        <v>0</v>
      </c>
      <c r="AD13" s="122">
        <f>代価!$AE$47</f>
        <v>0</v>
      </c>
      <c r="AE13" s="122">
        <f>代価!$AF$47</f>
        <v>0</v>
      </c>
      <c r="AF13" s="122">
        <f>代価!$AG$47</f>
        <v>0</v>
      </c>
    </row>
  </sheetData>
  <phoneticPr fontId="8"/>
  <pageMargins left="0.78740157480314965" right="0.78740157480314965" top="0.98425196850393704" bottom="0.98425196850393704" header="0.51181102362204722" footer="0.51181102362204722"/>
  <pageSetup paperSize="9" scale="57" orientation="landscape"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B1687"/>
  <sheetViews>
    <sheetView workbookViewId="0">
      <selection sqref="A1:XFD1048576"/>
    </sheetView>
  </sheetViews>
  <sheetFormatPr baseColWidth="10" defaultColWidth="8.83203125" defaultRowHeight="14"/>
  <cols>
    <col min="1" max="1" width="9.5" bestFit="1" customWidth="1"/>
    <col min="2" max="2" width="93.83203125" bestFit="1" customWidth="1"/>
  </cols>
  <sheetData>
    <row r="1" spans="1:2">
      <c r="A1" t="s">
        <v>2294</v>
      </c>
      <c r="B1" t="s">
        <v>2295</v>
      </c>
    </row>
    <row r="2" spans="1:2">
      <c r="A2" s="525">
        <v>10100101</v>
      </c>
      <c r="B2" t="s">
        <v>318</v>
      </c>
    </row>
    <row r="3" spans="1:2">
      <c r="A3" s="525">
        <v>10100201</v>
      </c>
      <c r="B3" t="s">
        <v>319</v>
      </c>
    </row>
    <row r="4" spans="1:2">
      <c r="A4" s="525">
        <v>10100301</v>
      </c>
      <c r="B4" t="s">
        <v>320</v>
      </c>
    </row>
    <row r="5" spans="1:2">
      <c r="A5" s="525">
        <v>10100401</v>
      </c>
      <c r="B5" t="s">
        <v>321</v>
      </c>
    </row>
    <row r="6" spans="1:2">
      <c r="A6" s="525">
        <v>10100501</v>
      </c>
      <c r="B6" t="s">
        <v>322</v>
      </c>
    </row>
    <row r="7" spans="1:2">
      <c r="A7" s="525">
        <v>10100601</v>
      </c>
      <c r="B7" t="s">
        <v>323</v>
      </c>
    </row>
    <row r="8" spans="1:2">
      <c r="A8" s="525">
        <v>10199901</v>
      </c>
      <c r="B8" t="s">
        <v>324</v>
      </c>
    </row>
    <row r="9" spans="1:2">
      <c r="A9" s="525">
        <v>10500701</v>
      </c>
      <c r="B9" t="s">
        <v>325</v>
      </c>
    </row>
    <row r="10" spans="1:2">
      <c r="A10" s="525">
        <v>10500702</v>
      </c>
      <c r="B10" t="s">
        <v>326</v>
      </c>
    </row>
    <row r="11" spans="1:2">
      <c r="A11" s="525">
        <v>10500703</v>
      </c>
      <c r="B11" t="s">
        <v>327</v>
      </c>
    </row>
    <row r="12" spans="1:2">
      <c r="A12" s="525">
        <v>10500704</v>
      </c>
      <c r="B12" t="s">
        <v>328</v>
      </c>
    </row>
    <row r="13" spans="1:2">
      <c r="A13" s="525">
        <v>10500705</v>
      </c>
      <c r="B13" t="s">
        <v>329</v>
      </c>
    </row>
    <row r="14" spans="1:2">
      <c r="A14" s="525">
        <v>10500706</v>
      </c>
      <c r="B14" t="s">
        <v>330</v>
      </c>
    </row>
    <row r="15" spans="1:2">
      <c r="A15" s="525">
        <v>10500707</v>
      </c>
      <c r="B15" t="s">
        <v>331</v>
      </c>
    </row>
    <row r="16" spans="1:2">
      <c r="A16" s="525">
        <v>10500708</v>
      </c>
      <c r="B16" t="s">
        <v>332</v>
      </c>
    </row>
    <row r="17" spans="1:2">
      <c r="A17" s="525">
        <v>10500709</v>
      </c>
      <c r="B17" t="s">
        <v>333</v>
      </c>
    </row>
    <row r="18" spans="1:2">
      <c r="A18" s="525">
        <v>10500801</v>
      </c>
      <c r="B18" t="s">
        <v>350</v>
      </c>
    </row>
    <row r="19" spans="1:2">
      <c r="A19" s="525">
        <v>10500802</v>
      </c>
      <c r="B19" t="s">
        <v>351</v>
      </c>
    </row>
    <row r="20" spans="1:2">
      <c r="A20" s="525">
        <v>10500803</v>
      </c>
      <c r="B20" t="s">
        <v>352</v>
      </c>
    </row>
    <row r="21" spans="1:2">
      <c r="A21" s="525">
        <v>10500804</v>
      </c>
      <c r="B21" t="s">
        <v>353</v>
      </c>
    </row>
    <row r="22" spans="1:2">
      <c r="A22" s="525">
        <v>10500805</v>
      </c>
      <c r="B22" t="s">
        <v>354</v>
      </c>
    </row>
    <row r="23" spans="1:2">
      <c r="A23" s="525">
        <v>10500806</v>
      </c>
      <c r="B23" t="s">
        <v>355</v>
      </c>
    </row>
    <row r="24" spans="1:2">
      <c r="A24" s="525">
        <v>10500807</v>
      </c>
      <c r="B24" t="s">
        <v>356</v>
      </c>
    </row>
    <row r="25" spans="1:2">
      <c r="A25">
        <v>10500808</v>
      </c>
      <c r="B25" t="s">
        <v>357</v>
      </c>
    </row>
    <row r="26" spans="1:2">
      <c r="A26">
        <v>10500809</v>
      </c>
      <c r="B26" t="s">
        <v>358</v>
      </c>
    </row>
    <row r="27" spans="1:2">
      <c r="A27" s="525">
        <v>10500901</v>
      </c>
      <c r="B27" t="s">
        <v>375</v>
      </c>
    </row>
    <row r="28" spans="1:2">
      <c r="A28" s="525">
        <v>10500902</v>
      </c>
      <c r="B28" t="s">
        <v>376</v>
      </c>
    </row>
    <row r="29" spans="1:2">
      <c r="A29" s="525">
        <v>10500903</v>
      </c>
      <c r="B29" t="s">
        <v>377</v>
      </c>
    </row>
    <row r="30" spans="1:2">
      <c r="A30" s="525">
        <v>10500904</v>
      </c>
      <c r="B30" t="s">
        <v>378</v>
      </c>
    </row>
    <row r="31" spans="1:2">
      <c r="A31" s="525">
        <v>10500905</v>
      </c>
      <c r="B31" t="s">
        <v>379</v>
      </c>
    </row>
    <row r="32" spans="1:2">
      <c r="A32" s="525">
        <v>10500906</v>
      </c>
      <c r="B32" t="s">
        <v>380</v>
      </c>
    </row>
    <row r="33" spans="1:2">
      <c r="A33" s="525">
        <v>10500907</v>
      </c>
      <c r="B33" t="s">
        <v>381</v>
      </c>
    </row>
    <row r="34" spans="1:2">
      <c r="A34" s="525">
        <v>10500908</v>
      </c>
      <c r="B34" t="s">
        <v>382</v>
      </c>
    </row>
    <row r="35" spans="1:2">
      <c r="A35">
        <v>10500909</v>
      </c>
      <c r="B35" t="s">
        <v>383</v>
      </c>
    </row>
    <row r="36" spans="1:2">
      <c r="A36">
        <v>10501001</v>
      </c>
      <c r="B36" t="s">
        <v>400</v>
      </c>
    </row>
    <row r="37" spans="1:2">
      <c r="A37">
        <v>10501002</v>
      </c>
      <c r="B37" t="s">
        <v>401</v>
      </c>
    </row>
    <row r="38" spans="1:2">
      <c r="A38">
        <v>10501003</v>
      </c>
      <c r="B38" t="s">
        <v>402</v>
      </c>
    </row>
    <row r="39" spans="1:2">
      <c r="A39">
        <v>10501004</v>
      </c>
      <c r="B39" t="s">
        <v>403</v>
      </c>
    </row>
    <row r="40" spans="1:2">
      <c r="A40">
        <v>10501005</v>
      </c>
      <c r="B40" t="s">
        <v>404</v>
      </c>
    </row>
    <row r="41" spans="1:2">
      <c r="A41">
        <v>10501006</v>
      </c>
      <c r="B41" t="s">
        <v>405</v>
      </c>
    </row>
    <row r="42" spans="1:2">
      <c r="A42">
        <v>10501007</v>
      </c>
      <c r="B42" t="s">
        <v>406</v>
      </c>
    </row>
    <row r="43" spans="1:2">
      <c r="A43">
        <v>10501008</v>
      </c>
      <c r="B43" t="s">
        <v>407</v>
      </c>
    </row>
    <row r="44" spans="1:2">
      <c r="A44">
        <v>10501009</v>
      </c>
      <c r="B44" t="s">
        <v>408</v>
      </c>
    </row>
    <row r="45" spans="1:2">
      <c r="A45" s="525">
        <v>10501101</v>
      </c>
      <c r="B45" t="s">
        <v>425</v>
      </c>
    </row>
    <row r="46" spans="1:2">
      <c r="A46" s="525">
        <v>10501102</v>
      </c>
      <c r="B46" t="s">
        <v>426</v>
      </c>
    </row>
    <row r="47" spans="1:2">
      <c r="A47" s="525">
        <v>10501103</v>
      </c>
      <c r="B47" t="s">
        <v>427</v>
      </c>
    </row>
    <row r="48" spans="1:2">
      <c r="A48" s="525">
        <v>10501104</v>
      </c>
      <c r="B48" t="s">
        <v>428</v>
      </c>
    </row>
    <row r="49" spans="1:2">
      <c r="A49" s="525">
        <v>10501105</v>
      </c>
      <c r="B49" t="s">
        <v>429</v>
      </c>
    </row>
    <row r="50" spans="1:2">
      <c r="A50" s="525">
        <v>10501106</v>
      </c>
      <c r="B50" t="s">
        <v>430</v>
      </c>
    </row>
    <row r="51" spans="1:2">
      <c r="A51" s="525">
        <v>10501107</v>
      </c>
      <c r="B51" t="s">
        <v>431</v>
      </c>
    </row>
    <row r="52" spans="1:2">
      <c r="A52">
        <v>10501108</v>
      </c>
      <c r="B52" t="s">
        <v>432</v>
      </c>
    </row>
    <row r="53" spans="1:2">
      <c r="A53">
        <v>10501109</v>
      </c>
      <c r="B53" t="s">
        <v>433</v>
      </c>
    </row>
    <row r="54" spans="1:2">
      <c r="A54">
        <v>10501201</v>
      </c>
      <c r="B54" t="s">
        <v>450</v>
      </c>
    </row>
    <row r="55" spans="1:2">
      <c r="A55">
        <v>10501202</v>
      </c>
      <c r="B55" t="s">
        <v>451</v>
      </c>
    </row>
    <row r="56" spans="1:2">
      <c r="A56">
        <v>10501203</v>
      </c>
      <c r="B56" t="s">
        <v>452</v>
      </c>
    </row>
    <row r="57" spans="1:2">
      <c r="A57">
        <v>10501204</v>
      </c>
      <c r="B57" t="s">
        <v>453</v>
      </c>
    </row>
    <row r="58" spans="1:2">
      <c r="A58">
        <v>10501205</v>
      </c>
      <c r="B58" t="s">
        <v>454</v>
      </c>
    </row>
    <row r="59" spans="1:2">
      <c r="A59">
        <v>10501206</v>
      </c>
      <c r="B59" t="s">
        <v>455</v>
      </c>
    </row>
    <row r="60" spans="1:2">
      <c r="A60">
        <v>10501207</v>
      </c>
      <c r="B60" t="s">
        <v>456</v>
      </c>
    </row>
    <row r="61" spans="1:2">
      <c r="A61">
        <v>10501208</v>
      </c>
      <c r="B61" t="s">
        <v>457</v>
      </c>
    </row>
    <row r="62" spans="1:2">
      <c r="A62">
        <v>10501209</v>
      </c>
      <c r="B62" t="s">
        <v>458</v>
      </c>
    </row>
    <row r="63" spans="1:2">
      <c r="A63">
        <v>10501301</v>
      </c>
      <c r="B63" t="s">
        <v>475</v>
      </c>
    </row>
    <row r="64" spans="1:2">
      <c r="A64">
        <v>10501302</v>
      </c>
      <c r="B64" t="s">
        <v>476</v>
      </c>
    </row>
    <row r="65" spans="1:2">
      <c r="A65">
        <v>10501303</v>
      </c>
      <c r="B65" t="s">
        <v>477</v>
      </c>
    </row>
    <row r="66" spans="1:2">
      <c r="A66">
        <v>10501304</v>
      </c>
      <c r="B66" t="s">
        <v>478</v>
      </c>
    </row>
    <row r="67" spans="1:2">
      <c r="A67">
        <v>10501305</v>
      </c>
      <c r="B67" t="s">
        <v>479</v>
      </c>
    </row>
    <row r="68" spans="1:2">
      <c r="A68">
        <v>10501306</v>
      </c>
      <c r="B68" t="s">
        <v>480</v>
      </c>
    </row>
    <row r="69" spans="1:2">
      <c r="A69">
        <v>10501307</v>
      </c>
      <c r="B69" t="s">
        <v>481</v>
      </c>
    </row>
    <row r="70" spans="1:2">
      <c r="A70">
        <v>10501308</v>
      </c>
      <c r="B70" t="s">
        <v>482</v>
      </c>
    </row>
    <row r="71" spans="1:2">
      <c r="A71">
        <v>10501309</v>
      </c>
      <c r="B71" t="s">
        <v>483</v>
      </c>
    </row>
    <row r="72" spans="1:2">
      <c r="A72">
        <v>10599901</v>
      </c>
      <c r="B72" t="s">
        <v>500</v>
      </c>
    </row>
    <row r="73" spans="1:2">
      <c r="A73">
        <v>10599902</v>
      </c>
      <c r="B73" t="s">
        <v>501</v>
      </c>
    </row>
    <row r="74" spans="1:2">
      <c r="A74">
        <v>10599903</v>
      </c>
      <c r="B74" t="s">
        <v>502</v>
      </c>
    </row>
    <row r="75" spans="1:2">
      <c r="A75">
        <v>10599904</v>
      </c>
      <c r="B75" t="s">
        <v>503</v>
      </c>
    </row>
    <row r="76" spans="1:2">
      <c r="A76">
        <v>10599905</v>
      </c>
      <c r="B76" t="s">
        <v>504</v>
      </c>
    </row>
    <row r="77" spans="1:2">
      <c r="A77">
        <v>10599906</v>
      </c>
      <c r="B77" t="s">
        <v>505</v>
      </c>
    </row>
    <row r="78" spans="1:2">
      <c r="A78">
        <v>10599907</v>
      </c>
      <c r="B78" t="s">
        <v>506</v>
      </c>
    </row>
    <row r="79" spans="1:2">
      <c r="A79">
        <v>10599908</v>
      </c>
      <c r="B79" t="s">
        <v>507</v>
      </c>
    </row>
    <row r="80" spans="1:2">
      <c r="A80">
        <v>10599909</v>
      </c>
      <c r="B80" t="s">
        <v>508</v>
      </c>
    </row>
    <row r="81" spans="1:2">
      <c r="A81">
        <v>10599910</v>
      </c>
      <c r="B81" t="s">
        <v>509</v>
      </c>
    </row>
    <row r="82" spans="1:2">
      <c r="A82">
        <v>10599911</v>
      </c>
      <c r="B82" t="s">
        <v>510</v>
      </c>
    </row>
    <row r="83" spans="1:2">
      <c r="A83">
        <v>10599912</v>
      </c>
      <c r="B83" t="s">
        <v>511</v>
      </c>
    </row>
    <row r="84" spans="1:2">
      <c r="A84">
        <v>10599913</v>
      </c>
      <c r="B84" t="s">
        <v>512</v>
      </c>
    </row>
    <row r="85" spans="1:2">
      <c r="A85">
        <v>10599914</v>
      </c>
      <c r="B85" t="s">
        <v>513</v>
      </c>
    </row>
    <row r="86" spans="1:2">
      <c r="A86">
        <v>10599915</v>
      </c>
      <c r="B86" t="s">
        <v>514</v>
      </c>
    </row>
    <row r="87" spans="1:2">
      <c r="A87">
        <v>10599916</v>
      </c>
      <c r="B87" t="s">
        <v>515</v>
      </c>
    </row>
    <row r="88" spans="1:2">
      <c r="A88">
        <v>10599917</v>
      </c>
      <c r="B88" t="s">
        <v>516</v>
      </c>
    </row>
    <row r="89" spans="1:2">
      <c r="A89">
        <v>10599918</v>
      </c>
      <c r="B89" t="s">
        <v>517</v>
      </c>
    </row>
    <row r="90" spans="1:2">
      <c r="A90">
        <v>10599919</v>
      </c>
      <c r="B90" t="s">
        <v>518</v>
      </c>
    </row>
    <row r="91" spans="1:2">
      <c r="A91">
        <v>10599920</v>
      </c>
      <c r="B91" t="s">
        <v>519</v>
      </c>
    </row>
    <row r="92" spans="1:2">
      <c r="A92">
        <v>10599921</v>
      </c>
      <c r="B92" t="s">
        <v>520</v>
      </c>
    </row>
    <row r="93" spans="1:2">
      <c r="A93">
        <v>10599922</v>
      </c>
      <c r="B93" t="s">
        <v>521</v>
      </c>
    </row>
    <row r="94" spans="1:2">
      <c r="A94">
        <v>10599923</v>
      </c>
      <c r="B94" t="s">
        <v>522</v>
      </c>
    </row>
    <row r="95" spans="1:2">
      <c r="A95">
        <v>10599924</v>
      </c>
      <c r="B95" t="s">
        <v>523</v>
      </c>
    </row>
    <row r="96" spans="1:2">
      <c r="A96">
        <v>10599925</v>
      </c>
      <c r="B96" t="s">
        <v>524</v>
      </c>
    </row>
    <row r="97" spans="1:2">
      <c r="A97">
        <v>10599926</v>
      </c>
      <c r="B97" t="s">
        <v>525</v>
      </c>
    </row>
    <row r="98" spans="1:2">
      <c r="A98">
        <v>10599927</v>
      </c>
      <c r="B98" t="s">
        <v>526</v>
      </c>
    </row>
    <row r="99" spans="1:2">
      <c r="A99">
        <v>10500710</v>
      </c>
      <c r="B99" t="s">
        <v>334</v>
      </c>
    </row>
    <row r="100" spans="1:2">
      <c r="A100">
        <v>10500711</v>
      </c>
      <c r="B100" t="s">
        <v>335</v>
      </c>
    </row>
    <row r="101" spans="1:2">
      <c r="A101">
        <v>10500712</v>
      </c>
      <c r="B101" t="s">
        <v>336</v>
      </c>
    </row>
    <row r="102" spans="1:2">
      <c r="A102">
        <v>10500713</v>
      </c>
      <c r="B102" t="s">
        <v>337</v>
      </c>
    </row>
    <row r="103" spans="1:2">
      <c r="A103">
        <v>10500714</v>
      </c>
      <c r="B103" t="s">
        <v>338</v>
      </c>
    </row>
    <row r="104" spans="1:2">
      <c r="A104">
        <v>10500715</v>
      </c>
      <c r="B104" t="s">
        <v>339</v>
      </c>
    </row>
    <row r="105" spans="1:2">
      <c r="A105">
        <v>10500716</v>
      </c>
      <c r="B105" t="s">
        <v>340</v>
      </c>
    </row>
    <row r="106" spans="1:2">
      <c r="A106">
        <v>10500717</v>
      </c>
      <c r="B106" t="s">
        <v>341</v>
      </c>
    </row>
    <row r="107" spans="1:2">
      <c r="A107">
        <v>10500718</v>
      </c>
      <c r="B107" t="s">
        <v>342</v>
      </c>
    </row>
    <row r="108" spans="1:2">
      <c r="A108">
        <v>10500719</v>
      </c>
      <c r="B108" t="s">
        <v>343</v>
      </c>
    </row>
    <row r="109" spans="1:2">
      <c r="A109">
        <v>10500720</v>
      </c>
      <c r="B109" t="s">
        <v>344</v>
      </c>
    </row>
    <row r="110" spans="1:2">
      <c r="A110">
        <v>10500721</v>
      </c>
      <c r="B110" t="s">
        <v>345</v>
      </c>
    </row>
    <row r="111" spans="1:2">
      <c r="A111">
        <v>10500722</v>
      </c>
      <c r="B111" t="s">
        <v>346</v>
      </c>
    </row>
    <row r="112" spans="1:2">
      <c r="A112">
        <v>10500723</v>
      </c>
      <c r="B112" t="s">
        <v>347</v>
      </c>
    </row>
    <row r="113" spans="1:2">
      <c r="A113">
        <v>10500724</v>
      </c>
      <c r="B113" t="s">
        <v>348</v>
      </c>
    </row>
    <row r="114" spans="1:2">
      <c r="A114">
        <v>10500725</v>
      </c>
      <c r="B114" t="s">
        <v>349</v>
      </c>
    </row>
    <row r="115" spans="1:2">
      <c r="A115">
        <v>10500810</v>
      </c>
      <c r="B115" t="s">
        <v>359</v>
      </c>
    </row>
    <row r="116" spans="1:2">
      <c r="A116">
        <v>10500811</v>
      </c>
      <c r="B116" t="s">
        <v>360</v>
      </c>
    </row>
    <row r="117" spans="1:2">
      <c r="A117">
        <v>10500812</v>
      </c>
      <c r="B117" t="s">
        <v>361</v>
      </c>
    </row>
    <row r="118" spans="1:2">
      <c r="A118">
        <v>10500813</v>
      </c>
      <c r="B118" t="s">
        <v>362</v>
      </c>
    </row>
    <row r="119" spans="1:2">
      <c r="A119">
        <v>10500814</v>
      </c>
      <c r="B119" t="s">
        <v>363</v>
      </c>
    </row>
    <row r="120" spans="1:2">
      <c r="A120">
        <v>10500815</v>
      </c>
      <c r="B120" t="s">
        <v>364</v>
      </c>
    </row>
    <row r="121" spans="1:2">
      <c r="A121">
        <v>10500816</v>
      </c>
      <c r="B121" t="s">
        <v>365</v>
      </c>
    </row>
    <row r="122" spans="1:2">
      <c r="A122">
        <v>10500817</v>
      </c>
      <c r="B122" t="s">
        <v>366</v>
      </c>
    </row>
    <row r="123" spans="1:2">
      <c r="A123">
        <v>10500818</v>
      </c>
      <c r="B123" t="s">
        <v>367</v>
      </c>
    </row>
    <row r="124" spans="1:2">
      <c r="A124">
        <v>10500819</v>
      </c>
      <c r="B124" t="s">
        <v>368</v>
      </c>
    </row>
    <row r="125" spans="1:2">
      <c r="A125">
        <v>10500820</v>
      </c>
      <c r="B125" t="s">
        <v>369</v>
      </c>
    </row>
    <row r="126" spans="1:2">
      <c r="A126">
        <v>10500821</v>
      </c>
      <c r="B126" t="s">
        <v>370</v>
      </c>
    </row>
    <row r="127" spans="1:2">
      <c r="A127">
        <v>10500822</v>
      </c>
      <c r="B127" t="s">
        <v>371</v>
      </c>
    </row>
    <row r="128" spans="1:2">
      <c r="A128">
        <v>10500823</v>
      </c>
      <c r="B128" t="s">
        <v>372</v>
      </c>
    </row>
    <row r="129" spans="1:2">
      <c r="A129">
        <v>10500824</v>
      </c>
      <c r="B129" t="s">
        <v>373</v>
      </c>
    </row>
    <row r="130" spans="1:2">
      <c r="A130">
        <v>10500825</v>
      </c>
      <c r="B130" t="s">
        <v>374</v>
      </c>
    </row>
    <row r="131" spans="1:2">
      <c r="A131">
        <v>10500910</v>
      </c>
      <c r="B131" t="s">
        <v>384</v>
      </c>
    </row>
    <row r="132" spans="1:2">
      <c r="A132">
        <v>10500911</v>
      </c>
      <c r="B132" t="s">
        <v>385</v>
      </c>
    </row>
    <row r="133" spans="1:2">
      <c r="A133">
        <v>10500912</v>
      </c>
      <c r="B133" t="s">
        <v>386</v>
      </c>
    </row>
    <row r="134" spans="1:2">
      <c r="A134">
        <v>10500913</v>
      </c>
      <c r="B134" t="s">
        <v>387</v>
      </c>
    </row>
    <row r="135" spans="1:2">
      <c r="A135">
        <v>10500914</v>
      </c>
      <c r="B135" t="s">
        <v>388</v>
      </c>
    </row>
    <row r="136" spans="1:2">
      <c r="A136">
        <v>10500915</v>
      </c>
      <c r="B136" t="s">
        <v>389</v>
      </c>
    </row>
    <row r="137" spans="1:2">
      <c r="A137">
        <v>10500916</v>
      </c>
      <c r="B137" t="s">
        <v>390</v>
      </c>
    </row>
    <row r="138" spans="1:2">
      <c r="A138">
        <v>10500917</v>
      </c>
      <c r="B138" t="s">
        <v>391</v>
      </c>
    </row>
    <row r="139" spans="1:2">
      <c r="A139">
        <v>10500918</v>
      </c>
      <c r="B139" t="s">
        <v>392</v>
      </c>
    </row>
    <row r="140" spans="1:2">
      <c r="A140">
        <v>10500919</v>
      </c>
      <c r="B140" t="s">
        <v>393</v>
      </c>
    </row>
    <row r="141" spans="1:2">
      <c r="A141">
        <v>10500920</v>
      </c>
      <c r="B141" t="s">
        <v>394</v>
      </c>
    </row>
    <row r="142" spans="1:2">
      <c r="A142">
        <v>10500921</v>
      </c>
      <c r="B142" t="s">
        <v>395</v>
      </c>
    </row>
    <row r="143" spans="1:2">
      <c r="A143">
        <v>10500922</v>
      </c>
      <c r="B143" t="s">
        <v>396</v>
      </c>
    </row>
    <row r="144" spans="1:2">
      <c r="A144">
        <v>10500923</v>
      </c>
      <c r="B144" t="s">
        <v>397</v>
      </c>
    </row>
    <row r="145" spans="1:2">
      <c r="A145">
        <v>10500924</v>
      </c>
      <c r="B145" t="s">
        <v>398</v>
      </c>
    </row>
    <row r="146" spans="1:2">
      <c r="A146">
        <v>10500925</v>
      </c>
      <c r="B146" t="s">
        <v>399</v>
      </c>
    </row>
    <row r="147" spans="1:2">
      <c r="A147">
        <v>10501010</v>
      </c>
      <c r="B147" t="s">
        <v>409</v>
      </c>
    </row>
    <row r="148" spans="1:2">
      <c r="A148">
        <v>10501011</v>
      </c>
      <c r="B148" t="s">
        <v>410</v>
      </c>
    </row>
    <row r="149" spans="1:2">
      <c r="A149">
        <v>10501012</v>
      </c>
      <c r="B149" t="s">
        <v>411</v>
      </c>
    </row>
    <row r="150" spans="1:2">
      <c r="A150">
        <v>10501013</v>
      </c>
      <c r="B150" t="s">
        <v>412</v>
      </c>
    </row>
    <row r="151" spans="1:2">
      <c r="A151">
        <v>10501014</v>
      </c>
      <c r="B151" t="s">
        <v>413</v>
      </c>
    </row>
    <row r="152" spans="1:2">
      <c r="A152">
        <v>10501015</v>
      </c>
      <c r="B152" t="s">
        <v>414</v>
      </c>
    </row>
    <row r="153" spans="1:2">
      <c r="A153">
        <v>10501016</v>
      </c>
      <c r="B153" t="s">
        <v>415</v>
      </c>
    </row>
    <row r="154" spans="1:2">
      <c r="A154">
        <v>10501017</v>
      </c>
      <c r="B154" t="s">
        <v>416</v>
      </c>
    </row>
    <row r="155" spans="1:2">
      <c r="A155">
        <v>10501018</v>
      </c>
      <c r="B155" t="s">
        <v>417</v>
      </c>
    </row>
    <row r="156" spans="1:2">
      <c r="A156">
        <v>10501019</v>
      </c>
      <c r="B156" t="s">
        <v>418</v>
      </c>
    </row>
    <row r="157" spans="1:2">
      <c r="A157">
        <v>10501020</v>
      </c>
      <c r="B157" t="s">
        <v>419</v>
      </c>
    </row>
    <row r="158" spans="1:2">
      <c r="A158">
        <v>10501021</v>
      </c>
      <c r="B158" t="s">
        <v>420</v>
      </c>
    </row>
    <row r="159" spans="1:2">
      <c r="A159">
        <v>10501022</v>
      </c>
      <c r="B159" t="s">
        <v>421</v>
      </c>
    </row>
    <row r="160" spans="1:2">
      <c r="A160">
        <v>10501023</v>
      </c>
      <c r="B160" t="s">
        <v>422</v>
      </c>
    </row>
    <row r="161" spans="1:2">
      <c r="A161">
        <v>10501024</v>
      </c>
      <c r="B161" t="s">
        <v>423</v>
      </c>
    </row>
    <row r="162" spans="1:2">
      <c r="A162">
        <v>10501025</v>
      </c>
      <c r="B162" t="s">
        <v>424</v>
      </c>
    </row>
    <row r="163" spans="1:2">
      <c r="A163">
        <v>10501110</v>
      </c>
      <c r="B163" t="s">
        <v>434</v>
      </c>
    </row>
    <row r="164" spans="1:2">
      <c r="A164">
        <v>10501111</v>
      </c>
      <c r="B164" t="s">
        <v>435</v>
      </c>
    </row>
    <row r="165" spans="1:2">
      <c r="A165">
        <v>10501112</v>
      </c>
      <c r="B165" t="s">
        <v>436</v>
      </c>
    </row>
    <row r="166" spans="1:2">
      <c r="A166">
        <v>10501113</v>
      </c>
      <c r="B166" t="s">
        <v>437</v>
      </c>
    </row>
    <row r="167" spans="1:2">
      <c r="A167">
        <v>10501114</v>
      </c>
      <c r="B167" t="s">
        <v>438</v>
      </c>
    </row>
    <row r="168" spans="1:2">
      <c r="A168">
        <v>10501115</v>
      </c>
      <c r="B168" t="s">
        <v>439</v>
      </c>
    </row>
    <row r="169" spans="1:2">
      <c r="A169">
        <v>10501116</v>
      </c>
      <c r="B169" t="s">
        <v>440</v>
      </c>
    </row>
    <row r="170" spans="1:2">
      <c r="A170">
        <v>10501117</v>
      </c>
      <c r="B170" t="s">
        <v>441</v>
      </c>
    </row>
    <row r="171" spans="1:2">
      <c r="A171">
        <v>10501118</v>
      </c>
      <c r="B171" t="s">
        <v>442</v>
      </c>
    </row>
    <row r="172" spans="1:2">
      <c r="A172">
        <v>10501119</v>
      </c>
      <c r="B172" t="s">
        <v>443</v>
      </c>
    </row>
    <row r="173" spans="1:2">
      <c r="A173">
        <v>10501120</v>
      </c>
      <c r="B173" t="s">
        <v>444</v>
      </c>
    </row>
    <row r="174" spans="1:2">
      <c r="A174">
        <v>10501121</v>
      </c>
      <c r="B174" t="s">
        <v>445</v>
      </c>
    </row>
    <row r="175" spans="1:2">
      <c r="A175">
        <v>10501122</v>
      </c>
      <c r="B175" t="s">
        <v>446</v>
      </c>
    </row>
    <row r="176" spans="1:2">
      <c r="A176">
        <v>10501123</v>
      </c>
      <c r="B176" t="s">
        <v>447</v>
      </c>
    </row>
    <row r="177" spans="1:2">
      <c r="A177">
        <v>10501124</v>
      </c>
      <c r="B177" t="s">
        <v>448</v>
      </c>
    </row>
    <row r="178" spans="1:2">
      <c r="A178">
        <v>10501125</v>
      </c>
      <c r="B178" t="s">
        <v>449</v>
      </c>
    </row>
    <row r="179" spans="1:2">
      <c r="A179">
        <v>10501210</v>
      </c>
      <c r="B179" t="s">
        <v>459</v>
      </c>
    </row>
    <row r="180" spans="1:2">
      <c r="A180">
        <v>10501211</v>
      </c>
      <c r="B180" t="s">
        <v>460</v>
      </c>
    </row>
    <row r="181" spans="1:2">
      <c r="A181">
        <v>10501212</v>
      </c>
      <c r="B181" t="s">
        <v>461</v>
      </c>
    </row>
    <row r="182" spans="1:2">
      <c r="A182">
        <v>10501213</v>
      </c>
      <c r="B182" t="s">
        <v>462</v>
      </c>
    </row>
    <row r="183" spans="1:2">
      <c r="A183">
        <v>10501214</v>
      </c>
      <c r="B183" t="s">
        <v>463</v>
      </c>
    </row>
    <row r="184" spans="1:2">
      <c r="A184">
        <v>10501215</v>
      </c>
      <c r="B184" t="s">
        <v>464</v>
      </c>
    </row>
    <row r="185" spans="1:2">
      <c r="A185">
        <v>10501216</v>
      </c>
      <c r="B185" t="s">
        <v>465</v>
      </c>
    </row>
    <row r="186" spans="1:2">
      <c r="A186">
        <v>10501217</v>
      </c>
      <c r="B186" t="s">
        <v>466</v>
      </c>
    </row>
    <row r="187" spans="1:2">
      <c r="A187">
        <v>10501218</v>
      </c>
      <c r="B187" t="s">
        <v>467</v>
      </c>
    </row>
    <row r="188" spans="1:2">
      <c r="A188">
        <v>10501219</v>
      </c>
      <c r="B188" t="s">
        <v>468</v>
      </c>
    </row>
    <row r="189" spans="1:2">
      <c r="A189">
        <v>10501220</v>
      </c>
      <c r="B189" t="s">
        <v>469</v>
      </c>
    </row>
    <row r="190" spans="1:2">
      <c r="A190">
        <v>10501221</v>
      </c>
      <c r="B190" t="s">
        <v>470</v>
      </c>
    </row>
    <row r="191" spans="1:2">
      <c r="A191">
        <v>10501222</v>
      </c>
      <c r="B191" t="s">
        <v>471</v>
      </c>
    </row>
    <row r="192" spans="1:2">
      <c r="A192">
        <v>10501223</v>
      </c>
      <c r="B192" t="s">
        <v>472</v>
      </c>
    </row>
    <row r="193" spans="1:2">
      <c r="A193">
        <v>10501224</v>
      </c>
      <c r="B193" t="s">
        <v>473</v>
      </c>
    </row>
    <row r="194" spans="1:2">
      <c r="A194">
        <v>10501225</v>
      </c>
      <c r="B194" t="s">
        <v>474</v>
      </c>
    </row>
    <row r="195" spans="1:2">
      <c r="A195">
        <v>10501310</v>
      </c>
      <c r="B195" t="s">
        <v>484</v>
      </c>
    </row>
    <row r="196" spans="1:2">
      <c r="A196">
        <v>10501311</v>
      </c>
      <c r="B196" t="s">
        <v>485</v>
      </c>
    </row>
    <row r="197" spans="1:2">
      <c r="A197">
        <v>10501312</v>
      </c>
      <c r="B197" t="s">
        <v>486</v>
      </c>
    </row>
    <row r="198" spans="1:2">
      <c r="A198">
        <v>10501313</v>
      </c>
      <c r="B198" t="s">
        <v>487</v>
      </c>
    </row>
    <row r="199" spans="1:2">
      <c r="A199">
        <v>10501314</v>
      </c>
      <c r="B199" t="s">
        <v>488</v>
      </c>
    </row>
    <row r="200" spans="1:2">
      <c r="A200">
        <v>10501315</v>
      </c>
      <c r="B200" t="s">
        <v>489</v>
      </c>
    </row>
    <row r="201" spans="1:2">
      <c r="A201">
        <v>10501316</v>
      </c>
      <c r="B201" t="s">
        <v>490</v>
      </c>
    </row>
    <row r="202" spans="1:2">
      <c r="A202">
        <v>10501317</v>
      </c>
      <c r="B202" t="s">
        <v>491</v>
      </c>
    </row>
    <row r="203" spans="1:2">
      <c r="A203">
        <v>10501318</v>
      </c>
      <c r="B203" t="s">
        <v>492</v>
      </c>
    </row>
    <row r="204" spans="1:2">
      <c r="A204">
        <v>10501319</v>
      </c>
      <c r="B204" t="s">
        <v>493</v>
      </c>
    </row>
    <row r="205" spans="1:2">
      <c r="A205">
        <v>10501320</v>
      </c>
      <c r="B205" t="s">
        <v>494</v>
      </c>
    </row>
    <row r="206" spans="1:2">
      <c r="A206">
        <v>10501321</v>
      </c>
      <c r="B206" t="s">
        <v>495</v>
      </c>
    </row>
    <row r="207" spans="1:2">
      <c r="A207">
        <v>10501322</v>
      </c>
      <c r="B207" t="s">
        <v>496</v>
      </c>
    </row>
    <row r="208" spans="1:2">
      <c r="A208">
        <v>10501323</v>
      </c>
      <c r="B208" t="s">
        <v>497</v>
      </c>
    </row>
    <row r="209" spans="1:2">
      <c r="A209">
        <v>10501324</v>
      </c>
      <c r="B209" t="s">
        <v>498</v>
      </c>
    </row>
    <row r="210" spans="1:2">
      <c r="A210">
        <v>10501325</v>
      </c>
      <c r="B210" t="s">
        <v>499</v>
      </c>
    </row>
    <row r="211" spans="1:2">
      <c r="A211">
        <v>10599928</v>
      </c>
      <c r="B211" t="s">
        <v>527</v>
      </c>
    </row>
    <row r="212" spans="1:2">
      <c r="A212">
        <v>10599929</v>
      </c>
      <c r="B212" t="s">
        <v>528</v>
      </c>
    </row>
    <row r="213" spans="1:2">
      <c r="A213">
        <v>10599930</v>
      </c>
      <c r="B213" t="s">
        <v>529</v>
      </c>
    </row>
    <row r="214" spans="1:2">
      <c r="A214">
        <v>10599931</v>
      </c>
      <c r="B214" t="s">
        <v>530</v>
      </c>
    </row>
    <row r="215" spans="1:2">
      <c r="A215">
        <v>10599932</v>
      </c>
      <c r="B215" t="s">
        <v>531</v>
      </c>
    </row>
    <row r="216" spans="1:2">
      <c r="A216">
        <v>10599933</v>
      </c>
      <c r="B216" t="s">
        <v>532</v>
      </c>
    </row>
    <row r="217" spans="1:2">
      <c r="A217">
        <v>10599934</v>
      </c>
      <c r="B217" t="s">
        <v>533</v>
      </c>
    </row>
    <row r="218" spans="1:2">
      <c r="A218">
        <v>10599935</v>
      </c>
      <c r="B218" t="s">
        <v>534</v>
      </c>
    </row>
    <row r="219" spans="1:2">
      <c r="A219">
        <v>10599936</v>
      </c>
      <c r="B219" t="s">
        <v>535</v>
      </c>
    </row>
    <row r="220" spans="1:2">
      <c r="A220">
        <v>10599937</v>
      </c>
      <c r="B220" t="s">
        <v>536</v>
      </c>
    </row>
    <row r="221" spans="1:2">
      <c r="A221">
        <v>10599938</v>
      </c>
      <c r="B221" t="s">
        <v>537</v>
      </c>
    </row>
    <row r="222" spans="1:2">
      <c r="A222">
        <v>10599939</v>
      </c>
      <c r="B222" t="s">
        <v>538</v>
      </c>
    </row>
    <row r="223" spans="1:2">
      <c r="A223">
        <v>10599940</v>
      </c>
      <c r="B223" t="s">
        <v>539</v>
      </c>
    </row>
    <row r="224" spans="1:2">
      <c r="A224">
        <v>10599941</v>
      </c>
      <c r="B224" t="s">
        <v>540</v>
      </c>
    </row>
    <row r="225" spans="1:2">
      <c r="A225">
        <v>10599942</v>
      </c>
      <c r="B225" t="s">
        <v>541</v>
      </c>
    </row>
    <row r="226" spans="1:2">
      <c r="A226">
        <v>10599943</v>
      </c>
      <c r="B226" t="s">
        <v>542</v>
      </c>
    </row>
    <row r="227" spans="1:2">
      <c r="A227">
        <v>11001401</v>
      </c>
      <c r="B227" t="s">
        <v>543</v>
      </c>
    </row>
    <row r="228" spans="1:2">
      <c r="A228">
        <v>11001402</v>
      </c>
      <c r="B228" t="s">
        <v>544</v>
      </c>
    </row>
    <row r="229" spans="1:2">
      <c r="A229">
        <v>11001403</v>
      </c>
      <c r="B229" t="s">
        <v>545</v>
      </c>
    </row>
    <row r="230" spans="1:2">
      <c r="A230">
        <v>11001404</v>
      </c>
      <c r="B230" t="s">
        <v>546</v>
      </c>
    </row>
    <row r="231" spans="1:2">
      <c r="A231">
        <v>11001405</v>
      </c>
      <c r="B231" t="s">
        <v>547</v>
      </c>
    </row>
    <row r="232" spans="1:2">
      <c r="A232">
        <v>11001406</v>
      </c>
      <c r="B232" t="s">
        <v>548</v>
      </c>
    </row>
    <row r="233" spans="1:2">
      <c r="A233">
        <v>11001407</v>
      </c>
      <c r="B233" t="s">
        <v>549</v>
      </c>
    </row>
    <row r="234" spans="1:2">
      <c r="A234">
        <v>11001408</v>
      </c>
      <c r="B234" t="s">
        <v>550</v>
      </c>
    </row>
    <row r="235" spans="1:2">
      <c r="A235">
        <v>11001501</v>
      </c>
      <c r="B235" t="s">
        <v>551</v>
      </c>
    </row>
    <row r="236" spans="1:2">
      <c r="A236">
        <v>11001502</v>
      </c>
      <c r="B236" t="s">
        <v>552</v>
      </c>
    </row>
    <row r="237" spans="1:2">
      <c r="A237">
        <v>11001503</v>
      </c>
      <c r="B237" t="s">
        <v>553</v>
      </c>
    </row>
    <row r="238" spans="1:2">
      <c r="A238">
        <v>11001504</v>
      </c>
      <c r="B238" t="s">
        <v>554</v>
      </c>
    </row>
    <row r="239" spans="1:2">
      <c r="A239">
        <v>11001601</v>
      </c>
      <c r="B239" t="s">
        <v>555</v>
      </c>
    </row>
    <row r="240" spans="1:2">
      <c r="A240">
        <v>11001602</v>
      </c>
      <c r="B240" t="s">
        <v>556</v>
      </c>
    </row>
    <row r="241" spans="1:2">
      <c r="A241">
        <v>11001603</v>
      </c>
      <c r="B241" t="s">
        <v>2296</v>
      </c>
    </row>
    <row r="242" spans="1:2">
      <c r="A242">
        <v>11001701</v>
      </c>
      <c r="B242" t="s">
        <v>557</v>
      </c>
    </row>
    <row r="243" spans="1:2">
      <c r="A243">
        <v>11001702</v>
      </c>
      <c r="B243" t="s">
        <v>2297</v>
      </c>
    </row>
    <row r="244" spans="1:2">
      <c r="A244">
        <v>11001703</v>
      </c>
      <c r="B244" t="s">
        <v>2298</v>
      </c>
    </row>
    <row r="245" spans="1:2">
      <c r="A245">
        <v>11001801</v>
      </c>
      <c r="B245" t="s">
        <v>558</v>
      </c>
    </row>
    <row r="246" spans="1:2">
      <c r="A246">
        <v>11001802</v>
      </c>
      <c r="B246" t="s">
        <v>2299</v>
      </c>
    </row>
    <row r="247" spans="1:2">
      <c r="A247">
        <v>11001901</v>
      </c>
      <c r="B247" t="s">
        <v>559</v>
      </c>
    </row>
    <row r="248" spans="1:2">
      <c r="A248">
        <v>11002001</v>
      </c>
      <c r="B248" t="s">
        <v>560</v>
      </c>
    </row>
    <row r="249" spans="1:2">
      <c r="A249">
        <v>11002002</v>
      </c>
      <c r="B249" t="s">
        <v>561</v>
      </c>
    </row>
    <row r="250" spans="1:2">
      <c r="A250">
        <v>11002101</v>
      </c>
      <c r="B250" t="s">
        <v>2300</v>
      </c>
    </row>
    <row r="251" spans="1:2">
      <c r="A251">
        <v>11002102</v>
      </c>
      <c r="B251" t="s">
        <v>2301</v>
      </c>
    </row>
    <row r="252" spans="1:2">
      <c r="A252">
        <v>11002103</v>
      </c>
      <c r="B252" t="s">
        <v>2302</v>
      </c>
    </row>
    <row r="253" spans="1:2">
      <c r="A253">
        <v>11007701</v>
      </c>
      <c r="B253" t="s">
        <v>593</v>
      </c>
    </row>
    <row r="254" spans="1:2">
      <c r="A254">
        <v>11007801</v>
      </c>
      <c r="B254" t="s">
        <v>594</v>
      </c>
    </row>
    <row r="255" spans="1:2">
      <c r="A255">
        <v>11007901</v>
      </c>
      <c r="B255" t="s">
        <v>595</v>
      </c>
    </row>
    <row r="256" spans="1:2">
      <c r="A256">
        <v>11002201</v>
      </c>
      <c r="B256" t="s">
        <v>562</v>
      </c>
    </row>
    <row r="257" spans="1:2">
      <c r="A257">
        <v>11002301</v>
      </c>
      <c r="B257" t="s">
        <v>563</v>
      </c>
    </row>
    <row r="258" spans="1:2">
      <c r="A258">
        <v>11002401</v>
      </c>
      <c r="B258" t="s">
        <v>2303</v>
      </c>
    </row>
    <row r="259" spans="1:2">
      <c r="A259">
        <v>11002501</v>
      </c>
      <c r="B259" t="s">
        <v>564</v>
      </c>
    </row>
    <row r="260" spans="1:2">
      <c r="A260">
        <v>11002601</v>
      </c>
      <c r="B260" t="s">
        <v>565</v>
      </c>
    </row>
    <row r="261" spans="1:2">
      <c r="A261">
        <v>11002701</v>
      </c>
      <c r="B261" t="s">
        <v>566</v>
      </c>
    </row>
    <row r="262" spans="1:2">
      <c r="A262">
        <v>11002801</v>
      </c>
      <c r="B262" t="s">
        <v>567</v>
      </c>
    </row>
    <row r="263" spans="1:2">
      <c r="A263">
        <v>11002901</v>
      </c>
      <c r="B263" t="s">
        <v>568</v>
      </c>
    </row>
    <row r="264" spans="1:2">
      <c r="A264">
        <v>11003001</v>
      </c>
      <c r="B264" t="s">
        <v>569</v>
      </c>
    </row>
    <row r="265" spans="1:2">
      <c r="A265">
        <v>11003101</v>
      </c>
      <c r="B265" t="s">
        <v>570</v>
      </c>
    </row>
    <row r="266" spans="1:2">
      <c r="A266">
        <v>11003201</v>
      </c>
      <c r="B266" t="s">
        <v>571</v>
      </c>
    </row>
    <row r="267" spans="1:2">
      <c r="A267">
        <v>11003301</v>
      </c>
      <c r="B267" t="s">
        <v>572</v>
      </c>
    </row>
    <row r="268" spans="1:2">
      <c r="A268">
        <v>11003401</v>
      </c>
      <c r="B268" t="s">
        <v>573</v>
      </c>
    </row>
    <row r="269" spans="1:2">
      <c r="A269">
        <v>11003501</v>
      </c>
      <c r="B269" t="s">
        <v>574</v>
      </c>
    </row>
    <row r="270" spans="1:2">
      <c r="A270">
        <v>11003601</v>
      </c>
      <c r="B270" t="s">
        <v>575</v>
      </c>
    </row>
    <row r="271" spans="1:2">
      <c r="A271">
        <v>11003701</v>
      </c>
      <c r="B271" t="s">
        <v>576</v>
      </c>
    </row>
    <row r="272" spans="1:2">
      <c r="A272">
        <v>11003801</v>
      </c>
      <c r="B272" t="s">
        <v>577</v>
      </c>
    </row>
    <row r="273" spans="1:2">
      <c r="A273">
        <v>11003901</v>
      </c>
      <c r="B273" t="s">
        <v>578</v>
      </c>
    </row>
    <row r="274" spans="1:2">
      <c r="A274">
        <v>11004001</v>
      </c>
      <c r="B274" t="s">
        <v>579</v>
      </c>
    </row>
    <row r="275" spans="1:2">
      <c r="A275">
        <v>11004101</v>
      </c>
      <c r="B275" t="s">
        <v>580</v>
      </c>
    </row>
    <row r="276" spans="1:2">
      <c r="A276">
        <v>11004201</v>
      </c>
      <c r="B276" t="s">
        <v>581</v>
      </c>
    </row>
    <row r="277" spans="1:2">
      <c r="A277">
        <v>11004301</v>
      </c>
      <c r="B277" t="s">
        <v>582</v>
      </c>
    </row>
    <row r="278" spans="1:2">
      <c r="A278">
        <v>11004401</v>
      </c>
      <c r="B278" t="s">
        <v>583</v>
      </c>
    </row>
    <row r="279" spans="1:2">
      <c r="A279">
        <v>11004501</v>
      </c>
      <c r="B279" t="s">
        <v>584</v>
      </c>
    </row>
    <row r="280" spans="1:2">
      <c r="A280">
        <v>11004601</v>
      </c>
      <c r="B280" t="s">
        <v>585</v>
      </c>
    </row>
    <row r="281" spans="1:2">
      <c r="A281">
        <v>11004701</v>
      </c>
      <c r="B281" t="s">
        <v>586</v>
      </c>
    </row>
    <row r="282" spans="1:2">
      <c r="A282">
        <v>11004801</v>
      </c>
      <c r="B282" t="s">
        <v>587</v>
      </c>
    </row>
    <row r="283" spans="1:2">
      <c r="A283">
        <v>11004802</v>
      </c>
      <c r="B283" t="s">
        <v>588</v>
      </c>
    </row>
    <row r="284" spans="1:2">
      <c r="A284">
        <v>11004803</v>
      </c>
      <c r="B284" t="s">
        <v>589</v>
      </c>
    </row>
    <row r="285" spans="1:2">
      <c r="A285">
        <v>11004804</v>
      </c>
      <c r="B285" t="s">
        <v>590</v>
      </c>
    </row>
    <row r="286" spans="1:2">
      <c r="A286">
        <v>11004901</v>
      </c>
      <c r="B286" t="s">
        <v>591</v>
      </c>
    </row>
    <row r="287" spans="1:2">
      <c r="A287">
        <v>11005001</v>
      </c>
      <c r="B287" t="s">
        <v>592</v>
      </c>
    </row>
    <row r="288" spans="1:2">
      <c r="A288">
        <v>11099901</v>
      </c>
      <c r="B288" t="s">
        <v>596</v>
      </c>
    </row>
    <row r="289" spans="1:2">
      <c r="A289">
        <v>11004901</v>
      </c>
      <c r="B289" t="s">
        <v>2304</v>
      </c>
    </row>
    <row r="290" spans="1:2">
      <c r="A290">
        <v>11004902</v>
      </c>
      <c r="B290" t="s">
        <v>2305</v>
      </c>
    </row>
    <row r="291" spans="1:2">
      <c r="A291">
        <v>11004903</v>
      </c>
      <c r="B291" t="s">
        <v>2306</v>
      </c>
    </row>
    <row r="292" spans="1:2">
      <c r="A292">
        <v>11004904</v>
      </c>
      <c r="B292" t="s">
        <v>2307</v>
      </c>
    </row>
    <row r="293" spans="1:2">
      <c r="A293">
        <v>11004905</v>
      </c>
      <c r="B293" t="s">
        <v>2308</v>
      </c>
    </row>
    <row r="294" spans="1:2">
      <c r="A294">
        <v>11004906</v>
      </c>
      <c r="B294" t="s">
        <v>2309</v>
      </c>
    </row>
    <row r="295" spans="1:2">
      <c r="A295">
        <v>11004907</v>
      </c>
      <c r="B295" t="s">
        <v>2310</v>
      </c>
    </row>
    <row r="296" spans="1:2">
      <c r="A296">
        <v>11004908</v>
      </c>
      <c r="B296" t="s">
        <v>2311</v>
      </c>
    </row>
    <row r="297" spans="1:2">
      <c r="A297">
        <v>11004909</v>
      </c>
      <c r="B297" t="s">
        <v>2312</v>
      </c>
    </row>
    <row r="298" spans="1:2">
      <c r="A298">
        <v>11004910</v>
      </c>
      <c r="B298" t="s">
        <v>2313</v>
      </c>
    </row>
    <row r="299" spans="1:2">
      <c r="A299">
        <v>11004911</v>
      </c>
      <c r="B299" t="s">
        <v>2314</v>
      </c>
    </row>
    <row r="300" spans="1:2">
      <c r="A300">
        <v>11005001</v>
      </c>
      <c r="B300" t="s">
        <v>2315</v>
      </c>
    </row>
    <row r="301" spans="1:2">
      <c r="A301">
        <v>11005002</v>
      </c>
      <c r="B301" t="s">
        <v>2316</v>
      </c>
    </row>
    <row r="302" spans="1:2">
      <c r="A302">
        <v>11005003</v>
      </c>
      <c r="B302" t="s">
        <v>2317</v>
      </c>
    </row>
    <row r="303" spans="1:2">
      <c r="A303">
        <v>11005004</v>
      </c>
      <c r="B303" t="s">
        <v>2318</v>
      </c>
    </row>
    <row r="304" spans="1:2">
      <c r="A304">
        <v>11005005</v>
      </c>
      <c r="B304" t="s">
        <v>2319</v>
      </c>
    </row>
    <row r="305" spans="1:2">
      <c r="A305">
        <v>11005006</v>
      </c>
      <c r="B305" t="s">
        <v>2320</v>
      </c>
    </row>
    <row r="306" spans="1:2">
      <c r="A306">
        <v>11005007</v>
      </c>
      <c r="B306" t="s">
        <v>2321</v>
      </c>
    </row>
    <row r="307" spans="1:2">
      <c r="A307">
        <v>11005008</v>
      </c>
      <c r="B307" t="s">
        <v>2322</v>
      </c>
    </row>
    <row r="308" spans="1:2">
      <c r="A308">
        <v>11005009</v>
      </c>
      <c r="B308" t="s">
        <v>2323</v>
      </c>
    </row>
    <row r="309" spans="1:2">
      <c r="A309">
        <v>11005010</v>
      </c>
      <c r="B309" t="s">
        <v>2324</v>
      </c>
    </row>
    <row r="310" spans="1:2">
      <c r="A310">
        <v>11005011</v>
      </c>
      <c r="B310" t="s">
        <v>2325</v>
      </c>
    </row>
    <row r="311" spans="1:2">
      <c r="A311">
        <v>11099901</v>
      </c>
      <c r="B311" t="s">
        <v>2326</v>
      </c>
    </row>
    <row r="312" spans="1:2">
      <c r="A312">
        <v>11099902</v>
      </c>
      <c r="B312" t="s">
        <v>2327</v>
      </c>
    </row>
    <row r="313" spans="1:2">
      <c r="A313">
        <v>11099903</v>
      </c>
      <c r="B313" t="s">
        <v>2328</v>
      </c>
    </row>
    <row r="314" spans="1:2">
      <c r="A314">
        <v>11099904</v>
      </c>
      <c r="B314" t="s">
        <v>2329</v>
      </c>
    </row>
    <row r="315" spans="1:2">
      <c r="A315">
        <v>11099905</v>
      </c>
      <c r="B315" t="s">
        <v>2330</v>
      </c>
    </row>
    <row r="316" spans="1:2">
      <c r="A316">
        <v>11099912</v>
      </c>
      <c r="B316" t="s">
        <v>2331</v>
      </c>
    </row>
    <row r="317" spans="1:2">
      <c r="A317">
        <v>11099906</v>
      </c>
      <c r="B317" t="s">
        <v>2332</v>
      </c>
    </row>
    <row r="318" spans="1:2">
      <c r="A318">
        <v>11099907</v>
      </c>
      <c r="B318" t="s">
        <v>2333</v>
      </c>
    </row>
    <row r="319" spans="1:2">
      <c r="A319">
        <v>11099908</v>
      </c>
      <c r="B319" t="s">
        <v>2334</v>
      </c>
    </row>
    <row r="320" spans="1:2">
      <c r="A320">
        <v>11099909</v>
      </c>
      <c r="B320" t="s">
        <v>2335</v>
      </c>
    </row>
    <row r="321" spans="1:2">
      <c r="A321">
        <v>11099913</v>
      </c>
      <c r="B321" t="s">
        <v>2336</v>
      </c>
    </row>
    <row r="322" spans="1:2">
      <c r="A322">
        <v>11099914</v>
      </c>
      <c r="B322" t="s">
        <v>2337</v>
      </c>
    </row>
    <row r="323" spans="1:2">
      <c r="A323">
        <v>11099915</v>
      </c>
      <c r="B323" t="s">
        <v>2338</v>
      </c>
    </row>
    <row r="324" spans="1:2">
      <c r="A324">
        <v>11099910</v>
      </c>
      <c r="B324" t="s">
        <v>2339</v>
      </c>
    </row>
    <row r="325" spans="1:2">
      <c r="A325">
        <v>11099911</v>
      </c>
      <c r="B325" t="s">
        <v>2340</v>
      </c>
    </row>
    <row r="326" spans="1:2">
      <c r="A326">
        <v>11099916</v>
      </c>
      <c r="B326" t="s">
        <v>2341</v>
      </c>
    </row>
    <row r="327" spans="1:2">
      <c r="A327">
        <v>11099917</v>
      </c>
      <c r="B327" t="s">
        <v>2342</v>
      </c>
    </row>
    <row r="328" spans="1:2">
      <c r="A328">
        <v>11099918</v>
      </c>
      <c r="B328" t="s">
        <v>2343</v>
      </c>
    </row>
    <row r="329" spans="1:2">
      <c r="A329">
        <v>11505101</v>
      </c>
      <c r="B329" t="s">
        <v>597</v>
      </c>
    </row>
    <row r="330" spans="1:2">
      <c r="A330">
        <v>11505201</v>
      </c>
      <c r="B330" t="s">
        <v>598</v>
      </c>
    </row>
    <row r="331" spans="1:2">
      <c r="A331">
        <v>11505301</v>
      </c>
      <c r="B331" t="s">
        <v>599</v>
      </c>
    </row>
    <row r="332" spans="1:2">
      <c r="A332">
        <v>11505401</v>
      </c>
      <c r="B332" t="s">
        <v>600</v>
      </c>
    </row>
    <row r="333" spans="1:2">
      <c r="A333">
        <v>11508001</v>
      </c>
      <c r="B333" t="s">
        <v>2344</v>
      </c>
    </row>
    <row r="334" spans="1:2">
      <c r="A334">
        <v>12005501</v>
      </c>
      <c r="B334" t="s">
        <v>601</v>
      </c>
    </row>
    <row r="335" spans="1:2">
      <c r="A335">
        <v>12005601</v>
      </c>
      <c r="B335" t="s">
        <v>602</v>
      </c>
    </row>
    <row r="336" spans="1:2">
      <c r="A336">
        <v>12005602</v>
      </c>
      <c r="B336" t="s">
        <v>603</v>
      </c>
    </row>
    <row r="337" spans="1:2">
      <c r="A337">
        <v>12005603</v>
      </c>
      <c r="B337" t="s">
        <v>604</v>
      </c>
    </row>
    <row r="338" spans="1:2">
      <c r="A338">
        <v>12005604</v>
      </c>
      <c r="B338" t="s">
        <v>605</v>
      </c>
    </row>
    <row r="339" spans="1:2">
      <c r="A339">
        <v>12005701</v>
      </c>
      <c r="B339" t="s">
        <v>606</v>
      </c>
    </row>
    <row r="340" spans="1:2">
      <c r="A340">
        <v>12005702</v>
      </c>
      <c r="B340" t="s">
        <v>607</v>
      </c>
    </row>
    <row r="341" spans="1:2">
      <c r="A341">
        <v>12005703</v>
      </c>
      <c r="B341" t="s">
        <v>608</v>
      </c>
    </row>
    <row r="342" spans="1:2">
      <c r="A342">
        <v>12005801</v>
      </c>
      <c r="B342" t="s">
        <v>609</v>
      </c>
    </row>
    <row r="343" spans="1:2">
      <c r="A343">
        <v>12099901</v>
      </c>
      <c r="B343" t="s">
        <v>610</v>
      </c>
    </row>
    <row r="344" spans="1:2">
      <c r="A344">
        <v>12099902</v>
      </c>
      <c r="B344" t="s">
        <v>611</v>
      </c>
    </row>
    <row r="345" spans="1:2">
      <c r="A345">
        <v>12505901</v>
      </c>
      <c r="B345" t="s">
        <v>612</v>
      </c>
    </row>
    <row r="346" spans="1:2">
      <c r="A346">
        <v>12505902</v>
      </c>
      <c r="B346" t="s">
        <v>613</v>
      </c>
    </row>
    <row r="347" spans="1:2">
      <c r="A347">
        <v>12505903</v>
      </c>
      <c r="B347" t="s">
        <v>614</v>
      </c>
    </row>
    <row r="348" spans="1:2">
      <c r="A348">
        <v>12505904</v>
      </c>
      <c r="B348" t="s">
        <v>615</v>
      </c>
    </row>
    <row r="349" spans="1:2">
      <c r="A349">
        <v>12505905</v>
      </c>
      <c r="B349" t="s">
        <v>616</v>
      </c>
    </row>
    <row r="350" spans="1:2">
      <c r="A350">
        <v>12505906</v>
      </c>
      <c r="B350" t="s">
        <v>617</v>
      </c>
    </row>
    <row r="351" spans="1:2">
      <c r="A351">
        <v>12505907</v>
      </c>
      <c r="B351" t="s">
        <v>618</v>
      </c>
    </row>
    <row r="352" spans="1:2">
      <c r="A352">
        <v>12505908</v>
      </c>
      <c r="B352" t="s">
        <v>619</v>
      </c>
    </row>
    <row r="353" spans="1:2">
      <c r="A353">
        <v>12505909</v>
      </c>
      <c r="B353" t="s">
        <v>620</v>
      </c>
    </row>
    <row r="354" spans="1:2">
      <c r="A354">
        <v>12505910</v>
      </c>
      <c r="B354" t="s">
        <v>621</v>
      </c>
    </row>
    <row r="355" spans="1:2">
      <c r="A355">
        <v>12505911</v>
      </c>
      <c r="B355" t="s">
        <v>622</v>
      </c>
    </row>
    <row r="356" spans="1:2">
      <c r="A356">
        <v>12505912</v>
      </c>
      <c r="B356" t="s">
        <v>623</v>
      </c>
    </row>
    <row r="357" spans="1:2">
      <c r="A357">
        <v>12505913</v>
      </c>
      <c r="B357" t="s">
        <v>624</v>
      </c>
    </row>
    <row r="358" spans="1:2">
      <c r="A358">
        <v>12505914</v>
      </c>
      <c r="B358" t="s">
        <v>625</v>
      </c>
    </row>
    <row r="359" spans="1:2">
      <c r="A359">
        <v>12505915</v>
      </c>
      <c r="B359" t="s">
        <v>626</v>
      </c>
    </row>
    <row r="360" spans="1:2">
      <c r="A360">
        <v>12505916</v>
      </c>
      <c r="B360" t="s">
        <v>627</v>
      </c>
    </row>
    <row r="361" spans="1:2">
      <c r="A361">
        <v>12505917</v>
      </c>
      <c r="B361" t="s">
        <v>628</v>
      </c>
    </row>
    <row r="362" spans="1:2">
      <c r="A362">
        <v>12505918</v>
      </c>
      <c r="B362" t="s">
        <v>629</v>
      </c>
    </row>
    <row r="363" spans="1:2">
      <c r="A363">
        <v>12505919</v>
      </c>
      <c r="B363" t="s">
        <v>630</v>
      </c>
    </row>
    <row r="364" spans="1:2">
      <c r="A364">
        <v>12505920</v>
      </c>
      <c r="B364" t="s">
        <v>631</v>
      </c>
    </row>
    <row r="365" spans="1:2">
      <c r="A365">
        <v>12505921</v>
      </c>
      <c r="B365" t="s">
        <v>632</v>
      </c>
    </row>
    <row r="366" spans="1:2">
      <c r="A366">
        <v>12505922</v>
      </c>
      <c r="B366" t="s">
        <v>633</v>
      </c>
    </row>
    <row r="367" spans="1:2">
      <c r="A367">
        <v>12505923</v>
      </c>
      <c r="B367" t="s">
        <v>634</v>
      </c>
    </row>
    <row r="368" spans="1:2">
      <c r="A368">
        <v>12505924</v>
      </c>
      <c r="B368" t="s">
        <v>635</v>
      </c>
    </row>
    <row r="369" spans="1:2">
      <c r="A369">
        <v>12505925</v>
      </c>
      <c r="B369" t="s">
        <v>636</v>
      </c>
    </row>
    <row r="370" spans="1:2">
      <c r="A370">
        <v>12505926</v>
      </c>
      <c r="B370" t="s">
        <v>637</v>
      </c>
    </row>
    <row r="371" spans="1:2">
      <c r="A371">
        <v>12505927</v>
      </c>
      <c r="B371" t="s">
        <v>638</v>
      </c>
    </row>
    <row r="372" spans="1:2">
      <c r="A372">
        <v>12505928</v>
      </c>
      <c r="B372" t="s">
        <v>639</v>
      </c>
    </row>
    <row r="373" spans="1:2">
      <c r="A373">
        <v>12505929</v>
      </c>
      <c r="B373" t="s">
        <v>640</v>
      </c>
    </row>
    <row r="374" spans="1:2">
      <c r="A374">
        <v>12505930</v>
      </c>
      <c r="B374" t="s">
        <v>641</v>
      </c>
    </row>
    <row r="375" spans="1:2">
      <c r="A375">
        <v>12505931</v>
      </c>
      <c r="B375" t="s">
        <v>642</v>
      </c>
    </row>
    <row r="376" spans="1:2">
      <c r="A376">
        <v>12505932</v>
      </c>
      <c r="B376" t="s">
        <v>643</v>
      </c>
    </row>
    <row r="377" spans="1:2">
      <c r="A377">
        <v>12505933</v>
      </c>
      <c r="B377" t="s">
        <v>644</v>
      </c>
    </row>
    <row r="378" spans="1:2">
      <c r="A378">
        <v>12505934</v>
      </c>
      <c r="B378" t="s">
        <v>645</v>
      </c>
    </row>
    <row r="379" spans="1:2">
      <c r="A379">
        <v>12505935</v>
      </c>
      <c r="B379" t="s">
        <v>646</v>
      </c>
    </row>
    <row r="380" spans="1:2">
      <c r="A380">
        <v>12505936</v>
      </c>
      <c r="B380" t="s">
        <v>647</v>
      </c>
    </row>
    <row r="381" spans="1:2">
      <c r="A381">
        <v>12505937</v>
      </c>
      <c r="B381" t="s">
        <v>648</v>
      </c>
    </row>
    <row r="382" spans="1:2">
      <c r="A382">
        <v>12505938</v>
      </c>
      <c r="B382" t="s">
        <v>649</v>
      </c>
    </row>
    <row r="383" spans="1:2">
      <c r="A383">
        <v>12505939</v>
      </c>
      <c r="B383" t="s">
        <v>650</v>
      </c>
    </row>
    <row r="384" spans="1:2">
      <c r="A384">
        <v>12505940</v>
      </c>
      <c r="B384" t="s">
        <v>651</v>
      </c>
    </row>
    <row r="385" spans="1:2">
      <c r="A385">
        <v>12505941</v>
      </c>
      <c r="B385" t="s">
        <v>652</v>
      </c>
    </row>
    <row r="386" spans="1:2">
      <c r="A386">
        <v>12505942</v>
      </c>
      <c r="B386" t="s">
        <v>653</v>
      </c>
    </row>
    <row r="387" spans="1:2">
      <c r="A387">
        <v>12505943</v>
      </c>
      <c r="B387" t="s">
        <v>654</v>
      </c>
    </row>
    <row r="388" spans="1:2">
      <c r="A388">
        <v>12505944</v>
      </c>
      <c r="B388" t="s">
        <v>655</v>
      </c>
    </row>
    <row r="389" spans="1:2">
      <c r="A389">
        <v>12505945</v>
      </c>
      <c r="B389" t="s">
        <v>656</v>
      </c>
    </row>
    <row r="390" spans="1:2">
      <c r="A390">
        <v>12505946</v>
      </c>
      <c r="B390" t="s">
        <v>657</v>
      </c>
    </row>
    <row r="391" spans="1:2">
      <c r="A391">
        <v>12505947</v>
      </c>
      <c r="B391" t="s">
        <v>658</v>
      </c>
    </row>
    <row r="392" spans="1:2">
      <c r="A392">
        <v>12505948</v>
      </c>
      <c r="B392" t="s">
        <v>659</v>
      </c>
    </row>
    <row r="393" spans="1:2">
      <c r="A393">
        <v>12505949</v>
      </c>
      <c r="B393" t="s">
        <v>660</v>
      </c>
    </row>
    <row r="394" spans="1:2">
      <c r="A394">
        <v>12505950</v>
      </c>
      <c r="B394" t="s">
        <v>661</v>
      </c>
    </row>
    <row r="395" spans="1:2">
      <c r="A395">
        <v>12505951</v>
      </c>
      <c r="B395" t="s">
        <v>662</v>
      </c>
    </row>
    <row r="396" spans="1:2">
      <c r="A396">
        <v>12505952</v>
      </c>
      <c r="B396" t="s">
        <v>663</v>
      </c>
    </row>
    <row r="397" spans="1:2">
      <c r="A397">
        <v>12505953</v>
      </c>
      <c r="B397" t="s">
        <v>664</v>
      </c>
    </row>
    <row r="398" spans="1:2">
      <c r="A398">
        <v>12505954</v>
      </c>
      <c r="B398" t="s">
        <v>665</v>
      </c>
    </row>
    <row r="399" spans="1:2">
      <c r="A399">
        <v>12505955</v>
      </c>
      <c r="B399" t="s">
        <v>666</v>
      </c>
    </row>
    <row r="400" spans="1:2">
      <c r="A400">
        <v>12505956</v>
      </c>
      <c r="B400" t="s">
        <v>667</v>
      </c>
    </row>
    <row r="401" spans="1:2">
      <c r="A401">
        <v>12505957</v>
      </c>
      <c r="B401" t="s">
        <v>668</v>
      </c>
    </row>
    <row r="402" spans="1:2">
      <c r="A402">
        <v>12505958</v>
      </c>
      <c r="B402" t="s">
        <v>670</v>
      </c>
    </row>
    <row r="403" spans="1:2">
      <c r="A403">
        <v>12505959</v>
      </c>
      <c r="B403" t="s">
        <v>672</v>
      </c>
    </row>
    <row r="404" spans="1:2">
      <c r="A404">
        <v>12505960</v>
      </c>
      <c r="B404" t="s">
        <v>673</v>
      </c>
    </row>
    <row r="405" spans="1:2">
      <c r="A405">
        <v>12505961</v>
      </c>
      <c r="B405" t="s">
        <v>674</v>
      </c>
    </row>
    <row r="406" spans="1:2">
      <c r="A406">
        <v>12505962</v>
      </c>
      <c r="B406" t="s">
        <v>675</v>
      </c>
    </row>
    <row r="407" spans="1:2">
      <c r="A407">
        <v>12505963</v>
      </c>
      <c r="B407" t="s">
        <v>676</v>
      </c>
    </row>
    <row r="408" spans="1:2">
      <c r="A408">
        <v>12505964</v>
      </c>
      <c r="B408" t="s">
        <v>677</v>
      </c>
    </row>
    <row r="409" spans="1:2">
      <c r="A409">
        <v>12505965</v>
      </c>
      <c r="B409" t="s">
        <v>678</v>
      </c>
    </row>
    <row r="410" spans="1:2">
      <c r="A410">
        <v>12505966</v>
      </c>
      <c r="B410" t="s">
        <v>679</v>
      </c>
    </row>
    <row r="411" spans="1:2">
      <c r="A411">
        <v>12505967</v>
      </c>
      <c r="B411" t="s">
        <v>680</v>
      </c>
    </row>
    <row r="412" spans="1:2">
      <c r="A412">
        <v>12505968</v>
      </c>
      <c r="B412" t="s">
        <v>681</v>
      </c>
    </row>
    <row r="413" spans="1:2">
      <c r="A413">
        <v>12505969</v>
      </c>
      <c r="B413" t="s">
        <v>682</v>
      </c>
    </row>
    <row r="414" spans="1:2">
      <c r="A414">
        <v>12505970</v>
      </c>
      <c r="B414" t="s">
        <v>683</v>
      </c>
    </row>
    <row r="415" spans="1:2">
      <c r="A415">
        <v>12505971</v>
      </c>
      <c r="B415" t="s">
        <v>684</v>
      </c>
    </row>
    <row r="416" spans="1:2">
      <c r="A416">
        <v>12505972</v>
      </c>
      <c r="B416" t="s">
        <v>685</v>
      </c>
    </row>
    <row r="417" spans="1:2">
      <c r="A417">
        <v>12505973</v>
      </c>
      <c r="B417" t="s">
        <v>686</v>
      </c>
    </row>
    <row r="418" spans="1:2">
      <c r="A418">
        <v>12505974</v>
      </c>
      <c r="B418" t="s">
        <v>687</v>
      </c>
    </row>
    <row r="419" spans="1:2">
      <c r="A419">
        <v>12505975</v>
      </c>
      <c r="B419" t="s">
        <v>688</v>
      </c>
    </row>
    <row r="420" spans="1:2">
      <c r="A420">
        <v>12505976</v>
      </c>
      <c r="B420" t="s">
        <v>689</v>
      </c>
    </row>
    <row r="421" spans="1:2">
      <c r="A421">
        <v>12505977</v>
      </c>
      <c r="B421" t="s">
        <v>690</v>
      </c>
    </row>
    <row r="422" spans="1:2">
      <c r="A422">
        <v>12505978</v>
      </c>
      <c r="B422" t="s">
        <v>691</v>
      </c>
    </row>
    <row r="423" spans="1:2">
      <c r="A423">
        <v>12505979</v>
      </c>
      <c r="B423" t="s">
        <v>692</v>
      </c>
    </row>
    <row r="424" spans="1:2">
      <c r="A424">
        <v>12505980</v>
      </c>
      <c r="B424" t="s">
        <v>693</v>
      </c>
    </row>
    <row r="425" spans="1:2">
      <c r="A425">
        <v>12505981</v>
      </c>
      <c r="B425" t="s">
        <v>694</v>
      </c>
    </row>
    <row r="426" spans="1:2">
      <c r="A426">
        <v>12505982</v>
      </c>
      <c r="B426" t="s">
        <v>695</v>
      </c>
    </row>
    <row r="427" spans="1:2">
      <c r="A427">
        <v>12505983</v>
      </c>
      <c r="B427" t="s">
        <v>696</v>
      </c>
    </row>
    <row r="428" spans="1:2">
      <c r="A428">
        <v>12505984</v>
      </c>
      <c r="B428" t="s">
        <v>697</v>
      </c>
    </row>
    <row r="429" spans="1:2">
      <c r="A429">
        <v>12505985</v>
      </c>
      <c r="B429" t="s">
        <v>698</v>
      </c>
    </row>
    <row r="430" spans="1:2">
      <c r="A430">
        <v>12505986</v>
      </c>
      <c r="B430" t="s">
        <v>699</v>
      </c>
    </row>
    <row r="431" spans="1:2">
      <c r="A431">
        <v>12505987</v>
      </c>
      <c r="B431" t="s">
        <v>700</v>
      </c>
    </row>
    <row r="432" spans="1:2">
      <c r="A432">
        <v>12505988</v>
      </c>
      <c r="B432" t="s">
        <v>701</v>
      </c>
    </row>
    <row r="433" spans="1:2">
      <c r="A433">
        <v>12505989</v>
      </c>
      <c r="B433" t="s">
        <v>702</v>
      </c>
    </row>
    <row r="434" spans="1:2">
      <c r="A434">
        <v>12505990</v>
      </c>
      <c r="B434" t="s">
        <v>703</v>
      </c>
    </row>
    <row r="435" spans="1:2">
      <c r="A435">
        <v>12505991</v>
      </c>
      <c r="B435" t="s">
        <v>704</v>
      </c>
    </row>
    <row r="436" spans="1:2">
      <c r="A436">
        <v>12505992</v>
      </c>
      <c r="B436" t="s">
        <v>2345</v>
      </c>
    </row>
    <row r="437" spans="1:2">
      <c r="A437">
        <v>12505993</v>
      </c>
      <c r="B437" t="s">
        <v>2346</v>
      </c>
    </row>
    <row r="438" spans="1:2">
      <c r="A438">
        <v>12505994</v>
      </c>
      <c r="B438" t="s">
        <v>2347</v>
      </c>
    </row>
    <row r="439" spans="1:2">
      <c r="A439">
        <v>12506001</v>
      </c>
      <c r="B439" t="s">
        <v>705</v>
      </c>
    </row>
    <row r="440" spans="1:2">
      <c r="A440">
        <v>12506002</v>
      </c>
      <c r="B440" t="s">
        <v>706</v>
      </c>
    </row>
    <row r="441" spans="1:2">
      <c r="A441">
        <v>12506003</v>
      </c>
      <c r="B441" t="s">
        <v>707</v>
      </c>
    </row>
    <row r="442" spans="1:2">
      <c r="A442">
        <v>12506004</v>
      </c>
      <c r="B442" t="s">
        <v>708</v>
      </c>
    </row>
    <row r="443" spans="1:2">
      <c r="A443">
        <v>12506005</v>
      </c>
      <c r="B443" t="s">
        <v>709</v>
      </c>
    </row>
    <row r="444" spans="1:2">
      <c r="A444">
        <v>12506006</v>
      </c>
      <c r="B444" t="s">
        <v>710</v>
      </c>
    </row>
    <row r="445" spans="1:2">
      <c r="A445">
        <v>12506007</v>
      </c>
      <c r="B445" t="s">
        <v>711</v>
      </c>
    </row>
    <row r="446" spans="1:2">
      <c r="A446">
        <v>12506008</v>
      </c>
      <c r="B446" t="s">
        <v>712</v>
      </c>
    </row>
    <row r="447" spans="1:2">
      <c r="A447">
        <v>12506009</v>
      </c>
      <c r="B447" t="s">
        <v>713</v>
      </c>
    </row>
    <row r="448" spans="1:2">
      <c r="A448">
        <v>12506010</v>
      </c>
      <c r="B448" t="s">
        <v>714</v>
      </c>
    </row>
    <row r="449" spans="1:2">
      <c r="A449">
        <v>12506011</v>
      </c>
      <c r="B449" t="s">
        <v>715</v>
      </c>
    </row>
    <row r="450" spans="1:2">
      <c r="A450">
        <v>12506012</v>
      </c>
      <c r="B450" t="s">
        <v>716</v>
      </c>
    </row>
    <row r="451" spans="1:2">
      <c r="A451">
        <v>12506013</v>
      </c>
      <c r="B451" t="s">
        <v>717</v>
      </c>
    </row>
    <row r="452" spans="1:2">
      <c r="A452">
        <v>12506014</v>
      </c>
      <c r="B452" t="s">
        <v>718</v>
      </c>
    </row>
    <row r="453" spans="1:2">
      <c r="A453">
        <v>12506015</v>
      </c>
      <c r="B453" t="s">
        <v>2348</v>
      </c>
    </row>
    <row r="454" spans="1:2">
      <c r="A454">
        <v>13006101</v>
      </c>
      <c r="B454" t="s">
        <v>719</v>
      </c>
    </row>
    <row r="455" spans="1:2">
      <c r="A455">
        <v>13006102</v>
      </c>
      <c r="B455" t="s">
        <v>720</v>
      </c>
    </row>
    <row r="456" spans="1:2">
      <c r="A456">
        <v>13006103</v>
      </c>
      <c r="B456" t="s">
        <v>721</v>
      </c>
    </row>
    <row r="457" spans="1:2">
      <c r="A457">
        <v>13006104</v>
      </c>
      <c r="B457" t="s">
        <v>722</v>
      </c>
    </row>
    <row r="458" spans="1:2">
      <c r="A458">
        <v>13006105</v>
      </c>
      <c r="B458" t="s">
        <v>723</v>
      </c>
    </row>
    <row r="459" spans="1:2">
      <c r="A459">
        <v>13006106</v>
      </c>
      <c r="B459" t="s">
        <v>724</v>
      </c>
    </row>
    <row r="460" spans="1:2">
      <c r="A460">
        <v>13506201</v>
      </c>
      <c r="B460" t="s">
        <v>725</v>
      </c>
    </row>
    <row r="461" spans="1:2">
      <c r="A461">
        <v>14006301</v>
      </c>
      <c r="B461" t="s">
        <v>726</v>
      </c>
    </row>
    <row r="462" spans="1:2">
      <c r="A462">
        <v>14006401</v>
      </c>
      <c r="B462" t="s">
        <v>727</v>
      </c>
    </row>
    <row r="463" spans="1:2">
      <c r="A463">
        <v>14006501</v>
      </c>
      <c r="B463" t="s">
        <v>728</v>
      </c>
    </row>
    <row r="464" spans="1:2">
      <c r="A464">
        <v>14006601</v>
      </c>
      <c r="B464" t="s">
        <v>729</v>
      </c>
    </row>
    <row r="465" spans="1:2">
      <c r="A465">
        <v>14006701</v>
      </c>
      <c r="B465" t="s">
        <v>730</v>
      </c>
    </row>
    <row r="466" spans="1:2">
      <c r="A466">
        <v>14006801</v>
      </c>
      <c r="B466" t="s">
        <v>731</v>
      </c>
    </row>
    <row r="467" spans="1:2">
      <c r="A467">
        <v>14099901</v>
      </c>
      <c r="B467" t="s">
        <v>732</v>
      </c>
    </row>
    <row r="468" spans="1:2">
      <c r="A468">
        <v>14506901</v>
      </c>
      <c r="B468" t="s">
        <v>733</v>
      </c>
    </row>
    <row r="469" spans="1:2">
      <c r="A469">
        <v>14506902</v>
      </c>
      <c r="B469" t="s">
        <v>734</v>
      </c>
    </row>
    <row r="470" spans="1:2">
      <c r="A470">
        <v>14506903</v>
      </c>
      <c r="B470" t="s">
        <v>735</v>
      </c>
    </row>
    <row r="471" spans="1:2">
      <c r="A471">
        <v>14506904</v>
      </c>
      <c r="B471" t="s">
        <v>736</v>
      </c>
    </row>
    <row r="472" spans="1:2">
      <c r="A472">
        <v>14506905</v>
      </c>
      <c r="B472" t="s">
        <v>737</v>
      </c>
    </row>
    <row r="473" spans="1:2">
      <c r="A473">
        <v>14506906</v>
      </c>
      <c r="B473" t="s">
        <v>738</v>
      </c>
    </row>
    <row r="474" spans="1:2">
      <c r="A474">
        <v>14506907</v>
      </c>
      <c r="B474" t="s">
        <v>739</v>
      </c>
    </row>
    <row r="475" spans="1:2">
      <c r="A475">
        <v>14506908</v>
      </c>
      <c r="B475" t="s">
        <v>740</v>
      </c>
    </row>
    <row r="476" spans="1:2">
      <c r="A476">
        <v>14506909</v>
      </c>
      <c r="B476" t="s">
        <v>741</v>
      </c>
    </row>
    <row r="477" spans="1:2">
      <c r="A477">
        <v>14507001</v>
      </c>
      <c r="B477" t="s">
        <v>758</v>
      </c>
    </row>
    <row r="478" spans="1:2">
      <c r="A478">
        <v>14507002</v>
      </c>
      <c r="B478" t="s">
        <v>759</v>
      </c>
    </row>
    <row r="479" spans="1:2">
      <c r="A479">
        <v>14507003</v>
      </c>
      <c r="B479" t="s">
        <v>760</v>
      </c>
    </row>
    <row r="480" spans="1:2">
      <c r="A480">
        <v>14507004</v>
      </c>
      <c r="B480" t="s">
        <v>761</v>
      </c>
    </row>
    <row r="481" spans="1:2">
      <c r="A481">
        <v>14507005</v>
      </c>
      <c r="B481" t="s">
        <v>762</v>
      </c>
    </row>
    <row r="482" spans="1:2">
      <c r="A482">
        <v>14507006</v>
      </c>
      <c r="B482" t="s">
        <v>763</v>
      </c>
    </row>
    <row r="483" spans="1:2">
      <c r="A483">
        <v>14507007</v>
      </c>
      <c r="B483" t="s">
        <v>764</v>
      </c>
    </row>
    <row r="484" spans="1:2">
      <c r="A484">
        <v>14507008</v>
      </c>
      <c r="B484" t="s">
        <v>765</v>
      </c>
    </row>
    <row r="485" spans="1:2">
      <c r="A485">
        <v>14507009</v>
      </c>
      <c r="B485" t="s">
        <v>766</v>
      </c>
    </row>
    <row r="486" spans="1:2">
      <c r="A486">
        <v>14507101</v>
      </c>
      <c r="B486" t="s">
        <v>783</v>
      </c>
    </row>
    <row r="487" spans="1:2">
      <c r="A487">
        <v>14507102</v>
      </c>
      <c r="B487" t="s">
        <v>784</v>
      </c>
    </row>
    <row r="488" spans="1:2">
      <c r="A488">
        <v>14507103</v>
      </c>
      <c r="B488" t="s">
        <v>785</v>
      </c>
    </row>
    <row r="489" spans="1:2">
      <c r="A489">
        <v>14507104</v>
      </c>
      <c r="B489" t="s">
        <v>786</v>
      </c>
    </row>
    <row r="490" spans="1:2">
      <c r="A490">
        <v>14507105</v>
      </c>
      <c r="B490" t="s">
        <v>787</v>
      </c>
    </row>
    <row r="491" spans="1:2">
      <c r="A491">
        <v>14507106</v>
      </c>
      <c r="B491" t="s">
        <v>788</v>
      </c>
    </row>
    <row r="492" spans="1:2">
      <c r="A492">
        <v>14507107</v>
      </c>
      <c r="B492" t="s">
        <v>789</v>
      </c>
    </row>
    <row r="493" spans="1:2">
      <c r="A493">
        <v>14507108</v>
      </c>
      <c r="B493" t="s">
        <v>790</v>
      </c>
    </row>
    <row r="494" spans="1:2">
      <c r="A494">
        <v>14507109</v>
      </c>
      <c r="B494" t="s">
        <v>791</v>
      </c>
    </row>
    <row r="495" spans="1:2">
      <c r="A495">
        <v>14507201</v>
      </c>
      <c r="B495" t="s">
        <v>808</v>
      </c>
    </row>
    <row r="496" spans="1:2">
      <c r="A496">
        <v>14507202</v>
      </c>
      <c r="B496" t="s">
        <v>809</v>
      </c>
    </row>
    <row r="497" spans="1:2">
      <c r="A497">
        <v>14507203</v>
      </c>
      <c r="B497" t="s">
        <v>810</v>
      </c>
    </row>
    <row r="498" spans="1:2">
      <c r="A498">
        <v>14507204</v>
      </c>
      <c r="B498" t="s">
        <v>811</v>
      </c>
    </row>
    <row r="499" spans="1:2">
      <c r="A499">
        <v>14507205</v>
      </c>
      <c r="B499" t="s">
        <v>812</v>
      </c>
    </row>
    <row r="500" spans="1:2">
      <c r="A500">
        <v>14507206</v>
      </c>
      <c r="B500" t="s">
        <v>813</v>
      </c>
    </row>
    <row r="501" spans="1:2">
      <c r="A501">
        <v>14507207</v>
      </c>
      <c r="B501" t="s">
        <v>814</v>
      </c>
    </row>
    <row r="502" spans="1:2">
      <c r="A502">
        <v>14507208</v>
      </c>
      <c r="B502" t="s">
        <v>815</v>
      </c>
    </row>
    <row r="503" spans="1:2">
      <c r="A503">
        <v>14507209</v>
      </c>
      <c r="B503" t="s">
        <v>816</v>
      </c>
    </row>
    <row r="504" spans="1:2">
      <c r="A504">
        <v>14507301</v>
      </c>
      <c r="B504" t="s">
        <v>833</v>
      </c>
    </row>
    <row r="505" spans="1:2">
      <c r="A505">
        <v>14507302</v>
      </c>
      <c r="B505" t="s">
        <v>834</v>
      </c>
    </row>
    <row r="506" spans="1:2">
      <c r="A506">
        <v>14507303</v>
      </c>
      <c r="B506" t="s">
        <v>835</v>
      </c>
    </row>
    <row r="507" spans="1:2">
      <c r="A507">
        <v>14507304</v>
      </c>
      <c r="B507" t="s">
        <v>836</v>
      </c>
    </row>
    <row r="508" spans="1:2">
      <c r="A508">
        <v>14507305</v>
      </c>
      <c r="B508" t="s">
        <v>837</v>
      </c>
    </row>
    <row r="509" spans="1:2">
      <c r="A509">
        <v>14507306</v>
      </c>
      <c r="B509" t="s">
        <v>838</v>
      </c>
    </row>
    <row r="510" spans="1:2">
      <c r="A510">
        <v>14507307</v>
      </c>
      <c r="B510" t="s">
        <v>839</v>
      </c>
    </row>
    <row r="511" spans="1:2">
      <c r="A511">
        <v>14507308</v>
      </c>
      <c r="B511" t="s">
        <v>840</v>
      </c>
    </row>
    <row r="512" spans="1:2">
      <c r="A512">
        <v>14507309</v>
      </c>
      <c r="B512" t="s">
        <v>841</v>
      </c>
    </row>
    <row r="513" spans="1:2">
      <c r="A513">
        <v>14507401</v>
      </c>
      <c r="B513" t="s">
        <v>858</v>
      </c>
    </row>
    <row r="514" spans="1:2">
      <c r="A514">
        <v>14507402</v>
      </c>
      <c r="B514" t="s">
        <v>859</v>
      </c>
    </row>
    <row r="515" spans="1:2">
      <c r="A515">
        <v>14507403</v>
      </c>
      <c r="B515" t="s">
        <v>860</v>
      </c>
    </row>
    <row r="516" spans="1:2">
      <c r="A516">
        <v>14507404</v>
      </c>
      <c r="B516" t="s">
        <v>861</v>
      </c>
    </row>
    <row r="517" spans="1:2">
      <c r="A517">
        <v>14507405</v>
      </c>
      <c r="B517" t="s">
        <v>862</v>
      </c>
    </row>
    <row r="518" spans="1:2">
      <c r="A518">
        <v>14507406</v>
      </c>
      <c r="B518" t="s">
        <v>863</v>
      </c>
    </row>
    <row r="519" spans="1:2">
      <c r="A519">
        <v>14507407</v>
      </c>
      <c r="B519" t="s">
        <v>864</v>
      </c>
    </row>
    <row r="520" spans="1:2">
      <c r="A520">
        <v>14507408</v>
      </c>
      <c r="B520" t="s">
        <v>865</v>
      </c>
    </row>
    <row r="521" spans="1:2">
      <c r="A521">
        <v>14507409</v>
      </c>
      <c r="B521" t="s">
        <v>866</v>
      </c>
    </row>
    <row r="522" spans="1:2">
      <c r="A522">
        <v>14507501</v>
      </c>
      <c r="B522" t="s">
        <v>883</v>
      </c>
    </row>
    <row r="523" spans="1:2">
      <c r="A523">
        <v>14507502</v>
      </c>
      <c r="B523" t="s">
        <v>884</v>
      </c>
    </row>
    <row r="524" spans="1:2">
      <c r="A524">
        <v>14507503</v>
      </c>
      <c r="B524" t="s">
        <v>885</v>
      </c>
    </row>
    <row r="525" spans="1:2">
      <c r="A525">
        <v>14507504</v>
      </c>
      <c r="B525" t="s">
        <v>886</v>
      </c>
    </row>
    <row r="526" spans="1:2">
      <c r="A526">
        <v>14507505</v>
      </c>
      <c r="B526" t="s">
        <v>887</v>
      </c>
    </row>
    <row r="527" spans="1:2">
      <c r="A527">
        <v>14507506</v>
      </c>
      <c r="B527" t="s">
        <v>888</v>
      </c>
    </row>
    <row r="528" spans="1:2">
      <c r="A528">
        <v>14507507</v>
      </c>
      <c r="B528" t="s">
        <v>889</v>
      </c>
    </row>
    <row r="529" spans="1:2">
      <c r="A529">
        <v>14507508</v>
      </c>
      <c r="B529" t="s">
        <v>2349</v>
      </c>
    </row>
    <row r="530" spans="1:2">
      <c r="A530">
        <v>14507509</v>
      </c>
      <c r="B530" t="s">
        <v>890</v>
      </c>
    </row>
    <row r="531" spans="1:2">
      <c r="A531">
        <v>14599901</v>
      </c>
      <c r="B531" t="s">
        <v>907</v>
      </c>
    </row>
    <row r="532" spans="1:2">
      <c r="A532">
        <v>14599902</v>
      </c>
      <c r="B532" t="s">
        <v>908</v>
      </c>
    </row>
    <row r="533" spans="1:2">
      <c r="A533">
        <v>14599903</v>
      </c>
      <c r="B533" t="s">
        <v>909</v>
      </c>
    </row>
    <row r="534" spans="1:2">
      <c r="A534">
        <v>14599904</v>
      </c>
      <c r="B534" t="s">
        <v>910</v>
      </c>
    </row>
    <row r="535" spans="1:2">
      <c r="A535">
        <v>14599905</v>
      </c>
      <c r="B535" t="s">
        <v>911</v>
      </c>
    </row>
    <row r="536" spans="1:2">
      <c r="A536">
        <v>14599906</v>
      </c>
      <c r="B536" t="s">
        <v>912</v>
      </c>
    </row>
    <row r="537" spans="1:2">
      <c r="A537">
        <v>14599907</v>
      </c>
      <c r="B537" t="s">
        <v>913</v>
      </c>
    </row>
    <row r="538" spans="1:2">
      <c r="A538">
        <v>14599908</v>
      </c>
      <c r="B538" t="s">
        <v>914</v>
      </c>
    </row>
    <row r="539" spans="1:2">
      <c r="A539">
        <v>14599909</v>
      </c>
      <c r="B539" t="s">
        <v>915</v>
      </c>
    </row>
    <row r="540" spans="1:2">
      <c r="A540">
        <v>14599910</v>
      </c>
      <c r="B540" t="s">
        <v>916</v>
      </c>
    </row>
    <row r="541" spans="1:2">
      <c r="A541">
        <v>14599911</v>
      </c>
      <c r="B541" t="s">
        <v>917</v>
      </c>
    </row>
    <row r="542" spans="1:2">
      <c r="A542">
        <v>14599912</v>
      </c>
      <c r="B542" t="s">
        <v>918</v>
      </c>
    </row>
    <row r="543" spans="1:2">
      <c r="A543">
        <v>14599913</v>
      </c>
      <c r="B543" t="s">
        <v>919</v>
      </c>
    </row>
    <row r="544" spans="1:2">
      <c r="A544">
        <v>14599914</v>
      </c>
      <c r="B544" t="s">
        <v>920</v>
      </c>
    </row>
    <row r="545" spans="1:2">
      <c r="A545">
        <v>14599915</v>
      </c>
      <c r="B545" t="s">
        <v>921</v>
      </c>
    </row>
    <row r="546" spans="1:2">
      <c r="A546">
        <v>14599916</v>
      </c>
      <c r="B546" t="s">
        <v>922</v>
      </c>
    </row>
    <row r="547" spans="1:2">
      <c r="A547">
        <v>14599917</v>
      </c>
      <c r="B547" t="s">
        <v>923</v>
      </c>
    </row>
    <row r="548" spans="1:2">
      <c r="A548">
        <v>14599918</v>
      </c>
      <c r="B548" t="s">
        <v>924</v>
      </c>
    </row>
    <row r="549" spans="1:2">
      <c r="A549">
        <v>14599919</v>
      </c>
      <c r="B549" t="s">
        <v>925</v>
      </c>
    </row>
    <row r="550" spans="1:2">
      <c r="A550">
        <v>14599920</v>
      </c>
      <c r="B550" t="s">
        <v>926</v>
      </c>
    </row>
    <row r="551" spans="1:2">
      <c r="A551">
        <v>14599921</v>
      </c>
      <c r="B551" t="s">
        <v>927</v>
      </c>
    </row>
    <row r="552" spans="1:2">
      <c r="A552">
        <v>14599922</v>
      </c>
      <c r="B552" t="s">
        <v>928</v>
      </c>
    </row>
    <row r="553" spans="1:2">
      <c r="A553">
        <v>14599923</v>
      </c>
      <c r="B553" t="s">
        <v>929</v>
      </c>
    </row>
    <row r="554" spans="1:2">
      <c r="A554">
        <v>14599924</v>
      </c>
      <c r="B554" t="s">
        <v>930</v>
      </c>
    </row>
    <row r="555" spans="1:2">
      <c r="A555">
        <v>14599925</v>
      </c>
      <c r="B555" t="s">
        <v>931</v>
      </c>
    </row>
    <row r="556" spans="1:2">
      <c r="A556">
        <v>14599926</v>
      </c>
      <c r="B556" t="s">
        <v>932</v>
      </c>
    </row>
    <row r="557" spans="1:2">
      <c r="A557">
        <v>14599927</v>
      </c>
      <c r="B557" t="s">
        <v>933</v>
      </c>
    </row>
    <row r="558" spans="1:2">
      <c r="A558">
        <v>14506910</v>
      </c>
      <c r="B558" t="s">
        <v>742</v>
      </c>
    </row>
    <row r="559" spans="1:2">
      <c r="A559">
        <v>14506911</v>
      </c>
      <c r="B559" t="s">
        <v>743</v>
      </c>
    </row>
    <row r="560" spans="1:2">
      <c r="A560">
        <v>14506912</v>
      </c>
      <c r="B560" t="s">
        <v>744</v>
      </c>
    </row>
    <row r="561" spans="1:2">
      <c r="A561">
        <v>14506913</v>
      </c>
      <c r="B561" t="s">
        <v>745</v>
      </c>
    </row>
    <row r="562" spans="1:2">
      <c r="A562">
        <v>14506914</v>
      </c>
      <c r="B562" t="s">
        <v>746</v>
      </c>
    </row>
    <row r="563" spans="1:2">
      <c r="A563">
        <v>14506915</v>
      </c>
      <c r="B563" t="s">
        <v>747</v>
      </c>
    </row>
    <row r="564" spans="1:2">
      <c r="A564">
        <v>14506916</v>
      </c>
      <c r="B564" t="s">
        <v>748</v>
      </c>
    </row>
    <row r="565" spans="1:2">
      <c r="A565">
        <v>14506917</v>
      </c>
      <c r="B565" t="s">
        <v>749</v>
      </c>
    </row>
    <row r="566" spans="1:2">
      <c r="A566">
        <v>14506918</v>
      </c>
      <c r="B566" t="s">
        <v>750</v>
      </c>
    </row>
    <row r="567" spans="1:2">
      <c r="A567">
        <v>14506919</v>
      </c>
      <c r="B567" t="s">
        <v>751</v>
      </c>
    </row>
    <row r="568" spans="1:2">
      <c r="A568">
        <v>14506920</v>
      </c>
      <c r="B568" t="s">
        <v>752</v>
      </c>
    </row>
    <row r="569" spans="1:2">
      <c r="A569">
        <v>14506921</v>
      </c>
      <c r="B569" t="s">
        <v>753</v>
      </c>
    </row>
    <row r="570" spans="1:2">
      <c r="A570">
        <v>14506922</v>
      </c>
      <c r="B570" t="s">
        <v>754</v>
      </c>
    </row>
    <row r="571" spans="1:2">
      <c r="A571">
        <v>14506923</v>
      </c>
      <c r="B571" t="s">
        <v>755</v>
      </c>
    </row>
    <row r="572" spans="1:2">
      <c r="A572">
        <v>14506924</v>
      </c>
      <c r="B572" t="s">
        <v>756</v>
      </c>
    </row>
    <row r="573" spans="1:2">
      <c r="A573">
        <v>14506925</v>
      </c>
      <c r="B573" t="s">
        <v>757</v>
      </c>
    </row>
    <row r="574" spans="1:2">
      <c r="A574">
        <v>14507010</v>
      </c>
      <c r="B574" t="s">
        <v>767</v>
      </c>
    </row>
    <row r="575" spans="1:2">
      <c r="A575">
        <v>14507011</v>
      </c>
      <c r="B575" t="s">
        <v>768</v>
      </c>
    </row>
    <row r="576" spans="1:2">
      <c r="A576">
        <v>14507012</v>
      </c>
      <c r="B576" t="s">
        <v>769</v>
      </c>
    </row>
    <row r="577" spans="1:2">
      <c r="A577">
        <v>14507013</v>
      </c>
      <c r="B577" t="s">
        <v>770</v>
      </c>
    </row>
    <row r="578" spans="1:2">
      <c r="A578">
        <v>14507014</v>
      </c>
      <c r="B578" t="s">
        <v>771</v>
      </c>
    </row>
    <row r="579" spans="1:2">
      <c r="A579">
        <v>14507015</v>
      </c>
      <c r="B579" t="s">
        <v>772</v>
      </c>
    </row>
    <row r="580" spans="1:2">
      <c r="A580">
        <v>14507016</v>
      </c>
      <c r="B580" t="s">
        <v>773</v>
      </c>
    </row>
    <row r="581" spans="1:2">
      <c r="A581">
        <v>14507017</v>
      </c>
      <c r="B581" t="s">
        <v>774</v>
      </c>
    </row>
    <row r="582" spans="1:2">
      <c r="A582">
        <v>14507018</v>
      </c>
      <c r="B582" t="s">
        <v>775</v>
      </c>
    </row>
    <row r="583" spans="1:2">
      <c r="A583">
        <v>14507019</v>
      </c>
      <c r="B583" t="s">
        <v>776</v>
      </c>
    </row>
    <row r="584" spans="1:2">
      <c r="A584">
        <v>14507020</v>
      </c>
      <c r="B584" t="s">
        <v>777</v>
      </c>
    </row>
    <row r="585" spans="1:2">
      <c r="A585">
        <v>14507021</v>
      </c>
      <c r="B585" t="s">
        <v>778</v>
      </c>
    </row>
    <row r="586" spans="1:2">
      <c r="A586">
        <v>14507022</v>
      </c>
      <c r="B586" t="s">
        <v>779</v>
      </c>
    </row>
    <row r="587" spans="1:2">
      <c r="A587">
        <v>14507023</v>
      </c>
      <c r="B587" t="s">
        <v>780</v>
      </c>
    </row>
    <row r="588" spans="1:2">
      <c r="A588">
        <v>14507024</v>
      </c>
      <c r="B588" t="s">
        <v>781</v>
      </c>
    </row>
    <row r="589" spans="1:2">
      <c r="A589">
        <v>14507025</v>
      </c>
      <c r="B589" t="s">
        <v>782</v>
      </c>
    </row>
    <row r="590" spans="1:2">
      <c r="A590">
        <v>14507110</v>
      </c>
      <c r="B590" t="s">
        <v>792</v>
      </c>
    </row>
    <row r="591" spans="1:2">
      <c r="A591">
        <v>14507111</v>
      </c>
      <c r="B591" t="s">
        <v>793</v>
      </c>
    </row>
    <row r="592" spans="1:2">
      <c r="A592">
        <v>14507112</v>
      </c>
      <c r="B592" t="s">
        <v>794</v>
      </c>
    </row>
    <row r="593" spans="1:2">
      <c r="A593">
        <v>14507113</v>
      </c>
      <c r="B593" t="s">
        <v>795</v>
      </c>
    </row>
    <row r="594" spans="1:2">
      <c r="A594">
        <v>14507114</v>
      </c>
      <c r="B594" t="s">
        <v>796</v>
      </c>
    </row>
    <row r="595" spans="1:2">
      <c r="A595">
        <v>14507115</v>
      </c>
      <c r="B595" t="s">
        <v>797</v>
      </c>
    </row>
    <row r="596" spans="1:2">
      <c r="A596">
        <v>14507116</v>
      </c>
      <c r="B596" t="s">
        <v>798</v>
      </c>
    </row>
    <row r="597" spans="1:2">
      <c r="A597">
        <v>14507117</v>
      </c>
      <c r="B597" t="s">
        <v>799</v>
      </c>
    </row>
    <row r="598" spans="1:2">
      <c r="A598">
        <v>14507118</v>
      </c>
      <c r="B598" t="s">
        <v>800</v>
      </c>
    </row>
    <row r="599" spans="1:2">
      <c r="A599">
        <v>14507119</v>
      </c>
      <c r="B599" t="s">
        <v>801</v>
      </c>
    </row>
    <row r="600" spans="1:2">
      <c r="A600">
        <v>14507120</v>
      </c>
      <c r="B600" t="s">
        <v>802</v>
      </c>
    </row>
    <row r="601" spans="1:2">
      <c r="A601">
        <v>14507121</v>
      </c>
      <c r="B601" t="s">
        <v>803</v>
      </c>
    </row>
    <row r="602" spans="1:2">
      <c r="A602">
        <v>14507122</v>
      </c>
      <c r="B602" t="s">
        <v>804</v>
      </c>
    </row>
    <row r="603" spans="1:2">
      <c r="A603">
        <v>14507123</v>
      </c>
      <c r="B603" t="s">
        <v>805</v>
      </c>
    </row>
    <row r="604" spans="1:2">
      <c r="A604">
        <v>14507124</v>
      </c>
      <c r="B604" t="s">
        <v>806</v>
      </c>
    </row>
    <row r="605" spans="1:2">
      <c r="A605">
        <v>14507125</v>
      </c>
      <c r="B605" t="s">
        <v>807</v>
      </c>
    </row>
    <row r="606" spans="1:2">
      <c r="A606">
        <v>14507210</v>
      </c>
      <c r="B606" t="s">
        <v>817</v>
      </c>
    </row>
    <row r="607" spans="1:2">
      <c r="A607">
        <v>14507211</v>
      </c>
      <c r="B607" t="s">
        <v>818</v>
      </c>
    </row>
    <row r="608" spans="1:2">
      <c r="A608">
        <v>14507212</v>
      </c>
      <c r="B608" t="s">
        <v>819</v>
      </c>
    </row>
    <row r="609" spans="1:2">
      <c r="A609">
        <v>14507213</v>
      </c>
      <c r="B609" t="s">
        <v>820</v>
      </c>
    </row>
    <row r="610" spans="1:2">
      <c r="A610">
        <v>14507214</v>
      </c>
      <c r="B610" t="s">
        <v>821</v>
      </c>
    </row>
    <row r="611" spans="1:2">
      <c r="A611">
        <v>14507215</v>
      </c>
      <c r="B611" t="s">
        <v>822</v>
      </c>
    </row>
    <row r="612" spans="1:2">
      <c r="A612">
        <v>14507216</v>
      </c>
      <c r="B612" t="s">
        <v>823</v>
      </c>
    </row>
    <row r="613" spans="1:2">
      <c r="A613">
        <v>14507217</v>
      </c>
      <c r="B613" t="s">
        <v>824</v>
      </c>
    </row>
    <row r="614" spans="1:2">
      <c r="A614">
        <v>14507218</v>
      </c>
      <c r="B614" t="s">
        <v>825</v>
      </c>
    </row>
    <row r="615" spans="1:2">
      <c r="A615">
        <v>14507219</v>
      </c>
      <c r="B615" t="s">
        <v>826</v>
      </c>
    </row>
    <row r="616" spans="1:2">
      <c r="A616">
        <v>14507220</v>
      </c>
      <c r="B616" t="s">
        <v>827</v>
      </c>
    </row>
    <row r="617" spans="1:2">
      <c r="A617">
        <v>14507221</v>
      </c>
      <c r="B617" t="s">
        <v>828</v>
      </c>
    </row>
    <row r="618" spans="1:2">
      <c r="A618">
        <v>14507222</v>
      </c>
      <c r="B618" t="s">
        <v>829</v>
      </c>
    </row>
    <row r="619" spans="1:2">
      <c r="A619">
        <v>14507223</v>
      </c>
      <c r="B619" t="s">
        <v>830</v>
      </c>
    </row>
    <row r="620" spans="1:2">
      <c r="A620">
        <v>14507224</v>
      </c>
      <c r="B620" t="s">
        <v>831</v>
      </c>
    </row>
    <row r="621" spans="1:2">
      <c r="A621">
        <v>14507225</v>
      </c>
      <c r="B621" t="s">
        <v>832</v>
      </c>
    </row>
    <row r="622" spans="1:2">
      <c r="A622">
        <v>14507310</v>
      </c>
      <c r="B622" t="s">
        <v>842</v>
      </c>
    </row>
    <row r="623" spans="1:2">
      <c r="A623">
        <v>14507311</v>
      </c>
      <c r="B623" t="s">
        <v>843</v>
      </c>
    </row>
    <row r="624" spans="1:2">
      <c r="A624">
        <v>14507312</v>
      </c>
      <c r="B624" t="s">
        <v>844</v>
      </c>
    </row>
    <row r="625" spans="1:2">
      <c r="A625">
        <v>14507313</v>
      </c>
      <c r="B625" t="s">
        <v>845</v>
      </c>
    </row>
    <row r="626" spans="1:2">
      <c r="A626">
        <v>14507314</v>
      </c>
      <c r="B626" t="s">
        <v>846</v>
      </c>
    </row>
    <row r="627" spans="1:2">
      <c r="A627">
        <v>14507315</v>
      </c>
      <c r="B627" t="s">
        <v>847</v>
      </c>
    </row>
    <row r="628" spans="1:2">
      <c r="A628">
        <v>14507316</v>
      </c>
      <c r="B628" t="s">
        <v>848</v>
      </c>
    </row>
    <row r="629" spans="1:2">
      <c r="A629">
        <v>14507317</v>
      </c>
      <c r="B629" t="s">
        <v>849</v>
      </c>
    </row>
    <row r="630" spans="1:2">
      <c r="A630">
        <v>14507318</v>
      </c>
      <c r="B630" t="s">
        <v>850</v>
      </c>
    </row>
    <row r="631" spans="1:2">
      <c r="A631">
        <v>14507319</v>
      </c>
      <c r="B631" t="s">
        <v>851</v>
      </c>
    </row>
    <row r="632" spans="1:2">
      <c r="A632">
        <v>14507320</v>
      </c>
      <c r="B632" t="s">
        <v>852</v>
      </c>
    </row>
    <row r="633" spans="1:2">
      <c r="A633">
        <v>14507321</v>
      </c>
      <c r="B633" t="s">
        <v>853</v>
      </c>
    </row>
    <row r="634" spans="1:2">
      <c r="A634">
        <v>14507322</v>
      </c>
      <c r="B634" t="s">
        <v>854</v>
      </c>
    </row>
    <row r="635" spans="1:2">
      <c r="A635">
        <v>14507323</v>
      </c>
      <c r="B635" t="s">
        <v>855</v>
      </c>
    </row>
    <row r="636" spans="1:2">
      <c r="A636">
        <v>14507324</v>
      </c>
      <c r="B636" t="s">
        <v>856</v>
      </c>
    </row>
    <row r="637" spans="1:2">
      <c r="A637">
        <v>14507325</v>
      </c>
      <c r="B637" t="s">
        <v>857</v>
      </c>
    </row>
    <row r="638" spans="1:2">
      <c r="A638">
        <v>14507410</v>
      </c>
      <c r="B638" t="s">
        <v>867</v>
      </c>
    </row>
    <row r="639" spans="1:2">
      <c r="A639">
        <v>14507411</v>
      </c>
      <c r="B639" t="s">
        <v>868</v>
      </c>
    </row>
    <row r="640" spans="1:2">
      <c r="A640">
        <v>14507412</v>
      </c>
      <c r="B640" t="s">
        <v>869</v>
      </c>
    </row>
    <row r="641" spans="1:2">
      <c r="A641">
        <v>14507413</v>
      </c>
      <c r="B641" t="s">
        <v>870</v>
      </c>
    </row>
    <row r="642" spans="1:2">
      <c r="A642">
        <v>14507414</v>
      </c>
      <c r="B642" t="s">
        <v>871</v>
      </c>
    </row>
    <row r="643" spans="1:2">
      <c r="A643">
        <v>14507415</v>
      </c>
      <c r="B643" t="s">
        <v>872</v>
      </c>
    </row>
    <row r="644" spans="1:2">
      <c r="A644">
        <v>14507416</v>
      </c>
      <c r="B644" t="s">
        <v>873</v>
      </c>
    </row>
    <row r="645" spans="1:2">
      <c r="A645">
        <v>14507417</v>
      </c>
      <c r="B645" t="s">
        <v>874</v>
      </c>
    </row>
    <row r="646" spans="1:2">
      <c r="A646">
        <v>14507418</v>
      </c>
      <c r="B646" t="s">
        <v>875</v>
      </c>
    </row>
    <row r="647" spans="1:2">
      <c r="A647">
        <v>14507419</v>
      </c>
      <c r="B647" t="s">
        <v>876</v>
      </c>
    </row>
    <row r="648" spans="1:2">
      <c r="A648">
        <v>14507420</v>
      </c>
      <c r="B648" t="s">
        <v>877</v>
      </c>
    </row>
    <row r="649" spans="1:2">
      <c r="A649">
        <v>14507421</v>
      </c>
      <c r="B649" t="s">
        <v>878</v>
      </c>
    </row>
    <row r="650" spans="1:2">
      <c r="A650">
        <v>14507422</v>
      </c>
      <c r="B650" t="s">
        <v>879</v>
      </c>
    </row>
    <row r="651" spans="1:2">
      <c r="A651">
        <v>14507423</v>
      </c>
      <c r="B651" t="s">
        <v>880</v>
      </c>
    </row>
    <row r="652" spans="1:2">
      <c r="A652">
        <v>14507424</v>
      </c>
      <c r="B652" t="s">
        <v>881</v>
      </c>
    </row>
    <row r="653" spans="1:2">
      <c r="A653">
        <v>14507425</v>
      </c>
      <c r="B653" t="s">
        <v>882</v>
      </c>
    </row>
    <row r="654" spans="1:2">
      <c r="A654">
        <v>14507510</v>
      </c>
      <c r="B654" t="s">
        <v>891</v>
      </c>
    </row>
    <row r="655" spans="1:2">
      <c r="A655">
        <v>14507511</v>
      </c>
      <c r="B655" t="s">
        <v>892</v>
      </c>
    </row>
    <row r="656" spans="1:2">
      <c r="A656">
        <v>14507512</v>
      </c>
      <c r="B656" t="s">
        <v>893</v>
      </c>
    </row>
    <row r="657" spans="1:2">
      <c r="A657">
        <v>14507513</v>
      </c>
      <c r="B657" t="s">
        <v>894</v>
      </c>
    </row>
    <row r="658" spans="1:2">
      <c r="A658">
        <v>14507514</v>
      </c>
      <c r="B658" t="s">
        <v>895</v>
      </c>
    </row>
    <row r="659" spans="1:2">
      <c r="A659">
        <v>14507515</v>
      </c>
      <c r="B659" t="s">
        <v>896</v>
      </c>
    </row>
    <row r="660" spans="1:2">
      <c r="A660">
        <v>14507516</v>
      </c>
      <c r="B660" t="s">
        <v>897</v>
      </c>
    </row>
    <row r="661" spans="1:2">
      <c r="A661">
        <v>14507517</v>
      </c>
      <c r="B661" t="s">
        <v>898</v>
      </c>
    </row>
    <row r="662" spans="1:2">
      <c r="A662">
        <v>14507518</v>
      </c>
      <c r="B662" t="s">
        <v>899</v>
      </c>
    </row>
    <row r="663" spans="1:2">
      <c r="A663">
        <v>14507519</v>
      </c>
      <c r="B663" t="s">
        <v>900</v>
      </c>
    </row>
    <row r="664" spans="1:2">
      <c r="A664">
        <v>14507520</v>
      </c>
      <c r="B664" t="s">
        <v>901</v>
      </c>
    </row>
    <row r="665" spans="1:2">
      <c r="A665">
        <v>14507521</v>
      </c>
      <c r="B665" t="s">
        <v>902</v>
      </c>
    </row>
    <row r="666" spans="1:2">
      <c r="A666">
        <v>14507522</v>
      </c>
      <c r="B666" t="s">
        <v>903</v>
      </c>
    </row>
    <row r="667" spans="1:2">
      <c r="A667">
        <v>14507523</v>
      </c>
      <c r="B667" t="s">
        <v>904</v>
      </c>
    </row>
    <row r="668" spans="1:2">
      <c r="A668">
        <v>14507524</v>
      </c>
      <c r="B668" t="s">
        <v>905</v>
      </c>
    </row>
    <row r="669" spans="1:2">
      <c r="A669">
        <v>14507525</v>
      </c>
      <c r="B669" t="s">
        <v>906</v>
      </c>
    </row>
    <row r="670" spans="1:2">
      <c r="A670">
        <v>14599928</v>
      </c>
      <c r="B670" t="s">
        <v>934</v>
      </c>
    </row>
    <row r="671" spans="1:2">
      <c r="A671">
        <v>14599929</v>
      </c>
      <c r="B671" t="s">
        <v>935</v>
      </c>
    </row>
    <row r="672" spans="1:2">
      <c r="A672">
        <v>14599930</v>
      </c>
      <c r="B672" t="s">
        <v>936</v>
      </c>
    </row>
    <row r="673" spans="1:2">
      <c r="A673">
        <v>14599931</v>
      </c>
      <c r="B673" t="s">
        <v>937</v>
      </c>
    </row>
    <row r="674" spans="1:2">
      <c r="A674">
        <v>14599932</v>
      </c>
      <c r="B674" t="s">
        <v>938</v>
      </c>
    </row>
    <row r="675" spans="1:2">
      <c r="A675">
        <v>14599933</v>
      </c>
      <c r="B675" t="s">
        <v>939</v>
      </c>
    </row>
    <row r="676" spans="1:2">
      <c r="A676">
        <v>14599934</v>
      </c>
      <c r="B676" t="s">
        <v>940</v>
      </c>
    </row>
    <row r="677" spans="1:2">
      <c r="A677">
        <v>14599935</v>
      </c>
      <c r="B677" t="s">
        <v>941</v>
      </c>
    </row>
    <row r="678" spans="1:2">
      <c r="A678">
        <v>14599936</v>
      </c>
      <c r="B678" t="s">
        <v>942</v>
      </c>
    </row>
    <row r="679" spans="1:2">
      <c r="A679">
        <v>14599937</v>
      </c>
      <c r="B679" t="s">
        <v>943</v>
      </c>
    </row>
    <row r="680" spans="1:2">
      <c r="A680">
        <v>14599938</v>
      </c>
      <c r="B680" t="s">
        <v>944</v>
      </c>
    </row>
    <row r="681" spans="1:2">
      <c r="A681">
        <v>14599939</v>
      </c>
      <c r="B681" t="s">
        <v>945</v>
      </c>
    </row>
    <row r="682" spans="1:2">
      <c r="A682">
        <v>14599940</v>
      </c>
      <c r="B682" t="s">
        <v>946</v>
      </c>
    </row>
    <row r="683" spans="1:2">
      <c r="A683">
        <v>14599941</v>
      </c>
      <c r="B683" t="s">
        <v>947</v>
      </c>
    </row>
    <row r="684" spans="1:2">
      <c r="A684">
        <v>14599942</v>
      </c>
      <c r="B684" t="s">
        <v>948</v>
      </c>
    </row>
    <row r="685" spans="1:2">
      <c r="A685">
        <v>14599943</v>
      </c>
      <c r="B685" t="s">
        <v>949</v>
      </c>
    </row>
    <row r="686" spans="1:2">
      <c r="A686">
        <v>15007601</v>
      </c>
      <c r="B686" t="s">
        <v>950</v>
      </c>
    </row>
    <row r="687" spans="1:2">
      <c r="A687" t="s">
        <v>1767</v>
      </c>
      <c r="B687" t="s">
        <v>1768</v>
      </c>
    </row>
    <row r="688" spans="1:2">
      <c r="A688" t="s">
        <v>1769</v>
      </c>
      <c r="B688" t="s">
        <v>1770</v>
      </c>
    </row>
    <row r="689" spans="1:2">
      <c r="A689" t="s">
        <v>1771</v>
      </c>
      <c r="B689" t="s">
        <v>1772</v>
      </c>
    </row>
    <row r="690" spans="1:2">
      <c r="A690" t="s">
        <v>1773</v>
      </c>
      <c r="B690" t="s">
        <v>1774</v>
      </c>
    </row>
    <row r="691" spans="1:2">
      <c r="A691" t="s">
        <v>1775</v>
      </c>
      <c r="B691" t="s">
        <v>1776</v>
      </c>
    </row>
    <row r="692" spans="1:2">
      <c r="A692" t="s">
        <v>1777</v>
      </c>
      <c r="B692" t="s">
        <v>1778</v>
      </c>
    </row>
    <row r="693" spans="1:2">
      <c r="A693" t="s">
        <v>1779</v>
      </c>
      <c r="B693" t="s">
        <v>1780</v>
      </c>
    </row>
    <row r="694" spans="1:2">
      <c r="A694" t="s">
        <v>1781</v>
      </c>
      <c r="B694" t="s">
        <v>1782</v>
      </c>
    </row>
    <row r="695" spans="1:2">
      <c r="A695" t="s">
        <v>1783</v>
      </c>
      <c r="B695" t="s">
        <v>1784</v>
      </c>
    </row>
    <row r="696" spans="1:2">
      <c r="A696" t="s">
        <v>1785</v>
      </c>
      <c r="B696" t="s">
        <v>1786</v>
      </c>
    </row>
    <row r="697" spans="1:2">
      <c r="A697" t="s">
        <v>1787</v>
      </c>
      <c r="B697" t="s">
        <v>1788</v>
      </c>
    </row>
    <row r="698" spans="1:2">
      <c r="A698" t="s">
        <v>1789</v>
      </c>
      <c r="B698" t="s">
        <v>1790</v>
      </c>
    </row>
    <row r="699" spans="1:2">
      <c r="A699" t="s">
        <v>1791</v>
      </c>
      <c r="B699" t="s">
        <v>1792</v>
      </c>
    </row>
    <row r="700" spans="1:2">
      <c r="A700" t="s">
        <v>1793</v>
      </c>
      <c r="B700" t="s">
        <v>1794</v>
      </c>
    </row>
    <row r="701" spans="1:2">
      <c r="A701" t="s">
        <v>1795</v>
      </c>
      <c r="B701" t="s">
        <v>1796</v>
      </c>
    </row>
    <row r="702" spans="1:2">
      <c r="A702" t="s">
        <v>1797</v>
      </c>
      <c r="B702" t="s">
        <v>1798</v>
      </c>
    </row>
    <row r="703" spans="1:2">
      <c r="A703" t="s">
        <v>1799</v>
      </c>
      <c r="B703" t="s">
        <v>1800</v>
      </c>
    </row>
    <row r="704" spans="1:2">
      <c r="A704" t="s">
        <v>1801</v>
      </c>
      <c r="B704" t="s">
        <v>1802</v>
      </c>
    </row>
    <row r="705" spans="1:2">
      <c r="A705">
        <v>20100101</v>
      </c>
      <c r="B705" t="s">
        <v>951</v>
      </c>
    </row>
    <row r="706" spans="1:2">
      <c r="A706">
        <v>20100201</v>
      </c>
      <c r="B706" t="s">
        <v>952</v>
      </c>
    </row>
    <row r="707" spans="1:2">
      <c r="A707">
        <v>20199901</v>
      </c>
      <c r="B707" t="s">
        <v>953</v>
      </c>
    </row>
    <row r="708" spans="1:2">
      <c r="A708">
        <v>20500301</v>
      </c>
      <c r="B708" t="s">
        <v>954</v>
      </c>
    </row>
    <row r="709" spans="1:2">
      <c r="A709">
        <v>20500302</v>
      </c>
      <c r="B709" t="s">
        <v>955</v>
      </c>
    </row>
    <row r="710" spans="1:2">
      <c r="A710">
        <v>20500303</v>
      </c>
      <c r="B710" t="s">
        <v>956</v>
      </c>
    </row>
    <row r="711" spans="1:2">
      <c r="A711">
        <v>20500304</v>
      </c>
      <c r="B711" t="s">
        <v>957</v>
      </c>
    </row>
    <row r="712" spans="1:2">
      <c r="A712">
        <v>20500305</v>
      </c>
      <c r="B712" t="s">
        <v>958</v>
      </c>
    </row>
    <row r="713" spans="1:2">
      <c r="A713">
        <v>20500306</v>
      </c>
      <c r="B713" t="s">
        <v>959</v>
      </c>
    </row>
    <row r="714" spans="1:2">
      <c r="A714">
        <v>20500307</v>
      </c>
      <c r="B714" t="s">
        <v>958</v>
      </c>
    </row>
    <row r="715" spans="1:2">
      <c r="A715">
        <v>20500308</v>
      </c>
      <c r="B715" t="s">
        <v>960</v>
      </c>
    </row>
    <row r="716" spans="1:2">
      <c r="A716">
        <v>20500309</v>
      </c>
      <c r="B716" t="s">
        <v>961</v>
      </c>
    </row>
    <row r="717" spans="1:2">
      <c r="A717">
        <v>20500401</v>
      </c>
      <c r="B717" t="s">
        <v>970</v>
      </c>
    </row>
    <row r="718" spans="1:2">
      <c r="A718">
        <v>20500402</v>
      </c>
      <c r="B718" t="s">
        <v>971</v>
      </c>
    </row>
    <row r="719" spans="1:2">
      <c r="A719">
        <v>20500403</v>
      </c>
      <c r="B719" t="s">
        <v>972</v>
      </c>
    </row>
    <row r="720" spans="1:2">
      <c r="A720">
        <v>20500404</v>
      </c>
      <c r="B720" t="s">
        <v>973</v>
      </c>
    </row>
    <row r="721" spans="1:2">
      <c r="A721">
        <v>20500405</v>
      </c>
      <c r="B721" t="s">
        <v>974</v>
      </c>
    </row>
    <row r="722" spans="1:2">
      <c r="A722">
        <v>20500406</v>
      </c>
      <c r="B722" t="s">
        <v>975</v>
      </c>
    </row>
    <row r="723" spans="1:2">
      <c r="A723">
        <v>20500407</v>
      </c>
      <c r="B723" t="s">
        <v>976</v>
      </c>
    </row>
    <row r="724" spans="1:2">
      <c r="A724">
        <v>20500408</v>
      </c>
      <c r="B724" t="s">
        <v>977</v>
      </c>
    </row>
    <row r="725" spans="1:2">
      <c r="A725">
        <v>20500409</v>
      </c>
      <c r="B725" t="s">
        <v>978</v>
      </c>
    </row>
    <row r="726" spans="1:2">
      <c r="A726">
        <v>20599901</v>
      </c>
      <c r="B726" t="s">
        <v>987</v>
      </c>
    </row>
    <row r="727" spans="1:2">
      <c r="A727">
        <v>20599902</v>
      </c>
      <c r="B727" t="s">
        <v>988</v>
      </c>
    </row>
    <row r="728" spans="1:2">
      <c r="A728">
        <v>20599903</v>
      </c>
      <c r="B728" t="s">
        <v>989</v>
      </c>
    </row>
    <row r="729" spans="1:2">
      <c r="A729">
        <v>20599904</v>
      </c>
      <c r="B729" t="s">
        <v>990</v>
      </c>
    </row>
    <row r="730" spans="1:2">
      <c r="A730">
        <v>20599905</v>
      </c>
      <c r="B730" t="s">
        <v>991</v>
      </c>
    </row>
    <row r="731" spans="1:2">
      <c r="A731">
        <v>20599906</v>
      </c>
      <c r="B731" t="s">
        <v>992</v>
      </c>
    </row>
    <row r="732" spans="1:2">
      <c r="A732">
        <v>20599907</v>
      </c>
      <c r="B732" t="s">
        <v>993</v>
      </c>
    </row>
    <row r="733" spans="1:2">
      <c r="A733">
        <v>20599908</v>
      </c>
      <c r="B733" t="s">
        <v>994</v>
      </c>
    </row>
    <row r="734" spans="1:2">
      <c r="A734">
        <v>20599909</v>
      </c>
      <c r="B734" t="s">
        <v>995</v>
      </c>
    </row>
    <row r="735" spans="1:2">
      <c r="A735">
        <v>20599910</v>
      </c>
      <c r="B735" t="s">
        <v>996</v>
      </c>
    </row>
    <row r="736" spans="1:2">
      <c r="A736">
        <v>20599911</v>
      </c>
      <c r="B736" t="s">
        <v>997</v>
      </c>
    </row>
    <row r="737" spans="1:2">
      <c r="A737">
        <v>20599912</v>
      </c>
      <c r="B737" t="s">
        <v>998</v>
      </c>
    </row>
    <row r="738" spans="1:2">
      <c r="A738">
        <v>20599913</v>
      </c>
      <c r="B738" t="s">
        <v>999</v>
      </c>
    </row>
    <row r="739" spans="1:2">
      <c r="A739">
        <v>20599914</v>
      </c>
      <c r="B739" t="s">
        <v>1000</v>
      </c>
    </row>
    <row r="740" spans="1:2">
      <c r="A740">
        <v>20599915</v>
      </c>
      <c r="B740" t="s">
        <v>1001</v>
      </c>
    </row>
    <row r="741" spans="1:2">
      <c r="A741">
        <v>20599916</v>
      </c>
      <c r="B741" t="s">
        <v>1002</v>
      </c>
    </row>
    <row r="742" spans="1:2">
      <c r="A742">
        <v>20599917</v>
      </c>
      <c r="B742" t="s">
        <v>1003</v>
      </c>
    </row>
    <row r="743" spans="1:2">
      <c r="A743">
        <v>20599918</v>
      </c>
      <c r="B743" t="s">
        <v>1004</v>
      </c>
    </row>
    <row r="744" spans="1:2">
      <c r="A744">
        <v>20599919</v>
      </c>
      <c r="B744" t="s">
        <v>1005</v>
      </c>
    </row>
    <row r="745" spans="1:2">
      <c r="A745">
        <v>20599920</v>
      </c>
      <c r="B745" t="s">
        <v>1006</v>
      </c>
    </row>
    <row r="746" spans="1:2">
      <c r="A746">
        <v>20599921</v>
      </c>
      <c r="B746" t="s">
        <v>1007</v>
      </c>
    </row>
    <row r="747" spans="1:2">
      <c r="A747">
        <v>20599922</v>
      </c>
      <c r="B747" t="s">
        <v>1008</v>
      </c>
    </row>
    <row r="748" spans="1:2">
      <c r="A748">
        <v>20599923</v>
      </c>
      <c r="B748" t="s">
        <v>1009</v>
      </c>
    </row>
    <row r="749" spans="1:2">
      <c r="A749">
        <v>20599924</v>
      </c>
      <c r="B749" t="s">
        <v>1010</v>
      </c>
    </row>
    <row r="750" spans="1:2">
      <c r="A750">
        <v>20599925</v>
      </c>
      <c r="B750" t="s">
        <v>1011</v>
      </c>
    </row>
    <row r="751" spans="1:2">
      <c r="A751">
        <v>20599926</v>
      </c>
      <c r="B751" t="s">
        <v>1012</v>
      </c>
    </row>
    <row r="752" spans="1:2">
      <c r="A752">
        <v>20599927</v>
      </c>
      <c r="B752" t="s">
        <v>1013</v>
      </c>
    </row>
    <row r="753" spans="1:2">
      <c r="A753">
        <v>20500310</v>
      </c>
      <c r="B753" t="s">
        <v>962</v>
      </c>
    </row>
    <row r="754" spans="1:2">
      <c r="A754">
        <v>20500311</v>
      </c>
      <c r="B754" t="s">
        <v>963</v>
      </c>
    </row>
    <row r="755" spans="1:2">
      <c r="A755">
        <v>20500312</v>
      </c>
      <c r="B755" t="s">
        <v>964</v>
      </c>
    </row>
    <row r="756" spans="1:2">
      <c r="A756">
        <v>20500313</v>
      </c>
      <c r="B756" t="s">
        <v>965</v>
      </c>
    </row>
    <row r="757" spans="1:2">
      <c r="A757">
        <v>20500314</v>
      </c>
      <c r="B757" t="s">
        <v>966</v>
      </c>
    </row>
    <row r="758" spans="1:2">
      <c r="A758">
        <v>20500315</v>
      </c>
      <c r="B758" t="s">
        <v>967</v>
      </c>
    </row>
    <row r="759" spans="1:2">
      <c r="A759">
        <v>20500316</v>
      </c>
      <c r="B759" t="s">
        <v>968</v>
      </c>
    </row>
    <row r="760" spans="1:2">
      <c r="A760">
        <v>20500317</v>
      </c>
      <c r="B760" t="s">
        <v>969</v>
      </c>
    </row>
    <row r="761" spans="1:2">
      <c r="A761">
        <v>20500410</v>
      </c>
      <c r="B761" t="s">
        <v>979</v>
      </c>
    </row>
    <row r="762" spans="1:2">
      <c r="A762">
        <v>20500411</v>
      </c>
      <c r="B762" t="s">
        <v>980</v>
      </c>
    </row>
    <row r="763" spans="1:2">
      <c r="A763">
        <v>20500412</v>
      </c>
      <c r="B763" t="s">
        <v>981</v>
      </c>
    </row>
    <row r="764" spans="1:2">
      <c r="A764">
        <v>20500413</v>
      </c>
      <c r="B764" t="s">
        <v>982</v>
      </c>
    </row>
    <row r="765" spans="1:2">
      <c r="A765">
        <v>20500414</v>
      </c>
      <c r="B765" t="s">
        <v>983</v>
      </c>
    </row>
    <row r="766" spans="1:2">
      <c r="A766">
        <v>20500415</v>
      </c>
      <c r="B766" t="s">
        <v>984</v>
      </c>
    </row>
    <row r="767" spans="1:2">
      <c r="A767">
        <v>20500416</v>
      </c>
      <c r="B767" t="s">
        <v>985</v>
      </c>
    </row>
    <row r="768" spans="1:2">
      <c r="A768">
        <v>20500417</v>
      </c>
      <c r="B768" t="s">
        <v>986</v>
      </c>
    </row>
    <row r="769" spans="1:2">
      <c r="A769">
        <v>20599928</v>
      </c>
      <c r="B769" t="s">
        <v>1014</v>
      </c>
    </row>
    <row r="770" spans="1:2">
      <c r="A770">
        <v>20599929</v>
      </c>
      <c r="B770" t="s">
        <v>1015</v>
      </c>
    </row>
    <row r="771" spans="1:2">
      <c r="A771">
        <v>20599930</v>
      </c>
      <c r="B771" t="s">
        <v>1016</v>
      </c>
    </row>
    <row r="772" spans="1:2">
      <c r="A772">
        <v>20599931</v>
      </c>
      <c r="B772" t="s">
        <v>1017</v>
      </c>
    </row>
    <row r="773" spans="1:2">
      <c r="A773">
        <v>20599932</v>
      </c>
      <c r="B773" t="s">
        <v>1018</v>
      </c>
    </row>
    <row r="774" spans="1:2">
      <c r="A774">
        <v>20599933</v>
      </c>
      <c r="B774" t="s">
        <v>1019</v>
      </c>
    </row>
    <row r="775" spans="1:2">
      <c r="A775">
        <v>20599934</v>
      </c>
      <c r="B775" t="s">
        <v>1020</v>
      </c>
    </row>
    <row r="776" spans="1:2">
      <c r="A776">
        <v>20599935</v>
      </c>
      <c r="B776" t="s">
        <v>1021</v>
      </c>
    </row>
    <row r="777" spans="1:2">
      <c r="A777">
        <v>21000501</v>
      </c>
      <c r="B777" t="s">
        <v>1022</v>
      </c>
    </row>
    <row r="778" spans="1:2">
      <c r="A778">
        <v>21000502</v>
      </c>
      <c r="B778" t="s">
        <v>1023</v>
      </c>
    </row>
    <row r="779" spans="1:2">
      <c r="A779">
        <v>21000503</v>
      </c>
      <c r="B779" t="s">
        <v>1024</v>
      </c>
    </row>
    <row r="780" spans="1:2">
      <c r="A780">
        <v>21000504</v>
      </c>
      <c r="B780" t="s">
        <v>1025</v>
      </c>
    </row>
    <row r="781" spans="1:2">
      <c r="A781">
        <v>21000505</v>
      </c>
      <c r="B781" t="s">
        <v>1026</v>
      </c>
    </row>
    <row r="782" spans="1:2">
      <c r="A782">
        <v>21000506</v>
      </c>
      <c r="B782" t="s">
        <v>1027</v>
      </c>
    </row>
    <row r="783" spans="1:2">
      <c r="A783">
        <v>21000507</v>
      </c>
      <c r="B783" t="s">
        <v>1028</v>
      </c>
    </row>
    <row r="784" spans="1:2">
      <c r="A784">
        <v>21000508</v>
      </c>
      <c r="B784" t="s">
        <v>1029</v>
      </c>
    </row>
    <row r="785" spans="1:2">
      <c r="A785">
        <v>21000509</v>
      </c>
      <c r="B785" t="s">
        <v>1030</v>
      </c>
    </row>
    <row r="786" spans="1:2">
      <c r="A786">
        <v>21000510</v>
      </c>
      <c r="B786" t="s">
        <v>1031</v>
      </c>
    </row>
    <row r="787" spans="1:2">
      <c r="A787">
        <v>21000511</v>
      </c>
      <c r="B787" t="s">
        <v>1032</v>
      </c>
    </row>
    <row r="788" spans="1:2">
      <c r="A788">
        <v>21000512</v>
      </c>
      <c r="B788" t="s">
        <v>1033</v>
      </c>
    </row>
    <row r="789" spans="1:2">
      <c r="A789">
        <v>21000513</v>
      </c>
      <c r="B789" t="s">
        <v>1034</v>
      </c>
    </row>
    <row r="790" spans="1:2">
      <c r="A790">
        <v>21000514</v>
      </c>
      <c r="B790" t="s">
        <v>1035</v>
      </c>
    </row>
    <row r="791" spans="1:2">
      <c r="A791">
        <v>21000515</v>
      </c>
      <c r="B791" t="s">
        <v>1036</v>
      </c>
    </row>
    <row r="792" spans="1:2">
      <c r="A792">
        <v>21000516</v>
      </c>
      <c r="B792" t="s">
        <v>1037</v>
      </c>
    </row>
    <row r="793" spans="1:2">
      <c r="A793">
        <v>21000517</v>
      </c>
      <c r="B793" t="s">
        <v>1038</v>
      </c>
    </row>
    <row r="794" spans="1:2">
      <c r="A794">
        <v>21000518</v>
      </c>
      <c r="B794" t="s">
        <v>1039</v>
      </c>
    </row>
    <row r="795" spans="1:2">
      <c r="A795">
        <v>21000519</v>
      </c>
      <c r="B795" t="s">
        <v>1040</v>
      </c>
    </row>
    <row r="796" spans="1:2">
      <c r="A796">
        <v>21000520</v>
      </c>
      <c r="B796" t="s">
        <v>1041</v>
      </c>
    </row>
    <row r="797" spans="1:2">
      <c r="A797">
        <v>21000521</v>
      </c>
      <c r="B797" t="s">
        <v>1042</v>
      </c>
    </row>
    <row r="798" spans="1:2">
      <c r="A798">
        <v>21000522</v>
      </c>
      <c r="B798" t="s">
        <v>1043</v>
      </c>
    </row>
    <row r="799" spans="1:2">
      <c r="A799">
        <v>21000523</v>
      </c>
      <c r="B799" t="s">
        <v>1044</v>
      </c>
    </row>
    <row r="800" spans="1:2">
      <c r="A800">
        <v>21000524</v>
      </c>
      <c r="B800" t="s">
        <v>1045</v>
      </c>
    </row>
    <row r="801" spans="1:2">
      <c r="A801">
        <v>21000525</v>
      </c>
      <c r="B801" t="s">
        <v>1046</v>
      </c>
    </row>
    <row r="802" spans="1:2">
      <c r="A802">
        <v>21000526</v>
      </c>
      <c r="B802" t="s">
        <v>1047</v>
      </c>
    </row>
    <row r="803" spans="1:2">
      <c r="A803">
        <v>21000527</v>
      </c>
      <c r="B803" t="s">
        <v>1048</v>
      </c>
    </row>
    <row r="804" spans="1:2">
      <c r="A804">
        <v>21000528</v>
      </c>
      <c r="B804" t="s">
        <v>1049</v>
      </c>
    </row>
    <row r="805" spans="1:2">
      <c r="A805">
        <v>21000529</v>
      </c>
      <c r="B805" t="s">
        <v>1050</v>
      </c>
    </row>
    <row r="806" spans="1:2">
      <c r="A806">
        <v>21000530</v>
      </c>
      <c r="B806" t="s">
        <v>1051</v>
      </c>
    </row>
    <row r="807" spans="1:2">
      <c r="A807">
        <v>21000531</v>
      </c>
      <c r="B807" t="s">
        <v>1052</v>
      </c>
    </row>
    <row r="808" spans="1:2">
      <c r="A808">
        <v>21000532</v>
      </c>
      <c r="B808" t="s">
        <v>1053</v>
      </c>
    </row>
    <row r="809" spans="1:2">
      <c r="A809">
        <v>22000601</v>
      </c>
      <c r="B809" t="s">
        <v>1054</v>
      </c>
    </row>
    <row r="810" spans="1:2">
      <c r="A810">
        <v>22000602</v>
      </c>
      <c r="B810" t="s">
        <v>1055</v>
      </c>
    </row>
    <row r="811" spans="1:2">
      <c r="A811">
        <v>22000603</v>
      </c>
      <c r="B811" t="s">
        <v>1056</v>
      </c>
    </row>
    <row r="812" spans="1:2">
      <c r="A812">
        <v>22000604</v>
      </c>
      <c r="B812" t="s">
        <v>1057</v>
      </c>
    </row>
    <row r="813" spans="1:2">
      <c r="A813">
        <v>22000605</v>
      </c>
      <c r="B813" t="s">
        <v>1058</v>
      </c>
    </row>
    <row r="814" spans="1:2">
      <c r="A814">
        <v>22000606</v>
      </c>
      <c r="B814" t="s">
        <v>1059</v>
      </c>
    </row>
    <row r="815" spans="1:2">
      <c r="A815">
        <v>22000607</v>
      </c>
      <c r="B815" t="s">
        <v>1060</v>
      </c>
    </row>
    <row r="816" spans="1:2">
      <c r="A816">
        <v>22000608</v>
      </c>
      <c r="B816" t="s">
        <v>1061</v>
      </c>
    </row>
    <row r="817" spans="1:2">
      <c r="A817">
        <v>22000609</v>
      </c>
      <c r="B817" t="s">
        <v>1062</v>
      </c>
    </row>
    <row r="818" spans="1:2">
      <c r="A818">
        <v>22000610</v>
      </c>
      <c r="B818" t="s">
        <v>1063</v>
      </c>
    </row>
    <row r="819" spans="1:2">
      <c r="A819">
        <v>22000611</v>
      </c>
      <c r="B819" t="s">
        <v>1064</v>
      </c>
    </row>
    <row r="820" spans="1:2">
      <c r="A820">
        <v>22000612</v>
      </c>
      <c r="B820" t="s">
        <v>1065</v>
      </c>
    </row>
    <row r="821" spans="1:2">
      <c r="A821">
        <v>22000613</v>
      </c>
      <c r="B821" t="s">
        <v>1066</v>
      </c>
    </row>
    <row r="822" spans="1:2">
      <c r="A822">
        <v>22000614</v>
      </c>
      <c r="B822" t="s">
        <v>1067</v>
      </c>
    </row>
    <row r="823" spans="1:2">
      <c r="A823">
        <v>22000615</v>
      </c>
      <c r="B823" t="s">
        <v>1068</v>
      </c>
    </row>
    <row r="824" spans="1:2">
      <c r="A824">
        <v>22000616</v>
      </c>
      <c r="B824" t="s">
        <v>1069</v>
      </c>
    </row>
    <row r="825" spans="1:2">
      <c r="A825">
        <v>22000617</v>
      </c>
      <c r="B825" t="s">
        <v>1070</v>
      </c>
    </row>
    <row r="826" spans="1:2">
      <c r="A826">
        <v>22500701</v>
      </c>
      <c r="B826" t="s">
        <v>1071</v>
      </c>
    </row>
    <row r="827" spans="1:2">
      <c r="A827">
        <v>22500702</v>
      </c>
      <c r="B827" t="s">
        <v>1072</v>
      </c>
    </row>
    <row r="828" spans="1:2">
      <c r="A828">
        <v>22500703</v>
      </c>
      <c r="B828" t="s">
        <v>1073</v>
      </c>
    </row>
    <row r="829" spans="1:2">
      <c r="A829">
        <v>22500704</v>
      </c>
      <c r="B829" t="s">
        <v>1074</v>
      </c>
    </row>
    <row r="830" spans="1:2">
      <c r="A830">
        <v>22500705</v>
      </c>
      <c r="B830" t="s">
        <v>1075</v>
      </c>
    </row>
    <row r="831" spans="1:2">
      <c r="A831">
        <v>22500706</v>
      </c>
      <c r="B831" t="s">
        <v>1076</v>
      </c>
    </row>
    <row r="832" spans="1:2">
      <c r="A832">
        <v>22500707</v>
      </c>
      <c r="B832" t="s">
        <v>1077</v>
      </c>
    </row>
    <row r="833" spans="1:2">
      <c r="A833">
        <v>22500708</v>
      </c>
      <c r="B833" t="s">
        <v>1078</v>
      </c>
    </row>
    <row r="834" spans="1:2">
      <c r="A834">
        <v>22500709</v>
      </c>
      <c r="B834" t="s">
        <v>1079</v>
      </c>
    </row>
    <row r="835" spans="1:2">
      <c r="A835">
        <v>22500710</v>
      </c>
      <c r="B835" t="s">
        <v>1072</v>
      </c>
    </row>
    <row r="836" spans="1:2">
      <c r="A836">
        <v>22500711</v>
      </c>
      <c r="B836" t="s">
        <v>1080</v>
      </c>
    </row>
    <row r="837" spans="1:2">
      <c r="A837">
        <v>22500712</v>
      </c>
      <c r="B837" t="s">
        <v>1081</v>
      </c>
    </row>
    <row r="838" spans="1:2">
      <c r="A838">
        <v>22500713</v>
      </c>
      <c r="B838" t="s">
        <v>1073</v>
      </c>
    </row>
    <row r="839" spans="1:2">
      <c r="A839">
        <v>22500714</v>
      </c>
      <c r="B839" t="s">
        <v>1074</v>
      </c>
    </row>
    <row r="840" spans="1:2">
      <c r="A840">
        <v>22500715</v>
      </c>
      <c r="B840" t="s">
        <v>1075</v>
      </c>
    </row>
    <row r="841" spans="1:2">
      <c r="A841">
        <v>22500716</v>
      </c>
      <c r="B841" t="s">
        <v>1076</v>
      </c>
    </row>
    <row r="842" spans="1:2">
      <c r="A842">
        <v>22500801</v>
      </c>
      <c r="B842" t="s">
        <v>1082</v>
      </c>
    </row>
    <row r="843" spans="1:2">
      <c r="A843">
        <v>22500802</v>
      </c>
      <c r="B843" t="s">
        <v>1083</v>
      </c>
    </row>
    <row r="844" spans="1:2">
      <c r="A844">
        <v>22500803</v>
      </c>
      <c r="B844" t="s">
        <v>1084</v>
      </c>
    </row>
    <row r="845" spans="1:2">
      <c r="A845">
        <v>22500804</v>
      </c>
      <c r="B845" t="s">
        <v>1085</v>
      </c>
    </row>
    <row r="846" spans="1:2">
      <c r="A846">
        <v>22500805</v>
      </c>
      <c r="B846" t="s">
        <v>1086</v>
      </c>
    </row>
    <row r="847" spans="1:2">
      <c r="A847">
        <v>22500806</v>
      </c>
      <c r="B847" t="s">
        <v>1087</v>
      </c>
    </row>
    <row r="848" spans="1:2">
      <c r="A848">
        <v>23000901</v>
      </c>
      <c r="B848" t="s">
        <v>1088</v>
      </c>
    </row>
    <row r="849" spans="1:2">
      <c r="A849">
        <v>23000902</v>
      </c>
      <c r="B849" t="s">
        <v>1089</v>
      </c>
    </row>
    <row r="850" spans="1:2">
      <c r="A850">
        <v>23000903</v>
      </c>
      <c r="B850" t="s">
        <v>1090</v>
      </c>
    </row>
    <row r="851" spans="1:2">
      <c r="A851">
        <v>23000904</v>
      </c>
      <c r="B851" t="s">
        <v>1091</v>
      </c>
    </row>
    <row r="852" spans="1:2">
      <c r="A852">
        <v>23000905</v>
      </c>
      <c r="B852" t="s">
        <v>1092</v>
      </c>
    </row>
    <row r="853" spans="1:2">
      <c r="A853">
        <v>23000906</v>
      </c>
      <c r="B853" t="s">
        <v>1093</v>
      </c>
    </row>
    <row r="854" spans="1:2">
      <c r="A854">
        <v>29901001</v>
      </c>
      <c r="B854" t="s">
        <v>1094</v>
      </c>
    </row>
    <row r="855" spans="1:2">
      <c r="A855" t="s">
        <v>1803</v>
      </c>
      <c r="B855" t="s">
        <v>1804</v>
      </c>
    </row>
    <row r="856" spans="1:2">
      <c r="A856" t="s">
        <v>1805</v>
      </c>
      <c r="B856" t="s">
        <v>1806</v>
      </c>
    </row>
    <row r="857" spans="1:2">
      <c r="A857" t="s">
        <v>1807</v>
      </c>
      <c r="B857" t="s">
        <v>1808</v>
      </c>
    </row>
    <row r="858" spans="1:2">
      <c r="A858" t="s">
        <v>1809</v>
      </c>
      <c r="B858" t="s">
        <v>1810</v>
      </c>
    </row>
    <row r="859" spans="1:2">
      <c r="A859" t="s">
        <v>1811</v>
      </c>
      <c r="B859" t="s">
        <v>1812</v>
      </c>
    </row>
    <row r="860" spans="1:2">
      <c r="A860" t="s">
        <v>1813</v>
      </c>
      <c r="B860" t="s">
        <v>1814</v>
      </c>
    </row>
    <row r="861" spans="1:2">
      <c r="A861" t="s">
        <v>1815</v>
      </c>
      <c r="B861" t="s">
        <v>1816</v>
      </c>
    </row>
    <row r="862" spans="1:2">
      <c r="A862" t="s">
        <v>1817</v>
      </c>
      <c r="B862" t="s">
        <v>1818</v>
      </c>
    </row>
    <row r="863" spans="1:2">
      <c r="A863" t="s">
        <v>1819</v>
      </c>
      <c r="B863" t="s">
        <v>1820</v>
      </c>
    </row>
    <row r="864" spans="1:2">
      <c r="A864" t="s">
        <v>1821</v>
      </c>
      <c r="B864" t="s">
        <v>1822</v>
      </c>
    </row>
    <row r="865" spans="1:2">
      <c r="A865" t="s">
        <v>1823</v>
      </c>
      <c r="B865" t="s">
        <v>1824</v>
      </c>
    </row>
    <row r="866" spans="1:2">
      <c r="A866" t="s">
        <v>1825</v>
      </c>
      <c r="B866" t="s">
        <v>1826</v>
      </c>
    </row>
    <row r="867" spans="1:2">
      <c r="A867" t="s">
        <v>1827</v>
      </c>
      <c r="B867" t="s">
        <v>1828</v>
      </c>
    </row>
    <row r="868" spans="1:2">
      <c r="A868" t="s">
        <v>1829</v>
      </c>
      <c r="B868" t="s">
        <v>1830</v>
      </c>
    </row>
    <row r="869" spans="1:2">
      <c r="A869" t="s">
        <v>1831</v>
      </c>
      <c r="B869" t="s">
        <v>1832</v>
      </c>
    </row>
    <row r="870" spans="1:2">
      <c r="A870" t="s">
        <v>1833</v>
      </c>
      <c r="B870" t="s">
        <v>1834</v>
      </c>
    </row>
    <row r="871" spans="1:2">
      <c r="A871" t="s">
        <v>1835</v>
      </c>
      <c r="B871" t="s">
        <v>1836</v>
      </c>
    </row>
    <row r="872" spans="1:2">
      <c r="A872" t="s">
        <v>1837</v>
      </c>
      <c r="B872" t="s">
        <v>1838</v>
      </c>
    </row>
    <row r="873" spans="1:2">
      <c r="A873">
        <v>30100101</v>
      </c>
      <c r="B873" t="s">
        <v>1095</v>
      </c>
    </row>
    <row r="874" spans="1:2">
      <c r="A874">
        <v>30100201</v>
      </c>
      <c r="B874" t="s">
        <v>1096</v>
      </c>
    </row>
    <row r="875" spans="1:2">
      <c r="A875">
        <v>30199901</v>
      </c>
      <c r="B875" t="s">
        <v>1097</v>
      </c>
    </row>
    <row r="876" spans="1:2">
      <c r="A876">
        <v>30500301</v>
      </c>
      <c r="B876" t="s">
        <v>1098</v>
      </c>
    </row>
    <row r="877" spans="1:2">
      <c r="A877">
        <v>30500302</v>
      </c>
      <c r="B877" t="s">
        <v>1099</v>
      </c>
    </row>
    <row r="878" spans="1:2">
      <c r="A878">
        <v>30500303</v>
      </c>
      <c r="B878" t="s">
        <v>1100</v>
      </c>
    </row>
    <row r="879" spans="1:2">
      <c r="A879">
        <v>30500304</v>
      </c>
      <c r="B879" t="s">
        <v>1101</v>
      </c>
    </row>
    <row r="880" spans="1:2">
      <c r="A880">
        <v>30500305</v>
      </c>
      <c r="B880" t="s">
        <v>1102</v>
      </c>
    </row>
    <row r="881" spans="1:2">
      <c r="A881">
        <v>30500306</v>
      </c>
      <c r="B881" t="s">
        <v>1103</v>
      </c>
    </row>
    <row r="882" spans="1:2">
      <c r="A882">
        <v>30500307</v>
      </c>
      <c r="B882" t="s">
        <v>1102</v>
      </c>
    </row>
    <row r="883" spans="1:2">
      <c r="A883">
        <v>30500308</v>
      </c>
      <c r="B883" t="s">
        <v>1104</v>
      </c>
    </row>
    <row r="884" spans="1:2">
      <c r="A884">
        <v>30500309</v>
      </c>
      <c r="B884" t="s">
        <v>1105</v>
      </c>
    </row>
    <row r="885" spans="1:2">
      <c r="A885">
        <v>30500401</v>
      </c>
      <c r="B885" t="s">
        <v>1114</v>
      </c>
    </row>
    <row r="886" spans="1:2">
      <c r="A886">
        <v>30500402</v>
      </c>
      <c r="B886" t="s">
        <v>1115</v>
      </c>
    </row>
    <row r="887" spans="1:2">
      <c r="A887">
        <v>30500403</v>
      </c>
      <c r="B887" t="s">
        <v>1116</v>
      </c>
    </row>
    <row r="888" spans="1:2">
      <c r="A888">
        <v>30500404</v>
      </c>
      <c r="B888" t="s">
        <v>1117</v>
      </c>
    </row>
    <row r="889" spans="1:2">
      <c r="A889">
        <v>30500405</v>
      </c>
      <c r="B889" t="s">
        <v>1118</v>
      </c>
    </row>
    <row r="890" spans="1:2">
      <c r="A890">
        <v>30500406</v>
      </c>
      <c r="B890" t="s">
        <v>1119</v>
      </c>
    </row>
    <row r="891" spans="1:2">
      <c r="A891">
        <v>30500407</v>
      </c>
      <c r="B891" t="s">
        <v>1120</v>
      </c>
    </row>
    <row r="892" spans="1:2">
      <c r="A892">
        <v>30500408</v>
      </c>
      <c r="B892" t="s">
        <v>1121</v>
      </c>
    </row>
    <row r="893" spans="1:2">
      <c r="A893">
        <v>30500409</v>
      </c>
      <c r="B893" t="s">
        <v>1122</v>
      </c>
    </row>
    <row r="894" spans="1:2">
      <c r="A894">
        <v>30599901</v>
      </c>
      <c r="B894" t="s">
        <v>1131</v>
      </c>
    </row>
    <row r="895" spans="1:2">
      <c r="A895">
        <v>30599902</v>
      </c>
      <c r="B895" t="s">
        <v>1132</v>
      </c>
    </row>
    <row r="896" spans="1:2">
      <c r="A896">
        <v>30599903</v>
      </c>
      <c r="B896" t="s">
        <v>1133</v>
      </c>
    </row>
    <row r="897" spans="1:2">
      <c r="A897">
        <v>30599904</v>
      </c>
      <c r="B897" t="s">
        <v>1134</v>
      </c>
    </row>
    <row r="898" spans="1:2">
      <c r="A898">
        <v>30599905</v>
      </c>
      <c r="B898" t="s">
        <v>1135</v>
      </c>
    </row>
    <row r="899" spans="1:2">
      <c r="A899">
        <v>30599906</v>
      </c>
      <c r="B899" t="s">
        <v>1136</v>
      </c>
    </row>
    <row r="900" spans="1:2">
      <c r="A900">
        <v>30599907</v>
      </c>
      <c r="B900" t="s">
        <v>1137</v>
      </c>
    </row>
    <row r="901" spans="1:2">
      <c r="A901">
        <v>30599908</v>
      </c>
      <c r="B901" t="s">
        <v>1138</v>
      </c>
    </row>
    <row r="902" spans="1:2">
      <c r="A902">
        <v>30599909</v>
      </c>
      <c r="B902" t="s">
        <v>1139</v>
      </c>
    </row>
    <row r="903" spans="1:2">
      <c r="A903">
        <v>30599910</v>
      </c>
      <c r="B903" t="s">
        <v>1140</v>
      </c>
    </row>
    <row r="904" spans="1:2">
      <c r="A904">
        <v>30599911</v>
      </c>
      <c r="B904" t="s">
        <v>1141</v>
      </c>
    </row>
    <row r="905" spans="1:2">
      <c r="A905">
        <v>30599912</v>
      </c>
      <c r="B905" t="s">
        <v>1142</v>
      </c>
    </row>
    <row r="906" spans="1:2">
      <c r="A906">
        <v>30599913</v>
      </c>
      <c r="B906" t="s">
        <v>1143</v>
      </c>
    </row>
    <row r="907" spans="1:2">
      <c r="A907">
        <v>30599914</v>
      </c>
      <c r="B907" t="s">
        <v>1144</v>
      </c>
    </row>
    <row r="908" spans="1:2">
      <c r="A908">
        <v>30599915</v>
      </c>
      <c r="B908" t="s">
        <v>1145</v>
      </c>
    </row>
    <row r="909" spans="1:2">
      <c r="A909">
        <v>30599916</v>
      </c>
      <c r="B909" t="s">
        <v>1146</v>
      </c>
    </row>
    <row r="910" spans="1:2">
      <c r="A910">
        <v>30599917</v>
      </c>
      <c r="B910" t="s">
        <v>1147</v>
      </c>
    </row>
    <row r="911" spans="1:2">
      <c r="A911">
        <v>30599918</v>
      </c>
      <c r="B911" t="s">
        <v>1148</v>
      </c>
    </row>
    <row r="912" spans="1:2">
      <c r="A912">
        <v>30599919</v>
      </c>
      <c r="B912" t="s">
        <v>1149</v>
      </c>
    </row>
    <row r="913" spans="1:2">
      <c r="A913">
        <v>30599920</v>
      </c>
      <c r="B913" t="s">
        <v>1150</v>
      </c>
    </row>
    <row r="914" spans="1:2">
      <c r="A914">
        <v>30599921</v>
      </c>
      <c r="B914" t="s">
        <v>1151</v>
      </c>
    </row>
    <row r="915" spans="1:2">
      <c r="A915">
        <v>30599922</v>
      </c>
      <c r="B915" t="s">
        <v>1152</v>
      </c>
    </row>
    <row r="916" spans="1:2">
      <c r="A916">
        <v>30599923</v>
      </c>
      <c r="B916" t="s">
        <v>1153</v>
      </c>
    </row>
    <row r="917" spans="1:2">
      <c r="A917">
        <v>30599924</v>
      </c>
      <c r="B917" t="s">
        <v>1154</v>
      </c>
    </row>
    <row r="918" spans="1:2">
      <c r="A918">
        <v>30599925</v>
      </c>
      <c r="B918" t="s">
        <v>1155</v>
      </c>
    </row>
    <row r="919" spans="1:2">
      <c r="A919">
        <v>30599926</v>
      </c>
      <c r="B919" t="s">
        <v>1156</v>
      </c>
    </row>
    <row r="920" spans="1:2">
      <c r="A920">
        <v>30599927</v>
      </c>
      <c r="B920" t="s">
        <v>1157</v>
      </c>
    </row>
    <row r="921" spans="1:2">
      <c r="A921">
        <v>30500310</v>
      </c>
      <c r="B921" t="s">
        <v>1106</v>
      </c>
    </row>
    <row r="922" spans="1:2">
      <c r="A922">
        <v>30500311</v>
      </c>
      <c r="B922" t="s">
        <v>1107</v>
      </c>
    </row>
    <row r="923" spans="1:2">
      <c r="A923">
        <v>30500312</v>
      </c>
      <c r="B923" t="s">
        <v>1108</v>
      </c>
    </row>
    <row r="924" spans="1:2">
      <c r="A924">
        <v>30500313</v>
      </c>
      <c r="B924" t="s">
        <v>1109</v>
      </c>
    </row>
    <row r="925" spans="1:2">
      <c r="A925">
        <v>30500314</v>
      </c>
      <c r="B925" t="s">
        <v>1110</v>
      </c>
    </row>
    <row r="926" spans="1:2">
      <c r="A926">
        <v>30500315</v>
      </c>
      <c r="B926" t="s">
        <v>1111</v>
      </c>
    </row>
    <row r="927" spans="1:2">
      <c r="A927">
        <v>30500316</v>
      </c>
      <c r="B927" t="s">
        <v>1112</v>
      </c>
    </row>
    <row r="928" spans="1:2">
      <c r="A928">
        <v>30500317</v>
      </c>
      <c r="B928" t="s">
        <v>1113</v>
      </c>
    </row>
    <row r="929" spans="1:2">
      <c r="A929">
        <v>30500410</v>
      </c>
      <c r="B929" t="s">
        <v>1123</v>
      </c>
    </row>
    <row r="930" spans="1:2">
      <c r="A930">
        <v>30500411</v>
      </c>
      <c r="B930" t="s">
        <v>1124</v>
      </c>
    </row>
    <row r="931" spans="1:2">
      <c r="A931">
        <v>30500412</v>
      </c>
      <c r="B931" t="s">
        <v>1125</v>
      </c>
    </row>
    <row r="932" spans="1:2">
      <c r="A932">
        <v>30500413</v>
      </c>
      <c r="B932" t="s">
        <v>1126</v>
      </c>
    </row>
    <row r="933" spans="1:2">
      <c r="A933">
        <v>30500414</v>
      </c>
      <c r="B933" t="s">
        <v>1127</v>
      </c>
    </row>
    <row r="934" spans="1:2">
      <c r="A934">
        <v>30500415</v>
      </c>
      <c r="B934" t="s">
        <v>1128</v>
      </c>
    </row>
    <row r="935" spans="1:2">
      <c r="A935">
        <v>30500416</v>
      </c>
      <c r="B935" t="s">
        <v>1129</v>
      </c>
    </row>
    <row r="936" spans="1:2">
      <c r="A936">
        <v>30500417</v>
      </c>
      <c r="B936" t="s">
        <v>1130</v>
      </c>
    </row>
    <row r="937" spans="1:2">
      <c r="A937">
        <v>30599928</v>
      </c>
      <c r="B937" t="s">
        <v>1158</v>
      </c>
    </row>
    <row r="938" spans="1:2">
      <c r="A938">
        <v>30599929</v>
      </c>
      <c r="B938" t="s">
        <v>1159</v>
      </c>
    </row>
    <row r="939" spans="1:2">
      <c r="A939">
        <v>30599930</v>
      </c>
      <c r="B939" t="s">
        <v>1160</v>
      </c>
    </row>
    <row r="940" spans="1:2">
      <c r="A940">
        <v>30599931</v>
      </c>
      <c r="B940" t="s">
        <v>1161</v>
      </c>
    </row>
    <row r="941" spans="1:2">
      <c r="A941">
        <v>30599932</v>
      </c>
      <c r="B941" t="s">
        <v>1162</v>
      </c>
    </row>
    <row r="942" spans="1:2">
      <c r="A942">
        <v>30599933</v>
      </c>
      <c r="B942" t="s">
        <v>1163</v>
      </c>
    </row>
    <row r="943" spans="1:2">
      <c r="A943">
        <v>30599934</v>
      </c>
      <c r="B943" t="s">
        <v>1164</v>
      </c>
    </row>
    <row r="944" spans="1:2">
      <c r="A944">
        <v>30599935</v>
      </c>
      <c r="B944" t="s">
        <v>1165</v>
      </c>
    </row>
    <row r="945" spans="1:2">
      <c r="A945">
        <v>31000501</v>
      </c>
      <c r="B945" t="s">
        <v>1166</v>
      </c>
    </row>
    <row r="946" spans="1:2">
      <c r="A946">
        <v>31000502</v>
      </c>
      <c r="B946" t="s">
        <v>1167</v>
      </c>
    </row>
    <row r="947" spans="1:2">
      <c r="A947">
        <v>31000503</v>
      </c>
      <c r="B947" t="s">
        <v>1168</v>
      </c>
    </row>
    <row r="948" spans="1:2">
      <c r="A948">
        <v>31000504</v>
      </c>
      <c r="B948" t="s">
        <v>1169</v>
      </c>
    </row>
    <row r="949" spans="1:2">
      <c r="A949">
        <v>31000505</v>
      </c>
      <c r="B949" t="s">
        <v>1170</v>
      </c>
    </row>
    <row r="950" spans="1:2">
      <c r="A950">
        <v>31000506</v>
      </c>
      <c r="B950" t="s">
        <v>1171</v>
      </c>
    </row>
    <row r="951" spans="1:2">
      <c r="A951">
        <v>31000507</v>
      </c>
      <c r="B951" t="s">
        <v>1172</v>
      </c>
    </row>
    <row r="952" spans="1:2">
      <c r="A952">
        <v>31000508</v>
      </c>
      <c r="B952" t="s">
        <v>1173</v>
      </c>
    </row>
    <row r="953" spans="1:2">
      <c r="A953">
        <v>31000509</v>
      </c>
      <c r="B953" t="s">
        <v>1174</v>
      </c>
    </row>
    <row r="954" spans="1:2">
      <c r="A954">
        <v>31000510</v>
      </c>
      <c r="B954" t="s">
        <v>1175</v>
      </c>
    </row>
    <row r="955" spans="1:2">
      <c r="A955">
        <v>31000511</v>
      </c>
      <c r="B955" t="s">
        <v>1176</v>
      </c>
    </row>
    <row r="956" spans="1:2">
      <c r="A956">
        <v>31000512</v>
      </c>
      <c r="B956" t="s">
        <v>1177</v>
      </c>
    </row>
    <row r="957" spans="1:2">
      <c r="A957">
        <v>31000513</v>
      </c>
      <c r="B957" t="s">
        <v>1178</v>
      </c>
    </row>
    <row r="958" spans="1:2">
      <c r="A958">
        <v>31000514</v>
      </c>
      <c r="B958" t="s">
        <v>1179</v>
      </c>
    </row>
    <row r="959" spans="1:2">
      <c r="A959">
        <v>31000515</v>
      </c>
      <c r="B959" t="s">
        <v>1180</v>
      </c>
    </row>
    <row r="960" spans="1:2">
      <c r="A960">
        <v>31000516</v>
      </c>
      <c r="B960" t="s">
        <v>1181</v>
      </c>
    </row>
    <row r="961" spans="1:2">
      <c r="A961">
        <v>31000517</v>
      </c>
      <c r="B961" t="s">
        <v>1182</v>
      </c>
    </row>
    <row r="962" spans="1:2">
      <c r="A962">
        <v>31000518</v>
      </c>
      <c r="B962" t="s">
        <v>1183</v>
      </c>
    </row>
    <row r="963" spans="1:2">
      <c r="A963">
        <v>31000519</v>
      </c>
      <c r="B963" t="s">
        <v>1184</v>
      </c>
    </row>
    <row r="964" spans="1:2">
      <c r="A964">
        <v>31000520</v>
      </c>
      <c r="B964" t="s">
        <v>1185</v>
      </c>
    </row>
    <row r="965" spans="1:2">
      <c r="A965">
        <v>31000521</v>
      </c>
      <c r="B965" t="s">
        <v>1186</v>
      </c>
    </row>
    <row r="966" spans="1:2">
      <c r="A966">
        <v>31000522</v>
      </c>
      <c r="B966" t="s">
        <v>1187</v>
      </c>
    </row>
    <row r="967" spans="1:2">
      <c r="A967">
        <v>31000523</v>
      </c>
      <c r="B967" t="s">
        <v>1188</v>
      </c>
    </row>
    <row r="968" spans="1:2">
      <c r="A968">
        <v>31000524</v>
      </c>
      <c r="B968" t="s">
        <v>1189</v>
      </c>
    </row>
    <row r="969" spans="1:2">
      <c r="A969">
        <v>31000525</v>
      </c>
      <c r="B969" t="s">
        <v>1190</v>
      </c>
    </row>
    <row r="970" spans="1:2">
      <c r="A970">
        <v>31000526</v>
      </c>
      <c r="B970" t="s">
        <v>1191</v>
      </c>
    </row>
    <row r="971" spans="1:2">
      <c r="A971">
        <v>31000527</v>
      </c>
      <c r="B971" t="s">
        <v>1192</v>
      </c>
    </row>
    <row r="972" spans="1:2">
      <c r="A972">
        <v>31000528</v>
      </c>
      <c r="B972" t="s">
        <v>1193</v>
      </c>
    </row>
    <row r="973" spans="1:2">
      <c r="A973">
        <v>31000529</v>
      </c>
      <c r="B973" t="s">
        <v>1194</v>
      </c>
    </row>
    <row r="974" spans="1:2">
      <c r="A974">
        <v>31000530</v>
      </c>
      <c r="B974" t="s">
        <v>1195</v>
      </c>
    </row>
    <row r="975" spans="1:2">
      <c r="A975">
        <v>31000531</v>
      </c>
      <c r="B975" t="s">
        <v>1196</v>
      </c>
    </row>
    <row r="976" spans="1:2">
      <c r="A976">
        <v>31000532</v>
      </c>
      <c r="B976" t="s">
        <v>1197</v>
      </c>
    </row>
    <row r="977" spans="1:2">
      <c r="A977">
        <v>32000601</v>
      </c>
      <c r="B977" t="s">
        <v>1198</v>
      </c>
    </row>
    <row r="978" spans="1:2">
      <c r="A978">
        <v>32000602</v>
      </c>
      <c r="B978" t="s">
        <v>1199</v>
      </c>
    </row>
    <row r="979" spans="1:2">
      <c r="A979">
        <v>32000603</v>
      </c>
      <c r="B979" t="s">
        <v>1200</v>
      </c>
    </row>
    <row r="980" spans="1:2">
      <c r="A980">
        <v>32000604</v>
      </c>
      <c r="B980" t="s">
        <v>1201</v>
      </c>
    </row>
    <row r="981" spans="1:2">
      <c r="A981">
        <v>32000605</v>
      </c>
      <c r="B981" t="s">
        <v>1202</v>
      </c>
    </row>
    <row r="982" spans="1:2">
      <c r="A982">
        <v>32000606</v>
      </c>
      <c r="B982" t="s">
        <v>1203</v>
      </c>
    </row>
    <row r="983" spans="1:2">
      <c r="A983">
        <v>32000607</v>
      </c>
      <c r="B983" t="s">
        <v>1204</v>
      </c>
    </row>
    <row r="984" spans="1:2">
      <c r="A984">
        <v>32000608</v>
      </c>
      <c r="B984" t="s">
        <v>1205</v>
      </c>
    </row>
    <row r="985" spans="1:2">
      <c r="A985">
        <v>32000609</v>
      </c>
      <c r="B985" t="s">
        <v>1206</v>
      </c>
    </row>
    <row r="986" spans="1:2">
      <c r="A986">
        <v>32000610</v>
      </c>
      <c r="B986" t="s">
        <v>1207</v>
      </c>
    </row>
    <row r="987" spans="1:2">
      <c r="A987">
        <v>32000611</v>
      </c>
      <c r="B987" t="s">
        <v>1208</v>
      </c>
    </row>
    <row r="988" spans="1:2">
      <c r="A988">
        <v>32000612</v>
      </c>
      <c r="B988" t="s">
        <v>1209</v>
      </c>
    </row>
    <row r="989" spans="1:2">
      <c r="A989">
        <v>32000613</v>
      </c>
      <c r="B989" t="s">
        <v>1210</v>
      </c>
    </row>
    <row r="990" spans="1:2">
      <c r="A990">
        <v>32000614</v>
      </c>
      <c r="B990" t="s">
        <v>1211</v>
      </c>
    </row>
    <row r="991" spans="1:2">
      <c r="A991">
        <v>32000615</v>
      </c>
      <c r="B991" t="s">
        <v>1212</v>
      </c>
    </row>
    <row r="992" spans="1:2">
      <c r="A992">
        <v>32000616</v>
      </c>
      <c r="B992" t="s">
        <v>1213</v>
      </c>
    </row>
    <row r="993" spans="1:2">
      <c r="A993">
        <v>32000617</v>
      </c>
      <c r="B993" t="s">
        <v>1214</v>
      </c>
    </row>
    <row r="994" spans="1:2">
      <c r="A994">
        <v>32500701</v>
      </c>
      <c r="B994" t="s">
        <v>1215</v>
      </c>
    </row>
    <row r="995" spans="1:2">
      <c r="A995">
        <v>32500702</v>
      </c>
      <c r="B995" t="s">
        <v>1216</v>
      </c>
    </row>
    <row r="996" spans="1:2">
      <c r="A996">
        <v>32500703</v>
      </c>
      <c r="B996" t="s">
        <v>1217</v>
      </c>
    </row>
    <row r="997" spans="1:2">
      <c r="A997">
        <v>32500704</v>
      </c>
      <c r="B997" t="s">
        <v>1218</v>
      </c>
    </row>
    <row r="998" spans="1:2">
      <c r="A998">
        <v>32500705</v>
      </c>
      <c r="B998" t="s">
        <v>1219</v>
      </c>
    </row>
    <row r="999" spans="1:2">
      <c r="A999">
        <v>32500706</v>
      </c>
      <c r="B999" t="s">
        <v>1220</v>
      </c>
    </row>
    <row r="1000" spans="1:2">
      <c r="A1000">
        <v>32500707</v>
      </c>
      <c r="B1000" t="s">
        <v>1221</v>
      </c>
    </row>
    <row r="1001" spans="1:2">
      <c r="A1001">
        <v>32500708</v>
      </c>
      <c r="B1001" t="s">
        <v>1222</v>
      </c>
    </row>
    <row r="1002" spans="1:2">
      <c r="A1002">
        <v>32500709</v>
      </c>
      <c r="B1002" t="s">
        <v>1223</v>
      </c>
    </row>
    <row r="1003" spans="1:2">
      <c r="A1003">
        <v>32500710</v>
      </c>
      <c r="B1003" t="s">
        <v>1216</v>
      </c>
    </row>
    <row r="1004" spans="1:2">
      <c r="A1004">
        <v>32500711</v>
      </c>
      <c r="B1004" t="s">
        <v>1224</v>
      </c>
    </row>
    <row r="1005" spans="1:2">
      <c r="A1005">
        <v>32500712</v>
      </c>
      <c r="B1005" t="s">
        <v>1225</v>
      </c>
    </row>
    <row r="1006" spans="1:2">
      <c r="A1006">
        <v>32500713</v>
      </c>
      <c r="B1006" t="s">
        <v>1217</v>
      </c>
    </row>
    <row r="1007" spans="1:2">
      <c r="A1007">
        <v>32500714</v>
      </c>
      <c r="B1007" t="s">
        <v>1218</v>
      </c>
    </row>
    <row r="1008" spans="1:2">
      <c r="A1008">
        <v>32500715</v>
      </c>
      <c r="B1008" t="s">
        <v>1219</v>
      </c>
    </row>
    <row r="1009" spans="1:2">
      <c r="A1009">
        <v>32500716</v>
      </c>
      <c r="B1009" t="s">
        <v>1220</v>
      </c>
    </row>
    <row r="1010" spans="1:2">
      <c r="A1010">
        <v>32500801</v>
      </c>
      <c r="B1010" t="s">
        <v>1226</v>
      </c>
    </row>
    <row r="1011" spans="1:2">
      <c r="A1011">
        <v>32500802</v>
      </c>
      <c r="B1011" t="s">
        <v>1227</v>
      </c>
    </row>
    <row r="1012" spans="1:2">
      <c r="A1012">
        <v>32500803</v>
      </c>
      <c r="B1012" t="s">
        <v>1228</v>
      </c>
    </row>
    <row r="1013" spans="1:2">
      <c r="A1013">
        <v>32500804</v>
      </c>
      <c r="B1013" t="s">
        <v>1229</v>
      </c>
    </row>
    <row r="1014" spans="1:2">
      <c r="A1014">
        <v>32500805</v>
      </c>
      <c r="B1014" t="s">
        <v>1230</v>
      </c>
    </row>
    <row r="1015" spans="1:2">
      <c r="A1015">
        <v>32500806</v>
      </c>
      <c r="B1015" t="s">
        <v>1231</v>
      </c>
    </row>
    <row r="1016" spans="1:2">
      <c r="A1016">
        <v>33000901</v>
      </c>
      <c r="B1016" t="s">
        <v>1232</v>
      </c>
    </row>
    <row r="1017" spans="1:2">
      <c r="A1017">
        <v>33000902</v>
      </c>
      <c r="B1017" t="s">
        <v>1233</v>
      </c>
    </row>
    <row r="1018" spans="1:2">
      <c r="A1018">
        <v>33000903</v>
      </c>
      <c r="B1018" t="s">
        <v>1234</v>
      </c>
    </row>
    <row r="1019" spans="1:2">
      <c r="A1019">
        <v>33000904</v>
      </c>
      <c r="B1019" t="s">
        <v>1235</v>
      </c>
    </row>
    <row r="1020" spans="1:2">
      <c r="A1020">
        <v>33000905</v>
      </c>
      <c r="B1020" t="s">
        <v>1236</v>
      </c>
    </row>
    <row r="1021" spans="1:2">
      <c r="A1021">
        <v>33000906</v>
      </c>
      <c r="B1021" t="s">
        <v>1237</v>
      </c>
    </row>
    <row r="1022" spans="1:2">
      <c r="A1022">
        <v>39901001</v>
      </c>
      <c r="B1022" t="s">
        <v>1238</v>
      </c>
    </row>
    <row r="1023" spans="1:2">
      <c r="A1023" t="s">
        <v>1839</v>
      </c>
      <c r="B1023" t="s">
        <v>1840</v>
      </c>
    </row>
    <row r="1024" spans="1:2">
      <c r="A1024" t="s">
        <v>1841</v>
      </c>
      <c r="B1024" t="s">
        <v>1842</v>
      </c>
    </row>
    <row r="1025" spans="1:2">
      <c r="A1025" t="s">
        <v>1843</v>
      </c>
      <c r="B1025" t="s">
        <v>1844</v>
      </c>
    </row>
    <row r="1026" spans="1:2">
      <c r="A1026" t="s">
        <v>1845</v>
      </c>
      <c r="B1026" t="s">
        <v>1846</v>
      </c>
    </row>
    <row r="1027" spans="1:2">
      <c r="A1027" t="s">
        <v>1847</v>
      </c>
      <c r="B1027" t="s">
        <v>1848</v>
      </c>
    </row>
    <row r="1028" spans="1:2">
      <c r="A1028" t="s">
        <v>1849</v>
      </c>
      <c r="B1028" t="s">
        <v>1850</v>
      </c>
    </row>
    <row r="1029" spans="1:2">
      <c r="A1029" t="s">
        <v>1851</v>
      </c>
      <c r="B1029" t="s">
        <v>1852</v>
      </c>
    </row>
    <row r="1030" spans="1:2">
      <c r="A1030" t="s">
        <v>1853</v>
      </c>
      <c r="B1030" t="s">
        <v>1854</v>
      </c>
    </row>
    <row r="1031" spans="1:2">
      <c r="A1031" t="s">
        <v>1855</v>
      </c>
      <c r="B1031" t="s">
        <v>1856</v>
      </c>
    </row>
    <row r="1032" spans="1:2">
      <c r="A1032" t="s">
        <v>1857</v>
      </c>
      <c r="B1032" t="s">
        <v>1858</v>
      </c>
    </row>
    <row r="1033" spans="1:2">
      <c r="A1033" t="s">
        <v>1859</v>
      </c>
      <c r="B1033" t="s">
        <v>1860</v>
      </c>
    </row>
    <row r="1034" spans="1:2">
      <c r="A1034" t="s">
        <v>1861</v>
      </c>
      <c r="B1034" t="s">
        <v>1862</v>
      </c>
    </row>
    <row r="1035" spans="1:2">
      <c r="A1035" t="s">
        <v>1863</v>
      </c>
      <c r="B1035" t="s">
        <v>1864</v>
      </c>
    </row>
    <row r="1036" spans="1:2">
      <c r="A1036" t="s">
        <v>1865</v>
      </c>
      <c r="B1036" t="s">
        <v>1866</v>
      </c>
    </row>
    <row r="1037" spans="1:2">
      <c r="A1037" t="s">
        <v>1867</v>
      </c>
      <c r="B1037" t="s">
        <v>1868</v>
      </c>
    </row>
    <row r="1038" spans="1:2">
      <c r="A1038" t="s">
        <v>1869</v>
      </c>
      <c r="B1038" t="s">
        <v>1870</v>
      </c>
    </row>
    <row r="1039" spans="1:2">
      <c r="A1039" t="s">
        <v>1871</v>
      </c>
      <c r="B1039" t="s">
        <v>1872</v>
      </c>
    </row>
    <row r="1040" spans="1:2">
      <c r="A1040" t="s">
        <v>1873</v>
      </c>
      <c r="B1040" t="s">
        <v>1874</v>
      </c>
    </row>
    <row r="1041" spans="1:2">
      <c r="A1041">
        <v>40100101</v>
      </c>
      <c r="B1041" t="s">
        <v>1239</v>
      </c>
    </row>
    <row r="1042" spans="1:2">
      <c r="A1042">
        <v>40100201</v>
      </c>
      <c r="B1042" t="s">
        <v>1240</v>
      </c>
    </row>
    <row r="1043" spans="1:2">
      <c r="A1043">
        <v>40199901</v>
      </c>
      <c r="B1043" t="s">
        <v>1241</v>
      </c>
    </row>
    <row r="1044" spans="1:2">
      <c r="A1044">
        <v>40500301</v>
      </c>
      <c r="B1044" t="s">
        <v>1242</v>
      </c>
    </row>
    <row r="1045" spans="1:2">
      <c r="A1045">
        <v>40500302</v>
      </c>
      <c r="B1045" t="s">
        <v>1243</v>
      </c>
    </row>
    <row r="1046" spans="1:2">
      <c r="A1046">
        <v>40500303</v>
      </c>
      <c r="B1046" t="s">
        <v>1244</v>
      </c>
    </row>
    <row r="1047" spans="1:2">
      <c r="A1047">
        <v>40500304</v>
      </c>
      <c r="B1047" t="s">
        <v>1245</v>
      </c>
    </row>
    <row r="1048" spans="1:2">
      <c r="A1048">
        <v>40500305</v>
      </c>
      <c r="B1048" t="s">
        <v>1246</v>
      </c>
    </row>
    <row r="1049" spans="1:2">
      <c r="A1049">
        <v>40500306</v>
      </c>
      <c r="B1049" t="s">
        <v>1247</v>
      </c>
    </row>
    <row r="1050" spans="1:2">
      <c r="A1050">
        <v>40500307</v>
      </c>
      <c r="B1050" t="s">
        <v>1246</v>
      </c>
    </row>
    <row r="1051" spans="1:2">
      <c r="A1051">
        <v>40500308</v>
      </c>
      <c r="B1051" t="s">
        <v>1248</v>
      </c>
    </row>
    <row r="1052" spans="1:2">
      <c r="A1052">
        <v>40500309</v>
      </c>
      <c r="B1052" t="s">
        <v>1249</v>
      </c>
    </row>
    <row r="1053" spans="1:2">
      <c r="A1053">
        <v>40500401</v>
      </c>
      <c r="B1053" t="s">
        <v>1258</v>
      </c>
    </row>
    <row r="1054" spans="1:2">
      <c r="A1054">
        <v>40500402</v>
      </c>
      <c r="B1054" t="s">
        <v>1259</v>
      </c>
    </row>
    <row r="1055" spans="1:2">
      <c r="A1055">
        <v>40500403</v>
      </c>
      <c r="B1055" t="s">
        <v>1260</v>
      </c>
    </row>
    <row r="1056" spans="1:2">
      <c r="A1056">
        <v>40500404</v>
      </c>
      <c r="B1056" t="s">
        <v>1261</v>
      </c>
    </row>
    <row r="1057" spans="1:2">
      <c r="A1057">
        <v>40500405</v>
      </c>
      <c r="B1057" t="s">
        <v>1262</v>
      </c>
    </row>
    <row r="1058" spans="1:2">
      <c r="A1058">
        <v>40500406</v>
      </c>
      <c r="B1058" t="s">
        <v>1263</v>
      </c>
    </row>
    <row r="1059" spans="1:2">
      <c r="A1059">
        <v>40500407</v>
      </c>
      <c r="B1059" t="s">
        <v>1264</v>
      </c>
    </row>
    <row r="1060" spans="1:2">
      <c r="A1060">
        <v>40500408</v>
      </c>
      <c r="B1060" t="s">
        <v>1265</v>
      </c>
    </row>
    <row r="1061" spans="1:2">
      <c r="A1061">
        <v>40500409</v>
      </c>
      <c r="B1061" t="s">
        <v>1266</v>
      </c>
    </row>
    <row r="1062" spans="1:2">
      <c r="A1062">
        <v>40599901</v>
      </c>
      <c r="B1062" t="s">
        <v>1275</v>
      </c>
    </row>
    <row r="1063" spans="1:2">
      <c r="A1063">
        <v>40599902</v>
      </c>
      <c r="B1063" t="s">
        <v>1276</v>
      </c>
    </row>
    <row r="1064" spans="1:2">
      <c r="A1064">
        <v>40599903</v>
      </c>
      <c r="B1064" t="s">
        <v>1277</v>
      </c>
    </row>
    <row r="1065" spans="1:2">
      <c r="A1065">
        <v>40599904</v>
      </c>
      <c r="B1065" t="s">
        <v>1278</v>
      </c>
    </row>
    <row r="1066" spans="1:2">
      <c r="A1066">
        <v>40599905</v>
      </c>
      <c r="B1066" t="s">
        <v>1279</v>
      </c>
    </row>
    <row r="1067" spans="1:2">
      <c r="A1067">
        <v>40599906</v>
      </c>
      <c r="B1067" t="s">
        <v>1280</v>
      </c>
    </row>
    <row r="1068" spans="1:2">
      <c r="A1068">
        <v>40599907</v>
      </c>
      <c r="B1068" t="s">
        <v>1281</v>
      </c>
    </row>
    <row r="1069" spans="1:2">
      <c r="A1069">
        <v>40599908</v>
      </c>
      <c r="B1069" t="s">
        <v>1282</v>
      </c>
    </row>
    <row r="1070" spans="1:2">
      <c r="A1070">
        <v>40599909</v>
      </c>
      <c r="B1070" t="s">
        <v>1283</v>
      </c>
    </row>
    <row r="1071" spans="1:2">
      <c r="A1071">
        <v>40599910</v>
      </c>
      <c r="B1071" t="s">
        <v>1284</v>
      </c>
    </row>
    <row r="1072" spans="1:2">
      <c r="A1072">
        <v>40599911</v>
      </c>
      <c r="B1072" t="s">
        <v>1285</v>
      </c>
    </row>
    <row r="1073" spans="1:2">
      <c r="A1073">
        <v>40599912</v>
      </c>
      <c r="B1073" t="s">
        <v>1286</v>
      </c>
    </row>
    <row r="1074" spans="1:2">
      <c r="A1074">
        <v>40599913</v>
      </c>
      <c r="B1074" t="s">
        <v>1287</v>
      </c>
    </row>
    <row r="1075" spans="1:2">
      <c r="A1075">
        <v>40599914</v>
      </c>
      <c r="B1075" t="s">
        <v>1288</v>
      </c>
    </row>
    <row r="1076" spans="1:2">
      <c r="A1076">
        <v>40599915</v>
      </c>
      <c r="B1076" t="s">
        <v>1289</v>
      </c>
    </row>
    <row r="1077" spans="1:2">
      <c r="A1077">
        <v>40599916</v>
      </c>
      <c r="B1077" t="s">
        <v>1290</v>
      </c>
    </row>
    <row r="1078" spans="1:2">
      <c r="A1078">
        <v>40599917</v>
      </c>
      <c r="B1078" t="s">
        <v>1291</v>
      </c>
    </row>
    <row r="1079" spans="1:2">
      <c r="A1079">
        <v>40599918</v>
      </c>
      <c r="B1079" t="s">
        <v>1292</v>
      </c>
    </row>
    <row r="1080" spans="1:2">
      <c r="A1080">
        <v>40599919</v>
      </c>
      <c r="B1080" t="s">
        <v>1293</v>
      </c>
    </row>
    <row r="1081" spans="1:2">
      <c r="A1081">
        <v>40599920</v>
      </c>
      <c r="B1081" t="s">
        <v>1294</v>
      </c>
    </row>
    <row r="1082" spans="1:2">
      <c r="A1082">
        <v>40599921</v>
      </c>
      <c r="B1082" t="s">
        <v>1295</v>
      </c>
    </row>
    <row r="1083" spans="1:2">
      <c r="A1083">
        <v>40599922</v>
      </c>
      <c r="B1083" t="s">
        <v>1296</v>
      </c>
    </row>
    <row r="1084" spans="1:2">
      <c r="A1084">
        <v>40599923</v>
      </c>
      <c r="B1084" t="s">
        <v>1297</v>
      </c>
    </row>
    <row r="1085" spans="1:2">
      <c r="A1085">
        <v>40599924</v>
      </c>
      <c r="B1085" t="s">
        <v>1298</v>
      </c>
    </row>
    <row r="1086" spans="1:2">
      <c r="A1086">
        <v>40599925</v>
      </c>
      <c r="B1086" t="s">
        <v>1299</v>
      </c>
    </row>
    <row r="1087" spans="1:2">
      <c r="A1087">
        <v>40599926</v>
      </c>
      <c r="B1087" t="s">
        <v>1300</v>
      </c>
    </row>
    <row r="1088" spans="1:2">
      <c r="A1088">
        <v>40599927</v>
      </c>
      <c r="B1088" t="s">
        <v>1301</v>
      </c>
    </row>
    <row r="1089" spans="1:2">
      <c r="A1089">
        <v>40500310</v>
      </c>
      <c r="B1089" t="s">
        <v>1250</v>
      </c>
    </row>
    <row r="1090" spans="1:2">
      <c r="A1090">
        <v>40500311</v>
      </c>
      <c r="B1090" t="s">
        <v>1251</v>
      </c>
    </row>
    <row r="1091" spans="1:2">
      <c r="A1091">
        <v>40500312</v>
      </c>
      <c r="B1091" t="s">
        <v>1252</v>
      </c>
    </row>
    <row r="1092" spans="1:2">
      <c r="A1092">
        <v>40500313</v>
      </c>
      <c r="B1092" t="s">
        <v>1253</v>
      </c>
    </row>
    <row r="1093" spans="1:2">
      <c r="A1093">
        <v>40500314</v>
      </c>
      <c r="B1093" t="s">
        <v>1254</v>
      </c>
    </row>
    <row r="1094" spans="1:2">
      <c r="A1094">
        <v>40500315</v>
      </c>
      <c r="B1094" t="s">
        <v>1255</v>
      </c>
    </row>
    <row r="1095" spans="1:2">
      <c r="A1095">
        <v>40500316</v>
      </c>
      <c r="B1095" t="s">
        <v>1256</v>
      </c>
    </row>
    <row r="1096" spans="1:2">
      <c r="A1096">
        <v>40500317</v>
      </c>
      <c r="B1096" t="s">
        <v>1257</v>
      </c>
    </row>
    <row r="1097" spans="1:2">
      <c r="A1097">
        <v>40500410</v>
      </c>
      <c r="B1097" t="s">
        <v>1267</v>
      </c>
    </row>
    <row r="1098" spans="1:2">
      <c r="A1098">
        <v>40500411</v>
      </c>
      <c r="B1098" t="s">
        <v>1268</v>
      </c>
    </row>
    <row r="1099" spans="1:2">
      <c r="A1099">
        <v>40500412</v>
      </c>
      <c r="B1099" t="s">
        <v>1269</v>
      </c>
    </row>
    <row r="1100" spans="1:2">
      <c r="A1100">
        <v>40500413</v>
      </c>
      <c r="B1100" t="s">
        <v>1270</v>
      </c>
    </row>
    <row r="1101" spans="1:2">
      <c r="A1101">
        <v>40500414</v>
      </c>
      <c r="B1101" t="s">
        <v>1271</v>
      </c>
    </row>
    <row r="1102" spans="1:2">
      <c r="A1102">
        <v>40500415</v>
      </c>
      <c r="B1102" t="s">
        <v>1272</v>
      </c>
    </row>
    <row r="1103" spans="1:2">
      <c r="A1103">
        <v>40500416</v>
      </c>
      <c r="B1103" t="s">
        <v>1273</v>
      </c>
    </row>
    <row r="1104" spans="1:2">
      <c r="A1104">
        <v>40500417</v>
      </c>
      <c r="B1104" t="s">
        <v>1274</v>
      </c>
    </row>
    <row r="1105" spans="1:2">
      <c r="A1105">
        <v>40599928</v>
      </c>
      <c r="B1105" t="s">
        <v>1302</v>
      </c>
    </row>
    <row r="1106" spans="1:2">
      <c r="A1106">
        <v>40599929</v>
      </c>
      <c r="B1106" t="s">
        <v>1303</v>
      </c>
    </row>
    <row r="1107" spans="1:2">
      <c r="A1107">
        <v>40599930</v>
      </c>
      <c r="B1107" t="s">
        <v>1304</v>
      </c>
    </row>
    <row r="1108" spans="1:2">
      <c r="A1108">
        <v>40599931</v>
      </c>
      <c r="B1108" t="s">
        <v>1305</v>
      </c>
    </row>
    <row r="1109" spans="1:2">
      <c r="A1109">
        <v>40599932</v>
      </c>
      <c r="B1109" t="s">
        <v>1306</v>
      </c>
    </row>
    <row r="1110" spans="1:2">
      <c r="A1110">
        <v>40599933</v>
      </c>
      <c r="B1110" t="s">
        <v>1307</v>
      </c>
    </row>
    <row r="1111" spans="1:2">
      <c r="A1111">
        <v>40599934</v>
      </c>
      <c r="B1111" t="s">
        <v>1308</v>
      </c>
    </row>
    <row r="1112" spans="1:2">
      <c r="A1112">
        <v>40599935</v>
      </c>
      <c r="B1112" t="s">
        <v>1309</v>
      </c>
    </row>
    <row r="1113" spans="1:2">
      <c r="A1113">
        <v>41000501</v>
      </c>
      <c r="B1113" t="s">
        <v>1310</v>
      </c>
    </row>
    <row r="1114" spans="1:2">
      <c r="A1114">
        <v>41000502</v>
      </c>
      <c r="B1114" t="s">
        <v>1311</v>
      </c>
    </row>
    <row r="1115" spans="1:2">
      <c r="A1115">
        <v>41000503</v>
      </c>
      <c r="B1115" t="s">
        <v>1312</v>
      </c>
    </row>
    <row r="1116" spans="1:2">
      <c r="A1116">
        <v>41000504</v>
      </c>
      <c r="B1116" t="s">
        <v>1313</v>
      </c>
    </row>
    <row r="1117" spans="1:2">
      <c r="A1117">
        <v>41000505</v>
      </c>
      <c r="B1117" t="s">
        <v>1314</v>
      </c>
    </row>
    <row r="1118" spans="1:2">
      <c r="A1118">
        <v>41000506</v>
      </c>
      <c r="B1118" t="s">
        <v>1315</v>
      </c>
    </row>
    <row r="1119" spans="1:2">
      <c r="A1119">
        <v>41000507</v>
      </c>
      <c r="B1119" t="s">
        <v>1316</v>
      </c>
    </row>
    <row r="1120" spans="1:2">
      <c r="A1120">
        <v>41000508</v>
      </c>
      <c r="B1120" t="s">
        <v>1317</v>
      </c>
    </row>
    <row r="1121" spans="1:2">
      <c r="A1121">
        <v>41000509</v>
      </c>
      <c r="B1121" t="s">
        <v>1318</v>
      </c>
    </row>
    <row r="1122" spans="1:2">
      <c r="A1122">
        <v>41000510</v>
      </c>
      <c r="B1122" t="s">
        <v>1319</v>
      </c>
    </row>
    <row r="1123" spans="1:2">
      <c r="A1123">
        <v>41000511</v>
      </c>
      <c r="B1123" t="s">
        <v>1320</v>
      </c>
    </row>
    <row r="1124" spans="1:2">
      <c r="A1124">
        <v>41000512</v>
      </c>
      <c r="B1124" t="s">
        <v>1321</v>
      </c>
    </row>
    <row r="1125" spans="1:2">
      <c r="A1125">
        <v>41000513</v>
      </c>
      <c r="B1125" t="s">
        <v>1322</v>
      </c>
    </row>
    <row r="1126" spans="1:2">
      <c r="A1126">
        <v>41000514</v>
      </c>
      <c r="B1126" t="s">
        <v>1323</v>
      </c>
    </row>
    <row r="1127" spans="1:2">
      <c r="A1127">
        <v>41000515</v>
      </c>
      <c r="B1127" t="s">
        <v>1324</v>
      </c>
    </row>
    <row r="1128" spans="1:2">
      <c r="A1128">
        <v>41000516</v>
      </c>
      <c r="B1128" t="s">
        <v>1325</v>
      </c>
    </row>
    <row r="1129" spans="1:2">
      <c r="A1129">
        <v>41000517</v>
      </c>
      <c r="B1129" t="s">
        <v>1326</v>
      </c>
    </row>
    <row r="1130" spans="1:2">
      <c r="A1130">
        <v>41000518</v>
      </c>
      <c r="B1130" t="s">
        <v>1327</v>
      </c>
    </row>
    <row r="1131" spans="1:2">
      <c r="A1131">
        <v>41000519</v>
      </c>
      <c r="B1131" t="s">
        <v>1328</v>
      </c>
    </row>
    <row r="1132" spans="1:2">
      <c r="A1132">
        <v>41000520</v>
      </c>
      <c r="B1132" t="s">
        <v>1329</v>
      </c>
    </row>
    <row r="1133" spans="1:2">
      <c r="A1133">
        <v>41000521</v>
      </c>
      <c r="B1133" t="s">
        <v>1330</v>
      </c>
    </row>
    <row r="1134" spans="1:2">
      <c r="A1134">
        <v>41000522</v>
      </c>
      <c r="B1134" t="s">
        <v>1331</v>
      </c>
    </row>
    <row r="1135" spans="1:2">
      <c r="A1135">
        <v>41000523</v>
      </c>
      <c r="B1135" t="s">
        <v>1332</v>
      </c>
    </row>
    <row r="1136" spans="1:2">
      <c r="A1136">
        <v>41000524</v>
      </c>
      <c r="B1136" t="s">
        <v>1333</v>
      </c>
    </row>
    <row r="1137" spans="1:2">
      <c r="A1137">
        <v>41000525</v>
      </c>
      <c r="B1137" t="s">
        <v>1334</v>
      </c>
    </row>
    <row r="1138" spans="1:2">
      <c r="A1138">
        <v>41000526</v>
      </c>
      <c r="B1138" t="s">
        <v>1335</v>
      </c>
    </row>
    <row r="1139" spans="1:2">
      <c r="A1139">
        <v>41000527</v>
      </c>
      <c r="B1139" t="s">
        <v>1336</v>
      </c>
    </row>
    <row r="1140" spans="1:2">
      <c r="A1140">
        <v>41000528</v>
      </c>
      <c r="B1140" t="s">
        <v>1337</v>
      </c>
    </row>
    <row r="1141" spans="1:2">
      <c r="A1141">
        <v>41000529</v>
      </c>
      <c r="B1141" t="s">
        <v>1338</v>
      </c>
    </row>
    <row r="1142" spans="1:2">
      <c r="A1142">
        <v>41000530</v>
      </c>
      <c r="B1142" t="s">
        <v>1339</v>
      </c>
    </row>
    <row r="1143" spans="1:2">
      <c r="A1143">
        <v>41000531</v>
      </c>
      <c r="B1143" t="s">
        <v>1340</v>
      </c>
    </row>
    <row r="1144" spans="1:2">
      <c r="A1144">
        <v>41000532</v>
      </c>
      <c r="B1144" t="s">
        <v>1341</v>
      </c>
    </row>
    <row r="1145" spans="1:2">
      <c r="A1145">
        <v>42000601</v>
      </c>
      <c r="B1145" t="s">
        <v>1342</v>
      </c>
    </row>
    <row r="1146" spans="1:2">
      <c r="A1146">
        <v>42000602</v>
      </c>
      <c r="B1146" t="s">
        <v>1343</v>
      </c>
    </row>
    <row r="1147" spans="1:2">
      <c r="A1147">
        <v>42000603</v>
      </c>
      <c r="B1147" t="s">
        <v>1344</v>
      </c>
    </row>
    <row r="1148" spans="1:2">
      <c r="A1148">
        <v>42000604</v>
      </c>
      <c r="B1148" t="s">
        <v>1345</v>
      </c>
    </row>
    <row r="1149" spans="1:2">
      <c r="A1149">
        <v>42000605</v>
      </c>
      <c r="B1149" t="s">
        <v>1346</v>
      </c>
    </row>
    <row r="1150" spans="1:2">
      <c r="A1150">
        <v>42000606</v>
      </c>
      <c r="B1150" t="s">
        <v>1347</v>
      </c>
    </row>
    <row r="1151" spans="1:2">
      <c r="A1151">
        <v>42000607</v>
      </c>
      <c r="B1151" t="s">
        <v>1348</v>
      </c>
    </row>
    <row r="1152" spans="1:2">
      <c r="A1152">
        <v>42000608</v>
      </c>
      <c r="B1152" t="s">
        <v>1349</v>
      </c>
    </row>
    <row r="1153" spans="1:2">
      <c r="A1153">
        <v>42000609</v>
      </c>
      <c r="B1153" t="s">
        <v>1350</v>
      </c>
    </row>
    <row r="1154" spans="1:2">
      <c r="A1154">
        <v>42000610</v>
      </c>
      <c r="B1154" t="s">
        <v>1351</v>
      </c>
    </row>
    <row r="1155" spans="1:2">
      <c r="A1155">
        <v>42000611</v>
      </c>
      <c r="B1155" t="s">
        <v>1352</v>
      </c>
    </row>
    <row r="1156" spans="1:2">
      <c r="A1156">
        <v>42000612</v>
      </c>
      <c r="B1156" t="s">
        <v>1353</v>
      </c>
    </row>
    <row r="1157" spans="1:2">
      <c r="A1157">
        <v>42000613</v>
      </c>
      <c r="B1157" t="s">
        <v>1354</v>
      </c>
    </row>
    <row r="1158" spans="1:2">
      <c r="A1158">
        <v>42000614</v>
      </c>
      <c r="B1158" t="s">
        <v>1355</v>
      </c>
    </row>
    <row r="1159" spans="1:2">
      <c r="A1159">
        <v>42000615</v>
      </c>
      <c r="B1159" t="s">
        <v>1356</v>
      </c>
    </row>
    <row r="1160" spans="1:2">
      <c r="A1160">
        <v>42000616</v>
      </c>
      <c r="B1160" t="s">
        <v>1357</v>
      </c>
    </row>
    <row r="1161" spans="1:2">
      <c r="A1161">
        <v>42000617</v>
      </c>
      <c r="B1161" t="s">
        <v>1358</v>
      </c>
    </row>
    <row r="1162" spans="1:2">
      <c r="A1162">
        <v>42500701</v>
      </c>
      <c r="B1162" t="s">
        <v>1359</v>
      </c>
    </row>
    <row r="1163" spans="1:2">
      <c r="A1163">
        <v>42500702</v>
      </c>
      <c r="B1163" t="s">
        <v>1360</v>
      </c>
    </row>
    <row r="1164" spans="1:2">
      <c r="A1164">
        <v>42500703</v>
      </c>
      <c r="B1164" t="s">
        <v>1361</v>
      </c>
    </row>
    <row r="1165" spans="1:2">
      <c r="A1165">
        <v>42500704</v>
      </c>
      <c r="B1165" t="s">
        <v>1362</v>
      </c>
    </row>
    <row r="1166" spans="1:2">
      <c r="A1166">
        <v>42500705</v>
      </c>
      <c r="B1166" t="s">
        <v>1363</v>
      </c>
    </row>
    <row r="1167" spans="1:2">
      <c r="A1167">
        <v>42500706</v>
      </c>
      <c r="B1167" t="s">
        <v>1364</v>
      </c>
    </row>
    <row r="1168" spans="1:2">
      <c r="A1168">
        <v>42500707</v>
      </c>
      <c r="B1168" t="s">
        <v>1365</v>
      </c>
    </row>
    <row r="1169" spans="1:2">
      <c r="A1169">
        <v>42500708</v>
      </c>
      <c r="B1169" t="s">
        <v>1366</v>
      </c>
    </row>
    <row r="1170" spans="1:2">
      <c r="A1170">
        <v>42500709</v>
      </c>
      <c r="B1170" t="s">
        <v>1367</v>
      </c>
    </row>
    <row r="1171" spans="1:2">
      <c r="A1171">
        <v>42500710</v>
      </c>
      <c r="B1171" t="s">
        <v>1360</v>
      </c>
    </row>
    <row r="1172" spans="1:2">
      <c r="A1172">
        <v>42500711</v>
      </c>
      <c r="B1172" t="s">
        <v>1368</v>
      </c>
    </row>
    <row r="1173" spans="1:2">
      <c r="A1173">
        <v>42500712</v>
      </c>
      <c r="B1173" t="s">
        <v>1369</v>
      </c>
    </row>
    <row r="1174" spans="1:2">
      <c r="A1174">
        <v>42500713</v>
      </c>
      <c r="B1174" t="s">
        <v>1361</v>
      </c>
    </row>
    <row r="1175" spans="1:2">
      <c r="A1175">
        <v>42500714</v>
      </c>
      <c r="B1175" t="s">
        <v>1362</v>
      </c>
    </row>
    <row r="1176" spans="1:2">
      <c r="A1176">
        <v>42500715</v>
      </c>
      <c r="B1176" t="s">
        <v>1363</v>
      </c>
    </row>
    <row r="1177" spans="1:2">
      <c r="A1177">
        <v>42500716</v>
      </c>
      <c r="B1177" t="s">
        <v>1364</v>
      </c>
    </row>
    <row r="1178" spans="1:2">
      <c r="A1178">
        <v>42500801</v>
      </c>
      <c r="B1178" t="s">
        <v>1370</v>
      </c>
    </row>
    <row r="1179" spans="1:2">
      <c r="A1179">
        <v>42500802</v>
      </c>
      <c r="B1179" t="s">
        <v>1371</v>
      </c>
    </row>
    <row r="1180" spans="1:2">
      <c r="A1180">
        <v>42500803</v>
      </c>
      <c r="B1180" t="s">
        <v>1372</v>
      </c>
    </row>
    <row r="1181" spans="1:2">
      <c r="A1181">
        <v>42500804</v>
      </c>
      <c r="B1181" t="s">
        <v>1373</v>
      </c>
    </row>
    <row r="1182" spans="1:2">
      <c r="A1182">
        <v>42500805</v>
      </c>
      <c r="B1182" t="s">
        <v>1374</v>
      </c>
    </row>
    <row r="1183" spans="1:2">
      <c r="A1183">
        <v>42500806</v>
      </c>
      <c r="B1183" t="s">
        <v>1375</v>
      </c>
    </row>
    <row r="1184" spans="1:2">
      <c r="A1184">
        <v>43000901</v>
      </c>
      <c r="B1184" t="s">
        <v>1376</v>
      </c>
    </row>
    <row r="1185" spans="1:2">
      <c r="A1185">
        <v>43000902</v>
      </c>
      <c r="B1185" t="s">
        <v>1377</v>
      </c>
    </row>
    <row r="1186" spans="1:2">
      <c r="A1186">
        <v>43000903</v>
      </c>
      <c r="B1186" t="s">
        <v>1378</v>
      </c>
    </row>
    <row r="1187" spans="1:2">
      <c r="A1187">
        <v>43000904</v>
      </c>
      <c r="B1187" t="s">
        <v>1379</v>
      </c>
    </row>
    <row r="1188" spans="1:2">
      <c r="A1188">
        <v>43000905</v>
      </c>
      <c r="B1188" t="s">
        <v>1380</v>
      </c>
    </row>
    <row r="1189" spans="1:2">
      <c r="A1189">
        <v>43000906</v>
      </c>
      <c r="B1189" t="s">
        <v>1381</v>
      </c>
    </row>
    <row r="1190" spans="1:2">
      <c r="A1190">
        <v>49901001</v>
      </c>
      <c r="B1190" t="s">
        <v>1382</v>
      </c>
    </row>
    <row r="1191" spans="1:2">
      <c r="A1191" t="s">
        <v>1875</v>
      </c>
      <c r="B1191" t="s">
        <v>1876</v>
      </c>
    </row>
    <row r="1192" spans="1:2">
      <c r="A1192" t="s">
        <v>1877</v>
      </c>
      <c r="B1192" t="s">
        <v>1878</v>
      </c>
    </row>
    <row r="1193" spans="1:2">
      <c r="A1193" t="s">
        <v>1879</v>
      </c>
      <c r="B1193" t="s">
        <v>1880</v>
      </c>
    </row>
    <row r="1194" spans="1:2">
      <c r="A1194" t="s">
        <v>1881</v>
      </c>
      <c r="B1194" t="s">
        <v>1882</v>
      </c>
    </row>
    <row r="1195" spans="1:2">
      <c r="A1195" t="s">
        <v>1883</v>
      </c>
      <c r="B1195" t="s">
        <v>1884</v>
      </c>
    </row>
    <row r="1196" spans="1:2">
      <c r="A1196" t="s">
        <v>1885</v>
      </c>
      <c r="B1196" t="s">
        <v>1886</v>
      </c>
    </row>
    <row r="1197" spans="1:2">
      <c r="A1197" t="s">
        <v>1887</v>
      </c>
      <c r="B1197" t="s">
        <v>1888</v>
      </c>
    </row>
    <row r="1198" spans="1:2">
      <c r="A1198" t="s">
        <v>1889</v>
      </c>
      <c r="B1198" t="s">
        <v>1890</v>
      </c>
    </row>
    <row r="1199" spans="1:2">
      <c r="A1199" t="s">
        <v>1891</v>
      </c>
      <c r="B1199" t="s">
        <v>1892</v>
      </c>
    </row>
    <row r="1200" spans="1:2">
      <c r="A1200" t="s">
        <v>1893</v>
      </c>
      <c r="B1200" t="s">
        <v>1894</v>
      </c>
    </row>
    <row r="1201" spans="1:2">
      <c r="A1201" t="s">
        <v>1895</v>
      </c>
      <c r="B1201" t="s">
        <v>1896</v>
      </c>
    </row>
    <row r="1202" spans="1:2">
      <c r="A1202" t="s">
        <v>1897</v>
      </c>
      <c r="B1202" t="s">
        <v>1898</v>
      </c>
    </row>
    <row r="1203" spans="1:2">
      <c r="A1203" t="s">
        <v>1899</v>
      </c>
      <c r="B1203" t="s">
        <v>1900</v>
      </c>
    </row>
    <row r="1204" spans="1:2">
      <c r="A1204" t="s">
        <v>1901</v>
      </c>
      <c r="B1204" t="s">
        <v>1902</v>
      </c>
    </row>
    <row r="1205" spans="1:2">
      <c r="A1205" t="s">
        <v>1903</v>
      </c>
      <c r="B1205" t="s">
        <v>1904</v>
      </c>
    </row>
    <row r="1206" spans="1:2">
      <c r="A1206" t="s">
        <v>1905</v>
      </c>
      <c r="B1206" t="s">
        <v>1906</v>
      </c>
    </row>
    <row r="1207" spans="1:2">
      <c r="A1207" t="s">
        <v>1907</v>
      </c>
      <c r="B1207" t="s">
        <v>1908</v>
      </c>
    </row>
    <row r="1208" spans="1:2">
      <c r="A1208" t="s">
        <v>1909</v>
      </c>
      <c r="B1208" t="s">
        <v>1910</v>
      </c>
    </row>
    <row r="1209" spans="1:2">
      <c r="A1209">
        <v>50100101</v>
      </c>
      <c r="B1209" t="s">
        <v>1383</v>
      </c>
    </row>
    <row r="1210" spans="1:2">
      <c r="A1210">
        <v>50100201</v>
      </c>
      <c r="B1210" t="s">
        <v>1384</v>
      </c>
    </row>
    <row r="1211" spans="1:2">
      <c r="A1211">
        <v>50199901</v>
      </c>
      <c r="B1211" t="s">
        <v>1385</v>
      </c>
    </row>
    <row r="1212" spans="1:2">
      <c r="A1212">
        <v>50500301</v>
      </c>
      <c r="B1212" t="s">
        <v>1386</v>
      </c>
    </row>
    <row r="1213" spans="1:2">
      <c r="A1213">
        <v>50500302</v>
      </c>
      <c r="B1213" t="s">
        <v>1387</v>
      </c>
    </row>
    <row r="1214" spans="1:2">
      <c r="A1214">
        <v>50500303</v>
      </c>
      <c r="B1214" t="s">
        <v>1388</v>
      </c>
    </row>
    <row r="1215" spans="1:2">
      <c r="A1215">
        <v>50500304</v>
      </c>
      <c r="B1215" t="s">
        <v>1389</v>
      </c>
    </row>
    <row r="1216" spans="1:2">
      <c r="A1216">
        <v>50500305</v>
      </c>
      <c r="B1216" t="s">
        <v>1390</v>
      </c>
    </row>
    <row r="1217" spans="1:2">
      <c r="A1217">
        <v>50500306</v>
      </c>
      <c r="B1217" t="s">
        <v>1391</v>
      </c>
    </row>
    <row r="1218" spans="1:2">
      <c r="A1218">
        <v>50500307</v>
      </c>
      <c r="B1218" t="s">
        <v>1390</v>
      </c>
    </row>
    <row r="1219" spans="1:2">
      <c r="A1219">
        <v>50500308</v>
      </c>
      <c r="B1219" t="s">
        <v>1392</v>
      </c>
    </row>
    <row r="1220" spans="1:2">
      <c r="A1220">
        <v>50500309</v>
      </c>
      <c r="B1220" t="s">
        <v>1393</v>
      </c>
    </row>
    <row r="1221" spans="1:2">
      <c r="A1221">
        <v>50500401</v>
      </c>
      <c r="B1221" t="s">
        <v>1402</v>
      </c>
    </row>
    <row r="1222" spans="1:2">
      <c r="A1222">
        <v>50500402</v>
      </c>
      <c r="B1222" t="s">
        <v>1403</v>
      </c>
    </row>
    <row r="1223" spans="1:2">
      <c r="A1223">
        <v>50500403</v>
      </c>
      <c r="B1223" t="s">
        <v>1404</v>
      </c>
    </row>
    <row r="1224" spans="1:2">
      <c r="A1224">
        <v>50500404</v>
      </c>
      <c r="B1224" t="s">
        <v>1405</v>
      </c>
    </row>
    <row r="1225" spans="1:2">
      <c r="A1225">
        <v>50500405</v>
      </c>
      <c r="B1225" t="s">
        <v>1406</v>
      </c>
    </row>
    <row r="1226" spans="1:2">
      <c r="A1226">
        <v>50500406</v>
      </c>
      <c r="B1226" t="s">
        <v>1407</v>
      </c>
    </row>
    <row r="1227" spans="1:2">
      <c r="A1227">
        <v>50500407</v>
      </c>
      <c r="B1227" t="s">
        <v>1408</v>
      </c>
    </row>
    <row r="1228" spans="1:2">
      <c r="A1228">
        <v>50500408</v>
      </c>
      <c r="B1228" t="s">
        <v>1409</v>
      </c>
    </row>
    <row r="1229" spans="1:2">
      <c r="A1229">
        <v>50500409</v>
      </c>
      <c r="B1229" t="s">
        <v>1410</v>
      </c>
    </row>
    <row r="1230" spans="1:2">
      <c r="A1230">
        <v>50599901</v>
      </c>
      <c r="B1230" t="s">
        <v>1419</v>
      </c>
    </row>
    <row r="1231" spans="1:2">
      <c r="A1231">
        <v>50599902</v>
      </c>
      <c r="B1231" t="s">
        <v>1420</v>
      </c>
    </row>
    <row r="1232" spans="1:2">
      <c r="A1232">
        <v>50599903</v>
      </c>
      <c r="B1232" t="s">
        <v>1421</v>
      </c>
    </row>
    <row r="1233" spans="1:2">
      <c r="A1233">
        <v>50599904</v>
      </c>
      <c r="B1233" t="s">
        <v>1422</v>
      </c>
    </row>
    <row r="1234" spans="1:2">
      <c r="A1234">
        <v>50599905</v>
      </c>
      <c r="B1234" t="s">
        <v>1423</v>
      </c>
    </row>
    <row r="1235" spans="1:2">
      <c r="A1235">
        <v>50599906</v>
      </c>
      <c r="B1235" t="s">
        <v>1424</v>
      </c>
    </row>
    <row r="1236" spans="1:2">
      <c r="A1236">
        <v>50599907</v>
      </c>
      <c r="B1236" t="s">
        <v>1425</v>
      </c>
    </row>
    <row r="1237" spans="1:2">
      <c r="A1237">
        <v>50599908</v>
      </c>
      <c r="B1237" t="s">
        <v>1426</v>
      </c>
    </row>
    <row r="1238" spans="1:2">
      <c r="A1238">
        <v>50599909</v>
      </c>
      <c r="B1238" t="s">
        <v>1427</v>
      </c>
    </row>
    <row r="1239" spans="1:2">
      <c r="A1239">
        <v>50599910</v>
      </c>
      <c r="B1239" t="s">
        <v>1428</v>
      </c>
    </row>
    <row r="1240" spans="1:2">
      <c r="A1240">
        <v>50599911</v>
      </c>
      <c r="B1240" t="s">
        <v>1429</v>
      </c>
    </row>
    <row r="1241" spans="1:2">
      <c r="A1241">
        <v>50599912</v>
      </c>
      <c r="B1241" t="s">
        <v>1430</v>
      </c>
    </row>
    <row r="1242" spans="1:2">
      <c r="A1242">
        <v>50599913</v>
      </c>
      <c r="B1242" t="s">
        <v>1431</v>
      </c>
    </row>
    <row r="1243" spans="1:2">
      <c r="A1243">
        <v>50599914</v>
      </c>
      <c r="B1243" t="s">
        <v>1432</v>
      </c>
    </row>
    <row r="1244" spans="1:2">
      <c r="A1244">
        <v>50599915</v>
      </c>
      <c r="B1244" t="s">
        <v>1433</v>
      </c>
    </row>
    <row r="1245" spans="1:2">
      <c r="A1245">
        <v>50599916</v>
      </c>
      <c r="B1245" t="s">
        <v>1434</v>
      </c>
    </row>
    <row r="1246" spans="1:2">
      <c r="A1246">
        <v>50599917</v>
      </c>
      <c r="B1246" t="s">
        <v>1435</v>
      </c>
    </row>
    <row r="1247" spans="1:2">
      <c r="A1247">
        <v>50599918</v>
      </c>
      <c r="B1247" t="s">
        <v>1436</v>
      </c>
    </row>
    <row r="1248" spans="1:2">
      <c r="A1248">
        <v>50599919</v>
      </c>
      <c r="B1248" t="s">
        <v>1437</v>
      </c>
    </row>
    <row r="1249" spans="1:2">
      <c r="A1249">
        <v>50599920</v>
      </c>
      <c r="B1249" t="s">
        <v>1438</v>
      </c>
    </row>
    <row r="1250" spans="1:2">
      <c r="A1250">
        <v>50599921</v>
      </c>
      <c r="B1250" t="s">
        <v>1439</v>
      </c>
    </row>
    <row r="1251" spans="1:2">
      <c r="A1251">
        <v>50599922</v>
      </c>
      <c r="B1251" t="s">
        <v>1440</v>
      </c>
    </row>
    <row r="1252" spans="1:2">
      <c r="A1252">
        <v>50599923</v>
      </c>
      <c r="B1252" t="s">
        <v>1441</v>
      </c>
    </row>
    <row r="1253" spans="1:2">
      <c r="A1253">
        <v>50599924</v>
      </c>
      <c r="B1253" t="s">
        <v>1442</v>
      </c>
    </row>
    <row r="1254" spans="1:2">
      <c r="A1254">
        <v>50599925</v>
      </c>
      <c r="B1254" t="s">
        <v>1443</v>
      </c>
    </row>
    <row r="1255" spans="1:2">
      <c r="A1255">
        <v>50599926</v>
      </c>
      <c r="B1255" t="s">
        <v>1444</v>
      </c>
    </row>
    <row r="1256" spans="1:2">
      <c r="A1256">
        <v>50599927</v>
      </c>
      <c r="B1256" t="s">
        <v>1445</v>
      </c>
    </row>
    <row r="1257" spans="1:2">
      <c r="A1257">
        <v>50500310</v>
      </c>
      <c r="B1257" t="s">
        <v>1394</v>
      </c>
    </row>
    <row r="1258" spans="1:2">
      <c r="A1258">
        <v>50500311</v>
      </c>
      <c r="B1258" t="s">
        <v>1395</v>
      </c>
    </row>
    <row r="1259" spans="1:2">
      <c r="A1259">
        <v>50500312</v>
      </c>
      <c r="B1259" t="s">
        <v>1396</v>
      </c>
    </row>
    <row r="1260" spans="1:2">
      <c r="A1260">
        <v>50500313</v>
      </c>
      <c r="B1260" t="s">
        <v>1397</v>
      </c>
    </row>
    <row r="1261" spans="1:2">
      <c r="A1261">
        <v>50500314</v>
      </c>
      <c r="B1261" t="s">
        <v>1398</v>
      </c>
    </row>
    <row r="1262" spans="1:2">
      <c r="A1262">
        <v>50500315</v>
      </c>
      <c r="B1262" t="s">
        <v>1399</v>
      </c>
    </row>
    <row r="1263" spans="1:2">
      <c r="A1263">
        <v>50500316</v>
      </c>
      <c r="B1263" t="s">
        <v>1400</v>
      </c>
    </row>
    <row r="1264" spans="1:2">
      <c r="A1264">
        <v>50500317</v>
      </c>
      <c r="B1264" t="s">
        <v>1401</v>
      </c>
    </row>
    <row r="1265" spans="1:2">
      <c r="A1265">
        <v>50500410</v>
      </c>
      <c r="B1265" t="s">
        <v>1411</v>
      </c>
    </row>
    <row r="1266" spans="1:2">
      <c r="A1266">
        <v>50500411</v>
      </c>
      <c r="B1266" t="s">
        <v>1412</v>
      </c>
    </row>
    <row r="1267" spans="1:2">
      <c r="A1267">
        <v>50500412</v>
      </c>
      <c r="B1267" t="s">
        <v>1413</v>
      </c>
    </row>
    <row r="1268" spans="1:2">
      <c r="A1268">
        <v>50500413</v>
      </c>
      <c r="B1268" t="s">
        <v>1414</v>
      </c>
    </row>
    <row r="1269" spans="1:2">
      <c r="A1269">
        <v>50500414</v>
      </c>
      <c r="B1269" t="s">
        <v>1415</v>
      </c>
    </row>
    <row r="1270" spans="1:2">
      <c r="A1270">
        <v>50500415</v>
      </c>
      <c r="B1270" t="s">
        <v>1416</v>
      </c>
    </row>
    <row r="1271" spans="1:2">
      <c r="A1271">
        <v>50500416</v>
      </c>
      <c r="B1271" t="s">
        <v>1417</v>
      </c>
    </row>
    <row r="1272" spans="1:2">
      <c r="A1272">
        <v>50500417</v>
      </c>
      <c r="B1272" t="s">
        <v>1418</v>
      </c>
    </row>
    <row r="1273" spans="1:2">
      <c r="A1273">
        <v>50599928</v>
      </c>
      <c r="B1273" t="s">
        <v>1446</v>
      </c>
    </row>
    <row r="1274" spans="1:2">
      <c r="A1274">
        <v>50599929</v>
      </c>
      <c r="B1274" t="s">
        <v>1447</v>
      </c>
    </row>
    <row r="1275" spans="1:2">
      <c r="A1275">
        <v>50599930</v>
      </c>
      <c r="B1275" t="s">
        <v>1448</v>
      </c>
    </row>
    <row r="1276" spans="1:2">
      <c r="A1276">
        <v>50599931</v>
      </c>
      <c r="B1276" t="s">
        <v>1449</v>
      </c>
    </row>
    <row r="1277" spans="1:2">
      <c r="A1277">
        <v>50599932</v>
      </c>
      <c r="B1277" t="s">
        <v>1450</v>
      </c>
    </row>
    <row r="1278" spans="1:2">
      <c r="A1278">
        <v>50599933</v>
      </c>
      <c r="B1278" t="s">
        <v>1451</v>
      </c>
    </row>
    <row r="1279" spans="1:2">
      <c r="A1279">
        <v>50599934</v>
      </c>
      <c r="B1279" t="s">
        <v>1452</v>
      </c>
    </row>
    <row r="1280" spans="1:2">
      <c r="A1280">
        <v>50599935</v>
      </c>
      <c r="B1280" t="s">
        <v>1453</v>
      </c>
    </row>
    <row r="1281" spans="1:2">
      <c r="A1281">
        <v>51000501</v>
      </c>
      <c r="B1281" t="s">
        <v>1454</v>
      </c>
    </row>
    <row r="1282" spans="1:2">
      <c r="A1282">
        <v>51000502</v>
      </c>
      <c r="B1282" t="s">
        <v>1455</v>
      </c>
    </row>
    <row r="1283" spans="1:2">
      <c r="A1283">
        <v>51000503</v>
      </c>
      <c r="B1283" t="s">
        <v>1456</v>
      </c>
    </row>
    <row r="1284" spans="1:2">
      <c r="A1284">
        <v>51000504</v>
      </c>
      <c r="B1284" t="s">
        <v>1457</v>
      </c>
    </row>
    <row r="1285" spans="1:2">
      <c r="A1285">
        <v>51000505</v>
      </c>
      <c r="B1285" t="s">
        <v>1458</v>
      </c>
    </row>
    <row r="1286" spans="1:2">
      <c r="A1286">
        <v>51000506</v>
      </c>
      <c r="B1286" t="s">
        <v>1459</v>
      </c>
    </row>
    <row r="1287" spans="1:2">
      <c r="A1287">
        <v>51000507</v>
      </c>
      <c r="B1287" t="s">
        <v>1460</v>
      </c>
    </row>
    <row r="1288" spans="1:2">
      <c r="A1288">
        <v>51000508</v>
      </c>
      <c r="B1288" t="s">
        <v>1461</v>
      </c>
    </row>
    <row r="1289" spans="1:2">
      <c r="A1289">
        <v>51000509</v>
      </c>
      <c r="B1289" t="s">
        <v>1462</v>
      </c>
    </row>
    <row r="1290" spans="1:2">
      <c r="A1290">
        <v>51000510</v>
      </c>
      <c r="B1290" t="s">
        <v>1463</v>
      </c>
    </row>
    <row r="1291" spans="1:2">
      <c r="A1291">
        <v>51000511</v>
      </c>
      <c r="B1291" t="s">
        <v>1464</v>
      </c>
    </row>
    <row r="1292" spans="1:2">
      <c r="A1292">
        <v>51000512</v>
      </c>
      <c r="B1292" t="s">
        <v>1465</v>
      </c>
    </row>
    <row r="1293" spans="1:2">
      <c r="A1293">
        <v>51000513</v>
      </c>
      <c r="B1293" t="s">
        <v>1466</v>
      </c>
    </row>
    <row r="1294" spans="1:2">
      <c r="A1294">
        <v>51000514</v>
      </c>
      <c r="B1294" t="s">
        <v>1467</v>
      </c>
    </row>
    <row r="1295" spans="1:2">
      <c r="A1295">
        <v>51000515</v>
      </c>
      <c r="B1295" t="s">
        <v>1468</v>
      </c>
    </row>
    <row r="1296" spans="1:2">
      <c r="A1296">
        <v>51000516</v>
      </c>
      <c r="B1296" t="s">
        <v>1469</v>
      </c>
    </row>
    <row r="1297" spans="1:2">
      <c r="A1297">
        <v>51000517</v>
      </c>
      <c r="B1297" t="s">
        <v>1470</v>
      </c>
    </row>
    <row r="1298" spans="1:2">
      <c r="A1298">
        <v>51000518</v>
      </c>
      <c r="B1298" t="s">
        <v>1471</v>
      </c>
    </row>
    <row r="1299" spans="1:2">
      <c r="A1299">
        <v>51000519</v>
      </c>
      <c r="B1299" t="s">
        <v>1472</v>
      </c>
    </row>
    <row r="1300" spans="1:2">
      <c r="A1300">
        <v>51000520</v>
      </c>
      <c r="B1300" t="s">
        <v>1473</v>
      </c>
    </row>
    <row r="1301" spans="1:2">
      <c r="A1301">
        <v>51000521</v>
      </c>
      <c r="B1301" t="s">
        <v>1474</v>
      </c>
    </row>
    <row r="1302" spans="1:2">
      <c r="A1302">
        <v>51000522</v>
      </c>
      <c r="B1302" t="s">
        <v>1475</v>
      </c>
    </row>
    <row r="1303" spans="1:2">
      <c r="A1303">
        <v>51000523</v>
      </c>
      <c r="B1303" t="s">
        <v>1476</v>
      </c>
    </row>
    <row r="1304" spans="1:2">
      <c r="A1304">
        <v>51000524</v>
      </c>
      <c r="B1304" t="s">
        <v>1477</v>
      </c>
    </row>
    <row r="1305" spans="1:2">
      <c r="A1305">
        <v>51000525</v>
      </c>
      <c r="B1305" t="s">
        <v>1478</v>
      </c>
    </row>
    <row r="1306" spans="1:2">
      <c r="A1306">
        <v>51000526</v>
      </c>
      <c r="B1306" t="s">
        <v>1479</v>
      </c>
    </row>
    <row r="1307" spans="1:2">
      <c r="A1307">
        <v>51000527</v>
      </c>
      <c r="B1307" t="s">
        <v>1480</v>
      </c>
    </row>
    <row r="1308" spans="1:2">
      <c r="A1308">
        <v>51000528</v>
      </c>
      <c r="B1308" t="s">
        <v>1481</v>
      </c>
    </row>
    <row r="1309" spans="1:2">
      <c r="A1309">
        <v>51000529</v>
      </c>
      <c r="B1309" t="s">
        <v>1482</v>
      </c>
    </row>
    <row r="1310" spans="1:2">
      <c r="A1310">
        <v>51000530</v>
      </c>
      <c r="B1310" t="s">
        <v>1483</v>
      </c>
    </row>
    <row r="1311" spans="1:2">
      <c r="A1311">
        <v>51000531</v>
      </c>
      <c r="B1311" t="s">
        <v>1484</v>
      </c>
    </row>
    <row r="1312" spans="1:2">
      <c r="A1312">
        <v>51000532</v>
      </c>
      <c r="B1312" t="s">
        <v>1485</v>
      </c>
    </row>
    <row r="1313" spans="1:2">
      <c r="A1313">
        <v>52000601</v>
      </c>
      <c r="B1313" t="s">
        <v>1486</v>
      </c>
    </row>
    <row r="1314" spans="1:2">
      <c r="A1314">
        <v>52000602</v>
      </c>
      <c r="B1314" t="s">
        <v>1487</v>
      </c>
    </row>
    <row r="1315" spans="1:2">
      <c r="A1315">
        <v>52000603</v>
      </c>
      <c r="B1315" t="s">
        <v>1488</v>
      </c>
    </row>
    <row r="1316" spans="1:2">
      <c r="A1316">
        <v>52000604</v>
      </c>
      <c r="B1316" t="s">
        <v>1489</v>
      </c>
    </row>
    <row r="1317" spans="1:2">
      <c r="A1317">
        <v>52000605</v>
      </c>
      <c r="B1317" t="s">
        <v>1490</v>
      </c>
    </row>
    <row r="1318" spans="1:2">
      <c r="A1318">
        <v>52000606</v>
      </c>
      <c r="B1318" t="s">
        <v>1491</v>
      </c>
    </row>
    <row r="1319" spans="1:2">
      <c r="A1319">
        <v>52000607</v>
      </c>
      <c r="B1319" t="s">
        <v>1492</v>
      </c>
    </row>
    <row r="1320" spans="1:2">
      <c r="A1320">
        <v>52000608</v>
      </c>
      <c r="B1320" t="s">
        <v>1493</v>
      </c>
    </row>
    <row r="1321" spans="1:2">
      <c r="A1321">
        <v>52000609</v>
      </c>
      <c r="B1321" t="s">
        <v>1494</v>
      </c>
    </row>
    <row r="1322" spans="1:2">
      <c r="A1322">
        <v>52000610</v>
      </c>
      <c r="B1322" t="s">
        <v>1495</v>
      </c>
    </row>
    <row r="1323" spans="1:2">
      <c r="A1323">
        <v>52000611</v>
      </c>
      <c r="B1323" t="s">
        <v>1496</v>
      </c>
    </row>
    <row r="1324" spans="1:2">
      <c r="A1324">
        <v>52000612</v>
      </c>
      <c r="B1324" t="s">
        <v>1497</v>
      </c>
    </row>
    <row r="1325" spans="1:2">
      <c r="A1325">
        <v>52000613</v>
      </c>
      <c r="B1325" t="s">
        <v>1498</v>
      </c>
    </row>
    <row r="1326" spans="1:2">
      <c r="A1326">
        <v>52000614</v>
      </c>
      <c r="B1326" t="s">
        <v>1499</v>
      </c>
    </row>
    <row r="1327" spans="1:2">
      <c r="A1327">
        <v>52000615</v>
      </c>
      <c r="B1327" t="s">
        <v>1500</v>
      </c>
    </row>
    <row r="1328" spans="1:2">
      <c r="A1328">
        <v>52000616</v>
      </c>
      <c r="B1328" t="s">
        <v>1501</v>
      </c>
    </row>
    <row r="1329" spans="1:2">
      <c r="A1329">
        <v>52000617</v>
      </c>
      <c r="B1329" t="s">
        <v>1502</v>
      </c>
    </row>
    <row r="1330" spans="1:2">
      <c r="A1330">
        <v>52500701</v>
      </c>
      <c r="B1330" t="s">
        <v>1503</v>
      </c>
    </row>
    <row r="1331" spans="1:2">
      <c r="A1331">
        <v>52500702</v>
      </c>
      <c r="B1331" t="s">
        <v>1504</v>
      </c>
    </row>
    <row r="1332" spans="1:2">
      <c r="A1332">
        <v>52500703</v>
      </c>
      <c r="B1332" t="s">
        <v>1505</v>
      </c>
    </row>
    <row r="1333" spans="1:2">
      <c r="A1333">
        <v>52500704</v>
      </c>
      <c r="B1333" t="s">
        <v>1506</v>
      </c>
    </row>
    <row r="1334" spans="1:2">
      <c r="A1334">
        <v>52500705</v>
      </c>
      <c r="B1334" t="s">
        <v>1507</v>
      </c>
    </row>
    <row r="1335" spans="1:2">
      <c r="A1335">
        <v>52500706</v>
      </c>
      <c r="B1335" t="s">
        <v>1508</v>
      </c>
    </row>
    <row r="1336" spans="1:2">
      <c r="A1336">
        <v>52500707</v>
      </c>
      <c r="B1336" t="s">
        <v>1509</v>
      </c>
    </row>
    <row r="1337" spans="1:2">
      <c r="A1337">
        <v>52500708</v>
      </c>
      <c r="B1337" t="s">
        <v>1510</v>
      </c>
    </row>
    <row r="1338" spans="1:2">
      <c r="A1338">
        <v>52500709</v>
      </c>
      <c r="B1338" t="s">
        <v>1511</v>
      </c>
    </row>
    <row r="1339" spans="1:2">
      <c r="A1339">
        <v>52500710</v>
      </c>
      <c r="B1339" t="s">
        <v>1504</v>
      </c>
    </row>
    <row r="1340" spans="1:2">
      <c r="A1340">
        <v>52500711</v>
      </c>
      <c r="B1340" t="s">
        <v>1512</v>
      </c>
    </row>
    <row r="1341" spans="1:2">
      <c r="A1341">
        <v>52500712</v>
      </c>
      <c r="B1341" t="s">
        <v>1513</v>
      </c>
    </row>
    <row r="1342" spans="1:2">
      <c r="A1342">
        <v>52500713</v>
      </c>
      <c r="B1342" t="s">
        <v>1505</v>
      </c>
    </row>
    <row r="1343" spans="1:2">
      <c r="A1343">
        <v>52500714</v>
      </c>
      <c r="B1343" t="s">
        <v>1506</v>
      </c>
    </row>
    <row r="1344" spans="1:2">
      <c r="A1344">
        <v>52500715</v>
      </c>
      <c r="B1344" t="s">
        <v>1507</v>
      </c>
    </row>
    <row r="1345" spans="1:2">
      <c r="A1345">
        <v>52500716</v>
      </c>
      <c r="B1345" t="s">
        <v>1508</v>
      </c>
    </row>
    <row r="1346" spans="1:2">
      <c r="A1346">
        <v>52500801</v>
      </c>
      <c r="B1346" t="s">
        <v>1514</v>
      </c>
    </row>
    <row r="1347" spans="1:2">
      <c r="A1347">
        <v>52500802</v>
      </c>
      <c r="B1347" t="s">
        <v>1515</v>
      </c>
    </row>
    <row r="1348" spans="1:2">
      <c r="A1348">
        <v>52500803</v>
      </c>
      <c r="B1348" t="s">
        <v>1516</v>
      </c>
    </row>
    <row r="1349" spans="1:2">
      <c r="A1349">
        <v>52500804</v>
      </c>
      <c r="B1349" t="s">
        <v>1517</v>
      </c>
    </row>
    <row r="1350" spans="1:2">
      <c r="A1350">
        <v>52500805</v>
      </c>
      <c r="B1350" t="s">
        <v>1518</v>
      </c>
    </row>
    <row r="1351" spans="1:2">
      <c r="A1351">
        <v>52500806</v>
      </c>
      <c r="B1351" t="s">
        <v>1519</v>
      </c>
    </row>
    <row r="1352" spans="1:2">
      <c r="A1352">
        <v>53000901</v>
      </c>
      <c r="B1352" t="s">
        <v>1520</v>
      </c>
    </row>
    <row r="1353" spans="1:2">
      <c r="A1353">
        <v>53000902</v>
      </c>
      <c r="B1353" t="s">
        <v>1521</v>
      </c>
    </row>
    <row r="1354" spans="1:2">
      <c r="A1354">
        <v>53000903</v>
      </c>
      <c r="B1354" t="s">
        <v>1522</v>
      </c>
    </row>
    <row r="1355" spans="1:2">
      <c r="A1355">
        <v>53000904</v>
      </c>
      <c r="B1355" t="s">
        <v>1523</v>
      </c>
    </row>
    <row r="1356" spans="1:2">
      <c r="A1356">
        <v>53000905</v>
      </c>
      <c r="B1356" t="s">
        <v>1524</v>
      </c>
    </row>
    <row r="1357" spans="1:2">
      <c r="A1357">
        <v>53000906</v>
      </c>
      <c r="B1357" t="s">
        <v>1525</v>
      </c>
    </row>
    <row r="1358" spans="1:2">
      <c r="A1358">
        <v>59901001</v>
      </c>
      <c r="B1358" t="s">
        <v>1526</v>
      </c>
    </row>
    <row r="1359" spans="1:2">
      <c r="A1359" t="s">
        <v>1911</v>
      </c>
      <c r="B1359" t="s">
        <v>1912</v>
      </c>
    </row>
    <row r="1360" spans="1:2">
      <c r="A1360" t="s">
        <v>1913</v>
      </c>
      <c r="B1360" t="s">
        <v>1914</v>
      </c>
    </row>
    <row r="1361" spans="1:2">
      <c r="A1361" t="s">
        <v>1915</v>
      </c>
      <c r="B1361" t="s">
        <v>1916</v>
      </c>
    </row>
    <row r="1362" spans="1:2">
      <c r="A1362" t="s">
        <v>1917</v>
      </c>
      <c r="B1362" t="s">
        <v>1918</v>
      </c>
    </row>
    <row r="1363" spans="1:2">
      <c r="A1363" t="s">
        <v>1919</v>
      </c>
      <c r="B1363" t="s">
        <v>1920</v>
      </c>
    </row>
    <row r="1364" spans="1:2">
      <c r="A1364" t="s">
        <v>1921</v>
      </c>
      <c r="B1364" t="s">
        <v>1922</v>
      </c>
    </row>
    <row r="1365" spans="1:2">
      <c r="A1365" t="s">
        <v>1923</v>
      </c>
      <c r="B1365" t="s">
        <v>1924</v>
      </c>
    </row>
    <row r="1366" spans="1:2">
      <c r="A1366" t="s">
        <v>1925</v>
      </c>
      <c r="B1366" t="s">
        <v>1926</v>
      </c>
    </row>
    <row r="1367" spans="1:2">
      <c r="A1367" t="s">
        <v>1927</v>
      </c>
      <c r="B1367" t="s">
        <v>1928</v>
      </c>
    </row>
    <row r="1368" spans="1:2">
      <c r="A1368" t="s">
        <v>1929</v>
      </c>
      <c r="B1368" t="s">
        <v>1930</v>
      </c>
    </row>
    <row r="1369" spans="1:2">
      <c r="A1369" t="s">
        <v>1931</v>
      </c>
      <c r="B1369" t="s">
        <v>1932</v>
      </c>
    </row>
    <row r="1370" spans="1:2">
      <c r="A1370" t="s">
        <v>1933</v>
      </c>
      <c r="B1370" t="s">
        <v>1934</v>
      </c>
    </row>
    <row r="1371" spans="1:2">
      <c r="A1371" t="s">
        <v>1935</v>
      </c>
      <c r="B1371" t="s">
        <v>1936</v>
      </c>
    </row>
    <row r="1372" spans="1:2">
      <c r="A1372" t="s">
        <v>1937</v>
      </c>
      <c r="B1372" t="s">
        <v>1938</v>
      </c>
    </row>
    <row r="1373" spans="1:2">
      <c r="A1373" t="s">
        <v>1939</v>
      </c>
      <c r="B1373" t="s">
        <v>1940</v>
      </c>
    </row>
    <row r="1374" spans="1:2">
      <c r="A1374" t="s">
        <v>1941</v>
      </c>
      <c r="B1374" t="s">
        <v>1942</v>
      </c>
    </row>
    <row r="1375" spans="1:2">
      <c r="A1375" t="s">
        <v>1943</v>
      </c>
      <c r="B1375" t="s">
        <v>1944</v>
      </c>
    </row>
    <row r="1376" spans="1:2">
      <c r="A1376" t="s">
        <v>1945</v>
      </c>
      <c r="B1376" t="s">
        <v>1946</v>
      </c>
    </row>
    <row r="1377" spans="1:2">
      <c r="A1377">
        <v>60000001</v>
      </c>
      <c r="B1377" t="s">
        <v>1527</v>
      </c>
    </row>
    <row r="1378" spans="1:2">
      <c r="A1378">
        <v>70100101</v>
      </c>
      <c r="B1378" t="s">
        <v>1528</v>
      </c>
    </row>
    <row r="1379" spans="1:2">
      <c r="A1379">
        <v>70100201</v>
      </c>
      <c r="B1379" t="s">
        <v>1529</v>
      </c>
    </row>
    <row r="1380" spans="1:2">
      <c r="A1380">
        <v>70100301</v>
      </c>
      <c r="B1380" t="s">
        <v>1530</v>
      </c>
    </row>
    <row r="1381" spans="1:2">
      <c r="A1381">
        <v>70500101</v>
      </c>
      <c r="B1381" t="s">
        <v>1531</v>
      </c>
    </row>
    <row r="1382" spans="1:2">
      <c r="A1382">
        <v>70500201</v>
      </c>
      <c r="B1382" t="s">
        <v>1532</v>
      </c>
    </row>
    <row r="1383" spans="1:2">
      <c r="A1383">
        <v>70500301</v>
      </c>
      <c r="B1383" t="s">
        <v>2350</v>
      </c>
    </row>
    <row r="1384" spans="1:2">
      <c r="A1384">
        <v>71000101</v>
      </c>
      <c r="B1384" t="s">
        <v>1533</v>
      </c>
    </row>
    <row r="1385" spans="1:2">
      <c r="A1385">
        <v>71000201</v>
      </c>
      <c r="B1385" t="s">
        <v>1534</v>
      </c>
    </row>
    <row r="1386" spans="1:2">
      <c r="A1386">
        <v>71000301</v>
      </c>
      <c r="B1386" t="s">
        <v>1535</v>
      </c>
    </row>
    <row r="1387" spans="1:2">
      <c r="A1387">
        <v>71500101</v>
      </c>
      <c r="B1387" t="s">
        <v>1536</v>
      </c>
    </row>
    <row r="1388" spans="1:2">
      <c r="A1388">
        <v>71500201</v>
      </c>
      <c r="B1388" t="s">
        <v>1537</v>
      </c>
    </row>
    <row r="1389" spans="1:2">
      <c r="A1389">
        <v>71500301</v>
      </c>
      <c r="B1389" t="s">
        <v>1538</v>
      </c>
    </row>
    <row r="1390" spans="1:2">
      <c r="A1390">
        <v>72000101</v>
      </c>
      <c r="B1390" t="s">
        <v>1539</v>
      </c>
    </row>
    <row r="1391" spans="1:2">
      <c r="A1391">
        <v>72000201</v>
      </c>
      <c r="B1391" t="s">
        <v>1540</v>
      </c>
    </row>
    <row r="1392" spans="1:2">
      <c r="A1392">
        <v>72000301</v>
      </c>
      <c r="B1392" t="s">
        <v>1541</v>
      </c>
    </row>
    <row r="1393" spans="1:2">
      <c r="A1393">
        <v>72500101</v>
      </c>
      <c r="B1393" t="s">
        <v>2351</v>
      </c>
    </row>
    <row r="1394" spans="1:2">
      <c r="A1394">
        <v>72500201</v>
      </c>
      <c r="B1394" t="s">
        <v>2352</v>
      </c>
    </row>
    <row r="1395" spans="1:2">
      <c r="A1395">
        <v>72500301</v>
      </c>
      <c r="B1395" t="s">
        <v>1542</v>
      </c>
    </row>
    <row r="1396" spans="1:2">
      <c r="A1396">
        <v>90100401</v>
      </c>
      <c r="B1396" t="s">
        <v>1543</v>
      </c>
    </row>
    <row r="1397" spans="1:2">
      <c r="A1397">
        <v>90100501</v>
      </c>
      <c r="B1397" t="s">
        <v>1544</v>
      </c>
    </row>
    <row r="1398" spans="1:2">
      <c r="A1398">
        <v>90100601</v>
      </c>
      <c r="B1398" t="s">
        <v>1545</v>
      </c>
    </row>
    <row r="1399" spans="1:2">
      <c r="A1399">
        <v>90199901</v>
      </c>
      <c r="B1399" t="s">
        <v>1546</v>
      </c>
    </row>
    <row r="1400" spans="1:2">
      <c r="A1400">
        <v>90501001</v>
      </c>
      <c r="B1400" t="s">
        <v>1547</v>
      </c>
    </row>
    <row r="1401" spans="1:2">
      <c r="A1401">
        <v>90501002</v>
      </c>
      <c r="B1401" t="s">
        <v>1548</v>
      </c>
    </row>
    <row r="1402" spans="1:2">
      <c r="A1402">
        <v>90501003</v>
      </c>
      <c r="B1402" t="s">
        <v>1549</v>
      </c>
    </row>
    <row r="1403" spans="1:2">
      <c r="A1403">
        <v>90501004</v>
      </c>
      <c r="B1403" t="s">
        <v>1550</v>
      </c>
    </row>
    <row r="1404" spans="1:2">
      <c r="A1404">
        <v>90501005</v>
      </c>
      <c r="B1404" t="s">
        <v>1551</v>
      </c>
    </row>
    <row r="1405" spans="1:2">
      <c r="A1405">
        <v>90501006</v>
      </c>
      <c r="B1405" t="s">
        <v>1552</v>
      </c>
    </row>
    <row r="1406" spans="1:2">
      <c r="A1406">
        <v>90501007</v>
      </c>
      <c r="B1406" t="s">
        <v>1553</v>
      </c>
    </row>
    <row r="1407" spans="1:2">
      <c r="A1407">
        <v>90501008</v>
      </c>
      <c r="B1407" t="s">
        <v>1554</v>
      </c>
    </row>
    <row r="1408" spans="1:2">
      <c r="A1408">
        <v>90501009</v>
      </c>
      <c r="B1408" t="s">
        <v>1555</v>
      </c>
    </row>
    <row r="1409" spans="1:2">
      <c r="A1409">
        <v>90501101</v>
      </c>
      <c r="B1409" t="s">
        <v>1572</v>
      </c>
    </row>
    <row r="1410" spans="1:2">
      <c r="A1410">
        <v>90501102</v>
      </c>
      <c r="B1410" t="s">
        <v>1573</v>
      </c>
    </row>
    <row r="1411" spans="1:2">
      <c r="A1411">
        <v>90501103</v>
      </c>
      <c r="B1411" t="s">
        <v>1574</v>
      </c>
    </row>
    <row r="1412" spans="1:2">
      <c r="A1412">
        <v>90501104</v>
      </c>
      <c r="B1412" t="s">
        <v>1575</v>
      </c>
    </row>
    <row r="1413" spans="1:2">
      <c r="A1413">
        <v>90501105</v>
      </c>
      <c r="B1413" t="s">
        <v>1576</v>
      </c>
    </row>
    <row r="1414" spans="1:2">
      <c r="A1414">
        <v>90501106</v>
      </c>
      <c r="B1414" t="s">
        <v>1577</v>
      </c>
    </row>
    <row r="1415" spans="1:2">
      <c r="A1415">
        <v>90501107</v>
      </c>
      <c r="B1415" t="s">
        <v>1578</v>
      </c>
    </row>
    <row r="1416" spans="1:2">
      <c r="A1416">
        <v>90501108</v>
      </c>
      <c r="B1416" t="s">
        <v>1579</v>
      </c>
    </row>
    <row r="1417" spans="1:2">
      <c r="A1417">
        <v>90501109</v>
      </c>
      <c r="B1417" t="s">
        <v>1580</v>
      </c>
    </row>
    <row r="1418" spans="1:2">
      <c r="A1418">
        <v>90501201</v>
      </c>
      <c r="B1418" t="s">
        <v>1582</v>
      </c>
    </row>
    <row r="1419" spans="1:2">
      <c r="A1419">
        <v>90501202</v>
      </c>
      <c r="B1419" t="s">
        <v>1583</v>
      </c>
    </row>
    <row r="1420" spans="1:2">
      <c r="A1420">
        <v>90501203</v>
      </c>
      <c r="B1420" t="s">
        <v>1584</v>
      </c>
    </row>
    <row r="1421" spans="1:2">
      <c r="A1421">
        <v>90501204</v>
      </c>
      <c r="B1421" t="s">
        <v>1585</v>
      </c>
    </row>
    <row r="1422" spans="1:2">
      <c r="A1422">
        <v>90501205</v>
      </c>
      <c r="B1422" t="s">
        <v>1586</v>
      </c>
    </row>
    <row r="1423" spans="1:2">
      <c r="A1423">
        <v>90501206</v>
      </c>
      <c r="B1423" t="s">
        <v>1587</v>
      </c>
    </row>
    <row r="1424" spans="1:2">
      <c r="A1424">
        <v>90501207</v>
      </c>
      <c r="B1424" t="s">
        <v>1588</v>
      </c>
    </row>
    <row r="1425" spans="1:2">
      <c r="A1425">
        <v>90501208</v>
      </c>
      <c r="B1425" t="s">
        <v>1589</v>
      </c>
    </row>
    <row r="1426" spans="1:2">
      <c r="A1426">
        <v>90501209</v>
      </c>
      <c r="B1426" t="s">
        <v>1590</v>
      </c>
    </row>
    <row r="1427" spans="1:2">
      <c r="A1427">
        <v>90501301</v>
      </c>
      <c r="B1427" t="s">
        <v>1591</v>
      </c>
    </row>
    <row r="1428" spans="1:2">
      <c r="A1428">
        <v>90501302</v>
      </c>
      <c r="B1428" t="s">
        <v>1592</v>
      </c>
    </row>
    <row r="1429" spans="1:2">
      <c r="A1429">
        <v>90501303</v>
      </c>
      <c r="B1429" t="s">
        <v>1593</v>
      </c>
    </row>
    <row r="1430" spans="1:2">
      <c r="A1430">
        <v>90501304</v>
      </c>
      <c r="B1430" t="s">
        <v>1594</v>
      </c>
    </row>
    <row r="1431" spans="1:2">
      <c r="A1431">
        <v>90501305</v>
      </c>
      <c r="B1431" t="s">
        <v>1595</v>
      </c>
    </row>
    <row r="1432" spans="1:2">
      <c r="A1432">
        <v>90501306</v>
      </c>
      <c r="B1432" t="s">
        <v>1596</v>
      </c>
    </row>
    <row r="1433" spans="1:2">
      <c r="A1433">
        <v>90501307</v>
      </c>
      <c r="B1433" t="s">
        <v>1597</v>
      </c>
    </row>
    <row r="1434" spans="1:2">
      <c r="A1434">
        <v>90501308</v>
      </c>
      <c r="B1434" t="s">
        <v>1598</v>
      </c>
    </row>
    <row r="1435" spans="1:2">
      <c r="A1435">
        <v>90501309</v>
      </c>
      <c r="B1435" t="s">
        <v>1599</v>
      </c>
    </row>
    <row r="1436" spans="1:2">
      <c r="A1436">
        <v>90599901</v>
      </c>
      <c r="B1436" t="s">
        <v>1601</v>
      </c>
    </row>
    <row r="1437" spans="1:2">
      <c r="A1437">
        <v>90599902</v>
      </c>
      <c r="B1437" t="s">
        <v>1602</v>
      </c>
    </row>
    <row r="1438" spans="1:2">
      <c r="A1438">
        <v>90599903</v>
      </c>
      <c r="B1438" t="s">
        <v>1603</v>
      </c>
    </row>
    <row r="1439" spans="1:2">
      <c r="A1439">
        <v>90599904</v>
      </c>
      <c r="B1439" t="s">
        <v>1604</v>
      </c>
    </row>
    <row r="1440" spans="1:2">
      <c r="A1440">
        <v>90599905</v>
      </c>
      <c r="B1440" t="s">
        <v>1605</v>
      </c>
    </row>
    <row r="1441" spans="1:2">
      <c r="A1441">
        <v>90599906</v>
      </c>
      <c r="B1441" t="s">
        <v>1606</v>
      </c>
    </row>
    <row r="1442" spans="1:2">
      <c r="A1442">
        <v>90599907</v>
      </c>
      <c r="B1442" t="s">
        <v>1607</v>
      </c>
    </row>
    <row r="1443" spans="1:2">
      <c r="A1443">
        <v>90599908</v>
      </c>
      <c r="B1443" t="s">
        <v>1608</v>
      </c>
    </row>
    <row r="1444" spans="1:2">
      <c r="A1444">
        <v>90599909</v>
      </c>
      <c r="B1444" t="s">
        <v>1609</v>
      </c>
    </row>
    <row r="1445" spans="1:2">
      <c r="A1445">
        <v>90599910</v>
      </c>
      <c r="B1445" t="s">
        <v>1610</v>
      </c>
    </row>
    <row r="1446" spans="1:2">
      <c r="A1446">
        <v>90599911</v>
      </c>
      <c r="B1446" t="s">
        <v>1611</v>
      </c>
    </row>
    <row r="1447" spans="1:2">
      <c r="A1447">
        <v>90599912</v>
      </c>
      <c r="B1447" t="s">
        <v>1612</v>
      </c>
    </row>
    <row r="1448" spans="1:2">
      <c r="A1448">
        <v>90599913</v>
      </c>
      <c r="B1448" t="s">
        <v>1613</v>
      </c>
    </row>
    <row r="1449" spans="1:2">
      <c r="A1449">
        <v>90599914</v>
      </c>
      <c r="B1449" t="s">
        <v>1614</v>
      </c>
    </row>
    <row r="1450" spans="1:2">
      <c r="A1450">
        <v>90599915</v>
      </c>
      <c r="B1450" t="s">
        <v>1615</v>
      </c>
    </row>
    <row r="1451" spans="1:2">
      <c r="A1451">
        <v>90599916</v>
      </c>
      <c r="B1451" t="s">
        <v>1616</v>
      </c>
    </row>
    <row r="1452" spans="1:2">
      <c r="A1452">
        <v>90599917</v>
      </c>
      <c r="B1452" t="s">
        <v>1617</v>
      </c>
    </row>
    <row r="1453" spans="1:2">
      <c r="A1453">
        <v>90599918</v>
      </c>
      <c r="B1453" t="s">
        <v>1618</v>
      </c>
    </row>
    <row r="1454" spans="1:2">
      <c r="A1454">
        <v>90599919</v>
      </c>
      <c r="B1454" t="s">
        <v>1619</v>
      </c>
    </row>
    <row r="1455" spans="1:2">
      <c r="A1455">
        <v>90599920</v>
      </c>
      <c r="B1455" t="s">
        <v>1620</v>
      </c>
    </row>
    <row r="1456" spans="1:2">
      <c r="A1456">
        <v>90599921</v>
      </c>
      <c r="B1456" t="s">
        <v>1621</v>
      </c>
    </row>
    <row r="1457" spans="1:2">
      <c r="A1457">
        <v>90599922</v>
      </c>
      <c r="B1457" t="s">
        <v>1622</v>
      </c>
    </row>
    <row r="1458" spans="1:2">
      <c r="A1458">
        <v>90599923</v>
      </c>
      <c r="B1458" t="s">
        <v>1623</v>
      </c>
    </row>
    <row r="1459" spans="1:2">
      <c r="A1459">
        <v>90599924</v>
      </c>
      <c r="B1459" t="s">
        <v>1624</v>
      </c>
    </row>
    <row r="1460" spans="1:2">
      <c r="A1460">
        <v>90599925</v>
      </c>
      <c r="B1460" t="s">
        <v>1625</v>
      </c>
    </row>
    <row r="1461" spans="1:2">
      <c r="A1461">
        <v>90599926</v>
      </c>
      <c r="B1461" t="s">
        <v>1626</v>
      </c>
    </row>
    <row r="1462" spans="1:2">
      <c r="A1462">
        <v>90599927</v>
      </c>
      <c r="B1462" t="s">
        <v>1627</v>
      </c>
    </row>
    <row r="1463" spans="1:2">
      <c r="A1463">
        <v>90501010</v>
      </c>
      <c r="B1463" t="s">
        <v>1556</v>
      </c>
    </row>
    <row r="1464" spans="1:2">
      <c r="A1464">
        <v>90501011</v>
      </c>
      <c r="B1464" t="s">
        <v>1557</v>
      </c>
    </row>
    <row r="1465" spans="1:2">
      <c r="A1465">
        <v>90501012</v>
      </c>
      <c r="B1465" t="s">
        <v>1558</v>
      </c>
    </row>
    <row r="1466" spans="1:2">
      <c r="A1466">
        <v>90501013</v>
      </c>
      <c r="B1466" t="s">
        <v>1559</v>
      </c>
    </row>
    <row r="1467" spans="1:2">
      <c r="A1467">
        <v>90501014</v>
      </c>
      <c r="B1467" t="s">
        <v>1560</v>
      </c>
    </row>
    <row r="1468" spans="1:2">
      <c r="A1468">
        <v>90501015</v>
      </c>
      <c r="B1468" t="s">
        <v>1561</v>
      </c>
    </row>
    <row r="1469" spans="1:2">
      <c r="A1469">
        <v>90501016</v>
      </c>
      <c r="B1469" t="s">
        <v>1562</v>
      </c>
    </row>
    <row r="1470" spans="1:2">
      <c r="A1470">
        <v>90501017</v>
      </c>
      <c r="B1470" t="s">
        <v>1563</v>
      </c>
    </row>
    <row r="1471" spans="1:2">
      <c r="A1471">
        <v>90501018</v>
      </c>
      <c r="B1471" t="s">
        <v>1564</v>
      </c>
    </row>
    <row r="1472" spans="1:2">
      <c r="A1472">
        <v>90501019</v>
      </c>
      <c r="B1472" t="s">
        <v>1565</v>
      </c>
    </row>
    <row r="1473" spans="1:2">
      <c r="A1473">
        <v>90501020</v>
      </c>
      <c r="B1473" t="s">
        <v>1566</v>
      </c>
    </row>
    <row r="1474" spans="1:2">
      <c r="A1474">
        <v>90501021</v>
      </c>
      <c r="B1474" t="s">
        <v>1567</v>
      </c>
    </row>
    <row r="1475" spans="1:2">
      <c r="A1475">
        <v>90501022</v>
      </c>
      <c r="B1475" t="s">
        <v>1568</v>
      </c>
    </row>
    <row r="1476" spans="1:2">
      <c r="A1476">
        <v>90501023</v>
      </c>
      <c r="B1476" t="s">
        <v>1569</v>
      </c>
    </row>
    <row r="1477" spans="1:2">
      <c r="A1477">
        <v>90501024</v>
      </c>
      <c r="B1477" t="s">
        <v>1570</v>
      </c>
    </row>
    <row r="1478" spans="1:2">
      <c r="A1478">
        <v>90501025</v>
      </c>
      <c r="B1478" t="s">
        <v>1571</v>
      </c>
    </row>
    <row r="1479" spans="1:2">
      <c r="A1479">
        <v>90501110</v>
      </c>
      <c r="B1479" t="s">
        <v>1556</v>
      </c>
    </row>
    <row r="1480" spans="1:2">
      <c r="A1480">
        <v>90501111</v>
      </c>
      <c r="B1480" t="s">
        <v>1557</v>
      </c>
    </row>
    <row r="1481" spans="1:2">
      <c r="A1481">
        <v>90501112</v>
      </c>
      <c r="B1481" t="s">
        <v>1558</v>
      </c>
    </row>
    <row r="1482" spans="1:2">
      <c r="A1482">
        <v>90501113</v>
      </c>
      <c r="B1482" t="s">
        <v>1581</v>
      </c>
    </row>
    <row r="1483" spans="1:2">
      <c r="A1483">
        <v>90501114</v>
      </c>
      <c r="B1483" t="s">
        <v>1560</v>
      </c>
    </row>
    <row r="1484" spans="1:2">
      <c r="A1484">
        <v>90501115</v>
      </c>
      <c r="B1484" t="s">
        <v>1561</v>
      </c>
    </row>
    <row r="1485" spans="1:2">
      <c r="A1485">
        <v>90501116</v>
      </c>
      <c r="B1485" t="s">
        <v>1562</v>
      </c>
    </row>
    <row r="1486" spans="1:2">
      <c r="A1486">
        <v>90501117</v>
      </c>
      <c r="B1486" t="s">
        <v>1563</v>
      </c>
    </row>
    <row r="1487" spans="1:2">
      <c r="A1487">
        <v>90501118</v>
      </c>
      <c r="B1487" t="s">
        <v>1564</v>
      </c>
    </row>
    <row r="1488" spans="1:2">
      <c r="A1488">
        <v>90501119</v>
      </c>
      <c r="B1488" t="s">
        <v>1565</v>
      </c>
    </row>
    <row r="1489" spans="1:2">
      <c r="A1489">
        <v>90501120</v>
      </c>
      <c r="B1489" t="s">
        <v>1566</v>
      </c>
    </row>
    <row r="1490" spans="1:2">
      <c r="A1490">
        <v>90501121</v>
      </c>
      <c r="B1490" t="s">
        <v>1567</v>
      </c>
    </row>
    <row r="1491" spans="1:2">
      <c r="A1491">
        <v>90501122</v>
      </c>
      <c r="B1491" t="s">
        <v>1568</v>
      </c>
    </row>
    <row r="1492" spans="1:2">
      <c r="A1492">
        <v>90501123</v>
      </c>
      <c r="B1492" t="s">
        <v>1569</v>
      </c>
    </row>
    <row r="1493" spans="1:2">
      <c r="A1493">
        <v>90501124</v>
      </c>
      <c r="B1493" t="s">
        <v>1570</v>
      </c>
    </row>
    <row r="1494" spans="1:2">
      <c r="A1494">
        <v>90501125</v>
      </c>
      <c r="B1494" t="s">
        <v>1571</v>
      </c>
    </row>
    <row r="1495" spans="1:2">
      <c r="A1495">
        <v>90501210</v>
      </c>
      <c r="B1495" t="s">
        <v>1556</v>
      </c>
    </row>
    <row r="1496" spans="1:2">
      <c r="A1496">
        <v>90501211</v>
      </c>
      <c r="B1496" t="s">
        <v>1557</v>
      </c>
    </row>
    <row r="1497" spans="1:2">
      <c r="A1497">
        <v>90501212</v>
      </c>
      <c r="B1497" t="s">
        <v>1558</v>
      </c>
    </row>
    <row r="1498" spans="1:2">
      <c r="A1498">
        <v>90501213</v>
      </c>
      <c r="B1498" t="s">
        <v>1581</v>
      </c>
    </row>
    <row r="1499" spans="1:2">
      <c r="A1499">
        <v>90501214</v>
      </c>
      <c r="B1499" t="s">
        <v>1560</v>
      </c>
    </row>
    <row r="1500" spans="1:2">
      <c r="A1500">
        <v>90501215</v>
      </c>
      <c r="B1500" t="s">
        <v>1561</v>
      </c>
    </row>
    <row r="1501" spans="1:2">
      <c r="A1501">
        <v>90501216</v>
      </c>
      <c r="B1501" t="s">
        <v>1562</v>
      </c>
    </row>
    <row r="1502" spans="1:2">
      <c r="A1502">
        <v>90501217</v>
      </c>
      <c r="B1502" t="s">
        <v>1563</v>
      </c>
    </row>
    <row r="1503" spans="1:2">
      <c r="A1503">
        <v>90501218</v>
      </c>
      <c r="B1503" t="s">
        <v>1564</v>
      </c>
    </row>
    <row r="1504" spans="1:2">
      <c r="A1504">
        <v>90501219</v>
      </c>
      <c r="B1504" t="s">
        <v>1565</v>
      </c>
    </row>
    <row r="1505" spans="1:2">
      <c r="A1505">
        <v>90501220</v>
      </c>
      <c r="B1505" t="s">
        <v>1566</v>
      </c>
    </row>
    <row r="1506" spans="1:2">
      <c r="A1506">
        <v>90501221</v>
      </c>
      <c r="B1506" t="s">
        <v>1567</v>
      </c>
    </row>
    <row r="1507" spans="1:2">
      <c r="A1507">
        <v>90501222</v>
      </c>
      <c r="B1507" t="s">
        <v>1568</v>
      </c>
    </row>
    <row r="1508" spans="1:2">
      <c r="A1508">
        <v>90501223</v>
      </c>
      <c r="B1508" t="s">
        <v>1569</v>
      </c>
    </row>
    <row r="1509" spans="1:2">
      <c r="A1509">
        <v>90501224</v>
      </c>
      <c r="B1509" t="s">
        <v>1570</v>
      </c>
    </row>
    <row r="1510" spans="1:2">
      <c r="A1510">
        <v>90501225</v>
      </c>
      <c r="B1510" t="s">
        <v>1571</v>
      </c>
    </row>
    <row r="1511" spans="1:2">
      <c r="A1511">
        <v>90501310</v>
      </c>
      <c r="B1511" t="s">
        <v>1556</v>
      </c>
    </row>
    <row r="1512" spans="1:2">
      <c r="A1512">
        <v>90501311</v>
      </c>
      <c r="B1512" t="s">
        <v>1557</v>
      </c>
    </row>
    <row r="1513" spans="1:2">
      <c r="A1513">
        <v>90501312</v>
      </c>
      <c r="B1513" t="s">
        <v>1558</v>
      </c>
    </row>
    <row r="1514" spans="1:2">
      <c r="A1514">
        <v>90501313</v>
      </c>
      <c r="B1514" t="s">
        <v>1600</v>
      </c>
    </row>
    <row r="1515" spans="1:2">
      <c r="A1515">
        <v>90501314</v>
      </c>
      <c r="B1515" t="s">
        <v>1560</v>
      </c>
    </row>
    <row r="1516" spans="1:2">
      <c r="A1516">
        <v>90501315</v>
      </c>
      <c r="B1516" t="s">
        <v>1561</v>
      </c>
    </row>
    <row r="1517" spans="1:2">
      <c r="A1517">
        <v>90501316</v>
      </c>
      <c r="B1517" t="s">
        <v>1562</v>
      </c>
    </row>
    <row r="1518" spans="1:2">
      <c r="A1518">
        <v>90501317</v>
      </c>
      <c r="B1518" t="s">
        <v>1563</v>
      </c>
    </row>
    <row r="1519" spans="1:2">
      <c r="A1519">
        <v>90501318</v>
      </c>
      <c r="B1519" t="s">
        <v>1564</v>
      </c>
    </row>
    <row r="1520" spans="1:2">
      <c r="A1520">
        <v>90501319</v>
      </c>
      <c r="B1520" t="s">
        <v>1565</v>
      </c>
    </row>
    <row r="1521" spans="1:2">
      <c r="A1521">
        <v>90501320</v>
      </c>
      <c r="B1521" t="s">
        <v>1566</v>
      </c>
    </row>
    <row r="1522" spans="1:2">
      <c r="A1522">
        <v>90501321</v>
      </c>
      <c r="B1522" t="s">
        <v>1567</v>
      </c>
    </row>
    <row r="1523" spans="1:2">
      <c r="A1523">
        <v>90501322</v>
      </c>
      <c r="B1523" t="s">
        <v>1568</v>
      </c>
    </row>
    <row r="1524" spans="1:2">
      <c r="A1524">
        <v>90501323</v>
      </c>
      <c r="B1524" t="s">
        <v>1569</v>
      </c>
    </row>
    <row r="1525" spans="1:2">
      <c r="A1525">
        <v>90501324</v>
      </c>
      <c r="B1525" t="s">
        <v>1570</v>
      </c>
    </row>
    <row r="1526" spans="1:2">
      <c r="A1526">
        <v>90501325</v>
      </c>
      <c r="B1526" t="s">
        <v>1571</v>
      </c>
    </row>
    <row r="1527" spans="1:2">
      <c r="A1527">
        <v>90599928</v>
      </c>
      <c r="B1527" t="s">
        <v>2353</v>
      </c>
    </row>
    <row r="1528" spans="1:2">
      <c r="A1528">
        <v>90599929</v>
      </c>
      <c r="B1528" t="s">
        <v>1628</v>
      </c>
    </row>
    <row r="1529" spans="1:2">
      <c r="A1529">
        <v>90599930</v>
      </c>
      <c r="B1529" t="s">
        <v>1629</v>
      </c>
    </row>
    <row r="1530" spans="1:2">
      <c r="A1530">
        <v>90599931</v>
      </c>
      <c r="B1530" t="s">
        <v>1630</v>
      </c>
    </row>
    <row r="1531" spans="1:2">
      <c r="A1531">
        <v>90599932</v>
      </c>
      <c r="B1531" t="s">
        <v>1631</v>
      </c>
    </row>
    <row r="1532" spans="1:2">
      <c r="A1532">
        <v>90599933</v>
      </c>
      <c r="B1532" t="s">
        <v>1632</v>
      </c>
    </row>
    <row r="1533" spans="1:2">
      <c r="A1533">
        <v>90599934</v>
      </c>
      <c r="B1533" t="s">
        <v>1633</v>
      </c>
    </row>
    <row r="1534" spans="1:2">
      <c r="A1534">
        <v>90599935</v>
      </c>
      <c r="B1534" t="s">
        <v>1634</v>
      </c>
    </row>
    <row r="1535" spans="1:2">
      <c r="A1535">
        <v>90599936</v>
      </c>
      <c r="B1535" t="s">
        <v>1635</v>
      </c>
    </row>
    <row r="1536" spans="1:2">
      <c r="A1536">
        <v>90599937</v>
      </c>
      <c r="B1536" t="s">
        <v>1636</v>
      </c>
    </row>
    <row r="1537" spans="1:2">
      <c r="A1537">
        <v>90599938</v>
      </c>
      <c r="B1537" t="s">
        <v>1637</v>
      </c>
    </row>
    <row r="1538" spans="1:2">
      <c r="A1538">
        <v>90599939</v>
      </c>
      <c r="B1538" t="s">
        <v>1638</v>
      </c>
    </row>
    <row r="1539" spans="1:2">
      <c r="A1539">
        <v>90599940</v>
      </c>
      <c r="B1539" t="s">
        <v>1639</v>
      </c>
    </row>
    <row r="1540" spans="1:2">
      <c r="A1540">
        <v>90599941</v>
      </c>
      <c r="B1540" t="s">
        <v>1640</v>
      </c>
    </row>
    <row r="1541" spans="1:2">
      <c r="A1541">
        <v>90599942</v>
      </c>
      <c r="B1541" t="s">
        <v>1641</v>
      </c>
    </row>
    <row r="1542" spans="1:2">
      <c r="A1542">
        <v>90599943</v>
      </c>
      <c r="B1542" t="s">
        <v>1642</v>
      </c>
    </row>
    <row r="1543" spans="1:2">
      <c r="A1543">
        <v>91002501</v>
      </c>
      <c r="B1543" t="s">
        <v>1643</v>
      </c>
    </row>
    <row r="1544" spans="1:2">
      <c r="A1544">
        <v>91002601</v>
      </c>
      <c r="B1544" t="s">
        <v>1644</v>
      </c>
    </row>
    <row r="1545" spans="1:2">
      <c r="A1545">
        <v>91002701</v>
      </c>
      <c r="B1545" t="s">
        <v>1645</v>
      </c>
    </row>
    <row r="1546" spans="1:2">
      <c r="A1546">
        <v>91002801</v>
      </c>
      <c r="B1546" t="s">
        <v>1646</v>
      </c>
    </row>
    <row r="1547" spans="1:2">
      <c r="A1547">
        <v>91002901</v>
      </c>
      <c r="B1547" t="s">
        <v>1647</v>
      </c>
    </row>
    <row r="1548" spans="1:2">
      <c r="A1548">
        <v>91004101</v>
      </c>
      <c r="B1548" t="s">
        <v>1648</v>
      </c>
    </row>
    <row r="1549" spans="1:2">
      <c r="A1549">
        <v>91004601</v>
      </c>
      <c r="B1549" t="s">
        <v>1649</v>
      </c>
    </row>
    <row r="1550" spans="1:2">
      <c r="A1550">
        <v>91004803</v>
      </c>
      <c r="B1550" t="s">
        <v>1650</v>
      </c>
    </row>
    <row r="1551" spans="1:2">
      <c r="A1551">
        <v>91004804</v>
      </c>
      <c r="B1551" t="s">
        <v>1651</v>
      </c>
    </row>
    <row r="1552" spans="1:2">
      <c r="A1552">
        <v>92005601</v>
      </c>
      <c r="B1552" t="s">
        <v>1652</v>
      </c>
    </row>
    <row r="1553" spans="1:2">
      <c r="A1553">
        <v>92099901</v>
      </c>
      <c r="B1553" t="s">
        <v>1653</v>
      </c>
    </row>
    <row r="1554" spans="1:2">
      <c r="A1554">
        <v>92099902</v>
      </c>
      <c r="B1554" t="s">
        <v>1654</v>
      </c>
    </row>
    <row r="1555" spans="1:2">
      <c r="A1555">
        <v>92505901</v>
      </c>
      <c r="B1555" t="s">
        <v>1655</v>
      </c>
    </row>
    <row r="1556" spans="1:2">
      <c r="A1556">
        <v>92505902</v>
      </c>
      <c r="B1556" t="s">
        <v>1656</v>
      </c>
    </row>
    <row r="1557" spans="1:2">
      <c r="A1557">
        <v>92505903</v>
      </c>
      <c r="B1557" t="s">
        <v>1657</v>
      </c>
    </row>
    <row r="1558" spans="1:2">
      <c r="A1558">
        <v>92505904</v>
      </c>
      <c r="B1558" t="s">
        <v>1658</v>
      </c>
    </row>
    <row r="1559" spans="1:2">
      <c r="A1559">
        <v>92505905</v>
      </c>
      <c r="B1559" t="s">
        <v>1659</v>
      </c>
    </row>
    <row r="1560" spans="1:2">
      <c r="A1560">
        <v>92505906</v>
      </c>
      <c r="B1560" t="s">
        <v>1660</v>
      </c>
    </row>
    <row r="1561" spans="1:2">
      <c r="A1561">
        <v>92505907</v>
      </c>
      <c r="B1561" t="s">
        <v>1661</v>
      </c>
    </row>
    <row r="1562" spans="1:2">
      <c r="A1562">
        <v>92505908</v>
      </c>
      <c r="B1562" t="s">
        <v>1662</v>
      </c>
    </row>
    <row r="1563" spans="1:2">
      <c r="A1563">
        <v>92505909</v>
      </c>
      <c r="B1563" t="s">
        <v>1663</v>
      </c>
    </row>
    <row r="1564" spans="1:2">
      <c r="A1564">
        <v>92505910</v>
      </c>
      <c r="B1564" t="s">
        <v>1664</v>
      </c>
    </row>
    <row r="1565" spans="1:2">
      <c r="A1565">
        <v>92505911</v>
      </c>
      <c r="B1565" t="s">
        <v>1665</v>
      </c>
    </row>
    <row r="1566" spans="1:2">
      <c r="A1566">
        <v>92505912</v>
      </c>
      <c r="B1566" t="s">
        <v>1666</v>
      </c>
    </row>
    <row r="1567" spans="1:2">
      <c r="A1567">
        <v>92505913</v>
      </c>
      <c r="B1567" t="s">
        <v>1667</v>
      </c>
    </row>
    <row r="1568" spans="1:2">
      <c r="A1568">
        <v>92505914</v>
      </c>
      <c r="B1568" t="s">
        <v>1668</v>
      </c>
    </row>
    <row r="1569" spans="1:2">
      <c r="A1569">
        <v>92505915</v>
      </c>
      <c r="B1569" t="s">
        <v>1669</v>
      </c>
    </row>
    <row r="1570" spans="1:2">
      <c r="A1570">
        <v>92505916</v>
      </c>
      <c r="B1570" t="s">
        <v>1670</v>
      </c>
    </row>
    <row r="1571" spans="1:2">
      <c r="A1571">
        <v>92505917</v>
      </c>
      <c r="B1571" t="s">
        <v>1671</v>
      </c>
    </row>
    <row r="1572" spans="1:2">
      <c r="A1572">
        <v>92505918</v>
      </c>
      <c r="B1572" t="s">
        <v>1672</v>
      </c>
    </row>
    <row r="1573" spans="1:2">
      <c r="A1573">
        <v>92505919</v>
      </c>
      <c r="B1573" t="s">
        <v>1673</v>
      </c>
    </row>
    <row r="1574" spans="1:2">
      <c r="A1574">
        <v>92505920</v>
      </c>
      <c r="B1574" t="s">
        <v>1674</v>
      </c>
    </row>
    <row r="1575" spans="1:2">
      <c r="A1575">
        <v>92505921</v>
      </c>
      <c r="B1575" t="s">
        <v>1675</v>
      </c>
    </row>
    <row r="1576" spans="1:2">
      <c r="A1576">
        <v>92505922</v>
      </c>
      <c r="B1576" t="s">
        <v>1676</v>
      </c>
    </row>
    <row r="1577" spans="1:2">
      <c r="A1577">
        <v>92505923</v>
      </c>
      <c r="B1577" t="s">
        <v>1677</v>
      </c>
    </row>
    <row r="1578" spans="1:2">
      <c r="A1578">
        <v>92505924</v>
      </c>
      <c r="B1578" t="s">
        <v>1678</v>
      </c>
    </row>
    <row r="1579" spans="1:2">
      <c r="A1579">
        <v>92505925</v>
      </c>
      <c r="B1579" t="s">
        <v>1679</v>
      </c>
    </row>
    <row r="1580" spans="1:2">
      <c r="A1580">
        <v>92505926</v>
      </c>
      <c r="B1580" t="s">
        <v>1680</v>
      </c>
    </row>
    <row r="1581" spans="1:2">
      <c r="A1581">
        <v>92505927</v>
      </c>
      <c r="B1581" t="s">
        <v>1681</v>
      </c>
    </row>
    <row r="1582" spans="1:2">
      <c r="A1582">
        <v>92505928</v>
      </c>
      <c r="B1582" t="s">
        <v>1682</v>
      </c>
    </row>
    <row r="1583" spans="1:2">
      <c r="A1583">
        <v>92505929</v>
      </c>
      <c r="B1583" t="s">
        <v>1683</v>
      </c>
    </row>
    <row r="1584" spans="1:2">
      <c r="A1584">
        <v>92505930</v>
      </c>
      <c r="B1584" t="s">
        <v>1684</v>
      </c>
    </row>
    <row r="1585" spans="1:2">
      <c r="A1585">
        <v>92505931</v>
      </c>
      <c r="B1585" t="s">
        <v>1685</v>
      </c>
    </row>
    <row r="1586" spans="1:2">
      <c r="A1586">
        <v>92505932</v>
      </c>
      <c r="B1586" t="s">
        <v>1686</v>
      </c>
    </row>
    <row r="1587" spans="1:2">
      <c r="A1587">
        <v>92505933</v>
      </c>
      <c r="B1587" t="s">
        <v>1687</v>
      </c>
    </row>
    <row r="1588" spans="1:2">
      <c r="A1588">
        <v>92505934</v>
      </c>
      <c r="B1588" t="s">
        <v>1688</v>
      </c>
    </row>
    <row r="1589" spans="1:2">
      <c r="A1589">
        <v>92505935</v>
      </c>
      <c r="B1589" t="s">
        <v>1689</v>
      </c>
    </row>
    <row r="1590" spans="1:2">
      <c r="A1590">
        <v>92505936</v>
      </c>
      <c r="B1590" t="s">
        <v>1690</v>
      </c>
    </row>
    <row r="1591" spans="1:2">
      <c r="A1591">
        <v>92505937</v>
      </c>
      <c r="B1591" t="s">
        <v>1691</v>
      </c>
    </row>
    <row r="1592" spans="1:2">
      <c r="A1592">
        <v>92505938</v>
      </c>
      <c r="B1592" t="s">
        <v>1692</v>
      </c>
    </row>
    <row r="1593" spans="1:2">
      <c r="A1593">
        <v>92505939</v>
      </c>
      <c r="B1593" t="s">
        <v>1693</v>
      </c>
    </row>
    <row r="1594" spans="1:2">
      <c r="A1594">
        <v>92505940</v>
      </c>
      <c r="B1594" t="s">
        <v>1694</v>
      </c>
    </row>
    <row r="1595" spans="1:2">
      <c r="A1595">
        <v>92505941</v>
      </c>
      <c r="B1595" t="s">
        <v>1695</v>
      </c>
    </row>
    <row r="1596" spans="1:2">
      <c r="A1596">
        <v>92505942</v>
      </c>
      <c r="B1596" t="s">
        <v>1696</v>
      </c>
    </row>
    <row r="1597" spans="1:2">
      <c r="A1597">
        <v>92505943</v>
      </c>
      <c r="B1597" t="s">
        <v>1697</v>
      </c>
    </row>
    <row r="1598" spans="1:2">
      <c r="A1598">
        <v>92505944</v>
      </c>
      <c r="B1598" t="s">
        <v>1698</v>
      </c>
    </row>
    <row r="1599" spans="1:2">
      <c r="A1599">
        <v>92505945</v>
      </c>
      <c r="B1599" t="s">
        <v>1699</v>
      </c>
    </row>
    <row r="1600" spans="1:2">
      <c r="A1600">
        <v>92505946</v>
      </c>
      <c r="B1600" t="s">
        <v>1700</v>
      </c>
    </row>
    <row r="1601" spans="1:2">
      <c r="A1601">
        <v>92505947</v>
      </c>
      <c r="B1601" t="s">
        <v>1701</v>
      </c>
    </row>
    <row r="1602" spans="1:2">
      <c r="A1602">
        <v>92505948</v>
      </c>
      <c r="B1602" t="s">
        <v>1702</v>
      </c>
    </row>
    <row r="1603" spans="1:2">
      <c r="A1603">
        <v>92505949</v>
      </c>
      <c r="B1603" t="s">
        <v>1703</v>
      </c>
    </row>
    <row r="1604" spans="1:2">
      <c r="A1604">
        <v>92505950</v>
      </c>
      <c r="B1604" t="s">
        <v>1704</v>
      </c>
    </row>
    <row r="1605" spans="1:2">
      <c r="A1605">
        <v>92505951</v>
      </c>
      <c r="B1605" t="s">
        <v>1705</v>
      </c>
    </row>
    <row r="1606" spans="1:2">
      <c r="A1606">
        <v>92505952</v>
      </c>
      <c r="B1606" t="s">
        <v>1706</v>
      </c>
    </row>
    <row r="1607" spans="1:2">
      <c r="A1607">
        <v>92505953</v>
      </c>
      <c r="B1607" t="s">
        <v>1707</v>
      </c>
    </row>
    <row r="1608" spans="1:2">
      <c r="A1608">
        <v>92505954</v>
      </c>
      <c r="B1608" t="s">
        <v>1708</v>
      </c>
    </row>
    <row r="1609" spans="1:2">
      <c r="A1609">
        <v>92505955</v>
      </c>
      <c r="B1609" t="s">
        <v>1709</v>
      </c>
    </row>
    <row r="1610" spans="1:2">
      <c r="A1610">
        <v>92505956</v>
      </c>
      <c r="B1610" t="s">
        <v>1710</v>
      </c>
    </row>
    <row r="1611" spans="1:2">
      <c r="A1611">
        <v>92505957</v>
      </c>
      <c r="B1611" t="s">
        <v>1711</v>
      </c>
    </row>
    <row r="1612" spans="1:2">
      <c r="A1612">
        <v>92505958</v>
      </c>
      <c r="B1612" t="s">
        <v>1712</v>
      </c>
    </row>
    <row r="1613" spans="1:2">
      <c r="A1613">
        <v>92505959</v>
      </c>
      <c r="B1613" t="s">
        <v>1713</v>
      </c>
    </row>
    <row r="1614" spans="1:2">
      <c r="A1614">
        <v>92505960</v>
      </c>
      <c r="B1614" t="s">
        <v>1714</v>
      </c>
    </row>
    <row r="1615" spans="1:2">
      <c r="A1615">
        <v>92505961</v>
      </c>
      <c r="B1615" t="s">
        <v>1715</v>
      </c>
    </row>
    <row r="1616" spans="1:2">
      <c r="A1616">
        <v>92505962</v>
      </c>
      <c r="B1616" t="s">
        <v>1716</v>
      </c>
    </row>
    <row r="1617" spans="1:2">
      <c r="A1617">
        <v>92505963</v>
      </c>
      <c r="B1617" t="s">
        <v>1717</v>
      </c>
    </row>
    <row r="1618" spans="1:2">
      <c r="A1618">
        <v>92505964</v>
      </c>
      <c r="B1618" t="s">
        <v>1718</v>
      </c>
    </row>
    <row r="1619" spans="1:2">
      <c r="A1619">
        <v>92505965</v>
      </c>
      <c r="B1619" t="s">
        <v>1719</v>
      </c>
    </row>
    <row r="1620" spans="1:2">
      <c r="A1620">
        <v>92505966</v>
      </c>
      <c r="B1620" t="s">
        <v>1720</v>
      </c>
    </row>
    <row r="1621" spans="1:2">
      <c r="A1621">
        <v>92505967</v>
      </c>
      <c r="B1621" t="s">
        <v>1721</v>
      </c>
    </row>
    <row r="1622" spans="1:2">
      <c r="A1622">
        <v>92505968</v>
      </c>
      <c r="B1622" t="s">
        <v>1722</v>
      </c>
    </row>
    <row r="1623" spans="1:2">
      <c r="A1623">
        <v>92505969</v>
      </c>
      <c r="B1623" t="s">
        <v>1723</v>
      </c>
    </row>
    <row r="1624" spans="1:2">
      <c r="A1624">
        <v>92505970</v>
      </c>
      <c r="B1624" t="s">
        <v>1724</v>
      </c>
    </row>
    <row r="1625" spans="1:2">
      <c r="A1625">
        <v>92505971</v>
      </c>
      <c r="B1625" t="s">
        <v>1725</v>
      </c>
    </row>
    <row r="1626" spans="1:2">
      <c r="A1626">
        <v>92505972</v>
      </c>
      <c r="B1626" t="s">
        <v>1726</v>
      </c>
    </row>
    <row r="1627" spans="1:2">
      <c r="A1627">
        <v>92505973</v>
      </c>
      <c r="B1627" t="s">
        <v>1727</v>
      </c>
    </row>
    <row r="1628" spans="1:2">
      <c r="A1628">
        <v>92505974</v>
      </c>
      <c r="B1628" t="s">
        <v>1728</v>
      </c>
    </row>
    <row r="1629" spans="1:2">
      <c r="A1629">
        <v>92505975</v>
      </c>
      <c r="B1629" t="s">
        <v>1729</v>
      </c>
    </row>
    <row r="1630" spans="1:2">
      <c r="A1630">
        <v>92505976</v>
      </c>
      <c r="B1630" t="s">
        <v>1730</v>
      </c>
    </row>
    <row r="1631" spans="1:2">
      <c r="A1631">
        <v>92505977</v>
      </c>
      <c r="B1631" t="s">
        <v>1731</v>
      </c>
    </row>
    <row r="1632" spans="1:2">
      <c r="A1632">
        <v>92505978</v>
      </c>
      <c r="B1632" t="s">
        <v>1732</v>
      </c>
    </row>
    <row r="1633" spans="1:2">
      <c r="A1633">
        <v>92505979</v>
      </c>
      <c r="B1633" t="s">
        <v>1733</v>
      </c>
    </row>
    <row r="1634" spans="1:2">
      <c r="A1634">
        <v>92505980</v>
      </c>
      <c r="B1634" t="s">
        <v>1734</v>
      </c>
    </row>
    <row r="1635" spans="1:2">
      <c r="A1635">
        <v>92505981</v>
      </c>
      <c r="B1635" t="s">
        <v>1735</v>
      </c>
    </row>
    <row r="1636" spans="1:2">
      <c r="A1636">
        <v>92505982</v>
      </c>
      <c r="B1636" t="s">
        <v>1736</v>
      </c>
    </row>
    <row r="1637" spans="1:2">
      <c r="A1637">
        <v>92505983</v>
      </c>
      <c r="B1637" t="s">
        <v>1737</v>
      </c>
    </row>
    <row r="1638" spans="1:2">
      <c r="A1638">
        <v>92505984</v>
      </c>
      <c r="B1638" t="s">
        <v>1738</v>
      </c>
    </row>
    <row r="1639" spans="1:2">
      <c r="A1639">
        <v>92505985</v>
      </c>
      <c r="B1639" t="s">
        <v>1739</v>
      </c>
    </row>
    <row r="1640" spans="1:2">
      <c r="A1640">
        <v>92505986</v>
      </c>
      <c r="B1640" t="s">
        <v>1740</v>
      </c>
    </row>
    <row r="1641" spans="1:2">
      <c r="A1641">
        <v>92505987</v>
      </c>
      <c r="B1641" t="s">
        <v>1741</v>
      </c>
    </row>
    <row r="1642" spans="1:2">
      <c r="A1642">
        <v>92505988</v>
      </c>
      <c r="B1642" t="s">
        <v>1742</v>
      </c>
    </row>
    <row r="1643" spans="1:2">
      <c r="A1643">
        <v>92505989</v>
      </c>
      <c r="B1643" t="s">
        <v>1743</v>
      </c>
    </row>
    <row r="1644" spans="1:2">
      <c r="A1644">
        <v>92505990</v>
      </c>
      <c r="B1644" t="s">
        <v>1744</v>
      </c>
    </row>
    <row r="1645" spans="1:2">
      <c r="A1645">
        <v>92505991</v>
      </c>
      <c r="B1645" t="s">
        <v>1745</v>
      </c>
    </row>
    <row r="1646" spans="1:2">
      <c r="A1646">
        <v>92505992</v>
      </c>
      <c r="B1646" t="s">
        <v>2354</v>
      </c>
    </row>
    <row r="1647" spans="1:2">
      <c r="A1647">
        <v>92505993</v>
      </c>
      <c r="B1647" t="s">
        <v>2355</v>
      </c>
    </row>
    <row r="1648" spans="1:2">
      <c r="A1648">
        <v>92505994</v>
      </c>
      <c r="B1648" t="s">
        <v>2356</v>
      </c>
    </row>
    <row r="1649" spans="1:2">
      <c r="A1649">
        <v>92506001</v>
      </c>
      <c r="B1649" t="s">
        <v>1746</v>
      </c>
    </row>
    <row r="1650" spans="1:2">
      <c r="A1650">
        <v>92506002</v>
      </c>
      <c r="B1650" t="s">
        <v>1747</v>
      </c>
    </row>
    <row r="1651" spans="1:2">
      <c r="A1651">
        <v>92506003</v>
      </c>
      <c r="B1651" t="s">
        <v>1748</v>
      </c>
    </row>
    <row r="1652" spans="1:2">
      <c r="A1652">
        <v>92506004</v>
      </c>
      <c r="B1652" t="s">
        <v>1749</v>
      </c>
    </row>
    <row r="1653" spans="1:2">
      <c r="A1653">
        <v>92506005</v>
      </c>
      <c r="B1653" t="s">
        <v>1750</v>
      </c>
    </row>
    <row r="1654" spans="1:2">
      <c r="A1654">
        <v>92506006</v>
      </c>
      <c r="B1654" t="s">
        <v>1751</v>
      </c>
    </row>
    <row r="1655" spans="1:2">
      <c r="A1655">
        <v>92506007</v>
      </c>
      <c r="B1655" t="s">
        <v>1752</v>
      </c>
    </row>
    <row r="1656" spans="1:2">
      <c r="A1656">
        <v>92506008</v>
      </c>
      <c r="B1656" t="s">
        <v>1753</v>
      </c>
    </row>
    <row r="1657" spans="1:2">
      <c r="A1657">
        <v>92506009</v>
      </c>
      <c r="B1657" t="s">
        <v>1754</v>
      </c>
    </row>
    <row r="1658" spans="1:2">
      <c r="A1658">
        <v>92506010</v>
      </c>
      <c r="B1658" t="s">
        <v>1755</v>
      </c>
    </row>
    <row r="1659" spans="1:2">
      <c r="A1659">
        <v>92506011</v>
      </c>
      <c r="B1659" t="s">
        <v>1756</v>
      </c>
    </row>
    <row r="1660" spans="1:2">
      <c r="A1660">
        <v>92506012</v>
      </c>
      <c r="B1660" t="s">
        <v>1757</v>
      </c>
    </row>
    <row r="1661" spans="1:2">
      <c r="A1661">
        <v>92506013</v>
      </c>
      <c r="B1661" t="s">
        <v>1758</v>
      </c>
    </row>
    <row r="1662" spans="1:2">
      <c r="A1662">
        <v>92506014</v>
      </c>
      <c r="B1662" t="s">
        <v>1759</v>
      </c>
    </row>
    <row r="1663" spans="1:2">
      <c r="A1663">
        <v>93006101</v>
      </c>
      <c r="B1663" t="s">
        <v>1760</v>
      </c>
    </row>
    <row r="1664" spans="1:2">
      <c r="A1664">
        <v>93006102</v>
      </c>
      <c r="B1664" t="s">
        <v>1761</v>
      </c>
    </row>
    <row r="1665" spans="1:2">
      <c r="A1665">
        <v>93006103</v>
      </c>
      <c r="B1665" t="s">
        <v>1762</v>
      </c>
    </row>
    <row r="1666" spans="1:2">
      <c r="A1666">
        <v>93006104</v>
      </c>
      <c r="B1666" t="s">
        <v>1763</v>
      </c>
    </row>
    <row r="1667" spans="1:2">
      <c r="A1667">
        <v>93006105</v>
      </c>
      <c r="B1667" t="s">
        <v>1764</v>
      </c>
    </row>
    <row r="1668" spans="1:2">
      <c r="A1668">
        <v>93006106</v>
      </c>
      <c r="B1668" t="s">
        <v>1765</v>
      </c>
    </row>
    <row r="1669" spans="1:2">
      <c r="A1669">
        <v>99906201</v>
      </c>
      <c r="B1669" t="s">
        <v>1766</v>
      </c>
    </row>
    <row r="1670" spans="1:2">
      <c r="A1670" t="s">
        <v>1947</v>
      </c>
      <c r="B1670" t="s">
        <v>1948</v>
      </c>
    </row>
    <row r="1671" spans="1:2">
      <c r="A1671" t="s">
        <v>1949</v>
      </c>
      <c r="B1671" t="s">
        <v>2357</v>
      </c>
    </row>
    <row r="1672" spans="1:2">
      <c r="A1672" t="s">
        <v>1950</v>
      </c>
      <c r="B1672" t="s">
        <v>2358</v>
      </c>
    </row>
    <row r="1673" spans="1:2">
      <c r="A1673" t="s">
        <v>1951</v>
      </c>
      <c r="B1673" t="s">
        <v>2359</v>
      </c>
    </row>
    <row r="1674" spans="1:2">
      <c r="A1674" t="s">
        <v>1952</v>
      </c>
      <c r="B1674" t="s">
        <v>1953</v>
      </c>
    </row>
    <row r="1675" spans="1:2">
      <c r="A1675" t="s">
        <v>1954</v>
      </c>
      <c r="B1675" t="s">
        <v>1955</v>
      </c>
    </row>
    <row r="1676" spans="1:2">
      <c r="A1676" t="s">
        <v>1956</v>
      </c>
      <c r="B1676" t="s">
        <v>1957</v>
      </c>
    </row>
    <row r="1677" spans="1:2">
      <c r="A1677" t="s">
        <v>1958</v>
      </c>
      <c r="B1677" t="s">
        <v>1959</v>
      </c>
    </row>
    <row r="1678" spans="1:2">
      <c r="A1678" t="s">
        <v>1960</v>
      </c>
      <c r="B1678" t="s">
        <v>1961</v>
      </c>
    </row>
    <row r="1679" spans="1:2">
      <c r="A1679" t="s">
        <v>1962</v>
      </c>
      <c r="B1679" t="s">
        <v>1963</v>
      </c>
    </row>
    <row r="1680" spans="1:2">
      <c r="A1680" t="s">
        <v>1964</v>
      </c>
      <c r="B1680" t="s">
        <v>1965</v>
      </c>
    </row>
    <row r="1681" spans="1:2">
      <c r="A1681" t="s">
        <v>1966</v>
      </c>
      <c r="B1681" t="s">
        <v>1967</v>
      </c>
    </row>
    <row r="1682" spans="1:2">
      <c r="A1682" t="s">
        <v>1968</v>
      </c>
      <c r="B1682" t="s">
        <v>1969</v>
      </c>
    </row>
    <row r="1683" spans="1:2">
      <c r="A1683" t="s">
        <v>1970</v>
      </c>
      <c r="B1683" t="s">
        <v>1971</v>
      </c>
    </row>
    <row r="1684" spans="1:2">
      <c r="A1684" t="s">
        <v>1972</v>
      </c>
      <c r="B1684" t="s">
        <v>1973</v>
      </c>
    </row>
    <row r="1685" spans="1:2">
      <c r="A1685" t="s">
        <v>1974</v>
      </c>
      <c r="B1685" t="s">
        <v>1975</v>
      </c>
    </row>
    <row r="1686" spans="1:2">
      <c r="A1686" t="s">
        <v>1976</v>
      </c>
      <c r="B1686" t="s">
        <v>1977</v>
      </c>
    </row>
    <row r="1687" spans="1:2">
      <c r="A1687" t="s">
        <v>1978</v>
      </c>
      <c r="B1687" t="s">
        <v>1979</v>
      </c>
    </row>
  </sheetData>
  <phoneticPr fontId="8"/>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
  <sheetViews>
    <sheetView workbookViewId="0">
      <selection activeCell="K19" sqref="K19"/>
    </sheetView>
  </sheetViews>
  <sheetFormatPr baseColWidth="10" defaultColWidth="9" defaultRowHeight="14"/>
  <cols>
    <col min="1" max="16384" width="9" style="818"/>
  </cols>
  <sheetData/>
  <phoneticPr fontId="8"/>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
  <sheetViews>
    <sheetView workbookViewId="0">
      <selection activeCell="D8" sqref="D8"/>
    </sheetView>
  </sheetViews>
  <sheetFormatPr baseColWidth="10" defaultColWidth="9" defaultRowHeight="14"/>
  <cols>
    <col min="1" max="16384" width="9" style="818"/>
  </cols>
  <sheetData/>
  <phoneticPr fontId="8"/>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I136"/>
  <sheetViews>
    <sheetView view="pageBreakPreview" topLeftCell="A73" zoomScale="85" zoomScaleNormal="100" zoomScaleSheetLayoutView="85" workbookViewId="0">
      <selection activeCell="A81" sqref="A81:O107"/>
    </sheetView>
  </sheetViews>
  <sheetFormatPr baseColWidth="10" defaultColWidth="8.83203125" defaultRowHeight="14"/>
  <cols>
    <col min="1" max="1" width="7" customWidth="1"/>
    <col min="6" max="6" width="8" customWidth="1"/>
    <col min="9" max="9" width="9.5" customWidth="1"/>
    <col min="12" max="12" width="4.33203125" customWidth="1"/>
    <col min="13" max="13" width="14.6640625" customWidth="1"/>
    <col min="14" max="14" width="15.33203125" customWidth="1"/>
  </cols>
  <sheetData>
    <row r="1" spans="1:15">
      <c r="A1" s="30"/>
      <c r="B1" t="s">
        <v>119</v>
      </c>
      <c r="E1" s="30"/>
      <c r="F1" s="30"/>
      <c r="G1" s="30"/>
      <c r="H1" s="30"/>
      <c r="I1" s="30"/>
      <c r="J1" t="s">
        <v>257</v>
      </c>
    </row>
    <row r="2" spans="1:15">
      <c r="A2" s="30"/>
      <c r="C2" t="s">
        <v>118</v>
      </c>
      <c r="D2" s="123">
        <v>0</v>
      </c>
      <c r="E2" s="30"/>
      <c r="F2" s="35" t="s">
        <v>43</v>
      </c>
      <c r="G2" s="36"/>
      <c r="H2" s="88" t="str">
        <f>IF(E2="","",INT(E2*G2))</f>
        <v/>
      </c>
      <c r="I2" s="30"/>
      <c r="J2" t="s">
        <v>258</v>
      </c>
      <c r="K2" s="335" t="s">
        <v>259</v>
      </c>
      <c r="L2" s="130"/>
      <c r="M2" s="131"/>
      <c r="N2" s="130"/>
      <c r="O2" s="130"/>
    </row>
    <row r="3" spans="1:15">
      <c r="A3" s="30"/>
      <c r="B3" t="s">
        <v>102</v>
      </c>
      <c r="E3" s="38"/>
      <c r="F3" s="30"/>
      <c r="G3" s="30"/>
      <c r="H3" s="30"/>
      <c r="I3" s="30"/>
      <c r="J3" s="130"/>
      <c r="K3" s="132"/>
      <c r="L3" s="130"/>
      <c r="M3" s="130"/>
      <c r="N3" s="130"/>
      <c r="O3" s="130"/>
    </row>
    <row r="4" spans="1:15">
      <c r="A4" s="30"/>
      <c r="C4" t="s">
        <v>103</v>
      </c>
      <c r="D4" s="123">
        <v>3</v>
      </c>
      <c r="E4" s="30"/>
      <c r="F4" s="33" t="s">
        <v>44</v>
      </c>
      <c r="G4" s="33"/>
      <c r="H4" s="31" t="str">
        <f>+表紙!W5</f>
        <v>標準単価金額無2021.xls</v>
      </c>
      <c r="I4" s="30"/>
      <c r="J4" s="130"/>
      <c r="K4" s="133"/>
      <c r="L4" s="133"/>
      <c r="M4" s="131"/>
      <c r="N4" s="131"/>
      <c r="O4" s="130"/>
    </row>
    <row r="5" spans="1:15">
      <c r="A5" s="30"/>
      <c r="B5" t="s">
        <v>104</v>
      </c>
      <c r="D5" s="30"/>
      <c r="E5" s="30"/>
      <c r="F5" s="37" t="s">
        <v>45</v>
      </c>
      <c r="G5" s="33"/>
      <c r="H5" s="32" t="str">
        <f>+表紙!W6</f>
        <v>\\svfile92\k1_eizen$\建築グループ共有\０８）予算、資金計画、長期計画、積算関連\５．積算資料\標準単価\</v>
      </c>
      <c r="I5" s="30"/>
      <c r="J5" s="130"/>
      <c r="K5" s="133"/>
      <c r="L5" s="133"/>
      <c r="M5" s="131"/>
      <c r="N5" s="131"/>
      <c r="O5" s="130"/>
    </row>
    <row r="6" spans="1:15">
      <c r="A6" s="30"/>
      <c r="C6" t="s">
        <v>107</v>
      </c>
      <c r="D6" s="123">
        <v>3</v>
      </c>
      <c r="E6" s="30"/>
      <c r="F6" s="30"/>
      <c r="G6" s="30"/>
      <c r="H6" s="30"/>
      <c r="I6" s="30"/>
      <c r="J6" s="130"/>
      <c r="K6" s="133"/>
      <c r="L6" s="133"/>
      <c r="M6" s="131"/>
      <c r="N6" s="131"/>
      <c r="O6" s="130"/>
    </row>
    <row r="7" spans="1:15">
      <c r="A7" s="30"/>
      <c r="B7" t="s">
        <v>105</v>
      </c>
      <c r="D7" s="30"/>
      <c r="E7" s="30"/>
      <c r="F7" s="30" t="s">
        <v>110</v>
      </c>
      <c r="G7" s="30"/>
      <c r="H7" s="30"/>
      <c r="I7" s="30"/>
      <c r="J7" s="130"/>
      <c r="K7" s="133"/>
      <c r="L7" s="133"/>
      <c r="M7" s="131"/>
      <c r="N7" s="131"/>
      <c r="O7" s="130"/>
    </row>
    <row r="8" spans="1:15">
      <c r="A8" s="30"/>
      <c r="C8" t="s">
        <v>108</v>
      </c>
      <c r="D8" s="123">
        <v>20</v>
      </c>
      <c r="E8" s="30"/>
      <c r="F8" s="30"/>
      <c r="G8" s="30" t="s">
        <v>49</v>
      </c>
      <c r="H8" s="125">
        <v>1</v>
      </c>
      <c r="I8" s="30"/>
      <c r="J8" s="130"/>
      <c r="K8" s="133"/>
      <c r="L8" s="133"/>
      <c r="M8" s="131"/>
      <c r="N8" s="131"/>
      <c r="O8" s="130"/>
    </row>
    <row r="9" spans="1:15">
      <c r="A9" s="30"/>
      <c r="B9" t="s">
        <v>106</v>
      </c>
      <c r="D9" s="30"/>
      <c r="E9" s="30"/>
      <c r="F9" s="30" t="s">
        <v>46</v>
      </c>
      <c r="G9" s="30"/>
      <c r="H9" s="30"/>
      <c r="I9" s="30"/>
      <c r="J9" s="130"/>
      <c r="K9" s="133"/>
      <c r="L9" s="133"/>
      <c r="M9" s="131"/>
      <c r="N9" s="131"/>
      <c r="O9" s="130"/>
    </row>
    <row r="10" spans="1:15">
      <c r="A10" s="30"/>
      <c r="C10" t="s">
        <v>109</v>
      </c>
      <c r="D10" s="123">
        <v>0</v>
      </c>
      <c r="E10" s="30"/>
      <c r="F10" s="30"/>
      <c r="G10" s="30" t="s">
        <v>50</v>
      </c>
      <c r="H10" s="34">
        <v>5000</v>
      </c>
      <c r="I10" s="30"/>
      <c r="J10" s="130"/>
      <c r="K10" s="133"/>
      <c r="L10" s="133"/>
      <c r="M10" s="131"/>
      <c r="N10" s="131"/>
      <c r="O10" s="130"/>
    </row>
    <row r="11" spans="1:15">
      <c r="A11" s="30"/>
      <c r="B11" t="s">
        <v>115</v>
      </c>
      <c r="D11" s="30"/>
      <c r="E11" s="30"/>
      <c r="F11" s="30" t="s">
        <v>87</v>
      </c>
      <c r="G11" s="30"/>
      <c r="H11" s="30"/>
      <c r="I11" s="30"/>
      <c r="J11" s="130"/>
      <c r="K11" s="133"/>
      <c r="L11" s="133"/>
      <c r="M11" s="131"/>
      <c r="N11" s="131"/>
      <c r="O11" s="130"/>
    </row>
    <row r="12" spans="1:15">
      <c r="A12" s="30"/>
      <c r="C12" t="s">
        <v>112</v>
      </c>
      <c r="D12" s="123">
        <v>0</v>
      </c>
      <c r="E12" s="30"/>
      <c r="F12" s="30"/>
      <c r="G12" s="38" t="s">
        <v>51</v>
      </c>
      <c r="H12" s="124">
        <v>3</v>
      </c>
      <c r="I12" s="30"/>
      <c r="J12" s="130"/>
      <c r="K12" s="133"/>
      <c r="L12" s="133"/>
      <c r="M12" s="131"/>
      <c r="N12" s="131"/>
      <c r="O12" s="130"/>
    </row>
    <row r="13" spans="1:15">
      <c r="A13" s="30"/>
      <c r="B13" t="s">
        <v>111</v>
      </c>
      <c r="D13" s="30"/>
      <c r="E13" s="30"/>
      <c r="F13" s="30" t="s">
        <v>56</v>
      </c>
      <c r="G13" s="30"/>
      <c r="H13" s="30"/>
      <c r="I13" s="30"/>
      <c r="J13" s="130"/>
      <c r="K13" s="133"/>
      <c r="L13" s="133"/>
      <c r="M13" s="131"/>
      <c r="N13" s="131"/>
      <c r="O13" s="130"/>
    </row>
    <row r="14" spans="1:15">
      <c r="A14" s="30"/>
      <c r="C14" t="s">
        <v>114</v>
      </c>
      <c r="D14" s="125">
        <v>16</v>
      </c>
      <c r="E14" s="30"/>
      <c r="F14" s="30"/>
      <c r="G14" s="30" t="s">
        <v>57</v>
      </c>
      <c r="H14" s="34">
        <f>表紙!S9</f>
        <v>1</v>
      </c>
      <c r="I14" s="30"/>
      <c r="J14" s="130"/>
      <c r="K14" s="133"/>
      <c r="L14" s="133"/>
      <c r="M14" s="131"/>
      <c r="N14" s="131"/>
      <c r="O14" s="130"/>
    </row>
    <row r="15" spans="1:15">
      <c r="A15" s="30"/>
      <c r="B15" t="s">
        <v>195</v>
      </c>
      <c r="D15" s="30"/>
      <c r="E15" s="30"/>
      <c r="F15" s="30" t="s">
        <v>58</v>
      </c>
      <c r="G15" s="30"/>
      <c r="H15" s="30"/>
      <c r="I15" s="30"/>
      <c r="J15" s="130"/>
      <c r="K15" s="133"/>
      <c r="L15" s="133"/>
      <c r="M15" s="131"/>
      <c r="N15" s="131"/>
      <c r="O15" s="130"/>
    </row>
    <row r="16" spans="1:15">
      <c r="A16" s="30"/>
      <c r="C16" t="s">
        <v>186</v>
      </c>
      <c r="D16" s="34">
        <v>1</v>
      </c>
      <c r="E16" s="30"/>
      <c r="F16" s="30"/>
      <c r="G16" s="30" t="s">
        <v>197</v>
      </c>
      <c r="H16" s="125">
        <v>1</v>
      </c>
      <c r="I16" s="30"/>
      <c r="J16" s="130"/>
      <c r="K16" s="133"/>
      <c r="L16" s="133"/>
      <c r="M16" s="131"/>
      <c r="N16" s="131"/>
      <c r="O16" s="130"/>
    </row>
    <row r="17" spans="1:15">
      <c r="A17" s="30"/>
      <c r="B17" t="s">
        <v>187</v>
      </c>
      <c r="D17" s="30"/>
      <c r="E17" s="30"/>
      <c r="F17" s="30" t="s">
        <v>59</v>
      </c>
      <c r="G17" s="30"/>
      <c r="H17" s="126"/>
      <c r="I17" s="30"/>
      <c r="J17" s="130"/>
      <c r="K17" s="133"/>
      <c r="L17" s="133"/>
      <c r="M17" s="131"/>
      <c r="N17" s="131"/>
      <c r="O17" s="130"/>
    </row>
    <row r="18" spans="1:15">
      <c r="A18" s="30"/>
      <c r="C18" t="s">
        <v>188</v>
      </c>
      <c r="D18" s="199" t="s">
        <v>196</v>
      </c>
      <c r="E18" s="30"/>
      <c r="F18" s="30"/>
      <c r="G18" s="30" t="s">
        <v>60</v>
      </c>
      <c r="H18" s="125">
        <f>工事1!J2</f>
        <v>7</v>
      </c>
      <c r="I18" s="30"/>
      <c r="J18" s="130"/>
      <c r="K18" s="133"/>
      <c r="L18" s="133"/>
      <c r="M18" s="131"/>
      <c r="N18" s="131"/>
      <c r="O18" s="130"/>
    </row>
    <row r="19" spans="1:15">
      <c r="A19" s="30"/>
      <c r="C19" t="s">
        <v>189</v>
      </c>
      <c r="D19" s="199" t="s">
        <v>194</v>
      </c>
      <c r="E19" s="30"/>
      <c r="F19" s="30" t="s">
        <v>62</v>
      </c>
      <c r="G19" s="30"/>
      <c r="H19" s="126"/>
      <c r="I19" s="30"/>
      <c r="J19" s="130"/>
      <c r="K19" s="133"/>
      <c r="L19" s="133"/>
      <c r="M19" s="131"/>
      <c r="N19" s="131"/>
      <c r="O19" s="130"/>
    </row>
    <row r="20" spans="1:15">
      <c r="A20" s="30"/>
      <c r="D20" s="30"/>
      <c r="E20" s="30"/>
      <c r="F20" s="30"/>
      <c r="G20" s="30" t="s">
        <v>63</v>
      </c>
      <c r="H20" s="125">
        <f>COUNTA(代価一覧!C2:C65532)</f>
        <v>12</v>
      </c>
      <c r="I20" s="30"/>
    </row>
    <row r="21" spans="1:15">
      <c r="A21" s="30"/>
      <c r="D21" s="30"/>
      <c r="E21" s="30"/>
      <c r="F21" s="33" t="s">
        <v>121</v>
      </c>
      <c r="G21" s="33"/>
      <c r="H21" s="31" t="str">
        <f>表紙!W8</f>
        <v>諸経費表2020.xlsx</v>
      </c>
      <c r="I21" s="30"/>
    </row>
    <row r="22" spans="1:15">
      <c r="A22" s="30"/>
      <c r="D22" s="30"/>
      <c r="E22" s="30"/>
      <c r="F22" s="37" t="s">
        <v>122</v>
      </c>
      <c r="G22" s="33"/>
      <c r="H22" s="32" t="str">
        <f>表紙!W9</f>
        <v>C:\積算\</v>
      </c>
      <c r="I22" s="30"/>
    </row>
    <row r="23" spans="1:15" ht="17">
      <c r="A23" s="30"/>
      <c r="D23" s="30"/>
      <c r="E23" s="30"/>
      <c r="F23" s="30"/>
      <c r="G23" s="30"/>
      <c r="H23" s="69"/>
      <c r="I23" s="30"/>
    </row>
    <row r="24" spans="1:15">
      <c r="A24" s="30"/>
      <c r="B24" t="s">
        <v>191</v>
      </c>
      <c r="E24" s="30"/>
      <c r="F24" s="30" t="s">
        <v>68</v>
      </c>
      <c r="G24" s="30"/>
      <c r="H24" s="30"/>
      <c r="I24" s="30"/>
    </row>
    <row r="25" spans="1:15">
      <c r="A25" s="30"/>
      <c r="C25" t="s">
        <v>190</v>
      </c>
      <c r="D25" s="123">
        <v>8</v>
      </c>
      <c r="E25" s="30"/>
      <c r="F25" s="30"/>
      <c r="G25" s="30" t="s">
        <v>69</v>
      </c>
      <c r="H25" s="34">
        <v>500</v>
      </c>
      <c r="I25" s="30"/>
    </row>
    <row r="26" spans="1:15">
      <c r="A26" s="30"/>
      <c r="B26" t="s">
        <v>192</v>
      </c>
      <c r="E26" s="30"/>
      <c r="F26" s="30" t="s">
        <v>126</v>
      </c>
      <c r="G26" s="30"/>
      <c r="H26" s="30"/>
      <c r="I26" s="30"/>
    </row>
    <row r="27" spans="1:15" ht="15" thickBot="1">
      <c r="A27" s="30"/>
      <c r="C27" t="s">
        <v>190</v>
      </c>
      <c r="D27" s="123" t="s">
        <v>193</v>
      </c>
      <c r="E27" s="30"/>
      <c r="F27" s="30"/>
      <c r="G27" s="135" t="s">
        <v>125</v>
      </c>
      <c r="H27" s="92" t="e">
        <f>SUM(H9:H26)+H4</f>
        <v>#VALUE!</v>
      </c>
      <c r="I27" s="92">
        <f>SUM(I9:I26)+I4</f>
        <v>0</v>
      </c>
      <c r="J27" s="520">
        <f>IF(B8="部分撤去工事",(J4+K27),0)</f>
        <v>0</v>
      </c>
      <c r="K27" s="519">
        <f>IF(B8="部分撤去工事",SUMIF(M9:M26,"費用",H9:H26),0)</f>
        <v>0</v>
      </c>
    </row>
    <row r="28" spans="1:15">
      <c r="A28" s="30"/>
      <c r="D28" s="30"/>
      <c r="E28" s="30"/>
      <c r="F28" s="30" t="s">
        <v>88</v>
      </c>
      <c r="G28" s="30"/>
      <c r="H28" s="30"/>
      <c r="I28" s="30"/>
    </row>
    <row r="29" spans="1:15">
      <c r="A29" s="30"/>
      <c r="D29" s="30"/>
      <c r="E29" s="30"/>
      <c r="F29" s="30"/>
      <c r="G29" s="30" t="s">
        <v>89</v>
      </c>
      <c r="H29" s="34">
        <v>0</v>
      </c>
      <c r="I29" s="30"/>
    </row>
    <row r="30" spans="1:15">
      <c r="A30" s="30"/>
      <c r="B30" s="30"/>
      <c r="C30" s="30"/>
      <c r="D30" s="30"/>
      <c r="E30" s="30"/>
      <c r="F30" s="30" t="s">
        <v>123</v>
      </c>
      <c r="G30" s="30"/>
      <c r="H30" s="30"/>
      <c r="I30" s="30"/>
    </row>
    <row r="31" spans="1:15">
      <c r="G31" s="30" t="s">
        <v>124</v>
      </c>
      <c r="H31" s="134" t="s">
        <v>2637</v>
      </c>
    </row>
    <row r="32" spans="1:15">
      <c r="G32" s="30" t="s">
        <v>2923</v>
      </c>
      <c r="H32" s="134" t="s">
        <v>2921</v>
      </c>
    </row>
    <row r="33" spans="7:8">
      <c r="G33" s="30" t="s">
        <v>2924</v>
      </c>
      <c r="H33" s="134" t="s">
        <v>2922</v>
      </c>
    </row>
    <row r="35" spans="7:8">
      <c r="G35" s="30"/>
    </row>
    <row r="50" spans="1:35" s="1" customFormat="1" ht="26.25" customHeight="1" thickBot="1">
      <c r="A50" s="6"/>
      <c r="B50" s="6"/>
      <c r="C50" s="1389" t="s">
        <v>312</v>
      </c>
      <c r="D50" s="1389"/>
      <c r="E50" s="1389"/>
      <c r="F50" s="1389"/>
      <c r="G50" s="1389"/>
      <c r="H50" s="1389"/>
      <c r="I50" s="1389"/>
      <c r="J50" s="1389"/>
      <c r="K50" s="1389"/>
      <c r="L50" s="1389"/>
      <c r="O50" s="1506" t="s">
        <v>137</v>
      </c>
      <c r="P50" s="1506"/>
      <c r="Q50" s="1506"/>
      <c r="R50" s="1506"/>
      <c r="S50" s="1506"/>
      <c r="T50" s="1506"/>
      <c r="U50" s="1506"/>
      <c r="V50" s="1506"/>
      <c r="W50" s="1506"/>
      <c r="X50" s="1506"/>
      <c r="Y50" s="1506"/>
      <c r="Z50" s="1506"/>
      <c r="AA50" s="1506"/>
      <c r="AB50" s="1506"/>
      <c r="AC50" s="1506"/>
      <c r="AD50" s="1506"/>
      <c r="AE50" s="1506"/>
      <c r="AF50" s="1506"/>
      <c r="AG50" s="1506"/>
      <c r="AH50" s="1507"/>
      <c r="AI50" s="492"/>
    </row>
    <row r="51" spans="1:35" s="1" customFormat="1" ht="41.25" customHeight="1">
      <c r="A51" s="5" t="s">
        <v>13</v>
      </c>
      <c r="B51" s="5" t="s">
        <v>47</v>
      </c>
      <c r="C51" s="97" t="s">
        <v>0</v>
      </c>
      <c r="D51" s="93"/>
      <c r="E51" s="94" t="s">
        <v>1</v>
      </c>
      <c r="F51" s="95" t="s">
        <v>2</v>
      </c>
      <c r="G51" s="95" t="s">
        <v>3</v>
      </c>
      <c r="H51" s="96" t="s">
        <v>4</v>
      </c>
      <c r="I51" s="96" t="s">
        <v>5</v>
      </c>
      <c r="J51" s="1392" t="s">
        <v>6</v>
      </c>
      <c r="K51" s="1393"/>
      <c r="L51" s="1394"/>
      <c r="M51" s="572" t="s">
        <v>2827</v>
      </c>
      <c r="N51" s="567" t="s">
        <v>2818</v>
      </c>
      <c r="O51" s="521" t="s">
        <v>72</v>
      </c>
      <c r="P51" s="334" t="s">
        <v>260</v>
      </c>
      <c r="Q51" s="266" t="s">
        <v>261</v>
      </c>
      <c r="R51" s="266" t="s">
        <v>208</v>
      </c>
      <c r="S51" s="266" t="s">
        <v>209</v>
      </c>
      <c r="T51" s="266" t="s">
        <v>262</v>
      </c>
      <c r="U51" s="266" t="s">
        <v>131</v>
      </c>
      <c r="V51" s="137" t="s">
        <v>130</v>
      </c>
      <c r="W51" s="266" t="s">
        <v>263</v>
      </c>
      <c r="X51" s="200" t="s">
        <v>211</v>
      </c>
      <c r="Y51" s="200" t="s">
        <v>212</v>
      </c>
      <c r="Z51" s="200" t="s">
        <v>213</v>
      </c>
      <c r="AA51" s="200" t="s">
        <v>214</v>
      </c>
      <c r="AB51" s="200" t="s">
        <v>264</v>
      </c>
      <c r="AC51" s="336" t="s">
        <v>265</v>
      </c>
      <c r="AD51" s="337" t="s">
        <v>266</v>
      </c>
      <c r="AE51" s="338" t="s">
        <v>133</v>
      </c>
      <c r="AF51" s="136" t="s">
        <v>267</v>
      </c>
      <c r="AG51" s="136" t="s">
        <v>268</v>
      </c>
      <c r="AH51" s="136" t="s">
        <v>135</v>
      </c>
      <c r="AI51" s="493"/>
    </row>
    <row r="52" spans="1:35" s="1" customFormat="1" ht="24" customHeight="1">
      <c r="A52" s="28"/>
      <c r="B52" s="28"/>
      <c r="C52" s="115"/>
      <c r="D52" s="116"/>
      <c r="E52" s="117"/>
      <c r="F52" s="263"/>
      <c r="G52" s="85"/>
      <c r="H52" s="79" t="s">
        <v>12</v>
      </c>
      <c r="I52" s="79" t="s">
        <v>12</v>
      </c>
      <c r="J52" s="1560" t="str">
        <f ca="1">RIGHT(CELL("filename",$A$1),LEN(CELL("filename",$A$1))-FIND("]",CELL("filename",$A$1)))</f>
        <v>work</v>
      </c>
      <c r="K52" s="1561"/>
      <c r="L52" s="1562"/>
      <c r="M52" s="568"/>
      <c r="N52" s="568"/>
      <c r="O52" s="522"/>
      <c r="P52" s="208"/>
      <c r="Q52" s="209"/>
      <c r="R52" s="209"/>
      <c r="S52" s="209"/>
      <c r="T52" s="209"/>
      <c r="U52" s="209"/>
      <c r="V52" s="209"/>
      <c r="W52" s="209"/>
      <c r="X52" s="210"/>
      <c r="Y52" s="210"/>
      <c r="Z52" s="210"/>
      <c r="AA52" s="210"/>
      <c r="AB52" s="210"/>
      <c r="AC52" s="209"/>
      <c r="AD52" s="339"/>
      <c r="AE52" s="340"/>
      <c r="AF52" s="209"/>
      <c r="AG52" s="209"/>
      <c r="AH52" s="209"/>
      <c r="AI52" s="494"/>
    </row>
    <row r="53" spans="1:35" s="29" customFormat="1" ht="24" customHeight="1">
      <c r="A53" s="28"/>
      <c r="B53" s="28"/>
      <c r="C53" s="111"/>
      <c r="D53" s="112"/>
      <c r="E53" s="101"/>
      <c r="F53" s="264"/>
      <c r="G53" s="102"/>
      <c r="H53" s="118"/>
      <c r="I53" s="88" t="str">
        <f t="shared" ref="I53:I70" si="0">IF(F53="","",INT(F53*H53))</f>
        <v/>
      </c>
      <c r="J53" s="52"/>
      <c r="K53" s="53"/>
      <c r="L53" s="54"/>
      <c r="M53" s="568"/>
      <c r="N53" s="569"/>
      <c r="O53" s="522"/>
      <c r="P53" s="208"/>
      <c r="Q53" s="209"/>
      <c r="R53" s="209"/>
      <c r="S53" s="209"/>
      <c r="T53" s="209"/>
      <c r="U53" s="209"/>
      <c r="V53" s="209"/>
      <c r="W53" s="209"/>
      <c r="X53" s="210"/>
      <c r="Y53" s="210"/>
      <c r="Z53" s="210"/>
      <c r="AA53" s="210"/>
      <c r="AB53" s="210"/>
      <c r="AC53" s="209"/>
      <c r="AD53" s="339"/>
      <c r="AE53" s="340"/>
      <c r="AF53" s="209"/>
      <c r="AG53" s="209"/>
      <c r="AH53" s="471"/>
      <c r="AI53" s="494"/>
    </row>
    <row r="54" spans="1:35" s="29" customFormat="1" ht="24" customHeight="1">
      <c r="A54" s="28"/>
      <c r="B54" s="28"/>
      <c r="C54" s="111"/>
      <c r="D54" s="112"/>
      <c r="E54" s="101"/>
      <c r="F54" s="264"/>
      <c r="G54" s="102"/>
      <c r="H54" s="118"/>
      <c r="I54" s="88" t="str">
        <f t="shared" si="0"/>
        <v/>
      </c>
      <c r="J54" s="52"/>
      <c r="K54" s="53"/>
      <c r="L54" s="54"/>
      <c r="M54" s="568"/>
      <c r="N54" s="569"/>
      <c r="O54" s="522"/>
      <c r="P54" s="208"/>
      <c r="Q54" s="209"/>
      <c r="R54" s="209"/>
      <c r="S54" s="209"/>
      <c r="T54" s="209"/>
      <c r="U54" s="209"/>
      <c r="V54" s="209"/>
      <c r="W54" s="209"/>
      <c r="X54" s="210"/>
      <c r="Y54" s="210"/>
      <c r="Z54" s="210"/>
      <c r="AA54" s="210"/>
      <c r="AB54" s="210"/>
      <c r="AC54" s="209"/>
      <c r="AD54" s="339"/>
      <c r="AE54" s="340"/>
      <c r="AF54" s="209"/>
      <c r="AG54" s="209"/>
      <c r="AH54" s="471"/>
      <c r="AI54" s="494"/>
    </row>
    <row r="55" spans="1:35" s="29" customFormat="1" ht="24" customHeight="1">
      <c r="A55" s="28"/>
      <c r="B55" s="28"/>
      <c r="C55" s="111"/>
      <c r="D55" s="112"/>
      <c r="E55" s="101"/>
      <c r="F55" s="264"/>
      <c r="G55" s="102"/>
      <c r="H55" s="118"/>
      <c r="I55" s="88" t="str">
        <f t="shared" si="0"/>
        <v/>
      </c>
      <c r="J55" s="52"/>
      <c r="K55" s="53"/>
      <c r="L55" s="54"/>
      <c r="M55" s="568"/>
      <c r="N55" s="569"/>
      <c r="O55" s="522"/>
      <c r="P55" s="208"/>
      <c r="Q55" s="209"/>
      <c r="R55" s="209"/>
      <c r="S55" s="209"/>
      <c r="T55" s="209"/>
      <c r="U55" s="209"/>
      <c r="V55" s="209"/>
      <c r="W55" s="209"/>
      <c r="X55" s="210"/>
      <c r="Y55" s="210"/>
      <c r="Z55" s="210"/>
      <c r="AA55" s="210"/>
      <c r="AB55" s="210"/>
      <c r="AC55" s="209"/>
      <c r="AD55" s="339"/>
      <c r="AE55" s="340"/>
      <c r="AF55" s="209"/>
      <c r="AG55" s="209"/>
      <c r="AH55" s="471"/>
      <c r="AI55" s="494"/>
    </row>
    <row r="56" spans="1:35" s="29" customFormat="1" ht="24" customHeight="1">
      <c r="A56" s="28"/>
      <c r="B56" s="28"/>
      <c r="C56" s="111"/>
      <c r="D56" s="112"/>
      <c r="E56" s="101"/>
      <c r="F56" s="264"/>
      <c r="G56" s="102"/>
      <c r="H56" s="118"/>
      <c r="I56" s="88" t="str">
        <f t="shared" si="0"/>
        <v/>
      </c>
      <c r="J56" s="52"/>
      <c r="K56" s="53"/>
      <c r="L56" s="54"/>
      <c r="M56" s="568"/>
      <c r="N56" s="569"/>
      <c r="O56" s="522"/>
      <c r="P56" s="208"/>
      <c r="Q56" s="209"/>
      <c r="R56" s="209"/>
      <c r="S56" s="209"/>
      <c r="T56" s="209"/>
      <c r="U56" s="209"/>
      <c r="V56" s="209"/>
      <c r="W56" s="209"/>
      <c r="X56" s="210"/>
      <c r="Y56" s="210"/>
      <c r="Z56" s="210"/>
      <c r="AA56" s="210"/>
      <c r="AB56" s="210"/>
      <c r="AC56" s="209"/>
      <c r="AD56" s="339"/>
      <c r="AE56" s="340"/>
      <c r="AF56" s="209"/>
      <c r="AG56" s="209"/>
      <c r="AH56" s="471"/>
      <c r="AI56" s="494"/>
    </row>
    <row r="57" spans="1:35" s="29" customFormat="1" ht="24" customHeight="1">
      <c r="A57" s="28"/>
      <c r="B57" s="28"/>
      <c r="C57" s="111"/>
      <c r="D57" s="112"/>
      <c r="E57" s="101"/>
      <c r="F57" s="264"/>
      <c r="G57" s="102"/>
      <c r="H57" s="118"/>
      <c r="I57" s="88" t="str">
        <f t="shared" si="0"/>
        <v/>
      </c>
      <c r="J57" s="52"/>
      <c r="K57" s="53"/>
      <c r="L57" s="54"/>
      <c r="M57" s="568"/>
      <c r="N57" s="569"/>
      <c r="O57" s="522"/>
      <c r="P57" s="208"/>
      <c r="Q57" s="209"/>
      <c r="R57" s="209"/>
      <c r="S57" s="209"/>
      <c r="T57" s="209"/>
      <c r="U57" s="209"/>
      <c r="V57" s="209"/>
      <c r="W57" s="209"/>
      <c r="X57" s="210"/>
      <c r="Y57" s="210"/>
      <c r="Z57" s="210"/>
      <c r="AA57" s="210"/>
      <c r="AB57" s="210"/>
      <c r="AC57" s="209"/>
      <c r="AD57" s="339"/>
      <c r="AE57" s="340"/>
      <c r="AF57" s="209"/>
      <c r="AG57" s="209"/>
      <c r="AH57" s="471"/>
      <c r="AI57" s="494"/>
    </row>
    <row r="58" spans="1:35" s="29" customFormat="1" ht="24" customHeight="1">
      <c r="A58" s="28"/>
      <c r="B58" s="28"/>
      <c r="C58" s="111"/>
      <c r="D58" s="112"/>
      <c r="E58" s="101"/>
      <c r="F58" s="264"/>
      <c r="G58" s="102"/>
      <c r="H58" s="118"/>
      <c r="I58" s="88" t="str">
        <f t="shared" si="0"/>
        <v/>
      </c>
      <c r="J58" s="52"/>
      <c r="K58" s="53"/>
      <c r="L58" s="54"/>
      <c r="M58" s="568"/>
      <c r="N58" s="569"/>
      <c r="O58" s="522"/>
      <c r="P58" s="208"/>
      <c r="Q58" s="209"/>
      <c r="R58" s="209"/>
      <c r="S58" s="209"/>
      <c r="T58" s="209"/>
      <c r="U58" s="209"/>
      <c r="V58" s="209"/>
      <c r="W58" s="209"/>
      <c r="X58" s="210"/>
      <c r="Y58" s="210"/>
      <c r="Z58" s="210"/>
      <c r="AA58" s="210"/>
      <c r="AB58" s="210"/>
      <c r="AC58" s="209"/>
      <c r="AD58" s="339"/>
      <c r="AE58" s="340"/>
      <c r="AF58" s="209"/>
      <c r="AG58" s="209"/>
      <c r="AH58" s="471"/>
      <c r="AI58" s="494"/>
    </row>
    <row r="59" spans="1:35" s="29" customFormat="1" ht="24" customHeight="1">
      <c r="A59" s="28"/>
      <c r="B59" s="28"/>
      <c r="C59" s="111"/>
      <c r="D59" s="112"/>
      <c r="E59" s="101"/>
      <c r="F59" s="264"/>
      <c r="G59" s="102"/>
      <c r="H59" s="118"/>
      <c r="I59" s="88" t="str">
        <f t="shared" si="0"/>
        <v/>
      </c>
      <c r="J59" s="52"/>
      <c r="K59" s="53"/>
      <c r="L59" s="54"/>
      <c r="M59" s="568"/>
      <c r="N59" s="569"/>
      <c r="O59" s="522"/>
      <c r="P59" s="208"/>
      <c r="Q59" s="209"/>
      <c r="R59" s="209"/>
      <c r="S59" s="209"/>
      <c r="T59" s="209"/>
      <c r="U59" s="209"/>
      <c r="V59" s="209"/>
      <c r="W59" s="209"/>
      <c r="X59" s="210"/>
      <c r="Y59" s="210"/>
      <c r="Z59" s="210"/>
      <c r="AA59" s="210"/>
      <c r="AB59" s="210"/>
      <c r="AC59" s="209"/>
      <c r="AD59" s="339"/>
      <c r="AE59" s="340"/>
      <c r="AF59" s="209"/>
      <c r="AG59" s="209"/>
      <c r="AH59" s="471"/>
      <c r="AI59" s="494"/>
    </row>
    <row r="60" spans="1:35" s="29" customFormat="1" ht="24" customHeight="1">
      <c r="A60" s="28"/>
      <c r="B60" s="28"/>
      <c r="C60" s="111"/>
      <c r="D60" s="112"/>
      <c r="E60" s="101"/>
      <c r="F60" s="264"/>
      <c r="G60" s="102"/>
      <c r="H60" s="118"/>
      <c r="I60" s="88" t="str">
        <f t="shared" si="0"/>
        <v/>
      </c>
      <c r="J60" s="52"/>
      <c r="K60" s="53"/>
      <c r="L60" s="54"/>
      <c r="M60" s="568"/>
      <c r="N60" s="569"/>
      <c r="O60" s="522"/>
      <c r="P60" s="208"/>
      <c r="Q60" s="209"/>
      <c r="R60" s="209"/>
      <c r="S60" s="209"/>
      <c r="T60" s="209"/>
      <c r="U60" s="209"/>
      <c r="V60" s="209"/>
      <c r="W60" s="209"/>
      <c r="X60" s="210"/>
      <c r="Y60" s="210"/>
      <c r="Z60" s="210"/>
      <c r="AA60" s="210"/>
      <c r="AB60" s="210"/>
      <c r="AC60" s="209"/>
      <c r="AD60" s="339"/>
      <c r="AE60" s="340"/>
      <c r="AF60" s="209"/>
      <c r="AG60" s="209"/>
      <c r="AH60" s="471"/>
      <c r="AI60" s="494"/>
    </row>
    <row r="61" spans="1:35" s="29" customFormat="1" ht="24" customHeight="1">
      <c r="A61" s="28"/>
      <c r="B61" s="28"/>
      <c r="C61" s="111"/>
      <c r="D61" s="112"/>
      <c r="E61" s="101"/>
      <c r="F61" s="264"/>
      <c r="G61" s="102"/>
      <c r="H61" s="118"/>
      <c r="I61" s="88" t="str">
        <f t="shared" si="0"/>
        <v/>
      </c>
      <c r="J61" s="52"/>
      <c r="K61" s="53"/>
      <c r="L61" s="54"/>
      <c r="M61" s="568"/>
      <c r="N61" s="569"/>
      <c r="O61" s="522"/>
      <c r="P61" s="208"/>
      <c r="Q61" s="209"/>
      <c r="R61" s="209"/>
      <c r="S61" s="209"/>
      <c r="T61" s="209"/>
      <c r="U61" s="209"/>
      <c r="V61" s="209"/>
      <c r="W61" s="209"/>
      <c r="X61" s="210"/>
      <c r="Y61" s="210"/>
      <c r="Z61" s="210"/>
      <c r="AA61" s="210"/>
      <c r="AB61" s="210"/>
      <c r="AC61" s="209"/>
      <c r="AD61" s="339"/>
      <c r="AE61" s="340"/>
      <c r="AF61" s="209"/>
      <c r="AG61" s="209"/>
      <c r="AH61" s="471"/>
      <c r="AI61" s="494"/>
    </row>
    <row r="62" spans="1:35" s="29" customFormat="1" ht="24" customHeight="1">
      <c r="A62" s="28"/>
      <c r="B62" s="28"/>
      <c r="C62" s="111"/>
      <c r="D62" s="112"/>
      <c r="E62" s="101"/>
      <c r="F62" s="264"/>
      <c r="G62" s="102"/>
      <c r="H62" s="118"/>
      <c r="I62" s="88" t="str">
        <f t="shared" si="0"/>
        <v/>
      </c>
      <c r="J62" s="52"/>
      <c r="K62" s="53"/>
      <c r="L62" s="54"/>
      <c r="M62" s="568"/>
      <c r="N62" s="569"/>
      <c r="O62" s="522"/>
      <c r="P62" s="208"/>
      <c r="Q62" s="209"/>
      <c r="R62" s="209"/>
      <c r="S62" s="209"/>
      <c r="T62" s="209"/>
      <c r="U62" s="209"/>
      <c r="V62" s="209"/>
      <c r="W62" s="209"/>
      <c r="X62" s="210"/>
      <c r="Y62" s="210"/>
      <c r="Z62" s="210"/>
      <c r="AA62" s="210"/>
      <c r="AB62" s="210"/>
      <c r="AC62" s="209"/>
      <c r="AD62" s="339"/>
      <c r="AE62" s="340"/>
      <c r="AF62" s="209"/>
      <c r="AG62" s="209"/>
      <c r="AH62" s="471"/>
      <c r="AI62" s="494"/>
    </row>
    <row r="63" spans="1:35" s="29" customFormat="1" ht="24" customHeight="1">
      <c r="A63" s="28"/>
      <c r="B63" s="28"/>
      <c r="C63" s="111"/>
      <c r="D63" s="112"/>
      <c r="E63" s="101"/>
      <c r="F63" s="264"/>
      <c r="G63" s="102"/>
      <c r="H63" s="118"/>
      <c r="I63" s="88" t="str">
        <f t="shared" si="0"/>
        <v/>
      </c>
      <c r="J63" s="52"/>
      <c r="K63" s="53"/>
      <c r="L63" s="54"/>
      <c r="M63" s="568"/>
      <c r="N63" s="569"/>
      <c r="O63" s="522"/>
      <c r="P63" s="208"/>
      <c r="Q63" s="209"/>
      <c r="R63" s="209"/>
      <c r="S63" s="209"/>
      <c r="T63" s="209"/>
      <c r="U63" s="209"/>
      <c r="V63" s="209"/>
      <c r="W63" s="209"/>
      <c r="X63" s="210"/>
      <c r="Y63" s="210"/>
      <c r="Z63" s="210"/>
      <c r="AA63" s="210"/>
      <c r="AB63" s="210"/>
      <c r="AC63" s="209"/>
      <c r="AD63" s="339"/>
      <c r="AE63" s="340"/>
      <c r="AF63" s="209"/>
      <c r="AG63" s="209"/>
      <c r="AH63" s="471"/>
      <c r="AI63" s="494"/>
    </row>
    <row r="64" spans="1:35" s="29" customFormat="1" ht="24" customHeight="1">
      <c r="A64" s="28"/>
      <c r="B64" s="28"/>
      <c r="C64" s="111"/>
      <c r="D64" s="112"/>
      <c r="E64" s="101"/>
      <c r="F64" s="264"/>
      <c r="G64" s="102"/>
      <c r="H64" s="118"/>
      <c r="I64" s="88" t="str">
        <f t="shared" si="0"/>
        <v/>
      </c>
      <c r="J64" s="52"/>
      <c r="K64" s="53"/>
      <c r="L64" s="54"/>
      <c r="M64" s="568"/>
      <c r="N64" s="569"/>
      <c r="O64" s="522"/>
      <c r="P64" s="208"/>
      <c r="Q64" s="209"/>
      <c r="R64" s="209"/>
      <c r="S64" s="209"/>
      <c r="T64" s="209"/>
      <c r="U64" s="209"/>
      <c r="V64" s="209"/>
      <c r="W64" s="209"/>
      <c r="X64" s="210"/>
      <c r="Y64" s="210"/>
      <c r="Z64" s="210"/>
      <c r="AA64" s="210"/>
      <c r="AB64" s="210"/>
      <c r="AC64" s="209"/>
      <c r="AD64" s="339"/>
      <c r="AE64" s="340"/>
      <c r="AF64" s="209"/>
      <c r="AG64" s="209"/>
      <c r="AH64" s="471"/>
      <c r="AI64" s="494"/>
    </row>
    <row r="65" spans="1:35" s="29" customFormat="1" ht="24" customHeight="1">
      <c r="A65" s="28"/>
      <c r="B65" s="28"/>
      <c r="C65" s="111"/>
      <c r="D65" s="112"/>
      <c r="E65" s="101"/>
      <c r="F65" s="264"/>
      <c r="G65" s="102"/>
      <c r="H65" s="118"/>
      <c r="I65" s="88" t="str">
        <f t="shared" si="0"/>
        <v/>
      </c>
      <c r="J65" s="52"/>
      <c r="K65" s="53"/>
      <c r="L65" s="54"/>
      <c r="M65" s="568"/>
      <c r="N65" s="569"/>
      <c r="O65" s="522"/>
      <c r="P65" s="208"/>
      <c r="Q65" s="209"/>
      <c r="R65" s="209"/>
      <c r="S65" s="209"/>
      <c r="T65" s="209"/>
      <c r="U65" s="209"/>
      <c r="V65" s="209"/>
      <c r="W65" s="209"/>
      <c r="X65" s="210"/>
      <c r="Y65" s="210"/>
      <c r="Z65" s="210"/>
      <c r="AA65" s="210"/>
      <c r="AB65" s="210"/>
      <c r="AC65" s="209"/>
      <c r="AD65" s="339"/>
      <c r="AE65" s="340"/>
      <c r="AF65" s="209"/>
      <c r="AG65" s="209"/>
      <c r="AH65" s="471"/>
      <c r="AI65" s="494"/>
    </row>
    <row r="66" spans="1:35" s="29" customFormat="1" ht="24" customHeight="1">
      <c r="A66" s="28"/>
      <c r="B66" s="28"/>
      <c r="C66" s="111"/>
      <c r="D66" s="112"/>
      <c r="E66" s="101"/>
      <c r="F66" s="264"/>
      <c r="G66" s="102"/>
      <c r="H66" s="118"/>
      <c r="I66" s="88" t="str">
        <f t="shared" si="0"/>
        <v/>
      </c>
      <c r="J66" s="52"/>
      <c r="K66" s="53"/>
      <c r="L66" s="54"/>
      <c r="M66" s="568"/>
      <c r="N66" s="569"/>
      <c r="O66" s="522"/>
      <c r="P66" s="208"/>
      <c r="Q66" s="209"/>
      <c r="R66" s="209"/>
      <c r="S66" s="209"/>
      <c r="T66" s="209"/>
      <c r="U66" s="209"/>
      <c r="V66" s="209"/>
      <c r="W66" s="209"/>
      <c r="X66" s="210"/>
      <c r="Y66" s="210"/>
      <c r="Z66" s="210"/>
      <c r="AA66" s="210"/>
      <c r="AB66" s="210"/>
      <c r="AC66" s="209"/>
      <c r="AD66" s="339"/>
      <c r="AE66" s="340"/>
      <c r="AF66" s="209"/>
      <c r="AG66" s="209"/>
      <c r="AH66" s="471"/>
      <c r="AI66" s="494"/>
    </row>
    <row r="67" spans="1:35" s="29" customFormat="1" ht="24" customHeight="1">
      <c r="A67" s="28"/>
      <c r="B67" s="28"/>
      <c r="C67" s="111"/>
      <c r="D67" s="112"/>
      <c r="E67" s="101"/>
      <c r="F67" s="264"/>
      <c r="G67" s="102"/>
      <c r="H67" s="118"/>
      <c r="I67" s="88" t="str">
        <f t="shared" si="0"/>
        <v/>
      </c>
      <c r="J67" s="52"/>
      <c r="K67" s="53"/>
      <c r="L67" s="54"/>
      <c r="M67" s="568"/>
      <c r="N67" s="569"/>
      <c r="O67" s="522"/>
      <c r="P67" s="208"/>
      <c r="Q67" s="209"/>
      <c r="R67" s="209"/>
      <c r="S67" s="209"/>
      <c r="T67" s="209"/>
      <c r="U67" s="209"/>
      <c r="V67" s="209"/>
      <c r="W67" s="209"/>
      <c r="X67" s="210"/>
      <c r="Y67" s="210"/>
      <c r="Z67" s="210"/>
      <c r="AA67" s="210"/>
      <c r="AB67" s="210"/>
      <c r="AC67" s="209"/>
      <c r="AD67" s="339"/>
      <c r="AE67" s="340"/>
      <c r="AF67" s="209"/>
      <c r="AG67" s="209"/>
      <c r="AH67" s="471"/>
      <c r="AI67" s="494"/>
    </row>
    <row r="68" spans="1:35" s="29" customFormat="1" ht="24" customHeight="1">
      <c r="A68" s="28"/>
      <c r="B68" s="28"/>
      <c r="C68" s="111"/>
      <c r="D68" s="112"/>
      <c r="E68" s="101"/>
      <c r="F68" s="264"/>
      <c r="G68" s="102"/>
      <c r="H68" s="118"/>
      <c r="I68" s="88" t="str">
        <f t="shared" si="0"/>
        <v/>
      </c>
      <c r="J68" s="52"/>
      <c r="K68" s="53"/>
      <c r="L68" s="54"/>
      <c r="M68" s="568"/>
      <c r="N68" s="569"/>
      <c r="O68" s="522"/>
      <c r="P68" s="208"/>
      <c r="Q68" s="209"/>
      <c r="R68" s="209"/>
      <c r="S68" s="209"/>
      <c r="T68" s="209"/>
      <c r="U68" s="209"/>
      <c r="V68" s="209"/>
      <c r="W68" s="209"/>
      <c r="X68" s="210"/>
      <c r="Y68" s="210"/>
      <c r="Z68" s="210"/>
      <c r="AA68" s="210"/>
      <c r="AB68" s="210"/>
      <c r="AC68" s="209"/>
      <c r="AD68" s="339"/>
      <c r="AE68" s="340"/>
      <c r="AF68" s="209"/>
      <c r="AG68" s="209"/>
      <c r="AH68" s="471"/>
      <c r="AI68" s="494"/>
    </row>
    <row r="69" spans="1:35" s="29" customFormat="1" ht="24" customHeight="1">
      <c r="A69" s="28"/>
      <c r="B69" s="28"/>
      <c r="C69" s="111"/>
      <c r="D69" s="112"/>
      <c r="E69" s="101"/>
      <c r="F69" s="264"/>
      <c r="G69" s="102"/>
      <c r="H69" s="118"/>
      <c r="I69" s="88" t="str">
        <f t="shared" si="0"/>
        <v/>
      </c>
      <c r="J69" s="52"/>
      <c r="K69" s="53"/>
      <c r="L69" s="54"/>
      <c r="M69" s="568"/>
      <c r="N69" s="569"/>
      <c r="O69" s="522"/>
      <c r="P69" s="208"/>
      <c r="Q69" s="209"/>
      <c r="R69" s="209"/>
      <c r="S69" s="209"/>
      <c r="T69" s="209"/>
      <c r="U69" s="209"/>
      <c r="V69" s="209"/>
      <c r="W69" s="209"/>
      <c r="X69" s="210"/>
      <c r="Y69" s="210"/>
      <c r="Z69" s="210"/>
      <c r="AA69" s="210"/>
      <c r="AB69" s="210"/>
      <c r="AC69" s="209"/>
      <c r="AD69" s="339"/>
      <c r="AE69" s="340"/>
      <c r="AF69" s="209"/>
      <c r="AG69" s="209"/>
      <c r="AH69" s="471"/>
      <c r="AI69" s="494"/>
    </row>
    <row r="70" spans="1:35" s="29" customFormat="1" ht="24" customHeight="1">
      <c r="A70" s="28"/>
      <c r="B70" s="28"/>
      <c r="C70" s="111"/>
      <c r="D70" s="112"/>
      <c r="E70" s="101"/>
      <c r="F70" s="264"/>
      <c r="G70" s="102"/>
      <c r="H70" s="118"/>
      <c r="I70" s="88" t="str">
        <f t="shared" si="0"/>
        <v/>
      </c>
      <c r="J70" s="52"/>
      <c r="K70" s="53"/>
      <c r="L70" s="54"/>
      <c r="M70" s="568"/>
      <c r="N70" s="569"/>
      <c r="O70" s="522"/>
      <c r="P70" s="208"/>
      <c r="Q70" s="209"/>
      <c r="R70" s="209"/>
      <c r="S70" s="209"/>
      <c r="T70" s="209"/>
      <c r="U70" s="209"/>
      <c r="V70" s="209"/>
      <c r="W70" s="209"/>
      <c r="X70" s="210"/>
      <c r="Y70" s="210"/>
      <c r="Z70" s="210"/>
      <c r="AA70" s="210"/>
      <c r="AB70" s="210"/>
      <c r="AC70" s="209"/>
      <c r="AD70" s="339"/>
      <c r="AE70" s="340"/>
      <c r="AF70" s="209"/>
      <c r="AG70" s="209"/>
      <c r="AH70" s="471"/>
      <c r="AI70" s="494"/>
    </row>
    <row r="71" spans="1:35" s="1" customFormat="1" ht="24" customHeight="1" thickBot="1">
      <c r="A71" s="28"/>
      <c r="B71" s="28"/>
      <c r="C71" s="90"/>
      <c r="D71" s="81" t="s">
        <v>9</v>
      </c>
      <c r="E71" s="91"/>
      <c r="F71" s="265"/>
      <c r="G71" s="104"/>
      <c r="H71" s="114" t="s">
        <v>96</v>
      </c>
      <c r="I71" s="92">
        <f>SUM(I53:I70)</f>
        <v>0</v>
      </c>
      <c r="J71" s="518" t="str">
        <f>IF(C52="部分撤去工事","）うち費用",")")</f>
        <v>)</v>
      </c>
      <c r="K71" s="520">
        <f>IF(C52="部分撤去工事",(K48+L71),0)</f>
        <v>0</v>
      </c>
      <c r="L71" s="519">
        <f>IF(C52="部分撤去工事",SUMIF(N53:N70,"費用",I53:I70),0)</f>
        <v>0</v>
      </c>
      <c r="M71" s="570"/>
      <c r="N71" s="571"/>
      <c r="O71" s="522"/>
      <c r="P71" s="208"/>
      <c r="Q71" s="209"/>
      <c r="R71" s="209"/>
      <c r="S71" s="209"/>
      <c r="T71" s="209"/>
      <c r="U71" s="209"/>
      <c r="V71" s="209"/>
      <c r="W71" s="209"/>
      <c r="X71" s="210"/>
      <c r="Y71" s="210"/>
      <c r="Z71" s="210"/>
      <c r="AA71" s="210"/>
      <c r="AB71" s="210"/>
      <c r="AC71" s="209"/>
      <c r="AD71" s="339"/>
      <c r="AE71" s="340"/>
      <c r="AF71" s="209"/>
      <c r="AG71" s="209"/>
      <c r="AH71" s="209"/>
      <c r="AI71" s="494"/>
    </row>
    <row r="72" spans="1:35" s="1" customFormat="1" ht="14.25" customHeight="1">
      <c r="A72" s="6"/>
      <c r="B72" s="6"/>
      <c r="E72" s="107" t="s">
        <v>92</v>
      </c>
      <c r="F72" s="108">
        <f>+F49+1</f>
        <v>1</v>
      </c>
      <c r="G72" s="109" t="s">
        <v>93</v>
      </c>
      <c r="H72" s="110">
        <f>+H49</f>
        <v>0</v>
      </c>
      <c r="I72" s="110"/>
      <c r="M72" s="523" t="str">
        <f>IF(A74="","EOL","")</f>
        <v>EOL</v>
      </c>
      <c r="N72" s="1">
        <f>+F72</f>
        <v>1</v>
      </c>
      <c r="O72" s="29"/>
      <c r="P72" s="29"/>
      <c r="Q72" s="29"/>
      <c r="R72" s="29"/>
      <c r="S72" s="29"/>
      <c r="T72" s="29"/>
      <c r="U72" s="29"/>
      <c r="V72" s="29"/>
      <c r="W72" s="29"/>
      <c r="X72" s="29"/>
      <c r="Y72" s="29"/>
      <c r="Z72" s="29"/>
      <c r="AI72" s="491"/>
    </row>
    <row r="73" spans="1:35">
      <c r="O73" s="30"/>
      <c r="P73" s="30"/>
      <c r="Q73" s="30"/>
      <c r="R73" s="30"/>
      <c r="S73" s="30"/>
      <c r="T73" s="30"/>
      <c r="U73" s="30"/>
      <c r="V73" s="30"/>
      <c r="W73" s="30"/>
      <c r="X73" s="30"/>
      <c r="Y73" s="30"/>
      <c r="Z73" s="30"/>
      <c r="AI73" s="495"/>
    </row>
    <row r="74" spans="1:35">
      <c r="O74" s="30"/>
      <c r="P74" s="30"/>
      <c r="Q74" s="30"/>
      <c r="R74" s="30"/>
      <c r="S74" s="30"/>
      <c r="T74" s="30"/>
      <c r="U74" s="30"/>
      <c r="V74" s="30"/>
      <c r="W74" s="30"/>
      <c r="X74" s="30"/>
      <c r="Y74" s="30"/>
      <c r="Z74" s="30"/>
      <c r="AI74" s="495"/>
    </row>
    <row r="75" spans="1:35">
      <c r="O75" s="30"/>
      <c r="P75" s="30"/>
      <c r="Q75" s="30"/>
      <c r="R75" s="30"/>
      <c r="S75" s="30"/>
      <c r="T75" s="30"/>
      <c r="U75" s="30"/>
      <c r="V75" s="30"/>
      <c r="W75" s="30"/>
      <c r="X75" s="30"/>
      <c r="Y75" s="30"/>
      <c r="Z75" s="30"/>
      <c r="AI75" s="495"/>
    </row>
    <row r="76" spans="1:35" s="29" customFormat="1" ht="24" customHeight="1">
      <c r="A76" s="28"/>
      <c r="B76" s="28"/>
      <c r="C76" s="111"/>
      <c r="D76" s="112"/>
      <c r="E76" s="101"/>
      <c r="F76" s="264"/>
      <c r="G76" s="102"/>
      <c r="H76" s="113"/>
      <c r="I76" s="88" t="str">
        <f>IF(F76="","",ROUNDDOWN(F76*H76,0))</f>
        <v/>
      </c>
      <c r="J76" s="52"/>
      <c r="K76" s="53"/>
      <c r="L76" s="54"/>
      <c r="O76" s="207"/>
      <c r="P76" s="208"/>
      <c r="Q76" s="209"/>
      <c r="R76" s="209"/>
      <c r="S76" s="209"/>
      <c r="T76" s="209"/>
      <c r="U76" s="209"/>
      <c r="V76" s="209"/>
      <c r="W76" s="210"/>
      <c r="X76" s="210"/>
      <c r="Y76" s="210"/>
      <c r="Z76" s="210"/>
      <c r="AA76" s="212"/>
      <c r="AB76" s="211"/>
      <c r="AC76" s="209"/>
      <c r="AD76" s="209"/>
      <c r="AE76" s="209"/>
      <c r="AF76" s="209"/>
      <c r="AG76" s="209"/>
      <c r="AH76" s="471"/>
      <c r="AI76" s="494"/>
    </row>
    <row r="77" spans="1:35" s="29" customFormat="1" ht="24" customHeight="1">
      <c r="A77" s="28"/>
      <c r="B77" s="28"/>
      <c r="C77" s="111"/>
      <c r="D77" s="112" t="s">
        <v>9</v>
      </c>
      <c r="E77" s="101"/>
      <c r="F77" s="264"/>
      <c r="G77" s="102"/>
      <c r="H77" s="113" t="s">
        <v>70</v>
      </c>
      <c r="I77" s="88"/>
      <c r="J77" s="52" t="s">
        <v>71</v>
      </c>
      <c r="K77" s="53"/>
      <c r="L77" s="54"/>
      <c r="O77" s="207"/>
      <c r="P77" s="208"/>
      <c r="Q77" s="209"/>
      <c r="R77" s="209"/>
      <c r="S77" s="209"/>
      <c r="T77" s="209"/>
      <c r="U77" s="209"/>
      <c r="V77" s="209"/>
      <c r="W77" s="210"/>
      <c r="X77" s="210"/>
      <c r="Y77" s="210"/>
      <c r="Z77" s="210"/>
      <c r="AA77" s="212"/>
      <c r="AB77" s="211"/>
      <c r="AC77" s="209"/>
      <c r="AD77" s="209"/>
      <c r="AE77" s="209"/>
      <c r="AF77" s="209"/>
      <c r="AG77" s="209"/>
      <c r="AH77" s="471"/>
      <c r="AI77" s="494"/>
    </row>
    <row r="78" spans="1:35" s="29" customFormat="1" ht="24" customHeight="1">
      <c r="A78" s="28"/>
      <c r="B78" s="28"/>
      <c r="C78" s="111"/>
      <c r="D78" s="112"/>
      <c r="E78" s="101"/>
      <c r="F78" s="264"/>
      <c r="G78" s="102"/>
      <c r="H78" s="113"/>
      <c r="I78" s="88"/>
      <c r="J78" s="52"/>
      <c r="K78" s="53"/>
      <c r="L78" s="54"/>
      <c r="O78" s="207"/>
      <c r="P78" s="208"/>
      <c r="Q78" s="209"/>
      <c r="R78" s="209"/>
      <c r="S78" s="209"/>
      <c r="T78" s="209"/>
      <c r="U78" s="209"/>
      <c r="V78" s="209"/>
      <c r="W78" s="210"/>
      <c r="X78" s="210"/>
      <c r="Y78" s="210"/>
      <c r="Z78" s="210"/>
      <c r="AA78" s="212"/>
      <c r="AB78" s="211"/>
      <c r="AC78" s="209"/>
      <c r="AD78" s="209"/>
      <c r="AE78" s="209"/>
      <c r="AF78" s="209"/>
      <c r="AG78" s="209"/>
      <c r="AH78" s="209"/>
      <c r="AI78" s="494"/>
    </row>
    <row r="81" spans="1:15" s="10" customFormat="1" ht="20.25" customHeight="1" thickBot="1">
      <c r="A81" s="1519" t="s">
        <v>15</v>
      </c>
      <c r="B81" s="1519"/>
      <c r="C81" s="1519"/>
      <c r="D81" s="1519"/>
      <c r="E81" s="1519"/>
      <c r="F81" s="1519"/>
      <c r="G81" s="1519"/>
      <c r="H81" s="1519"/>
      <c r="I81" s="1519"/>
      <c r="J81" s="1519"/>
      <c r="K81" s="1519"/>
      <c r="L81" s="1519"/>
      <c r="M81" s="1519"/>
      <c r="N81" s="14" t="s">
        <v>91</v>
      </c>
      <c r="O81" s="195">
        <f>+O54</f>
        <v>0</v>
      </c>
    </row>
    <row r="82" spans="1:15" s="14" customFormat="1" ht="20.25" customHeight="1">
      <c r="A82" s="11"/>
      <c r="B82" s="12" t="s">
        <v>16</v>
      </c>
      <c r="C82" s="13" t="s">
        <v>18</v>
      </c>
      <c r="D82" s="13"/>
      <c r="E82" s="63"/>
      <c r="F82" s="43"/>
      <c r="G82" s="58"/>
      <c r="H82" s="1520" t="s">
        <v>25</v>
      </c>
      <c r="I82" s="1521"/>
      <c r="J82" s="1521" t="s">
        <v>26</v>
      </c>
      <c r="K82" s="1522"/>
      <c r="L82" s="1521" t="s">
        <v>27</v>
      </c>
      <c r="M82" s="1523"/>
      <c r="N82" s="1517" t="str">
        <f>IF(G133="",IF(O106=I106,H82,IF(O106=K106,J82,L82)),N109)</f>
        <v>C:</v>
      </c>
      <c r="O82" s="1518"/>
    </row>
    <row r="83" spans="1:15" s="14" customFormat="1" ht="20.25" customHeight="1" thickBot="1">
      <c r="A83" s="15" t="s">
        <v>28</v>
      </c>
      <c r="B83" s="16" t="s">
        <v>17</v>
      </c>
      <c r="C83" s="17" t="s">
        <v>17</v>
      </c>
      <c r="D83" s="17" t="s">
        <v>19</v>
      </c>
      <c r="E83" s="64" t="s">
        <v>20</v>
      </c>
      <c r="F83" s="44" t="s">
        <v>21</v>
      </c>
      <c r="G83" s="59" t="s">
        <v>22</v>
      </c>
      <c r="H83" s="49" t="s">
        <v>23</v>
      </c>
      <c r="I83" s="50" t="s">
        <v>24</v>
      </c>
      <c r="J83" s="51" t="s">
        <v>23</v>
      </c>
      <c r="K83" s="50" t="s">
        <v>24</v>
      </c>
      <c r="L83" s="51" t="s">
        <v>23</v>
      </c>
      <c r="M83" s="50" t="s">
        <v>24</v>
      </c>
      <c r="N83" s="49" t="s">
        <v>29</v>
      </c>
      <c r="O83" s="68" t="s">
        <v>30</v>
      </c>
    </row>
    <row r="84" spans="1:15" s="10" customFormat="1" ht="20.25" customHeight="1">
      <c r="A84" s="40"/>
      <c r="B84" s="73"/>
      <c r="C84" s="74"/>
      <c r="D84" s="55"/>
      <c r="E84" s="65"/>
      <c r="F84" s="45"/>
      <c r="G84" s="60"/>
      <c r="H84" s="406"/>
      <c r="I84" s="407" t="str">
        <f t="shared" ref="I84:I105" si="1">IF(H84="","",ROUNDDOWN(H84*F84,0))</f>
        <v/>
      </c>
      <c r="J84" s="414"/>
      <c r="K84" s="407" t="str">
        <f t="shared" ref="K84:K105" si="2">IF(J84="","",ROUNDDOWN(J84*$F84,0))</f>
        <v/>
      </c>
      <c r="L84" s="414"/>
      <c r="M84" s="418" t="str">
        <f t="shared" ref="M84:M105" si="3">IF(L84="","",ROUNDDOWN(L84*$F84,0))</f>
        <v/>
      </c>
      <c r="N84" s="406" t="str">
        <f>IF(F84="","",INT(HLOOKUP(N82,H82:M105,3,FALSE)*O81))</f>
        <v/>
      </c>
      <c r="O84" s="422" t="str">
        <f t="shared" ref="O84:O105" si="4">IF(N84="","",IF(N84&lt;10,INT(N84),IF(N84&lt;10000,ROUNDDOWN(N84,-1),ROUNDDOWN(N84,-2))))</f>
        <v/>
      </c>
    </row>
    <row r="85" spans="1:15" s="10" customFormat="1" ht="20.25" customHeight="1">
      <c r="A85" s="41"/>
      <c r="B85" s="75"/>
      <c r="C85" s="76"/>
      <c r="D85" s="56"/>
      <c r="E85" s="66"/>
      <c r="F85" s="47"/>
      <c r="G85" s="61"/>
      <c r="H85" s="408"/>
      <c r="I85" s="409" t="str">
        <f t="shared" si="1"/>
        <v/>
      </c>
      <c r="J85" s="415"/>
      <c r="K85" s="409" t="str">
        <f t="shared" si="2"/>
        <v/>
      </c>
      <c r="L85" s="415"/>
      <c r="M85" s="419" t="str">
        <f t="shared" si="3"/>
        <v/>
      </c>
      <c r="N85" s="408" t="str">
        <f>IF(F85="","",INT(HLOOKUP(N82,H82:M105,4,FALSE)*O81))</f>
        <v/>
      </c>
      <c r="O85" s="423" t="str">
        <f t="shared" si="4"/>
        <v/>
      </c>
    </row>
    <row r="86" spans="1:15" s="10" customFormat="1" ht="20.25" customHeight="1">
      <c r="A86" s="41"/>
      <c r="B86" s="75"/>
      <c r="C86" s="76"/>
      <c r="D86" s="56"/>
      <c r="E86" s="66"/>
      <c r="F86" s="47"/>
      <c r="G86" s="61"/>
      <c r="H86" s="408"/>
      <c r="I86" s="409" t="str">
        <f t="shared" si="1"/>
        <v/>
      </c>
      <c r="J86" s="415"/>
      <c r="K86" s="409" t="str">
        <f t="shared" si="2"/>
        <v/>
      </c>
      <c r="L86" s="415"/>
      <c r="M86" s="419" t="str">
        <f t="shared" si="3"/>
        <v/>
      </c>
      <c r="N86" s="408" t="str">
        <f>IF(F86="","",INT(HLOOKUP(N82,H82:M105,5,FALSE)*O81))</f>
        <v/>
      </c>
      <c r="O86" s="423" t="str">
        <f t="shared" si="4"/>
        <v/>
      </c>
    </row>
    <row r="87" spans="1:15" s="10" customFormat="1" ht="20.25" customHeight="1">
      <c r="A87" s="41"/>
      <c r="B87" s="75"/>
      <c r="C87" s="76"/>
      <c r="D87" s="56"/>
      <c r="E87" s="66"/>
      <c r="F87" s="47"/>
      <c r="G87" s="61"/>
      <c r="H87" s="408"/>
      <c r="I87" s="409" t="str">
        <f t="shared" si="1"/>
        <v/>
      </c>
      <c r="J87" s="415"/>
      <c r="K87" s="409" t="str">
        <f t="shared" si="2"/>
        <v/>
      </c>
      <c r="L87" s="415"/>
      <c r="M87" s="419" t="str">
        <f t="shared" si="3"/>
        <v/>
      </c>
      <c r="N87" s="408" t="str">
        <f>IF(F87="","",INT(HLOOKUP(N82,H82:M105,6,FALSE)*O81))</f>
        <v/>
      </c>
      <c r="O87" s="423" t="str">
        <f t="shared" si="4"/>
        <v/>
      </c>
    </row>
    <row r="88" spans="1:15" s="10" customFormat="1" ht="20.25" customHeight="1">
      <c r="A88" s="41"/>
      <c r="B88" s="75"/>
      <c r="C88" s="76"/>
      <c r="D88" s="56"/>
      <c r="E88" s="66"/>
      <c r="F88" s="47"/>
      <c r="G88" s="61"/>
      <c r="H88" s="408"/>
      <c r="I88" s="409" t="str">
        <f t="shared" si="1"/>
        <v/>
      </c>
      <c r="J88" s="415"/>
      <c r="K88" s="409" t="str">
        <f t="shared" si="2"/>
        <v/>
      </c>
      <c r="L88" s="415"/>
      <c r="M88" s="419" t="str">
        <f t="shared" si="3"/>
        <v/>
      </c>
      <c r="N88" s="408" t="str">
        <f>IF(F88="","",INT(HLOOKUP(N82,H82:M105,7,FALSE)*O81))</f>
        <v/>
      </c>
      <c r="O88" s="423" t="str">
        <f t="shared" si="4"/>
        <v/>
      </c>
    </row>
    <row r="89" spans="1:15" s="10" customFormat="1" ht="20.25" customHeight="1">
      <c r="A89" s="41"/>
      <c r="B89" s="75"/>
      <c r="C89" s="76"/>
      <c r="D89" s="56"/>
      <c r="E89" s="66"/>
      <c r="F89" s="47"/>
      <c r="G89" s="61"/>
      <c r="H89" s="408"/>
      <c r="I89" s="409" t="str">
        <f t="shared" si="1"/>
        <v/>
      </c>
      <c r="J89" s="415"/>
      <c r="K89" s="409" t="str">
        <f t="shared" si="2"/>
        <v/>
      </c>
      <c r="L89" s="415"/>
      <c r="M89" s="419" t="str">
        <f t="shared" si="3"/>
        <v/>
      </c>
      <c r="N89" s="408" t="str">
        <f>IF(F89="","",INT(HLOOKUP(N82,H82:M105,8,FALSE)*O81))</f>
        <v/>
      </c>
      <c r="O89" s="423" t="str">
        <f t="shared" si="4"/>
        <v/>
      </c>
    </row>
    <row r="90" spans="1:15" s="10" customFormat="1" ht="20.25" customHeight="1">
      <c r="A90" s="41"/>
      <c r="B90" s="75"/>
      <c r="C90" s="76"/>
      <c r="D90" s="56"/>
      <c r="E90" s="66"/>
      <c r="F90" s="47"/>
      <c r="G90" s="61"/>
      <c r="H90" s="408"/>
      <c r="I90" s="409" t="str">
        <f t="shared" si="1"/>
        <v/>
      </c>
      <c r="J90" s="415"/>
      <c r="K90" s="409" t="str">
        <f t="shared" si="2"/>
        <v/>
      </c>
      <c r="L90" s="415"/>
      <c r="M90" s="419" t="str">
        <f t="shared" si="3"/>
        <v/>
      </c>
      <c r="N90" s="408" t="str">
        <f>IF(F90="","",INT(HLOOKUP(N82,H82:M105,9,FALSE)*O81))</f>
        <v/>
      </c>
      <c r="O90" s="423" t="str">
        <f t="shared" si="4"/>
        <v/>
      </c>
    </row>
    <row r="91" spans="1:15" s="10" customFormat="1" ht="20.25" customHeight="1">
      <c r="A91" s="41"/>
      <c r="B91" s="75"/>
      <c r="C91" s="76"/>
      <c r="D91" s="56"/>
      <c r="E91" s="66"/>
      <c r="F91" s="47"/>
      <c r="G91" s="61"/>
      <c r="H91" s="408"/>
      <c r="I91" s="409" t="str">
        <f t="shared" si="1"/>
        <v/>
      </c>
      <c r="J91" s="415"/>
      <c r="K91" s="409" t="str">
        <f t="shared" si="2"/>
        <v/>
      </c>
      <c r="L91" s="415"/>
      <c r="M91" s="419" t="str">
        <f t="shared" si="3"/>
        <v/>
      </c>
      <c r="N91" s="408" t="str">
        <f>IF(F91="","",INT(HLOOKUP(N82,H82:M105,10,FALSE)*O81))</f>
        <v/>
      </c>
      <c r="O91" s="423" t="str">
        <f t="shared" si="4"/>
        <v/>
      </c>
    </row>
    <row r="92" spans="1:15" s="10" customFormat="1" ht="20.25" customHeight="1">
      <c r="A92" s="41"/>
      <c r="B92" s="75"/>
      <c r="C92" s="76"/>
      <c r="D92" s="56"/>
      <c r="E92" s="66"/>
      <c r="F92" s="47"/>
      <c r="G92" s="61"/>
      <c r="H92" s="408"/>
      <c r="I92" s="409" t="str">
        <f t="shared" si="1"/>
        <v/>
      </c>
      <c r="J92" s="415"/>
      <c r="K92" s="409" t="str">
        <f t="shared" si="2"/>
        <v/>
      </c>
      <c r="L92" s="415"/>
      <c r="M92" s="419" t="str">
        <f t="shared" si="3"/>
        <v/>
      </c>
      <c r="N92" s="408" t="str">
        <f>IF(F92="","",INT(HLOOKUP(N82,H82:M105,11,FALSE)*O81))</f>
        <v/>
      </c>
      <c r="O92" s="423" t="str">
        <f t="shared" si="4"/>
        <v/>
      </c>
    </row>
    <row r="93" spans="1:15" s="10" customFormat="1" ht="20.25" customHeight="1">
      <c r="A93" s="41"/>
      <c r="B93" s="75"/>
      <c r="C93" s="76"/>
      <c r="D93" s="56"/>
      <c r="E93" s="66"/>
      <c r="F93" s="47"/>
      <c r="G93" s="61"/>
      <c r="H93" s="408"/>
      <c r="I93" s="409" t="str">
        <f t="shared" si="1"/>
        <v/>
      </c>
      <c r="J93" s="415"/>
      <c r="K93" s="409" t="str">
        <f t="shared" si="2"/>
        <v/>
      </c>
      <c r="L93" s="415"/>
      <c r="M93" s="419" t="str">
        <f t="shared" si="3"/>
        <v/>
      </c>
      <c r="N93" s="408" t="str">
        <f>IF(F93="","",INT(HLOOKUP(N82,H82:M105,12,FALSE)*O81))</f>
        <v/>
      </c>
      <c r="O93" s="423" t="str">
        <f t="shared" si="4"/>
        <v/>
      </c>
    </row>
    <row r="94" spans="1:15" s="10" customFormat="1" ht="20.25" customHeight="1">
      <c r="A94" s="41"/>
      <c r="B94" s="75"/>
      <c r="C94" s="76"/>
      <c r="D94" s="56"/>
      <c r="E94" s="66"/>
      <c r="F94" s="47"/>
      <c r="G94" s="61"/>
      <c r="H94" s="408"/>
      <c r="I94" s="409" t="str">
        <f t="shared" si="1"/>
        <v/>
      </c>
      <c r="J94" s="415"/>
      <c r="K94" s="409" t="str">
        <f t="shared" si="2"/>
        <v/>
      </c>
      <c r="L94" s="415"/>
      <c r="M94" s="419" t="str">
        <f t="shared" si="3"/>
        <v/>
      </c>
      <c r="N94" s="408" t="str">
        <f>IF(F94="","",INT(HLOOKUP(N82,H82:M105,13,FALSE)*O81))</f>
        <v/>
      </c>
      <c r="O94" s="423" t="str">
        <f t="shared" si="4"/>
        <v/>
      </c>
    </row>
    <row r="95" spans="1:15" s="10" customFormat="1" ht="20.25" customHeight="1">
      <c r="A95" s="41"/>
      <c r="B95" s="75"/>
      <c r="C95" s="76"/>
      <c r="D95" s="56"/>
      <c r="E95" s="66"/>
      <c r="F95" s="47"/>
      <c r="G95" s="61"/>
      <c r="H95" s="408"/>
      <c r="I95" s="409" t="str">
        <f t="shared" si="1"/>
        <v/>
      </c>
      <c r="J95" s="415"/>
      <c r="K95" s="409" t="str">
        <f t="shared" si="2"/>
        <v/>
      </c>
      <c r="L95" s="415"/>
      <c r="M95" s="419" t="str">
        <f t="shared" si="3"/>
        <v/>
      </c>
      <c r="N95" s="408" t="str">
        <f>IF(F95="","",INT(HLOOKUP(N82,H82:M105,14,FALSE)*O81))</f>
        <v/>
      </c>
      <c r="O95" s="423" t="str">
        <f t="shared" si="4"/>
        <v/>
      </c>
    </row>
    <row r="96" spans="1:15" s="10" customFormat="1" ht="20.25" customHeight="1">
      <c r="A96" s="41"/>
      <c r="B96" s="75"/>
      <c r="C96" s="76"/>
      <c r="D96" s="56"/>
      <c r="E96" s="66"/>
      <c r="F96" s="47"/>
      <c r="G96" s="61"/>
      <c r="H96" s="408"/>
      <c r="I96" s="409" t="str">
        <f t="shared" si="1"/>
        <v/>
      </c>
      <c r="J96" s="415"/>
      <c r="K96" s="409" t="str">
        <f t="shared" si="2"/>
        <v/>
      </c>
      <c r="L96" s="415"/>
      <c r="M96" s="419" t="str">
        <f t="shared" si="3"/>
        <v/>
      </c>
      <c r="N96" s="408" t="str">
        <f>IF(F96="","",INT(HLOOKUP(N82,H82:M105,15,FALSE)*O81))</f>
        <v/>
      </c>
      <c r="O96" s="423" t="str">
        <f t="shared" si="4"/>
        <v/>
      </c>
    </row>
    <row r="97" spans="1:19" s="10" customFormat="1" ht="20.25" customHeight="1">
      <c r="A97" s="41"/>
      <c r="B97" s="75"/>
      <c r="C97" s="76"/>
      <c r="D97" s="56"/>
      <c r="E97" s="66"/>
      <c r="F97" s="47"/>
      <c r="G97" s="61"/>
      <c r="H97" s="408"/>
      <c r="I97" s="409" t="str">
        <f t="shared" si="1"/>
        <v/>
      </c>
      <c r="J97" s="415"/>
      <c r="K97" s="409" t="str">
        <f t="shared" si="2"/>
        <v/>
      </c>
      <c r="L97" s="415"/>
      <c r="M97" s="419" t="str">
        <f t="shared" si="3"/>
        <v/>
      </c>
      <c r="N97" s="408" t="str">
        <f>IF(F97="","",INT(HLOOKUP(N82,H82:M105,16,FALSE)*O81))</f>
        <v/>
      </c>
      <c r="O97" s="423" t="str">
        <f t="shared" si="4"/>
        <v/>
      </c>
    </row>
    <row r="98" spans="1:19" s="10" customFormat="1" ht="20.25" customHeight="1">
      <c r="A98" s="41"/>
      <c r="B98" s="75"/>
      <c r="C98" s="76"/>
      <c r="D98" s="56"/>
      <c r="E98" s="66"/>
      <c r="F98" s="47"/>
      <c r="G98" s="61"/>
      <c r="H98" s="408"/>
      <c r="I98" s="409" t="str">
        <f t="shared" si="1"/>
        <v/>
      </c>
      <c r="J98" s="415"/>
      <c r="K98" s="409" t="str">
        <f t="shared" si="2"/>
        <v/>
      </c>
      <c r="L98" s="415"/>
      <c r="M98" s="419" t="str">
        <f t="shared" si="3"/>
        <v/>
      </c>
      <c r="N98" s="408" t="str">
        <f>IF(F98="","",INT(HLOOKUP(N82,H82:M105,17,FALSE)*O81))</f>
        <v/>
      </c>
      <c r="O98" s="423" t="str">
        <f t="shared" si="4"/>
        <v/>
      </c>
    </row>
    <row r="99" spans="1:19" s="10" customFormat="1" ht="20.25" customHeight="1">
      <c r="A99" s="41"/>
      <c r="B99" s="75"/>
      <c r="C99" s="76"/>
      <c r="D99" s="56"/>
      <c r="E99" s="66"/>
      <c r="F99" s="47"/>
      <c r="G99" s="61"/>
      <c r="H99" s="408"/>
      <c r="I99" s="409" t="str">
        <f t="shared" si="1"/>
        <v/>
      </c>
      <c r="J99" s="415"/>
      <c r="K99" s="409" t="str">
        <f t="shared" si="2"/>
        <v/>
      </c>
      <c r="L99" s="415"/>
      <c r="M99" s="419" t="str">
        <f t="shared" si="3"/>
        <v/>
      </c>
      <c r="N99" s="408" t="str">
        <f>IF(F99="","",INT(HLOOKUP(N82,H82:M105,18,FALSE)*O81))</f>
        <v/>
      </c>
      <c r="O99" s="423" t="str">
        <f t="shared" si="4"/>
        <v/>
      </c>
    </row>
    <row r="100" spans="1:19" s="10" customFormat="1" ht="20.25" customHeight="1">
      <c r="A100" s="41"/>
      <c r="B100" s="75"/>
      <c r="C100" s="76"/>
      <c r="D100" s="56"/>
      <c r="E100" s="66"/>
      <c r="F100" s="47"/>
      <c r="G100" s="61"/>
      <c r="H100" s="408"/>
      <c r="I100" s="409" t="str">
        <f t="shared" si="1"/>
        <v/>
      </c>
      <c r="J100" s="415"/>
      <c r="K100" s="409" t="str">
        <f t="shared" si="2"/>
        <v/>
      </c>
      <c r="L100" s="415"/>
      <c r="M100" s="419" t="str">
        <f t="shared" si="3"/>
        <v/>
      </c>
      <c r="N100" s="408" t="str">
        <f>IF(F100="","",INT(HLOOKUP(N82,H82:M105,19,FALSE)*O81))</f>
        <v/>
      </c>
      <c r="O100" s="423" t="str">
        <f t="shared" si="4"/>
        <v/>
      </c>
    </row>
    <row r="101" spans="1:19" s="10" customFormat="1" ht="20.25" customHeight="1">
      <c r="A101" s="41"/>
      <c r="B101" s="75"/>
      <c r="C101" s="76"/>
      <c r="D101" s="56"/>
      <c r="E101" s="66"/>
      <c r="F101" s="47"/>
      <c r="G101" s="61"/>
      <c r="H101" s="408"/>
      <c r="I101" s="409" t="str">
        <f t="shared" si="1"/>
        <v/>
      </c>
      <c r="J101" s="415"/>
      <c r="K101" s="409" t="str">
        <f t="shared" si="2"/>
        <v/>
      </c>
      <c r="L101" s="415"/>
      <c r="M101" s="419" t="str">
        <f t="shared" si="3"/>
        <v/>
      </c>
      <c r="N101" s="408" t="str">
        <f>IF(F101="","",INT(HLOOKUP(N82,H82:M105,20,FALSE)*O81))</f>
        <v/>
      </c>
      <c r="O101" s="423" t="str">
        <f t="shared" si="4"/>
        <v/>
      </c>
    </row>
    <row r="102" spans="1:19" s="10" customFormat="1" ht="20.25" customHeight="1">
      <c r="A102" s="41"/>
      <c r="B102" s="75"/>
      <c r="C102" s="76"/>
      <c r="D102" s="56"/>
      <c r="E102" s="66"/>
      <c r="F102" s="47"/>
      <c r="G102" s="61"/>
      <c r="H102" s="408"/>
      <c r="I102" s="409" t="str">
        <f t="shared" si="1"/>
        <v/>
      </c>
      <c r="J102" s="415"/>
      <c r="K102" s="409" t="str">
        <f t="shared" si="2"/>
        <v/>
      </c>
      <c r="L102" s="415"/>
      <c r="M102" s="419" t="str">
        <f t="shared" si="3"/>
        <v/>
      </c>
      <c r="N102" s="408" t="str">
        <f>IF(F102="","",INT(HLOOKUP(N82,H82:M105,21,FALSE)*O81))</f>
        <v/>
      </c>
      <c r="O102" s="423" t="str">
        <f t="shared" si="4"/>
        <v/>
      </c>
    </row>
    <row r="103" spans="1:19" s="10" customFormat="1" ht="20.25" customHeight="1">
      <c r="A103" s="41"/>
      <c r="B103" s="75"/>
      <c r="C103" s="76"/>
      <c r="D103" s="56"/>
      <c r="E103" s="66"/>
      <c r="F103" s="47"/>
      <c r="G103" s="61"/>
      <c r="H103" s="408"/>
      <c r="I103" s="409" t="str">
        <f t="shared" si="1"/>
        <v/>
      </c>
      <c r="J103" s="415"/>
      <c r="K103" s="409" t="str">
        <f t="shared" si="2"/>
        <v/>
      </c>
      <c r="L103" s="415"/>
      <c r="M103" s="419" t="str">
        <f t="shared" si="3"/>
        <v/>
      </c>
      <c r="N103" s="408" t="str">
        <f>IF(F103="","",INT(HLOOKUP(N82,H82:M105,22,FALSE)*O81))</f>
        <v/>
      </c>
      <c r="O103" s="423" t="str">
        <f t="shared" si="4"/>
        <v/>
      </c>
    </row>
    <row r="104" spans="1:19" s="10" customFormat="1" ht="20.25" customHeight="1">
      <c r="A104" s="41"/>
      <c r="B104" s="75"/>
      <c r="C104" s="76"/>
      <c r="D104" s="56"/>
      <c r="E104" s="66"/>
      <c r="F104" s="47"/>
      <c r="G104" s="61"/>
      <c r="H104" s="408"/>
      <c r="I104" s="409" t="str">
        <f t="shared" si="1"/>
        <v/>
      </c>
      <c r="J104" s="415"/>
      <c r="K104" s="409" t="str">
        <f t="shared" si="2"/>
        <v/>
      </c>
      <c r="L104" s="415"/>
      <c r="M104" s="419" t="str">
        <f t="shared" si="3"/>
        <v/>
      </c>
      <c r="N104" s="408" t="str">
        <f>IF(F104="","",INT(HLOOKUP(N82,H82:M105,23,FALSE)*O81))</f>
        <v/>
      </c>
      <c r="O104" s="423" t="str">
        <f t="shared" si="4"/>
        <v/>
      </c>
    </row>
    <row r="105" spans="1:19" s="10" customFormat="1" ht="20.25" customHeight="1" thickBot="1">
      <c r="A105" s="42"/>
      <c r="B105" s="77"/>
      <c r="C105" s="78"/>
      <c r="D105" s="57"/>
      <c r="E105" s="67"/>
      <c r="F105" s="48"/>
      <c r="G105" s="62"/>
      <c r="H105" s="410"/>
      <c r="I105" s="411" t="str">
        <f t="shared" si="1"/>
        <v/>
      </c>
      <c r="J105" s="416"/>
      <c r="K105" s="411" t="str">
        <f t="shared" si="2"/>
        <v/>
      </c>
      <c r="L105" s="416"/>
      <c r="M105" s="420" t="str">
        <f t="shared" si="3"/>
        <v/>
      </c>
      <c r="N105" s="410" t="str">
        <f>IF(F105="","",INT(HLOOKUP(N82,H82:M105,24,FALSE)*O81))</f>
        <v/>
      </c>
      <c r="O105" s="424" t="str">
        <f t="shared" si="4"/>
        <v/>
      </c>
    </row>
    <row r="106" spans="1:19" s="10" customFormat="1" ht="20.25" customHeight="1" thickTop="1" thickBot="1">
      <c r="A106" s="18"/>
      <c r="B106" s="19"/>
      <c r="C106" s="19"/>
      <c r="D106" s="20" t="str">
        <f>IF(G106="","合      計","")</f>
        <v>合      計</v>
      </c>
      <c r="E106" s="21" t="s">
        <v>66</v>
      </c>
      <c r="F106" s="21"/>
      <c r="G106" s="39"/>
      <c r="H106" s="412"/>
      <c r="I106" s="413" t="str">
        <f>IF($G106="",IF(SUM(I84:I105)=0,"",SUM(I84:I105)),IF(I79="","",SUM(I84:I105)+I79))</f>
        <v/>
      </c>
      <c r="J106" s="417"/>
      <c r="K106" s="413" t="str">
        <f>IF(G106="",IF(SUM(K84:K105)=0,"",SUM(K84:K105)),IF(K79="","",SUM(K84:K105)+K79))</f>
        <v/>
      </c>
      <c r="L106" s="417"/>
      <c r="M106" s="421" t="str">
        <f>IF(G106="",IF(SUM(M84:M105)=0,"",SUM(M84:M105)),IF(M79="","",SUM(M84:M105)+M79))</f>
        <v/>
      </c>
      <c r="N106" s="425" t="s">
        <v>31</v>
      </c>
      <c r="O106" s="426">
        <f>IF(G133="",MIN(I106,K106,M106),"")</f>
        <v>0</v>
      </c>
    </row>
    <row r="107" spans="1:19" s="10" customFormat="1" ht="20.25" customHeight="1">
      <c r="A107" s="14"/>
      <c r="B107" s="14"/>
      <c r="C107" s="14"/>
      <c r="G107" s="14"/>
      <c r="H107" s="22"/>
      <c r="I107" s="22"/>
      <c r="J107" s="22"/>
      <c r="K107" s="22"/>
      <c r="L107" s="22"/>
      <c r="M107" s="22"/>
      <c r="N107" s="10" t="str">
        <f>IF(B109="","EOL","")</f>
        <v>EOL</v>
      </c>
      <c r="O107" s="22">
        <f>+O80+1</f>
        <v>1</v>
      </c>
    </row>
    <row r="110" spans="1:19" s="10" customFormat="1" ht="20.25" customHeight="1" thickBot="1">
      <c r="A110" s="1558" t="s">
        <v>231</v>
      </c>
      <c r="B110" s="1558"/>
      <c r="C110" s="1558"/>
      <c r="D110" s="1558"/>
      <c r="E110" s="1558"/>
      <c r="F110" s="1558"/>
      <c r="G110" s="1558"/>
      <c r="H110" s="1558"/>
      <c r="I110" s="1558"/>
      <c r="J110" s="1558"/>
      <c r="K110" s="1558"/>
      <c r="L110" s="1558"/>
      <c r="M110" s="217" t="s">
        <v>198</v>
      </c>
      <c r="N110" s="1559" t="s">
        <v>199</v>
      </c>
      <c r="O110" s="1559"/>
      <c r="P110" s="1559"/>
      <c r="Q110" s="218"/>
      <c r="S110" s="1"/>
    </row>
    <row r="111" spans="1:19" s="14" customFormat="1" ht="20.25" customHeight="1">
      <c r="A111" s="281"/>
      <c r="B111" s="280"/>
      <c r="C111" s="280"/>
      <c r="D111" s="1548" t="s">
        <v>200</v>
      </c>
      <c r="E111" s="1548"/>
      <c r="F111" s="1548"/>
      <c r="G111" s="1549"/>
      <c r="H111" s="220" t="s">
        <v>232</v>
      </c>
      <c r="I111" s="221" t="s">
        <v>233</v>
      </c>
      <c r="J111" s="1550" t="s">
        <v>203</v>
      </c>
      <c r="K111" s="1551"/>
      <c r="L111" s="1551"/>
      <c r="M111" s="1551"/>
      <c r="N111" s="1551"/>
      <c r="O111" s="1551"/>
      <c r="P111" s="1551"/>
      <c r="Q111" s="1552"/>
    </row>
    <row r="112" spans="1:19" s="14" customFormat="1" ht="20.25" customHeight="1" thickBot="1">
      <c r="A112" s="282"/>
      <c r="B112" s="283"/>
      <c r="C112" s="283"/>
      <c r="D112" s="284"/>
      <c r="E112" s="285" t="s">
        <v>234</v>
      </c>
      <c r="F112" s="1553">
        <v>1</v>
      </c>
      <c r="G112" s="1554"/>
      <c r="H112" s="286"/>
      <c r="I112" s="286"/>
      <c r="J112" s="1555" t="s">
        <v>235</v>
      </c>
      <c r="K112" s="1556"/>
      <c r="L112" s="1556"/>
      <c r="M112" s="1556"/>
      <c r="N112" s="1556"/>
      <c r="O112" s="1556"/>
      <c r="P112" s="1556"/>
      <c r="Q112" s="1557"/>
    </row>
    <row r="113" spans="1:17" s="10" customFormat="1" ht="20.25" customHeight="1">
      <c r="A113" s="287" t="s">
        <v>236</v>
      </c>
      <c r="B113" s="288" t="s">
        <v>237</v>
      </c>
      <c r="C113" s="289" t="s">
        <v>238</v>
      </c>
      <c r="D113" s="290"/>
      <c r="E113" s="291"/>
      <c r="F113" s="291"/>
      <c r="G113" s="292"/>
      <c r="H113" s="220" t="s">
        <v>201</v>
      </c>
      <c r="I113" s="221" t="s">
        <v>202</v>
      </c>
      <c r="J113" s="222" t="s">
        <v>16</v>
      </c>
      <c r="K113" s="219" t="s">
        <v>18</v>
      </c>
      <c r="L113" s="293"/>
      <c r="M113" s="294"/>
      <c r="N113" s="295"/>
      <c r="O113" s="296"/>
      <c r="P113" s="221" t="s">
        <v>204</v>
      </c>
      <c r="Q113" s="297">
        <f>IF(I112=0,0,H112/I112*F112)</f>
        <v>0</v>
      </c>
    </row>
    <row r="114" spans="1:17" s="10" customFormat="1" ht="20.25" customHeight="1" thickBot="1">
      <c r="A114" s="223" t="s">
        <v>205</v>
      </c>
      <c r="B114" s="224" t="s">
        <v>17</v>
      </c>
      <c r="C114" s="225" t="s">
        <v>17</v>
      </c>
      <c r="D114" s="226" t="s">
        <v>19</v>
      </c>
      <c r="E114" s="227" t="s">
        <v>20</v>
      </c>
      <c r="F114" s="298" t="s">
        <v>21</v>
      </c>
      <c r="G114" s="299" t="s">
        <v>22</v>
      </c>
      <c r="H114" s="228" t="s">
        <v>239</v>
      </c>
      <c r="I114" s="229" t="s">
        <v>23</v>
      </c>
      <c r="J114" s="230" t="s">
        <v>17</v>
      </c>
      <c r="K114" s="224" t="s">
        <v>17</v>
      </c>
      <c r="L114" s="231" t="s">
        <v>19</v>
      </c>
      <c r="M114" s="227" t="s">
        <v>20</v>
      </c>
      <c r="N114" s="298" t="s">
        <v>21</v>
      </c>
      <c r="O114" s="299" t="s">
        <v>22</v>
      </c>
      <c r="P114" s="229" t="s">
        <v>23</v>
      </c>
      <c r="Q114" s="232" t="s">
        <v>30</v>
      </c>
    </row>
    <row r="115" spans="1:17" s="10" customFormat="1" ht="20.25" customHeight="1">
      <c r="A115" s="233"/>
      <c r="B115" s="234"/>
      <c r="C115" s="235"/>
      <c r="D115" s="236"/>
      <c r="E115" s="237"/>
      <c r="F115" s="238"/>
      <c r="G115" s="239"/>
      <c r="H115" s="300"/>
      <c r="I115" s="240"/>
      <c r="J115" s="241"/>
      <c r="K115" s="235"/>
      <c r="L115" s="236"/>
      <c r="M115" s="237"/>
      <c r="N115" s="238"/>
      <c r="O115" s="239"/>
      <c r="P115" s="240"/>
      <c r="Q115" s="242" t="str">
        <f>IF(P115="","",IF(I115&lt;&gt;"",IF((P115/I115*H115)&lt;10,INT(P115/I115*H115),IF((P115/I115*H115)&lt;10000,ROUNDDOWN(P115/I115*H115,-1),ROUNDDOWN(P115/I115*H115,-2))),IF((P115*Q113)&lt;10,INT(P115*Q113),IF((P115*Q113)&lt;10000,ROUNDDOWN(P115*Q113,-1),ROUNDDOWN(P115*Q113,-2)))))</f>
        <v/>
      </c>
    </row>
    <row r="116" spans="1:17" s="10" customFormat="1" ht="20.25" customHeight="1">
      <c r="A116" s="243"/>
      <c r="B116" s="244"/>
      <c r="C116" s="245"/>
      <c r="D116" s="246"/>
      <c r="E116" s="247"/>
      <c r="F116" s="248"/>
      <c r="G116" s="249"/>
      <c r="H116" s="301"/>
      <c r="I116" s="250"/>
      <c r="J116" s="251"/>
      <c r="K116" s="245"/>
      <c r="L116" s="246"/>
      <c r="M116" s="247"/>
      <c r="N116" s="248"/>
      <c r="O116" s="249"/>
      <c r="P116" s="250"/>
      <c r="Q116" s="252" t="str">
        <f>IF(P116="","",IF(I116&lt;&gt;"",IF((P116/I116*H116)&lt;10,INT(P116/I116*H116),IF((P116/I116*H116)&lt;10000,ROUNDDOWN(P116/I116*H116,-1),ROUNDDOWN(P116/I116*H116,-2))),IF((P116*Q113)&lt;10,INT(P116*Q113),IF((P116*Q113)&lt;10000,ROUNDDOWN(P116*Q113,-1),ROUNDDOWN(P116*Q113,-2)))))</f>
        <v/>
      </c>
    </row>
    <row r="117" spans="1:17" s="10" customFormat="1" ht="20.25" customHeight="1">
      <c r="A117" s="243"/>
      <c r="B117" s="244"/>
      <c r="C117" s="245"/>
      <c r="D117" s="246"/>
      <c r="E117" s="247"/>
      <c r="F117" s="248"/>
      <c r="G117" s="249"/>
      <c r="H117" s="301"/>
      <c r="I117" s="250"/>
      <c r="J117" s="251"/>
      <c r="K117" s="245"/>
      <c r="L117" s="246"/>
      <c r="M117" s="247"/>
      <c r="N117" s="248"/>
      <c r="O117" s="249"/>
      <c r="P117" s="250"/>
      <c r="Q117" s="252" t="str">
        <f>IF(P117="","",IF(I117&lt;&gt;"",IF((P117/I117*H117)&lt;10,INT(P117/I117*H117),IF((P117/I117*H117)&lt;10000,ROUNDDOWN(P117/I117*H117,-1),ROUNDDOWN(P117/I117*H117,-2))),IF((P117*Q113)&lt;10,INT(P117*Q113),IF((P117*Q113)&lt;10000,ROUNDDOWN(P117*Q113,-1),ROUNDDOWN(P117*Q113,-2)))))</f>
        <v/>
      </c>
    </row>
    <row r="118" spans="1:17" s="10" customFormat="1" ht="20.25" customHeight="1">
      <c r="A118" s="243"/>
      <c r="B118" s="244"/>
      <c r="C118" s="245"/>
      <c r="D118" s="246"/>
      <c r="E118" s="247"/>
      <c r="F118" s="248"/>
      <c r="G118" s="249"/>
      <c r="H118" s="301"/>
      <c r="I118" s="250"/>
      <c r="J118" s="251"/>
      <c r="K118" s="245"/>
      <c r="L118" s="246"/>
      <c r="M118" s="247"/>
      <c r="N118" s="248"/>
      <c r="O118" s="249"/>
      <c r="P118" s="250"/>
      <c r="Q118" s="252" t="str">
        <f>IF(P118="","",IF(I118&lt;&gt;"",IF((P118/I118*H118)&lt;10,INT(P118/I118*H118),IF((P118/I118*H118)&lt;10000,ROUNDDOWN(P118/I118*H118,-1),ROUNDDOWN(P118/I118*H118,-2))),IF((P118*Q113)&lt;10,INT(P118*Q113),IF((P118*Q113)&lt;10000,ROUNDDOWN(P118*Q113,-1),ROUNDDOWN(P118*Q113,-2)))))</f>
        <v/>
      </c>
    </row>
    <row r="119" spans="1:17" s="10" customFormat="1" ht="20.25" customHeight="1">
      <c r="A119" s="243"/>
      <c r="B119" s="244"/>
      <c r="C119" s="245"/>
      <c r="D119" s="246"/>
      <c r="E119" s="247"/>
      <c r="F119" s="248"/>
      <c r="G119" s="249"/>
      <c r="H119" s="301"/>
      <c r="I119" s="250"/>
      <c r="J119" s="251"/>
      <c r="K119" s="245"/>
      <c r="L119" s="246"/>
      <c r="M119" s="247"/>
      <c r="N119" s="248"/>
      <c r="O119" s="249"/>
      <c r="P119" s="250"/>
      <c r="Q119" s="252" t="str">
        <f>IF(P119="","",IF(I119&lt;&gt;"",IF((P119/I119*H119)&lt;10,INT(P119/I119*H119),IF((P119/I119*H119)&lt;10000,ROUNDDOWN(P119/I119*H119,-1),ROUNDDOWN(P119/I119*H119,-2))),IF((P119*Q113)&lt;10,INT(P119*Q113),IF((P119*Q113)&lt;10000,ROUNDDOWN(P119*Q113,-1),ROUNDDOWN(P119*Q113,-2)))))</f>
        <v/>
      </c>
    </row>
    <row r="120" spans="1:17" s="10" customFormat="1" ht="20.25" customHeight="1">
      <c r="A120" s="243"/>
      <c r="B120" s="244"/>
      <c r="C120" s="245"/>
      <c r="D120" s="246"/>
      <c r="E120" s="247"/>
      <c r="F120" s="248"/>
      <c r="G120" s="249"/>
      <c r="H120" s="301"/>
      <c r="I120" s="250"/>
      <c r="J120" s="251"/>
      <c r="K120" s="245"/>
      <c r="L120" s="246"/>
      <c r="M120" s="247"/>
      <c r="N120" s="248"/>
      <c r="O120" s="249"/>
      <c r="P120" s="250"/>
      <c r="Q120" s="252" t="str">
        <f>IF(P120="","",IF(I120&lt;&gt;"",IF((P120/I120*H120)&lt;10,INT(P120/I120*H120),IF((P120/I120*H120)&lt;10000,ROUNDDOWN(P120/I120*H120,-1),ROUNDDOWN(P120/I120*H120,-2))),IF((P120*Q113)&lt;10,INT(P120*Q113),IF((P120*Q113)&lt;10000,ROUNDDOWN(P120*Q113,-1),ROUNDDOWN(P120*Q113,-2)))))</f>
        <v/>
      </c>
    </row>
    <row r="121" spans="1:17" s="10" customFormat="1" ht="20.25" customHeight="1">
      <c r="A121" s="243"/>
      <c r="B121" s="244"/>
      <c r="C121" s="245"/>
      <c r="D121" s="246"/>
      <c r="E121" s="247"/>
      <c r="F121" s="248"/>
      <c r="G121" s="249"/>
      <c r="H121" s="301"/>
      <c r="I121" s="250"/>
      <c r="J121" s="251"/>
      <c r="K121" s="245"/>
      <c r="L121" s="246"/>
      <c r="M121" s="247"/>
      <c r="N121" s="248"/>
      <c r="O121" s="249"/>
      <c r="P121" s="250"/>
      <c r="Q121" s="252" t="str">
        <f>IF(P121="","",IF(I121&lt;&gt;"",IF((P121/I121*H121)&lt;10,INT(P121/I121*H121),IF((P121/I121*H121)&lt;10000,ROUNDDOWN(P121/I121*H121,-1),ROUNDDOWN(P121/I121*H121,-2))),IF((P121*Q113)&lt;10,INT(P121*Q113),IF((P121*Q113)&lt;10000,ROUNDDOWN(P121*Q113,-1),ROUNDDOWN(P121*Q113,-2)))))</f>
        <v/>
      </c>
    </row>
    <row r="122" spans="1:17" s="10" customFormat="1" ht="20.25" customHeight="1">
      <c r="A122" s="243"/>
      <c r="B122" s="244"/>
      <c r="C122" s="245"/>
      <c r="D122" s="246"/>
      <c r="E122" s="247"/>
      <c r="F122" s="248"/>
      <c r="G122" s="249"/>
      <c r="H122" s="301"/>
      <c r="I122" s="250"/>
      <c r="J122" s="251"/>
      <c r="K122" s="245"/>
      <c r="L122" s="246"/>
      <c r="M122" s="247"/>
      <c r="N122" s="248"/>
      <c r="O122" s="249"/>
      <c r="P122" s="250"/>
      <c r="Q122" s="252" t="str">
        <f>IF(P122="","",IF(I122&lt;&gt;"",IF((P122/I122*H122)&lt;10,INT(P122/I122*H122),IF((P122/I122*H122)&lt;10000,ROUNDDOWN(P122/I122*H122,-1),ROUNDDOWN(P122/I122*H122,-2))),IF((P122*Q113)&lt;10,INT(P122*Q113),IF((P122*Q113)&lt;10000,ROUNDDOWN(P122*Q113,-1),ROUNDDOWN(P122*Q113,-2)))))</f>
        <v/>
      </c>
    </row>
    <row r="123" spans="1:17" s="10" customFormat="1" ht="20.25" customHeight="1">
      <c r="A123" s="243"/>
      <c r="B123" s="244"/>
      <c r="C123" s="245"/>
      <c r="D123" s="246"/>
      <c r="E123" s="247"/>
      <c r="F123" s="248"/>
      <c r="G123" s="249"/>
      <c r="H123" s="301"/>
      <c r="I123" s="250"/>
      <c r="J123" s="251"/>
      <c r="K123" s="245"/>
      <c r="L123" s="246"/>
      <c r="M123" s="247"/>
      <c r="N123" s="248"/>
      <c r="O123" s="249"/>
      <c r="P123" s="250"/>
      <c r="Q123" s="252" t="str">
        <f>IF(P123="","",IF(I123&lt;&gt;"",IF((P123/I123*H123)&lt;10,INT(P123/I123*H123),IF((P123/I123*H123)&lt;10000,ROUNDDOWN(P123/I123*H123,-1),ROUNDDOWN(P123/I123*H123,-2))),IF((P123*Q113)&lt;10,INT(P123*Q113),IF((P123*Q113)&lt;10000,ROUNDDOWN(P123*Q113,-1),ROUNDDOWN(P123*Q113,-2)))))</f>
        <v/>
      </c>
    </row>
    <row r="124" spans="1:17" s="10" customFormat="1" ht="20.25" customHeight="1">
      <c r="A124" s="243"/>
      <c r="B124" s="244"/>
      <c r="C124" s="245"/>
      <c r="D124" s="246"/>
      <c r="E124" s="247"/>
      <c r="F124" s="248"/>
      <c r="G124" s="249"/>
      <c r="H124" s="301"/>
      <c r="I124" s="250"/>
      <c r="J124" s="251"/>
      <c r="K124" s="245"/>
      <c r="L124" s="246"/>
      <c r="M124" s="247"/>
      <c r="N124" s="248"/>
      <c r="O124" s="249"/>
      <c r="P124" s="250"/>
      <c r="Q124" s="252" t="str">
        <f>IF(P124="","",IF(I124&lt;&gt;"",IF((P124/I124*H124)&lt;10,INT(P124/I124*H124),IF((P124/I124*H124)&lt;10000,ROUNDDOWN(P124/I124*H124,-1),ROUNDDOWN(P124/I124*H124,-2))),IF((P124*Q113)&lt;10,INT(P124*Q113),IF((P124*Q113)&lt;10000,ROUNDDOWN(P124*Q113,-1),ROUNDDOWN(P124*Q113,-2)))))</f>
        <v/>
      </c>
    </row>
    <row r="125" spans="1:17" s="10" customFormat="1" ht="20.25" customHeight="1">
      <c r="A125" s="243"/>
      <c r="B125" s="244"/>
      <c r="C125" s="245"/>
      <c r="D125" s="246"/>
      <c r="E125" s="247"/>
      <c r="F125" s="248"/>
      <c r="G125" s="249"/>
      <c r="H125" s="301"/>
      <c r="I125" s="250"/>
      <c r="J125" s="251"/>
      <c r="K125" s="245"/>
      <c r="L125" s="246"/>
      <c r="M125" s="247"/>
      <c r="N125" s="248"/>
      <c r="O125" s="249"/>
      <c r="P125" s="250"/>
      <c r="Q125" s="252" t="str">
        <f>IF(P125="","",IF(I125&lt;&gt;"",IF((P125/I125*H125)&lt;10,INT(P125/I125*H125),IF((P125/I125*H125)&lt;10000,ROUNDDOWN(P125/I125*H125,-1),ROUNDDOWN(P125/I125*H125,-2))),IF((P125*Q113)&lt;10,INT(P125*Q113),IF((P125*Q113)&lt;10000,ROUNDDOWN(P125*Q113,-1),ROUNDDOWN(P125*Q113,-2)))))</f>
        <v/>
      </c>
    </row>
    <row r="126" spans="1:17" s="10" customFormat="1" ht="20.25" customHeight="1">
      <c r="A126" s="243"/>
      <c r="B126" s="244"/>
      <c r="C126" s="245"/>
      <c r="D126" s="246"/>
      <c r="E126" s="247"/>
      <c r="F126" s="248"/>
      <c r="G126" s="249"/>
      <c r="H126" s="301"/>
      <c r="I126" s="250"/>
      <c r="J126" s="251"/>
      <c r="K126" s="245"/>
      <c r="L126" s="246"/>
      <c r="M126" s="247"/>
      <c r="N126" s="248"/>
      <c r="O126" s="249"/>
      <c r="P126" s="250"/>
      <c r="Q126" s="252" t="str">
        <f>IF(P126="","",IF(I126&lt;&gt;"",IF((P126/I126*H126)&lt;10,INT(P126/I126*H126),IF((P126/I126*H126)&lt;10000,ROUNDDOWN(P126/I126*H126,-1),ROUNDDOWN(P126/I126*H126,-2))),IF((P126*Q113)&lt;10,INT(P126*Q113),IF((P126*Q113)&lt;10000,ROUNDDOWN(P126*Q113,-1),ROUNDDOWN(P126*Q113,-2)))))</f>
        <v/>
      </c>
    </row>
    <row r="127" spans="1:17" s="10" customFormat="1" ht="20.25" customHeight="1">
      <c r="A127" s="243"/>
      <c r="B127" s="244"/>
      <c r="C127" s="245"/>
      <c r="D127" s="246"/>
      <c r="E127" s="247"/>
      <c r="F127" s="248"/>
      <c r="G127" s="249"/>
      <c r="H127" s="301"/>
      <c r="I127" s="250"/>
      <c r="J127" s="251"/>
      <c r="K127" s="245"/>
      <c r="L127" s="246"/>
      <c r="M127" s="247"/>
      <c r="N127" s="248"/>
      <c r="O127" s="249"/>
      <c r="P127" s="250"/>
      <c r="Q127" s="252" t="str">
        <f>IF(P127="","",IF(I127&lt;&gt;"",IF((P127/I127*H127)&lt;10,INT(P127/I127*H127),IF((P127/I127*H127)&lt;10000,ROUNDDOWN(P127/I127*H127,-1),ROUNDDOWN(P127/I127*H127,-2))),IF((P127*Q113)&lt;10,INT(P127*Q113),IF((P127*Q113)&lt;10000,ROUNDDOWN(P127*Q113,-1),ROUNDDOWN(P127*Q113,-2)))))</f>
        <v/>
      </c>
    </row>
    <row r="128" spans="1:17" s="10" customFormat="1" ht="20.25" customHeight="1">
      <c r="A128" s="243"/>
      <c r="B128" s="244"/>
      <c r="C128" s="245"/>
      <c r="D128" s="246"/>
      <c r="E128" s="247"/>
      <c r="F128" s="248"/>
      <c r="G128" s="249"/>
      <c r="H128" s="301"/>
      <c r="I128" s="250"/>
      <c r="J128" s="251"/>
      <c r="K128" s="245"/>
      <c r="L128" s="246"/>
      <c r="M128" s="247"/>
      <c r="N128" s="248"/>
      <c r="O128" s="249"/>
      <c r="P128" s="250"/>
      <c r="Q128" s="252" t="str">
        <f>IF(P128="","",IF(I128&lt;&gt;"",IF((P128/I128*H128)&lt;10,INT(P128/I128*H128),IF((P128/I128*H128)&lt;10000,ROUNDDOWN(P128/I128*H128,-1),ROUNDDOWN(P128/I128*H128,-2))),IF((P128*Q113)&lt;10,INT(P128*Q113),IF((P128*Q113)&lt;10000,ROUNDDOWN(P128*Q113,-1),ROUNDDOWN(P128*Q113,-2)))))</f>
        <v/>
      </c>
    </row>
    <row r="129" spans="1:17" s="10" customFormat="1" ht="20.25" customHeight="1">
      <c r="A129" s="243"/>
      <c r="B129" s="244"/>
      <c r="C129" s="245"/>
      <c r="D129" s="246"/>
      <c r="E129" s="247"/>
      <c r="F129" s="248"/>
      <c r="G129" s="249"/>
      <c r="H129" s="301"/>
      <c r="I129" s="250"/>
      <c r="J129" s="251"/>
      <c r="K129" s="245"/>
      <c r="L129" s="246"/>
      <c r="M129" s="247"/>
      <c r="N129" s="248"/>
      <c r="O129" s="249"/>
      <c r="P129" s="250"/>
      <c r="Q129" s="252" t="str">
        <f>IF(P129="","",IF(I129&lt;&gt;"",IF((P129/I129*H129)&lt;10,INT(P129/I129*H129),IF((P129/I129*H129)&lt;10000,ROUNDDOWN(P129/I129*H129,-1),ROUNDDOWN(P129/I129*H129,-2))),IF((P129*Q113)&lt;10,INT(P129*Q113),IF((P129*Q113)&lt;10000,ROUNDDOWN(P129*Q113,-1),ROUNDDOWN(P129*Q113,-2)))))</f>
        <v/>
      </c>
    </row>
    <row r="130" spans="1:17" s="10" customFormat="1" ht="20.25" customHeight="1">
      <c r="A130" s="243"/>
      <c r="B130" s="244"/>
      <c r="C130" s="245"/>
      <c r="D130" s="246"/>
      <c r="E130" s="247"/>
      <c r="F130" s="248"/>
      <c r="G130" s="249"/>
      <c r="H130" s="301"/>
      <c r="I130" s="250"/>
      <c r="J130" s="251"/>
      <c r="K130" s="245"/>
      <c r="L130" s="246"/>
      <c r="M130" s="247"/>
      <c r="N130" s="248"/>
      <c r="O130" s="249"/>
      <c r="P130" s="250"/>
      <c r="Q130" s="252" t="str">
        <f>IF(P130="","",IF(I130&lt;&gt;"",IF((P130/I130*H130)&lt;10,INT(P130/I130*H130),IF((P130/I130*H130)&lt;10000,ROUNDDOWN(P130/I130*H130,-1),ROUNDDOWN(P130/I130*H130,-2))),IF((P130*Q113)&lt;10,INT(P130*Q113),IF((P130*Q113)&lt;10000,ROUNDDOWN(P130*Q113,-1),ROUNDDOWN(P130*Q113,-2)))))</f>
        <v/>
      </c>
    </row>
    <row r="131" spans="1:17" s="10" customFormat="1" ht="20.25" customHeight="1">
      <c r="A131" s="243"/>
      <c r="B131" s="244"/>
      <c r="C131" s="245"/>
      <c r="D131" s="246"/>
      <c r="E131" s="247"/>
      <c r="F131" s="248"/>
      <c r="G131" s="249"/>
      <c r="H131" s="301"/>
      <c r="I131" s="250"/>
      <c r="J131" s="251"/>
      <c r="K131" s="245"/>
      <c r="L131" s="246"/>
      <c r="M131" s="247"/>
      <c r="N131" s="248"/>
      <c r="O131" s="249"/>
      <c r="P131" s="250"/>
      <c r="Q131" s="252" t="str">
        <f>IF(P131="","",IF(I131&lt;&gt;"",IF((P131/I131*H131)&lt;10,INT(P131/I131*H131),IF((P131/I131*H131)&lt;10000,ROUNDDOWN(P131/I131*H131,-1),ROUNDDOWN(P131/I131*H131,-2))),IF((P131*Q113)&lt;10,INT(P131*Q113),IF((P131*Q113)&lt;10000,ROUNDDOWN(P131*Q113,-1),ROUNDDOWN(P131*Q113,-2)))))</f>
        <v/>
      </c>
    </row>
    <row r="132" spans="1:17" s="10" customFormat="1" ht="20.25" customHeight="1">
      <c r="A132" s="243"/>
      <c r="B132" s="244"/>
      <c r="C132" s="245"/>
      <c r="D132" s="246"/>
      <c r="E132" s="247"/>
      <c r="F132" s="248"/>
      <c r="G132" s="249"/>
      <c r="H132" s="301"/>
      <c r="I132" s="250"/>
      <c r="J132" s="251"/>
      <c r="K132" s="245"/>
      <c r="L132" s="246"/>
      <c r="M132" s="247"/>
      <c r="N132" s="248"/>
      <c r="O132" s="249"/>
      <c r="P132" s="250"/>
      <c r="Q132" s="252" t="str">
        <f>IF(P132="","",IF(I132&lt;&gt;"",IF((P132/I132*H132)&lt;10,INT(P132/I132*H132),IF((P132/I132*H132)&lt;10000,ROUNDDOWN(P132/I132*H132,-1),ROUNDDOWN(P132/I132*H132,-2))),IF((P132*Q113)&lt;10,INT(P132*Q113),IF((P132*Q113)&lt;10000,ROUNDDOWN(P132*Q113,-1),ROUNDDOWN(P132*Q113,-2)))))</f>
        <v/>
      </c>
    </row>
    <row r="133" spans="1:17" s="10" customFormat="1" ht="20.25" customHeight="1">
      <c r="A133" s="243"/>
      <c r="B133" s="244"/>
      <c r="C133" s="245"/>
      <c r="D133" s="246"/>
      <c r="E133" s="247"/>
      <c r="F133" s="248"/>
      <c r="G133" s="249"/>
      <c r="H133" s="301"/>
      <c r="I133" s="250"/>
      <c r="J133" s="251"/>
      <c r="K133" s="245"/>
      <c r="L133" s="246"/>
      <c r="M133" s="247"/>
      <c r="N133" s="248"/>
      <c r="O133" s="249"/>
      <c r="P133" s="250"/>
      <c r="Q133" s="252" t="str">
        <f>IF(P133="","",IF(I133&lt;&gt;"",IF((P133/I133*H133)&lt;10,INT(P133/I133*H133),IF((P133/I133*H133)&lt;10000,ROUNDDOWN(P133/I133*H133,-1),ROUNDDOWN(P133/I133*H133,-2))),IF((P133*Q113)&lt;10,INT(P133*Q113),IF((P133*Q113)&lt;10000,ROUNDDOWN(P133*Q113,-1),ROUNDDOWN(P133*Q113,-2)))))</f>
        <v/>
      </c>
    </row>
    <row r="134" spans="1:17" s="10" customFormat="1" ht="20.25" customHeight="1">
      <c r="A134" s="243"/>
      <c r="B134" s="244"/>
      <c r="C134" s="245"/>
      <c r="D134" s="246"/>
      <c r="E134" s="247"/>
      <c r="F134" s="248"/>
      <c r="G134" s="249"/>
      <c r="H134" s="301"/>
      <c r="I134" s="250"/>
      <c r="J134" s="251"/>
      <c r="K134" s="245"/>
      <c r="L134" s="246"/>
      <c r="M134" s="247"/>
      <c r="N134" s="248"/>
      <c r="O134" s="249"/>
      <c r="P134" s="250"/>
      <c r="Q134" s="252" t="str">
        <f>IF(P134="","",IF(I134&lt;&gt;"",IF((P134/I134*H134)&lt;10,INT(P134/I134*H134),IF((P134/I134*H134)&lt;10000,ROUNDDOWN(P134/I134*H134,-1),ROUNDDOWN(P134/I134*H134,-2))),IF((P134*Q113)&lt;10,INT(P134*Q113),IF((P134*Q113)&lt;10000,ROUNDDOWN(P134*Q113,-1),ROUNDDOWN(P134*Q113,-2)))))</f>
        <v/>
      </c>
    </row>
    <row r="135" spans="1:17" s="10" customFormat="1" ht="20.25" customHeight="1" thickBot="1">
      <c r="A135" s="253"/>
      <c r="B135" s="254"/>
      <c r="C135" s="255"/>
      <c r="D135" s="256"/>
      <c r="E135" s="257"/>
      <c r="F135" s="258"/>
      <c r="G135" s="259"/>
      <c r="H135" s="302"/>
      <c r="I135" s="260"/>
      <c r="J135" s="261"/>
      <c r="K135" s="255"/>
      <c r="L135" s="256"/>
      <c r="M135" s="257"/>
      <c r="N135" s="258"/>
      <c r="O135" s="259"/>
      <c r="P135" s="260"/>
      <c r="Q135" s="262" t="str">
        <f>IF(P135="","",IF(I135&lt;&gt;"",IF((P135/I135*H135)&lt;10,INT(P135/I135*H135),IF((P135/I135*H135)&lt;10000,ROUNDDOWN(P135/I135*H135,-1),ROUNDDOWN(P135/I135*H135,-2))),IF((P135*Q113)&lt;10,INT(P135*Q113),IF((P135*Q113)&lt;10000,ROUNDDOWN(P135*Q113,-1),ROUNDDOWN(P135*Q113,-2)))))</f>
        <v/>
      </c>
    </row>
    <row r="136" spans="1:17" s="10" customFormat="1" ht="20.25" customHeight="1">
      <c r="A136" s="14"/>
      <c r="B136" s="14"/>
      <c r="C136" s="14"/>
      <c r="G136" s="14"/>
      <c r="H136" s="22"/>
      <c r="I136" s="22"/>
      <c r="J136" s="14"/>
      <c r="K136" s="14"/>
      <c r="N136" s="10" t="str">
        <f>IF(A140="","EOL","")</f>
        <v>EOL</v>
      </c>
      <c r="O136" s="22">
        <f>+O109+1</f>
        <v>1</v>
      </c>
      <c r="Q136" s="22"/>
    </row>
  </sheetData>
  <mergeCells count="15">
    <mergeCell ref="J52:L52"/>
    <mergeCell ref="C50:L50"/>
    <mergeCell ref="A81:M81"/>
    <mergeCell ref="J51:L51"/>
    <mergeCell ref="O50:AH50"/>
    <mergeCell ref="D111:G111"/>
    <mergeCell ref="J111:Q111"/>
    <mergeCell ref="F112:G112"/>
    <mergeCell ref="J112:Q112"/>
    <mergeCell ref="N82:O82"/>
    <mergeCell ref="L82:M82"/>
    <mergeCell ref="H82:I82"/>
    <mergeCell ref="J82:K82"/>
    <mergeCell ref="A110:L110"/>
    <mergeCell ref="N110:P110"/>
  </mergeCells>
  <phoneticPr fontId="8"/>
  <dataValidations disablePrompts="1" xWindow="879" yWindow="488" count="46">
    <dataValidation type="custom" allowBlank="1" showInputMessage="1" showErrorMessage="1" errorTitle="全体での比較する時のみ記入" error="各項目の元設計比較欄に金額が記入されています。_x000a_どちらかしか記入できません。" promptTitle="今回業者が元設計見積業者に含まれる時のみ記入" prompt="各項目で比較する場合、無記入。_x000a__x000a_変更見積業者が元設計業者に含まれる場合、_x000a_元設計の今回変更業者の調整前合計金額を記入。" sqref="I112" xr:uid="{00000000-0002-0000-0C00-000000000000}">
      <formula1>IF(SUM(H115:I135)&gt;0,I112=0,TRUE)</formula1>
    </dataValidation>
    <dataValidation type="custom" allowBlank="1" showInputMessage="1" showErrorMessage="1" errorTitle="各項目での比較時のみ記入" error="採用業者全体金額が記入されています。_x000a_どちらかしか記入できません。" sqref="I135" xr:uid="{00000000-0002-0000-0C00-000001000000}">
      <formula1>IF(SUM(H112:I112)&gt;0,I135=0,TRUE)</formula1>
    </dataValidation>
    <dataValidation type="custom" allowBlank="1" showInputMessage="1" showErrorMessage="1" errorTitle="各項目での比較時のみ記入" error="採用業者全体金額が記入されています。_x000a_どちらかしか記入できません。" sqref="H135" xr:uid="{00000000-0002-0000-0C00-000002000000}">
      <formula1>IF(SUM(H112:I112)&gt;0,H135=0,TRUE)</formula1>
    </dataValidation>
    <dataValidation type="custom" allowBlank="1" showInputMessage="1" showErrorMessage="1" errorTitle="各項目での比較時のみ記入" error="採用業者全体金額が記入されています。_x000a_どちらかしか記入できません。" sqref="I134" xr:uid="{00000000-0002-0000-0C00-000003000000}">
      <formula1>IF(SUM(H112:I112)&gt;0,I134=0,TRUE)</formula1>
    </dataValidation>
    <dataValidation type="custom" allowBlank="1" showInputMessage="1" showErrorMessage="1" errorTitle="各項目での比較時のみ記入" error="採用業者全体金額が記入されています。_x000a_どちらかしか記入できません。" sqref="H134" xr:uid="{00000000-0002-0000-0C00-000004000000}">
      <formula1>IF(SUM(H112:I112)&gt;0,H134=0,TRUE)</formula1>
    </dataValidation>
    <dataValidation type="custom" allowBlank="1" showInputMessage="1" showErrorMessage="1" errorTitle="各項目での比較時のみ記入" error="採用業者全体金額が記入されています。_x000a_どちらかしか記入できません。" sqref="I133" xr:uid="{00000000-0002-0000-0C00-000005000000}">
      <formula1>IF(SUM(H112:I112)&gt;0,I133=0,TRUE)</formula1>
    </dataValidation>
    <dataValidation type="custom" allowBlank="1" showInputMessage="1" showErrorMessage="1" errorTitle="各項目での比較時のみ記入" error="採用業者全体金額が記入されています。_x000a_どちらかしか記入できません。" sqref="H133" xr:uid="{00000000-0002-0000-0C00-000006000000}">
      <formula1>IF(SUM(H112:I112)&gt;0,H133=0,TRUE)</formula1>
    </dataValidation>
    <dataValidation type="custom" allowBlank="1" showInputMessage="1" showErrorMessage="1" errorTitle="各項目での比較時のみ記入" error="採用業者全体金額が쒐↡_x0000__x0000__x0000__x0000__xffff__x000f__x0009__x0000_䀀_x0000__x0000__x0000__xffff__xffff_記入できません。" sqref="I132" xr:uid="{00000000-0002-0000-0C00-000007000000}">
      <formula1>IF(SUM(H112:I112)&gt;0,I132=0,TRUE)</formula1>
    </dataValidation>
    <dataValidation type="custom" allowBlank="1" showInputMessage="1" showErrorMessage="1" errorTitle="各項目での比較時のみ記入" error="採用業者全体金額が記入されています。_x000a_どちらかしか記入できません。" sqref="H132" xr:uid="{00000000-0002-0000-0C00-000008000000}">
      <formula1>IF(SUM(H112:I112)&gt;0,H132=0,TRUE)</formula1>
    </dataValidation>
    <dataValidation type="custom" allowBlank="1" showInputMessage="1" showErrorMessage="1" errorTitle="各項目での比較時のみ記入" error="採用業者全体金額が⻰ᰠ_x0000__x0000_u_x0000__x0016__x0010__x0000__x0000_㿿_x0000_￩_xffff__x0000__x0000_記入できません。" sqref="I131" xr:uid="{00000000-0002-0000-0C00-000009000000}">
      <formula1>IF(SUM(H112:I112)&gt;0,I131=0,TRUE)</formula1>
    </dataValidation>
    <dataValidation type="custom" allowBlank="1" showInputMessage="1" showErrorMessage="1" errorTitle="各項目での比較時のみ記入" error="採用業者全体金額が記入されています。_x000a_どちらかしか記入できません。" sqref="H131" xr:uid="{00000000-0002-0000-0C00-00000A000000}">
      <formula1>IF(SUM(H112:I112)&gt;0,H131=0,TRUE)</formula1>
    </dataValidation>
    <dataValidation type="custom" allowBlank="1" showInputMessage="1" showErrorMessage="1" errorTitle="各項目での比較時のみ記入" error="採用業者全体金額が記入されています。_x000a_どちらかしか記入できません。" sqref="I130" xr:uid="{00000000-0002-0000-0C00-00000B000000}">
      <formula1>IF(SUM(H112:I112)&gt;0,I130=0,TRUE)</formula1>
    </dataValidation>
    <dataValidation type="custom" allowBlank="1" showInputMessage="1" showErrorMessage="1" errorTitle="各項目での比較時のみ記入" error="採用業者全体金額が記入されています。_x000a_どちらかしか記入できません。" sqref="H130" xr:uid="{00000000-0002-0000-0C00-00000C000000}">
      <formula1>IF(SUM(H112:I112)&gt;0,H130=0,TRUE)</formula1>
    </dataValidation>
    <dataValidation type="custom" allowBlank="1" showInputMessage="1" showErrorMessage="1" errorTitle="各項目での比較時のみ記入" error="採用業者全体金額が記入されています。_x000a_どちらかしか記入できません。" sqref="I129" xr:uid="{00000000-0002-0000-0C00-00000D000000}">
      <formula1>IF(SUM(H112:I112)&gt;0,I129=0,TRUE)</formula1>
    </dataValidation>
    <dataValidation type="custom" allowBlank="1" showInputMessage="1" showErrorMessage="1" errorTitle="各項目での比較時のみ記入" error="採用業者全体金額が記入されています。_x000a_どちらかしか記入できません。" sqref="H129" xr:uid="{00000000-0002-0000-0C00-00000E000000}">
      <formula1>IF(SUM(H112:I112)&gt;0,H129=0,TRUE)</formula1>
    </dataValidation>
    <dataValidation type="custom" allowBlank="1" showInputMessage="1" showErrorMessage="1" errorTitle="各項目での比較時のみ記入" error="採用業者全体金額が記入されています。_x000a_どちらかしか記入できません。" sqref="I128" xr:uid="{00000000-0002-0000-0C00-00000F000000}">
      <formula1>IF(SUM(H112:I112)&gt;0,I128=0,TRUE)</formula1>
    </dataValidation>
    <dataValidation type="custom" allowBlank="1" showInputMessage="1" showErrorMessage="1" errorTitle="各項目での比較時のみ記入" error="採用業者全体金額が醰ᔃ_x0000__x0000_u_x0000__x0016__x0010__x0000__x0000_㿿_x0000_￩_xffff__x0000__x0000_記入できません。" sqref="H128" xr:uid="{00000000-0002-0000-0C00-000010000000}">
      <formula1>IF(SUM(H112:I112)&gt;0,H128=0,TRUE)</formula1>
    </dataValidation>
    <dataValidation type="custom" allowBlank="1" showInputMessage="1" showErrorMessage="1" errorTitle="各項目での比較時のみ記入" error="採用業者全体金額が記入されています。_x000a_どちらかしか記入できません。" sqref="I127" xr:uid="{00000000-0002-0000-0C00-000011000000}">
      <formula1>IF(SUM(H112:I112)&gt;0,I127=0,TRUE)</formula1>
    </dataValidation>
    <dataValidation type="custom" allowBlank="1" showInputMessage="1" showErrorMessage="1" errorTitle="各項目での比較時のみ記入" error="採用業者全体金額が記入されています。_x000a_どちらかしか記入できません。" sqref="H127" xr:uid="{00000000-0002-0000-0C00-000012000000}">
      <formula1>IF(SUM(H112:I112)&gt;0,H127=0,TRUE)</formula1>
    </dataValidation>
    <dataValidation type="custom" allowBlank="1" showInputMessage="1" showErrorMessage="1" errorTitle="各項目での比較時のみ記入" error="採用業者全体金額が記入されています。_x000a_どちらかしか記入できません。" sqref="I126" xr:uid="{00000000-0002-0000-0C00-000013000000}">
      <formula1>IF(SUM(H112:I112)&gt;0,I126=0,TRUE)</formula1>
    </dataValidation>
    <dataValidation type="custom" allowBlank="1" showInputMessage="1" showErrorMessage="1" errorTitle="各項目での比較時のみ記入" error="採用業者全体金額が記入されています。_x000a_どちらかしか記入できません。" sqref="H126" xr:uid="{00000000-0002-0000-0C00-000014000000}">
      <formula1>IF(SUM(H112:I112)&gt;0,H126=0,TRUE)</formula1>
    </dataValidation>
    <dataValidation type="custom" allowBlank="1" showInputMessage="1" showErrorMessage="1" errorTitle="各項目での比較時のみ記入" error="採用業者全体金額が記入されています。_x000a_どちらかしか記入できません。" sqref="I125" xr:uid="{00000000-0002-0000-0C00-000015000000}">
      <formula1>IF(SUM(H112:I112)&gt;0,I125=0,TRUE)</formula1>
    </dataValidation>
    <dataValidation type="custom" allowBlank="1" showInputMessage="1" showErrorMessage="1" errorTitle="各項目での比較時のみ記入" error="採用業者全体金額が記入されています。_x000a_どちらかしか記入できません。" sqref="H125" xr:uid="{00000000-0002-0000-0C00-000016000000}">
      <formula1>IF(SUM(H112:I112)&gt;0,H125=0,TRUE)</formula1>
    </dataValidation>
    <dataValidation type="custom" allowBlank="1" showInputMessage="1" showErrorMessage="1" errorTitle="各項目での比較時のみ記入" error="採用業者全体金額が記入されています。_x000a_どちらかしか記入できません。" sqref="I124" xr:uid="{00000000-0002-0000-0C00-000017000000}">
      <formula1>IF(SUM(H112:I112)&gt;0,I124=0,TRUE)</formula1>
    </dataValidation>
    <dataValidation type="custom" allowBlank="1" showInputMessage="1" showErrorMessage="1" errorTitle="各項目での比較時のみ記入" error="採用業者全体金額が記入されています。_x000a_どちらかしか記入できません。" sqref="H124" xr:uid="{00000000-0002-0000-0C00-000018000000}">
      <formula1>IF(SUM(H112:I112)&gt;0,H124=0,TRUE)</formula1>
    </dataValidation>
    <dataValidation type="custom" allowBlank="1" showInputMessage="1" showErrorMessage="1" errorTitle="各項目での比較時のみ記入" error="採用業者全体金額が記入されています。_x000a_どちらかしか記入できません。" sqref="I123" xr:uid="{00000000-0002-0000-0C00-000019000000}">
      <formula1>IF(SUM(H112:I112)&gt;0,I123=0,TRUE)</formula1>
    </dataValidation>
    <dataValidation type="custom" allowBlank="1" showInputMessage="1" showErrorMessage="1" errorTitle="各項目での比較時のみ記入" error="採用業者全体金額が記入されています。_x000a_どちらかしか記入できません。" sqref="H123" xr:uid="{00000000-0002-0000-0C00-00001A000000}">
      <formula1>IF(SUM(H112:I112)&gt;0,H123=0,TRUE)</formula1>
    </dataValidation>
    <dataValidation type="custom" allowBlank="1" showInputMessage="1" showErrorMessage="1" errorTitle="各項目での比較時のみ記入" error="採用業者全体金額が記入されています。_x000a_どちらかしか記入できません。" sqref="I122" xr:uid="{00000000-0002-0000-0C00-00001B000000}">
      <formula1>IF(SUM(H112:I112)&gt;0,I122=0,TRUE)</formula1>
    </dataValidation>
    <dataValidation type="custom" allowBlank="1" showInputMessage="1" showErrorMessage="1" errorTitle="各項目での比較時のみ記入" error="採用業者全体金額が記入されています。_x000a_どちらかしか記入できません。" sqref="H122" xr:uid="{00000000-0002-0000-0C00-00001C000000}">
      <formula1>IF(SUM(H112:I112)&gt;0,H122=0,TRUE)</formula1>
    </dataValidation>
    <dataValidation type="custom" allowBlank="1" showInputMessage="1" showErrorMessage="1" errorTitle="各項目での比較時のみ記入" error="採用業者全体金額が記入されています。_x000a_どちらかしか記入できません。" sqref="I121" xr:uid="{00000000-0002-0000-0C00-00001D000000}">
      <formula1>IF(SUM(H112:I112)&gt;0,I121=0,TRUE)</formula1>
    </dataValidation>
    <dataValidation type="custom" allowBlank="1" showInputMessage="1" showErrorMessage="1" errorTitle="各項目での比較時のみ記入" error="採用業者全体金額が記入されています。_x000a_どちらかしか記入できません。" sqref="H121" xr:uid="{00000000-0002-0000-0C00-00001E000000}">
      <formula1>IF(SUM(H112:I112)&gt;0,H121=0,TRUE)</formula1>
    </dataValidation>
    <dataValidation type="custom" allowBlank="1" showInputMessage="1" showErrorMessage="1" errorTitle="各項目での比較時のみ記入" error="採用業者全体金額が記入されています。_x000a_どちらかしか記入できません。" sqref="I120" xr:uid="{00000000-0002-0000-0C00-00001F000000}">
      <formula1>IF(SUM(H112:I112)&gt;0,I120=0,TRUE)</formula1>
    </dataValidation>
    <dataValidation type="custom" allowBlank="1" showInputMessage="1" showErrorMessage="1" errorTitle="各項目での比較時のみ記入" error="採用業者全体金額が記入されています。_x000a_どちらかしか記入できません。" sqref="H120" xr:uid="{00000000-0002-0000-0C00-000020000000}">
      <formula1>IF(SUM(H112:I112)&gt;0,H120=0,TRUE)</formula1>
    </dataValidation>
    <dataValidation type="custom" allowBlank="1" showInputMessage="1" showErrorMessage="1" errorTitle="各項目での比較時のみ記入" error="採用業者全体金額が記入されています。_x000a_どちらかしか記入できません。" sqref="I119" xr:uid="{00000000-0002-0000-0C00-000021000000}">
      <formula1>IF(SUM(H112:I112)&gt;0,I119=0,TRUE)</formula1>
    </dataValidation>
    <dataValidation type="custom" allowBlank="1" showInputMessage="1" showErrorMessage="1" errorTitle="各項目での比較時のみ記入" error="採用業者全体金額が記入されています。_x000a_どちらかしか記入できません。" sqref="H119" xr:uid="{00000000-0002-0000-0C00-000022000000}">
      <formula1>IF(SUM(H112:I112)&gt;0,H119=0,TRUE)</formula1>
    </dataValidation>
    <dataValidation type="custom" allowBlank="1" showInputMessage="1" showErrorMessage="1" errorTitle="各項目での比較時のみ記入" error="採用業者全体金額が記入されています。_x000a_どちらかしか記入できません。" sqref="I118" xr:uid="{00000000-0002-0000-0C00-000023000000}">
      <formula1>IF(SUM(H112:I112)&gt;0,I118=0,TRUE)</formula1>
    </dataValidation>
    <dataValidation type="custom" allowBlank="1" showInputMessage="1" showErrorMessage="1" errorTitle="各項目での比較時のみ記入" error="採用業者全体金額が記入されています。_x000a_どちらかしか記入できません。" sqref="H118" xr:uid="{00000000-0002-0000-0C00-000024000000}">
      <formula1>IF(SUM(H112:I112)&gt;0,H118=0,TRUE)</formula1>
    </dataValidation>
    <dataValidation type="custom" allowBlank="1" showInputMessage="1" showErrorMessage="1" errorTitle="各項目での比較時のみ記入" error="採用業者全体金額が記入されています。_x000a_どちらかしか記入できません。" sqref="H117" xr:uid="{00000000-0002-0000-0C00-000025000000}">
      <formula1>IF(SUM(H112:I112)&gt;0,H117=0,TRUE)</formula1>
    </dataValidation>
    <dataValidation type="custom" allowBlank="1" showInputMessage="1" showErrorMessage="1" errorTitle="各項目での比較時のみ記入" error="採用業者全体金額が記入されています。_x000a_どちらかしか記入できません。" sqref="I117" xr:uid="{00000000-0002-0000-0C00-000026000000}">
      <formula1>IF(SUM(H112:I112)&gt;0,I117=0,TRUE)</formula1>
    </dataValidation>
    <dataValidation type="custom" allowBlank="1" showInputMessage="1" showErrorMessage="1" errorTitle="各項目での比較時のみ記入" error="採用業者全体金額が記入されています。_x000a_どちらかしか記入できません。" sqref="I116" xr:uid="{00000000-0002-0000-0C00-000027000000}">
      <formula1>IF(SUM(H112:I112)&gt;0,I116=0,TRUE)</formula1>
    </dataValidation>
    <dataValidation type="custom" allowBlank="1" showInputMessage="1" showErrorMessage="1" errorTitle="各項目での比較時のみ記入" error="採用業者全体金額が記入されています。_x000a_どちらかしか記入できません。" sqref="H116" xr:uid="{00000000-0002-0000-0C00-000028000000}">
      <formula1>IF(SUM(H112:I112)&gt;0,H116=0,TRUE)</formula1>
    </dataValidation>
    <dataValidation type="custom" allowBlank="1" showInputMessage="1" showErrorMessage="1" errorTitle="各項目での比較時のみ記入" error="採用業者全体金額が∻_x0000__x0000__x0019__x0000__x0016__x0010__x0000__x0000_㿿_x0000_￩_xffff__x0000__x0000_記入できません。" sqref="I115" xr:uid="{00000000-0002-0000-0C00-000029000000}">
      <formula1>IF(SUM(H112:I112)&gt;0,I115=0,TRUE)</formula1>
    </dataValidation>
    <dataValidation type="custom" allowBlank="1" showInputMessage="1" showErrorMessage="1" errorTitle="各項目での比較時のみ記入" error="採用業者全体金額が記入されています。_x000a_どちらかしか記入できません。" sqref="H115" xr:uid="{00000000-0002-0000-0C00-00002A000000}">
      <formula1>IF(SUM(H112:I112)&gt;0,H115=0,TRUE)</formula1>
    </dataValidation>
    <dataValidation type="custom" allowBlank="1" showInputMessage="1" showErrorMessage="1" errorTitle="全体での比較する時のみ記入" error="各項目の元設計比較欄に金額が記入されています。_x000a_どちらかしか記入できません。" promptTitle="今回業者が元設計見積業者に含まれる時のみ記入" prompt="各項目で比較する場合、無記入。_x000a__x000a_変更見積業者が元設計業者に含まれる場合、_x000a_元設計の採用業者の調整前合計金額を記入。" sqref="H112" xr:uid="{00000000-0002-0000-0C00-00002B000000}">
      <formula1>IF(SUM(H115:I135)&gt;0,H112=0,TRUE)</formula1>
    </dataValidation>
    <dataValidation type="list" allowBlank="1" showInputMessage="1" showErrorMessage="1" prompt="費用/建物附属設備/工具・器具・備品の場合、選択してください。" sqref="N53:N70" xr:uid="{00000000-0002-0000-0C00-00002C000000}">
      <formula1>OFFSET(INDIRECT("入力規則マスタ!$J$3"),0,0,COUNTA(INDIRECT("入力規則マスタ!$J:$J"))-1,1)</formula1>
    </dataValidation>
    <dataValidation type="list" allowBlank="1" showInputMessage="1" showErrorMessage="1" sqref="M53:M70" xr:uid="{00000000-0002-0000-0C00-00002D000000}">
      <formula1>OFFSET(INDIRECT("入力規則マスタ!$N$3"),0,0,COUNTA(INDIRECT("入力規則マスタ!$N:$N"))-1,1)</formula1>
    </dataValidation>
  </dataValidations>
  <pageMargins left="0.78700000000000003" right="0.78700000000000003" top="0.98399999999999999" bottom="0.98399999999999999" header="0.51200000000000001" footer="0.51200000000000001"/>
  <pageSetup paperSize="9" scale="88" orientation="portrait" horizontalDpi="300" verticalDpi="300" r:id="rId1"/>
  <headerFooter alignWithMargins="0"/>
  <colBreaks count="1" manualBreakCount="1">
    <brk id="11" max="1048575" man="1"/>
  </colBreaks>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I117"/>
  <sheetViews>
    <sheetView zoomScale="70" zoomScaleNormal="70" workbookViewId="0">
      <selection activeCell="J35" sqref="J35:J43"/>
    </sheetView>
  </sheetViews>
  <sheetFormatPr baseColWidth="10" defaultColWidth="6.6640625" defaultRowHeight="26.25" customHeight="1"/>
  <cols>
    <col min="1" max="2" width="2.6640625" style="6" customWidth="1"/>
    <col min="3" max="3" width="8.6640625" style="1" customWidth="1"/>
    <col min="4" max="4" width="28.6640625" style="1" customWidth="1"/>
    <col min="5" max="5" width="25" style="2" customWidth="1"/>
    <col min="6" max="6" width="10.6640625" style="1" customWidth="1"/>
    <col min="7" max="7" width="7.6640625" style="3" customWidth="1"/>
    <col min="8" max="8" width="11.6640625" style="4" customWidth="1"/>
    <col min="9" max="9" width="15.6640625" style="4" customWidth="1"/>
    <col min="10" max="12" width="9.6640625" style="1" customWidth="1"/>
    <col min="13" max="13" width="5.5" style="429" customWidth="1"/>
    <col min="14" max="14" width="19.83203125" style="6" customWidth="1"/>
    <col min="15" max="16" width="5.33203125" style="29" customWidth="1"/>
    <col min="17" max="34" width="5.33203125" style="1" customWidth="1"/>
    <col min="35" max="35" width="11.6640625" style="491" customWidth="1"/>
    <col min="36" max="16384" width="6.6640625" style="1"/>
  </cols>
  <sheetData>
    <row r="1" spans="1:35" ht="26.25" customHeight="1" thickBot="1">
      <c r="H1" s="593"/>
      <c r="I1" s="836"/>
      <c r="J1" s="595" t="str">
        <f ca="1">J5&amp;"の工期"</f>
        <v>新規シートの工期</v>
      </c>
      <c r="K1" s="835" t="s">
        <v>2920</v>
      </c>
      <c r="L1" s="597" t="e">
        <f>IF(K1="","",IF(OR(表紙!$K$5,K1)="","",ROUND((K1-表紙!$K$5-7)/30,1)))</f>
        <v>#VALUE!</v>
      </c>
    </row>
    <row r="2" spans="1:35" ht="26.25" customHeight="1">
      <c r="C2" s="27" t="s">
        <v>14</v>
      </c>
      <c r="E2" s="26" t="s">
        <v>55</v>
      </c>
      <c r="F2" s="29">
        <v>0</v>
      </c>
      <c r="G2" s="1" t="s">
        <v>185</v>
      </c>
      <c r="H2" s="4">
        <f>表紙!H25</f>
        <v>7</v>
      </c>
      <c r="I2" s="4" t="s">
        <v>61</v>
      </c>
      <c r="J2" s="29">
        <f>VLOOKUP("EOL",$M$25:$N$65559,2,FALSE)</f>
        <v>4</v>
      </c>
      <c r="K2" s="599" t="s">
        <v>3086</v>
      </c>
    </row>
    <row r="3" spans="1:35" ht="26.25" customHeight="1" thickBot="1">
      <c r="C3" s="1389" t="s">
        <v>312</v>
      </c>
      <c r="D3" s="1389"/>
      <c r="E3" s="1389"/>
      <c r="F3" s="1389"/>
      <c r="G3" s="1389"/>
      <c r="H3" s="1389"/>
      <c r="I3" s="1389"/>
      <c r="J3" s="1389"/>
      <c r="K3" s="1389"/>
      <c r="L3" s="1389"/>
      <c r="O3" s="1506" t="s">
        <v>137</v>
      </c>
      <c r="P3" s="1506"/>
      <c r="Q3" s="1506"/>
      <c r="R3" s="1506"/>
      <c r="S3" s="1506"/>
      <c r="T3" s="1506"/>
      <c r="U3" s="1506"/>
      <c r="V3" s="1506"/>
      <c r="W3" s="1506"/>
      <c r="X3" s="1506"/>
      <c r="Y3" s="1506"/>
      <c r="Z3" s="1506"/>
      <c r="AA3" s="1506"/>
      <c r="AB3" s="1506"/>
      <c r="AC3" s="1506"/>
      <c r="AD3" s="1506"/>
      <c r="AE3" s="1506"/>
      <c r="AF3" s="1506"/>
      <c r="AG3" s="1506"/>
      <c r="AH3" s="1507"/>
      <c r="AI3" s="492"/>
    </row>
    <row r="4" spans="1:35" ht="42" customHeight="1">
      <c r="A4" s="5" t="s">
        <v>13</v>
      </c>
      <c r="B4" s="5" t="s">
        <v>10</v>
      </c>
      <c r="C4" s="97" t="s">
        <v>0</v>
      </c>
      <c r="D4" s="93"/>
      <c r="E4" s="94" t="s">
        <v>1</v>
      </c>
      <c r="F4" s="95" t="s">
        <v>2</v>
      </c>
      <c r="G4" s="95" t="s">
        <v>3</v>
      </c>
      <c r="H4" s="96" t="s">
        <v>4</v>
      </c>
      <c r="I4" s="96" t="s">
        <v>5</v>
      </c>
      <c r="J4" s="1392" t="s">
        <v>6</v>
      </c>
      <c r="K4" s="1393"/>
      <c r="L4" s="1394"/>
      <c r="O4" s="138" t="s">
        <v>72</v>
      </c>
      <c r="P4" s="334" t="s">
        <v>246</v>
      </c>
      <c r="Q4" s="266" t="s">
        <v>261</v>
      </c>
      <c r="R4" s="266" t="s">
        <v>208</v>
      </c>
      <c r="S4" s="266" t="s">
        <v>209</v>
      </c>
      <c r="T4" s="266" t="s">
        <v>224</v>
      </c>
      <c r="U4" s="266" t="s">
        <v>131</v>
      </c>
      <c r="V4" s="137" t="s">
        <v>130</v>
      </c>
      <c r="W4" s="266" t="s">
        <v>210</v>
      </c>
      <c r="X4" s="200" t="s">
        <v>211</v>
      </c>
      <c r="Y4" s="200" t="s">
        <v>212</v>
      </c>
      <c r="Z4" s="200" t="s">
        <v>213</v>
      </c>
      <c r="AA4" s="200" t="s">
        <v>214</v>
      </c>
      <c r="AB4" s="200" t="s">
        <v>256</v>
      </c>
      <c r="AC4" s="336" t="s">
        <v>265</v>
      </c>
      <c r="AD4" s="337" t="s">
        <v>266</v>
      </c>
      <c r="AE4" s="338" t="s">
        <v>133</v>
      </c>
      <c r="AF4" s="136" t="s">
        <v>136</v>
      </c>
      <c r="AG4" s="136" t="s">
        <v>134</v>
      </c>
      <c r="AH4" s="136" t="s">
        <v>135</v>
      </c>
      <c r="AI4" s="493"/>
    </row>
    <row r="5" spans="1:35" ht="24" customHeight="1" thickBot="1">
      <c r="A5" s="7"/>
      <c r="B5" s="7"/>
      <c r="C5" s="98" t="str">
        <f>+C2</f>
        <v>○○工事の部</v>
      </c>
      <c r="D5" s="99"/>
      <c r="E5" s="84"/>
      <c r="F5" s="263"/>
      <c r="G5" s="100"/>
      <c r="H5" s="72" t="s">
        <v>12</v>
      </c>
      <c r="I5" s="72" t="s">
        <v>12</v>
      </c>
      <c r="J5" s="1508" t="str">
        <f ca="1">RIGHT(CELL("filename",$A$1),LEN(CELL("filename",$A$1))-FIND("]",CELL("filename",$A$1)))</f>
        <v>新規シート</v>
      </c>
      <c r="K5" s="1509"/>
      <c r="L5" s="1510"/>
      <c r="O5" s="207"/>
      <c r="P5" s="208"/>
      <c r="Q5" s="209"/>
      <c r="R5" s="209"/>
      <c r="S5" s="209"/>
      <c r="T5" s="209"/>
      <c r="U5" s="209"/>
      <c r="V5" s="209"/>
      <c r="W5" s="209"/>
      <c r="X5" s="210"/>
      <c r="Y5" s="210"/>
      <c r="Z5" s="210"/>
      <c r="AA5" s="210"/>
      <c r="AB5" s="210"/>
      <c r="AC5" s="209"/>
      <c r="AD5" s="339"/>
      <c r="AE5" s="340"/>
      <c r="AF5" s="209"/>
      <c r="AG5" s="209"/>
      <c r="AH5" s="209"/>
      <c r="AI5" s="494"/>
    </row>
    <row r="6" spans="1:35" s="29" customFormat="1" ht="24" customHeight="1" thickBot="1">
      <c r="A6" s="7"/>
      <c r="B6" s="7"/>
      <c r="C6" s="169" t="s">
        <v>147</v>
      </c>
      <c r="D6" s="53"/>
      <c r="E6" s="86"/>
      <c r="F6" s="264"/>
      <c r="G6" s="102"/>
      <c r="H6" s="88"/>
      <c r="I6" s="88"/>
      <c r="J6" s="595" t="str">
        <f ca="1">+$J$1</f>
        <v>新規シートの工期</v>
      </c>
      <c r="K6" s="596" t="str">
        <f>+$K$1</f>
        <v>2021/**/**</v>
      </c>
      <c r="L6" s="597" t="e">
        <f>+$L$1</f>
        <v>#VALUE!</v>
      </c>
      <c r="M6" s="839"/>
      <c r="N6" s="490"/>
      <c r="O6" s="207"/>
      <c r="P6" s="208"/>
      <c r="Q6" s="209"/>
      <c r="R6" s="209"/>
      <c r="S6" s="209"/>
      <c r="T6" s="209"/>
      <c r="U6" s="209"/>
      <c r="V6" s="209"/>
      <c r="W6" s="209"/>
      <c r="X6" s="210"/>
      <c r="Y6" s="210"/>
      <c r="Z6" s="210"/>
      <c r="AA6" s="210"/>
      <c r="AB6" s="210"/>
      <c r="AC6" s="209"/>
      <c r="AD6" s="339"/>
      <c r="AE6" s="340"/>
      <c r="AF6" s="209"/>
      <c r="AG6" s="209"/>
      <c r="AH6" s="209"/>
      <c r="AI6" s="494"/>
    </row>
    <row r="7" spans="1:35" s="29" customFormat="1" ht="24" customHeight="1">
      <c r="A7" s="7"/>
      <c r="B7" s="7"/>
      <c r="C7" s="89"/>
      <c r="D7" s="53" t="s">
        <v>8</v>
      </c>
      <c r="E7" s="86"/>
      <c r="F7" s="264">
        <v>1</v>
      </c>
      <c r="G7" s="102" t="s">
        <v>7</v>
      </c>
      <c r="H7" s="88"/>
      <c r="I7" s="88">
        <f>I70</f>
        <v>0</v>
      </c>
      <c r="J7" s="53"/>
      <c r="K7" s="53"/>
      <c r="L7" s="54"/>
      <c r="M7" s="839"/>
      <c r="N7" s="490"/>
      <c r="O7" s="207"/>
      <c r="P7" s="208"/>
      <c r="Q7" s="209"/>
      <c r="R7" s="209"/>
      <c r="S7" s="209"/>
      <c r="T7" s="209"/>
      <c r="U7" s="209"/>
      <c r="V7" s="209"/>
      <c r="W7" s="209"/>
      <c r="X7" s="210"/>
      <c r="Y7" s="210"/>
      <c r="Z7" s="210"/>
      <c r="AA7" s="210"/>
      <c r="AB7" s="210"/>
      <c r="AC7" s="209"/>
      <c r="AD7" s="339"/>
      <c r="AE7" s="340"/>
      <c r="AF7" s="209"/>
      <c r="AG7" s="209"/>
      <c r="AH7" s="209"/>
      <c r="AI7" s="494"/>
    </row>
    <row r="8" spans="1:35" s="29" customFormat="1" ht="24" customHeight="1">
      <c r="A8" s="7"/>
      <c r="B8" s="7"/>
      <c r="C8" s="89"/>
      <c r="D8" s="53" t="s">
        <v>2925</v>
      </c>
      <c r="E8" s="86"/>
      <c r="F8" s="264">
        <v>1</v>
      </c>
      <c r="G8" s="102" t="s">
        <v>7</v>
      </c>
      <c r="H8" s="88"/>
      <c r="I8" s="88">
        <f>I93</f>
        <v>0</v>
      </c>
      <c r="J8" s="53"/>
      <c r="K8" s="53"/>
      <c r="L8" s="54"/>
      <c r="M8" s="839"/>
      <c r="N8" s="490"/>
      <c r="O8" s="207"/>
      <c r="P8" s="208"/>
      <c r="Q8" s="209"/>
      <c r="R8" s="209"/>
      <c r="S8" s="209"/>
      <c r="T8" s="209"/>
      <c r="U8" s="209"/>
      <c r="V8" s="209"/>
      <c r="W8" s="209"/>
      <c r="X8" s="210"/>
      <c r="Y8" s="210"/>
      <c r="Z8" s="210"/>
      <c r="AA8" s="210"/>
      <c r="AB8" s="210"/>
      <c r="AC8" s="209"/>
      <c r="AD8" s="339"/>
      <c r="AE8" s="340"/>
      <c r="AF8" s="209"/>
      <c r="AG8" s="209"/>
      <c r="AH8" s="209"/>
      <c r="AI8" s="494"/>
    </row>
    <row r="9" spans="1:35" s="29" customFormat="1" ht="24" customHeight="1">
      <c r="A9" s="7"/>
      <c r="B9" s="7"/>
      <c r="C9" s="89"/>
      <c r="D9" s="53"/>
      <c r="E9" s="86"/>
      <c r="F9" s="264"/>
      <c r="G9" s="102"/>
      <c r="H9" s="88"/>
      <c r="I9" s="88"/>
      <c r="J9" s="53"/>
      <c r="K9" s="53"/>
      <c r="L9" s="54"/>
      <c r="M9" s="839"/>
      <c r="N9" s="490"/>
      <c r="O9" s="207"/>
      <c r="P9" s="208"/>
      <c r="Q9" s="209"/>
      <c r="R9" s="209"/>
      <c r="S9" s="209"/>
      <c r="T9" s="209"/>
      <c r="U9" s="209"/>
      <c r="V9" s="209"/>
      <c r="W9" s="209"/>
      <c r="X9" s="210"/>
      <c r="Y9" s="210"/>
      <c r="Z9" s="210"/>
      <c r="AA9" s="210"/>
      <c r="AB9" s="210"/>
      <c r="AC9" s="209"/>
      <c r="AD9" s="339"/>
      <c r="AE9" s="340"/>
      <c r="AF9" s="209"/>
      <c r="AG9" s="209"/>
      <c r="AH9" s="209"/>
      <c r="AI9" s="494"/>
    </row>
    <row r="10" spans="1:35" s="29" customFormat="1" ht="24" customHeight="1">
      <c r="A10" s="7"/>
      <c r="B10" s="7"/>
      <c r="C10" s="89"/>
      <c r="D10" s="53"/>
      <c r="E10" s="86"/>
      <c r="F10" s="264"/>
      <c r="G10" s="102"/>
      <c r="H10" s="88"/>
      <c r="I10" s="88"/>
      <c r="J10" s="53"/>
      <c r="K10" s="53"/>
      <c r="L10" s="54"/>
      <c r="M10" s="839"/>
      <c r="N10" s="490"/>
      <c r="O10" s="207"/>
      <c r="P10" s="208"/>
      <c r="Q10" s="209"/>
      <c r="R10" s="209"/>
      <c r="S10" s="209"/>
      <c r="T10" s="209"/>
      <c r="U10" s="209"/>
      <c r="V10" s="209"/>
      <c r="W10" s="209"/>
      <c r="X10" s="210"/>
      <c r="Y10" s="210"/>
      <c r="Z10" s="210"/>
      <c r="AA10" s="210"/>
      <c r="AB10" s="210"/>
      <c r="AC10" s="209"/>
      <c r="AD10" s="339"/>
      <c r="AE10" s="340"/>
      <c r="AF10" s="209"/>
      <c r="AG10" s="209"/>
      <c r="AH10" s="209"/>
      <c r="AI10" s="494"/>
    </row>
    <row r="11" spans="1:35" s="29" customFormat="1" ht="24" customHeight="1">
      <c r="A11" s="7"/>
      <c r="B11" s="7"/>
      <c r="C11" s="89"/>
      <c r="D11" s="53"/>
      <c r="E11" s="86"/>
      <c r="F11" s="264"/>
      <c r="G11" s="102"/>
      <c r="H11" s="88"/>
      <c r="I11" s="88"/>
      <c r="J11" s="53"/>
      <c r="K11" s="53"/>
      <c r="L11" s="54"/>
      <c r="M11" s="839"/>
      <c r="N11" s="490"/>
      <c r="O11" s="207"/>
      <c r="P11" s="208"/>
      <c r="Q11" s="209"/>
      <c r="R11" s="209"/>
      <c r="S11" s="209"/>
      <c r="T11" s="209"/>
      <c r="U11" s="209"/>
      <c r="V11" s="209"/>
      <c r="W11" s="209"/>
      <c r="X11" s="210"/>
      <c r="Y11" s="210"/>
      <c r="Z11" s="210"/>
      <c r="AA11" s="210"/>
      <c r="AB11" s="210"/>
      <c r="AC11" s="209"/>
      <c r="AD11" s="339"/>
      <c r="AE11" s="340"/>
      <c r="AF11" s="209"/>
      <c r="AG11" s="209"/>
      <c r="AH11" s="209"/>
      <c r="AI11" s="494"/>
    </row>
    <row r="12" spans="1:35" s="29" customFormat="1" ht="24" customHeight="1">
      <c r="A12" s="7"/>
      <c r="B12" s="7"/>
      <c r="C12" s="89"/>
      <c r="D12" s="53"/>
      <c r="E12" s="86"/>
      <c r="F12" s="264"/>
      <c r="G12" s="102"/>
      <c r="H12" s="88"/>
      <c r="I12" s="88"/>
      <c r="J12" s="53"/>
      <c r="K12" s="53"/>
      <c r="L12" s="54"/>
      <c r="M12" s="839"/>
      <c r="N12" s="490"/>
      <c r="O12" s="207"/>
      <c r="P12" s="208"/>
      <c r="Q12" s="209"/>
      <c r="R12" s="209"/>
      <c r="S12" s="209"/>
      <c r="T12" s="209"/>
      <c r="U12" s="209"/>
      <c r="V12" s="209"/>
      <c r="W12" s="209"/>
      <c r="X12" s="210"/>
      <c r="Y12" s="210"/>
      <c r="Z12" s="210"/>
      <c r="AA12" s="210"/>
      <c r="AB12" s="210"/>
      <c r="AC12" s="209"/>
      <c r="AD12" s="339"/>
      <c r="AE12" s="340"/>
      <c r="AF12" s="209"/>
      <c r="AG12" s="209"/>
      <c r="AH12" s="209"/>
      <c r="AI12" s="494"/>
    </row>
    <row r="13" spans="1:35" s="29" customFormat="1" ht="24" customHeight="1">
      <c r="A13" s="7"/>
      <c r="B13" s="7"/>
      <c r="C13" s="89"/>
      <c r="D13" s="53"/>
      <c r="E13" s="86"/>
      <c r="F13" s="264"/>
      <c r="G13" s="102"/>
      <c r="H13" s="88"/>
      <c r="I13" s="88"/>
      <c r="J13" s="53"/>
      <c r="K13" s="53"/>
      <c r="L13" s="54"/>
      <c r="M13" s="839"/>
      <c r="N13" s="490"/>
      <c r="O13" s="207"/>
      <c r="P13" s="208"/>
      <c r="Q13" s="209"/>
      <c r="R13" s="209"/>
      <c r="S13" s="209"/>
      <c r="T13" s="209"/>
      <c r="U13" s="209"/>
      <c r="V13" s="209"/>
      <c r="W13" s="209"/>
      <c r="X13" s="210"/>
      <c r="Y13" s="210"/>
      <c r="Z13" s="210"/>
      <c r="AA13" s="210"/>
      <c r="AB13" s="210"/>
      <c r="AC13" s="209"/>
      <c r="AD13" s="339"/>
      <c r="AE13" s="340"/>
      <c r="AF13" s="209"/>
      <c r="AG13" s="209"/>
      <c r="AH13" s="209"/>
      <c r="AI13" s="494"/>
    </row>
    <row r="14" spans="1:35" s="29" customFormat="1" ht="24" customHeight="1">
      <c r="A14" s="7"/>
      <c r="B14" s="7"/>
      <c r="C14" s="89"/>
      <c r="D14" s="53"/>
      <c r="E14" s="86"/>
      <c r="F14" s="264"/>
      <c r="G14" s="102"/>
      <c r="H14" s="88"/>
      <c r="I14" s="88"/>
      <c r="J14" s="53"/>
      <c r="K14" s="53"/>
      <c r="L14" s="54"/>
      <c r="M14" s="839"/>
      <c r="N14" s="490"/>
      <c r="O14" s="207"/>
      <c r="P14" s="208"/>
      <c r="Q14" s="209"/>
      <c r="R14" s="209"/>
      <c r="S14" s="209"/>
      <c r="T14" s="209"/>
      <c r="U14" s="209"/>
      <c r="V14" s="209"/>
      <c r="W14" s="209"/>
      <c r="X14" s="210"/>
      <c r="Y14" s="210"/>
      <c r="Z14" s="210"/>
      <c r="AA14" s="210"/>
      <c r="AB14" s="210"/>
      <c r="AC14" s="209"/>
      <c r="AD14" s="339"/>
      <c r="AE14" s="340"/>
      <c r="AF14" s="209"/>
      <c r="AG14" s="209"/>
      <c r="AH14" s="209"/>
      <c r="AI14" s="494"/>
    </row>
    <row r="15" spans="1:35" s="29" customFormat="1" ht="24" customHeight="1">
      <c r="A15" s="7"/>
      <c r="B15" s="7"/>
      <c r="C15" s="89"/>
      <c r="D15" s="53"/>
      <c r="E15" s="86"/>
      <c r="F15" s="264"/>
      <c r="G15" s="102"/>
      <c r="H15" s="88"/>
      <c r="I15" s="88"/>
      <c r="J15" s="53"/>
      <c r="K15" s="53"/>
      <c r="L15" s="54"/>
      <c r="M15" s="839"/>
      <c r="N15" s="490"/>
      <c r="O15" s="207"/>
      <c r="P15" s="208"/>
      <c r="Q15" s="209"/>
      <c r="R15" s="209"/>
      <c r="S15" s="209"/>
      <c r="T15" s="209"/>
      <c r="U15" s="209"/>
      <c r="V15" s="209"/>
      <c r="W15" s="209"/>
      <c r="X15" s="210"/>
      <c r="Y15" s="210"/>
      <c r="Z15" s="210"/>
      <c r="AA15" s="210"/>
      <c r="AB15" s="210"/>
      <c r="AC15" s="209"/>
      <c r="AD15" s="339"/>
      <c r="AE15" s="340"/>
      <c r="AF15" s="209"/>
      <c r="AG15" s="209"/>
      <c r="AH15" s="209"/>
      <c r="AI15" s="494"/>
    </row>
    <row r="16" spans="1:35" s="29" customFormat="1" ht="24" customHeight="1">
      <c r="A16" s="7"/>
      <c r="B16" s="7"/>
      <c r="C16" s="89"/>
      <c r="D16" s="53" t="s">
        <v>52</v>
      </c>
      <c r="E16" s="86"/>
      <c r="F16" s="264"/>
      <c r="G16" s="102"/>
      <c r="H16" s="88"/>
      <c r="I16" s="88">
        <f>SUM(I7:I15)</f>
        <v>0</v>
      </c>
      <c r="J16" s="516" t="str">
        <f>IF(COUNTIF(N:N,"費用")=0,"","うち費用")</f>
        <v/>
      </c>
      <c r="K16" s="517" t="str">
        <f>IF(COUNTIF(N:N,"費用")=0,"",SUMIF(N:N,"費用",I:I))</f>
        <v/>
      </c>
      <c r="L16" s="54"/>
      <c r="M16" s="839" t="s">
        <v>2631</v>
      </c>
      <c r="N16" s="490"/>
      <c r="O16" s="207"/>
      <c r="P16" s="208"/>
      <c r="Q16" s="209"/>
      <c r="R16" s="209"/>
      <c r="S16" s="209"/>
      <c r="T16" s="209"/>
      <c r="U16" s="209"/>
      <c r="V16" s="209"/>
      <c r="W16" s="209"/>
      <c r="X16" s="210"/>
      <c r="Y16" s="210"/>
      <c r="Z16" s="210"/>
      <c r="AA16" s="210"/>
      <c r="AB16" s="210"/>
      <c r="AC16" s="209"/>
      <c r="AD16" s="339"/>
      <c r="AE16" s="340"/>
      <c r="AF16" s="209"/>
      <c r="AG16" s="209"/>
      <c r="AH16" s="209"/>
      <c r="AI16" s="494"/>
    </row>
    <row r="17" spans="1:35" s="29" customFormat="1" ht="24" customHeight="1">
      <c r="A17" s="7"/>
      <c r="B17" s="7"/>
      <c r="C17" s="89"/>
      <c r="D17" s="103"/>
      <c r="E17" s="86"/>
      <c r="F17" s="264"/>
      <c r="G17" s="102"/>
      <c r="H17" s="88"/>
      <c r="I17" s="88"/>
      <c r="J17" s="53"/>
      <c r="K17" s="53"/>
      <c r="L17" s="54"/>
      <c r="M17" s="839"/>
      <c r="N17" s="490"/>
      <c r="O17" s="207"/>
      <c r="P17" s="208"/>
      <c r="Q17" s="209"/>
      <c r="R17" s="209"/>
      <c r="S17" s="209"/>
      <c r="T17" s="209"/>
      <c r="U17" s="209"/>
      <c r="V17" s="209"/>
      <c r="W17" s="209"/>
      <c r="X17" s="210"/>
      <c r="Y17" s="210"/>
      <c r="Z17" s="210"/>
      <c r="AA17" s="210"/>
      <c r="AB17" s="210"/>
      <c r="AC17" s="209"/>
      <c r="AD17" s="339"/>
      <c r="AE17" s="340"/>
      <c r="AF17" s="209"/>
      <c r="AG17" s="209"/>
      <c r="AH17" s="209"/>
      <c r="AI17" s="494"/>
    </row>
    <row r="18" spans="1:35" s="29" customFormat="1" ht="24" customHeight="1">
      <c r="A18" s="7"/>
      <c r="B18" s="7"/>
      <c r="C18" s="169" t="s">
        <v>148</v>
      </c>
      <c r="D18" s="53"/>
      <c r="E18" s="86"/>
      <c r="F18" s="264"/>
      <c r="G18" s="102"/>
      <c r="H18" s="88"/>
      <c r="I18" s="88"/>
      <c r="J18" s="53"/>
      <c r="K18" s="53"/>
      <c r="L18" s="54"/>
      <c r="M18" s="839"/>
      <c r="N18" s="490"/>
      <c r="O18" s="207"/>
      <c r="P18" s="208"/>
      <c r="Q18" s="209"/>
      <c r="R18" s="209"/>
      <c r="S18" s="209"/>
      <c r="T18" s="209"/>
      <c r="U18" s="209"/>
      <c r="V18" s="209"/>
      <c r="W18" s="209"/>
      <c r="X18" s="210"/>
      <c r="Y18" s="210"/>
      <c r="Z18" s="210"/>
      <c r="AA18" s="210"/>
      <c r="AB18" s="210"/>
      <c r="AC18" s="209"/>
      <c r="AD18" s="339"/>
      <c r="AE18" s="340"/>
      <c r="AF18" s="209"/>
      <c r="AG18" s="209"/>
      <c r="AH18" s="209"/>
      <c r="AI18" s="494"/>
    </row>
    <row r="19" spans="1:35" s="29" customFormat="1" ht="24" customHeight="1">
      <c r="A19" s="7"/>
      <c r="B19" s="7"/>
      <c r="C19" s="89"/>
      <c r="D19" s="53" t="s">
        <v>149</v>
      </c>
      <c r="E19" s="86"/>
      <c r="F19" s="264">
        <v>1</v>
      </c>
      <c r="G19" s="102" t="s">
        <v>7</v>
      </c>
      <c r="H19" s="88"/>
      <c r="I19" s="88" t="e">
        <f ca="1">+I47</f>
        <v>#N/A</v>
      </c>
      <c r="J19" s="53"/>
      <c r="K19" s="53"/>
      <c r="L19" s="54"/>
      <c r="M19" s="839"/>
      <c r="N19" s="490"/>
      <c r="O19" s="207"/>
      <c r="P19" s="208"/>
      <c r="Q19" s="209"/>
      <c r="R19" s="209"/>
      <c r="S19" s="209"/>
      <c r="T19" s="209"/>
      <c r="U19" s="209"/>
      <c r="V19" s="209"/>
      <c r="W19" s="209"/>
      <c r="X19" s="210"/>
      <c r="Y19" s="210"/>
      <c r="Z19" s="210"/>
      <c r="AA19" s="210"/>
      <c r="AB19" s="210"/>
      <c r="AC19" s="209"/>
      <c r="AD19" s="339"/>
      <c r="AE19" s="340"/>
      <c r="AF19" s="209"/>
      <c r="AG19" s="209"/>
      <c r="AH19" s="209"/>
      <c r="AI19" s="494"/>
    </row>
    <row r="20" spans="1:35" s="29" customFormat="1" ht="24" customHeight="1">
      <c r="A20" s="7"/>
      <c r="B20" s="7"/>
      <c r="C20" s="89"/>
      <c r="D20" s="53" t="s">
        <v>2628</v>
      </c>
      <c r="E20" s="86"/>
      <c r="F20" s="264">
        <v>1</v>
      </c>
      <c r="G20" s="102" t="s">
        <v>7</v>
      </c>
      <c r="H20" s="88"/>
      <c r="I20" s="837" t="e">
        <f ca="1">+HLOOKUP($J$5,諸経費表!$G$7:$J$34,18,0)</f>
        <v>#N/A</v>
      </c>
      <c r="J20" s="170"/>
      <c r="K20" s="53"/>
      <c r="L20" s="54"/>
      <c r="M20" s="839"/>
      <c r="N20" s="490"/>
      <c r="O20" s="207"/>
      <c r="P20" s="208"/>
      <c r="Q20" s="209"/>
      <c r="R20" s="209"/>
      <c r="S20" s="209"/>
      <c r="T20" s="209"/>
      <c r="U20" s="209"/>
      <c r="V20" s="209"/>
      <c r="W20" s="209"/>
      <c r="X20" s="210"/>
      <c r="Y20" s="210"/>
      <c r="Z20" s="210"/>
      <c r="AA20" s="210"/>
      <c r="AB20" s="210"/>
      <c r="AC20" s="209"/>
      <c r="AD20" s="339"/>
      <c r="AE20" s="340"/>
      <c r="AF20" s="209"/>
      <c r="AG20" s="209"/>
      <c r="AH20" s="209"/>
      <c r="AI20" s="494"/>
    </row>
    <row r="21" spans="1:35" s="29" customFormat="1" ht="24" customHeight="1">
      <c r="A21" s="7"/>
      <c r="B21" s="7"/>
      <c r="C21" s="89"/>
      <c r="D21" s="53" t="s">
        <v>2629</v>
      </c>
      <c r="E21" s="86"/>
      <c r="F21" s="264">
        <v>1</v>
      </c>
      <c r="G21" s="102" t="s">
        <v>2630</v>
      </c>
      <c r="H21" s="88"/>
      <c r="I21" s="837" t="e">
        <f ca="1">+HLOOKUP($J$5,諸経費表!$G$7:$J$34,23,0)</f>
        <v>#N/A</v>
      </c>
      <c r="J21" s="53"/>
      <c r="K21" s="53"/>
      <c r="L21" s="54"/>
      <c r="M21" s="839"/>
      <c r="N21" s="490"/>
      <c r="O21" s="207"/>
      <c r="P21" s="208"/>
      <c r="Q21" s="209"/>
      <c r="R21" s="209"/>
      <c r="S21" s="209"/>
      <c r="T21" s="209"/>
      <c r="U21" s="209"/>
      <c r="V21" s="209"/>
      <c r="W21" s="209"/>
      <c r="X21" s="210"/>
      <c r="Y21" s="210"/>
      <c r="Z21" s="210"/>
      <c r="AA21" s="210"/>
      <c r="AB21" s="210"/>
      <c r="AC21" s="209"/>
      <c r="AD21" s="339"/>
      <c r="AE21" s="340"/>
      <c r="AF21" s="209"/>
      <c r="AG21" s="209"/>
      <c r="AH21" s="209"/>
      <c r="AI21" s="494"/>
    </row>
    <row r="22" spans="1:35" s="29" customFormat="1" ht="24" customHeight="1">
      <c r="A22" s="7"/>
      <c r="B22" s="7"/>
      <c r="C22" s="89"/>
      <c r="D22" s="53" t="s">
        <v>52</v>
      </c>
      <c r="E22" s="86"/>
      <c r="F22" s="264"/>
      <c r="G22" s="102"/>
      <c r="H22" s="88"/>
      <c r="I22" s="837" t="e">
        <f ca="1">SUM(I19:I21)</f>
        <v>#N/A</v>
      </c>
      <c r="J22" s="53"/>
      <c r="K22" s="53"/>
      <c r="L22" s="54"/>
      <c r="M22" s="839"/>
      <c r="N22" s="490"/>
      <c r="O22" s="207"/>
      <c r="P22" s="208"/>
      <c r="Q22" s="209"/>
      <c r="R22" s="209"/>
      <c r="S22" s="209"/>
      <c r="T22" s="209"/>
      <c r="U22" s="209"/>
      <c r="V22" s="209"/>
      <c r="W22" s="209"/>
      <c r="X22" s="210"/>
      <c r="Y22" s="210"/>
      <c r="Z22" s="210"/>
      <c r="AA22" s="210"/>
      <c r="AB22" s="210"/>
      <c r="AC22" s="209"/>
      <c r="AD22" s="339"/>
      <c r="AE22" s="340"/>
      <c r="AF22" s="209"/>
      <c r="AG22" s="209"/>
      <c r="AH22" s="209"/>
      <c r="AI22" s="494"/>
    </row>
    <row r="23" spans="1:35" s="29" customFormat="1" ht="24" customHeight="1">
      <c r="A23" s="7"/>
      <c r="B23" s="7"/>
      <c r="C23" s="89"/>
      <c r="D23" s="53"/>
      <c r="E23" s="86"/>
      <c r="F23" s="264"/>
      <c r="G23" s="102"/>
      <c r="H23" s="88"/>
      <c r="I23" s="88"/>
      <c r="J23" s="53"/>
      <c r="K23" s="53"/>
      <c r="L23" s="54"/>
      <c r="M23" s="839"/>
      <c r="N23" s="490"/>
      <c r="O23" s="207"/>
      <c r="P23" s="208"/>
      <c r="Q23" s="209"/>
      <c r="R23" s="209"/>
      <c r="S23" s="209"/>
      <c r="T23" s="209"/>
      <c r="U23" s="209"/>
      <c r="V23" s="209"/>
      <c r="W23" s="209"/>
      <c r="X23" s="210"/>
      <c r="Y23" s="210"/>
      <c r="Z23" s="210"/>
      <c r="AA23" s="210"/>
      <c r="AB23" s="210"/>
      <c r="AC23" s="209"/>
      <c r="AD23" s="339"/>
      <c r="AE23" s="340"/>
      <c r="AF23" s="209"/>
      <c r="AG23" s="209"/>
      <c r="AH23" s="209"/>
      <c r="AI23" s="494"/>
    </row>
    <row r="24" spans="1:35" ht="24" customHeight="1" thickBot="1">
      <c r="A24" s="7"/>
      <c r="B24" s="7"/>
      <c r="C24" s="90"/>
      <c r="D24" s="81" t="s">
        <v>48</v>
      </c>
      <c r="E24" s="91"/>
      <c r="F24" s="265"/>
      <c r="G24" s="104"/>
      <c r="H24" s="105" t="s">
        <v>77</v>
      </c>
      <c r="I24" s="92" t="e">
        <f ca="1">+I22+I16</f>
        <v>#N/A</v>
      </c>
      <c r="J24" s="81" t="s">
        <v>78</v>
      </c>
      <c r="K24" s="81"/>
      <c r="L24" s="106"/>
      <c r="O24" s="207"/>
      <c r="P24" s="208"/>
      <c r="Q24" s="209"/>
      <c r="R24" s="209"/>
      <c r="S24" s="209"/>
      <c r="T24" s="209"/>
      <c r="U24" s="209"/>
      <c r="V24" s="209"/>
      <c r="W24" s="209"/>
      <c r="X24" s="210"/>
      <c r="Y24" s="210"/>
      <c r="Z24" s="210"/>
      <c r="AA24" s="210"/>
      <c r="AB24" s="210"/>
      <c r="AC24" s="209"/>
      <c r="AD24" s="339"/>
      <c r="AE24" s="340"/>
      <c r="AF24" s="209"/>
      <c r="AG24" s="209"/>
      <c r="AH24" s="209"/>
      <c r="AI24" s="494"/>
    </row>
    <row r="25" spans="1:35" ht="14.25" customHeight="1">
      <c r="E25" s="107" t="s">
        <v>92</v>
      </c>
      <c r="F25" s="108">
        <f>+F2+1</f>
        <v>1</v>
      </c>
      <c r="G25" s="109" t="s">
        <v>93</v>
      </c>
      <c r="H25" s="110">
        <f>H2</f>
        <v>7</v>
      </c>
      <c r="M25" s="842" t="str">
        <f>IF(A27="","EOL","")</f>
        <v/>
      </c>
      <c r="N25" s="6">
        <f>+F25</f>
        <v>1</v>
      </c>
    </row>
    <row r="26" spans="1:35" ht="26.25" customHeight="1" thickBot="1">
      <c r="C26" s="1389" t="s">
        <v>312</v>
      </c>
      <c r="D26" s="1389"/>
      <c r="E26" s="1389"/>
      <c r="F26" s="1389"/>
      <c r="G26" s="1389"/>
      <c r="H26" s="1389"/>
      <c r="I26" s="1389"/>
      <c r="J26" s="1389"/>
      <c r="K26" s="1389"/>
      <c r="L26" s="1389"/>
      <c r="O26" s="1506" t="s">
        <v>137</v>
      </c>
      <c r="P26" s="1506"/>
      <c r="Q26" s="1506"/>
      <c r="R26" s="1506"/>
      <c r="S26" s="1506"/>
      <c r="T26" s="1506"/>
      <c r="U26" s="1506"/>
      <c r="V26" s="1506"/>
      <c r="W26" s="1506"/>
      <c r="X26" s="1506"/>
      <c r="Y26" s="1506"/>
      <c r="Z26" s="1506"/>
      <c r="AA26" s="1506"/>
      <c r="AB26" s="1506"/>
      <c r="AC26" s="1506"/>
      <c r="AD26" s="1506"/>
      <c r="AE26" s="1506"/>
      <c r="AF26" s="1506"/>
      <c r="AG26" s="1506"/>
      <c r="AH26" s="1507"/>
      <c r="AI26" s="492"/>
    </row>
    <row r="27" spans="1:35" ht="42" customHeight="1">
      <c r="A27" s="5" t="s">
        <v>13</v>
      </c>
      <c r="B27" s="5" t="s">
        <v>10</v>
      </c>
      <c r="C27" s="97" t="s">
        <v>0</v>
      </c>
      <c r="D27" s="93"/>
      <c r="E27" s="94" t="s">
        <v>1</v>
      </c>
      <c r="F27" s="95" t="s">
        <v>2</v>
      </c>
      <c r="G27" s="95" t="s">
        <v>3</v>
      </c>
      <c r="H27" s="96" t="s">
        <v>4</v>
      </c>
      <c r="I27" s="96" t="s">
        <v>5</v>
      </c>
      <c r="J27" s="1392" t="s">
        <v>6</v>
      </c>
      <c r="K27" s="1393"/>
      <c r="L27" s="1394"/>
      <c r="M27" s="840" t="s">
        <v>2827</v>
      </c>
      <c r="N27" s="567" t="s">
        <v>2818</v>
      </c>
      <c r="O27" s="138" t="s">
        <v>72</v>
      </c>
      <c r="P27" s="334" t="s">
        <v>246</v>
      </c>
      <c r="Q27" s="266" t="s">
        <v>261</v>
      </c>
      <c r="R27" s="266" t="s">
        <v>208</v>
      </c>
      <c r="S27" s="266" t="s">
        <v>209</v>
      </c>
      <c r="T27" s="266" t="s">
        <v>224</v>
      </c>
      <c r="U27" s="266" t="s">
        <v>131</v>
      </c>
      <c r="V27" s="137" t="s">
        <v>130</v>
      </c>
      <c r="W27" s="266" t="s">
        <v>210</v>
      </c>
      <c r="X27" s="200" t="s">
        <v>211</v>
      </c>
      <c r="Y27" s="200" t="s">
        <v>212</v>
      </c>
      <c r="Z27" s="200" t="s">
        <v>213</v>
      </c>
      <c r="AA27" s="200" t="s">
        <v>214</v>
      </c>
      <c r="AB27" s="200" t="s">
        <v>256</v>
      </c>
      <c r="AC27" s="336" t="s">
        <v>265</v>
      </c>
      <c r="AD27" s="337" t="s">
        <v>266</v>
      </c>
      <c r="AE27" s="338" t="s">
        <v>133</v>
      </c>
      <c r="AF27" s="136" t="s">
        <v>136</v>
      </c>
      <c r="AG27" s="136" t="s">
        <v>134</v>
      </c>
      <c r="AH27" s="136" t="s">
        <v>135</v>
      </c>
      <c r="AI27" s="493"/>
    </row>
    <row r="28" spans="1:35" ht="24" customHeight="1">
      <c r="A28" s="7"/>
      <c r="B28" s="7"/>
      <c r="C28" s="115" t="s">
        <v>150</v>
      </c>
      <c r="D28" s="566"/>
      <c r="E28" s="84"/>
      <c r="F28" s="263"/>
      <c r="G28" s="119"/>
      <c r="H28" s="80" t="s">
        <v>12</v>
      </c>
      <c r="I28" s="80" t="s">
        <v>12</v>
      </c>
      <c r="J28" s="1508" t="str">
        <f ca="1">RIGHT(CELL("filename",$A$1),LEN(CELL("filename",$A$1))-FIND("]",CELL("filename",$A$1)))</f>
        <v>新規シート</v>
      </c>
      <c r="K28" s="1509"/>
      <c r="L28" s="1510"/>
      <c r="M28" s="594"/>
      <c r="N28" s="568"/>
      <c r="O28" s="207"/>
      <c r="P28" s="208"/>
      <c r="Q28" s="209"/>
      <c r="R28" s="209"/>
      <c r="S28" s="209"/>
      <c r="T28" s="209"/>
      <c r="U28" s="209"/>
      <c r="V28" s="209"/>
      <c r="W28" s="209"/>
      <c r="X28" s="210"/>
      <c r="Y28" s="210"/>
      <c r="Z28" s="210"/>
      <c r="AA28" s="210"/>
      <c r="AB28" s="210"/>
      <c r="AC28" s="209"/>
      <c r="AD28" s="339"/>
      <c r="AE28" s="340"/>
      <c r="AF28" s="209"/>
      <c r="AG28" s="209"/>
      <c r="AH28" s="209"/>
      <c r="AI28" s="494"/>
    </row>
    <row r="29" spans="1:35" s="29" customFormat="1" ht="24" customHeight="1">
      <c r="A29" s="7"/>
      <c r="B29" s="7"/>
      <c r="C29" s="89"/>
      <c r="D29" s="53" t="s">
        <v>2380</v>
      </c>
      <c r="E29" s="86"/>
      <c r="F29" s="264"/>
      <c r="G29" s="102"/>
      <c r="H29" s="120"/>
      <c r="I29" s="88" t="str">
        <f t="shared" ref="I29:I44" si="0">IF(F29="","",INT(F29*H29))</f>
        <v/>
      </c>
      <c r="J29" s="53"/>
      <c r="K29" s="53"/>
      <c r="L29" s="54"/>
      <c r="M29" s="594"/>
      <c r="N29" s="569"/>
      <c r="O29" s="207"/>
      <c r="P29" s="208"/>
      <c r="Q29" s="209"/>
      <c r="R29" s="209"/>
      <c r="S29" s="209"/>
      <c r="T29" s="209"/>
      <c r="U29" s="209"/>
      <c r="V29" s="209"/>
      <c r="W29" s="209"/>
      <c r="X29" s="210"/>
      <c r="Y29" s="210"/>
      <c r="Z29" s="210"/>
      <c r="AA29" s="210"/>
      <c r="AB29" s="210"/>
      <c r="AC29" s="209"/>
      <c r="AD29" s="339"/>
      <c r="AE29" s="340"/>
      <c r="AF29" s="209"/>
      <c r="AG29" s="209"/>
      <c r="AH29" s="209"/>
      <c r="AI29" s="494"/>
    </row>
    <row r="30" spans="1:35" s="29" customFormat="1" ht="24" customHeight="1">
      <c r="A30" s="7"/>
      <c r="B30" s="7"/>
      <c r="C30" s="89"/>
      <c r="D30" s="53" t="s">
        <v>2378</v>
      </c>
      <c r="E30" s="86"/>
      <c r="F30" s="264">
        <v>1</v>
      </c>
      <c r="G30" s="102" t="s">
        <v>2379</v>
      </c>
      <c r="H30" s="838" t="e">
        <f ca="1">+HLOOKUP($J$5,諸経費表!$G$7:$J$34,12,0)</f>
        <v>#N/A</v>
      </c>
      <c r="I30" s="88" t="e">
        <f t="shared" ca="1" si="0"/>
        <v>#N/A</v>
      </c>
      <c r="J30" s="53"/>
      <c r="K30" s="53"/>
      <c r="L30" s="54"/>
      <c r="M30" s="594"/>
      <c r="N30" s="569"/>
      <c r="O30" s="207"/>
      <c r="P30" s="208"/>
      <c r="Q30" s="209"/>
      <c r="R30" s="209"/>
      <c r="S30" s="209"/>
      <c r="T30" s="209"/>
      <c r="U30" s="209"/>
      <c r="V30" s="209"/>
      <c r="W30" s="209"/>
      <c r="X30" s="210"/>
      <c r="Y30" s="210"/>
      <c r="Z30" s="210"/>
      <c r="AA30" s="210"/>
      <c r="AB30" s="210"/>
      <c r="AC30" s="209"/>
      <c r="AD30" s="339"/>
      <c r="AE30" s="340"/>
      <c r="AF30" s="209"/>
      <c r="AG30" s="209"/>
      <c r="AH30" s="209"/>
      <c r="AI30" s="494"/>
    </row>
    <row r="31" spans="1:35" s="29" customFormat="1" ht="24" customHeight="1">
      <c r="A31" s="7"/>
      <c r="B31" s="7"/>
      <c r="C31" s="535"/>
      <c r="D31" s="536"/>
      <c r="E31" s="537"/>
      <c r="F31" s="538"/>
      <c r="G31" s="539"/>
      <c r="H31" s="540"/>
      <c r="I31" s="88" t="str">
        <f t="shared" si="0"/>
        <v/>
      </c>
      <c r="J31" s="536"/>
      <c r="K31" s="536"/>
      <c r="L31" s="541"/>
      <c r="M31" s="594"/>
      <c r="N31" s="569"/>
      <c r="O31" s="207"/>
      <c r="P31" s="208"/>
      <c r="Q31" s="209"/>
      <c r="R31" s="209"/>
      <c r="S31" s="209"/>
      <c r="T31" s="209"/>
      <c r="U31" s="209"/>
      <c r="V31" s="209"/>
      <c r="W31" s="209"/>
      <c r="X31" s="210"/>
      <c r="Y31" s="210"/>
      <c r="Z31" s="210"/>
      <c r="AA31" s="210"/>
      <c r="AB31" s="210"/>
      <c r="AC31" s="209"/>
      <c r="AD31" s="339"/>
      <c r="AE31" s="340"/>
      <c r="AF31" s="209"/>
      <c r="AG31" s="209"/>
      <c r="AH31" s="209"/>
      <c r="AI31" s="494"/>
    </row>
    <row r="32" spans="1:35" s="29" customFormat="1" ht="24" customHeight="1">
      <c r="A32" s="7"/>
      <c r="B32" s="7"/>
      <c r="C32" s="543"/>
      <c r="D32" s="544" t="s">
        <v>2383</v>
      </c>
      <c r="E32" s="545"/>
      <c r="F32" s="546"/>
      <c r="G32" s="547"/>
      <c r="H32" s="548"/>
      <c r="I32" s="549" t="e">
        <f ca="1">SUM(I30:I31)</f>
        <v>#N/A</v>
      </c>
      <c r="J32" s="544"/>
      <c r="K32" s="544"/>
      <c r="L32" s="550"/>
      <c r="M32" s="594"/>
      <c r="N32" s="569"/>
      <c r="O32" s="207"/>
      <c r="P32" s="208"/>
      <c r="Q32" s="209"/>
      <c r="R32" s="209"/>
      <c r="S32" s="209"/>
      <c r="T32" s="209"/>
      <c r="U32" s="209"/>
      <c r="V32" s="209"/>
      <c r="W32" s="209"/>
      <c r="X32" s="210"/>
      <c r="Y32" s="210"/>
      <c r="Z32" s="210"/>
      <c r="AA32" s="210"/>
      <c r="AB32" s="210"/>
      <c r="AC32" s="209"/>
      <c r="AD32" s="339"/>
      <c r="AE32" s="340"/>
      <c r="AF32" s="209"/>
      <c r="AG32" s="209"/>
      <c r="AH32" s="209"/>
      <c r="AI32" s="494"/>
    </row>
    <row r="33" spans="1:35" s="29" customFormat="1" ht="24" customHeight="1">
      <c r="A33" s="7"/>
      <c r="B33" s="7"/>
      <c r="C33" s="542"/>
      <c r="D33" s="528"/>
      <c r="E33" s="529"/>
      <c r="F33" s="530"/>
      <c r="G33" s="531"/>
      <c r="H33" s="532"/>
      <c r="I33" s="533" t="str">
        <f t="shared" si="0"/>
        <v/>
      </c>
      <c r="J33" s="528"/>
      <c r="K33" s="528"/>
      <c r="L33" s="534"/>
      <c r="M33" s="594"/>
      <c r="N33" s="569"/>
      <c r="O33" s="207"/>
      <c r="P33" s="208"/>
      <c r="Q33" s="209"/>
      <c r="R33" s="209"/>
      <c r="S33" s="209"/>
      <c r="T33" s="209"/>
      <c r="U33" s="209"/>
      <c r="V33" s="209"/>
      <c r="W33" s="209"/>
      <c r="X33" s="210"/>
      <c r="Y33" s="210"/>
      <c r="Z33" s="210"/>
      <c r="AA33" s="210"/>
      <c r="AB33" s="210"/>
      <c r="AC33" s="209"/>
      <c r="AD33" s="339"/>
      <c r="AE33" s="340"/>
      <c r="AF33" s="209"/>
      <c r="AG33" s="209"/>
      <c r="AH33" s="209"/>
      <c r="AI33" s="494"/>
    </row>
    <row r="34" spans="1:35" s="29" customFormat="1" ht="24" customHeight="1">
      <c r="A34" s="7"/>
      <c r="B34" s="7"/>
      <c r="C34" s="89"/>
      <c r="D34" s="53" t="s">
        <v>2381</v>
      </c>
      <c r="E34" s="86"/>
      <c r="F34" s="264"/>
      <c r="G34" s="102"/>
      <c r="H34" s="120"/>
      <c r="I34" s="88" t="str">
        <f t="shared" si="0"/>
        <v/>
      </c>
      <c r="J34" s="53"/>
      <c r="K34" s="53"/>
      <c r="L34" s="54"/>
      <c r="M34" s="594"/>
      <c r="N34" s="569"/>
      <c r="O34" s="207"/>
      <c r="P34" s="208"/>
      <c r="Q34" s="209"/>
      <c r="R34" s="209"/>
      <c r="S34" s="209"/>
      <c r="T34" s="209"/>
      <c r="U34" s="209"/>
      <c r="V34" s="209"/>
      <c r="W34" s="209"/>
      <c r="X34" s="210"/>
      <c r="Y34" s="210"/>
      <c r="Z34" s="210"/>
      <c r="AA34" s="210"/>
      <c r="AB34" s="210"/>
      <c r="AC34" s="209"/>
      <c r="AD34" s="339"/>
      <c r="AE34" s="340"/>
      <c r="AF34" s="209"/>
      <c r="AG34" s="209"/>
      <c r="AH34" s="209"/>
      <c r="AI34" s="494"/>
    </row>
    <row r="35" spans="1:35" s="29" customFormat="1" ht="24" customHeight="1">
      <c r="A35" s="7"/>
      <c r="B35" s="7"/>
      <c r="C35" s="89"/>
      <c r="D35" s="53"/>
      <c r="E35" s="86"/>
      <c r="F35" s="264"/>
      <c r="G35" s="102"/>
      <c r="H35" s="120"/>
      <c r="I35" s="88" t="str">
        <f t="shared" si="0"/>
        <v/>
      </c>
      <c r="J35" s="1182"/>
      <c r="K35" s="53"/>
      <c r="L35" s="54"/>
      <c r="M35" s="594"/>
      <c r="N35" s="569"/>
      <c r="O35" s="207"/>
      <c r="P35" s="208"/>
      <c r="Q35" s="209"/>
      <c r="R35" s="209"/>
      <c r="S35" s="209"/>
      <c r="T35" s="209"/>
      <c r="U35" s="209"/>
      <c r="V35" s="209"/>
      <c r="W35" s="209"/>
      <c r="X35" s="210"/>
      <c r="Y35" s="210"/>
      <c r="Z35" s="210"/>
      <c r="AA35" s="210"/>
      <c r="AB35" s="210"/>
      <c r="AC35" s="209"/>
      <c r="AD35" s="339"/>
      <c r="AE35" s="340"/>
      <c r="AF35" s="209"/>
      <c r="AG35" s="209"/>
      <c r="AH35" s="209"/>
      <c r="AI35" s="494"/>
    </row>
    <row r="36" spans="1:35" s="29" customFormat="1" ht="24" customHeight="1">
      <c r="A36" s="7"/>
      <c r="B36" s="7"/>
      <c r="C36" s="89"/>
      <c r="D36" s="53"/>
      <c r="E36" s="86"/>
      <c r="F36" s="264"/>
      <c r="G36" s="102"/>
      <c r="H36" s="120"/>
      <c r="I36" s="88" t="str">
        <f t="shared" si="0"/>
        <v/>
      </c>
      <c r="J36" s="1182"/>
      <c r="K36" s="53"/>
      <c r="L36" s="54"/>
      <c r="M36" s="594"/>
      <c r="N36" s="569"/>
      <c r="O36" s="207"/>
      <c r="P36" s="208"/>
      <c r="Q36" s="209"/>
      <c r="R36" s="209"/>
      <c r="S36" s="209"/>
      <c r="T36" s="209"/>
      <c r="U36" s="209"/>
      <c r="V36" s="209"/>
      <c r="W36" s="209"/>
      <c r="X36" s="210"/>
      <c r="Y36" s="210"/>
      <c r="Z36" s="210"/>
      <c r="AA36" s="210"/>
      <c r="AB36" s="210"/>
      <c r="AC36" s="209"/>
      <c r="AD36" s="339"/>
      <c r="AE36" s="340"/>
      <c r="AF36" s="209"/>
      <c r="AG36" s="209"/>
      <c r="AH36" s="209"/>
      <c r="AI36" s="494"/>
    </row>
    <row r="37" spans="1:35" s="29" customFormat="1" ht="24" customHeight="1">
      <c r="A37" s="7"/>
      <c r="B37" s="7"/>
      <c r="C37" s="89"/>
      <c r="D37" s="53"/>
      <c r="E37" s="86"/>
      <c r="F37" s="264"/>
      <c r="G37" s="102"/>
      <c r="H37" s="120"/>
      <c r="I37" s="88" t="str">
        <f t="shared" si="0"/>
        <v/>
      </c>
      <c r="J37" s="1182"/>
      <c r="K37" s="53"/>
      <c r="L37" s="54"/>
      <c r="M37" s="594"/>
      <c r="N37" s="569"/>
      <c r="O37" s="207"/>
      <c r="P37" s="208"/>
      <c r="Q37" s="209"/>
      <c r="R37" s="209"/>
      <c r="S37" s="209"/>
      <c r="T37" s="209"/>
      <c r="U37" s="209"/>
      <c r="V37" s="209"/>
      <c r="W37" s="209"/>
      <c r="X37" s="210"/>
      <c r="Y37" s="210"/>
      <c r="Z37" s="210"/>
      <c r="AA37" s="210"/>
      <c r="AB37" s="210"/>
      <c r="AC37" s="209"/>
      <c r="AD37" s="339"/>
      <c r="AE37" s="340"/>
      <c r="AF37" s="209"/>
      <c r="AG37" s="209"/>
      <c r="AH37" s="209"/>
      <c r="AI37" s="494"/>
    </row>
    <row r="38" spans="1:35" s="29" customFormat="1" ht="24" customHeight="1">
      <c r="A38" s="7"/>
      <c r="B38" s="7"/>
      <c r="C38" s="89"/>
      <c r="D38" s="53"/>
      <c r="E38" s="86"/>
      <c r="F38" s="264"/>
      <c r="G38" s="102"/>
      <c r="H38" s="120"/>
      <c r="I38" s="88" t="str">
        <f t="shared" si="0"/>
        <v/>
      </c>
      <c r="J38" s="1182"/>
      <c r="K38" s="53"/>
      <c r="L38" s="54"/>
      <c r="M38" s="594"/>
      <c r="N38" s="569"/>
      <c r="O38" s="207"/>
      <c r="P38" s="208"/>
      <c r="Q38" s="209"/>
      <c r="R38" s="209"/>
      <c r="S38" s="209"/>
      <c r="T38" s="209"/>
      <c r="U38" s="209"/>
      <c r="V38" s="209"/>
      <c r="W38" s="209"/>
      <c r="X38" s="210"/>
      <c r="Y38" s="210"/>
      <c r="Z38" s="210"/>
      <c r="AA38" s="210"/>
      <c r="AB38" s="210"/>
      <c r="AC38" s="209"/>
      <c r="AD38" s="339"/>
      <c r="AE38" s="340"/>
      <c r="AF38" s="209"/>
      <c r="AG38" s="209"/>
      <c r="AH38" s="209"/>
      <c r="AI38" s="494"/>
    </row>
    <row r="39" spans="1:35" s="29" customFormat="1" ht="24" customHeight="1">
      <c r="A39" s="7"/>
      <c r="B39" s="7"/>
      <c r="C39" s="89"/>
      <c r="D39" s="53"/>
      <c r="E39" s="86"/>
      <c r="F39" s="264"/>
      <c r="G39" s="102"/>
      <c r="H39" s="120"/>
      <c r="I39" s="88" t="str">
        <f t="shared" si="0"/>
        <v/>
      </c>
      <c r="J39" s="1182"/>
      <c r="K39" s="53"/>
      <c r="L39" s="54"/>
      <c r="M39" s="594"/>
      <c r="N39" s="569"/>
      <c r="O39" s="207"/>
      <c r="P39" s="208"/>
      <c r="Q39" s="209"/>
      <c r="R39" s="209"/>
      <c r="S39" s="209"/>
      <c r="T39" s="209"/>
      <c r="U39" s="209"/>
      <c r="V39" s="209"/>
      <c r="W39" s="209"/>
      <c r="X39" s="210"/>
      <c r="Y39" s="210"/>
      <c r="Z39" s="210"/>
      <c r="AA39" s="210"/>
      <c r="AB39" s="210"/>
      <c r="AC39" s="209"/>
      <c r="AD39" s="339"/>
      <c r="AE39" s="340"/>
      <c r="AF39" s="209"/>
      <c r="AG39" s="209"/>
      <c r="AH39" s="209"/>
      <c r="AI39" s="494"/>
    </row>
    <row r="40" spans="1:35" s="29" customFormat="1" ht="24" customHeight="1">
      <c r="A40" s="7"/>
      <c r="B40" s="7"/>
      <c r="C40" s="89"/>
      <c r="D40" s="53"/>
      <c r="E40" s="86"/>
      <c r="F40" s="264"/>
      <c r="G40" s="102"/>
      <c r="H40" s="120"/>
      <c r="I40" s="88" t="str">
        <f t="shared" si="0"/>
        <v/>
      </c>
      <c r="J40" s="1182"/>
      <c r="K40" s="53"/>
      <c r="L40" s="54"/>
      <c r="M40" s="594"/>
      <c r="N40" s="569"/>
      <c r="O40" s="207"/>
      <c r="P40" s="208"/>
      <c r="Q40" s="209"/>
      <c r="R40" s="209"/>
      <c r="S40" s="209"/>
      <c r="T40" s="209"/>
      <c r="U40" s="209"/>
      <c r="V40" s="209"/>
      <c r="W40" s="209"/>
      <c r="X40" s="210"/>
      <c r="Y40" s="210"/>
      <c r="Z40" s="210"/>
      <c r="AA40" s="210"/>
      <c r="AB40" s="210"/>
      <c r="AC40" s="209"/>
      <c r="AD40" s="339"/>
      <c r="AE40" s="340"/>
      <c r="AF40" s="209"/>
      <c r="AG40" s="209"/>
      <c r="AH40" s="209"/>
      <c r="AI40" s="494"/>
    </row>
    <row r="41" spans="1:35" s="29" customFormat="1" ht="24" customHeight="1">
      <c r="A41" s="7"/>
      <c r="B41" s="7"/>
      <c r="C41" s="89"/>
      <c r="D41" s="53"/>
      <c r="E41" s="86"/>
      <c r="F41" s="264"/>
      <c r="G41" s="102"/>
      <c r="H41" s="120"/>
      <c r="I41" s="88" t="str">
        <f t="shared" si="0"/>
        <v/>
      </c>
      <c r="J41" s="1182"/>
      <c r="K41" s="53"/>
      <c r="L41" s="54"/>
      <c r="M41" s="594"/>
      <c r="N41" s="569"/>
      <c r="O41" s="207"/>
      <c r="P41" s="208"/>
      <c r="Q41" s="209"/>
      <c r="R41" s="209"/>
      <c r="S41" s="209"/>
      <c r="T41" s="209"/>
      <c r="U41" s="209"/>
      <c r="V41" s="209"/>
      <c r="W41" s="209"/>
      <c r="X41" s="210"/>
      <c r="Y41" s="210"/>
      <c r="Z41" s="210"/>
      <c r="AA41" s="210"/>
      <c r="AB41" s="210"/>
      <c r="AC41" s="209"/>
      <c r="AD41" s="339"/>
      <c r="AE41" s="340"/>
      <c r="AF41" s="209"/>
      <c r="AG41" s="209"/>
      <c r="AH41" s="209"/>
      <c r="AI41" s="494"/>
    </row>
    <row r="42" spans="1:35" s="29" customFormat="1" ht="24" customHeight="1">
      <c r="A42" s="7"/>
      <c r="B42" s="7"/>
      <c r="C42" s="89"/>
      <c r="D42" s="53"/>
      <c r="E42" s="86"/>
      <c r="F42" s="264"/>
      <c r="G42" s="102"/>
      <c r="H42" s="120"/>
      <c r="I42" s="88" t="str">
        <f t="shared" si="0"/>
        <v/>
      </c>
      <c r="J42" s="1182"/>
      <c r="K42" s="53"/>
      <c r="L42" s="54"/>
      <c r="M42" s="594"/>
      <c r="N42" s="569"/>
      <c r="O42" s="207"/>
      <c r="P42" s="208"/>
      <c r="Q42" s="209"/>
      <c r="R42" s="209"/>
      <c r="S42" s="209"/>
      <c r="T42" s="209"/>
      <c r="U42" s="209"/>
      <c r="V42" s="209"/>
      <c r="W42" s="209"/>
      <c r="X42" s="210"/>
      <c r="Y42" s="210"/>
      <c r="Z42" s="210"/>
      <c r="AA42" s="210"/>
      <c r="AB42" s="210"/>
      <c r="AC42" s="209"/>
      <c r="AD42" s="339"/>
      <c r="AE42" s="340"/>
      <c r="AF42" s="209"/>
      <c r="AG42" s="209"/>
      <c r="AH42" s="209"/>
      <c r="AI42" s="494"/>
    </row>
    <row r="43" spans="1:35" s="29" customFormat="1" ht="24" customHeight="1">
      <c r="A43" s="7"/>
      <c r="B43" s="7"/>
      <c r="C43" s="89"/>
      <c r="D43" s="53"/>
      <c r="E43" s="86"/>
      <c r="F43" s="264"/>
      <c r="G43" s="102"/>
      <c r="H43" s="120"/>
      <c r="I43" s="88" t="str">
        <f t="shared" si="0"/>
        <v/>
      </c>
      <c r="J43" s="1182"/>
      <c r="K43" s="53"/>
      <c r="L43" s="54"/>
      <c r="M43" s="594"/>
      <c r="N43" s="569"/>
      <c r="O43" s="207"/>
      <c r="P43" s="208"/>
      <c r="Q43" s="209"/>
      <c r="R43" s="209"/>
      <c r="S43" s="209"/>
      <c r="T43" s="209"/>
      <c r="U43" s="209"/>
      <c r="V43" s="209"/>
      <c r="W43" s="209"/>
      <c r="X43" s="210"/>
      <c r="Y43" s="210"/>
      <c r="Z43" s="210"/>
      <c r="AA43" s="210"/>
      <c r="AB43" s="210"/>
      <c r="AC43" s="209"/>
      <c r="AD43" s="339"/>
      <c r="AE43" s="340"/>
      <c r="AF43" s="209"/>
      <c r="AG43" s="209"/>
      <c r="AH43" s="209"/>
      <c r="AI43" s="494"/>
    </row>
    <row r="44" spans="1:35" s="29" customFormat="1" ht="24" customHeight="1">
      <c r="A44" s="7"/>
      <c r="B44" s="7"/>
      <c r="C44" s="535"/>
      <c r="D44" s="536"/>
      <c r="E44" s="537"/>
      <c r="F44" s="538"/>
      <c r="G44" s="539"/>
      <c r="H44" s="540"/>
      <c r="I44" s="88" t="str">
        <f t="shared" si="0"/>
        <v/>
      </c>
      <c r="J44" s="536"/>
      <c r="K44" s="536"/>
      <c r="L44" s="541"/>
      <c r="M44" s="594"/>
      <c r="N44" s="569"/>
      <c r="O44" s="207"/>
      <c r="P44" s="208"/>
      <c r="Q44" s="209"/>
      <c r="R44" s="209"/>
      <c r="S44" s="209"/>
      <c r="T44" s="209"/>
      <c r="U44" s="209"/>
      <c r="V44" s="209"/>
      <c r="W44" s="209"/>
      <c r="X44" s="210"/>
      <c r="Y44" s="210"/>
      <c r="Z44" s="210"/>
      <c r="AA44" s="210"/>
      <c r="AB44" s="210"/>
      <c r="AC44" s="209"/>
      <c r="AD44" s="339"/>
      <c r="AE44" s="340"/>
      <c r="AF44" s="209"/>
      <c r="AG44" s="209"/>
      <c r="AH44" s="209"/>
      <c r="AI44" s="494"/>
    </row>
    <row r="45" spans="1:35" s="29" customFormat="1" ht="24" customHeight="1">
      <c r="A45" s="7"/>
      <c r="B45" s="7"/>
      <c r="C45" s="551"/>
      <c r="D45" s="544" t="s">
        <v>2382</v>
      </c>
      <c r="E45" s="545"/>
      <c r="F45" s="546"/>
      <c r="G45" s="547"/>
      <c r="H45" s="548"/>
      <c r="I45" s="549">
        <f>SUM(I35:I44)</f>
        <v>0</v>
      </c>
      <c r="J45" s="544"/>
      <c r="K45" s="544"/>
      <c r="L45" s="550"/>
      <c r="M45" s="594" t="s">
        <v>2823</v>
      </c>
      <c r="N45" s="569"/>
      <c r="O45" s="207"/>
      <c r="P45" s="208"/>
      <c r="Q45" s="209"/>
      <c r="R45" s="209"/>
      <c r="S45" s="209"/>
      <c r="T45" s="209"/>
      <c r="U45" s="209"/>
      <c r="V45" s="209"/>
      <c r="W45" s="209"/>
      <c r="X45" s="210"/>
      <c r="Y45" s="210"/>
      <c r="Z45" s="210"/>
      <c r="AA45" s="210"/>
      <c r="AB45" s="210"/>
      <c r="AC45" s="209"/>
      <c r="AD45" s="339"/>
      <c r="AE45" s="340"/>
      <c r="AF45" s="209"/>
      <c r="AG45" s="209"/>
      <c r="AH45" s="209"/>
      <c r="AI45" s="494"/>
    </row>
    <row r="46" spans="1:35" s="29" customFormat="1" ht="24" customHeight="1">
      <c r="A46" s="7"/>
      <c r="B46" s="7"/>
      <c r="C46" s="89"/>
      <c r="D46" s="53"/>
      <c r="E46" s="86"/>
      <c r="F46" s="264"/>
      <c r="G46" s="102"/>
      <c r="H46" s="120"/>
      <c r="I46" s="88" t="str">
        <f>IF(F46="","",INT(F46*H46))</f>
        <v/>
      </c>
      <c r="J46" s="53"/>
      <c r="K46" s="53"/>
      <c r="L46" s="54"/>
      <c r="M46" s="594"/>
      <c r="N46" s="569"/>
      <c r="O46" s="207"/>
      <c r="P46" s="208"/>
      <c r="Q46" s="209"/>
      <c r="R46" s="209"/>
      <c r="S46" s="209"/>
      <c r="T46" s="209"/>
      <c r="U46" s="209"/>
      <c r="V46" s="209"/>
      <c r="W46" s="209"/>
      <c r="X46" s="210"/>
      <c r="Y46" s="210"/>
      <c r="Z46" s="210"/>
      <c r="AA46" s="210"/>
      <c r="AB46" s="210"/>
      <c r="AC46" s="209"/>
      <c r="AD46" s="339"/>
      <c r="AE46" s="340"/>
      <c r="AF46" s="209"/>
      <c r="AG46" s="209"/>
      <c r="AH46" s="209"/>
      <c r="AI46" s="494"/>
    </row>
    <row r="47" spans="1:35" ht="24" customHeight="1" thickBot="1">
      <c r="A47" s="7"/>
      <c r="B47" s="7"/>
      <c r="C47" s="90"/>
      <c r="D47" s="81" t="s">
        <v>9</v>
      </c>
      <c r="E47" s="91"/>
      <c r="F47" s="265"/>
      <c r="G47" s="104"/>
      <c r="H47" s="114" t="s">
        <v>75</v>
      </c>
      <c r="I47" s="92" t="e">
        <f ca="1">I32+I45</f>
        <v>#N/A</v>
      </c>
      <c r="J47" s="81" t="s">
        <v>76</v>
      </c>
      <c r="K47" s="81"/>
      <c r="L47" s="106"/>
      <c r="M47" s="841"/>
      <c r="N47" s="571"/>
      <c r="O47" s="207"/>
      <c r="P47" s="208"/>
      <c r="Q47" s="209"/>
      <c r="R47" s="209"/>
      <c r="S47" s="209"/>
      <c r="T47" s="209"/>
      <c r="U47" s="209"/>
      <c r="V47" s="209"/>
      <c r="W47" s="209"/>
      <c r="X47" s="210"/>
      <c r="Y47" s="210"/>
      <c r="Z47" s="210"/>
      <c r="AA47" s="210"/>
      <c r="AB47" s="210"/>
      <c r="AC47" s="209"/>
      <c r="AD47" s="339"/>
      <c r="AE47" s="340"/>
      <c r="AF47" s="209"/>
      <c r="AG47" s="209"/>
      <c r="AH47" s="209"/>
      <c r="AI47" s="494"/>
    </row>
    <row r="48" spans="1:35" ht="14.25" customHeight="1">
      <c r="E48" s="107" t="s">
        <v>92</v>
      </c>
      <c r="F48" s="108">
        <f>+F25+1</f>
        <v>2</v>
      </c>
      <c r="G48" s="109" t="s">
        <v>93</v>
      </c>
      <c r="H48" s="110">
        <f>+$H$25</f>
        <v>7</v>
      </c>
      <c r="I48" s="110"/>
      <c r="M48" s="842" t="str">
        <f>IF(A50="","EOL","")</f>
        <v/>
      </c>
      <c r="N48" s="6">
        <f>+F48</f>
        <v>2</v>
      </c>
      <c r="O48" s="1"/>
      <c r="P48" s="1"/>
    </row>
    <row r="49" spans="1:35" ht="26.25" customHeight="1" thickBot="1">
      <c r="C49" s="1389" t="s">
        <v>312</v>
      </c>
      <c r="D49" s="1389"/>
      <c r="E49" s="1389"/>
      <c r="F49" s="1389"/>
      <c r="G49" s="1389"/>
      <c r="H49" s="1389"/>
      <c r="I49" s="1389"/>
      <c r="J49" s="1389"/>
      <c r="K49" s="1389"/>
      <c r="L49" s="1389"/>
      <c r="O49" s="1506" t="s">
        <v>137</v>
      </c>
      <c r="P49" s="1506"/>
      <c r="Q49" s="1506"/>
      <c r="R49" s="1506"/>
      <c r="S49" s="1506"/>
      <c r="T49" s="1506"/>
      <c r="U49" s="1506"/>
      <c r="V49" s="1506"/>
      <c r="W49" s="1506"/>
      <c r="X49" s="1506"/>
      <c r="Y49" s="1506"/>
      <c r="Z49" s="1506"/>
      <c r="AA49" s="1506"/>
      <c r="AB49" s="1506"/>
      <c r="AC49" s="1506"/>
      <c r="AD49" s="1506"/>
      <c r="AE49" s="1506"/>
      <c r="AF49" s="1506"/>
      <c r="AG49" s="1506"/>
      <c r="AH49" s="1507"/>
      <c r="AI49" s="492"/>
    </row>
    <row r="50" spans="1:35" ht="42" customHeight="1">
      <c r="A50" s="5" t="s">
        <v>13</v>
      </c>
      <c r="B50" s="5" t="s">
        <v>10</v>
      </c>
      <c r="C50" s="97" t="s">
        <v>0</v>
      </c>
      <c r="D50" s="93"/>
      <c r="E50" s="94" t="s">
        <v>1</v>
      </c>
      <c r="F50" s="95" t="s">
        <v>2</v>
      </c>
      <c r="G50" s="95" t="s">
        <v>3</v>
      </c>
      <c r="H50" s="96" t="s">
        <v>4</v>
      </c>
      <c r="I50" s="96" t="s">
        <v>5</v>
      </c>
      <c r="J50" s="1392" t="s">
        <v>6</v>
      </c>
      <c r="K50" s="1393"/>
      <c r="L50" s="1394"/>
      <c r="M50" s="840" t="s">
        <v>2827</v>
      </c>
      <c r="N50" s="567" t="s">
        <v>2818</v>
      </c>
      <c r="O50" s="138" t="s">
        <v>72</v>
      </c>
      <c r="P50" s="334" t="s">
        <v>246</v>
      </c>
      <c r="Q50" s="266" t="s">
        <v>261</v>
      </c>
      <c r="R50" s="266" t="s">
        <v>208</v>
      </c>
      <c r="S50" s="266" t="s">
        <v>209</v>
      </c>
      <c r="T50" s="266" t="s">
        <v>224</v>
      </c>
      <c r="U50" s="266" t="s">
        <v>131</v>
      </c>
      <c r="V50" s="137" t="s">
        <v>130</v>
      </c>
      <c r="W50" s="266" t="s">
        <v>210</v>
      </c>
      <c r="X50" s="200" t="s">
        <v>211</v>
      </c>
      <c r="Y50" s="200" t="s">
        <v>212</v>
      </c>
      <c r="Z50" s="200" t="s">
        <v>213</v>
      </c>
      <c r="AA50" s="200" t="s">
        <v>214</v>
      </c>
      <c r="AB50" s="200" t="s">
        <v>256</v>
      </c>
      <c r="AC50" s="336" t="s">
        <v>265</v>
      </c>
      <c r="AD50" s="337" t="s">
        <v>266</v>
      </c>
      <c r="AE50" s="338" t="s">
        <v>133</v>
      </c>
      <c r="AF50" s="136" t="s">
        <v>136</v>
      </c>
      <c r="AG50" s="136" t="s">
        <v>134</v>
      </c>
      <c r="AH50" s="136" t="s">
        <v>135</v>
      </c>
      <c r="AI50" s="493"/>
    </row>
    <row r="51" spans="1:35" ht="24" customHeight="1">
      <c r="A51" s="7"/>
      <c r="B51" s="7"/>
      <c r="C51" s="115" t="s">
        <v>42</v>
      </c>
      <c r="D51" s="121"/>
      <c r="E51" s="84"/>
      <c r="F51" s="263"/>
      <c r="G51" s="119"/>
      <c r="H51" s="80" t="s">
        <v>12</v>
      </c>
      <c r="I51" s="80" t="s">
        <v>12</v>
      </c>
      <c r="J51" s="1508" t="str">
        <f ca="1">RIGHT(CELL("filename",$A$1),LEN(CELL("filename",$A$1))-FIND("]",CELL("filename",$A$1)))</f>
        <v>新規シート</v>
      </c>
      <c r="K51" s="1509"/>
      <c r="L51" s="1510"/>
      <c r="M51" s="594"/>
      <c r="N51" s="568"/>
      <c r="O51" s="207"/>
      <c r="P51" s="208"/>
      <c r="Q51" s="209"/>
      <c r="R51" s="209"/>
      <c r="S51" s="209"/>
      <c r="T51" s="209"/>
      <c r="U51" s="209"/>
      <c r="V51" s="209"/>
      <c r="W51" s="209"/>
      <c r="X51" s="210"/>
      <c r="Y51" s="210"/>
      <c r="Z51" s="210"/>
      <c r="AA51" s="210"/>
      <c r="AB51" s="210"/>
      <c r="AC51" s="209"/>
      <c r="AD51" s="339"/>
      <c r="AE51" s="340"/>
      <c r="AF51" s="209"/>
      <c r="AG51" s="209"/>
      <c r="AH51" s="209"/>
      <c r="AI51" s="494"/>
    </row>
    <row r="52" spans="1:35" s="29" customFormat="1" ht="24" customHeight="1">
      <c r="A52" s="7"/>
      <c r="B52" s="7"/>
      <c r="C52" s="89"/>
      <c r="D52" s="121"/>
      <c r="E52" s="86"/>
      <c r="F52" s="264"/>
      <c r="G52" s="102"/>
      <c r="H52" s="120"/>
      <c r="I52" s="88" t="str">
        <f>IF(F52="","",INT(F52*H52))</f>
        <v/>
      </c>
      <c r="J52" s="53"/>
      <c r="K52" s="53"/>
      <c r="L52" s="54"/>
      <c r="M52" s="594"/>
      <c r="N52" s="569"/>
      <c r="O52" s="207"/>
      <c r="P52" s="208"/>
      <c r="Q52" s="209"/>
      <c r="R52" s="209"/>
      <c r="S52" s="209"/>
      <c r="T52" s="209"/>
      <c r="U52" s="209"/>
      <c r="V52" s="209"/>
      <c r="W52" s="209"/>
      <c r="X52" s="210"/>
      <c r="Y52" s="210"/>
      <c r="Z52" s="210"/>
      <c r="AA52" s="210"/>
      <c r="AB52" s="210"/>
      <c r="AC52" s="209"/>
      <c r="AD52" s="339"/>
      <c r="AE52" s="340"/>
      <c r="AF52" s="209"/>
      <c r="AG52" s="209"/>
      <c r="AH52" s="209"/>
      <c r="AI52" s="494"/>
    </row>
    <row r="53" spans="1:35" s="29" customFormat="1" ht="24" customHeight="1">
      <c r="A53" s="7"/>
      <c r="B53" s="7"/>
      <c r="C53" s="89"/>
      <c r="D53" s="121"/>
      <c r="E53" s="86"/>
      <c r="F53" s="264"/>
      <c r="G53" s="102"/>
      <c r="H53" s="120"/>
      <c r="I53" s="88" t="str">
        <f t="shared" ref="I53:I69" si="1">IF(F53="","",INT(F53*H53))</f>
        <v/>
      </c>
      <c r="J53" s="1182"/>
      <c r="K53" s="53"/>
      <c r="L53" s="54"/>
      <c r="M53" s="594"/>
      <c r="N53" s="569"/>
      <c r="O53" s="207"/>
      <c r="P53" s="208"/>
      <c r="Q53" s="209"/>
      <c r="R53" s="209"/>
      <c r="S53" s="209"/>
      <c r="T53" s="209"/>
      <c r="U53" s="209"/>
      <c r="V53" s="209"/>
      <c r="W53" s="209"/>
      <c r="X53" s="210"/>
      <c r="Y53" s="210"/>
      <c r="Z53" s="210"/>
      <c r="AA53" s="210"/>
      <c r="AB53" s="210"/>
      <c r="AC53" s="209"/>
      <c r="AD53" s="339"/>
      <c r="AE53" s="340"/>
      <c r="AF53" s="209"/>
      <c r="AG53" s="209"/>
      <c r="AH53" s="209"/>
      <c r="AI53" s="494"/>
    </row>
    <row r="54" spans="1:35" s="29" customFormat="1" ht="24" customHeight="1">
      <c r="A54" s="7"/>
      <c r="B54" s="7"/>
      <c r="C54" s="89"/>
      <c r="D54" s="121"/>
      <c r="E54" s="86"/>
      <c r="F54" s="264"/>
      <c r="G54" s="102"/>
      <c r="H54" s="120"/>
      <c r="I54" s="88" t="str">
        <f t="shared" si="1"/>
        <v/>
      </c>
      <c r="J54" s="1182"/>
      <c r="K54" s="53"/>
      <c r="L54" s="54"/>
      <c r="M54" s="594"/>
      <c r="N54" s="569"/>
      <c r="O54" s="207"/>
      <c r="P54" s="208"/>
      <c r="Q54" s="209"/>
      <c r="R54" s="209"/>
      <c r="S54" s="209"/>
      <c r="T54" s="209"/>
      <c r="U54" s="209"/>
      <c r="V54" s="209"/>
      <c r="W54" s="209"/>
      <c r="X54" s="210"/>
      <c r="Y54" s="210"/>
      <c r="Z54" s="210"/>
      <c r="AA54" s="210"/>
      <c r="AB54" s="210"/>
      <c r="AC54" s="209"/>
      <c r="AD54" s="339"/>
      <c r="AE54" s="340"/>
      <c r="AF54" s="209"/>
      <c r="AG54" s="209"/>
      <c r="AH54" s="209"/>
      <c r="AI54" s="494"/>
    </row>
    <row r="55" spans="1:35" s="29" customFormat="1" ht="24" customHeight="1">
      <c r="A55" s="7"/>
      <c r="B55" s="7"/>
      <c r="C55" s="89"/>
      <c r="D55" s="121"/>
      <c r="E55" s="86"/>
      <c r="F55" s="264"/>
      <c r="G55" s="102"/>
      <c r="H55" s="120"/>
      <c r="I55" s="88" t="str">
        <f t="shared" si="1"/>
        <v/>
      </c>
      <c r="J55" s="1182"/>
      <c r="K55" s="53"/>
      <c r="L55" s="54"/>
      <c r="M55" s="594"/>
      <c r="N55" s="569"/>
      <c r="O55" s="207"/>
      <c r="P55" s="208"/>
      <c r="Q55" s="209"/>
      <c r="R55" s="209"/>
      <c r="S55" s="209"/>
      <c r="T55" s="209"/>
      <c r="U55" s="209"/>
      <c r="V55" s="209"/>
      <c r="W55" s="209"/>
      <c r="X55" s="210"/>
      <c r="Y55" s="210"/>
      <c r="Z55" s="210"/>
      <c r="AA55" s="210"/>
      <c r="AB55" s="210"/>
      <c r="AC55" s="209"/>
      <c r="AD55" s="339"/>
      <c r="AE55" s="340"/>
      <c r="AF55" s="209"/>
      <c r="AG55" s="209"/>
      <c r="AH55" s="209"/>
      <c r="AI55" s="494"/>
    </row>
    <row r="56" spans="1:35" s="29" customFormat="1" ht="24" customHeight="1">
      <c r="A56" s="7"/>
      <c r="B56" s="7"/>
      <c r="C56" s="89"/>
      <c r="D56" s="121"/>
      <c r="E56" s="86"/>
      <c r="F56" s="264"/>
      <c r="G56" s="102"/>
      <c r="H56" s="120"/>
      <c r="I56" s="88" t="str">
        <f t="shared" si="1"/>
        <v/>
      </c>
      <c r="J56" s="1182"/>
      <c r="K56" s="53"/>
      <c r="L56" s="54"/>
      <c r="M56" s="594"/>
      <c r="N56" s="569"/>
      <c r="O56" s="207"/>
      <c r="P56" s="208"/>
      <c r="Q56" s="209"/>
      <c r="R56" s="209"/>
      <c r="S56" s="209"/>
      <c r="T56" s="209"/>
      <c r="U56" s="209"/>
      <c r="V56" s="209"/>
      <c r="W56" s="209"/>
      <c r="X56" s="210"/>
      <c r="Y56" s="210"/>
      <c r="Z56" s="210"/>
      <c r="AA56" s="210"/>
      <c r="AB56" s="210"/>
      <c r="AC56" s="209"/>
      <c r="AD56" s="339"/>
      <c r="AE56" s="340"/>
      <c r="AF56" s="209"/>
      <c r="AG56" s="209"/>
      <c r="AH56" s="209"/>
      <c r="AI56" s="494"/>
    </row>
    <row r="57" spans="1:35" s="29" customFormat="1" ht="24" customHeight="1">
      <c r="A57" s="7"/>
      <c r="B57" s="7"/>
      <c r="C57" s="89"/>
      <c r="D57" s="121"/>
      <c r="E57" s="86"/>
      <c r="F57" s="264"/>
      <c r="G57" s="102"/>
      <c r="H57" s="120"/>
      <c r="I57" s="88" t="str">
        <f t="shared" si="1"/>
        <v/>
      </c>
      <c r="J57" s="1182"/>
      <c r="K57" s="53"/>
      <c r="L57" s="54"/>
      <c r="M57" s="594"/>
      <c r="N57" s="569"/>
      <c r="O57" s="207"/>
      <c r="P57" s="208"/>
      <c r="Q57" s="209"/>
      <c r="R57" s="209"/>
      <c r="S57" s="209"/>
      <c r="T57" s="209"/>
      <c r="U57" s="209"/>
      <c r="V57" s="209"/>
      <c r="W57" s="209"/>
      <c r="X57" s="210"/>
      <c r="Y57" s="210"/>
      <c r="Z57" s="210"/>
      <c r="AA57" s="210"/>
      <c r="AB57" s="210"/>
      <c r="AC57" s="209"/>
      <c r="AD57" s="339"/>
      <c r="AE57" s="340"/>
      <c r="AF57" s="209"/>
      <c r="AG57" s="209"/>
      <c r="AH57" s="209"/>
      <c r="AI57" s="494"/>
    </row>
    <row r="58" spans="1:35" s="29" customFormat="1" ht="24" customHeight="1">
      <c r="A58" s="7"/>
      <c r="B58" s="7"/>
      <c r="C58" s="89"/>
      <c r="D58" s="121"/>
      <c r="E58" s="86"/>
      <c r="F58" s="264"/>
      <c r="G58" s="102"/>
      <c r="H58" s="120"/>
      <c r="I58" s="88" t="str">
        <f t="shared" si="1"/>
        <v/>
      </c>
      <c r="J58" s="1182"/>
      <c r="K58" s="53"/>
      <c r="L58" s="54"/>
      <c r="M58" s="594"/>
      <c r="N58" s="569"/>
      <c r="O58" s="207"/>
      <c r="P58" s="208"/>
      <c r="Q58" s="209"/>
      <c r="R58" s="209"/>
      <c r="S58" s="209"/>
      <c r="T58" s="209"/>
      <c r="U58" s="209"/>
      <c r="V58" s="209"/>
      <c r="W58" s="209"/>
      <c r="X58" s="210"/>
      <c r="Y58" s="210"/>
      <c r="Z58" s="210"/>
      <c r="AA58" s="210"/>
      <c r="AB58" s="210"/>
      <c r="AC58" s="209"/>
      <c r="AD58" s="339"/>
      <c r="AE58" s="340"/>
      <c r="AF58" s="209"/>
      <c r="AG58" s="209"/>
      <c r="AH58" s="209"/>
      <c r="AI58" s="494"/>
    </row>
    <row r="59" spans="1:35" s="29" customFormat="1" ht="24" customHeight="1">
      <c r="A59" s="7"/>
      <c r="B59" s="7"/>
      <c r="C59" s="89"/>
      <c r="D59" s="121"/>
      <c r="E59" s="86"/>
      <c r="F59" s="264"/>
      <c r="G59" s="102"/>
      <c r="H59" s="120"/>
      <c r="I59" s="88" t="str">
        <f t="shared" si="1"/>
        <v/>
      </c>
      <c r="J59" s="53"/>
      <c r="K59" s="53"/>
      <c r="L59" s="54"/>
      <c r="M59" s="594"/>
      <c r="N59" s="569"/>
      <c r="O59" s="207"/>
      <c r="P59" s="208"/>
      <c r="Q59" s="209"/>
      <c r="R59" s="209"/>
      <c r="S59" s="209"/>
      <c r="T59" s="209"/>
      <c r="U59" s="209"/>
      <c r="V59" s="209"/>
      <c r="W59" s="209"/>
      <c r="X59" s="210"/>
      <c r="Y59" s="210"/>
      <c r="Z59" s="210"/>
      <c r="AA59" s="210"/>
      <c r="AB59" s="210"/>
      <c r="AC59" s="209"/>
      <c r="AD59" s="339"/>
      <c r="AE59" s="340"/>
      <c r="AF59" s="209"/>
      <c r="AG59" s="209"/>
      <c r="AH59" s="209"/>
      <c r="AI59" s="494"/>
    </row>
    <row r="60" spans="1:35" s="29" customFormat="1" ht="24" customHeight="1">
      <c r="A60" s="7"/>
      <c r="B60" s="7"/>
      <c r="C60" s="89"/>
      <c r="D60" s="121"/>
      <c r="E60" s="86"/>
      <c r="F60" s="264"/>
      <c r="G60" s="102"/>
      <c r="H60" s="120"/>
      <c r="I60" s="88" t="str">
        <f t="shared" si="1"/>
        <v/>
      </c>
      <c r="J60" s="53"/>
      <c r="K60" s="53"/>
      <c r="L60" s="54"/>
      <c r="M60" s="594"/>
      <c r="N60" s="569"/>
      <c r="O60" s="207"/>
      <c r="P60" s="208"/>
      <c r="Q60" s="209"/>
      <c r="R60" s="209"/>
      <c r="S60" s="209"/>
      <c r="T60" s="209"/>
      <c r="U60" s="209"/>
      <c r="V60" s="209"/>
      <c r="W60" s="209"/>
      <c r="X60" s="210"/>
      <c r="Y60" s="210"/>
      <c r="Z60" s="210"/>
      <c r="AA60" s="210"/>
      <c r="AB60" s="210"/>
      <c r="AC60" s="209"/>
      <c r="AD60" s="339"/>
      <c r="AE60" s="340"/>
      <c r="AF60" s="209"/>
      <c r="AG60" s="209"/>
      <c r="AH60" s="209"/>
      <c r="AI60" s="494"/>
    </row>
    <row r="61" spans="1:35" s="29" customFormat="1" ht="24" customHeight="1">
      <c r="A61" s="7"/>
      <c r="B61" s="7"/>
      <c r="C61" s="89"/>
      <c r="D61" s="121"/>
      <c r="E61" s="86"/>
      <c r="F61" s="264"/>
      <c r="G61" s="102"/>
      <c r="H61" s="120"/>
      <c r="I61" s="88" t="str">
        <f t="shared" si="1"/>
        <v/>
      </c>
      <c r="J61" s="53"/>
      <c r="K61" s="53"/>
      <c r="L61" s="54"/>
      <c r="M61" s="594"/>
      <c r="N61" s="569"/>
      <c r="O61" s="207"/>
      <c r="P61" s="208"/>
      <c r="Q61" s="209"/>
      <c r="R61" s="209"/>
      <c r="S61" s="209"/>
      <c r="T61" s="209"/>
      <c r="U61" s="209"/>
      <c r="V61" s="209"/>
      <c r="W61" s="209"/>
      <c r="X61" s="210"/>
      <c r="Y61" s="210"/>
      <c r="Z61" s="210"/>
      <c r="AA61" s="210"/>
      <c r="AB61" s="210"/>
      <c r="AC61" s="209"/>
      <c r="AD61" s="339"/>
      <c r="AE61" s="340"/>
      <c r="AF61" s="209"/>
      <c r="AG61" s="209"/>
      <c r="AH61" s="209"/>
      <c r="AI61" s="494"/>
    </row>
    <row r="62" spans="1:35" s="29" customFormat="1" ht="24" customHeight="1">
      <c r="A62" s="7"/>
      <c r="B62" s="7"/>
      <c r="C62" s="89"/>
      <c r="D62" s="121"/>
      <c r="E62" s="86"/>
      <c r="F62" s="264"/>
      <c r="G62" s="102"/>
      <c r="H62" s="120"/>
      <c r="I62" s="88" t="str">
        <f t="shared" si="1"/>
        <v/>
      </c>
      <c r="J62" s="53"/>
      <c r="K62" s="53"/>
      <c r="L62" s="54"/>
      <c r="M62" s="594"/>
      <c r="N62" s="569"/>
      <c r="O62" s="207"/>
      <c r="P62" s="208"/>
      <c r="Q62" s="209"/>
      <c r="R62" s="209"/>
      <c r="S62" s="209"/>
      <c r="T62" s="209"/>
      <c r="U62" s="209"/>
      <c r="V62" s="209"/>
      <c r="W62" s="209"/>
      <c r="X62" s="210"/>
      <c r="Y62" s="210"/>
      <c r="Z62" s="210"/>
      <c r="AA62" s="210"/>
      <c r="AB62" s="210"/>
      <c r="AC62" s="209"/>
      <c r="AD62" s="339"/>
      <c r="AE62" s="340"/>
      <c r="AF62" s="209"/>
      <c r="AG62" s="209"/>
      <c r="AH62" s="209"/>
      <c r="AI62" s="494"/>
    </row>
    <row r="63" spans="1:35" s="29" customFormat="1" ht="24" customHeight="1">
      <c r="A63" s="7"/>
      <c r="B63" s="7"/>
      <c r="C63" s="89"/>
      <c r="D63" s="121"/>
      <c r="E63" s="86"/>
      <c r="F63" s="264"/>
      <c r="G63" s="102"/>
      <c r="H63" s="120"/>
      <c r="I63" s="88" t="str">
        <f t="shared" si="1"/>
        <v/>
      </c>
      <c r="J63" s="53"/>
      <c r="K63" s="53"/>
      <c r="L63" s="54"/>
      <c r="M63" s="594"/>
      <c r="N63" s="569"/>
      <c r="O63" s="207"/>
      <c r="P63" s="208"/>
      <c r="Q63" s="209"/>
      <c r="R63" s="209"/>
      <c r="S63" s="209"/>
      <c r="T63" s="209"/>
      <c r="U63" s="209"/>
      <c r="V63" s="209"/>
      <c r="W63" s="209"/>
      <c r="X63" s="210"/>
      <c r="Y63" s="210"/>
      <c r="Z63" s="210"/>
      <c r="AA63" s="210"/>
      <c r="AB63" s="210"/>
      <c r="AC63" s="209"/>
      <c r="AD63" s="339"/>
      <c r="AE63" s="340"/>
      <c r="AF63" s="209"/>
      <c r="AG63" s="209"/>
      <c r="AH63" s="209"/>
      <c r="AI63" s="494"/>
    </row>
    <row r="64" spans="1:35" s="29" customFormat="1" ht="24" customHeight="1">
      <c r="A64" s="7"/>
      <c r="B64" s="7"/>
      <c r="C64" s="89"/>
      <c r="D64" s="121"/>
      <c r="E64" s="86"/>
      <c r="F64" s="264"/>
      <c r="G64" s="102"/>
      <c r="H64" s="120"/>
      <c r="I64" s="88" t="str">
        <f t="shared" si="1"/>
        <v/>
      </c>
      <c r="J64" s="53"/>
      <c r="K64" s="53"/>
      <c r="L64" s="54"/>
      <c r="M64" s="594"/>
      <c r="N64" s="569"/>
      <c r="O64" s="207"/>
      <c r="P64" s="208"/>
      <c r="Q64" s="209"/>
      <c r="R64" s="209"/>
      <c r="S64" s="209"/>
      <c r="T64" s="209"/>
      <c r="U64" s="209"/>
      <c r="V64" s="209"/>
      <c r="W64" s="209"/>
      <c r="X64" s="210"/>
      <c r="Y64" s="210"/>
      <c r="Z64" s="210"/>
      <c r="AA64" s="210"/>
      <c r="AB64" s="210"/>
      <c r="AC64" s="209"/>
      <c r="AD64" s="339"/>
      <c r="AE64" s="340"/>
      <c r="AF64" s="209"/>
      <c r="AG64" s="209"/>
      <c r="AH64" s="209"/>
      <c r="AI64" s="494"/>
    </row>
    <row r="65" spans="1:35" s="29" customFormat="1" ht="24" customHeight="1">
      <c r="A65" s="7"/>
      <c r="B65" s="7"/>
      <c r="C65" s="89"/>
      <c r="D65" s="121"/>
      <c r="E65" s="86"/>
      <c r="F65" s="264"/>
      <c r="G65" s="102"/>
      <c r="H65" s="120"/>
      <c r="I65" s="88" t="str">
        <f t="shared" si="1"/>
        <v/>
      </c>
      <c r="J65" s="53"/>
      <c r="K65" s="53"/>
      <c r="L65" s="54"/>
      <c r="M65" s="594"/>
      <c r="N65" s="569"/>
      <c r="O65" s="207"/>
      <c r="P65" s="208"/>
      <c r="Q65" s="209"/>
      <c r="R65" s="209"/>
      <c r="S65" s="209"/>
      <c r="T65" s="209"/>
      <c r="U65" s="209"/>
      <c r="V65" s="209"/>
      <c r="W65" s="209"/>
      <c r="X65" s="210"/>
      <c r="Y65" s="210"/>
      <c r="Z65" s="210"/>
      <c r="AA65" s="210"/>
      <c r="AB65" s="210"/>
      <c r="AC65" s="209"/>
      <c r="AD65" s="339"/>
      <c r="AE65" s="340"/>
      <c r="AF65" s="209"/>
      <c r="AG65" s="209"/>
      <c r="AH65" s="209"/>
      <c r="AI65" s="494"/>
    </row>
    <row r="66" spans="1:35" s="29" customFormat="1" ht="24" customHeight="1">
      <c r="A66" s="7"/>
      <c r="B66" s="7"/>
      <c r="C66" s="89"/>
      <c r="D66" s="121"/>
      <c r="E66" s="86"/>
      <c r="F66" s="264"/>
      <c r="G66" s="102"/>
      <c r="H66" s="120"/>
      <c r="I66" s="88" t="str">
        <f t="shared" si="1"/>
        <v/>
      </c>
      <c r="J66" s="53"/>
      <c r="K66" s="53"/>
      <c r="L66" s="54"/>
      <c r="M66" s="594"/>
      <c r="N66" s="569"/>
      <c r="O66" s="207"/>
      <c r="P66" s="208"/>
      <c r="Q66" s="209"/>
      <c r="R66" s="209"/>
      <c r="S66" s="209"/>
      <c r="T66" s="209"/>
      <c r="U66" s="209"/>
      <c r="V66" s="209"/>
      <c r="W66" s="209"/>
      <c r="X66" s="210"/>
      <c r="Y66" s="210"/>
      <c r="Z66" s="210"/>
      <c r="AA66" s="210"/>
      <c r="AB66" s="210"/>
      <c r="AC66" s="209"/>
      <c r="AD66" s="339"/>
      <c r="AE66" s="340"/>
      <c r="AF66" s="209"/>
      <c r="AG66" s="209"/>
      <c r="AH66" s="209"/>
      <c r="AI66" s="494"/>
    </row>
    <row r="67" spans="1:35" s="29" customFormat="1" ht="24" customHeight="1">
      <c r="A67" s="7"/>
      <c r="B67" s="7"/>
      <c r="C67" s="89"/>
      <c r="D67" s="121"/>
      <c r="E67" s="86"/>
      <c r="F67" s="264"/>
      <c r="G67" s="102"/>
      <c r="H67" s="120"/>
      <c r="I67" s="88" t="str">
        <f t="shared" si="1"/>
        <v/>
      </c>
      <c r="J67" s="53"/>
      <c r="K67" s="53"/>
      <c r="L67" s="54"/>
      <c r="M67" s="594"/>
      <c r="N67" s="569"/>
      <c r="O67" s="207"/>
      <c r="P67" s="208"/>
      <c r="Q67" s="209"/>
      <c r="R67" s="209"/>
      <c r="S67" s="209"/>
      <c r="T67" s="209"/>
      <c r="U67" s="209"/>
      <c r="V67" s="209"/>
      <c r="W67" s="209"/>
      <c r="X67" s="210"/>
      <c r="Y67" s="210"/>
      <c r="Z67" s="210"/>
      <c r="AA67" s="210"/>
      <c r="AB67" s="210"/>
      <c r="AC67" s="209"/>
      <c r="AD67" s="339"/>
      <c r="AE67" s="340"/>
      <c r="AF67" s="209"/>
      <c r="AG67" s="209"/>
      <c r="AH67" s="209"/>
      <c r="AI67" s="494"/>
    </row>
    <row r="68" spans="1:35" s="29" customFormat="1" ht="24" customHeight="1">
      <c r="A68" s="7"/>
      <c r="B68" s="7"/>
      <c r="C68" s="89"/>
      <c r="D68" s="121"/>
      <c r="E68" s="86"/>
      <c r="F68" s="264"/>
      <c r="G68" s="102"/>
      <c r="H68" s="120"/>
      <c r="I68" s="88" t="str">
        <f t="shared" si="1"/>
        <v/>
      </c>
      <c r="J68" s="53"/>
      <c r="K68" s="53"/>
      <c r="L68" s="54"/>
      <c r="M68" s="594"/>
      <c r="N68" s="569"/>
      <c r="O68" s="207"/>
      <c r="P68" s="208"/>
      <c r="Q68" s="209"/>
      <c r="R68" s="209"/>
      <c r="S68" s="209"/>
      <c r="T68" s="209"/>
      <c r="U68" s="209"/>
      <c r="V68" s="209"/>
      <c r="W68" s="209"/>
      <c r="X68" s="210"/>
      <c r="Y68" s="210"/>
      <c r="Z68" s="210"/>
      <c r="AA68" s="210"/>
      <c r="AB68" s="210"/>
      <c r="AC68" s="209"/>
      <c r="AD68" s="339"/>
      <c r="AE68" s="340"/>
      <c r="AF68" s="209"/>
      <c r="AG68" s="209"/>
      <c r="AH68" s="209"/>
      <c r="AI68" s="494"/>
    </row>
    <row r="69" spans="1:35" s="29" customFormat="1" ht="24" customHeight="1">
      <c r="A69" s="7"/>
      <c r="B69" s="7"/>
      <c r="C69" s="89"/>
      <c r="D69" s="121"/>
      <c r="E69" s="86"/>
      <c r="F69" s="264"/>
      <c r="G69" s="102"/>
      <c r="H69" s="120"/>
      <c r="I69" s="88" t="str">
        <f t="shared" si="1"/>
        <v/>
      </c>
      <c r="J69" s="53"/>
      <c r="K69" s="53"/>
      <c r="L69" s="54"/>
      <c r="M69" s="594"/>
      <c r="N69" s="569"/>
      <c r="O69" s="207"/>
      <c r="P69" s="208"/>
      <c r="Q69" s="209"/>
      <c r="R69" s="209"/>
      <c r="S69" s="209"/>
      <c r="T69" s="209"/>
      <c r="U69" s="209"/>
      <c r="V69" s="209"/>
      <c r="W69" s="209"/>
      <c r="X69" s="210"/>
      <c r="Y69" s="210"/>
      <c r="Z69" s="210"/>
      <c r="AA69" s="210"/>
      <c r="AB69" s="210"/>
      <c r="AC69" s="209"/>
      <c r="AD69" s="339"/>
      <c r="AE69" s="340"/>
      <c r="AF69" s="209"/>
      <c r="AG69" s="209"/>
      <c r="AH69" s="209"/>
      <c r="AI69" s="494"/>
    </row>
    <row r="70" spans="1:35" ht="24" customHeight="1" thickBot="1">
      <c r="A70" s="7"/>
      <c r="B70" s="7"/>
      <c r="C70" s="90"/>
      <c r="D70" s="81" t="s">
        <v>9</v>
      </c>
      <c r="E70" s="91"/>
      <c r="F70" s="265"/>
      <c r="G70" s="104"/>
      <c r="H70" s="114" t="s">
        <v>94</v>
      </c>
      <c r="I70" s="92">
        <f>SUM(I52:I69)</f>
        <v>0</v>
      </c>
      <c r="J70" s="81" t="s">
        <v>95</v>
      </c>
      <c r="K70" s="81"/>
      <c r="L70" s="106"/>
      <c r="M70" s="841"/>
      <c r="N70" s="571"/>
      <c r="O70" s="207"/>
      <c r="P70" s="208"/>
      <c r="Q70" s="209"/>
      <c r="R70" s="209"/>
      <c r="S70" s="209"/>
      <c r="T70" s="209"/>
      <c r="U70" s="209"/>
      <c r="V70" s="209"/>
      <c r="W70" s="209"/>
      <c r="X70" s="210"/>
      <c r="Y70" s="210"/>
      <c r="Z70" s="210"/>
      <c r="AA70" s="210"/>
      <c r="AB70" s="210"/>
      <c r="AC70" s="209"/>
      <c r="AD70" s="339"/>
      <c r="AE70" s="340"/>
      <c r="AF70" s="209"/>
      <c r="AG70" s="209"/>
      <c r="AH70" s="209"/>
      <c r="AI70" s="494"/>
    </row>
    <row r="71" spans="1:35" ht="14.25" customHeight="1">
      <c r="D71" s="108"/>
      <c r="E71" s="107" t="s">
        <v>92</v>
      </c>
      <c r="F71" s="108">
        <f>+F48+1</f>
        <v>3</v>
      </c>
      <c r="G71" s="109" t="s">
        <v>93</v>
      </c>
      <c r="H71" s="110">
        <f>+$H$25</f>
        <v>7</v>
      </c>
      <c r="I71" s="110"/>
      <c r="M71" s="842" t="str">
        <f>IF(A73="","EOL","")</f>
        <v/>
      </c>
      <c r="N71" s="6">
        <f>+F71</f>
        <v>3</v>
      </c>
      <c r="O71" s="1"/>
      <c r="P71" s="1"/>
    </row>
    <row r="72" spans="1:35" ht="26.25" customHeight="1" thickBot="1">
      <c r="C72" s="1563" t="s">
        <v>312</v>
      </c>
      <c r="D72" s="1563"/>
      <c r="E72" s="1563"/>
      <c r="F72" s="1563"/>
      <c r="G72" s="1563"/>
      <c r="H72" s="1563"/>
      <c r="I72" s="1563"/>
      <c r="J72" s="1563"/>
      <c r="K72" s="1563"/>
      <c r="L72" s="1563"/>
      <c r="N72" s="1"/>
      <c r="O72" s="1564" t="s">
        <v>137</v>
      </c>
      <c r="P72" s="1565"/>
      <c r="Q72" s="1565"/>
      <c r="R72" s="1565"/>
      <c r="S72" s="1565"/>
      <c r="T72" s="1565"/>
      <c r="U72" s="1565"/>
      <c r="V72" s="1565"/>
      <c r="W72" s="1565"/>
      <c r="X72" s="1565"/>
      <c r="Y72" s="1565"/>
      <c r="Z72" s="1565"/>
      <c r="AA72" s="1565"/>
      <c r="AB72" s="1565"/>
      <c r="AC72" s="1565"/>
      <c r="AD72" s="1565"/>
      <c r="AE72" s="1565"/>
      <c r="AF72" s="1565"/>
      <c r="AG72" s="1565"/>
      <c r="AH72" s="1566"/>
      <c r="AI72" s="492"/>
    </row>
    <row r="73" spans="1:35" ht="41.25" customHeight="1">
      <c r="A73" s="5" t="s">
        <v>11</v>
      </c>
      <c r="B73" s="5" t="s">
        <v>47</v>
      </c>
      <c r="C73" s="97" t="s">
        <v>0</v>
      </c>
      <c r="D73" s="93"/>
      <c r="E73" s="94" t="s">
        <v>1</v>
      </c>
      <c r="F73" s="95" t="s">
        <v>2</v>
      </c>
      <c r="G73" s="95" t="s">
        <v>3</v>
      </c>
      <c r="H73" s="96" t="s">
        <v>4</v>
      </c>
      <c r="I73" s="96" t="s">
        <v>5</v>
      </c>
      <c r="J73" s="1392" t="s">
        <v>6</v>
      </c>
      <c r="K73" s="1393"/>
      <c r="L73" s="1394"/>
      <c r="M73" s="840" t="s">
        <v>2827</v>
      </c>
      <c r="N73" s="567" t="s">
        <v>2818</v>
      </c>
      <c r="O73" s="521" t="s">
        <v>72</v>
      </c>
      <c r="P73" s="334" t="s">
        <v>246</v>
      </c>
      <c r="Q73" s="266" t="s">
        <v>261</v>
      </c>
      <c r="R73" s="266" t="s">
        <v>208</v>
      </c>
      <c r="S73" s="266" t="s">
        <v>209</v>
      </c>
      <c r="T73" s="266" t="s">
        <v>224</v>
      </c>
      <c r="U73" s="266" t="s">
        <v>131</v>
      </c>
      <c r="V73" s="137" t="s">
        <v>130</v>
      </c>
      <c r="W73" s="266" t="s">
        <v>210</v>
      </c>
      <c r="X73" s="200" t="s">
        <v>211</v>
      </c>
      <c r="Y73" s="200" t="s">
        <v>212</v>
      </c>
      <c r="Z73" s="200" t="s">
        <v>213</v>
      </c>
      <c r="AA73" s="200" t="s">
        <v>214</v>
      </c>
      <c r="AB73" s="200" t="s">
        <v>256</v>
      </c>
      <c r="AC73" s="336" t="s">
        <v>265</v>
      </c>
      <c r="AD73" s="337" t="s">
        <v>266</v>
      </c>
      <c r="AE73" s="338" t="s">
        <v>133</v>
      </c>
      <c r="AF73" s="136" t="s">
        <v>136</v>
      </c>
      <c r="AG73" s="136" t="s">
        <v>134</v>
      </c>
      <c r="AH73" s="136" t="s">
        <v>135</v>
      </c>
      <c r="AI73" s="493"/>
    </row>
    <row r="74" spans="1:35" ht="24" customHeight="1">
      <c r="A74" s="7"/>
      <c r="B74" s="7"/>
      <c r="C74" s="115" t="s">
        <v>2925</v>
      </c>
      <c r="D74" s="116"/>
      <c r="E74" s="117"/>
      <c r="F74" s="263"/>
      <c r="G74" s="85"/>
      <c r="H74" s="79" t="s">
        <v>12</v>
      </c>
      <c r="I74" s="79" t="s">
        <v>12</v>
      </c>
      <c r="J74" s="1567" t="str">
        <f ca="1">RIGHT(CELL("filename",$A$1),LEN(CELL("filename",$A$1))-FIND("]",CELL("filename",$A$1)))</f>
        <v>新規シート</v>
      </c>
      <c r="K74" s="1568"/>
      <c r="L74" s="1569"/>
      <c r="M74" s="594"/>
      <c r="N74" s="568"/>
      <c r="O74" s="522"/>
      <c r="P74" s="208"/>
      <c r="Q74" s="209"/>
      <c r="R74" s="209"/>
      <c r="S74" s="209"/>
      <c r="T74" s="209"/>
      <c r="U74" s="209"/>
      <c r="V74" s="209"/>
      <c r="W74" s="209"/>
      <c r="X74" s="210"/>
      <c r="Y74" s="210"/>
      <c r="Z74" s="210"/>
      <c r="AA74" s="210"/>
      <c r="AB74" s="210"/>
      <c r="AC74" s="209"/>
      <c r="AD74" s="339"/>
      <c r="AE74" s="340"/>
      <c r="AF74" s="209"/>
      <c r="AG74" s="209"/>
      <c r="AH74" s="209"/>
      <c r="AI74" s="494"/>
    </row>
    <row r="75" spans="1:35" s="29" customFormat="1" ht="24" customHeight="1">
      <c r="A75" s="7"/>
      <c r="B75" s="7"/>
      <c r="C75" s="111"/>
      <c r="D75" s="112"/>
      <c r="E75" s="101"/>
      <c r="F75" s="264"/>
      <c r="G75" s="102"/>
      <c r="H75" s="118"/>
      <c r="I75" s="88" t="str">
        <f t="shared" ref="I75:I92" si="2">IF(F75="","",INT(F75*H75))</f>
        <v/>
      </c>
      <c r="J75" s="52"/>
      <c r="K75" s="53"/>
      <c r="L75" s="54"/>
      <c r="M75" s="594"/>
      <c r="N75" s="569"/>
      <c r="O75" s="522"/>
      <c r="P75" s="208"/>
      <c r="Q75" s="209"/>
      <c r="R75" s="209"/>
      <c r="S75" s="209"/>
      <c r="T75" s="209"/>
      <c r="U75" s="209"/>
      <c r="V75" s="209"/>
      <c r="W75" s="209"/>
      <c r="X75" s="210"/>
      <c r="Y75" s="210"/>
      <c r="Z75" s="210"/>
      <c r="AA75" s="210"/>
      <c r="AB75" s="210"/>
      <c r="AC75" s="209"/>
      <c r="AD75" s="339"/>
      <c r="AE75" s="340"/>
      <c r="AF75" s="209"/>
      <c r="AG75" s="209"/>
      <c r="AH75" s="471"/>
      <c r="AI75" s="494"/>
    </row>
    <row r="76" spans="1:35" s="29" customFormat="1" ht="24" customHeight="1">
      <c r="A76" s="7"/>
      <c r="B76" s="7"/>
      <c r="C76" s="111"/>
      <c r="D76" s="112"/>
      <c r="E76" s="101"/>
      <c r="F76" s="264"/>
      <c r="G76" s="102"/>
      <c r="H76" s="118"/>
      <c r="I76" s="88" t="str">
        <f t="shared" si="2"/>
        <v/>
      </c>
      <c r="J76" s="52"/>
      <c r="K76" s="53"/>
      <c r="L76" s="54"/>
      <c r="M76" s="594"/>
      <c r="N76" s="569"/>
      <c r="O76" s="522"/>
      <c r="P76" s="208"/>
      <c r="Q76" s="209"/>
      <c r="R76" s="209"/>
      <c r="S76" s="209"/>
      <c r="T76" s="209"/>
      <c r="U76" s="209"/>
      <c r="V76" s="209"/>
      <c r="W76" s="209"/>
      <c r="X76" s="210"/>
      <c r="Y76" s="210"/>
      <c r="Z76" s="210"/>
      <c r="AA76" s="210"/>
      <c r="AB76" s="210"/>
      <c r="AC76" s="209"/>
      <c r="AD76" s="339"/>
      <c r="AE76" s="340"/>
      <c r="AF76" s="209"/>
      <c r="AG76" s="209"/>
      <c r="AH76" s="471"/>
      <c r="AI76" s="494"/>
    </row>
    <row r="77" spans="1:35" s="29" customFormat="1" ht="24" customHeight="1">
      <c r="A77" s="7"/>
      <c r="B77" s="7"/>
      <c r="C77" s="111"/>
      <c r="D77" s="112"/>
      <c r="E77" s="101"/>
      <c r="F77" s="264"/>
      <c r="G77" s="102"/>
      <c r="H77" s="118"/>
      <c r="I77" s="88" t="str">
        <f t="shared" si="2"/>
        <v/>
      </c>
      <c r="J77" s="52"/>
      <c r="K77" s="53"/>
      <c r="L77" s="54"/>
      <c r="M77" s="594"/>
      <c r="N77" s="569"/>
      <c r="O77" s="522"/>
      <c r="P77" s="208"/>
      <c r="Q77" s="209"/>
      <c r="R77" s="209"/>
      <c r="S77" s="209"/>
      <c r="T77" s="209"/>
      <c r="U77" s="209"/>
      <c r="V77" s="209"/>
      <c r="W77" s="209"/>
      <c r="X77" s="210"/>
      <c r="Y77" s="210"/>
      <c r="Z77" s="210"/>
      <c r="AA77" s="210"/>
      <c r="AB77" s="210"/>
      <c r="AC77" s="209"/>
      <c r="AD77" s="339"/>
      <c r="AE77" s="340"/>
      <c r="AF77" s="209"/>
      <c r="AG77" s="209"/>
      <c r="AH77" s="471"/>
      <c r="AI77" s="494"/>
    </row>
    <row r="78" spans="1:35" s="29" customFormat="1" ht="24" customHeight="1">
      <c r="A78" s="7"/>
      <c r="B78" s="7"/>
      <c r="C78" s="111"/>
      <c r="D78" s="112"/>
      <c r="E78" s="101"/>
      <c r="F78" s="264"/>
      <c r="G78" s="102"/>
      <c r="H78" s="118"/>
      <c r="I78" s="88" t="str">
        <f t="shared" si="2"/>
        <v/>
      </c>
      <c r="J78" s="52"/>
      <c r="K78" s="53"/>
      <c r="L78" s="54"/>
      <c r="M78" s="594"/>
      <c r="N78" s="569"/>
      <c r="O78" s="522"/>
      <c r="P78" s="208"/>
      <c r="Q78" s="209"/>
      <c r="R78" s="209"/>
      <c r="S78" s="209"/>
      <c r="T78" s="209"/>
      <c r="U78" s="209"/>
      <c r="V78" s="209"/>
      <c r="W78" s="209"/>
      <c r="X78" s="210"/>
      <c r="Y78" s="210"/>
      <c r="Z78" s="210"/>
      <c r="AA78" s="210"/>
      <c r="AB78" s="210"/>
      <c r="AC78" s="209"/>
      <c r="AD78" s="339"/>
      <c r="AE78" s="340"/>
      <c r="AF78" s="209"/>
      <c r="AG78" s="209"/>
      <c r="AH78" s="471"/>
      <c r="AI78" s="494"/>
    </row>
    <row r="79" spans="1:35" s="29" customFormat="1" ht="24" customHeight="1">
      <c r="A79" s="7"/>
      <c r="B79" s="7"/>
      <c r="C79" s="111"/>
      <c r="D79" s="112"/>
      <c r="E79" s="101"/>
      <c r="F79" s="264"/>
      <c r="G79" s="102"/>
      <c r="H79" s="118"/>
      <c r="I79" s="88" t="str">
        <f t="shared" si="2"/>
        <v/>
      </c>
      <c r="J79" s="52"/>
      <c r="K79" s="53"/>
      <c r="L79" s="54"/>
      <c r="M79" s="594"/>
      <c r="N79" s="569"/>
      <c r="O79" s="522"/>
      <c r="P79" s="208"/>
      <c r="Q79" s="209"/>
      <c r="R79" s="209"/>
      <c r="S79" s="209"/>
      <c r="T79" s="209"/>
      <c r="U79" s="209"/>
      <c r="V79" s="209"/>
      <c r="W79" s="209"/>
      <c r="X79" s="210"/>
      <c r="Y79" s="210"/>
      <c r="Z79" s="210"/>
      <c r="AA79" s="210"/>
      <c r="AB79" s="210"/>
      <c r="AC79" s="209"/>
      <c r="AD79" s="339"/>
      <c r="AE79" s="340"/>
      <c r="AF79" s="209"/>
      <c r="AG79" s="209"/>
      <c r="AH79" s="471"/>
      <c r="AI79" s="494"/>
    </row>
    <row r="80" spans="1:35" s="29" customFormat="1" ht="24" customHeight="1">
      <c r="A80" s="7"/>
      <c r="B80" s="7"/>
      <c r="C80" s="111"/>
      <c r="D80" s="112"/>
      <c r="E80" s="101"/>
      <c r="F80" s="264"/>
      <c r="G80" s="102"/>
      <c r="H80" s="118"/>
      <c r="I80" s="88" t="str">
        <f t="shared" si="2"/>
        <v/>
      </c>
      <c r="J80" s="52"/>
      <c r="K80" s="53"/>
      <c r="L80" s="54"/>
      <c r="M80" s="594"/>
      <c r="N80" s="569"/>
      <c r="O80" s="522"/>
      <c r="P80" s="208"/>
      <c r="Q80" s="209"/>
      <c r="R80" s="209"/>
      <c r="S80" s="209"/>
      <c r="T80" s="209"/>
      <c r="U80" s="209"/>
      <c r="V80" s="209"/>
      <c r="W80" s="209"/>
      <c r="X80" s="210"/>
      <c r="Y80" s="210"/>
      <c r="Z80" s="210"/>
      <c r="AA80" s="210"/>
      <c r="AB80" s="210"/>
      <c r="AC80" s="209"/>
      <c r="AD80" s="339"/>
      <c r="AE80" s="340"/>
      <c r="AF80" s="209"/>
      <c r="AG80" s="209"/>
      <c r="AH80" s="471"/>
      <c r="AI80" s="494"/>
    </row>
    <row r="81" spans="1:35" s="29" customFormat="1" ht="24" customHeight="1">
      <c r="A81" s="7"/>
      <c r="B81" s="7"/>
      <c r="C81" s="111"/>
      <c r="D81" s="112"/>
      <c r="E81" s="101"/>
      <c r="F81" s="264"/>
      <c r="G81" s="102"/>
      <c r="H81" s="118"/>
      <c r="I81" s="88" t="str">
        <f t="shared" si="2"/>
        <v/>
      </c>
      <c r="J81" s="52"/>
      <c r="K81" s="53"/>
      <c r="L81" s="54"/>
      <c r="M81" s="594"/>
      <c r="N81" s="569"/>
      <c r="O81" s="522"/>
      <c r="P81" s="208"/>
      <c r="Q81" s="209"/>
      <c r="R81" s="209"/>
      <c r="S81" s="209"/>
      <c r="T81" s="209"/>
      <c r="U81" s="209"/>
      <c r="V81" s="209"/>
      <c r="W81" s="209"/>
      <c r="X81" s="210"/>
      <c r="Y81" s="210"/>
      <c r="Z81" s="210"/>
      <c r="AA81" s="210"/>
      <c r="AB81" s="210"/>
      <c r="AC81" s="209"/>
      <c r="AD81" s="339"/>
      <c r="AE81" s="340"/>
      <c r="AF81" s="209"/>
      <c r="AG81" s="209"/>
      <c r="AH81" s="471"/>
      <c r="AI81" s="494"/>
    </row>
    <row r="82" spans="1:35" s="29" customFormat="1" ht="24" customHeight="1">
      <c r="A82" s="7"/>
      <c r="B82" s="7"/>
      <c r="C82" s="111"/>
      <c r="D82" s="112"/>
      <c r="E82" s="101"/>
      <c r="F82" s="264"/>
      <c r="G82" s="102"/>
      <c r="H82" s="118"/>
      <c r="I82" s="88" t="str">
        <f t="shared" si="2"/>
        <v/>
      </c>
      <c r="J82" s="52"/>
      <c r="K82" s="53"/>
      <c r="L82" s="54"/>
      <c r="M82" s="594"/>
      <c r="N82" s="569"/>
      <c r="O82" s="522"/>
      <c r="P82" s="208"/>
      <c r="Q82" s="209"/>
      <c r="R82" s="209"/>
      <c r="S82" s="209"/>
      <c r="T82" s="209"/>
      <c r="U82" s="209"/>
      <c r="V82" s="209"/>
      <c r="W82" s="209"/>
      <c r="X82" s="210"/>
      <c r="Y82" s="210"/>
      <c r="Z82" s="210"/>
      <c r="AA82" s="210"/>
      <c r="AB82" s="210"/>
      <c r="AC82" s="209"/>
      <c r="AD82" s="339"/>
      <c r="AE82" s="340"/>
      <c r="AF82" s="209"/>
      <c r="AG82" s="209"/>
      <c r="AH82" s="471"/>
      <c r="AI82" s="494"/>
    </row>
    <row r="83" spans="1:35" s="29" customFormat="1" ht="24" customHeight="1">
      <c r="A83" s="7"/>
      <c r="B83" s="7"/>
      <c r="C83" s="111"/>
      <c r="D83" s="112"/>
      <c r="E83" s="101"/>
      <c r="F83" s="264"/>
      <c r="G83" s="102"/>
      <c r="H83" s="118"/>
      <c r="I83" s="88" t="str">
        <f t="shared" si="2"/>
        <v/>
      </c>
      <c r="J83" s="52"/>
      <c r="K83" s="53"/>
      <c r="L83" s="54"/>
      <c r="M83" s="594"/>
      <c r="N83" s="569"/>
      <c r="O83" s="522"/>
      <c r="P83" s="208"/>
      <c r="Q83" s="209"/>
      <c r="R83" s="209"/>
      <c r="S83" s="209"/>
      <c r="T83" s="209"/>
      <c r="U83" s="209"/>
      <c r="V83" s="209"/>
      <c r="W83" s="209"/>
      <c r="X83" s="210"/>
      <c r="Y83" s="210"/>
      <c r="Z83" s="210"/>
      <c r="AA83" s="210"/>
      <c r="AB83" s="210"/>
      <c r="AC83" s="209"/>
      <c r="AD83" s="339"/>
      <c r="AE83" s="340"/>
      <c r="AF83" s="209"/>
      <c r="AG83" s="209"/>
      <c r="AH83" s="471"/>
      <c r="AI83" s="494"/>
    </row>
    <row r="84" spans="1:35" s="29" customFormat="1" ht="24" customHeight="1">
      <c r="A84" s="7"/>
      <c r="B84" s="7"/>
      <c r="C84" s="111"/>
      <c r="D84" s="112"/>
      <c r="E84" s="101"/>
      <c r="F84" s="264"/>
      <c r="G84" s="102"/>
      <c r="H84" s="118"/>
      <c r="I84" s="88" t="str">
        <f t="shared" si="2"/>
        <v/>
      </c>
      <c r="J84" s="52"/>
      <c r="K84" s="53"/>
      <c r="L84" s="54"/>
      <c r="M84" s="594"/>
      <c r="N84" s="569"/>
      <c r="O84" s="522"/>
      <c r="P84" s="208"/>
      <c r="Q84" s="209"/>
      <c r="R84" s="209"/>
      <c r="S84" s="209"/>
      <c r="T84" s="209"/>
      <c r="U84" s="209"/>
      <c r="V84" s="209"/>
      <c r="W84" s="209"/>
      <c r="X84" s="210"/>
      <c r="Y84" s="210"/>
      <c r="Z84" s="210"/>
      <c r="AA84" s="210"/>
      <c r="AB84" s="210"/>
      <c r="AC84" s="209"/>
      <c r="AD84" s="339"/>
      <c r="AE84" s="340"/>
      <c r="AF84" s="209"/>
      <c r="AG84" s="209"/>
      <c r="AH84" s="471"/>
      <c r="AI84" s="494"/>
    </row>
    <row r="85" spans="1:35" s="29" customFormat="1" ht="24" customHeight="1">
      <c r="A85" s="7"/>
      <c r="B85" s="7"/>
      <c r="C85" s="111"/>
      <c r="D85" s="112"/>
      <c r="E85" s="101"/>
      <c r="F85" s="264"/>
      <c r="G85" s="102"/>
      <c r="H85" s="118"/>
      <c r="I85" s="88" t="str">
        <f t="shared" si="2"/>
        <v/>
      </c>
      <c r="J85" s="52"/>
      <c r="K85" s="53"/>
      <c r="L85" s="54"/>
      <c r="M85" s="594"/>
      <c r="N85" s="569"/>
      <c r="O85" s="522"/>
      <c r="P85" s="208"/>
      <c r="Q85" s="209"/>
      <c r="R85" s="209"/>
      <c r="S85" s="209"/>
      <c r="T85" s="209"/>
      <c r="U85" s="209"/>
      <c r="V85" s="209"/>
      <c r="W85" s="209"/>
      <c r="X85" s="210"/>
      <c r="Y85" s="210"/>
      <c r="Z85" s="210"/>
      <c r="AA85" s="210"/>
      <c r="AB85" s="210"/>
      <c r="AC85" s="209"/>
      <c r="AD85" s="339"/>
      <c r="AE85" s="340"/>
      <c r="AF85" s="209"/>
      <c r="AG85" s="209"/>
      <c r="AH85" s="471"/>
      <c r="AI85" s="494"/>
    </row>
    <row r="86" spans="1:35" s="29" customFormat="1" ht="24" customHeight="1">
      <c r="A86" s="7"/>
      <c r="B86" s="7"/>
      <c r="C86" s="111"/>
      <c r="D86" s="112"/>
      <c r="E86" s="101"/>
      <c r="F86" s="264"/>
      <c r="G86" s="102"/>
      <c r="H86" s="118"/>
      <c r="I86" s="88" t="str">
        <f t="shared" si="2"/>
        <v/>
      </c>
      <c r="J86" s="52"/>
      <c r="K86" s="53"/>
      <c r="L86" s="54"/>
      <c r="M86" s="594"/>
      <c r="N86" s="569"/>
      <c r="O86" s="522"/>
      <c r="P86" s="208"/>
      <c r="Q86" s="209"/>
      <c r="R86" s="209"/>
      <c r="S86" s="209"/>
      <c r="T86" s="209"/>
      <c r="U86" s="209"/>
      <c r="V86" s="209"/>
      <c r="W86" s="209"/>
      <c r="X86" s="210"/>
      <c r="Y86" s="210"/>
      <c r="Z86" s="210"/>
      <c r="AA86" s="210"/>
      <c r="AB86" s="210"/>
      <c r="AC86" s="209"/>
      <c r="AD86" s="339"/>
      <c r="AE86" s="340"/>
      <c r="AF86" s="209"/>
      <c r="AG86" s="209"/>
      <c r="AH86" s="471"/>
      <c r="AI86" s="494"/>
    </row>
    <row r="87" spans="1:35" s="29" customFormat="1" ht="24" customHeight="1">
      <c r="A87" s="7"/>
      <c r="B87" s="7"/>
      <c r="C87" s="111"/>
      <c r="D87" s="112"/>
      <c r="E87" s="101"/>
      <c r="F87" s="264"/>
      <c r="G87" s="102"/>
      <c r="H87" s="118"/>
      <c r="I87" s="88" t="str">
        <f t="shared" si="2"/>
        <v/>
      </c>
      <c r="J87" s="52"/>
      <c r="K87" s="53"/>
      <c r="L87" s="54"/>
      <c r="M87" s="594"/>
      <c r="N87" s="569"/>
      <c r="O87" s="522"/>
      <c r="P87" s="208"/>
      <c r="Q87" s="209"/>
      <c r="R87" s="209"/>
      <c r="S87" s="209"/>
      <c r="T87" s="209"/>
      <c r="U87" s="209"/>
      <c r="V87" s="209"/>
      <c r="W87" s="209"/>
      <c r="X87" s="210"/>
      <c r="Y87" s="210"/>
      <c r="Z87" s="210"/>
      <c r="AA87" s="210"/>
      <c r="AB87" s="210"/>
      <c r="AC87" s="209"/>
      <c r="AD87" s="339"/>
      <c r="AE87" s="340"/>
      <c r="AF87" s="209"/>
      <c r="AG87" s="209"/>
      <c r="AH87" s="471"/>
      <c r="AI87" s="494"/>
    </row>
    <row r="88" spans="1:35" s="29" customFormat="1" ht="24" customHeight="1">
      <c r="A88" s="7"/>
      <c r="B88" s="7"/>
      <c r="C88" s="111"/>
      <c r="D88" s="112"/>
      <c r="E88" s="101"/>
      <c r="F88" s="264"/>
      <c r="G88" s="102"/>
      <c r="H88" s="118"/>
      <c r="I88" s="88" t="str">
        <f t="shared" si="2"/>
        <v/>
      </c>
      <c r="J88" s="52"/>
      <c r="K88" s="53"/>
      <c r="L88" s="54"/>
      <c r="M88" s="594"/>
      <c r="N88" s="569"/>
      <c r="O88" s="522"/>
      <c r="P88" s="208"/>
      <c r="Q88" s="209"/>
      <c r="R88" s="209"/>
      <c r="S88" s="209"/>
      <c r="T88" s="209"/>
      <c r="U88" s="209"/>
      <c r="V88" s="209"/>
      <c r="W88" s="209"/>
      <c r="X88" s="210"/>
      <c r="Y88" s="210"/>
      <c r="Z88" s="210"/>
      <c r="AA88" s="210"/>
      <c r="AB88" s="210"/>
      <c r="AC88" s="209"/>
      <c r="AD88" s="339"/>
      <c r="AE88" s="340"/>
      <c r="AF88" s="209"/>
      <c r="AG88" s="209"/>
      <c r="AH88" s="471"/>
      <c r="AI88" s="494"/>
    </row>
    <row r="89" spans="1:35" s="29" customFormat="1" ht="24" customHeight="1">
      <c r="A89" s="7"/>
      <c r="B89" s="7"/>
      <c r="C89" s="111"/>
      <c r="D89" s="112"/>
      <c r="E89" s="101"/>
      <c r="F89" s="264"/>
      <c r="G89" s="102"/>
      <c r="H89" s="118"/>
      <c r="I89" s="88" t="str">
        <f t="shared" si="2"/>
        <v/>
      </c>
      <c r="J89" s="52"/>
      <c r="K89" s="53"/>
      <c r="L89" s="54"/>
      <c r="M89" s="594"/>
      <c r="N89" s="569"/>
      <c r="O89" s="522"/>
      <c r="P89" s="208"/>
      <c r="Q89" s="209"/>
      <c r="R89" s="209"/>
      <c r="S89" s="209"/>
      <c r="T89" s="209"/>
      <c r="U89" s="209"/>
      <c r="V89" s="209"/>
      <c r="W89" s="209"/>
      <c r="X89" s="210"/>
      <c r="Y89" s="210"/>
      <c r="Z89" s="210"/>
      <c r="AA89" s="210"/>
      <c r="AB89" s="210"/>
      <c r="AC89" s="209"/>
      <c r="AD89" s="339"/>
      <c r="AE89" s="340"/>
      <c r="AF89" s="209"/>
      <c r="AG89" s="209"/>
      <c r="AH89" s="471"/>
      <c r="AI89" s="494"/>
    </row>
    <row r="90" spans="1:35" s="29" customFormat="1" ht="24" customHeight="1">
      <c r="A90" s="7"/>
      <c r="B90" s="7"/>
      <c r="C90" s="111"/>
      <c r="D90" s="112"/>
      <c r="E90" s="101"/>
      <c r="F90" s="264"/>
      <c r="G90" s="102"/>
      <c r="H90" s="118"/>
      <c r="I90" s="88" t="str">
        <f t="shared" si="2"/>
        <v/>
      </c>
      <c r="J90" s="52"/>
      <c r="K90" s="53"/>
      <c r="L90" s="54"/>
      <c r="M90" s="594"/>
      <c r="N90" s="569"/>
      <c r="O90" s="522"/>
      <c r="P90" s="208"/>
      <c r="Q90" s="209"/>
      <c r="R90" s="209"/>
      <c r="S90" s="209"/>
      <c r="T90" s="209"/>
      <c r="U90" s="209"/>
      <c r="V90" s="209"/>
      <c r="W90" s="209"/>
      <c r="X90" s="210"/>
      <c r="Y90" s="210"/>
      <c r="Z90" s="210"/>
      <c r="AA90" s="210"/>
      <c r="AB90" s="210"/>
      <c r="AC90" s="209"/>
      <c r="AD90" s="339"/>
      <c r="AE90" s="340"/>
      <c r="AF90" s="209"/>
      <c r="AG90" s="209"/>
      <c r="AH90" s="471"/>
      <c r="AI90" s="494"/>
    </row>
    <row r="91" spans="1:35" s="29" customFormat="1" ht="24" customHeight="1">
      <c r="A91" s="7"/>
      <c r="B91" s="7"/>
      <c r="C91" s="111"/>
      <c r="D91" s="112"/>
      <c r="E91" s="101"/>
      <c r="F91" s="264"/>
      <c r="G91" s="102"/>
      <c r="H91" s="118"/>
      <c r="I91" s="88" t="str">
        <f t="shared" si="2"/>
        <v/>
      </c>
      <c r="J91" s="52"/>
      <c r="K91" s="53"/>
      <c r="L91" s="54"/>
      <c r="M91" s="594"/>
      <c r="N91" s="569"/>
      <c r="O91" s="522"/>
      <c r="P91" s="208"/>
      <c r="Q91" s="209"/>
      <c r="R91" s="209"/>
      <c r="S91" s="209"/>
      <c r="T91" s="209"/>
      <c r="U91" s="209"/>
      <c r="V91" s="209"/>
      <c r="W91" s="209"/>
      <c r="X91" s="210"/>
      <c r="Y91" s="210"/>
      <c r="Z91" s="210"/>
      <c r="AA91" s="210"/>
      <c r="AB91" s="210"/>
      <c r="AC91" s="209"/>
      <c r="AD91" s="339"/>
      <c r="AE91" s="340"/>
      <c r="AF91" s="209"/>
      <c r="AG91" s="209"/>
      <c r="AH91" s="471"/>
      <c r="AI91" s="494"/>
    </row>
    <row r="92" spans="1:35" s="29" customFormat="1" ht="24" customHeight="1">
      <c r="A92" s="7"/>
      <c r="B92" s="7"/>
      <c r="C92" s="111"/>
      <c r="D92" s="112"/>
      <c r="E92" s="101"/>
      <c r="F92" s="264"/>
      <c r="G92" s="102"/>
      <c r="H92" s="118"/>
      <c r="I92" s="88" t="str">
        <f t="shared" si="2"/>
        <v/>
      </c>
      <c r="J92" s="52"/>
      <c r="K92" s="53"/>
      <c r="L92" s="54"/>
      <c r="M92" s="594"/>
      <c r="N92" s="569"/>
      <c r="O92" s="522"/>
      <c r="P92" s="208"/>
      <c r="Q92" s="209"/>
      <c r="R92" s="209"/>
      <c r="S92" s="209"/>
      <c r="T92" s="209"/>
      <c r="U92" s="209"/>
      <c r="V92" s="209"/>
      <c r="W92" s="209"/>
      <c r="X92" s="210"/>
      <c r="Y92" s="210"/>
      <c r="Z92" s="210"/>
      <c r="AA92" s="210"/>
      <c r="AB92" s="210"/>
      <c r="AC92" s="209"/>
      <c r="AD92" s="339"/>
      <c r="AE92" s="340"/>
      <c r="AF92" s="209"/>
      <c r="AG92" s="209"/>
      <c r="AH92" s="471"/>
      <c r="AI92" s="494"/>
    </row>
    <row r="93" spans="1:35" ht="24" customHeight="1" thickBot="1">
      <c r="A93" s="7"/>
      <c r="B93" s="7"/>
      <c r="C93" s="90"/>
      <c r="D93" s="81" t="s">
        <v>9</v>
      </c>
      <c r="E93" s="91"/>
      <c r="F93" s="265"/>
      <c r="G93" s="104"/>
      <c r="H93" s="114" t="s">
        <v>75</v>
      </c>
      <c r="I93" s="92">
        <f>SUM(I75:I92)</f>
        <v>0</v>
      </c>
      <c r="J93" s="518" t="str">
        <f>IF(C74="部分撤去工事","）うち費用",")")</f>
        <v>)</v>
      </c>
      <c r="K93" s="520">
        <f>IF(C74="部分撤去工事",(K70+L93),0)</f>
        <v>0</v>
      </c>
      <c r="L93" s="519">
        <f>IF(C74="部分撤去工事",SUMIF(N75:N92,"費用",I75:I92),0)</f>
        <v>0</v>
      </c>
      <c r="M93" s="841"/>
      <c r="N93" s="571"/>
      <c r="O93" s="522"/>
      <c r="P93" s="208"/>
      <c r="Q93" s="209"/>
      <c r="R93" s="209"/>
      <c r="S93" s="209"/>
      <c r="T93" s="209"/>
      <c r="U93" s="209"/>
      <c r="V93" s="209"/>
      <c r="W93" s="209"/>
      <c r="X93" s="210"/>
      <c r="Y93" s="210"/>
      <c r="Z93" s="210"/>
      <c r="AA93" s="210"/>
      <c r="AB93" s="210"/>
      <c r="AC93" s="209"/>
      <c r="AD93" s="339"/>
      <c r="AE93" s="340"/>
      <c r="AF93" s="209"/>
      <c r="AG93" s="209"/>
      <c r="AH93" s="209"/>
      <c r="AI93" s="494"/>
    </row>
    <row r="94" spans="1:35" ht="14.25" customHeight="1">
      <c r="E94" s="107" t="s">
        <v>53</v>
      </c>
      <c r="F94" s="108">
        <f>+F71+1</f>
        <v>4</v>
      </c>
      <c r="G94" s="109" t="s">
        <v>54</v>
      </c>
      <c r="H94" s="110">
        <f>+H71</f>
        <v>7</v>
      </c>
      <c r="I94" s="110"/>
      <c r="M94" s="842" t="str">
        <f>IF(A96="","EOL","")</f>
        <v>EOL</v>
      </c>
      <c r="N94" s="1">
        <f>+F94</f>
        <v>4</v>
      </c>
      <c r="Q94" s="29"/>
      <c r="R94" s="29"/>
      <c r="S94" s="29"/>
      <c r="T94" s="29"/>
      <c r="U94" s="29"/>
      <c r="V94" s="29"/>
      <c r="W94" s="29"/>
      <c r="X94" s="29"/>
      <c r="Y94" s="29"/>
      <c r="Z94" s="29"/>
    </row>
    <row r="95" spans="1:35" ht="26.25" customHeight="1">
      <c r="O95" s="206"/>
      <c r="P95" s="206"/>
      <c r="Q95" s="206"/>
      <c r="R95" s="206"/>
      <c r="S95" s="206"/>
      <c r="T95" s="206"/>
      <c r="U95" s="206"/>
      <c r="V95" s="206"/>
      <c r="W95" s="206"/>
      <c r="X95" s="206"/>
      <c r="Y95" s="206"/>
      <c r="Z95" s="206"/>
      <c r="AA95" s="206"/>
    </row>
    <row r="96" spans="1:35" ht="26.25" customHeight="1">
      <c r="O96" s="201"/>
      <c r="P96" s="201"/>
      <c r="Q96" s="202"/>
      <c r="R96" s="203"/>
      <c r="S96" s="204"/>
      <c r="T96" s="204"/>
      <c r="U96" s="202"/>
      <c r="V96" s="202"/>
      <c r="W96" s="204"/>
      <c r="X96" s="201"/>
      <c r="Y96" s="201"/>
      <c r="Z96" s="201"/>
      <c r="AA96" s="201"/>
    </row>
    <row r="97" spans="15:27" ht="26.25" customHeight="1">
      <c r="O97" s="205"/>
      <c r="P97" s="205"/>
      <c r="Q97" s="202"/>
      <c r="R97" s="202"/>
      <c r="S97" s="202"/>
      <c r="T97" s="202"/>
      <c r="U97" s="202"/>
      <c r="V97" s="202"/>
      <c r="W97" s="202"/>
      <c r="X97" s="202"/>
      <c r="Y97" s="202"/>
      <c r="Z97" s="202"/>
      <c r="AA97" s="202"/>
    </row>
    <row r="98" spans="15:27" ht="26.25" customHeight="1">
      <c r="O98" s="205"/>
      <c r="P98" s="205"/>
      <c r="Q98" s="202"/>
      <c r="R98" s="202"/>
      <c r="S98" s="202"/>
      <c r="T98" s="202"/>
      <c r="U98" s="202"/>
      <c r="V98" s="202"/>
      <c r="W98" s="202"/>
      <c r="X98" s="202"/>
      <c r="Y98" s="202"/>
      <c r="Z98" s="202"/>
      <c r="AA98" s="202"/>
    </row>
    <row r="99" spans="15:27" ht="26.25" customHeight="1">
      <c r="O99" s="205"/>
      <c r="P99" s="205"/>
      <c r="Q99" s="202"/>
      <c r="R99" s="202"/>
      <c r="S99" s="202"/>
      <c r="T99" s="202"/>
      <c r="U99" s="202"/>
      <c r="V99" s="202"/>
      <c r="W99" s="202"/>
      <c r="X99" s="202"/>
      <c r="Y99" s="202"/>
      <c r="Z99" s="202"/>
      <c r="AA99" s="202"/>
    </row>
    <row r="100" spans="15:27" ht="26.25" customHeight="1">
      <c r="O100" s="205"/>
      <c r="P100" s="205"/>
      <c r="Q100" s="202"/>
      <c r="R100" s="202"/>
      <c r="S100" s="202"/>
      <c r="T100" s="202"/>
      <c r="U100" s="202"/>
      <c r="V100" s="202"/>
      <c r="W100" s="202"/>
      <c r="X100" s="202"/>
      <c r="Y100" s="202"/>
      <c r="Z100" s="202"/>
      <c r="AA100" s="202"/>
    </row>
    <row r="101" spans="15:27" ht="26.25" customHeight="1">
      <c r="O101" s="205"/>
      <c r="P101" s="205"/>
      <c r="Q101" s="202"/>
      <c r="R101" s="202"/>
      <c r="S101" s="202"/>
      <c r="T101" s="202"/>
      <c r="U101" s="202"/>
      <c r="V101" s="202"/>
      <c r="W101" s="202"/>
      <c r="X101" s="202"/>
      <c r="Y101" s="202"/>
      <c r="Z101" s="202"/>
      <c r="AA101" s="202"/>
    </row>
    <row r="102" spans="15:27" ht="26.25" customHeight="1">
      <c r="O102" s="205"/>
      <c r="P102" s="205"/>
      <c r="Q102" s="202"/>
      <c r="R102" s="202"/>
      <c r="S102" s="202"/>
      <c r="T102" s="202"/>
      <c r="U102" s="202"/>
      <c r="V102" s="202"/>
      <c r="W102" s="202"/>
      <c r="X102" s="202"/>
      <c r="Y102" s="202"/>
      <c r="Z102" s="202"/>
      <c r="AA102" s="202"/>
    </row>
    <row r="103" spans="15:27" ht="26.25" customHeight="1">
      <c r="O103" s="205"/>
      <c r="P103" s="205"/>
      <c r="Q103" s="202"/>
      <c r="R103" s="202"/>
      <c r="S103" s="202"/>
      <c r="T103" s="202"/>
      <c r="U103" s="202"/>
      <c r="V103" s="202"/>
      <c r="W103" s="202"/>
      <c r="X103" s="202"/>
      <c r="Y103" s="202"/>
      <c r="Z103" s="202"/>
      <c r="AA103" s="202"/>
    </row>
    <row r="104" spans="15:27" ht="26.25" customHeight="1">
      <c r="O104" s="205"/>
      <c r="P104" s="205"/>
      <c r="Q104" s="202"/>
      <c r="R104" s="202"/>
      <c r="S104" s="202"/>
      <c r="T104" s="202"/>
      <c r="U104" s="202"/>
      <c r="V104" s="202"/>
      <c r="W104" s="202"/>
      <c r="X104" s="202"/>
      <c r="Y104" s="202"/>
      <c r="Z104" s="202"/>
      <c r="AA104" s="202"/>
    </row>
    <row r="105" spans="15:27" ht="26.25" customHeight="1">
      <c r="O105" s="205"/>
      <c r="P105" s="205"/>
      <c r="Q105" s="202"/>
      <c r="R105" s="202"/>
      <c r="S105" s="202"/>
      <c r="T105" s="202"/>
      <c r="U105" s="202"/>
      <c r="V105" s="202"/>
      <c r="W105" s="202"/>
      <c r="X105" s="202"/>
      <c r="Y105" s="202"/>
      <c r="Z105" s="202"/>
      <c r="AA105" s="202"/>
    </row>
    <row r="106" spans="15:27" ht="26.25" customHeight="1">
      <c r="O106" s="205"/>
      <c r="P106" s="205"/>
      <c r="Q106" s="202"/>
      <c r="R106" s="202"/>
      <c r="S106" s="202"/>
      <c r="T106" s="202"/>
      <c r="U106" s="202"/>
      <c r="V106" s="202"/>
      <c r="W106" s="202"/>
      <c r="X106" s="202"/>
      <c r="Y106" s="202"/>
      <c r="Z106" s="202"/>
      <c r="AA106" s="202"/>
    </row>
    <row r="107" spans="15:27" ht="26.25" customHeight="1">
      <c r="O107" s="205"/>
      <c r="P107" s="205"/>
      <c r="Q107" s="202"/>
      <c r="R107" s="202"/>
      <c r="S107" s="202"/>
      <c r="T107" s="202"/>
      <c r="U107" s="202"/>
      <c r="V107" s="202"/>
      <c r="W107" s="202"/>
      <c r="X107" s="202"/>
      <c r="Y107" s="202"/>
      <c r="Z107" s="202"/>
      <c r="AA107" s="202"/>
    </row>
    <row r="108" spans="15:27" ht="26.25" customHeight="1">
      <c r="O108" s="205"/>
      <c r="P108" s="205"/>
      <c r="Q108" s="202"/>
      <c r="R108" s="202"/>
      <c r="S108" s="202"/>
      <c r="T108" s="202"/>
      <c r="U108" s="202"/>
      <c r="V108" s="202"/>
      <c r="W108" s="202"/>
      <c r="X108" s="202"/>
      <c r="Y108" s="202"/>
      <c r="Z108" s="202"/>
      <c r="AA108" s="202"/>
    </row>
    <row r="109" spans="15:27" ht="26.25" customHeight="1">
      <c r="O109" s="205"/>
      <c r="P109" s="205"/>
      <c r="Q109" s="202"/>
      <c r="R109" s="202"/>
      <c r="S109" s="202"/>
      <c r="T109" s="202"/>
      <c r="U109" s="202"/>
      <c r="V109" s="202"/>
      <c r="W109" s="202"/>
      <c r="X109" s="202"/>
      <c r="Y109" s="202"/>
      <c r="Z109" s="202"/>
      <c r="AA109" s="202"/>
    </row>
    <row r="110" spans="15:27" ht="26.25" customHeight="1">
      <c r="O110" s="205"/>
      <c r="P110" s="205"/>
      <c r="Q110" s="202"/>
      <c r="R110" s="202"/>
      <c r="S110" s="202"/>
      <c r="T110" s="202"/>
      <c r="U110" s="202"/>
      <c r="V110" s="202"/>
      <c r="W110" s="202"/>
      <c r="X110" s="202"/>
      <c r="Y110" s="202"/>
      <c r="Z110" s="202"/>
      <c r="AA110" s="202"/>
    </row>
    <row r="111" spans="15:27" ht="26.25" customHeight="1">
      <c r="O111" s="205"/>
      <c r="P111" s="205"/>
      <c r="Q111" s="202"/>
      <c r="R111" s="202"/>
      <c r="S111" s="202"/>
      <c r="T111" s="202"/>
      <c r="U111" s="202"/>
      <c r="V111" s="202"/>
      <c r="W111" s="202"/>
      <c r="X111" s="202"/>
      <c r="Y111" s="202"/>
      <c r="Z111" s="202"/>
      <c r="AA111" s="202"/>
    </row>
    <row r="112" spans="15:27" ht="26.25" customHeight="1">
      <c r="O112" s="205"/>
      <c r="P112" s="205"/>
      <c r="Q112" s="202"/>
      <c r="R112" s="202"/>
      <c r="S112" s="202"/>
      <c r="T112" s="202"/>
      <c r="U112" s="202"/>
      <c r="V112" s="202"/>
      <c r="W112" s="202"/>
      <c r="X112" s="202"/>
      <c r="Y112" s="202"/>
      <c r="Z112" s="202"/>
      <c r="AA112" s="202"/>
    </row>
    <row r="113" spans="15:27" ht="26.25" customHeight="1">
      <c r="O113" s="205"/>
      <c r="P113" s="205"/>
      <c r="Q113" s="202"/>
      <c r="R113" s="202"/>
      <c r="S113" s="202"/>
      <c r="T113" s="202"/>
      <c r="U113" s="202"/>
      <c r="V113" s="202"/>
      <c r="W113" s="202"/>
      <c r="X113" s="202"/>
      <c r="Y113" s="202"/>
      <c r="Z113" s="202"/>
      <c r="AA113" s="202"/>
    </row>
    <row r="114" spans="15:27" ht="26.25" customHeight="1">
      <c r="O114" s="205"/>
      <c r="P114" s="205"/>
      <c r="Q114" s="202"/>
      <c r="R114" s="202"/>
      <c r="S114" s="202"/>
      <c r="T114" s="202"/>
      <c r="U114" s="202"/>
      <c r="V114" s="202"/>
      <c r="W114" s="202"/>
      <c r="X114" s="202"/>
      <c r="Y114" s="202"/>
      <c r="Z114" s="202"/>
      <c r="AA114" s="202"/>
    </row>
    <row r="115" spans="15:27" ht="26.25" customHeight="1">
      <c r="O115" s="205"/>
      <c r="P115" s="205"/>
      <c r="Q115" s="202"/>
      <c r="R115" s="202"/>
      <c r="S115" s="202"/>
      <c r="T115" s="202"/>
      <c r="U115" s="202"/>
      <c r="V115" s="202"/>
      <c r="W115" s="202"/>
      <c r="X115" s="202"/>
      <c r="Y115" s="202"/>
      <c r="Z115" s="202"/>
      <c r="AA115" s="202"/>
    </row>
    <row r="116" spans="15:27" ht="26.25" customHeight="1">
      <c r="O116" s="205"/>
      <c r="P116" s="205"/>
      <c r="Q116" s="202"/>
      <c r="R116" s="202"/>
      <c r="S116" s="202"/>
      <c r="T116" s="202"/>
      <c r="U116" s="202"/>
      <c r="V116" s="202"/>
      <c r="W116" s="202"/>
      <c r="X116" s="202"/>
      <c r="Y116" s="202"/>
      <c r="Z116" s="202"/>
      <c r="AA116" s="202"/>
    </row>
    <row r="117" spans="15:27" ht="26.25" customHeight="1">
      <c r="O117" s="1"/>
      <c r="P117" s="1"/>
    </row>
  </sheetData>
  <mergeCells count="16">
    <mergeCell ref="C72:L72"/>
    <mergeCell ref="O72:AH72"/>
    <mergeCell ref="J73:L73"/>
    <mergeCell ref="J74:L74"/>
    <mergeCell ref="O3:AH3"/>
    <mergeCell ref="O26:AH26"/>
    <mergeCell ref="O49:AH49"/>
    <mergeCell ref="J51:L51"/>
    <mergeCell ref="C3:L3"/>
    <mergeCell ref="C26:L26"/>
    <mergeCell ref="C49:L49"/>
    <mergeCell ref="J50:L50"/>
    <mergeCell ref="J5:L5"/>
    <mergeCell ref="J4:L4"/>
    <mergeCell ref="J27:L27"/>
    <mergeCell ref="J28:L28"/>
  </mergeCells>
  <phoneticPr fontId="8"/>
  <dataValidations count="5">
    <dataValidation type="list" allowBlank="1" showInputMessage="1" showErrorMessage="1" sqref="M16" xr:uid="{00000000-0002-0000-0D00-000000000000}">
      <formula1>"直"</formula1>
    </dataValidation>
    <dataValidation type="list" allowBlank="1" showInputMessage="1" showErrorMessage="1" sqref="M45" xr:uid="{00000000-0002-0000-0D00-000001000000}">
      <formula1>"積"</formula1>
    </dataValidation>
    <dataValidation type="list" allowBlank="1" showInputMessage="1" showErrorMessage="1" sqref="M29:M44 M46 M52:M69 M75:M92" xr:uid="{00000000-0002-0000-0D00-000002000000}">
      <formula1>OFFSET(INDIRECT("入力規則マスタ!$N$3"),0,0,COUNTA(INDIRECT("入力規則マスタ!$N:$N"))-1,1)</formula1>
    </dataValidation>
    <dataValidation type="list" allowBlank="1" showInputMessage="1" showErrorMessage="1" prompt="費用/建物附属設備/工具・器具・備品の場合、選択してください。" sqref="N29:N46 N52:N69 N75:N92" xr:uid="{00000000-0002-0000-0D00-000003000000}">
      <formula1>OFFSET(INDIRECT("入力規則マスタ!$J$3"),0,0,COUNTA(INDIRECT("入力規則マスタ!$J:$J"))-1,1)</formula1>
    </dataValidation>
    <dataValidation type="whole" allowBlank="1" showInputMessage="1" showErrorMessage="1" sqref="A5:B24 A28:B47 A51:B70 A74:B93" xr:uid="{00000000-0002-0000-0D00-000004000000}">
      <formula1>1</formula1>
      <formula2>4</formula2>
    </dataValidation>
  </dataValidations>
  <printOptions horizontalCentered="1" verticalCentered="1"/>
  <pageMargins left="0.39370078740157483" right="0.39370078740157483" top="0.78740157480314965" bottom="0.19685039370078741" header="0.51181102362204722" footer="0.51181102362204722"/>
  <pageSetup paperSize="9" orientation="portrait" r:id="rId1"/>
  <headerFooter alignWithMargins="0"/>
  <rowBreaks count="1" manualBreakCount="1">
    <brk id="2" max="16383" man="1"/>
  </rowBreaks>
  <legacyDrawing r:id="rId2"/>
</worksheet>
</file>

<file path=OriginalRibbon/OriginalRibbon.xml><?xml version="1.0" encoding="utf-8"?>
<customUI xmlns="http://schemas.microsoft.com/office/2006/01/customui">
  <ribbon>
    <tabs>
      <tab id="myTab" label="明細">
        <group id="myGroup1" label="明細書">
          <button id="mybutton1" size="large" label="単価表呼出" imageMso="SharePointListsWorkOffline" onAction="Macro1" screentip="単価表による入力を行います。"/>
          <separator id="separator1"/>
          <button id="mybutton2" label="現在の位置に単票を追加" imageMso="CellsInsertDialog" onAction="Macro1" screentip="現在の位置に明細書単票を追加します。"/>
          <button id="mybutton3" label="最終行に単票を追加" imageMso="TableOfAuthoritiesInsert" onAction="Macro1" screentip="現在のシートの最終行に明細書単票を追加します。"/>
          <button id="mybutton4" label="明細シートを追加" imageMso="CreateQueryFromWizard" onAction="Macro1" screentip="明細書シートを追加します。"/>
          <separator id="separator2"/>
          <button id="mybutton5" label="現在の位置の単票を削除" imageMso="CellsDelete" onAction="Macro1" screentip="現在の位置の明細書単票を削除します。"/>
          <button id="mybutton6" label="最終行の単票を削除" imageMso="QueryDelete" onAction="Macro1" screentip="現在のシートの最終行の明細書単票を削除します。"/>
          <button id="mybutton7" label="明細シートを削除" imageMso="SheetDelete" onAction="Macro1" screentip="明細書シートを削除します。"/>
        </group>
        <group id="myGroup2" label="見積比較書">
          <button id="mybutton8" label="単票の追加" imageMso="TableRowsInsertBelowExcel" onAction="Macro1" screentip="現在の位置に見積比較書を追加します。"/>
          <button id="mybutton9" label="単票の削除" imageMso="TableRowsDeleteExcel" onAction="Macro1" screentip="現在の位置の見積比較書を削除します。"/>
        </group>
        <group id="myGroup3" label="印刷">
          <button id="mybutton10" size="large" label="明細書印刷" imageMso="FilePrint" onAction="Macro1" screentip="明細書を印刷します。"/>
          <separator id="separator3"/>
          <box id="box1" boxStyle="vertical">
            <button id="mybutton11" label="見積比較書印刷" imageMso="PrintOptionsMenu" onAction="Macro1" screentip="見積比較書を印刷します。"/>
            <button id="mybutton12" label="小運搬表印刷" imageMso="PrintAreaMenu" onAction="Macro1" screentip="小運搬表を印刷します。"/>
          </box>
          <separator id="separator4"/>
          <box id="box2" boxStyle="vertical">
            <button id="mybutton13" getVisible="getVisibleCallback1" label="諸経費表印刷" onAction="Macro1" screentip="諸経費表を印刷します。"/>
            <button id="mybutton14" getVisible="getVisibleCallback1" label="代価歩掛印刷" onAction="Macro1" screentip="代価歩掛を印刷します。"/>
          </box>
        </group>
        <group id="myGroup4" label="補助">
          <button id="mybutton15" size="large" label="小運搬表　作成　" imageMso="DatabaseLinedTableManager" onAction="Macro1" screentip="小運搬表を作成します。"/>
          <button id="mybutton16" label="ｼｰﾄ先頭ﾍﾟｰｼﾞに工種記入" imageMso="Refresh" onAction="Macro1" screentip="シートの先頭ページに、工種を記入しなおします。"/>
          <button id="mybutton17" getVisible="getVisibleCallback1" label="保障(範囲指定後)" imageMso="DistributionListAddNewMember" onAction="Macro1" screentip="保障対象範囲を指定後、使用してください。"/>
          <button id="mybutton18" getVisible="getVisibleCallback1" label="単価一括代入" imageMso="QueryBuilder" onAction="Macro1" screentip="ﾊｲﾘｽｸ・ﾊｲﾘﾀｰﾝ！ 気をつけて使いましょう！"/>
        </group>
        <group id="myGroup5" label="見積用">
          <button id="mybutton19" getVisible="getVisibleCallback2" label="見積担当者用に変更" imageMso="RecurrenceEdit" onAction="Macro1" screentip="見積担当者以外はさわらないでください。"/>
          <button id="mybutton20" getVisible="getVisibleCallback1" label="設計担当者用に変更" imageMso="RecurrenceEdit" onAction="Macro1" screentip="設計担当者用に戻します。"/>
          <button id="mybutton21" getVisible="getVisibleCallback1" label="現場送付用に変更" imageMso="GoTo" onAction="Macro1" screentip="単価等を貼付け、現場送付用に変更します。（注意！：ﾏｸﾛ等一部使用できなくなります。）"/>
        </group>
        <group id="myGroup6" label="ヘルプ">
          <button id="mybutton22" label="ヘルプ・使い方" imageMso="Help" onAction="Macro1" screentip="ごめんなさい。m(_ _)m 旧ﾊﾞｰｼﾞｮﾝのままです…。基本は同じなので参考としてください。"/>
          <button id="mybutton23" label="バージョン情報" imageMso="Info" onAction="Macro1" screentip="ﾊﾞｰｼﾞｮﾝ情報"/>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13</vt:i4>
      </vt:variant>
      <vt:variant>
        <vt:lpstr>名前付き一覧</vt:lpstr>
      </vt:variant>
      <vt:variant>
        <vt:i4>2</vt:i4>
      </vt:variant>
    </vt:vector>
  </HeadingPairs>
  <TitlesOfParts>
    <vt:vector size="15" baseType="lpstr">
      <vt:lpstr>表紙</vt:lpstr>
      <vt:lpstr>資産クラス</vt:lpstr>
      <vt:lpstr>入力規則マスタ</vt:lpstr>
      <vt:lpstr>工事1</vt:lpstr>
      <vt:lpstr>代価</vt:lpstr>
      <vt:lpstr>見積比較</vt:lpstr>
      <vt:lpstr>小運搬</vt:lpstr>
      <vt:lpstr>代価一覧</vt:lpstr>
      <vt:lpstr>資産クラス一覧表</vt:lpstr>
      <vt:lpstr>諸経費表(専業工事用)</vt:lpstr>
      <vt:lpstr>随契差引諸経費表</vt:lpstr>
      <vt:lpstr>work</vt:lpstr>
      <vt:lpstr>新規シート</vt:lpstr>
      <vt:lpstr>工事1!Print_Area</vt:lpstr>
      <vt:lpstr>入力規則マスタ!Print_Area</vt:lpstr>
    </vt:vector>
  </TitlesOfParts>
  <Manager>古田　順正</Manager>
  <Company>大阪市交通局</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参考明細作成</dc:title>
  <dc:creator>建築企画担当</dc:creator>
  <dc:description>参考明細作成用のVBA付き</dc:description>
  <cp:lastModifiedBy>Microsoft Office User</cp:lastModifiedBy>
  <cp:lastPrinted>2021-06-23T06:34:15Z</cp:lastPrinted>
  <dcterms:created xsi:type="dcterms:W3CDTF">2000-06-20T23:47:24Z</dcterms:created>
  <dcterms:modified xsi:type="dcterms:W3CDTF">2022-03-17T07:27:50Z</dcterms:modified>
</cp:coreProperties>
</file>