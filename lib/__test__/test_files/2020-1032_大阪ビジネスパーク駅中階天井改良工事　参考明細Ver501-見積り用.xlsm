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myTab1" Type="http://schemas.microsoft.com/office/2006/relationships/ui/extensibility" Target="OriginalRibbon/OriginalRibbon.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svfile92\kenchiku$\★建築資産管理担当\8.過去明細\2020年度\2020-1032_大阪ビジネスパーク駅中階天井改良工事\"/>
    </mc:Choice>
  </mc:AlternateContent>
  <bookViews>
    <workbookView xWindow="-120" yWindow="-120" windowWidth="20730" windowHeight="11160" tabRatio="749"/>
  </bookViews>
  <sheets>
    <sheet name="表紙" sheetId="6" r:id="rId1"/>
    <sheet name="資産管理明細書" sheetId="38" r:id="rId2"/>
    <sheet name="資産クラス" sheetId="36" r:id="rId3"/>
    <sheet name="工事1" sheetId="1" r:id="rId4"/>
    <sheet name="代価" sheetId="31" state="hidden" r:id="rId5"/>
    <sheet name="小運搬" sheetId="30" r:id="rId6"/>
    <sheet name="見積比較" sheetId="3" r:id="rId7"/>
    <sheet name="代価一覧" sheetId="7" state="hidden" r:id="rId8"/>
    <sheet name="資産クラス一覧表" sheetId="43" state="hidden" r:id="rId9"/>
    <sheet name="入力規則マスタ" sheetId="48" state="hidden" r:id="rId10"/>
    <sheet name="諸経費表" sheetId="49" r:id="rId11"/>
    <sheet name="諸経費表(専業工事用)" sheetId="50" state="hidden" r:id="rId12"/>
    <sheet name="随契差引諸経費表" sheetId="51" state="hidden" r:id="rId13"/>
    <sheet name="work" sheetId="8" state="hidden" r:id="rId14"/>
    <sheet name="新規シート" sheetId="9" state="hidden" r:id="rId15"/>
  </sheets>
  <externalReferences>
    <externalReference r:id="rId16"/>
    <externalReference r:id="rId17"/>
    <externalReference r:id="rId18"/>
  </externalReferences>
  <definedNames>
    <definedName name="_Order1" hidden="1">255</definedName>
    <definedName name="AS2DocOpenMode" hidden="1">"AS2DocumentEdit"</definedName>
    <definedName name="_xlnm.Print_Area" localSheetId="13">work!$A$1:$K$136</definedName>
    <definedName name="_xlnm.Print_Area" localSheetId="6">見積比較!$A:$O</definedName>
    <definedName name="_xlnm.Print_Area" localSheetId="3">工事1!$A$3:$L$186</definedName>
    <definedName name="_xlnm.Print_Area" localSheetId="2">資産クラス!$A$1:$I$325</definedName>
    <definedName name="_xlnm.Print_Area" localSheetId="1">資産管理明細書!$A$3:$L$25</definedName>
    <definedName name="_xlnm.Print_Area" localSheetId="10">諸経費表!$A$1:$N$173</definedName>
    <definedName name="_xlnm.Print_Area" localSheetId="11">'諸経費表(専業工事用)'!$A$1:$L$172</definedName>
    <definedName name="_xlnm.Print_Area" localSheetId="12">随契差引諸経費表!$A$1:$N$470</definedName>
    <definedName name="_xlnm.Print_Area" localSheetId="4">代価!$A:$L</definedName>
    <definedName name="_xlnm.Print_Area" localSheetId="9">入力規則マスタ!$A$1:$I$28</definedName>
    <definedName name="_xlnm.Print_Area" localSheetId="0">表紙!$A$1:$W$71</definedName>
    <definedName name="押印欄">INDIRECT("押印欄マスタ!"&amp;[1]押印欄マスタ!$H$2)</definedName>
    <definedName name="業者名一覧">#REF!</definedName>
    <definedName name="区分">#REF!</definedName>
    <definedName name="区分1">[2]Sheet2!$D$1:$D$19</definedName>
    <definedName name="分類">[2]Sheet2!$A$1:$A$2</definedName>
    <definedName name="明細開始位置" localSheetId="9">[3]工事情報入力シート!$B$14</definedName>
    <definedName name="明細開始位置">[1]工事情報入力シート!$B$14</definedName>
    <definedName name="明細終了位置" localSheetId="9">[3]工事情報入力シート!$B$515</definedName>
    <definedName name="明細終了位置">[1]工事情報入力シート!$B$515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14" i="1" l="1"/>
  <c r="H114" i="1"/>
  <c r="I113" i="1"/>
  <c r="H113" i="1"/>
  <c r="I111" i="1"/>
  <c r="H111" i="1"/>
  <c r="I110" i="1"/>
  <c r="H110" i="1"/>
  <c r="N27" i="3"/>
  <c r="O26" i="3"/>
  <c r="N2" i="3"/>
  <c r="J7" i="3"/>
  <c r="J11" i="3"/>
  <c r="J9" i="3"/>
  <c r="J5" i="3"/>
  <c r="K5" i="3" s="1"/>
  <c r="N10" i="3"/>
  <c r="O10" i="3" s="1"/>
  <c r="N8" i="3"/>
  <c r="O8" i="3" s="1"/>
  <c r="N6" i="3"/>
  <c r="O6" i="3" s="1"/>
  <c r="K14" i="3"/>
  <c r="K12" i="3"/>
  <c r="K11" i="3"/>
  <c r="K10" i="3"/>
  <c r="K9" i="3"/>
  <c r="K8" i="3"/>
  <c r="K7" i="3"/>
  <c r="K6" i="3"/>
  <c r="I17" i="3"/>
  <c r="I16" i="3"/>
  <c r="I15" i="3"/>
  <c r="I14" i="3"/>
  <c r="I13" i="3"/>
  <c r="I12" i="3"/>
  <c r="I11" i="3"/>
  <c r="I10" i="3"/>
  <c r="I9" i="3"/>
  <c r="I8" i="3"/>
  <c r="I7" i="3"/>
  <c r="I6" i="3"/>
  <c r="I5" i="3"/>
  <c r="I54" i="1" l="1"/>
  <c r="E39" i="30" l="1"/>
  <c r="Z23" i="30"/>
  <c r="V23" i="30"/>
  <c r="R23" i="30"/>
  <c r="N23" i="30"/>
  <c r="V38" i="30"/>
  <c r="Z22" i="30"/>
  <c r="V22" i="30"/>
  <c r="R22" i="30"/>
  <c r="N22" i="30"/>
  <c r="I37" i="30"/>
  <c r="Z21" i="30"/>
  <c r="V21" i="30"/>
  <c r="R21" i="30"/>
  <c r="N21" i="30"/>
  <c r="T36" i="30"/>
  <c r="Z20" i="30"/>
  <c r="V20" i="30"/>
  <c r="R20" i="30"/>
  <c r="N20" i="30"/>
  <c r="T35" i="30"/>
  <c r="Z19" i="30"/>
  <c r="V19" i="30"/>
  <c r="R19" i="30"/>
  <c r="N19" i="30"/>
  <c r="M34" i="30"/>
  <c r="Z18" i="30"/>
  <c r="V18" i="30"/>
  <c r="R18" i="30"/>
  <c r="N18" i="30"/>
  <c r="J33" i="30"/>
  <c r="E33" i="30"/>
  <c r="Z17" i="30"/>
  <c r="V17" i="30"/>
  <c r="R17" i="30"/>
  <c r="N17" i="30"/>
  <c r="J16" i="30"/>
  <c r="J15" i="30"/>
  <c r="J14" i="30"/>
  <c r="J13" i="30"/>
  <c r="J12" i="30"/>
  <c r="J11" i="30"/>
  <c r="C1" i="30"/>
  <c r="H103" i="1"/>
  <c r="H101" i="1"/>
  <c r="I10" i="1"/>
  <c r="I8" i="1"/>
  <c r="M163" i="1"/>
  <c r="F163" i="1"/>
  <c r="N163" i="1" s="1"/>
  <c r="M140" i="1"/>
  <c r="F140" i="1"/>
  <c r="N140" i="1" s="1"/>
  <c r="I162" i="1"/>
  <c r="L139" i="1"/>
  <c r="K139" i="1"/>
  <c r="K162" i="1" s="1"/>
  <c r="J139" i="1"/>
  <c r="I112" i="1"/>
  <c r="I99" i="1"/>
  <c r="I108" i="1" l="1"/>
  <c r="I107" i="1"/>
  <c r="H3" i="36" l="1"/>
  <c r="H2" i="36"/>
  <c r="I105" i="1" l="1"/>
  <c r="H148" i="1" l="1"/>
  <c r="H169" i="1"/>
  <c r="I169" i="1" s="1"/>
  <c r="J143" i="1"/>
  <c r="I168" i="1"/>
  <c r="I160" i="1"/>
  <c r="I159" i="1"/>
  <c r="I158" i="1"/>
  <c r="I156" i="1"/>
  <c r="I155" i="1"/>
  <c r="I154" i="1"/>
  <c r="I153" i="1"/>
  <c r="I145" i="1"/>
  <c r="I146" i="1"/>
  <c r="I147" i="1"/>
  <c r="I148" i="1"/>
  <c r="I149" i="1"/>
  <c r="I150" i="1"/>
  <c r="I151" i="1"/>
  <c r="F71" i="6"/>
  <c r="G49" i="49" l="1"/>
  <c r="I152" i="1"/>
  <c r="I170" i="1" l="1"/>
  <c r="M186" i="1"/>
  <c r="L185" i="1"/>
  <c r="J185" i="1"/>
  <c r="I184" i="1"/>
  <c r="I183" i="1"/>
  <c r="I182" i="1"/>
  <c r="I181" i="1"/>
  <c r="I180" i="1"/>
  <c r="I179" i="1"/>
  <c r="I178" i="1"/>
  <c r="I177" i="1"/>
  <c r="I176" i="1"/>
  <c r="I175" i="1"/>
  <c r="I174" i="1"/>
  <c r="I173" i="1"/>
  <c r="I172" i="1"/>
  <c r="I171" i="1"/>
  <c r="I167" i="1"/>
  <c r="J166" i="1"/>
  <c r="L162" i="1"/>
  <c r="I161" i="1"/>
  <c r="I157" i="1"/>
  <c r="I144" i="1"/>
  <c r="I185" i="1" l="1"/>
  <c r="I11" i="1" s="1"/>
  <c r="K185" i="1"/>
  <c r="I121" i="1"/>
  <c r="I103" i="1" l="1"/>
  <c r="I101" i="1"/>
  <c r="I75" i="1" l="1"/>
  <c r="I123" i="1" l="1"/>
  <c r="M71" i="1" l="1"/>
  <c r="M117" i="1"/>
  <c r="M94" i="1"/>
  <c r="L93" i="1"/>
  <c r="K93" i="1"/>
  <c r="J93" i="1"/>
  <c r="I92" i="1"/>
  <c r="I91" i="1"/>
  <c r="I90" i="1"/>
  <c r="I89" i="1"/>
  <c r="I88" i="1"/>
  <c r="I87" i="1"/>
  <c r="I86" i="1"/>
  <c r="I85" i="1"/>
  <c r="I84" i="1"/>
  <c r="I83" i="1"/>
  <c r="I82" i="1"/>
  <c r="I81" i="1"/>
  <c r="I80" i="1"/>
  <c r="I79" i="1"/>
  <c r="I78" i="1"/>
  <c r="I77" i="1"/>
  <c r="J74" i="1"/>
  <c r="I93" i="1" l="1"/>
  <c r="I138" i="1"/>
  <c r="I137" i="1"/>
  <c r="I136" i="1"/>
  <c r="I135" i="1"/>
  <c r="I134" i="1"/>
  <c r="I133" i="1"/>
  <c r="I132" i="1"/>
  <c r="I131" i="1"/>
  <c r="I130" i="1"/>
  <c r="I129" i="1"/>
  <c r="I128" i="1"/>
  <c r="I127" i="1"/>
  <c r="I126" i="1"/>
  <c r="I125" i="1"/>
  <c r="I124" i="1"/>
  <c r="J120" i="1"/>
  <c r="I139" i="1" l="1"/>
  <c r="L116" i="1"/>
  <c r="K116" i="1"/>
  <c r="J116" i="1"/>
  <c r="J97" i="1" l="1"/>
  <c r="L70" i="1"/>
  <c r="K70" i="1"/>
  <c r="J70" i="1"/>
  <c r="M15" i="3" l="1"/>
  <c r="I41" i="1" l="1"/>
  <c r="I43" i="1"/>
  <c r="I44" i="1"/>
  <c r="I39" i="1"/>
  <c r="I115" i="1" l="1"/>
  <c r="I109" i="1"/>
  <c r="F1" i="49" l="1"/>
  <c r="H5" i="8" l="1"/>
  <c r="H4" i="8"/>
  <c r="N459" i="51"/>
  <c r="N327" i="51" s="1"/>
  <c r="M459" i="51"/>
  <c r="M437" i="51" s="1"/>
  <c r="L459" i="51"/>
  <c r="K459" i="51"/>
  <c r="K327" i="51" s="1"/>
  <c r="J459" i="51"/>
  <c r="J437" i="51" s="1"/>
  <c r="I459" i="51"/>
  <c r="I437" i="51" s="1"/>
  <c r="H459" i="51"/>
  <c r="G459" i="51"/>
  <c r="G437" i="51" s="1"/>
  <c r="E458" i="51"/>
  <c r="E457" i="51"/>
  <c r="E456" i="51"/>
  <c r="D456" i="51"/>
  <c r="C456" i="51"/>
  <c r="D453" i="51"/>
  <c r="D452" i="51"/>
  <c r="D451" i="51"/>
  <c r="C446" i="51"/>
  <c r="L437" i="51"/>
  <c r="K437" i="51"/>
  <c r="H437" i="51"/>
  <c r="E429" i="51"/>
  <c r="D429" i="51"/>
  <c r="F428" i="51"/>
  <c r="N427" i="51"/>
  <c r="M427" i="51"/>
  <c r="M322" i="51" s="1"/>
  <c r="L427" i="51"/>
  <c r="L322" i="51" s="1"/>
  <c r="K427" i="51"/>
  <c r="J427" i="51"/>
  <c r="I427" i="51"/>
  <c r="I322" i="51" s="1"/>
  <c r="H427" i="51"/>
  <c r="G427" i="51"/>
  <c r="E426" i="51"/>
  <c r="D426" i="51"/>
  <c r="E425" i="51"/>
  <c r="D425" i="51"/>
  <c r="E424" i="51"/>
  <c r="D424" i="51"/>
  <c r="E423" i="51"/>
  <c r="D423" i="51"/>
  <c r="E420" i="51"/>
  <c r="D420" i="51"/>
  <c r="E419" i="51"/>
  <c r="D419" i="51"/>
  <c r="E418" i="51"/>
  <c r="D418" i="51"/>
  <c r="D417" i="51"/>
  <c r="D416" i="51"/>
  <c r="D415" i="51"/>
  <c r="D413" i="51"/>
  <c r="E388" i="51"/>
  <c r="D388" i="51"/>
  <c r="E387" i="51"/>
  <c r="D387" i="51"/>
  <c r="E386" i="51"/>
  <c r="D386" i="51"/>
  <c r="E385" i="51"/>
  <c r="D385" i="51"/>
  <c r="E384" i="51"/>
  <c r="D384" i="51"/>
  <c r="E381" i="51"/>
  <c r="D381" i="51"/>
  <c r="E380" i="51"/>
  <c r="D380" i="51"/>
  <c r="E379" i="51"/>
  <c r="D379" i="51"/>
  <c r="D376" i="51"/>
  <c r="D374" i="51"/>
  <c r="N351" i="51"/>
  <c r="N446" i="51" s="1"/>
  <c r="N456" i="51" s="1"/>
  <c r="N326" i="51" s="1"/>
  <c r="M351" i="51"/>
  <c r="M446" i="51" s="1"/>
  <c r="M456" i="51" s="1"/>
  <c r="L351" i="51"/>
  <c r="L446" i="51" s="1"/>
  <c r="L456" i="51" s="1"/>
  <c r="K351" i="51"/>
  <c r="K446" i="51" s="1"/>
  <c r="K456" i="51" s="1"/>
  <c r="J351" i="51"/>
  <c r="J446" i="51" s="1"/>
  <c r="J456" i="51" s="1"/>
  <c r="J326" i="51" s="1"/>
  <c r="I351" i="51"/>
  <c r="I446" i="51" s="1"/>
  <c r="I456" i="51" s="1"/>
  <c r="I326" i="51" s="1"/>
  <c r="H351" i="51"/>
  <c r="H446" i="51" s="1"/>
  <c r="H456" i="51" s="1"/>
  <c r="H326" i="51" s="1"/>
  <c r="G351" i="51"/>
  <c r="G446" i="51" s="1"/>
  <c r="N350" i="51"/>
  <c r="M350" i="51"/>
  <c r="L350" i="51"/>
  <c r="K350" i="51"/>
  <c r="K316" i="51" s="1"/>
  <c r="J350" i="51"/>
  <c r="J316" i="51" s="1"/>
  <c r="I350" i="51"/>
  <c r="I316" i="51" s="1"/>
  <c r="H350" i="51"/>
  <c r="G350" i="51"/>
  <c r="N349" i="51"/>
  <c r="M349" i="51"/>
  <c r="M310" i="51" s="1"/>
  <c r="L349" i="51"/>
  <c r="L310" i="51" s="1"/>
  <c r="K349" i="51"/>
  <c r="J349" i="51"/>
  <c r="I349" i="51"/>
  <c r="H349" i="51"/>
  <c r="G349" i="51"/>
  <c r="G310" i="51" s="1"/>
  <c r="N348" i="51"/>
  <c r="M348" i="51"/>
  <c r="L348" i="51"/>
  <c r="K348" i="51"/>
  <c r="J348" i="51"/>
  <c r="I348" i="51"/>
  <c r="H348" i="51"/>
  <c r="G348" i="51"/>
  <c r="N345" i="51"/>
  <c r="M345" i="51"/>
  <c r="L345" i="51"/>
  <c r="K345" i="51"/>
  <c r="J345" i="51"/>
  <c r="I345" i="51"/>
  <c r="H345" i="51"/>
  <c r="G345" i="51"/>
  <c r="N344" i="51"/>
  <c r="M344" i="51"/>
  <c r="L344" i="51"/>
  <c r="K344" i="51"/>
  <c r="J344" i="51"/>
  <c r="I344" i="51"/>
  <c r="H344" i="51"/>
  <c r="G344" i="51"/>
  <c r="N343" i="51"/>
  <c r="M343" i="51"/>
  <c r="L343" i="51"/>
  <c r="K343" i="51"/>
  <c r="J343" i="51"/>
  <c r="I343" i="51"/>
  <c r="H343" i="51"/>
  <c r="G343" i="51"/>
  <c r="N342" i="51"/>
  <c r="M342" i="51"/>
  <c r="L342" i="51"/>
  <c r="K342" i="51"/>
  <c r="J342" i="51"/>
  <c r="I342" i="51"/>
  <c r="H342" i="51"/>
  <c r="G342" i="51"/>
  <c r="N341" i="51"/>
  <c r="M341" i="51"/>
  <c r="L341" i="51"/>
  <c r="K341" i="51"/>
  <c r="J341" i="51"/>
  <c r="I341" i="51"/>
  <c r="H341" i="51"/>
  <c r="G341" i="51"/>
  <c r="N340" i="51"/>
  <c r="M340" i="51"/>
  <c r="L340" i="51"/>
  <c r="K340" i="51"/>
  <c r="J340" i="51"/>
  <c r="I340" i="51"/>
  <c r="H340" i="51"/>
  <c r="G340" i="51"/>
  <c r="N339" i="51"/>
  <c r="M339" i="51"/>
  <c r="L339" i="51"/>
  <c r="K339" i="51"/>
  <c r="J339" i="51"/>
  <c r="I339" i="51"/>
  <c r="H339" i="51"/>
  <c r="G339" i="51"/>
  <c r="N338" i="51"/>
  <c r="M338" i="51"/>
  <c r="L338" i="51"/>
  <c r="K338" i="51"/>
  <c r="J338" i="51"/>
  <c r="I338" i="51"/>
  <c r="H338" i="51"/>
  <c r="G338" i="51"/>
  <c r="N337" i="51"/>
  <c r="M337" i="51"/>
  <c r="L337" i="51"/>
  <c r="K337" i="51"/>
  <c r="J337" i="51"/>
  <c r="I337" i="51"/>
  <c r="H337" i="51"/>
  <c r="G337" i="51"/>
  <c r="N336" i="51"/>
  <c r="M336" i="51"/>
  <c r="L336" i="51"/>
  <c r="K336" i="51"/>
  <c r="J336" i="51"/>
  <c r="I336" i="51"/>
  <c r="H336" i="51"/>
  <c r="G336" i="51"/>
  <c r="N335" i="51"/>
  <c r="M335" i="51"/>
  <c r="L335" i="51"/>
  <c r="K335" i="51"/>
  <c r="J335" i="51"/>
  <c r="I335" i="51"/>
  <c r="H335" i="51"/>
  <c r="G335" i="51"/>
  <c r="N334" i="51"/>
  <c r="M334" i="51"/>
  <c r="L334" i="51"/>
  <c r="K334" i="51"/>
  <c r="J334" i="51"/>
  <c r="I334" i="51"/>
  <c r="H334" i="51"/>
  <c r="G334" i="51"/>
  <c r="M327" i="51"/>
  <c r="L327" i="51"/>
  <c r="I327" i="51"/>
  <c r="H327" i="51"/>
  <c r="M326" i="51"/>
  <c r="L326" i="51"/>
  <c r="K326" i="51"/>
  <c r="N322" i="51"/>
  <c r="K322" i="51"/>
  <c r="J322" i="51"/>
  <c r="H322" i="51"/>
  <c r="G322" i="51"/>
  <c r="N316" i="51"/>
  <c r="M316" i="51"/>
  <c r="L316" i="51"/>
  <c r="H316" i="51"/>
  <c r="N315" i="51"/>
  <c r="M315" i="51"/>
  <c r="L315" i="51"/>
  <c r="K315" i="51"/>
  <c r="J315" i="51"/>
  <c r="I315" i="51"/>
  <c r="H315" i="51"/>
  <c r="G315" i="51"/>
  <c r="N314" i="51"/>
  <c r="M314" i="51"/>
  <c r="L314" i="51"/>
  <c r="K314" i="51"/>
  <c r="J314" i="51"/>
  <c r="I314" i="51"/>
  <c r="H314" i="51"/>
  <c r="G314" i="51"/>
  <c r="N313" i="51"/>
  <c r="M313" i="51"/>
  <c r="L313" i="51"/>
  <c r="K313" i="51"/>
  <c r="J313" i="51"/>
  <c r="I313" i="51"/>
  <c r="H313" i="51"/>
  <c r="G313" i="51"/>
  <c r="N310" i="51"/>
  <c r="K310" i="51"/>
  <c r="J310" i="51"/>
  <c r="I310" i="51"/>
  <c r="N309" i="51"/>
  <c r="K309" i="51"/>
  <c r="G309" i="51"/>
  <c r="N307" i="51"/>
  <c r="M307" i="51"/>
  <c r="L307" i="51"/>
  <c r="K307" i="51"/>
  <c r="J307" i="51"/>
  <c r="I307" i="51"/>
  <c r="H307" i="51"/>
  <c r="G307" i="51"/>
  <c r="F307" i="51" s="1"/>
  <c r="N305" i="51"/>
  <c r="M305" i="51"/>
  <c r="L305" i="51"/>
  <c r="K305" i="51"/>
  <c r="J305" i="51"/>
  <c r="I305" i="51"/>
  <c r="H305" i="51"/>
  <c r="G305" i="51"/>
  <c r="E305" i="51"/>
  <c r="E304" i="51"/>
  <c r="E303" i="51"/>
  <c r="E440" i="51" s="1"/>
  <c r="E443" i="51" s="1"/>
  <c r="E453" i="51" s="1"/>
  <c r="E302" i="51"/>
  <c r="E439" i="51" s="1"/>
  <c r="E442" i="51" s="1"/>
  <c r="E452" i="51" s="1"/>
  <c r="N301" i="51"/>
  <c r="M301" i="51"/>
  <c r="L301" i="51"/>
  <c r="K301" i="51"/>
  <c r="J301" i="51"/>
  <c r="I301" i="51"/>
  <c r="H301" i="51"/>
  <c r="G301" i="51"/>
  <c r="J300" i="51"/>
  <c r="I300" i="51"/>
  <c r="N284" i="51"/>
  <c r="M284" i="51"/>
  <c r="M276" i="51" s="1"/>
  <c r="L284" i="51"/>
  <c r="L276" i="51" s="1"/>
  <c r="K284" i="51"/>
  <c r="K276" i="51" s="1"/>
  <c r="J284" i="51"/>
  <c r="J276" i="51" s="1"/>
  <c r="I284" i="51"/>
  <c r="I276" i="51" s="1"/>
  <c r="H284" i="51"/>
  <c r="H276" i="51" s="1"/>
  <c r="G284" i="51"/>
  <c r="G276" i="51" s="1"/>
  <c r="N276" i="51"/>
  <c r="N267" i="51"/>
  <c r="M267" i="51"/>
  <c r="L267" i="51"/>
  <c r="K267" i="51"/>
  <c r="J267" i="51"/>
  <c r="I267" i="51"/>
  <c r="H267" i="51"/>
  <c r="G267" i="51"/>
  <c r="N258" i="51"/>
  <c r="M258" i="51"/>
  <c r="L258" i="51"/>
  <c r="K258" i="51"/>
  <c r="J258" i="51"/>
  <c r="I258" i="51"/>
  <c r="H258" i="51"/>
  <c r="G258" i="51"/>
  <c r="F245" i="51"/>
  <c r="E244" i="51"/>
  <c r="E243" i="51"/>
  <c r="E242" i="51"/>
  <c r="D242" i="51"/>
  <c r="C242" i="51"/>
  <c r="D239" i="51"/>
  <c r="D238" i="51"/>
  <c r="D237" i="51"/>
  <c r="N232" i="51"/>
  <c r="N242" i="51" s="1"/>
  <c r="N111" i="51" s="1"/>
  <c r="M232" i="51"/>
  <c r="M242" i="51" s="1"/>
  <c r="L232" i="51"/>
  <c r="L242" i="51" s="1"/>
  <c r="L111" i="51" s="1"/>
  <c r="K232" i="51"/>
  <c r="K242" i="51" s="1"/>
  <c r="K111" i="51" s="1"/>
  <c r="J232" i="51"/>
  <c r="J242" i="51" s="1"/>
  <c r="J111" i="51" s="1"/>
  <c r="I232" i="51"/>
  <c r="I242" i="51" s="1"/>
  <c r="H232" i="51"/>
  <c r="H242" i="51" s="1"/>
  <c r="H111" i="51" s="1"/>
  <c r="G232" i="51"/>
  <c r="G94" i="51" s="1"/>
  <c r="C232" i="51"/>
  <c r="E226" i="51"/>
  <c r="E229" i="51" s="1"/>
  <c r="E239" i="51" s="1"/>
  <c r="E225" i="51"/>
  <c r="E228" i="51" s="1"/>
  <c r="E238" i="51" s="1"/>
  <c r="N223" i="51"/>
  <c r="M223" i="51"/>
  <c r="L223" i="51"/>
  <c r="K223" i="51"/>
  <c r="J223" i="51"/>
  <c r="I223" i="51"/>
  <c r="H223" i="51"/>
  <c r="G223" i="51"/>
  <c r="N220" i="51"/>
  <c r="M220" i="51"/>
  <c r="L220" i="51"/>
  <c r="K220" i="51"/>
  <c r="J220" i="51"/>
  <c r="I220" i="51"/>
  <c r="H220" i="51"/>
  <c r="G220" i="51"/>
  <c r="E214" i="51"/>
  <c r="D214" i="51"/>
  <c r="F213" i="51"/>
  <c r="F212" i="51"/>
  <c r="E211" i="51"/>
  <c r="D211" i="51"/>
  <c r="E210" i="51"/>
  <c r="D210" i="51"/>
  <c r="E209" i="51"/>
  <c r="D209" i="51"/>
  <c r="E208" i="51"/>
  <c r="D208" i="51"/>
  <c r="E205" i="51"/>
  <c r="D205" i="51"/>
  <c r="E204" i="51"/>
  <c r="D204" i="51"/>
  <c r="E203" i="51"/>
  <c r="D203" i="51"/>
  <c r="D202" i="51"/>
  <c r="D201" i="51"/>
  <c r="D200" i="51"/>
  <c r="D198" i="51"/>
  <c r="N178" i="51"/>
  <c r="M178" i="51"/>
  <c r="L178" i="51"/>
  <c r="K178" i="51"/>
  <c r="J178" i="51"/>
  <c r="I178" i="51"/>
  <c r="H178" i="51"/>
  <c r="G178" i="51"/>
  <c r="E173" i="51"/>
  <c r="D173" i="51"/>
  <c r="E172" i="51"/>
  <c r="D172" i="51"/>
  <c r="E171" i="51"/>
  <c r="D171" i="51"/>
  <c r="E170" i="51"/>
  <c r="D170" i="51"/>
  <c r="E169" i="51"/>
  <c r="D169" i="51"/>
  <c r="E166" i="51"/>
  <c r="D166" i="51"/>
  <c r="E165" i="51"/>
  <c r="D165" i="51"/>
  <c r="E164" i="51"/>
  <c r="D164" i="51"/>
  <c r="D161" i="51"/>
  <c r="D159" i="51"/>
  <c r="K158" i="51"/>
  <c r="N155" i="51"/>
  <c r="M155" i="51"/>
  <c r="L155" i="51"/>
  <c r="K155" i="51"/>
  <c r="J155" i="51"/>
  <c r="I155" i="51"/>
  <c r="H155" i="51"/>
  <c r="G155" i="51"/>
  <c r="N154" i="51"/>
  <c r="M154" i="51"/>
  <c r="L154" i="51"/>
  <c r="K154" i="51"/>
  <c r="K172" i="51" s="1"/>
  <c r="K193" i="51" s="1"/>
  <c r="K211" i="51" s="1"/>
  <c r="J154" i="51"/>
  <c r="I154" i="51"/>
  <c r="H154" i="51"/>
  <c r="G154" i="51"/>
  <c r="G172" i="51" s="1"/>
  <c r="G193" i="51" s="1"/>
  <c r="N153" i="51"/>
  <c r="M153" i="51"/>
  <c r="L153" i="51"/>
  <c r="K153" i="51"/>
  <c r="K171" i="51" s="1"/>
  <c r="K192" i="51" s="1"/>
  <c r="K210" i="51" s="1"/>
  <c r="J153" i="51"/>
  <c r="I153" i="51"/>
  <c r="H153" i="51"/>
  <c r="G153" i="51"/>
  <c r="G171" i="51" s="1"/>
  <c r="G192" i="51" s="1"/>
  <c r="N152" i="51"/>
  <c r="M152" i="51"/>
  <c r="L152" i="51"/>
  <c r="K152" i="51"/>
  <c r="K170" i="51" s="1"/>
  <c r="K191" i="51" s="1"/>
  <c r="K209" i="51" s="1"/>
  <c r="J152" i="51"/>
  <c r="I152" i="51"/>
  <c r="H152" i="51"/>
  <c r="G152" i="51"/>
  <c r="G170" i="51" s="1"/>
  <c r="G191" i="51" s="1"/>
  <c r="N151" i="51"/>
  <c r="M151" i="51"/>
  <c r="L151" i="51"/>
  <c r="K151" i="51"/>
  <c r="J151" i="51"/>
  <c r="I151" i="51"/>
  <c r="H151" i="51"/>
  <c r="G151" i="51"/>
  <c r="N148" i="51"/>
  <c r="N166" i="51" s="1"/>
  <c r="N187" i="51" s="1"/>
  <c r="N205" i="51" s="1"/>
  <c r="M148" i="51"/>
  <c r="L148" i="51"/>
  <c r="K148" i="51"/>
  <c r="K166" i="51" s="1"/>
  <c r="K187" i="51" s="1"/>
  <c r="K205" i="51" s="1"/>
  <c r="J148" i="51"/>
  <c r="J166" i="51" s="1"/>
  <c r="J187" i="51" s="1"/>
  <c r="J205" i="51" s="1"/>
  <c r="I148" i="51"/>
  <c r="H148" i="51"/>
  <c r="G148" i="51"/>
  <c r="G166" i="51" s="1"/>
  <c r="G187" i="51" s="1"/>
  <c r="N147" i="51"/>
  <c r="M147" i="51"/>
  <c r="L147" i="51"/>
  <c r="L165" i="51" s="1"/>
  <c r="L186" i="51" s="1"/>
  <c r="K147" i="51"/>
  <c r="K165" i="51" s="1"/>
  <c r="K186" i="51" s="1"/>
  <c r="K204" i="51" s="1"/>
  <c r="J147" i="51"/>
  <c r="I147" i="51"/>
  <c r="H147" i="51"/>
  <c r="G147" i="51"/>
  <c r="G165" i="51" s="1"/>
  <c r="G186" i="51" s="1"/>
  <c r="N146" i="51"/>
  <c r="M146" i="51"/>
  <c r="L146" i="51"/>
  <c r="K146" i="51"/>
  <c r="K164" i="51" s="1"/>
  <c r="K185" i="51" s="1"/>
  <c r="J146" i="51"/>
  <c r="I146" i="51"/>
  <c r="H146" i="51"/>
  <c r="G146" i="51"/>
  <c r="F146" i="51" s="1"/>
  <c r="N145" i="51"/>
  <c r="M145" i="51"/>
  <c r="L145" i="51"/>
  <c r="K145" i="51"/>
  <c r="J145" i="51"/>
  <c r="I145" i="51"/>
  <c r="H145" i="51"/>
  <c r="G145" i="51"/>
  <c r="N144" i="51"/>
  <c r="M144" i="51"/>
  <c r="L144" i="51"/>
  <c r="K144" i="51"/>
  <c r="J144" i="51"/>
  <c r="I144" i="51"/>
  <c r="H144" i="51"/>
  <c r="G144" i="51"/>
  <c r="L143" i="51"/>
  <c r="L160" i="51" s="1"/>
  <c r="K143" i="51"/>
  <c r="K160" i="51" s="1"/>
  <c r="K161" i="51" s="1"/>
  <c r="J143" i="51"/>
  <c r="I143" i="51"/>
  <c r="H143" i="51"/>
  <c r="H160" i="51" s="1"/>
  <c r="G143" i="51"/>
  <c r="G160" i="51" s="1"/>
  <c r="N142" i="51"/>
  <c r="L142" i="51"/>
  <c r="K142" i="51"/>
  <c r="J142" i="51"/>
  <c r="I142" i="51"/>
  <c r="I158" i="51" s="1"/>
  <c r="H142" i="51"/>
  <c r="G142" i="51"/>
  <c r="G158" i="51" s="1"/>
  <c r="G159" i="51" s="1"/>
  <c r="N139" i="51"/>
  <c r="M139" i="51"/>
  <c r="L139" i="51"/>
  <c r="K139" i="51"/>
  <c r="J139" i="51"/>
  <c r="I139" i="51"/>
  <c r="H139" i="51"/>
  <c r="G139" i="51"/>
  <c r="F136" i="51"/>
  <c r="F135" i="51"/>
  <c r="F134" i="51"/>
  <c r="F133" i="51"/>
  <c r="N132" i="51"/>
  <c r="N347" i="51" s="1"/>
  <c r="M132" i="51"/>
  <c r="L132" i="51"/>
  <c r="K132" i="51"/>
  <c r="J132" i="51"/>
  <c r="I132" i="51"/>
  <c r="H132" i="51"/>
  <c r="G132" i="51"/>
  <c r="N131" i="51"/>
  <c r="M131" i="51"/>
  <c r="L131" i="51"/>
  <c r="L194" i="51" s="1"/>
  <c r="K131" i="51"/>
  <c r="J131" i="51"/>
  <c r="J194" i="51" s="1"/>
  <c r="J214" i="51" s="1"/>
  <c r="I131" i="51"/>
  <c r="H131" i="51"/>
  <c r="G131" i="51"/>
  <c r="G194" i="51" s="1"/>
  <c r="G214" i="51" s="1"/>
  <c r="F130" i="51"/>
  <c r="F129" i="51"/>
  <c r="F128" i="51"/>
  <c r="F127" i="51"/>
  <c r="F126" i="51"/>
  <c r="F123" i="51"/>
  <c r="F122" i="51"/>
  <c r="F121" i="51"/>
  <c r="F120" i="51"/>
  <c r="F119" i="51"/>
  <c r="N118" i="51"/>
  <c r="N143" i="51" s="1"/>
  <c r="M118" i="51"/>
  <c r="M143" i="51" s="1"/>
  <c r="L118" i="51"/>
  <c r="K118" i="51"/>
  <c r="J118" i="51"/>
  <c r="I118" i="51"/>
  <c r="H118" i="51"/>
  <c r="G118" i="51"/>
  <c r="N117" i="51"/>
  <c r="M117" i="51"/>
  <c r="L117" i="51"/>
  <c r="L141" i="51" s="1"/>
  <c r="K117" i="51"/>
  <c r="K141" i="51" s="1"/>
  <c r="J117" i="51"/>
  <c r="I117" i="51"/>
  <c r="H117" i="51"/>
  <c r="G117" i="51"/>
  <c r="G141" i="51" s="1"/>
  <c r="N115" i="51"/>
  <c r="M115" i="51"/>
  <c r="L115" i="51"/>
  <c r="K115" i="51"/>
  <c r="J115" i="51"/>
  <c r="I115" i="51"/>
  <c r="H115" i="51"/>
  <c r="G115" i="51"/>
  <c r="N112" i="51"/>
  <c r="M112" i="51"/>
  <c r="L112" i="51"/>
  <c r="K112" i="51"/>
  <c r="J112" i="51"/>
  <c r="I112" i="51"/>
  <c r="H112" i="51"/>
  <c r="G112" i="51"/>
  <c r="M111" i="51"/>
  <c r="I111" i="51"/>
  <c r="N107" i="51"/>
  <c r="M107" i="51"/>
  <c r="L107" i="51"/>
  <c r="K107" i="51"/>
  <c r="J107" i="51"/>
  <c r="I107" i="51"/>
  <c r="H107" i="51"/>
  <c r="G107" i="51"/>
  <c r="N101" i="51"/>
  <c r="M101" i="51"/>
  <c r="L101" i="51"/>
  <c r="K101" i="51"/>
  <c r="J101" i="51"/>
  <c r="I101" i="51"/>
  <c r="H101" i="51"/>
  <c r="G101" i="51"/>
  <c r="F100" i="51"/>
  <c r="F99" i="51"/>
  <c r="F98" i="51"/>
  <c r="L97" i="51"/>
  <c r="L96" i="51" s="1"/>
  <c r="L91" i="51" s="1"/>
  <c r="K97" i="51"/>
  <c r="J97" i="51"/>
  <c r="J96" i="51" s="1"/>
  <c r="J91" i="51" s="1"/>
  <c r="I97" i="51"/>
  <c r="H97" i="51"/>
  <c r="H96" i="51" s="1"/>
  <c r="H91" i="51" s="1"/>
  <c r="G97" i="51"/>
  <c r="G96" i="51" s="1"/>
  <c r="K96" i="51"/>
  <c r="K91" i="51" s="1"/>
  <c r="I96" i="51"/>
  <c r="I91" i="51" s="1"/>
  <c r="N95" i="51"/>
  <c r="M95" i="51"/>
  <c r="L95" i="51"/>
  <c r="K95" i="51"/>
  <c r="J95" i="51"/>
  <c r="I95" i="51"/>
  <c r="H95" i="51"/>
  <c r="G95" i="51"/>
  <c r="N94" i="51"/>
  <c r="M94" i="51"/>
  <c r="L94" i="51"/>
  <c r="J94" i="51"/>
  <c r="I94" i="51"/>
  <c r="H94" i="51"/>
  <c r="F92" i="51"/>
  <c r="C84" i="51"/>
  <c r="F83" i="51"/>
  <c r="F298" i="51" s="1"/>
  <c r="F68" i="51"/>
  <c r="J61" i="51"/>
  <c r="I61" i="51"/>
  <c r="F58" i="51"/>
  <c r="F44" i="51"/>
  <c r="F43" i="51"/>
  <c r="F42" i="51"/>
  <c r="F41" i="51"/>
  <c r="N40" i="51"/>
  <c r="M40" i="51"/>
  <c r="L40" i="51"/>
  <c r="K40" i="51"/>
  <c r="J40" i="51"/>
  <c r="I40" i="51"/>
  <c r="H40" i="51"/>
  <c r="G40" i="51"/>
  <c r="N39" i="51"/>
  <c r="M39" i="51"/>
  <c r="L39" i="51"/>
  <c r="K39" i="51"/>
  <c r="J39" i="51"/>
  <c r="I39" i="51"/>
  <c r="H39" i="51"/>
  <c r="G39" i="51"/>
  <c r="F38" i="51"/>
  <c r="F37" i="51"/>
  <c r="F36" i="51"/>
  <c r="F35" i="51"/>
  <c r="F34" i="51"/>
  <c r="F31" i="51"/>
  <c r="F30" i="51"/>
  <c r="F29" i="51"/>
  <c r="F28" i="51"/>
  <c r="F27" i="51"/>
  <c r="F23" i="51"/>
  <c r="F22" i="51"/>
  <c r="F21" i="51"/>
  <c r="N17" i="51"/>
  <c r="M17" i="51"/>
  <c r="L17" i="51"/>
  <c r="K17" i="51"/>
  <c r="J17" i="51"/>
  <c r="I17" i="51"/>
  <c r="H17" i="51"/>
  <c r="G17" i="51"/>
  <c r="J16" i="51"/>
  <c r="I16" i="51"/>
  <c r="F13" i="51"/>
  <c r="N10" i="51"/>
  <c r="N304" i="51" s="1"/>
  <c r="M10" i="51"/>
  <c r="M304" i="51" s="1"/>
  <c r="L10" i="51"/>
  <c r="L304" i="51" s="1"/>
  <c r="L361" i="51" s="1"/>
  <c r="L379" i="51" s="1"/>
  <c r="K10" i="51"/>
  <c r="K304" i="51" s="1"/>
  <c r="J10" i="51"/>
  <c r="J304" i="51" s="1"/>
  <c r="J363" i="51" s="1"/>
  <c r="J381" i="51" s="1"/>
  <c r="I10" i="51"/>
  <c r="I304" i="51" s="1"/>
  <c r="H10" i="51"/>
  <c r="H304" i="51" s="1"/>
  <c r="G10" i="51"/>
  <c r="G304" i="51" s="1"/>
  <c r="N9" i="51"/>
  <c r="N26" i="51" s="1"/>
  <c r="M9" i="51"/>
  <c r="L9" i="51"/>
  <c r="L26" i="51" s="1"/>
  <c r="K9" i="51"/>
  <c r="K25" i="51" s="1"/>
  <c r="J9" i="51"/>
  <c r="J26" i="51" s="1"/>
  <c r="I9" i="51"/>
  <c r="H9" i="51"/>
  <c r="H26" i="51" s="1"/>
  <c r="G9" i="51"/>
  <c r="G26" i="51" s="1"/>
  <c r="N8" i="51"/>
  <c r="N300" i="51" s="1"/>
  <c r="M8" i="51"/>
  <c r="L8" i="51"/>
  <c r="L300" i="51" s="1"/>
  <c r="K8" i="51"/>
  <c r="H8" i="51"/>
  <c r="H300" i="51" s="1"/>
  <c r="G8" i="51"/>
  <c r="N3" i="51"/>
  <c r="M3" i="51"/>
  <c r="M302" i="51" s="1"/>
  <c r="L3" i="51"/>
  <c r="K3" i="51"/>
  <c r="K302" i="51" s="1"/>
  <c r="J3" i="51"/>
  <c r="I3" i="51"/>
  <c r="I302" i="51" s="1"/>
  <c r="H3" i="51"/>
  <c r="G3" i="51"/>
  <c r="G302" i="51" s="1"/>
  <c r="L200" i="50"/>
  <c r="L192" i="50" s="1"/>
  <c r="K200" i="50"/>
  <c r="J200" i="50"/>
  <c r="J192" i="50" s="1"/>
  <c r="I200" i="50"/>
  <c r="I192" i="50" s="1"/>
  <c r="H200" i="50"/>
  <c r="G200" i="50"/>
  <c r="K192" i="50"/>
  <c r="H192" i="50"/>
  <c r="G192" i="50"/>
  <c r="L183" i="50"/>
  <c r="K183" i="50"/>
  <c r="J183" i="50"/>
  <c r="I183" i="50"/>
  <c r="H183" i="50"/>
  <c r="G183" i="50"/>
  <c r="L174" i="50"/>
  <c r="K174" i="50"/>
  <c r="J174" i="50"/>
  <c r="I174" i="50"/>
  <c r="H174" i="50"/>
  <c r="G174" i="50"/>
  <c r="E162" i="50"/>
  <c r="E161" i="50"/>
  <c r="E160" i="50"/>
  <c r="E144" i="50"/>
  <c r="E147" i="50" s="1"/>
  <c r="E157" i="50" s="1"/>
  <c r="E143" i="50"/>
  <c r="E146" i="50" s="1"/>
  <c r="E156" i="50" s="1"/>
  <c r="L138" i="50"/>
  <c r="K138" i="50"/>
  <c r="J138" i="50"/>
  <c r="I138" i="50"/>
  <c r="H138" i="50"/>
  <c r="G138" i="50"/>
  <c r="E132" i="50"/>
  <c r="F130" i="50"/>
  <c r="E129" i="50"/>
  <c r="L128" i="50"/>
  <c r="E128" i="50"/>
  <c r="E127" i="50"/>
  <c r="H124" i="50"/>
  <c r="E124" i="50"/>
  <c r="C124" i="50"/>
  <c r="E123" i="50"/>
  <c r="C123" i="50"/>
  <c r="E122" i="50"/>
  <c r="C122" i="50"/>
  <c r="K121" i="50"/>
  <c r="E121" i="50"/>
  <c r="C121" i="50"/>
  <c r="E120" i="50"/>
  <c r="C120" i="50"/>
  <c r="E119" i="50"/>
  <c r="C119" i="50"/>
  <c r="L109" i="50"/>
  <c r="L129" i="50" s="1"/>
  <c r="K109" i="50"/>
  <c r="K129" i="50" s="1"/>
  <c r="J109" i="50"/>
  <c r="J129" i="50" s="1"/>
  <c r="I109" i="50"/>
  <c r="I129" i="50" s="1"/>
  <c r="H109" i="50"/>
  <c r="H129" i="50" s="1"/>
  <c r="G109" i="50"/>
  <c r="L108" i="50"/>
  <c r="K108" i="50"/>
  <c r="K128" i="50" s="1"/>
  <c r="J108" i="50"/>
  <c r="J128" i="50" s="1"/>
  <c r="I108" i="50"/>
  <c r="I128" i="50" s="1"/>
  <c r="H108" i="50"/>
  <c r="H128" i="50" s="1"/>
  <c r="G108" i="50"/>
  <c r="L107" i="50"/>
  <c r="L127" i="50" s="1"/>
  <c r="K107" i="50"/>
  <c r="K127" i="50" s="1"/>
  <c r="J107" i="50"/>
  <c r="J127" i="50" s="1"/>
  <c r="I107" i="50"/>
  <c r="I127" i="50" s="1"/>
  <c r="H107" i="50"/>
  <c r="F107" i="50" s="1"/>
  <c r="F127" i="50" s="1"/>
  <c r="G107" i="50"/>
  <c r="L104" i="50"/>
  <c r="L124" i="50" s="1"/>
  <c r="K104" i="50"/>
  <c r="J104" i="50"/>
  <c r="J70" i="50" s="1"/>
  <c r="I104" i="50"/>
  <c r="I124" i="50" s="1"/>
  <c r="H104" i="50"/>
  <c r="L103" i="50"/>
  <c r="L123" i="50" s="1"/>
  <c r="K103" i="50"/>
  <c r="K123" i="50" s="1"/>
  <c r="J103" i="50"/>
  <c r="I103" i="50"/>
  <c r="I123" i="50" s="1"/>
  <c r="H103" i="50"/>
  <c r="H123" i="50" s="1"/>
  <c r="F103" i="50"/>
  <c r="L102" i="50"/>
  <c r="L68" i="50" s="1"/>
  <c r="K102" i="50"/>
  <c r="K122" i="50" s="1"/>
  <c r="J102" i="50"/>
  <c r="J122" i="50" s="1"/>
  <c r="I102" i="50"/>
  <c r="H102" i="50"/>
  <c r="H122" i="50" s="1"/>
  <c r="L101" i="50"/>
  <c r="K101" i="50"/>
  <c r="J101" i="50"/>
  <c r="J121" i="50" s="1"/>
  <c r="I101" i="50"/>
  <c r="I121" i="50" s="1"/>
  <c r="H101" i="50"/>
  <c r="L100" i="50"/>
  <c r="L120" i="50" s="1"/>
  <c r="K100" i="50"/>
  <c r="J100" i="50"/>
  <c r="J120" i="50" s="1"/>
  <c r="I100" i="50"/>
  <c r="I120" i="50" s="1"/>
  <c r="H100" i="50"/>
  <c r="H120" i="50" s="1"/>
  <c r="L97" i="50"/>
  <c r="L92" i="50"/>
  <c r="K92" i="50"/>
  <c r="J92" i="50"/>
  <c r="I92" i="50"/>
  <c r="H92" i="50"/>
  <c r="G92" i="50"/>
  <c r="E87" i="50"/>
  <c r="D87" i="50"/>
  <c r="E86" i="50"/>
  <c r="D86" i="50"/>
  <c r="L86" i="50" s="1"/>
  <c r="E85" i="50"/>
  <c r="D85" i="50"/>
  <c r="G85" i="50" s="1"/>
  <c r="D79" i="50"/>
  <c r="D77" i="50"/>
  <c r="L76" i="50"/>
  <c r="K76" i="50"/>
  <c r="J76" i="50"/>
  <c r="I76" i="50"/>
  <c r="H76" i="50"/>
  <c r="G76" i="50"/>
  <c r="L70" i="50"/>
  <c r="I70" i="50"/>
  <c r="H70" i="50"/>
  <c r="I69" i="50"/>
  <c r="H69" i="50"/>
  <c r="K68" i="50"/>
  <c r="J68" i="50"/>
  <c r="K67" i="50"/>
  <c r="I67" i="50"/>
  <c r="I66" i="50"/>
  <c r="H66" i="50"/>
  <c r="H64" i="50"/>
  <c r="H77" i="50" s="1"/>
  <c r="L61" i="50"/>
  <c r="K61" i="50"/>
  <c r="J61" i="50"/>
  <c r="I61" i="50"/>
  <c r="H61" i="50"/>
  <c r="G61" i="50"/>
  <c r="L58" i="50"/>
  <c r="L150" i="50" s="1"/>
  <c r="K58" i="50"/>
  <c r="K150" i="50" s="1"/>
  <c r="J58" i="50"/>
  <c r="J150" i="50" s="1"/>
  <c r="J160" i="50" s="1"/>
  <c r="I58" i="50"/>
  <c r="I150" i="50" s="1"/>
  <c r="H58" i="50"/>
  <c r="G58" i="50"/>
  <c r="G150" i="50" s="1"/>
  <c r="L57" i="50"/>
  <c r="K57" i="50"/>
  <c r="J57" i="50"/>
  <c r="I57" i="50"/>
  <c r="H57" i="50"/>
  <c r="G57" i="50"/>
  <c r="F56" i="50"/>
  <c r="L55" i="50"/>
  <c r="K55" i="50"/>
  <c r="J55" i="50"/>
  <c r="I55" i="50"/>
  <c r="H55" i="50"/>
  <c r="G55" i="50"/>
  <c r="L54" i="50"/>
  <c r="K54" i="50"/>
  <c r="J54" i="50"/>
  <c r="I54" i="50"/>
  <c r="F54" i="50" s="1"/>
  <c r="H54" i="50"/>
  <c r="G54" i="50"/>
  <c r="L53" i="50"/>
  <c r="K53" i="50"/>
  <c r="K73" i="50" s="1"/>
  <c r="K87" i="50" s="1"/>
  <c r="J53" i="50"/>
  <c r="I53" i="50"/>
  <c r="H53" i="50"/>
  <c r="G53" i="50"/>
  <c r="G73" i="50" s="1"/>
  <c r="F52" i="50"/>
  <c r="F51" i="50"/>
  <c r="F50" i="50"/>
  <c r="F49" i="50"/>
  <c r="F48" i="50"/>
  <c r="F47" i="50"/>
  <c r="F46" i="50"/>
  <c r="F104" i="50" s="1"/>
  <c r="G104" i="50" s="1"/>
  <c r="G70" i="50" s="1"/>
  <c r="F45" i="50"/>
  <c r="F44" i="50"/>
  <c r="F43" i="50"/>
  <c r="F42" i="50"/>
  <c r="F100" i="50" s="1"/>
  <c r="G100" i="50" s="1"/>
  <c r="G66" i="50" s="1"/>
  <c r="L39" i="50"/>
  <c r="K39" i="50"/>
  <c r="K97" i="50" s="1"/>
  <c r="J39" i="50"/>
  <c r="J97" i="50" s="1"/>
  <c r="I39" i="50"/>
  <c r="I97" i="50" s="1"/>
  <c r="H39" i="50"/>
  <c r="H97" i="50" s="1"/>
  <c r="G39" i="50"/>
  <c r="G97" i="50" s="1"/>
  <c r="L38" i="50"/>
  <c r="K38" i="50"/>
  <c r="K96" i="50" s="1"/>
  <c r="J38" i="50"/>
  <c r="I38" i="50"/>
  <c r="I65" i="50" s="1"/>
  <c r="H38" i="50"/>
  <c r="G38" i="50"/>
  <c r="G65" i="50" s="1"/>
  <c r="L37" i="50"/>
  <c r="L64" i="50" s="1"/>
  <c r="K37" i="50"/>
  <c r="J37" i="50"/>
  <c r="J64" i="50" s="1"/>
  <c r="J77" i="50" s="1"/>
  <c r="I37" i="50"/>
  <c r="I95" i="50" s="1"/>
  <c r="I112" i="50" s="1"/>
  <c r="H37" i="50"/>
  <c r="G37" i="50"/>
  <c r="L35" i="50"/>
  <c r="K35" i="50"/>
  <c r="J35" i="50"/>
  <c r="I35" i="50"/>
  <c r="H35" i="50"/>
  <c r="G35" i="50"/>
  <c r="F19" i="50"/>
  <c r="F18" i="50"/>
  <c r="F17" i="50"/>
  <c r="F16" i="50"/>
  <c r="F15" i="50"/>
  <c r="F14" i="50"/>
  <c r="F13" i="50"/>
  <c r="F10" i="50"/>
  <c r="N202" i="49"/>
  <c r="M202" i="49"/>
  <c r="L202" i="49"/>
  <c r="K202" i="49"/>
  <c r="J202" i="49"/>
  <c r="I202" i="49"/>
  <c r="H202" i="49"/>
  <c r="H194" i="49" s="1"/>
  <c r="N194" i="49"/>
  <c r="M194" i="49"/>
  <c r="L194" i="49"/>
  <c r="K194" i="49"/>
  <c r="J194" i="49"/>
  <c r="I194" i="49"/>
  <c r="N185" i="49"/>
  <c r="M185" i="49"/>
  <c r="L185" i="49"/>
  <c r="K185" i="49"/>
  <c r="J185" i="49"/>
  <c r="I185" i="49"/>
  <c r="H185" i="49"/>
  <c r="N176" i="49"/>
  <c r="M176" i="49"/>
  <c r="L176" i="49"/>
  <c r="K176" i="49"/>
  <c r="J176" i="49"/>
  <c r="I176" i="49"/>
  <c r="H176" i="49"/>
  <c r="F163" i="49"/>
  <c r="E162" i="49"/>
  <c r="E161" i="49"/>
  <c r="E160" i="49"/>
  <c r="D160" i="49"/>
  <c r="C160" i="49"/>
  <c r="D157" i="49"/>
  <c r="D156" i="49"/>
  <c r="D155" i="49"/>
  <c r="N150" i="49"/>
  <c r="N160" i="49" s="1"/>
  <c r="N30" i="49" s="1"/>
  <c r="M150" i="49"/>
  <c r="M160" i="49" s="1"/>
  <c r="M30" i="49" s="1"/>
  <c r="L150" i="49"/>
  <c r="L160" i="49" s="1"/>
  <c r="L30" i="49" s="1"/>
  <c r="K150" i="49"/>
  <c r="K13" i="49" s="1"/>
  <c r="J150" i="49"/>
  <c r="J160" i="49" s="1"/>
  <c r="J30" i="49" s="1"/>
  <c r="I150" i="49"/>
  <c r="I160" i="49" s="1"/>
  <c r="I30" i="49" s="1"/>
  <c r="H150" i="49"/>
  <c r="G150" i="49"/>
  <c r="C150" i="49"/>
  <c r="E144" i="49"/>
  <c r="E147" i="49" s="1"/>
  <c r="E157" i="49" s="1"/>
  <c r="E143" i="49"/>
  <c r="E146" i="49" s="1"/>
  <c r="E156" i="49" s="1"/>
  <c r="N141" i="49"/>
  <c r="M141" i="49"/>
  <c r="L141" i="49"/>
  <c r="K141" i="49"/>
  <c r="J141" i="49"/>
  <c r="I141" i="49"/>
  <c r="H141" i="49"/>
  <c r="G141" i="49"/>
  <c r="N138" i="49"/>
  <c r="M138" i="49"/>
  <c r="L138" i="49"/>
  <c r="K138" i="49"/>
  <c r="J138" i="49"/>
  <c r="I138" i="49"/>
  <c r="H138" i="49"/>
  <c r="G138" i="49"/>
  <c r="E133" i="49"/>
  <c r="D133" i="49"/>
  <c r="F132" i="49"/>
  <c r="F131" i="49"/>
  <c r="E130" i="49"/>
  <c r="D130" i="49"/>
  <c r="E129" i="49"/>
  <c r="D129" i="49"/>
  <c r="E128" i="49"/>
  <c r="D128" i="49"/>
  <c r="E127" i="49"/>
  <c r="D127" i="49"/>
  <c r="E124" i="49"/>
  <c r="D124" i="49"/>
  <c r="E123" i="49"/>
  <c r="D123" i="49"/>
  <c r="E122" i="49"/>
  <c r="D122" i="49"/>
  <c r="D121" i="49"/>
  <c r="D120" i="49"/>
  <c r="D119" i="49"/>
  <c r="D117" i="49"/>
  <c r="N97" i="49"/>
  <c r="M97" i="49"/>
  <c r="L97" i="49"/>
  <c r="K97" i="49"/>
  <c r="J97" i="49"/>
  <c r="I97" i="49"/>
  <c r="H97" i="49"/>
  <c r="G97" i="49"/>
  <c r="E92" i="49"/>
  <c r="D92" i="49"/>
  <c r="E91" i="49"/>
  <c r="D91" i="49"/>
  <c r="E90" i="49"/>
  <c r="D90" i="49"/>
  <c r="E89" i="49"/>
  <c r="D89" i="49"/>
  <c r="E88" i="49"/>
  <c r="D88" i="49"/>
  <c r="E85" i="49"/>
  <c r="D85" i="49"/>
  <c r="E84" i="49"/>
  <c r="D84" i="49"/>
  <c r="E83" i="49"/>
  <c r="D83" i="49"/>
  <c r="D80" i="49"/>
  <c r="D78" i="49"/>
  <c r="N74" i="49"/>
  <c r="M74" i="49"/>
  <c r="L74" i="49"/>
  <c r="K74" i="49"/>
  <c r="J74" i="49"/>
  <c r="I74" i="49"/>
  <c r="H74" i="49"/>
  <c r="G74" i="49"/>
  <c r="N73" i="49"/>
  <c r="M73" i="49"/>
  <c r="M91" i="49" s="1"/>
  <c r="M112" i="49" s="1"/>
  <c r="M130" i="49" s="1"/>
  <c r="L73" i="49"/>
  <c r="K73" i="49"/>
  <c r="J73" i="49"/>
  <c r="J91" i="49" s="1"/>
  <c r="J112" i="49" s="1"/>
  <c r="J130" i="49" s="1"/>
  <c r="I73" i="49"/>
  <c r="I91" i="49" s="1"/>
  <c r="I112" i="49" s="1"/>
  <c r="I130" i="49" s="1"/>
  <c r="H73" i="49"/>
  <c r="G73" i="49"/>
  <c r="N72" i="49"/>
  <c r="M72" i="49"/>
  <c r="L72" i="49"/>
  <c r="K72" i="49"/>
  <c r="J72" i="49"/>
  <c r="I72" i="49"/>
  <c r="H72" i="49"/>
  <c r="G72" i="49"/>
  <c r="N71" i="49"/>
  <c r="N89" i="49" s="1"/>
  <c r="N110" i="49" s="1"/>
  <c r="N128" i="49" s="1"/>
  <c r="M71" i="49"/>
  <c r="L71" i="49"/>
  <c r="L89" i="49" s="1"/>
  <c r="L110" i="49" s="1"/>
  <c r="L128" i="49" s="1"/>
  <c r="K71" i="49"/>
  <c r="J71" i="49"/>
  <c r="J89" i="49" s="1"/>
  <c r="J110" i="49" s="1"/>
  <c r="J128" i="49" s="1"/>
  <c r="I71" i="49"/>
  <c r="H71" i="49"/>
  <c r="G71" i="49"/>
  <c r="N70" i="49"/>
  <c r="M70" i="49"/>
  <c r="L70" i="49"/>
  <c r="K70" i="49"/>
  <c r="K88" i="49" s="1"/>
  <c r="K109" i="49" s="1"/>
  <c r="K127" i="49" s="1"/>
  <c r="J70" i="49"/>
  <c r="I70" i="49"/>
  <c r="H70" i="49"/>
  <c r="G70" i="49"/>
  <c r="G88" i="49" s="1"/>
  <c r="G109" i="49" s="1"/>
  <c r="N67" i="49"/>
  <c r="N85" i="49" s="1"/>
  <c r="N106" i="49" s="1"/>
  <c r="M67" i="49"/>
  <c r="L67" i="49"/>
  <c r="K67" i="49"/>
  <c r="J67" i="49"/>
  <c r="J85" i="49" s="1"/>
  <c r="J106" i="49" s="1"/>
  <c r="J124" i="49" s="1"/>
  <c r="I67" i="49"/>
  <c r="H67" i="49"/>
  <c r="G67" i="49"/>
  <c r="N66" i="49"/>
  <c r="M66" i="49"/>
  <c r="L66" i="49"/>
  <c r="K66" i="49"/>
  <c r="K84" i="49" s="1"/>
  <c r="K105" i="49" s="1"/>
  <c r="K123" i="49" s="1"/>
  <c r="J66" i="49"/>
  <c r="I66" i="49"/>
  <c r="H66" i="49"/>
  <c r="G66" i="49"/>
  <c r="N65" i="49"/>
  <c r="M65" i="49"/>
  <c r="L65" i="49"/>
  <c r="L83" i="49" s="1"/>
  <c r="L104" i="49" s="1"/>
  <c r="K65" i="49"/>
  <c r="K83" i="49" s="1"/>
  <c r="K104" i="49" s="1"/>
  <c r="J65" i="49"/>
  <c r="I65" i="49"/>
  <c r="H65" i="49"/>
  <c r="G65" i="49"/>
  <c r="G83" i="49" s="1"/>
  <c r="G104" i="49" s="1"/>
  <c r="N64" i="49"/>
  <c r="M64" i="49"/>
  <c r="L64" i="49"/>
  <c r="K64" i="49"/>
  <c r="J64" i="49"/>
  <c r="I64" i="49"/>
  <c r="H64" i="49"/>
  <c r="G64" i="49"/>
  <c r="N63" i="49"/>
  <c r="M63" i="49"/>
  <c r="L63" i="49"/>
  <c r="K63" i="49"/>
  <c r="J63" i="49"/>
  <c r="I63" i="49"/>
  <c r="H63" i="49"/>
  <c r="G63" i="49"/>
  <c r="J61" i="49"/>
  <c r="N58" i="49"/>
  <c r="M58" i="49"/>
  <c r="L58" i="49"/>
  <c r="K58" i="49"/>
  <c r="J58" i="49"/>
  <c r="I58" i="49"/>
  <c r="H58" i="49"/>
  <c r="G58" i="49"/>
  <c r="F55" i="49"/>
  <c r="F54" i="49"/>
  <c r="F53" i="49"/>
  <c r="F52" i="49"/>
  <c r="N51" i="49"/>
  <c r="M51" i="49"/>
  <c r="L51" i="49"/>
  <c r="K51" i="49"/>
  <c r="J51" i="49"/>
  <c r="I51" i="49"/>
  <c r="H51" i="49"/>
  <c r="G51" i="49"/>
  <c r="N50" i="49"/>
  <c r="N113" i="49" s="1"/>
  <c r="N133" i="49" s="1"/>
  <c r="M50" i="49"/>
  <c r="M113" i="49" s="1"/>
  <c r="M133" i="49" s="1"/>
  <c r="L50" i="49"/>
  <c r="L113" i="49" s="1"/>
  <c r="K50" i="49"/>
  <c r="K113" i="49" s="1"/>
  <c r="K133" i="49" s="1"/>
  <c r="J50" i="49"/>
  <c r="J113" i="49" s="1"/>
  <c r="J133" i="49" s="1"/>
  <c r="I50" i="49"/>
  <c r="I113" i="49" s="1"/>
  <c r="I133" i="49" s="1"/>
  <c r="H50" i="49"/>
  <c r="H113" i="49" s="1"/>
  <c r="G50" i="49"/>
  <c r="F49" i="49"/>
  <c r="F48" i="49"/>
  <c r="F47" i="49"/>
  <c r="F46" i="49"/>
  <c r="F45" i="49"/>
  <c r="F42" i="49"/>
  <c r="F41" i="49"/>
  <c r="F40" i="49"/>
  <c r="F39" i="49"/>
  <c r="F38" i="49"/>
  <c r="N37" i="49"/>
  <c r="M37" i="49"/>
  <c r="M62" i="49" s="1"/>
  <c r="M79" i="49" s="1"/>
  <c r="M80" i="49" s="1"/>
  <c r="L37" i="49"/>
  <c r="L62" i="49" s="1"/>
  <c r="K37" i="49"/>
  <c r="K62" i="49" s="1"/>
  <c r="K79" i="49" s="1"/>
  <c r="K82" i="49" s="1"/>
  <c r="K103" i="49" s="1"/>
  <c r="J37" i="49"/>
  <c r="I37" i="49"/>
  <c r="I62" i="49" s="1"/>
  <c r="I79" i="49" s="1"/>
  <c r="I80" i="49" s="1"/>
  <c r="H37" i="49"/>
  <c r="H62" i="49" s="1"/>
  <c r="N36" i="49"/>
  <c r="N61" i="49" s="1"/>
  <c r="M36" i="49"/>
  <c r="M60" i="49" s="1"/>
  <c r="L36" i="49"/>
  <c r="L60" i="49" s="1"/>
  <c r="K36" i="49"/>
  <c r="J36" i="49"/>
  <c r="I36" i="49"/>
  <c r="I60" i="49" s="1"/>
  <c r="H36" i="49"/>
  <c r="H60" i="49" s="1"/>
  <c r="G36" i="49"/>
  <c r="N34" i="49"/>
  <c r="M34" i="49"/>
  <c r="L34" i="49"/>
  <c r="K34" i="49"/>
  <c r="J34" i="49"/>
  <c r="I34" i="49"/>
  <c r="H34" i="49"/>
  <c r="G34" i="49"/>
  <c r="N31" i="49"/>
  <c r="M31" i="49"/>
  <c r="L31" i="49"/>
  <c r="K31" i="49"/>
  <c r="J31" i="49"/>
  <c r="I31" i="49"/>
  <c r="H31" i="49"/>
  <c r="G31" i="49"/>
  <c r="N26" i="49"/>
  <c r="M26" i="49"/>
  <c r="L26" i="49"/>
  <c r="K26" i="49"/>
  <c r="J26" i="49"/>
  <c r="I26" i="49"/>
  <c r="H26" i="49"/>
  <c r="G26" i="49"/>
  <c r="N20" i="49"/>
  <c r="M20" i="49"/>
  <c r="L20" i="49"/>
  <c r="K20" i="49"/>
  <c r="J20" i="49"/>
  <c r="I20" i="49"/>
  <c r="H20" i="49"/>
  <c r="G20" i="49"/>
  <c r="F19" i="49"/>
  <c r="F18" i="49"/>
  <c r="N14" i="49"/>
  <c r="M14" i="49"/>
  <c r="L14" i="49"/>
  <c r="K14" i="49"/>
  <c r="J14" i="49"/>
  <c r="I14" i="49"/>
  <c r="H14" i="49"/>
  <c r="G14" i="49"/>
  <c r="N13" i="49"/>
  <c r="M13" i="49"/>
  <c r="G13" i="49"/>
  <c r="O8" i="49"/>
  <c r="F64" i="49" l="1"/>
  <c r="F51" i="49"/>
  <c r="J88" i="49"/>
  <c r="J109" i="49" s="1"/>
  <c r="J127" i="49" s="1"/>
  <c r="J90" i="49"/>
  <c r="J111" i="49" s="1"/>
  <c r="J129" i="49" s="1"/>
  <c r="H89" i="49"/>
  <c r="H110" i="49" s="1"/>
  <c r="H128" i="49" s="1"/>
  <c r="J67" i="50"/>
  <c r="K85" i="50"/>
  <c r="K162" i="51"/>
  <c r="K183" i="51" s="1"/>
  <c r="J164" i="51"/>
  <c r="J185" i="51" s="1"/>
  <c r="J165" i="51"/>
  <c r="J186" i="51" s="1"/>
  <c r="J204" i="51" s="1"/>
  <c r="J169" i="51"/>
  <c r="J190" i="51" s="1"/>
  <c r="J208" i="51" s="1"/>
  <c r="J170" i="51"/>
  <c r="J191" i="51" s="1"/>
  <c r="J171" i="51"/>
  <c r="J192" i="51" s="1"/>
  <c r="J210" i="51" s="1"/>
  <c r="G161" i="51"/>
  <c r="F337" i="51"/>
  <c r="I90" i="49"/>
  <c r="I111" i="49" s="1"/>
  <c r="I129" i="49" s="1"/>
  <c r="I86" i="50"/>
  <c r="L65" i="51"/>
  <c r="L164" i="51"/>
  <c r="L185" i="51" s="1"/>
  <c r="L203" i="51" s="1"/>
  <c r="L204" i="51"/>
  <c r="H309" i="51"/>
  <c r="J327" i="51"/>
  <c r="F327" i="51"/>
  <c r="M84" i="49"/>
  <c r="M105" i="49" s="1"/>
  <c r="M123" i="49" s="1"/>
  <c r="M90" i="49"/>
  <c r="M111" i="49" s="1"/>
  <c r="M129" i="49" s="1"/>
  <c r="M92" i="49"/>
  <c r="L160" i="50"/>
  <c r="J86" i="50"/>
  <c r="F101" i="51"/>
  <c r="M165" i="51"/>
  <c r="M186" i="51" s="1"/>
  <c r="M204" i="51" s="1"/>
  <c r="M171" i="51"/>
  <c r="M192" i="51" s="1"/>
  <c r="M210" i="51" s="1"/>
  <c r="M173" i="51"/>
  <c r="I309" i="51"/>
  <c r="N88" i="49"/>
  <c r="N109" i="49" s="1"/>
  <c r="N127" i="49" s="1"/>
  <c r="N90" i="49"/>
  <c r="N111" i="49" s="1"/>
  <c r="N129" i="49" s="1"/>
  <c r="L77" i="50"/>
  <c r="L20" i="51"/>
  <c r="L14" i="51" s="1"/>
  <c r="L12" i="51" s="1"/>
  <c r="F39" i="51"/>
  <c r="K94" i="51"/>
  <c r="N164" i="51"/>
  <c r="N185" i="51" s="1"/>
  <c r="N165" i="51"/>
  <c r="N186" i="51" s="1"/>
  <c r="N204" i="51" s="1"/>
  <c r="N169" i="51"/>
  <c r="N190" i="51" s="1"/>
  <c r="N208" i="51" s="1"/>
  <c r="N170" i="51"/>
  <c r="N191" i="51" s="1"/>
  <c r="N209" i="51" s="1"/>
  <c r="N171" i="51"/>
  <c r="N192" i="51" s="1"/>
  <c r="N210" i="51" s="1"/>
  <c r="J309" i="51"/>
  <c r="N437" i="51"/>
  <c r="G103" i="50"/>
  <c r="G69" i="50" s="1"/>
  <c r="G164" i="51"/>
  <c r="G185" i="51" s="1"/>
  <c r="I13" i="49"/>
  <c r="F26" i="49"/>
  <c r="K92" i="49"/>
  <c r="K160" i="49"/>
  <c r="K30" i="49" s="1"/>
  <c r="L66" i="50"/>
  <c r="K69" i="50"/>
  <c r="J85" i="50"/>
  <c r="H164" i="51"/>
  <c r="H185" i="51" s="1"/>
  <c r="H165" i="51"/>
  <c r="H186" i="51" s="1"/>
  <c r="H170" i="51"/>
  <c r="H191" i="51" s="1"/>
  <c r="H209" i="51" s="1"/>
  <c r="L309" i="51"/>
  <c r="F314" i="51"/>
  <c r="F63" i="49"/>
  <c r="I84" i="49"/>
  <c r="I105" i="49" s="1"/>
  <c r="I123" i="49" s="1"/>
  <c r="I92" i="49"/>
  <c r="L69" i="50"/>
  <c r="I165" i="51"/>
  <c r="I186" i="51" s="1"/>
  <c r="I204" i="51" s="1"/>
  <c r="F152" i="51"/>
  <c r="I171" i="51"/>
  <c r="I192" i="51" s="1"/>
  <c r="I210" i="51" s="1"/>
  <c r="I173" i="51"/>
  <c r="M309" i="51"/>
  <c r="G327" i="51"/>
  <c r="F343" i="51"/>
  <c r="F351" i="51"/>
  <c r="F322" i="51"/>
  <c r="L84" i="49"/>
  <c r="L105" i="49" s="1"/>
  <c r="L123" i="49" s="1"/>
  <c r="K89" i="49"/>
  <c r="K110" i="49" s="1"/>
  <c r="K128" i="49" s="1"/>
  <c r="J95" i="50"/>
  <c r="L122" i="50"/>
  <c r="J124" i="50"/>
  <c r="N65" i="51"/>
  <c r="G162" i="51"/>
  <c r="G183" i="51" s="1"/>
  <c r="H61" i="49"/>
  <c r="F67" i="49"/>
  <c r="F85" i="49" s="1"/>
  <c r="H84" i="49"/>
  <c r="H105" i="49" s="1"/>
  <c r="H123" i="49" s="1"/>
  <c r="K85" i="49"/>
  <c r="K106" i="49" s="1"/>
  <c r="K124" i="49" s="1"/>
  <c r="G89" i="49"/>
  <c r="G110" i="49" s="1"/>
  <c r="K90" i="49"/>
  <c r="K111" i="49" s="1"/>
  <c r="K129" i="49" s="1"/>
  <c r="N91" i="49"/>
  <c r="N112" i="49" s="1"/>
  <c r="N130" i="49" s="1"/>
  <c r="N92" i="49"/>
  <c r="J13" i="49"/>
  <c r="F20" i="49"/>
  <c r="H133" i="49"/>
  <c r="L133" i="49"/>
  <c r="L61" i="49"/>
  <c r="H85" i="49"/>
  <c r="H106" i="49" s="1"/>
  <c r="H124" i="49" s="1"/>
  <c r="L85" i="49"/>
  <c r="L106" i="49" s="1"/>
  <c r="L124" i="49" s="1"/>
  <c r="H88" i="49"/>
  <c r="H109" i="49" s="1"/>
  <c r="H127" i="49" s="1"/>
  <c r="L88" i="49"/>
  <c r="L109" i="49" s="1"/>
  <c r="L127" i="49" s="1"/>
  <c r="F71" i="49"/>
  <c r="H90" i="49"/>
  <c r="H111" i="49" s="1"/>
  <c r="H129" i="49" s="1"/>
  <c r="L90" i="49"/>
  <c r="L111" i="49" s="1"/>
  <c r="L129" i="49" s="1"/>
  <c r="G91" i="49"/>
  <c r="G112" i="49" s="1"/>
  <c r="K91" i="49"/>
  <c r="K112" i="49" s="1"/>
  <c r="K130" i="49" s="1"/>
  <c r="G92" i="49"/>
  <c r="F150" i="49"/>
  <c r="J110" i="50"/>
  <c r="J132" i="50" s="1"/>
  <c r="K65" i="50"/>
  <c r="J66" i="50"/>
  <c r="G96" i="50"/>
  <c r="I160" i="50"/>
  <c r="N20" i="51"/>
  <c r="N14" i="51" s="1"/>
  <c r="N12" i="51" s="1"/>
  <c r="J25" i="51"/>
  <c r="J332" i="51" s="1"/>
  <c r="J356" i="51" s="1"/>
  <c r="L214" i="51"/>
  <c r="L347" i="51"/>
  <c r="K169" i="51"/>
  <c r="K190" i="51" s="1"/>
  <c r="K208" i="51" s="1"/>
  <c r="J209" i="51"/>
  <c r="J172" i="51"/>
  <c r="J193" i="51" s="1"/>
  <c r="J211" i="51" s="1"/>
  <c r="N172" i="51"/>
  <c r="N193" i="51" s="1"/>
  <c r="N211" i="51" s="1"/>
  <c r="M164" i="51"/>
  <c r="M185" i="51" s="1"/>
  <c r="M203" i="51" s="1"/>
  <c r="M170" i="51"/>
  <c r="M191" i="51" s="1"/>
  <c r="M209" i="51" s="1"/>
  <c r="F65" i="49"/>
  <c r="F83" i="49" s="1"/>
  <c r="G85" i="49"/>
  <c r="G106" i="49" s="1"/>
  <c r="F73" i="49"/>
  <c r="F91" i="49" s="1"/>
  <c r="J92" i="49"/>
  <c r="J83" i="49"/>
  <c r="J104" i="49" s="1"/>
  <c r="J122" i="49" s="1"/>
  <c r="N83" i="49"/>
  <c r="N104" i="49" s="1"/>
  <c r="N122" i="49" s="1"/>
  <c r="J84" i="49"/>
  <c r="J105" i="49" s="1"/>
  <c r="J123" i="49" s="1"/>
  <c r="J25" i="49" s="1"/>
  <c r="N84" i="49"/>
  <c r="N105" i="49" s="1"/>
  <c r="N123" i="49" s="1"/>
  <c r="I85" i="49"/>
  <c r="I106" i="49" s="1"/>
  <c r="I124" i="49" s="1"/>
  <c r="M85" i="49"/>
  <c r="M106" i="49" s="1"/>
  <c r="M124" i="49" s="1"/>
  <c r="I88" i="49"/>
  <c r="I109" i="49" s="1"/>
  <c r="I127" i="49" s="1"/>
  <c r="M88" i="49"/>
  <c r="M109" i="49" s="1"/>
  <c r="M127" i="49" s="1"/>
  <c r="I89" i="49"/>
  <c r="I110" i="49" s="1"/>
  <c r="I128" i="49" s="1"/>
  <c r="M89" i="49"/>
  <c r="M110" i="49" s="1"/>
  <c r="M128" i="49" s="1"/>
  <c r="H91" i="49"/>
  <c r="H112" i="49" s="1"/>
  <c r="H130" i="49" s="1"/>
  <c r="L91" i="49"/>
  <c r="L112" i="49" s="1"/>
  <c r="L130" i="49" s="1"/>
  <c r="H92" i="49"/>
  <c r="L92" i="49"/>
  <c r="F57" i="50"/>
  <c r="F66" i="50"/>
  <c r="H68" i="50"/>
  <c r="F70" i="50"/>
  <c r="L25" i="51"/>
  <c r="L332" i="51" s="1"/>
  <c r="L356" i="51" s="1"/>
  <c r="H65" i="51"/>
  <c r="F112" i="51"/>
  <c r="I162" i="51"/>
  <c r="I183" i="51" s="1"/>
  <c r="H203" i="51"/>
  <c r="L166" i="51"/>
  <c r="L187" i="51" s="1"/>
  <c r="L205" i="51" s="1"/>
  <c r="H169" i="51"/>
  <c r="H190" i="51" s="1"/>
  <c r="H208" i="51" s="1"/>
  <c r="L169" i="51"/>
  <c r="L190" i="51" s="1"/>
  <c r="L208" i="51" s="1"/>
  <c r="K173" i="51"/>
  <c r="I159" i="51"/>
  <c r="F232" i="51"/>
  <c r="F242" i="51" s="1"/>
  <c r="G242" i="51" s="1"/>
  <c r="G111" i="51" s="1"/>
  <c r="F111" i="51" s="1"/>
  <c r="F315" i="51"/>
  <c r="F348" i="51"/>
  <c r="F427" i="51"/>
  <c r="F459" i="51"/>
  <c r="H110" i="50"/>
  <c r="H132" i="50" s="1"/>
  <c r="L110" i="50"/>
  <c r="L132" i="50" s="1"/>
  <c r="F55" i="50"/>
  <c r="K41" i="50"/>
  <c r="H20" i="51"/>
  <c r="H14" i="51" s="1"/>
  <c r="H12" i="51" s="1"/>
  <c r="N25" i="51"/>
  <c r="L170" i="51"/>
  <c r="L191" i="51" s="1"/>
  <c r="L209" i="51" s="1"/>
  <c r="L106" i="51" s="1"/>
  <c r="H171" i="51"/>
  <c r="H192" i="51" s="1"/>
  <c r="H210" i="51" s="1"/>
  <c r="L171" i="51"/>
  <c r="L192" i="51" s="1"/>
  <c r="L210" i="51" s="1"/>
  <c r="L172" i="51"/>
  <c r="L193" i="51" s="1"/>
  <c r="L211" i="51" s="1"/>
  <c r="M166" i="51"/>
  <c r="M187" i="51" s="1"/>
  <c r="M205" i="51" s="1"/>
  <c r="M169" i="51"/>
  <c r="M190" i="51" s="1"/>
  <c r="M208" i="51" s="1"/>
  <c r="M172" i="51"/>
  <c r="M193" i="51" s="1"/>
  <c r="M211" i="51" s="1"/>
  <c r="L173" i="51"/>
  <c r="F313" i="51"/>
  <c r="F31" i="49"/>
  <c r="F141" i="49"/>
  <c r="M101" i="49"/>
  <c r="M118" i="49" s="1"/>
  <c r="M119" i="49" s="1"/>
  <c r="N124" i="49"/>
  <c r="I101" i="49"/>
  <c r="H79" i="49"/>
  <c r="H80" i="49" s="1"/>
  <c r="H101" i="49" s="1"/>
  <c r="H77" i="49"/>
  <c r="H81" i="49" s="1"/>
  <c r="H102" i="49" s="1"/>
  <c r="L122" i="49"/>
  <c r="K122" i="49"/>
  <c r="K25" i="49" s="1"/>
  <c r="F66" i="49"/>
  <c r="G84" i="49"/>
  <c r="G105" i="49" s="1"/>
  <c r="G61" i="49"/>
  <c r="F36" i="49"/>
  <c r="K61" i="49"/>
  <c r="K60" i="49"/>
  <c r="J62" i="49"/>
  <c r="J60" i="49"/>
  <c r="N62" i="49"/>
  <c r="N60" i="49"/>
  <c r="L77" i="49"/>
  <c r="L81" i="49" s="1"/>
  <c r="L102" i="49" s="1"/>
  <c r="K80" i="49"/>
  <c r="K101" i="49" s="1"/>
  <c r="G124" i="49"/>
  <c r="F70" i="49"/>
  <c r="F88" i="49" s="1"/>
  <c r="G128" i="49"/>
  <c r="F72" i="49"/>
  <c r="F90" i="49" s="1"/>
  <c r="G90" i="49"/>
  <c r="G111" i="49" s="1"/>
  <c r="F84" i="49"/>
  <c r="F89" i="49"/>
  <c r="F160" i="49"/>
  <c r="L79" i="49"/>
  <c r="L82" i="49" s="1"/>
  <c r="L103" i="49" s="1"/>
  <c r="G127" i="49"/>
  <c r="F109" i="49"/>
  <c r="F50" i="49"/>
  <c r="G113" i="49"/>
  <c r="G122" i="49"/>
  <c r="K99" i="50"/>
  <c r="I82" i="49"/>
  <c r="I103" i="49" s="1"/>
  <c r="M82" i="49"/>
  <c r="M103" i="49" s="1"/>
  <c r="I83" i="49"/>
  <c r="I104" i="49" s="1"/>
  <c r="M83" i="49"/>
  <c r="M104" i="49" s="1"/>
  <c r="G130" i="49"/>
  <c r="F74" i="49"/>
  <c r="F92" i="49" s="1"/>
  <c r="H83" i="49"/>
  <c r="H104" i="49" s="1"/>
  <c r="N78" i="51"/>
  <c r="N81" i="51" s="1"/>
  <c r="N4" i="51" s="1"/>
  <c r="N66" i="51"/>
  <c r="N62" i="51"/>
  <c r="K110" i="50"/>
  <c r="K132" i="50" s="1"/>
  <c r="I61" i="49"/>
  <c r="M61" i="49"/>
  <c r="J77" i="49"/>
  <c r="J78" i="49" s="1"/>
  <c r="N77" i="49"/>
  <c r="N78" i="49" s="1"/>
  <c r="H160" i="49"/>
  <c r="H30" i="49" s="1"/>
  <c r="H65" i="50"/>
  <c r="F38" i="50"/>
  <c r="H96" i="50"/>
  <c r="L65" i="50"/>
  <c r="L96" i="50"/>
  <c r="I110" i="50"/>
  <c r="I132" i="50" s="1"/>
  <c r="I73" i="50"/>
  <c r="I87" i="50" s="1"/>
  <c r="I41" i="50"/>
  <c r="J41" i="50"/>
  <c r="G114" i="50"/>
  <c r="G115" i="50" s="1"/>
  <c r="H127" i="50"/>
  <c r="G127" i="50" s="1"/>
  <c r="G300" i="51"/>
  <c r="G65" i="51"/>
  <c r="G20" i="51"/>
  <c r="M300" i="51"/>
  <c r="M65" i="51"/>
  <c r="M20" i="51"/>
  <c r="M14" i="51" s="1"/>
  <c r="M12" i="51" s="1"/>
  <c r="I25" i="51"/>
  <c r="I26" i="51"/>
  <c r="M25" i="51"/>
  <c r="M332" i="51" s="1"/>
  <c r="M26" i="51"/>
  <c r="I367" i="51"/>
  <c r="I385" i="51" s="1"/>
  <c r="I368" i="51"/>
  <c r="I386" i="51" s="1"/>
  <c r="I363" i="51"/>
  <c r="I381" i="51" s="1"/>
  <c r="I402" i="51" s="1"/>
  <c r="I420" i="51" s="1"/>
  <c r="I359" i="51"/>
  <c r="I369" i="51"/>
  <c r="I387" i="51" s="1"/>
  <c r="I362" i="51"/>
  <c r="I380" i="51" s="1"/>
  <c r="I358" i="51"/>
  <c r="I370" i="51"/>
  <c r="I388" i="51" s="1"/>
  <c r="I361" i="51"/>
  <c r="I379" i="51" s="1"/>
  <c r="I400" i="51" s="1"/>
  <c r="I357" i="51"/>
  <c r="I312" i="51"/>
  <c r="I311" i="51" s="1"/>
  <c r="I306" i="51" s="1"/>
  <c r="I366" i="51"/>
  <c r="I384" i="51" s="1"/>
  <c r="I405" i="51" s="1"/>
  <c r="I423" i="51" s="1"/>
  <c r="I360" i="51"/>
  <c r="M367" i="51"/>
  <c r="M385" i="51" s="1"/>
  <c r="M363" i="51"/>
  <c r="M381" i="51" s="1"/>
  <c r="M402" i="51" s="1"/>
  <c r="M420" i="51" s="1"/>
  <c r="M52" i="51" s="1"/>
  <c r="M359" i="51"/>
  <c r="M368" i="51"/>
  <c r="M386" i="51" s="1"/>
  <c r="M362" i="51"/>
  <c r="M380" i="51" s="1"/>
  <c r="M369" i="51"/>
  <c r="M387" i="51" s="1"/>
  <c r="M361" i="51"/>
  <c r="M379" i="51" s="1"/>
  <c r="M400" i="51" s="1"/>
  <c r="M366" i="51"/>
  <c r="M384" i="51" s="1"/>
  <c r="M370" i="51"/>
  <c r="M388" i="51" s="1"/>
  <c r="M360" i="51"/>
  <c r="I332" i="51"/>
  <c r="I181" i="51"/>
  <c r="I141" i="51"/>
  <c r="M142" i="51"/>
  <c r="M141" i="51"/>
  <c r="J112" i="50"/>
  <c r="I122" i="50"/>
  <c r="I68" i="50"/>
  <c r="M161" i="51"/>
  <c r="M182" i="51" s="1"/>
  <c r="M160" i="51"/>
  <c r="M163" i="51" s="1"/>
  <c r="M184" i="51" s="1"/>
  <c r="G205" i="51"/>
  <c r="H13" i="49"/>
  <c r="G64" i="50"/>
  <c r="F37" i="50"/>
  <c r="G95" i="50"/>
  <c r="K64" i="50"/>
  <c r="K95" i="50"/>
  <c r="F97" i="50"/>
  <c r="G41" i="50"/>
  <c r="F68" i="50"/>
  <c r="F102" i="50"/>
  <c r="G102" i="50" s="1"/>
  <c r="G68" i="50" s="1"/>
  <c r="H150" i="50"/>
  <c r="H160" i="50" s="1"/>
  <c r="F58" i="50"/>
  <c r="K114" i="50"/>
  <c r="K115" i="50" s="1"/>
  <c r="H121" i="50"/>
  <c r="H67" i="50"/>
  <c r="L121" i="50"/>
  <c r="L67" i="50"/>
  <c r="L63" i="50" s="1"/>
  <c r="K124" i="50"/>
  <c r="K70" i="50"/>
  <c r="F108" i="50"/>
  <c r="F128" i="50" s="1"/>
  <c r="G128" i="50" s="1"/>
  <c r="H180" i="51"/>
  <c r="L180" i="51"/>
  <c r="I113" i="50"/>
  <c r="K120" i="50"/>
  <c r="K66" i="50"/>
  <c r="F109" i="50"/>
  <c r="F129" i="50" s="1"/>
  <c r="G129" i="50" s="1"/>
  <c r="I160" i="51"/>
  <c r="I163" i="51" s="1"/>
  <c r="I184" i="51" s="1"/>
  <c r="F154" i="51"/>
  <c r="H172" i="51"/>
  <c r="H193" i="51" s="1"/>
  <c r="H211" i="51" s="1"/>
  <c r="L13" i="49"/>
  <c r="F123" i="50"/>
  <c r="F53" i="50"/>
  <c r="G87" i="50"/>
  <c r="J123" i="50"/>
  <c r="J69" i="50"/>
  <c r="G110" i="50"/>
  <c r="J113" i="50"/>
  <c r="F122" i="50"/>
  <c r="G122" i="50" s="1"/>
  <c r="H302" i="51"/>
  <c r="L302" i="51"/>
  <c r="H78" i="51"/>
  <c r="H81" i="51" s="1"/>
  <c r="H4" i="51" s="1"/>
  <c r="H66" i="51"/>
  <c r="H62" i="51"/>
  <c r="H204" i="51"/>
  <c r="F39" i="50"/>
  <c r="H41" i="50"/>
  <c r="L41" i="50"/>
  <c r="I64" i="50"/>
  <c r="J65" i="50"/>
  <c r="F69" i="50"/>
  <c r="H73" i="50"/>
  <c r="H87" i="50" s="1"/>
  <c r="L73" i="50"/>
  <c r="L87" i="50" s="1"/>
  <c r="H85" i="50"/>
  <c r="L85" i="50"/>
  <c r="G86" i="50"/>
  <c r="K86" i="50"/>
  <c r="G160" i="50"/>
  <c r="K160" i="50"/>
  <c r="L78" i="51"/>
  <c r="L81" i="51" s="1"/>
  <c r="L4" i="51" s="1"/>
  <c r="L66" i="51"/>
  <c r="L62" i="51"/>
  <c r="K180" i="51"/>
  <c r="J333" i="51"/>
  <c r="N160" i="51"/>
  <c r="N163" i="51" s="1"/>
  <c r="N184" i="51" s="1"/>
  <c r="H347" i="51"/>
  <c r="F132" i="51"/>
  <c r="N158" i="51"/>
  <c r="N162" i="51" s="1"/>
  <c r="N183" i="51" s="1"/>
  <c r="F145" i="51"/>
  <c r="G163" i="51"/>
  <c r="K163" i="51"/>
  <c r="K184" i="51" s="1"/>
  <c r="J203" i="51"/>
  <c r="J93" i="51"/>
  <c r="N203" i="51"/>
  <c r="K159" i="51"/>
  <c r="K181" i="51" s="1"/>
  <c r="G203" i="51"/>
  <c r="I169" i="51"/>
  <c r="I190" i="51" s="1"/>
  <c r="I208" i="51" s="1"/>
  <c r="G209" i="51"/>
  <c r="H173" i="51"/>
  <c r="L498" i="51"/>
  <c r="L490" i="51" s="1"/>
  <c r="L481" i="51"/>
  <c r="L472" i="51"/>
  <c r="I85" i="50"/>
  <c r="H86" i="50"/>
  <c r="H95" i="50"/>
  <c r="L95" i="50"/>
  <c r="I96" i="50"/>
  <c r="F101" i="50"/>
  <c r="G101" i="50" s="1"/>
  <c r="G67" i="50" s="1"/>
  <c r="F120" i="50"/>
  <c r="G120" i="50" s="1"/>
  <c r="F124" i="50"/>
  <c r="J302" i="51"/>
  <c r="N302" i="51"/>
  <c r="K300" i="51"/>
  <c r="K65" i="51"/>
  <c r="K20" i="51"/>
  <c r="K14" i="51" s="1"/>
  <c r="K12" i="51" s="1"/>
  <c r="G369" i="51"/>
  <c r="G370" i="51"/>
  <c r="G367" i="51"/>
  <c r="G361" i="51"/>
  <c r="G357" i="51"/>
  <c r="G312" i="51"/>
  <c r="G368" i="51"/>
  <c r="G366" i="51"/>
  <c r="G360" i="51"/>
  <c r="G363" i="51"/>
  <c r="G359" i="51"/>
  <c r="G362" i="51"/>
  <c r="G358" i="51"/>
  <c r="K369" i="51"/>
  <c r="K387" i="51" s="1"/>
  <c r="K361" i="51"/>
  <c r="K379" i="51" s="1"/>
  <c r="K400" i="51" s="1"/>
  <c r="K357" i="51"/>
  <c r="K312" i="51"/>
  <c r="K311" i="51" s="1"/>
  <c r="K306" i="51" s="1"/>
  <c r="K370" i="51"/>
  <c r="K388" i="51" s="1"/>
  <c r="K367" i="51"/>
  <c r="K385" i="51" s="1"/>
  <c r="K406" i="51" s="1"/>
  <c r="K424" i="51" s="1"/>
  <c r="K366" i="51"/>
  <c r="K384" i="51" s="1"/>
  <c r="K360" i="51"/>
  <c r="K368" i="51"/>
  <c r="K386" i="51" s="1"/>
  <c r="K363" i="51"/>
  <c r="K381" i="51" s="1"/>
  <c r="K402" i="51" s="1"/>
  <c r="K420" i="51" s="1"/>
  <c r="K52" i="51" s="1"/>
  <c r="K359" i="51"/>
  <c r="K362" i="51"/>
  <c r="K380" i="51" s="1"/>
  <c r="K358" i="51"/>
  <c r="K26" i="51"/>
  <c r="F26" i="51" s="1"/>
  <c r="I180" i="51"/>
  <c r="F107" i="51"/>
  <c r="F117" i="51"/>
  <c r="I346" i="51"/>
  <c r="I194" i="51"/>
  <c r="I214" i="51" s="1"/>
  <c r="M346" i="51"/>
  <c r="M194" i="51"/>
  <c r="M214" i="51" s="1"/>
  <c r="J158" i="51"/>
  <c r="J162" i="51" s="1"/>
  <c r="J183" i="51" s="1"/>
  <c r="F144" i="51"/>
  <c r="H163" i="51"/>
  <c r="H184" i="51" s="1"/>
  <c r="L163" i="51"/>
  <c r="L184" i="51" s="1"/>
  <c r="G204" i="51"/>
  <c r="F204" i="51" s="1"/>
  <c r="F186" i="51"/>
  <c r="F151" i="51"/>
  <c r="G169" i="51"/>
  <c r="G190" i="51" s="1"/>
  <c r="K203" i="51"/>
  <c r="J180" i="51"/>
  <c r="F67" i="50"/>
  <c r="J73" i="50"/>
  <c r="J87" i="50" s="1"/>
  <c r="J96" i="50"/>
  <c r="F17" i="51"/>
  <c r="F40" i="51"/>
  <c r="G91" i="51"/>
  <c r="H333" i="51"/>
  <c r="F118" i="51"/>
  <c r="L333" i="51"/>
  <c r="F148" i="51"/>
  <c r="H166" i="51"/>
  <c r="H187" i="51" s="1"/>
  <c r="H205" i="51" s="1"/>
  <c r="G210" i="51"/>
  <c r="G173" i="51"/>
  <c r="F155" i="51"/>
  <c r="F173" i="51" s="1"/>
  <c r="N173" i="51"/>
  <c r="J173" i="51"/>
  <c r="G211" i="51"/>
  <c r="I393" i="51"/>
  <c r="I434" i="51"/>
  <c r="I354" i="51"/>
  <c r="I330" i="51"/>
  <c r="M434" i="51"/>
  <c r="M393" i="51"/>
  <c r="M354" i="51"/>
  <c r="M330" i="51"/>
  <c r="H368" i="51"/>
  <c r="H386" i="51" s="1"/>
  <c r="H366" i="51"/>
  <c r="H384" i="51" s="1"/>
  <c r="H405" i="51" s="1"/>
  <c r="H423" i="51" s="1"/>
  <c r="H53" i="51" s="1"/>
  <c r="H360" i="51"/>
  <c r="H363" i="51"/>
  <c r="H381" i="51" s="1"/>
  <c r="H402" i="51" s="1"/>
  <c r="H420" i="51" s="1"/>
  <c r="H359" i="51"/>
  <c r="H369" i="51"/>
  <c r="H387" i="51" s="1"/>
  <c r="H408" i="51" s="1"/>
  <c r="H426" i="51" s="1"/>
  <c r="H56" i="51" s="1"/>
  <c r="H362" i="51"/>
  <c r="H380" i="51" s="1"/>
  <c r="H401" i="51" s="1"/>
  <c r="H419" i="51" s="1"/>
  <c r="H51" i="51" s="1"/>
  <c r="H358" i="51"/>
  <c r="H361" i="51"/>
  <c r="H379" i="51" s="1"/>
  <c r="H357" i="51"/>
  <c r="H312" i="51"/>
  <c r="H311" i="51" s="1"/>
  <c r="H306" i="51" s="1"/>
  <c r="H370" i="51"/>
  <c r="H388" i="51" s="1"/>
  <c r="L368" i="51"/>
  <c r="L386" i="51" s="1"/>
  <c r="L407" i="51" s="1"/>
  <c r="L425" i="51" s="1"/>
  <c r="L370" i="51"/>
  <c r="L388" i="51" s="1"/>
  <c r="L367" i="51"/>
  <c r="L385" i="51" s="1"/>
  <c r="L406" i="51" s="1"/>
  <c r="L424" i="51" s="1"/>
  <c r="L366" i="51"/>
  <c r="L384" i="51" s="1"/>
  <c r="L360" i="51"/>
  <c r="L363" i="51"/>
  <c r="L381" i="51" s="1"/>
  <c r="L402" i="51" s="1"/>
  <c r="L420" i="51" s="1"/>
  <c r="L52" i="51" s="1"/>
  <c r="L359" i="51"/>
  <c r="L362" i="51"/>
  <c r="L380" i="51" s="1"/>
  <c r="L401" i="51" s="1"/>
  <c r="L419" i="51" s="1"/>
  <c r="L51" i="51" s="1"/>
  <c r="L358" i="51"/>
  <c r="L357" i="51"/>
  <c r="L312" i="51"/>
  <c r="L311" i="51" s="1"/>
  <c r="L306" i="51" s="1"/>
  <c r="N332" i="51"/>
  <c r="N357" i="51" s="1"/>
  <c r="I333" i="51"/>
  <c r="M333" i="51"/>
  <c r="M358" i="51" s="1"/>
  <c r="F131" i="51"/>
  <c r="J346" i="51"/>
  <c r="N346" i="51"/>
  <c r="I347" i="51"/>
  <c r="I409" i="51" s="1"/>
  <c r="I429" i="51" s="1"/>
  <c r="I57" i="51" s="1"/>
  <c r="M347" i="51"/>
  <c r="H141" i="51"/>
  <c r="F143" i="51"/>
  <c r="F147" i="51"/>
  <c r="F153" i="51"/>
  <c r="H158" i="51"/>
  <c r="H159" i="51" s="1"/>
  <c r="H181" i="51" s="1"/>
  <c r="L158" i="51"/>
  <c r="L159" i="51" s="1"/>
  <c r="J160" i="51"/>
  <c r="J161" i="51" s="1"/>
  <c r="H161" i="51"/>
  <c r="H182" i="51" s="1"/>
  <c r="L161" i="51"/>
  <c r="L182" i="51" s="1"/>
  <c r="G182" i="51"/>
  <c r="G332" i="51"/>
  <c r="G356" i="51" s="1"/>
  <c r="K182" i="51"/>
  <c r="K332" i="51"/>
  <c r="N333" i="51"/>
  <c r="N358" i="51" s="1"/>
  <c r="K346" i="51"/>
  <c r="K409" i="51" s="1"/>
  <c r="K429" i="51" s="1"/>
  <c r="K57" i="51" s="1"/>
  <c r="K194" i="51"/>
  <c r="K214" i="51" s="1"/>
  <c r="J347" i="51"/>
  <c r="I164" i="51"/>
  <c r="I185" i="51" s="1"/>
  <c r="I166" i="51"/>
  <c r="I187" i="51" s="1"/>
  <c r="I205" i="51" s="1"/>
  <c r="I170" i="51"/>
  <c r="I191" i="51" s="1"/>
  <c r="I209" i="51" s="1"/>
  <c r="I172" i="51"/>
  <c r="I193" i="51" s="1"/>
  <c r="I211" i="51" s="1"/>
  <c r="G181" i="51"/>
  <c r="N194" i="51"/>
  <c r="N214" i="51" s="1"/>
  <c r="F334" i="51"/>
  <c r="F341" i="51"/>
  <c r="L405" i="51"/>
  <c r="L423" i="51" s="1"/>
  <c r="K408" i="51"/>
  <c r="K426" i="51" s="1"/>
  <c r="K56" i="51" s="1"/>
  <c r="G346" i="51"/>
  <c r="G409" i="51" s="1"/>
  <c r="H367" i="51"/>
  <c r="H385" i="51" s="1"/>
  <c r="G434" i="51"/>
  <c r="G330" i="51"/>
  <c r="G393" i="51"/>
  <c r="G354" i="51"/>
  <c r="K434" i="51"/>
  <c r="K393" i="51"/>
  <c r="K330" i="51"/>
  <c r="K354" i="51"/>
  <c r="H498" i="51"/>
  <c r="H490" i="51" s="1"/>
  <c r="H481" i="51"/>
  <c r="H472" i="51"/>
  <c r="N498" i="51"/>
  <c r="N490" i="51" s="1"/>
  <c r="N481" i="51"/>
  <c r="N472" i="51"/>
  <c r="J370" i="51"/>
  <c r="J388" i="51" s="1"/>
  <c r="J369" i="51"/>
  <c r="J387" i="51" s="1"/>
  <c r="J362" i="51"/>
  <c r="J380" i="51" s="1"/>
  <c r="J358" i="51"/>
  <c r="J361" i="51"/>
  <c r="J379" i="51" s="1"/>
  <c r="J400" i="51" s="1"/>
  <c r="J357" i="51"/>
  <c r="J312" i="51"/>
  <c r="J311" i="51" s="1"/>
  <c r="J367" i="51"/>
  <c r="J385" i="51" s="1"/>
  <c r="J366" i="51"/>
  <c r="J384" i="51" s="1"/>
  <c r="J405" i="51" s="1"/>
  <c r="J423" i="51" s="1"/>
  <c r="J53" i="51" s="1"/>
  <c r="J360" i="51"/>
  <c r="J359" i="51"/>
  <c r="J368" i="51"/>
  <c r="J386" i="51" s="1"/>
  <c r="N370" i="51"/>
  <c r="N388" i="51" s="1"/>
  <c r="N368" i="51"/>
  <c r="N386" i="51" s="1"/>
  <c r="N407" i="51" s="1"/>
  <c r="N425" i="51" s="1"/>
  <c r="N362" i="51"/>
  <c r="N380" i="51" s="1"/>
  <c r="N369" i="51"/>
  <c r="N387" i="51" s="1"/>
  <c r="N408" i="51" s="1"/>
  <c r="N426" i="51" s="1"/>
  <c r="N56" i="51" s="1"/>
  <c r="N361" i="51"/>
  <c r="N379" i="51" s="1"/>
  <c r="N400" i="51" s="1"/>
  <c r="N366" i="51"/>
  <c r="N384" i="51" s="1"/>
  <c r="N405" i="51" s="1"/>
  <c r="N423" i="51" s="1"/>
  <c r="N53" i="51" s="1"/>
  <c r="N360" i="51"/>
  <c r="N399" i="51" s="1"/>
  <c r="N367" i="51"/>
  <c r="N385" i="51" s="1"/>
  <c r="N406" i="51" s="1"/>
  <c r="N424" i="51" s="1"/>
  <c r="N363" i="51"/>
  <c r="N381" i="51" s="1"/>
  <c r="N402" i="51" s="1"/>
  <c r="N420" i="51" s="1"/>
  <c r="N52" i="51" s="1"/>
  <c r="H332" i="51"/>
  <c r="G333" i="51"/>
  <c r="H346" i="51"/>
  <c r="L346" i="51"/>
  <c r="L409" i="51" s="1"/>
  <c r="L429" i="51" s="1"/>
  <c r="L57" i="51" s="1"/>
  <c r="G347" i="51"/>
  <c r="K347" i="51"/>
  <c r="J141" i="51"/>
  <c r="N141" i="51"/>
  <c r="H194" i="51"/>
  <c r="H214" i="51" s="1"/>
  <c r="F223" i="51"/>
  <c r="N359" i="51"/>
  <c r="L369" i="51"/>
  <c r="L387" i="51" s="1"/>
  <c r="L408" i="51" s="1"/>
  <c r="L426" i="51" s="1"/>
  <c r="L56" i="51" s="1"/>
  <c r="F338" i="51"/>
  <c r="I406" i="51"/>
  <c r="I424" i="51" s="1"/>
  <c r="M406" i="51"/>
  <c r="M424" i="51" s="1"/>
  <c r="H407" i="51"/>
  <c r="H425" i="51" s="1"/>
  <c r="F345" i="51"/>
  <c r="F350" i="51"/>
  <c r="G316" i="51"/>
  <c r="F316" i="51" s="1"/>
  <c r="F336" i="51"/>
  <c r="J401" i="51"/>
  <c r="J419" i="51" s="1"/>
  <c r="J51" i="51" s="1"/>
  <c r="N401" i="51"/>
  <c r="N419" i="51" s="1"/>
  <c r="N51" i="51" s="1"/>
  <c r="I408" i="51"/>
  <c r="I426" i="51" s="1"/>
  <c r="I56" i="51" s="1"/>
  <c r="F344" i="51"/>
  <c r="M408" i="51"/>
  <c r="M426" i="51" s="1"/>
  <c r="M56" i="51" s="1"/>
  <c r="F349" i="51"/>
  <c r="H310" i="51"/>
  <c r="J306" i="51"/>
  <c r="F335" i="51"/>
  <c r="L399" i="51"/>
  <c r="F342" i="51"/>
  <c r="J407" i="51"/>
  <c r="J425" i="51" s="1"/>
  <c r="N409" i="51"/>
  <c r="N429" i="51" s="1"/>
  <c r="I498" i="51"/>
  <c r="I490" i="51" s="1"/>
  <c r="I481" i="51"/>
  <c r="I472" i="51"/>
  <c r="I399" i="51"/>
  <c r="M399" i="51"/>
  <c r="H400" i="51"/>
  <c r="L400" i="51"/>
  <c r="K401" i="51"/>
  <c r="K419" i="51" s="1"/>
  <c r="K51" i="51" s="1"/>
  <c r="J402" i="51"/>
  <c r="J420" i="51" s="1"/>
  <c r="J52" i="51" s="1"/>
  <c r="M405" i="51"/>
  <c r="M423" i="51" s="1"/>
  <c r="M53" i="51" s="1"/>
  <c r="H406" i="51"/>
  <c r="H424" i="51" s="1"/>
  <c r="K407" i="51"/>
  <c r="K425" i="51" s="1"/>
  <c r="J408" i="51"/>
  <c r="J426" i="51" s="1"/>
  <c r="J56" i="51" s="1"/>
  <c r="M409" i="51"/>
  <c r="M429" i="51" s="1"/>
  <c r="F446" i="51"/>
  <c r="F456" i="51" s="1"/>
  <c r="G456" i="51" s="1"/>
  <c r="G326" i="51" s="1"/>
  <c r="F326" i="51" s="1"/>
  <c r="F437" i="51"/>
  <c r="J498" i="51"/>
  <c r="J490" i="51" s="1"/>
  <c r="J481" i="51"/>
  <c r="J472" i="51"/>
  <c r="G399" i="51"/>
  <c r="K399" i="51"/>
  <c r="I401" i="51"/>
  <c r="I419" i="51" s="1"/>
  <c r="I51" i="51" s="1"/>
  <c r="M401" i="51"/>
  <c r="M419" i="51" s="1"/>
  <c r="M51" i="51" s="1"/>
  <c r="K405" i="51"/>
  <c r="K423" i="51" s="1"/>
  <c r="K53" i="51" s="1"/>
  <c r="J406" i="51"/>
  <c r="J424" i="51" s="1"/>
  <c r="I407" i="51"/>
  <c r="I425" i="51" s="1"/>
  <c r="M407" i="51"/>
  <c r="M425" i="51" s="1"/>
  <c r="N57" i="51" l="1"/>
  <c r="F185" i="51"/>
  <c r="M106" i="51"/>
  <c r="K333" i="51"/>
  <c r="K356" i="51" s="1"/>
  <c r="F210" i="51"/>
  <c r="J106" i="51"/>
  <c r="G174" i="51"/>
  <c r="F127" i="49"/>
  <c r="F128" i="49"/>
  <c r="L53" i="51"/>
  <c r="F110" i="49"/>
  <c r="N12" i="49"/>
  <c r="L93" i="51"/>
  <c r="J12" i="49"/>
  <c r="K12" i="49"/>
  <c r="N25" i="49"/>
  <c r="K174" i="51"/>
  <c r="F106" i="49"/>
  <c r="F112" i="49"/>
  <c r="F124" i="49"/>
  <c r="L25" i="49"/>
  <c r="H409" i="51"/>
  <c r="H429" i="51" s="1"/>
  <c r="H57" i="51" s="1"/>
  <c r="F141" i="51"/>
  <c r="G269" i="51" s="1"/>
  <c r="F192" i="51"/>
  <c r="I161" i="51"/>
  <c r="I182" i="51" s="1"/>
  <c r="I199" i="51" s="1"/>
  <c r="I202" i="51" s="1"/>
  <c r="F130" i="49"/>
  <c r="L12" i="49"/>
  <c r="H162" i="51"/>
  <c r="H183" i="51" s="1"/>
  <c r="F121" i="50"/>
  <c r="F85" i="50"/>
  <c r="I52" i="51"/>
  <c r="N159" i="51"/>
  <c r="G160" i="49"/>
  <c r="G30" i="49" s="1"/>
  <c r="F30" i="49" s="1"/>
  <c r="F194" i="51"/>
  <c r="F211" i="51"/>
  <c r="H106" i="51"/>
  <c r="F191" i="51"/>
  <c r="H82" i="49"/>
  <c r="H103" i="49" s="1"/>
  <c r="L80" i="49"/>
  <c r="L101" i="49" s="1"/>
  <c r="L118" i="49" s="1"/>
  <c r="L121" i="49" s="1"/>
  <c r="J182" i="51"/>
  <c r="N100" i="49"/>
  <c r="N375" i="51"/>
  <c r="N376" i="51" s="1"/>
  <c r="N397" i="51" s="1"/>
  <c r="L181" i="51"/>
  <c r="J100" i="49"/>
  <c r="N418" i="51"/>
  <c r="N308" i="51"/>
  <c r="J418" i="51"/>
  <c r="K418" i="51"/>
  <c r="K308" i="51"/>
  <c r="M375" i="51"/>
  <c r="M378" i="51" s="1"/>
  <c r="M199" i="51"/>
  <c r="M200" i="51" s="1"/>
  <c r="M356" i="51"/>
  <c r="M357" i="51"/>
  <c r="H118" i="49"/>
  <c r="H119" i="49" s="1"/>
  <c r="J373" i="51"/>
  <c r="J374" i="51" s="1"/>
  <c r="L395" i="51"/>
  <c r="K377" i="51"/>
  <c r="K398" i="51" s="1"/>
  <c r="K373" i="51"/>
  <c r="K374" i="51" s="1"/>
  <c r="K396" i="51" s="1"/>
  <c r="G384" i="51"/>
  <c r="G405" i="51" s="1"/>
  <c r="F366" i="51"/>
  <c r="J434" i="51"/>
  <c r="J393" i="51"/>
  <c r="J330" i="51"/>
  <c r="J354" i="51"/>
  <c r="I114" i="50"/>
  <c r="I115" i="50" s="1"/>
  <c r="F96" i="50"/>
  <c r="F150" i="50"/>
  <c r="G121" i="50"/>
  <c r="K118" i="49"/>
  <c r="K121" i="49" s="1"/>
  <c r="M57" i="51"/>
  <c r="J395" i="51"/>
  <c r="F347" i="51"/>
  <c r="F333" i="51"/>
  <c r="G197" i="51"/>
  <c r="G201" i="51" s="1"/>
  <c r="H373" i="51"/>
  <c r="H377" i="51" s="1"/>
  <c r="H398" i="51" s="1"/>
  <c r="M93" i="51"/>
  <c r="H199" i="51"/>
  <c r="H200" i="51" s="1"/>
  <c r="G386" i="51"/>
  <c r="G407" i="51" s="1"/>
  <c r="F368" i="51"/>
  <c r="K78" i="51"/>
  <c r="K81" i="51" s="1"/>
  <c r="K4" i="51" s="1"/>
  <c r="K66" i="51"/>
  <c r="K62" i="51"/>
  <c r="L112" i="50"/>
  <c r="L113" i="50" s="1"/>
  <c r="H63" i="50"/>
  <c r="L199" i="51"/>
  <c r="L202" i="51" s="1"/>
  <c r="N270" i="51"/>
  <c r="N262" i="51"/>
  <c r="K272" i="51"/>
  <c r="I268" i="51"/>
  <c r="I260" i="51"/>
  <c r="H270" i="51"/>
  <c r="H262" i="51"/>
  <c r="G270" i="51"/>
  <c r="K259" i="51"/>
  <c r="K270" i="51"/>
  <c r="G14" i="51"/>
  <c r="H114" i="50"/>
  <c r="H115" i="50" s="1"/>
  <c r="M77" i="49"/>
  <c r="M81" i="49" s="1"/>
  <c r="M102" i="49" s="1"/>
  <c r="N73" i="51"/>
  <c r="N70" i="51"/>
  <c r="M122" i="49"/>
  <c r="M25" i="49" s="1"/>
  <c r="M12" i="49"/>
  <c r="N79" i="49"/>
  <c r="N82" i="49" s="1"/>
  <c r="N103" i="49" s="1"/>
  <c r="F105" i="49"/>
  <c r="G123" i="49"/>
  <c r="F123" i="49" s="1"/>
  <c r="I53" i="51"/>
  <c r="N356" i="51"/>
  <c r="J375" i="51"/>
  <c r="J376" i="51" s="1"/>
  <c r="J397" i="51" s="1"/>
  <c r="J409" i="51"/>
  <c r="J429" i="51" s="1"/>
  <c r="J57" i="51" s="1"/>
  <c r="L375" i="51"/>
  <c r="L376" i="51"/>
  <c r="L378" i="51"/>
  <c r="G180" i="51"/>
  <c r="J114" i="50"/>
  <c r="J115" i="50"/>
  <c r="K93" i="51"/>
  <c r="J159" i="51"/>
  <c r="K375" i="51"/>
  <c r="K376" i="51" s="1"/>
  <c r="K397" i="51" s="1"/>
  <c r="G381" i="51"/>
  <c r="G402" i="51" s="1"/>
  <c r="F363" i="51"/>
  <c r="G311" i="51"/>
  <c r="G388" i="51"/>
  <c r="F370" i="51"/>
  <c r="F388" i="51" s="1"/>
  <c r="N434" i="51"/>
  <c r="N393" i="51"/>
  <c r="N330" i="51"/>
  <c r="N354" i="51"/>
  <c r="H112" i="50"/>
  <c r="H113" i="50" s="1"/>
  <c r="F193" i="51"/>
  <c r="N93" i="51"/>
  <c r="H99" i="50"/>
  <c r="H93" i="51"/>
  <c r="F110" i="50"/>
  <c r="F132" i="50" s="1"/>
  <c r="G132" i="50" s="1"/>
  <c r="F87" i="50"/>
  <c r="F65" i="50"/>
  <c r="K77" i="50"/>
  <c r="K63" i="50"/>
  <c r="G77" i="50"/>
  <c r="F64" i="50"/>
  <c r="G63" i="50"/>
  <c r="J163" i="51"/>
  <c r="J184" i="51" s="1"/>
  <c r="I356" i="51"/>
  <c r="I418" i="51"/>
  <c r="I308" i="51"/>
  <c r="F25" i="51"/>
  <c r="J99" i="50"/>
  <c r="L114" i="50"/>
  <c r="L115" i="50" s="1"/>
  <c r="I77" i="49"/>
  <c r="I81" i="49" s="1"/>
  <c r="I102" i="49" s="1"/>
  <c r="I122" i="49"/>
  <c r="I25" i="49" s="1"/>
  <c r="I12" i="49"/>
  <c r="G133" i="49"/>
  <c r="F133" i="49" s="1"/>
  <c r="F113" i="49"/>
  <c r="L78" i="49"/>
  <c r="K77" i="49"/>
  <c r="K81" i="49" s="1"/>
  <c r="K102" i="49" s="1"/>
  <c r="N81" i="49"/>
  <c r="N102" i="49" s="1"/>
  <c r="H418" i="51"/>
  <c r="H308" i="51"/>
  <c r="H197" i="51"/>
  <c r="H198" i="51"/>
  <c r="N378" i="51"/>
  <c r="F332" i="51"/>
  <c r="H395" i="51"/>
  <c r="K197" i="51"/>
  <c r="K201" i="51" s="1"/>
  <c r="F362" i="51"/>
  <c r="G380" i="51"/>
  <c r="G401" i="51" s="1"/>
  <c r="G379" i="51"/>
  <c r="G400" i="51" s="1"/>
  <c r="F361" i="51"/>
  <c r="K498" i="51"/>
  <c r="K490" i="51" s="1"/>
  <c r="K481" i="51"/>
  <c r="K472" i="51"/>
  <c r="I63" i="50"/>
  <c r="I77" i="50"/>
  <c r="K112" i="50"/>
  <c r="K113" i="50" s="1"/>
  <c r="F187" i="51"/>
  <c r="M158" i="51"/>
  <c r="M162" i="51" s="1"/>
  <c r="M183" i="51" s="1"/>
  <c r="F142" i="51"/>
  <c r="I395" i="51"/>
  <c r="I375" i="51"/>
  <c r="I378" i="51" s="1"/>
  <c r="I376" i="51"/>
  <c r="I397" i="51" s="1"/>
  <c r="M78" i="51"/>
  <c r="M81" i="51" s="1"/>
  <c r="M4" i="51" s="1"/>
  <c r="M62" i="51"/>
  <c r="M66" i="51"/>
  <c r="G481" i="51"/>
  <c r="G472" i="51"/>
  <c r="G498" i="51"/>
  <c r="G490" i="51" s="1"/>
  <c r="H174" i="51"/>
  <c r="G25" i="49"/>
  <c r="J81" i="49"/>
  <c r="J102" i="49" s="1"/>
  <c r="F111" i="49"/>
  <c r="G129" i="49"/>
  <c r="F129" i="49" s="1"/>
  <c r="G429" i="51"/>
  <c r="H399" i="51"/>
  <c r="N181" i="51"/>
  <c r="F346" i="51"/>
  <c r="M418" i="51"/>
  <c r="M308" i="51"/>
  <c r="I203" i="51"/>
  <c r="I106" i="51" s="1"/>
  <c r="I93" i="51"/>
  <c r="G199" i="51"/>
  <c r="G200" i="51"/>
  <c r="L373" i="51"/>
  <c r="L374" i="51" s="1"/>
  <c r="G208" i="51"/>
  <c r="F208" i="51" s="1"/>
  <c r="F190" i="51"/>
  <c r="H201" i="51"/>
  <c r="F359" i="51"/>
  <c r="G385" i="51"/>
  <c r="G406" i="51" s="1"/>
  <c r="F367" i="51"/>
  <c r="G124" i="50"/>
  <c r="N161" i="51"/>
  <c r="N182" i="51" s="1"/>
  <c r="F86" i="50"/>
  <c r="L99" i="50"/>
  <c r="H70" i="51"/>
  <c r="H73" i="51"/>
  <c r="L434" i="51"/>
  <c r="L393" i="51"/>
  <c r="L354" i="51"/>
  <c r="L330" i="51"/>
  <c r="I197" i="51"/>
  <c r="I201" i="51" s="1"/>
  <c r="I373" i="51"/>
  <c r="I374" i="51" s="1"/>
  <c r="I396" i="51" s="1"/>
  <c r="I99" i="50"/>
  <c r="H122" i="49"/>
  <c r="H25" i="49" s="1"/>
  <c r="H12" i="49"/>
  <c r="F104" i="49"/>
  <c r="H52" i="51"/>
  <c r="L418" i="51"/>
  <c r="L308" i="51"/>
  <c r="H356" i="51"/>
  <c r="J399" i="51"/>
  <c r="F214" i="51"/>
  <c r="L397" i="51"/>
  <c r="N373" i="51"/>
  <c r="N377" i="51" s="1"/>
  <c r="N398" i="51" s="1"/>
  <c r="K199" i="51"/>
  <c r="K200" i="51" s="1"/>
  <c r="H375" i="51"/>
  <c r="H376" i="51" s="1"/>
  <c r="H397" i="51" s="1"/>
  <c r="K106" i="51"/>
  <c r="L162" i="51"/>
  <c r="K395" i="51"/>
  <c r="G375" i="51"/>
  <c r="G378" i="51" s="1"/>
  <c r="F358" i="51"/>
  <c r="F360" i="51"/>
  <c r="F357" i="51"/>
  <c r="G373" i="51"/>
  <c r="G374" i="51" s="1"/>
  <c r="G387" i="51"/>
  <c r="G408" i="51" s="1"/>
  <c r="F369" i="51"/>
  <c r="F209" i="51"/>
  <c r="G93" i="51"/>
  <c r="N106" i="51"/>
  <c r="G184" i="51"/>
  <c r="L70" i="51"/>
  <c r="L73" i="51"/>
  <c r="F160" i="50"/>
  <c r="H434" i="51"/>
  <c r="H393" i="51"/>
  <c r="H354" i="51"/>
  <c r="H330" i="51"/>
  <c r="F73" i="50"/>
  <c r="G123" i="50"/>
  <c r="F41" i="50"/>
  <c r="G112" i="50"/>
  <c r="G113" i="50" s="1"/>
  <c r="F95" i="50"/>
  <c r="F205" i="51"/>
  <c r="M202" i="51"/>
  <c r="I377" i="51"/>
  <c r="I398" i="51" s="1"/>
  <c r="M498" i="51"/>
  <c r="M490" i="51" s="1"/>
  <c r="M481" i="51"/>
  <c r="M472" i="51"/>
  <c r="J63" i="50"/>
  <c r="M121" i="49"/>
  <c r="K22" i="50"/>
  <c r="K119" i="50"/>
  <c r="K23" i="50"/>
  <c r="G12" i="49"/>
  <c r="J79" i="49"/>
  <c r="J82" i="49" s="1"/>
  <c r="J103" i="49" s="1"/>
  <c r="F61" i="49"/>
  <c r="G77" i="49"/>
  <c r="G81" i="49" s="1"/>
  <c r="H78" i="49"/>
  <c r="I118" i="49"/>
  <c r="I121" i="49" s="1"/>
  <c r="H121" i="49" l="1"/>
  <c r="G376" i="51"/>
  <c r="K268" i="51"/>
  <c r="G262" i="51"/>
  <c r="H261" i="51"/>
  <c r="H269" i="51"/>
  <c r="I259" i="51"/>
  <c r="I263" i="51"/>
  <c r="I271" i="51"/>
  <c r="N261" i="51"/>
  <c r="N269" i="51"/>
  <c r="L272" i="51"/>
  <c r="I119" i="49"/>
  <c r="N374" i="51"/>
  <c r="K260" i="51"/>
  <c r="K264" i="51" s="1"/>
  <c r="K265" i="51" s="1"/>
  <c r="G271" i="51"/>
  <c r="G268" i="51"/>
  <c r="L261" i="51"/>
  <c r="L269" i="51"/>
  <c r="M259" i="51"/>
  <c r="M263" i="51"/>
  <c r="N271" i="51"/>
  <c r="J262" i="51"/>
  <c r="J270" i="51"/>
  <c r="L200" i="51"/>
  <c r="K261" i="51"/>
  <c r="J259" i="51"/>
  <c r="K262" i="51"/>
  <c r="I272" i="51"/>
  <c r="L262" i="51"/>
  <c r="L270" i="51"/>
  <c r="M260" i="51"/>
  <c r="M264" i="51" s="1"/>
  <c r="M265" i="51" s="1"/>
  <c r="M268" i="51"/>
  <c r="N272" i="51"/>
  <c r="K263" i="51"/>
  <c r="H259" i="51"/>
  <c r="H263" i="51"/>
  <c r="H271" i="51"/>
  <c r="I261" i="51"/>
  <c r="I269" i="51"/>
  <c r="N259" i="51"/>
  <c r="N263" i="51"/>
  <c r="G272" i="51"/>
  <c r="G259" i="51"/>
  <c r="K269" i="51"/>
  <c r="L259" i="51"/>
  <c r="L263" i="51"/>
  <c r="M271" i="51"/>
  <c r="M261" i="51"/>
  <c r="M269" i="51"/>
  <c r="J260" i="51"/>
  <c r="J268" i="51"/>
  <c r="M272" i="51"/>
  <c r="J271" i="51"/>
  <c r="G377" i="51"/>
  <c r="I174" i="51"/>
  <c r="F115" i="50"/>
  <c r="G261" i="51"/>
  <c r="K271" i="51"/>
  <c r="H260" i="51"/>
  <c r="H268" i="51"/>
  <c r="H273" i="51" s="1"/>
  <c r="H274" i="51" s="1"/>
  <c r="J272" i="51"/>
  <c r="I262" i="51"/>
  <c r="I270" i="51"/>
  <c r="N260" i="51"/>
  <c r="N268" i="51"/>
  <c r="N273" i="51" s="1"/>
  <c r="N274" i="51" s="1"/>
  <c r="L271" i="51"/>
  <c r="J263" i="51"/>
  <c r="I198" i="51"/>
  <c r="G263" i="51"/>
  <c r="G260" i="51"/>
  <c r="G264" i="51" s="1"/>
  <c r="G265" i="51" s="1"/>
  <c r="L260" i="51"/>
  <c r="L268" i="51"/>
  <c r="M273" i="51"/>
  <c r="M274" i="51" s="1"/>
  <c r="M262" i="51"/>
  <c r="M270" i="51"/>
  <c r="J261" i="51"/>
  <c r="J269" i="51"/>
  <c r="H272" i="51"/>
  <c r="J377" i="51"/>
  <c r="J398" i="51" s="1"/>
  <c r="N174" i="51"/>
  <c r="N97" i="51" s="1"/>
  <c r="N96" i="51" s="1"/>
  <c r="N91" i="51" s="1"/>
  <c r="G198" i="51"/>
  <c r="K198" i="51"/>
  <c r="F399" i="51"/>
  <c r="F203" i="51"/>
  <c r="G273" i="51"/>
  <c r="G274" i="51" s="1"/>
  <c r="L264" i="51"/>
  <c r="L265" i="51" s="1"/>
  <c r="J308" i="51"/>
  <c r="F356" i="51"/>
  <c r="J485" i="51" s="1"/>
  <c r="N80" i="49"/>
  <c r="N101" i="49" s="1"/>
  <c r="H264" i="51"/>
  <c r="H265" i="51" s="1"/>
  <c r="I264" i="51"/>
  <c r="I265" i="51" s="1"/>
  <c r="I273" i="51"/>
  <c r="I274" i="51" s="1"/>
  <c r="F161" i="51"/>
  <c r="G78" i="49"/>
  <c r="K78" i="49"/>
  <c r="K93" i="49" s="1"/>
  <c r="K16" i="49" s="1"/>
  <c r="K15" i="49" s="1"/>
  <c r="K10" i="49" s="1"/>
  <c r="J80" i="49"/>
  <c r="J101" i="49" s="1"/>
  <c r="J118" i="49" s="1"/>
  <c r="J119" i="49" s="1"/>
  <c r="I414" i="51"/>
  <c r="I417" i="51" s="1"/>
  <c r="I49" i="51" s="1"/>
  <c r="N414" i="51"/>
  <c r="N417" i="51" s="1"/>
  <c r="H414" i="51"/>
  <c r="H417" i="51" s="1"/>
  <c r="N486" i="51"/>
  <c r="N485" i="51"/>
  <c r="N482" i="51"/>
  <c r="N477" i="51"/>
  <c r="N474" i="51"/>
  <c r="N473" i="51"/>
  <c r="H486" i="51"/>
  <c r="H485" i="51"/>
  <c r="H482" i="51"/>
  <c r="H477" i="51"/>
  <c r="L474" i="51"/>
  <c r="H474" i="51"/>
  <c r="H473" i="51"/>
  <c r="I477" i="51"/>
  <c r="I476" i="51"/>
  <c r="I474" i="51"/>
  <c r="G483" i="51"/>
  <c r="G482" i="51"/>
  <c r="G476" i="51"/>
  <c r="M484" i="51"/>
  <c r="M483" i="51"/>
  <c r="M477" i="51"/>
  <c r="K485" i="51"/>
  <c r="K476" i="51"/>
  <c r="K475" i="51"/>
  <c r="K477" i="51"/>
  <c r="F113" i="50"/>
  <c r="L396" i="51"/>
  <c r="K414" i="51"/>
  <c r="K417" i="51" s="1"/>
  <c r="J414" i="51"/>
  <c r="J415" i="51" s="1"/>
  <c r="H93" i="49"/>
  <c r="H16" i="49" s="1"/>
  <c r="H15" i="49" s="1"/>
  <c r="H10" i="49" s="1"/>
  <c r="H100" i="49"/>
  <c r="L75" i="51"/>
  <c r="G389" i="51"/>
  <c r="I23" i="50"/>
  <c r="I22" i="50"/>
  <c r="I119" i="50"/>
  <c r="I28" i="50" s="1"/>
  <c r="G418" i="51"/>
  <c r="F400" i="51"/>
  <c r="G308" i="51"/>
  <c r="N75" i="51"/>
  <c r="J389" i="51"/>
  <c r="J199" i="51"/>
  <c r="J200" i="51" s="1"/>
  <c r="K28" i="50"/>
  <c r="K159" i="50"/>
  <c r="K32" i="50" s="1"/>
  <c r="I159" i="50"/>
  <c r="I32" i="50" s="1"/>
  <c r="G419" i="51"/>
  <c r="F401" i="51"/>
  <c r="L377" i="51"/>
  <c r="L398" i="51" s="1"/>
  <c r="I412" i="51"/>
  <c r="I413" i="51" s="1"/>
  <c r="N118" i="49"/>
  <c r="N119" i="49" s="1"/>
  <c r="H374" i="51"/>
  <c r="F405" i="51"/>
  <c r="G423" i="51"/>
  <c r="M373" i="51"/>
  <c r="M377" i="51" s="1"/>
  <c r="M398" i="51" s="1"/>
  <c r="M374" i="51"/>
  <c r="J321" i="51"/>
  <c r="J50" i="51"/>
  <c r="L119" i="49"/>
  <c r="G426" i="51"/>
  <c r="F408" i="51"/>
  <c r="K378" i="51"/>
  <c r="N389" i="51"/>
  <c r="I389" i="51"/>
  <c r="N200" i="51"/>
  <c r="N199" i="51"/>
  <c r="N202" i="51" s="1"/>
  <c r="G424" i="51"/>
  <c r="F424" i="51" s="1"/>
  <c r="F406" i="51"/>
  <c r="F409" i="51"/>
  <c r="F25" i="49"/>
  <c r="M70" i="51"/>
  <c r="M73" i="51"/>
  <c r="H321" i="51"/>
  <c r="H50" i="51"/>
  <c r="I78" i="49"/>
  <c r="J22" i="50"/>
  <c r="J119" i="50"/>
  <c r="J23" i="50"/>
  <c r="I321" i="51"/>
  <c r="I50" i="51"/>
  <c r="G420" i="51"/>
  <c r="F402" i="51"/>
  <c r="H202" i="51"/>
  <c r="H215" i="51" s="1"/>
  <c r="H216" i="51" s="1"/>
  <c r="K412" i="51"/>
  <c r="K416" i="51" s="1"/>
  <c r="K48" i="51" s="1"/>
  <c r="M78" i="49"/>
  <c r="G12" i="51"/>
  <c r="K119" i="49"/>
  <c r="K389" i="51"/>
  <c r="K15" i="51" s="1"/>
  <c r="K16" i="51" s="1"/>
  <c r="J378" i="51"/>
  <c r="J116" i="49"/>
  <c r="J120" i="49" s="1"/>
  <c r="N93" i="49"/>
  <c r="N16" i="49" s="1"/>
  <c r="N15" i="49" s="1"/>
  <c r="N10" i="49" s="1"/>
  <c r="L183" i="51"/>
  <c r="F162" i="51"/>
  <c r="L414" i="51"/>
  <c r="L417" i="51" s="1"/>
  <c r="L49" i="51" s="1"/>
  <c r="G398" i="51"/>
  <c r="G397" i="51"/>
  <c r="N180" i="51"/>
  <c r="L197" i="51"/>
  <c r="L198" i="51" s="1"/>
  <c r="J396" i="51"/>
  <c r="H75" i="51"/>
  <c r="M321" i="51"/>
  <c r="M50" i="51"/>
  <c r="H378" i="51"/>
  <c r="F63" i="50"/>
  <c r="K202" i="51"/>
  <c r="K105" i="51" s="1"/>
  <c r="K104" i="51" s="1"/>
  <c r="K103" i="51" s="1"/>
  <c r="J174" i="51"/>
  <c r="J181" i="51"/>
  <c r="I200" i="51"/>
  <c r="I215" i="51" s="1"/>
  <c r="I216" i="51" s="1"/>
  <c r="M376" i="51"/>
  <c r="M397" i="51" s="1"/>
  <c r="L174" i="51"/>
  <c r="N116" i="49"/>
  <c r="N120" i="49" s="1"/>
  <c r="F81" i="49"/>
  <c r="G102" i="49"/>
  <c r="I416" i="51"/>
  <c r="I48" i="51" s="1"/>
  <c r="F163" i="51"/>
  <c r="F99" i="50"/>
  <c r="G99" i="50" s="1"/>
  <c r="G202" i="51"/>
  <c r="F184" i="51"/>
  <c r="L321" i="51"/>
  <c r="L50" i="51"/>
  <c r="L119" i="50"/>
  <c r="L23" i="50"/>
  <c r="L22" i="50"/>
  <c r="F182" i="51"/>
  <c r="N197" i="51"/>
  <c r="N201" i="51" s="1"/>
  <c r="F429" i="51"/>
  <c r="F57" i="51" s="1"/>
  <c r="G57" i="51"/>
  <c r="F122" i="49"/>
  <c r="M159" i="51"/>
  <c r="G396" i="51"/>
  <c r="L93" i="49"/>
  <c r="L16" i="49" s="1"/>
  <c r="L15" i="49" s="1"/>
  <c r="L10" i="49" s="1"/>
  <c r="L100" i="49"/>
  <c r="F77" i="50"/>
  <c r="H119" i="50"/>
  <c r="H23" i="50"/>
  <c r="H22" i="50"/>
  <c r="G106" i="51"/>
  <c r="F106" i="51" s="1"/>
  <c r="G306" i="51"/>
  <c r="N396" i="51"/>
  <c r="K70" i="51"/>
  <c r="K73" i="51"/>
  <c r="F407" i="51"/>
  <c r="G425" i="51"/>
  <c r="F425" i="51" s="1"/>
  <c r="K321" i="51"/>
  <c r="K50" i="51"/>
  <c r="N321" i="51"/>
  <c r="N50" i="51"/>
  <c r="J93" i="49" l="1"/>
  <c r="J16" i="49" s="1"/>
  <c r="J15" i="49" s="1"/>
  <c r="J10" i="49" s="1"/>
  <c r="J99" i="49" s="1"/>
  <c r="K100" i="49"/>
  <c r="K116" i="49" s="1"/>
  <c r="K120" i="49" s="1"/>
  <c r="F378" i="51"/>
  <c r="K484" i="51"/>
  <c r="M482" i="51"/>
  <c r="G477" i="51"/>
  <c r="I475" i="51"/>
  <c r="L473" i="51"/>
  <c r="L477" i="51"/>
  <c r="L485" i="51"/>
  <c r="J474" i="51"/>
  <c r="J482" i="51"/>
  <c r="J486" i="51"/>
  <c r="L273" i="51"/>
  <c r="L274" i="51" s="1"/>
  <c r="N264" i="51"/>
  <c r="N265" i="51" s="1"/>
  <c r="L482" i="51"/>
  <c r="L486" i="51"/>
  <c r="J475" i="51"/>
  <c r="J483" i="51"/>
  <c r="I15" i="51"/>
  <c r="K482" i="51"/>
  <c r="M473" i="51"/>
  <c r="G486" i="51"/>
  <c r="G484" i="51"/>
  <c r="G487" i="51" s="1"/>
  <c r="G488" i="51" s="1"/>
  <c r="I482" i="51"/>
  <c r="H475" i="51"/>
  <c r="H483" i="51"/>
  <c r="H487" i="51" s="1"/>
  <c r="H488" i="51" s="1"/>
  <c r="M485" i="51"/>
  <c r="N475" i="51"/>
  <c r="N483" i="51"/>
  <c r="N121" i="49"/>
  <c r="K473" i="51"/>
  <c r="K478" i="51" s="1"/>
  <c r="K479" i="51" s="1"/>
  <c r="M474" i="51"/>
  <c r="G473" i="51"/>
  <c r="G485" i="51"/>
  <c r="I483" i="51"/>
  <c r="L475" i="51"/>
  <c r="L483" i="51"/>
  <c r="I486" i="51"/>
  <c r="J476" i="51"/>
  <c r="J484" i="51"/>
  <c r="J47" i="51"/>
  <c r="K474" i="51"/>
  <c r="M475" i="51"/>
  <c r="G474" i="51"/>
  <c r="K486" i="51"/>
  <c r="I484" i="51"/>
  <c r="H476" i="51"/>
  <c r="H484" i="51"/>
  <c r="M486" i="51"/>
  <c r="N476" i="51"/>
  <c r="N484" i="51"/>
  <c r="J273" i="51"/>
  <c r="J274" i="51" s="1"/>
  <c r="N478" i="51"/>
  <c r="N479" i="51" s="1"/>
  <c r="K413" i="51"/>
  <c r="K46" i="51" s="1"/>
  <c r="K415" i="51"/>
  <c r="K47" i="51" s="1"/>
  <c r="K483" i="51"/>
  <c r="M476" i="51"/>
  <c r="G475" i="51"/>
  <c r="I473" i="51"/>
  <c r="I478" i="51" s="1"/>
  <c r="I479" i="51" s="1"/>
  <c r="I485" i="51"/>
  <c r="L476" i="51"/>
  <c r="L484" i="51"/>
  <c r="J473" i="51"/>
  <c r="J477" i="51"/>
  <c r="J264" i="51"/>
  <c r="J265" i="51" s="1"/>
  <c r="K273" i="51"/>
  <c r="K274" i="51" s="1"/>
  <c r="I105" i="51"/>
  <c r="I104" i="51" s="1"/>
  <c r="I103" i="51" s="1"/>
  <c r="F376" i="51"/>
  <c r="M487" i="51"/>
  <c r="M488" i="51" s="1"/>
  <c r="L487" i="51"/>
  <c r="L488" i="51" s="1"/>
  <c r="J478" i="51"/>
  <c r="J479" i="51" s="1"/>
  <c r="H49" i="51"/>
  <c r="M478" i="51"/>
  <c r="M479" i="51" s="1"/>
  <c r="I487" i="51"/>
  <c r="I488" i="51" s="1"/>
  <c r="H478" i="51"/>
  <c r="H479" i="51" s="1"/>
  <c r="N487" i="51"/>
  <c r="N488" i="51" s="1"/>
  <c r="N49" i="51"/>
  <c r="F200" i="51"/>
  <c r="G478" i="51"/>
  <c r="G479" i="51" s="1"/>
  <c r="N117" i="49"/>
  <c r="J121" i="49"/>
  <c r="F78" i="49"/>
  <c r="I249" i="51"/>
  <c r="I252" i="51" s="1"/>
  <c r="I222" i="51"/>
  <c r="I227" i="51" s="1"/>
  <c r="H249" i="51"/>
  <c r="H252" i="51" s="1"/>
  <c r="H222" i="51"/>
  <c r="H227" i="51" s="1"/>
  <c r="L99" i="49"/>
  <c r="J412" i="51"/>
  <c r="J416" i="51" s="1"/>
  <c r="G414" i="51"/>
  <c r="G417" i="51" s="1"/>
  <c r="F397" i="51"/>
  <c r="N99" i="49"/>
  <c r="M93" i="49"/>
  <c r="M16" i="49" s="1"/>
  <c r="M15" i="49" s="1"/>
  <c r="M10" i="49" s="1"/>
  <c r="M100" i="49"/>
  <c r="H105" i="51"/>
  <c r="H104" i="51" s="1"/>
  <c r="H103" i="51" s="1"/>
  <c r="F426" i="51"/>
  <c r="F56" i="51" s="1"/>
  <c r="G56" i="51"/>
  <c r="H389" i="51"/>
  <c r="H15" i="51" s="1"/>
  <c r="H16" i="51" s="1"/>
  <c r="H396" i="51"/>
  <c r="I46" i="51"/>
  <c r="J202" i="51"/>
  <c r="H116" i="49"/>
  <c r="H120" i="49" s="1"/>
  <c r="F102" i="49"/>
  <c r="N15" i="51"/>
  <c r="N16" i="51" s="1"/>
  <c r="N312" i="51"/>
  <c r="N311" i="51" s="1"/>
  <c r="N306" i="51" s="1"/>
  <c r="J15" i="51"/>
  <c r="N76" i="51"/>
  <c r="N80" i="51"/>
  <c r="N82" i="51" s="1"/>
  <c r="G15" i="51"/>
  <c r="N415" i="51"/>
  <c r="N47" i="51" s="1"/>
  <c r="N412" i="51"/>
  <c r="N416" i="51" s="1"/>
  <c r="N48" i="51" s="1"/>
  <c r="M174" i="51"/>
  <c r="M97" i="51" s="1"/>
  <c r="M181" i="51"/>
  <c r="N198" i="51"/>
  <c r="J417" i="51"/>
  <c r="F119" i="50"/>
  <c r="G119" i="50" s="1"/>
  <c r="G28" i="50" s="1"/>
  <c r="M415" i="51"/>
  <c r="M47" i="51" s="1"/>
  <c r="M414" i="51"/>
  <c r="M417" i="51" s="1"/>
  <c r="M49" i="51" s="1"/>
  <c r="H80" i="51"/>
  <c r="H82" i="51" s="1"/>
  <c r="H76" i="51"/>
  <c r="K215" i="51"/>
  <c r="K216" i="51" s="1"/>
  <c r="F377" i="51"/>
  <c r="L415" i="51"/>
  <c r="L47" i="51" s="1"/>
  <c r="J117" i="49"/>
  <c r="F420" i="51"/>
  <c r="F52" i="51" s="1"/>
  <c r="G52" i="51"/>
  <c r="J28" i="50"/>
  <c r="J159" i="50"/>
  <c r="J32" i="50" s="1"/>
  <c r="F423" i="51"/>
  <c r="F53" i="51" s="1"/>
  <c r="G53" i="51"/>
  <c r="L80" i="51"/>
  <c r="L82" i="51" s="1"/>
  <c r="L76" i="51"/>
  <c r="K49" i="51"/>
  <c r="L389" i="51"/>
  <c r="L15" i="51" s="1"/>
  <c r="L16" i="51" s="1"/>
  <c r="H415" i="51"/>
  <c r="H47" i="51" s="1"/>
  <c r="F159" i="51"/>
  <c r="H28" i="50"/>
  <c r="H159" i="50"/>
  <c r="H32" i="50" s="1"/>
  <c r="F202" i="51"/>
  <c r="L201" i="51"/>
  <c r="L105" i="51" s="1"/>
  <c r="L104" i="51" s="1"/>
  <c r="L103" i="51" s="1"/>
  <c r="F183" i="51"/>
  <c r="I93" i="49"/>
  <c r="I16" i="49" s="1"/>
  <c r="I15" i="49" s="1"/>
  <c r="I10" i="49" s="1"/>
  <c r="I100" i="49"/>
  <c r="M75" i="51"/>
  <c r="M389" i="51"/>
  <c r="M396" i="51"/>
  <c r="G215" i="51"/>
  <c r="F374" i="51"/>
  <c r="G413" i="51"/>
  <c r="G412" i="51"/>
  <c r="G416" i="51" s="1"/>
  <c r="G22" i="50"/>
  <c r="G23" i="50"/>
  <c r="G159" i="50"/>
  <c r="K99" i="49"/>
  <c r="F398" i="51"/>
  <c r="F419" i="51"/>
  <c r="F51" i="51" s="1"/>
  <c r="G51" i="51"/>
  <c r="H99" i="49"/>
  <c r="L412" i="51"/>
  <c r="L413" i="51" s="1"/>
  <c r="K75" i="51"/>
  <c r="G395" i="51"/>
  <c r="L116" i="49"/>
  <c r="L120" i="49" s="1"/>
  <c r="L28" i="50"/>
  <c r="L159" i="50"/>
  <c r="L32" i="50" s="1"/>
  <c r="J197" i="51"/>
  <c r="J201" i="51" s="1"/>
  <c r="F181" i="51"/>
  <c r="I188" i="50"/>
  <c r="K187" i="50"/>
  <c r="G187" i="50"/>
  <c r="I186" i="50"/>
  <c r="K185" i="50"/>
  <c r="G185" i="50"/>
  <c r="I184" i="50"/>
  <c r="I179" i="50"/>
  <c r="K178" i="50"/>
  <c r="G178" i="50"/>
  <c r="I177" i="50"/>
  <c r="K176" i="50"/>
  <c r="G176" i="50"/>
  <c r="I175" i="50"/>
  <c r="L188" i="50"/>
  <c r="H188" i="50"/>
  <c r="J187" i="50"/>
  <c r="L186" i="50"/>
  <c r="H186" i="50"/>
  <c r="J185" i="50"/>
  <c r="L184" i="50"/>
  <c r="H184" i="50"/>
  <c r="L179" i="50"/>
  <c r="H179" i="50"/>
  <c r="J178" i="50"/>
  <c r="L177" i="50"/>
  <c r="H177" i="50"/>
  <c r="J176" i="50"/>
  <c r="L175" i="50"/>
  <c r="H175" i="50"/>
  <c r="K188" i="50"/>
  <c r="G188" i="50"/>
  <c r="I187" i="50"/>
  <c r="K186" i="50"/>
  <c r="G186" i="50"/>
  <c r="I185" i="50"/>
  <c r="I189" i="50" s="1"/>
  <c r="I190" i="50" s="1"/>
  <c r="I78" i="50" s="1"/>
  <c r="K184" i="50"/>
  <c r="G184" i="50"/>
  <c r="K179" i="50"/>
  <c r="G179" i="50"/>
  <c r="I178" i="50"/>
  <c r="K177" i="50"/>
  <c r="G177" i="50"/>
  <c r="I176" i="50"/>
  <c r="I180" i="50" s="1"/>
  <c r="I181" i="50" s="1"/>
  <c r="K175" i="50"/>
  <c r="G175" i="50"/>
  <c r="H187" i="50"/>
  <c r="J184" i="50"/>
  <c r="H178" i="50"/>
  <c r="J175" i="50"/>
  <c r="L187" i="50"/>
  <c r="H185" i="50"/>
  <c r="H176" i="50"/>
  <c r="J186" i="50"/>
  <c r="J177" i="50"/>
  <c r="L178" i="50"/>
  <c r="J188" i="50"/>
  <c r="L185" i="50"/>
  <c r="J179" i="50"/>
  <c r="L176" i="50"/>
  <c r="L215" i="51"/>
  <c r="L216" i="51" s="1"/>
  <c r="G78" i="51"/>
  <c r="G62" i="51"/>
  <c r="G66" i="51"/>
  <c r="K320" i="51"/>
  <c r="K319" i="51" s="1"/>
  <c r="K318" i="51" s="1"/>
  <c r="L416" i="51"/>
  <c r="G105" i="51"/>
  <c r="F418" i="51"/>
  <c r="F50" i="51" s="1"/>
  <c r="G321" i="51"/>
  <c r="F321" i="51" s="1"/>
  <c r="G50" i="51"/>
  <c r="I415" i="51"/>
  <c r="I47" i="51" s="1"/>
  <c r="N134" i="49" l="1"/>
  <c r="N135" i="49" s="1"/>
  <c r="N167" i="49" s="1"/>
  <c r="N170" i="49" s="1"/>
  <c r="N24" i="49"/>
  <c r="N23" i="49" s="1"/>
  <c r="N22" i="49" s="1"/>
  <c r="L117" i="49"/>
  <c r="L134" i="49" s="1"/>
  <c r="L135" i="49" s="1"/>
  <c r="K430" i="51"/>
  <c r="K431" i="51" s="1"/>
  <c r="L478" i="51"/>
  <c r="L479" i="51" s="1"/>
  <c r="H180" i="50"/>
  <c r="H181" i="50" s="1"/>
  <c r="H189" i="50"/>
  <c r="H190" i="50" s="1"/>
  <c r="H78" i="50" s="1"/>
  <c r="K180" i="50"/>
  <c r="K181" i="50" s="1"/>
  <c r="L180" i="50"/>
  <c r="L181" i="50" s="1"/>
  <c r="L189" i="50"/>
  <c r="L190" i="50" s="1"/>
  <c r="L78" i="50" s="1"/>
  <c r="G180" i="50"/>
  <c r="G181" i="50" s="1"/>
  <c r="J487" i="51"/>
  <c r="J488" i="51" s="1"/>
  <c r="K487" i="51"/>
  <c r="K488" i="51" s="1"/>
  <c r="J180" i="50"/>
  <c r="J181" i="50" s="1"/>
  <c r="G189" i="50"/>
  <c r="G190" i="50" s="1"/>
  <c r="G78" i="50" s="1"/>
  <c r="G81" i="50" s="1"/>
  <c r="N413" i="51"/>
  <c r="J189" i="50"/>
  <c r="J190" i="50" s="1"/>
  <c r="J78" i="50" s="1"/>
  <c r="J81" i="50" s="1"/>
  <c r="K189" i="50"/>
  <c r="K190" i="50" s="1"/>
  <c r="K78" i="50" s="1"/>
  <c r="K83" i="50" s="1"/>
  <c r="K81" i="50"/>
  <c r="G48" i="51"/>
  <c r="G84" i="50"/>
  <c r="G104" i="51"/>
  <c r="K463" i="51"/>
  <c r="K466" i="51" s="1"/>
  <c r="K436" i="51"/>
  <c r="K441" i="51" s="1"/>
  <c r="G46" i="51"/>
  <c r="M15" i="51"/>
  <c r="M16" i="51" s="1"/>
  <c r="M312" i="51"/>
  <c r="I116" i="49"/>
  <c r="I120" i="49" s="1"/>
  <c r="K222" i="51"/>
  <c r="K227" i="51" s="1"/>
  <c r="K249" i="51"/>
  <c r="K252" i="51" s="1"/>
  <c r="M197" i="51"/>
  <c r="M201" i="51" s="1"/>
  <c r="F201" i="51" s="1"/>
  <c r="G16" i="51"/>
  <c r="H412" i="51"/>
  <c r="H416" i="51" s="1"/>
  <c r="H48" i="51" s="1"/>
  <c r="F417" i="51"/>
  <c r="F49" i="51" s="1"/>
  <c r="G49" i="51"/>
  <c r="L48" i="51"/>
  <c r="G70" i="51"/>
  <c r="G73" i="51"/>
  <c r="G81" i="51"/>
  <c r="L80" i="50"/>
  <c r="L84" i="50"/>
  <c r="L83" i="50"/>
  <c r="L82" i="50"/>
  <c r="L79" i="50"/>
  <c r="L81" i="50"/>
  <c r="L430" i="51"/>
  <c r="L431" i="51" s="1"/>
  <c r="L320" i="51"/>
  <c r="L319" i="51" s="1"/>
  <c r="L318" i="51" s="1"/>
  <c r="L46" i="51"/>
  <c r="I99" i="49"/>
  <c r="J24" i="49"/>
  <c r="J23" i="49" s="1"/>
  <c r="J22" i="49" s="1"/>
  <c r="J134" i="49"/>
  <c r="J135" i="49" s="1"/>
  <c r="F28" i="50"/>
  <c r="M96" i="51"/>
  <c r="F97" i="51"/>
  <c r="F389" i="51"/>
  <c r="I60" i="51"/>
  <c r="M116" i="49"/>
  <c r="M120" i="49" s="1"/>
  <c r="J48" i="51"/>
  <c r="K60" i="51"/>
  <c r="K61" i="51" s="1"/>
  <c r="J198" i="51"/>
  <c r="F396" i="51"/>
  <c r="G216" i="51"/>
  <c r="M80" i="51"/>
  <c r="M82" i="51" s="1"/>
  <c r="M76" i="51"/>
  <c r="K117" i="49"/>
  <c r="J49" i="51"/>
  <c r="I320" i="51"/>
  <c r="I319" i="51" s="1"/>
  <c r="I318" i="51" s="1"/>
  <c r="M99" i="49"/>
  <c r="G415" i="51"/>
  <c r="G320" i="51" s="1"/>
  <c r="J413" i="51"/>
  <c r="I237" i="51"/>
  <c r="I229" i="51"/>
  <c r="I239" i="51" s="1"/>
  <c r="I228" i="51"/>
  <c r="I238" i="51" s="1"/>
  <c r="H80" i="50"/>
  <c r="H84" i="50"/>
  <c r="H82" i="50"/>
  <c r="H83" i="50"/>
  <c r="H81" i="50"/>
  <c r="H79" i="50"/>
  <c r="L249" i="51"/>
  <c r="L252" i="51" s="1"/>
  <c r="L222" i="51"/>
  <c r="L227" i="51" s="1"/>
  <c r="I81" i="50"/>
  <c r="I80" i="50"/>
  <c r="I83" i="50"/>
  <c r="I84" i="50"/>
  <c r="I79" i="50"/>
  <c r="I82" i="50"/>
  <c r="K76" i="51"/>
  <c r="K80" i="51"/>
  <c r="K82" i="51" s="1"/>
  <c r="F159" i="50"/>
  <c r="G32" i="50"/>
  <c r="F32" i="50" s="1"/>
  <c r="M412" i="51"/>
  <c r="M416" i="51" s="1"/>
  <c r="M48" i="51" s="1"/>
  <c r="M413" i="51"/>
  <c r="N215" i="51"/>
  <c r="N216" i="51" s="1"/>
  <c r="N105" i="51"/>
  <c r="N104" i="51" s="1"/>
  <c r="N103" i="51" s="1"/>
  <c r="N430" i="51"/>
  <c r="N320" i="51"/>
  <c r="N319" i="51" s="1"/>
  <c r="N318" i="51" s="1"/>
  <c r="N46" i="51"/>
  <c r="N60" i="51" s="1"/>
  <c r="N61" i="51" s="1"/>
  <c r="N431" i="51"/>
  <c r="N395" i="51"/>
  <c r="H117" i="49"/>
  <c r="I430" i="51"/>
  <c r="I431" i="51" s="1"/>
  <c r="F174" i="51"/>
  <c r="H228" i="51"/>
  <c r="H238" i="51" s="1"/>
  <c r="H237" i="51"/>
  <c r="H229" i="51"/>
  <c r="H239" i="51" s="1"/>
  <c r="N140" i="49" l="1"/>
  <c r="N145" i="49" s="1"/>
  <c r="N147" i="49" s="1"/>
  <c r="N157" i="49" s="1"/>
  <c r="L24" i="49"/>
  <c r="L23" i="49" s="1"/>
  <c r="L22" i="49" s="1"/>
  <c r="G80" i="50"/>
  <c r="G83" i="50"/>
  <c r="G79" i="50"/>
  <c r="L60" i="51"/>
  <c r="L61" i="51" s="1"/>
  <c r="G82" i="50"/>
  <c r="K82" i="50"/>
  <c r="F416" i="51"/>
  <c r="F48" i="51" s="1"/>
  <c r="J79" i="50"/>
  <c r="J88" i="50" s="1"/>
  <c r="J82" i="50"/>
  <c r="H110" i="51"/>
  <c r="I110" i="51"/>
  <c r="F16" i="51"/>
  <c r="M18" i="51" s="1"/>
  <c r="K84" i="50"/>
  <c r="K79" i="50"/>
  <c r="J80" i="50"/>
  <c r="F15" i="51"/>
  <c r="K80" i="50"/>
  <c r="J84" i="50"/>
  <c r="H413" i="51"/>
  <c r="J83" i="50"/>
  <c r="G319" i="51"/>
  <c r="G222" i="51"/>
  <c r="G249" i="51"/>
  <c r="J167" i="49"/>
  <c r="J170" i="49" s="1"/>
  <c r="J140" i="49"/>
  <c r="J145" i="49" s="1"/>
  <c r="K18" i="51"/>
  <c r="G18" i="51"/>
  <c r="L18" i="51"/>
  <c r="J18" i="51"/>
  <c r="H18" i="51"/>
  <c r="K442" i="51"/>
  <c r="K452" i="51" s="1"/>
  <c r="K325" i="51" s="1"/>
  <c r="K451" i="51"/>
  <c r="K443" i="51"/>
  <c r="K453" i="51" s="1"/>
  <c r="N249" i="51"/>
  <c r="N252" i="51" s="1"/>
  <c r="N222" i="51"/>
  <c r="N227" i="51" s="1"/>
  <c r="I88" i="50"/>
  <c r="K24" i="49"/>
  <c r="K23" i="49" s="1"/>
  <c r="K22" i="49" s="1"/>
  <c r="K134" i="49"/>
  <c r="K135" i="49" s="1"/>
  <c r="M91" i="51"/>
  <c r="F96" i="51"/>
  <c r="L140" i="49"/>
  <c r="L145" i="49" s="1"/>
  <c r="L167" i="49"/>
  <c r="L170" i="49" s="1"/>
  <c r="H430" i="51"/>
  <c r="H431" i="51" s="1"/>
  <c r="H320" i="51"/>
  <c r="H319" i="51" s="1"/>
  <c r="H318" i="51" s="1"/>
  <c r="H46" i="51"/>
  <c r="H60" i="51" s="1"/>
  <c r="H61" i="51" s="1"/>
  <c r="I117" i="49"/>
  <c r="F82" i="50"/>
  <c r="I463" i="51"/>
  <c r="I466" i="51" s="1"/>
  <c r="I436" i="51"/>
  <c r="I441" i="51" s="1"/>
  <c r="M430" i="51"/>
  <c r="M320" i="51"/>
  <c r="M319" i="51" s="1"/>
  <c r="M318" i="51" s="1"/>
  <c r="L228" i="51"/>
  <c r="L238" i="51" s="1"/>
  <c r="L237" i="51"/>
  <c r="L229" i="51"/>
  <c r="L239" i="51" s="1"/>
  <c r="H88" i="50"/>
  <c r="I248" i="51"/>
  <c r="I109" i="51"/>
  <c r="I108" i="51" s="1"/>
  <c r="I102" i="51" s="1"/>
  <c r="I113" i="51" s="1"/>
  <c r="G4" i="51"/>
  <c r="N146" i="49"/>
  <c r="N156" i="49" s="1"/>
  <c r="M198" i="51"/>
  <c r="M46" i="51" s="1"/>
  <c r="M60" i="51" s="1"/>
  <c r="M61" i="51" s="1"/>
  <c r="M311" i="51"/>
  <c r="F312" i="51"/>
  <c r="F413" i="51"/>
  <c r="F81" i="50"/>
  <c r="G88" i="50"/>
  <c r="H134" i="49"/>
  <c r="H135" i="49" s="1"/>
  <c r="H24" i="49"/>
  <c r="H23" i="49" s="1"/>
  <c r="H22" i="49" s="1"/>
  <c r="F415" i="51"/>
  <c r="F47" i="51" s="1"/>
  <c r="G47" i="51"/>
  <c r="G60" i="51" s="1"/>
  <c r="J215" i="51"/>
  <c r="J105" i="51"/>
  <c r="L88" i="50"/>
  <c r="F80" i="50"/>
  <c r="K228" i="51"/>
  <c r="K238" i="51" s="1"/>
  <c r="K237" i="51"/>
  <c r="K229" i="51"/>
  <c r="K239" i="51" s="1"/>
  <c r="F83" i="50"/>
  <c r="H109" i="51"/>
  <c r="H248" i="51"/>
  <c r="N463" i="51"/>
  <c r="N466" i="51" s="1"/>
  <c r="N436" i="51"/>
  <c r="N441" i="51" s="1"/>
  <c r="J430" i="51"/>
  <c r="J431" i="51" s="1"/>
  <c r="J320" i="51"/>
  <c r="J319" i="51" s="1"/>
  <c r="J318" i="51" s="1"/>
  <c r="J46" i="51"/>
  <c r="J60" i="51" s="1"/>
  <c r="M117" i="49"/>
  <c r="L463" i="51"/>
  <c r="L466" i="51" s="1"/>
  <c r="L436" i="51"/>
  <c r="L441" i="51" s="1"/>
  <c r="G75" i="51"/>
  <c r="G430" i="51"/>
  <c r="G103" i="51"/>
  <c r="F84" i="50"/>
  <c r="N155" i="49" l="1"/>
  <c r="N166" i="49" s="1"/>
  <c r="F79" i="50"/>
  <c r="F198" i="51"/>
  <c r="N18" i="51"/>
  <c r="F46" i="51"/>
  <c r="K88" i="50"/>
  <c r="I18" i="51"/>
  <c r="H108" i="51"/>
  <c r="H102" i="51" s="1"/>
  <c r="H113" i="51" s="1"/>
  <c r="F60" i="51"/>
  <c r="G61" i="51"/>
  <c r="F61" i="51" s="1"/>
  <c r="G76" i="51"/>
  <c r="G80" i="51"/>
  <c r="H250" i="51"/>
  <c r="H167" i="49"/>
  <c r="H170" i="49" s="1"/>
  <c r="H140" i="49"/>
  <c r="H145" i="49" s="1"/>
  <c r="H98" i="50"/>
  <c r="H40" i="50"/>
  <c r="H12" i="50"/>
  <c r="H11" i="50" s="1"/>
  <c r="I443" i="51"/>
  <c r="I453" i="51" s="1"/>
  <c r="I442" i="51"/>
  <c r="I452" i="51" s="1"/>
  <c r="I451" i="51"/>
  <c r="M134" i="49"/>
  <c r="M135" i="49" s="1"/>
  <c r="M24" i="49"/>
  <c r="M23" i="49" s="1"/>
  <c r="M22" i="49" s="1"/>
  <c r="K98" i="50"/>
  <c r="K40" i="50"/>
  <c r="K12" i="50"/>
  <c r="K11" i="50" s="1"/>
  <c r="F320" i="51"/>
  <c r="J12" i="50"/>
  <c r="J11" i="50" s="1"/>
  <c r="J98" i="50"/>
  <c r="J40" i="50"/>
  <c r="N442" i="51"/>
  <c r="N452" i="51" s="1"/>
  <c r="N451" i="51"/>
  <c r="N443" i="51"/>
  <c r="N453" i="51" s="1"/>
  <c r="K110" i="51"/>
  <c r="J104" i="51"/>
  <c r="M306" i="51"/>
  <c r="F311" i="51"/>
  <c r="N29" i="49"/>
  <c r="L248" i="51"/>
  <c r="L109" i="51"/>
  <c r="H463" i="51"/>
  <c r="H466" i="51" s="1"/>
  <c r="H436" i="51"/>
  <c r="H441" i="51" s="1"/>
  <c r="I40" i="50"/>
  <c r="I12" i="50"/>
  <c r="I11" i="50" s="1"/>
  <c r="I98" i="50"/>
  <c r="J146" i="49"/>
  <c r="J156" i="49" s="1"/>
  <c r="J155" i="49"/>
  <c r="J147" i="49"/>
  <c r="J157" i="49" s="1"/>
  <c r="G227" i="51"/>
  <c r="J463" i="51"/>
  <c r="J466" i="51" s="1"/>
  <c r="J436" i="51"/>
  <c r="J441" i="51" s="1"/>
  <c r="L155" i="49"/>
  <c r="L147" i="49"/>
  <c r="L157" i="49" s="1"/>
  <c r="L146" i="49"/>
  <c r="L156" i="49" s="1"/>
  <c r="K167" i="49"/>
  <c r="K170" i="49" s="1"/>
  <c r="K140" i="49"/>
  <c r="K145" i="49" s="1"/>
  <c r="F319" i="51"/>
  <c r="G318" i="51"/>
  <c r="K248" i="51"/>
  <c r="K109" i="51"/>
  <c r="G98" i="50"/>
  <c r="G40" i="50"/>
  <c r="G12" i="50"/>
  <c r="F88" i="50"/>
  <c r="F98" i="50" s="1"/>
  <c r="G252" i="51"/>
  <c r="F430" i="51"/>
  <c r="G431" i="51"/>
  <c r="L451" i="51"/>
  <c r="L443" i="51"/>
  <c r="L453" i="51" s="1"/>
  <c r="L442" i="51"/>
  <c r="L452" i="51" s="1"/>
  <c r="L98" i="50"/>
  <c r="L40" i="50"/>
  <c r="L12" i="50"/>
  <c r="L11" i="50" s="1"/>
  <c r="J216" i="51"/>
  <c r="M105" i="51"/>
  <c r="M104" i="51" s="1"/>
  <c r="M103" i="51" s="1"/>
  <c r="M215" i="51"/>
  <c r="M216" i="51" s="1"/>
  <c r="I250" i="51"/>
  <c r="L110" i="51"/>
  <c r="I134" i="49"/>
  <c r="I135" i="49" s="1"/>
  <c r="I24" i="49"/>
  <c r="I23" i="49" s="1"/>
  <c r="I22" i="49" s="1"/>
  <c r="M180" i="51"/>
  <c r="F180" i="51" s="1"/>
  <c r="F91" i="51"/>
  <c r="N229" i="51"/>
  <c r="N239" i="51" s="1"/>
  <c r="N228" i="51"/>
  <c r="N238" i="51" s="1"/>
  <c r="N237" i="51"/>
  <c r="K462" i="51"/>
  <c r="K324" i="51"/>
  <c r="K323" i="51" s="1"/>
  <c r="K317" i="51" s="1"/>
  <c r="K328" i="51" s="1"/>
  <c r="F18" i="51"/>
  <c r="F19" i="51" s="1"/>
  <c r="N28" i="49" l="1"/>
  <c r="N110" i="51"/>
  <c r="F215" i="51"/>
  <c r="K108" i="51"/>
  <c r="K102" i="51" s="1"/>
  <c r="K113" i="51" s="1"/>
  <c r="L108" i="51"/>
  <c r="L102" i="51" s="1"/>
  <c r="L113" i="51" s="1"/>
  <c r="F105" i="51"/>
  <c r="L29" i="49"/>
  <c r="J29" i="49"/>
  <c r="N27" i="49"/>
  <c r="N21" i="49" s="1"/>
  <c r="N32" i="49" s="1"/>
  <c r="M249" i="51"/>
  <c r="M252" i="51" s="1"/>
  <c r="M222" i="51"/>
  <c r="M227" i="51" s="1"/>
  <c r="K464" i="51"/>
  <c r="K68" i="51"/>
  <c r="K69" i="51" s="1"/>
  <c r="G116" i="50"/>
  <c r="G117" i="50" s="1"/>
  <c r="G24" i="50"/>
  <c r="G20" i="50"/>
  <c r="F318" i="51"/>
  <c r="G82" i="51"/>
  <c r="N248" i="51"/>
  <c r="N109" i="51"/>
  <c r="N108" i="51" s="1"/>
  <c r="N102" i="51" s="1"/>
  <c r="N113" i="51" s="1"/>
  <c r="G228" i="51"/>
  <c r="G229" i="51"/>
  <c r="I94" i="50"/>
  <c r="J94" i="50"/>
  <c r="N168" i="49"/>
  <c r="N19" i="51"/>
  <c r="J19" i="51"/>
  <c r="J20" i="51" s="1"/>
  <c r="J14" i="51" s="1"/>
  <c r="J12" i="51" s="1"/>
  <c r="L19" i="51"/>
  <c r="H19" i="51"/>
  <c r="M19" i="51"/>
  <c r="K19" i="51"/>
  <c r="I19" i="51"/>
  <c r="I20" i="51" s="1"/>
  <c r="G19" i="51"/>
  <c r="L289" i="51"/>
  <c r="H289" i="51"/>
  <c r="L288" i="51"/>
  <c r="H288" i="51"/>
  <c r="L287" i="51"/>
  <c r="H287" i="51"/>
  <c r="L286" i="51"/>
  <c r="H286" i="51"/>
  <c r="L285" i="51"/>
  <c r="H285" i="51"/>
  <c r="L281" i="51"/>
  <c r="H281" i="51"/>
  <c r="L280" i="51"/>
  <c r="H280" i="51"/>
  <c r="L279" i="51"/>
  <c r="H279" i="51"/>
  <c r="L278" i="51"/>
  <c r="H278" i="51"/>
  <c r="L277" i="51"/>
  <c r="L282" i="51" s="1"/>
  <c r="H277" i="51"/>
  <c r="K289" i="51"/>
  <c r="G289" i="51"/>
  <c r="K288" i="51"/>
  <c r="G288" i="51"/>
  <c r="K287" i="51"/>
  <c r="G287" i="51"/>
  <c r="K286" i="51"/>
  <c r="G286" i="51"/>
  <c r="K285" i="51"/>
  <c r="G285" i="51"/>
  <c r="G290" i="51" s="1"/>
  <c r="K281" i="51"/>
  <c r="G281" i="51"/>
  <c r="K280" i="51"/>
  <c r="G280" i="51"/>
  <c r="K279" i="51"/>
  <c r="G279" i="51"/>
  <c r="K278" i="51"/>
  <c r="N289" i="51"/>
  <c r="J289" i="51"/>
  <c r="N288" i="51"/>
  <c r="J288" i="51"/>
  <c r="N287" i="51"/>
  <c r="J287" i="51"/>
  <c r="N286" i="51"/>
  <c r="J286" i="51"/>
  <c r="N285" i="51"/>
  <c r="N290" i="51" s="1"/>
  <c r="J285" i="51"/>
  <c r="N281" i="51"/>
  <c r="J281" i="51"/>
  <c r="N280" i="51"/>
  <c r="J280" i="51"/>
  <c r="N279" i="51"/>
  <c r="J279" i="51"/>
  <c r="M288" i="51"/>
  <c r="M286" i="51"/>
  <c r="M280" i="51"/>
  <c r="N278" i="51"/>
  <c r="G278" i="51"/>
  <c r="J277" i="51"/>
  <c r="I288" i="51"/>
  <c r="I286" i="51"/>
  <c r="I280" i="51"/>
  <c r="M278" i="51"/>
  <c r="N277" i="51"/>
  <c r="I277" i="51"/>
  <c r="M289" i="51"/>
  <c r="M287" i="51"/>
  <c r="M285" i="51"/>
  <c r="M281" i="51"/>
  <c r="M279" i="51"/>
  <c r="J278" i="51"/>
  <c r="M277" i="51"/>
  <c r="G277" i="51"/>
  <c r="I287" i="51"/>
  <c r="I278" i="51"/>
  <c r="I285" i="51"/>
  <c r="K277" i="51"/>
  <c r="K282" i="51" s="1"/>
  <c r="I281" i="51"/>
  <c r="I289" i="51"/>
  <c r="I279" i="51"/>
  <c r="J249" i="51"/>
  <c r="J222" i="51"/>
  <c r="F216" i="51"/>
  <c r="G463" i="51"/>
  <c r="G436" i="51"/>
  <c r="F12" i="50"/>
  <c r="G11" i="50"/>
  <c r="F11" i="50" s="1"/>
  <c r="K250" i="51"/>
  <c r="K146" i="49"/>
  <c r="K156" i="49" s="1"/>
  <c r="K155" i="49"/>
  <c r="K147" i="49"/>
  <c r="K157" i="49" s="1"/>
  <c r="L166" i="49"/>
  <c r="L28" i="49"/>
  <c r="H451" i="51"/>
  <c r="H443" i="51"/>
  <c r="H453" i="51" s="1"/>
  <c r="H442" i="51"/>
  <c r="H452" i="51" s="1"/>
  <c r="J103" i="51"/>
  <c r="F104" i="51"/>
  <c r="N462" i="51"/>
  <c r="N324" i="51"/>
  <c r="J116" i="50"/>
  <c r="J117" i="50" s="1"/>
  <c r="J20" i="50"/>
  <c r="J24" i="50"/>
  <c r="K94" i="50"/>
  <c r="I462" i="51"/>
  <c r="I324" i="51"/>
  <c r="H94" i="50"/>
  <c r="H155" i="49"/>
  <c r="H147" i="49"/>
  <c r="H157" i="49" s="1"/>
  <c r="H146" i="49"/>
  <c r="H156" i="49" s="1"/>
  <c r="H251" i="51"/>
  <c r="H256" i="51"/>
  <c r="K63" i="51"/>
  <c r="G63" i="51"/>
  <c r="M63" i="51"/>
  <c r="I63" i="51"/>
  <c r="N63" i="51"/>
  <c r="L63" i="51"/>
  <c r="J63" i="51"/>
  <c r="H63" i="51"/>
  <c r="L94" i="50"/>
  <c r="J166" i="49"/>
  <c r="J28" i="49"/>
  <c r="M431" i="51"/>
  <c r="M395" i="51"/>
  <c r="F395" i="51" s="1"/>
  <c r="F306" i="51"/>
  <c r="I167" i="49"/>
  <c r="I170" i="49" s="1"/>
  <c r="I140" i="49"/>
  <c r="I145" i="49" s="1"/>
  <c r="I251" i="51"/>
  <c r="I256" i="51"/>
  <c r="L116" i="50"/>
  <c r="L117" i="50" s="1"/>
  <c r="L24" i="50"/>
  <c r="L20" i="50"/>
  <c r="L462" i="51"/>
  <c r="L324" i="51"/>
  <c r="J442" i="51"/>
  <c r="J452" i="51" s="1"/>
  <c r="J451" i="51"/>
  <c r="J443" i="51"/>
  <c r="J453" i="51" s="1"/>
  <c r="L250" i="51"/>
  <c r="L325" i="51"/>
  <c r="F40" i="50"/>
  <c r="G94" i="50"/>
  <c r="I116" i="50"/>
  <c r="I117" i="50" s="1"/>
  <c r="I24" i="50"/>
  <c r="I20" i="50"/>
  <c r="N325" i="51"/>
  <c r="K116" i="50"/>
  <c r="K117" i="50" s="1"/>
  <c r="K24" i="50"/>
  <c r="K20" i="50"/>
  <c r="M167" i="49"/>
  <c r="M170" i="49" s="1"/>
  <c r="M140" i="49"/>
  <c r="M145" i="49" s="1"/>
  <c r="I325" i="51"/>
  <c r="H116" i="50"/>
  <c r="H117" i="50" s="1"/>
  <c r="H24" i="50"/>
  <c r="H20" i="50"/>
  <c r="L27" i="49" l="1"/>
  <c r="L21" i="49" s="1"/>
  <c r="L32" i="49" s="1"/>
  <c r="H290" i="51"/>
  <c r="H118" i="50"/>
  <c r="H145" i="50" s="1"/>
  <c r="J282" i="51"/>
  <c r="K118" i="50"/>
  <c r="J325" i="51"/>
  <c r="G282" i="51"/>
  <c r="I282" i="51"/>
  <c r="J290" i="51"/>
  <c r="K290" i="51"/>
  <c r="L290" i="51"/>
  <c r="H325" i="51"/>
  <c r="I290" i="51"/>
  <c r="M282" i="51"/>
  <c r="M290" i="51"/>
  <c r="N282" i="51"/>
  <c r="H282" i="51"/>
  <c r="G118" i="50"/>
  <c r="G145" i="50" s="1"/>
  <c r="L118" i="50"/>
  <c r="L149" i="50" s="1"/>
  <c r="K29" i="49"/>
  <c r="J27" i="49"/>
  <c r="J21" i="49" s="1"/>
  <c r="J32" i="49" s="1"/>
  <c r="H155" i="50"/>
  <c r="H147" i="50"/>
  <c r="H157" i="50" s="1"/>
  <c r="H146" i="50"/>
  <c r="H156" i="50" s="1"/>
  <c r="J462" i="51"/>
  <c r="J324" i="51"/>
  <c r="J323" i="51" s="1"/>
  <c r="J317" i="51" s="1"/>
  <c r="J328" i="51" s="1"/>
  <c r="M463" i="51"/>
  <c r="M466" i="51" s="1"/>
  <c r="M436" i="51"/>
  <c r="M441" i="51" s="1"/>
  <c r="H166" i="49"/>
  <c r="H28" i="49"/>
  <c r="F103" i="51"/>
  <c r="K465" i="51"/>
  <c r="K470" i="51"/>
  <c r="L145" i="50"/>
  <c r="F63" i="51"/>
  <c r="F64" i="51" s="1"/>
  <c r="H141" i="50"/>
  <c r="G21" i="50"/>
  <c r="F20" i="50"/>
  <c r="H149" i="50"/>
  <c r="M147" i="49"/>
  <c r="M157" i="49" s="1"/>
  <c r="M146" i="49"/>
  <c r="M156" i="49" s="1"/>
  <c r="M155" i="49"/>
  <c r="K27" i="50"/>
  <c r="K26" i="50" s="1"/>
  <c r="K134" i="50"/>
  <c r="K135" i="50" s="1"/>
  <c r="K140" i="50" s="1"/>
  <c r="K165" i="50" s="1"/>
  <c r="K168" i="50" s="1"/>
  <c r="I21" i="50"/>
  <c r="I118" i="50"/>
  <c r="F118" i="50" s="1"/>
  <c r="F134" i="50" s="1"/>
  <c r="L251" i="51"/>
  <c r="L256" i="51"/>
  <c r="L323" i="51"/>
  <c r="L317" i="51" s="1"/>
  <c r="L328" i="51" s="1"/>
  <c r="J168" i="49"/>
  <c r="H29" i="49"/>
  <c r="K141" i="50"/>
  <c r="J118" i="50"/>
  <c r="J141" i="50" s="1"/>
  <c r="N464" i="51"/>
  <c r="N68" i="51"/>
  <c r="N69" i="51" s="1"/>
  <c r="K251" i="51"/>
  <c r="K256" i="51"/>
  <c r="G441" i="51"/>
  <c r="F436" i="51"/>
  <c r="F438" i="51" s="1"/>
  <c r="J227" i="51"/>
  <c r="F222" i="51"/>
  <c r="F224" i="51" s="1"/>
  <c r="J78" i="51"/>
  <c r="J81" i="51" s="1"/>
  <c r="J4" i="51" s="1"/>
  <c r="J62" i="51"/>
  <c r="N169" i="49"/>
  <c r="N174" i="49"/>
  <c r="F24" i="50"/>
  <c r="M237" i="51"/>
  <c r="M229" i="51"/>
  <c r="M239" i="51" s="1"/>
  <c r="M228" i="51"/>
  <c r="M238" i="51" s="1"/>
  <c r="M110" i="51" s="1"/>
  <c r="H21" i="50"/>
  <c r="K21" i="50"/>
  <c r="L21" i="50"/>
  <c r="L141" i="50"/>
  <c r="I464" i="51"/>
  <c r="I68" i="51"/>
  <c r="G466" i="51"/>
  <c r="F94" i="50"/>
  <c r="J21" i="50"/>
  <c r="N323" i="51"/>
  <c r="N317" i="51" s="1"/>
  <c r="N328" i="51" s="1"/>
  <c r="L168" i="49"/>
  <c r="I14" i="51"/>
  <c r="F20" i="51"/>
  <c r="G149" i="50"/>
  <c r="H134" i="50"/>
  <c r="H135" i="50" s="1"/>
  <c r="H140" i="50" s="1"/>
  <c r="H165" i="50" s="1"/>
  <c r="H168" i="50" s="1"/>
  <c r="H27" i="50"/>
  <c r="H26" i="50" s="1"/>
  <c r="L464" i="51"/>
  <c r="L68" i="51"/>
  <c r="L69" i="51" s="1"/>
  <c r="L27" i="50"/>
  <c r="L26" i="50" s="1"/>
  <c r="L134" i="50"/>
  <c r="L135" i="50" s="1"/>
  <c r="L140" i="50" s="1"/>
  <c r="L165" i="50" s="1"/>
  <c r="L168" i="50" s="1"/>
  <c r="I147" i="49"/>
  <c r="I157" i="49" s="1"/>
  <c r="I155" i="49"/>
  <c r="I146" i="49"/>
  <c r="I156" i="49" s="1"/>
  <c r="N503" i="51"/>
  <c r="J503" i="51"/>
  <c r="N502" i="51"/>
  <c r="J502" i="51"/>
  <c r="N501" i="51"/>
  <c r="J501" i="51"/>
  <c r="N500" i="51"/>
  <c r="J500" i="51"/>
  <c r="N499" i="51"/>
  <c r="J499" i="51"/>
  <c r="N495" i="51"/>
  <c r="J495" i="51"/>
  <c r="N494" i="51"/>
  <c r="J494" i="51"/>
  <c r="N493" i="51"/>
  <c r="J493" i="51"/>
  <c r="N492" i="51"/>
  <c r="J492" i="51"/>
  <c r="N491" i="51"/>
  <c r="N496" i="51" s="1"/>
  <c r="J491" i="51"/>
  <c r="J496" i="51" s="1"/>
  <c r="M503" i="51"/>
  <c r="I503" i="51"/>
  <c r="M502" i="51"/>
  <c r="I502" i="51"/>
  <c r="M501" i="51"/>
  <c r="I501" i="51"/>
  <c r="M500" i="51"/>
  <c r="I500" i="51"/>
  <c r="M499" i="51"/>
  <c r="I499" i="51"/>
  <c r="M495" i="51"/>
  <c r="I495" i="51"/>
  <c r="M494" i="51"/>
  <c r="I494" i="51"/>
  <c r="M493" i="51"/>
  <c r="I493" i="51"/>
  <c r="M492" i="51"/>
  <c r="I492" i="51"/>
  <c r="M491" i="51"/>
  <c r="I491" i="51"/>
  <c r="I496" i="51" s="1"/>
  <c r="L503" i="51"/>
  <c r="H503" i="51"/>
  <c r="L502" i="51"/>
  <c r="H502" i="51"/>
  <c r="L501" i="51"/>
  <c r="H501" i="51"/>
  <c r="L500" i="51"/>
  <c r="H500" i="51"/>
  <c r="L499" i="51"/>
  <c r="H499" i="51"/>
  <c r="L495" i="51"/>
  <c r="H495" i="51"/>
  <c r="L494" i="51"/>
  <c r="H494" i="51"/>
  <c r="L493" i="51"/>
  <c r="H493" i="51"/>
  <c r="L492" i="51"/>
  <c r="H492" i="51"/>
  <c r="L491" i="51"/>
  <c r="L496" i="51" s="1"/>
  <c r="H491" i="51"/>
  <c r="G503" i="51"/>
  <c r="G501" i="51"/>
  <c r="G499" i="51"/>
  <c r="G494" i="51"/>
  <c r="G492" i="51"/>
  <c r="K502" i="51"/>
  <c r="K500" i="51"/>
  <c r="K495" i="51"/>
  <c r="K493" i="51"/>
  <c r="K491" i="51"/>
  <c r="K496" i="51" s="1"/>
  <c r="G502" i="51"/>
  <c r="G500" i="51"/>
  <c r="G495" i="51"/>
  <c r="G493" i="51"/>
  <c r="G491" i="51"/>
  <c r="G496" i="51" s="1"/>
  <c r="K503" i="51"/>
  <c r="K494" i="51"/>
  <c r="K501" i="51"/>
  <c r="K492" i="51"/>
  <c r="K499" i="51"/>
  <c r="I323" i="51"/>
  <c r="I317" i="51" s="1"/>
  <c r="I328" i="51" s="1"/>
  <c r="H462" i="51"/>
  <c r="H324" i="51"/>
  <c r="K28" i="49"/>
  <c r="K166" i="49"/>
  <c r="F431" i="51"/>
  <c r="J252" i="51"/>
  <c r="F252" i="51" s="1"/>
  <c r="F249" i="51"/>
  <c r="N250" i="51"/>
  <c r="G504" i="51" l="1"/>
  <c r="M496" i="51"/>
  <c r="G141" i="50"/>
  <c r="G134" i="50"/>
  <c r="G135" i="50" s="1"/>
  <c r="H496" i="51"/>
  <c r="J27" i="50"/>
  <c r="J26" i="50" s="1"/>
  <c r="J134" i="50"/>
  <c r="J135" i="50" s="1"/>
  <c r="J140" i="50" s="1"/>
  <c r="J165" i="50" s="1"/>
  <c r="J168" i="50" s="1"/>
  <c r="G27" i="50"/>
  <c r="K27" i="49"/>
  <c r="K21" i="49" s="1"/>
  <c r="K32" i="49" s="1"/>
  <c r="H504" i="51"/>
  <c r="I504" i="51"/>
  <c r="J504" i="51"/>
  <c r="I134" i="50"/>
  <c r="I135" i="50" s="1"/>
  <c r="I140" i="50" s="1"/>
  <c r="I165" i="50" s="1"/>
  <c r="I168" i="50" s="1"/>
  <c r="H323" i="51"/>
  <c r="H317" i="51" s="1"/>
  <c r="H328" i="51" s="1"/>
  <c r="K504" i="51"/>
  <c r="L504" i="51"/>
  <c r="M504" i="51"/>
  <c r="N504" i="51"/>
  <c r="F466" i="51"/>
  <c r="H31" i="50"/>
  <c r="F463" i="51"/>
  <c r="K145" i="50"/>
  <c r="K149" i="50"/>
  <c r="I29" i="49"/>
  <c r="G294" i="51"/>
  <c r="G296" i="51" s="1"/>
  <c r="E227" i="51" s="1"/>
  <c r="E237" i="51" s="1"/>
  <c r="G293" i="51"/>
  <c r="G295" i="51"/>
  <c r="F21" i="50"/>
  <c r="I141" i="50"/>
  <c r="F141" i="50" s="1"/>
  <c r="H168" i="49"/>
  <c r="I166" i="49"/>
  <c r="I28" i="49"/>
  <c r="I465" i="51"/>
  <c r="I470" i="51"/>
  <c r="G140" i="50"/>
  <c r="G165" i="50" s="1"/>
  <c r="K168" i="49"/>
  <c r="L470" i="51"/>
  <c r="L465" i="51"/>
  <c r="L169" i="49"/>
  <c r="L174" i="49"/>
  <c r="M248" i="51"/>
  <c r="M109" i="51"/>
  <c r="M108" i="51" s="1"/>
  <c r="M102" i="51" s="1"/>
  <c r="M113" i="51" s="1"/>
  <c r="G509" i="51"/>
  <c r="G508" i="51"/>
  <c r="G510" i="51" s="1"/>
  <c r="E441" i="51" s="1"/>
  <c r="E451" i="51" s="1"/>
  <c r="F451" i="51" s="1"/>
  <c r="G451" i="51" s="1"/>
  <c r="G507" i="51"/>
  <c r="J149" i="50"/>
  <c r="J145" i="50"/>
  <c r="M166" i="49"/>
  <c r="M28" i="49"/>
  <c r="M443" i="51"/>
  <c r="M453" i="51" s="1"/>
  <c r="M442" i="51"/>
  <c r="M452" i="51" s="1"/>
  <c r="M451" i="51"/>
  <c r="N256" i="51"/>
  <c r="N251" i="51"/>
  <c r="I12" i="51"/>
  <c r="F14" i="51"/>
  <c r="I149" i="50"/>
  <c r="I145" i="50"/>
  <c r="N64" i="51"/>
  <c r="J64" i="51"/>
  <c r="J65" i="51" s="1"/>
  <c r="L64" i="51"/>
  <c r="H64" i="51"/>
  <c r="M64" i="51"/>
  <c r="K64" i="51"/>
  <c r="I64" i="51"/>
  <c r="I65" i="51" s="1"/>
  <c r="G64" i="51"/>
  <c r="H464" i="51"/>
  <c r="H68" i="51"/>
  <c r="H69" i="51" s="1"/>
  <c r="G146" i="50"/>
  <c r="G147" i="50"/>
  <c r="K205" i="50"/>
  <c r="G205" i="50"/>
  <c r="I204" i="50"/>
  <c r="K203" i="50"/>
  <c r="G203" i="50"/>
  <c r="I202" i="50"/>
  <c r="K201" i="50"/>
  <c r="G201" i="50"/>
  <c r="I197" i="50"/>
  <c r="K196" i="50"/>
  <c r="G196" i="50"/>
  <c r="I195" i="50"/>
  <c r="K194" i="50"/>
  <c r="G194" i="50"/>
  <c r="I193" i="50"/>
  <c r="J205" i="50"/>
  <c r="L204" i="50"/>
  <c r="H204" i="50"/>
  <c r="J203" i="50"/>
  <c r="L202" i="50"/>
  <c r="H202" i="50"/>
  <c r="J201" i="50"/>
  <c r="L197" i="50"/>
  <c r="H197" i="50"/>
  <c r="J196" i="50"/>
  <c r="L195" i="50"/>
  <c r="H195" i="50"/>
  <c r="J194" i="50"/>
  <c r="L193" i="50"/>
  <c r="H193" i="50"/>
  <c r="I205" i="50"/>
  <c r="K204" i="50"/>
  <c r="G204" i="50"/>
  <c r="I203" i="50"/>
  <c r="K202" i="50"/>
  <c r="G202" i="50"/>
  <c r="I201" i="50"/>
  <c r="K197" i="50"/>
  <c r="G197" i="50"/>
  <c r="I196" i="50"/>
  <c r="K195" i="50"/>
  <c r="G195" i="50"/>
  <c r="I194" i="50"/>
  <c r="K193" i="50"/>
  <c r="K198" i="50" s="1"/>
  <c r="G193" i="50"/>
  <c r="H205" i="50"/>
  <c r="J202" i="50"/>
  <c r="L196" i="50"/>
  <c r="H194" i="50"/>
  <c r="H203" i="50"/>
  <c r="J204" i="50"/>
  <c r="L201" i="50"/>
  <c r="H196" i="50"/>
  <c r="J193" i="50"/>
  <c r="L194" i="50"/>
  <c r="L203" i="50"/>
  <c r="H201" i="50"/>
  <c r="H206" i="50" s="1"/>
  <c r="J195" i="50"/>
  <c r="L205" i="50"/>
  <c r="J197" i="50"/>
  <c r="J229" i="51"/>
  <c r="J228" i="51"/>
  <c r="J237" i="51"/>
  <c r="F227" i="51"/>
  <c r="L155" i="50"/>
  <c r="L147" i="50"/>
  <c r="L157" i="50" s="1"/>
  <c r="L146" i="50"/>
  <c r="L156" i="50" s="1"/>
  <c r="J464" i="51"/>
  <c r="G26" i="50"/>
  <c r="I27" i="50"/>
  <c r="I26" i="50" s="1"/>
  <c r="G442" i="51"/>
  <c r="F442" i="51" s="1"/>
  <c r="F452" i="51" s="1"/>
  <c r="G452" i="51" s="1"/>
  <c r="G443" i="51"/>
  <c r="F443" i="51" s="1"/>
  <c r="F453" i="51" s="1"/>
  <c r="G453" i="51" s="1"/>
  <c r="F441" i="51"/>
  <c r="N470" i="51"/>
  <c r="N465" i="51"/>
  <c r="J169" i="49"/>
  <c r="J174" i="49"/>
  <c r="M29" i="49"/>
  <c r="H27" i="49"/>
  <c r="H21" i="49" s="1"/>
  <c r="H32" i="49" s="1"/>
  <c r="H164" i="50"/>
  <c r="J206" i="50" l="1"/>
  <c r="I198" i="50"/>
  <c r="I206" i="50"/>
  <c r="L198" i="50"/>
  <c r="F135" i="50"/>
  <c r="F140" i="50" s="1"/>
  <c r="F149" i="50"/>
  <c r="F145" i="50"/>
  <c r="K206" i="50"/>
  <c r="L206" i="50"/>
  <c r="H198" i="50"/>
  <c r="G198" i="50"/>
  <c r="F237" i="51"/>
  <c r="G237" i="51" s="1"/>
  <c r="K147" i="50"/>
  <c r="K157" i="50" s="1"/>
  <c r="K146" i="50"/>
  <c r="K156" i="50" s="1"/>
  <c r="K31" i="50" s="1"/>
  <c r="K155" i="50"/>
  <c r="J198" i="50"/>
  <c r="G206" i="50"/>
  <c r="I27" i="49"/>
  <c r="I21" i="49" s="1"/>
  <c r="I32" i="49" s="1"/>
  <c r="G209" i="50"/>
  <c r="G211" i="50"/>
  <c r="G210" i="50"/>
  <c r="G212" i="50" s="1"/>
  <c r="E145" i="50" s="1"/>
  <c r="E155" i="50" s="1"/>
  <c r="F155" i="50" s="1"/>
  <c r="G109" i="51"/>
  <c r="J470" i="51"/>
  <c r="J465" i="51"/>
  <c r="J109" i="51"/>
  <c r="F65" i="51"/>
  <c r="G325" i="51"/>
  <c r="J238" i="51"/>
  <c r="F228" i="51"/>
  <c r="F238" i="51" s="1"/>
  <c r="J66" i="51"/>
  <c r="M27" i="49"/>
  <c r="M21" i="49" s="1"/>
  <c r="M32" i="49" s="1"/>
  <c r="K174" i="49"/>
  <c r="K169" i="49"/>
  <c r="F26" i="50"/>
  <c r="J239" i="51"/>
  <c r="F229" i="51"/>
  <c r="F239" i="51" s="1"/>
  <c r="G239" i="51" s="1"/>
  <c r="I66" i="51"/>
  <c r="I78" i="51"/>
  <c r="I62" i="51"/>
  <c r="F62" i="51" s="1"/>
  <c r="F12" i="51"/>
  <c r="M462" i="51"/>
  <c r="M324" i="51"/>
  <c r="M168" i="49"/>
  <c r="M250" i="51"/>
  <c r="H169" i="49"/>
  <c r="H174" i="49"/>
  <c r="H470" i="51"/>
  <c r="H465" i="51"/>
  <c r="G462" i="51"/>
  <c r="G324" i="51"/>
  <c r="H166" i="50"/>
  <c r="F27" i="50"/>
  <c r="L164" i="50"/>
  <c r="F147" i="50"/>
  <c r="F157" i="50" s="1"/>
  <c r="G168" i="50"/>
  <c r="F168" i="50" s="1"/>
  <c r="F165" i="50"/>
  <c r="L31" i="50"/>
  <c r="I147" i="50"/>
  <c r="I157" i="50" s="1"/>
  <c r="I146" i="50"/>
  <c r="I156" i="50" s="1"/>
  <c r="I31" i="50" s="1"/>
  <c r="I155" i="50"/>
  <c r="M325" i="51"/>
  <c r="J147" i="50"/>
  <c r="J157" i="50" s="1"/>
  <c r="J146" i="50"/>
  <c r="J156" i="50" s="1"/>
  <c r="J155" i="50"/>
  <c r="I168" i="49"/>
  <c r="J31" i="50" l="1"/>
  <c r="G238" i="51"/>
  <c r="J248" i="51"/>
  <c r="G157" i="50"/>
  <c r="M323" i="51"/>
  <c r="M317" i="51" s="1"/>
  <c r="M328" i="51" s="1"/>
  <c r="K164" i="50"/>
  <c r="K166" i="50" s="1"/>
  <c r="K172" i="50" s="1"/>
  <c r="K171" i="50" s="1"/>
  <c r="K169" i="50" s="1"/>
  <c r="K170" i="50" s="1"/>
  <c r="K30" i="50" s="1"/>
  <c r="K29" i="50" s="1"/>
  <c r="K25" i="50" s="1"/>
  <c r="K33" i="50" s="1"/>
  <c r="G155" i="50"/>
  <c r="F325" i="51"/>
  <c r="J250" i="51"/>
  <c r="J68" i="51"/>
  <c r="J69" i="51" s="1"/>
  <c r="J73" i="51"/>
  <c r="J70" i="51"/>
  <c r="M251" i="51"/>
  <c r="M256" i="51"/>
  <c r="I81" i="51"/>
  <c r="F78" i="51"/>
  <c r="L166" i="50"/>
  <c r="G464" i="51"/>
  <c r="F462" i="51"/>
  <c r="M174" i="49"/>
  <c r="M169" i="49"/>
  <c r="M464" i="51"/>
  <c r="M68" i="51"/>
  <c r="M69" i="51" s="1"/>
  <c r="I70" i="51"/>
  <c r="F70" i="51" s="1"/>
  <c r="I73" i="51"/>
  <c r="I69" i="51"/>
  <c r="F66" i="51"/>
  <c r="G110" i="51"/>
  <c r="F109" i="51"/>
  <c r="H172" i="50"/>
  <c r="H171" i="50" s="1"/>
  <c r="H169" i="50" s="1"/>
  <c r="H170" i="50" s="1"/>
  <c r="H30" i="50" s="1"/>
  <c r="H29" i="50" s="1"/>
  <c r="H25" i="50" s="1"/>
  <c r="H33" i="50" s="1"/>
  <c r="F324" i="51"/>
  <c r="G323" i="51"/>
  <c r="F146" i="50"/>
  <c r="F156" i="50" s="1"/>
  <c r="G156" i="50" s="1"/>
  <c r="G31" i="50" s="1"/>
  <c r="I174" i="49"/>
  <c r="I169" i="49"/>
  <c r="J164" i="50"/>
  <c r="I164" i="50"/>
  <c r="J110" i="51"/>
  <c r="J108" i="51" s="1"/>
  <c r="J102" i="51" s="1"/>
  <c r="J113" i="51" s="1"/>
  <c r="G248" i="51"/>
  <c r="G68" i="51" s="1"/>
  <c r="G69" i="51" s="1"/>
  <c r="F69" i="51" l="1"/>
  <c r="F31" i="50"/>
  <c r="F110" i="51"/>
  <c r="G108" i="51"/>
  <c r="F73" i="51"/>
  <c r="I75" i="51"/>
  <c r="F248" i="51"/>
  <c r="G250" i="51"/>
  <c r="M465" i="51"/>
  <c r="M470" i="51"/>
  <c r="L172" i="50"/>
  <c r="L171" i="50" s="1"/>
  <c r="L169" i="50" s="1"/>
  <c r="L170" i="50" s="1"/>
  <c r="L30" i="50" s="1"/>
  <c r="L29" i="50" s="1"/>
  <c r="L25" i="50" s="1"/>
  <c r="L33" i="50" s="1"/>
  <c r="F108" i="51"/>
  <c r="G102" i="51"/>
  <c r="L71" i="51"/>
  <c r="H71" i="51"/>
  <c r="K71" i="51"/>
  <c r="G71" i="51"/>
  <c r="N71" i="51"/>
  <c r="J71" i="51"/>
  <c r="M71" i="51"/>
  <c r="I71" i="51"/>
  <c r="I166" i="50"/>
  <c r="I4" i="51"/>
  <c r="F81" i="51"/>
  <c r="J75" i="51"/>
  <c r="J166" i="50"/>
  <c r="F323" i="51"/>
  <c r="G317" i="51"/>
  <c r="G465" i="51"/>
  <c r="G470" i="51"/>
  <c r="F464" i="51"/>
  <c r="J256" i="51"/>
  <c r="J251" i="51"/>
  <c r="G164" i="50"/>
  <c r="F71" i="51" l="1"/>
  <c r="F72" i="51" s="1"/>
  <c r="K72" i="51"/>
  <c r="G72" i="51"/>
  <c r="N72" i="51"/>
  <c r="J72" i="51"/>
  <c r="M72" i="51"/>
  <c r="I72" i="51"/>
  <c r="H72" i="51"/>
  <c r="L72" i="51"/>
  <c r="J172" i="50"/>
  <c r="J171" i="50" s="1"/>
  <c r="J169" i="50" s="1"/>
  <c r="J170" i="50" s="1"/>
  <c r="J30" i="50" s="1"/>
  <c r="J29" i="50" s="1"/>
  <c r="J25" i="50" s="1"/>
  <c r="J33" i="50" s="1"/>
  <c r="F4" i="51"/>
  <c r="I80" i="51"/>
  <c r="I76" i="51"/>
  <c r="F75" i="51"/>
  <c r="J76" i="51"/>
  <c r="J80" i="51"/>
  <c r="J82" i="51" s="1"/>
  <c r="I172" i="50"/>
  <c r="I171" i="50"/>
  <c r="I169" i="50" s="1"/>
  <c r="I170" i="50" s="1"/>
  <c r="I30" i="50" s="1"/>
  <c r="I29" i="50" s="1"/>
  <c r="I25" i="50" s="1"/>
  <c r="I33" i="50" s="1"/>
  <c r="F164" i="50"/>
  <c r="G166" i="50"/>
  <c r="F317" i="51"/>
  <c r="G328" i="51"/>
  <c r="F328" i="51" s="1"/>
  <c r="F102" i="51"/>
  <c r="G113" i="51"/>
  <c r="F113" i="51" s="1"/>
  <c r="G251" i="51"/>
  <c r="G256" i="51"/>
  <c r="F250" i="51"/>
  <c r="E468" i="51"/>
  <c r="F76" i="51" l="1"/>
  <c r="E254" i="51"/>
  <c r="E469" i="51"/>
  <c r="F469" i="51" s="1"/>
  <c r="F166" i="50"/>
  <c r="G172" i="50"/>
  <c r="F172" i="50" s="1"/>
  <c r="I82" i="51"/>
  <c r="F82" i="51" s="1"/>
  <c r="F80" i="51"/>
  <c r="E470" i="51" l="1"/>
  <c r="N469" i="51" s="1"/>
  <c r="N467" i="51" s="1"/>
  <c r="N468" i="51" s="1"/>
  <c r="K469" i="51"/>
  <c r="K467" i="51" s="1"/>
  <c r="K468" i="51" s="1"/>
  <c r="I469" i="51"/>
  <c r="I467" i="51" s="1"/>
  <c r="I468" i="51" s="1"/>
  <c r="H469" i="51"/>
  <c r="H467" i="51" s="1"/>
  <c r="H468" i="51" s="1"/>
  <c r="M469" i="51"/>
  <c r="M467" i="51" s="1"/>
  <c r="M468" i="51" s="1"/>
  <c r="C80" i="51"/>
  <c r="E77" i="51"/>
  <c r="M77" i="51" s="1"/>
  <c r="F77" i="51"/>
  <c r="E170" i="50"/>
  <c r="E255" i="51"/>
  <c r="F255" i="51" s="1"/>
  <c r="I77" i="51"/>
  <c r="E256" i="51" l="1"/>
  <c r="F470" i="51"/>
  <c r="G469" i="51" s="1"/>
  <c r="G467" i="51" s="1"/>
  <c r="G468" i="51" s="1"/>
  <c r="L469" i="51"/>
  <c r="L467" i="51" s="1"/>
  <c r="L468" i="51" s="1"/>
  <c r="J469" i="51"/>
  <c r="J467" i="51" s="1"/>
  <c r="J468" i="51" s="1"/>
  <c r="M79" i="51"/>
  <c r="M74" i="51"/>
  <c r="M5" i="51" s="1"/>
  <c r="M6" i="51" s="1"/>
  <c r="I79" i="51"/>
  <c r="I74" i="51"/>
  <c r="I5" i="51" s="1"/>
  <c r="I6" i="51" s="1"/>
  <c r="J77" i="51"/>
  <c r="L77" i="51"/>
  <c r="K77" i="51"/>
  <c r="H77" i="51"/>
  <c r="G77" i="51" s="1"/>
  <c r="E171" i="50"/>
  <c r="E172" i="50" s="1"/>
  <c r="G171" i="50" s="1"/>
  <c r="N77" i="51"/>
  <c r="F467" i="51"/>
  <c r="H255" i="51"/>
  <c r="H253" i="51" s="1"/>
  <c r="H254" i="51" s="1"/>
  <c r="I255" i="51"/>
  <c r="I253" i="51" s="1"/>
  <c r="I254" i="51" s="1"/>
  <c r="K255" i="51"/>
  <c r="K253" i="51" s="1"/>
  <c r="K254" i="51" s="1"/>
  <c r="L255" i="51"/>
  <c r="L253" i="51" s="1"/>
  <c r="L254" i="51" s="1"/>
  <c r="N255" i="51"/>
  <c r="N253" i="51" s="1"/>
  <c r="N254" i="51" s="1"/>
  <c r="M255" i="51"/>
  <c r="M253" i="51" s="1"/>
  <c r="M254" i="51" s="1"/>
  <c r="J255" i="51"/>
  <c r="J253" i="51" s="1"/>
  <c r="J254" i="51" s="1"/>
  <c r="F256" i="51"/>
  <c r="G79" i="51" l="1"/>
  <c r="F79" i="51" s="1"/>
  <c r="G74" i="51"/>
  <c r="F171" i="50"/>
  <c r="G169" i="50"/>
  <c r="G255" i="51"/>
  <c r="G253" i="51" s="1"/>
  <c r="L79" i="51"/>
  <c r="L74" i="51"/>
  <c r="L5" i="51" s="1"/>
  <c r="L6" i="51" s="1"/>
  <c r="N79" i="51"/>
  <c r="N74" i="51"/>
  <c r="N5" i="51" s="1"/>
  <c r="N6" i="51" s="1"/>
  <c r="H79" i="51"/>
  <c r="H74" i="51"/>
  <c r="H5" i="51" s="1"/>
  <c r="H6" i="51" s="1"/>
  <c r="K79" i="51"/>
  <c r="K74" i="51"/>
  <c r="K5" i="51" s="1"/>
  <c r="K6" i="51" s="1"/>
  <c r="J79" i="51"/>
  <c r="J74" i="51"/>
  <c r="J5" i="51" s="1"/>
  <c r="J6" i="51" s="1"/>
  <c r="F74" i="51" l="1"/>
  <c r="G5" i="51"/>
  <c r="F169" i="50"/>
  <c r="G170" i="50"/>
  <c r="G30" i="50" s="1"/>
  <c r="F253" i="51"/>
  <c r="G254" i="51"/>
  <c r="F5" i="51" l="1"/>
  <c r="G6" i="51"/>
  <c r="F6" i="51" s="1"/>
  <c r="G29" i="50"/>
  <c r="F30" i="50"/>
  <c r="F29" i="50" l="1"/>
  <c r="G25" i="50"/>
  <c r="F25" i="50" l="1"/>
  <c r="G33" i="50"/>
  <c r="F33" i="50" s="1"/>
  <c r="E4" i="48" l="1"/>
  <c r="E5" i="48"/>
  <c r="E6" i="48"/>
  <c r="E7" i="48"/>
  <c r="E8" i="48"/>
  <c r="E9" i="48"/>
  <c r="E10" i="48"/>
  <c r="E11" i="48"/>
  <c r="E12" i="48"/>
  <c r="E13" i="48"/>
  <c r="E14" i="48"/>
  <c r="E15" i="48"/>
  <c r="E16" i="48"/>
  <c r="E17" i="48"/>
  <c r="E18" i="48"/>
  <c r="E19" i="48"/>
  <c r="E3" i="48"/>
  <c r="I4" i="48" l="1"/>
  <c r="I5" i="48"/>
  <c r="I6" i="48"/>
  <c r="I7" i="48"/>
  <c r="I8" i="48"/>
  <c r="I9" i="48"/>
  <c r="I10" i="48"/>
  <c r="I11" i="48"/>
  <c r="I12" i="48"/>
  <c r="I13" i="48"/>
  <c r="I14" i="48"/>
  <c r="I15" i="48"/>
  <c r="I16" i="48"/>
  <c r="I17" i="48"/>
  <c r="I18" i="48"/>
  <c r="I19" i="48"/>
  <c r="I20" i="48"/>
  <c r="I21" i="48"/>
  <c r="I22" i="48"/>
  <c r="I23" i="48"/>
  <c r="I24" i="48"/>
  <c r="I25" i="48"/>
  <c r="I26" i="48"/>
  <c r="I27" i="48"/>
  <c r="I28" i="48"/>
  <c r="I3" i="48"/>
  <c r="K2" i="48" l="1"/>
  <c r="J5" i="9"/>
  <c r="J52" i="8"/>
  <c r="J5" i="1"/>
  <c r="K27" i="8" l="1"/>
  <c r="J27" i="8"/>
  <c r="R11" i="6" l="1"/>
  <c r="R12" i="6"/>
  <c r="K2" i="6" l="1"/>
  <c r="I16" i="9" l="1"/>
  <c r="I44" i="9" l="1"/>
  <c r="I43" i="9"/>
  <c r="I42" i="9"/>
  <c r="I41" i="9"/>
  <c r="I40" i="9"/>
  <c r="I39" i="9"/>
  <c r="I38" i="9"/>
  <c r="I37" i="9"/>
  <c r="I36" i="9"/>
  <c r="I35" i="9"/>
  <c r="I34" i="9"/>
  <c r="I33" i="9"/>
  <c r="I31" i="9"/>
  <c r="I30" i="9"/>
  <c r="I29" i="9"/>
  <c r="K47" i="1"/>
  <c r="L47" i="1"/>
  <c r="I31" i="1"/>
  <c r="I32" i="9" l="1"/>
  <c r="I45" i="9"/>
  <c r="H91" i="36"/>
  <c r="I47" i="9" l="1"/>
  <c r="H6" i="38"/>
  <c r="H11" i="38"/>
  <c r="H15" i="38"/>
  <c r="H19" i="38"/>
  <c r="H23" i="38"/>
  <c r="H8" i="38"/>
  <c r="H12" i="38"/>
  <c r="H16" i="38"/>
  <c r="H20" i="38"/>
  <c r="H24" i="38"/>
  <c r="H9" i="38"/>
  <c r="H13" i="38"/>
  <c r="H17" i="38"/>
  <c r="H21" i="38"/>
  <c r="H5" i="38"/>
  <c r="H10" i="38"/>
  <c r="H14" i="38"/>
  <c r="H18" i="38"/>
  <c r="H22" i="38"/>
  <c r="J24" i="38" l="1"/>
  <c r="J16" i="38"/>
  <c r="J17" i="38"/>
  <c r="J18" i="38"/>
  <c r="J19" i="38"/>
  <c r="J20" i="38"/>
  <c r="J21" i="38"/>
  <c r="J22" i="38"/>
  <c r="J23" i="38"/>
  <c r="J6" i="38"/>
  <c r="J8" i="38"/>
  <c r="J9" i="38"/>
  <c r="J10" i="38"/>
  <c r="J11" i="38"/>
  <c r="J12" i="38"/>
  <c r="J13" i="38"/>
  <c r="J14" i="38"/>
  <c r="J15" i="38"/>
  <c r="J5" i="38"/>
  <c r="I33" i="1" l="1"/>
  <c r="I34" i="1"/>
  <c r="I35" i="1"/>
  <c r="I36" i="1"/>
  <c r="I38" i="1"/>
  <c r="I40" i="1"/>
  <c r="I46" i="1"/>
  <c r="I29" i="1"/>
  <c r="I56" i="1"/>
  <c r="I67" i="1"/>
  <c r="I68" i="1"/>
  <c r="I69" i="1"/>
  <c r="I52" i="1"/>
  <c r="I45" i="1" l="1"/>
  <c r="G17" i="49" s="1"/>
  <c r="F17" i="49" s="1"/>
  <c r="R13" i="6"/>
  <c r="G3" i="49" s="1"/>
  <c r="H22" i="8"/>
  <c r="H21" i="8"/>
  <c r="H14" i="8"/>
  <c r="V13" i="6"/>
  <c r="U13" i="6"/>
  <c r="T13" i="6"/>
  <c r="S13" i="6"/>
  <c r="G202" i="49" l="1"/>
  <c r="G194" i="49" s="1"/>
  <c r="G185" i="49"/>
  <c r="G176" i="49"/>
  <c r="G1" i="36"/>
  <c r="G86" i="36" l="1"/>
  <c r="G68" i="36"/>
  <c r="G67" i="36"/>
  <c r="G66" i="36"/>
  <c r="G65" i="36"/>
  <c r="G64" i="36"/>
  <c r="G63" i="36"/>
  <c r="G62" i="36"/>
  <c r="G61" i="36"/>
  <c r="G60" i="36"/>
  <c r="G59" i="36"/>
  <c r="G58" i="36"/>
  <c r="G48" i="36" l="1"/>
  <c r="G39" i="36"/>
  <c r="G38" i="36"/>
  <c r="G37" i="36"/>
  <c r="G36" i="36"/>
  <c r="G35" i="36"/>
  <c r="G34" i="36"/>
  <c r="G33" i="36"/>
  <c r="G32" i="36"/>
  <c r="G31" i="36"/>
  <c r="G30" i="36"/>
  <c r="G29" i="36"/>
  <c r="G28" i="36"/>
  <c r="G27" i="36"/>
  <c r="G26" i="36"/>
  <c r="G25" i="36"/>
  <c r="G24" i="36"/>
  <c r="L71" i="8" l="1"/>
  <c r="K71" i="8"/>
  <c r="J71" i="8"/>
  <c r="H7" i="36"/>
  <c r="G7" i="36" l="1"/>
  <c r="H316" i="36"/>
  <c r="G316" i="36" s="1"/>
  <c r="D312" i="36"/>
  <c r="D311" i="36"/>
  <c r="H309" i="36"/>
  <c r="G309" i="36" s="1"/>
  <c r="H308" i="36"/>
  <c r="G308" i="36" s="1"/>
  <c r="H307" i="36"/>
  <c r="G307" i="36" s="1"/>
  <c r="H306" i="36"/>
  <c r="G306" i="36" s="1"/>
  <c r="H305" i="36"/>
  <c r="G305" i="36" s="1"/>
  <c r="H304" i="36"/>
  <c r="G304" i="36" s="1"/>
  <c r="H303" i="36"/>
  <c r="G303" i="36" s="1"/>
  <c r="H302" i="36"/>
  <c r="G302" i="36" s="1"/>
  <c r="H301" i="36"/>
  <c r="G301" i="36" s="1"/>
  <c r="H300" i="36"/>
  <c r="G300" i="36" s="1"/>
  <c r="H299" i="36"/>
  <c r="G299" i="36" s="1"/>
  <c r="H298" i="36"/>
  <c r="G298" i="36" s="1"/>
  <c r="H297" i="36"/>
  <c r="G297" i="36" s="1"/>
  <c r="H296" i="36"/>
  <c r="G296" i="36" s="1"/>
  <c r="H295" i="36"/>
  <c r="G295" i="36" s="1"/>
  <c r="H294" i="36"/>
  <c r="G294" i="36" s="1"/>
  <c r="H293" i="36"/>
  <c r="G293" i="36" s="1"/>
  <c r="H292" i="36"/>
  <c r="G292" i="36" s="1"/>
  <c r="H291" i="36"/>
  <c r="G291" i="36" s="1"/>
  <c r="H290" i="36"/>
  <c r="G290" i="36" s="1"/>
  <c r="H289" i="36"/>
  <c r="G289" i="36" s="1"/>
  <c r="H288" i="36"/>
  <c r="G288" i="36" s="1"/>
  <c r="H287" i="36"/>
  <c r="G287" i="36" s="1"/>
  <c r="H286" i="36"/>
  <c r="G286" i="36" s="1"/>
  <c r="H285" i="36"/>
  <c r="G285" i="36" s="1"/>
  <c r="H284" i="36"/>
  <c r="G284" i="36" s="1"/>
  <c r="H283" i="36"/>
  <c r="G283" i="36" s="1"/>
  <c r="H282" i="36"/>
  <c r="G282" i="36" s="1"/>
  <c r="H281" i="36"/>
  <c r="G281" i="36" s="1"/>
  <c r="H280" i="36"/>
  <c r="G280" i="36" s="1"/>
  <c r="H279" i="36"/>
  <c r="G279" i="36" s="1"/>
  <c r="H278" i="36"/>
  <c r="G278" i="36" s="1"/>
  <c r="H277" i="36"/>
  <c r="G277" i="36" s="1"/>
  <c r="H276" i="36"/>
  <c r="G276" i="36" s="1"/>
  <c r="H275" i="36"/>
  <c r="G275" i="36" s="1"/>
  <c r="H273" i="36"/>
  <c r="G273" i="36" s="1"/>
  <c r="H272" i="36"/>
  <c r="G272" i="36" s="1"/>
  <c r="H271" i="36"/>
  <c r="G271" i="36" s="1"/>
  <c r="H270" i="36"/>
  <c r="G270" i="36" s="1"/>
  <c r="H269" i="36"/>
  <c r="G269" i="36" s="1"/>
  <c r="H268" i="36"/>
  <c r="G268" i="36" s="1"/>
  <c r="H267" i="36"/>
  <c r="G267" i="36" s="1"/>
  <c r="H266" i="36"/>
  <c r="G266" i="36" s="1"/>
  <c r="H265" i="36"/>
  <c r="G265" i="36" s="1"/>
  <c r="H264" i="36"/>
  <c r="G264" i="36" s="1"/>
  <c r="H263" i="36"/>
  <c r="G263" i="36" s="1"/>
  <c r="H262" i="36"/>
  <c r="G262" i="36" s="1"/>
  <c r="H261" i="36"/>
  <c r="G261" i="36" s="1"/>
  <c r="H260" i="36"/>
  <c r="G260" i="36" s="1"/>
  <c r="H259" i="36"/>
  <c r="G259" i="36" s="1"/>
  <c r="H258" i="36"/>
  <c r="G258" i="36" s="1"/>
  <c r="H257" i="36"/>
  <c r="G257" i="36" s="1"/>
  <c r="H256" i="36"/>
  <c r="G256" i="36" s="1"/>
  <c r="H255" i="36"/>
  <c r="G255" i="36" s="1"/>
  <c r="H254" i="36"/>
  <c r="G254" i="36" s="1"/>
  <c r="H253" i="36"/>
  <c r="G253" i="36" s="1"/>
  <c r="H252" i="36"/>
  <c r="G252" i="36" s="1"/>
  <c r="H251" i="36"/>
  <c r="G251" i="36" s="1"/>
  <c r="H250" i="36"/>
  <c r="G250" i="36" s="1"/>
  <c r="H249" i="36"/>
  <c r="G249" i="36" s="1"/>
  <c r="H248" i="36"/>
  <c r="G248" i="36" s="1"/>
  <c r="H221" i="36"/>
  <c r="G221" i="36" s="1"/>
  <c r="H220" i="36"/>
  <c r="G220" i="36" s="1"/>
  <c r="H219" i="36"/>
  <c r="G219" i="36" s="1"/>
  <c r="H218" i="36"/>
  <c r="G218" i="36" s="1"/>
  <c r="H217" i="36"/>
  <c r="G217" i="36" s="1"/>
  <c r="H216" i="36"/>
  <c r="G216" i="36" s="1"/>
  <c r="H215" i="36"/>
  <c r="G215" i="36" s="1"/>
  <c r="H214" i="36"/>
  <c r="G214" i="36" s="1"/>
  <c r="H213" i="36"/>
  <c r="G213" i="36" s="1"/>
  <c r="H212" i="36"/>
  <c r="G212" i="36" s="1"/>
  <c r="H211" i="36"/>
  <c r="G211" i="36" s="1"/>
  <c r="H210" i="36"/>
  <c r="G210" i="36" s="1"/>
  <c r="H209" i="36"/>
  <c r="G209" i="36" s="1"/>
  <c r="H208" i="36"/>
  <c r="G208" i="36" s="1"/>
  <c r="H207" i="36"/>
  <c r="G207" i="36" s="1"/>
  <c r="H206" i="36"/>
  <c r="G206" i="36" s="1"/>
  <c r="H205" i="36"/>
  <c r="G205" i="36" s="1"/>
  <c r="H204" i="36"/>
  <c r="G204" i="36" s="1"/>
  <c r="H203" i="36"/>
  <c r="G203" i="36" s="1"/>
  <c r="H202" i="36"/>
  <c r="G202" i="36" s="1"/>
  <c r="H201" i="36"/>
  <c r="G201" i="36" s="1"/>
  <c r="H200" i="36"/>
  <c r="G200" i="36" s="1"/>
  <c r="H199" i="36"/>
  <c r="G199" i="36" s="1"/>
  <c r="H198" i="36"/>
  <c r="G198" i="36" s="1"/>
  <c r="H197" i="36"/>
  <c r="G197" i="36" s="1"/>
  <c r="H196" i="36"/>
  <c r="G196" i="36" s="1"/>
  <c r="H195" i="36"/>
  <c r="G195" i="36" s="1"/>
  <c r="H194" i="36"/>
  <c r="G194" i="36" s="1"/>
  <c r="H193" i="36"/>
  <c r="G193" i="36" s="1"/>
  <c r="H192" i="36"/>
  <c r="G192" i="36" s="1"/>
  <c r="H191" i="36"/>
  <c r="G191" i="36" s="1"/>
  <c r="H190" i="36"/>
  <c r="G190" i="36" s="1"/>
  <c r="H189" i="36"/>
  <c r="G189" i="36" s="1"/>
  <c r="H188" i="36"/>
  <c r="G188" i="36" s="1"/>
  <c r="H187" i="36"/>
  <c r="G187" i="36" s="1"/>
  <c r="H186" i="36"/>
  <c r="G186" i="36" s="1"/>
  <c r="H185" i="36"/>
  <c r="G185" i="36" s="1"/>
  <c r="H184" i="36"/>
  <c r="G184" i="36" s="1"/>
  <c r="H183" i="36"/>
  <c r="G183" i="36" s="1"/>
  <c r="H182" i="36"/>
  <c r="G182" i="36" s="1"/>
  <c r="H181" i="36"/>
  <c r="G181" i="36" s="1"/>
  <c r="H180" i="36"/>
  <c r="G180" i="36" s="1"/>
  <c r="H179" i="36"/>
  <c r="G179" i="36" s="1"/>
  <c r="H178" i="36"/>
  <c r="G178" i="36" s="1"/>
  <c r="H177" i="36"/>
  <c r="G177" i="36" s="1"/>
  <c r="H176" i="36"/>
  <c r="G176" i="36" s="1"/>
  <c r="H175" i="36"/>
  <c r="G175" i="36" s="1"/>
  <c r="H174" i="36"/>
  <c r="G174" i="36" s="1"/>
  <c r="H173" i="36"/>
  <c r="G173" i="36" s="1"/>
  <c r="H172" i="36"/>
  <c r="G172" i="36" s="1"/>
  <c r="H171" i="36"/>
  <c r="G171" i="36" s="1"/>
  <c r="H170" i="36"/>
  <c r="G170" i="36" s="1"/>
  <c r="H169" i="36"/>
  <c r="G169" i="36" s="1"/>
  <c r="H168" i="36"/>
  <c r="G168" i="36" s="1"/>
  <c r="H167" i="36"/>
  <c r="G167" i="36" s="1"/>
  <c r="H166" i="36"/>
  <c r="G166" i="36" s="1"/>
  <c r="H165" i="36"/>
  <c r="G165" i="36" s="1"/>
  <c r="H164" i="36"/>
  <c r="G164" i="36" s="1"/>
  <c r="H163" i="36"/>
  <c r="G163" i="36" s="1"/>
  <c r="H162" i="36"/>
  <c r="G162" i="36" s="1"/>
  <c r="H161" i="36"/>
  <c r="G161" i="36" s="1"/>
  <c r="H160" i="36"/>
  <c r="G160" i="36" s="1"/>
  <c r="H159" i="36"/>
  <c r="G159" i="36" s="1"/>
  <c r="H158" i="36"/>
  <c r="G158" i="36" s="1"/>
  <c r="H157" i="36"/>
  <c r="G157" i="36" s="1"/>
  <c r="H156" i="36"/>
  <c r="G156" i="36" s="1"/>
  <c r="H155" i="36"/>
  <c r="G155" i="36" s="1"/>
  <c r="H154" i="36"/>
  <c r="G154" i="36" s="1"/>
  <c r="H153" i="36"/>
  <c r="G153" i="36" s="1"/>
  <c r="H152" i="36"/>
  <c r="G152" i="36" s="1"/>
  <c r="H151" i="36"/>
  <c r="G151" i="36" s="1"/>
  <c r="H150" i="36"/>
  <c r="G150" i="36" s="1"/>
  <c r="H149" i="36"/>
  <c r="G149" i="36" s="1"/>
  <c r="H148" i="36"/>
  <c r="G148" i="36" s="1"/>
  <c r="H147" i="36"/>
  <c r="G147" i="36" s="1"/>
  <c r="H146" i="36"/>
  <c r="G146" i="36" s="1"/>
  <c r="H145" i="36"/>
  <c r="G145" i="36" s="1"/>
  <c r="H144" i="36"/>
  <c r="G144" i="36" s="1"/>
  <c r="H52" i="36"/>
  <c r="G90" i="36"/>
  <c r="G52" i="36" l="1"/>
  <c r="H69" i="36"/>
  <c r="G69" i="36" s="1"/>
  <c r="H310" i="36"/>
  <c r="G310" i="36" s="1"/>
  <c r="M25" i="38" l="1"/>
  <c r="I69" i="6"/>
  <c r="G68" i="6"/>
  <c r="G52" i="6"/>
  <c r="BC46" i="31" l="1"/>
  <c r="F13" i="7"/>
  <c r="E13" i="7"/>
  <c r="D13" i="7"/>
  <c r="C13" i="7"/>
  <c r="F12" i="7"/>
  <c r="E12" i="7"/>
  <c r="D12" i="7"/>
  <c r="C12" i="7"/>
  <c r="M48" i="31"/>
  <c r="I30" i="31"/>
  <c r="BC29" i="31"/>
  <c r="BC30" i="31"/>
  <c r="BC31" i="31"/>
  <c r="BC32" i="31"/>
  <c r="BC33" i="31"/>
  <c r="BC34" i="31"/>
  <c r="BC35" i="31"/>
  <c r="BC36" i="31"/>
  <c r="BC37" i="31"/>
  <c r="BC38" i="31"/>
  <c r="BC39" i="31"/>
  <c r="BC40" i="31"/>
  <c r="BC41" i="31"/>
  <c r="BC42" i="31"/>
  <c r="BC43" i="31"/>
  <c r="BC44" i="31"/>
  <c r="BC45" i="31"/>
  <c r="BC6" i="31"/>
  <c r="BC7" i="31"/>
  <c r="BC8" i="31"/>
  <c r="BC9" i="31"/>
  <c r="BC10" i="31"/>
  <c r="BC11" i="31"/>
  <c r="BC12" i="31"/>
  <c r="BC13" i="31"/>
  <c r="BC14" i="31"/>
  <c r="BC15" i="31"/>
  <c r="BC16" i="31"/>
  <c r="BC17" i="31"/>
  <c r="BC18" i="31"/>
  <c r="BC19" i="31"/>
  <c r="BC20" i="31"/>
  <c r="BC21" i="31"/>
  <c r="BC22" i="31"/>
  <c r="BC23" i="31"/>
  <c r="BB23" i="31"/>
  <c r="AJ23" i="31"/>
  <c r="AJ29" i="31"/>
  <c r="AJ36" i="31"/>
  <c r="AJ31" i="31"/>
  <c r="AJ30" i="31"/>
  <c r="AJ32" i="31"/>
  <c r="AJ33" i="31"/>
  <c r="AJ34" i="31"/>
  <c r="AJ35" i="31"/>
  <c r="I31" i="31"/>
  <c r="AL22" i="31"/>
  <c r="BB6" i="31"/>
  <c r="AN32" i="31"/>
  <c r="AJ6" i="31"/>
  <c r="BC47" i="31" l="1"/>
  <c r="AH47" i="31" s="1"/>
  <c r="BC24" i="31"/>
  <c r="AH24" i="31" s="1"/>
  <c r="C28" i="6" l="1"/>
  <c r="F48" i="6" l="1"/>
  <c r="M48" i="6" l="1"/>
  <c r="M71" i="6"/>
  <c r="M48" i="1"/>
  <c r="I70" i="1" l="1"/>
  <c r="I7" i="1" s="1"/>
  <c r="H6" i="36"/>
  <c r="H137" i="36" l="1"/>
  <c r="G137" i="36" s="1"/>
  <c r="H133" i="36"/>
  <c r="G133" i="36" s="1"/>
  <c r="H129" i="36"/>
  <c r="G129" i="36" s="1"/>
  <c r="H125" i="36"/>
  <c r="G125" i="36" s="1"/>
  <c r="H121" i="36"/>
  <c r="G121" i="36" s="1"/>
  <c r="H124" i="36"/>
  <c r="G124" i="36" s="1"/>
  <c r="H134" i="36"/>
  <c r="G134" i="36" s="1"/>
  <c r="H136" i="36"/>
  <c r="G136" i="36" s="1"/>
  <c r="H132" i="36"/>
  <c r="G132" i="36" s="1"/>
  <c r="H128" i="36"/>
  <c r="G128" i="36" s="1"/>
  <c r="H120" i="36"/>
  <c r="G120" i="36" s="1"/>
  <c r="H126" i="36"/>
  <c r="G126" i="36" s="1"/>
  <c r="H143" i="36"/>
  <c r="G143" i="36" s="1"/>
  <c r="H135" i="36"/>
  <c r="G135" i="36" s="1"/>
  <c r="H131" i="36"/>
  <c r="G131" i="36" s="1"/>
  <c r="H127" i="36"/>
  <c r="G127" i="36" s="1"/>
  <c r="H123" i="36"/>
  <c r="G123" i="36" s="1"/>
  <c r="H119" i="36"/>
  <c r="G119" i="36" s="1"/>
  <c r="H130" i="36"/>
  <c r="G130" i="36" s="1"/>
  <c r="H122" i="36"/>
  <c r="G122" i="36" s="1"/>
  <c r="H236" i="36"/>
  <c r="G236" i="36" s="1"/>
  <c r="H232" i="36"/>
  <c r="G232" i="36" s="1"/>
  <c r="H228" i="36"/>
  <c r="G228" i="36" s="1"/>
  <c r="H224" i="36"/>
  <c r="G224" i="36" s="1"/>
  <c r="H229" i="36"/>
  <c r="G229" i="36" s="1"/>
  <c r="H247" i="36"/>
  <c r="G247" i="36" s="1"/>
  <c r="H235" i="36"/>
  <c r="G235" i="36" s="1"/>
  <c r="H231" i="36"/>
  <c r="G231" i="36" s="1"/>
  <c r="H227" i="36"/>
  <c r="G227" i="36" s="1"/>
  <c r="H223" i="36"/>
  <c r="G223" i="36" s="1"/>
  <c r="H237" i="36"/>
  <c r="G237" i="36" s="1"/>
  <c r="H225" i="36"/>
  <c r="G225" i="36" s="1"/>
  <c r="H238" i="36"/>
  <c r="G238" i="36" s="1"/>
  <c r="H234" i="36"/>
  <c r="G234" i="36" s="1"/>
  <c r="H230" i="36"/>
  <c r="G230" i="36" s="1"/>
  <c r="H226" i="36"/>
  <c r="G226" i="36" s="1"/>
  <c r="H233" i="36"/>
  <c r="G233" i="36" s="1"/>
  <c r="G6" i="36"/>
  <c r="N48" i="6"/>
  <c r="W31" i="30" l="1"/>
  <c r="AA9" i="30"/>
  <c r="V5" i="30" s="1"/>
  <c r="Z9" i="30"/>
  <c r="U5" i="30" s="1"/>
  <c r="Y9" i="30"/>
  <c r="T5" i="30" s="1"/>
  <c r="X9" i="30"/>
  <c r="S5" i="30" s="1"/>
  <c r="Q31" i="30" l="1"/>
  <c r="S31" i="30"/>
  <c r="M9" i="30"/>
  <c r="L4" i="30" s="1"/>
  <c r="M31" i="30"/>
  <c r="P9" i="30"/>
  <c r="Q9" i="30"/>
  <c r="R9" i="30"/>
  <c r="S9" i="30"/>
  <c r="T9" i="30"/>
  <c r="S4" i="30" s="1"/>
  <c r="U9" i="30"/>
  <c r="T4" i="30" s="1"/>
  <c r="V9" i="30"/>
  <c r="U4" i="30" s="1"/>
  <c r="W9" i="30"/>
  <c r="V4" i="30" s="1"/>
  <c r="N9" i="30"/>
  <c r="M4" i="30" s="1"/>
  <c r="O9" i="30"/>
  <c r="N4" i="30" s="1"/>
  <c r="L9" i="30"/>
  <c r="K4" i="30" s="1"/>
  <c r="BB29" i="31"/>
  <c r="BB30" i="31"/>
  <c r="BB31" i="31"/>
  <c r="BB32" i="31"/>
  <c r="BB33" i="31"/>
  <c r="BB34" i="31"/>
  <c r="BB35" i="31"/>
  <c r="BB36" i="31"/>
  <c r="BB37" i="31"/>
  <c r="BB38" i="31"/>
  <c r="BB39" i="31"/>
  <c r="BB40" i="31"/>
  <c r="BB41" i="31"/>
  <c r="BB42" i="31"/>
  <c r="BB43" i="31"/>
  <c r="BB44" i="31"/>
  <c r="BB45" i="31"/>
  <c r="BB46" i="31"/>
  <c r="BA29" i="31"/>
  <c r="BA30" i="31"/>
  <c r="BA31" i="31"/>
  <c r="BA32" i="31"/>
  <c r="BA33" i="31"/>
  <c r="BA34" i="31"/>
  <c r="BA35" i="31"/>
  <c r="BA36" i="31"/>
  <c r="BA37" i="31"/>
  <c r="BA38" i="31"/>
  <c r="BA39" i="31"/>
  <c r="BA40" i="31"/>
  <c r="BA41" i="31"/>
  <c r="BA42" i="31"/>
  <c r="BA43" i="31"/>
  <c r="BA44" i="31"/>
  <c r="BA45" i="31"/>
  <c r="BA46" i="31"/>
  <c r="AZ29" i="31"/>
  <c r="AZ30" i="31"/>
  <c r="AZ31" i="31"/>
  <c r="AZ32" i="31"/>
  <c r="AZ33" i="31"/>
  <c r="AZ34" i="31"/>
  <c r="AZ35" i="31"/>
  <c r="AZ36" i="31"/>
  <c r="AZ37" i="31"/>
  <c r="AZ38" i="31"/>
  <c r="AZ39" i="31"/>
  <c r="AZ40" i="31"/>
  <c r="AZ41" i="31"/>
  <c r="AZ42" i="31"/>
  <c r="AZ43" i="31"/>
  <c r="AZ44" i="31"/>
  <c r="AZ45" i="31"/>
  <c r="AZ46" i="31"/>
  <c r="AY29" i="31"/>
  <c r="AY30" i="31"/>
  <c r="AY31" i="31"/>
  <c r="AY32" i="31"/>
  <c r="AY33" i="31"/>
  <c r="AY34" i="31"/>
  <c r="AY35" i="31"/>
  <c r="AY36" i="31"/>
  <c r="AY37" i="31"/>
  <c r="AY38" i="31"/>
  <c r="AY39" i="31"/>
  <c r="AY40" i="31"/>
  <c r="AY41" i="31"/>
  <c r="AY42" i="31"/>
  <c r="AY43" i="31"/>
  <c r="AY44" i="31"/>
  <c r="AY45" i="31"/>
  <c r="AY46" i="31"/>
  <c r="AX29" i="31"/>
  <c r="AX30" i="31"/>
  <c r="AX31" i="31"/>
  <c r="AX32" i="31"/>
  <c r="AX33" i="31"/>
  <c r="AX34" i="31"/>
  <c r="AX35" i="31"/>
  <c r="AX36" i="31"/>
  <c r="AX37" i="31"/>
  <c r="AX38" i="31"/>
  <c r="AX39" i="31"/>
  <c r="AX40" i="31"/>
  <c r="AX41" i="31"/>
  <c r="AX42" i="31"/>
  <c r="AX43" i="31"/>
  <c r="AX44" i="31"/>
  <c r="AX45" i="31"/>
  <c r="AX46" i="31"/>
  <c r="AW29" i="31"/>
  <c r="AW30" i="31"/>
  <c r="AW31" i="31"/>
  <c r="AW32" i="31"/>
  <c r="AW33" i="31"/>
  <c r="AW34" i="31"/>
  <c r="AW35" i="31"/>
  <c r="AW36" i="31"/>
  <c r="AW37" i="31"/>
  <c r="AW38" i="31"/>
  <c r="AW39" i="31"/>
  <c r="AW40" i="31"/>
  <c r="AW41" i="31"/>
  <c r="AW42" i="31"/>
  <c r="AW43" i="31"/>
  <c r="AW44" i="31"/>
  <c r="AW45" i="31"/>
  <c r="AW46" i="31"/>
  <c r="AV29" i="31"/>
  <c r="AV30" i="31"/>
  <c r="AV31" i="31"/>
  <c r="AV32" i="31"/>
  <c r="AV33" i="31"/>
  <c r="AV34" i="31"/>
  <c r="AV35" i="31"/>
  <c r="AV36" i="31"/>
  <c r="AV37" i="31"/>
  <c r="AV38" i="31"/>
  <c r="AV39" i="31"/>
  <c r="AV40" i="31"/>
  <c r="AV41" i="31"/>
  <c r="AV42" i="31"/>
  <c r="AV43" i="31"/>
  <c r="AV44" i="31"/>
  <c r="AV45" i="31"/>
  <c r="AV46" i="31"/>
  <c r="AU29" i="31"/>
  <c r="AU30" i="31"/>
  <c r="AU31" i="31"/>
  <c r="AU32" i="31"/>
  <c r="AU33" i="31"/>
  <c r="AU34" i="31"/>
  <c r="AU35" i="31"/>
  <c r="AU36" i="31"/>
  <c r="AU37" i="31"/>
  <c r="AU38" i="31"/>
  <c r="AU39" i="31"/>
  <c r="AU40" i="31"/>
  <c r="AU41" i="31"/>
  <c r="AU42" i="31"/>
  <c r="AU43" i="31"/>
  <c r="AU44" i="31"/>
  <c r="AU45" i="31"/>
  <c r="AU46" i="31"/>
  <c r="AT29" i="31"/>
  <c r="AT30" i="31"/>
  <c r="AT31" i="31"/>
  <c r="AT32" i="31"/>
  <c r="AT33" i="31"/>
  <c r="AT34" i="31"/>
  <c r="AT35" i="31"/>
  <c r="AT36" i="31"/>
  <c r="AT37" i="31"/>
  <c r="AT38" i="31"/>
  <c r="AT39" i="31"/>
  <c r="AT40" i="31"/>
  <c r="AT41" i="31"/>
  <c r="AT42" i="31"/>
  <c r="AT43" i="31"/>
  <c r="AT44" i="31"/>
  <c r="AT45" i="31"/>
  <c r="AT46" i="31"/>
  <c r="AS29" i="31"/>
  <c r="AS30" i="31"/>
  <c r="AS31" i="31"/>
  <c r="AS32" i="31"/>
  <c r="AS33" i="31"/>
  <c r="AS34" i="31"/>
  <c r="AS35" i="31"/>
  <c r="AS36" i="31"/>
  <c r="AS37" i="31"/>
  <c r="AS38" i="31"/>
  <c r="AS39" i="31"/>
  <c r="AS40" i="31"/>
  <c r="AS41" i="31"/>
  <c r="AS42" i="31"/>
  <c r="AS43" i="31"/>
  <c r="AS44" i="31"/>
  <c r="AS45" i="31"/>
  <c r="AS46" i="31"/>
  <c r="AR29" i="31"/>
  <c r="AR30" i="31"/>
  <c r="AR31" i="31"/>
  <c r="AR32" i="31"/>
  <c r="AR33" i="31"/>
  <c r="AR34" i="31"/>
  <c r="AR35" i="31"/>
  <c r="AR36" i="31"/>
  <c r="AR37" i="31"/>
  <c r="AR38" i="31"/>
  <c r="AR39" i="31"/>
  <c r="AR40" i="31"/>
  <c r="AR41" i="31"/>
  <c r="AR42" i="31"/>
  <c r="AR43" i="31"/>
  <c r="AR44" i="31"/>
  <c r="AR45" i="31"/>
  <c r="AR46" i="31"/>
  <c r="AQ29" i="31"/>
  <c r="AQ30" i="31"/>
  <c r="AQ31" i="31"/>
  <c r="AQ32" i="31"/>
  <c r="AQ33" i="31"/>
  <c r="AQ34" i="31"/>
  <c r="AQ35" i="31"/>
  <c r="AQ36" i="31"/>
  <c r="AQ37" i="31"/>
  <c r="AQ38" i="31"/>
  <c r="AQ39" i="31"/>
  <c r="AQ40" i="31"/>
  <c r="AQ41" i="31"/>
  <c r="AQ42" i="31"/>
  <c r="AQ43" i="31"/>
  <c r="AQ44" i="31"/>
  <c r="AQ45" i="31"/>
  <c r="AQ46" i="31"/>
  <c r="AP29" i="31"/>
  <c r="AP30" i="31"/>
  <c r="AP31" i="31"/>
  <c r="AP32" i="31"/>
  <c r="AP33" i="31"/>
  <c r="AP34" i="31"/>
  <c r="AP35" i="31"/>
  <c r="AP36" i="31"/>
  <c r="AP37" i="31"/>
  <c r="AP38" i="31"/>
  <c r="AP39" i="31"/>
  <c r="AP40" i="31"/>
  <c r="AP41" i="31"/>
  <c r="AP42" i="31"/>
  <c r="AP43" i="31"/>
  <c r="AP44" i="31"/>
  <c r="AP45" i="31"/>
  <c r="AP46" i="31"/>
  <c r="AO29" i="31"/>
  <c r="AO30" i="31"/>
  <c r="AO31" i="31"/>
  <c r="AO32" i="31"/>
  <c r="AO33" i="31"/>
  <c r="AO34" i="31"/>
  <c r="AO35" i="31"/>
  <c r="AO36" i="31"/>
  <c r="AO37" i="31"/>
  <c r="AO38" i="31"/>
  <c r="AO39" i="31"/>
  <c r="AO40" i="31"/>
  <c r="AO41" i="31"/>
  <c r="AO42" i="31"/>
  <c r="AO43" i="31"/>
  <c r="AO44" i="31"/>
  <c r="AO45" i="31"/>
  <c r="AO46" i="31"/>
  <c r="AN29" i="31"/>
  <c r="AN30" i="31"/>
  <c r="AN31" i="31"/>
  <c r="AN33" i="31"/>
  <c r="AN34" i="31"/>
  <c r="AN35" i="31"/>
  <c r="AN36" i="31"/>
  <c r="AN37" i="31"/>
  <c r="AN38" i="31"/>
  <c r="AN39" i="31"/>
  <c r="AN40" i="31"/>
  <c r="AN41" i="31"/>
  <c r="AN42" i="31"/>
  <c r="AN43" i="31"/>
  <c r="AN44" i="31"/>
  <c r="AN45" i="31"/>
  <c r="AN46" i="31"/>
  <c r="AM29" i="31"/>
  <c r="AM30" i="31"/>
  <c r="AM31" i="31"/>
  <c r="AM32" i="31"/>
  <c r="AM33" i="31"/>
  <c r="AM34" i="31"/>
  <c r="AM35" i="31"/>
  <c r="AM36" i="31"/>
  <c r="AM37" i="31"/>
  <c r="AM38" i="31"/>
  <c r="AM39" i="31"/>
  <c r="AM40" i="31"/>
  <c r="AM41" i="31"/>
  <c r="AM42" i="31"/>
  <c r="AM43" i="31"/>
  <c r="AM44" i="31"/>
  <c r="AM45" i="31"/>
  <c r="AM46" i="31"/>
  <c r="AL29" i="31"/>
  <c r="AL30" i="31"/>
  <c r="AL31" i="31"/>
  <c r="AL32" i="31"/>
  <c r="AL33" i="31"/>
  <c r="AL34" i="31"/>
  <c r="AL35" i="31"/>
  <c r="AL36" i="31"/>
  <c r="AL37" i="31"/>
  <c r="AL38" i="31"/>
  <c r="AL39" i="31"/>
  <c r="AL40" i="31"/>
  <c r="AL41" i="31"/>
  <c r="AL42" i="31"/>
  <c r="AL43" i="31"/>
  <c r="AL44" i="31"/>
  <c r="AL45" i="31"/>
  <c r="AL46" i="31"/>
  <c r="AK29" i="31"/>
  <c r="AK30" i="31"/>
  <c r="AK31" i="31"/>
  <c r="AK32" i="31"/>
  <c r="AK33" i="31"/>
  <c r="AK34" i="31"/>
  <c r="AK35" i="31"/>
  <c r="AK36" i="31"/>
  <c r="AK37" i="31"/>
  <c r="AK38" i="31"/>
  <c r="AK39" i="31"/>
  <c r="AK40" i="31"/>
  <c r="AK41" i="31"/>
  <c r="AK42" i="31"/>
  <c r="AK43" i="31"/>
  <c r="AK44" i="31"/>
  <c r="AK45" i="31"/>
  <c r="AK46" i="31"/>
  <c r="AJ37" i="31"/>
  <c r="AJ38" i="31"/>
  <c r="AJ39" i="31"/>
  <c r="AJ40" i="31"/>
  <c r="AJ41" i="31"/>
  <c r="AJ42" i="31"/>
  <c r="AJ43" i="31"/>
  <c r="AJ44" i="31"/>
  <c r="AJ45" i="31"/>
  <c r="AJ46" i="31"/>
  <c r="I29" i="31"/>
  <c r="I32" i="31"/>
  <c r="I33" i="31"/>
  <c r="I34" i="31"/>
  <c r="I35" i="31"/>
  <c r="I36" i="31"/>
  <c r="I37" i="31"/>
  <c r="I38" i="31"/>
  <c r="I39" i="31"/>
  <c r="I40" i="31"/>
  <c r="I41" i="31"/>
  <c r="I42" i="31"/>
  <c r="I43" i="31"/>
  <c r="I45" i="31"/>
  <c r="BB7" i="31"/>
  <c r="BB8" i="31"/>
  <c r="BB9" i="31"/>
  <c r="BB10" i="31"/>
  <c r="BB11" i="31"/>
  <c r="BB12" i="31"/>
  <c r="BB13" i="31"/>
  <c r="BB14" i="31"/>
  <c r="BB15" i="31"/>
  <c r="BB16" i="31"/>
  <c r="BB17" i="31"/>
  <c r="BB18" i="31"/>
  <c r="BB19" i="31"/>
  <c r="BB20" i="31"/>
  <c r="BB21" i="31"/>
  <c r="BB22" i="31"/>
  <c r="BA6" i="31"/>
  <c r="BA7" i="31"/>
  <c r="BA8" i="31"/>
  <c r="BA9" i="31"/>
  <c r="BA10" i="31"/>
  <c r="BA11" i="31"/>
  <c r="BA12" i="31"/>
  <c r="BA13" i="31"/>
  <c r="BA14" i="31"/>
  <c r="BA15" i="31"/>
  <c r="BA16" i="31"/>
  <c r="BA17" i="31"/>
  <c r="BA18" i="31"/>
  <c r="BA19" i="31"/>
  <c r="BA20" i="31"/>
  <c r="BA21" i="31"/>
  <c r="BA22" i="31"/>
  <c r="BA23" i="31"/>
  <c r="AZ6" i="31"/>
  <c r="AZ7" i="31"/>
  <c r="AZ8" i="31"/>
  <c r="AZ9" i="31"/>
  <c r="AZ10" i="31"/>
  <c r="AZ11" i="31"/>
  <c r="AZ12" i="31"/>
  <c r="AZ13" i="31"/>
  <c r="AZ14" i="31"/>
  <c r="AZ15" i="31"/>
  <c r="AZ16" i="31"/>
  <c r="AZ17" i="31"/>
  <c r="AZ18" i="31"/>
  <c r="AZ19" i="31"/>
  <c r="AZ20" i="31"/>
  <c r="AZ21" i="31"/>
  <c r="AZ22" i="31"/>
  <c r="AZ23" i="31"/>
  <c r="AY6" i="31"/>
  <c r="AY7" i="31"/>
  <c r="AY8" i="31"/>
  <c r="AY9" i="31"/>
  <c r="AY10" i="31"/>
  <c r="AY11" i="31"/>
  <c r="AY12" i="31"/>
  <c r="AY13" i="31"/>
  <c r="AY14" i="31"/>
  <c r="AY15" i="31"/>
  <c r="AY16" i="31"/>
  <c r="AY17" i="31"/>
  <c r="AY18" i="31"/>
  <c r="AY19" i="31"/>
  <c r="AY20" i="31"/>
  <c r="AY21" i="31"/>
  <c r="AY22" i="31"/>
  <c r="AY23" i="31"/>
  <c r="AX6" i="31"/>
  <c r="AX7" i="31"/>
  <c r="AX8" i="31"/>
  <c r="AX9" i="31"/>
  <c r="AX10" i="31"/>
  <c r="AX11" i="31"/>
  <c r="AX12" i="31"/>
  <c r="AX13" i="31"/>
  <c r="AX14" i="31"/>
  <c r="AX15" i="31"/>
  <c r="AX16" i="31"/>
  <c r="AX17" i="31"/>
  <c r="AX18" i="31"/>
  <c r="AX19" i="31"/>
  <c r="AX20" i="31"/>
  <c r="AX21" i="31"/>
  <c r="AX22" i="31"/>
  <c r="AX23" i="31"/>
  <c r="AW6" i="31"/>
  <c r="AW7" i="31"/>
  <c r="AW8" i="31"/>
  <c r="AW9" i="31"/>
  <c r="AW10" i="31"/>
  <c r="AW11" i="31"/>
  <c r="AW12" i="31"/>
  <c r="AW13" i="31"/>
  <c r="AW14" i="31"/>
  <c r="AW15" i="31"/>
  <c r="AW16" i="31"/>
  <c r="AW17" i="31"/>
  <c r="AW18" i="31"/>
  <c r="AW19" i="31"/>
  <c r="AW20" i="31"/>
  <c r="AW21" i="31"/>
  <c r="AW22" i="31"/>
  <c r="AW23" i="31"/>
  <c r="AV6" i="31"/>
  <c r="AV7" i="31"/>
  <c r="AV8" i="31"/>
  <c r="AV9" i="31"/>
  <c r="AV10" i="31"/>
  <c r="AV11" i="31"/>
  <c r="AV12" i="31"/>
  <c r="AV13" i="31"/>
  <c r="AV14" i="31"/>
  <c r="AV15" i="31"/>
  <c r="AV16" i="31"/>
  <c r="AV17" i="31"/>
  <c r="AV18" i="31"/>
  <c r="AV19" i="31"/>
  <c r="AV20" i="31"/>
  <c r="AV21" i="31"/>
  <c r="AV22" i="31"/>
  <c r="AV23" i="31"/>
  <c r="AU6" i="31"/>
  <c r="AU7" i="31"/>
  <c r="AU8" i="31"/>
  <c r="AU9" i="31"/>
  <c r="AU10" i="31"/>
  <c r="AU11" i="31"/>
  <c r="AU12" i="31"/>
  <c r="AU13" i="31"/>
  <c r="AU14" i="31"/>
  <c r="AU15" i="31"/>
  <c r="AU16" i="31"/>
  <c r="AU17" i="31"/>
  <c r="AU18" i="31"/>
  <c r="AU19" i="31"/>
  <c r="AU20" i="31"/>
  <c r="AU21" i="31"/>
  <c r="AU22" i="31"/>
  <c r="AU23" i="31"/>
  <c r="AT6" i="31"/>
  <c r="AT7" i="31"/>
  <c r="AT8" i="31"/>
  <c r="AT9" i="31"/>
  <c r="AT10" i="31"/>
  <c r="AT11" i="31"/>
  <c r="AT12" i="31"/>
  <c r="AT13" i="31"/>
  <c r="AT14" i="31"/>
  <c r="AT15" i="31"/>
  <c r="AT16" i="31"/>
  <c r="AT17" i="31"/>
  <c r="AT18" i="31"/>
  <c r="AT19" i="31"/>
  <c r="AT20" i="31"/>
  <c r="AT21" i="31"/>
  <c r="AT22" i="31"/>
  <c r="AT23" i="31"/>
  <c r="AS6" i="31"/>
  <c r="AS7" i="31"/>
  <c r="AS8" i="31"/>
  <c r="AS9" i="31"/>
  <c r="AS10" i="31"/>
  <c r="AS11" i="31"/>
  <c r="AS12" i="31"/>
  <c r="AS13" i="31"/>
  <c r="AS14" i="31"/>
  <c r="AS15" i="31"/>
  <c r="AS16" i="31"/>
  <c r="AS17" i="31"/>
  <c r="AS18" i="31"/>
  <c r="AS19" i="31"/>
  <c r="AS20" i="31"/>
  <c r="AS21" i="31"/>
  <c r="AS22" i="31"/>
  <c r="AS23" i="31"/>
  <c r="AR6" i="31"/>
  <c r="AR7" i="31"/>
  <c r="AR8" i="31"/>
  <c r="AR9" i="31"/>
  <c r="AR10" i="31"/>
  <c r="AR11" i="31"/>
  <c r="AR12" i="31"/>
  <c r="AR13" i="31"/>
  <c r="AR14" i="31"/>
  <c r="AR15" i="31"/>
  <c r="AR16" i="31"/>
  <c r="AR17" i="31"/>
  <c r="AR18" i="31"/>
  <c r="AR19" i="31"/>
  <c r="AR20" i="31"/>
  <c r="AR21" i="31"/>
  <c r="AR22" i="31"/>
  <c r="AR23" i="31"/>
  <c r="AQ6" i="31"/>
  <c r="AQ7" i="31"/>
  <c r="AQ8" i="31"/>
  <c r="AQ9" i="31"/>
  <c r="AQ10" i="31"/>
  <c r="AQ11" i="31"/>
  <c r="AQ12" i="31"/>
  <c r="AQ13" i="31"/>
  <c r="AQ14" i="31"/>
  <c r="AQ15" i="31"/>
  <c r="AQ16" i="31"/>
  <c r="AQ17" i="31"/>
  <c r="AQ18" i="31"/>
  <c r="AQ19" i="31"/>
  <c r="AQ20" i="31"/>
  <c r="AQ21" i="31"/>
  <c r="AQ22" i="31"/>
  <c r="AQ23" i="31"/>
  <c r="AP6" i="31"/>
  <c r="AP7" i="31"/>
  <c r="AP8" i="31"/>
  <c r="AP9" i="31"/>
  <c r="AP10" i="31"/>
  <c r="AP11" i="31"/>
  <c r="AP12" i="31"/>
  <c r="AP13" i="31"/>
  <c r="AP14" i="31"/>
  <c r="AP15" i="31"/>
  <c r="AP16" i="31"/>
  <c r="AP17" i="31"/>
  <c r="AP18" i="31"/>
  <c r="AP19" i="31"/>
  <c r="AP20" i="31"/>
  <c r="AP21" i="31"/>
  <c r="AP22" i="31"/>
  <c r="AP23" i="31"/>
  <c r="AO6" i="31"/>
  <c r="AO7" i="31"/>
  <c r="AO8" i="31"/>
  <c r="AO9" i="31"/>
  <c r="AO10" i="31"/>
  <c r="AO11" i="31"/>
  <c r="AO12" i="31"/>
  <c r="AO13" i="31"/>
  <c r="AO14" i="31"/>
  <c r="AO15" i="31"/>
  <c r="AO16" i="31"/>
  <c r="AO17" i="31"/>
  <c r="AO18" i="31"/>
  <c r="AO19" i="31"/>
  <c r="AO20" i="31"/>
  <c r="AO21" i="31"/>
  <c r="AO22" i="31"/>
  <c r="AO23" i="31"/>
  <c r="AN6" i="31"/>
  <c r="AN7" i="31"/>
  <c r="AN8" i="31"/>
  <c r="AN9" i="31"/>
  <c r="AN10" i="31"/>
  <c r="AN11" i="31"/>
  <c r="AN12" i="31"/>
  <c r="AN13" i="31"/>
  <c r="AN14" i="31"/>
  <c r="AN15" i="31"/>
  <c r="AN16" i="31"/>
  <c r="AN17" i="31"/>
  <c r="AN18" i="31"/>
  <c r="AN19" i="31"/>
  <c r="AN20" i="31"/>
  <c r="AN21" i="31"/>
  <c r="AN22" i="31"/>
  <c r="AN23" i="31"/>
  <c r="AM6" i="31"/>
  <c r="AM7" i="31"/>
  <c r="AM8" i="31"/>
  <c r="AM9" i="31"/>
  <c r="AM10" i="31"/>
  <c r="AM11" i="31"/>
  <c r="AM12" i="31"/>
  <c r="AM13" i="31"/>
  <c r="AM14" i="31"/>
  <c r="AM15" i="31"/>
  <c r="AM16" i="31"/>
  <c r="AM17" i="31"/>
  <c r="AM18" i="31"/>
  <c r="AM19" i="31"/>
  <c r="AM20" i="31"/>
  <c r="AM21" i="31"/>
  <c r="AM22" i="31"/>
  <c r="AM23" i="31"/>
  <c r="AL6" i="31"/>
  <c r="AL7" i="31"/>
  <c r="AL8" i="31"/>
  <c r="AL9" i="31"/>
  <c r="AL10" i="31"/>
  <c r="AL11" i="31"/>
  <c r="AL12" i="31"/>
  <c r="AL13" i="31"/>
  <c r="AL14" i="31"/>
  <c r="AL15" i="31"/>
  <c r="AL16" i="31"/>
  <c r="AL17" i="31"/>
  <c r="AL18" i="31"/>
  <c r="AL19" i="31"/>
  <c r="AL20" i="31"/>
  <c r="AL21" i="31"/>
  <c r="AL23" i="31"/>
  <c r="AK6" i="31"/>
  <c r="AK7" i="31"/>
  <c r="AK8" i="31"/>
  <c r="AK9" i="31"/>
  <c r="AK10" i="31"/>
  <c r="AK11" i="31"/>
  <c r="AK12" i="31"/>
  <c r="AK13" i="31"/>
  <c r="AK14" i="31"/>
  <c r="AK15" i="31"/>
  <c r="AK16" i="31"/>
  <c r="AK17" i="31"/>
  <c r="AK18" i="31"/>
  <c r="AK19" i="31"/>
  <c r="AK20" i="31"/>
  <c r="AK21" i="31"/>
  <c r="AK22" i="31"/>
  <c r="AK23" i="31"/>
  <c r="AJ7" i="31"/>
  <c r="AJ8" i="31"/>
  <c r="AJ9" i="31"/>
  <c r="AJ10" i="31"/>
  <c r="AJ11" i="31"/>
  <c r="AJ12" i="31"/>
  <c r="AJ13" i="31"/>
  <c r="AJ14" i="31"/>
  <c r="AJ15" i="31"/>
  <c r="AJ16" i="31"/>
  <c r="AJ17" i="31"/>
  <c r="AJ18" i="31"/>
  <c r="AJ19" i="31"/>
  <c r="AJ20" i="31"/>
  <c r="AJ21" i="31"/>
  <c r="AJ22" i="31"/>
  <c r="I6" i="31"/>
  <c r="I7" i="31"/>
  <c r="I8" i="31"/>
  <c r="I9" i="31"/>
  <c r="I10" i="31"/>
  <c r="I11" i="31"/>
  <c r="I12" i="31"/>
  <c r="I13" i="31"/>
  <c r="I14" i="31"/>
  <c r="I15" i="31"/>
  <c r="I16" i="31"/>
  <c r="I17" i="31"/>
  <c r="I18" i="31"/>
  <c r="I19" i="31"/>
  <c r="I20" i="31"/>
  <c r="I22" i="31"/>
  <c r="I23" i="31"/>
  <c r="F25" i="31"/>
  <c r="F48" i="31" s="1"/>
  <c r="N48" i="31" s="1"/>
  <c r="H25" i="31"/>
  <c r="H48" i="31" s="1"/>
  <c r="M25" i="1"/>
  <c r="V42" i="30"/>
  <c r="U42" i="30"/>
  <c r="V41" i="30"/>
  <c r="U41" i="30"/>
  <c r="T31" i="30"/>
  <c r="R31" i="30"/>
  <c r="P31" i="30"/>
  <c r="O31" i="30"/>
  <c r="N31" i="30"/>
  <c r="L31" i="30"/>
  <c r="K31" i="30"/>
  <c r="J31" i="30"/>
  <c r="I31" i="30"/>
  <c r="H31" i="30"/>
  <c r="G31" i="30"/>
  <c r="F31" i="30"/>
  <c r="E31" i="30"/>
  <c r="H25" i="30"/>
  <c r="H9" i="30" s="1"/>
  <c r="K3" i="30" s="1"/>
  <c r="K9" i="30"/>
  <c r="N3" i="30" s="1"/>
  <c r="J9" i="30"/>
  <c r="M3" i="30" s="1"/>
  <c r="I9" i="30"/>
  <c r="L3" i="30" s="1"/>
  <c r="M25" i="31"/>
  <c r="Q135" i="8"/>
  <c r="Q134" i="8"/>
  <c r="Q133" i="8"/>
  <c r="Q132" i="8"/>
  <c r="Q131" i="8"/>
  <c r="Q130" i="8"/>
  <c r="Q129" i="8"/>
  <c r="Q128" i="8"/>
  <c r="Q127" i="8"/>
  <c r="Q126" i="8"/>
  <c r="Q125" i="8"/>
  <c r="Q124" i="8"/>
  <c r="Q123" i="8"/>
  <c r="Q122" i="8"/>
  <c r="Q121" i="8"/>
  <c r="Q120" i="8"/>
  <c r="Q119" i="8"/>
  <c r="Q118" i="8"/>
  <c r="Q117" i="8"/>
  <c r="Q116" i="8"/>
  <c r="Q115" i="8"/>
  <c r="I84" i="8"/>
  <c r="I85" i="8"/>
  <c r="I86" i="8"/>
  <c r="I87" i="8"/>
  <c r="I88" i="8"/>
  <c r="I89" i="8"/>
  <c r="I90" i="8"/>
  <c r="I91" i="8"/>
  <c r="I92" i="8"/>
  <c r="I93" i="8"/>
  <c r="I94" i="8"/>
  <c r="I95" i="8"/>
  <c r="I96" i="8"/>
  <c r="I97" i="8"/>
  <c r="I98" i="8"/>
  <c r="I99" i="8"/>
  <c r="I100" i="8"/>
  <c r="I101" i="8"/>
  <c r="I102" i="8"/>
  <c r="I103" i="8"/>
  <c r="I104" i="8"/>
  <c r="I105" i="8"/>
  <c r="K84" i="8"/>
  <c r="K85" i="8"/>
  <c r="K86" i="8"/>
  <c r="K87" i="8"/>
  <c r="K88" i="8"/>
  <c r="K89" i="8"/>
  <c r="K90" i="8"/>
  <c r="K91" i="8"/>
  <c r="K92" i="8"/>
  <c r="K93" i="8"/>
  <c r="K94" i="8"/>
  <c r="K95" i="8"/>
  <c r="K96" i="8"/>
  <c r="K97" i="8"/>
  <c r="K98" i="8"/>
  <c r="K99" i="8"/>
  <c r="K100" i="8"/>
  <c r="K101" i="8"/>
  <c r="K102" i="8"/>
  <c r="K103" i="8"/>
  <c r="K104" i="8"/>
  <c r="K105" i="8"/>
  <c r="M84" i="8"/>
  <c r="M85" i="8"/>
  <c r="M86" i="8"/>
  <c r="M87" i="8"/>
  <c r="M88" i="8"/>
  <c r="M89" i="8"/>
  <c r="M90" i="8"/>
  <c r="M91" i="8"/>
  <c r="M92" i="8"/>
  <c r="M93" i="8"/>
  <c r="M94" i="8"/>
  <c r="M95" i="8"/>
  <c r="M96" i="8"/>
  <c r="M97" i="8"/>
  <c r="M98" i="8"/>
  <c r="M99" i="8"/>
  <c r="M100" i="8"/>
  <c r="M101" i="8"/>
  <c r="M102" i="8"/>
  <c r="M103" i="8"/>
  <c r="M104" i="8"/>
  <c r="M105" i="8"/>
  <c r="N105" i="8"/>
  <c r="O105" i="8" s="1"/>
  <c r="N104" i="8"/>
  <c r="O104" i="8" s="1"/>
  <c r="N103" i="8"/>
  <c r="O103" i="8" s="1"/>
  <c r="N102" i="8"/>
  <c r="O102" i="8" s="1"/>
  <c r="N101" i="8"/>
  <c r="O101" i="8" s="1"/>
  <c r="N100" i="8"/>
  <c r="O100" i="8" s="1"/>
  <c r="N99" i="8"/>
  <c r="O99" i="8" s="1"/>
  <c r="N98" i="8"/>
  <c r="O98" i="8" s="1"/>
  <c r="N97" i="8"/>
  <c r="O97" i="8" s="1"/>
  <c r="N96" i="8"/>
  <c r="O96" i="8" s="1"/>
  <c r="N95" i="8"/>
  <c r="O95" i="8" s="1"/>
  <c r="N94" i="8"/>
  <c r="O94" i="8" s="1"/>
  <c r="N93" i="8"/>
  <c r="O93" i="8" s="1"/>
  <c r="N92" i="8"/>
  <c r="O92" i="8" s="1"/>
  <c r="N91" i="8"/>
  <c r="O91" i="8" s="1"/>
  <c r="N90" i="8"/>
  <c r="O90" i="8" s="1"/>
  <c r="N89" i="8"/>
  <c r="O89" i="8" s="1"/>
  <c r="N88" i="8"/>
  <c r="O88" i="8" s="1"/>
  <c r="N87" i="8"/>
  <c r="O87" i="8" s="1"/>
  <c r="N86" i="8"/>
  <c r="O86" i="8" s="1"/>
  <c r="N85" i="8"/>
  <c r="O85" i="8" s="1"/>
  <c r="N84" i="8"/>
  <c r="O84" i="8" s="1"/>
  <c r="I4" i="3"/>
  <c r="I18" i="3"/>
  <c r="I19" i="3"/>
  <c r="I20" i="3"/>
  <c r="I21" i="3"/>
  <c r="I22" i="3"/>
  <c r="I23" i="3"/>
  <c r="I24" i="3"/>
  <c r="I25" i="3"/>
  <c r="K4" i="3"/>
  <c r="K13" i="3"/>
  <c r="K15" i="3"/>
  <c r="K16" i="3"/>
  <c r="K17" i="3"/>
  <c r="K18" i="3"/>
  <c r="K19" i="3"/>
  <c r="K20" i="3"/>
  <c r="K21" i="3"/>
  <c r="K22" i="3"/>
  <c r="K23" i="3"/>
  <c r="K24" i="3"/>
  <c r="K25" i="3"/>
  <c r="M4" i="3"/>
  <c r="M13" i="3"/>
  <c r="M14" i="3"/>
  <c r="M16" i="3"/>
  <c r="M17" i="3"/>
  <c r="M18" i="3"/>
  <c r="M19" i="3"/>
  <c r="M20" i="3"/>
  <c r="M21" i="3"/>
  <c r="M22" i="3"/>
  <c r="M23" i="3"/>
  <c r="M24" i="3"/>
  <c r="M25" i="3"/>
  <c r="N4" i="3"/>
  <c r="O4" i="3" s="1"/>
  <c r="N25" i="3"/>
  <c r="O25" i="3" s="1"/>
  <c r="N24" i="3"/>
  <c r="O24" i="3" s="1"/>
  <c r="N23" i="3"/>
  <c r="O23" i="3" s="1"/>
  <c r="N22" i="3"/>
  <c r="O22" i="3" s="1"/>
  <c r="N21" i="3"/>
  <c r="O21" i="3" s="1"/>
  <c r="N20" i="3"/>
  <c r="O20" i="3" s="1"/>
  <c r="N19" i="3"/>
  <c r="O19" i="3" s="1"/>
  <c r="N18" i="3"/>
  <c r="O18" i="3" s="1"/>
  <c r="N17" i="3"/>
  <c r="O17" i="3" s="1"/>
  <c r="N16" i="3"/>
  <c r="O16" i="3" s="1"/>
  <c r="N15" i="3"/>
  <c r="O15" i="3" s="1"/>
  <c r="N14" i="3"/>
  <c r="O14" i="3" s="1"/>
  <c r="N13" i="3"/>
  <c r="O13" i="3" s="1"/>
  <c r="O136" i="8"/>
  <c r="N136" i="8"/>
  <c r="Q113" i="8"/>
  <c r="I70" i="8"/>
  <c r="I69" i="8"/>
  <c r="I68" i="8"/>
  <c r="I67" i="8"/>
  <c r="I66" i="8"/>
  <c r="I65" i="8"/>
  <c r="I64" i="8"/>
  <c r="I63" i="8"/>
  <c r="I62" i="8"/>
  <c r="I61" i="8"/>
  <c r="I60" i="8"/>
  <c r="I59" i="8"/>
  <c r="I58" i="8"/>
  <c r="I57" i="8"/>
  <c r="I56" i="8"/>
  <c r="I55" i="8"/>
  <c r="I54" i="8"/>
  <c r="I53" i="8"/>
  <c r="O81" i="8"/>
  <c r="I27" i="8"/>
  <c r="H2" i="8"/>
  <c r="I76" i="8"/>
  <c r="O107" i="8"/>
  <c r="N107" i="8"/>
  <c r="D106" i="8"/>
  <c r="H72" i="8"/>
  <c r="F72" i="8"/>
  <c r="N72" i="8" s="1"/>
  <c r="M72" i="8"/>
  <c r="D26" i="3"/>
  <c r="C5" i="1"/>
  <c r="I46" i="9"/>
  <c r="I69" i="9"/>
  <c r="I68" i="9"/>
  <c r="I67" i="9"/>
  <c r="I66" i="9"/>
  <c r="I65" i="9"/>
  <c r="I64" i="9"/>
  <c r="I63" i="9"/>
  <c r="I62" i="9"/>
  <c r="I61" i="9"/>
  <c r="I60" i="9"/>
  <c r="I59" i="9"/>
  <c r="I58" i="9"/>
  <c r="I57" i="9"/>
  <c r="I56" i="9"/>
  <c r="I55" i="9"/>
  <c r="I54" i="9"/>
  <c r="I53" i="9"/>
  <c r="I52" i="9"/>
  <c r="M71" i="9"/>
  <c r="F25" i="9"/>
  <c r="F48" i="9" s="1"/>
  <c r="F71" i="9" s="1"/>
  <c r="N71" i="9" s="1"/>
  <c r="M25" i="9"/>
  <c r="M48" i="9"/>
  <c r="C5" i="9"/>
  <c r="N2" i="30" l="1"/>
  <c r="AK24" i="31"/>
  <c r="P24" i="31" s="1"/>
  <c r="O12" i="7" s="1"/>
  <c r="N25" i="31"/>
  <c r="BB24" i="31"/>
  <c r="V2" i="30"/>
  <c r="T2" i="30"/>
  <c r="U2" i="30"/>
  <c r="AX47" i="31"/>
  <c r="AC47" i="31" s="1"/>
  <c r="AB13" i="7" s="1"/>
  <c r="S2" i="30"/>
  <c r="BB47" i="31"/>
  <c r="AG47" i="31" s="1"/>
  <c r="AF13" i="7" s="1"/>
  <c r="H20" i="8"/>
  <c r="N25" i="9"/>
  <c r="AP47" i="31"/>
  <c r="U47" i="31" s="1"/>
  <c r="T13" i="7" s="1"/>
  <c r="AT47" i="31"/>
  <c r="Y47" i="31" s="1"/>
  <c r="X13" i="7" s="1"/>
  <c r="K106" i="8"/>
  <c r="I71" i="8"/>
  <c r="J2" i="31"/>
  <c r="I47" i="31"/>
  <c r="H13" i="7" s="1"/>
  <c r="AL47" i="31"/>
  <c r="Q47" i="31" s="1"/>
  <c r="P13" i="7" s="1"/>
  <c r="AM47" i="31"/>
  <c r="R47" i="31" s="1"/>
  <c r="Q13" i="7" s="1"/>
  <c r="AJ47" i="31"/>
  <c r="O47" i="31" s="1"/>
  <c r="N13" i="7" s="1"/>
  <c r="AO47" i="31"/>
  <c r="T47" i="31" s="1"/>
  <c r="S13" i="7" s="1"/>
  <c r="AU47" i="31"/>
  <c r="Z47" i="31" s="1"/>
  <c r="Y13" i="7" s="1"/>
  <c r="AZ47" i="31"/>
  <c r="AE47" i="31" s="1"/>
  <c r="AD13" i="7" s="1"/>
  <c r="AR47" i="31"/>
  <c r="W47" i="31" s="1"/>
  <c r="V13" i="7" s="1"/>
  <c r="AW47" i="31"/>
  <c r="AB47" i="31" s="1"/>
  <c r="AA13" i="7" s="1"/>
  <c r="BA47" i="31"/>
  <c r="AF47" i="31" s="1"/>
  <c r="AE13" i="7" s="1"/>
  <c r="AK47" i="31"/>
  <c r="P47" i="31" s="1"/>
  <c r="O13" i="7" s="1"/>
  <c r="AQ47" i="31"/>
  <c r="V47" i="31" s="1"/>
  <c r="U13" i="7" s="1"/>
  <c r="AV47" i="31"/>
  <c r="AA47" i="31" s="1"/>
  <c r="Z13" i="7" s="1"/>
  <c r="AN47" i="31"/>
  <c r="S47" i="31" s="1"/>
  <c r="R13" i="7" s="1"/>
  <c r="AS47" i="31"/>
  <c r="X47" i="31" s="1"/>
  <c r="W13" i="7" s="1"/>
  <c r="AY47" i="31"/>
  <c r="AD47" i="31" s="1"/>
  <c r="AC13" i="7" s="1"/>
  <c r="U31" i="30"/>
  <c r="M2" i="30"/>
  <c r="V31" i="30"/>
  <c r="S3" i="30"/>
  <c r="AM24" i="31"/>
  <c r="R24" i="31" s="1"/>
  <c r="Q12" i="7" s="1"/>
  <c r="AO24" i="31"/>
  <c r="T24" i="31" s="1"/>
  <c r="S12" i="7" s="1"/>
  <c r="AQ24" i="31"/>
  <c r="V24" i="31" s="1"/>
  <c r="U12" i="7" s="1"/>
  <c r="AS24" i="31"/>
  <c r="X24" i="31" s="1"/>
  <c r="W12" i="7" s="1"/>
  <c r="AU24" i="31"/>
  <c r="Z24" i="31" s="1"/>
  <c r="Y12" i="7" s="1"/>
  <c r="AW24" i="31"/>
  <c r="AB24" i="31" s="1"/>
  <c r="AA12" i="7" s="1"/>
  <c r="AY24" i="31"/>
  <c r="AD24" i="31" s="1"/>
  <c r="AC12" i="7" s="1"/>
  <c r="BA24" i="31"/>
  <c r="AF24" i="31" s="1"/>
  <c r="AE12" i="7" s="1"/>
  <c r="I106" i="8"/>
  <c r="J2" i="9"/>
  <c r="I24" i="31"/>
  <c r="H12" i="7" s="1"/>
  <c r="AJ24" i="31"/>
  <c r="O24" i="31" s="1"/>
  <c r="N12" i="7" s="1"/>
  <c r="AL24" i="31"/>
  <c r="Q24" i="31" s="1"/>
  <c r="P12" i="7" s="1"/>
  <c r="N48" i="9"/>
  <c r="I70" i="9"/>
  <c r="I19" i="9"/>
  <c r="M106" i="8"/>
  <c r="AN24" i="31"/>
  <c r="S24" i="31" s="1"/>
  <c r="R12" i="7" s="1"/>
  <c r="AP24" i="31"/>
  <c r="U24" i="31" s="1"/>
  <c r="T12" i="7" s="1"/>
  <c r="AR24" i="31"/>
  <c r="W24" i="31" s="1"/>
  <c r="V12" i="7" s="1"/>
  <c r="AT24" i="31"/>
  <c r="Y24" i="31" s="1"/>
  <c r="X12" i="7" s="1"/>
  <c r="AV24" i="31"/>
  <c r="AA24" i="31" s="1"/>
  <c r="Z12" i="7" s="1"/>
  <c r="AX24" i="31"/>
  <c r="AC24" i="31" s="1"/>
  <c r="AB12" i="7" s="1"/>
  <c r="AZ24" i="31"/>
  <c r="AE24" i="31" s="1"/>
  <c r="AD12" i="7" s="1"/>
  <c r="AG24" i="31"/>
  <c r="AF12" i="7" s="1"/>
  <c r="M26" i="3"/>
  <c r="K26" i="3"/>
  <c r="I26" i="3"/>
  <c r="L2" i="30"/>
  <c r="U3" i="30"/>
  <c r="V3" i="30"/>
  <c r="K2" i="30"/>
  <c r="T3" i="30"/>
  <c r="N11" i="3" l="1"/>
  <c r="O11" i="3" s="1"/>
  <c r="N7" i="3"/>
  <c r="O7" i="3" s="1"/>
  <c r="N9" i="3"/>
  <c r="O9" i="3" s="1"/>
  <c r="N5" i="3"/>
  <c r="O5" i="3" s="1"/>
  <c r="K16" i="9"/>
  <c r="J16" i="9"/>
  <c r="I22" i="9"/>
  <c r="I24" i="9" s="1"/>
  <c r="O106" i="8"/>
  <c r="N82" i="8" s="1"/>
  <c r="Q1" i="3"/>
  <c r="I116" i="1" l="1"/>
  <c r="I9" i="1" s="1"/>
  <c r="I16" i="1" s="1"/>
  <c r="N71" i="6"/>
  <c r="I30" i="6" l="1"/>
  <c r="G11" i="49"/>
  <c r="F2" i="38"/>
  <c r="F25" i="38" s="1"/>
  <c r="H5" i="36" l="1"/>
  <c r="G37" i="49"/>
  <c r="F11" i="49"/>
  <c r="H322" i="36"/>
  <c r="G322" i="36" s="1"/>
  <c r="G62" i="49" l="1"/>
  <c r="G60" i="49"/>
  <c r="F60" i="49" s="1"/>
  <c r="F37" i="49"/>
  <c r="G100" i="49"/>
  <c r="G5" i="36"/>
  <c r="H8" i="36"/>
  <c r="G8" i="36" s="1"/>
  <c r="F100" i="49" l="1"/>
  <c r="K189" i="49"/>
  <c r="K187" i="49"/>
  <c r="K181" i="49"/>
  <c r="K179" i="49"/>
  <c r="K177" i="49"/>
  <c r="M189" i="49"/>
  <c r="M187" i="49"/>
  <c r="M181" i="49"/>
  <c r="M179" i="49"/>
  <c r="M177" i="49"/>
  <c r="H188" i="49"/>
  <c r="H180" i="49"/>
  <c r="J188" i="49"/>
  <c r="N189" i="49"/>
  <c r="N181" i="49"/>
  <c r="N177" i="49"/>
  <c r="J177" i="49"/>
  <c r="L187" i="49"/>
  <c r="L179" i="49"/>
  <c r="J181" i="49"/>
  <c r="G188" i="49"/>
  <c r="G180" i="49"/>
  <c r="I190" i="49"/>
  <c r="I180" i="49"/>
  <c r="H189" i="49"/>
  <c r="H177" i="49"/>
  <c r="N178" i="49"/>
  <c r="L180" i="49"/>
  <c r="G189" i="49"/>
  <c r="G187" i="49"/>
  <c r="G181" i="49"/>
  <c r="G179" i="49"/>
  <c r="G177" i="49"/>
  <c r="I189" i="49"/>
  <c r="I187" i="49"/>
  <c r="I181" i="49"/>
  <c r="I179" i="49"/>
  <c r="I177" i="49"/>
  <c r="H187" i="49"/>
  <c r="H179" i="49"/>
  <c r="J187" i="49"/>
  <c r="N188" i="49"/>
  <c r="N180" i="49"/>
  <c r="J189" i="49"/>
  <c r="L190" i="49"/>
  <c r="L186" i="49"/>
  <c r="L178" i="49"/>
  <c r="J178" i="49"/>
  <c r="G190" i="49"/>
  <c r="G186" i="49"/>
  <c r="G178" i="49"/>
  <c r="I188" i="49"/>
  <c r="I178" i="49"/>
  <c r="H181" i="49"/>
  <c r="N190" i="49"/>
  <c r="J180" i="49"/>
  <c r="J190" i="49"/>
  <c r="K190" i="49"/>
  <c r="K188" i="49"/>
  <c r="K186" i="49"/>
  <c r="K180" i="49"/>
  <c r="K178" i="49"/>
  <c r="M190" i="49"/>
  <c r="M188" i="49"/>
  <c r="M186" i="49"/>
  <c r="M180" i="49"/>
  <c r="M178" i="49"/>
  <c r="H190" i="49"/>
  <c r="H186" i="49"/>
  <c r="H178" i="49"/>
  <c r="J179" i="49"/>
  <c r="N187" i="49"/>
  <c r="N179" i="49"/>
  <c r="J186" i="49"/>
  <c r="J191" i="49" s="1"/>
  <c r="J192" i="49" s="1"/>
  <c r="L189" i="49"/>
  <c r="L181" i="49"/>
  <c r="L177" i="49"/>
  <c r="I186" i="49"/>
  <c r="N186" i="49"/>
  <c r="L188" i="49"/>
  <c r="F62" i="49"/>
  <c r="J182" i="49" l="1"/>
  <c r="J183" i="49" s="1"/>
  <c r="H191" i="49"/>
  <c r="H192" i="49" s="1"/>
  <c r="M191" i="49"/>
  <c r="M192" i="49" s="1"/>
  <c r="G191" i="49"/>
  <c r="G192" i="49" s="1"/>
  <c r="G79" i="49" s="1"/>
  <c r="G80" i="49" s="1"/>
  <c r="G101" i="49" s="1"/>
  <c r="I191" i="49"/>
  <c r="I192" i="49" s="1"/>
  <c r="L182" i="49"/>
  <c r="L183" i="49" s="1"/>
  <c r="N182" i="49"/>
  <c r="N183" i="49" s="1"/>
  <c r="K182" i="49"/>
  <c r="K183" i="49" s="1"/>
  <c r="L191" i="49"/>
  <c r="L192" i="49" s="1"/>
  <c r="N191" i="49"/>
  <c r="N192" i="49" s="1"/>
  <c r="G182" i="49"/>
  <c r="G183" i="49" s="1"/>
  <c r="I182" i="49"/>
  <c r="I183" i="49" s="1"/>
  <c r="M182" i="49"/>
  <c r="M183" i="49" s="1"/>
  <c r="K191" i="49"/>
  <c r="K192" i="49" s="1"/>
  <c r="H182" i="49"/>
  <c r="H183" i="49" s="1"/>
  <c r="G82" i="49"/>
  <c r="G103" i="49" s="1"/>
  <c r="H243" i="36"/>
  <c r="G243" i="36" s="1"/>
  <c r="H241" i="36"/>
  <c r="G241" i="36" s="1"/>
  <c r="H245" i="36"/>
  <c r="G245" i="36" s="1"/>
  <c r="H242" i="36"/>
  <c r="G242" i="36" s="1"/>
  <c r="H244" i="36"/>
  <c r="G244" i="36" s="1"/>
  <c r="H239" i="36"/>
  <c r="G239" i="36" s="1"/>
  <c r="H240" i="36"/>
  <c r="G240" i="36" s="1"/>
  <c r="H246" i="36"/>
  <c r="G246" i="36" s="1"/>
  <c r="G42" i="36"/>
  <c r="G41" i="36"/>
  <c r="G40" i="36"/>
  <c r="F82" i="49" l="1"/>
  <c r="F80" i="49"/>
  <c r="G93" i="49"/>
  <c r="F93" i="49" s="1"/>
  <c r="F103" i="49"/>
  <c r="F101" i="49"/>
  <c r="N25" i="38"/>
  <c r="G16" i="49" l="1"/>
  <c r="F16" i="49" s="1"/>
  <c r="H30" i="1" s="1"/>
  <c r="I30" i="1" s="1"/>
  <c r="I32" i="1" s="1"/>
  <c r="I47" i="1" s="1"/>
  <c r="I19" i="1" s="1"/>
  <c r="F2" i="1"/>
  <c r="F25" i="1" s="1"/>
  <c r="F48" i="1" s="1"/>
  <c r="F71" i="1" s="1"/>
  <c r="N71" i="1" s="1"/>
  <c r="J2" i="38"/>
  <c r="H16" i="36"/>
  <c r="G15" i="49" l="1"/>
  <c r="F15" i="49" s="1"/>
  <c r="G16" i="36"/>
  <c r="I35" i="6"/>
  <c r="F94" i="1"/>
  <c r="N25" i="1"/>
  <c r="H222" i="36"/>
  <c r="G222" i="36" s="1"/>
  <c r="G10" i="49" l="1"/>
  <c r="G99" i="49" s="1"/>
  <c r="F99" i="49" s="1"/>
  <c r="N94" i="1"/>
  <c r="F117" i="1"/>
  <c r="N48" i="1"/>
  <c r="F10" i="49" l="1"/>
  <c r="I195" i="49"/>
  <c r="K203" i="49"/>
  <c r="N205" i="49"/>
  <c r="M207" i="49"/>
  <c r="M196" i="49"/>
  <c r="L198" i="49"/>
  <c r="J207" i="49"/>
  <c r="I203" i="49"/>
  <c r="G207" i="49"/>
  <c r="J205" i="49"/>
  <c r="H195" i="49"/>
  <c r="K199" i="49"/>
  <c r="N204" i="49"/>
  <c r="M206" i="49"/>
  <c r="M195" i="49"/>
  <c r="L203" i="49"/>
  <c r="G197" i="49"/>
  <c r="J199" i="49"/>
  <c r="I199" i="49"/>
  <c r="L197" i="49"/>
  <c r="I196" i="49"/>
  <c r="L206" i="49"/>
  <c r="L199" i="49"/>
  <c r="L204" i="49"/>
  <c r="K198" i="49"/>
  <c r="N203" i="49"/>
  <c r="M205" i="49"/>
  <c r="H207" i="49"/>
  <c r="H206" i="49"/>
  <c r="J203" i="49"/>
  <c r="I198" i="49"/>
  <c r="G203" i="49"/>
  <c r="J196" i="49"/>
  <c r="L196" i="49"/>
  <c r="K197" i="49"/>
  <c r="N199" i="49"/>
  <c r="M204" i="49"/>
  <c r="H203" i="49"/>
  <c r="H198" i="49"/>
  <c r="G195" i="49"/>
  <c r="J197" i="49"/>
  <c r="I197" i="49"/>
  <c r="I200" i="49" s="1"/>
  <c r="H196" i="49"/>
  <c r="N207" i="49"/>
  <c r="M198" i="49"/>
  <c r="G205" i="49"/>
  <c r="G196" i="49"/>
  <c r="N206" i="49"/>
  <c r="M197" i="49"/>
  <c r="J204" i="49"/>
  <c r="G199" i="49"/>
  <c r="K207" i="49"/>
  <c r="K196" i="49"/>
  <c r="N198" i="49"/>
  <c r="M203" i="49"/>
  <c r="H197" i="49"/>
  <c r="L205" i="49"/>
  <c r="J198" i="49"/>
  <c r="H205" i="49"/>
  <c r="G198" i="49"/>
  <c r="I205" i="49"/>
  <c r="K206" i="49"/>
  <c r="K195" i="49"/>
  <c r="N197" i="49"/>
  <c r="M199" i="49"/>
  <c r="L207" i="49"/>
  <c r="G206" i="49"/>
  <c r="J206" i="49"/>
  <c r="I206" i="49"/>
  <c r="H199" i="49"/>
  <c r="J195" i="49"/>
  <c r="K205" i="49"/>
  <c r="N196" i="49"/>
  <c r="L195" i="49"/>
  <c r="I207" i="49"/>
  <c r="H204" i="49"/>
  <c r="K204" i="49"/>
  <c r="N195" i="49"/>
  <c r="G204" i="49"/>
  <c r="I204" i="49"/>
  <c r="N117" i="1"/>
  <c r="H141" i="36"/>
  <c r="G141" i="36" s="1"/>
  <c r="H142" i="36"/>
  <c r="G142" i="36" s="1"/>
  <c r="H140" i="36"/>
  <c r="G140" i="36" s="1"/>
  <c r="H138" i="36"/>
  <c r="G138" i="36" s="1"/>
  <c r="H139" i="36"/>
  <c r="G139" i="36" s="1"/>
  <c r="M200" i="49" l="1"/>
  <c r="N208" i="49"/>
  <c r="J208" i="49"/>
  <c r="H208" i="49"/>
  <c r="G200" i="49"/>
  <c r="G116" i="49" s="1"/>
  <c r="L200" i="49"/>
  <c r="L208" i="49"/>
  <c r="N200" i="49"/>
  <c r="K208" i="49"/>
  <c r="I208" i="49"/>
  <c r="M208" i="49"/>
  <c r="G208" i="49"/>
  <c r="G118" i="49" s="1"/>
  <c r="G119" i="49" s="1"/>
  <c r="J200" i="49"/>
  <c r="K200" i="49"/>
  <c r="H200" i="49"/>
  <c r="G117" i="49" l="1"/>
  <c r="F117" i="49" s="1"/>
  <c r="G120" i="49"/>
  <c r="F120" i="49" s="1"/>
  <c r="G121" i="49"/>
  <c r="F121" i="49" s="1"/>
  <c r="F119" i="49"/>
  <c r="G24" i="49" l="1"/>
  <c r="F24" i="49" s="1"/>
  <c r="G134" i="49"/>
  <c r="F134" i="49" s="1"/>
  <c r="G135" i="49" l="1"/>
  <c r="G167" i="49" s="1"/>
  <c r="G23" i="49"/>
  <c r="G22" i="49" s="1"/>
  <c r="G140" i="49" l="1"/>
  <c r="F140" i="49" s="1"/>
  <c r="F142" i="49" s="1"/>
  <c r="F135" i="49"/>
  <c r="F23" i="49"/>
  <c r="F22" i="49"/>
  <c r="I20" i="1" s="1"/>
  <c r="H17" i="36"/>
  <c r="G170" i="49"/>
  <c r="F170" i="49" s="1"/>
  <c r="F167" i="49"/>
  <c r="F186" i="1"/>
  <c r="N186" i="1" s="1"/>
  <c r="H7" i="38"/>
  <c r="H85" i="36"/>
  <c r="H44" i="36"/>
  <c r="H43" i="36"/>
  <c r="H77" i="36"/>
  <c r="H45" i="36"/>
  <c r="H81" i="36"/>
  <c r="H84" i="36"/>
  <c r="H46" i="36"/>
  <c r="H76" i="36"/>
  <c r="H78" i="36"/>
  <c r="H83" i="36"/>
  <c r="H82" i="36"/>
  <c r="H47" i="36"/>
  <c r="H79" i="36"/>
  <c r="H75" i="36"/>
  <c r="G145" i="49" l="1"/>
  <c r="G147" i="49" s="1"/>
  <c r="F147" i="49" s="1"/>
  <c r="F157" i="49" s="1"/>
  <c r="G157" i="49" s="1"/>
  <c r="G85" i="36"/>
  <c r="H74" i="36"/>
  <c r="G45" i="36"/>
  <c r="G46" i="36"/>
  <c r="G47" i="36"/>
  <c r="H80" i="36"/>
  <c r="G80" i="36" s="1"/>
  <c r="G44" i="36"/>
  <c r="G83" i="36"/>
  <c r="G43" i="36"/>
  <c r="G84" i="36"/>
  <c r="I36" i="6"/>
  <c r="G213" i="49"/>
  <c r="G212" i="49"/>
  <c r="G211" i="49"/>
  <c r="G17" i="36"/>
  <c r="G214" i="49" l="1"/>
  <c r="E145" i="49" s="1"/>
  <c r="E155" i="49" s="1"/>
  <c r="F145" i="49"/>
  <c r="G146" i="49"/>
  <c r="F146" i="49" s="1"/>
  <c r="F156" i="49" s="1"/>
  <c r="G156" i="49" s="1"/>
  <c r="G29" i="49" s="1"/>
  <c r="F29" i="49" s="1"/>
  <c r="H87" i="36"/>
  <c r="G87" i="36" s="1"/>
  <c r="G74" i="36"/>
  <c r="J16" i="1"/>
  <c r="K16" i="1"/>
  <c r="J2" i="1"/>
  <c r="H13" i="36"/>
  <c r="H12" i="36"/>
  <c r="F155" i="49" l="1"/>
  <c r="G155" i="49" s="1"/>
  <c r="G166" i="49" s="1"/>
  <c r="G168" i="49" s="1"/>
  <c r="H10" i="36"/>
  <c r="G10" i="36" s="1"/>
  <c r="G13" i="36"/>
  <c r="H18" i="8"/>
  <c r="H25" i="6" s="1"/>
  <c r="H48" i="6" s="1"/>
  <c r="H14" i="36"/>
  <c r="G12" i="36"/>
  <c r="H9" i="36"/>
  <c r="G9" i="36" s="1"/>
  <c r="F166" i="49" l="1"/>
  <c r="H71" i="6"/>
  <c r="H2" i="9"/>
  <c r="H25" i="9" s="1"/>
  <c r="H71" i="9" s="1"/>
  <c r="H2" i="38"/>
  <c r="H25" i="38" s="1"/>
  <c r="H2" i="1"/>
  <c r="H25" i="1" s="1"/>
  <c r="H48" i="1" s="1"/>
  <c r="H71" i="1" s="1"/>
  <c r="H27" i="8"/>
  <c r="G174" i="49"/>
  <c r="G169" i="49"/>
  <c r="F168" i="49"/>
  <c r="H11" i="36"/>
  <c r="G14" i="36"/>
  <c r="H48" i="9"/>
  <c r="H23" i="36" l="1"/>
  <c r="G11" i="36"/>
  <c r="E172" i="49"/>
  <c r="H94" i="1"/>
  <c r="H117" i="1" s="1"/>
  <c r="H140" i="1" s="1"/>
  <c r="H163" i="1" s="1"/>
  <c r="H186" i="1" l="1"/>
  <c r="E173" i="49"/>
  <c r="F173" i="49" s="1"/>
  <c r="H118" i="36"/>
  <c r="G118" i="36" s="1"/>
  <c r="G23" i="36"/>
  <c r="H49" i="36"/>
  <c r="G49" i="36" l="1"/>
  <c r="H88" i="36"/>
  <c r="G88" i="36" s="1"/>
  <c r="E174" i="49"/>
  <c r="K173" i="49" l="1"/>
  <c r="K171" i="49" s="1"/>
  <c r="K172" i="49" s="1"/>
  <c r="J173" i="49"/>
  <c r="J171" i="49" s="1"/>
  <c r="J172" i="49" s="1"/>
  <c r="H173" i="49"/>
  <c r="H171" i="49" s="1"/>
  <c r="H172" i="49" s="1"/>
  <c r="M173" i="49"/>
  <c r="M171" i="49" s="1"/>
  <c r="M172" i="49" s="1"/>
  <c r="N173" i="49"/>
  <c r="N171" i="49" s="1"/>
  <c r="N172" i="49" s="1"/>
  <c r="I173" i="49"/>
  <c r="I171" i="49" s="1"/>
  <c r="I172" i="49" s="1"/>
  <c r="L173" i="49"/>
  <c r="L171" i="49" s="1"/>
  <c r="L172" i="49" s="1"/>
  <c r="F174" i="49"/>
  <c r="G173" i="49" l="1"/>
  <c r="G171" i="49" s="1"/>
  <c r="G172" i="49" l="1"/>
  <c r="G28" i="49" s="1"/>
  <c r="F171" i="49"/>
  <c r="F28" i="49" l="1"/>
  <c r="G27" i="49"/>
  <c r="H18" i="36" l="1"/>
  <c r="F27" i="49"/>
  <c r="I21" i="1" s="1"/>
  <c r="G21" i="49"/>
  <c r="I37" i="6" l="1"/>
  <c r="I39" i="6" s="1"/>
  <c r="I43" i="6" s="1"/>
  <c r="I22" i="1"/>
  <c r="I24" i="1" s="1"/>
  <c r="F21" i="49"/>
  <c r="G32" i="49"/>
  <c r="F32" i="49" s="1"/>
  <c r="G18" i="36"/>
  <c r="H15" i="36"/>
  <c r="H92" i="36" l="1"/>
  <c r="G92" i="36" s="1"/>
  <c r="G15" i="36"/>
  <c r="H19" i="36"/>
  <c r="H95" i="36"/>
  <c r="G95" i="36" s="1"/>
  <c r="H94" i="36"/>
  <c r="G94" i="36" s="1"/>
  <c r="H104" i="36"/>
  <c r="G104" i="36" s="1"/>
  <c r="H97" i="36"/>
  <c r="G97" i="36" s="1"/>
  <c r="H117" i="36"/>
  <c r="G117" i="36" s="1"/>
  <c r="H98" i="36"/>
  <c r="G98" i="36" s="1"/>
  <c r="H108" i="36"/>
  <c r="G108" i="36" s="1"/>
  <c r="H101" i="36"/>
  <c r="G101" i="36" s="1"/>
  <c r="H105" i="36"/>
  <c r="G105" i="36" s="1"/>
  <c r="H106" i="36"/>
  <c r="G106" i="36" s="1"/>
  <c r="H93" i="36"/>
  <c r="G93" i="36" s="1"/>
  <c r="H102" i="36"/>
  <c r="G102" i="36" s="1"/>
  <c r="H96" i="36"/>
  <c r="G96" i="36" s="1"/>
  <c r="H99" i="36"/>
  <c r="G99" i="36" s="1"/>
  <c r="H100" i="36"/>
  <c r="G100" i="36" s="1"/>
  <c r="H103" i="36"/>
  <c r="G103" i="36" s="1"/>
  <c r="H107" i="36"/>
  <c r="G107" i="36" s="1"/>
  <c r="H111" i="36"/>
  <c r="G111" i="36" s="1"/>
  <c r="H110" i="36"/>
  <c r="G110" i="36" s="1"/>
  <c r="H109" i="36"/>
  <c r="G109" i="36" s="1"/>
  <c r="H115" i="36"/>
  <c r="G115" i="36" s="1"/>
  <c r="H116" i="36"/>
  <c r="G116" i="36" s="1"/>
  <c r="H315" i="36"/>
  <c r="G315" i="36" s="1"/>
  <c r="H313" i="36"/>
  <c r="G313" i="36" s="1"/>
  <c r="H113" i="36"/>
  <c r="G113" i="36" s="1"/>
  <c r="H314" i="36"/>
  <c r="G314" i="36" s="1"/>
  <c r="H114" i="36"/>
  <c r="G114" i="36" s="1"/>
  <c r="H112" i="36"/>
  <c r="G112" i="36" s="1"/>
  <c r="H311" i="36"/>
  <c r="H319" i="36"/>
  <c r="G319" i="36" s="1"/>
  <c r="H312" i="36"/>
  <c r="G312" i="36" s="1"/>
  <c r="H318" i="36"/>
  <c r="H321" i="36"/>
  <c r="I45" i="6"/>
  <c r="I47" i="6" s="1"/>
  <c r="I52" i="6"/>
  <c r="I66" i="6" s="1"/>
  <c r="H274" i="36" l="1"/>
  <c r="G274" i="36" s="1"/>
  <c r="G321" i="36"/>
  <c r="H323" i="36"/>
  <c r="G323" i="36" s="1"/>
  <c r="H317" i="36"/>
  <c r="G317" i="36" s="1"/>
  <c r="G311" i="36"/>
  <c r="G318" i="36"/>
  <c r="H320" i="36"/>
  <c r="G320" i="36" s="1"/>
  <c r="G19" i="36"/>
  <c r="I68" i="6"/>
  <c r="I70" i="6" s="1"/>
  <c r="H324" i="36" l="1"/>
  <c r="G324" i="36" l="1"/>
  <c r="H325" i="36"/>
  <c r="H20" i="36"/>
  <c r="G325" i="36" l="1"/>
  <c r="G20" i="36"/>
</calcChain>
</file>

<file path=xl/comments1.xml><?xml version="1.0" encoding="utf-8"?>
<comments xmlns="http://schemas.openxmlformats.org/spreadsheetml/2006/main">
  <authors>
    <author>佐藤　裕孝</author>
  </authors>
  <commentList>
    <comment ref="K9" authorId="0" shapeId="0">
      <text>
        <r>
          <rPr>
            <sz val="9"/>
            <color indexed="81"/>
            <rFont val="MS P ゴシック"/>
            <family val="3"/>
            <charset val="128"/>
          </rPr>
          <t xml:space="preserve">設計書番号を入力
（2019-は自動で追記されるので入力不要）
</t>
        </r>
      </text>
    </comment>
  </commentList>
</comments>
</file>

<file path=xl/comments2.xml><?xml version="1.0" encoding="utf-8"?>
<comments xmlns="http://schemas.openxmlformats.org/spreadsheetml/2006/main">
  <authors>
    <author>若島　寛子</author>
  </authors>
  <commentList>
    <comment ref="I1" authorId="0" shapeId="0">
      <text>
        <r>
          <rPr>
            <b/>
            <sz val="14"/>
            <color indexed="10"/>
            <rFont val="MS P ゴシック"/>
            <family val="3"/>
            <charset val="128"/>
          </rPr>
          <t>Ｉ列は入力・削除等の操作を行わないでください。</t>
        </r>
      </text>
    </comment>
    <comment ref="I24" authorId="0" shapeId="0">
      <text>
        <r>
          <rPr>
            <b/>
            <sz val="9"/>
            <color indexed="81"/>
            <rFont val="MS P ゴシック"/>
            <family val="3"/>
            <charset val="128"/>
          </rPr>
          <t>クリーム色着色部分：
該当する場合のみ直接入力してください。</t>
        </r>
        <r>
          <rPr>
            <sz val="9"/>
            <color indexed="81"/>
            <rFont val="MS P ゴシック"/>
            <family val="3"/>
            <charset val="128"/>
          </rPr>
          <t xml:space="preserve">
</t>
        </r>
      </text>
    </comment>
    <comment ref="I43" authorId="0" shapeId="0">
      <text>
        <r>
          <rPr>
            <b/>
            <sz val="9"/>
            <color indexed="81"/>
            <rFont val="MS P ゴシック"/>
            <family val="3"/>
            <charset val="128"/>
          </rPr>
          <t>建物附属設備は、各工事シートで選択されたものが自動集計される。</t>
        </r>
      </text>
    </comment>
    <comment ref="I58" authorId="0" shapeId="0">
      <text>
        <r>
          <rPr>
            <b/>
            <sz val="9"/>
            <color indexed="81"/>
            <rFont val="MS P ゴシック"/>
            <family val="3"/>
            <charset val="128"/>
          </rPr>
          <t>クリーム色着色部分：
該当する場合のみ直接入力してください。</t>
        </r>
        <r>
          <rPr>
            <sz val="9"/>
            <color indexed="81"/>
            <rFont val="MS P ゴシック"/>
            <family val="3"/>
            <charset val="128"/>
          </rPr>
          <t xml:space="preserve">
</t>
        </r>
      </text>
    </comment>
    <comment ref="I75" authorId="0" shapeId="0">
      <text>
        <r>
          <rPr>
            <b/>
            <sz val="9"/>
            <color indexed="81"/>
            <rFont val="MS P ゴシック"/>
            <family val="3"/>
            <charset val="128"/>
          </rPr>
          <t>工具・器具・備品は、各工事シートで選択されたものが自動集計される。</t>
        </r>
        <r>
          <rPr>
            <sz val="9"/>
            <color indexed="81"/>
            <rFont val="MS P ゴシック"/>
            <family val="3"/>
            <charset val="128"/>
          </rPr>
          <t xml:space="preserve">
</t>
        </r>
      </text>
    </comment>
  </commentList>
</comments>
</file>

<file path=xl/comments3.xml><?xml version="1.0" encoding="utf-8"?>
<comments xmlns="http://schemas.openxmlformats.org/spreadsheetml/2006/main">
  <authors>
    <author>若島　寛子</author>
  </authors>
  <commentList>
    <comment ref="K16" authorId="0" shapeId="0">
      <text>
        <r>
          <rPr>
            <b/>
            <sz val="9"/>
            <color indexed="81"/>
            <rFont val="MS P ゴシック"/>
            <family val="3"/>
            <charset val="128"/>
          </rPr>
          <t>若島　SUMIF関数で自動算出</t>
        </r>
        <r>
          <rPr>
            <sz val="9"/>
            <color indexed="81"/>
            <rFont val="MS P ゴシック"/>
            <family val="3"/>
            <charset val="128"/>
          </rPr>
          <t xml:space="preserve">
</t>
        </r>
      </text>
    </comment>
  </commentList>
</comments>
</file>

<file path=xl/comments4.xml><?xml version="1.0" encoding="utf-8"?>
<comments xmlns="http://schemas.openxmlformats.org/spreadsheetml/2006/main">
  <authors>
    <author>今井　得裕</author>
    <author>profile</author>
  </authors>
  <commentList>
    <comment ref="F141" authorId="0" shapeId="0">
      <text>
        <r>
          <rPr>
            <b/>
            <sz val="9"/>
            <color indexed="81"/>
            <rFont val="ＭＳ Ｐゴシック"/>
            <family val="3"/>
            <charset val="128"/>
          </rPr>
          <t>土木工事で一括発注する場合、土木工事原価は直接入力（手打ち）してください。</t>
        </r>
        <r>
          <rPr>
            <sz val="9"/>
            <color indexed="81"/>
            <rFont val="ＭＳ Ｐゴシック"/>
            <family val="3"/>
            <charset val="128"/>
          </rPr>
          <t xml:space="preserve">
</t>
        </r>
      </text>
    </comment>
    <comment ref="G141" authorId="0" shapeId="0">
      <text>
        <r>
          <rPr>
            <b/>
            <sz val="9"/>
            <color indexed="81"/>
            <rFont val="ＭＳ Ｐゴシック"/>
            <family val="3"/>
            <charset val="128"/>
          </rPr>
          <t>建築工事で一括発注する場合のため、
計算式を入力済</t>
        </r>
        <r>
          <rPr>
            <sz val="9"/>
            <color indexed="81"/>
            <rFont val="ＭＳ Ｐゴシック"/>
            <family val="3"/>
            <charset val="128"/>
          </rPr>
          <t xml:space="preserve">
土木工事の一般管理費を入力すると、土木工事原価が表示</t>
        </r>
      </text>
    </comment>
    <comment ref="G163" authorId="1" shapeId="0">
      <text>
        <r>
          <rPr>
            <sz val="9"/>
            <color indexed="81"/>
            <rFont val="ＭＳ Ｐゴシック"/>
            <family val="3"/>
            <charset val="128"/>
          </rPr>
          <t xml:space="preserve">土木工事一括発注時（積算体系の異なる工事）に使用。
</t>
        </r>
      </text>
    </comment>
  </commentList>
</comments>
</file>

<file path=xl/comments5.xml><?xml version="1.0" encoding="utf-8"?>
<comments xmlns="http://schemas.openxmlformats.org/spreadsheetml/2006/main">
  <authors>
    <author>profile</author>
    <author>今井　得裕</author>
  </authors>
  <commentList>
    <comment ref="G42" authorId="0" shapeId="0">
      <text>
        <r>
          <rPr>
            <sz val="9"/>
            <color indexed="81"/>
            <rFont val="ＭＳ Ｐゴシック"/>
            <family val="3"/>
            <charset val="128"/>
          </rPr>
          <t>設備明細の直工金額を入力</t>
        </r>
      </text>
    </comment>
    <comment ref="G43" authorId="0" shapeId="0">
      <text>
        <r>
          <rPr>
            <sz val="9"/>
            <color indexed="81"/>
            <rFont val="ＭＳ Ｐゴシック"/>
            <family val="3"/>
            <charset val="128"/>
          </rPr>
          <t>設備明細の共仮金額を入力</t>
        </r>
      </text>
    </comment>
    <comment ref="C104" authorId="0" shapeId="0">
      <text>
        <r>
          <rPr>
            <sz val="9"/>
            <color indexed="81"/>
            <rFont val="ＭＳ Ｐゴシック"/>
            <family val="3"/>
            <charset val="128"/>
          </rPr>
          <t>設備と分けて欄を作った</t>
        </r>
      </text>
    </comment>
    <comment ref="G134" authorId="0" shapeId="0">
      <text>
        <r>
          <rPr>
            <sz val="9"/>
            <color indexed="81"/>
            <rFont val="ＭＳ Ｐゴシック"/>
            <family val="3"/>
            <charset val="128"/>
          </rPr>
          <t>設備明細の直工金額を入力</t>
        </r>
      </text>
    </comment>
    <comment ref="G135" authorId="0" shapeId="0">
      <text>
        <r>
          <rPr>
            <sz val="9"/>
            <color indexed="81"/>
            <rFont val="ＭＳ Ｐゴシック"/>
            <family val="3"/>
            <charset val="128"/>
          </rPr>
          <t>設備明細の共仮金額を入力</t>
        </r>
      </text>
    </comment>
    <comment ref="G212" authorId="0" shapeId="0">
      <text>
        <r>
          <rPr>
            <sz val="9"/>
            <color indexed="81"/>
            <rFont val="ＭＳ Ｐゴシック"/>
            <family val="3"/>
            <charset val="128"/>
          </rPr>
          <t>H23）設備明細の現場管理費を入力する</t>
        </r>
      </text>
    </comment>
    <comment ref="F223" authorId="1" shapeId="0">
      <text>
        <r>
          <rPr>
            <b/>
            <sz val="9"/>
            <color indexed="81"/>
            <rFont val="ＭＳ Ｐゴシック"/>
            <family val="3"/>
            <charset val="128"/>
          </rPr>
          <t>土木工事で一括発注する場合、土木工事原価は直接入力（手打ち）してください。</t>
        </r>
        <r>
          <rPr>
            <sz val="9"/>
            <color indexed="81"/>
            <rFont val="ＭＳ Ｐゴシック"/>
            <family val="3"/>
            <charset val="128"/>
          </rPr>
          <t xml:space="preserve">
</t>
        </r>
      </text>
    </comment>
    <comment ref="G223" authorId="1" shapeId="0">
      <text>
        <r>
          <rPr>
            <b/>
            <sz val="9"/>
            <color indexed="81"/>
            <rFont val="ＭＳ Ｐゴシック"/>
            <family val="3"/>
            <charset val="128"/>
          </rPr>
          <t>建築工事で一括発注する場合のため、
計算式を入力済</t>
        </r>
        <r>
          <rPr>
            <sz val="9"/>
            <color indexed="81"/>
            <rFont val="ＭＳ Ｐゴシック"/>
            <family val="3"/>
            <charset val="128"/>
          </rPr>
          <t xml:space="preserve">
土木工事の一般管理費を入力すると、土木工事原価が表示</t>
        </r>
      </text>
    </comment>
    <comment ref="G245" authorId="0" shapeId="0">
      <text>
        <r>
          <rPr>
            <sz val="9"/>
            <color indexed="81"/>
            <rFont val="ＭＳ Ｐゴシック"/>
            <family val="3"/>
            <charset val="128"/>
          </rPr>
          <t xml:space="preserve">土木工事一括発注時（積算体系の異なる工事）に使用。
</t>
        </r>
      </text>
    </comment>
    <comment ref="C319" authorId="0" shapeId="0">
      <text>
        <r>
          <rPr>
            <sz val="9"/>
            <color indexed="81"/>
            <rFont val="ＭＳ Ｐゴシック"/>
            <family val="3"/>
            <charset val="128"/>
          </rPr>
          <t>設備と分けて欄を作った</t>
        </r>
      </text>
    </comment>
    <comment ref="G427" authorId="0" shapeId="0">
      <text>
        <r>
          <rPr>
            <sz val="9"/>
            <color indexed="81"/>
            <rFont val="ＭＳ Ｐゴシック"/>
            <family val="3"/>
            <charset val="128"/>
          </rPr>
          <t>H23）設備明細の現場管理費を入力する</t>
        </r>
      </text>
    </comment>
    <comment ref="G459" authorId="0" shapeId="0">
      <text>
        <r>
          <rPr>
            <sz val="9"/>
            <color indexed="81"/>
            <rFont val="ＭＳ Ｐゴシック"/>
            <family val="3"/>
            <charset val="128"/>
          </rPr>
          <t xml:space="preserve">土木工事一括発注時（積算体系の異なる工事）に使用。
</t>
        </r>
      </text>
    </comment>
  </commentList>
</comments>
</file>

<file path=xl/sharedStrings.xml><?xml version="1.0" encoding="utf-8"?>
<sst xmlns="http://schemas.openxmlformats.org/spreadsheetml/2006/main" count="5166" uniqueCount="3321">
  <si>
    <t>名             称</t>
  </si>
  <si>
    <t>形   状   寸   法</t>
  </si>
  <si>
    <t>数   量</t>
  </si>
  <si>
    <t>単 位</t>
  </si>
  <si>
    <t>単   価</t>
  </si>
  <si>
    <t>金    額</t>
  </si>
  <si>
    <t>摘            要</t>
  </si>
  <si>
    <t>式</t>
  </si>
  <si>
    <t>直接仮設工事</t>
  </si>
  <si>
    <t>小    計</t>
  </si>
  <si>
    <t>運搬時間</t>
  </si>
  <si>
    <t>作業時間</t>
    <phoneticPr fontId="3"/>
  </si>
  <si>
    <t>円</t>
    <rPh sb="0" eb="1">
      <t>エン</t>
    </rPh>
    <phoneticPr fontId="3"/>
  </si>
  <si>
    <t>作業時間</t>
    <phoneticPr fontId="3"/>
  </si>
  <si>
    <t>消費税及び地方消費税相当額</t>
  </si>
  <si>
    <t>合計</t>
  </si>
  <si>
    <t>○○工事の部</t>
    <rPh sb="2" eb="4">
      <t>コウジ</t>
    </rPh>
    <rPh sb="5" eb="6">
      <t>ブ</t>
    </rPh>
    <phoneticPr fontId="3"/>
  </si>
  <si>
    <t>〇〇工事   見積り金額比較表</t>
  </si>
  <si>
    <t>作業</t>
    <rPh sb="0" eb="2">
      <t>サギョウ</t>
    </rPh>
    <phoneticPr fontId="3"/>
  </si>
  <si>
    <t>時間</t>
    <rPh sb="0" eb="2">
      <t>ジカン</t>
    </rPh>
    <phoneticPr fontId="3"/>
  </si>
  <si>
    <t>運搬</t>
    <rPh sb="0" eb="2">
      <t>ウンパン</t>
    </rPh>
    <phoneticPr fontId="3"/>
  </si>
  <si>
    <t>名　　　　称</t>
    <rPh sb="0" eb="1">
      <t>メイ</t>
    </rPh>
    <rPh sb="5" eb="6">
      <t>ショウ</t>
    </rPh>
    <phoneticPr fontId="3"/>
  </si>
  <si>
    <t>形　状　寸　法</t>
    <rPh sb="0" eb="1">
      <t>カタチ</t>
    </rPh>
    <rPh sb="2" eb="3">
      <t>ジョウ</t>
    </rPh>
    <rPh sb="4" eb="5">
      <t>スン</t>
    </rPh>
    <rPh sb="6" eb="7">
      <t>ホウ</t>
    </rPh>
    <phoneticPr fontId="3"/>
  </si>
  <si>
    <t>数量</t>
    <rPh sb="0" eb="2">
      <t>スウリョウ</t>
    </rPh>
    <phoneticPr fontId="3"/>
  </si>
  <si>
    <t>単位</t>
    <rPh sb="0" eb="2">
      <t>タンイ</t>
    </rPh>
    <phoneticPr fontId="3"/>
  </si>
  <si>
    <t>単　価</t>
    <rPh sb="0" eb="1">
      <t>タン</t>
    </rPh>
    <rPh sb="2" eb="3">
      <t>アタイ</t>
    </rPh>
    <phoneticPr fontId="3"/>
  </si>
  <si>
    <t>金　額</t>
    <rPh sb="0" eb="1">
      <t>キン</t>
    </rPh>
    <rPh sb="2" eb="3">
      <t>ガク</t>
    </rPh>
    <phoneticPr fontId="3"/>
  </si>
  <si>
    <t>A:</t>
    <phoneticPr fontId="3"/>
  </si>
  <si>
    <t>B:</t>
    <phoneticPr fontId="3"/>
  </si>
  <si>
    <t>C:</t>
    <phoneticPr fontId="3"/>
  </si>
  <si>
    <t>ｺｰﾄﾞNo</t>
    <phoneticPr fontId="3"/>
  </si>
  <si>
    <t>調整単価</t>
    <rPh sb="0" eb="2">
      <t>チョウセイ</t>
    </rPh>
    <rPh sb="2" eb="3">
      <t>タン</t>
    </rPh>
    <rPh sb="3" eb="4">
      <t>アタイ</t>
    </rPh>
    <phoneticPr fontId="3"/>
  </si>
  <si>
    <t>採用単価</t>
    <rPh sb="0" eb="2">
      <t>サイヨウ</t>
    </rPh>
    <rPh sb="2" eb="4">
      <t>タンカ</t>
    </rPh>
    <phoneticPr fontId="3"/>
  </si>
  <si>
    <t>最小値→</t>
    <rPh sb="0" eb="3">
      <t>サイショウチ</t>
    </rPh>
    <phoneticPr fontId="3"/>
  </si>
  <si>
    <t>単価ｺｰﾄﾞ</t>
  </si>
  <si>
    <t>形  状  寸  法</t>
  </si>
  <si>
    <t>単位</t>
  </si>
  <si>
    <t>材料費</t>
  </si>
  <si>
    <t>１Ａ</t>
  </si>
  <si>
    <t>２Ａ</t>
  </si>
  <si>
    <t>３Ａ</t>
  </si>
  <si>
    <t>４Ａ</t>
  </si>
  <si>
    <t>備    考</t>
  </si>
  <si>
    <t>工種</t>
    <rPh sb="0" eb="2">
      <t>コウシュ</t>
    </rPh>
    <phoneticPr fontId="3"/>
  </si>
  <si>
    <t>直接仮設工事</t>
    <rPh sb="0" eb="2">
      <t>チョクセツ</t>
    </rPh>
    <rPh sb="2" eb="4">
      <t>カセツ</t>
    </rPh>
    <rPh sb="4" eb="6">
      <t>コウジ</t>
    </rPh>
    <phoneticPr fontId="3"/>
  </si>
  <si>
    <t>金額欄計算式    =&gt;</t>
    <rPh sb="0" eb="2">
      <t>キンガク</t>
    </rPh>
    <rPh sb="2" eb="3">
      <t>ラン</t>
    </rPh>
    <rPh sb="3" eb="5">
      <t>ケイサン</t>
    </rPh>
    <rPh sb="5" eb="6">
      <t>シキ</t>
    </rPh>
    <phoneticPr fontId="3"/>
  </si>
  <si>
    <t>標準単価ファイル名</t>
    <rPh sb="0" eb="2">
      <t>ヒョウジュン</t>
    </rPh>
    <rPh sb="2" eb="4">
      <t>タンカ</t>
    </rPh>
    <rPh sb="8" eb="9">
      <t>メイ</t>
    </rPh>
    <phoneticPr fontId="3"/>
  </si>
  <si>
    <t>標準単価ﾌｧｲﾙ保管場所</t>
    <rPh sb="0" eb="2">
      <t>ヒョウジュン</t>
    </rPh>
    <rPh sb="2" eb="4">
      <t>タンカ</t>
    </rPh>
    <rPh sb="8" eb="10">
      <t>ホカン</t>
    </rPh>
    <rPh sb="10" eb="12">
      <t>バショ</t>
    </rPh>
    <phoneticPr fontId="3"/>
  </si>
  <si>
    <t>各シートの最大行数（単価挿入時にEOL無し時に実行する範囲。小さいと処理は早く終わるが、この行以降のデータに単価は挿入されない。）</t>
    <rPh sb="0" eb="1">
      <t>カク</t>
    </rPh>
    <rPh sb="5" eb="7">
      <t>サイダイ</t>
    </rPh>
    <rPh sb="7" eb="9">
      <t>ギョウスウ</t>
    </rPh>
    <rPh sb="10" eb="12">
      <t>タンカ</t>
    </rPh>
    <rPh sb="12" eb="14">
      <t>ソウニュウ</t>
    </rPh>
    <rPh sb="14" eb="15">
      <t>ジ</t>
    </rPh>
    <rPh sb="19" eb="20">
      <t>ナ</t>
    </rPh>
    <rPh sb="21" eb="22">
      <t>ジ</t>
    </rPh>
    <rPh sb="23" eb="25">
      <t>ジッコウ</t>
    </rPh>
    <rPh sb="27" eb="29">
      <t>ハンイ</t>
    </rPh>
    <rPh sb="30" eb="31">
      <t>チイ</t>
    </rPh>
    <rPh sb="34" eb="36">
      <t>ショリ</t>
    </rPh>
    <rPh sb="37" eb="38">
      <t>ハヤ</t>
    </rPh>
    <rPh sb="39" eb="40">
      <t>オ</t>
    </rPh>
    <rPh sb="46" eb="47">
      <t>ギョウ</t>
    </rPh>
    <rPh sb="47" eb="49">
      <t>イコウ</t>
    </rPh>
    <rPh sb="54" eb="56">
      <t>タンカ</t>
    </rPh>
    <rPh sb="57" eb="59">
      <t>ソウニュウ</t>
    </rPh>
    <phoneticPr fontId="3"/>
  </si>
  <si>
    <t>運搬時間</t>
    <phoneticPr fontId="3"/>
  </si>
  <si>
    <t>機械器具費</t>
    <rPh sb="0" eb="2">
      <t>キカイ</t>
    </rPh>
    <rPh sb="2" eb="4">
      <t>キグ</t>
    </rPh>
    <rPh sb="4" eb="5">
      <t>ヒ</t>
    </rPh>
    <phoneticPr fontId="3"/>
  </si>
  <si>
    <t>工事用電力電灯費</t>
    <rPh sb="0" eb="3">
      <t>コウジヨウ</t>
    </rPh>
    <rPh sb="3" eb="5">
      <t>デンリョク</t>
    </rPh>
    <rPh sb="5" eb="7">
      <t>デントウ</t>
    </rPh>
    <rPh sb="7" eb="8">
      <t>ヒ</t>
    </rPh>
    <phoneticPr fontId="3"/>
  </si>
  <si>
    <t>工事用用水費</t>
    <rPh sb="0" eb="3">
      <t>コウジヨウ</t>
    </rPh>
    <rPh sb="3" eb="5">
      <t>ヨウスイ</t>
    </rPh>
    <rPh sb="5" eb="6">
      <t>ヒ</t>
    </rPh>
    <phoneticPr fontId="3"/>
  </si>
  <si>
    <t>仮囲い</t>
    <rPh sb="0" eb="1">
      <t>カリ</t>
    </rPh>
    <rPh sb="1" eb="2">
      <t>カコ</t>
    </rPh>
    <phoneticPr fontId="3"/>
  </si>
  <si>
    <t>試験調査費</t>
    <rPh sb="0" eb="2">
      <t>シケン</t>
    </rPh>
    <rPh sb="2" eb="5">
      <t>チョウサヒ</t>
    </rPh>
    <phoneticPr fontId="3"/>
  </si>
  <si>
    <t>共通仮設材運搬費</t>
    <rPh sb="0" eb="2">
      <t>キョウツウ</t>
    </rPh>
    <rPh sb="2" eb="4">
      <t>カセツ</t>
    </rPh>
    <rPh sb="4" eb="5">
      <t>ザイ</t>
    </rPh>
    <rPh sb="5" eb="7">
      <t>ウンパン</t>
    </rPh>
    <rPh sb="7" eb="8">
      <t>ヒ</t>
    </rPh>
    <phoneticPr fontId="3"/>
  </si>
  <si>
    <t>警備員費</t>
    <rPh sb="0" eb="3">
      <t>ケイビイン</t>
    </rPh>
    <rPh sb="3" eb="4">
      <t>ヒ</t>
    </rPh>
    <phoneticPr fontId="3"/>
  </si>
  <si>
    <t>巡視員</t>
    <rPh sb="0" eb="3">
      <t>ジュンシイン</t>
    </rPh>
    <phoneticPr fontId="3"/>
  </si>
  <si>
    <t>墨出し</t>
    <rPh sb="0" eb="2">
      <t>スミダ</t>
    </rPh>
    <phoneticPr fontId="3"/>
  </si>
  <si>
    <t>片付清掃費</t>
    <rPh sb="0" eb="2">
      <t>カタヅ</t>
    </rPh>
    <rPh sb="2" eb="4">
      <t>セイソウ</t>
    </rPh>
    <rPh sb="4" eb="5">
      <t>ヒ</t>
    </rPh>
    <phoneticPr fontId="3"/>
  </si>
  <si>
    <t>外部足場</t>
    <rPh sb="0" eb="2">
      <t>ガイブ</t>
    </rPh>
    <rPh sb="2" eb="4">
      <t>アシバ</t>
    </rPh>
    <phoneticPr fontId="3"/>
  </si>
  <si>
    <t>内部足場</t>
    <rPh sb="0" eb="2">
      <t>ナイブ</t>
    </rPh>
    <rPh sb="2" eb="4">
      <t>アシバ</t>
    </rPh>
    <phoneticPr fontId="3"/>
  </si>
  <si>
    <t>直接仮設材運搬費</t>
    <rPh sb="0" eb="2">
      <t>チョクセツ</t>
    </rPh>
    <rPh sb="2" eb="4">
      <t>カセツ</t>
    </rPh>
    <rPh sb="4" eb="5">
      <t>ザイ</t>
    </rPh>
    <rPh sb="5" eb="7">
      <t>ウンパン</t>
    </rPh>
    <rPh sb="7" eb="8">
      <t>ヒ</t>
    </rPh>
    <phoneticPr fontId="3"/>
  </si>
  <si>
    <t>合    計</t>
    <rPh sb="0" eb="1">
      <t>ゴウ</t>
    </rPh>
    <phoneticPr fontId="3"/>
  </si>
  <si>
    <t>cells(8,8)</t>
    <phoneticPr fontId="3"/>
  </si>
  <si>
    <t>cells(10,8)</t>
    <phoneticPr fontId="3"/>
  </si>
  <si>
    <t>cells(12,8)</t>
    <phoneticPr fontId="3"/>
  </si>
  <si>
    <t>　計</t>
    <rPh sb="1" eb="2">
      <t>ケイ</t>
    </rPh>
    <phoneticPr fontId="3"/>
  </si>
  <si>
    <t>page</t>
    <phoneticPr fontId="3"/>
  </si>
  <si>
    <t>/</t>
    <phoneticPr fontId="3"/>
  </si>
  <si>
    <t>前シートのページ数</t>
    <rPh sb="0" eb="1">
      <t>ゼン</t>
    </rPh>
    <rPh sb="8" eb="9">
      <t>スウ</t>
    </rPh>
    <phoneticPr fontId="3"/>
  </si>
  <si>
    <t>各シートのトップページを常に書き換えるか(Yes=1 No=0)</t>
    <rPh sb="0" eb="1">
      <t>カク</t>
    </rPh>
    <rPh sb="12" eb="13">
      <t>ツネ</t>
    </rPh>
    <rPh sb="14" eb="15">
      <t>カ</t>
    </rPh>
    <rPh sb="16" eb="17">
      <t>カ</t>
    </rPh>
    <phoneticPr fontId="3"/>
  </si>
  <si>
    <t>cells(14,8)</t>
    <phoneticPr fontId="3"/>
  </si>
  <si>
    <r>
      <t>現在の工事部数（シートの数）</t>
    </r>
    <r>
      <rPr>
        <b/>
        <sz val="11"/>
        <rFont val="ＭＳ Ｐゴシック"/>
        <family val="3"/>
        <charset val="128"/>
      </rPr>
      <t>(！！書き換え厳禁！！）</t>
    </r>
    <rPh sb="0" eb="2">
      <t>ゲンザイ</t>
    </rPh>
    <rPh sb="3" eb="5">
      <t>コウジ</t>
    </rPh>
    <rPh sb="5" eb="6">
      <t>ブ</t>
    </rPh>
    <rPh sb="6" eb="7">
      <t>スウ</t>
    </rPh>
    <rPh sb="12" eb="13">
      <t>カズ</t>
    </rPh>
    <rPh sb="17" eb="18">
      <t>カ</t>
    </rPh>
    <rPh sb="19" eb="20">
      <t>カ</t>
    </rPh>
    <rPh sb="21" eb="23">
      <t>ゲンキン</t>
    </rPh>
    <phoneticPr fontId="3"/>
  </si>
  <si>
    <r>
      <t>最終ページ数</t>
    </r>
    <r>
      <rPr>
        <b/>
        <sz val="11"/>
        <rFont val="ＭＳ Ｐゴシック"/>
        <family val="3"/>
        <charset val="128"/>
      </rPr>
      <t>（！！書き換え厳禁！！）</t>
    </r>
    <rPh sb="0" eb="2">
      <t>サイシュウ</t>
    </rPh>
    <rPh sb="5" eb="6">
      <t>スウ</t>
    </rPh>
    <rPh sb="9" eb="10">
      <t>カ</t>
    </rPh>
    <rPh sb="11" eb="12">
      <t>カ</t>
    </rPh>
    <rPh sb="13" eb="15">
      <t>ゲンキン</t>
    </rPh>
    <phoneticPr fontId="3"/>
  </si>
  <si>
    <t>cells(18,8)</t>
    <phoneticPr fontId="3"/>
  </si>
  <si>
    <t>このシートの最終ページ数</t>
    <rPh sb="6" eb="8">
      <t>サイシュウ</t>
    </rPh>
    <rPh sb="11" eb="12">
      <t>スウ</t>
    </rPh>
    <phoneticPr fontId="3"/>
  </si>
  <si>
    <t>代価一覧のデータ数</t>
    <rPh sb="0" eb="2">
      <t>ダイカ</t>
    </rPh>
    <rPh sb="2" eb="4">
      <t>イチラン</t>
    </rPh>
    <rPh sb="8" eb="9">
      <t>スウ</t>
    </rPh>
    <phoneticPr fontId="3"/>
  </si>
  <si>
    <t>cells(20,8)</t>
    <phoneticPr fontId="3"/>
  </si>
  <si>
    <t>名称(空白は不可)</t>
    <rPh sb="3" eb="5">
      <t>クウハク</t>
    </rPh>
    <rPh sb="6" eb="8">
      <t>フカ</t>
    </rPh>
    <phoneticPr fontId="3"/>
  </si>
  <si>
    <t>m3</t>
  </si>
  <si>
    <t>前ﾍﾟｰｼﾞから続きの場合「１」を入力　→</t>
    <rPh sb="0" eb="1">
      <t>マエ</t>
    </rPh>
    <rPh sb="8" eb="9">
      <t>ツヅ</t>
    </rPh>
    <rPh sb="11" eb="13">
      <t>バアイ</t>
    </rPh>
    <rPh sb="17" eb="19">
      <t>ニュウリョク</t>
    </rPh>
    <phoneticPr fontId="3"/>
  </si>
  <si>
    <t>全ページ数</t>
    <rPh sb="0" eb="1">
      <t>ゼン</t>
    </rPh>
    <rPh sb="4" eb="5">
      <t>スウ</t>
    </rPh>
    <phoneticPr fontId="3"/>
  </si>
  <si>
    <t>この参考明細のバージョン</t>
    <rPh sb="2" eb="4">
      <t>サンコウ</t>
    </rPh>
    <rPh sb="4" eb="6">
      <t>メイサイ</t>
    </rPh>
    <phoneticPr fontId="3"/>
  </si>
  <si>
    <t>cells(25,8)</t>
    <phoneticPr fontId="3"/>
  </si>
  <si>
    <t>(</t>
  </si>
  <si>
    <t>)</t>
  </si>
  <si>
    <t>材料</t>
    <rPh sb="0" eb="2">
      <t>ザイリョウ</t>
    </rPh>
    <phoneticPr fontId="3"/>
  </si>
  <si>
    <t>形状寸法</t>
    <rPh sb="0" eb="2">
      <t>ケイジョウ</t>
    </rPh>
    <rPh sb="2" eb="4">
      <t>スンポウ</t>
    </rPh>
    <phoneticPr fontId="3"/>
  </si>
  <si>
    <t>重量</t>
    <rPh sb="0" eb="2">
      <t>ジュウリョウ</t>
    </rPh>
    <phoneticPr fontId="3"/>
  </si>
  <si>
    <t>(</t>
    <phoneticPr fontId="3"/>
  </si>
  <si>
    <t>)</t>
    <phoneticPr fontId="3"/>
  </si>
  <si>
    <t>(</t>
    <phoneticPr fontId="3"/>
  </si>
  <si>
    <t>)</t>
    <phoneticPr fontId="3"/>
  </si>
  <si>
    <t>Ｄ１３</t>
  </si>
  <si>
    <t>Ｄ１６</t>
  </si>
  <si>
    <t>Ｄ１９</t>
  </si>
  <si>
    <t>Ｄ２２</t>
  </si>
  <si>
    <t>生コンクリート</t>
  </si>
  <si>
    <t>Fc=18,sl=18</t>
  </si>
  <si>
    <t>Fc=21,sl=18</t>
  </si>
  <si>
    <t>建築工事</t>
    <rPh sb="0" eb="2">
      <t>ケンチク</t>
    </rPh>
    <rPh sb="2" eb="4">
      <t>コウジ</t>
    </rPh>
    <phoneticPr fontId="3"/>
  </si>
  <si>
    <t>c:\積算\</t>
    <rPh sb="3" eb="5">
      <t>セキサン</t>
    </rPh>
    <phoneticPr fontId="3"/>
  </si>
  <si>
    <t>各シートの明細書開始行数(拡張用につき、変更厳禁）</t>
    <rPh sb="0" eb="1">
      <t>カク</t>
    </rPh>
    <rPh sb="5" eb="8">
      <t>メイサイショ</t>
    </rPh>
    <rPh sb="8" eb="10">
      <t>カイシ</t>
    </rPh>
    <rPh sb="10" eb="12">
      <t>ギョウスウ</t>
    </rPh>
    <rPh sb="13" eb="15">
      <t>カクチョウ</t>
    </rPh>
    <rPh sb="15" eb="16">
      <t>ヨウ</t>
    </rPh>
    <rPh sb="20" eb="22">
      <t>ヘンコウ</t>
    </rPh>
    <rPh sb="22" eb="24">
      <t>ゲンキン</t>
    </rPh>
    <phoneticPr fontId="3"/>
  </si>
  <si>
    <t>シートの保護を有効にするか(Yes=1 No=0)</t>
    <rPh sb="4" eb="6">
      <t>ホゴ</t>
    </rPh>
    <rPh sb="7" eb="9">
      <t>ユウコウ</t>
    </rPh>
    <phoneticPr fontId="3"/>
  </si>
  <si>
    <t>cells(29,8)</t>
    <phoneticPr fontId="3"/>
  </si>
  <si>
    <t>Fc=24,sl=15</t>
  </si>
  <si>
    <t>調整率</t>
    <rPh sb="0" eb="2">
      <t>チョウセイ</t>
    </rPh>
    <rPh sb="2" eb="3">
      <t>リツ</t>
    </rPh>
    <phoneticPr fontId="3"/>
  </si>
  <si>
    <t>page</t>
    <phoneticPr fontId="3"/>
  </si>
  <si>
    <t>/</t>
    <phoneticPr fontId="3"/>
  </si>
  <si>
    <t>(</t>
    <phoneticPr fontId="3"/>
  </si>
  <si>
    <t>)</t>
    <phoneticPr fontId="3"/>
  </si>
  <si>
    <t>(</t>
    <phoneticPr fontId="3"/>
  </si>
  <si>
    <t>)</t>
    <phoneticPr fontId="3"/>
  </si>
  <si>
    <t>1A-3A</t>
    <phoneticPr fontId="3"/>
  </si>
  <si>
    <t>1A-4A</t>
    <phoneticPr fontId="3"/>
  </si>
  <si>
    <t>Ｄ１０</t>
    <phoneticPr fontId="3"/>
  </si>
  <si>
    <t>t</t>
    <phoneticPr fontId="3"/>
  </si>
  <si>
    <t>前回userform終了時の作業時間</t>
    <rPh sb="0" eb="2">
      <t>ゼンカイ</t>
    </rPh>
    <rPh sb="10" eb="13">
      <t>シュウリョウジ</t>
    </rPh>
    <rPh sb="14" eb="16">
      <t>サギョウ</t>
    </rPh>
    <rPh sb="16" eb="18">
      <t>ジカン</t>
    </rPh>
    <phoneticPr fontId="3"/>
  </si>
  <si>
    <t>cells(4,4)</t>
    <phoneticPr fontId="3"/>
  </si>
  <si>
    <t>前回userform終了時の運搬時間</t>
    <rPh sb="0" eb="2">
      <t>ゼンカイ</t>
    </rPh>
    <rPh sb="10" eb="13">
      <t>シュウリョウジ</t>
    </rPh>
    <rPh sb="14" eb="16">
      <t>ウンパン</t>
    </rPh>
    <rPh sb="16" eb="18">
      <t>ジカン</t>
    </rPh>
    <phoneticPr fontId="3"/>
  </si>
  <si>
    <t>前回userform終了時の工種番号</t>
    <rPh sb="0" eb="2">
      <t>ゼンカイ</t>
    </rPh>
    <rPh sb="10" eb="13">
      <t>シュウリョウジ</t>
    </rPh>
    <rPh sb="14" eb="15">
      <t>コウジ</t>
    </rPh>
    <rPh sb="15" eb="16">
      <t>シュルイ</t>
    </rPh>
    <rPh sb="16" eb="18">
      <t>バンゴウ</t>
    </rPh>
    <phoneticPr fontId="3"/>
  </si>
  <si>
    <t>前回userform終了時の選択行</t>
    <rPh sb="0" eb="2">
      <t>ゼンカイ</t>
    </rPh>
    <rPh sb="10" eb="13">
      <t>シュウリョウジ</t>
    </rPh>
    <rPh sb="14" eb="16">
      <t>センタク</t>
    </rPh>
    <rPh sb="16" eb="17">
      <t>ギョウ</t>
    </rPh>
    <phoneticPr fontId="3"/>
  </si>
  <si>
    <t>cells(6,4)</t>
    <phoneticPr fontId="3"/>
  </si>
  <si>
    <t>cells(8,4)</t>
    <phoneticPr fontId="3"/>
  </si>
  <si>
    <t>cells(10,4)</t>
    <phoneticPr fontId="3"/>
  </si>
  <si>
    <t>積算担当者編集時「１」（注：設計者は絶対に触らないで下さい。エラーの原因になります！！）</t>
    <rPh sb="0" eb="2">
      <t>セキサン</t>
    </rPh>
    <rPh sb="2" eb="5">
      <t>タントウシャ</t>
    </rPh>
    <rPh sb="5" eb="7">
      <t>ヘンシュウ</t>
    </rPh>
    <rPh sb="7" eb="8">
      <t>ジ</t>
    </rPh>
    <rPh sb="12" eb="13">
      <t>チュウ</t>
    </rPh>
    <rPh sb="14" eb="17">
      <t>セッケイシャ</t>
    </rPh>
    <rPh sb="18" eb="20">
      <t>ゼッタイ</t>
    </rPh>
    <rPh sb="21" eb="22">
      <t>サワ</t>
    </rPh>
    <rPh sb="26" eb="27">
      <t>クダ</t>
    </rPh>
    <rPh sb="34" eb="36">
      <t>ゲンイン</t>
    </rPh>
    <phoneticPr fontId="3"/>
  </si>
  <si>
    <t>現在のEXCELのバージョン</t>
    <rPh sb="0" eb="2">
      <t>ゲンザイ</t>
    </rPh>
    <phoneticPr fontId="3"/>
  </si>
  <si>
    <t>cells(12,4)</t>
    <phoneticPr fontId="3"/>
  </si>
  <si>
    <t>Fc=24,sl=18</t>
  </si>
  <si>
    <t>cells(14,4)</t>
    <phoneticPr fontId="3"/>
  </si>
  <si>
    <t>前回userform終了時の選択単価</t>
    <rPh sb="0" eb="2">
      <t>ゼンカイ</t>
    </rPh>
    <rPh sb="10" eb="13">
      <t>シュウリョウジ</t>
    </rPh>
    <rPh sb="14" eb="16">
      <t>センタク</t>
    </rPh>
    <rPh sb="16" eb="18">
      <t>タンカ</t>
    </rPh>
    <phoneticPr fontId="3"/>
  </si>
  <si>
    <t>鉄筋 SD295A</t>
    <rPh sb="0" eb="2">
      <t>テッキン</t>
    </rPh>
    <phoneticPr fontId="3"/>
  </si>
  <si>
    <t>鉄筋 SD345</t>
    <rPh sb="0" eb="2">
      <t>テッキン</t>
    </rPh>
    <phoneticPr fontId="3"/>
  </si>
  <si>
    <t>cells(2,4)</t>
    <phoneticPr fontId="3"/>
  </si>
  <si>
    <t>前回userform終了時の画面サイズ</t>
    <rPh sb="0" eb="2">
      <t>ゼンカイ</t>
    </rPh>
    <rPh sb="10" eb="13">
      <t>シュウリョウジ</t>
    </rPh>
    <rPh sb="14" eb="16">
      <t>ガメン</t>
    </rPh>
    <phoneticPr fontId="3"/>
  </si>
  <si>
    <t>ヵ所</t>
    <rPh sb="1" eb="2">
      <t>ショ</t>
    </rPh>
    <phoneticPr fontId="3"/>
  </si>
  <si>
    <t>諸経費表ファイル名</t>
    <rPh sb="0" eb="3">
      <t>ショケイヒ</t>
    </rPh>
    <rPh sb="3" eb="4">
      <t>ヒョウ</t>
    </rPh>
    <rPh sb="8" eb="9">
      <t>メイ</t>
    </rPh>
    <phoneticPr fontId="3"/>
  </si>
  <si>
    <t>諸経費表ﾌｧｲﾙ保管場所</t>
    <rPh sb="0" eb="3">
      <t>ショケイヒ</t>
    </rPh>
    <rPh sb="3" eb="4">
      <t>ヒョウ</t>
    </rPh>
    <rPh sb="8" eb="10">
      <t>ホカン</t>
    </rPh>
    <rPh sb="10" eb="12">
      <t>バショ</t>
    </rPh>
    <phoneticPr fontId="3"/>
  </si>
  <si>
    <t>諸経費表のシート名（１－３）</t>
    <rPh sb="0" eb="3">
      <t>ショケイヒ</t>
    </rPh>
    <rPh sb="3" eb="4">
      <t>ヒョウ</t>
    </rPh>
    <rPh sb="8" eb="9">
      <t>メイ</t>
    </rPh>
    <phoneticPr fontId="3"/>
  </si>
  <si>
    <t>cells(31,8)</t>
    <phoneticPr fontId="3"/>
  </si>
  <si>
    <t>cells(32,8)</t>
    <phoneticPr fontId="3"/>
  </si>
  <si>
    <t>cells(33,8)</t>
    <phoneticPr fontId="3"/>
  </si>
  <si>
    <t>cells(27,8(9))</t>
    <phoneticPr fontId="3"/>
  </si>
  <si>
    <t>１工種で複数ページになったときの合計式(右は変更時)</t>
    <rPh sb="1" eb="3">
      <t>コウシュ</t>
    </rPh>
    <rPh sb="4" eb="6">
      <t>フクスウ</t>
    </rPh>
    <rPh sb="16" eb="18">
      <t>ゴウケイ</t>
    </rPh>
    <rPh sb="18" eb="19">
      <t>シキ</t>
    </rPh>
    <rPh sb="20" eb="21">
      <t>ミギ</t>
    </rPh>
    <rPh sb="22" eb="24">
      <t>ヘンコウ</t>
    </rPh>
    <rPh sb="24" eb="25">
      <t>ジ</t>
    </rPh>
    <phoneticPr fontId="3"/>
  </si>
  <si>
    <t>廃プラ</t>
  </si>
  <si>
    <t>がれき</t>
  </si>
  <si>
    <t>繊維くず</t>
  </si>
  <si>
    <t>繊維くず</t>
    <rPh sb="0" eb="2">
      <t>センイ</t>
    </rPh>
    <phoneticPr fontId="3"/>
  </si>
  <si>
    <t>ガラス
陶磁器</t>
    <rPh sb="4" eb="7">
      <t>トウジキ</t>
    </rPh>
    <phoneticPr fontId="3"/>
  </si>
  <si>
    <t>残材処分費</t>
    <rPh sb="0" eb="1">
      <t>ザン</t>
    </rPh>
    <rPh sb="1" eb="2">
      <t>ザイ</t>
    </rPh>
    <rPh sb="2" eb="4">
      <t>ショブン</t>
    </rPh>
    <rPh sb="4" eb="5">
      <t>ヒ</t>
    </rPh>
    <phoneticPr fontId="3"/>
  </si>
  <si>
    <t>鉄</t>
    <rPh sb="0" eb="1">
      <t>テツ</t>
    </rPh>
    <phoneticPr fontId="3"/>
  </si>
  <si>
    <t>アルミ</t>
    <phoneticPr fontId="3"/>
  </si>
  <si>
    <t>銅</t>
    <rPh sb="0" eb="1">
      <t>ドウ</t>
    </rPh>
    <phoneticPr fontId="3"/>
  </si>
  <si>
    <t>ｽﾃﾝﾚｽ</t>
    <phoneticPr fontId="3"/>
  </si>
  <si>
    <t>小運搬重量(単位重量(kg))</t>
    <rPh sb="0" eb="1">
      <t>コ</t>
    </rPh>
    <rPh sb="1" eb="3">
      <t>ウンパン</t>
    </rPh>
    <rPh sb="3" eb="5">
      <t>ジュウリョウ</t>
    </rPh>
    <rPh sb="6" eb="8">
      <t>タンイ</t>
    </rPh>
    <rPh sb="8" eb="10">
      <t>ジュウリョウ</t>
    </rPh>
    <phoneticPr fontId="3"/>
  </si>
  <si>
    <t>ガラス
陶磁器</t>
  </si>
  <si>
    <t>ｽﾃﾝﾚｽ</t>
  </si>
  <si>
    <t>アルミ</t>
  </si>
  <si>
    <t>処分費重量</t>
    <rPh sb="0" eb="2">
      <t>ショブン</t>
    </rPh>
    <rPh sb="2" eb="3">
      <t>ヒ</t>
    </rPh>
    <rPh sb="3" eb="5">
      <t>ジュウリョウ</t>
    </rPh>
    <phoneticPr fontId="3"/>
  </si>
  <si>
    <t>材料</t>
  </si>
  <si>
    <t>小運搬表（残材処分費）</t>
    <rPh sb="0" eb="1">
      <t>コ</t>
    </rPh>
    <rPh sb="1" eb="3">
      <t>ウンパン</t>
    </rPh>
    <rPh sb="3" eb="4">
      <t>ヒョウ</t>
    </rPh>
    <rPh sb="5" eb="6">
      <t>ザン</t>
    </rPh>
    <rPh sb="6" eb="7">
      <t>ザイ</t>
    </rPh>
    <rPh sb="7" eb="9">
      <t>ショブン</t>
    </rPh>
    <rPh sb="9" eb="10">
      <t>ヒ</t>
    </rPh>
    <phoneticPr fontId="3"/>
  </si>
  <si>
    <t>小運搬表（運搬費）</t>
    <rPh sb="0" eb="1">
      <t>コ</t>
    </rPh>
    <rPh sb="1" eb="3">
      <t>ウンパン</t>
    </rPh>
    <rPh sb="3" eb="4">
      <t>ヒョウ</t>
    </rPh>
    <rPh sb="5" eb="7">
      <t>ウンパン</t>
    </rPh>
    <rPh sb="7" eb="8">
      <t>ヒ</t>
    </rPh>
    <phoneticPr fontId="3"/>
  </si>
  <si>
    <t>ｽｸﾗｯﾌﾟ重量</t>
    <rPh sb="6" eb="8">
      <t>ジュウリョウ</t>
    </rPh>
    <phoneticPr fontId="3"/>
  </si>
  <si>
    <t>m2</t>
  </si>
  <si>
    <t>１．直接工事費</t>
    <rPh sb="2" eb="4">
      <t>チョクセツ</t>
    </rPh>
    <rPh sb="4" eb="7">
      <t>コウジヒ</t>
    </rPh>
    <phoneticPr fontId="3"/>
  </si>
  <si>
    <t>２．共通費</t>
    <rPh sb="2" eb="4">
      <t>キョウツウ</t>
    </rPh>
    <rPh sb="4" eb="5">
      <t>ヒ</t>
    </rPh>
    <phoneticPr fontId="3"/>
  </si>
  <si>
    <t>周辺安全対策費</t>
    <rPh sb="0" eb="2">
      <t>シュウヘン</t>
    </rPh>
    <rPh sb="2" eb="4">
      <t>アンゼン</t>
    </rPh>
    <rPh sb="4" eb="7">
      <t>タイサクヒ</t>
    </rPh>
    <phoneticPr fontId="3"/>
  </si>
  <si>
    <t>養生</t>
    <rPh sb="0" eb="2">
      <t>ヨウジョウ</t>
    </rPh>
    <phoneticPr fontId="3"/>
  </si>
  <si>
    <t>共通仮設費</t>
    <rPh sb="0" eb="2">
      <t>キョウツウ</t>
    </rPh>
    <rPh sb="2" eb="4">
      <t>カセツ</t>
    </rPh>
    <rPh sb="4" eb="5">
      <t>ヒ</t>
    </rPh>
    <phoneticPr fontId="3"/>
  </si>
  <si>
    <t>共通仮設費</t>
    <rPh sb="4" eb="5">
      <t>ヒ</t>
    </rPh>
    <phoneticPr fontId="3"/>
  </si>
  <si>
    <t>1A</t>
    <phoneticPr fontId="3"/>
  </si>
  <si>
    <t>2A</t>
    <phoneticPr fontId="3"/>
  </si>
  <si>
    <t>3A</t>
    <phoneticPr fontId="3"/>
  </si>
  <si>
    <t>4A</t>
    <phoneticPr fontId="3"/>
  </si>
  <si>
    <t>==&gt;&gt;</t>
    <phoneticPr fontId="3"/>
  </si>
  <si>
    <t>作業時間</t>
    <phoneticPr fontId="3"/>
  </si>
  <si>
    <t>会所４００角</t>
    <rPh sb="0" eb="2">
      <t>カイショ</t>
    </rPh>
    <rPh sb="5" eb="6">
      <t>カク</t>
    </rPh>
    <phoneticPr fontId="3"/>
  </si>
  <si>
    <t>代価2</t>
  </si>
  <si>
    <t>未記入</t>
  </si>
  <si>
    <t xml:space="preserve"> H=1200 根切共</t>
    <rPh sb="8" eb="9">
      <t>ネ</t>
    </rPh>
    <rPh sb="9" eb="10">
      <t>キリ</t>
    </rPh>
    <rPh sb="10" eb="11">
      <t>トモ</t>
    </rPh>
    <phoneticPr fontId="3"/>
  </si>
  <si>
    <t>残土積込費加算</t>
  </si>
  <si>
    <t>人力積込費</t>
  </si>
  <si>
    <t>残土処分費</t>
  </si>
  <si>
    <t>場外自由処分</t>
  </si>
  <si>
    <t>鉄筋 SD295A</t>
  </si>
  <si>
    <t>t</t>
  </si>
  <si>
    <t>鉄筋現場加工</t>
  </si>
  <si>
    <t>一般細物(D13以下)</t>
  </si>
  <si>
    <t>鉄筋組立</t>
  </si>
  <si>
    <t>RC造一般細物(D13以下)</t>
  </si>
  <si>
    <t>手練りコンクリ―ト</t>
  </si>
  <si>
    <t>練り手間含む</t>
  </si>
  <si>
    <t>打手間　　ｶｰﾄ打ち</t>
  </si>
  <si>
    <t>小型構造物</t>
  </si>
  <si>
    <t>型枠　普通型枠</t>
  </si>
  <si>
    <t>2層以下</t>
    <phoneticPr fontId="3"/>
  </si>
  <si>
    <t>m2</t>
    <phoneticPr fontId="3"/>
  </si>
  <si>
    <t>1,2階程度の転用率</t>
    <phoneticPr fontId="3"/>
  </si>
  <si>
    <t>諸経費ファイル名</t>
    <rPh sb="0" eb="3">
      <t>ショケイヒ</t>
    </rPh>
    <rPh sb="7" eb="8">
      <t>メイ</t>
    </rPh>
    <phoneticPr fontId="3"/>
  </si>
  <si>
    <t>諸経費ﾌｧｲﾙ保管場所</t>
    <rPh sb="0" eb="3">
      <t>ショケイヒ</t>
    </rPh>
    <rPh sb="7" eb="9">
      <t>ホカン</t>
    </rPh>
    <rPh sb="9" eb="11">
      <t>バショ</t>
    </rPh>
    <phoneticPr fontId="3"/>
  </si>
  <si>
    <t>Fc=27,sl=18</t>
  </si>
  <si>
    <t>代価1</t>
    <phoneticPr fontId="3"/>
  </si>
  <si>
    <t>1:02:04</t>
    <phoneticPr fontId="3"/>
  </si>
  <si>
    <t>代価番号は、１から順に自動に割り振られます。</t>
    <rPh sb="0" eb="2">
      <t>ダイカ</t>
    </rPh>
    <rPh sb="2" eb="4">
      <t>バンゴウ</t>
    </rPh>
    <rPh sb="9" eb="10">
      <t>ジュン</t>
    </rPh>
    <rPh sb="11" eb="13">
      <t>ジドウ</t>
    </rPh>
    <rPh sb="14" eb="15">
      <t>ワ</t>
    </rPh>
    <rPh sb="16" eb="17">
      <t>フ</t>
    </rPh>
    <phoneticPr fontId="3"/>
  </si>
  <si>
    <t>単価ファイルの設定（緑色のセルを必要に応じて書き換えてください。）</t>
    <rPh sb="0" eb="2">
      <t>タンカ</t>
    </rPh>
    <rPh sb="7" eb="9">
      <t>セッテイ</t>
    </rPh>
    <rPh sb="10" eb="12">
      <t>ミドリイロ</t>
    </rPh>
    <rPh sb="16" eb="18">
      <t>ヒツヨウ</t>
    </rPh>
    <rPh sb="19" eb="20">
      <t>オウ</t>
    </rPh>
    <rPh sb="22" eb="23">
      <t>カ</t>
    </rPh>
    <rPh sb="24" eb="25">
      <t>カ</t>
    </rPh>
    <phoneticPr fontId="3"/>
  </si>
  <si>
    <t>全項数</t>
    <rPh sb="0" eb="1">
      <t>ゼン</t>
    </rPh>
    <rPh sb="1" eb="2">
      <t>コウ</t>
    </rPh>
    <rPh sb="2" eb="3">
      <t>スウ</t>
    </rPh>
    <phoneticPr fontId="3"/>
  </si>
  <si>
    <t>cells(16,4)</t>
    <phoneticPr fontId="3"/>
  </si>
  <si>
    <t>変更点、新機能の紹介</t>
    <rPh sb="0" eb="3">
      <t>ヘンコウテン</t>
    </rPh>
    <rPh sb="4" eb="7">
      <t>シンキノウ</t>
    </rPh>
    <rPh sb="8" eb="10">
      <t>ショウカイ</t>
    </rPh>
    <phoneticPr fontId="3"/>
  </si>
  <si>
    <t>cells(18,4)</t>
    <phoneticPr fontId="3"/>
  </si>
  <si>
    <t>cells(19,4)</t>
    <phoneticPr fontId="3"/>
  </si>
  <si>
    <t>cells(25,4)</t>
    <phoneticPr fontId="3"/>
  </si>
  <si>
    <t>前回userform終了時のlistbox.fontサイズ</t>
    <rPh sb="0" eb="2">
      <t>ゼンカイ</t>
    </rPh>
    <rPh sb="10" eb="13">
      <t>シュウリョウジ</t>
    </rPh>
    <phoneticPr fontId="3"/>
  </si>
  <si>
    <t>前回userform終了時のlistbox.columWidth</t>
    <rPh sb="0" eb="2">
      <t>ゼンカイ</t>
    </rPh>
    <rPh sb="10" eb="13">
      <t>シュウリョウジ</t>
    </rPh>
    <phoneticPr fontId="3"/>
  </si>
  <si>
    <t>C045150150050170035035035035035035035</t>
    <phoneticPr fontId="3"/>
  </si>
  <si>
    <t>単価表の右下でマウスの形状が変わりますのでドラッグして大きさを調整してください。
同じ右下をダブルクリックすると，列幅が変更できます．
表左下の左右矢印でフォントの大きさを変更できます．
一覧表をダブルクリックすることでデータを入力できるようになりました．
また、Ver1.5以降で「代価」シートによる複合単価も作成できます。「代価」シートを参照して利用してみてください．代価コードは自動で入りますので、小運搬重量を埋めれば、工事シートでコード入力で使用できます．</t>
    <rPh sb="0" eb="2">
      <t>タンカ</t>
    </rPh>
    <rPh sb="2" eb="3">
      <t>オモテ</t>
    </rPh>
    <rPh sb="4" eb="6">
      <t>ミギシタ</t>
    </rPh>
    <rPh sb="11" eb="13">
      <t>ケイジョウ</t>
    </rPh>
    <rPh sb="14" eb="15">
      <t>カ</t>
    </rPh>
    <rPh sb="27" eb="28">
      <t>オオ</t>
    </rPh>
    <rPh sb="31" eb="33">
      <t>チョウセイ</t>
    </rPh>
    <rPh sb="41" eb="42">
      <t>オナ</t>
    </rPh>
    <rPh sb="43" eb="45">
      <t>ミギシタ</t>
    </rPh>
    <rPh sb="68" eb="69">
      <t>ヒョウ</t>
    </rPh>
    <rPh sb="69" eb="71">
      <t>ヒダリシタ</t>
    </rPh>
    <rPh sb="72" eb="74">
      <t>サユウ</t>
    </rPh>
    <rPh sb="74" eb="76">
      <t>ヤジルシ</t>
    </rPh>
    <rPh sb="82" eb="83">
      <t>オオ</t>
    </rPh>
    <rPh sb="86" eb="88">
      <t>ヘンコウ</t>
    </rPh>
    <rPh sb="94" eb="96">
      <t>イチラン</t>
    </rPh>
    <rPh sb="96" eb="97">
      <t>ヒョウ</t>
    </rPh>
    <rPh sb="114" eb="116">
      <t>ニュウリョク</t>
    </rPh>
    <rPh sb="138" eb="140">
      <t>イコウ</t>
    </rPh>
    <rPh sb="142" eb="144">
      <t>ダイカ</t>
    </rPh>
    <rPh sb="151" eb="153">
      <t>フクゴウ</t>
    </rPh>
    <rPh sb="153" eb="155">
      <t>タンカ</t>
    </rPh>
    <rPh sb="156" eb="158">
      <t>サクセイ</t>
    </rPh>
    <rPh sb="164" eb="166">
      <t>ダイカ</t>
    </rPh>
    <rPh sb="171" eb="173">
      <t>サンショウ</t>
    </rPh>
    <rPh sb="175" eb="177">
      <t>リヨウ</t>
    </rPh>
    <rPh sb="186" eb="188">
      <t>ダイカ</t>
    </rPh>
    <rPh sb="192" eb="194">
      <t>ジドウ</t>
    </rPh>
    <rPh sb="195" eb="196">
      <t>ハイ</t>
    </rPh>
    <rPh sb="202" eb="203">
      <t>コ</t>
    </rPh>
    <rPh sb="203" eb="205">
      <t>ウンパン</t>
    </rPh>
    <rPh sb="205" eb="207">
      <t>ジュウリョウ</t>
    </rPh>
    <rPh sb="208" eb="209">
      <t>ウ</t>
    </rPh>
    <rPh sb="213" eb="215">
      <t>コウジ</t>
    </rPh>
    <rPh sb="222" eb="224">
      <t>ニュウリョク</t>
    </rPh>
    <rPh sb="225" eb="227">
      <t>シヨウ</t>
    </rPh>
    <phoneticPr fontId="3"/>
  </si>
  <si>
    <t>このファイルを初使用？(yes=1 no=0)</t>
    <rPh sb="7" eb="8">
      <t>ハツ</t>
    </rPh>
    <rPh sb="8" eb="10">
      <t>シヨウ</t>
    </rPh>
    <phoneticPr fontId="3"/>
  </si>
  <si>
    <t>単価表がカスタマイズできるようになりました。また、項目のダブルクリックで書込みできます．</t>
    <rPh sb="0" eb="2">
      <t>タンカ</t>
    </rPh>
    <rPh sb="2" eb="3">
      <t>ヒョウ</t>
    </rPh>
    <rPh sb="25" eb="27">
      <t>コウモク</t>
    </rPh>
    <rPh sb="36" eb="37">
      <t>カ</t>
    </rPh>
    <rPh sb="37" eb="38">
      <t>コ</t>
    </rPh>
    <phoneticPr fontId="3"/>
  </si>
  <si>
    <t>cells(16,8)</t>
    <phoneticPr fontId="3"/>
  </si>
  <si>
    <t>見積業者：</t>
    <rPh sb="0" eb="2">
      <t>ミツモリ</t>
    </rPh>
    <rPh sb="2" eb="4">
      <t>ギョウシャ</t>
    </rPh>
    <phoneticPr fontId="3"/>
  </si>
  <si>
    <t>㈱</t>
    <phoneticPr fontId="3"/>
  </si>
  <si>
    <t>元　　設　　計</t>
    <rPh sb="0" eb="1">
      <t>モト</t>
    </rPh>
    <rPh sb="3" eb="4">
      <t>セツ</t>
    </rPh>
    <rPh sb="6" eb="7">
      <t>ケイ</t>
    </rPh>
    <phoneticPr fontId="3"/>
  </si>
  <si>
    <t>元設計当局単価</t>
    <rPh sb="0" eb="1">
      <t>モト</t>
    </rPh>
    <rPh sb="1" eb="3">
      <t>セッケイ</t>
    </rPh>
    <rPh sb="3" eb="5">
      <t>トウキョク</t>
    </rPh>
    <rPh sb="5" eb="7">
      <t>タンカ</t>
    </rPh>
    <phoneticPr fontId="3"/>
  </si>
  <si>
    <t>元設計今回業者見積</t>
    <rPh sb="0" eb="1">
      <t>モト</t>
    </rPh>
    <rPh sb="1" eb="3">
      <t>セッケイ</t>
    </rPh>
    <rPh sb="3" eb="5">
      <t>コンカイ</t>
    </rPh>
    <rPh sb="5" eb="7">
      <t>ギョウシャ</t>
    </rPh>
    <rPh sb="7" eb="9">
      <t>ミツモリ</t>
    </rPh>
    <phoneticPr fontId="3"/>
  </si>
  <si>
    <t>変　　更　　後</t>
    <rPh sb="0" eb="1">
      <t>ヘン</t>
    </rPh>
    <rPh sb="3" eb="4">
      <t>サラ</t>
    </rPh>
    <rPh sb="6" eb="7">
      <t>アト</t>
    </rPh>
    <phoneticPr fontId="3"/>
  </si>
  <si>
    <t>変更後今回業者見積</t>
    <rPh sb="0" eb="2">
      <t>ヘンコウ</t>
    </rPh>
    <rPh sb="2" eb="3">
      <t>ゴ</t>
    </rPh>
    <rPh sb="3" eb="5">
      <t>コンカイ</t>
    </rPh>
    <rPh sb="5" eb="7">
      <t>ギョウシャ</t>
    </rPh>
    <rPh sb="7" eb="9">
      <t>ミツモリ</t>
    </rPh>
    <phoneticPr fontId="3"/>
  </si>
  <si>
    <t>No</t>
    <phoneticPr fontId="3"/>
  </si>
  <si>
    <t>ｱｽﾌｧﾙﾄ</t>
  </si>
  <si>
    <t>木くず</t>
    <rPh sb="0" eb="1">
      <t>キ</t>
    </rPh>
    <phoneticPr fontId="3"/>
  </si>
  <si>
    <t>木くず
再生</t>
    <rPh sb="0" eb="1">
      <t>キ</t>
    </rPh>
    <rPh sb="4" eb="6">
      <t>サイセイ</t>
    </rPh>
    <phoneticPr fontId="3"/>
  </si>
  <si>
    <t>木くず
合板</t>
    <rPh sb="0" eb="1">
      <t>キ</t>
    </rPh>
    <rPh sb="4" eb="6">
      <t>ゴウハン</t>
    </rPh>
    <phoneticPr fontId="3"/>
  </si>
  <si>
    <t>がれき</t>
    <phoneticPr fontId="3"/>
  </si>
  <si>
    <t>石膏ボード</t>
    <rPh sb="0" eb="2">
      <t>セッコウ</t>
    </rPh>
    <phoneticPr fontId="3"/>
  </si>
  <si>
    <t>セメント板</t>
    <rPh sb="4" eb="5">
      <t>イタ</t>
    </rPh>
    <phoneticPr fontId="3"/>
  </si>
  <si>
    <t>家具・
備品</t>
    <rPh sb="0" eb="2">
      <t>カグ</t>
    </rPh>
    <rPh sb="4" eb="6">
      <t>ビヒン</t>
    </rPh>
    <phoneticPr fontId="3"/>
  </si>
  <si>
    <t>混合
廃棄物</t>
  </si>
  <si>
    <t>再生</t>
    <rPh sb="0" eb="2">
      <t>サイセイ</t>
    </rPh>
    <phoneticPr fontId="3"/>
  </si>
  <si>
    <t>合板</t>
    <rPh sb="0" eb="2">
      <t>ゴウハン</t>
    </rPh>
    <phoneticPr fontId="3"/>
  </si>
  <si>
    <t>陶磁器</t>
    <rPh sb="0" eb="3">
      <t>トウジキ</t>
    </rPh>
    <phoneticPr fontId="3"/>
  </si>
  <si>
    <t>繊維</t>
    <rPh sb="0" eb="2">
      <t>センイ</t>
    </rPh>
    <phoneticPr fontId="3"/>
  </si>
  <si>
    <t>石膏</t>
    <rPh sb="0" eb="2">
      <t>セッコウ</t>
    </rPh>
    <phoneticPr fontId="3"/>
  </si>
  <si>
    <t>家具・</t>
    <rPh sb="0" eb="2">
      <t>カグ</t>
    </rPh>
    <phoneticPr fontId="3"/>
  </si>
  <si>
    <t>備品</t>
    <rPh sb="0" eb="2">
      <t>ビヒン</t>
    </rPh>
    <phoneticPr fontId="3"/>
  </si>
  <si>
    <t>混合</t>
    <rPh sb="0" eb="2">
      <t>コンゴウ</t>
    </rPh>
    <phoneticPr fontId="3"/>
  </si>
  <si>
    <t>廃棄物</t>
    <rPh sb="0" eb="3">
      <t>ハイキブツ</t>
    </rPh>
    <phoneticPr fontId="3"/>
  </si>
  <si>
    <t>廃プラ</t>
    <phoneticPr fontId="3"/>
  </si>
  <si>
    <t>型枠　運搬費</t>
    <phoneticPr fontId="3"/>
  </si>
  <si>
    <t>木くず
再生</t>
  </si>
  <si>
    <t>木くず
合板</t>
  </si>
  <si>
    <t>石膏ボード</t>
  </si>
  <si>
    <t>セメント板</t>
  </si>
  <si>
    <t>家具・
備品</t>
  </si>
  <si>
    <t>金属工事   見積金額比較表</t>
    <rPh sb="0" eb="2">
      <t>キンゾク</t>
    </rPh>
    <phoneticPr fontId="3"/>
  </si>
  <si>
    <t>採用業者合計</t>
    <rPh sb="0" eb="2">
      <t>サイヨウ</t>
    </rPh>
    <rPh sb="2" eb="4">
      <t>ギョウシャ</t>
    </rPh>
    <rPh sb="4" eb="6">
      <t>ゴウケイ</t>
    </rPh>
    <phoneticPr fontId="3"/>
  </si>
  <si>
    <t>今回業者合計</t>
    <rPh sb="0" eb="2">
      <t>コンカイ</t>
    </rPh>
    <rPh sb="2" eb="4">
      <t>ギョウシャ</t>
    </rPh>
    <rPh sb="4" eb="6">
      <t>ゴウケイ</t>
    </rPh>
    <phoneticPr fontId="3"/>
  </si>
  <si>
    <t>調整率＝＞</t>
    <rPh sb="0" eb="2">
      <t>チョウセイ</t>
    </rPh>
    <rPh sb="2" eb="3">
      <t>リツ</t>
    </rPh>
    <phoneticPr fontId="3"/>
  </si>
  <si>
    <t>&lt;=変更見積業者が元設計見積業者なら、左に元設計の合計金額(調整無)を記入し、各項目のB-I列は無記入</t>
    <rPh sb="2" eb="4">
      <t>ヘンコウ</t>
    </rPh>
    <rPh sb="4" eb="6">
      <t>ミツ</t>
    </rPh>
    <rPh sb="6" eb="8">
      <t>ギョウシャ</t>
    </rPh>
    <rPh sb="9" eb="10">
      <t>モト</t>
    </rPh>
    <rPh sb="10" eb="12">
      <t>セッケイ</t>
    </rPh>
    <rPh sb="12" eb="14">
      <t>ミツモリ</t>
    </rPh>
    <rPh sb="14" eb="16">
      <t>ギョウシャ</t>
    </rPh>
    <rPh sb="19" eb="20">
      <t>ヒダリ</t>
    </rPh>
    <rPh sb="21" eb="22">
      <t>モト</t>
    </rPh>
    <rPh sb="22" eb="24">
      <t>セッケイ</t>
    </rPh>
    <rPh sb="25" eb="27">
      <t>ゴウケイ</t>
    </rPh>
    <rPh sb="27" eb="29">
      <t>キンガク</t>
    </rPh>
    <rPh sb="30" eb="32">
      <t>チョウセイ</t>
    </rPh>
    <rPh sb="32" eb="33">
      <t>ナ</t>
    </rPh>
    <rPh sb="35" eb="37">
      <t>キニュウ</t>
    </rPh>
    <rPh sb="39" eb="42">
      <t>カクコウモク</t>
    </rPh>
    <rPh sb="46" eb="47">
      <t>レツ</t>
    </rPh>
    <rPh sb="48" eb="49">
      <t>ム</t>
    </rPh>
    <rPh sb="49" eb="51">
      <t>キニュウ</t>
    </rPh>
    <phoneticPr fontId="3"/>
  </si>
  <si>
    <t>ｺｰﾄﾞ</t>
  </si>
  <si>
    <t>作業</t>
  </si>
  <si>
    <t>運搬</t>
  </si>
  <si>
    <t>調整後単価</t>
    <rPh sb="0" eb="3">
      <t>チョウセイゴ</t>
    </rPh>
    <rPh sb="3" eb="4">
      <t>タン</t>
    </rPh>
    <rPh sb="4" eb="5">
      <t>アタイ</t>
    </rPh>
    <phoneticPr fontId="3"/>
  </si>
  <si>
    <t>total　</t>
    <phoneticPr fontId="3"/>
  </si>
  <si>
    <t>材料運搬重量</t>
    <rPh sb="0" eb="2">
      <t>ザイリョウ</t>
    </rPh>
    <rPh sb="2" eb="4">
      <t>ウンパン</t>
    </rPh>
    <rPh sb="4" eb="6">
      <t>ジュウリョウ</t>
    </rPh>
    <phoneticPr fontId="3"/>
  </si>
  <si>
    <t>小運搬重量（材料＋残材）</t>
    <phoneticPr fontId="3"/>
  </si>
  <si>
    <t>材料運搬重量</t>
    <phoneticPr fontId="3"/>
  </si>
  <si>
    <t>残材小運搬重量</t>
    <phoneticPr fontId="3"/>
  </si>
  <si>
    <t>EOL1</t>
    <phoneticPr fontId="3"/>
  </si>
  <si>
    <t>ｺﾝｸﾘｰﾄ</t>
    <phoneticPr fontId="3"/>
  </si>
  <si>
    <t>EOL2</t>
    <phoneticPr fontId="3"/>
  </si>
  <si>
    <t>※サンプルのため、数量内容は　適当に記載してます。</t>
    <rPh sb="9" eb="11">
      <t>スウリョウ</t>
    </rPh>
    <rPh sb="11" eb="13">
      <t>ナイヨウ</t>
    </rPh>
    <phoneticPr fontId="3"/>
  </si>
  <si>
    <t>※撤去と新設が混在しても小運搬は　重量さえいれてあれば機能します</t>
    <rPh sb="1" eb="3">
      <t>テッキョ</t>
    </rPh>
    <rPh sb="4" eb="6">
      <t>シンセツ</t>
    </rPh>
    <rPh sb="7" eb="9">
      <t>コンザイ</t>
    </rPh>
    <rPh sb="12" eb="13">
      <t>ショウ</t>
    </rPh>
    <rPh sb="13" eb="15">
      <t>ウンパン</t>
    </rPh>
    <phoneticPr fontId="3"/>
  </si>
  <si>
    <t>※施工、運搬時間は着色部のものになるため、内訳に異なる時間を入力した場合は小運搬の時間帯がおかしくなります。</t>
    <rPh sb="1" eb="3">
      <t>セコウ</t>
    </rPh>
    <rPh sb="4" eb="6">
      <t>ウンパン</t>
    </rPh>
    <rPh sb="6" eb="8">
      <t>ジカン</t>
    </rPh>
    <rPh sb="9" eb="11">
      <t>チャクショク</t>
    </rPh>
    <rPh sb="11" eb="12">
      <t>ブ</t>
    </rPh>
    <rPh sb="21" eb="23">
      <t>ウチワケ</t>
    </rPh>
    <rPh sb="24" eb="25">
      <t>コト</t>
    </rPh>
    <rPh sb="27" eb="29">
      <t>ジカン</t>
    </rPh>
    <rPh sb="30" eb="32">
      <t>ニュウリョク</t>
    </rPh>
    <rPh sb="34" eb="36">
      <t>バアイ</t>
    </rPh>
    <rPh sb="37" eb="38">
      <t>ショウ</t>
    </rPh>
    <rPh sb="38" eb="40">
      <t>ウンパン</t>
    </rPh>
    <rPh sb="41" eb="44">
      <t>ジカンタイ</t>
    </rPh>
    <phoneticPr fontId="3"/>
  </si>
  <si>
    <t>このページはメニューからページの削除で削除してから使用してください.</t>
    <phoneticPr fontId="3"/>
  </si>
  <si>
    <t>積込加算(ｽｸﾗｯﾌﾟ含む)</t>
  </si>
  <si>
    <t>残材車両積載重量</t>
  </si>
  <si>
    <t>残材車両積載重量(ｽｸﾗｯﾌﾟ)</t>
  </si>
  <si>
    <t>残材運搬車両積載重量(ｽｸﾗｯﾌﾟ)</t>
    <rPh sb="0" eb="1">
      <t>ザン</t>
    </rPh>
    <rPh sb="1" eb="2">
      <t>ザイ</t>
    </rPh>
    <rPh sb="2" eb="4">
      <t>ウンパン</t>
    </rPh>
    <rPh sb="4" eb="6">
      <t>シャリョウ</t>
    </rPh>
    <rPh sb="6" eb="8">
      <t>セキサイ</t>
    </rPh>
    <rPh sb="8" eb="10">
      <t>ジュウリョウ</t>
    </rPh>
    <phoneticPr fontId="3"/>
  </si>
  <si>
    <t>廃プラ
(ｱｽﾍﾞ)</t>
    <phoneticPr fontId="3"/>
  </si>
  <si>
    <t>両面用プリンターの名称</t>
    <rPh sb="0" eb="2">
      <t>リョウメン</t>
    </rPh>
    <rPh sb="2" eb="3">
      <t>ヨウ</t>
    </rPh>
    <rPh sb="9" eb="11">
      <t>メイショウ</t>
    </rPh>
    <phoneticPr fontId="3"/>
  </si>
  <si>
    <t>cells(2,11)</t>
    <phoneticPr fontId="3"/>
  </si>
  <si>
    <t>Brother HL-6050DN series (両面印刷用)</t>
    <phoneticPr fontId="3"/>
  </si>
  <si>
    <t>ｺﾝｸﾘｰﾄ</t>
    <phoneticPr fontId="3"/>
  </si>
  <si>
    <t>ｱｽﾌｧﾙﾄ</t>
    <phoneticPr fontId="3"/>
  </si>
  <si>
    <t>廃プラ</t>
    <phoneticPr fontId="3"/>
  </si>
  <si>
    <t>がれき</t>
    <phoneticPr fontId="3"/>
  </si>
  <si>
    <t>廃プラ
(ｱｽﾍﾞ)</t>
    <phoneticPr fontId="3"/>
  </si>
  <si>
    <t>石膏ボード（ｱｽﾍﾞ）</t>
    <rPh sb="0" eb="2">
      <t>セッコウ</t>
    </rPh>
    <phoneticPr fontId="3"/>
  </si>
  <si>
    <t>セメント板　　　（ｱｽﾍﾞ）</t>
    <rPh sb="4" eb="5">
      <t>バン</t>
    </rPh>
    <phoneticPr fontId="3"/>
  </si>
  <si>
    <t>ｽﾃﾝﾚｽ</t>
    <phoneticPr fontId="3"/>
  </si>
  <si>
    <t>アルミ</t>
    <phoneticPr fontId="3"/>
  </si>
  <si>
    <t>残材小運搬重量(全て含む)</t>
    <rPh sb="0" eb="1">
      <t>ザン</t>
    </rPh>
    <rPh sb="1" eb="2">
      <t>ザイ</t>
    </rPh>
    <rPh sb="2" eb="3">
      <t>コ</t>
    </rPh>
    <rPh sb="3" eb="5">
      <t>ウンパン</t>
    </rPh>
    <rPh sb="5" eb="7">
      <t>ジュウリョウ</t>
    </rPh>
    <rPh sb="8" eb="9">
      <t>スベ</t>
    </rPh>
    <phoneticPr fontId="3"/>
  </si>
  <si>
    <t>残材運搬車両積載重量(ｽｸﾗｯﾌﾟ・ｱｽﾍﾞ除く)</t>
    <rPh sb="0" eb="1">
      <t>ザン</t>
    </rPh>
    <rPh sb="1" eb="2">
      <t>ザイ</t>
    </rPh>
    <rPh sb="2" eb="4">
      <t>ウンパン</t>
    </rPh>
    <rPh sb="4" eb="6">
      <t>シャリョウ</t>
    </rPh>
    <rPh sb="6" eb="8">
      <t>セキサイ</t>
    </rPh>
    <rPh sb="8" eb="10">
      <t>ジュウリョウ</t>
    </rPh>
    <rPh sb="22" eb="23">
      <t>ノゾ</t>
    </rPh>
    <phoneticPr fontId="3"/>
  </si>
  <si>
    <t>残材運搬車両積載重量(ｱｽﾍﾞｽﾄ)</t>
    <rPh sb="0" eb="1">
      <t>ザン</t>
    </rPh>
    <rPh sb="1" eb="2">
      <t>ザイ</t>
    </rPh>
    <rPh sb="2" eb="4">
      <t>ウンパン</t>
    </rPh>
    <rPh sb="4" eb="6">
      <t>シャリョウ</t>
    </rPh>
    <rPh sb="6" eb="8">
      <t>セキサイ</t>
    </rPh>
    <rPh sb="8" eb="10">
      <t>ジュウリョウ</t>
    </rPh>
    <phoneticPr fontId="3"/>
  </si>
  <si>
    <t>残材車両積載重量（ｱｽﾍﾞｽﾄ）</t>
    <rPh sb="0" eb="2">
      <t>ザンザイ</t>
    </rPh>
    <rPh sb="2" eb="4">
      <t>シャリョウ</t>
    </rPh>
    <rPh sb="4" eb="6">
      <t>セキサイ</t>
    </rPh>
    <rPh sb="6" eb="8">
      <t>ジュウリョウ</t>
    </rPh>
    <phoneticPr fontId="3"/>
  </si>
  <si>
    <t>スクラップ</t>
    <phoneticPr fontId="3"/>
  </si>
  <si>
    <t>ガラス</t>
    <phoneticPr fontId="3"/>
  </si>
  <si>
    <t>セメン</t>
    <phoneticPr fontId="3"/>
  </si>
  <si>
    <t>ｱﾙﾐ</t>
    <phoneticPr fontId="3"/>
  </si>
  <si>
    <t>くず</t>
    <phoneticPr fontId="3"/>
  </si>
  <si>
    <t>ボード</t>
    <phoneticPr fontId="3"/>
  </si>
  <si>
    <t>　ト板</t>
    <phoneticPr fontId="3"/>
  </si>
  <si>
    <t>(ｱｽﾍﾞ)</t>
    <phoneticPr fontId="3"/>
  </si>
  <si>
    <t>（ｱｽﾍﾞ）</t>
    <phoneticPr fontId="3"/>
  </si>
  <si>
    <t>ｱｽﾍﾞ重量</t>
    <rPh sb="4" eb="6">
      <t>ジュウリョウ</t>
    </rPh>
    <phoneticPr fontId="3"/>
  </si>
  <si>
    <t>直接工事費</t>
    <rPh sb="0" eb="2">
      <t>チョクセツ</t>
    </rPh>
    <rPh sb="2" eb="5">
      <t>コウジヒ</t>
    </rPh>
    <phoneticPr fontId="3"/>
  </si>
  <si>
    <t>共通費</t>
    <rPh sb="0" eb="2">
      <t>キョウツウ</t>
    </rPh>
    <rPh sb="2" eb="3">
      <t>ヒ</t>
    </rPh>
    <phoneticPr fontId="3"/>
  </si>
  <si>
    <t>　共通仮設費</t>
    <rPh sb="1" eb="3">
      <t>キョウツウ</t>
    </rPh>
    <rPh sb="3" eb="5">
      <t>カセツ</t>
    </rPh>
    <rPh sb="5" eb="6">
      <t>ヒ</t>
    </rPh>
    <phoneticPr fontId="3"/>
  </si>
  <si>
    <t>式</t>
    <rPh sb="0" eb="1">
      <t>シキ</t>
    </rPh>
    <phoneticPr fontId="3"/>
  </si>
  <si>
    <t>　現場管理費</t>
    <rPh sb="1" eb="3">
      <t>ゲンバ</t>
    </rPh>
    <rPh sb="3" eb="6">
      <t>カンリヒ</t>
    </rPh>
    <phoneticPr fontId="3"/>
  </si>
  <si>
    <t>　一般管理費等</t>
    <rPh sb="1" eb="3">
      <t>イッパン</t>
    </rPh>
    <rPh sb="3" eb="6">
      <t>カンリヒ</t>
    </rPh>
    <rPh sb="6" eb="7">
      <t>ナド</t>
    </rPh>
    <phoneticPr fontId="3"/>
  </si>
  <si>
    <t>　小　　計</t>
    <rPh sb="1" eb="2">
      <t>ショウ</t>
    </rPh>
    <rPh sb="4" eb="5">
      <t>ケイ</t>
    </rPh>
    <phoneticPr fontId="3"/>
  </si>
  <si>
    <t>消費税及び地方消費税相当額</t>
    <rPh sb="0" eb="3">
      <t>ショウヒゼイ</t>
    </rPh>
    <rPh sb="3" eb="4">
      <t>オヨ</t>
    </rPh>
    <rPh sb="5" eb="7">
      <t>チホウ</t>
    </rPh>
    <rPh sb="7" eb="10">
      <t>ショウヒゼイ</t>
    </rPh>
    <rPh sb="10" eb="12">
      <t>ソウトウ</t>
    </rPh>
    <rPh sb="12" eb="13">
      <t>ガク</t>
    </rPh>
    <phoneticPr fontId="3"/>
  </si>
  <si>
    <t/>
  </si>
  <si>
    <t>合　　計</t>
    <phoneticPr fontId="3"/>
  </si>
  <si>
    <t>総内訳が２ﾍﾟｰｼﾞ以上になる場合、I２5ｾﾙに必要なﾍﾟｰｼﾞ数を記入。(3～15枚まで)</t>
    <rPh sb="0" eb="1">
      <t>ソウ</t>
    </rPh>
    <rPh sb="1" eb="3">
      <t>ウチワケショ</t>
    </rPh>
    <rPh sb="10" eb="12">
      <t>イジョウ</t>
    </rPh>
    <rPh sb="15" eb="17">
      <t>バアイ</t>
    </rPh>
    <rPh sb="24" eb="26">
      <t>ヒツヨウ</t>
    </rPh>
    <rPh sb="32" eb="33">
      <t>スウ</t>
    </rPh>
    <rPh sb="34" eb="36">
      <t>キニュウ</t>
    </rPh>
    <rPh sb="42" eb="43">
      <t>マイ</t>
    </rPh>
    <phoneticPr fontId="3"/>
  </si>
  <si>
    <t>○○工事</t>
    <rPh sb="2" eb="4">
      <t>コウジ</t>
    </rPh>
    <phoneticPr fontId="3"/>
  </si>
  <si>
    <t>工事種目</t>
    <rPh sb="0" eb="2">
      <t>コウジ</t>
    </rPh>
    <rPh sb="2" eb="4">
      <t>シュモク</t>
    </rPh>
    <phoneticPr fontId="3"/>
  </si>
  <si>
    <t>土木工事</t>
    <rPh sb="0" eb="2">
      <t>ドボク</t>
    </rPh>
    <rPh sb="2" eb="4">
      <t>コウジ</t>
    </rPh>
    <phoneticPr fontId="3"/>
  </si>
  <si>
    <t>プレハブ工事</t>
    <rPh sb="4" eb="6">
      <t>コウジ</t>
    </rPh>
    <phoneticPr fontId="3"/>
  </si>
  <si>
    <t>石工事</t>
    <rPh sb="0" eb="1">
      <t>イシ</t>
    </rPh>
    <rPh sb="1" eb="3">
      <t>コウジ</t>
    </rPh>
    <phoneticPr fontId="3"/>
  </si>
  <si>
    <t>屋根工事</t>
    <rPh sb="0" eb="2">
      <t>ヤネ</t>
    </rPh>
    <rPh sb="2" eb="4">
      <t>コウジ</t>
    </rPh>
    <phoneticPr fontId="3"/>
  </si>
  <si>
    <t>タイル工事</t>
    <rPh sb="3" eb="5">
      <t>コウジ</t>
    </rPh>
    <phoneticPr fontId="3"/>
  </si>
  <si>
    <t>水門・門扉工事</t>
    <rPh sb="0" eb="2">
      <t>スイモン</t>
    </rPh>
    <rPh sb="3" eb="5">
      <t>モンピ</t>
    </rPh>
    <rPh sb="5" eb="7">
      <t>コウジ</t>
    </rPh>
    <phoneticPr fontId="3"/>
  </si>
  <si>
    <t>ガラス工事</t>
    <rPh sb="3" eb="5">
      <t>コウジ</t>
    </rPh>
    <phoneticPr fontId="3"/>
  </si>
  <si>
    <t>塗装工事</t>
    <rPh sb="0" eb="2">
      <t>トソウ</t>
    </rPh>
    <rPh sb="2" eb="4">
      <t>コウジ</t>
    </rPh>
    <phoneticPr fontId="3"/>
  </si>
  <si>
    <t>防水工事</t>
    <rPh sb="0" eb="2">
      <t>ボウスイ</t>
    </rPh>
    <rPh sb="2" eb="4">
      <t>コウジ</t>
    </rPh>
    <phoneticPr fontId="3"/>
  </si>
  <si>
    <t>内装仕上げ工事</t>
    <rPh sb="0" eb="2">
      <t>ナイソウ</t>
    </rPh>
    <rPh sb="2" eb="4">
      <t>シア</t>
    </rPh>
    <rPh sb="5" eb="7">
      <t>コウジ</t>
    </rPh>
    <phoneticPr fontId="3"/>
  </si>
  <si>
    <t>建具工事</t>
    <rPh sb="0" eb="2">
      <t>タテグ</t>
    </rPh>
    <rPh sb="2" eb="4">
      <t>コウジ</t>
    </rPh>
    <phoneticPr fontId="3"/>
  </si>
  <si>
    <t>解体工事</t>
    <rPh sb="0" eb="2">
      <t>カイタイ</t>
    </rPh>
    <rPh sb="2" eb="4">
      <t>コウジ</t>
    </rPh>
    <phoneticPr fontId="3"/>
  </si>
  <si>
    <t>建築設備課付帯</t>
    <rPh sb="0" eb="2">
      <t>ケンチク</t>
    </rPh>
    <rPh sb="2" eb="4">
      <t>セツビ</t>
    </rPh>
    <rPh sb="4" eb="5">
      <t>カ</t>
    </rPh>
    <rPh sb="5" eb="7">
      <t>フタイ</t>
    </rPh>
    <phoneticPr fontId="3"/>
  </si>
  <si>
    <t>電気設計課付帯</t>
    <rPh sb="0" eb="2">
      <t>デンキ</t>
    </rPh>
    <rPh sb="2" eb="4">
      <t>セッケイ</t>
    </rPh>
    <rPh sb="4" eb="5">
      <t>カ</t>
    </rPh>
    <rPh sb="5" eb="7">
      <t>フタイ</t>
    </rPh>
    <phoneticPr fontId="3"/>
  </si>
  <si>
    <t>※専業工事の種目を選択</t>
    <rPh sb="1" eb="3">
      <t>センギョウ</t>
    </rPh>
    <rPh sb="3" eb="5">
      <t>コウジ</t>
    </rPh>
    <rPh sb="6" eb="8">
      <t>シュモク</t>
    </rPh>
    <rPh sb="9" eb="11">
      <t>センタク</t>
    </rPh>
    <phoneticPr fontId="3"/>
  </si>
  <si>
    <t>※物品契約の種目を選択</t>
    <rPh sb="1" eb="3">
      <t>ブッピン</t>
    </rPh>
    <rPh sb="3" eb="5">
      <t>ケイヤク</t>
    </rPh>
    <rPh sb="6" eb="8">
      <t>シュモク</t>
    </rPh>
    <rPh sb="9" eb="11">
      <t>センタク</t>
    </rPh>
    <phoneticPr fontId="3"/>
  </si>
  <si>
    <t>看板</t>
    <rPh sb="0" eb="2">
      <t>カンバン</t>
    </rPh>
    <phoneticPr fontId="3"/>
  </si>
  <si>
    <t>※業務委託の種目を選択</t>
    <rPh sb="1" eb="3">
      <t>ギョウム</t>
    </rPh>
    <rPh sb="3" eb="5">
      <t>イタク</t>
    </rPh>
    <rPh sb="6" eb="8">
      <t>シュモク</t>
    </rPh>
    <rPh sb="9" eb="11">
      <t>センタク</t>
    </rPh>
    <phoneticPr fontId="3"/>
  </si>
  <si>
    <t>機械設備等保守点検</t>
    <rPh sb="0" eb="2">
      <t>キカイ</t>
    </rPh>
    <rPh sb="2" eb="4">
      <t>セツビ</t>
    </rPh>
    <rPh sb="4" eb="5">
      <t>トウ</t>
    </rPh>
    <rPh sb="5" eb="7">
      <t>ホシュ</t>
    </rPh>
    <rPh sb="7" eb="9">
      <t>テンケン</t>
    </rPh>
    <phoneticPr fontId="3"/>
  </si>
  <si>
    <t>消防設備保守点検</t>
    <rPh sb="0" eb="2">
      <t>ショウボウ</t>
    </rPh>
    <rPh sb="2" eb="4">
      <t>セツビ</t>
    </rPh>
    <rPh sb="4" eb="6">
      <t>ホシュ</t>
    </rPh>
    <rPh sb="6" eb="8">
      <t>テンケン</t>
    </rPh>
    <phoneticPr fontId="3"/>
  </si>
  <si>
    <t>施設保守点検整備</t>
    <rPh sb="0" eb="2">
      <t>シセツ</t>
    </rPh>
    <rPh sb="2" eb="4">
      <t>ホシュ</t>
    </rPh>
    <rPh sb="4" eb="6">
      <t>テンケン</t>
    </rPh>
    <rPh sb="6" eb="8">
      <t>セイビ</t>
    </rPh>
    <phoneticPr fontId="3"/>
  </si>
  <si>
    <t>建物・構造物各種調査</t>
    <rPh sb="0" eb="2">
      <t>タテモノ</t>
    </rPh>
    <rPh sb="3" eb="6">
      <t>コウゾウブツ</t>
    </rPh>
    <rPh sb="6" eb="8">
      <t>カクシュ</t>
    </rPh>
    <rPh sb="8" eb="10">
      <t>チョウサ</t>
    </rPh>
    <phoneticPr fontId="3"/>
  </si>
  <si>
    <t>※測量・建設コンサル業務委託の種類を選択</t>
    <rPh sb="1" eb="3">
      <t>ソクリョウ</t>
    </rPh>
    <rPh sb="4" eb="6">
      <t>ケンセツ</t>
    </rPh>
    <rPh sb="10" eb="12">
      <t>ギョウム</t>
    </rPh>
    <rPh sb="12" eb="14">
      <t>イタク</t>
    </rPh>
    <rPh sb="15" eb="17">
      <t>シュルイ</t>
    </rPh>
    <rPh sb="18" eb="20">
      <t>センタク</t>
    </rPh>
    <phoneticPr fontId="3"/>
  </si>
  <si>
    <t>建築設計・監理（一級）</t>
    <rPh sb="0" eb="2">
      <t>ケンチク</t>
    </rPh>
    <rPh sb="2" eb="4">
      <t>セッケイ</t>
    </rPh>
    <rPh sb="5" eb="7">
      <t>カンリ</t>
    </rPh>
    <rPh sb="8" eb="9">
      <t>イチ</t>
    </rPh>
    <rPh sb="9" eb="10">
      <t>キュウ</t>
    </rPh>
    <phoneticPr fontId="3"/>
  </si>
  <si>
    <t>無し</t>
    <phoneticPr fontId="3"/>
  </si>
  <si>
    <t>適用外</t>
  </si>
  <si>
    <t>工　　事　　費　　内　　訳　　書</t>
    <rPh sb="6" eb="7">
      <t>ヒ</t>
    </rPh>
    <rPh sb="9" eb="10">
      <t>ウチ</t>
    </rPh>
    <rPh sb="12" eb="13">
      <t>ヤク</t>
    </rPh>
    <phoneticPr fontId="3"/>
  </si>
  <si>
    <t>費用</t>
    <rPh sb="0" eb="2">
      <t>ヒヨウ</t>
    </rPh>
    <phoneticPr fontId="3"/>
  </si>
  <si>
    <t>当該課確認</t>
    <rPh sb="0" eb="2">
      <t>トウガイ</t>
    </rPh>
    <rPh sb="2" eb="3">
      <t>カ</t>
    </rPh>
    <rPh sb="3" eb="5">
      <t>カクニン</t>
    </rPh>
    <phoneticPr fontId="3"/>
  </si>
  <si>
    <t>工事名称：</t>
  </si>
  <si>
    <t>工事価格</t>
    <rPh sb="0" eb="2">
      <t>コウジ</t>
    </rPh>
    <rPh sb="2" eb="4">
      <t>カカク</t>
    </rPh>
    <phoneticPr fontId="3"/>
  </si>
  <si>
    <t>合計</t>
    <rPh sb="0" eb="2">
      <t>ゴウケイ</t>
    </rPh>
    <phoneticPr fontId="3"/>
  </si>
  <si>
    <t>鉄有固-運送施設 土地-線路及び停車場用地</t>
  </si>
  <si>
    <t>鉄有固-運送施設 土地-変電所用地</t>
  </si>
  <si>
    <t>鉄有固-運送施設 土地-車庫及び工場用地</t>
  </si>
  <si>
    <t>鉄有固-運送施設 土地-倉庫用地</t>
  </si>
  <si>
    <t>鉄有固-運送施設 土地-事務所用地</t>
  </si>
  <si>
    <t>鉄有固-運送施設 土地-社宅及び寮用地</t>
  </si>
  <si>
    <t>鉄有固-運送施設 土地-雑用地</t>
  </si>
  <si>
    <t>鉄有固-運送施設 建物-鉄骨鉄筋コンクリート造又は鉄筋コンクリート造-停車場建物</t>
  </si>
  <si>
    <t>鉄有固-運送施設 建物-れんが造、石造又はブロック造-停車場建物</t>
  </si>
  <si>
    <t>鉄有固-運送施設 建物-金属造(骨格材の肉厚が4mm超)-停車場建物</t>
  </si>
  <si>
    <t>鉄有固-運送施設 建物-金属造(骨格材の肉厚が3mm超4mm以下)-停車場建物</t>
  </si>
  <si>
    <t>鉄有固-運送施設 建物-金属造(骨格材の肉厚が3mm以下)-停車場建物</t>
  </si>
  <si>
    <t>鉄有固-運送施設 建物-木造又は合成樹脂造-停車場建物</t>
  </si>
  <si>
    <t>鉄有固-運送施設 建物-木骨モルタル造-停車場建物</t>
  </si>
  <si>
    <t>鉄有固-運送施設 建物-簡易建物(木製主要柱が10cm角以下で土居、杉皮ぶき等)-停車場建物</t>
  </si>
  <si>
    <t>鉄有固-運送施設 建物-簡易建物(掘立造のもの及び仮設のもの)-停車場建物</t>
  </si>
  <si>
    <t>鉄有固-運送施設 建物付属設備-電気設備(照明設備を含む)-蓄電池電源設備-停車場建物</t>
  </si>
  <si>
    <t>鉄有固-運送施設 建物付属設備-電気設備(照明設備を含む)-その他のもの-停車場建物</t>
  </si>
  <si>
    <t>鉄有固-運送施設 建物付属設備-給排水又は衛生設備及びガス設備-停車場建物</t>
  </si>
  <si>
    <t>鉄有固-運送施設 建物付属設備-冷暖房・通風・ボイラー設備-22kw以下-停車場建物</t>
  </si>
  <si>
    <t>鉄有固-運送施設 建物付属設備-冷暖房・通風・ボイラー設備-その他のもの-停車場建物</t>
  </si>
  <si>
    <t>鉄有固-運送施設 建物付属設備-昇降機設備-エレベーター-停車場建物</t>
  </si>
  <si>
    <t>鉄有固-運送施設 建物付属設備-昇降機設備-エスカレーター-停車場建物</t>
  </si>
  <si>
    <t>鉄有固-運送施設 建物付属設備-消火・排煙・災害報知設備及び格納式避難設備-停車場建物</t>
  </si>
  <si>
    <t>鉄有固-運送施設 建物付属設備-エヤーカーテン又はドアー自動開閉設備-停車場建物</t>
  </si>
  <si>
    <t>鉄有固-運送施設 建物付属設備-アーケード又は日よけ設備-金属製-停車場建物</t>
  </si>
  <si>
    <t>鉄有固-運送施設 建物付属設備-アーケード又は日よけ設備-その他のもの-停車場建物</t>
  </si>
  <si>
    <t>鉄有固-運送施設 建物付属設備-店用簡易設備-停車場建物</t>
  </si>
  <si>
    <t>鉄有固-運送施設 建物付属設備-可動簡易装備-簡易なもの-停車場建物</t>
  </si>
  <si>
    <t>鉄有固-運送施設 建物付属設備-可動簡易装備-その他のもの-停車場建物</t>
  </si>
  <si>
    <t>鉄有固-運送施設 建物付属設備-前掲以外・前掲区分外-主として金属製のもの-停車場建物</t>
  </si>
  <si>
    <t>鉄有固-運送施設 建物付属設備-前掲以外・前掲区分外-その他のもの-停車場建物</t>
  </si>
  <si>
    <t>鉄有固-運送施設 建物-鉄骨鉄筋コンクリート造又は鉄筋コンクリート造-変電所建物</t>
  </si>
  <si>
    <t>鉄有固-運送施設 建物-れんが造、石造又はブロック造-変電所建物</t>
  </si>
  <si>
    <t>鉄有固-運送施設 建物-金属造(骨格材の肉厚が4mm超)-変電所建物</t>
  </si>
  <si>
    <t>鉄有固-運送施設 建物-金属造(骨格材の肉厚が3mm超4mm以下)-変電所建物</t>
  </si>
  <si>
    <t>鉄有固-運送施設 建物-金属造(骨格材の肉厚が3mm以下)-変電所建物</t>
  </si>
  <si>
    <t>鉄有固-運送施設 建物-木造又は合成樹脂造-変電所建物</t>
  </si>
  <si>
    <t>鉄有固-運送施設 建物-木骨モルタル造-変電所建物</t>
  </si>
  <si>
    <t>鉄有固-運送施設 建物-簡易建物(木製主要柱が10cm角以下で土居、杉皮ぶき等)-変電所建物</t>
  </si>
  <si>
    <t>鉄有固-運送施設 建物-簡易建物(掘立造のもの及び仮設のもの)-変電所建物</t>
  </si>
  <si>
    <t>鉄有固-運送施設 建物付属設備-電気設備(照明設備を含む)-蓄電池電源設備-変電所建物</t>
  </si>
  <si>
    <t>鉄有固-運送施設 建物付属設備-電気設備(照明設備を含む)-その他のもの-変電所建物</t>
  </si>
  <si>
    <t>鉄有固-運送施設 建物付属設備-給排水又は衛生設備及びガス設備-変電所建物</t>
  </si>
  <si>
    <t>鉄有固-運送施設 建物付属設備-冷暖房・通風・ボイラー設備-22kw以下-変電所建物</t>
  </si>
  <si>
    <t>鉄有固-運送施設 建物付属設備-冷暖房・通風・ボイラー設備-その他のもの-変電所建物</t>
  </si>
  <si>
    <t>鉄有固-運送施設 建物付属設備-昇降機設備-エレベーター-変電所建物</t>
  </si>
  <si>
    <t>鉄有固-運送施設 建物付属設備-昇降機設備-エスカレーター-変電所建物</t>
  </si>
  <si>
    <t>鉄有固-運送施設 建物付属設備-消火・排煙・災害報知設備及び格納式避難設備-変電所建物</t>
  </si>
  <si>
    <t>鉄有固-運送施設 建物付属設備-エヤーカーテン又はドアー自動開閉設備-変電所建物</t>
  </si>
  <si>
    <t>鉄有固-運送施設 建物付属設備-アーケード又は日よけ設備-金属製-変電所建物</t>
  </si>
  <si>
    <t>鉄有固-運送施設 建物付属設備-アーケード又は日よけ設備-その他のもの-変電所建物</t>
  </si>
  <si>
    <t>鉄有固-運送施設 建物付属設備-店用簡易設備-変電所建物</t>
  </si>
  <si>
    <t>鉄有固-運送施設 建物付属設備-可動簡易装備-簡易なもの-変電所建物</t>
  </si>
  <si>
    <t>鉄有固-運送施設 建物付属設備-可動簡易装備-その他のもの-変電所建物</t>
  </si>
  <si>
    <t>鉄有固-運送施設 建物付属設備-前掲以外・前掲区分外-主として金属製のもの-変電所建物</t>
  </si>
  <si>
    <t>鉄有固-運送施設 建物付属設備-前掲以外・前掲区分外-その他のもの-変電所建物</t>
  </si>
  <si>
    <t>鉄有固-運送施設 建物-鉄骨鉄筋コンクリート造又は鉄筋コンクリート造-車庫・工場</t>
  </si>
  <si>
    <t>鉄有固-運送施設 建物-れんが造、石造又はブロック造-車庫・工場</t>
  </si>
  <si>
    <t>鉄有固-運送施設 建物-金属造(骨格材の肉厚が4mm超)-車庫・工場</t>
  </si>
  <si>
    <t>鉄有固-運送施設 建物-金属造(骨格材の肉厚が3mm超4mm以下)-車庫・工場</t>
  </si>
  <si>
    <t>鉄有固-運送施設 建物-金属造(骨格材の肉厚が3mm以下)-車庫・工場</t>
  </si>
  <si>
    <t>鉄有固-運送施設 建物-木造又は合成樹脂造-車庫・工場</t>
  </si>
  <si>
    <t>鉄有固-運送施設 建物-木骨モルタル造-車庫・工場</t>
  </si>
  <si>
    <t>鉄有固-運送施設 建物-簡易建物(木製主要柱が10cm角以下で土居、杉皮ぶき等)-車庫・工場</t>
  </si>
  <si>
    <t>鉄有固-運送施設 建物-簡易建物(掘立造のもの及び仮設のもの)-車庫・工場</t>
  </si>
  <si>
    <t>鉄有固-運送施設 建物付属設備-電気設備(照明設備を含む)-蓄電池電源設備-車庫・工場</t>
  </si>
  <si>
    <t>鉄有固-運送施設 建物付属設備-電気設備(照明設備を含む)-その他のもの-車庫・工場</t>
  </si>
  <si>
    <t>鉄有固-運送施設 建物付属設備-給排水又は衛生設備及びガス設備-車庫・工場</t>
  </si>
  <si>
    <t>鉄有固-運送施設 建物付属設備-冷暖房・通風・ボイラー設備-22kw以下-車庫・工場</t>
  </si>
  <si>
    <t>鉄有固-運送施設 建物付属設備-冷暖房・通風・ボイラー設備-その他のもの-車庫・工場</t>
  </si>
  <si>
    <t>鉄有固-運送施設 建物付属設備-昇降機設備-エレベーター-車庫・工場</t>
  </si>
  <si>
    <t>鉄有固-運送施設 建物付属設備-昇降機設備-エスカレーター-車庫・工場</t>
  </si>
  <si>
    <t>鉄有固-運送施設 建物付属設備-消火・排煙・災害報知設備及び格納式避難設備-車庫・工場</t>
  </si>
  <si>
    <t>鉄有固-運送施設 建物付属設備-エヤーカーテン又はドアー自動開閉設備-車庫・工場</t>
  </si>
  <si>
    <t>鉄有固-運送施設 建物付属設備-アーケード又は日よけ設備-金属製-車庫・工場</t>
  </si>
  <si>
    <t>鉄有固-運送施設 建物付属設備-アーケード又は日よけ設備-その他のもの-車庫・工場</t>
  </si>
  <si>
    <t>鉄有固-運送施設 建物付属設備-店用簡易設備-車庫・工場</t>
  </si>
  <si>
    <t>鉄有固-運送施設 建物付属設備-可動簡易装備-簡易なもの-車庫・工場</t>
  </si>
  <si>
    <t>鉄有固-運送施設 建物付属設備-可動簡易装備-その他のもの-車庫・工場</t>
  </si>
  <si>
    <t>鉄有固-運送施設 建物付属設備-前掲以外・前掲区分外-主として金属製のもの-車庫・工場</t>
  </si>
  <si>
    <t>鉄有固-運送施設 建物付属設備-前掲以外・前掲区分外-その他のもの-車庫・工場</t>
  </si>
  <si>
    <t>鉄有固-運送施設 建物-鉄骨鉄筋コンクリート造又は鉄筋コンクリート造-倉庫建物</t>
  </si>
  <si>
    <t>鉄有固-運送施設 建物-れんが造、石造又はブロック造-倉庫建物</t>
  </si>
  <si>
    <t>鉄有固-運送施設 建物-金属造(骨格材の肉厚が4mm超)-倉庫建物</t>
  </si>
  <si>
    <t>鉄有固-運送施設 建物-金属造(骨格材の肉厚が3mm超4mm以下)-倉庫建物</t>
  </si>
  <si>
    <t>鉄有固-運送施設 建物-金属造(骨格材の肉厚が3mm以下)-倉庫建物</t>
  </si>
  <si>
    <t>鉄有固-運送施設 建物-木造又は合成樹脂造-倉庫建物</t>
  </si>
  <si>
    <t>鉄有固-運送施設 建物-木骨モルタル造-倉庫建物</t>
  </si>
  <si>
    <t>鉄有固-運送施設 建物-簡易建物(木製主要柱が10cm角以下で土居、杉皮ぶき等)-倉庫建物</t>
  </si>
  <si>
    <t>鉄有固-運送施設 建物-簡易建物(掘立造のもの及び仮設のもの)-倉庫建物</t>
  </si>
  <si>
    <t>鉄有固-運送施設 建物付属設備-電気設備(照明設備を含む)-蓄電池電源設備-倉庫建物</t>
  </si>
  <si>
    <t>鉄有固-運送施設 建物付属設備-電気設備(照明設備を含む)-その他のもの-倉庫建物</t>
  </si>
  <si>
    <t>鉄有固-運送施設 建物付属設備-給排水又は衛生設備及びガス設備-倉庫建物</t>
  </si>
  <si>
    <t>鉄有固-運送施設 建物付属設備-冷暖房・通風・ボイラー設備-22kw以下-倉庫建物</t>
  </si>
  <si>
    <t>鉄有固-運送施設 建物付属設備-冷暖房・通風・ボイラー設備-その他のもの-倉庫建物</t>
  </si>
  <si>
    <t>鉄有固-運送施設 建物付属設備-昇降機設備-エレベーター-倉庫建物</t>
  </si>
  <si>
    <t>鉄有固-運送施設 建物付属設備-昇降機設備-エスカレーター-倉庫建物</t>
  </si>
  <si>
    <t>鉄有固-運送施設 建物付属設備-消火・排煙・災害報知設備及び格納式避難設備-倉庫建物</t>
  </si>
  <si>
    <t>鉄有固-運送施設 建物付属設備-エヤーカーテン又はドアー自動開閉設備-倉庫建物</t>
  </si>
  <si>
    <t>鉄有固-運送施設 建物付属設備-アーケード又は日よけ設備-金属製-倉庫建物</t>
  </si>
  <si>
    <t>鉄有固-運送施設 建物付属設備-アーケード又は日よけ設備-その他のもの-倉庫建物</t>
  </si>
  <si>
    <t>鉄有固-運送施設 建物付属設備-店用簡易設備-倉庫建物</t>
  </si>
  <si>
    <t>鉄有固-運送施設 建物付属設備-可動簡易装備-簡易なもの-倉庫建物</t>
  </si>
  <si>
    <t>鉄有固-運送施設 建物付属設備-可動簡易装備-その他のもの-倉庫建物</t>
  </si>
  <si>
    <t>鉄有固-運送施設 建物付属設備-前掲以外・前掲区分外-主として金属製のもの-倉庫建物</t>
  </si>
  <si>
    <t>鉄有固-運送施設 建物付属設備-前掲以外・前掲区分外-その他のもの-倉庫建物</t>
  </si>
  <si>
    <t>鉄有固-運送施設 建物-鉄骨鉄筋コンクリート造又は鉄筋コンクリート造-詰所建物</t>
  </si>
  <si>
    <t>鉄有固-運送施設 建物-れんが造、石造又はブロック造-詰所建物</t>
  </si>
  <si>
    <t>鉄有固-運送施設 建物-金属造(骨格材の肉厚が4mm超)-詰所建物</t>
  </si>
  <si>
    <t>鉄有固-運送施設 建物-金属造(骨格材の肉厚が3mm超4mm以下)-詰所建物</t>
  </si>
  <si>
    <t>鉄有固-運送施設 建物-金属造(骨格材の肉厚が3mm以下)-詰所建物</t>
  </si>
  <si>
    <t>鉄有固-運送施設 建物-木造又は合成樹脂造-詰所建物</t>
  </si>
  <si>
    <t>鉄有固-運送施設 建物-木骨モルタル造-詰所建物</t>
  </si>
  <si>
    <t>鉄有固-運送施設 建物-簡易建物(木製主要柱が10cm角以下で土居、杉皮ぶき等)-詰所建物</t>
  </si>
  <si>
    <t>鉄有固-運送施設 建物-簡易建物(掘立造のもの及び仮設のもの)-詰所建物</t>
  </si>
  <si>
    <t>鉄有固-運送施設 建物付属設備-電気設備(照明設備を含む)-蓄電池電源設備-詰所建物</t>
  </si>
  <si>
    <t>鉄有固-運送施設 建物付属設備-電気設備(照明設備を含む)-その他のもの-詰所建物</t>
  </si>
  <si>
    <t>鉄有固-運送施設 建物付属設備-給排水又は衛生設備及びガス設備-詰所建物</t>
  </si>
  <si>
    <t>鉄有固-運送施設 建物付属設備-冷暖房・通風・ボイラー設備-22kw以下-詰所建物</t>
  </si>
  <si>
    <t>鉄有固-運送施設 建物付属設備-冷暖房・通風・ボイラー設備-その他のもの-詰所建物</t>
  </si>
  <si>
    <t>鉄有固-運送施設 建物付属設備-昇降機設備-エレベーター-詰所建物</t>
  </si>
  <si>
    <t>鉄有固-運送施設 建物付属設備-昇降機設備-エスカレーター-詰所建物</t>
  </si>
  <si>
    <t>鉄有固-運送施設 建物付属設備-消火・排煙・災害報知設備及び格納式避難設備-詰所建物</t>
  </si>
  <si>
    <t>鉄有固-運送施設 建物付属設備-エヤーカーテン又はドアー自動開閉設備-詰所建物</t>
  </si>
  <si>
    <t>鉄有固-運送施設 建物付属設備-アーケード又は日よけ設備-金属製-詰所建物</t>
  </si>
  <si>
    <t>鉄有固-運送施設 建物付属設備-アーケード又は日よけ設備-その他のもの-詰所建物</t>
  </si>
  <si>
    <t>鉄有固-運送施設 建物付属設備-店用簡易設備-詰所建物</t>
  </si>
  <si>
    <t>鉄有固-運送施設 建物付属設備-可動簡易装備-簡易なもの-詰所建物</t>
  </si>
  <si>
    <t>鉄有固-運送施設 建物付属設備-可動簡易装備-その他のもの-詰所建物</t>
  </si>
  <si>
    <t>鉄有固-運送施設 建物付属設備-前掲以外・前掲区分外-主として金属製のもの-詰所建物</t>
  </si>
  <si>
    <t>鉄有固-運送施設 建物付属設備-前掲以外・前掲区分外-その他のもの-詰所建物</t>
  </si>
  <si>
    <t>鉄有固-運送施設 建物-鉄骨鉄筋コンクリート造又は鉄筋コンクリート造-事務所建物</t>
  </si>
  <si>
    <t>鉄有固-運送施設 建物-れんが造、石造又はブロック造-事務所建物</t>
  </si>
  <si>
    <t>鉄有固-運送施設 建物-金属造(骨格材の肉厚が4mm超)-事務所建物</t>
  </si>
  <si>
    <t>鉄有固-運送施設 建物-金属造(骨格材の肉厚が3mm超4mm以下)-事務所建物</t>
  </si>
  <si>
    <t>鉄有固-運送施設 建物-金属造(骨格材の肉厚が3mm以下)-事務所建物</t>
  </si>
  <si>
    <t>鉄有固-運送施設 建物-木造又は合成樹脂造-事務所建物</t>
  </si>
  <si>
    <t>鉄有固-運送施設 建物-木骨モルタル造-事務所建物</t>
  </si>
  <si>
    <t>鉄有固-運送施設 建物-簡易建物(木製主要柱が10cm角以下で土居、杉皮ぶき等)-事務所建物</t>
  </si>
  <si>
    <t>鉄有固-運送施設 建物-簡易建物(掘立造のもの及び仮設のもの)-事務所建物</t>
  </si>
  <si>
    <t>鉄有固-運送施設 建物付属設備-電気設備(照明設備を含む)-蓄電池電源設備-事務所建物</t>
  </si>
  <si>
    <t>鉄有固-運送施設 建物付属設備-電気設備(照明設備を含む)-その他のもの-事務所建物</t>
  </si>
  <si>
    <t>鉄有固-運送施設 建物付属設備-給排水又は衛生設備及びガス設備-事務所建物</t>
  </si>
  <si>
    <t>鉄有固-運送施設 建物付属設備-冷暖房・通風・ボイラー設備-22kw以下-事務所建物</t>
  </si>
  <si>
    <t>鉄有固-運送施設 建物付属設備-冷暖房・通風・ボイラー設備-その他のもの-事務所建物</t>
  </si>
  <si>
    <t>鉄有固-運送施設 建物付属設備-昇降機設備-エレベーター-事務所建物</t>
  </si>
  <si>
    <t>鉄有固-運送施設 建物付属設備-昇降機設備-エスカレーター-事務所建物</t>
  </si>
  <si>
    <t>鉄有固-運送施設 建物付属設備-消火・排煙・災害報知設備及び格納式避難設備-事務所建物</t>
  </si>
  <si>
    <t>鉄有固-運送施設 建物付属設備-エヤーカーテン又はドアー自動開閉設備-事務所建物</t>
  </si>
  <si>
    <t>鉄有固-運送施設 建物付属設備-アーケード又は日よけ設備-金属製-事務所建物</t>
  </si>
  <si>
    <t>鉄有固-運送施設 建物付属設備-アーケード又は日よけ設備-その他のもの-事務所建物</t>
  </si>
  <si>
    <t>鉄有固-運送施設 建物付属設備-店用簡易設備-事務所建物</t>
  </si>
  <si>
    <t>鉄有固-運送施設 建物付属設備-可動簡易装備-簡易なもの-事務所建物</t>
  </si>
  <si>
    <t>鉄有固-運送施設 建物付属設備-可動簡易装備-その他のもの-事務所建物</t>
  </si>
  <si>
    <t>鉄有固-運送施設 建物付属設備-前掲以外・前掲区分外-主として金属製のもの-事務所建物</t>
  </si>
  <si>
    <t>鉄有固-運送施設 建物付属設備-前掲以外・前掲区分外-その他のもの-事務所建物</t>
  </si>
  <si>
    <t>鉄有固-運送施設 建物-鉄骨鉄筋コンクリート造又は鉄筋コンクリート造-社宅・寮建物</t>
  </si>
  <si>
    <t>鉄有固-運送施設 建物-れんが造、石造又はブロック造-社宅・寮建物</t>
  </si>
  <si>
    <t>鉄有固-運送施設 建物-金属造(骨格材の肉厚が4mm超)-社宅・寮建物</t>
  </si>
  <si>
    <t>鉄有固-運送施設 建物-金属造(骨格材の肉厚が3mm超4mm以下)-社宅・寮建物</t>
  </si>
  <si>
    <t>鉄有固-運送施設 建物-金属造(骨格材の肉厚が3mm以下)-社宅・寮建物</t>
  </si>
  <si>
    <t>鉄有固-運送施設 建物-木造又は合成樹脂造-社宅・寮建物</t>
  </si>
  <si>
    <t>鉄有固-運送施設 建物-木骨モルタル造-社宅・寮建物</t>
  </si>
  <si>
    <t>鉄有固-運送施設 建物-簡易建物(木製主要柱が10cm角以下で土居、杉皮ぶき等)-社宅・寮建物</t>
  </si>
  <si>
    <t>鉄有固-運送施設 建物-簡易建物(掘立造のもの及び仮設のもの)-社宅・寮建物</t>
  </si>
  <si>
    <t>鉄有固-運送施設 建物付属設備-電気設備(照明設備を含む)-蓄電池電源設備-社宅・寮建物</t>
  </si>
  <si>
    <t>鉄有固-運送施設 建物付属設備-電気設備(照明設備を含む)-その他のもの-社宅・寮建物</t>
  </si>
  <si>
    <t>鉄有固-運送施設 建物付属設備-給排水又は衛生設備及びガス設備-社宅・寮建物</t>
  </si>
  <si>
    <t>鉄有固-運送施設 建物付属設備-冷暖房・通風・ボイラー設備-22kw以下-社宅・寮建物</t>
  </si>
  <si>
    <t>鉄有固-運送施設 建物付属設備-冷暖房・通風・ボイラー設備-その他のもの-社宅・寮建物</t>
  </si>
  <si>
    <t>鉄有固-運送施設 建物付属設備-昇降機設備-エレベーター-社宅・寮建物</t>
  </si>
  <si>
    <t>鉄有固-運送施設 建物付属設備-昇降機設備-エスカレーター-社宅・寮建物</t>
  </si>
  <si>
    <t>鉄有固-運送施設 建物付属設備-消火・排煙・災害報知設備及び格納式避難設備-社宅・寮建物</t>
  </si>
  <si>
    <t>鉄有固-運送施設 建物付属設備-エヤーカーテン又はドアー自動開閉設備-社宅・寮建物</t>
  </si>
  <si>
    <t>鉄有固-運送施設 建物付属設備-アーケード又は日よけ設備-金属製-社宅・寮建物</t>
  </si>
  <si>
    <t>鉄有固-運送施設 建物付属設備-アーケード又は日よけ設備-その他のもの-社宅・寮建物</t>
  </si>
  <si>
    <t>鉄有固-運送施設 建物付属設備-店用簡易設備-社宅・寮建物</t>
  </si>
  <si>
    <t>鉄有固-運送施設 建物付属設備-可動簡易装備-簡易なもの-社宅・寮建物</t>
  </si>
  <si>
    <t>鉄有固-運送施設 建物付属設備-可動簡易装備-その他のもの-社宅・寮建物</t>
  </si>
  <si>
    <t>鉄有固-運送施設 建物付属設備-前掲以外・前掲区分外-主として金属製のもの-社宅・寮建物</t>
  </si>
  <si>
    <t>鉄有固-運送施設 建物付属設備-前掲以外・前掲区分外-その他のもの-社宅・寮建物</t>
  </si>
  <si>
    <t>鉄有固-運送施設 建物-雑建物-定額50年</t>
  </si>
  <si>
    <t>鉄有固-運送施設 建物-雑建物-定額47年</t>
  </si>
  <si>
    <t>鉄有固-運送施設 建物-雑建物-定額41年</t>
  </si>
  <si>
    <t>鉄有固-運送施設 建物-雑建物-定額39年</t>
  </si>
  <si>
    <t>鉄有固-運送施設 建物-雑建物-定額38年</t>
  </si>
  <si>
    <t>鉄有固-運送施設 建物-雑建物-定額36年</t>
  </si>
  <si>
    <t>鉄有固-運送施設 建物-雑建物-定額34年</t>
  </si>
  <si>
    <t>鉄有固-運送施設 建物-雑建物-定額31年</t>
  </si>
  <si>
    <t>鉄有固-運送施設 建物-雑建物-定額30年</t>
  </si>
  <si>
    <t>鉄有固-運送施設 建物-雑建物-定額29年</t>
  </si>
  <si>
    <t>鉄有固-運送施設 建物-雑建物-定額28年</t>
  </si>
  <si>
    <t>鉄有固-運送施設 建物-雑建物-定額27年</t>
  </si>
  <si>
    <t>鉄有固-運送施設 建物-雑建物-定額26年</t>
  </si>
  <si>
    <t>鉄有固-運送施設 建物-雑建物-定額25年</t>
  </si>
  <si>
    <t>鉄有固-運送施設 建物-雑建物-定額24年</t>
  </si>
  <si>
    <t>鉄有固-運送施設 建物-雑建物-定額22年</t>
  </si>
  <si>
    <t>鉄有固-運送施設 建物-雑建物-定額21年</t>
  </si>
  <si>
    <t>鉄有固-運送施設 建物-雑建物-定額20年</t>
  </si>
  <si>
    <t>鉄有固-運送施設 建物-雑建物-定額19年</t>
  </si>
  <si>
    <t>鉄有固-運送施設 建物-雑建物-定額17年</t>
  </si>
  <si>
    <t>鉄有固-運送施設 建物-雑建物-定額15年</t>
  </si>
  <si>
    <t>鉄有固-運送施設 建物-雑建物-定額14年</t>
  </si>
  <si>
    <t>鉄有固-運送施設 建物-雑建物-定額12年</t>
  </si>
  <si>
    <t>鉄有固-運送施設 建物-雑建物-定額11年</t>
  </si>
  <si>
    <t>鉄有固-運送施設 建物-雑建物-定額10年</t>
  </si>
  <si>
    <t>鉄有固-運送施設 建物-雑建物-定額09年</t>
  </si>
  <si>
    <t>鉄有固-運送施設 建物-雑建物-定額07年</t>
  </si>
  <si>
    <t>鉄有固-運送施設 建物付属設備-電気設備(照明設備を含む)-蓄電池電源設備-雑建物</t>
  </si>
  <si>
    <t>鉄有固-運送施設 建物付属設備-電気設備(照明設備を含む)-その他のもの-雑建物</t>
  </si>
  <si>
    <t>鉄有固-運送施設 建物付属設備-給排水又は衛生設備及びガス設備-雑建物</t>
  </si>
  <si>
    <t>鉄有固-運送施設 建物付属設備-冷暖房・通風・ボイラー設備-22kw以下-雑建物</t>
  </si>
  <si>
    <t>鉄有固-運送施設 建物付属設備-冷暖房・通風・ボイラー設備-その他のもの-雑建物</t>
  </si>
  <si>
    <t>鉄有固-運送施設 建物付属設備-昇降機設備-エレベーター-雑建物</t>
  </si>
  <si>
    <t>鉄有固-運送施設 建物付属設備-昇降機設備-エスカレーター-雑建物</t>
  </si>
  <si>
    <t>鉄有固-運送施設 建物付属設備-消火・排煙・災害報知設備及び格納式避難設備-雑建物</t>
  </si>
  <si>
    <t>鉄有固-運送施設 建物付属設備-エヤーカーテン又はドアー自動開閉設備-雑建物</t>
  </si>
  <si>
    <t>鉄有固-運送施設 建物付属設備-アーケード又は日よけ設備-金属製-雑建物</t>
  </si>
  <si>
    <t>鉄有固-運送施設 建物付属設備-アーケード又は日よけ設備-その他のもの-雑建物</t>
  </si>
  <si>
    <t>鉄有固-運送施設 建物付属設備-店用簡易設備-雑建物</t>
  </si>
  <si>
    <t>鉄有固-運送施設 建物付属設備-可動簡易装備-簡易なもの-雑建物</t>
  </si>
  <si>
    <t>鉄有固-運送施設 建物付属設備-可動簡易装備-その他のもの-雑建物</t>
  </si>
  <si>
    <t>鉄有固-運送施設 建物付属設備-前掲以外・前掲区分外-主として金属製のもの-雑建物</t>
  </si>
  <si>
    <t>鉄有固-運送施設 建物付属設備-前掲以外・前掲区分外-その他のもの-雑建物</t>
  </si>
  <si>
    <t>鉄有固-構築物-軌道-レール及び附属品</t>
  </si>
  <si>
    <t>鉄有固-構築物-軌道-分岐器</t>
  </si>
  <si>
    <t>鉄有固-構築物-軌道-まくら木(木製)</t>
  </si>
  <si>
    <t>鉄有固-構築物-軌道-まくら木(コンクリート製)</t>
  </si>
  <si>
    <t>鉄有固-構築物-軌道-まくら木(金属製)</t>
  </si>
  <si>
    <t>鉄有固-構築物-軌道-道床</t>
  </si>
  <si>
    <t>鉄有固-構築物-軌道-舗装</t>
  </si>
  <si>
    <t>鉄有固-構築物-軌道-諸標及び車止め</t>
  </si>
  <si>
    <t>鉄有固-構築物-土工-線路切取</t>
  </si>
  <si>
    <t>鉄有固-構築物-土工-線路築堤</t>
  </si>
  <si>
    <t>鉄有固-構築物-土工-川道付替</t>
  </si>
  <si>
    <t>鉄有固-構築物-土工-土留め</t>
  </si>
  <si>
    <t>鉄有固-構築物-橋りょう-鉄筋コンクリート造り</t>
  </si>
  <si>
    <t>鉄有固-構築物-橋りょう-鉄骨造り</t>
  </si>
  <si>
    <t>鉄有固-構築物-高架橋-鉄筋コンクリート造り</t>
  </si>
  <si>
    <t>鉄有固-構築物-トンネル-鉄筋コンクリート造り</t>
  </si>
  <si>
    <t>鉄有固-構築物-排水設備</t>
  </si>
  <si>
    <t>鉄有固-構築物-機械保安設備-機械信号機</t>
  </si>
  <si>
    <t>鉄有固-構築物-機械保安設備-諸設備</t>
  </si>
  <si>
    <t>鉄有固-構築物-プラットホーム及び積卸し場</t>
  </si>
  <si>
    <t>鉄有固-構築物-地下道</t>
  </si>
  <si>
    <t>鉄有固-構築物-通信線</t>
  </si>
  <si>
    <t>鉄有固-構築物-電話機</t>
  </si>
  <si>
    <t>鉄有固-構築物-電気時計</t>
  </si>
  <si>
    <t>鉄有固-構築物-拡声装置</t>
  </si>
  <si>
    <t>鉄有固-構築物-通信諸設備</t>
  </si>
  <si>
    <t>鉄有固-構築物-信号線</t>
  </si>
  <si>
    <t>鉄有固-構築物-閉そく装置</t>
  </si>
  <si>
    <t>鉄有固-構築物-電気信号機</t>
  </si>
  <si>
    <t>鉄有固-構築物-連動機</t>
  </si>
  <si>
    <t>鉄有固-構築物-転てつ器</t>
  </si>
  <si>
    <t>鉄有固-構築物-自動列車制御装置</t>
  </si>
  <si>
    <t>鉄有固-構築物-自動列車運転装置</t>
  </si>
  <si>
    <t>鉄有固-構築物-列車集中制御装置</t>
  </si>
  <si>
    <t>鉄有固-構築物-自動列車進路制御装置</t>
  </si>
  <si>
    <t>鉄有固-構築物-電気保安諸設備</t>
  </si>
  <si>
    <t>鉄有固-構築物-送電線</t>
  </si>
  <si>
    <t>鉄有固-構築物-配電線</t>
  </si>
  <si>
    <t>鉄有固-構築物-き電線</t>
  </si>
  <si>
    <t>鉄有固-構築物-電車線</t>
  </si>
  <si>
    <t>鉄有固-構築物-サードレール</t>
  </si>
  <si>
    <t>鉄有固-構築物-帰線ボンド</t>
  </si>
  <si>
    <t>鉄有固-構築物-電灯電力線</t>
  </si>
  <si>
    <t>鉄有固-構築物-電力線諸設備</t>
  </si>
  <si>
    <t>鉄有固-構築物-支持物-鉄柱及びコンクリート柱</t>
  </si>
  <si>
    <t>鉄有固-構築物-支持物-木柱</t>
  </si>
  <si>
    <t>鉄有固-構築物-支持物-その他の支持物(電柱及び腕木を除く)</t>
  </si>
  <si>
    <t>鉄有固-構築物-支持物-その他の支持物(腕木を含む)</t>
  </si>
  <si>
    <t>鉄有固-構築物-車庫工場</t>
  </si>
  <si>
    <t>鉄有固-構築物-変電所</t>
  </si>
  <si>
    <t>鉄有固-構築物-転、遷車台</t>
  </si>
  <si>
    <t>鉄有固-構築物-給油設備</t>
  </si>
  <si>
    <t>鉄有固-構築物-検車洗浄設備</t>
  </si>
  <si>
    <t>鉄有固-構築物-雑構築物</t>
  </si>
  <si>
    <t>鉄有固-車両-電動客車</t>
  </si>
  <si>
    <t>鉄有固-車両-制御客車</t>
  </si>
  <si>
    <t>鉄有固-車両-付随客車</t>
  </si>
  <si>
    <t>鉄有固-車両-特殊車両-線路建設保守用工作車</t>
  </si>
  <si>
    <t>鉄有固-機械装置-変電所機械</t>
  </si>
  <si>
    <t>鉄有固-機械装置-通信機械-交換設備</t>
  </si>
  <si>
    <t>鉄有固-機械装置-通信機械-無線設備</t>
  </si>
  <si>
    <t>鉄有固-機械装置-通信機械-搬送設備</t>
  </si>
  <si>
    <t>鉄有固-機械装置-通信機械-諸設備</t>
  </si>
  <si>
    <t>鉄有固-機械装置-停車場機械-その他の設備(主として金属製のもの)</t>
  </si>
  <si>
    <t>鉄有固-機械装置-停車場機械-その他の設備(その他のもの)</t>
  </si>
  <si>
    <t>鉄有固-機械装置-停車場機械-自動改札装置</t>
  </si>
  <si>
    <t>鉄有固-機械装置-工場機械</t>
  </si>
  <si>
    <t>鉄有固-機械装置-雑機械-その他の設備(主として金属製のもの)</t>
  </si>
  <si>
    <t>鉄有固-機械装置-雑機械-その他の設備(その他のもの)</t>
  </si>
  <si>
    <t>鉄有固-工具器具及び備品-工器備-測定工具・検査工具(電気・電子を利用するものを含む)</t>
  </si>
  <si>
    <t>鉄有固-工具器具及び備品-工器備-治具及び取付工具</t>
  </si>
  <si>
    <t>鉄有固-工具器具及び備品-工器備-ロール-金属圧延用のもの</t>
  </si>
  <si>
    <t>鉄有固-工具器具及び備品-工器備-ロール-なつ染・粉砕・混錬ロールその他のもの</t>
  </si>
  <si>
    <t>鉄有固-工具器具及び備品-工器備-型・鍛圧・打抜工具-ガラス成型用金型及び鋳造用型</t>
  </si>
  <si>
    <t>鉄有固-工具器具及び備品-工器備-型・鍛圧・打抜工具-その他のもの</t>
  </si>
  <si>
    <t>鉄有固-工具器具及び備品-工器備-切削工具</t>
  </si>
  <si>
    <t>鉄有固-工具器具及び備品-工器備-金属製柱及びカッペ</t>
  </si>
  <si>
    <t>鉄有固-工具器具及び備品-工器備-活字・活字に常用される金属-購入活字</t>
  </si>
  <si>
    <t>鉄有固-工具器具及び備品-工器備-活字・活字に常用される金属-自製活字</t>
  </si>
  <si>
    <t>鉄有固-工具器具及び備品-工器備-前掲以外-白金ノズル</t>
  </si>
  <si>
    <t>鉄有固-工具器具及び備品-工器備-前掲以外-その他のもの</t>
  </si>
  <si>
    <t>鉄有固-工具器具及び備品-工器備-前掲区分外-白金ノズル</t>
  </si>
  <si>
    <t>鉄有固-工具器具及び備品-工器備-前掲区分外-その他の主として金属製のもの</t>
  </si>
  <si>
    <t>鉄有固-工具器具及び備品-工器備-前掲区分外-その他のもの</t>
  </si>
  <si>
    <t>鉄有固-工具器具及び備品-工器備-家具・電気・ガス・家庭用品-事務机・いす(金属)</t>
  </si>
  <si>
    <t>鉄有固-工具器具及び備品-工器備-家具・電気・ガス・家庭用品-事務机・いす(その他)</t>
  </si>
  <si>
    <t>鉄有固-工具器具及び備品-工器備-家具・電気・ガス・家庭用品-応接セット(接客業用)</t>
  </si>
  <si>
    <t>鉄有固-工具器具及び備品-工器備-家具・電気・ガス・家庭用品-応接セット(その他)</t>
  </si>
  <si>
    <t>鉄有固-工具器具及び備品-工器備-家具・電気・ガス・家庭用品-ベット</t>
  </si>
  <si>
    <t>鉄有固-工具器具及び備品-工器備-家具・電気・ガス・家庭用品-児童用机及びいす</t>
  </si>
  <si>
    <t>鉄有固-工具器具及び備品-工器備-家具・電気・ガス・家庭用品-陳列棚(冷凍・冷蔵機付)</t>
  </si>
  <si>
    <t>鉄有固-工具器具及び備品-工器備-家具・電気・ガス・家庭用品-陳列棚(その他)</t>
  </si>
  <si>
    <t>鉄有固-工具器具及び備品-工器備-家具・電気・ガス・家庭用品-その他の家具(接客業用)</t>
  </si>
  <si>
    <t>鉄有固-工具器具及び備品-工器備-家具・電気・ガス・家庭用品-その他の家具(金属製)</t>
  </si>
  <si>
    <t>鉄有固-工具器具及び備品-工器備-家具・電気・ガス・家庭用品-その他の家具(その他)</t>
  </si>
  <si>
    <t>鉄有固-工具器具及び備品-工器備-家具・電気・ガス・家庭用品-その他の音響機器</t>
  </si>
  <si>
    <t>鉄有固-工具器具及び備品-工器備-家具・電気・ガス・家庭用品-冷房用又は暖房用機器</t>
  </si>
  <si>
    <t>鉄有固-工具器具及び備品-工器備-家具・電気・ガス・家庭用品-その他電気・ガス機器</t>
  </si>
  <si>
    <t>鉄有固-工具器具及び備品-工器備-家具・電気・ガス・家庭用品-氷冷蔵庫・冷蔵ストッカー</t>
  </si>
  <si>
    <t>鉄有固-工具器具及び備品-工器備-家具・電気・ガス・家庭用品-その他繊維製品</t>
  </si>
  <si>
    <t>鉄有固-工具器具及び備品-工器備-家具・電気・ガス・家庭用品-床用敷物(業務用)</t>
  </si>
  <si>
    <t>鉄有固-工具器具及び備品-工器備-家具・電気・ガス・家庭用品-床用敷物(その他)</t>
  </si>
  <si>
    <t>鉄有固-工具器具及び備品-工器備-家具・電気・ガス・家庭用品-室内装飾品(金属製)</t>
  </si>
  <si>
    <t>鉄有固-工具器具及び備品-工器備-家具・電気・ガス・家庭用品-室内装飾品(その他)</t>
  </si>
  <si>
    <t>鉄有固-工具器具及び備品-工器備-家具・電気・ガス・家庭用品-食事・厨房用品(陶磁器)</t>
  </si>
  <si>
    <t>鉄有固-工具器具及び備品-工器備-家具・電気・ガス・家庭用品-食事・厨房用品(その他)</t>
  </si>
  <si>
    <t>鉄有固-工具器具及び備品-工器備-家具・電気・ガス・家庭用品-その他のもの(金属製)</t>
  </si>
  <si>
    <t>鉄有固-工具器具及び備品-工器備-家具・電気・ガス・家庭用品-その他のもの(その他)</t>
  </si>
  <si>
    <t>鉄有固-工具器具及び備品-工器備-事務・通信機器-謄写機器・タイプライター(印書業用)</t>
  </si>
  <si>
    <t>鉄有固-工具器具及び備品-工器備-事務・通信機器-謄写機器・タイプライター(その他)</t>
  </si>
  <si>
    <t>鉄有固-工具器具及び備品-工器備-事務・通信機器-電子計算機(PC(サーバ用を除く))</t>
  </si>
  <si>
    <t>鉄有固-工具器具及び備品-工器備-事務・通信機器-電子計算機(その他)</t>
  </si>
  <si>
    <t>鉄有固-工具器具及び備品-工器備-事務・通信機器-複写機・計算機・金銭登録機</t>
  </si>
  <si>
    <t>鉄有固-工具器具及び備品-工器備-事務・通信機器-その他の事務機器</t>
  </si>
  <si>
    <t>鉄有固-工具器具及び備品-工器備-事務・通信機器-テレタイプライター及びファクシミリ</t>
  </si>
  <si>
    <t>鉄有固-工具器具及び備品-工器備-事務・通信機器-インターホーン及び放送用設備</t>
  </si>
  <si>
    <t>鉄有固-工具器具及び備品-工器備-事務・通信機器-その他の通信機器(デジタル構内交換)</t>
  </si>
  <si>
    <t>鉄有固-工具器具及び備品-工器備-事務・通信機器-その他の通信機器(その他のもの)</t>
  </si>
  <si>
    <t>鉄有固-工具器具及び備品-工器備-時計、試験機器及び測定機器-時計</t>
  </si>
  <si>
    <t>鉄有固-工具器具及び備品-工器備-時計、試験機器及び測定機器-度量衝器</t>
  </si>
  <si>
    <t>鉄有固-工具器具及び備品-工器備-時計、試験機器及び測定機器-試験又は測定機器</t>
  </si>
  <si>
    <t>鉄有固-工具器具及び備品-工器備-光学・写真製作機器-オペラグラス</t>
  </si>
  <si>
    <t>鉄有固-工具器具及び備品-工器備-光学・写真製作機器-カメラ、映画撮影機、映写機</t>
  </si>
  <si>
    <t>鉄有固-工具器具及び備品-工器備-光学・写真製作機器-その他の機器</t>
  </si>
  <si>
    <t>鉄有固-工具器具及び備品-工器備-看板・広告機器-看板、ネオンサイン及び気球</t>
  </si>
  <si>
    <t>鉄有固-工具器具及び備品-工器備-看板・広告機器-マネキン人形及び模型</t>
  </si>
  <si>
    <t>12505958</t>
  </si>
  <si>
    <t>鉄有固-工具器具及び備品-工器備-看板・広告機器-その他のもの(主として金属製のもの)</t>
  </si>
  <si>
    <t>12505959</t>
  </si>
  <si>
    <t>鉄有固-工具器具及び備品-工器備-看板・広告機器-その他のもの(その他のもの)</t>
  </si>
  <si>
    <t>鉄有固-工具器具及び備品-工器備-容器・金庫-ボンベ(溶接製のもの</t>
  </si>
  <si>
    <t>鉄有固-工具器具及び備品-工器備-容器・金庫-ボンベ(鍛造製)(塩素用のもの)</t>
  </si>
  <si>
    <t>鉄有固-工具器具及び備品-工器備-容器・金庫-ボンベ(鍛造製)(その他のもの)</t>
  </si>
  <si>
    <t>鉄有固-工具器具及び備品-工器備-容器・金庫-その他容器(コンテナ(長さが6m以上))</t>
  </si>
  <si>
    <t>鉄有固-工具器具及び備品-工器備-容器・金庫-その他の容器(金属製のもの)</t>
  </si>
  <si>
    <t>鉄有固-工具器具及び備品-工器備-容器・金庫-その他の容器(その他のもの)</t>
  </si>
  <si>
    <t>鉄有固-工具器具及び備品-工器備-容器・金庫-金庫(手さげ金庫)</t>
  </si>
  <si>
    <t>鉄有固-工具器具及び備品-工器備-容器・金庫-金庫(その他のもの)</t>
  </si>
  <si>
    <t>鉄有固-工具器具及び備品-工器備-医療機器-消毒殺菌用機器</t>
  </si>
  <si>
    <t>鉄有固-工具器具及び備品-工器備-医療機器-手術機器</t>
  </si>
  <si>
    <t>鉄有固-工具器具及び備品-工器備-医療機器-血液透析又は血しょう交換用機器</t>
  </si>
  <si>
    <t>鉄有固-工具器具及び備品-工器備-医療機器-その他の作動部分を有する機能回復訓練機器</t>
  </si>
  <si>
    <t>鉄有固-工具器具及び備品-工器備-医療機器-調剤機器</t>
  </si>
  <si>
    <t>鉄有固-工具器具及び備品-工器備-医療機器-歯科診療用ユニット</t>
  </si>
  <si>
    <t>鉄有固-工具器具及び備品-工器備-医療機器-光学検査機器(ファイバースコープ)</t>
  </si>
  <si>
    <t>鉄有固-工具器具及び備品-工器備-医療機器-光学検査機器(その他のもの)</t>
  </si>
  <si>
    <t>鉄有固-工具器具及び備品-工器備-医療機器-その他の電子装置を使用する機器(移動式)</t>
  </si>
  <si>
    <t>鉄有固-工具器具及び備品-工器備-医療機器-その他の電子装置を使用する機器(その他)</t>
  </si>
  <si>
    <t>鉄有固-工具器具及び備品-工器備-医療機器-その他のもの(陶磁器製又はガラス製のもの)</t>
  </si>
  <si>
    <t>鉄有固-工具器具及び備品-工器備-医療機器-その他のもの(主として金属製のもの)</t>
  </si>
  <si>
    <t>鉄有固-工具器具及び備品-工器備-医療機器-その他のもの(その他のもの)</t>
  </si>
  <si>
    <t>鉄有固-工具器具及び備品-工器備-前掲以外-映画フイルム・磁気テープ・レコード</t>
  </si>
  <si>
    <t>鉄有固-工具器具及び備品-工器備-前掲以外-シート及びロープ</t>
  </si>
  <si>
    <t>鉄有固-工具器具及び備品-工器備-前掲以外-きのこ栽培用ほだ木</t>
  </si>
  <si>
    <t>鉄有固-工具器具及び備品-工器備-前掲以外-漁具</t>
  </si>
  <si>
    <t>鉄有固-工具器具及び備品-工器備-前掲以外-葬儀用具</t>
  </si>
  <si>
    <t>鉄有固-工具器具及び備品-工器備-前掲以外-楽器</t>
  </si>
  <si>
    <t>鉄有固-工具器具及び備品-工器備-前掲以外-自動販売機(手動のものを含む。)</t>
  </si>
  <si>
    <t>鉄有固-工具器具及び備品-工器備-前掲以外-無人駐車管理装置</t>
  </si>
  <si>
    <t>鉄有固-工具器具及び備品-工器備-前掲以外-焼却炉</t>
  </si>
  <si>
    <t>鉄有固-工具器具及び備品-工器備-前掲以外-その他のもの(主として金属製のもの)</t>
  </si>
  <si>
    <t>鉄有固-工具器具及び備品-工器備-前掲以外-その他のもの(その他のもの)</t>
  </si>
  <si>
    <t>鉄有固-工具器具及び備品-運搬具-前掲以外-自動車-小型車(総排気量が0.66l以下)</t>
  </si>
  <si>
    <t>鉄有固-工具器具及び備品-運搬具-前掲以外-自動車-その他-貨物自動車-ダンプ式のもの</t>
  </si>
  <si>
    <t>鉄有固-工具器具及び備品-運搬具-前掲以外-自動車-その他-貨物自動車-その他のもの</t>
  </si>
  <si>
    <t>鉄有固-工具器具及び備品-運搬具-前掲以外-自動車-その他-報道通信用のもの</t>
  </si>
  <si>
    <t>鉄有固-工具器具及び備品-運搬具-前掲以外-自動車-その他-その他</t>
  </si>
  <si>
    <t>鉄有固-工具器具及び備品-運搬具-前掲以外-２輪又は３輪自動車</t>
  </si>
  <si>
    <t>鉄有固-工具器具及び備品-運搬具-前掲以外-自転車</t>
  </si>
  <si>
    <t>鉄有固-工具器具及び備品-運搬具-前掲以外-鉱山用人車、炭車、鉱車及び台車-金属製</t>
  </si>
  <si>
    <t>鉄有固-工具器具及び備品-運搬具-前掲以外-鉱山用人車、炭車、鉱車及び台車-その他</t>
  </si>
  <si>
    <t>鉄有固-工具器具及び備品-運搬具-前掲以外-フォークリフト</t>
  </si>
  <si>
    <t>鉄有固-工具器具及び備品-運搬具-前掲以外-トロッコ-金属製のもの</t>
  </si>
  <si>
    <t>鉄有固-工具器具及び備品-運搬具-前掲以外-トロッコ-その他のもの</t>
  </si>
  <si>
    <t>鉄有固-工具器具及び備品-運搬具-前掲以外-その他のもの-自走能力を有するもの</t>
  </si>
  <si>
    <t>鉄有固-工具器具及び備品-運搬具-前掲以外-その他のもの-その他のもの</t>
  </si>
  <si>
    <t>鉄有固-リース資産-土地</t>
  </si>
  <si>
    <t>鉄有固-リース資産-建物</t>
  </si>
  <si>
    <t>鉄有固-リース資産-構築物</t>
  </si>
  <si>
    <t>鉄有固-リース資産-車両</t>
  </si>
  <si>
    <t>鉄有固-リース資産-機械装置</t>
  </si>
  <si>
    <t>鉄有固-リース資産-工具器具及び備品</t>
  </si>
  <si>
    <t>鉄有固-運送施設 雑施設</t>
  </si>
  <si>
    <t>鉄有固-案内宣伝施設 土地-線路及び停車場用地</t>
  </si>
  <si>
    <t>鉄有固-案内宣伝施設 土地-変電所用地</t>
  </si>
  <si>
    <t>鉄有固-案内宣伝施設 土地-車庫及び工場用地</t>
  </si>
  <si>
    <t>鉄有固-案内宣伝施設 土地-倉庫用地</t>
  </si>
  <si>
    <t>鉄有固-案内宣伝施設 土地-事務所用地</t>
  </si>
  <si>
    <t>鉄有固-案内宣伝施設 土地-社宅及び寮用地</t>
  </si>
  <si>
    <t>鉄有固-案内宣伝施設 土地-雑用地</t>
  </si>
  <si>
    <t>鉄有固-案内宣伝施設 建物-鉄骨鉄筋コンクリート造又は鉄筋コンクリート造-停車場建物</t>
  </si>
  <si>
    <t>鉄有固-案内宣伝施設 建物-れんが造、石造又はブロック造-停車場建物</t>
  </si>
  <si>
    <t>鉄有固-案内宣伝施設 建物-金属造(骨格材の肉厚が4mm超)-停車場建物</t>
  </si>
  <si>
    <t>鉄有固-案内宣伝施設 建物-金属造(骨格材の肉厚が3mm超4mm以下)-停車場建物</t>
  </si>
  <si>
    <t>鉄有固-案内宣伝施設 建物-金属造(骨格材の肉厚が3mm以下)-停車場建物</t>
  </si>
  <si>
    <t>鉄有固-案内宣伝施設 建物-木造又は合成樹脂造-停車場建物</t>
  </si>
  <si>
    <t>鉄有固-案内宣伝施設 建物-木骨モルタル造-停車場建物</t>
  </si>
  <si>
    <t>鉄有固-案内宣伝施設 建物-簡易建物(木製主要柱が10cm角以下で土居、杉皮ぶき等)-停車場建物</t>
  </si>
  <si>
    <t>鉄有固-案内宣伝施設 建物-簡易建物(掘立造のもの及び仮設のもの)-停車場建物</t>
  </si>
  <si>
    <t>鉄有固-案内宣伝施設 建物付属-電気設備(照明設備を含む)-蓄電池電源設備-停車場建物</t>
  </si>
  <si>
    <t>鉄有固-案内宣伝施設 建物付属-電気設備(照明設備を含む)-その他のもの-停車場建物</t>
  </si>
  <si>
    <t>鉄有固-案内宣伝施設 建物付属-給排水又は衛生設備及びガス設備-停車場建物</t>
  </si>
  <si>
    <t>鉄有固-案内宣伝施設 建物付属-冷暖房・通風・ボイラー設備-22kw以下-停車場建物</t>
  </si>
  <si>
    <t>鉄有固-案内宣伝施設 建物付属-冷暖房・通風・ボイラー設備-その他のもの-停車場建物</t>
  </si>
  <si>
    <t>鉄有固-案内宣伝施設 建物付属-昇降機設備-エレベーター-停車場建物</t>
  </si>
  <si>
    <t>鉄有固-案内宣伝施設 建物付属-昇降機設備-エスカレーター-停車場建物</t>
  </si>
  <si>
    <t>鉄有固-案内宣伝施設 建物付属-消火・排煙・災害報知設備及び格納式避難設備-停車場建物</t>
  </si>
  <si>
    <t>鉄有固-案内宣伝施設 建物付属-エヤーカーテン又はドアー自動開閉設備-停車場建物</t>
  </si>
  <si>
    <t>鉄有固-案内宣伝施設 建物付属-アーケード又は日よけ設備-金属製-停車場建物</t>
  </si>
  <si>
    <t>鉄有固-案内宣伝施設 建物付属-アーケード又は日よけ設備-その他のもの-停車場建物</t>
  </si>
  <si>
    <t>鉄有固-案内宣伝施設 建物付属-店用簡易設備-停車場建物</t>
  </si>
  <si>
    <t>鉄有固-案内宣伝施設 建物付属-可動簡易装備-簡易なもの-停車場建物</t>
  </si>
  <si>
    <t>鉄有固-案内宣伝施設 建物付属-可動簡易装備-その他のもの-停車場建物</t>
  </si>
  <si>
    <t>鉄有固-案内宣伝施設 建物付属-前掲以外・前掲区分外-主として金属製のもの-停車場建物</t>
  </si>
  <si>
    <t>鉄有固-案内宣伝施設 建物付属-前掲以外・前掲区分外-その他のもの-停車場建物</t>
  </si>
  <si>
    <t>鉄有固-案内宣伝施設 建物-鉄骨鉄筋コンクリート造又は鉄筋コンクリート造-変電所建物</t>
  </si>
  <si>
    <t>鉄有固-案内宣伝施設 建物-れんが造、石造又はブロック造-変電所建物</t>
  </si>
  <si>
    <t>鉄有固-案内宣伝施設 建物-金属造(骨格材の肉厚が4mm超)-変電所建物</t>
  </si>
  <si>
    <t>鉄有固-案内宣伝施設 建物-金属造(骨格材の肉厚が3mm超4mm以下)-変電所建物</t>
  </si>
  <si>
    <t>鉄有固-案内宣伝施設 建物-金属造(骨格材の肉厚が3mm以下)-変電所建物</t>
  </si>
  <si>
    <t>鉄有固-案内宣伝施設 建物-木造又は合成樹脂造-変電所建物</t>
  </si>
  <si>
    <t>鉄有固-案内宣伝施設 建物-木骨モルタル造-変電所建物</t>
  </si>
  <si>
    <t>鉄有固-案内宣伝施設 建物-簡易建物(木製主要柱が10cm角以下で土居、杉皮ぶき等)-変電所建物</t>
  </si>
  <si>
    <t>鉄有固-案内宣伝施設 建物-簡易建物(掘立造のもの及び仮設のもの)-変電所建物</t>
  </si>
  <si>
    <t>鉄有固-案内宣伝施設 建物付属-電気設備(照明設備を含む)-蓄電池電源設備-変電所建物</t>
  </si>
  <si>
    <t>鉄有固-案内宣伝施設 建物付属-電気設備(照明設備を含む)-その他のもの-変電所建物</t>
  </si>
  <si>
    <t>鉄有固-案内宣伝施設 建物付属-給排水又は衛生設備及びガス設備-変電所建物</t>
  </si>
  <si>
    <t>鉄有固-案内宣伝施設 建物付属-冷暖房・通風・ボイラー設備-22kw以下-変電所建物</t>
  </si>
  <si>
    <t>鉄有固-案内宣伝施設 建物付属-冷暖房・通風・ボイラー設備-その他のもの-変電所建物</t>
  </si>
  <si>
    <t>鉄有固-案内宣伝施設 建物付属-昇降機設備-エレベーター-変電所建物</t>
  </si>
  <si>
    <t>鉄有固-案内宣伝施設 建物付属-昇降機設備-エスカレーター-変電所建物</t>
  </si>
  <si>
    <t>鉄有固-案内宣伝施設 建物付属-消火・排煙・災害報知設備及び格納式避難設備-変電所建物</t>
  </si>
  <si>
    <t>鉄有固-案内宣伝施設 建物付属-エヤーカーテン又はドアー自動開閉設備-変電所建物</t>
  </si>
  <si>
    <t>鉄有固-案内宣伝施設 建物付属-アーケード又は日よけ設備-金属製-変電所建物</t>
  </si>
  <si>
    <t>鉄有固-案内宣伝施設 建物付属-アーケード又は日よけ設備-その他のもの-変電所建物</t>
  </si>
  <si>
    <t>鉄有固-案内宣伝施設 建物付属-店用簡易設備-変電所建物</t>
  </si>
  <si>
    <t>鉄有固-案内宣伝施設 建物付属-可動簡易装備-簡易なもの-変電所建物</t>
  </si>
  <si>
    <t>鉄有固-案内宣伝施設 建物付属-可動簡易装備-その他のもの-変電所建物</t>
  </si>
  <si>
    <t>鉄有固-案内宣伝施設 建物付属-前掲以外・前掲区分外-主として金属製のもの-変電所建物</t>
  </si>
  <si>
    <t>鉄有固-案内宣伝施設 建物付属-前掲以外・前掲区分外-その他のもの-変電所建物</t>
  </si>
  <si>
    <t>鉄有固-案内宣伝施設 建物-鉄骨鉄筋コンクリート造又は鉄筋コンクリート造-車庫・工場</t>
  </si>
  <si>
    <t>鉄有固-案内宣伝施設 建物-れんが造、石造又はブロック造-車庫・工場</t>
  </si>
  <si>
    <t>鉄有固-案内宣伝施設 建物-金属造(骨格材の肉厚が4mm超)-車庫・工場</t>
  </si>
  <si>
    <t>鉄有固-案内宣伝施設 建物-金属造(骨格材の肉厚が3mm超4mm以下)-車庫・工場</t>
  </si>
  <si>
    <t>鉄有固-案内宣伝施設 建物-金属造(骨格材の肉厚が3mm以下)-車庫・工場</t>
  </si>
  <si>
    <t>鉄有固-案内宣伝施設 建物-木造又は合成樹脂造-車庫・工場</t>
  </si>
  <si>
    <t>鉄有固-案内宣伝施設 建物-木骨モルタル造-車庫・工場</t>
  </si>
  <si>
    <t>鉄有固-案内宣伝施設 建物-簡易建物(木製主要柱が10cm角以下で土居、杉皮ぶき等)-車庫・工場</t>
  </si>
  <si>
    <t>鉄有固-案内宣伝施設 建物-簡易建物(掘立造のもの及び仮設のもの)-車庫・工場</t>
  </si>
  <si>
    <t>鉄有固-案内宣伝施設 建物付属-電気設備(照明設備を含む)-蓄電池電源設備-車庫・工場</t>
  </si>
  <si>
    <t>鉄有固-案内宣伝施設 建物付属-電気設備(照明設備を含む)-その他のもの-車庫・工場</t>
  </si>
  <si>
    <t>鉄有固-案内宣伝施設 建物付属-給排水又は衛生設備及びガス設備-車庫・工場</t>
  </si>
  <si>
    <t>鉄有固-案内宣伝施設 建物付属-冷暖房・通風・ボイラー設備-22kw以下-車庫・工場</t>
  </si>
  <si>
    <t>鉄有固-案内宣伝施設 建物付属-冷暖房・通風・ボイラー設備-その他のもの-車庫・工場</t>
  </si>
  <si>
    <t>鉄有固-案内宣伝施設 建物付属-昇降機設備-エレベーター-車庫・工場</t>
  </si>
  <si>
    <t>鉄有固-案内宣伝施設 建物付属-昇降機設備-エスカレーター-車庫・工場</t>
  </si>
  <si>
    <t>鉄有固-案内宣伝施設 建物付属-消火・排煙・災害報知設備及び格納式避難設備-車庫・工場</t>
  </si>
  <si>
    <t>鉄有固-案内宣伝施設 建物付属-エヤーカーテン又はドアー自動開閉設備-車庫・工場</t>
  </si>
  <si>
    <t>鉄有固-案内宣伝施設 建物付属-アーケード又は日よけ設備-金属製-車庫・工場</t>
  </si>
  <si>
    <t>鉄有固-案内宣伝施設 建物付属-アーケード又は日よけ設備-その他のもの-車庫・工場</t>
  </si>
  <si>
    <t>鉄有固-案内宣伝施設 建物付属-店用簡易設備-車庫・工場</t>
  </si>
  <si>
    <t>鉄有固-案内宣伝施設 建物付属-可動簡易装備-簡易なもの-車庫・工場</t>
  </si>
  <si>
    <t>鉄有固-案内宣伝施設 建物付属-可動簡易装備-その他のもの-車庫・工場</t>
  </si>
  <si>
    <t>鉄有固-案内宣伝施設 建物付属-前掲以外・前掲区分外-主として金属製のもの-車庫・工場</t>
  </si>
  <si>
    <t>鉄有固-案内宣伝施設 建物付属-前掲以外・前掲区分外-その他のもの-車庫・工場</t>
  </si>
  <si>
    <t>鉄有固-案内宣伝施設 建物-鉄骨鉄筋コンクリート造又は鉄筋コンクリート造-倉庫建物</t>
  </si>
  <si>
    <t>鉄有固-案内宣伝施設 建物-れんが造、石造又はブロック造-倉庫建物</t>
  </si>
  <si>
    <t>鉄有固-案内宣伝施設 建物-金属造(骨格材の肉厚が4mm超)-倉庫建物</t>
  </si>
  <si>
    <t>鉄有固-案内宣伝施設 建物-金属造(骨格材の肉厚が3mm超4mm以下)-倉庫建物</t>
  </si>
  <si>
    <t>鉄有固-案内宣伝施設 建物-金属造(骨格材の肉厚が3mm以下)-倉庫建物</t>
  </si>
  <si>
    <t>鉄有固-案内宣伝施設 建物-木造又は合成樹脂造-倉庫建物</t>
  </si>
  <si>
    <t>鉄有固-案内宣伝施設 建物-木骨モルタル造-倉庫建物</t>
  </si>
  <si>
    <t>鉄有固-案内宣伝施設 建物-簡易建物(木製主要柱が10cm角以下で土居、杉皮ぶき等)-倉庫建物</t>
  </si>
  <si>
    <t>鉄有固-案内宣伝施設 建物-簡易建物(掘立造のもの及び仮設のもの)-倉庫建物</t>
  </si>
  <si>
    <t>鉄有固-案内宣伝施設 建物付属-電気設備(照明設備を含む)-蓄電池電源設備-倉庫建物</t>
  </si>
  <si>
    <t>鉄有固-案内宣伝施設 建物付属-電気設備(照明設備を含む)-その他のもの-倉庫建物</t>
  </si>
  <si>
    <t>鉄有固-案内宣伝施設 建物付属-給排水又は衛生設備及びガス設備-倉庫建物</t>
  </si>
  <si>
    <t>鉄有固-案内宣伝施設 建物付属-冷暖房・通風・ボイラー設備-22kw以下-倉庫建物</t>
  </si>
  <si>
    <t>鉄有固-案内宣伝施設 建物付属-冷暖房・通風・ボイラー設備-その他のもの-倉庫建物</t>
  </si>
  <si>
    <t>鉄有固-案内宣伝施設 建物付属-昇降機設備-エレベーター-倉庫建物</t>
  </si>
  <si>
    <t>鉄有固-案内宣伝施設 建物付属-昇降機設備-エスカレーター-倉庫建物</t>
  </si>
  <si>
    <t>鉄有固-案内宣伝施設 建物付属-消火・排煙・災害報知設備及び格納式避難設備-倉庫建物</t>
  </si>
  <si>
    <t>鉄有固-案内宣伝施設 建物付属-エヤーカーテン又はドアー自動開閉設備-倉庫建物</t>
  </si>
  <si>
    <t>鉄有固-案内宣伝施設 建物付属-アーケード又は日よけ設備-金属製-倉庫建物</t>
  </si>
  <si>
    <t>鉄有固-案内宣伝施設 建物付属-アーケード又は日よけ設備-その他のもの-倉庫建物</t>
  </si>
  <si>
    <t>鉄有固-案内宣伝施設 建物付属-店用簡易設備-倉庫建物</t>
  </si>
  <si>
    <t>鉄有固-案内宣伝施設 建物付属-可動簡易装備-簡易なもの-倉庫建物</t>
  </si>
  <si>
    <t>鉄有固-案内宣伝施設 建物付属-可動簡易装備-その他のもの-倉庫建物</t>
  </si>
  <si>
    <t>鉄有固-案内宣伝施設 建物付属-前掲以外・前掲区分外-主として金属製のもの-倉庫建物</t>
  </si>
  <si>
    <t>鉄有固-案内宣伝施設 建物付属-前掲以外・前掲区分外-その他のもの-倉庫建物</t>
  </si>
  <si>
    <t>鉄有固-案内宣伝施設 建物-鉄骨鉄筋コンクリート造又は鉄筋コンクリート造-詰所建物</t>
  </si>
  <si>
    <t>鉄有固-案内宣伝施設 建物-れんが造、石造又はブロック造-詰所建物</t>
  </si>
  <si>
    <t>鉄有固-案内宣伝施設 建物-金属造(骨格材の肉厚が4mm超)-詰所建物</t>
  </si>
  <si>
    <t>鉄有固-案内宣伝施設 建物-金属造(骨格材の肉厚が3mm超4mm以下)-詰所建物</t>
  </si>
  <si>
    <t>鉄有固-案内宣伝施設 建物-金属造(骨格材の肉厚が3mm以下)-詰所建物</t>
  </si>
  <si>
    <t>鉄有固-案内宣伝施設 建物-木造又は合成樹脂造-詰所建物</t>
  </si>
  <si>
    <t>鉄有固-案内宣伝施設 建物-木骨モルタル造-詰所建物</t>
  </si>
  <si>
    <t>鉄有固-案内宣伝施設 建物-簡易建物(木製主要柱が10cm角以下で土居、杉皮ぶき等)-詰所建物</t>
  </si>
  <si>
    <t>鉄有固-案内宣伝施設 建物-簡易建物(掘立造のもの及び仮設のもの)-詰所建物</t>
  </si>
  <si>
    <t>鉄有固-案内宣伝施設 建物付属-電気設備(照明設備を含む)-蓄電池電源設備-詰所建物</t>
  </si>
  <si>
    <t>鉄有固-案内宣伝施設 建物付属-電気設備(照明設備を含む)-その他のもの-詰所建物</t>
  </si>
  <si>
    <t>鉄有固-案内宣伝施設 建物付属-給排水又は衛生設備及びガス設備-詰所建物</t>
  </si>
  <si>
    <t>鉄有固-案内宣伝施設 建物付属-冷暖房・通風・ボイラー設備-22kw以下-詰所建物</t>
  </si>
  <si>
    <t>鉄有固-案内宣伝施設 建物付属-冷暖房・通風・ボイラー設備-その他のもの-詰所建物</t>
  </si>
  <si>
    <t>鉄有固-案内宣伝施設 建物付属-昇降機設備-エレベーター-詰所建物</t>
  </si>
  <si>
    <t>鉄有固-案内宣伝施設 建物付属-昇降機設備-エスカレーター-詰所建物</t>
  </si>
  <si>
    <t>鉄有固-案内宣伝施設 建物付属-消火・排煙・災害報知設備及び格納式避難設備-詰所建物</t>
  </si>
  <si>
    <t>鉄有固-案内宣伝施設 建物付属-エヤーカーテン又はドアー自動開閉設備-詰所建物</t>
  </si>
  <si>
    <t>鉄有固-案内宣伝施設 建物付属-アーケード又は日よけ設備-金属製-詰所建物</t>
  </si>
  <si>
    <t>鉄有固-案内宣伝施設 建物付属-アーケード又は日よけ設備-その他のもの-詰所建物</t>
  </si>
  <si>
    <t>鉄有固-案内宣伝施設 建物付属-店用簡易設備-詰所建物</t>
  </si>
  <si>
    <t>鉄有固-案内宣伝施設 建物付属-可動簡易装備-簡易なもの-詰所建物</t>
  </si>
  <si>
    <t>鉄有固-案内宣伝施設 建物付属-可動簡易装備-その他のもの-詰所建物</t>
  </si>
  <si>
    <t>鉄有固-案内宣伝施設 建物付属-前掲以外・前掲区分外-主として金属製のもの-詰所建物</t>
  </si>
  <si>
    <t>鉄有固-案内宣伝施設 建物付属-前掲以外・前掲区分外-その他のもの-詰所建物</t>
  </si>
  <si>
    <t>鉄有固-案内宣伝施設 建物-鉄骨鉄筋コンクリート造又は鉄筋コンクリート造-事務所建物</t>
  </si>
  <si>
    <t>鉄有固-案内宣伝施設 建物-れんが造、石造又はブロック造-事務所建物</t>
  </si>
  <si>
    <t>鉄有固-案内宣伝施設 建物-金属造(骨格材の肉厚が4mm超)-事務所建物</t>
  </si>
  <si>
    <t>鉄有固-案内宣伝施設 建物-金属造(骨格材の肉厚が3mm超4mm以下)-事務所建物</t>
  </si>
  <si>
    <t>鉄有固-案内宣伝施設 建物-金属造(骨格材の肉厚が3mm以下)-事務所建物</t>
  </si>
  <si>
    <t>鉄有固-案内宣伝施設 建物-木造又は合成樹脂造-事務所建物</t>
  </si>
  <si>
    <t>鉄有固-案内宣伝施設 建物-木骨モルタル造-事務所建物</t>
  </si>
  <si>
    <t>鉄有固-案内宣伝施設 建物-簡易建物(木製主要柱が10cm角以下で土居、杉皮ぶき等)-事務所建物</t>
  </si>
  <si>
    <t>鉄有固-案内宣伝施設 建物-簡易建物(掘立造のもの及び仮設のもの)-事務所建物</t>
  </si>
  <si>
    <t>鉄有固-案内宣伝施設 建物付属-電気設備(照明設備を含む)-蓄電池電源設備-事務所建物</t>
  </si>
  <si>
    <t>鉄有固-案内宣伝施設 建物付属-電気設備(照明設備を含む)-その他のもの-事務所建物</t>
  </si>
  <si>
    <t>鉄有固-案内宣伝施設 建物付属-給排水又は衛生設備及びガス設備-事務所建物</t>
  </si>
  <si>
    <t>鉄有固-案内宣伝施設 建物付属-冷暖房・通風・ボイラー設備-22kw以下-事務所建物</t>
  </si>
  <si>
    <t>鉄有固-案内宣伝施設 建物付属-冷暖房・通風・ボイラー設備-その他のもの-事務所建物</t>
  </si>
  <si>
    <t>鉄有固-案内宣伝施設 建物付属-昇降機設備-エレベーター-事務所建物</t>
  </si>
  <si>
    <t>鉄有固-案内宣伝施設 建物付属-昇降機設備-エスカレーター-事務所建物</t>
  </si>
  <si>
    <t>鉄有固-案内宣伝施設 建物付属-消火・排煙・災害報知設備及び格納式避難設備-事務所建物</t>
  </si>
  <si>
    <t>鉄有固-案内宣伝施設 建物付属-エヤーカーテン又はドアー自動開閉設備-事務所建物</t>
  </si>
  <si>
    <t>鉄有固-案内宣伝施設 建物付属-アーケード又は日よけ設備-金属製-事務所建物</t>
  </si>
  <si>
    <t>鉄有固-案内宣伝施設 建物付属-アーケード又は日よけ設備-その他のもの-事務所建物</t>
  </si>
  <si>
    <t>鉄有固-案内宣伝施設 建物付属-店用簡易設備-事務所建物</t>
  </si>
  <si>
    <t>鉄有固-案内宣伝施設 建物付属-可動簡易装備-簡易なもの-事務所建物</t>
  </si>
  <si>
    <t>鉄有固-案内宣伝施設 建物付属-可動簡易装備-その他のもの-事務所建物</t>
  </si>
  <si>
    <t>鉄有固-案内宣伝施設 建物付属-前掲以外・前掲区分外-主として金属製のもの-事務所建物</t>
  </si>
  <si>
    <t>鉄有固-案内宣伝施設 建物付属-前掲以外・前掲区分外-その他のもの-事務所建物</t>
  </si>
  <si>
    <t>鉄有固-案内宣伝施設 建物-鉄骨鉄筋コンクリート造又は鉄筋コンクリート造-社宅・寮建物</t>
  </si>
  <si>
    <t>鉄有固-案内宣伝施設 建物-れんが造、石造又はブロック造-社宅・寮建物</t>
  </si>
  <si>
    <t>鉄有固-案内宣伝施設 建物-金属造(骨格材の肉厚が4mm超)-社宅・寮建物</t>
  </si>
  <si>
    <t>鉄有固-案内宣伝施設 建物-金属造(骨格材の肉厚が3mm超4mm以下)-社宅・寮建物</t>
  </si>
  <si>
    <t>鉄有固-案内宣伝施設 建物-金属造(骨格材の肉厚が3mm以下)-社宅・寮建物</t>
  </si>
  <si>
    <t>鉄有固-案内宣伝施設 建物-木造又は合成樹脂造-社宅・寮建物</t>
  </si>
  <si>
    <t>鉄有固-案内宣伝施設 建物-木骨モルタル造-社宅・寮建物</t>
  </si>
  <si>
    <t>鉄有固-案内宣伝施設 建物-簡易建物(掘立造のもの及び仮設のもの)-社宅・寮建物</t>
  </si>
  <si>
    <t>鉄有固-案内宣伝施設 建物付属-電気設備(照明設備を含む)-蓄電池電源設備-社宅・寮建物</t>
  </si>
  <si>
    <t>鉄有固-案内宣伝施設 建物付属-電気設備(照明設備を含む)-その他のもの-社宅・寮建物</t>
  </si>
  <si>
    <t>鉄有固-案内宣伝施設 建物付属-給排水又は衛生設備及びガス設備-社宅・寮建物</t>
  </si>
  <si>
    <t>鉄有固-案内宣伝施設 建物付属-冷暖房・通風・ボイラー設備-22kw以下-社宅・寮建物</t>
  </si>
  <si>
    <t>鉄有固-案内宣伝施設 建物付属-冷暖房・通風・ボイラー設備-その他のもの-社宅・寮建物</t>
  </si>
  <si>
    <t>鉄有固-案内宣伝施設 建物付属-昇降機設備-エレベーター-社宅・寮建物</t>
  </si>
  <si>
    <t>鉄有固-案内宣伝施設 建物付属-昇降機設備-エスカレーター-社宅・寮建物</t>
  </si>
  <si>
    <t>鉄有固-案内宣伝施設 建物付属-消火・排煙・災害報知設備及び格納式避難設備-社宅・寮建物</t>
  </si>
  <si>
    <t>鉄有固-案内宣伝施設 建物付属-エヤーカーテン又はドアー自動開閉設備-社宅・寮建物</t>
  </si>
  <si>
    <t>鉄有固-案内宣伝施設 建物付属-アーケード又は日よけ設備-金属製-社宅・寮建物</t>
  </si>
  <si>
    <t>鉄有固-案内宣伝施設 建物付属-アーケード又は日よけ設備-その他のもの-社宅・寮建物</t>
  </si>
  <si>
    <t>鉄有固-案内宣伝施設 建物付属-店用簡易設備-社宅・寮建物</t>
  </si>
  <si>
    <t>鉄有固-案内宣伝施設 建物付属-可動簡易装備-簡易なもの-社宅・寮建物</t>
  </si>
  <si>
    <t>鉄有固-案内宣伝施設 建物付属-可動簡易装備-その他のもの-社宅・寮建物</t>
  </si>
  <si>
    <t>鉄有固-案内宣伝施設 建物付属-前掲以外・前掲区分外-主として金属製のもの-社宅・寮建物</t>
  </si>
  <si>
    <t>鉄有固-案内宣伝施設 建物付属-前掲以外・前掲区分外-その他のもの-社宅・寮建物</t>
  </si>
  <si>
    <t>鉄有固-案内宣伝施設 建物-雑建物-定額50年</t>
  </si>
  <si>
    <t>鉄有固-案内宣伝施設 建物-雑建物-定額47年</t>
  </si>
  <si>
    <t>鉄有固-案内宣伝施設 建物-雑建物-定額41年</t>
  </si>
  <si>
    <t>鉄有固-案内宣伝施設 建物-雑建物-定額39年</t>
  </si>
  <si>
    <t>鉄有固-案内宣伝施設 建物-雑建物-定額38年</t>
  </si>
  <si>
    <t>鉄有固-案内宣伝施設 建物-雑建物-定額36年</t>
  </si>
  <si>
    <t>鉄有固-案内宣伝施設 建物-雑建物-定額34年</t>
  </si>
  <si>
    <t>鉄有固-案内宣伝施設 建物-雑建物-定額31年</t>
  </si>
  <si>
    <t>鉄有固-案内宣伝施設 建物-雑建物-定額30年</t>
  </si>
  <si>
    <t>鉄有固-案内宣伝施設 建物-雑建物-定額29年</t>
  </si>
  <si>
    <t>鉄有固-案内宣伝施設 建物-雑建物-定額28年</t>
  </si>
  <si>
    <t>鉄有固-案内宣伝施設 建物-雑建物-定額27年</t>
  </si>
  <si>
    <t>鉄有固-案内宣伝施設 建物-雑建物-定額26年</t>
  </si>
  <si>
    <t>鉄有固-案内宣伝施設 建物-雑建物-定額25年</t>
  </si>
  <si>
    <t>鉄有固-案内宣伝施設 建物-雑建物-定額24年</t>
  </si>
  <si>
    <t>鉄有固-案内宣伝施設 建物-雑建物-定額22年</t>
  </si>
  <si>
    <t>鉄有固-案内宣伝施設 建物-雑建物-定額21年</t>
  </si>
  <si>
    <t>鉄有固-案内宣伝施設 建物-雑建物-定額20年</t>
  </si>
  <si>
    <t>鉄有固-案内宣伝施設 建物-雑建物-定額19年</t>
  </si>
  <si>
    <t>鉄有固-案内宣伝施設 建物-雑建物-定額17年</t>
  </si>
  <si>
    <t>鉄有固-案内宣伝施設 建物-雑建物-定額15年</t>
  </si>
  <si>
    <t>鉄有固-案内宣伝施設 建物-雑建物-定額14年</t>
  </si>
  <si>
    <t>鉄有固-案内宣伝施設 建物-雑建物-定額12年</t>
  </si>
  <si>
    <t>鉄有固-案内宣伝施設 建物-雑建物-定額11年</t>
  </si>
  <si>
    <t>鉄有固-案内宣伝施設 建物-雑建物-定額10年</t>
  </si>
  <si>
    <t>鉄有固-案内宣伝施設 建物-雑建物-定額09年</t>
  </si>
  <si>
    <t>鉄有固-案内宣伝施設 建物-雑建物-定額07年</t>
  </si>
  <si>
    <t>鉄有固-案内宣伝施設 建物付属-電気設備(照明設備を含む)-蓄電池電源設備-雑建物</t>
  </si>
  <si>
    <t>鉄有固-案内宣伝施設 建物付属-電気設備(照明設備を含む)-その他のもの-雑建物</t>
  </si>
  <si>
    <t>鉄有固-案内宣伝施設 建物付属-給排水又は衛生設備及びガス設備-雑建物</t>
  </si>
  <si>
    <t>鉄有固-案内宣伝施設 建物付属-冷暖房・通風・ボイラー設備-22kw以下-雑建物</t>
  </si>
  <si>
    <t>鉄有固-案内宣伝施設 建物付属-冷暖房・通風・ボイラー設備-その他のもの-雑建物</t>
  </si>
  <si>
    <t>鉄有固-案内宣伝施設 建物付属-昇降機設備-エレベーター-雑建物</t>
  </si>
  <si>
    <t>鉄有固-案内宣伝施設 建物付属-昇降機設備-エスカレーター-雑建物</t>
  </si>
  <si>
    <t>鉄有固-案内宣伝施設 建物付属-消火・排煙・災害報知設備及び格納式避難設備-雑建物</t>
  </si>
  <si>
    <t>鉄有固-案内宣伝施設 建物付属-エヤーカーテン又はドアー自動開閉設備-雑建物</t>
  </si>
  <si>
    <t>鉄有固-案内宣伝施設 建物付属-アーケード又は日よけ設備-金属製-雑建物</t>
  </si>
  <si>
    <t>鉄有固-案内宣伝施設 建物付属-アーケード又は日よけ設備-その他のもの-雑建物</t>
  </si>
  <si>
    <t>鉄有固-案内宣伝施設 建物付属-店用簡易設備-雑建物</t>
  </si>
  <si>
    <t>鉄有固-案内宣伝施設 建物付属-可動簡易装備-簡易なもの-雑建物</t>
  </si>
  <si>
    <t>鉄有固-案内宣伝施設 建物付属-可動簡易装備-その他のもの-雑建物</t>
  </si>
  <si>
    <t>鉄有固-案内宣伝施設 建物付属-前掲以外・前掲区分外-主として金属製のもの-雑建物</t>
  </si>
  <si>
    <t>鉄有固-案内宣伝施設 建物付属-前掲以外・前掲区分外-その他のもの-雑建物</t>
  </si>
  <si>
    <t>鉄有固-案内宣伝施設 雑施設</t>
  </si>
  <si>
    <t>広告有固-土地-事務所</t>
  </si>
  <si>
    <t>広告有固-土地-店舗</t>
  </si>
  <si>
    <t>広告有固-土地-その他</t>
  </si>
  <si>
    <t>広告有固-建物-事務所-定額50年</t>
  </si>
  <si>
    <t>広告有固-建物-事務所-定額41年</t>
  </si>
  <si>
    <t>広告有固-建物-事務所-定額38年</t>
  </si>
  <si>
    <t>広告有固-建物-事務所-定額30年</t>
  </si>
  <si>
    <t>広告有固-建物-事務所-定額22年</t>
  </si>
  <si>
    <t>広告有固-建物-事務所-定額24年</t>
  </si>
  <si>
    <t>広告有固-建物-事務所-定額10年</t>
  </si>
  <si>
    <t>広告有固-建物-事務所-定額07年</t>
  </si>
  <si>
    <t>広告有固-建物付属設備-事務所-定率18年</t>
  </si>
  <si>
    <t>広告有固-建物付属設備-事務所-定率17年</t>
  </si>
  <si>
    <t>広告有固-建物付属設備-事務所-定率15年</t>
  </si>
  <si>
    <t>広告有固-建物付属設備-事務所-定率13年</t>
  </si>
  <si>
    <t>広告有固-建物付属設備-事務所-定率12年</t>
  </si>
  <si>
    <t>広告有固-建物付属設備-事務所-定率10年</t>
  </si>
  <si>
    <t>広告有固-建物付属設備-事務所-定率08年</t>
  </si>
  <si>
    <t>広告有固-建物付属設備-事務所-定率03年</t>
  </si>
  <si>
    <t>広告有固-建物-店舗-定額39年</t>
  </si>
  <si>
    <t>広告有固-建物-店舗-定額38年</t>
  </si>
  <si>
    <t>広告有固-建物-店舗-定額34年</t>
  </si>
  <si>
    <t>広告有固-建物-店舗-定額27年</t>
  </si>
  <si>
    <t>広告有固-建物-店舗-定額19年</t>
  </si>
  <si>
    <t>広告有固-建物-店舗-定額22年</t>
  </si>
  <si>
    <t>広告有固-建物-店舗-定額20年</t>
  </si>
  <si>
    <t>広告有固-建物-店舗-定額10年</t>
  </si>
  <si>
    <t>広告有固-建物-店舗-定額07年</t>
  </si>
  <si>
    <t>広告有固-建物付属設備-店舗-定率18年</t>
  </si>
  <si>
    <t>広告有固-建物付属設備-店舗-定率17年</t>
  </si>
  <si>
    <t>広告有固-建物付属設備-店舗-定率15年</t>
  </si>
  <si>
    <t>広告有固-建物付属設備-店舗-定率13年</t>
  </si>
  <si>
    <t>広告有固-建物付属設備-店舗-定率12年</t>
  </si>
  <si>
    <t>広告有固-建物付属設備-店舗-定率10年</t>
  </si>
  <si>
    <t>広告有固-建物付属設備-店舗-定率08年</t>
  </si>
  <si>
    <t>広告有固-建物付属設備-店舗-定率03年</t>
  </si>
  <si>
    <t>広告有固-建物-その他-定額50年</t>
  </si>
  <si>
    <t>広告有固-建物-その他-定額47年</t>
  </si>
  <si>
    <t>広告有固-建物-その他-定額41年</t>
  </si>
  <si>
    <t>広告有固-建物-その他-定額39年</t>
  </si>
  <si>
    <t>広告有固-建物-その他-定額38年</t>
  </si>
  <si>
    <t>広告有固-建物-その他-定額36年</t>
  </si>
  <si>
    <t>広告有固-建物-その他-定額34年</t>
  </si>
  <si>
    <t>広告有固-建物-その他-定額31年</t>
  </si>
  <si>
    <t>広告有固-建物-その他-定額30年</t>
  </si>
  <si>
    <t>広告有固-建物-その他-定額29年</t>
  </si>
  <si>
    <t>広告有固-建物-その他-定額28年</t>
  </si>
  <si>
    <t>広告有固-建物-その他-定額27年</t>
  </si>
  <si>
    <t>広告有固-建物-その他-定額26年</t>
  </si>
  <si>
    <t>広告有固-建物-その他-定額25年</t>
  </si>
  <si>
    <t>広告有固-建物-その他-定額24年</t>
  </si>
  <si>
    <t>広告有固-建物-その他-定額22年</t>
  </si>
  <si>
    <t>広告有固-建物-その他-定額21年</t>
  </si>
  <si>
    <t>広告有固-建物-その他-定額20年</t>
  </si>
  <si>
    <t>広告有固-建物-その他-定額19年</t>
  </si>
  <si>
    <t>広告有固-建物-その他-定額17年</t>
  </si>
  <si>
    <t>広告有固-建物-その他-定額15年</t>
  </si>
  <si>
    <t>広告有固-建物-その他-定額14年</t>
  </si>
  <si>
    <t>広告有固-建物-その他-定額12年</t>
  </si>
  <si>
    <t>広告有固-建物-その他-定額11年</t>
  </si>
  <si>
    <t>広告有固-建物-その他-定額10年</t>
  </si>
  <si>
    <t>広告有固-建物-その他-定額09年</t>
  </si>
  <si>
    <t>広告有固-建物-その他-定額07年</t>
  </si>
  <si>
    <t>広告有固-建物付属設備-その他-定率18年</t>
  </si>
  <si>
    <t>広告有固-建物付属設備-その他-定率17年</t>
  </si>
  <si>
    <t>広告有固-建物付属設備-その他-定率15年</t>
  </si>
  <si>
    <t>広告有固-建物付属設備-その他-定率13年</t>
  </si>
  <si>
    <t>広告有固-建物付属設備-その他-定率12年</t>
  </si>
  <si>
    <t>広告有固-建物付属設備-その他-定率10年</t>
  </si>
  <si>
    <t>広告有固-建物付属設備-その他-定率08年</t>
  </si>
  <si>
    <t>広告有固-建物付属設備-その他-定率03年</t>
  </si>
  <si>
    <t>広告有固-構築物-定率80年</t>
  </si>
  <si>
    <t>広告有固-構築物-定率75年</t>
  </si>
  <si>
    <t>広告有固-構築物-定率60年</t>
  </si>
  <si>
    <t>広告有固-構築物-定率57年</t>
  </si>
  <si>
    <t>広告有固-構築物-定率50年</t>
  </si>
  <si>
    <t>広告有固-構築物-定率45年</t>
  </si>
  <si>
    <t>広告有固-構築物-定率42年</t>
  </si>
  <si>
    <t>広告有固-構築物-定率41年</t>
  </si>
  <si>
    <t>広告有固-構築物-定率40年</t>
  </si>
  <si>
    <t>広告有固-構築物-定率36年</t>
  </si>
  <si>
    <t>広告有固-構築物-定率35年</t>
  </si>
  <si>
    <t>広告有固-構築物-定率34年</t>
  </si>
  <si>
    <t>広告有固-構築物-定率32年</t>
  </si>
  <si>
    <t>広告有固-構築物-定率30年</t>
  </si>
  <si>
    <t>広告有固-構築物-定率27年</t>
  </si>
  <si>
    <t>広告有固-構築物-定率25年</t>
  </si>
  <si>
    <t>広告有固-構築物-定率24年</t>
  </si>
  <si>
    <t>広告有固-構築物-定率22年</t>
  </si>
  <si>
    <t>広告有固-構築物-定率21年</t>
  </si>
  <si>
    <t>広告有固-構築物-定率20年</t>
  </si>
  <si>
    <t>広告有固-構築物-定率19年</t>
  </si>
  <si>
    <t>広告有固-構築物-定率17年</t>
  </si>
  <si>
    <t>広告有固-構築物-定率16年</t>
  </si>
  <si>
    <t>広告有固-構築物-定率15年</t>
  </si>
  <si>
    <t>広告有固-構築物-定率14年</t>
  </si>
  <si>
    <t>広告有固-構築物-定率13年</t>
  </si>
  <si>
    <t>広告有固-構築物-定率12年</t>
  </si>
  <si>
    <t>広告有固-構築物-定率10年</t>
  </si>
  <si>
    <t>広告有固-構築物-定率08年</t>
  </si>
  <si>
    <t>広告有固-構築物-定率07年</t>
  </si>
  <si>
    <t>広告有固-構築物-定率05年</t>
  </si>
  <si>
    <t>広告有固-構築物-定率03年</t>
  </si>
  <si>
    <t>広告有固-機械装置-定率22年</t>
  </si>
  <si>
    <t>広告有固-機械装置-定率20年</t>
  </si>
  <si>
    <t>広告有固-機械装置-定率18年</t>
  </si>
  <si>
    <t>広告有固-機械装置-定率17年</t>
  </si>
  <si>
    <t>広告有固-機械装置-定率15年</t>
  </si>
  <si>
    <t>広告有固-機械装置-定率14年</t>
  </si>
  <si>
    <t>広告有固-機械装置-定率13年</t>
  </si>
  <si>
    <t>広告有固-機械装置-定率12年</t>
  </si>
  <si>
    <t>広告有固-機械装置-定率11年</t>
  </si>
  <si>
    <t>広告有固-機械装置-定率10年</t>
  </si>
  <si>
    <t>広告有固-機械装置-定率09年</t>
  </si>
  <si>
    <t>広告有固-機械装置-定率08年</t>
  </si>
  <si>
    <t>広告有固-機械装置-定率07年</t>
  </si>
  <si>
    <t>広告有固-機械装置-定率06年</t>
  </si>
  <si>
    <t>広告有固-機械装置-定率05年</t>
  </si>
  <si>
    <t>広告有固-機械装置-定率04年</t>
  </si>
  <si>
    <t>広告有固-機械装置-定率03年</t>
  </si>
  <si>
    <t>広告有固-工具器具及び備品-工器備-定率13年</t>
  </si>
  <si>
    <t>広告有固-工具器具及び備品-工器備-定率08年</t>
  </si>
  <si>
    <t>広告有固-工具器具及び備品-工器備-定率05年</t>
  </si>
  <si>
    <t>広告有固-工具器具及び備品-工器備-定率04年</t>
  </si>
  <si>
    <t>広告有固-工具器具及び備品-工器備-定率03年</t>
  </si>
  <si>
    <t>広告有固-工具器具及び備品-工器備-定率02年</t>
  </si>
  <si>
    <t>広告有固-工具器具及び備品-工器備-定率20年</t>
  </si>
  <si>
    <t>広告有固-工具器具及び備品-工器備-定率15年</t>
  </si>
  <si>
    <t>広告有固-工具器具及び備品-工器備-定率10年</t>
  </si>
  <si>
    <t>広告有固-工具器具及び備品-工器備-定率07年</t>
  </si>
  <si>
    <t>広告有固-工具器具及び備品-工器備-定率06年</t>
  </si>
  <si>
    <t>広告有固-工具器具及び備品-運搬具-定率07年</t>
  </si>
  <si>
    <t>広告有固-工具器具及び備品-運搬具-定率06年</t>
  </si>
  <si>
    <t>広告有固-工具器具及び備品-運搬具-定率05年</t>
  </si>
  <si>
    <t>広告有固-工具器具及び備品-運搬具-定率04年</t>
  </si>
  <si>
    <t>広告有固-工具器具及び備品-運搬具-定率03年</t>
  </si>
  <si>
    <t>広告有固-工具器具及び備品-運搬具-定率02年</t>
  </si>
  <si>
    <t>広告有固-リース資産-土地</t>
  </si>
  <si>
    <t>広告有固-リース資産-建物</t>
  </si>
  <si>
    <t>広告有固-リース資産-構築物</t>
  </si>
  <si>
    <t>広告有固-リース資産-車両</t>
  </si>
  <si>
    <t>広告有固-リース資産-機械装置</t>
  </si>
  <si>
    <t>広告有固-リース資産-工具器具及び備品</t>
  </si>
  <si>
    <t>広告有固-雑施設</t>
  </si>
  <si>
    <t>不動産有固-土地-事務所</t>
  </si>
  <si>
    <t>不動産有固-土地-店舗</t>
  </si>
  <si>
    <t>不動産有固-土地-その他</t>
  </si>
  <si>
    <t>不動産有固-建物-事務所-定額50年</t>
  </si>
  <si>
    <t>不動産有固-建物-事務所-定額41年</t>
  </si>
  <si>
    <t>不動産有固-建物-事務所-定額38年</t>
  </si>
  <si>
    <t>不動産有固-建物-事務所-定額30年</t>
  </si>
  <si>
    <t>不動産有固-建物-事務所-定額22年</t>
  </si>
  <si>
    <t>不動産有固-建物-事務所-定額24年</t>
  </si>
  <si>
    <t>不動産有固-建物-事務所-定額10年</t>
  </si>
  <si>
    <t>不動産有固-建物-事務所-定額07年</t>
  </si>
  <si>
    <t>不動産有固-建物付属設備-事務所-定率18年</t>
  </si>
  <si>
    <t>不動産有固-建物付属設備-事務所-定率17年</t>
  </si>
  <si>
    <t>不動産有固-建物付属設備-事務所-定率15年</t>
  </si>
  <si>
    <t>不動産有固-建物付属設備-事務所-定率13年</t>
  </si>
  <si>
    <t>不動産有固-建物付属設備-事務所-定率12年</t>
  </si>
  <si>
    <t>不動産有固-建物付属設備-事務所-定率10年</t>
  </si>
  <si>
    <t>不動産有固-建物付属設備-事務所-定率08年</t>
  </si>
  <si>
    <t>不動産有固-建物付属設備-事務所-定率03年</t>
  </si>
  <si>
    <t>不動産有固-建物-店舗-定額39年</t>
  </si>
  <si>
    <t>不動産有固-建物-店舗-定額38年</t>
  </si>
  <si>
    <t>不動産有固-建物-店舗-定額34年</t>
  </si>
  <si>
    <t>不動産有固-建物-店舗-定額27年</t>
  </si>
  <si>
    <t>不動産有固-建物-店舗-定額19年</t>
  </si>
  <si>
    <t>不動産有固-建物-店舗-定額22年</t>
  </si>
  <si>
    <t>不動産有固-建物-店舗-定額20年</t>
  </si>
  <si>
    <t>不動産有固-建物-店舗-定額10年</t>
  </si>
  <si>
    <t>不動産有固-建物-店舗-定額07年</t>
  </si>
  <si>
    <t>不動産有固-建物付属設備-店舗-定率18年</t>
  </si>
  <si>
    <t>不動産有固-建物付属設備-店舗-定率17年</t>
  </si>
  <si>
    <t>不動産有固-建物付属設備-店舗-定率15年</t>
  </si>
  <si>
    <t>不動産有固-建物付属設備-店舗-定率13年</t>
  </si>
  <si>
    <t>不動産有固-建物付属設備-店舗-定率12年</t>
  </si>
  <si>
    <t>不動産有固-建物付属設備-店舗-定率10年</t>
  </si>
  <si>
    <t>不動産有固-建物付属設備-店舗-定率08年</t>
  </si>
  <si>
    <t>不動産有固-建物付属設備-店舗-定率03年</t>
  </si>
  <si>
    <t>不動産有固-建物-その他-定額50年</t>
  </si>
  <si>
    <t>不動産有固-建物-その他-定額47年</t>
  </si>
  <si>
    <t>不動産有固-建物-その他-定額41年</t>
  </si>
  <si>
    <t>不動産有固-建物-その他-定額39年</t>
  </si>
  <si>
    <t>不動産有固-建物-その他-定額38年</t>
  </si>
  <si>
    <t>不動産有固-建物-その他-定額36年</t>
  </si>
  <si>
    <t>不動産有固-建物-その他-定額34年</t>
  </si>
  <si>
    <t>不動産有固-建物-その他-定額31年</t>
  </si>
  <si>
    <t>不動産有固-建物-その他-定額30年</t>
  </si>
  <si>
    <t>不動産有固-建物-その他-定額29年</t>
  </si>
  <si>
    <t>不動産有固-建物-その他-定額28年</t>
  </si>
  <si>
    <t>不動産有固-建物-その他-定額27年</t>
  </si>
  <si>
    <t>不動産有固-建物-その他-定額26年</t>
  </si>
  <si>
    <t>不動産有固-建物-その他-定額25年</t>
  </si>
  <si>
    <t>不動産有固-建物-その他-定額24年</t>
  </si>
  <si>
    <t>不動産有固-建物-その他-定額22年</t>
  </si>
  <si>
    <t>不動産有固-建物-その他-定額21年</t>
  </si>
  <si>
    <t>不動産有固-建物-その他-定額20年</t>
  </si>
  <si>
    <t>不動産有固-建物-その他-定額19年</t>
  </si>
  <si>
    <t>不動産有固-建物-その他-定額17年</t>
  </si>
  <si>
    <t>不動産有固-建物-その他-定額15年</t>
  </si>
  <si>
    <t>不動産有固-建物-その他-定額14年</t>
  </si>
  <si>
    <t>不動産有固-建物-その他-定額12年</t>
  </si>
  <si>
    <t>不動産有固-建物-その他-定額11年</t>
  </si>
  <si>
    <t>不動産有固-建物-その他-定額10年</t>
  </si>
  <si>
    <t>不動産有固-建物-その他-定額09年</t>
  </si>
  <si>
    <t>不動産有固-建物-その他-定額07年</t>
  </si>
  <si>
    <t>不動産有固-建物付属設備-その他-定率18年</t>
  </si>
  <si>
    <t>不動産有固-建物付属設備-その他-定率17年</t>
  </si>
  <si>
    <t>不動産有固-建物付属設備-その他-定率15年</t>
  </si>
  <si>
    <t>不動産有固-建物付属設備-その他-定率13年</t>
  </si>
  <si>
    <t>不動産有固-建物付属設備-その他-定率12年</t>
  </si>
  <si>
    <t>不動産有固-建物付属設備-その他-定率10年</t>
  </si>
  <si>
    <t>不動産有固-建物付属設備-その他-定率08年</t>
  </si>
  <si>
    <t>不動産有固-建物付属設備-その他-定率03年</t>
  </si>
  <si>
    <t>不動産有固-構築物-定率80年</t>
  </si>
  <si>
    <t>不動産有固-構築物-定率75年</t>
  </si>
  <si>
    <t>不動産有固-構築物-定率60年</t>
  </si>
  <si>
    <t>不動産有固-構築物-定率57年</t>
  </si>
  <si>
    <t>不動産有固-構築物-定率50年</t>
  </si>
  <si>
    <t>不動産有固-構築物-定率45年</t>
  </si>
  <si>
    <t>不動産有固-構築物-定率42年</t>
  </si>
  <si>
    <t>不動産有固-構築物-定率41年</t>
  </si>
  <si>
    <t>不動産有固-構築物-定率40年</t>
  </si>
  <si>
    <t>不動産有固-構築物-定率36年</t>
  </si>
  <si>
    <t>不動産有固-構築物-定率35年</t>
  </si>
  <si>
    <t>不動産有固-構築物-定率34年</t>
  </si>
  <si>
    <t>不動産有固-構築物-定率32年</t>
  </si>
  <si>
    <t>不動産有固-構築物-定率30年</t>
  </si>
  <si>
    <t>不動産有固-構築物-定率27年</t>
  </si>
  <si>
    <t>不動産有固-構築物-定率25年</t>
  </si>
  <si>
    <t>不動産有固-構築物-定率24年</t>
  </si>
  <si>
    <t>不動産有固-構築物-定率22年</t>
  </si>
  <si>
    <t>不動産有固-構築物-定率21年</t>
  </si>
  <si>
    <t>不動産有固-構築物-定率20年</t>
  </si>
  <si>
    <t>不動産有固-構築物-定率19年</t>
  </si>
  <si>
    <t>不動産有固-構築物-定率17年</t>
  </si>
  <si>
    <t>不動産有固-構築物-定率16年</t>
  </si>
  <si>
    <t>不動産有固-構築物-定率15年</t>
  </si>
  <si>
    <t>不動産有固-構築物-定率14年</t>
  </si>
  <si>
    <t>不動産有固-構築物-定率13年</t>
  </si>
  <si>
    <t>不動産有固-構築物-定率12年</t>
  </si>
  <si>
    <t>不動産有固-構築物-定率10年</t>
  </si>
  <si>
    <t>不動産有固-構築物-定率08年</t>
  </si>
  <si>
    <t>不動産有固-構築物-定率07年</t>
  </si>
  <si>
    <t>不動産有固-構築物-定率05年</t>
  </si>
  <si>
    <t>不動産有固-構築物-定率03年</t>
  </si>
  <si>
    <t>不動産有固-機械装置-定率22年</t>
  </si>
  <si>
    <t>不動産有固-機械装置-定率20年</t>
  </si>
  <si>
    <t>不動産有固-機械装置-定率18年</t>
  </si>
  <si>
    <t>不動産有固-機械装置-定率17年</t>
  </si>
  <si>
    <t>不動産有固-機械装置-定率15年</t>
  </si>
  <si>
    <t>不動産有固-機械装置-定率14年</t>
  </si>
  <si>
    <t>不動産有固-機械装置-定率13年</t>
  </si>
  <si>
    <t>不動産有固-機械装置-定率12年</t>
  </si>
  <si>
    <t>不動産有固-機械装置-定率11年</t>
  </si>
  <si>
    <t>不動産有固-機械装置-定率10年</t>
  </si>
  <si>
    <t>不動産有固-機械装置-定率09年</t>
  </si>
  <si>
    <t>不動産有固-機械装置-定率08年</t>
  </si>
  <si>
    <t>不動産有固-機械装置-定率07年</t>
  </si>
  <si>
    <t>不動産有固-機械装置-定率06年</t>
  </si>
  <si>
    <t>不動産有固-機械装置-定率05年</t>
  </si>
  <si>
    <t>不動産有固-機械装置-定率04年</t>
  </si>
  <si>
    <t>不動産有固-機械装置-定率03年</t>
  </si>
  <si>
    <t>不動産有固-工具器具及び備品-工器備-定率13年</t>
  </si>
  <si>
    <t>不動産有固-工具器具及び備品-工器備-定率08年</t>
  </si>
  <si>
    <t>不動産有固-工具器具及び備品-工器備-定率05年</t>
  </si>
  <si>
    <t>不動産有固-工具器具及び備品-工器備-定率04年</t>
  </si>
  <si>
    <t>不動産有固-工具器具及び備品-工器備-定率03年</t>
  </si>
  <si>
    <t>不動産有固-工具器具及び備品-工器備-定率02年</t>
  </si>
  <si>
    <t>不動産有固-工具器具及び備品-工器備-定率20年</t>
  </si>
  <si>
    <t>不動産有固-工具器具及び備品-工器備-定率15年</t>
  </si>
  <si>
    <t>不動産有固-工具器具及び備品-工器備-定率10年</t>
  </si>
  <si>
    <t>不動産有固-工具器具及び備品-工器備-定率07年</t>
  </si>
  <si>
    <t>不動産有固-工具器具及び備品-工器備-定率06年</t>
  </si>
  <si>
    <t>不動産有固-工具器具及び備品-運搬具-定率07年</t>
  </si>
  <si>
    <t>不動産有固-工具器具及び備品-運搬具-定率06年</t>
  </si>
  <si>
    <t>不動産有固-工具器具及び備品-運搬具-定率05年</t>
  </si>
  <si>
    <t>不動産有固-工具器具及び備品-運搬具-定率04年</t>
  </si>
  <si>
    <t>不動産有固-工具器具及び備品-運搬具-定率03年</t>
  </si>
  <si>
    <t>不動産有固-工具器具及び備品-運搬具-定率02年</t>
  </si>
  <si>
    <t>不動産有固-リース資産-土地</t>
  </si>
  <si>
    <t>不動産有固-リース資産-建物</t>
  </si>
  <si>
    <t>不動産有固-リース資産-構築物</t>
  </si>
  <si>
    <t>不動産有固-リース資産-車両</t>
  </si>
  <si>
    <t>不動産有固-リース資産-機械装置</t>
  </si>
  <si>
    <t>不動産有固-リース資産-工具器具及び備品</t>
  </si>
  <si>
    <t>不動産有固-雑施設</t>
  </si>
  <si>
    <t>流通有固-土地-事務所</t>
  </si>
  <si>
    <t>流通有固-土地-店舗</t>
  </si>
  <si>
    <t>流通有固-土地-その他</t>
  </si>
  <si>
    <t>流通有固-建物-事務所-定額50年</t>
  </si>
  <si>
    <t>流通有固-建物-事務所-定額41年</t>
  </si>
  <si>
    <t>流通有固-建物-事務所-定額38年</t>
  </si>
  <si>
    <t>流通有固-建物-事務所-定額30年</t>
  </si>
  <si>
    <t>流通有固-建物-事務所-定額22年</t>
  </si>
  <si>
    <t>流通有固-建物-事務所-定額24年</t>
  </si>
  <si>
    <t>流通有固-建物-事務所-定額10年</t>
  </si>
  <si>
    <t>流通有固-建物-事務所-定額07年</t>
  </si>
  <si>
    <t>流通有固-建物付属設備-事務所-定率18年</t>
  </si>
  <si>
    <t>流通有固-建物付属設備-事務所-定率17年</t>
  </si>
  <si>
    <t>流通有固-建物付属設備-事務所-定率15年</t>
  </si>
  <si>
    <t>流通有固-建物付属設備-事務所-定率13年</t>
  </si>
  <si>
    <t>流通有固-建物付属設備-事務所-定率12年</t>
  </si>
  <si>
    <t>流通有固-建物付属設備-事務所-定率10年</t>
  </si>
  <si>
    <t>流通有固-建物付属設備-事務所-定率08年</t>
  </si>
  <si>
    <t>流通有固-建物付属設備-事務所-定率03年</t>
  </si>
  <si>
    <t>流通有固-建物-店舗-定額39年</t>
  </si>
  <si>
    <t>流通有固-建物-店舗-定額38年</t>
  </si>
  <si>
    <t>流通有固-建物-店舗-定額34年</t>
  </si>
  <si>
    <t>流通有固-建物-店舗-定額27年</t>
  </si>
  <si>
    <t>流通有固-建物-店舗-定額19年</t>
  </si>
  <si>
    <t>流通有固-建物-店舗-定額22年</t>
  </si>
  <si>
    <t>流通有固-建物-店舗-定額20年</t>
  </si>
  <si>
    <t>流通有固-建物-店舗-定額10年</t>
  </si>
  <si>
    <t>流通有固-建物-店舗-定額07年</t>
  </si>
  <si>
    <t>流通有固-建物付属設備-店舗-定率18年</t>
  </si>
  <si>
    <t>流通有固-建物付属設備-店舗-定率17年</t>
  </si>
  <si>
    <t>流通有固-建物付属設備-店舗-定率15年</t>
  </si>
  <si>
    <t>流通有固-建物付属設備-店舗-定率13年</t>
  </si>
  <si>
    <t>流通有固-建物付属設備-店舗-定率12年</t>
  </si>
  <si>
    <t>流通有固-建物付属設備-店舗-定率10年</t>
  </si>
  <si>
    <t>流通有固-建物付属設備-店舗-定率08年</t>
  </si>
  <si>
    <t>流通有固-建物付属設備-店舗-定率03年</t>
  </si>
  <si>
    <t>流通有固-建物-その他-定額50年</t>
  </si>
  <si>
    <t>流通有固-建物-その他-定額47年</t>
  </si>
  <si>
    <t>流通有固-建物-その他-定額41年</t>
  </si>
  <si>
    <t>流通有固-建物-その他-定額39年</t>
  </si>
  <si>
    <t>流通有固-建物-その他-定額38年</t>
  </si>
  <si>
    <t>流通有固-建物-その他-定額36年</t>
  </si>
  <si>
    <t>流通有固-建物-その他-定額34年</t>
  </si>
  <si>
    <t>流通有固-建物-その他-定額31年</t>
  </si>
  <si>
    <t>流通有固-建物-その他-定額30年</t>
  </si>
  <si>
    <t>流通有固-建物-その他-定額29年</t>
  </si>
  <si>
    <t>流通有固-建物-その他-定額28年</t>
  </si>
  <si>
    <t>流通有固-建物-その他-定額27年</t>
  </si>
  <si>
    <t>流通有固-建物-その他-定額26年</t>
  </si>
  <si>
    <t>流通有固-建物-その他-定額25年</t>
  </si>
  <si>
    <t>流通有固-建物-その他-定額24年</t>
  </si>
  <si>
    <t>流通有固-建物-その他-定額22年</t>
  </si>
  <si>
    <t>流通有固-建物-その他-定額21年</t>
  </si>
  <si>
    <t>流通有固-建物-その他-定額20年</t>
  </si>
  <si>
    <t>流通有固-建物-その他-定額19年</t>
  </si>
  <si>
    <t>流通有固-建物-その他-定額17年</t>
  </si>
  <si>
    <t>流通有固-建物-その他-定額15年</t>
  </si>
  <si>
    <t>流通有固-建物-その他-定額14年</t>
  </si>
  <si>
    <t>流通有固-建物-その他-定額12年</t>
  </si>
  <si>
    <t>流通有固-建物-その他-定額11年</t>
  </si>
  <si>
    <t>流通有固-建物-その他-定額10年</t>
  </si>
  <si>
    <t>流通有固-建物-その他-定額09年</t>
  </si>
  <si>
    <t>流通有固-建物-その他-定額07年</t>
  </si>
  <si>
    <t>流通有固-建物付属設備-その他-定率18年</t>
  </si>
  <si>
    <t>流通有固-建物付属設備-その他-定率17年</t>
  </si>
  <si>
    <t>流通有固-建物付属設備-その他-定率15年</t>
  </si>
  <si>
    <t>流通有固-建物付属設備-その他-定率13年</t>
  </si>
  <si>
    <t>流通有固-建物付属設備-その他-定率12年</t>
  </si>
  <si>
    <t>流通有固-建物付属設備-その他-定率10年</t>
  </si>
  <si>
    <t>流通有固-建物付属設備-その他-定率08年</t>
  </si>
  <si>
    <t>流通有固-建物付属設備-その他-定率03年</t>
  </si>
  <si>
    <t>流通有固-構築物-定率80年</t>
  </si>
  <si>
    <t>流通有固-構築物-定率75年</t>
  </si>
  <si>
    <t>流通有固-構築物-定率60年</t>
  </si>
  <si>
    <t>流通有固-構築物-定率57年</t>
  </si>
  <si>
    <t>流通有固-構築物-定率50年</t>
  </si>
  <si>
    <t>流通有固-構築物-定率45年</t>
  </si>
  <si>
    <t>流通有固-構築物-定率42年</t>
  </si>
  <si>
    <t>流通有固-構築物-定率41年</t>
  </si>
  <si>
    <t>流通有固-構築物-定率40年</t>
  </si>
  <si>
    <t>流通有固-構築物-定率36年</t>
  </si>
  <si>
    <t>流通有固-構築物-定率35年</t>
  </si>
  <si>
    <t>流通有固-構築物-定率34年</t>
  </si>
  <si>
    <t>流通有固-構築物-定率32年</t>
  </si>
  <si>
    <t>流通有固-構築物-定率30年</t>
  </si>
  <si>
    <t>流通有固-構築物-定率27年</t>
  </si>
  <si>
    <t>流通有固-構築物-定率25年</t>
  </si>
  <si>
    <t>流通有固-構築物-定率24年</t>
  </si>
  <si>
    <t>流通有固-構築物-定率22年</t>
  </si>
  <si>
    <t>流通有固-構築物-定率21年</t>
  </si>
  <si>
    <t>流通有固-構築物-定率20年</t>
  </si>
  <si>
    <t>流通有固-構築物-定率19年</t>
  </si>
  <si>
    <t>流通有固-構築物-定率17年</t>
  </si>
  <si>
    <t>流通有固-構築物-定率16年</t>
  </si>
  <si>
    <t>流通有固-構築物-定率15年</t>
  </si>
  <si>
    <t>流通有固-構築物-定率14年</t>
  </si>
  <si>
    <t>流通有固-構築物-定率13年</t>
  </si>
  <si>
    <t>流通有固-構築物-定率12年</t>
  </si>
  <si>
    <t>流通有固-構築物-定率10年</t>
  </si>
  <si>
    <t>流通有固-構築物-定率08年</t>
  </si>
  <si>
    <t>流通有固-構築物-定率07年</t>
  </si>
  <si>
    <t>流通有固-構築物-定率05年</t>
  </si>
  <si>
    <t>流通有固-構築物-定率03年</t>
  </si>
  <si>
    <t>流通有固-機械装置-定率22年</t>
  </si>
  <si>
    <t>流通有固-機械装置-定率20年</t>
  </si>
  <si>
    <t>流通有固-機械装置-定率18年</t>
  </si>
  <si>
    <t>流通有固-機械装置-定率17年</t>
  </si>
  <si>
    <t>流通有固-機械装置-定率15年</t>
  </si>
  <si>
    <t>流通有固-機械装置-定率14年</t>
  </si>
  <si>
    <t>流通有固-機械装置-定率13年</t>
  </si>
  <si>
    <t>流通有固-機械装置-定率12年</t>
  </si>
  <si>
    <t>流通有固-機械装置-定率11年</t>
  </si>
  <si>
    <t>流通有固-機械装置-定率10年</t>
  </si>
  <si>
    <t>流通有固-機械装置-定率09年</t>
  </si>
  <si>
    <t>流通有固-機械装置-定率08年</t>
  </si>
  <si>
    <t>流通有固-機械装置-定率07年</t>
  </si>
  <si>
    <t>流通有固-機械装置-定率06年</t>
  </si>
  <si>
    <t>流通有固-機械装置-定率05年</t>
  </si>
  <si>
    <t>流通有固-機械装置-定率04年</t>
  </si>
  <si>
    <t>流通有固-機械装置-定率03年</t>
  </si>
  <si>
    <t>流通有固-工具器具及び備品-工器備-定率13年</t>
  </si>
  <si>
    <t>流通有固-工具器具及び備品-工器備-定率08年</t>
  </si>
  <si>
    <t>流通有固-工具器具及び備品-工器備-定率05年</t>
  </si>
  <si>
    <t>流通有固-工具器具及び備品-工器備-定率04年</t>
  </si>
  <si>
    <t>流通有固-工具器具及び備品-工器備-定率03年</t>
  </si>
  <si>
    <t>流通有固-工具器具及び備品-工器備-定率02年</t>
  </si>
  <si>
    <t>流通有固-工具器具及び備品-工器備-定率20年</t>
  </si>
  <si>
    <t>流通有固-工具器具及び備品-工器備-定率15年</t>
  </si>
  <si>
    <t>流通有固-工具器具及び備品-工器備-定率10年</t>
  </si>
  <si>
    <t>流通有固-工具器具及び備品-工器備-定率07年</t>
  </si>
  <si>
    <t>流通有固-工具器具及び備品-工器備-定率06年</t>
  </si>
  <si>
    <t>流通有固-工具器具及び備品-運搬具-定率07年</t>
  </si>
  <si>
    <t>流通有固-工具器具及び備品-運搬具-定率06年</t>
  </si>
  <si>
    <t>流通有固-工具器具及び備品-運搬具-定率05年</t>
  </si>
  <si>
    <t>流通有固-工具器具及び備品-運搬具-定率04年</t>
  </si>
  <si>
    <t>流通有固-工具器具及び備品-運搬具-定率03年</t>
  </si>
  <si>
    <t>流通有固-工具器具及び備品-運搬具-定率02年</t>
  </si>
  <si>
    <t>流通有固-リース資産-土地</t>
  </si>
  <si>
    <t>流通有固-リース資産-建物</t>
  </si>
  <si>
    <t>流通有固-リース資産-構築物</t>
  </si>
  <si>
    <t>流通有固-リース資産-車両</t>
  </si>
  <si>
    <t>流通有固-リース資産-機械装置</t>
  </si>
  <si>
    <t>流通有固-リース資産-工具器具及び備品</t>
  </si>
  <si>
    <t>流通有固-雑施設</t>
  </si>
  <si>
    <t>サービス有固-土地-事務所</t>
  </si>
  <si>
    <t>サービス有固-土地-店舗</t>
  </si>
  <si>
    <t>サービス有固-土地-その他</t>
  </si>
  <si>
    <t>サービス有固-建物-事務所-定額50年</t>
  </si>
  <si>
    <t>サービス有固-建物-事務所-定額41年</t>
  </si>
  <si>
    <t>サービス有固-建物-事務所-定額38年</t>
  </si>
  <si>
    <t>サービス有固-建物-事務所-定額30年</t>
  </si>
  <si>
    <t>サービス有固-建物-事務所-定額22年</t>
  </si>
  <si>
    <t>サービス有固-建物-事務所-定額24年</t>
  </si>
  <si>
    <t>サービス有固-建物-事務所-定額10年</t>
  </si>
  <si>
    <t>サービス有固-建物-事務所-定額07年</t>
  </si>
  <si>
    <t>サービス有固-建物付属設備-事務所-定率18年</t>
  </si>
  <si>
    <t>サービス有固-建物付属設備-事務所-定率17年</t>
  </si>
  <si>
    <t>サービス有固-事務所-定率15年</t>
  </si>
  <si>
    <t>サービス有固-建物付属設備-事務所-定率13年</t>
  </si>
  <si>
    <t>サービス有固-建物付属設備-事務所-定率12年</t>
  </si>
  <si>
    <t>サービス有固-建物付属設備-事務所-定率10年</t>
  </si>
  <si>
    <t>サービス有固-建物付属設備-事務所-定率08年</t>
  </si>
  <si>
    <t>サービス有固-建物付属設備-事務所-定率03年</t>
  </si>
  <si>
    <t>サービス有固-建物-店舗-定額39年</t>
  </si>
  <si>
    <t>サービス有固-建物-店舗-定額38年</t>
  </si>
  <si>
    <t>サービス有固-建物-店舗-定額34年</t>
  </si>
  <si>
    <t>サービス有固-建物-店舗-定額27年</t>
  </si>
  <si>
    <t>サービス有固-建物-店舗-定額19年</t>
  </si>
  <si>
    <t>サービス有固-建物-店舗-定額22年</t>
  </si>
  <si>
    <t>サービス有固-建物-店舗-定額20年</t>
  </si>
  <si>
    <t>サービス有固-建物-店舗-定額10年</t>
  </si>
  <si>
    <t>サービス有固-建物-店舗-定額07年</t>
  </si>
  <si>
    <t>サービス有固-建物付属設備-店舗-定率18年</t>
  </si>
  <si>
    <t>サービス有固-建物付属設備-店舗-定率17年</t>
  </si>
  <si>
    <t>サービス有固-建物付属設備-店舗-定率15年</t>
  </si>
  <si>
    <t>サービス有固-建物付属設備-店舗-定率13年</t>
  </si>
  <si>
    <t>サービス有固-建物付属設備-店舗-定率12年</t>
  </si>
  <si>
    <t>サービス有固-建物付属設備-店舗-定率10年</t>
  </si>
  <si>
    <t>サービス有固-建物付属設備-店舗-定率08年</t>
  </si>
  <si>
    <t>サービス有固-建物付属設備-店舗-定率03年</t>
  </si>
  <si>
    <t>サービス有固-建物-その他-定額50年</t>
  </si>
  <si>
    <t>サービス有固-建物-その他-定額47年</t>
  </si>
  <si>
    <t>サービス有固-建物-その他-定額41年</t>
  </si>
  <si>
    <t>サービス有固-建物-その他-定額39年</t>
  </si>
  <si>
    <t>サービス有固-建物-その他-定額38年</t>
  </si>
  <si>
    <t>サービス有固-建物-その他-定額36年</t>
  </si>
  <si>
    <t>サービス有固-建物-その他-定額34年</t>
  </si>
  <si>
    <t>サービス有固-建物-その他-定額31年</t>
  </si>
  <si>
    <t>サービス有固-建物-その他-定額30年</t>
  </si>
  <si>
    <t>サービス有固-建物-その他-定額29年</t>
  </si>
  <si>
    <t>サービス有固-建物-その他-定額28年</t>
  </si>
  <si>
    <t>サービス有固-建物-その他-定額27年</t>
  </si>
  <si>
    <t>サービス有固-建物-その他-定額26年</t>
  </si>
  <si>
    <t>サービス有固-建物-その他-定額25年</t>
  </si>
  <si>
    <t>サービス有固-建物-その他-定額24年</t>
  </si>
  <si>
    <t>サービス有固-建物-その他-定額22年</t>
  </si>
  <si>
    <t>サービス有固-建物-その他-定額21年</t>
  </si>
  <si>
    <t>サービス有固-建物-その他-定額20年</t>
  </si>
  <si>
    <t>サービス有固-建物-その他-定額19年</t>
  </si>
  <si>
    <t>サービス有固-建物-その他-定額17年</t>
  </si>
  <si>
    <t>サービス有固-建物-その他-定額15年</t>
  </si>
  <si>
    <t>サービス有固-建物-その他-定額14年</t>
  </si>
  <si>
    <t>サービス有固-建物-その他-定額12年</t>
  </si>
  <si>
    <t>サービス有固-建物-その他-定額11年</t>
  </si>
  <si>
    <t>サービス有固-建物-その他-定額10年</t>
  </si>
  <si>
    <t>サービス有固-建物-その他-定額09年</t>
  </si>
  <si>
    <t>サービス有固-建物-その他-定額07年</t>
  </si>
  <si>
    <t>サービス有固-建物付属設備-その他-定率18年</t>
  </si>
  <si>
    <t>サービス有固-建物付属設備-その他-定率17年</t>
  </si>
  <si>
    <t>サービス有固-建物付属設備-その他-定率15年</t>
  </si>
  <si>
    <t>サービス有固-建物付属設備-その他-定率13年</t>
  </si>
  <si>
    <t>サービス有固-建物付属設備-その他-定率12年</t>
  </si>
  <si>
    <t>サービス有固-建物付属設備-その他-定率10年</t>
  </si>
  <si>
    <t>サービス有固-建物付属設備-その他-定率08年</t>
  </si>
  <si>
    <t>サービス有固-建物付属設備-その他-定率03年</t>
  </si>
  <si>
    <t>サービス有固-構築物-定率80年</t>
  </si>
  <si>
    <t>サービス有固-構築物-定率75年</t>
  </si>
  <si>
    <t>サービス有固-構築物-定率60年</t>
  </si>
  <si>
    <t>サービス有固-構築物-定率57年</t>
  </si>
  <si>
    <t>サービス有固-構築物-定率50年</t>
  </si>
  <si>
    <t>サービス有固-構築物-定率45年</t>
  </si>
  <si>
    <t>サービス有固-構築物-定率42年</t>
  </si>
  <si>
    <t>サービス有固-構築物-定率41年</t>
  </si>
  <si>
    <t>サービス有固-構築物-定率40年</t>
  </si>
  <si>
    <t>サービス有固-構築物-定率36年</t>
  </si>
  <si>
    <t>サービス有固-構築物-定率35年</t>
  </si>
  <si>
    <t>サービス有固-構築物-定率34年</t>
  </si>
  <si>
    <t>サービス有固-構築物-定率32年</t>
  </si>
  <si>
    <t>サービス有固-構築物-定率30年</t>
  </si>
  <si>
    <t>サービス有固-構築物-定率27年</t>
  </si>
  <si>
    <t>サービス有固-構築物-定率25年</t>
  </si>
  <si>
    <t>サービス有固-構築物-定率24年</t>
  </si>
  <si>
    <t>サービス有固-構築物-定率22年</t>
  </si>
  <si>
    <t>サービス有固-構築物-定率21年</t>
  </si>
  <si>
    <t>サービス有固-構築物-定率20年</t>
  </si>
  <si>
    <t>サービス有固-構築物-定率19年</t>
  </si>
  <si>
    <t>サービス有固-構築物-定率17年</t>
  </si>
  <si>
    <t>サービス有固-構築物-定率16年</t>
  </si>
  <si>
    <t>サービス有固-構築物-定率15年</t>
  </si>
  <si>
    <t>サービス有固-構築物-定率14年</t>
  </si>
  <si>
    <t>サービス有固-構築物-定率13年</t>
  </si>
  <si>
    <t>サービス有固-構築物-定率12年</t>
  </si>
  <si>
    <t>サービス有固-構築物-定率10年</t>
  </si>
  <si>
    <t>サービス有固-構築物-定率08年</t>
  </si>
  <si>
    <t>サービス有固-構築物-定率07年</t>
  </si>
  <si>
    <t>サービス有固-構築物-定率05年</t>
  </si>
  <si>
    <t>サービス有固-構築物-定率03年</t>
  </si>
  <si>
    <t>サービス有固-機械装置-定率22年</t>
  </si>
  <si>
    <t>サービス有固-機械装置-定率20年</t>
  </si>
  <si>
    <t>サービス有固-機械装置-定率18年</t>
  </si>
  <si>
    <t>サービス有固-機械装置-定率17年</t>
  </si>
  <si>
    <t>サービス有固-機械装置-定率15年</t>
  </si>
  <si>
    <t>サービス有固-機械装置-定率14年</t>
  </si>
  <si>
    <t>サービス有固-機械装置-定率13年</t>
  </si>
  <si>
    <t>サービス有固-機械装置-定率12年</t>
  </si>
  <si>
    <t>サービス有固-機械装置-定率11年</t>
  </si>
  <si>
    <t>サービス有固-機械装置-定率10年</t>
  </si>
  <si>
    <t>サービス有固-機械装置-定率09年</t>
  </si>
  <si>
    <t>サービス有固-機械装置-定率08年</t>
  </si>
  <si>
    <t>サービス有固-機械装置-定率07年</t>
  </si>
  <si>
    <t>サービス有固-機械装置-定率06年</t>
  </si>
  <si>
    <t>サービス有固-機械装置-定率05年</t>
  </si>
  <si>
    <t>サービス有固-機械装置-定率04年</t>
  </si>
  <si>
    <t>サービス有固-機械装置-定率03年</t>
  </si>
  <si>
    <t>サービス有固-工具器具及び備品-工器備-定率13年</t>
  </si>
  <si>
    <t>サービス有固-工具器具及び備品-工器備-定率08年</t>
  </si>
  <si>
    <t>サービス有固-工具器具及び備品-工器備-定率05年</t>
  </si>
  <si>
    <t>サービス有固-工具器具及び備品-工器備-定率04年</t>
  </si>
  <si>
    <t>サービス有固-工具器具及び備品-工器備-定率03年</t>
  </si>
  <si>
    <t>サービス有固-工具器具及び備品-工器備-定率02年</t>
  </si>
  <si>
    <t>サービス有固-工具器具及び備品-工器備-定率20年</t>
  </si>
  <si>
    <t>サービス有固-工具器具及び備品-工器備-定率15年</t>
  </si>
  <si>
    <t>サービス有固-工具器具及び備品-工器備-定率10年</t>
  </si>
  <si>
    <t>サービス有固-工具器具及び備品-工器備-定率07年</t>
  </si>
  <si>
    <t>サービス有固-工具器具及び備品-工器備-定率06年</t>
  </si>
  <si>
    <t>サービス有固-工具器具及び備品-運搬具-定率07年</t>
  </si>
  <si>
    <t>サービス有固-工具器具及び備品-運搬具-定率06年</t>
  </si>
  <si>
    <t>サービス有固-工具器具及び備品-運搬具-定率05年</t>
  </si>
  <si>
    <t>サービス有固-工具器具及び備品-運搬具-定率04年</t>
  </si>
  <si>
    <t>サービス有固-工具器具及び備品-運搬具-定率03年</t>
  </si>
  <si>
    <t>サービス有固-工具器具及び備品-運搬具-定率02年</t>
  </si>
  <si>
    <t>サービス有固-リース資産-土地</t>
  </si>
  <si>
    <t>サービス有固-リース資産-建物</t>
  </si>
  <si>
    <t>サービス有固-リース資産-構築物</t>
  </si>
  <si>
    <t>サービス有固-リース資産-車両</t>
  </si>
  <si>
    <t>サービス有固-リース資産-機械装置</t>
  </si>
  <si>
    <t>サービス有固-リース資産-工具器具及び備品</t>
  </si>
  <si>
    <t>サービス有固-雑施設</t>
  </si>
  <si>
    <t>その他の固定資産</t>
  </si>
  <si>
    <t>建設仮勘定-鉄道事業-直接費</t>
  </si>
  <si>
    <t>建設仮勘定-鉄道事業-間接費</t>
  </si>
  <si>
    <t>建設仮勘定-鉄道事業-ソフトウェア</t>
  </si>
  <si>
    <t>建設仮勘定-広告事業-直接費</t>
  </si>
  <si>
    <t>建設仮勘定-広告事業-間接費</t>
  </si>
  <si>
    <t>建設仮勘定-不動産事業-直接費</t>
  </si>
  <si>
    <t>建設仮勘定-不動産事業-間接費</t>
  </si>
  <si>
    <t>建設仮勘定-不動産事業-ソフトウェア</t>
  </si>
  <si>
    <t>建設仮勘定-流通事業-直接費</t>
  </si>
  <si>
    <t>建設仮勘定-流通事業-間接費</t>
  </si>
  <si>
    <t>建設仮勘定-流通事業-ソフトウェア</t>
  </si>
  <si>
    <t>建設仮勘定-サービス事業-直接費</t>
  </si>
  <si>
    <t>建設仮勘定-サービス事業-間接費</t>
  </si>
  <si>
    <t>建設仮勘定-サービス事業-ソフトウェア</t>
  </si>
  <si>
    <t>建設仮勘定-各事業関連-ソフトウェア</t>
  </si>
  <si>
    <t>各事業有固-土地-倉庫用地</t>
  </si>
  <si>
    <t>各事業有固-土地-事務所用地</t>
  </si>
  <si>
    <t>各事業有固-土地-社宅及び寮用地</t>
  </si>
  <si>
    <t>各事業有固-土地-雑用地</t>
  </si>
  <si>
    <t>各事業有固-建物-鉄骨鉄筋コンクリート造又は鉄筋コンクリート造のもの(その他)-倉庫建物</t>
  </si>
  <si>
    <t>各事業有固-建物-れんが造、石造又はブロック造のもの(その他)-倉庫建物</t>
  </si>
  <si>
    <t>各事業有固-建物-金属造のもの(骨格材の肉厚が4mm超)(その他)-倉庫建物</t>
  </si>
  <si>
    <t>各事業有固-建物-金属造のもの(骨格材の肉厚が3mm超4mm以下)(その他)-倉庫建物</t>
  </si>
  <si>
    <t>各事業有固-建物-金属造のもの(骨格材の肉厚が3mm以下)(その他)-倉庫建物</t>
  </si>
  <si>
    <t>各事業有固-建物-木造又は合成樹脂造のもの(その他)-倉庫建物</t>
  </si>
  <si>
    <t>各事業有固-建物-木骨モルタル造のもの(その他)-倉庫建物</t>
  </si>
  <si>
    <t>各事業有固-建物-簡易建物(木製主要柱10cm角以下で土居、杉皮ぶき等)-倉庫建物</t>
  </si>
  <si>
    <t>各事業有固-建物-簡易建物(掘立造のもの及び仮設のもの)-倉庫建物</t>
  </si>
  <si>
    <t>各事業有固-建物付属設備-電気設備(照明設備を含む。)-蓄電池電源設備</t>
  </si>
  <si>
    <t>各事業有固-建物付属設備-電気設備(照明設備を含む。)-その他のもの</t>
  </si>
  <si>
    <t>各事業有固-建物付属設備-給排水又は衛生設備及びガス設備</t>
  </si>
  <si>
    <t>各事業有固-建物付属設備-冷房、暖房、通風又はボイラー設備-冷凍機の出力が22kw以下</t>
  </si>
  <si>
    <t>各事業有固-建物付属設備-冷房、暖房、通風又はボイラー設備-その他のもの</t>
  </si>
  <si>
    <t>各事業有固-建物付属設備-昇降機設備-エレベーター</t>
  </si>
  <si>
    <t>各事業有固-建物付属設備-昇降機設備-エスカレーター</t>
  </si>
  <si>
    <t>各事業有固-建物付属設備-消火、排煙又は災害報知設備及び格納式避難設備</t>
  </si>
  <si>
    <t>各事業有固-建物付属設備-エヤーカーテン又はドアー自動開閉設備</t>
  </si>
  <si>
    <t>各事業有固-建物付属設備-アーケード又は日よけ設備-金属製</t>
  </si>
  <si>
    <t>各事業有固-建物付属設備-アーケード又は日よけ設備-その他のもの</t>
  </si>
  <si>
    <t>各事業有固-建物付属設備-店用簡易設備</t>
  </si>
  <si>
    <t>各事業有固-建物付属設備-可動簡易装備-簡易なもの</t>
  </si>
  <si>
    <t>各事業有固-建物付属設備-可動簡易装備-その他のもの</t>
  </si>
  <si>
    <t>各事業有固-建物付属設備-前掲のもの以外のもの及び前掲の区分によらないもの-主として金属製のもの</t>
  </si>
  <si>
    <t>各事業有固-建物付属設備-前掲のもの以外のもの及び前掲の区分によらないもの-その他のもの</t>
  </si>
  <si>
    <t>各事業有固-建物-鉄骨鉄筋コンクリート造又は鉄筋コンクリート造のもの-詰所建物</t>
  </si>
  <si>
    <t>各事業有固-建物-れんが造、石造又はブロック造のもの-詰所建物</t>
  </si>
  <si>
    <t>各事業有固-建物-金属造のもの(骨格材の肉厚が4mm超)-詰所建物</t>
  </si>
  <si>
    <t>各事業有固-建物-金属造のもの(骨格材の肉厚が3mm超4mm以下)-詰所建物</t>
  </si>
  <si>
    <t>各事業有固-建物-金属造のもの(骨格材の肉厚が3mm以下)-詰所建物</t>
  </si>
  <si>
    <t>各事業有固-建物-木造又は合成樹脂造のもの-詰所建物</t>
  </si>
  <si>
    <t>各事業有固-建物-木骨モルタル造のもの-詰所建物</t>
  </si>
  <si>
    <t>各事業有固-建物-簡易建物(木製主要柱10cm角以下で土居、杉皮ぶき等)-詰所建物</t>
  </si>
  <si>
    <t>各事業有固-建物-簡易建物(掘立造のもの及び仮設のもの)-詰所建物</t>
  </si>
  <si>
    <t>各事業有固-建物付属設備-冷房、暖房、通風又はボイラー設備-冷凍機の出力が22kw以下のもの</t>
  </si>
  <si>
    <t>各事業有固-建物-鉄骨鉄筋コンクリート造又は鉄筋コンクリート造のもの-事務所建物</t>
  </si>
  <si>
    <t>各事業有固-建物-れんが造、石造又はブロック造のもの-事務所建物</t>
  </si>
  <si>
    <t>各事業有固-建物-金属造のもの(骨格材の肉厚が4mm超)-事務所建物</t>
  </si>
  <si>
    <t>各事業有固-建物-金属造のもの(骨格材の肉厚が3mm超4mm以下)-事務所建物</t>
  </si>
  <si>
    <t>各事業有固-建物-金属造のもの(骨格材の肉厚が3mm以下)-事務所建物</t>
  </si>
  <si>
    <t>各事業有固-建物-木造又は合成樹脂造のもの-事務所建物</t>
  </si>
  <si>
    <t>各事業有固-建物-木骨モルタル造のもの-事務所建物</t>
  </si>
  <si>
    <t>各事業有固-建物-簡易建物(木製主要柱10cm角以下で土居、杉皮ぶき等)-事務所建物</t>
  </si>
  <si>
    <t>各事業有固-建物-簡易建物(掘立造のもの及び仮設のもの)-事務所建物</t>
  </si>
  <si>
    <t>各事業有固-建物-鉄骨鉄筋コンクリート造又は鉄筋コンクリート造のもの-社宅及び寮建物</t>
  </si>
  <si>
    <t>各事業有固-建物-れんが造、石造又はブロック造のもの-社宅及び寮建物</t>
  </si>
  <si>
    <t>各事業有固-建物-金属造のもの(骨格材の肉厚が4mm超)-社宅及び寮建物</t>
  </si>
  <si>
    <t>各事業有固-建物-金属造のもの(骨格材の肉厚が3mm超4mm以下)-社宅及び寮建物</t>
  </si>
  <si>
    <t>各事業有固-建物-金属造のもの(骨格材の肉厚が3mm以下)-社宅及び寮建物</t>
  </si>
  <si>
    <t>各事業有固-建物-木造又は合成樹脂造のもの-社宅及び寮建物</t>
  </si>
  <si>
    <t>各事業有固-建物-木骨モルタル造のもの-社宅及び寮建物</t>
  </si>
  <si>
    <t>各事業有固-建物-簡易建物(木製主要柱10cm角以下で土居、杉皮ぶき等)-社宅及び寮建物</t>
  </si>
  <si>
    <t>各事業有固産-建物-簡易建物(掘立造のもの及び仮設のもの)-社宅及び寮建物</t>
  </si>
  <si>
    <t>各事業有固-建物付属設備-冷房、暖房、通風又はボイラー設備-冷凍機の出力が22キロワット以下のもの</t>
  </si>
  <si>
    <t>各事業有固-建物-雑建物-定額50年</t>
  </si>
  <si>
    <t>各事業有固-建物-雑建物-定額47年</t>
  </si>
  <si>
    <t>各事業有固-建物-雑建物-定額41年</t>
  </si>
  <si>
    <t>各事業有固-建物-雑建物-定額39年</t>
  </si>
  <si>
    <t>各事業有固-建物-雑建物-定額38年</t>
  </si>
  <si>
    <t>各事業有固-建物-雑建物-定額36年</t>
  </si>
  <si>
    <t>各事業有固-建物-雑建物-定額34年</t>
  </si>
  <si>
    <t>各事業有固-建物-雑建物-定額31年</t>
  </si>
  <si>
    <t>各事業有固-建物-雑建物-定額30年</t>
  </si>
  <si>
    <t>各事業有固-建物-雑建物-定額29年</t>
  </si>
  <si>
    <t>各事業有固-建物-雑建物-定額28年</t>
  </si>
  <si>
    <t>各事業有固-建物-雑建物-定額27年</t>
  </si>
  <si>
    <t>各事業有固-建物-雑建物-定額26年</t>
  </si>
  <si>
    <t>各事業有固-建物-雑建物-定額25年</t>
  </si>
  <si>
    <t>各事業有固-建物-雑建物-定額24年</t>
  </si>
  <si>
    <t>各事業有固-建物-雑建物-定額22年</t>
  </si>
  <si>
    <t>各事業有固-建物-雑建物-定額21年</t>
  </si>
  <si>
    <t>各事業有固-建物-雑建物-定額20年</t>
  </si>
  <si>
    <t>各事業有固-建物-雑建物-定額19年</t>
  </si>
  <si>
    <t>各事業有固-建物-雑建物-定額17年</t>
  </si>
  <si>
    <t>各事業有固-建物-雑建物-定額15年</t>
  </si>
  <si>
    <t>各事業有固-建物-雑建物-定額14年</t>
  </si>
  <si>
    <t>各事業有固-建物-雑建物-定額12年</t>
  </si>
  <si>
    <t>各事業有固-建物-雑建物-定額11年</t>
  </si>
  <si>
    <t>各事業有固-建物-雑建物-定額10年</t>
  </si>
  <si>
    <t>各事業有固-建物-雑建物-定額09年</t>
  </si>
  <si>
    <t>各事業有固-建物-雑建物-定額07年</t>
  </si>
  <si>
    <t>各事業有固-建物付属設備-電気設備(照明設備を含む。)-その他のもの-雑建物</t>
  </si>
  <si>
    <t>各事業有固-建物付属設備-給排水又は衛生設備及びガス設備-雑建物</t>
  </si>
  <si>
    <t>各事業有固-建物付属設備-冷房、暖房、通風又はボイラー設備-冷凍機の出力が22kw以下のもの-雑建物</t>
  </si>
  <si>
    <t>各事業有固-建物付属設備-冷房、暖房、通風又はボイラー設備-その他のもの-雑建物</t>
  </si>
  <si>
    <t>各事業有固-建物付属設備-昇降機設備-エレベーター-雑建物</t>
  </si>
  <si>
    <t>各事業有固-建物付属設備-昇降機設備-エスカレーター-雑建物</t>
  </si>
  <si>
    <t>各事業有固-建物付属設備-消火、排煙又は災害報知設備及び格納式避難設備-雑建物</t>
  </si>
  <si>
    <t>各事業有固-建物付属設備-エヤーカーテン又はドアー自動開閉設備-雑建物</t>
  </si>
  <si>
    <t>各事業有固-建物付属設備-アーケード又は日よけ設備-金属製-雑建物</t>
  </si>
  <si>
    <t>各事業有固-建物付属設備-アーケード又は日よけ設備-その他のもの-雑建物</t>
  </si>
  <si>
    <t>各事業有固-建物付属設備-店用簡易設備-雑建物</t>
  </si>
  <si>
    <t>各事業有固-建物付属設備-可動簡易装備-簡易なもの-雑建物</t>
  </si>
  <si>
    <t>各事業有固-建物付属設備-可動簡易装備-その他のもの-雑建物</t>
  </si>
  <si>
    <t>各事業有固-建物付属設備-前掲以外-主として金属製のもの-雑建物</t>
  </si>
  <si>
    <t>各事業有固-建物付属設備-前掲のもの以外のもの及び前掲の区分によらないもの-その他のもの-雑建物</t>
  </si>
  <si>
    <t>各事業有固-構築物-通信線</t>
  </si>
  <si>
    <t>各事業有固-構築物-電話機</t>
  </si>
  <si>
    <t>各事業有固-構築物-電気時計</t>
  </si>
  <si>
    <t>各事業有固-構築物-拡声装置</t>
  </si>
  <si>
    <t>各事業有固-構築物-通信諸設備</t>
  </si>
  <si>
    <t>各事業有固-構築物-配電線</t>
  </si>
  <si>
    <t>各事業有固-構築物-電灯電力線</t>
  </si>
  <si>
    <t>各事業有固-構築物-支持物-その他の支持物(電柱及び腕木を除く)</t>
  </si>
  <si>
    <t>各事業有固-構築物-支持物-その他の支持物(腕木を含む)</t>
  </si>
  <si>
    <t>各事業有固-機械装置-通信機械-交換設備</t>
  </si>
  <si>
    <t>各事業有固-機械装置-雑機械-その他の設備(主として金属製のもの)</t>
  </si>
  <si>
    <t>各事業有固-機械装置-雑機械-その他の設備(その他のもの)</t>
  </si>
  <si>
    <t>各事業有固-工具器具及び備品-工器備-測定工具・検査工具(電気・電子を利用するものを含む)</t>
  </si>
  <si>
    <t>各事業有固-工具器具及び備品-工器備-治具及び取付工具</t>
  </si>
  <si>
    <t>各事業有固-工具器具及び備品-工器備-ロール-金属圧延用のもの</t>
  </si>
  <si>
    <t>各事業有固-工具器具及び備品-工器備-ロール-なつ染・粉砕・混錬ロールその他のもの</t>
  </si>
  <si>
    <t>各事業有固-工具器具及び備品-工器備-型・鍛圧・打抜工具-ガラス成型用金型及び鋳造用型</t>
  </si>
  <si>
    <t>各事業有固-工具器具及び備品-工器備-型・鍛圧・打抜工具-その他のもの</t>
  </si>
  <si>
    <t>各事業有固-工具器具及び備品-工器備-切削工具</t>
  </si>
  <si>
    <t>各事業有固-工具器具及び備品-工器備-金属製柱及びカッペ</t>
  </si>
  <si>
    <t>各事業有固-工具器具及び備品-工器備-活字・活字に常用される金属-購入活字</t>
  </si>
  <si>
    <t>各事業有固-工具器具及び備品-工器備-活字・活字に常用される金属-自製活字</t>
  </si>
  <si>
    <t>各事業有固-工具器具及び備品-工器備-前掲以外-白金ノズル</t>
  </si>
  <si>
    <t>各事業有固-工具器具及び備品-工器備-前掲以外-その他のもの</t>
  </si>
  <si>
    <t>各事業有固-工具器具及び備品-工器備-前掲区分外-白金ノズル</t>
  </si>
  <si>
    <t>各事業有固-工具器具及び備品-工器備-前掲区分外-その他の主として金属製のもの</t>
  </si>
  <si>
    <t>各事業有固-工具器具及び備品-工器備-前掲区分外-その他のもの</t>
  </si>
  <si>
    <t>各事業有固-工具器具及び備品-工器備-家具・電気・ガス・家庭用品-事務机・いす(金属)</t>
  </si>
  <si>
    <t>各事業有固-工具器具及び備品-工器備-家具・電気・ガス・家庭用品-事務机・いす(その他)</t>
  </si>
  <si>
    <t>各事業有固-工具器具及び備品-工器備-家具・電気・ガス・家庭用品-応接セット(接客業用)</t>
  </si>
  <si>
    <t>各事業有固-工具器具及び備品-工器備-家具・電気・ガス・家庭用品-応接セット(その他)</t>
  </si>
  <si>
    <t>各事業有固-工具器具及び備品-工器備-家具・電気・ガス・家庭用品-ベット</t>
  </si>
  <si>
    <t>各事業有固-工具器具及び備品-工器備-家具・電気・ガス・家庭用品-児童用机及びいす</t>
  </si>
  <si>
    <t>各事業有固-工具器具及び備品-工器備-家具・電気・ガス・家庭用品-陳列棚(冷凍・冷蔵機付)</t>
  </si>
  <si>
    <t>各事業有固-工具器具及び備品-工器備-家具・電気・ガス・家庭用品-陳列棚(その他)</t>
  </si>
  <si>
    <t>各事業有固-工具器具及び備品-工器備-家具・電気・ガス・家庭用品-その他の家具(接客業用)</t>
  </si>
  <si>
    <t>各事業有固-工具器具及び備品-工器備-家具・電気・ガス・家庭用品-その他の家具(金属製)</t>
  </si>
  <si>
    <t>各事業有固-工具器具及び備品-工器備-家具・電気・ガス・家庭用品-その他の家具(その他)</t>
  </si>
  <si>
    <t>各事業有固-工具器具及び備品-工器備-家具・電気・ガス・家庭用品-その他の音響機器</t>
  </si>
  <si>
    <t>各事業有固-工具器具及び備品-工器備-家具・電気・ガス・家庭用品-冷房用又は暖房用機器</t>
  </si>
  <si>
    <t>各事業有固-工具器具及び備品-工器備-家具・電気・ガス・家庭用品-その他電気・ガス機器</t>
  </si>
  <si>
    <t>各事業有固-工具器具及び備品-工器備-家具・電気・ガス・家庭用品-氷冷蔵庫・冷蔵ストッカー</t>
  </si>
  <si>
    <t>各事業有固-工具器具及び備品-工器備-家具・電気・ガス・家庭用品-その他繊維製品</t>
  </si>
  <si>
    <t>各事業有固-工具器具及び備品-工器備-家具・電気・ガス・家庭用品-床用敷物(業務用)</t>
  </si>
  <si>
    <t>各事業有固-工具器具及び備品-工器備-家具・電気・ガス・家庭用品-床用敷物(その他)</t>
  </si>
  <si>
    <t>各事業有固-工具器具及び備品-工器備-家具・電気・ガス・家庭用品-室内装飾品(金属製)</t>
  </si>
  <si>
    <t>各事業有固-工具器具及び備品-工器備-家具・電気・ガス・家庭用品-室内装飾品(その他)</t>
  </si>
  <si>
    <t>各事業有固-工具器具及び備品-工器備-家具・電気・ガス・家庭用品-食事・厨房用品(陶磁器)</t>
  </si>
  <si>
    <t>各事業有固-工具器具及び備品-工器備-家具・電気・ガス・家庭用品-食事・厨房用品(その他)</t>
  </si>
  <si>
    <t>各事業有固-工具器具及び備品-工器備-家具・電気・ガス・家庭用品-その他のもの(金属製)</t>
  </si>
  <si>
    <t>各事業有固-工具器具及び備品-工器備-家具・電気・ガス・家庭用品-その他のもの(その他)</t>
  </si>
  <si>
    <t>各事業有固-工具器具及び備品-工器備-事務・通信機器-謄写機器・タイプライター(印書業用)</t>
  </si>
  <si>
    <t>各事業有固-工具器具及び備品-工器備-事務・通信機器-謄写機器・タイプライター(その他)</t>
  </si>
  <si>
    <t>各事業有固-工具器具及び備品-工器備-事務・通信機器-電子計算機(PC(サーバ用を除く))</t>
  </si>
  <si>
    <t>各事業有固-工具器具及び備品-工器備-事務・通信機器-電子計算機(その他)</t>
  </si>
  <si>
    <t>各事業有固-工具器具及び備品-工器備-事務・通信機器-複写機・計算機・金銭登録機</t>
  </si>
  <si>
    <t>各事業有固-工具器具及び備品-工器備-事務・通信機器-その他の事務機器</t>
  </si>
  <si>
    <t>各事業有固-工具器具及び備品-工器備-事務・通信機器-テレタイプライター及びファクシミリ</t>
  </si>
  <si>
    <t>各事業有固-工具器具及び備品-工器備-事務・通信機器-インターホーン及び放送用設備</t>
  </si>
  <si>
    <t>各事業有固-工具器具及び備品-工器備-事務・通信機器-その他の通信機器(デジタル構内交換)</t>
  </si>
  <si>
    <t>各事業有固-工具器具及び備品-工器備-事務・通信機器-その他の通信機器(その他のもの)</t>
  </si>
  <si>
    <t>各事業有固-工具器具及び備品-工器備-時計、試験機器及び測定機器-時計</t>
  </si>
  <si>
    <t>各事業有固-工具器具及び備品-工器備-時計、試験機器及び測定機器-度量衝器</t>
  </si>
  <si>
    <t>各事業有固-工具器具及び備品-工器備-時計、試験機器及び測定機器-試験又は測定機器</t>
  </si>
  <si>
    <t>各事業有固-工具器具及び備品-工器備-光学・写真製作機器-オペラグラス</t>
  </si>
  <si>
    <t>各事業有固-工具器具及び備品-工器備-光学・写真製作機器-カメラ、映画撮影機、映写機</t>
  </si>
  <si>
    <t>各事業有固-工具器具及び備品-工器備-光学・写真製作機器-その他の機器</t>
  </si>
  <si>
    <t>各事業有固-工具器具及び備品-工器備-看板・広告機器-看板、ネオンサイン及び気球</t>
  </si>
  <si>
    <t>各事業有固-工具器具及び備品-工器備-看板・広告機器-マネキン人形及び模型</t>
  </si>
  <si>
    <t>各事業有固-工具器具及び備品-工器備-看板・広告機器-その他のもの(主として金属製のもの)</t>
  </si>
  <si>
    <t>各事業有固-工具器具及び備品-工器備-看板・広告機器-その他のもの(その他のもの)</t>
  </si>
  <si>
    <t>各事業有固-工具器具及び備品-工器備-容器・金庫-ボンベ(溶接製のもの</t>
  </si>
  <si>
    <t>各事業有固-工具器具及び備品-工器備-容器・金庫-ボンベ(鍛造製)(塩素用のもの)</t>
  </si>
  <si>
    <t>各事業有固-工具器具及び備品-工器備-容器・金庫-ボンベ(鍛造製)(その他のもの)</t>
  </si>
  <si>
    <t>各事業有固-工具器具及び備品-工器備-容器・金庫-その他容器(コンテナ(長さが6m以上))</t>
  </si>
  <si>
    <t>各事業有固-工具器具及び備品-工器備-容器・金庫-その他の容器(金属製のもの)</t>
  </si>
  <si>
    <t>各事業有固-工具器具及び備品-工器備-容器・金庫-その他の容器(その他のもの)</t>
  </si>
  <si>
    <t>各事業有固-工具器具及び備品-工器備-容器・金庫-金庫(手さげ金庫)</t>
  </si>
  <si>
    <t>各事業有固-工具器具及び備品-工器備-容器・金庫-金庫(その他のもの)</t>
  </si>
  <si>
    <t>各事業有固-工具器具及び備品-工器備-医療機器-消毒殺菌用機器</t>
  </si>
  <si>
    <t>各事業有固-工具器具及び備品-工器備-医療機器-手術機器</t>
  </si>
  <si>
    <t>各事業有固-工具器具及び備品-工器備-医療機器-血液透析又は血しょう交換用機器</t>
  </si>
  <si>
    <t>各事業有固-工具器具及び備品-工器備-医療機器-その他の作動部分を有する機能回復訓練機器</t>
  </si>
  <si>
    <t>各事業有固-工具器具及び備品-工器備-医療機器-調剤機器</t>
  </si>
  <si>
    <t>各事業有固-工具器具及び備品-工器備-医療機器-歯科診療用ユニット</t>
  </si>
  <si>
    <t>各事業有固-工具器具及び備品-工器備-医療機器-光学検査機器(ファイバースコープ)</t>
  </si>
  <si>
    <t>各事業有固-工具器具及び備品-工器備-医療機器-光学検査機器(その他のもの)</t>
  </si>
  <si>
    <t>各事業有固-工具器具及び備品-工器備-医療機器-その他の電子装置を使用する機器(移動式)</t>
  </si>
  <si>
    <t>各事業有固-工具器具及び備品-工器備-医療機器-その他の電子装置を使用する機器(その他)</t>
  </si>
  <si>
    <t>各事業有固-工具器具及び備品-工器備-医療機器-その他のもの(陶磁器製又はガラス製のもの)</t>
  </si>
  <si>
    <t>各事業有固-工具器具及び備品-工器備-医療機器-その他のもの(主として金属製のもの)</t>
  </si>
  <si>
    <t>各事業有固-工具器具及び備品-工器備-医療機器-その他のもの(その他のもの)</t>
  </si>
  <si>
    <t>各事業有固-工具器具及び備品-工器備-前掲以外-映画フイルム・磁気テープ・レコード</t>
  </si>
  <si>
    <t>各事業有固-工具器具及び備品-工器備-前掲以外-シート及びロープ</t>
  </si>
  <si>
    <t>各事業有固-工具器具及び備品-工器備-前掲以外-きのこ栽培用ほだ木</t>
  </si>
  <si>
    <t>各事業有固-工具器具及び備品-工器備-前掲以外-漁具</t>
  </si>
  <si>
    <t>各事業有固-工具器具及び備品-工器備-前掲以外-葬儀用具</t>
  </si>
  <si>
    <t>各事業有固-工具器具及び備品-工器備-前掲以外-楽器</t>
  </si>
  <si>
    <t>各事業有固-工具器具及び備品-工器備-前掲以外-自動販売機(手動のものを含む。)</t>
  </si>
  <si>
    <t>各事業有固-工具器具及び備品-工器備-前掲以外-無人駐車管理装置</t>
  </si>
  <si>
    <t>各事業有固-工具器具及び備品-工器備-前掲以外-焼却炉</t>
  </si>
  <si>
    <t>各事業有固-工具器具及び備品-工器備-前掲以外-その他のもの(主として金属製のもの)</t>
  </si>
  <si>
    <t>各事業有固-工具器具及び備品-工器備-前掲以外-その他のもの(その他のもの)</t>
  </si>
  <si>
    <t>各事業有固-工具器具及び備品-運搬具-前掲以外-自動車-小型車(総排気量が0.66l以下)</t>
  </si>
  <si>
    <t>各事業有固-工具器具及び備品-運搬具-前掲以外-自動車-その他-貨物自動車-ダンプ式のもの</t>
  </si>
  <si>
    <t>各事業有固-工具器具及び備品-運搬具-前掲以外-自動車-その他-貨物自動車-その他のもの</t>
  </si>
  <si>
    <t>各事業有固-工具器具及び備品-運搬具-前掲以外-自動車-その他-報道通信用のもの</t>
  </si>
  <si>
    <t>各事業有固-工具器具及び備品-運搬具-前掲以外-自動車-その他-その他</t>
  </si>
  <si>
    <t>各事業有固-工具器具及び備品-運搬具-前掲以外-２輪又は３輪自動車</t>
  </si>
  <si>
    <t>各事業有固-工具器具及び備品-運搬具-前掲以外-自転車</t>
  </si>
  <si>
    <t>各事業有固-工具器具及び備品-運搬具-前掲以外-鉱山用人車、炭車、鉱車及び台車-金属製</t>
  </si>
  <si>
    <t>各事業有固-工具器具及び備品-運搬具-前掲以外-鉱山用人車、炭車、鉱車及び台車-その他</t>
  </si>
  <si>
    <t>各事業有固-工具器具及び備品-運搬具-前掲以外-フォークリフト</t>
  </si>
  <si>
    <t>各事業有固-工具器具及び備品-運搬具-前掲以外-トロッコ-金属製のもの</t>
  </si>
  <si>
    <t>各事業有固-工具器具及び備品-運搬具-前掲以外-トロッコ-その他のもの</t>
  </si>
  <si>
    <t>各事業有固-工具器具及び備品-運搬具-前掲以外-その他のもの-自走能力を有するもの</t>
  </si>
  <si>
    <t>各事業有固-工具器具及び備品-運搬具-前掲以外-その他のもの-その他のもの</t>
  </si>
  <si>
    <t>各事業有固-リース資産-土地</t>
  </si>
  <si>
    <t>各事業有固-リース資産-建物</t>
  </si>
  <si>
    <t>各事業有固-リース資産-構築物</t>
  </si>
  <si>
    <t>各事業有固-リース資産-車両</t>
  </si>
  <si>
    <t>各事業有固-リース資産-機械装置</t>
  </si>
  <si>
    <t>各事業有固-リース資産-工具器具及び備品</t>
  </si>
  <si>
    <t>各事業有固-雑施設</t>
  </si>
  <si>
    <t>A0100001</t>
  </si>
  <si>
    <t>鉄道無固-のれん</t>
  </si>
  <si>
    <t>A0500001</t>
  </si>
  <si>
    <t>鉄道無固-借地権</t>
  </si>
  <si>
    <t>A1000001</t>
  </si>
  <si>
    <t>鉄道無固-地上権</t>
  </si>
  <si>
    <t>A1500001</t>
  </si>
  <si>
    <t>鉄道無固-商標権</t>
  </si>
  <si>
    <t>A2000001</t>
  </si>
  <si>
    <t>鉄道無固-電話加入権</t>
  </si>
  <si>
    <t>A2500001</t>
  </si>
  <si>
    <t>鉄道無固-特許権</t>
  </si>
  <si>
    <t>A3000001</t>
  </si>
  <si>
    <t>鉄道無固-連絡通行施設利用権</t>
  </si>
  <si>
    <t>A3500001</t>
  </si>
  <si>
    <t>鉄道無固-電話施設利用権</t>
  </si>
  <si>
    <t>A4000001</t>
  </si>
  <si>
    <t>鉄道無固-電気供給施設利用権</t>
  </si>
  <si>
    <t>A4500001</t>
  </si>
  <si>
    <t>鉄道無固-ガス供給施設利用権</t>
  </si>
  <si>
    <t>A5000001</t>
  </si>
  <si>
    <t>鉄道無固-熱供給施設利用権</t>
  </si>
  <si>
    <t>A5500001</t>
  </si>
  <si>
    <t>鉄道無固-水道施設利用権</t>
  </si>
  <si>
    <t>A6000001</t>
  </si>
  <si>
    <t>鉄道無固-温泉利用権</t>
  </si>
  <si>
    <t>A6500001</t>
  </si>
  <si>
    <t>鉄道無固-水利権</t>
  </si>
  <si>
    <t>A7000001</t>
  </si>
  <si>
    <t>鉄道無固-ソフトウェア-販売目的</t>
  </si>
  <si>
    <t>A7000002</t>
  </si>
  <si>
    <t>鉄道無固-ソフトウェア-その他</t>
  </si>
  <si>
    <t>A7500001</t>
  </si>
  <si>
    <t>鉄道無固-リース資産</t>
  </si>
  <si>
    <t>A9900001</t>
  </si>
  <si>
    <t>鉄道無固-その他の施設利用権</t>
  </si>
  <si>
    <t>B0100001</t>
  </si>
  <si>
    <t>広告無固-のれん</t>
  </si>
  <si>
    <t>B0500001</t>
  </si>
  <si>
    <t>広告無固-借地権</t>
  </si>
  <si>
    <t>B1000001</t>
  </si>
  <si>
    <t>広告無固-地上権</t>
  </si>
  <si>
    <t>B1500001</t>
  </si>
  <si>
    <t>広告無固-商標権</t>
  </si>
  <si>
    <t>B2000001</t>
  </si>
  <si>
    <t>広告無固-電話加入権</t>
  </si>
  <si>
    <t>B2500001</t>
  </si>
  <si>
    <t>広告無固-特許権</t>
  </si>
  <si>
    <t>B3000001</t>
  </si>
  <si>
    <t>広告無固-連絡通行施設利用権</t>
  </si>
  <si>
    <t>B3500001</t>
  </si>
  <si>
    <t>広告無固-電話施設利用権</t>
  </si>
  <si>
    <t>B4000001</t>
  </si>
  <si>
    <t>広告無固-電気供給施設利用権</t>
  </si>
  <si>
    <t>B4500001</t>
  </si>
  <si>
    <t>広告無固-ガス供給施設利用権</t>
  </si>
  <si>
    <t>B5000001</t>
  </si>
  <si>
    <t>広告無固-熱供給施設利用権</t>
  </si>
  <si>
    <t>B5500001</t>
  </si>
  <si>
    <t>広告無固-水道施設利用権</t>
  </si>
  <si>
    <t>B6000001</t>
  </si>
  <si>
    <t>広告無固-温泉利用権</t>
  </si>
  <si>
    <t>B6500001</t>
  </si>
  <si>
    <t>広告無固-水利権</t>
  </si>
  <si>
    <t>B7000001</t>
  </si>
  <si>
    <t>広告無固-ソフトウェア-販売目的</t>
  </si>
  <si>
    <t>B7000002</t>
  </si>
  <si>
    <t>広告無固-ソフトウェア-その他</t>
  </si>
  <si>
    <t>B7500001</t>
  </si>
  <si>
    <t>広告無固-リース資産</t>
  </si>
  <si>
    <t>B9900001</t>
  </si>
  <si>
    <t>広告無固-その他の施設利用権</t>
  </si>
  <si>
    <t>C0100001</t>
  </si>
  <si>
    <t>不動産無固-のれん</t>
  </si>
  <si>
    <t>C0500001</t>
  </si>
  <si>
    <t>不動産無固-借地権</t>
  </si>
  <si>
    <t>C1000001</t>
  </si>
  <si>
    <t>不動産無固-地上権</t>
  </si>
  <si>
    <t>C1500001</t>
  </si>
  <si>
    <t>不動産無固-商標権</t>
  </si>
  <si>
    <t>C2000001</t>
  </si>
  <si>
    <t>不動産無固-電話加入権</t>
  </si>
  <si>
    <t>C2500001</t>
  </si>
  <si>
    <t>不動産無固-特許権</t>
  </si>
  <si>
    <t>C3000001</t>
  </si>
  <si>
    <t>不動産無固-連絡通行施設利用権</t>
  </si>
  <si>
    <t>C3500001</t>
  </si>
  <si>
    <t>不動産無固-電話施設利用権</t>
  </si>
  <si>
    <t>C4000001</t>
  </si>
  <si>
    <t>不動産無固-電気供給施設利用権</t>
  </si>
  <si>
    <t>C4500001</t>
  </si>
  <si>
    <t>不動産無固-ガス供給施設利用権</t>
  </si>
  <si>
    <t>C5000001</t>
  </si>
  <si>
    <t>不動産無固-熱供給施設利用権</t>
  </si>
  <si>
    <t>C5500001</t>
  </si>
  <si>
    <t>不動産無固-水道施設利用権</t>
  </si>
  <si>
    <t>C6000001</t>
  </si>
  <si>
    <t>不動産無固-温泉利用権</t>
  </si>
  <si>
    <t>C6500001</t>
  </si>
  <si>
    <t>不動産無固-水利権</t>
  </si>
  <si>
    <t>C7000001</t>
  </si>
  <si>
    <t>不動産無固-ソフトウェア-販売目的</t>
  </si>
  <si>
    <t>C7000002</t>
  </si>
  <si>
    <t>不動産無固-ソフトウェア-その他</t>
  </si>
  <si>
    <t>C7500001</t>
  </si>
  <si>
    <t>不動産無固-リース資産</t>
  </si>
  <si>
    <t>C9900001</t>
  </si>
  <si>
    <t>不動産無固-その他の施設利用権</t>
  </si>
  <si>
    <t>D0100001</t>
  </si>
  <si>
    <t>流通無固-のれん</t>
  </si>
  <si>
    <t>D0500001</t>
  </si>
  <si>
    <t>流通無固-借地権</t>
  </si>
  <si>
    <t>D1000001</t>
  </si>
  <si>
    <t>流通無固-地上権</t>
  </si>
  <si>
    <t>D1500001</t>
  </si>
  <si>
    <t>流通無固-商標権</t>
  </si>
  <si>
    <t>D2000001</t>
  </si>
  <si>
    <t>流通無固-電話加入権</t>
  </si>
  <si>
    <t>D2500001</t>
  </si>
  <si>
    <t>流通無固-特許権</t>
  </si>
  <si>
    <t>D3000001</t>
  </si>
  <si>
    <t>流通無固-連絡通行施設利用権</t>
  </si>
  <si>
    <t>D3500001</t>
  </si>
  <si>
    <t>流通無固-電話施設利用権</t>
  </si>
  <si>
    <t>D4000001</t>
  </si>
  <si>
    <t>流通無固-電気供給施設利用権</t>
  </si>
  <si>
    <t>D4500001</t>
  </si>
  <si>
    <t>流通無固-ガス供給施設利用権</t>
  </si>
  <si>
    <t>D5000001</t>
  </si>
  <si>
    <t>流通無固-熱供給施設利用権</t>
  </si>
  <si>
    <t>D5500001</t>
  </si>
  <si>
    <t>流通無固-水道施設利用権</t>
  </si>
  <si>
    <t>D6000001</t>
  </si>
  <si>
    <t>流通無固-温泉利用権</t>
  </si>
  <si>
    <t>D6500001</t>
  </si>
  <si>
    <t>流通無固-水利権</t>
  </si>
  <si>
    <t>D7000001</t>
  </si>
  <si>
    <t>流通無固-ソフトウェア-販売目的</t>
  </si>
  <si>
    <t>D7000002</t>
  </si>
  <si>
    <t>流通無固-ソフトウェア-その他</t>
  </si>
  <si>
    <t>D7500001</t>
  </si>
  <si>
    <t>流通無固-リース資産</t>
  </si>
  <si>
    <t>D9900001</t>
  </si>
  <si>
    <t>流通無固-その他の施設利用権</t>
  </si>
  <si>
    <t>E0100001</t>
  </si>
  <si>
    <t>サービス無固-のれん</t>
  </si>
  <si>
    <t>E0500001</t>
  </si>
  <si>
    <t>サービス無固-借地権</t>
  </si>
  <si>
    <t>E1000001</t>
  </si>
  <si>
    <t>サービス無固-地上権</t>
  </si>
  <si>
    <t>E1500001</t>
  </si>
  <si>
    <t>サービス無固-商標権</t>
  </si>
  <si>
    <t>E2000001</t>
  </si>
  <si>
    <t>サービス無固-電話加入権</t>
  </si>
  <si>
    <t>E2500001</t>
  </si>
  <si>
    <t>サービス無固-特許権</t>
  </si>
  <si>
    <t>E3000001</t>
  </si>
  <si>
    <t>サービス無固-連絡通行施設利用権</t>
  </si>
  <si>
    <t>E3500001</t>
  </si>
  <si>
    <t>サービス無固-電話施設利用権</t>
  </si>
  <si>
    <t>E4000001</t>
  </si>
  <si>
    <t>サービス無固-電気供給施設利用権</t>
  </si>
  <si>
    <t>E4500001</t>
  </si>
  <si>
    <t>サービス無固-ガス供給施設利用権</t>
  </si>
  <si>
    <t>E5000001</t>
  </si>
  <si>
    <t>サービス無固-熱供給施設利用権</t>
  </si>
  <si>
    <t>E5500001</t>
  </si>
  <si>
    <t>サービス無固-水道施設利用権</t>
  </si>
  <si>
    <t>E6000001</t>
  </si>
  <si>
    <t>サービス無固-温泉利用権</t>
  </si>
  <si>
    <t>E6500001</t>
  </si>
  <si>
    <t>サービス無固-水利権</t>
  </si>
  <si>
    <t>E7000001</t>
  </si>
  <si>
    <t>サービス無固-ソフトウェア-販売目的</t>
  </si>
  <si>
    <t>E7000002</t>
  </si>
  <si>
    <t>サービス無固-ソフトウェア-その他</t>
  </si>
  <si>
    <t>E7500001</t>
  </si>
  <si>
    <t>サービス無固-リース資産</t>
  </si>
  <si>
    <t>E9900001</t>
  </si>
  <si>
    <t>サービス無固-その他の施設利用権</t>
  </si>
  <si>
    <t>F0100001</t>
  </si>
  <si>
    <t>各事業無固-のれん</t>
  </si>
  <si>
    <t>F0500001</t>
  </si>
  <si>
    <t>F1000001</t>
  </si>
  <si>
    <t>F1500001</t>
  </si>
  <si>
    <t>F2000001</t>
  </si>
  <si>
    <t>各事業無固-電話加入権</t>
  </si>
  <si>
    <t>F2500001</t>
  </si>
  <si>
    <t>各事業無固-特許権</t>
  </si>
  <si>
    <t>F3000001</t>
  </si>
  <si>
    <t>各事業無固-連絡通行施設利用権</t>
  </si>
  <si>
    <t>F3500001</t>
  </si>
  <si>
    <t>各事業無固-電話施設利用権</t>
  </si>
  <si>
    <t>F4000001</t>
  </si>
  <si>
    <t>各事業無固-電気供給施設利用権</t>
  </si>
  <si>
    <t>F4500001</t>
  </si>
  <si>
    <t>各事業無固-ガス供給施設利用権</t>
  </si>
  <si>
    <t>F5000001</t>
  </si>
  <si>
    <t>各事業無固-熱供給施設利用権</t>
  </si>
  <si>
    <t>F5500001</t>
  </si>
  <si>
    <t>各事業無固-水道施設利用権</t>
  </si>
  <si>
    <t>F6000001</t>
  </si>
  <si>
    <t>各事業無固-温泉利用権</t>
  </si>
  <si>
    <t>F6500001</t>
  </si>
  <si>
    <t>各事業無固-水利権</t>
  </si>
  <si>
    <t>F7000001</t>
  </si>
  <si>
    <t>各事業無固-ソフトウェア-販売目的</t>
  </si>
  <si>
    <t>F7000002</t>
  </si>
  <si>
    <t>各事業無固-ソフトウェア-その他</t>
  </si>
  <si>
    <t>F7500001</t>
  </si>
  <si>
    <t>各事業無固-リース資産</t>
  </si>
  <si>
    <t>F9900001</t>
  </si>
  <si>
    <t>各事業無固-その他の施設利用権</t>
  </si>
  <si>
    <t>アーケード又は日よけ設備-その他のもの-停車場建物</t>
  </si>
  <si>
    <t>店用簡易設備-停車場建物</t>
  </si>
  <si>
    <t>建築仕上げ</t>
    <rPh sb="0" eb="2">
      <t>ケンチク</t>
    </rPh>
    <rPh sb="2" eb="4">
      <t>シア</t>
    </rPh>
    <phoneticPr fontId="3"/>
  </si>
  <si>
    <t>耐用年数</t>
    <rPh sb="0" eb="2">
      <t>タイヨウ</t>
    </rPh>
    <rPh sb="2" eb="4">
      <t>ネンスウ</t>
    </rPh>
    <phoneticPr fontId="3"/>
  </si>
  <si>
    <t>＊器具本体・金属枠・板面共</t>
    <rPh sb="1" eb="3">
      <t>キグ</t>
    </rPh>
    <rPh sb="3" eb="5">
      <t>ホンタイ</t>
    </rPh>
    <rPh sb="6" eb="8">
      <t>キンゾク</t>
    </rPh>
    <rPh sb="8" eb="9">
      <t>ワク</t>
    </rPh>
    <rPh sb="10" eb="12">
      <t>バンメン</t>
    </rPh>
    <rPh sb="12" eb="13">
      <t>トモ</t>
    </rPh>
    <phoneticPr fontId="3"/>
  </si>
  <si>
    <t>＊枠無し板面のみ</t>
    <rPh sb="1" eb="2">
      <t>ワク</t>
    </rPh>
    <rPh sb="2" eb="3">
      <t>ナ</t>
    </rPh>
    <rPh sb="4" eb="5">
      <t>イタ</t>
    </rPh>
    <rPh sb="5" eb="6">
      <t>メン</t>
    </rPh>
    <phoneticPr fontId="3"/>
  </si>
  <si>
    <t>建物　工事価格　計</t>
    <rPh sb="0" eb="2">
      <t>タテモノ</t>
    </rPh>
    <rPh sb="3" eb="5">
      <t>コウジ</t>
    </rPh>
    <rPh sb="5" eb="7">
      <t>カカク</t>
    </rPh>
    <rPh sb="8" eb="9">
      <t>ケイ</t>
    </rPh>
    <phoneticPr fontId="3"/>
  </si>
  <si>
    <t>工具・器具・備品　工事価格　計</t>
    <rPh sb="0" eb="2">
      <t>コウグ</t>
    </rPh>
    <rPh sb="3" eb="5">
      <t>キグ</t>
    </rPh>
    <rPh sb="6" eb="8">
      <t>ビヒン</t>
    </rPh>
    <rPh sb="9" eb="11">
      <t>コウジ</t>
    </rPh>
    <rPh sb="11" eb="13">
      <t>カカク</t>
    </rPh>
    <rPh sb="14" eb="15">
      <t>ケイ</t>
    </rPh>
    <phoneticPr fontId="3"/>
  </si>
  <si>
    <t>工事価格合計</t>
    <rPh sb="0" eb="2">
      <t>コウジ</t>
    </rPh>
    <rPh sb="2" eb="4">
      <t>カカク</t>
    </rPh>
    <rPh sb="4" eb="6">
      <t>ゴウケイ</t>
    </rPh>
    <phoneticPr fontId="3"/>
  </si>
  <si>
    <t>資　産　ク　ラ　ス　分　割　表</t>
    <rPh sb="0" eb="1">
      <t>シ</t>
    </rPh>
    <rPh sb="2" eb="3">
      <t>サン</t>
    </rPh>
    <rPh sb="10" eb="11">
      <t>ブン</t>
    </rPh>
    <rPh sb="12" eb="13">
      <t>ワリ</t>
    </rPh>
    <rPh sb="14" eb="15">
      <t>ヒョウ</t>
    </rPh>
    <phoneticPr fontId="3"/>
  </si>
  <si>
    <t>電気設備(照明設備を含む)-その他のもの-倉庫建物</t>
    <phoneticPr fontId="3"/>
  </si>
  <si>
    <t>消火・排煙・災害報知設備及び格納式避難設備-倉庫建物</t>
    <phoneticPr fontId="3"/>
  </si>
  <si>
    <t>アーケード又は日よけ設備-その他のもの-倉庫建物</t>
    <phoneticPr fontId="3"/>
  </si>
  <si>
    <t>可動簡易装備-その他のもの-倉庫建物</t>
    <phoneticPr fontId="3"/>
  </si>
  <si>
    <t>簡易建物(木製主要柱が10cm角以下で土居、杉皮ぶき等)-事務所建物</t>
    <phoneticPr fontId="3"/>
  </si>
  <si>
    <t>資産計上建物　計</t>
    <rPh sb="0" eb="2">
      <t>シサン</t>
    </rPh>
    <rPh sb="2" eb="4">
      <t>ケイジョウ</t>
    </rPh>
    <rPh sb="4" eb="6">
      <t>タテモノ</t>
    </rPh>
    <rPh sb="7" eb="8">
      <t>ケイ</t>
    </rPh>
    <phoneticPr fontId="3"/>
  </si>
  <si>
    <t>資産計上工具・器具・備品計</t>
    <rPh sb="0" eb="2">
      <t>シサン</t>
    </rPh>
    <rPh sb="2" eb="4">
      <t>ケイジョウ</t>
    </rPh>
    <rPh sb="4" eb="6">
      <t>コウグ</t>
    </rPh>
    <rPh sb="7" eb="9">
      <t>キグ</t>
    </rPh>
    <rPh sb="10" eb="12">
      <t>ビヒン</t>
    </rPh>
    <rPh sb="12" eb="13">
      <t>ケイ</t>
    </rPh>
    <phoneticPr fontId="3"/>
  </si>
  <si>
    <t>勘定科目「目」を選択--&gt;</t>
    <rPh sb="5" eb="6">
      <t>モク</t>
    </rPh>
    <phoneticPr fontId="3"/>
  </si>
  <si>
    <t>勘定科目「項」--&gt;</t>
    <rPh sb="5" eb="6">
      <t>コウ</t>
    </rPh>
    <phoneticPr fontId="3"/>
  </si>
  <si>
    <t>勘定科目「目」--&gt;</t>
    <rPh sb="5" eb="6">
      <t>モク</t>
    </rPh>
    <phoneticPr fontId="3"/>
  </si>
  <si>
    <t>資産クラス</t>
  </si>
  <si>
    <t>資産計上構築物　計</t>
    <rPh sb="0" eb="2">
      <t>シサン</t>
    </rPh>
    <rPh sb="2" eb="4">
      <t>ケイジョウ</t>
    </rPh>
    <rPh sb="4" eb="7">
      <t>コウチクブツ</t>
    </rPh>
    <rPh sb="8" eb="9">
      <t>ケイ</t>
    </rPh>
    <phoneticPr fontId="3"/>
  </si>
  <si>
    <t>舗装</t>
    <rPh sb="0" eb="2">
      <t>ホソウ</t>
    </rPh>
    <phoneticPr fontId="3"/>
  </si>
  <si>
    <t>024雑設備</t>
    <rPh sb="3" eb="4">
      <t>ザツ</t>
    </rPh>
    <rPh sb="4" eb="6">
      <t>セツビ</t>
    </rPh>
    <phoneticPr fontId="3"/>
  </si>
  <si>
    <t>コンクリ・ブロック・レンガ・石敷</t>
    <rPh sb="14" eb="15">
      <t>イシ</t>
    </rPh>
    <rPh sb="15" eb="16">
      <t>シキ</t>
    </rPh>
    <phoneticPr fontId="3"/>
  </si>
  <si>
    <t>アスファルト・木れんか敷</t>
    <rPh sb="7" eb="8">
      <t>キ</t>
    </rPh>
    <rPh sb="11" eb="12">
      <t>シキ</t>
    </rPh>
    <phoneticPr fontId="3"/>
  </si>
  <si>
    <t>ビチューマルス敷</t>
    <rPh sb="7" eb="8">
      <t>シキ</t>
    </rPh>
    <phoneticPr fontId="3"/>
  </si>
  <si>
    <t>その他</t>
    <rPh sb="2" eb="3">
      <t>タ</t>
    </rPh>
    <phoneticPr fontId="3"/>
  </si>
  <si>
    <t>02</t>
  </si>
  <si>
    <t>03</t>
  </si>
  <si>
    <t>04</t>
  </si>
  <si>
    <t>05</t>
  </si>
  <si>
    <t>06</t>
  </si>
  <si>
    <t>07</t>
  </si>
  <si>
    <t>鉄骨鉄筋コン造・鉄コン造</t>
    <rPh sb="0" eb="2">
      <t>テッコツ</t>
    </rPh>
    <rPh sb="2" eb="4">
      <t>テッキン</t>
    </rPh>
    <rPh sb="6" eb="7">
      <t>ゾウ</t>
    </rPh>
    <rPh sb="8" eb="9">
      <t>テツ</t>
    </rPh>
    <rPh sb="11" eb="12">
      <t>ゾウ</t>
    </rPh>
    <phoneticPr fontId="3"/>
  </si>
  <si>
    <t>コン造・コンクリートブロック造</t>
    <rPh sb="2" eb="3">
      <t>ゾウ</t>
    </rPh>
    <rPh sb="14" eb="15">
      <t>ゾウ</t>
    </rPh>
    <phoneticPr fontId="3"/>
  </si>
  <si>
    <t>08</t>
  </si>
  <si>
    <t>09</t>
  </si>
  <si>
    <t>金属造</t>
    <rPh sb="0" eb="2">
      <t>キンゾク</t>
    </rPh>
    <rPh sb="2" eb="3">
      <t>ゾウ</t>
    </rPh>
    <phoneticPr fontId="3"/>
  </si>
  <si>
    <t>木造</t>
    <rPh sb="0" eb="1">
      <t>モク</t>
    </rPh>
    <rPh sb="1" eb="2">
      <t>ゾウ</t>
    </rPh>
    <phoneticPr fontId="3"/>
  </si>
  <si>
    <t>電照サイン</t>
    <rPh sb="0" eb="2">
      <t>デンショウ</t>
    </rPh>
    <phoneticPr fontId="3"/>
  </si>
  <si>
    <t>非電照サイン</t>
    <rPh sb="0" eb="1">
      <t>ヒ</t>
    </rPh>
    <rPh sb="1" eb="3">
      <t>デンショウ</t>
    </rPh>
    <phoneticPr fontId="3"/>
  </si>
  <si>
    <t>電照広告</t>
    <rPh sb="0" eb="2">
      <t>デンショウ</t>
    </rPh>
    <rPh sb="2" eb="4">
      <t>コウコク</t>
    </rPh>
    <phoneticPr fontId="3"/>
  </si>
  <si>
    <t>非電照広告</t>
    <rPh sb="0" eb="1">
      <t>ヒ</t>
    </rPh>
    <rPh sb="1" eb="2">
      <t>デン</t>
    </rPh>
    <rPh sb="2" eb="3">
      <t>テ</t>
    </rPh>
    <rPh sb="3" eb="5">
      <t>コウコク</t>
    </rPh>
    <phoneticPr fontId="3"/>
  </si>
  <si>
    <t>電気設備</t>
    <rPh sb="0" eb="2">
      <t>デンキ</t>
    </rPh>
    <rPh sb="2" eb="4">
      <t>セツビ</t>
    </rPh>
    <phoneticPr fontId="3"/>
  </si>
  <si>
    <t>構築物　工事価格　計</t>
    <rPh sb="0" eb="3">
      <t>コウチクブツ</t>
    </rPh>
    <rPh sb="4" eb="6">
      <t>コウジ</t>
    </rPh>
    <rPh sb="6" eb="8">
      <t>カカク</t>
    </rPh>
    <rPh sb="9" eb="10">
      <t>ケイ</t>
    </rPh>
    <phoneticPr fontId="3"/>
  </si>
  <si>
    <t>計上区分　資産or費用を選択⇒</t>
    <rPh sb="0" eb="2">
      <t>ケイジョウ</t>
    </rPh>
    <rPh sb="2" eb="4">
      <t>クブン</t>
    </rPh>
    <rPh sb="5" eb="7">
      <t>シサン</t>
    </rPh>
    <rPh sb="9" eb="11">
      <t>ヒヨウ</t>
    </rPh>
    <rPh sb="12" eb="14">
      <t>センタク</t>
    </rPh>
    <phoneticPr fontId="3"/>
  </si>
  <si>
    <t>費用計上した工事価格</t>
    <rPh sb="0" eb="2">
      <t>ヒヨウ</t>
    </rPh>
    <rPh sb="2" eb="4">
      <t>ケイジョウ</t>
    </rPh>
    <rPh sb="6" eb="8">
      <t>コウジ</t>
    </rPh>
    <rPh sb="8" eb="10">
      <t>カカク</t>
    </rPh>
    <phoneticPr fontId="3"/>
  </si>
  <si>
    <t>舗装道路・舗装路面-コンクリート敷、ブロック敷、煉瓦敷、石敷-車庫工場構築物</t>
    <rPh sb="0" eb="2">
      <t>ホソウ</t>
    </rPh>
    <rPh sb="2" eb="4">
      <t>ドウロ</t>
    </rPh>
    <rPh sb="5" eb="7">
      <t>ホソウ</t>
    </rPh>
    <rPh sb="7" eb="9">
      <t>ロメン</t>
    </rPh>
    <rPh sb="16" eb="17">
      <t>シキ</t>
    </rPh>
    <rPh sb="22" eb="23">
      <t>シキ</t>
    </rPh>
    <rPh sb="24" eb="26">
      <t>レンガ</t>
    </rPh>
    <rPh sb="26" eb="27">
      <t>シキ</t>
    </rPh>
    <rPh sb="28" eb="29">
      <t>イシ</t>
    </rPh>
    <rPh sb="29" eb="30">
      <t>シキ</t>
    </rPh>
    <phoneticPr fontId="3"/>
  </si>
  <si>
    <t>舗装道路・舗装路面-アスファルト敷又は木れんが敷のもの-車庫工場構築物</t>
    <rPh sb="0" eb="2">
      <t>ホソウ</t>
    </rPh>
    <rPh sb="2" eb="4">
      <t>ドウロ</t>
    </rPh>
    <rPh sb="5" eb="7">
      <t>ホソウ</t>
    </rPh>
    <rPh sb="7" eb="9">
      <t>ロメン</t>
    </rPh>
    <rPh sb="16" eb="17">
      <t>シキ</t>
    </rPh>
    <rPh sb="17" eb="18">
      <t>マタ</t>
    </rPh>
    <rPh sb="19" eb="20">
      <t>モク</t>
    </rPh>
    <rPh sb="23" eb="24">
      <t>シキ</t>
    </rPh>
    <phoneticPr fontId="3"/>
  </si>
  <si>
    <t>舗装道路・舗装路面-ビチューマルチ敷のもの-車庫工場構築物</t>
    <rPh sb="0" eb="2">
      <t>ホソウ</t>
    </rPh>
    <rPh sb="2" eb="4">
      <t>ドウロ</t>
    </rPh>
    <rPh sb="5" eb="7">
      <t>ホソウ</t>
    </rPh>
    <rPh sb="7" eb="9">
      <t>ロメン</t>
    </rPh>
    <rPh sb="17" eb="18">
      <t>シキ</t>
    </rPh>
    <phoneticPr fontId="3"/>
  </si>
  <si>
    <t>鉄骨鉄筋コン造・鉄コン造-へい-車庫工場構築物</t>
    <rPh sb="0" eb="2">
      <t>テッコツ</t>
    </rPh>
    <rPh sb="2" eb="4">
      <t>テッキン</t>
    </rPh>
    <rPh sb="6" eb="7">
      <t>ゾウ</t>
    </rPh>
    <rPh sb="8" eb="9">
      <t>テツ</t>
    </rPh>
    <rPh sb="11" eb="12">
      <t>ゾウ</t>
    </rPh>
    <phoneticPr fontId="3"/>
  </si>
  <si>
    <t>鉄骨鉄筋コン造・鉄コン造-その他-車庫工場構築物</t>
    <rPh sb="0" eb="2">
      <t>テッコツ</t>
    </rPh>
    <rPh sb="2" eb="4">
      <t>テッキン</t>
    </rPh>
    <rPh sb="6" eb="7">
      <t>ゾウ</t>
    </rPh>
    <rPh sb="8" eb="9">
      <t>テツ</t>
    </rPh>
    <rPh sb="11" eb="12">
      <t>ゾウ</t>
    </rPh>
    <rPh sb="15" eb="16">
      <t>タ</t>
    </rPh>
    <phoneticPr fontId="3"/>
  </si>
  <si>
    <t>コン造・コンクリートブロック造-へい-車庫工場構築物</t>
    <rPh sb="2" eb="3">
      <t>ゾウ</t>
    </rPh>
    <rPh sb="14" eb="15">
      <t>ゾウ</t>
    </rPh>
    <phoneticPr fontId="3"/>
  </si>
  <si>
    <t>コン造・コンクリートブロック造-その他-車庫工場構築物</t>
    <rPh sb="2" eb="3">
      <t>ゾウ</t>
    </rPh>
    <rPh sb="14" eb="15">
      <t>ゾウ</t>
    </rPh>
    <rPh sb="18" eb="19">
      <t>タ</t>
    </rPh>
    <phoneticPr fontId="3"/>
  </si>
  <si>
    <t>金属造-つり橋、煙突、焼却炉、打ち込み井戸、へい、街路及びガードレール-車庫工場構築物</t>
    <rPh sb="0" eb="2">
      <t>キンゾク</t>
    </rPh>
    <rPh sb="2" eb="3">
      <t>ゾウ</t>
    </rPh>
    <rPh sb="6" eb="7">
      <t>ハシ</t>
    </rPh>
    <rPh sb="8" eb="10">
      <t>エントツ</t>
    </rPh>
    <rPh sb="11" eb="14">
      <t>ショウキャクロ</t>
    </rPh>
    <rPh sb="15" eb="16">
      <t>ウ</t>
    </rPh>
    <rPh sb="17" eb="18">
      <t>コ</t>
    </rPh>
    <rPh sb="19" eb="21">
      <t>イド</t>
    </rPh>
    <rPh sb="25" eb="27">
      <t>ガイロ</t>
    </rPh>
    <rPh sb="27" eb="28">
      <t>オヨ</t>
    </rPh>
    <phoneticPr fontId="3"/>
  </si>
  <si>
    <t>金属造-その他-車庫工場構築物</t>
    <rPh sb="0" eb="2">
      <t>キンゾク</t>
    </rPh>
    <rPh sb="2" eb="3">
      <t>ゾウ</t>
    </rPh>
    <rPh sb="6" eb="7">
      <t>タ</t>
    </rPh>
    <phoneticPr fontId="3"/>
  </si>
  <si>
    <t>木造-へい-車庫工場構築物</t>
    <rPh sb="0" eb="2">
      <t>モクゾウ</t>
    </rPh>
    <phoneticPr fontId="3"/>
  </si>
  <si>
    <t>木造-その他-車庫工場構築物</t>
    <rPh sb="0" eb="2">
      <t>モクゾウ</t>
    </rPh>
    <rPh sb="5" eb="6">
      <t>タ</t>
    </rPh>
    <phoneticPr fontId="3"/>
  </si>
  <si>
    <t>舗装道路・舗装路面-コンクリート敷、ブロック敷、煉瓦敷、石敷-変電所構築物</t>
    <rPh sb="0" eb="2">
      <t>ホソウ</t>
    </rPh>
    <rPh sb="2" eb="4">
      <t>ドウロ</t>
    </rPh>
    <rPh sb="5" eb="7">
      <t>ホソウ</t>
    </rPh>
    <rPh sb="7" eb="9">
      <t>ロメン</t>
    </rPh>
    <rPh sb="16" eb="17">
      <t>シキ</t>
    </rPh>
    <rPh sb="22" eb="23">
      <t>シキ</t>
    </rPh>
    <rPh sb="24" eb="26">
      <t>レンガ</t>
    </rPh>
    <rPh sb="26" eb="27">
      <t>シキ</t>
    </rPh>
    <rPh sb="28" eb="29">
      <t>イシ</t>
    </rPh>
    <rPh sb="29" eb="30">
      <t>シキ</t>
    </rPh>
    <phoneticPr fontId="3"/>
  </si>
  <si>
    <t>舗装道路・舗装路面-アスファルト敷又は木れんが敷のもの-変電所構築物</t>
    <rPh sb="0" eb="2">
      <t>ホソウ</t>
    </rPh>
    <rPh sb="2" eb="4">
      <t>ドウロ</t>
    </rPh>
    <rPh sb="5" eb="7">
      <t>ホソウ</t>
    </rPh>
    <rPh sb="7" eb="9">
      <t>ロメン</t>
    </rPh>
    <rPh sb="16" eb="17">
      <t>シキ</t>
    </rPh>
    <rPh sb="17" eb="18">
      <t>マタ</t>
    </rPh>
    <rPh sb="19" eb="20">
      <t>モク</t>
    </rPh>
    <rPh sb="23" eb="24">
      <t>シキ</t>
    </rPh>
    <phoneticPr fontId="3"/>
  </si>
  <si>
    <t>舗装道路・舗装路面-ビチューマルチ敷のもの-変電所構築物</t>
    <rPh sb="0" eb="2">
      <t>ホソウ</t>
    </rPh>
    <rPh sb="2" eb="4">
      <t>ドウロ</t>
    </rPh>
    <rPh sb="5" eb="7">
      <t>ホソウ</t>
    </rPh>
    <rPh sb="7" eb="9">
      <t>ロメン</t>
    </rPh>
    <rPh sb="17" eb="18">
      <t>シキ</t>
    </rPh>
    <phoneticPr fontId="3"/>
  </si>
  <si>
    <t>鉄骨鉄筋コン造・鉄コン造-へい-変電所構築物</t>
    <rPh sb="0" eb="2">
      <t>テッコツ</t>
    </rPh>
    <rPh sb="2" eb="4">
      <t>テッキン</t>
    </rPh>
    <rPh sb="6" eb="7">
      <t>ゾウ</t>
    </rPh>
    <rPh sb="8" eb="9">
      <t>テツ</t>
    </rPh>
    <rPh sb="11" eb="12">
      <t>ゾウ</t>
    </rPh>
    <phoneticPr fontId="3"/>
  </si>
  <si>
    <t>鉄骨鉄筋コン造・鉄コン造-その他-変電所構築物</t>
    <rPh sb="0" eb="2">
      <t>テッコツ</t>
    </rPh>
    <rPh sb="2" eb="4">
      <t>テッキン</t>
    </rPh>
    <rPh sb="6" eb="7">
      <t>ゾウ</t>
    </rPh>
    <rPh sb="8" eb="9">
      <t>テツ</t>
    </rPh>
    <rPh sb="11" eb="12">
      <t>ゾウ</t>
    </rPh>
    <rPh sb="15" eb="16">
      <t>タ</t>
    </rPh>
    <phoneticPr fontId="3"/>
  </si>
  <si>
    <t>コン造・コンクリートブロック造-へい-変電所構築物</t>
    <rPh sb="2" eb="3">
      <t>ゾウ</t>
    </rPh>
    <rPh sb="14" eb="15">
      <t>ゾウ</t>
    </rPh>
    <phoneticPr fontId="3"/>
  </si>
  <si>
    <t>コン造・コンクリートブロック造-その他-変電所構築物</t>
    <rPh sb="2" eb="3">
      <t>ゾウ</t>
    </rPh>
    <rPh sb="14" eb="15">
      <t>ゾウ</t>
    </rPh>
    <rPh sb="18" eb="19">
      <t>タ</t>
    </rPh>
    <phoneticPr fontId="3"/>
  </si>
  <si>
    <t>金属造-つり橋、煙突、焼却炉、打ち込み井戸、へい、街路及びガードレール-変電所構築物</t>
    <rPh sb="0" eb="2">
      <t>キンゾク</t>
    </rPh>
    <rPh sb="2" eb="3">
      <t>ゾウ</t>
    </rPh>
    <rPh sb="6" eb="7">
      <t>ハシ</t>
    </rPh>
    <rPh sb="8" eb="10">
      <t>エントツ</t>
    </rPh>
    <rPh sb="11" eb="14">
      <t>ショウキャクロ</t>
    </rPh>
    <rPh sb="15" eb="16">
      <t>ウ</t>
    </rPh>
    <rPh sb="17" eb="18">
      <t>コ</t>
    </rPh>
    <rPh sb="19" eb="21">
      <t>イド</t>
    </rPh>
    <rPh sb="25" eb="27">
      <t>ガイロ</t>
    </rPh>
    <rPh sb="27" eb="28">
      <t>オヨ</t>
    </rPh>
    <phoneticPr fontId="3"/>
  </si>
  <si>
    <t>金属造-その他-変電所構築物</t>
    <rPh sb="0" eb="2">
      <t>キンゾク</t>
    </rPh>
    <rPh sb="2" eb="3">
      <t>ゾウ</t>
    </rPh>
    <rPh sb="6" eb="7">
      <t>タ</t>
    </rPh>
    <phoneticPr fontId="3"/>
  </si>
  <si>
    <t>木造-へい-変電所構築物</t>
    <rPh sb="0" eb="2">
      <t>モクゾウ</t>
    </rPh>
    <phoneticPr fontId="3"/>
  </si>
  <si>
    <t>木造-その他-変電所構築物</t>
    <rPh sb="0" eb="2">
      <t>モクゾウ</t>
    </rPh>
    <rPh sb="5" eb="6">
      <t>タ</t>
    </rPh>
    <phoneticPr fontId="3"/>
  </si>
  <si>
    <t>舗装道路・舗装路面-コンクリート敷、ブロック敷、煉瓦敷、石敷-雑構築物</t>
    <rPh sb="0" eb="2">
      <t>ホソウ</t>
    </rPh>
    <rPh sb="2" eb="4">
      <t>ドウロ</t>
    </rPh>
    <rPh sb="5" eb="7">
      <t>ホソウ</t>
    </rPh>
    <rPh sb="7" eb="9">
      <t>ロメン</t>
    </rPh>
    <rPh sb="16" eb="17">
      <t>シキ</t>
    </rPh>
    <rPh sb="22" eb="23">
      <t>シキ</t>
    </rPh>
    <rPh sb="24" eb="26">
      <t>レンガ</t>
    </rPh>
    <rPh sb="26" eb="27">
      <t>シキ</t>
    </rPh>
    <rPh sb="28" eb="29">
      <t>イシ</t>
    </rPh>
    <rPh sb="29" eb="30">
      <t>シキ</t>
    </rPh>
    <phoneticPr fontId="3"/>
  </si>
  <si>
    <t>舗装道路・舗装路面-アスファルト敷又は木れんが敷のもの-雑構築物</t>
    <rPh sb="0" eb="2">
      <t>ホソウ</t>
    </rPh>
    <rPh sb="2" eb="4">
      <t>ドウロ</t>
    </rPh>
    <rPh sb="5" eb="7">
      <t>ホソウ</t>
    </rPh>
    <rPh sb="7" eb="9">
      <t>ロメン</t>
    </rPh>
    <rPh sb="16" eb="17">
      <t>シキ</t>
    </rPh>
    <rPh sb="17" eb="18">
      <t>マタ</t>
    </rPh>
    <rPh sb="19" eb="20">
      <t>モク</t>
    </rPh>
    <rPh sb="23" eb="24">
      <t>シキ</t>
    </rPh>
    <phoneticPr fontId="3"/>
  </si>
  <si>
    <t>舗装道路・舗装路面-ビチューマルチ敷のもの-雑構築物</t>
    <rPh sb="0" eb="2">
      <t>ホソウ</t>
    </rPh>
    <rPh sb="2" eb="4">
      <t>ドウロ</t>
    </rPh>
    <rPh sb="5" eb="7">
      <t>ホソウ</t>
    </rPh>
    <rPh sb="7" eb="9">
      <t>ロメン</t>
    </rPh>
    <rPh sb="17" eb="18">
      <t>シキ</t>
    </rPh>
    <phoneticPr fontId="3"/>
  </si>
  <si>
    <t>鉄骨鉄筋コン造・鉄コン造-へい-雑構築物</t>
    <rPh sb="0" eb="2">
      <t>テッコツ</t>
    </rPh>
    <rPh sb="2" eb="4">
      <t>テッキン</t>
    </rPh>
    <rPh sb="6" eb="7">
      <t>ゾウ</t>
    </rPh>
    <rPh sb="8" eb="9">
      <t>テツ</t>
    </rPh>
    <rPh sb="11" eb="12">
      <t>ゾウ</t>
    </rPh>
    <phoneticPr fontId="3"/>
  </si>
  <si>
    <t>鉄骨鉄筋コン造・鉄コン造-その他-雑構築物</t>
    <rPh sb="0" eb="2">
      <t>テッコツ</t>
    </rPh>
    <rPh sb="2" eb="4">
      <t>テッキン</t>
    </rPh>
    <rPh sb="6" eb="7">
      <t>ゾウ</t>
    </rPh>
    <rPh sb="8" eb="9">
      <t>テツ</t>
    </rPh>
    <rPh sb="11" eb="12">
      <t>ゾウ</t>
    </rPh>
    <rPh sb="15" eb="16">
      <t>タ</t>
    </rPh>
    <phoneticPr fontId="3"/>
  </si>
  <si>
    <t>コン造・コンクリートブロック造-へい-雑構築物</t>
    <rPh sb="2" eb="3">
      <t>ゾウ</t>
    </rPh>
    <rPh sb="14" eb="15">
      <t>ゾウ</t>
    </rPh>
    <phoneticPr fontId="3"/>
  </si>
  <si>
    <t>コン造・コンクリートブロック造-その他-雑構築物</t>
    <rPh sb="2" eb="3">
      <t>ゾウ</t>
    </rPh>
    <rPh sb="14" eb="15">
      <t>ゾウ</t>
    </rPh>
    <rPh sb="18" eb="19">
      <t>タ</t>
    </rPh>
    <phoneticPr fontId="3"/>
  </si>
  <si>
    <t>金属造-つり橋、煙突、焼却炉、打ち込み井戸、へい、街路及びガードレール-雑構築物</t>
    <rPh sb="0" eb="2">
      <t>キンゾク</t>
    </rPh>
    <rPh sb="2" eb="3">
      <t>ゾウ</t>
    </rPh>
    <rPh sb="6" eb="7">
      <t>ハシ</t>
    </rPh>
    <rPh sb="8" eb="10">
      <t>エントツ</t>
    </rPh>
    <rPh sb="11" eb="14">
      <t>ショウキャクロ</t>
    </rPh>
    <rPh sb="15" eb="16">
      <t>ウ</t>
    </rPh>
    <rPh sb="17" eb="18">
      <t>コ</t>
    </rPh>
    <rPh sb="19" eb="21">
      <t>イド</t>
    </rPh>
    <rPh sb="25" eb="27">
      <t>ガイロ</t>
    </rPh>
    <rPh sb="27" eb="28">
      <t>オヨ</t>
    </rPh>
    <phoneticPr fontId="3"/>
  </si>
  <si>
    <t>金属造-その他-雑構築物</t>
    <rPh sb="0" eb="2">
      <t>キンゾク</t>
    </rPh>
    <rPh sb="2" eb="3">
      <t>ゾウ</t>
    </rPh>
    <rPh sb="6" eb="7">
      <t>タ</t>
    </rPh>
    <phoneticPr fontId="3"/>
  </si>
  <si>
    <t>木造-へい-雑構築物</t>
    <rPh sb="0" eb="2">
      <t>モクゾウ</t>
    </rPh>
    <phoneticPr fontId="3"/>
  </si>
  <si>
    <t>木造-その他-雑構築物</t>
    <rPh sb="0" eb="2">
      <t>モクゾウ</t>
    </rPh>
    <rPh sb="5" eb="6">
      <t>タ</t>
    </rPh>
    <phoneticPr fontId="3"/>
  </si>
  <si>
    <t>　　うち、一般管理費等</t>
    <rPh sb="5" eb="7">
      <t>イッパン</t>
    </rPh>
    <rPh sb="7" eb="10">
      <t>カンリヒ</t>
    </rPh>
    <rPh sb="10" eb="11">
      <t>トウ</t>
    </rPh>
    <phoneticPr fontId="3"/>
  </si>
  <si>
    <t>　　うち、共通仮設費 　</t>
    <rPh sb="5" eb="7">
      <t>キョウツウ</t>
    </rPh>
    <rPh sb="7" eb="9">
      <t>カセツ</t>
    </rPh>
    <rPh sb="9" eb="10">
      <t>ヒ</t>
    </rPh>
    <phoneticPr fontId="3"/>
  </si>
  <si>
    <t xml:space="preserve">　　うち、現場管理費　 </t>
    <rPh sb="5" eb="7">
      <t>ゲンバ</t>
    </rPh>
    <rPh sb="7" eb="10">
      <t>カンリヒ</t>
    </rPh>
    <phoneticPr fontId="3"/>
  </si>
  <si>
    <t>０５建物　直接工事費</t>
    <rPh sb="2" eb="4">
      <t>タテモノ</t>
    </rPh>
    <rPh sb="5" eb="7">
      <t>チョクセツ</t>
    </rPh>
    <rPh sb="7" eb="10">
      <t>コウジヒ</t>
    </rPh>
    <phoneticPr fontId="3"/>
  </si>
  <si>
    <t>１０構築物　直接工事費</t>
    <rPh sb="2" eb="5">
      <t>コウチクブツ</t>
    </rPh>
    <rPh sb="6" eb="8">
      <t>チョクセツ</t>
    </rPh>
    <rPh sb="8" eb="11">
      <t>コウジヒ</t>
    </rPh>
    <phoneticPr fontId="3"/>
  </si>
  <si>
    <t>２５工具・器具・備品　直接工事費</t>
    <rPh sb="2" eb="4">
      <t>コウグ</t>
    </rPh>
    <rPh sb="5" eb="7">
      <t>キグ</t>
    </rPh>
    <rPh sb="8" eb="10">
      <t>ビヒン</t>
    </rPh>
    <rPh sb="11" eb="13">
      <t>チョクセツ</t>
    </rPh>
    <rPh sb="13" eb="16">
      <t>コウジヒ</t>
    </rPh>
    <phoneticPr fontId="3"/>
  </si>
  <si>
    <t>資　産　ク　ラ　ス　・　計　上　区　分</t>
    <rPh sb="0" eb="1">
      <t>シ</t>
    </rPh>
    <rPh sb="2" eb="3">
      <t>サン</t>
    </rPh>
    <rPh sb="12" eb="13">
      <t>ケイ</t>
    </rPh>
    <rPh sb="14" eb="15">
      <t>ウエ</t>
    </rPh>
    <rPh sb="16" eb="17">
      <t>ク</t>
    </rPh>
    <rPh sb="18" eb="19">
      <t>ブン</t>
    </rPh>
    <phoneticPr fontId="3"/>
  </si>
  <si>
    <t>資産クラス</t>
    <rPh sb="0" eb="2">
      <t>シサン</t>
    </rPh>
    <phoneticPr fontId="3"/>
  </si>
  <si>
    <t>廃プラ
(ｱｽﾍﾞ)</t>
  </si>
  <si>
    <t>資産ｸﾗｽ</t>
    <rPh sb="0" eb="2">
      <t>シサン</t>
    </rPh>
    <phoneticPr fontId="3"/>
  </si>
  <si>
    <t>根切り (人力)</t>
    <phoneticPr fontId="3"/>
  </si>
  <si>
    <t>人力根切り</t>
    <phoneticPr fontId="3"/>
  </si>
  <si>
    <t>m3</t>
    <phoneticPr fontId="3"/>
  </si>
  <si>
    <t>埋戻し</t>
    <phoneticPr fontId="3"/>
  </si>
  <si>
    <t>人力　締固め共</t>
    <phoneticPr fontId="3"/>
  </si>
  <si>
    <t>標準</t>
    <phoneticPr fontId="3"/>
  </si>
  <si>
    <t>---</t>
  </si>
  <si>
    <t>m3</t>
    <phoneticPr fontId="3"/>
  </si>
  <si>
    <t>掘削量≦２０m3の場合</t>
    <phoneticPr fontId="3"/>
  </si>
  <si>
    <t>05建物</t>
    <rPh sb="2" eb="4">
      <t>タテモノ</t>
    </rPh>
    <phoneticPr fontId="3"/>
  </si>
  <si>
    <t>10構築物</t>
    <rPh sb="2" eb="5">
      <t>コウチクブツ</t>
    </rPh>
    <phoneticPr fontId="3"/>
  </si>
  <si>
    <t>非電照広告</t>
    <rPh sb="0" eb="1">
      <t>ヒ</t>
    </rPh>
    <rPh sb="1" eb="3">
      <t>デンショウ</t>
    </rPh>
    <rPh sb="3" eb="5">
      <t>コウコク</t>
    </rPh>
    <phoneticPr fontId="3"/>
  </si>
  <si>
    <t>建物附属設備</t>
    <rPh sb="0" eb="2">
      <t>タテモノ</t>
    </rPh>
    <rPh sb="2" eb="4">
      <t>フゾク</t>
    </rPh>
    <rPh sb="4" eb="6">
      <t>セツビ</t>
    </rPh>
    <phoneticPr fontId="3"/>
  </si>
  <si>
    <t>作業時間</t>
    <phoneticPr fontId="3"/>
  </si>
  <si>
    <t xml:space="preserve">  計</t>
    <phoneticPr fontId="3"/>
  </si>
  <si>
    <t>作業時間</t>
    <phoneticPr fontId="3"/>
  </si>
  <si>
    <t>page</t>
    <phoneticPr fontId="3"/>
  </si>
  <si>
    <t>このシートのページ数を変更したい場合は、必要ページ数を入力↓</t>
    <rPh sb="9" eb="10">
      <t>スウ</t>
    </rPh>
    <rPh sb="11" eb="13">
      <t>ヘンコウ</t>
    </rPh>
    <rPh sb="16" eb="18">
      <t>バアイ</t>
    </rPh>
    <rPh sb="20" eb="22">
      <t>ヒツヨウ</t>
    </rPh>
    <rPh sb="25" eb="26">
      <t>スウ</t>
    </rPh>
    <rPh sb="27" eb="29">
      <t>ニュウリョク</t>
    </rPh>
    <phoneticPr fontId="3"/>
  </si>
  <si>
    <t>駅前広場舗装等</t>
    <rPh sb="0" eb="1">
      <t>エキ</t>
    </rPh>
    <rPh sb="1" eb="2">
      <t>マエ</t>
    </rPh>
    <rPh sb="2" eb="4">
      <t>ヒロバ</t>
    </rPh>
    <rPh sb="4" eb="6">
      <t>ホソウ</t>
    </rPh>
    <rPh sb="6" eb="7">
      <t>トウ</t>
    </rPh>
    <phoneticPr fontId="3"/>
  </si>
  <si>
    <t>無人駐車管理装置</t>
    <rPh sb="0" eb="2">
      <t>ムジン</t>
    </rPh>
    <rPh sb="2" eb="4">
      <t>チュウシャ</t>
    </rPh>
    <rPh sb="4" eb="6">
      <t>カンリ</t>
    </rPh>
    <rPh sb="6" eb="8">
      <t>ソウチ</t>
    </rPh>
    <phoneticPr fontId="3"/>
  </si>
  <si>
    <t>その他（金造製）</t>
    <rPh sb="2" eb="3">
      <t>タ</t>
    </rPh>
    <rPh sb="4" eb="5">
      <t>キン</t>
    </rPh>
    <rPh sb="6" eb="7">
      <t>セイ</t>
    </rPh>
    <phoneticPr fontId="3"/>
  </si>
  <si>
    <t>その他（その他）</t>
    <rPh sb="2" eb="3">
      <t>タ</t>
    </rPh>
    <rPh sb="6" eb="7">
      <t>タ</t>
    </rPh>
    <phoneticPr fontId="3"/>
  </si>
  <si>
    <t>（停車場設備）</t>
    <rPh sb="1" eb="4">
      <t>テイシャジョウ</t>
    </rPh>
    <rPh sb="4" eb="6">
      <t>セツビ</t>
    </rPh>
    <phoneticPr fontId="3"/>
  </si>
  <si>
    <t>直接仮設費</t>
    <rPh sb="0" eb="2">
      <t>チョクセツ</t>
    </rPh>
    <rPh sb="2" eb="4">
      <t>カセツ</t>
    </rPh>
    <rPh sb="4" eb="5">
      <t>ヒ</t>
    </rPh>
    <phoneticPr fontId="3"/>
  </si>
  <si>
    <t>部分撤去工事</t>
    <rPh sb="0" eb="2">
      <t>ブブン</t>
    </rPh>
    <rPh sb="2" eb="4">
      <t>テッキョ</t>
    </rPh>
    <rPh sb="4" eb="6">
      <t>コウジ</t>
    </rPh>
    <phoneticPr fontId="3"/>
  </si>
  <si>
    <t>直接仮設及び部分撤去工事を除く直接工事費</t>
    <rPh sb="0" eb="2">
      <t>チョクセツ</t>
    </rPh>
    <rPh sb="2" eb="4">
      <t>カセツ</t>
    </rPh>
    <rPh sb="4" eb="5">
      <t>オヨ</t>
    </rPh>
    <rPh sb="6" eb="8">
      <t>ブブン</t>
    </rPh>
    <rPh sb="8" eb="10">
      <t>テッキョ</t>
    </rPh>
    <rPh sb="10" eb="12">
      <t>コウジ</t>
    </rPh>
    <rPh sb="13" eb="14">
      <t>ノゾ</t>
    </rPh>
    <rPh sb="15" eb="17">
      <t>チョクセツ</t>
    </rPh>
    <rPh sb="17" eb="19">
      <t>コウジ</t>
    </rPh>
    <rPh sb="19" eb="20">
      <t>ヒ</t>
    </rPh>
    <phoneticPr fontId="3"/>
  </si>
  <si>
    <t>資産</t>
    <rPh sb="0" eb="2">
      <t>シサン</t>
    </rPh>
    <phoneticPr fontId="3"/>
  </si>
  <si>
    <t>うち部分撤去工事</t>
    <rPh sb="2" eb="4">
      <t>ブブン</t>
    </rPh>
    <rPh sb="4" eb="6">
      <t>テッキョ</t>
    </rPh>
    <rPh sb="6" eb="8">
      <t>コウジ</t>
    </rPh>
    <phoneticPr fontId="3"/>
  </si>
  <si>
    <t>01</t>
    <phoneticPr fontId="3"/>
  </si>
  <si>
    <t>鉄コン造</t>
    <phoneticPr fontId="3"/>
  </si>
  <si>
    <t>02</t>
    <phoneticPr fontId="3"/>
  </si>
  <si>
    <t>れんが石ブロック造</t>
    <phoneticPr fontId="3"/>
  </si>
  <si>
    <t>03</t>
    <phoneticPr fontId="3"/>
  </si>
  <si>
    <t>金属造(4mm超)</t>
    <phoneticPr fontId="3"/>
  </si>
  <si>
    <t>04</t>
    <phoneticPr fontId="3"/>
  </si>
  <si>
    <t>金属造(3mm超4mm以下)</t>
    <phoneticPr fontId="3"/>
  </si>
  <si>
    <t>05</t>
    <phoneticPr fontId="3"/>
  </si>
  <si>
    <t>金属造(肉厚が3mm以下)</t>
    <phoneticPr fontId="3"/>
  </si>
  <si>
    <t>06</t>
    <phoneticPr fontId="3"/>
  </si>
  <si>
    <t>木造又は合成樹脂造</t>
    <phoneticPr fontId="3"/>
  </si>
  <si>
    <t>07</t>
    <phoneticPr fontId="3"/>
  </si>
  <si>
    <t>木骨モルタル造</t>
    <phoneticPr fontId="3"/>
  </si>
  <si>
    <t>08</t>
    <phoneticPr fontId="3"/>
  </si>
  <si>
    <t>簡易建物(木製主要柱10cm角以下)</t>
    <phoneticPr fontId="3"/>
  </si>
  <si>
    <t>09</t>
    <phoneticPr fontId="3"/>
  </si>
  <si>
    <t>簡易建物(掘立造　仮設のもの)</t>
    <phoneticPr fontId="3"/>
  </si>
  <si>
    <t>10</t>
    <phoneticPr fontId="3"/>
  </si>
  <si>
    <t>電気設備(照明設備を含む)-蓄電池電源設備</t>
    <phoneticPr fontId="3"/>
  </si>
  <si>
    <t>11</t>
    <phoneticPr fontId="3"/>
  </si>
  <si>
    <t>電気設備(照明設備を含む)-その他のもの</t>
    <phoneticPr fontId="3"/>
  </si>
  <si>
    <t>12</t>
    <phoneticPr fontId="3"/>
  </si>
  <si>
    <t>給排水又は衛生設備及びガス設備</t>
    <phoneticPr fontId="3"/>
  </si>
  <si>
    <t>13</t>
    <phoneticPr fontId="3"/>
  </si>
  <si>
    <t>冷暖房・通風・ボイラー設備-22kw以下</t>
    <phoneticPr fontId="3"/>
  </si>
  <si>
    <t>14</t>
    <phoneticPr fontId="3"/>
  </si>
  <si>
    <t>冷暖房・通風・ボイラー設備-その他のもの</t>
    <phoneticPr fontId="3"/>
  </si>
  <si>
    <t>15</t>
    <phoneticPr fontId="3"/>
  </si>
  <si>
    <t>昇降機設備-エレベーター</t>
    <phoneticPr fontId="3"/>
  </si>
  <si>
    <t>16</t>
    <phoneticPr fontId="3"/>
  </si>
  <si>
    <t>昇降機設備-エスカレーター</t>
    <phoneticPr fontId="3"/>
  </si>
  <si>
    <t>17</t>
    <phoneticPr fontId="3"/>
  </si>
  <si>
    <t>消火・排煙・災害報知設備及び格納式避難設備</t>
    <phoneticPr fontId="3"/>
  </si>
  <si>
    <t>18</t>
    <phoneticPr fontId="3"/>
  </si>
  <si>
    <t>エヤーカーテン又はドアー自動開閉設備</t>
    <phoneticPr fontId="3"/>
  </si>
  <si>
    <t>19</t>
    <phoneticPr fontId="3"/>
  </si>
  <si>
    <t>アーケード又は日よけ設備-金属製</t>
    <phoneticPr fontId="3"/>
  </si>
  <si>
    <t>20</t>
    <phoneticPr fontId="3"/>
  </si>
  <si>
    <t>21</t>
    <phoneticPr fontId="3"/>
  </si>
  <si>
    <t>22</t>
    <phoneticPr fontId="3"/>
  </si>
  <si>
    <t>可動簡易装備-簡易なもの</t>
    <phoneticPr fontId="3"/>
  </si>
  <si>
    <t>23</t>
    <phoneticPr fontId="3"/>
  </si>
  <si>
    <t>可動簡易装備-その他のもの</t>
    <phoneticPr fontId="3"/>
  </si>
  <si>
    <t>24</t>
    <phoneticPr fontId="3"/>
  </si>
  <si>
    <t>前掲以外・前掲区分外-主として金属製のもの</t>
    <phoneticPr fontId="3"/>
  </si>
  <si>
    <t>25</t>
    <phoneticPr fontId="3"/>
  </si>
  <si>
    <t>前掲以外・前掲区分外-その他のもの</t>
    <phoneticPr fontId="3"/>
  </si>
  <si>
    <t>その他</t>
    <phoneticPr fontId="3"/>
  </si>
  <si>
    <t>（諸構築物）</t>
    <phoneticPr fontId="3"/>
  </si>
  <si>
    <t>01</t>
    <phoneticPr fontId="3"/>
  </si>
  <si>
    <t>へい</t>
    <phoneticPr fontId="3"/>
  </si>
  <si>
    <t>10</t>
    <phoneticPr fontId="3"/>
  </si>
  <si>
    <t>11</t>
    <phoneticPr fontId="3"/>
  </si>
  <si>
    <t>25工具・器具・備品</t>
    <phoneticPr fontId="3"/>
  </si>
  <si>
    <t>059工具・器具・備品</t>
    <phoneticPr fontId="3"/>
  </si>
  <si>
    <t>看板・広告機器-(主として金属製)</t>
    <phoneticPr fontId="3"/>
  </si>
  <si>
    <t>看板・広告機器-その他のもの</t>
    <phoneticPr fontId="3"/>
  </si>
  <si>
    <t>12505988</t>
    <phoneticPr fontId="3"/>
  </si>
  <si>
    <t>12505990</t>
    <phoneticPr fontId="3"/>
  </si>
  <si>
    <t>12505991</t>
    <phoneticPr fontId="3"/>
  </si>
  <si>
    <t>資産　直接工事費（直接仮設・費用・部分撤去工事を除く）合計</t>
    <rPh sb="0" eb="2">
      <t>シサン</t>
    </rPh>
    <rPh sb="3" eb="5">
      <t>チョクセツ</t>
    </rPh>
    <rPh sb="5" eb="7">
      <t>コウジ</t>
    </rPh>
    <rPh sb="7" eb="8">
      <t>ヒ</t>
    </rPh>
    <rPh sb="9" eb="11">
      <t>チョクセツ</t>
    </rPh>
    <rPh sb="11" eb="13">
      <t>カセツ</t>
    </rPh>
    <rPh sb="14" eb="16">
      <t>ヒヨウ</t>
    </rPh>
    <rPh sb="17" eb="19">
      <t>ブブン</t>
    </rPh>
    <rPh sb="19" eb="21">
      <t>テッキョ</t>
    </rPh>
    <rPh sb="21" eb="23">
      <t>コウジ</t>
    </rPh>
    <rPh sb="24" eb="25">
      <t>ノゾ</t>
    </rPh>
    <rPh sb="27" eb="29">
      <t>ゴウケイ</t>
    </rPh>
    <phoneticPr fontId="3"/>
  </si>
  <si>
    <t>鉄骨鉄筋コンクリート造又は鉄筋コンクリート造-停車場建物</t>
    <phoneticPr fontId="3"/>
  </si>
  <si>
    <t>れんが造、石造又はブロック造-停車場建物</t>
    <phoneticPr fontId="3"/>
  </si>
  <si>
    <t>金属造(骨格材の肉厚が4mm超)-停車場建物</t>
    <phoneticPr fontId="3"/>
  </si>
  <si>
    <t>金属造(骨格材の肉厚が3mm超4mm以下)-停車場建物</t>
    <phoneticPr fontId="3"/>
  </si>
  <si>
    <t>金属造(骨格材の肉厚が3mm以下)-停車場建物</t>
    <phoneticPr fontId="3"/>
  </si>
  <si>
    <t>木造又は合成樹脂造-停車場建物</t>
    <phoneticPr fontId="3"/>
  </si>
  <si>
    <t>木骨モルタル造-停車場建物</t>
    <phoneticPr fontId="3"/>
  </si>
  <si>
    <t>簡易建物(木製主要柱が10cm角以下で土居、杉皮ぶき等)-停車場建物</t>
    <phoneticPr fontId="3"/>
  </si>
  <si>
    <t>簡易建物(掘立造のもの及び仮設のもの)-停車場建物</t>
    <phoneticPr fontId="3"/>
  </si>
  <si>
    <t>電気設備(照明設備を含む)-蓄電池電源設備-停車場建物</t>
    <phoneticPr fontId="3"/>
  </si>
  <si>
    <t>電気設備(照明設備を含む)-その他のもの-停車場建物</t>
    <phoneticPr fontId="3"/>
  </si>
  <si>
    <t>給排水又は衛生設備及びガス設備-停車場建物</t>
    <phoneticPr fontId="3"/>
  </si>
  <si>
    <t>冷暖房・通風・ボイラー設備-22kw以下-停車場建物</t>
    <phoneticPr fontId="3"/>
  </si>
  <si>
    <t>冷暖房・通風・ボイラー設備-その他のもの-停車場建物</t>
    <phoneticPr fontId="3"/>
  </si>
  <si>
    <t>昇降機設備-エレベーター-停車場建物</t>
    <phoneticPr fontId="3"/>
  </si>
  <si>
    <t>昇降機設備-エスカレーター-停車場建物</t>
    <phoneticPr fontId="3"/>
  </si>
  <si>
    <t>消火・排煙・災害報知設備及び格納式避難設備-停車場建物</t>
    <phoneticPr fontId="3"/>
  </si>
  <si>
    <t>エヤーカーテン又はドアー自動開閉設備-停車場建物</t>
    <phoneticPr fontId="3"/>
  </si>
  <si>
    <t>アーケード又は日よけ設備-金属製-停車場建物</t>
    <phoneticPr fontId="3"/>
  </si>
  <si>
    <t>アーケード又は日よけ設備-その他のもの-停車場建物</t>
    <phoneticPr fontId="3"/>
  </si>
  <si>
    <t>店用簡易設備-停車場建物</t>
    <phoneticPr fontId="3"/>
  </si>
  <si>
    <t>可動簡易装備-簡易なもの-停車場建物</t>
    <phoneticPr fontId="3"/>
  </si>
  <si>
    <t>可動簡易装備-その他のもの-停車場建物</t>
    <phoneticPr fontId="3"/>
  </si>
  <si>
    <t>前掲以外・前掲区分外-主として金属製のもの-停車場建物</t>
    <phoneticPr fontId="3"/>
  </si>
  <si>
    <t>前掲以外・前掲区分外-その他のもの-停車場建物</t>
    <phoneticPr fontId="3"/>
  </si>
  <si>
    <t>鉄骨鉄筋コンクリート造又は鉄筋コンクリート造-変電所建物</t>
    <phoneticPr fontId="3"/>
  </si>
  <si>
    <t>れんが造、石造又はブロック造-変電所建物</t>
    <phoneticPr fontId="3"/>
  </si>
  <si>
    <t>金属造(骨格材の肉厚が4mm超)-変電所建物</t>
    <phoneticPr fontId="3"/>
  </si>
  <si>
    <t>金属造(骨格材の肉厚が3mm超4mm以下)-変電所建物</t>
    <phoneticPr fontId="3"/>
  </si>
  <si>
    <t>金属造(骨格材の肉厚が3mm以下)-変電所建物</t>
    <phoneticPr fontId="3"/>
  </si>
  <si>
    <t>木造又は合成樹脂造-変電所建物</t>
    <phoneticPr fontId="3"/>
  </si>
  <si>
    <t>木骨モルタル造-変電所建物</t>
    <phoneticPr fontId="3"/>
  </si>
  <si>
    <t>簡易建物(木製主要柱が10cm角以下で土居、杉皮ぶき等)-変電所建物</t>
    <phoneticPr fontId="3"/>
  </si>
  <si>
    <t>簡易建物(掘立造のもの及び仮設のもの)-変電所建物</t>
    <phoneticPr fontId="3"/>
  </si>
  <si>
    <t>電気設備(照明設備を含む)-蓄電池電源設備-変電所建物</t>
    <phoneticPr fontId="3"/>
  </si>
  <si>
    <t>電気設備(照明設備を含む)-その他のもの-変電所建物</t>
    <phoneticPr fontId="3"/>
  </si>
  <si>
    <t>給排水又は衛生設備及びガス設備-変電所建物</t>
    <phoneticPr fontId="3"/>
  </si>
  <si>
    <t>冷暖房・通風・ボイラー設備-22kw以下-変電所建物</t>
    <phoneticPr fontId="3"/>
  </si>
  <si>
    <t>冷暖房・通風・ボイラー設備-その他のもの-変電所建物</t>
    <phoneticPr fontId="3"/>
  </si>
  <si>
    <t>昇降機設備-エレベーター-変電所建物</t>
    <phoneticPr fontId="3"/>
  </si>
  <si>
    <t>昇降機設備-エスカレーター-変電所建物</t>
    <phoneticPr fontId="3"/>
  </si>
  <si>
    <t>消火・排煙・災害報知設備及び格納式避難設備-変電所建物</t>
    <phoneticPr fontId="3"/>
  </si>
  <si>
    <t>エヤーカーテン又はドアー自動開閉設備-変電所建物</t>
    <phoneticPr fontId="3"/>
  </si>
  <si>
    <t>アーケード又は日よけ設備-金属製-変電所建物</t>
    <phoneticPr fontId="3"/>
  </si>
  <si>
    <t>アーケード又は日よけ設備-その他のもの-変電所建物</t>
    <phoneticPr fontId="3"/>
  </si>
  <si>
    <t>店用簡易設備-変電所建物</t>
    <phoneticPr fontId="3"/>
  </si>
  <si>
    <t>可動簡易装備-簡易なもの-変電所建物</t>
    <phoneticPr fontId="3"/>
  </si>
  <si>
    <t>可動簡易装備-その他のもの-変電所建物</t>
    <phoneticPr fontId="3"/>
  </si>
  <si>
    <t>前掲以外・前掲区分外-主として金属製のもの-変電所建物</t>
    <phoneticPr fontId="3"/>
  </si>
  <si>
    <t>前掲以外・前掲区分外-その他のもの-変電所建物</t>
    <phoneticPr fontId="3"/>
  </si>
  <si>
    <t>鉄骨鉄筋コンクリート造又は鉄筋コンクリート造-車庫・工場</t>
    <phoneticPr fontId="3"/>
  </si>
  <si>
    <t>れんが造、石造又はブロック造-車庫・工場</t>
    <phoneticPr fontId="3"/>
  </si>
  <si>
    <t>金属造(骨格材の肉厚が4mm超)-車庫・工場</t>
    <phoneticPr fontId="3"/>
  </si>
  <si>
    <t>金属造(骨格材の肉厚が3mm超4mm以下)-車庫・工場</t>
    <phoneticPr fontId="3"/>
  </si>
  <si>
    <t>金属造(骨格材の肉厚が3mm以下)-車庫・工場</t>
    <phoneticPr fontId="3"/>
  </si>
  <si>
    <t>木造又は合成樹脂造-車庫・工場</t>
    <phoneticPr fontId="3"/>
  </si>
  <si>
    <t>木骨モルタル造-車庫・工場</t>
    <phoneticPr fontId="3"/>
  </si>
  <si>
    <t>簡易建物(木製主要柱が10cm角以下で土居、杉皮ぶき等)-車庫・工場</t>
    <phoneticPr fontId="3"/>
  </si>
  <si>
    <t>簡易建物(掘立造のもの及び仮設のもの)-車庫・工場</t>
    <phoneticPr fontId="3"/>
  </si>
  <si>
    <t>電気設備(照明設備を含む)-蓄電池電源設備-車庫・工場</t>
    <phoneticPr fontId="3"/>
  </si>
  <si>
    <t>電気設備(照明設備を含む)-その他のもの-車庫・工場</t>
    <phoneticPr fontId="3"/>
  </si>
  <si>
    <t>給排水又は衛生設備及びガス設備-車庫・工場</t>
    <phoneticPr fontId="3"/>
  </si>
  <si>
    <t>冷暖房・通風・ボイラー設備-22kw以下-車庫・工場</t>
    <phoneticPr fontId="3"/>
  </si>
  <si>
    <t>冷暖房・通風・ボイラー設備-その他のもの-車庫・工場</t>
    <phoneticPr fontId="3"/>
  </si>
  <si>
    <t>鉄有固-運送施設 建物付属設備-</t>
    <phoneticPr fontId="3"/>
  </si>
  <si>
    <t>昇降機設備-エスカレーター-車庫・工場</t>
    <phoneticPr fontId="3"/>
  </si>
  <si>
    <t>消火・排煙・災害報知設備及び格納式避難設備-車庫・工場</t>
    <phoneticPr fontId="3"/>
  </si>
  <si>
    <t>エヤーカーテン又はドアー自動開閉設備-車庫・工場</t>
    <phoneticPr fontId="3"/>
  </si>
  <si>
    <t>アーケード又は日よけ設備-金属製-車庫・工場</t>
    <phoneticPr fontId="3"/>
  </si>
  <si>
    <t>アーケード又は日よけ設備-その他のもの-車庫・工場</t>
    <phoneticPr fontId="3"/>
  </si>
  <si>
    <t>店用簡易設備-車庫・工場</t>
    <phoneticPr fontId="3"/>
  </si>
  <si>
    <t>可動簡易装備-簡易なもの-車庫・工場</t>
    <phoneticPr fontId="3"/>
  </si>
  <si>
    <t>可動簡易装備-その他のもの-車庫・工場</t>
    <phoneticPr fontId="3"/>
  </si>
  <si>
    <t>前掲以外・前掲区分外-主として金属製のもの-車庫・工場</t>
    <phoneticPr fontId="3"/>
  </si>
  <si>
    <t>前掲以外・前掲区分外-その他のもの-車庫・工場</t>
    <phoneticPr fontId="3"/>
  </si>
  <si>
    <t>鉄骨鉄筋コンクリート造又は鉄筋コンクリート造-倉庫建物</t>
    <phoneticPr fontId="3"/>
  </si>
  <si>
    <t>れんが造、石造又はブロック造-倉庫建物</t>
    <phoneticPr fontId="3"/>
  </si>
  <si>
    <t>金属造(骨格材の肉厚が4mm超)-倉庫建物</t>
    <phoneticPr fontId="3"/>
  </si>
  <si>
    <t>金属造(骨格材の肉厚が3mm超4mm以下)-倉庫建物</t>
    <phoneticPr fontId="3"/>
  </si>
  <si>
    <t>金属造(骨格材の肉厚が3mm以下)-倉庫建物</t>
    <phoneticPr fontId="3"/>
  </si>
  <si>
    <t>木造又は合成樹脂造-倉庫建物</t>
    <phoneticPr fontId="3"/>
  </si>
  <si>
    <t>木骨モルタル造-倉庫建物</t>
    <phoneticPr fontId="3"/>
  </si>
  <si>
    <t>簡易建物(木製主要柱が10cm角以下で土居、杉皮ぶき等)-倉庫建物</t>
    <phoneticPr fontId="3"/>
  </si>
  <si>
    <t>簡易建物(掘立造のもの及び仮設のもの)-倉庫建物</t>
    <phoneticPr fontId="3"/>
  </si>
  <si>
    <t>電気設備(照明設備を含む)-蓄電池電源設備-倉庫建物</t>
    <phoneticPr fontId="3"/>
  </si>
  <si>
    <t>給排水又は衛生設備及びガス設備-倉庫建物</t>
    <phoneticPr fontId="3"/>
  </si>
  <si>
    <t>冷暖房・通風・ボイラー設備-22kw以下-倉庫建物</t>
    <phoneticPr fontId="3"/>
  </si>
  <si>
    <t>冷暖房・通風・ボイラー設備-その他のもの-倉庫建物</t>
    <phoneticPr fontId="3"/>
  </si>
  <si>
    <t>昇降機設備-エレベーター-倉庫建物</t>
    <phoneticPr fontId="3"/>
  </si>
  <si>
    <t>昇降機設備-エスカレーター-倉庫建物</t>
    <phoneticPr fontId="3"/>
  </si>
  <si>
    <t>エヤーカーテン又はドアー自動開閉設備-倉庫建物</t>
    <phoneticPr fontId="3"/>
  </si>
  <si>
    <t>アーケード又は日よけ設備-金属製-倉庫建物</t>
    <phoneticPr fontId="3"/>
  </si>
  <si>
    <t>店用簡易設備-倉庫建物</t>
    <phoneticPr fontId="3"/>
  </si>
  <si>
    <t>可動簡易装備-簡易なもの-倉庫建物</t>
    <phoneticPr fontId="3"/>
  </si>
  <si>
    <t>前掲以外・前掲区分外-主として金属製のもの-倉庫建物</t>
    <phoneticPr fontId="3"/>
  </si>
  <si>
    <t>前掲以外・前掲区分外-その他のもの-倉庫建物</t>
    <phoneticPr fontId="3"/>
  </si>
  <si>
    <t>鉄骨鉄筋コンクリート造又は鉄筋コンクリート造-詰所建物</t>
    <phoneticPr fontId="3"/>
  </si>
  <si>
    <t>れんが造、石造又はブロック造-詰所建物</t>
    <phoneticPr fontId="3"/>
  </si>
  <si>
    <t>金属造(骨格材の肉厚が4mm超)-詰所建物</t>
    <phoneticPr fontId="3"/>
  </si>
  <si>
    <t>金属造(骨格材の肉厚が3mm超4mm以下)-詰所建物</t>
    <phoneticPr fontId="3"/>
  </si>
  <si>
    <t>金属造(骨格材の肉厚が3mm以下)-詰所建物</t>
    <phoneticPr fontId="3"/>
  </si>
  <si>
    <t>木造又は合成樹脂造-詰所建物</t>
    <phoneticPr fontId="3"/>
  </si>
  <si>
    <t>木骨モルタル造-詰所建物</t>
    <phoneticPr fontId="3"/>
  </si>
  <si>
    <t>簡易建物(木製主要柱が10cm角以下で土居、杉皮ぶき等)-詰所建物</t>
    <phoneticPr fontId="3"/>
  </si>
  <si>
    <t>簡易建物(掘立造のもの及び仮設のもの)-詰所建物</t>
    <phoneticPr fontId="3"/>
  </si>
  <si>
    <t>電気設備(照明設備を含む)-蓄電池電源設備-詰所建物</t>
    <phoneticPr fontId="3"/>
  </si>
  <si>
    <t>電気設備(照明設備を含む)-その他のもの-詰所建物</t>
    <phoneticPr fontId="3"/>
  </si>
  <si>
    <t>給排水又は衛生設備及びガス設備-詰所建物</t>
    <phoneticPr fontId="3"/>
  </si>
  <si>
    <t>冷暖房・通風・ボイラー設備-22kw以下-詰所建物</t>
    <phoneticPr fontId="3"/>
  </si>
  <si>
    <t>冷暖房・通風・ボイラー設備-その他のもの-詰所建物</t>
    <phoneticPr fontId="3"/>
  </si>
  <si>
    <t>昇降機設備-エレベーター-詰所建物</t>
    <phoneticPr fontId="3"/>
  </si>
  <si>
    <t>昇降機設備-エスカレーター-詰所建物</t>
    <phoneticPr fontId="3"/>
  </si>
  <si>
    <t>消火・排煙・災害報知設備及び格納式避難設備-詰所建物</t>
    <phoneticPr fontId="3"/>
  </si>
  <si>
    <t>エヤーカーテン又はドアー自動開閉設備-詰所建物</t>
    <phoneticPr fontId="3"/>
  </si>
  <si>
    <t>アーケード又は日よけ設備-金属製-詰所建物</t>
    <phoneticPr fontId="3"/>
  </si>
  <si>
    <t>アーケード又は日よけ設備-その他のもの-詰所建物</t>
    <phoneticPr fontId="3"/>
  </si>
  <si>
    <t>店用簡易設備-詰所建物</t>
    <phoneticPr fontId="3"/>
  </si>
  <si>
    <t>可動簡易装備-簡易なもの-詰所建物</t>
    <phoneticPr fontId="3"/>
  </si>
  <si>
    <t>可動簡易装備-その他のもの-詰所建物</t>
    <phoneticPr fontId="3"/>
  </si>
  <si>
    <t>前掲以外・前掲区分外-主として金属製のもの-詰所建物</t>
    <phoneticPr fontId="3"/>
  </si>
  <si>
    <t>前掲以外・前掲区分外-その他のもの-詰所建物</t>
    <phoneticPr fontId="3"/>
  </si>
  <si>
    <t>鉄骨鉄筋コンクリート造又は鉄筋コンクリート造-事務所建物</t>
    <phoneticPr fontId="3"/>
  </si>
  <si>
    <t>れんが造、石造又はブロック造-事務所建物</t>
    <phoneticPr fontId="3"/>
  </si>
  <si>
    <t>金属造(骨格材の肉厚が4mm超)-事務所建物</t>
    <phoneticPr fontId="3"/>
  </si>
  <si>
    <t>金属造(骨格材の肉厚が3mm超4mm以下)-事務所建物</t>
    <phoneticPr fontId="3"/>
  </si>
  <si>
    <t>金属造(骨格材の肉厚が3mm以下)-事務所建物</t>
    <phoneticPr fontId="3"/>
  </si>
  <si>
    <t>木造又は合成樹脂造-事務所建物</t>
    <phoneticPr fontId="3"/>
  </si>
  <si>
    <t>木骨モルタル造-事務所建物</t>
    <phoneticPr fontId="3"/>
  </si>
  <si>
    <t>簡易建物(掘立造のもの及び仮設のもの)-事務所建物</t>
    <phoneticPr fontId="3"/>
  </si>
  <si>
    <t>電気設備(照明設備を含む)-蓄電池電源設備-事務所建物</t>
    <phoneticPr fontId="3"/>
  </si>
  <si>
    <t>電気設備(照明設備を含む)-その他のもの-事務所建物</t>
    <phoneticPr fontId="3"/>
  </si>
  <si>
    <t>給排水又は衛生設備及びガス設備-事務所建物</t>
    <phoneticPr fontId="3"/>
  </si>
  <si>
    <t>冷暖房・通風・ボイラー設備-22kw以下-事務所建物</t>
    <phoneticPr fontId="3"/>
  </si>
  <si>
    <t>冷暖房・通風・ボイラー設備-その他のもの-事務所建物</t>
    <phoneticPr fontId="3"/>
  </si>
  <si>
    <t>昇降機設備-エレベーター-事務所建物</t>
    <phoneticPr fontId="3"/>
  </si>
  <si>
    <t>昇降機設備-エスカレーター-事務所建物</t>
    <phoneticPr fontId="3"/>
  </si>
  <si>
    <t>消火・排煙・災害報知設備及び格納式避難設備-事務所建物</t>
    <phoneticPr fontId="3"/>
  </si>
  <si>
    <t>エヤーカーテン又はドアー自動開閉設備-事務所建物</t>
    <phoneticPr fontId="3"/>
  </si>
  <si>
    <t>アーケード又は日よけ設備-金属製-事務所建物</t>
    <phoneticPr fontId="3"/>
  </si>
  <si>
    <t>アーケード又は日よけ設備-その他のもの-事務所建物</t>
    <phoneticPr fontId="3"/>
  </si>
  <si>
    <t>店用簡易設備-事務所建物</t>
    <phoneticPr fontId="3"/>
  </si>
  <si>
    <t>可動簡易装備-簡易なもの-事務所建物</t>
    <phoneticPr fontId="3"/>
  </si>
  <si>
    <t>可動簡易装備-その他のもの-事務所建物</t>
    <phoneticPr fontId="3"/>
  </si>
  <si>
    <t>前掲以外・前掲区分外-主として金属製のもの-事務所建物</t>
    <phoneticPr fontId="3"/>
  </si>
  <si>
    <t>前掲以外・前掲区分外-その他のもの-事務所建物</t>
    <phoneticPr fontId="3"/>
  </si>
  <si>
    <t>鉄骨鉄筋コンクリート造又は鉄筋コンクリート造-社宅・寮建物</t>
    <phoneticPr fontId="3"/>
  </si>
  <si>
    <t>れんが造、石造又はブロック造-社宅・寮建物</t>
    <phoneticPr fontId="3"/>
  </si>
  <si>
    <t>金属造(骨格材の肉厚が4mm超)-社宅・寮建物</t>
    <phoneticPr fontId="3"/>
  </si>
  <si>
    <t>金属造(骨格材の肉厚が3mm超4mm以下)-社宅・寮建物</t>
    <phoneticPr fontId="3"/>
  </si>
  <si>
    <t>金属造(骨格材の肉厚が3mm以下)-社宅・寮建物</t>
    <phoneticPr fontId="3"/>
  </si>
  <si>
    <t>木造又は合成樹脂造-社宅・寮建物</t>
    <phoneticPr fontId="3"/>
  </si>
  <si>
    <t>木骨モルタル造-社宅・寮建物</t>
    <phoneticPr fontId="3"/>
  </si>
  <si>
    <t>簡易建物(木製主要柱が10cm角以下で土居、杉皮ぶき等)-社宅・寮建物</t>
    <phoneticPr fontId="3"/>
  </si>
  <si>
    <t>簡易建物(掘立造のもの及び仮設のもの)-社宅・寮建物</t>
    <phoneticPr fontId="3"/>
  </si>
  <si>
    <t>電気設備(照明設備を含む)-蓄電池電源設備-社宅・寮建物</t>
    <phoneticPr fontId="3"/>
  </si>
  <si>
    <t>電気設備(照明設備を含む)-その他のもの-社宅・寮建物</t>
    <phoneticPr fontId="3"/>
  </si>
  <si>
    <t>給排水又は衛生設備及びガス設備-社宅・寮建物</t>
    <phoneticPr fontId="3"/>
  </si>
  <si>
    <t>冷暖房・通風・ボイラー設備-22kw以下-社宅・寮建物</t>
    <phoneticPr fontId="3"/>
  </si>
  <si>
    <t>冷暖房・通風・ボイラー設備-その他のもの-社宅・寮建物</t>
    <phoneticPr fontId="3"/>
  </si>
  <si>
    <t>昇降機設備-エレベーター-社宅・寮建物</t>
    <phoneticPr fontId="3"/>
  </si>
  <si>
    <t>昇降機設備-エスカレーター-社宅・寮建物</t>
    <phoneticPr fontId="3"/>
  </si>
  <si>
    <t>消火・排煙・災害報知設備及び格納式避難設備-社宅・寮建物</t>
    <phoneticPr fontId="3"/>
  </si>
  <si>
    <t>エヤーカーテン又はドアー自動開閉設備-社宅・寮建物</t>
    <phoneticPr fontId="3"/>
  </si>
  <si>
    <t>アーケード又は日よけ設備-金属製-社宅・寮建物</t>
    <phoneticPr fontId="3"/>
  </si>
  <si>
    <t>アーケード又は日よけ設備-その他のもの-社宅・寮建物</t>
    <phoneticPr fontId="3"/>
  </si>
  <si>
    <t>店用簡易設備-社宅・寮建物</t>
    <phoneticPr fontId="3"/>
  </si>
  <si>
    <t>可動簡易装備-簡易なもの-社宅・寮建物</t>
    <phoneticPr fontId="3"/>
  </si>
  <si>
    <t>可動簡易装備-その他のもの-社宅・寮建物</t>
    <phoneticPr fontId="3"/>
  </si>
  <si>
    <t>前掲以外・前掲区分外-主として金属製のもの-社宅・寮建物</t>
    <phoneticPr fontId="3"/>
  </si>
  <si>
    <t>前掲以外・前掲区分外-その他のもの-社宅・寮建物</t>
    <phoneticPr fontId="3"/>
  </si>
  <si>
    <t>雑設備-駅前広場舗装等</t>
    <rPh sb="4" eb="6">
      <t>エキマエ</t>
    </rPh>
    <rPh sb="6" eb="8">
      <t>ヒロバ</t>
    </rPh>
    <rPh sb="8" eb="10">
      <t>ホソウ</t>
    </rPh>
    <rPh sb="10" eb="11">
      <t>トウ</t>
    </rPh>
    <phoneticPr fontId="3"/>
  </si>
  <si>
    <t>雑設備-その他</t>
    <rPh sb="6" eb="7">
      <t>タ</t>
    </rPh>
    <phoneticPr fontId="3"/>
  </si>
  <si>
    <t>－</t>
    <phoneticPr fontId="3"/>
  </si>
  <si>
    <t>部分撤去工事のうち、資産計上した工事価格</t>
    <rPh sb="10" eb="12">
      <t>シサン</t>
    </rPh>
    <rPh sb="12" eb="14">
      <t>ケイジョウ</t>
    </rPh>
    <rPh sb="16" eb="18">
      <t>コウジ</t>
    </rPh>
    <rPh sb="18" eb="20">
      <t>カカク</t>
    </rPh>
    <phoneticPr fontId="3"/>
  </si>
  <si>
    <t>部分撤去工事のうち、費用計上した工事価格</t>
    <rPh sb="10" eb="12">
      <t>ヒヨウ</t>
    </rPh>
    <rPh sb="12" eb="14">
      <t>ケイジョウ</t>
    </rPh>
    <rPh sb="16" eb="18">
      <t>コウジ</t>
    </rPh>
    <rPh sb="18" eb="20">
      <t>カカク</t>
    </rPh>
    <phoneticPr fontId="3"/>
  </si>
  <si>
    <t>部分撤去工事　工事価格　計</t>
    <rPh sb="0" eb="2">
      <t>ブブン</t>
    </rPh>
    <rPh sb="2" eb="4">
      <t>テッキョ</t>
    </rPh>
    <rPh sb="4" eb="6">
      <t>コウジ</t>
    </rPh>
    <rPh sb="7" eb="9">
      <t>コウジ</t>
    </rPh>
    <rPh sb="9" eb="11">
      <t>カカク</t>
    </rPh>
    <rPh sb="12" eb="13">
      <t>ケイ</t>
    </rPh>
    <phoneticPr fontId="3"/>
  </si>
  <si>
    <t>資産計上区分の中で、費用として計上した工事価格（部分撤去工事を除く）</t>
    <rPh sb="10" eb="12">
      <t>ヒヨウ</t>
    </rPh>
    <rPh sb="15" eb="17">
      <t>ケイジョウ</t>
    </rPh>
    <rPh sb="19" eb="21">
      <t>コウジ</t>
    </rPh>
    <rPh sb="21" eb="23">
      <t>カカク</t>
    </rPh>
    <rPh sb="24" eb="26">
      <t>ブブン</t>
    </rPh>
    <rPh sb="26" eb="28">
      <t>テッキョ</t>
    </rPh>
    <rPh sb="28" eb="30">
      <t>コウジ</t>
    </rPh>
    <rPh sb="31" eb="32">
      <t>ノゾ</t>
    </rPh>
    <phoneticPr fontId="3"/>
  </si>
  <si>
    <t>費用計上（部分撤去工事を除く）　工事価格　計</t>
    <rPh sb="0" eb="2">
      <t>ヒヨウ</t>
    </rPh>
    <rPh sb="2" eb="4">
      <t>ケイジョウ</t>
    </rPh>
    <rPh sb="5" eb="7">
      <t>ブブン</t>
    </rPh>
    <rPh sb="7" eb="9">
      <t>テッキョ</t>
    </rPh>
    <rPh sb="9" eb="11">
      <t>コウジ</t>
    </rPh>
    <rPh sb="12" eb="13">
      <t>ノゾ</t>
    </rPh>
    <rPh sb="16" eb="18">
      <t>コウジ</t>
    </rPh>
    <rPh sb="18" eb="20">
      <t>カカク</t>
    </rPh>
    <rPh sb="21" eb="22">
      <t>ケイ</t>
    </rPh>
    <phoneticPr fontId="3"/>
  </si>
  <si>
    <t>（直接仮設・部分撤去・費用を除く）</t>
    <phoneticPr fontId="3"/>
  </si>
  <si>
    <t>007停車場建物</t>
  </si>
  <si>
    <t>資産</t>
  </si>
  <si>
    <t>係長</t>
    <rPh sb="0" eb="2">
      <t>カカリチョウ</t>
    </rPh>
    <phoneticPr fontId="3"/>
  </si>
  <si>
    <t>建築課長</t>
    <rPh sb="0" eb="2">
      <t>ケンチク</t>
    </rPh>
    <rPh sb="2" eb="4">
      <t>カチョウ</t>
    </rPh>
    <phoneticPr fontId="3"/>
  </si>
  <si>
    <t>建築資産管理担当</t>
    <rPh sb="0" eb="2">
      <t>ケンチク</t>
    </rPh>
    <rPh sb="2" eb="4">
      <t>シサン</t>
    </rPh>
    <rPh sb="4" eb="6">
      <t>カンリ</t>
    </rPh>
    <rPh sb="6" eb="8">
      <t>タントウ</t>
    </rPh>
    <phoneticPr fontId="3"/>
  </si>
  <si>
    <t>工　事　費　内　訳　書</t>
    <rPh sb="0" eb="1">
      <t>タクミ</t>
    </rPh>
    <rPh sb="2" eb="3">
      <t>コト</t>
    </rPh>
    <rPh sb="4" eb="5">
      <t>ヒ</t>
    </rPh>
    <rPh sb="6" eb="7">
      <t>ウチ</t>
    </rPh>
    <rPh sb="8" eb="9">
      <t>ヤク</t>
    </rPh>
    <rPh sb="10" eb="11">
      <t>ショ</t>
    </rPh>
    <phoneticPr fontId="3"/>
  </si>
  <si>
    <t>設計担当者</t>
    <rPh sb="0" eb="2">
      <t>セッケイ</t>
    </rPh>
    <rPh sb="2" eb="5">
      <t>タントウシャ</t>
    </rPh>
    <phoneticPr fontId="3"/>
  </si>
  <si>
    <t>補助金</t>
    <rPh sb="0" eb="3">
      <t>ホジョキン</t>
    </rPh>
    <phoneticPr fontId="3"/>
  </si>
  <si>
    <t>発注形態</t>
    <phoneticPr fontId="3"/>
  </si>
  <si>
    <t>建設ﾘｻｲｸﾙ法</t>
    <rPh sb="0" eb="2">
      <t>ケンセツ</t>
    </rPh>
    <rPh sb="7" eb="8">
      <t>ホウ</t>
    </rPh>
    <phoneticPr fontId="3"/>
  </si>
  <si>
    <t>工事公告日</t>
    <rPh sb="0" eb="2">
      <t>コウジ</t>
    </rPh>
    <rPh sb="2" eb="4">
      <t>コウコク</t>
    </rPh>
    <rPh sb="4" eb="5">
      <t>ヒ</t>
    </rPh>
    <phoneticPr fontId="3"/>
  </si>
  <si>
    <t>落札決定日</t>
    <rPh sb="0" eb="2">
      <t>ラクサツ</t>
    </rPh>
    <rPh sb="2" eb="4">
      <t>ケッテイ</t>
    </rPh>
    <rPh sb="4" eb="5">
      <t>ヒ</t>
    </rPh>
    <phoneticPr fontId="3"/>
  </si>
  <si>
    <t>工事工期</t>
    <rPh sb="0" eb="2">
      <t>コウジ</t>
    </rPh>
    <rPh sb="2" eb="4">
      <t>コウキ</t>
    </rPh>
    <phoneticPr fontId="3"/>
  </si>
  <si>
    <t>所属</t>
    <rPh sb="0" eb="2">
      <t>ショゾク</t>
    </rPh>
    <phoneticPr fontId="3"/>
  </si>
  <si>
    <t>単価台帳ver</t>
    <rPh sb="0" eb="2">
      <t>タンカ</t>
    </rPh>
    <rPh sb="2" eb="4">
      <t>ダイチョウ</t>
    </rPh>
    <phoneticPr fontId="3"/>
  </si>
  <si>
    <t>大工工事</t>
    <rPh sb="0" eb="2">
      <t>ダイク</t>
    </rPh>
    <rPh sb="2" eb="4">
      <t>コウジ</t>
    </rPh>
    <phoneticPr fontId="3"/>
  </si>
  <si>
    <t>左官工事</t>
    <rPh sb="0" eb="2">
      <t>サカン</t>
    </rPh>
    <rPh sb="2" eb="4">
      <t>コウジ</t>
    </rPh>
    <phoneticPr fontId="3"/>
  </si>
  <si>
    <t>防球ネットフェンス工事</t>
    <rPh sb="0" eb="2">
      <t>ボウキュウ</t>
    </rPh>
    <rPh sb="9" eb="11">
      <t>コウジ</t>
    </rPh>
    <phoneticPr fontId="3"/>
  </si>
  <si>
    <t>サイン工事</t>
    <rPh sb="3" eb="5">
      <t>コウジ</t>
    </rPh>
    <phoneticPr fontId="3"/>
  </si>
  <si>
    <t>テント工事</t>
    <rPh sb="3" eb="5">
      <t>コウジ</t>
    </rPh>
    <phoneticPr fontId="3"/>
  </si>
  <si>
    <t>舗装工事</t>
    <rPh sb="0" eb="2">
      <t>ホソウ</t>
    </rPh>
    <rPh sb="2" eb="4">
      <t>コウジ</t>
    </rPh>
    <phoneticPr fontId="3"/>
  </si>
  <si>
    <t>内訳書決裁欄</t>
    <rPh sb="0" eb="3">
      <t>ウチワケショ</t>
    </rPh>
    <rPh sb="3" eb="5">
      <t>ケッサイ</t>
    </rPh>
    <rPh sb="5" eb="6">
      <t>ラン</t>
    </rPh>
    <phoneticPr fontId="3"/>
  </si>
  <si>
    <t>設計担当</t>
    <rPh sb="0" eb="2">
      <t>セッケイ</t>
    </rPh>
    <rPh sb="2" eb="4">
      <t>タントウ</t>
    </rPh>
    <phoneticPr fontId="3"/>
  </si>
  <si>
    <t>設計担当係長</t>
    <rPh sb="0" eb="2">
      <t>セッケイ</t>
    </rPh>
    <rPh sb="2" eb="4">
      <t>タントウ</t>
    </rPh>
    <rPh sb="4" eb="6">
      <t>カカリチョウ</t>
    </rPh>
    <phoneticPr fontId="3"/>
  </si>
  <si>
    <t>建築企画課（建築企画）</t>
    <rPh sb="0" eb="2">
      <t>ケンチク</t>
    </rPh>
    <rPh sb="2" eb="4">
      <t>キカク</t>
    </rPh>
    <rPh sb="4" eb="5">
      <t>カ</t>
    </rPh>
    <rPh sb="6" eb="8">
      <t>ケンチク</t>
    </rPh>
    <rPh sb="8" eb="10">
      <t>キカク</t>
    </rPh>
    <phoneticPr fontId="3"/>
  </si>
  <si>
    <t>建築企画課（建築計画）</t>
    <rPh sb="0" eb="2">
      <t>ケンチク</t>
    </rPh>
    <rPh sb="2" eb="4">
      <t>キカク</t>
    </rPh>
    <rPh sb="4" eb="5">
      <t>カ</t>
    </rPh>
    <rPh sb="6" eb="8">
      <t>ケンチク</t>
    </rPh>
    <rPh sb="8" eb="10">
      <t>ケイカク</t>
    </rPh>
    <phoneticPr fontId="3"/>
  </si>
  <si>
    <t>建築企画課（建築協議）</t>
    <rPh sb="0" eb="2">
      <t>ケンチク</t>
    </rPh>
    <rPh sb="2" eb="4">
      <t>キカク</t>
    </rPh>
    <rPh sb="4" eb="5">
      <t>カ</t>
    </rPh>
    <rPh sb="6" eb="8">
      <t>ケンチク</t>
    </rPh>
    <rPh sb="8" eb="10">
      <t>キョウギ</t>
    </rPh>
    <phoneticPr fontId="3"/>
  </si>
  <si>
    <t>建築企画課（安全推進）</t>
    <rPh sb="0" eb="2">
      <t>ケンチク</t>
    </rPh>
    <rPh sb="2" eb="4">
      <t>キカク</t>
    </rPh>
    <rPh sb="4" eb="5">
      <t>カ</t>
    </rPh>
    <rPh sb="6" eb="8">
      <t>アンゼン</t>
    </rPh>
    <rPh sb="8" eb="10">
      <t>スイシン</t>
    </rPh>
    <phoneticPr fontId="3"/>
  </si>
  <si>
    <t>建築課（建築プロジェクト）</t>
    <rPh sb="0" eb="2">
      <t>ケンチク</t>
    </rPh>
    <rPh sb="2" eb="3">
      <t>カ</t>
    </rPh>
    <rPh sb="4" eb="6">
      <t>ケンチク</t>
    </rPh>
    <phoneticPr fontId="3"/>
  </si>
  <si>
    <t>建築課(地上建築物）</t>
    <rPh sb="0" eb="2">
      <t>ケンチク</t>
    </rPh>
    <rPh sb="2" eb="3">
      <t>カ</t>
    </rPh>
    <rPh sb="4" eb="6">
      <t>チジョウ</t>
    </rPh>
    <rPh sb="6" eb="9">
      <t>ケンチクブツ</t>
    </rPh>
    <phoneticPr fontId="3"/>
  </si>
  <si>
    <t>建築課（建築技術）</t>
    <rPh sb="0" eb="2">
      <t>ケンチク</t>
    </rPh>
    <rPh sb="2" eb="3">
      <t>カ</t>
    </rPh>
    <rPh sb="4" eb="6">
      <t>ケンチク</t>
    </rPh>
    <rPh sb="6" eb="8">
      <t>ギジュツ</t>
    </rPh>
    <phoneticPr fontId="3"/>
  </si>
  <si>
    <t>建築課（建築検査）</t>
    <rPh sb="0" eb="2">
      <t>ケンチク</t>
    </rPh>
    <rPh sb="2" eb="3">
      <t>カ</t>
    </rPh>
    <rPh sb="4" eb="6">
      <t>ケンチク</t>
    </rPh>
    <rPh sb="6" eb="8">
      <t>ケンサ</t>
    </rPh>
    <phoneticPr fontId="3"/>
  </si>
  <si>
    <t>建築課（建築資産管理）</t>
    <rPh sb="0" eb="2">
      <t>ケンチク</t>
    </rPh>
    <rPh sb="2" eb="3">
      <t>カ</t>
    </rPh>
    <rPh sb="4" eb="6">
      <t>ケンチク</t>
    </rPh>
    <rPh sb="6" eb="8">
      <t>シサン</t>
    </rPh>
    <rPh sb="8" eb="10">
      <t>カンリ</t>
    </rPh>
    <phoneticPr fontId="3"/>
  </si>
  <si>
    <t>建築課（建築設計）</t>
    <rPh sb="0" eb="2">
      <t>ケンチク</t>
    </rPh>
    <rPh sb="2" eb="3">
      <t>カ</t>
    </rPh>
    <rPh sb="4" eb="6">
      <t>ケンチク</t>
    </rPh>
    <rPh sb="6" eb="8">
      <t>セッケイ</t>
    </rPh>
    <phoneticPr fontId="3"/>
  </si>
  <si>
    <t>建築管理事務所（施設管理）</t>
    <rPh sb="0" eb="2">
      <t>ケンチク</t>
    </rPh>
    <rPh sb="2" eb="4">
      <t>カンリ</t>
    </rPh>
    <rPh sb="4" eb="6">
      <t>ジム</t>
    </rPh>
    <rPh sb="6" eb="7">
      <t>ショ</t>
    </rPh>
    <rPh sb="8" eb="10">
      <t>シセツ</t>
    </rPh>
    <rPh sb="10" eb="12">
      <t>カンリ</t>
    </rPh>
    <phoneticPr fontId="3"/>
  </si>
  <si>
    <t>建築管理事務所（安全管理）</t>
    <rPh sb="0" eb="2">
      <t>ケンチク</t>
    </rPh>
    <rPh sb="2" eb="4">
      <t>カンリ</t>
    </rPh>
    <rPh sb="4" eb="6">
      <t>ジム</t>
    </rPh>
    <rPh sb="6" eb="7">
      <t>ショ</t>
    </rPh>
    <rPh sb="8" eb="10">
      <t>アンゼン</t>
    </rPh>
    <rPh sb="10" eb="12">
      <t>カンリ</t>
    </rPh>
    <phoneticPr fontId="3"/>
  </si>
  <si>
    <t>建築管理事務所（駅施設改造）</t>
    <rPh sb="0" eb="2">
      <t>ケンチク</t>
    </rPh>
    <rPh sb="2" eb="4">
      <t>カンリ</t>
    </rPh>
    <rPh sb="4" eb="6">
      <t>ジム</t>
    </rPh>
    <rPh sb="6" eb="7">
      <t>ショ</t>
    </rPh>
    <rPh sb="8" eb="9">
      <t>エキ</t>
    </rPh>
    <rPh sb="9" eb="11">
      <t>シセツ</t>
    </rPh>
    <rPh sb="11" eb="13">
      <t>カイゾウ</t>
    </rPh>
    <phoneticPr fontId="3"/>
  </si>
  <si>
    <t>建築管理事務所（小規模補修）</t>
    <rPh sb="0" eb="2">
      <t>ケンチク</t>
    </rPh>
    <rPh sb="2" eb="4">
      <t>カンリ</t>
    </rPh>
    <rPh sb="4" eb="6">
      <t>ジム</t>
    </rPh>
    <rPh sb="6" eb="7">
      <t>ショ</t>
    </rPh>
    <rPh sb="8" eb="11">
      <t>ショウキボ</t>
    </rPh>
    <rPh sb="11" eb="13">
      <t>ホシュウ</t>
    </rPh>
    <phoneticPr fontId="3"/>
  </si>
  <si>
    <t>建築管理事務所（建築工事）</t>
    <rPh sb="0" eb="2">
      <t>ケンチク</t>
    </rPh>
    <rPh sb="2" eb="4">
      <t>カンリ</t>
    </rPh>
    <rPh sb="4" eb="6">
      <t>ジム</t>
    </rPh>
    <rPh sb="6" eb="7">
      <t>ショ</t>
    </rPh>
    <rPh sb="8" eb="10">
      <t>ケンチク</t>
    </rPh>
    <rPh sb="10" eb="12">
      <t>コウジ</t>
    </rPh>
    <phoneticPr fontId="3"/>
  </si>
  <si>
    <t>建築管理事務所（北部建築保守）</t>
    <rPh sb="0" eb="2">
      <t>ケンチク</t>
    </rPh>
    <rPh sb="2" eb="4">
      <t>カンリ</t>
    </rPh>
    <rPh sb="4" eb="6">
      <t>ジム</t>
    </rPh>
    <rPh sb="6" eb="7">
      <t>ショ</t>
    </rPh>
    <rPh sb="8" eb="10">
      <t>ホクブ</t>
    </rPh>
    <rPh sb="10" eb="12">
      <t>ケンチク</t>
    </rPh>
    <rPh sb="12" eb="14">
      <t>ホシュ</t>
    </rPh>
    <phoneticPr fontId="3"/>
  </si>
  <si>
    <t>建築管理事務所（南部建築保守）</t>
    <rPh sb="0" eb="2">
      <t>ケンチク</t>
    </rPh>
    <rPh sb="2" eb="4">
      <t>カンリ</t>
    </rPh>
    <rPh sb="4" eb="6">
      <t>ジム</t>
    </rPh>
    <rPh sb="6" eb="7">
      <t>ショ</t>
    </rPh>
    <rPh sb="8" eb="10">
      <t>ナンブ</t>
    </rPh>
    <rPh sb="10" eb="12">
      <t>ケンチク</t>
    </rPh>
    <rPh sb="12" eb="14">
      <t>ホシュ</t>
    </rPh>
    <phoneticPr fontId="3"/>
  </si>
  <si>
    <t>内訳書起案日</t>
    <rPh sb="0" eb="3">
      <t>ウチワケショ</t>
    </rPh>
    <rPh sb="3" eb="5">
      <t>キアン</t>
    </rPh>
    <rPh sb="5" eb="6">
      <t>ビ</t>
    </rPh>
    <phoneticPr fontId="3"/>
  </si>
  <si>
    <t>内訳書決裁日</t>
    <rPh sb="0" eb="3">
      <t>ウチワケショ</t>
    </rPh>
    <rPh sb="3" eb="5">
      <t>ケッサイ</t>
    </rPh>
    <rPh sb="5" eb="6">
      <t>ヒ</t>
    </rPh>
    <phoneticPr fontId="3"/>
  </si>
  <si>
    <t>建築管理事務所（保守管理）</t>
    <rPh sb="0" eb="2">
      <t>ケンチク</t>
    </rPh>
    <rPh sb="2" eb="4">
      <t>カンリ</t>
    </rPh>
    <rPh sb="4" eb="6">
      <t>ジム</t>
    </rPh>
    <rPh sb="6" eb="7">
      <t>ショ</t>
    </rPh>
    <rPh sb="8" eb="10">
      <t>ホシュ</t>
    </rPh>
    <rPh sb="10" eb="12">
      <t>カンリ</t>
    </rPh>
    <phoneticPr fontId="3"/>
  </si>
  <si>
    <t>財務分類</t>
    <rPh sb="0" eb="2">
      <t>ザイム</t>
    </rPh>
    <rPh sb="2" eb="4">
      <t>ブンルイ</t>
    </rPh>
    <phoneticPr fontId="3"/>
  </si>
  <si>
    <t>諸経費表2018.xlsx</t>
    <phoneticPr fontId="3"/>
  </si>
  <si>
    <t>費目名称
工事種別名称</t>
    <rPh sb="0" eb="2">
      <t>ヒモク</t>
    </rPh>
    <rPh sb="2" eb="4">
      <t>メイショウ</t>
    </rPh>
    <rPh sb="5" eb="7">
      <t>コウジ</t>
    </rPh>
    <rPh sb="7" eb="9">
      <t>シュベツ</t>
    </rPh>
    <rPh sb="9" eb="11">
      <t>メイショウ</t>
    </rPh>
    <phoneticPr fontId="3"/>
  </si>
  <si>
    <t>資産クラス名称</t>
    <rPh sb="0" eb="2">
      <t>シサン</t>
    </rPh>
    <rPh sb="5" eb="7">
      <t>メイショウ</t>
    </rPh>
    <phoneticPr fontId="3"/>
  </si>
  <si>
    <t>資産クラスコード</t>
    <rPh sb="0" eb="2">
      <t>シサン</t>
    </rPh>
    <phoneticPr fontId="3"/>
  </si>
  <si>
    <t>WBS
第２階層
コード</t>
    <rPh sb="4" eb="5">
      <t>ダイ</t>
    </rPh>
    <rPh sb="6" eb="8">
      <t>カイソウ</t>
    </rPh>
    <phoneticPr fontId="3"/>
  </si>
  <si>
    <t>コード</t>
  </si>
  <si>
    <t>名称</t>
    <rPh sb="0" eb="2">
      <t>メイショウ</t>
    </rPh>
    <phoneticPr fontId="6"/>
  </si>
  <si>
    <t>鉄有固-構築物-橋りょう-その他のもの</t>
    <rPh sb="2" eb="3">
      <t>カタム</t>
    </rPh>
    <rPh sb="15" eb="16">
      <t>タ</t>
    </rPh>
    <phoneticPr fontId="2"/>
  </si>
  <si>
    <t>鉄有固-構築物-高架橋-鉄骨造り</t>
    <rPh sb="12" eb="14">
      <t>テッコツ</t>
    </rPh>
    <phoneticPr fontId="2"/>
  </si>
  <si>
    <t>鉄有固-構築物-高架橋-その他のもの</t>
    <rPh sb="8" eb="11">
      <t>コウカキョウ</t>
    </rPh>
    <rPh sb="14" eb="15">
      <t>タ</t>
    </rPh>
    <phoneticPr fontId="2"/>
  </si>
  <si>
    <t>鉄有固-構築物-トンネル-その他のもの</t>
    <rPh sb="15" eb="16">
      <t>タ</t>
    </rPh>
    <phoneticPr fontId="2"/>
  </si>
  <si>
    <t>鉄有固-構築物-線路諸設備-防護設備</t>
    <rPh sb="0" eb="1">
      <t>テツ</t>
    </rPh>
    <rPh sb="1" eb="2">
      <t>ユウ</t>
    </rPh>
    <rPh sb="2" eb="3">
      <t>カタム</t>
    </rPh>
    <rPh sb="14" eb="16">
      <t>ボウゴ</t>
    </rPh>
    <phoneticPr fontId="2"/>
  </si>
  <si>
    <t>鉄有固-構築物-線路諸設備-さくがき</t>
    <rPh sb="0" eb="1">
      <t>テツ</t>
    </rPh>
    <rPh sb="1" eb="2">
      <t>ユウ</t>
    </rPh>
    <rPh sb="2" eb="3">
      <t>カタム</t>
    </rPh>
    <phoneticPr fontId="2"/>
  </si>
  <si>
    <t>鉄有固-構築物-線路諸設備-雑設備</t>
    <rPh sb="0" eb="1">
      <t>テツ</t>
    </rPh>
    <phoneticPr fontId="2"/>
  </si>
  <si>
    <t>鉄有固-構築物-雑設備</t>
  </si>
  <si>
    <t>鉄有固-構築物-車庫工場-舗装道路・舗装路面-コンクリート敷、ブロック敷・煉瓦敷・石敷</t>
  </si>
  <si>
    <t>鉄有固-構築物-車庫工場-舗装道路・舗装路面-アスファルト敷又は木れんが敷のもの</t>
  </si>
  <si>
    <t>鉄有固-構築物-車庫工場-舗装道路・舗装路面-ビチュ－マルス敷のもの</t>
  </si>
  <si>
    <t>鉄有固-構築物-車庫工場-鉄骨鉄筋コンクリート造・鉄筋コンクリート造-へい</t>
  </si>
  <si>
    <t>鉄有固-構築物-車庫工場-鉄骨鉄筋コンクリート造・鉄筋コンクリート造-その他のもの</t>
  </si>
  <si>
    <t>鉄有固-構築物-車庫工場-コンクリート造・コンクリートブロック造-へい</t>
  </si>
  <si>
    <t>鉄有固-構築物-車庫工場-コンクリート造・コンクリートブロック造-その他のもの</t>
  </si>
  <si>
    <t>鉄有固-構築物-車庫工場-金属造-へい</t>
  </si>
  <si>
    <t>鉄有固-構築物-車庫工場-金属造-その他のもの</t>
  </si>
  <si>
    <t>鉄有固-構築物-車庫工場-木造-へい</t>
  </si>
  <si>
    <t>鉄有固-構築物-車庫工場-木造-その他のもの</t>
  </si>
  <si>
    <t>鉄有固-構築物-変電所-舗装道路・舗装路面-コンクリート敷、ブロック敷・煉瓦敷・石敷</t>
  </si>
  <si>
    <t>鉄有固-構築物-変電所-舗装道路・舗装路面-アスファルト敷又は木れんが敷のもの</t>
  </si>
  <si>
    <t>鉄有固-構築物-変電所-舗装道路・舗装路面-ビチュ－マルス敷のもの</t>
  </si>
  <si>
    <t>鉄有固-構築物-変電所-鉄骨鉄筋コンクリート造・鉄筋コンクリート造-へい</t>
  </si>
  <si>
    <t>鉄有固-構築物-変電所-鉄骨鉄筋コンクリート造・鉄筋コンクリート造-その他のもの</t>
  </si>
  <si>
    <t>鉄有固-構築物-変電所-コンクリート造・コンクリートブロック造-へい</t>
  </si>
  <si>
    <t>鉄有固-構築物-変電所-コンクリート造・コンクリートブロック造-その他のもの</t>
  </si>
  <si>
    <t>鉄有固-構築物-変電所-金属造-へい</t>
  </si>
  <si>
    <t>鉄有固-構築物-変電所-金属造-その他のもの</t>
  </si>
  <si>
    <t>鉄有固-構築物-変電所-木造-へい</t>
  </si>
  <si>
    <t>鉄有固-構築物-変電所-木造-その他のもの</t>
  </si>
  <si>
    <t>鉄有固-構築物-雑構築物-舗装道路・舗装路面-コンクリート敷、ブロック敷・煉瓦敷・石敷</t>
  </si>
  <si>
    <t>鉄有固-構築物-雑構築物-舗装道路・舗装路面-アスファルト敷又は木れんが敷のもの</t>
  </si>
  <si>
    <t>鉄有固-構築物-雑構築物-舗装道路・舗装路面-ビチュ－マルス敷のもの</t>
  </si>
  <si>
    <t>鉄有固-構築物-雑構築物-鉄骨鉄筋コンクリート造・鉄筋コンクリート造-へい</t>
  </si>
  <si>
    <t>鉄有固-構築物-雑構築物-鉄骨鉄筋コンクリート造・鉄筋コンクリート造-その他のもの</t>
  </si>
  <si>
    <t>鉄有固-構築物-雑構築物-鉄骨鉄筋コンクリート造・鉄筋コンクリート造-上水道、水そう</t>
  </si>
  <si>
    <t>鉄有固-構築物-雑構築物-コンクリート造・コンクリートブロック造-へい</t>
  </si>
  <si>
    <t>鉄有固-構築物-雑構築物-コンクリート造・コンクリートブロック造-その他のもの</t>
  </si>
  <si>
    <t>鉄有固-構築物-雑構築物-金属造-へい</t>
  </si>
  <si>
    <t>鉄有固-構築物-雑構築物-金属造-その他のもの</t>
  </si>
  <si>
    <t>鉄有固-構築物-雑構築物-金属造-水そう及び油そう－鋼鉄製のもの</t>
  </si>
  <si>
    <t>鉄有固-構築物-雑構築物-金属造-焼却炉</t>
    <rPh sb="17" eb="20">
      <t>ショウキャクロ</t>
    </rPh>
    <phoneticPr fontId="2"/>
  </si>
  <si>
    <t>鉄有固-構築物-雑構築物-金属造-送配管-鋼鉄製</t>
  </si>
  <si>
    <t>鉄有固-構築物-雑構築物-木造-へい</t>
  </si>
  <si>
    <t>鉄有固-構築物-雑構築物-木造-その他のもの</t>
  </si>
  <si>
    <t>鉄有固-構築物-雑構築物-前掲以外のもの-その他のもの</t>
  </si>
  <si>
    <t>鉄有固-構築物-雑構築物-緑化施設及び庭園-その他のもの</t>
  </si>
  <si>
    <t>鉄有固-構築物-雑構築物-広告用のもの-その他のもの</t>
    <rPh sb="13" eb="16">
      <t>コウコクヨウ</t>
    </rPh>
    <phoneticPr fontId="2"/>
  </si>
  <si>
    <t>鉄有固-車両-予備品</t>
    <rPh sb="7" eb="10">
      <t>ヨビヒン</t>
    </rPh>
    <phoneticPr fontId="2"/>
  </si>
  <si>
    <t>鉄有固-工具器具及び備品-工器備-美術品(非償却)</t>
    <rPh sb="17" eb="19">
      <t>ビジュツ</t>
    </rPh>
    <rPh sb="19" eb="20">
      <t>ヒン</t>
    </rPh>
    <rPh sb="21" eb="22">
      <t>ヒ</t>
    </rPh>
    <rPh sb="22" eb="24">
      <t>ショウキャク</t>
    </rPh>
    <phoneticPr fontId="2"/>
  </si>
  <si>
    <t>鉄有固-工具器具及び備品-工器備-美術品-償却(主として金属製のもの)</t>
    <rPh sb="17" eb="19">
      <t>ビジュツ</t>
    </rPh>
    <rPh sb="19" eb="20">
      <t>ヒン</t>
    </rPh>
    <phoneticPr fontId="2"/>
  </si>
  <si>
    <t>鉄有固-工具器具及び備品-工器備-美術品-償却(その他のもの)</t>
    <rPh sb="17" eb="19">
      <t>ビジュツ</t>
    </rPh>
    <rPh sb="19" eb="20">
      <t>ヒン</t>
    </rPh>
    <phoneticPr fontId="2"/>
  </si>
  <si>
    <t>鉄有固-工具器具及び備品-運搬具-前掲以外-乗合自動車</t>
    <rPh sb="17" eb="19">
      <t>ゼンケイ</t>
    </rPh>
    <rPh sb="19" eb="21">
      <t>イガイ</t>
    </rPh>
    <rPh sb="22" eb="27">
      <t>ノリアイジドウシャ</t>
    </rPh>
    <phoneticPr fontId="2"/>
  </si>
  <si>
    <t>鉄有固-案内宣伝施設 建物-簡易建物(木製主要柱が10cm角以下で土居、杉皮ぶき等)-社宅・寮建物</t>
    <rPh sb="47" eb="49">
      <t>タテモノ</t>
    </rPh>
    <phoneticPr fontId="2"/>
  </si>
  <si>
    <t>建設仮勘定-広告事業-ソフトウェア</t>
    <rPh sb="6" eb="8">
      <t>コウコク</t>
    </rPh>
    <phoneticPr fontId="2"/>
  </si>
  <si>
    <t>建設仮勘定-各事業関連-直接費</t>
    <rPh sb="6" eb="9">
      <t>カクジギョウ</t>
    </rPh>
    <rPh sb="9" eb="11">
      <t>カンレン</t>
    </rPh>
    <rPh sb="12" eb="14">
      <t>チョクセツ</t>
    </rPh>
    <rPh sb="14" eb="15">
      <t>ヒ</t>
    </rPh>
    <phoneticPr fontId="2"/>
  </si>
  <si>
    <t>建設仮勘定-各事業関連-間接費</t>
    <rPh sb="6" eb="9">
      <t>カクジギョウ</t>
    </rPh>
    <rPh sb="9" eb="11">
      <t>カンレン</t>
    </rPh>
    <rPh sb="12" eb="14">
      <t>カンセツ</t>
    </rPh>
    <rPh sb="14" eb="15">
      <t>ヒ</t>
    </rPh>
    <phoneticPr fontId="2"/>
  </si>
  <si>
    <t>各事業有固-建物付属設備-電気設備(照明設備を含む。)-蓄電池電源設備-雑建物</t>
    <rPh sb="36" eb="37">
      <t>ザツ</t>
    </rPh>
    <rPh sb="37" eb="39">
      <t>タテモノ</t>
    </rPh>
    <phoneticPr fontId="2"/>
  </si>
  <si>
    <t>各事業有固-工具器具及び備品-工器備-美術品(非償却)</t>
    <rPh sb="19" eb="21">
      <t>ビジュツ</t>
    </rPh>
    <rPh sb="21" eb="22">
      <t>ヒン</t>
    </rPh>
    <rPh sb="23" eb="24">
      <t>ヒ</t>
    </rPh>
    <rPh sb="24" eb="26">
      <t>ショウキャク</t>
    </rPh>
    <phoneticPr fontId="2"/>
  </si>
  <si>
    <t>各事業有固-工具器具及び備品-工器備-美術品-償却(主として金属製のもの)</t>
    <rPh sb="19" eb="21">
      <t>ビジュツ</t>
    </rPh>
    <rPh sb="21" eb="22">
      <t>ヒン</t>
    </rPh>
    <phoneticPr fontId="2"/>
  </si>
  <si>
    <t>各事業有固-工具器具及び備品-工器備-美術品-償却(その他のもの)</t>
    <rPh sb="19" eb="21">
      <t>ビジュツ</t>
    </rPh>
    <rPh sb="21" eb="22">
      <t>ヒン</t>
    </rPh>
    <phoneticPr fontId="2"/>
  </si>
  <si>
    <t>各事業無固-借地権</t>
    <rPh sb="6" eb="8">
      <t>シャクチ</t>
    </rPh>
    <rPh sb="8" eb="9">
      <t>ケン</t>
    </rPh>
    <phoneticPr fontId="2"/>
  </si>
  <si>
    <t>各事業無固-地上権</t>
    <rPh sb="6" eb="9">
      <t>チジョウケン</t>
    </rPh>
    <phoneticPr fontId="2"/>
  </si>
  <si>
    <t>各事業無固-商標権</t>
    <rPh sb="6" eb="9">
      <t>ショウヒョウケン</t>
    </rPh>
    <phoneticPr fontId="2"/>
  </si>
  <si>
    <t>金額</t>
    <rPh sb="0" eb="2">
      <t>キンガク</t>
    </rPh>
    <phoneticPr fontId="3"/>
  </si>
  <si>
    <t>番号</t>
    <rPh sb="0" eb="2">
      <t>バンゴウ</t>
    </rPh>
    <phoneticPr fontId="3"/>
  </si>
  <si>
    <t>資産管理明細書</t>
    <rPh sb="0" eb="2">
      <t>シサン</t>
    </rPh>
    <rPh sb="2" eb="4">
      <t>カンリ</t>
    </rPh>
    <rPh sb="4" eb="7">
      <t>メイサイショ</t>
    </rPh>
    <phoneticPr fontId="3"/>
  </si>
  <si>
    <t>資産名称</t>
    <rPh sb="0" eb="2">
      <t>シサン</t>
    </rPh>
    <rPh sb="2" eb="4">
      <t>メイショウ</t>
    </rPh>
    <phoneticPr fontId="3"/>
  </si>
  <si>
    <t>予算掌理部</t>
    <rPh sb="0" eb="2">
      <t>ヨサン</t>
    </rPh>
    <rPh sb="2" eb="4">
      <t>ショウリ</t>
    </rPh>
    <rPh sb="4" eb="5">
      <t>ブ</t>
    </rPh>
    <phoneticPr fontId="3"/>
  </si>
  <si>
    <t>事業案
稟議番号</t>
    <rPh sb="0" eb="2">
      <t>ジギョウ</t>
    </rPh>
    <rPh sb="2" eb="3">
      <t>アン</t>
    </rPh>
    <rPh sb="4" eb="6">
      <t>リンギ</t>
    </rPh>
    <rPh sb="6" eb="8">
      <t>バンゴウ</t>
    </rPh>
    <phoneticPr fontId="3"/>
  </si>
  <si>
    <t>1</t>
  </si>
  <si>
    <t>2</t>
  </si>
  <si>
    <t>3</t>
  </si>
  <si>
    <t>4</t>
  </si>
  <si>
    <t>5</t>
  </si>
  <si>
    <t>調達部</t>
  </si>
  <si>
    <t>6</t>
  </si>
  <si>
    <t>7</t>
  </si>
  <si>
    <t>8</t>
  </si>
  <si>
    <t>運転部</t>
  </si>
  <si>
    <t>9</t>
  </si>
  <si>
    <t>営業部</t>
  </si>
  <si>
    <t>A</t>
  </si>
  <si>
    <t>B</t>
  </si>
  <si>
    <t>C</t>
  </si>
  <si>
    <t>D</t>
  </si>
  <si>
    <t>E</t>
  </si>
  <si>
    <t>F</t>
  </si>
  <si>
    <t>G</t>
  </si>
  <si>
    <t>H</t>
  </si>
  <si>
    <t>係員</t>
    <rPh sb="0" eb="2">
      <t>カカリイン</t>
    </rPh>
    <phoneticPr fontId="3"/>
  </si>
  <si>
    <t>率算出共通仮設費</t>
    <rPh sb="0" eb="1">
      <t>リツ</t>
    </rPh>
    <rPh sb="1" eb="3">
      <t>サンシュツ</t>
    </rPh>
    <rPh sb="3" eb="5">
      <t>キョウツウ</t>
    </rPh>
    <rPh sb="5" eb="7">
      <t>カセツ</t>
    </rPh>
    <rPh sb="7" eb="8">
      <t>ヒ</t>
    </rPh>
    <phoneticPr fontId="3"/>
  </si>
  <si>
    <t>式</t>
    <rPh sb="0" eb="1">
      <t>シキ</t>
    </rPh>
    <phoneticPr fontId="3"/>
  </si>
  <si>
    <t>□率算出共通仮設費</t>
    <rPh sb="1" eb="2">
      <t>リツ</t>
    </rPh>
    <rPh sb="2" eb="4">
      <t>サンシュツ</t>
    </rPh>
    <rPh sb="4" eb="6">
      <t>キョウツウ</t>
    </rPh>
    <rPh sb="6" eb="8">
      <t>カセツ</t>
    </rPh>
    <rPh sb="8" eb="9">
      <t>ヒ</t>
    </rPh>
    <phoneticPr fontId="3"/>
  </si>
  <si>
    <t>□積上げ共通仮設費</t>
    <rPh sb="1" eb="3">
      <t>ツミア</t>
    </rPh>
    <rPh sb="4" eb="6">
      <t>キョウツウ</t>
    </rPh>
    <rPh sb="6" eb="8">
      <t>カセツ</t>
    </rPh>
    <rPh sb="8" eb="9">
      <t>ヒ</t>
    </rPh>
    <phoneticPr fontId="3"/>
  </si>
  <si>
    <t>小々計</t>
    <rPh sb="0" eb="2">
      <t>ショウショウ</t>
    </rPh>
    <rPh sb="2" eb="3">
      <t>ケイ</t>
    </rPh>
    <phoneticPr fontId="3"/>
  </si>
  <si>
    <t>小々計</t>
    <rPh sb="0" eb="1">
      <t>ショウ</t>
    </rPh>
    <rPh sb="2" eb="3">
      <t>ケイ</t>
    </rPh>
    <phoneticPr fontId="3"/>
  </si>
  <si>
    <t>明細コード</t>
    <rPh sb="0" eb="2">
      <t>メイサイ</t>
    </rPh>
    <phoneticPr fontId="3"/>
  </si>
  <si>
    <t>明細情報</t>
    <rPh sb="0" eb="2">
      <t>メイサイ</t>
    </rPh>
    <rPh sb="2" eb="4">
      <t>ジョウホウ</t>
    </rPh>
    <phoneticPr fontId="3"/>
  </si>
  <si>
    <t>工事稟議番号</t>
    <rPh sb="0" eb="2">
      <t>コウジ</t>
    </rPh>
    <rPh sb="2" eb="4">
      <t>リンギ</t>
    </rPh>
    <rPh sb="4" eb="6">
      <t>バンゴウ</t>
    </rPh>
    <phoneticPr fontId="3"/>
  </si>
  <si>
    <t>入札方式</t>
    <rPh sb="0" eb="2">
      <t>ニュウサツ</t>
    </rPh>
    <rPh sb="2" eb="4">
      <t>ホウシキ</t>
    </rPh>
    <phoneticPr fontId="3"/>
  </si>
  <si>
    <t>プロジェクトコード</t>
    <phoneticPr fontId="3"/>
  </si>
  <si>
    <t>【資産区分】
空白の場合は
建物-鉄コン造で計上</t>
    <phoneticPr fontId="3"/>
  </si>
  <si>
    <t>前払金</t>
    <rPh sb="0" eb="2">
      <t>マエバライ</t>
    </rPh>
    <rPh sb="2" eb="3">
      <t>キン</t>
    </rPh>
    <phoneticPr fontId="3"/>
  </si>
  <si>
    <t>有り(40％)</t>
  </si>
  <si>
    <t>名称</t>
    <rPh sb="0" eb="2">
      <t>メイショウ</t>
    </rPh>
    <phoneticPr fontId="50"/>
  </si>
  <si>
    <t>経営戦略部</t>
    <rPh sb="0" eb="2">
      <t>ケイエイ</t>
    </rPh>
    <rPh sb="2" eb="4">
      <t>センリャク</t>
    </rPh>
    <rPh sb="4" eb="5">
      <t>ブ</t>
    </rPh>
    <phoneticPr fontId="1"/>
  </si>
  <si>
    <t>都市開発事業部</t>
    <rPh sb="0" eb="2">
      <t>トシ</t>
    </rPh>
    <rPh sb="2" eb="4">
      <t>カイハツ</t>
    </rPh>
    <rPh sb="4" eb="6">
      <t>ジギョウ</t>
    </rPh>
    <rPh sb="6" eb="7">
      <t>ブ</t>
    </rPh>
    <phoneticPr fontId="50"/>
  </si>
  <si>
    <t>法務・総務部</t>
  </si>
  <si>
    <t>経理部</t>
    <rPh sb="0" eb="2">
      <t>ケイリ</t>
    </rPh>
    <phoneticPr fontId="1"/>
  </si>
  <si>
    <t>統括部</t>
    <rPh sb="0" eb="2">
      <t>トウカツ</t>
    </rPh>
    <rPh sb="2" eb="3">
      <t>ブ</t>
    </rPh>
    <phoneticPr fontId="1"/>
  </si>
  <si>
    <t>駅務部</t>
    <rPh sb="0" eb="2">
      <t>エキム</t>
    </rPh>
    <rPh sb="2" eb="3">
      <t>ブ</t>
    </rPh>
    <phoneticPr fontId="1"/>
  </si>
  <si>
    <t>電気部</t>
    <rPh sb="0" eb="2">
      <t>デンキ</t>
    </rPh>
    <rPh sb="2" eb="3">
      <t>ブ</t>
    </rPh>
    <phoneticPr fontId="1"/>
  </si>
  <si>
    <t>車両部</t>
    <rPh sb="0" eb="2">
      <t>シャリョウ</t>
    </rPh>
    <rPh sb="2" eb="3">
      <t>ブ</t>
    </rPh>
    <phoneticPr fontId="1"/>
  </si>
  <si>
    <t>工務部</t>
    <rPh sb="0" eb="2">
      <t>コウム</t>
    </rPh>
    <rPh sb="2" eb="3">
      <t>ブ</t>
    </rPh>
    <phoneticPr fontId="1"/>
  </si>
  <si>
    <t>建築部</t>
    <rPh sb="0" eb="2">
      <t>ケンチク</t>
    </rPh>
    <rPh sb="2" eb="3">
      <t>ブ</t>
    </rPh>
    <phoneticPr fontId="1"/>
  </si>
  <si>
    <t>安全監理部</t>
    <rPh sb="0" eb="2">
      <t>アンゼン</t>
    </rPh>
    <rPh sb="2" eb="4">
      <t>カンリ</t>
    </rPh>
    <rPh sb="4" eb="5">
      <t>ブ</t>
    </rPh>
    <phoneticPr fontId="51"/>
  </si>
  <si>
    <t>グループ監査部</t>
    <rPh sb="4" eb="6">
      <t>カンサ</t>
    </rPh>
    <rPh sb="6" eb="7">
      <t>ブ</t>
    </rPh>
    <phoneticPr fontId="1"/>
  </si>
  <si>
    <t>人事部</t>
    <rPh sb="0" eb="2">
      <t>ジンジ</t>
    </rPh>
    <rPh sb="2" eb="3">
      <t>ブ</t>
    </rPh>
    <phoneticPr fontId="1"/>
  </si>
  <si>
    <t>監査役</t>
  </si>
  <si>
    <t>I</t>
  </si>
  <si>
    <t>リテール事業部</t>
  </si>
  <si>
    <t>J</t>
  </si>
  <si>
    <t>先端技術研究所</t>
    <rPh sb="0" eb="2">
      <t>センタン</t>
    </rPh>
    <rPh sb="2" eb="4">
      <t>ギジュツ</t>
    </rPh>
    <rPh sb="4" eb="7">
      <t>ケンキュウショ</t>
    </rPh>
    <phoneticPr fontId="1"/>
  </si>
  <si>
    <t>K</t>
  </si>
  <si>
    <t>計画部</t>
    <rPh sb="0" eb="2">
      <t>ケイカク</t>
    </rPh>
    <rPh sb="2" eb="3">
      <t>ブ</t>
    </rPh>
    <phoneticPr fontId="50"/>
  </si>
  <si>
    <t>L</t>
  </si>
  <si>
    <t>経営管理部</t>
    <rPh sb="0" eb="2">
      <t>ケイエイ</t>
    </rPh>
    <rPh sb="2" eb="4">
      <t>カンリ</t>
    </rPh>
    <rPh sb="4" eb="5">
      <t>ブ</t>
    </rPh>
    <phoneticPr fontId="1"/>
  </si>
  <si>
    <t>M</t>
  </si>
  <si>
    <t>活力インフラ部</t>
    <rPh sb="0" eb="2">
      <t>カツリョク</t>
    </rPh>
    <rPh sb="6" eb="7">
      <t>ブ</t>
    </rPh>
    <phoneticPr fontId="1"/>
  </si>
  <si>
    <t>N</t>
  </si>
  <si>
    <t>新規事業部</t>
    <rPh sb="0" eb="2">
      <t>シンキ</t>
    </rPh>
    <rPh sb="2" eb="4">
      <t>ジギョウ</t>
    </rPh>
    <rPh sb="4" eb="5">
      <t>ブ</t>
    </rPh>
    <phoneticPr fontId="50"/>
  </si>
  <si>
    <t>P</t>
  </si>
  <si>
    <t>デジタルマーケティング部</t>
    <rPh sb="11" eb="12">
      <t>ブ</t>
    </rPh>
    <phoneticPr fontId="50"/>
  </si>
  <si>
    <t>Q</t>
  </si>
  <si>
    <t>ＩＣＴ戦略部</t>
    <rPh sb="3" eb="5">
      <t>センリャク</t>
    </rPh>
    <rPh sb="5" eb="6">
      <t>ブ</t>
    </rPh>
    <phoneticPr fontId="1"/>
  </si>
  <si>
    <t>R</t>
  </si>
  <si>
    <t>広報戦略部</t>
    <rPh sb="0" eb="2">
      <t>コウホウ</t>
    </rPh>
    <rPh sb="2" eb="4">
      <t>センリャク</t>
    </rPh>
    <rPh sb="4" eb="5">
      <t>ブ</t>
    </rPh>
    <phoneticPr fontId="1"/>
  </si>
  <si>
    <t>工事1</t>
    <rPh sb="0" eb="2">
      <t>コウジ</t>
    </rPh>
    <phoneticPr fontId="3"/>
  </si>
  <si>
    <t>工事2</t>
    <rPh sb="0" eb="2">
      <t>コウジ</t>
    </rPh>
    <phoneticPr fontId="3"/>
  </si>
  <si>
    <t>工事3</t>
    <rPh sb="0" eb="2">
      <t>コウジ</t>
    </rPh>
    <phoneticPr fontId="3"/>
  </si>
  <si>
    <t>工事4</t>
    <rPh sb="0" eb="2">
      <t>コウジ</t>
    </rPh>
    <phoneticPr fontId="3"/>
  </si>
  <si>
    <t>工事5</t>
    <rPh sb="0" eb="2">
      <t>コウジ</t>
    </rPh>
    <phoneticPr fontId="3"/>
  </si>
  <si>
    <t>工事6</t>
    <rPh sb="0" eb="2">
      <t>コウジ</t>
    </rPh>
    <phoneticPr fontId="3"/>
  </si>
  <si>
    <t>工事7</t>
    <rPh sb="0" eb="2">
      <t>コウジ</t>
    </rPh>
    <phoneticPr fontId="3"/>
  </si>
  <si>
    <t>工事8</t>
    <rPh sb="0" eb="2">
      <t>コウジ</t>
    </rPh>
    <phoneticPr fontId="3"/>
  </si>
  <si>
    <t>工事9</t>
    <rPh sb="0" eb="2">
      <t>コウジ</t>
    </rPh>
    <phoneticPr fontId="3"/>
  </si>
  <si>
    <t>工事10</t>
    <rPh sb="0" eb="2">
      <t>コウジ</t>
    </rPh>
    <phoneticPr fontId="3"/>
  </si>
  <si>
    <t>工事11</t>
    <rPh sb="0" eb="2">
      <t>コウジ</t>
    </rPh>
    <phoneticPr fontId="3"/>
  </si>
  <si>
    <t>工事12</t>
    <rPh sb="0" eb="2">
      <t>コウジ</t>
    </rPh>
    <phoneticPr fontId="3"/>
  </si>
  <si>
    <t>工事13</t>
    <rPh sb="0" eb="2">
      <t>コウジ</t>
    </rPh>
    <phoneticPr fontId="3"/>
  </si>
  <si>
    <t>工事14</t>
    <rPh sb="0" eb="2">
      <t>コウジ</t>
    </rPh>
    <phoneticPr fontId="3"/>
  </si>
  <si>
    <t>工事15</t>
    <rPh sb="0" eb="2">
      <t>コウジ</t>
    </rPh>
    <phoneticPr fontId="3"/>
  </si>
  <si>
    <t>工事16</t>
    <rPh sb="0" eb="2">
      <t>コウジ</t>
    </rPh>
    <phoneticPr fontId="3"/>
  </si>
  <si>
    <t>工事17</t>
    <rPh sb="0" eb="2">
      <t>コウジ</t>
    </rPh>
    <phoneticPr fontId="3"/>
  </si>
  <si>
    <t>工事18</t>
    <rPh sb="0" eb="2">
      <t>コウジ</t>
    </rPh>
    <phoneticPr fontId="3"/>
  </si>
  <si>
    <t>工事19</t>
    <rPh sb="0" eb="2">
      <t>コウジ</t>
    </rPh>
    <phoneticPr fontId="3"/>
  </si>
  <si>
    <t>工事20</t>
    <rPh sb="0" eb="2">
      <t>コウジ</t>
    </rPh>
    <phoneticPr fontId="3"/>
  </si>
  <si>
    <t>工事21</t>
    <rPh sb="0" eb="2">
      <t>コウジ</t>
    </rPh>
    <phoneticPr fontId="3"/>
  </si>
  <si>
    <t>工事22</t>
    <rPh sb="0" eb="2">
      <t>コウジ</t>
    </rPh>
    <phoneticPr fontId="3"/>
  </si>
  <si>
    <t>工事23</t>
    <rPh sb="0" eb="2">
      <t>コウジ</t>
    </rPh>
    <phoneticPr fontId="3"/>
  </si>
  <si>
    <t>工事24</t>
    <rPh sb="0" eb="2">
      <t>コウジ</t>
    </rPh>
    <phoneticPr fontId="3"/>
  </si>
  <si>
    <t>工事25</t>
    <rPh sb="0" eb="2">
      <t>コウジ</t>
    </rPh>
    <phoneticPr fontId="3"/>
  </si>
  <si>
    <t>工事26</t>
    <rPh sb="0" eb="2">
      <t>コウジ</t>
    </rPh>
    <phoneticPr fontId="3"/>
  </si>
  <si>
    <t>工事27</t>
    <rPh sb="0" eb="2">
      <t>コウジ</t>
    </rPh>
    <phoneticPr fontId="3"/>
  </si>
  <si>
    <t>工事28</t>
    <rPh sb="0" eb="2">
      <t>コウジ</t>
    </rPh>
    <phoneticPr fontId="3"/>
  </si>
  <si>
    <t>工事29</t>
    <rPh sb="0" eb="2">
      <t>コウジ</t>
    </rPh>
    <phoneticPr fontId="3"/>
  </si>
  <si>
    <t>工事30</t>
    <rPh sb="0" eb="2">
      <t>コウジ</t>
    </rPh>
    <phoneticPr fontId="3"/>
  </si>
  <si>
    <t>工事31</t>
    <rPh sb="0" eb="2">
      <t>コウジ</t>
    </rPh>
    <phoneticPr fontId="3"/>
  </si>
  <si>
    <t>工事32</t>
    <rPh sb="0" eb="2">
      <t>コウジ</t>
    </rPh>
    <phoneticPr fontId="3"/>
  </si>
  <si>
    <t>工事33</t>
    <rPh sb="0" eb="2">
      <t>コウジ</t>
    </rPh>
    <phoneticPr fontId="3"/>
  </si>
  <si>
    <t>工事34</t>
    <rPh sb="0" eb="2">
      <t>コウジ</t>
    </rPh>
    <phoneticPr fontId="3"/>
  </si>
  <si>
    <t>工事35</t>
    <rPh sb="0" eb="2">
      <t>コウジ</t>
    </rPh>
    <phoneticPr fontId="3"/>
  </si>
  <si>
    <t>工事36</t>
    <rPh sb="0" eb="2">
      <t>コウジ</t>
    </rPh>
    <phoneticPr fontId="3"/>
  </si>
  <si>
    <t>工事37</t>
    <rPh sb="0" eb="2">
      <t>コウジ</t>
    </rPh>
    <phoneticPr fontId="3"/>
  </si>
  <si>
    <t>工事38</t>
    <rPh sb="0" eb="2">
      <t>コウジ</t>
    </rPh>
    <phoneticPr fontId="3"/>
  </si>
  <si>
    <t>工事39</t>
    <rPh sb="0" eb="2">
      <t>コウジ</t>
    </rPh>
    <phoneticPr fontId="3"/>
  </si>
  <si>
    <t>工事40</t>
    <rPh sb="0" eb="2">
      <t>コウジ</t>
    </rPh>
    <phoneticPr fontId="3"/>
  </si>
  <si>
    <t>工事41</t>
    <rPh sb="0" eb="2">
      <t>コウジ</t>
    </rPh>
    <phoneticPr fontId="3"/>
  </si>
  <si>
    <t>工事42</t>
    <rPh sb="0" eb="2">
      <t>コウジ</t>
    </rPh>
    <phoneticPr fontId="3"/>
  </si>
  <si>
    <t>工事43</t>
    <rPh sb="0" eb="2">
      <t>コウジ</t>
    </rPh>
    <phoneticPr fontId="3"/>
  </si>
  <si>
    <t>工事44</t>
    <rPh sb="0" eb="2">
      <t>コウジ</t>
    </rPh>
    <phoneticPr fontId="3"/>
  </si>
  <si>
    <t>工事45</t>
    <rPh sb="0" eb="2">
      <t>コウジ</t>
    </rPh>
    <phoneticPr fontId="3"/>
  </si>
  <si>
    <t>工事46</t>
    <rPh sb="0" eb="2">
      <t>コウジ</t>
    </rPh>
    <phoneticPr fontId="3"/>
  </si>
  <si>
    <t>工事47</t>
    <rPh sb="0" eb="2">
      <t>コウジ</t>
    </rPh>
    <phoneticPr fontId="3"/>
  </si>
  <si>
    <t>工事48</t>
    <rPh sb="0" eb="2">
      <t>コウジ</t>
    </rPh>
    <phoneticPr fontId="3"/>
  </si>
  <si>
    <t>工事49</t>
    <rPh sb="0" eb="2">
      <t>コウジ</t>
    </rPh>
    <phoneticPr fontId="3"/>
  </si>
  <si>
    <t>工事50</t>
    <rPh sb="0" eb="2">
      <t>コウジ</t>
    </rPh>
    <phoneticPr fontId="3"/>
  </si>
  <si>
    <t>工事51</t>
    <rPh sb="0" eb="2">
      <t>コウジ</t>
    </rPh>
    <phoneticPr fontId="3"/>
  </si>
  <si>
    <t>工事52</t>
    <rPh sb="0" eb="2">
      <t>コウジ</t>
    </rPh>
    <phoneticPr fontId="3"/>
  </si>
  <si>
    <t>工事53</t>
    <rPh sb="0" eb="2">
      <t>コウジ</t>
    </rPh>
    <phoneticPr fontId="3"/>
  </si>
  <si>
    <t>工事54</t>
    <rPh sb="0" eb="2">
      <t>コウジ</t>
    </rPh>
    <phoneticPr fontId="3"/>
  </si>
  <si>
    <t>工事55</t>
    <rPh sb="0" eb="2">
      <t>コウジ</t>
    </rPh>
    <phoneticPr fontId="3"/>
  </si>
  <si>
    <t>工事56</t>
    <rPh sb="0" eb="2">
      <t>コウジ</t>
    </rPh>
    <phoneticPr fontId="3"/>
  </si>
  <si>
    <t>工事57</t>
    <rPh sb="0" eb="2">
      <t>コウジ</t>
    </rPh>
    <phoneticPr fontId="3"/>
  </si>
  <si>
    <t>工事58</t>
    <rPh sb="0" eb="2">
      <t>コウジ</t>
    </rPh>
    <phoneticPr fontId="3"/>
  </si>
  <si>
    <t>工事59</t>
    <rPh sb="0" eb="2">
      <t>コウジ</t>
    </rPh>
    <phoneticPr fontId="3"/>
  </si>
  <si>
    <t>工事60</t>
    <rPh sb="0" eb="2">
      <t>コウジ</t>
    </rPh>
    <phoneticPr fontId="3"/>
  </si>
  <si>
    <t>工事61</t>
    <rPh sb="0" eb="2">
      <t>コウジ</t>
    </rPh>
    <phoneticPr fontId="3"/>
  </si>
  <si>
    <t>工事62</t>
    <rPh sb="0" eb="2">
      <t>コウジ</t>
    </rPh>
    <phoneticPr fontId="3"/>
  </si>
  <si>
    <t>工事63</t>
    <rPh sb="0" eb="2">
      <t>コウジ</t>
    </rPh>
    <phoneticPr fontId="3"/>
  </si>
  <si>
    <t>工事64</t>
    <rPh sb="0" eb="2">
      <t>コウジ</t>
    </rPh>
    <phoneticPr fontId="3"/>
  </si>
  <si>
    <t>工事65</t>
    <rPh sb="0" eb="2">
      <t>コウジ</t>
    </rPh>
    <phoneticPr fontId="3"/>
  </si>
  <si>
    <t>工事66</t>
    <rPh sb="0" eb="2">
      <t>コウジ</t>
    </rPh>
    <phoneticPr fontId="3"/>
  </si>
  <si>
    <t>工事67</t>
    <rPh sb="0" eb="2">
      <t>コウジ</t>
    </rPh>
    <phoneticPr fontId="3"/>
  </si>
  <si>
    <t>工事68</t>
    <rPh sb="0" eb="2">
      <t>コウジ</t>
    </rPh>
    <phoneticPr fontId="3"/>
  </si>
  <si>
    <t>工事69</t>
    <rPh sb="0" eb="2">
      <t>コウジ</t>
    </rPh>
    <phoneticPr fontId="3"/>
  </si>
  <si>
    <t>工事70</t>
    <rPh sb="0" eb="2">
      <t>コウジ</t>
    </rPh>
    <phoneticPr fontId="3"/>
  </si>
  <si>
    <t>工事71</t>
    <rPh sb="0" eb="2">
      <t>コウジ</t>
    </rPh>
    <phoneticPr fontId="3"/>
  </si>
  <si>
    <t>工事72</t>
    <rPh sb="0" eb="2">
      <t>コウジ</t>
    </rPh>
    <phoneticPr fontId="3"/>
  </si>
  <si>
    <t>工事73</t>
    <rPh sb="0" eb="2">
      <t>コウジ</t>
    </rPh>
    <phoneticPr fontId="3"/>
  </si>
  <si>
    <t>工事74</t>
    <rPh sb="0" eb="2">
      <t>コウジ</t>
    </rPh>
    <phoneticPr fontId="3"/>
  </si>
  <si>
    <t>工事75</t>
    <rPh sb="0" eb="2">
      <t>コウジ</t>
    </rPh>
    <phoneticPr fontId="3"/>
  </si>
  <si>
    <t>工事76</t>
    <rPh sb="0" eb="2">
      <t>コウジ</t>
    </rPh>
    <phoneticPr fontId="3"/>
  </si>
  <si>
    <t>工事77</t>
    <rPh sb="0" eb="2">
      <t>コウジ</t>
    </rPh>
    <phoneticPr fontId="3"/>
  </si>
  <si>
    <t>工事78</t>
    <rPh sb="0" eb="2">
      <t>コウジ</t>
    </rPh>
    <phoneticPr fontId="3"/>
  </si>
  <si>
    <t>工事79</t>
    <rPh sb="0" eb="2">
      <t>コウジ</t>
    </rPh>
    <phoneticPr fontId="3"/>
  </si>
  <si>
    <t>工事80</t>
    <rPh sb="0" eb="2">
      <t>コウジ</t>
    </rPh>
    <phoneticPr fontId="3"/>
  </si>
  <si>
    <t>工事81</t>
    <rPh sb="0" eb="2">
      <t>コウジ</t>
    </rPh>
    <phoneticPr fontId="3"/>
  </si>
  <si>
    <t>工事82</t>
    <rPh sb="0" eb="2">
      <t>コウジ</t>
    </rPh>
    <phoneticPr fontId="3"/>
  </si>
  <si>
    <t>工事83</t>
    <rPh sb="0" eb="2">
      <t>コウジ</t>
    </rPh>
    <phoneticPr fontId="3"/>
  </si>
  <si>
    <t>工事84</t>
    <rPh sb="0" eb="2">
      <t>コウジ</t>
    </rPh>
    <phoneticPr fontId="3"/>
  </si>
  <si>
    <t>工事85</t>
    <rPh sb="0" eb="2">
      <t>コウジ</t>
    </rPh>
    <phoneticPr fontId="3"/>
  </si>
  <si>
    <t>工事86</t>
    <rPh sb="0" eb="2">
      <t>コウジ</t>
    </rPh>
    <phoneticPr fontId="3"/>
  </si>
  <si>
    <t>工事87</t>
    <rPh sb="0" eb="2">
      <t>コウジ</t>
    </rPh>
    <phoneticPr fontId="3"/>
  </si>
  <si>
    <t>工事88</t>
    <rPh sb="0" eb="2">
      <t>コウジ</t>
    </rPh>
    <phoneticPr fontId="3"/>
  </si>
  <si>
    <t>工事89</t>
    <rPh sb="0" eb="2">
      <t>コウジ</t>
    </rPh>
    <phoneticPr fontId="3"/>
  </si>
  <si>
    <t>工事90</t>
    <rPh sb="0" eb="2">
      <t>コウジ</t>
    </rPh>
    <phoneticPr fontId="3"/>
  </si>
  <si>
    <t>工事91</t>
    <rPh sb="0" eb="2">
      <t>コウジ</t>
    </rPh>
    <phoneticPr fontId="3"/>
  </si>
  <si>
    <t>工事92</t>
    <rPh sb="0" eb="2">
      <t>コウジ</t>
    </rPh>
    <phoneticPr fontId="3"/>
  </si>
  <si>
    <t>工事93</t>
    <rPh sb="0" eb="2">
      <t>コウジ</t>
    </rPh>
    <phoneticPr fontId="3"/>
  </si>
  <si>
    <t>工事94</t>
    <rPh sb="0" eb="2">
      <t>コウジ</t>
    </rPh>
    <phoneticPr fontId="3"/>
  </si>
  <si>
    <t>工事95</t>
    <rPh sb="0" eb="2">
      <t>コウジ</t>
    </rPh>
    <phoneticPr fontId="3"/>
  </si>
  <si>
    <t>工事96</t>
    <rPh sb="0" eb="2">
      <t>コウジ</t>
    </rPh>
    <phoneticPr fontId="3"/>
  </si>
  <si>
    <t>工事97</t>
    <rPh sb="0" eb="2">
      <t>コウジ</t>
    </rPh>
    <phoneticPr fontId="3"/>
  </si>
  <si>
    <t>工事98</t>
    <rPh sb="0" eb="2">
      <t>コウジ</t>
    </rPh>
    <phoneticPr fontId="3"/>
  </si>
  <si>
    <t>工事99</t>
    <rPh sb="0" eb="2">
      <t>コウジ</t>
    </rPh>
    <phoneticPr fontId="3"/>
  </si>
  <si>
    <t>工事100</t>
    <rPh sb="0" eb="2">
      <t>コウジ</t>
    </rPh>
    <phoneticPr fontId="3"/>
  </si>
  <si>
    <t>工事101</t>
    <rPh sb="0" eb="2">
      <t>コウジ</t>
    </rPh>
    <phoneticPr fontId="3"/>
  </si>
  <si>
    <t>工事102</t>
    <rPh sb="0" eb="2">
      <t>コウジ</t>
    </rPh>
    <phoneticPr fontId="3"/>
  </si>
  <si>
    <t>工事103</t>
    <rPh sb="0" eb="2">
      <t>コウジ</t>
    </rPh>
    <phoneticPr fontId="3"/>
  </si>
  <si>
    <t>工事104</t>
    <rPh sb="0" eb="2">
      <t>コウジ</t>
    </rPh>
    <phoneticPr fontId="3"/>
  </si>
  <si>
    <t>工事105</t>
    <rPh sb="0" eb="2">
      <t>コウジ</t>
    </rPh>
    <phoneticPr fontId="3"/>
  </si>
  <si>
    <t>工事106</t>
    <rPh sb="0" eb="2">
      <t>コウジ</t>
    </rPh>
    <phoneticPr fontId="3"/>
  </si>
  <si>
    <t>工事107</t>
    <rPh sb="0" eb="2">
      <t>コウジ</t>
    </rPh>
    <phoneticPr fontId="3"/>
  </si>
  <si>
    <t>工事108</t>
    <rPh sb="0" eb="2">
      <t>コウジ</t>
    </rPh>
    <phoneticPr fontId="3"/>
  </si>
  <si>
    <t>工事109</t>
    <rPh sb="0" eb="2">
      <t>コウジ</t>
    </rPh>
    <phoneticPr fontId="3"/>
  </si>
  <si>
    <t>工事110</t>
    <rPh sb="0" eb="2">
      <t>コウジ</t>
    </rPh>
    <phoneticPr fontId="3"/>
  </si>
  <si>
    <t>工事111</t>
    <rPh sb="0" eb="2">
      <t>コウジ</t>
    </rPh>
    <phoneticPr fontId="3"/>
  </si>
  <si>
    <t>工事112</t>
    <rPh sb="0" eb="2">
      <t>コウジ</t>
    </rPh>
    <phoneticPr fontId="3"/>
  </si>
  <si>
    <t>工事113</t>
    <rPh sb="0" eb="2">
      <t>コウジ</t>
    </rPh>
    <phoneticPr fontId="3"/>
  </si>
  <si>
    <t>工事114</t>
    <rPh sb="0" eb="2">
      <t>コウジ</t>
    </rPh>
    <phoneticPr fontId="3"/>
  </si>
  <si>
    <t>工事115</t>
    <rPh sb="0" eb="2">
      <t>コウジ</t>
    </rPh>
    <phoneticPr fontId="3"/>
  </si>
  <si>
    <t>工事116</t>
    <rPh sb="0" eb="2">
      <t>コウジ</t>
    </rPh>
    <phoneticPr fontId="3"/>
  </si>
  <si>
    <t>工事117</t>
    <rPh sb="0" eb="2">
      <t>コウジ</t>
    </rPh>
    <phoneticPr fontId="3"/>
  </si>
  <si>
    <t>工事118</t>
    <rPh sb="0" eb="2">
      <t>コウジ</t>
    </rPh>
    <phoneticPr fontId="3"/>
  </si>
  <si>
    <t>工事119</t>
    <rPh sb="0" eb="2">
      <t>コウジ</t>
    </rPh>
    <phoneticPr fontId="3"/>
  </si>
  <si>
    <t>工事120</t>
    <rPh sb="0" eb="2">
      <t>コウジ</t>
    </rPh>
    <phoneticPr fontId="3"/>
  </si>
  <si>
    <t>工事121</t>
    <rPh sb="0" eb="2">
      <t>コウジ</t>
    </rPh>
    <phoneticPr fontId="3"/>
  </si>
  <si>
    <t>工事122</t>
    <rPh sb="0" eb="2">
      <t>コウジ</t>
    </rPh>
    <phoneticPr fontId="3"/>
  </si>
  <si>
    <t>工事123</t>
    <rPh sb="0" eb="2">
      <t>コウジ</t>
    </rPh>
    <phoneticPr fontId="3"/>
  </si>
  <si>
    <t>工事124</t>
    <rPh sb="0" eb="2">
      <t>コウジ</t>
    </rPh>
    <phoneticPr fontId="3"/>
  </si>
  <si>
    <t>工事125</t>
    <rPh sb="0" eb="2">
      <t>コウジ</t>
    </rPh>
    <phoneticPr fontId="3"/>
  </si>
  <si>
    <t>工事126</t>
    <rPh sb="0" eb="2">
      <t>コウジ</t>
    </rPh>
    <phoneticPr fontId="3"/>
  </si>
  <si>
    <t>工事127</t>
    <rPh sb="0" eb="2">
      <t>コウジ</t>
    </rPh>
    <phoneticPr fontId="3"/>
  </si>
  <si>
    <t>工事128</t>
    <rPh sb="0" eb="2">
      <t>コウジ</t>
    </rPh>
    <phoneticPr fontId="3"/>
  </si>
  <si>
    <t>工事129</t>
    <rPh sb="0" eb="2">
      <t>コウジ</t>
    </rPh>
    <phoneticPr fontId="3"/>
  </si>
  <si>
    <t>工事130</t>
    <rPh sb="0" eb="2">
      <t>コウジ</t>
    </rPh>
    <phoneticPr fontId="3"/>
  </si>
  <si>
    <t>工事131</t>
    <rPh sb="0" eb="2">
      <t>コウジ</t>
    </rPh>
    <phoneticPr fontId="3"/>
  </si>
  <si>
    <t>工事132</t>
    <rPh sb="0" eb="2">
      <t>コウジ</t>
    </rPh>
    <phoneticPr fontId="3"/>
  </si>
  <si>
    <t>工事133</t>
    <rPh sb="0" eb="2">
      <t>コウジ</t>
    </rPh>
    <phoneticPr fontId="3"/>
  </si>
  <si>
    <t>工事134</t>
    <rPh sb="0" eb="2">
      <t>コウジ</t>
    </rPh>
    <phoneticPr fontId="3"/>
  </si>
  <si>
    <t>工事135</t>
    <rPh sb="0" eb="2">
      <t>コウジ</t>
    </rPh>
    <phoneticPr fontId="3"/>
  </si>
  <si>
    <t>工事136</t>
    <rPh sb="0" eb="2">
      <t>コウジ</t>
    </rPh>
    <phoneticPr fontId="3"/>
  </si>
  <si>
    <t>工事137</t>
    <rPh sb="0" eb="2">
      <t>コウジ</t>
    </rPh>
    <phoneticPr fontId="3"/>
  </si>
  <si>
    <t>工事138</t>
    <rPh sb="0" eb="2">
      <t>コウジ</t>
    </rPh>
    <phoneticPr fontId="3"/>
  </si>
  <si>
    <t>工事139</t>
    <rPh sb="0" eb="2">
      <t>コウジ</t>
    </rPh>
    <phoneticPr fontId="3"/>
  </si>
  <si>
    <t>工事140</t>
    <rPh sb="0" eb="2">
      <t>コウジ</t>
    </rPh>
    <phoneticPr fontId="3"/>
  </si>
  <si>
    <t>工事141</t>
    <rPh sb="0" eb="2">
      <t>コウジ</t>
    </rPh>
    <phoneticPr fontId="3"/>
  </si>
  <si>
    <t>工事142</t>
    <rPh sb="0" eb="2">
      <t>コウジ</t>
    </rPh>
    <phoneticPr fontId="3"/>
  </si>
  <si>
    <t>工事143</t>
    <rPh sb="0" eb="2">
      <t>コウジ</t>
    </rPh>
    <phoneticPr fontId="3"/>
  </si>
  <si>
    <t>工事144</t>
    <rPh sb="0" eb="2">
      <t>コウジ</t>
    </rPh>
    <phoneticPr fontId="3"/>
  </si>
  <si>
    <t>工事145</t>
    <rPh sb="0" eb="2">
      <t>コウジ</t>
    </rPh>
    <phoneticPr fontId="3"/>
  </si>
  <si>
    <t>工事146</t>
    <rPh sb="0" eb="2">
      <t>コウジ</t>
    </rPh>
    <phoneticPr fontId="3"/>
  </si>
  <si>
    <t>工事147</t>
    <rPh sb="0" eb="2">
      <t>コウジ</t>
    </rPh>
    <phoneticPr fontId="3"/>
  </si>
  <si>
    <t>工事148</t>
    <rPh sb="0" eb="2">
      <t>コウジ</t>
    </rPh>
    <phoneticPr fontId="3"/>
  </si>
  <si>
    <t>工事149</t>
    <rPh sb="0" eb="2">
      <t>コウジ</t>
    </rPh>
    <phoneticPr fontId="3"/>
  </si>
  <si>
    <t>工事150</t>
    <rPh sb="0" eb="2">
      <t>コウジ</t>
    </rPh>
    <phoneticPr fontId="3"/>
  </si>
  <si>
    <t>工事151</t>
    <rPh sb="0" eb="2">
      <t>コウジ</t>
    </rPh>
    <phoneticPr fontId="3"/>
  </si>
  <si>
    <t>工事152</t>
    <rPh sb="0" eb="2">
      <t>コウジ</t>
    </rPh>
    <phoneticPr fontId="3"/>
  </si>
  <si>
    <t>工事153</t>
    <rPh sb="0" eb="2">
      <t>コウジ</t>
    </rPh>
    <phoneticPr fontId="3"/>
  </si>
  <si>
    <t>工事154</t>
    <rPh sb="0" eb="2">
      <t>コウジ</t>
    </rPh>
    <phoneticPr fontId="3"/>
  </si>
  <si>
    <t>工事155</t>
    <rPh sb="0" eb="2">
      <t>コウジ</t>
    </rPh>
    <phoneticPr fontId="3"/>
  </si>
  <si>
    <t>工事156</t>
    <rPh sb="0" eb="2">
      <t>コウジ</t>
    </rPh>
    <phoneticPr fontId="3"/>
  </si>
  <si>
    <t>工事157</t>
    <rPh sb="0" eb="2">
      <t>コウジ</t>
    </rPh>
    <phoneticPr fontId="3"/>
  </si>
  <si>
    <t>工事158</t>
    <rPh sb="0" eb="2">
      <t>コウジ</t>
    </rPh>
    <phoneticPr fontId="3"/>
  </si>
  <si>
    <t>工事159</t>
    <rPh sb="0" eb="2">
      <t>コウジ</t>
    </rPh>
    <phoneticPr fontId="3"/>
  </si>
  <si>
    <t>工事160</t>
    <rPh sb="0" eb="2">
      <t>コウジ</t>
    </rPh>
    <phoneticPr fontId="3"/>
  </si>
  <si>
    <t>工事161</t>
    <rPh sb="0" eb="2">
      <t>コウジ</t>
    </rPh>
    <phoneticPr fontId="3"/>
  </si>
  <si>
    <t>工事162</t>
    <rPh sb="0" eb="2">
      <t>コウジ</t>
    </rPh>
    <phoneticPr fontId="3"/>
  </si>
  <si>
    <t>工事163</t>
    <rPh sb="0" eb="2">
      <t>コウジ</t>
    </rPh>
    <phoneticPr fontId="3"/>
  </si>
  <si>
    <t>工事164</t>
    <rPh sb="0" eb="2">
      <t>コウジ</t>
    </rPh>
    <phoneticPr fontId="3"/>
  </si>
  <si>
    <t>工事165</t>
    <rPh sb="0" eb="2">
      <t>コウジ</t>
    </rPh>
    <phoneticPr fontId="3"/>
  </si>
  <si>
    <t>工事166</t>
    <rPh sb="0" eb="2">
      <t>コウジ</t>
    </rPh>
    <phoneticPr fontId="3"/>
  </si>
  <si>
    <t>工事167</t>
    <rPh sb="0" eb="2">
      <t>コウジ</t>
    </rPh>
    <phoneticPr fontId="3"/>
  </si>
  <si>
    <t>工事168</t>
    <rPh sb="0" eb="2">
      <t>コウジ</t>
    </rPh>
    <phoneticPr fontId="3"/>
  </si>
  <si>
    <t>工事169</t>
    <rPh sb="0" eb="2">
      <t>コウジ</t>
    </rPh>
    <phoneticPr fontId="3"/>
  </si>
  <si>
    <t>工事170</t>
    <rPh sb="0" eb="2">
      <t>コウジ</t>
    </rPh>
    <phoneticPr fontId="3"/>
  </si>
  <si>
    <t>工事171</t>
    <rPh sb="0" eb="2">
      <t>コウジ</t>
    </rPh>
    <phoneticPr fontId="3"/>
  </si>
  <si>
    <t>工事172</t>
    <rPh sb="0" eb="2">
      <t>コウジ</t>
    </rPh>
    <phoneticPr fontId="3"/>
  </si>
  <si>
    <t>工事173</t>
    <rPh sb="0" eb="2">
      <t>コウジ</t>
    </rPh>
    <phoneticPr fontId="3"/>
  </si>
  <si>
    <t>工事174</t>
    <rPh sb="0" eb="2">
      <t>コウジ</t>
    </rPh>
    <phoneticPr fontId="3"/>
  </si>
  <si>
    <t>工事175</t>
    <rPh sb="0" eb="2">
      <t>コウジ</t>
    </rPh>
    <phoneticPr fontId="3"/>
  </si>
  <si>
    <t>工事176</t>
    <rPh sb="0" eb="2">
      <t>コウジ</t>
    </rPh>
    <phoneticPr fontId="3"/>
  </si>
  <si>
    <t>工事177</t>
    <rPh sb="0" eb="2">
      <t>コウジ</t>
    </rPh>
    <phoneticPr fontId="3"/>
  </si>
  <si>
    <t>工事178</t>
    <rPh sb="0" eb="2">
      <t>コウジ</t>
    </rPh>
    <phoneticPr fontId="3"/>
  </si>
  <si>
    <t>工事179</t>
    <rPh sb="0" eb="2">
      <t>コウジ</t>
    </rPh>
    <phoneticPr fontId="3"/>
  </si>
  <si>
    <t>工事180</t>
    <rPh sb="0" eb="2">
      <t>コウジ</t>
    </rPh>
    <phoneticPr fontId="3"/>
  </si>
  <si>
    <t>工事181</t>
    <rPh sb="0" eb="2">
      <t>コウジ</t>
    </rPh>
    <phoneticPr fontId="3"/>
  </si>
  <si>
    <t>工事182</t>
    <rPh sb="0" eb="2">
      <t>コウジ</t>
    </rPh>
    <phoneticPr fontId="3"/>
  </si>
  <si>
    <t>工事183</t>
    <rPh sb="0" eb="2">
      <t>コウジ</t>
    </rPh>
    <phoneticPr fontId="3"/>
  </si>
  <si>
    <t>工事184</t>
    <rPh sb="0" eb="2">
      <t>コウジ</t>
    </rPh>
    <phoneticPr fontId="3"/>
  </si>
  <si>
    <t>工事185</t>
    <rPh sb="0" eb="2">
      <t>コウジ</t>
    </rPh>
    <phoneticPr fontId="3"/>
  </si>
  <si>
    <t>工事186</t>
    <rPh sb="0" eb="2">
      <t>コウジ</t>
    </rPh>
    <phoneticPr fontId="3"/>
  </si>
  <si>
    <t>工事187</t>
    <rPh sb="0" eb="2">
      <t>コウジ</t>
    </rPh>
    <phoneticPr fontId="3"/>
  </si>
  <si>
    <t>工事188</t>
    <rPh sb="0" eb="2">
      <t>コウジ</t>
    </rPh>
    <phoneticPr fontId="3"/>
  </si>
  <si>
    <t>工事189</t>
    <rPh sb="0" eb="2">
      <t>コウジ</t>
    </rPh>
    <phoneticPr fontId="3"/>
  </si>
  <si>
    <t>工事190</t>
    <rPh sb="0" eb="2">
      <t>コウジ</t>
    </rPh>
    <phoneticPr fontId="3"/>
  </si>
  <si>
    <t>工事191</t>
    <rPh sb="0" eb="2">
      <t>コウジ</t>
    </rPh>
    <phoneticPr fontId="3"/>
  </si>
  <si>
    <t>工事192</t>
    <rPh sb="0" eb="2">
      <t>コウジ</t>
    </rPh>
    <phoneticPr fontId="3"/>
  </si>
  <si>
    <t>工事193</t>
    <rPh sb="0" eb="2">
      <t>コウジ</t>
    </rPh>
    <phoneticPr fontId="3"/>
  </si>
  <si>
    <t>工事194</t>
    <rPh sb="0" eb="2">
      <t>コウジ</t>
    </rPh>
    <phoneticPr fontId="3"/>
  </si>
  <si>
    <t>工事195</t>
    <rPh sb="0" eb="2">
      <t>コウジ</t>
    </rPh>
    <phoneticPr fontId="3"/>
  </si>
  <si>
    <t>工事196</t>
    <rPh sb="0" eb="2">
      <t>コウジ</t>
    </rPh>
    <phoneticPr fontId="3"/>
  </si>
  <si>
    <t>工事197</t>
    <rPh sb="0" eb="2">
      <t>コウジ</t>
    </rPh>
    <phoneticPr fontId="3"/>
  </si>
  <si>
    <t>工事198</t>
    <rPh sb="0" eb="2">
      <t>コウジ</t>
    </rPh>
    <phoneticPr fontId="3"/>
  </si>
  <si>
    <t>工事199</t>
    <rPh sb="0" eb="2">
      <t>コウジ</t>
    </rPh>
    <phoneticPr fontId="3"/>
  </si>
  <si>
    <t>工事200</t>
    <rPh sb="0" eb="2">
      <t>コウジ</t>
    </rPh>
    <phoneticPr fontId="3"/>
  </si>
  <si>
    <t>財務分類</t>
    <rPh sb="0" eb="2">
      <t>ザイム</t>
    </rPh>
    <rPh sb="2" eb="4">
      <t>ブンルイ</t>
    </rPh>
    <phoneticPr fontId="3"/>
  </si>
  <si>
    <t>コード</t>
    <phoneticPr fontId="50"/>
  </si>
  <si>
    <t>予算掌理部</t>
    <rPh sb="0" eb="2">
      <t>ヨサン</t>
    </rPh>
    <rPh sb="2" eb="4">
      <t>ショウリ</t>
    </rPh>
    <rPh sb="4" eb="5">
      <t>ブ</t>
    </rPh>
    <phoneticPr fontId="3"/>
  </si>
  <si>
    <t>コード&amp;名称</t>
    <rPh sb="4" eb="6">
      <t>メイショウ</t>
    </rPh>
    <phoneticPr fontId="50"/>
  </si>
  <si>
    <t>シート番号</t>
    <rPh sb="3" eb="5">
      <t>バンゴウ</t>
    </rPh>
    <phoneticPr fontId="3"/>
  </si>
  <si>
    <t>番号</t>
    <rPh sb="0" eb="2">
      <t>バンゴウ</t>
    </rPh>
    <phoneticPr fontId="50"/>
  </si>
  <si>
    <t>コード</t>
    <phoneticPr fontId="50"/>
  </si>
  <si>
    <t>1</t>
    <phoneticPr fontId="50"/>
  </si>
  <si>
    <t>資産【自己調達資金】</t>
    <phoneticPr fontId="50"/>
  </si>
  <si>
    <t>2</t>
    <phoneticPr fontId="50"/>
  </si>
  <si>
    <t>費用（撤去費)【自己調達資金】</t>
  </si>
  <si>
    <t>費用（修繕費)【自己調達資金】</t>
  </si>
  <si>
    <t>費用（保守費)【自己調達資金】</t>
  </si>
  <si>
    <t>資産【その他調達資金】</t>
  </si>
  <si>
    <t>費用（撤去費)【その他調達資金】</t>
  </si>
  <si>
    <t>費用（修繕費)【その他調達資金】</t>
  </si>
  <si>
    <t>費用（保守費)【その他調達資金】</t>
  </si>
  <si>
    <t>他流動資産（受託工事）</t>
  </si>
  <si>
    <t xml:space="preserve">資産【補助金対象】 </t>
  </si>
  <si>
    <t xml:space="preserve">費用（撤去費） 【補助金対象】 </t>
  </si>
  <si>
    <t xml:space="preserve">費用（修繕費） 【補助金対象】 </t>
  </si>
  <si>
    <t xml:space="preserve">費用（保守費） 【補助金対象】 </t>
  </si>
  <si>
    <t>W</t>
  </si>
  <si>
    <t>費用（原価企画）【自己調達資金】</t>
  </si>
  <si>
    <t>X</t>
  </si>
  <si>
    <t>費用【その他調達資金】</t>
  </si>
  <si>
    <t>Y</t>
  </si>
  <si>
    <t>収入（その他収入）</t>
  </si>
  <si>
    <t>Z</t>
  </si>
  <si>
    <t>収入（運輸収入）</t>
  </si>
  <si>
    <t>諸経費表</t>
    <phoneticPr fontId="3"/>
  </si>
  <si>
    <t>諸経費表(専業工事用)</t>
    <phoneticPr fontId="3"/>
  </si>
  <si>
    <t>随契差引諸経費表</t>
    <phoneticPr fontId="3"/>
  </si>
  <si>
    <t>ｼｰﾄ更新日20180417</t>
    <rPh sb="3" eb="5">
      <t>コウシン</t>
    </rPh>
    <rPh sb="5" eb="6">
      <t>ヒ</t>
    </rPh>
    <phoneticPr fontId="3"/>
  </si>
  <si>
    <t>P-1</t>
  </si>
  <si>
    <t>共通費集計表</t>
  </si>
  <si>
    <t>工期（Ｔ）か月--&gt;</t>
    <rPh sb="0" eb="2">
      <t>コウキ</t>
    </rPh>
    <rPh sb="6" eb="7">
      <t>ゲツ</t>
    </rPh>
    <phoneticPr fontId="3"/>
  </si>
  <si>
    <t>小数点以下1桁---&gt;</t>
    <rPh sb="0" eb="3">
      <t>ショウスウテン</t>
    </rPh>
    <rPh sb="3" eb="5">
      <t>イカ</t>
    </rPh>
    <rPh sb="6" eb="7">
      <t>ケタ</t>
    </rPh>
    <phoneticPr fontId="3"/>
  </si>
  <si>
    <t>諸経費率--&gt;</t>
    <rPh sb="0" eb="3">
      <t>ショケイヒ</t>
    </rPh>
    <rPh sb="3" eb="4">
      <t>リツ</t>
    </rPh>
    <phoneticPr fontId="3"/>
  </si>
  <si>
    <t>改修・新営を選択--&gt;</t>
    <phoneticPr fontId="3"/>
  </si>
  <si>
    <t>前　払 い 有り・無し--&gt;</t>
    <phoneticPr fontId="3"/>
  </si>
  <si>
    <t>有り</t>
  </si>
  <si>
    <t>リンクする工事シート番号→</t>
    <rPh sb="5" eb="7">
      <t>コウジ</t>
    </rPh>
    <rPh sb="10" eb="12">
      <t>バンゴウ</t>
    </rPh>
    <phoneticPr fontId="3"/>
  </si>
  <si>
    <t>契約保証費 有り・無し--&gt;</t>
  </si>
  <si>
    <t>無し</t>
  </si>
  <si>
    <t>&lt;工期は2ヶ月以内&gt;</t>
    <rPh sb="1" eb="3">
      <t>コウキ</t>
    </rPh>
    <rPh sb="6" eb="7">
      <t>ゲツ</t>
    </rPh>
    <rPh sb="7" eb="9">
      <t>イナイ</t>
    </rPh>
    <phoneticPr fontId="3"/>
  </si>
  <si>
    <t>共通仮設費　算出方法--&gt;</t>
    <rPh sb="0" eb="2">
      <t>キョウツウ</t>
    </rPh>
    <rPh sb="2" eb="4">
      <t>カセツ</t>
    </rPh>
    <rPh sb="4" eb="5">
      <t>ヒ</t>
    </rPh>
    <rPh sb="6" eb="8">
      <t>サンシュツ</t>
    </rPh>
    <rPh sb="8" eb="10">
      <t>ホウホウ</t>
    </rPh>
    <phoneticPr fontId="3"/>
  </si>
  <si>
    <t>積上げ・率処理併用</t>
  </si>
  <si>
    <t>建物種別補正（"駅施設"又は"地上建物"を選択）--&gt;
※駅施設工事の場合は仮設建物費・動力用水光熱費分を補正</t>
    <rPh sb="0" eb="2">
      <t>タテモノ</t>
    </rPh>
    <rPh sb="2" eb="4">
      <t>シュベツ</t>
    </rPh>
    <rPh sb="3" eb="4">
      <t>コウシュ</t>
    </rPh>
    <rPh sb="4" eb="6">
      <t>ホセイ</t>
    </rPh>
    <rPh sb="8" eb="9">
      <t>エキ</t>
    </rPh>
    <rPh sb="9" eb="11">
      <t>シセツ</t>
    </rPh>
    <rPh sb="12" eb="13">
      <t>マタ</t>
    </rPh>
    <rPh sb="15" eb="17">
      <t>チジョウ</t>
    </rPh>
    <rPh sb="17" eb="19">
      <t>タテモノ</t>
    </rPh>
    <rPh sb="21" eb="23">
      <t>センタク</t>
    </rPh>
    <rPh sb="29" eb="30">
      <t>エキ</t>
    </rPh>
    <rPh sb="30" eb="32">
      <t>シセツ</t>
    </rPh>
    <rPh sb="32" eb="34">
      <t>コウジ</t>
    </rPh>
    <rPh sb="35" eb="37">
      <t>バアイ</t>
    </rPh>
    <rPh sb="38" eb="40">
      <t>カセツ</t>
    </rPh>
    <rPh sb="40" eb="42">
      <t>タテモノ</t>
    </rPh>
    <rPh sb="42" eb="43">
      <t>ヒ</t>
    </rPh>
    <rPh sb="44" eb="46">
      <t>ドウリョク</t>
    </rPh>
    <rPh sb="46" eb="48">
      <t>ヨウスイ</t>
    </rPh>
    <rPh sb="48" eb="51">
      <t>コウネツヒ</t>
    </rPh>
    <rPh sb="51" eb="52">
      <t>ブン</t>
    </rPh>
    <rPh sb="53" eb="55">
      <t>ホセイ</t>
    </rPh>
    <phoneticPr fontId="3"/>
  </si>
  <si>
    <t>駅施設</t>
  </si>
  <si>
    <t>監督員事務所の有無--&gt;
駅施設の場合は"無し"地上建物で監督員事務所を設ける場合は"有り"</t>
    <rPh sb="0" eb="3">
      <t>カントクイン</t>
    </rPh>
    <rPh sb="3" eb="5">
      <t>ジム</t>
    </rPh>
    <rPh sb="5" eb="6">
      <t>ショ</t>
    </rPh>
    <rPh sb="7" eb="9">
      <t>ウム</t>
    </rPh>
    <rPh sb="13" eb="14">
      <t>エキ</t>
    </rPh>
    <rPh sb="14" eb="16">
      <t>シセツ</t>
    </rPh>
    <rPh sb="17" eb="19">
      <t>バアイ</t>
    </rPh>
    <rPh sb="21" eb="22">
      <t>ナ</t>
    </rPh>
    <rPh sb="24" eb="26">
      <t>チジョウ</t>
    </rPh>
    <rPh sb="26" eb="28">
      <t>タテモノ</t>
    </rPh>
    <rPh sb="29" eb="32">
      <t>カントクイン</t>
    </rPh>
    <rPh sb="32" eb="34">
      <t>ジム</t>
    </rPh>
    <rPh sb="34" eb="35">
      <t>ショ</t>
    </rPh>
    <rPh sb="36" eb="37">
      <t>モウ</t>
    </rPh>
    <rPh sb="39" eb="41">
      <t>バアイ</t>
    </rPh>
    <rPh sb="43" eb="44">
      <t>アリ</t>
    </rPh>
    <phoneticPr fontId="3"/>
  </si>
  <si>
    <t>　純　　工　　事　　費　　　　合　　計</t>
    <phoneticPr fontId="3"/>
  </si>
  <si>
    <t>(直接工事費 直接仮設・別途算定を含む)</t>
    <rPh sb="12" eb="14">
      <t>ベット</t>
    </rPh>
    <rPh sb="14" eb="16">
      <t>サンテイ</t>
    </rPh>
    <phoneticPr fontId="3"/>
  </si>
  <si>
    <t>現場管理費より控除する専門・除外の工事費---&gt;</t>
    <phoneticPr fontId="3"/>
  </si>
  <si>
    <t>一般管理費等より控除する専門・除外の工事費---&gt;</t>
  </si>
  <si>
    <t>別途算定の現場管理費にかかる工事費--&gt;</t>
    <rPh sb="0" eb="2">
      <t>ベット</t>
    </rPh>
    <rPh sb="2" eb="4">
      <t>サンテイ</t>
    </rPh>
    <phoneticPr fontId="3"/>
  </si>
  <si>
    <t>(共通仮設費) 総計</t>
    <rPh sb="8" eb="10">
      <t>ソウケイ</t>
    </rPh>
    <phoneticPr fontId="3"/>
  </si>
  <si>
    <t>内、率算出による総額</t>
    <rPh sb="8" eb="9">
      <t>ソウ</t>
    </rPh>
    <phoneticPr fontId="3"/>
  </si>
  <si>
    <t>内、積上げによる総額</t>
    <rPh sb="0" eb="1">
      <t>ウチ</t>
    </rPh>
    <rPh sb="2" eb="3">
      <t>ツ</t>
    </rPh>
    <rPh sb="3" eb="4">
      <t>ア</t>
    </rPh>
    <rPh sb="8" eb="9">
      <t>ソウ</t>
    </rPh>
    <rPh sb="9" eb="10">
      <t>ガク</t>
    </rPh>
    <phoneticPr fontId="3"/>
  </si>
  <si>
    <t>　　　　内ﾘｰｽ料、借地借家料</t>
    <rPh sb="4" eb="5">
      <t>ウチ</t>
    </rPh>
    <rPh sb="8" eb="9">
      <t>リョウ</t>
    </rPh>
    <rPh sb="10" eb="12">
      <t>シャクチ</t>
    </rPh>
    <rPh sb="12" eb="14">
      <t>シャクヤ</t>
    </rPh>
    <rPh sb="14" eb="15">
      <t>リョウ</t>
    </rPh>
    <phoneticPr fontId="3"/>
  </si>
  <si>
    <t>内、残材処分費</t>
    <rPh sb="2" eb="3">
      <t>ザン</t>
    </rPh>
    <rPh sb="3" eb="4">
      <t>ザイ</t>
    </rPh>
    <rPh sb="4" eb="6">
      <t>ショブン</t>
    </rPh>
    <rPh sb="6" eb="7">
      <t>ヒ</t>
    </rPh>
    <phoneticPr fontId="3"/>
  </si>
  <si>
    <t>内、別途算定による共仮費</t>
    <rPh sb="0" eb="1">
      <t>ウチ</t>
    </rPh>
    <rPh sb="2" eb="4">
      <t>ベット</t>
    </rPh>
    <rPh sb="4" eb="6">
      <t>サンテイ</t>
    </rPh>
    <rPh sb="9" eb="10">
      <t>トモ</t>
    </rPh>
    <rPh sb="10" eb="11">
      <t>カリ</t>
    </rPh>
    <rPh sb="11" eb="12">
      <t>ヒ</t>
    </rPh>
    <phoneticPr fontId="3"/>
  </si>
  <si>
    <t>　現場管理費・一般管理費等　　合　　計</t>
    <rPh sb="1" eb="3">
      <t>ゲンバ</t>
    </rPh>
    <rPh sb="3" eb="5">
      <t>カンリ</t>
    </rPh>
    <rPh sb="5" eb="6">
      <t>ヒ</t>
    </rPh>
    <rPh sb="7" eb="9">
      <t>イッパン</t>
    </rPh>
    <rPh sb="9" eb="11">
      <t>カンリ</t>
    </rPh>
    <rPh sb="11" eb="12">
      <t>ヒ</t>
    </rPh>
    <rPh sb="12" eb="13">
      <t>トウ</t>
    </rPh>
    <phoneticPr fontId="3"/>
  </si>
  <si>
    <t>(現 場 管 理 費)</t>
  </si>
  <si>
    <t>　　内、建築工事によるもの</t>
    <rPh sb="2" eb="3">
      <t>ウチ</t>
    </rPh>
    <rPh sb="4" eb="6">
      <t>ケンチク</t>
    </rPh>
    <rPh sb="6" eb="8">
      <t>コウジ</t>
    </rPh>
    <phoneticPr fontId="3"/>
  </si>
  <si>
    <t>[内率算出による標準額]</t>
  </si>
  <si>
    <t>[内固定率・除外（設備含む）の額]</t>
    <rPh sb="9" eb="11">
      <t>セツビ</t>
    </rPh>
    <rPh sb="11" eb="12">
      <t>フク</t>
    </rPh>
    <phoneticPr fontId="3"/>
  </si>
  <si>
    <t>内、別途算定によるもの</t>
    <rPh sb="0" eb="1">
      <t>ウチ</t>
    </rPh>
    <rPh sb="2" eb="4">
      <t>ベット</t>
    </rPh>
    <rPh sb="4" eb="6">
      <t>サンテイ</t>
    </rPh>
    <phoneticPr fontId="3"/>
  </si>
  <si>
    <t>(一 般 管 理 費 等)</t>
  </si>
  <si>
    <t>[内保証費等による補正額]</t>
  </si>
  <si>
    <t>[内固定率・除外の額]</t>
  </si>
  <si>
    <t>内、別途算定によるもの（補正額含む）</t>
    <rPh sb="0" eb="1">
      <t>ウチ</t>
    </rPh>
    <rPh sb="2" eb="4">
      <t>ベット</t>
    </rPh>
    <rPh sb="4" eb="6">
      <t>サンテイ</t>
    </rPh>
    <rPh sb="12" eb="14">
      <t>ホセイ</t>
    </rPh>
    <rPh sb="14" eb="15">
      <t>ガク</t>
    </rPh>
    <rPh sb="15" eb="16">
      <t>フク</t>
    </rPh>
    <phoneticPr fontId="3"/>
  </si>
  <si>
    <t>　工 　事 　価 　格</t>
    <phoneticPr fontId="3"/>
  </si>
  <si>
    <t>共 通 費 算 定 用 入 力 欄</t>
    <rPh sb="0" eb="1">
      <t>トモ</t>
    </rPh>
    <rPh sb="2" eb="3">
      <t>ツウ</t>
    </rPh>
    <phoneticPr fontId="3"/>
  </si>
  <si>
    <t>（緑色部分に入力）</t>
  </si>
  <si>
    <t>合 計</t>
  </si>
  <si>
    <t>一般・その他等  直接工事費</t>
    <rPh sb="9" eb="11">
      <t>チョクセツ</t>
    </rPh>
    <rPh sb="11" eb="13">
      <t>コウジ</t>
    </rPh>
    <rPh sb="13" eb="14">
      <t>ヒ</t>
    </rPh>
    <phoneticPr fontId="3"/>
  </si>
  <si>
    <t>(1)新築一般建築工事</t>
  </si>
  <si>
    <t>(2)改修一般建築工事</t>
  </si>
  <si>
    <t>(3)新築主体工事の鉄骨工事(機械費含む)</t>
    <phoneticPr fontId="3"/>
  </si>
  <si>
    <t>(4)改修主体工事の鉄骨工事(機械費含む)</t>
    <rPh sb="15" eb="17">
      <t>キカイ</t>
    </rPh>
    <rPh sb="17" eb="18">
      <t>ヒ</t>
    </rPh>
    <rPh sb="18" eb="19">
      <t>フク</t>
    </rPh>
    <phoneticPr fontId="3"/>
  </si>
  <si>
    <t>そ　の　他　工　事</t>
    <rPh sb="4" eb="5">
      <t>タ</t>
    </rPh>
    <rPh sb="6" eb="9">
      <t>コウジ</t>
    </rPh>
    <phoneticPr fontId="3"/>
  </si>
  <si>
    <t>(5)造園工事、舗装工事(排水除く)</t>
    <phoneticPr fontId="3"/>
  </si>
  <si>
    <t>(6)とりこわし工事(部分撤去、処分費除く)</t>
    <rPh sb="11" eb="13">
      <t>ブブン</t>
    </rPh>
    <rPh sb="13" eb="15">
      <t>テッキョ</t>
    </rPh>
    <phoneticPr fontId="3"/>
  </si>
  <si>
    <t>(7)特殊な室内装備品工事</t>
  </si>
  <si>
    <t>　家具・流し・実験台</t>
    <phoneticPr fontId="3"/>
  </si>
  <si>
    <t>　黒板・書架・ｶｳﾝﾀｰ・ﾛｰﾊﾟｰﾃｨｯｼｮﾝ等</t>
  </si>
  <si>
    <t>(8)プレハブ工事</t>
  </si>
  <si>
    <t>(9)</t>
    <phoneticPr fontId="3"/>
  </si>
  <si>
    <t>(10)</t>
    <phoneticPr fontId="3"/>
  </si>
  <si>
    <t>(11)近隣家屋調査及び地質調査</t>
  </si>
  <si>
    <t>除　外</t>
    <rPh sb="0" eb="1">
      <t>ジョ</t>
    </rPh>
    <rPh sb="2" eb="3">
      <t>ガイ</t>
    </rPh>
    <phoneticPr fontId="3"/>
  </si>
  <si>
    <t>(12)残材処分費及び残土処分費(直工費のみ)</t>
    <rPh sb="17" eb="18">
      <t>チョク</t>
    </rPh>
    <rPh sb="18" eb="19">
      <t>コウ</t>
    </rPh>
    <rPh sb="19" eb="20">
      <t>ヒ</t>
    </rPh>
    <phoneticPr fontId="3"/>
  </si>
  <si>
    <t>(12)残材処分費及び残土処分費(共通仮設)</t>
    <rPh sb="17" eb="19">
      <t>キョウツウ</t>
    </rPh>
    <rPh sb="19" eb="21">
      <t>カセツ</t>
    </rPh>
    <phoneticPr fontId="3"/>
  </si>
  <si>
    <t>(14)リース料,借地借家料（共通仮設）</t>
    <rPh sb="15" eb="17">
      <t>キョウツウ</t>
    </rPh>
    <rPh sb="17" eb="19">
      <t>カセツ</t>
    </rPh>
    <phoneticPr fontId="3"/>
  </si>
  <si>
    <t>(14)リース料,借地借家料（直工費のみ）</t>
    <rPh sb="15" eb="16">
      <t>チョク</t>
    </rPh>
    <rPh sb="16" eb="17">
      <t>コウ</t>
    </rPh>
    <rPh sb="17" eb="18">
      <t>ヒ</t>
    </rPh>
    <phoneticPr fontId="3"/>
  </si>
  <si>
    <t>(15)別途算定（直工費）</t>
    <rPh sb="4" eb="6">
      <t>ベット</t>
    </rPh>
    <rPh sb="6" eb="8">
      <t>サンテイ</t>
    </rPh>
    <rPh sb="9" eb="10">
      <t>チョク</t>
    </rPh>
    <rPh sb="10" eb="11">
      <t>コウ</t>
    </rPh>
    <rPh sb="11" eb="12">
      <t>ヒ</t>
    </rPh>
    <phoneticPr fontId="3"/>
  </si>
  <si>
    <t>(16）別途算定（共通仮設）</t>
    <rPh sb="4" eb="6">
      <t>ベット</t>
    </rPh>
    <rPh sb="6" eb="8">
      <t>サンテイ</t>
    </rPh>
    <rPh sb="9" eb="11">
      <t>キョウツウ</t>
    </rPh>
    <rPh sb="11" eb="13">
      <t>カセツ</t>
    </rPh>
    <phoneticPr fontId="3"/>
  </si>
  <si>
    <t>(17)下水道使用料、各種負担金（共通仮設）</t>
    <rPh sb="11" eb="13">
      <t>カクシュ</t>
    </rPh>
    <rPh sb="13" eb="16">
      <t>フタンキン</t>
    </rPh>
    <rPh sb="17" eb="19">
      <t>キョウツウ</t>
    </rPh>
    <rPh sb="19" eb="21">
      <t>カセツ</t>
    </rPh>
    <phoneticPr fontId="3"/>
  </si>
  <si>
    <t>共 通 費 算 定 表 (0)</t>
    <rPh sb="0" eb="1">
      <t>トモ</t>
    </rPh>
    <rPh sb="2" eb="3">
      <t>ツウ</t>
    </rPh>
    <phoneticPr fontId="3"/>
  </si>
  <si>
    <t>P-1-2</t>
    <phoneticPr fontId="3"/>
  </si>
  <si>
    <t>※(0）及び(1)並びに(2) ---&gt; 新築・改修工事が一括発注の場合は、合計額に対する各々の率</t>
    <rPh sb="4" eb="5">
      <t>オヨ</t>
    </rPh>
    <rPh sb="9" eb="10">
      <t>ナラ</t>
    </rPh>
    <phoneticPr fontId="3"/>
  </si>
  <si>
    <t>補正率</t>
  </si>
  <si>
    <t>当該率</t>
    <phoneticPr fontId="3"/>
  </si>
  <si>
    <t>共通仮設費対象直接工事費</t>
    <rPh sb="0" eb="2">
      <t>キョウツウ</t>
    </rPh>
    <rPh sb="2" eb="4">
      <t>カセツ</t>
    </rPh>
    <rPh sb="4" eb="5">
      <t>ヒ</t>
    </rPh>
    <rPh sb="7" eb="9">
      <t>チョクセツ</t>
    </rPh>
    <phoneticPr fontId="3"/>
  </si>
  <si>
    <r>
      <t>対象直接工事費（</t>
    </r>
    <r>
      <rPr>
        <sz val="10"/>
        <color indexed="10"/>
        <rFont val="ＭＳ Ｐ明朝"/>
        <family val="1"/>
        <charset val="128"/>
      </rPr>
      <t>（12）、(15)～(17)除く</t>
    </r>
    <r>
      <rPr>
        <sz val="10"/>
        <color indexed="17"/>
        <rFont val="ＭＳ Ｐ明朝"/>
        <family val="1"/>
        <charset val="128"/>
      </rPr>
      <t>）</t>
    </r>
    <rPh sb="2" eb="4">
      <t>チョクセツ</t>
    </rPh>
    <rPh sb="22" eb="23">
      <t>ノゾ</t>
    </rPh>
    <phoneticPr fontId="3"/>
  </si>
  <si>
    <t>-</t>
    <phoneticPr fontId="3"/>
  </si>
  <si>
    <t>(3)新築主体工事の鉄骨工事(機械費含む)</t>
  </si>
  <si>
    <t>(4)改修主体工事の鉄骨工事(機械費含む)</t>
  </si>
  <si>
    <t>(5)造園工事、舗装工事(排水除く)</t>
  </si>
  <si>
    <t>(6)とりこわし工事</t>
    <phoneticPr fontId="3"/>
  </si>
  <si>
    <t>除外</t>
  </si>
  <si>
    <t>（12）～(17) （但し(14)は率算出対象）</t>
    <rPh sb="11" eb="12">
      <t>タダ</t>
    </rPh>
    <rPh sb="18" eb="19">
      <t>リツ</t>
    </rPh>
    <rPh sb="19" eb="21">
      <t>サンシュツ</t>
    </rPh>
    <rPh sb="21" eb="23">
      <t>タイショウ</t>
    </rPh>
    <phoneticPr fontId="3"/>
  </si>
  <si>
    <t>共通仮設費 [内率算出による標準額]</t>
    <rPh sb="0" eb="2">
      <t>キョウツウ</t>
    </rPh>
    <rPh sb="2" eb="4">
      <t>カセツ</t>
    </rPh>
    <rPh sb="4" eb="5">
      <t>ヒ</t>
    </rPh>
    <rPh sb="7" eb="8">
      <t>ウチ</t>
    </rPh>
    <rPh sb="8" eb="9">
      <t>リツ</t>
    </rPh>
    <rPh sb="9" eb="11">
      <t>サンシュツ</t>
    </rPh>
    <rPh sb="14" eb="16">
      <t>ヒョウジュン</t>
    </rPh>
    <rPh sb="16" eb="17">
      <t>ガク</t>
    </rPh>
    <phoneticPr fontId="3"/>
  </si>
  <si>
    <t>当該率---&gt;</t>
    <phoneticPr fontId="3"/>
  </si>
  <si>
    <t>(3)新築主体工事の鉄骨工事</t>
  </si>
  <si>
    <t>(4)改修主体工事の鉄骨工事</t>
  </si>
  <si>
    <t>(6)とりこわし工事</t>
  </si>
  <si>
    <t>　家具・流し・実験台</t>
  </si>
  <si>
    <t>(9)</t>
  </si>
  <si>
    <t>(10)</t>
  </si>
  <si>
    <t>（12）～(17)</t>
  </si>
  <si>
    <t>共通仮設費 [内率算出による標準額]</t>
    <rPh sb="0" eb="2">
      <t>キョウツウ</t>
    </rPh>
    <rPh sb="2" eb="4">
      <t>カセツ</t>
    </rPh>
    <rPh sb="4" eb="5">
      <t>ヒ</t>
    </rPh>
    <phoneticPr fontId="3"/>
  </si>
  <si>
    <t>共 通 費 算 定 表 (1)</t>
    <rPh sb="0" eb="1">
      <t>トモ</t>
    </rPh>
    <rPh sb="2" eb="3">
      <t>ツウ</t>
    </rPh>
    <phoneticPr fontId="3"/>
  </si>
  <si>
    <t>P-2</t>
  </si>
  <si>
    <t>※(1)及び(2) ---&gt; 新築・改修工事が一括発注の場合は、合計額に対する各々の率</t>
    <phoneticPr fontId="3"/>
  </si>
  <si>
    <t>現場管理費対象純工事費</t>
  </si>
  <si>
    <t>対象純工事費（（12）(15）(16））除く</t>
    <rPh sb="20" eb="21">
      <t>ノゾ</t>
    </rPh>
    <phoneticPr fontId="3"/>
  </si>
  <si>
    <t>(12)～（17）</t>
    <phoneticPr fontId="3"/>
  </si>
  <si>
    <t>現場管理費</t>
    <phoneticPr fontId="3"/>
  </si>
  <si>
    <t>(11)近隣家屋調査及び地質調査</t>
    <phoneticPr fontId="3"/>
  </si>
  <si>
    <t>別途算定</t>
    <rPh sb="0" eb="2">
      <t>ベット</t>
    </rPh>
    <rPh sb="2" eb="4">
      <t>サンテイ</t>
    </rPh>
    <phoneticPr fontId="3"/>
  </si>
  <si>
    <t>（18）別途算定　現場管理費</t>
    <rPh sb="4" eb="6">
      <t>ベット</t>
    </rPh>
    <rPh sb="6" eb="8">
      <t>サンテイ</t>
    </rPh>
    <rPh sb="9" eb="11">
      <t>ゲンバ</t>
    </rPh>
    <rPh sb="11" eb="14">
      <t>カンリヒ</t>
    </rPh>
    <phoneticPr fontId="3"/>
  </si>
  <si>
    <t>　※各別途工事により算定</t>
    <rPh sb="2" eb="3">
      <t>カク</t>
    </rPh>
    <rPh sb="3" eb="5">
      <t>ベット</t>
    </rPh>
    <rPh sb="5" eb="7">
      <t>コウジ</t>
    </rPh>
    <rPh sb="10" eb="12">
      <t>サンテイ</t>
    </rPh>
    <phoneticPr fontId="3"/>
  </si>
  <si>
    <t>現場管理費 合 計</t>
  </si>
  <si>
    <t>工事原価</t>
  </si>
  <si>
    <t>共 通 費 算 定 表 (2)</t>
    <rPh sb="0" eb="1">
      <t>トモ</t>
    </rPh>
    <rPh sb="2" eb="3">
      <t>ツウ</t>
    </rPh>
    <phoneticPr fontId="3"/>
  </si>
  <si>
    <t>P-3</t>
  </si>
  <si>
    <t>当該率</t>
  </si>
  <si>
    <t>建築工事原価</t>
  </si>
  <si>
    <t>土木工事原価（一括発注時）</t>
    <rPh sb="0" eb="2">
      <t>ドボク</t>
    </rPh>
    <rPh sb="2" eb="4">
      <t>コウジ</t>
    </rPh>
    <rPh sb="4" eb="6">
      <t>ゲンカ</t>
    </rPh>
    <rPh sb="7" eb="9">
      <t>イッカツ</t>
    </rPh>
    <rPh sb="9" eb="11">
      <t>ハッチュウ</t>
    </rPh>
    <rPh sb="11" eb="12">
      <t>ジ</t>
    </rPh>
    <phoneticPr fontId="3"/>
  </si>
  <si>
    <t>対象工事原価（下水道使用料・各種負担金を除く）</t>
    <rPh sb="14" eb="16">
      <t>カクシュ</t>
    </rPh>
    <rPh sb="16" eb="19">
      <t>フタンキン</t>
    </rPh>
    <phoneticPr fontId="3"/>
  </si>
  <si>
    <t>&lt;--前　払　い 有り・無し</t>
  </si>
  <si>
    <t>一般管理費等対象工事原価</t>
  </si>
  <si>
    <t>&lt;--契約保証費 有り・無し</t>
  </si>
  <si>
    <t>標準</t>
  </si>
  <si>
    <t>(1)建築工事～(14)借地借家料</t>
    <phoneticPr fontId="3"/>
  </si>
  <si>
    <t>補正</t>
    <rPh sb="1" eb="2">
      <t>セイ</t>
    </rPh>
    <phoneticPr fontId="3"/>
  </si>
  <si>
    <t>前　払　い無し時の補正</t>
  </si>
  <si>
    <t>契約保証費有り時の補正</t>
  </si>
  <si>
    <t>除外</t>
    <rPh sb="1" eb="2">
      <t>ガイ</t>
    </rPh>
    <phoneticPr fontId="3"/>
  </si>
  <si>
    <t>一般管理費等</t>
  </si>
  <si>
    <t>別途算定　一般管理費等</t>
    <rPh sb="0" eb="2">
      <t>ベット</t>
    </rPh>
    <rPh sb="2" eb="4">
      <t>サンテイ</t>
    </rPh>
    <rPh sb="5" eb="7">
      <t>イッパン</t>
    </rPh>
    <rPh sb="7" eb="10">
      <t>カンリヒ</t>
    </rPh>
    <rPh sb="10" eb="11">
      <t>トウ</t>
    </rPh>
    <phoneticPr fontId="3"/>
  </si>
  <si>
    <t>　※土木工事により算定(補正額含む）</t>
    <rPh sb="2" eb="4">
      <t>ドボク</t>
    </rPh>
    <rPh sb="4" eb="6">
      <t>コウジ</t>
    </rPh>
    <rPh sb="9" eb="11">
      <t>サンテイ</t>
    </rPh>
    <rPh sb="12" eb="14">
      <t>ホセイ</t>
    </rPh>
    <rPh sb="14" eb="15">
      <t>ガク</t>
    </rPh>
    <rPh sb="15" eb="16">
      <t>フク</t>
    </rPh>
    <phoneticPr fontId="3"/>
  </si>
  <si>
    <t>一般管理費等 合 計</t>
  </si>
  <si>
    <t>工事価格</t>
  </si>
  <si>
    <t>調整 一般管理費等</t>
  </si>
  <si>
    <t>ﾏｲﾅｽ表示はERR-&gt;</t>
  </si>
  <si>
    <t>工事価格    改  計</t>
  </si>
  <si>
    <t>共通仮設費率  算定欄</t>
    <rPh sb="0" eb="2">
      <t>キョウツウ</t>
    </rPh>
    <rPh sb="2" eb="4">
      <t>カセツ</t>
    </rPh>
    <rPh sb="4" eb="5">
      <t>ヒ</t>
    </rPh>
    <rPh sb="5" eb="6">
      <t>リツ</t>
    </rPh>
    <rPh sb="8" eb="10">
      <t>サンテイ</t>
    </rPh>
    <rPh sb="10" eb="11">
      <t>ラン</t>
    </rPh>
    <phoneticPr fontId="3"/>
  </si>
  <si>
    <t>Ｔ（か月）</t>
    <rPh sb="3" eb="4">
      <t>ツキ</t>
    </rPh>
    <phoneticPr fontId="3"/>
  </si>
  <si>
    <t>新営建築工事</t>
    <rPh sb="0" eb="2">
      <t>シンエイ</t>
    </rPh>
    <rPh sb="2" eb="4">
      <t>ケンチク</t>
    </rPh>
    <rPh sb="4" eb="6">
      <t>コウジ</t>
    </rPh>
    <phoneticPr fontId="3"/>
  </si>
  <si>
    <t>共通仮設費率 算定式により算定される率</t>
    <rPh sb="0" eb="2">
      <t>キョウツウ</t>
    </rPh>
    <rPh sb="2" eb="4">
      <t>カセツ</t>
    </rPh>
    <rPh sb="5" eb="6">
      <t>リツ</t>
    </rPh>
    <rPh sb="7" eb="9">
      <t>サンテイ</t>
    </rPh>
    <rPh sb="9" eb="10">
      <t>シキ</t>
    </rPh>
    <rPh sb="13" eb="15">
      <t>サンテイ</t>
    </rPh>
    <rPh sb="18" eb="19">
      <t>リツ</t>
    </rPh>
    <phoneticPr fontId="3"/>
  </si>
  <si>
    <t>Ｋｒ</t>
    <phoneticPr fontId="3"/>
  </si>
  <si>
    <t>直接工事費が１千万円以下</t>
    <rPh sb="0" eb="2">
      <t>チョクセツ</t>
    </rPh>
    <rPh sb="2" eb="4">
      <t>コウジ</t>
    </rPh>
    <rPh sb="4" eb="5">
      <t>ヒ</t>
    </rPh>
    <rPh sb="7" eb="8">
      <t>セン</t>
    </rPh>
    <rPh sb="9" eb="10">
      <t>エン</t>
    </rPh>
    <rPh sb="10" eb="12">
      <t>イカ</t>
    </rPh>
    <phoneticPr fontId="3"/>
  </si>
  <si>
    <t>上限</t>
    <rPh sb="0" eb="2">
      <t>ジョウゲン</t>
    </rPh>
    <phoneticPr fontId="3"/>
  </si>
  <si>
    <t>下限</t>
    <rPh sb="0" eb="1">
      <t>シタ</t>
    </rPh>
    <rPh sb="1" eb="2">
      <t>カギ</t>
    </rPh>
    <phoneticPr fontId="3"/>
  </si>
  <si>
    <t>直接工事費が１千万円超える</t>
    <rPh sb="0" eb="2">
      <t>チョクセツ</t>
    </rPh>
    <rPh sb="2" eb="4">
      <t>コウジ</t>
    </rPh>
    <rPh sb="4" eb="5">
      <t>ヒ</t>
    </rPh>
    <rPh sb="7" eb="8">
      <t>セン</t>
    </rPh>
    <rPh sb="9" eb="10">
      <t>エン</t>
    </rPh>
    <rPh sb="10" eb="11">
      <t>コ</t>
    </rPh>
    <phoneticPr fontId="3"/>
  </si>
  <si>
    <t>今回工事の共通仮設費率</t>
    <rPh sb="0" eb="2">
      <t>コンカイ</t>
    </rPh>
    <rPh sb="2" eb="4">
      <t>コウジ</t>
    </rPh>
    <rPh sb="5" eb="7">
      <t>キョウツウ</t>
    </rPh>
    <rPh sb="7" eb="9">
      <t>カセツ</t>
    </rPh>
    <rPh sb="9" eb="10">
      <t>ヒ</t>
    </rPh>
    <rPh sb="10" eb="11">
      <t>リツ</t>
    </rPh>
    <phoneticPr fontId="3"/>
  </si>
  <si>
    <t>今回工事の共通仮設費率補正</t>
    <rPh sb="0" eb="2">
      <t>コンカイ</t>
    </rPh>
    <rPh sb="2" eb="4">
      <t>コウジ</t>
    </rPh>
    <rPh sb="5" eb="7">
      <t>キョウツウ</t>
    </rPh>
    <rPh sb="7" eb="9">
      <t>カセツ</t>
    </rPh>
    <rPh sb="9" eb="10">
      <t>ヒ</t>
    </rPh>
    <rPh sb="10" eb="11">
      <t>リツ</t>
    </rPh>
    <rPh sb="11" eb="13">
      <t>ホセイ</t>
    </rPh>
    <phoneticPr fontId="3"/>
  </si>
  <si>
    <t>改修建築工事</t>
    <rPh sb="0" eb="2">
      <t>カイシュウ</t>
    </rPh>
    <rPh sb="2" eb="4">
      <t>ケンチク</t>
    </rPh>
    <rPh sb="4" eb="6">
      <t>コウジ</t>
    </rPh>
    <phoneticPr fontId="3"/>
  </si>
  <si>
    <t>Ｋｒ</t>
  </si>
  <si>
    <t>直接工事費が5百万円以下</t>
    <rPh sb="0" eb="2">
      <t>チョクセツ</t>
    </rPh>
    <rPh sb="2" eb="4">
      <t>コウジ</t>
    </rPh>
    <rPh sb="4" eb="5">
      <t>ヒ</t>
    </rPh>
    <rPh sb="7" eb="8">
      <t>ヒャク</t>
    </rPh>
    <rPh sb="9" eb="10">
      <t>エン</t>
    </rPh>
    <rPh sb="10" eb="12">
      <t>イカ</t>
    </rPh>
    <phoneticPr fontId="3"/>
  </si>
  <si>
    <t>直接工事費が5百万円超える</t>
    <rPh sb="0" eb="2">
      <t>チョクセツ</t>
    </rPh>
    <rPh sb="2" eb="4">
      <t>コウジ</t>
    </rPh>
    <rPh sb="4" eb="5">
      <t>ヒ</t>
    </rPh>
    <rPh sb="7" eb="8">
      <t>ヒャク</t>
    </rPh>
    <rPh sb="9" eb="10">
      <t>エン</t>
    </rPh>
    <rPh sb="10" eb="11">
      <t>コ</t>
    </rPh>
    <phoneticPr fontId="3"/>
  </si>
  <si>
    <t>現場管理費率  算定欄</t>
    <rPh sb="5" eb="6">
      <t>リツ</t>
    </rPh>
    <rPh sb="8" eb="10">
      <t>サンテイ</t>
    </rPh>
    <rPh sb="10" eb="11">
      <t>ラン</t>
    </rPh>
    <phoneticPr fontId="3"/>
  </si>
  <si>
    <t>現場管理費率 算定式により算定される率</t>
    <rPh sb="5" eb="6">
      <t>リツ</t>
    </rPh>
    <rPh sb="7" eb="9">
      <t>サンテイ</t>
    </rPh>
    <rPh sb="9" eb="10">
      <t>シキ</t>
    </rPh>
    <rPh sb="13" eb="15">
      <t>サンテイ</t>
    </rPh>
    <rPh sb="18" eb="19">
      <t>リツ</t>
    </rPh>
    <phoneticPr fontId="3"/>
  </si>
  <si>
    <t>Jo</t>
    <phoneticPr fontId="3"/>
  </si>
  <si>
    <t>純工事費が１千万円以下</t>
    <rPh sb="0" eb="1">
      <t>ジュン</t>
    </rPh>
    <rPh sb="1" eb="3">
      <t>コウジ</t>
    </rPh>
    <rPh sb="3" eb="4">
      <t>ヒ</t>
    </rPh>
    <rPh sb="6" eb="7">
      <t>セン</t>
    </rPh>
    <rPh sb="8" eb="9">
      <t>エン</t>
    </rPh>
    <rPh sb="9" eb="11">
      <t>イカ</t>
    </rPh>
    <phoneticPr fontId="3"/>
  </si>
  <si>
    <t>純工事費が１千万円超える</t>
    <rPh sb="0" eb="1">
      <t>ジュン</t>
    </rPh>
    <rPh sb="1" eb="3">
      <t>コウジ</t>
    </rPh>
    <rPh sb="3" eb="4">
      <t>ヒ</t>
    </rPh>
    <rPh sb="6" eb="7">
      <t>セン</t>
    </rPh>
    <rPh sb="8" eb="9">
      <t>エン</t>
    </rPh>
    <rPh sb="9" eb="10">
      <t>コ</t>
    </rPh>
    <phoneticPr fontId="3"/>
  </si>
  <si>
    <t>今回工事の現場管理費率</t>
    <rPh sb="0" eb="2">
      <t>コンカイ</t>
    </rPh>
    <rPh sb="2" eb="4">
      <t>コウジ</t>
    </rPh>
    <rPh sb="5" eb="7">
      <t>ゲンバ</t>
    </rPh>
    <rPh sb="7" eb="10">
      <t>カンリヒ</t>
    </rPh>
    <rPh sb="10" eb="11">
      <t>リツ</t>
    </rPh>
    <phoneticPr fontId="3"/>
  </si>
  <si>
    <t>純工事費が5百万円以下</t>
    <rPh sb="0" eb="1">
      <t>ジュン</t>
    </rPh>
    <rPh sb="1" eb="3">
      <t>コウジ</t>
    </rPh>
    <rPh sb="3" eb="4">
      <t>ヒ</t>
    </rPh>
    <rPh sb="6" eb="7">
      <t>ヒャク</t>
    </rPh>
    <rPh sb="8" eb="9">
      <t>エン</t>
    </rPh>
    <rPh sb="9" eb="11">
      <t>イカ</t>
    </rPh>
    <phoneticPr fontId="3"/>
  </si>
  <si>
    <t>純工事費が5百万円超える</t>
    <rPh sb="0" eb="1">
      <t>ジュン</t>
    </rPh>
    <rPh sb="1" eb="3">
      <t>コウジ</t>
    </rPh>
    <rPh sb="3" eb="4">
      <t>ヒ</t>
    </rPh>
    <rPh sb="6" eb="7">
      <t>ヒャク</t>
    </rPh>
    <rPh sb="8" eb="9">
      <t>エン</t>
    </rPh>
    <rPh sb="9" eb="10">
      <t>コ</t>
    </rPh>
    <phoneticPr fontId="3"/>
  </si>
  <si>
    <t>一般管理費等率  算定欄</t>
    <rPh sb="0" eb="2">
      <t>イッパン</t>
    </rPh>
    <rPh sb="5" eb="6">
      <t>トウ</t>
    </rPh>
    <rPh sb="6" eb="7">
      <t>リツ</t>
    </rPh>
    <rPh sb="9" eb="11">
      <t>サンテイ</t>
    </rPh>
    <rPh sb="11" eb="12">
      <t>ラン</t>
    </rPh>
    <phoneticPr fontId="3"/>
  </si>
  <si>
    <t>一般管理費等率 算定式により算定される率</t>
    <rPh sb="0" eb="2">
      <t>イッパン</t>
    </rPh>
    <rPh sb="5" eb="6">
      <t>トウ</t>
    </rPh>
    <rPh sb="6" eb="7">
      <t>リツ</t>
    </rPh>
    <rPh sb="8" eb="10">
      <t>サンテイ</t>
    </rPh>
    <rPh sb="10" eb="11">
      <t>シキ</t>
    </rPh>
    <rPh sb="14" eb="16">
      <t>サンテイ</t>
    </rPh>
    <rPh sb="19" eb="20">
      <t>リツ</t>
    </rPh>
    <phoneticPr fontId="3"/>
  </si>
  <si>
    <t>Gp</t>
    <phoneticPr fontId="3"/>
  </si>
  <si>
    <t>工事原価が5百万円以下</t>
    <rPh sb="0" eb="2">
      <t>コウジ</t>
    </rPh>
    <rPh sb="2" eb="4">
      <t>ゲンカ</t>
    </rPh>
    <rPh sb="6" eb="7">
      <t>ヒャク</t>
    </rPh>
    <rPh sb="8" eb="9">
      <t>エン</t>
    </rPh>
    <rPh sb="9" eb="11">
      <t>イカ</t>
    </rPh>
    <phoneticPr fontId="3"/>
  </si>
  <si>
    <t>工事原価が30億円を超える</t>
    <rPh sb="0" eb="2">
      <t>コウジ</t>
    </rPh>
    <rPh sb="2" eb="4">
      <t>ゲンカ</t>
    </rPh>
    <rPh sb="7" eb="9">
      <t>オクエン</t>
    </rPh>
    <rPh sb="10" eb="11">
      <t>コ</t>
    </rPh>
    <phoneticPr fontId="3"/>
  </si>
  <si>
    <t>今回工事の一般管理費等率</t>
    <rPh sb="0" eb="2">
      <t>コンカイ</t>
    </rPh>
    <rPh sb="2" eb="4">
      <t>コウジ</t>
    </rPh>
    <rPh sb="5" eb="7">
      <t>イッパン</t>
    </rPh>
    <rPh sb="7" eb="10">
      <t>カンリヒ</t>
    </rPh>
    <rPh sb="10" eb="11">
      <t>トウ</t>
    </rPh>
    <rPh sb="11" eb="12">
      <t>リツ</t>
    </rPh>
    <phoneticPr fontId="3"/>
  </si>
  <si>
    <t>営繕工事</t>
  </si>
  <si>
    <t>ｼｰﾄ更新日20181024</t>
    <rPh sb="3" eb="5">
      <t>コウシン</t>
    </rPh>
    <rPh sb="5" eb="6">
      <t>ヒ</t>
    </rPh>
    <phoneticPr fontId="3"/>
  </si>
  <si>
    <t>専業諸経費集計表</t>
    <rPh sb="0" eb="2">
      <t>センギョウ</t>
    </rPh>
    <rPh sb="2" eb="5">
      <t>ショケイヒ</t>
    </rPh>
    <rPh sb="5" eb="8">
      <t>シュウケイヒョウ</t>
    </rPh>
    <phoneticPr fontId="3"/>
  </si>
  <si>
    <t>改定案</t>
    <rPh sb="0" eb="2">
      <t>カイテイ</t>
    </rPh>
    <rPh sb="2" eb="3">
      <t>アン</t>
    </rPh>
    <phoneticPr fontId="3"/>
  </si>
  <si>
    <t>改修・新営を選択--&gt;</t>
    <phoneticPr fontId="3"/>
  </si>
  <si>
    <t>改修</t>
  </si>
  <si>
    <t>前　払 い 有り・無し--&gt;</t>
  </si>
  <si>
    <t>工事１</t>
    <rPh sb="0" eb="2">
      <t>コウジ</t>
    </rPh>
    <phoneticPr fontId="3"/>
  </si>
  <si>
    <t>工事２</t>
    <rPh sb="0" eb="2">
      <t>コウジ</t>
    </rPh>
    <phoneticPr fontId="3"/>
  </si>
  <si>
    <t>工事３</t>
    <rPh sb="0" eb="2">
      <t>コウジ</t>
    </rPh>
    <phoneticPr fontId="3"/>
  </si>
  <si>
    <t>工事４</t>
    <rPh sb="0" eb="2">
      <t>コウジ</t>
    </rPh>
    <phoneticPr fontId="3"/>
  </si>
  <si>
    <t>工事５</t>
    <rPh sb="0" eb="2">
      <t>コウジ</t>
    </rPh>
    <phoneticPr fontId="3"/>
  </si>
  <si>
    <t>工事６</t>
    <rPh sb="0" eb="2">
      <t>コウジ</t>
    </rPh>
    <phoneticPr fontId="3"/>
  </si>
  <si>
    <t>直接工事費（下請経費共）　合   計</t>
    <rPh sb="0" eb="1">
      <t>チョク</t>
    </rPh>
    <rPh sb="1" eb="2">
      <t>セツ</t>
    </rPh>
    <phoneticPr fontId="3"/>
  </si>
  <si>
    <t>内、警備員費</t>
    <rPh sb="0" eb="1">
      <t>ウチ</t>
    </rPh>
    <rPh sb="2" eb="5">
      <t>ケイビイン</t>
    </rPh>
    <rPh sb="5" eb="6">
      <t>ヒ</t>
    </rPh>
    <phoneticPr fontId="3"/>
  </si>
  <si>
    <t>内、ﾘｰｽ料</t>
    <rPh sb="0" eb="1">
      <t>ウチ</t>
    </rPh>
    <rPh sb="5" eb="6">
      <t>リョウ</t>
    </rPh>
    <phoneticPr fontId="3"/>
  </si>
  <si>
    <t>内、借地借家料</t>
    <rPh sb="0" eb="1">
      <t>ウチ</t>
    </rPh>
    <rPh sb="2" eb="4">
      <t>シャクチ</t>
    </rPh>
    <rPh sb="4" eb="6">
      <t>シャクヤ</t>
    </rPh>
    <rPh sb="6" eb="7">
      <t>リョウ</t>
    </rPh>
    <phoneticPr fontId="3"/>
  </si>
  <si>
    <t>内、各種負担金</t>
    <rPh sb="0" eb="1">
      <t>ウチ</t>
    </rPh>
    <rPh sb="2" eb="4">
      <t>カクシュ</t>
    </rPh>
    <rPh sb="4" eb="7">
      <t>フタンキン</t>
    </rPh>
    <phoneticPr fontId="3"/>
  </si>
  <si>
    <t>　純　工　事　費　　　　　　合　　計</t>
    <phoneticPr fontId="3"/>
  </si>
  <si>
    <r>
      <t>(直接工事費 直接仮設</t>
    </r>
    <r>
      <rPr>
        <sz val="10"/>
        <rFont val="ＭＳ Ｐ明朝"/>
        <family val="1"/>
        <charset val="128"/>
      </rPr>
      <t>を含む)</t>
    </r>
    <rPh sb="12" eb="13">
      <t>フク</t>
    </rPh>
    <phoneticPr fontId="3"/>
  </si>
  <si>
    <t>現場管理費より控除する専門・除外の工事費---&gt;</t>
  </si>
  <si>
    <t>(共通仮設費)</t>
  </si>
  <si>
    <t>　現場管理費・一般管理費等　　合　　計</t>
  </si>
  <si>
    <t>　工 　事 　価 　格</t>
    <phoneticPr fontId="3"/>
  </si>
  <si>
    <t>諸 経 費 算 定 用 入 力 欄</t>
  </si>
  <si>
    <t>一般・その他等  純工事費</t>
    <phoneticPr fontId="3"/>
  </si>
  <si>
    <t>標準</t>
    <phoneticPr fontId="3"/>
  </si>
  <si>
    <t>（２）改修一般建築工事</t>
    <rPh sb="3" eb="5">
      <t>カイシュウ</t>
    </rPh>
    <rPh sb="5" eb="7">
      <t>イッパン</t>
    </rPh>
    <rPh sb="7" eb="9">
      <t>ケンチク</t>
    </rPh>
    <rPh sb="9" eb="11">
      <t>コウジ</t>
    </rPh>
    <phoneticPr fontId="3"/>
  </si>
  <si>
    <t>（３）警備員費（共通仮設費）</t>
    <rPh sb="3" eb="6">
      <t>ケイビイン</t>
    </rPh>
    <rPh sb="6" eb="7">
      <t>ヒ</t>
    </rPh>
    <rPh sb="8" eb="10">
      <t>キョウツウ</t>
    </rPh>
    <rPh sb="10" eb="12">
      <t>カセツ</t>
    </rPh>
    <rPh sb="12" eb="13">
      <t>ヒ</t>
    </rPh>
    <phoneticPr fontId="3"/>
  </si>
  <si>
    <t>(4-1)率算出共通仮設工事</t>
    <rPh sb="5" eb="6">
      <t>リツ</t>
    </rPh>
    <rPh sb="6" eb="8">
      <t>サンシュツ</t>
    </rPh>
    <phoneticPr fontId="3"/>
  </si>
  <si>
    <t>専業工事</t>
    <rPh sb="0" eb="2">
      <t>センギョウ</t>
    </rPh>
    <rPh sb="2" eb="4">
      <t>コウジ</t>
    </rPh>
    <phoneticPr fontId="3"/>
  </si>
  <si>
    <t>(4-2)積上げ共通仮設工事※警備員費・率除外項目除く</t>
    <rPh sb="5" eb="7">
      <t>ツミア</t>
    </rPh>
    <rPh sb="8" eb="10">
      <t>キョウツウ</t>
    </rPh>
    <rPh sb="10" eb="12">
      <t>カセツ</t>
    </rPh>
    <rPh sb="12" eb="14">
      <t>コウジ</t>
    </rPh>
    <rPh sb="15" eb="18">
      <t>ケイビイン</t>
    </rPh>
    <rPh sb="18" eb="19">
      <t>ヒ</t>
    </rPh>
    <rPh sb="20" eb="21">
      <t>リツ</t>
    </rPh>
    <rPh sb="21" eb="23">
      <t>ジョガイ</t>
    </rPh>
    <rPh sb="23" eb="25">
      <t>コウモク</t>
    </rPh>
    <rPh sb="25" eb="26">
      <t>ノゾ</t>
    </rPh>
    <phoneticPr fontId="3"/>
  </si>
  <si>
    <t>(5)直接仮設工事（下請経費共）</t>
    <phoneticPr fontId="3"/>
  </si>
  <si>
    <t>(6)建具工事（下請経費共）</t>
    <rPh sb="3" eb="5">
      <t>タテグ</t>
    </rPh>
    <phoneticPr fontId="3"/>
  </si>
  <si>
    <t>(7)場内小運搬費（下請経費共）</t>
    <phoneticPr fontId="3"/>
  </si>
  <si>
    <t>(8)〃人力積込み費（下請経費共）</t>
    <phoneticPr fontId="3"/>
  </si>
  <si>
    <t>(9)〃搬出準備費</t>
    <phoneticPr fontId="3"/>
  </si>
  <si>
    <t>(10)近隣家屋調査及び地質調査</t>
    <phoneticPr fontId="3"/>
  </si>
  <si>
    <t>(11)</t>
    <phoneticPr fontId="3"/>
  </si>
  <si>
    <t>(12)</t>
    <phoneticPr fontId="3"/>
  </si>
  <si>
    <t>(13)残材処分費及び残土処分費（直工費のみ）</t>
    <rPh sb="17" eb="18">
      <t>チョク</t>
    </rPh>
    <rPh sb="18" eb="19">
      <t>コウ</t>
    </rPh>
    <rPh sb="19" eb="20">
      <t>ヒ</t>
    </rPh>
    <phoneticPr fontId="3"/>
  </si>
  <si>
    <t>(14)残材処分費及び残土処分費(共通仮設)</t>
    <rPh sb="17" eb="19">
      <t>キョウツウ</t>
    </rPh>
    <rPh sb="19" eb="21">
      <t>カセツ</t>
    </rPh>
    <phoneticPr fontId="3"/>
  </si>
  <si>
    <t>(15)リース料</t>
    <phoneticPr fontId="3"/>
  </si>
  <si>
    <t>(16)借地借家料（共通仮設）</t>
    <rPh sb="10" eb="12">
      <t>キョウツウ</t>
    </rPh>
    <rPh sb="12" eb="14">
      <t>カセツ</t>
    </rPh>
    <phoneticPr fontId="3"/>
  </si>
  <si>
    <t>(17)別途算定（直工費）</t>
    <rPh sb="4" eb="6">
      <t>ベット</t>
    </rPh>
    <rPh sb="6" eb="8">
      <t>サンテイ</t>
    </rPh>
    <rPh sb="9" eb="10">
      <t>チョク</t>
    </rPh>
    <rPh sb="10" eb="11">
      <t>コウ</t>
    </rPh>
    <rPh sb="11" eb="12">
      <t>ヒ</t>
    </rPh>
    <phoneticPr fontId="3"/>
  </si>
  <si>
    <t>(18)別途算定（共通仮設）</t>
    <rPh sb="4" eb="6">
      <t>ベット</t>
    </rPh>
    <rPh sb="6" eb="8">
      <t>サンテイ</t>
    </rPh>
    <rPh sb="9" eb="11">
      <t>キョウツウ</t>
    </rPh>
    <rPh sb="11" eb="13">
      <t>カセツ</t>
    </rPh>
    <phoneticPr fontId="3"/>
  </si>
  <si>
    <t>(19)下水道使用料、各種負担金（共通仮設）</t>
    <rPh sb="11" eb="13">
      <t>カクシュ</t>
    </rPh>
    <rPh sb="13" eb="16">
      <t>フタンキン</t>
    </rPh>
    <rPh sb="17" eb="19">
      <t>キョウツウ</t>
    </rPh>
    <rPh sb="19" eb="21">
      <t>カセツ</t>
    </rPh>
    <phoneticPr fontId="3"/>
  </si>
  <si>
    <t>P-2</t>
    <phoneticPr fontId="3"/>
  </si>
  <si>
    <t>当該率</t>
    <phoneticPr fontId="3"/>
  </si>
  <si>
    <r>
      <t>対象直接工事費</t>
    </r>
    <r>
      <rPr>
        <sz val="10"/>
        <color indexed="36"/>
        <rFont val="ＭＳ Ｐ明朝"/>
        <family val="1"/>
        <charset val="128"/>
      </rPr>
      <t>（（9）～(14)、(16)～(19)除く）</t>
    </r>
    <rPh sb="2" eb="4">
      <t>チョクセツ</t>
    </rPh>
    <rPh sb="26" eb="27">
      <t>ノゾ</t>
    </rPh>
    <phoneticPr fontId="3"/>
  </si>
  <si>
    <t>-</t>
    <phoneticPr fontId="3"/>
  </si>
  <si>
    <t>-</t>
    <phoneticPr fontId="3"/>
  </si>
  <si>
    <t>(5)直接仮設工事</t>
    <phoneticPr fontId="3"/>
  </si>
  <si>
    <t>(6)建具工事</t>
    <rPh sb="3" eb="5">
      <t>タテグ</t>
    </rPh>
    <phoneticPr fontId="3"/>
  </si>
  <si>
    <t>(7)場内小運搬費</t>
    <phoneticPr fontId="3"/>
  </si>
  <si>
    <t>(8)〃人力積込み費</t>
    <phoneticPr fontId="3"/>
  </si>
  <si>
    <t>(10)</t>
    <phoneticPr fontId="3"/>
  </si>
  <si>
    <t>(11)</t>
  </si>
  <si>
    <t>（13）（17）</t>
    <phoneticPr fontId="3"/>
  </si>
  <si>
    <t>標準</t>
    <phoneticPr fontId="3"/>
  </si>
  <si>
    <t>当該率---&gt;</t>
    <phoneticPr fontId="3"/>
  </si>
  <si>
    <t>当該率---&gt;</t>
    <phoneticPr fontId="3"/>
  </si>
  <si>
    <t>-</t>
    <phoneticPr fontId="3"/>
  </si>
  <si>
    <t>(7)場内小運搬費</t>
    <phoneticPr fontId="3"/>
  </si>
  <si>
    <t>(8)〃人力積込み費</t>
    <phoneticPr fontId="3"/>
  </si>
  <si>
    <t>（13）（17）</t>
    <phoneticPr fontId="3"/>
  </si>
  <si>
    <t>諸 経 費 算 定 表 (1)</t>
  </si>
  <si>
    <t>P-3</t>
    <phoneticPr fontId="3"/>
  </si>
  <si>
    <t>※(1)及び(2) ---&gt; 新築・改修工事が一括発注の場合は、合計額に対する各々の率</t>
    <phoneticPr fontId="3"/>
  </si>
  <si>
    <t>対象純工事費（下水道,専業を除く）</t>
    <rPh sb="11" eb="13">
      <t>センギョウ</t>
    </rPh>
    <phoneticPr fontId="3"/>
  </si>
  <si>
    <t>標準</t>
    <phoneticPr fontId="3"/>
  </si>
  <si>
    <t>-</t>
  </si>
  <si>
    <t>(3）警備員費（共通仮設費）</t>
    <rPh sb="3" eb="6">
      <t>ケイビイン</t>
    </rPh>
    <rPh sb="6" eb="7">
      <t>ヒ</t>
    </rPh>
    <rPh sb="8" eb="10">
      <t>キョウツウ</t>
    </rPh>
    <rPh sb="10" eb="12">
      <t>カセツ</t>
    </rPh>
    <rPh sb="12" eb="13">
      <t>ヒ</t>
    </rPh>
    <phoneticPr fontId="3"/>
  </si>
  <si>
    <t>(5)直接仮設工事</t>
    <phoneticPr fontId="3"/>
  </si>
  <si>
    <t>(6)建具工事</t>
    <rPh sb="3" eb="5">
      <t>タテグ</t>
    </rPh>
    <rPh sb="5" eb="7">
      <t>コウジ</t>
    </rPh>
    <phoneticPr fontId="3"/>
  </si>
  <si>
    <t>(7)場内小運搬費</t>
    <phoneticPr fontId="3"/>
  </si>
  <si>
    <t>(8)〃人力積込み費</t>
    <phoneticPr fontId="3"/>
  </si>
  <si>
    <t>(9)〃搬出準備費</t>
    <phoneticPr fontId="3"/>
  </si>
  <si>
    <t>(10)近隣家屋調査及び地質調査</t>
    <phoneticPr fontId="3"/>
  </si>
  <si>
    <t>(11)　---</t>
    <phoneticPr fontId="3"/>
  </si>
  <si>
    <t>(12)　---</t>
    <phoneticPr fontId="3"/>
  </si>
  <si>
    <t>(13)～(19)</t>
    <phoneticPr fontId="3"/>
  </si>
  <si>
    <t>現場管理費</t>
  </si>
  <si>
    <t>※専業工事の現場管理費は、便宜上、下請経費の1/2とする。</t>
  </si>
  <si>
    <t>当該率---&gt;</t>
    <phoneticPr fontId="3"/>
  </si>
  <si>
    <t>-</t>
    <phoneticPr fontId="3"/>
  </si>
  <si>
    <t>-</t>
    <phoneticPr fontId="3"/>
  </si>
  <si>
    <t>共通仮設費(現場管理費計上対象）</t>
    <rPh sb="0" eb="2">
      <t>キョウツウ</t>
    </rPh>
    <rPh sb="2" eb="4">
      <t>カセツ</t>
    </rPh>
    <rPh sb="4" eb="5">
      <t>ヒ</t>
    </rPh>
    <rPh sb="6" eb="8">
      <t>ゲンバ</t>
    </rPh>
    <rPh sb="8" eb="11">
      <t>カンリヒ</t>
    </rPh>
    <rPh sb="11" eb="13">
      <t>ケイジョウ</t>
    </rPh>
    <rPh sb="13" eb="15">
      <t>タイショウ</t>
    </rPh>
    <phoneticPr fontId="3"/>
  </si>
  <si>
    <t>(3)警備員費（共通仮設費）</t>
    <rPh sb="3" eb="6">
      <t>ケイビイン</t>
    </rPh>
    <rPh sb="6" eb="7">
      <t>ヒ</t>
    </rPh>
    <rPh sb="8" eb="10">
      <t>キョウツウ</t>
    </rPh>
    <rPh sb="10" eb="12">
      <t>カセツ</t>
    </rPh>
    <rPh sb="12" eb="13">
      <t>ヒ</t>
    </rPh>
    <phoneticPr fontId="3"/>
  </si>
  <si>
    <t>(4-1）率対象共通仮設費</t>
    <rPh sb="5" eb="6">
      <t>リツ</t>
    </rPh>
    <rPh sb="6" eb="8">
      <t>タイショウ</t>
    </rPh>
    <rPh sb="8" eb="10">
      <t>キョウツウ</t>
    </rPh>
    <rPh sb="10" eb="12">
      <t>カセツ</t>
    </rPh>
    <rPh sb="12" eb="13">
      <t>ヒ</t>
    </rPh>
    <phoneticPr fontId="3"/>
  </si>
  <si>
    <t>(12)　---</t>
    <phoneticPr fontId="3"/>
  </si>
  <si>
    <t>別途</t>
    <rPh sb="0" eb="2">
      <t>ベット</t>
    </rPh>
    <phoneticPr fontId="3"/>
  </si>
  <si>
    <t>(17)包含設備工事　現場管理費</t>
    <rPh sb="4" eb="6">
      <t>ホウガン</t>
    </rPh>
    <rPh sb="6" eb="8">
      <t>セツビ</t>
    </rPh>
    <rPh sb="8" eb="10">
      <t>コウジ</t>
    </rPh>
    <rPh sb="11" eb="13">
      <t>ゲンバ</t>
    </rPh>
    <rPh sb="13" eb="16">
      <t>カンリヒ</t>
    </rPh>
    <phoneticPr fontId="3"/>
  </si>
  <si>
    <t>算定</t>
    <rPh sb="0" eb="2">
      <t>サンテイ</t>
    </rPh>
    <phoneticPr fontId="3"/>
  </si>
  <si>
    <t>　※各設備工事により算定</t>
    <rPh sb="2" eb="3">
      <t>カク</t>
    </rPh>
    <rPh sb="3" eb="5">
      <t>セツビ</t>
    </rPh>
    <rPh sb="5" eb="7">
      <t>コウジ</t>
    </rPh>
    <rPh sb="10" eb="12">
      <t>サンテイ</t>
    </rPh>
    <phoneticPr fontId="3"/>
  </si>
  <si>
    <t>(13)(14)(15)(16)(19)</t>
    <phoneticPr fontId="3"/>
  </si>
  <si>
    <t>諸 経 費 算 定 表 (2)</t>
  </si>
  <si>
    <t>P-4</t>
    <phoneticPr fontId="3"/>
  </si>
  <si>
    <t>工事原価</t>
    <phoneticPr fontId="3"/>
  </si>
  <si>
    <t>一般管理費等対象工事原価（下水道,専業を除く）</t>
    <phoneticPr fontId="3"/>
  </si>
  <si>
    <t>(1)建築工事～(17)別途算定</t>
    <rPh sb="12" eb="14">
      <t>ベット</t>
    </rPh>
    <rPh sb="14" eb="16">
      <t>サンテイ</t>
    </rPh>
    <phoneticPr fontId="3"/>
  </si>
  <si>
    <t>専業</t>
    <rPh sb="0" eb="2">
      <t>センギョウ</t>
    </rPh>
    <phoneticPr fontId="3"/>
  </si>
  <si>
    <t>(3-2)～(8)専業工事</t>
    <phoneticPr fontId="3"/>
  </si>
  <si>
    <t>(18)下水道使用料、各種負担金</t>
    <rPh sb="11" eb="13">
      <t>カクシュ</t>
    </rPh>
    <rPh sb="13" eb="16">
      <t>フタンキン</t>
    </rPh>
    <phoneticPr fontId="3"/>
  </si>
  <si>
    <t>一般建築工事＋その他等</t>
    <phoneticPr fontId="3"/>
  </si>
  <si>
    <t>※専業工事の一般管理費等は、便宜上、下請経費の1/2とする。</t>
  </si>
  <si>
    <t>(3)～(8)専業工事</t>
    <phoneticPr fontId="3"/>
  </si>
  <si>
    <t>今回工事の共通仮設費率補正　（監督員事務所無し時の補正)</t>
    <rPh sb="0" eb="2">
      <t>コンカイ</t>
    </rPh>
    <rPh sb="2" eb="4">
      <t>コウジ</t>
    </rPh>
    <rPh sb="5" eb="7">
      <t>キョウツウ</t>
    </rPh>
    <rPh sb="7" eb="9">
      <t>カセツ</t>
    </rPh>
    <rPh sb="9" eb="10">
      <t>ヒ</t>
    </rPh>
    <rPh sb="10" eb="11">
      <t>リツ</t>
    </rPh>
    <rPh sb="11" eb="13">
      <t>ホセイ</t>
    </rPh>
    <rPh sb="15" eb="17">
      <t>カントク</t>
    </rPh>
    <rPh sb="17" eb="18">
      <t>イン</t>
    </rPh>
    <rPh sb="18" eb="20">
      <t>ジム</t>
    </rPh>
    <rPh sb="20" eb="21">
      <t>ショ</t>
    </rPh>
    <rPh sb="21" eb="22">
      <t>ナシ</t>
    </rPh>
    <rPh sb="23" eb="24">
      <t>ジ</t>
    </rPh>
    <rPh sb="25" eb="27">
      <t>ホセイ</t>
    </rPh>
    <phoneticPr fontId="3"/>
  </si>
  <si>
    <t>随意契約共通費集計表</t>
    <rPh sb="0" eb="2">
      <t>ズイイ</t>
    </rPh>
    <rPh sb="2" eb="4">
      <t>ケイヤク</t>
    </rPh>
    <rPh sb="4" eb="6">
      <t>キョウツウ</t>
    </rPh>
    <rPh sb="6" eb="7">
      <t>ヒ</t>
    </rPh>
    <rPh sb="7" eb="10">
      <t>シュウケイヒョウ</t>
    </rPh>
    <phoneticPr fontId="3"/>
  </si>
  <si>
    <t>（△印は減額）</t>
    <rPh sb="2" eb="3">
      <t>シルシ</t>
    </rPh>
    <rPh sb="4" eb="6">
      <t>ゲンガク</t>
    </rPh>
    <phoneticPr fontId="3"/>
  </si>
  <si>
    <t>純工事費　合計</t>
    <rPh sb="0" eb="1">
      <t>ジュン</t>
    </rPh>
    <rPh sb="1" eb="4">
      <t>コウジヒ</t>
    </rPh>
    <rPh sb="5" eb="7">
      <t>ゴウケイ</t>
    </rPh>
    <phoneticPr fontId="3"/>
  </si>
  <si>
    <t>現場管理費、一般管理費等　合計</t>
    <rPh sb="0" eb="2">
      <t>ゲンバ</t>
    </rPh>
    <rPh sb="2" eb="5">
      <t>カンリヒ</t>
    </rPh>
    <rPh sb="6" eb="8">
      <t>イッパン</t>
    </rPh>
    <rPh sb="8" eb="11">
      <t>カンリヒ</t>
    </rPh>
    <rPh sb="11" eb="12">
      <t>ナド</t>
    </rPh>
    <rPh sb="13" eb="15">
      <t>ゴウケイ</t>
    </rPh>
    <phoneticPr fontId="3"/>
  </si>
  <si>
    <t>（↓工期(Ｔ)の変更が有った場合は修正すること）</t>
    <rPh sb="2" eb="4">
      <t>コウキ</t>
    </rPh>
    <rPh sb="8" eb="10">
      <t>ヘンコウ</t>
    </rPh>
    <rPh sb="11" eb="12">
      <t>ア</t>
    </rPh>
    <rPh sb="14" eb="16">
      <t>バアイ</t>
    </rPh>
    <rPh sb="17" eb="19">
      <t>シュウセイ</t>
    </rPh>
    <phoneticPr fontId="3"/>
  </si>
  <si>
    <t>（△印は減額）</t>
  </si>
  <si>
    <t>既発注工事入力欄より---&gt;</t>
    <rPh sb="0" eb="1">
      <t>スデ</t>
    </rPh>
    <rPh sb="1" eb="3">
      <t>ハッチュウ</t>
    </rPh>
    <rPh sb="3" eb="5">
      <t>コウジ</t>
    </rPh>
    <rPh sb="5" eb="7">
      <t>ニュウリョク</t>
    </rPh>
    <rPh sb="7" eb="8">
      <t>ラン</t>
    </rPh>
    <phoneticPr fontId="3"/>
  </si>
  <si>
    <t>（率算出時、監督員事務所を設ける場合は"有り"）--&gt;</t>
    <rPh sb="1" eb="2">
      <t>リツ</t>
    </rPh>
    <rPh sb="2" eb="4">
      <t>サンシュツ</t>
    </rPh>
    <rPh sb="4" eb="5">
      <t>ジ</t>
    </rPh>
    <rPh sb="6" eb="8">
      <t>カントク</t>
    </rPh>
    <rPh sb="8" eb="9">
      <t>イン</t>
    </rPh>
    <rPh sb="9" eb="11">
      <t>ジム</t>
    </rPh>
    <rPh sb="11" eb="12">
      <t>ショ</t>
    </rPh>
    <rPh sb="13" eb="14">
      <t>モウ</t>
    </rPh>
    <rPh sb="16" eb="18">
      <t>バアイ</t>
    </rPh>
    <rPh sb="20" eb="21">
      <t>アリ</t>
    </rPh>
    <phoneticPr fontId="3"/>
  </si>
  <si>
    <t>　　　</t>
  </si>
  <si>
    <t>　純　　工　　事　　費　　　　合　　計</t>
    <phoneticPr fontId="3"/>
  </si>
  <si>
    <t>調整対象額</t>
    <rPh sb="0" eb="2">
      <t>チョウセイ</t>
    </rPh>
    <rPh sb="2" eb="4">
      <t>タイショウ</t>
    </rPh>
    <rPh sb="4" eb="5">
      <t>ガク</t>
    </rPh>
    <phoneticPr fontId="3"/>
  </si>
  <si>
    <t>対象直接工事費</t>
    <rPh sb="0" eb="2">
      <t>タイショウ</t>
    </rPh>
    <rPh sb="2" eb="4">
      <t>チョクセツ</t>
    </rPh>
    <rPh sb="4" eb="7">
      <t>コウジヒ</t>
    </rPh>
    <phoneticPr fontId="3"/>
  </si>
  <si>
    <t>率対象共通仮設費調整額</t>
    <rPh sb="0" eb="1">
      <t>リツ</t>
    </rPh>
    <rPh sb="1" eb="3">
      <t>タイショウ</t>
    </rPh>
    <rPh sb="3" eb="5">
      <t>キョウツウ</t>
    </rPh>
    <rPh sb="5" eb="7">
      <t>カセツ</t>
    </rPh>
    <rPh sb="7" eb="8">
      <t>ヒ</t>
    </rPh>
    <rPh sb="8" eb="10">
      <t>チョウセイ</t>
    </rPh>
    <rPh sb="10" eb="11">
      <t>ガク</t>
    </rPh>
    <phoneticPr fontId="3"/>
  </si>
  <si>
    <t>率対象共通仮設費調整額　端数調整</t>
    <rPh sb="0" eb="1">
      <t>リツ</t>
    </rPh>
    <rPh sb="1" eb="3">
      <t>タイショウ</t>
    </rPh>
    <rPh sb="3" eb="5">
      <t>キョウツウ</t>
    </rPh>
    <rPh sb="5" eb="7">
      <t>カセツ</t>
    </rPh>
    <rPh sb="7" eb="8">
      <t>ヒ</t>
    </rPh>
    <rPh sb="8" eb="10">
      <t>チョウセイ</t>
    </rPh>
    <rPh sb="10" eb="11">
      <t>ガク</t>
    </rPh>
    <rPh sb="12" eb="14">
      <t>ハスウ</t>
    </rPh>
    <rPh sb="14" eb="16">
      <t>チョウセイ</t>
    </rPh>
    <phoneticPr fontId="3"/>
  </si>
  <si>
    <t>率対象共通仮設費改計</t>
    <rPh sb="0" eb="1">
      <t>リツ</t>
    </rPh>
    <rPh sb="1" eb="3">
      <t>タイショウ</t>
    </rPh>
    <rPh sb="3" eb="5">
      <t>キョウツウ</t>
    </rPh>
    <rPh sb="5" eb="7">
      <t>カセツ</t>
    </rPh>
    <rPh sb="7" eb="8">
      <t>ヒ</t>
    </rPh>
    <rPh sb="8" eb="10">
      <t>カイケイ</t>
    </rPh>
    <phoneticPr fontId="3"/>
  </si>
  <si>
    <t>内、リース料、借地借家料</t>
    <rPh sb="0" eb="1">
      <t>ウチ</t>
    </rPh>
    <rPh sb="5" eb="6">
      <t>リョウ</t>
    </rPh>
    <rPh sb="7" eb="9">
      <t>シャクチ</t>
    </rPh>
    <rPh sb="9" eb="11">
      <t>シャクヤ</t>
    </rPh>
    <rPh sb="11" eb="12">
      <t>リョウ</t>
    </rPh>
    <phoneticPr fontId="3"/>
  </si>
  <si>
    <t>標準</t>
    <phoneticPr fontId="3"/>
  </si>
  <si>
    <t>(3)新築主体工事の鉄骨工事(機械費含む)</t>
    <phoneticPr fontId="3"/>
  </si>
  <si>
    <t>(5)造園工事、舗装工事(排水除く)</t>
    <phoneticPr fontId="3"/>
  </si>
  <si>
    <t>　家具・流し・実験台</t>
    <phoneticPr fontId="3"/>
  </si>
  <si>
    <t>(9)</t>
    <phoneticPr fontId="3"/>
  </si>
  <si>
    <t>(10)</t>
    <phoneticPr fontId="3"/>
  </si>
  <si>
    <t>(14)リース料,借地借家料(共通仮設）</t>
    <rPh sb="15" eb="17">
      <t>キョウツウ</t>
    </rPh>
    <rPh sb="17" eb="19">
      <t>カセツ</t>
    </rPh>
    <phoneticPr fontId="3"/>
  </si>
  <si>
    <t>(14)リース料,借地借家料(直工費のみ）</t>
    <rPh sb="15" eb="16">
      <t>チョク</t>
    </rPh>
    <rPh sb="16" eb="17">
      <t>コウ</t>
    </rPh>
    <rPh sb="17" eb="18">
      <t>ヒ</t>
    </rPh>
    <phoneticPr fontId="3"/>
  </si>
  <si>
    <t>その他工事</t>
    <rPh sb="2" eb="3">
      <t>タ</t>
    </rPh>
    <rPh sb="3" eb="5">
      <t>コウジ</t>
    </rPh>
    <phoneticPr fontId="3"/>
  </si>
  <si>
    <t>(5)造園工事、舗装工事（排水除く）</t>
    <rPh sb="3" eb="5">
      <t>ゾウエン</t>
    </rPh>
    <rPh sb="5" eb="7">
      <t>コウジ</t>
    </rPh>
    <rPh sb="8" eb="10">
      <t>ホソウ</t>
    </rPh>
    <rPh sb="10" eb="12">
      <t>コウジ</t>
    </rPh>
    <rPh sb="13" eb="15">
      <t>ハイスイ</t>
    </rPh>
    <rPh sb="15" eb="16">
      <t>ノゾ</t>
    </rPh>
    <phoneticPr fontId="3"/>
  </si>
  <si>
    <t>(9)予備</t>
    <rPh sb="3" eb="5">
      <t>ヨビ</t>
    </rPh>
    <phoneticPr fontId="3"/>
  </si>
  <si>
    <t>(10)予備</t>
    <rPh sb="4" eb="6">
      <t>ヨビ</t>
    </rPh>
    <phoneticPr fontId="3"/>
  </si>
  <si>
    <t>除外</t>
    <phoneticPr fontId="3"/>
  </si>
  <si>
    <t>(12)～(17)</t>
    <phoneticPr fontId="3"/>
  </si>
  <si>
    <t>※別途工事により算定</t>
    <rPh sb="1" eb="3">
      <t>ベット</t>
    </rPh>
    <phoneticPr fontId="3"/>
  </si>
  <si>
    <t>現場管理費計</t>
    <phoneticPr fontId="3"/>
  </si>
  <si>
    <t>調整対象額計</t>
    <rPh sb="0" eb="2">
      <t>チョウセイ</t>
    </rPh>
    <rPh sb="2" eb="4">
      <t>タイショウ</t>
    </rPh>
    <rPh sb="4" eb="5">
      <t>ガク</t>
    </rPh>
    <rPh sb="5" eb="6">
      <t>ケイ</t>
    </rPh>
    <phoneticPr fontId="3"/>
  </si>
  <si>
    <t>対象純工事費</t>
    <rPh sb="0" eb="2">
      <t>タイショウ</t>
    </rPh>
    <rPh sb="2" eb="3">
      <t>ジュン</t>
    </rPh>
    <rPh sb="3" eb="6">
      <t>コウジヒ</t>
    </rPh>
    <phoneticPr fontId="3"/>
  </si>
  <si>
    <t>現場管理費調整額</t>
    <rPh sb="0" eb="2">
      <t>ゲンバ</t>
    </rPh>
    <rPh sb="2" eb="5">
      <t>カンリヒ</t>
    </rPh>
    <rPh sb="5" eb="7">
      <t>チョウセイ</t>
    </rPh>
    <rPh sb="7" eb="8">
      <t>ガク</t>
    </rPh>
    <phoneticPr fontId="3"/>
  </si>
  <si>
    <t>現場管理費調整額端数調整</t>
    <rPh sb="0" eb="2">
      <t>ゲンバ</t>
    </rPh>
    <rPh sb="2" eb="5">
      <t>カンリヒ</t>
    </rPh>
    <rPh sb="5" eb="7">
      <t>チョウセイ</t>
    </rPh>
    <rPh sb="7" eb="8">
      <t>ガク</t>
    </rPh>
    <rPh sb="8" eb="10">
      <t>ハスウ</t>
    </rPh>
    <rPh sb="10" eb="12">
      <t>チョウセイ</t>
    </rPh>
    <phoneticPr fontId="3"/>
  </si>
  <si>
    <t>現場管理費　改計</t>
    <rPh sb="6" eb="7">
      <t>カイ</t>
    </rPh>
    <phoneticPr fontId="3"/>
  </si>
  <si>
    <t>一般管理費等</t>
    <rPh sb="0" eb="2">
      <t>イッパン</t>
    </rPh>
    <rPh sb="2" eb="5">
      <t>カンリヒ</t>
    </rPh>
    <rPh sb="5" eb="6">
      <t>トウ</t>
    </rPh>
    <phoneticPr fontId="3"/>
  </si>
  <si>
    <t>対象工事原価→</t>
    <rPh sb="0" eb="2">
      <t>タイショウ</t>
    </rPh>
    <rPh sb="2" eb="4">
      <t>コウジ</t>
    </rPh>
    <rPh sb="4" eb="6">
      <t>ゲンカ</t>
    </rPh>
    <phoneticPr fontId="3"/>
  </si>
  <si>
    <t>別途算定　一般管理費等（土木工事）</t>
    <rPh sb="0" eb="2">
      <t>ベット</t>
    </rPh>
    <rPh sb="2" eb="4">
      <t>サンテイ</t>
    </rPh>
    <rPh sb="5" eb="7">
      <t>イッパン</t>
    </rPh>
    <rPh sb="7" eb="10">
      <t>カンリヒ</t>
    </rPh>
    <rPh sb="10" eb="11">
      <t>トウ</t>
    </rPh>
    <rPh sb="12" eb="14">
      <t>ドボク</t>
    </rPh>
    <rPh sb="14" eb="16">
      <t>コウジ</t>
    </rPh>
    <phoneticPr fontId="3"/>
  </si>
  <si>
    <t>一般管理費等　計</t>
    <rPh sb="0" eb="2">
      <t>イッパン</t>
    </rPh>
    <rPh sb="2" eb="5">
      <t>カンリヒ</t>
    </rPh>
    <rPh sb="5" eb="6">
      <t>トウ</t>
    </rPh>
    <rPh sb="7" eb="8">
      <t>ケイ</t>
    </rPh>
    <phoneticPr fontId="3"/>
  </si>
  <si>
    <t>対象工事原価</t>
    <rPh sb="0" eb="2">
      <t>タイショウ</t>
    </rPh>
    <rPh sb="2" eb="4">
      <t>コウジ</t>
    </rPh>
    <rPh sb="4" eb="6">
      <t>ゲンカ</t>
    </rPh>
    <phoneticPr fontId="3"/>
  </si>
  <si>
    <t>一般管理費調整額</t>
    <rPh sb="0" eb="2">
      <t>イッパン</t>
    </rPh>
    <rPh sb="2" eb="5">
      <t>カンリヒ</t>
    </rPh>
    <rPh sb="5" eb="7">
      <t>チョウセイ</t>
    </rPh>
    <rPh sb="7" eb="8">
      <t>ガク</t>
    </rPh>
    <phoneticPr fontId="3"/>
  </si>
  <si>
    <t>一般管理費調整額端数調整</t>
    <rPh sb="0" eb="2">
      <t>イッパン</t>
    </rPh>
    <rPh sb="2" eb="5">
      <t>カンリヒ</t>
    </rPh>
    <rPh sb="5" eb="7">
      <t>チョウセイ</t>
    </rPh>
    <rPh sb="7" eb="8">
      <t>ガク</t>
    </rPh>
    <rPh sb="8" eb="10">
      <t>ハスウ</t>
    </rPh>
    <rPh sb="10" eb="12">
      <t>チョウセイ</t>
    </rPh>
    <phoneticPr fontId="3"/>
  </si>
  <si>
    <t>一般管理費等　改計</t>
    <rPh sb="0" eb="2">
      <t>イッパン</t>
    </rPh>
    <rPh sb="2" eb="5">
      <t>カンリヒ</t>
    </rPh>
    <rPh sb="5" eb="6">
      <t>トウ</t>
    </rPh>
    <rPh sb="7" eb="8">
      <t>カイ</t>
    </rPh>
    <rPh sb="8" eb="9">
      <t>ケイ</t>
    </rPh>
    <phoneticPr fontId="3"/>
  </si>
  <si>
    <t>一般管理費　改計　調整後</t>
    <rPh sb="0" eb="2">
      <t>イッパン</t>
    </rPh>
    <rPh sb="2" eb="5">
      <t>カンリヒ</t>
    </rPh>
    <rPh sb="6" eb="8">
      <t>カイケイ</t>
    </rPh>
    <rPh sb="9" eb="11">
      <t>チョウセイ</t>
    </rPh>
    <rPh sb="11" eb="12">
      <t>ゴ</t>
    </rPh>
    <phoneticPr fontId="3"/>
  </si>
  <si>
    <t>工事価格　改　計</t>
    <rPh sb="0" eb="2">
      <t>コウジ</t>
    </rPh>
    <rPh sb="2" eb="4">
      <t>カカク</t>
    </rPh>
    <rPh sb="5" eb="6">
      <t>アラタ</t>
    </rPh>
    <rPh sb="7" eb="8">
      <t>ケイ</t>
    </rPh>
    <phoneticPr fontId="3"/>
  </si>
  <si>
    <t>工事価格改計②</t>
    <rPh sb="0" eb="2">
      <t>コウジ</t>
    </rPh>
    <rPh sb="2" eb="4">
      <t>カカク</t>
    </rPh>
    <rPh sb="4" eb="6">
      <t>カイケイ</t>
    </rPh>
    <phoneticPr fontId="3"/>
  </si>
  <si>
    <t>内訳</t>
    <rPh sb="0" eb="2">
      <t>ウチワケ</t>
    </rPh>
    <phoneticPr fontId="3"/>
  </si>
  <si>
    <t>純工事費</t>
    <rPh sb="0" eb="1">
      <t>ジュン</t>
    </rPh>
    <rPh sb="1" eb="4">
      <t>コウジヒ</t>
    </rPh>
    <phoneticPr fontId="3"/>
  </si>
  <si>
    <t>現場管理費、一般管理費等</t>
    <rPh sb="0" eb="2">
      <t>ゲンバ</t>
    </rPh>
    <rPh sb="2" eb="5">
      <t>カンリヒ</t>
    </rPh>
    <rPh sb="6" eb="8">
      <t>イッパン</t>
    </rPh>
    <rPh sb="8" eb="11">
      <t>カンリヒ</t>
    </rPh>
    <rPh sb="11" eb="12">
      <t>ナド</t>
    </rPh>
    <phoneticPr fontId="3"/>
  </si>
  <si>
    <t>変更工事価格（①×R）</t>
    <rPh sb="0" eb="2">
      <t>ヘンコウ</t>
    </rPh>
    <rPh sb="2" eb="4">
      <t>コウジ</t>
    </rPh>
    <rPh sb="4" eb="6">
      <t>カカク</t>
    </rPh>
    <phoneticPr fontId="3"/>
  </si>
  <si>
    <t>千円未満切り捨て→</t>
    <rPh sb="0" eb="2">
      <t>センエン</t>
    </rPh>
    <rPh sb="2" eb="4">
      <t>ミマン</t>
    </rPh>
    <rPh sb="4" eb="5">
      <t>キ</t>
    </rPh>
    <rPh sb="6" eb="7">
      <t>ス</t>
    </rPh>
    <phoneticPr fontId="3"/>
  </si>
  <si>
    <t>P-2</t>
    <phoneticPr fontId="3"/>
  </si>
  <si>
    <t>随意契約＝＞</t>
    <rPh sb="0" eb="2">
      <t>ズイイ</t>
    </rPh>
    <rPh sb="2" eb="4">
      <t>ケイヤク</t>
    </rPh>
    <phoneticPr fontId="3"/>
  </si>
  <si>
    <t>無し</t>
    <rPh sb="0" eb="1">
      <t>ナ</t>
    </rPh>
    <phoneticPr fontId="3"/>
  </si>
  <si>
    <t>改修・新営を選択---&gt;</t>
    <rPh sb="0" eb="2">
      <t>カイシュウ</t>
    </rPh>
    <rPh sb="3" eb="4">
      <t>シン</t>
    </rPh>
    <rPh sb="6" eb="8">
      <t>センタク</t>
    </rPh>
    <phoneticPr fontId="3"/>
  </si>
  <si>
    <t>前　払 い 有り・無し--&gt;</t>
    <phoneticPr fontId="3"/>
  </si>
  <si>
    <t>積上げ</t>
  </si>
  <si>
    <t>　純　　工　　事　　費　　　　合　　計</t>
    <phoneticPr fontId="3"/>
  </si>
  <si>
    <t>現場管理費より控除する専門・除外の工事費---&gt;</t>
    <phoneticPr fontId="3"/>
  </si>
  <si>
    <t>P-2-2</t>
    <phoneticPr fontId="3"/>
  </si>
  <si>
    <t>対象直接工事費（（12）(15)～（17）除く）</t>
    <rPh sb="2" eb="4">
      <t>チョクセツ</t>
    </rPh>
    <rPh sb="21" eb="22">
      <t>ノゾ</t>
    </rPh>
    <phoneticPr fontId="3"/>
  </si>
  <si>
    <t>-</t>
    <phoneticPr fontId="3"/>
  </si>
  <si>
    <t>当該率---&gt;</t>
    <phoneticPr fontId="3"/>
  </si>
  <si>
    <t>共 通 費 算 定 表 （既発注）(1)</t>
    <rPh sb="0" eb="1">
      <t>トモ</t>
    </rPh>
    <rPh sb="2" eb="3">
      <t>ツウ</t>
    </rPh>
    <rPh sb="13" eb="14">
      <t>キ</t>
    </rPh>
    <rPh sb="14" eb="16">
      <t>ハッチュウ</t>
    </rPh>
    <phoneticPr fontId="3"/>
  </si>
  <si>
    <t>P-3</t>
    <phoneticPr fontId="3"/>
  </si>
  <si>
    <t>当該率</t>
    <phoneticPr fontId="3"/>
  </si>
  <si>
    <t>(6)とりこわし工事</t>
    <phoneticPr fontId="3"/>
  </si>
  <si>
    <t>(12)～（17）</t>
    <phoneticPr fontId="3"/>
  </si>
  <si>
    <t>共 通 費 算 定 表（既発注） (2)</t>
    <rPh sb="0" eb="1">
      <t>トモ</t>
    </rPh>
    <rPh sb="2" eb="3">
      <t>ツウ</t>
    </rPh>
    <rPh sb="12" eb="13">
      <t>キ</t>
    </rPh>
    <rPh sb="13" eb="15">
      <t>ハッチュウ</t>
    </rPh>
    <phoneticPr fontId="3"/>
  </si>
  <si>
    <t>P-4</t>
    <phoneticPr fontId="3"/>
  </si>
  <si>
    <t>.</t>
    <phoneticPr fontId="3"/>
  </si>
  <si>
    <t>P-5</t>
    <phoneticPr fontId="3"/>
  </si>
  <si>
    <t>次回　変更計上金額</t>
    <rPh sb="0" eb="2">
      <t>ジカイ</t>
    </rPh>
    <rPh sb="3" eb="5">
      <t>ヘンコウ</t>
    </rPh>
    <rPh sb="5" eb="7">
      <t>ケイジョウ</t>
    </rPh>
    <rPh sb="7" eb="9">
      <t>キンガク</t>
    </rPh>
    <phoneticPr fontId="3"/>
  </si>
  <si>
    <t>無し</t>
    <rPh sb="0" eb="1">
      <t>ナシ</t>
    </rPh>
    <phoneticPr fontId="3"/>
  </si>
  <si>
    <t>発注形態　元請・下請け--&gt;</t>
  </si>
  <si>
    <t>元請</t>
    <rPh sb="0" eb="2">
      <t>モトウケ</t>
    </rPh>
    <phoneticPr fontId="3"/>
  </si>
  <si>
    <t>前　払 い 有り・無し--&gt;</t>
    <phoneticPr fontId="3"/>
  </si>
  <si>
    <t>　純　　工　　事　　費　　　　合　　計</t>
    <phoneticPr fontId="3"/>
  </si>
  <si>
    <t>現場管理費より控除する専門・除外の工事費---&gt;</t>
    <phoneticPr fontId="3"/>
  </si>
  <si>
    <t>内、リース料</t>
    <rPh sb="0" eb="1">
      <t>ウチ</t>
    </rPh>
    <rPh sb="5" eb="6">
      <t>リョウ</t>
    </rPh>
    <phoneticPr fontId="3"/>
  </si>
  <si>
    <t>(14)リース料,借地借家料(直工のみ）</t>
    <rPh sb="15" eb="16">
      <t>チョク</t>
    </rPh>
    <rPh sb="16" eb="17">
      <t>コウ</t>
    </rPh>
    <phoneticPr fontId="3"/>
  </si>
  <si>
    <t>P-5-2</t>
    <phoneticPr fontId="3"/>
  </si>
  <si>
    <t>対象直接工事費（（12）～（17）除く）</t>
    <rPh sb="2" eb="4">
      <t>チョクセツ</t>
    </rPh>
    <rPh sb="17" eb="18">
      <t>ノゾ</t>
    </rPh>
    <phoneticPr fontId="3"/>
  </si>
  <si>
    <t>-</t>
    <phoneticPr fontId="3"/>
  </si>
  <si>
    <t>（12）～(17)(但し(14)は率算出対象）</t>
    <rPh sb="10" eb="11">
      <t>タダ</t>
    </rPh>
    <rPh sb="17" eb="18">
      <t>リツ</t>
    </rPh>
    <rPh sb="18" eb="20">
      <t>サンシュツ</t>
    </rPh>
    <rPh sb="20" eb="22">
      <t>タイショウ</t>
    </rPh>
    <phoneticPr fontId="3"/>
  </si>
  <si>
    <t>共 通 費 算 定 表 合 計(1)</t>
    <rPh sb="0" eb="1">
      <t>トモ</t>
    </rPh>
    <rPh sb="2" eb="3">
      <t>ツウ</t>
    </rPh>
    <rPh sb="12" eb="13">
      <t>ゴウ</t>
    </rPh>
    <rPh sb="14" eb="15">
      <t>ケイ</t>
    </rPh>
    <phoneticPr fontId="3"/>
  </si>
  <si>
    <t>P-6</t>
    <phoneticPr fontId="3"/>
  </si>
  <si>
    <t>当該率</t>
    <phoneticPr fontId="3"/>
  </si>
  <si>
    <t>-</t>
    <phoneticPr fontId="3"/>
  </si>
  <si>
    <t>(6)とりこわし工事</t>
    <phoneticPr fontId="3"/>
  </si>
  <si>
    <t>　家具・流し・実験台</t>
    <phoneticPr fontId="3"/>
  </si>
  <si>
    <t>現場管理費</t>
    <phoneticPr fontId="3"/>
  </si>
  <si>
    <t>標準</t>
    <phoneticPr fontId="3"/>
  </si>
  <si>
    <t>-</t>
    <phoneticPr fontId="3"/>
  </si>
  <si>
    <t>当該率---&gt;</t>
    <phoneticPr fontId="3"/>
  </si>
  <si>
    <t>(11)近隣家屋調査及び地質調査</t>
    <phoneticPr fontId="3"/>
  </si>
  <si>
    <t>P-7</t>
    <phoneticPr fontId="3"/>
  </si>
  <si>
    <t>Ｋｒ</t>
    <phoneticPr fontId="3"/>
  </si>
  <si>
    <t>Jo</t>
    <phoneticPr fontId="3"/>
  </si>
  <si>
    <t>Jo</t>
    <phoneticPr fontId="3"/>
  </si>
  <si>
    <t>Gp</t>
    <phoneticPr fontId="3"/>
  </si>
  <si>
    <t>2019年6月</t>
    <rPh sb="4" eb="5">
      <t>ネン</t>
    </rPh>
    <rPh sb="6" eb="7">
      <t>ガツ</t>
    </rPh>
    <phoneticPr fontId="3"/>
  </si>
  <si>
    <t>現場管理費</t>
    <rPh sb="0" eb="2">
      <t>ゲンバ</t>
    </rPh>
    <rPh sb="2" eb="5">
      <t>カンリヒ</t>
    </rPh>
    <phoneticPr fontId="3"/>
  </si>
  <si>
    <t>一般管理費等</t>
    <rPh sb="0" eb="2">
      <t>イッパン</t>
    </rPh>
    <rPh sb="2" eb="5">
      <t>カンリヒ</t>
    </rPh>
    <rPh sb="5" eb="6">
      <t>トウ</t>
    </rPh>
    <phoneticPr fontId="3"/>
  </si>
  <si>
    <t>式</t>
    <phoneticPr fontId="3"/>
  </si>
  <si>
    <t>式</t>
    <phoneticPr fontId="3"/>
  </si>
  <si>
    <t>金属工事</t>
  </si>
  <si>
    <t>部分撤去工事</t>
  </si>
  <si>
    <t>安全対策費</t>
    <phoneticPr fontId="3"/>
  </si>
  <si>
    <t>共通仮設材運搬費</t>
    <phoneticPr fontId="3"/>
  </si>
  <si>
    <t>仮囲い</t>
    <phoneticPr fontId="3"/>
  </si>
  <si>
    <t>左官工事</t>
  </si>
  <si>
    <t>内外装部分撤去</t>
  </si>
  <si>
    <t>内外装部分撤去</t>
    <phoneticPr fontId="3"/>
  </si>
  <si>
    <t>㎡</t>
    <phoneticPr fontId="3"/>
  </si>
  <si>
    <t>天井ボード（２重張り）</t>
  </si>
  <si>
    <t>天井ボード（２重張り）</t>
    <phoneticPr fontId="3"/>
  </si>
  <si>
    <t>標準単価2019.xls</t>
  </si>
  <si>
    <t>残材処分費</t>
    <phoneticPr fontId="3"/>
  </si>
  <si>
    <t>大阪ビジネスパーク駅中階天井改良工事</t>
    <rPh sb="0" eb="2">
      <t>オオサカ</t>
    </rPh>
    <rPh sb="9" eb="10">
      <t>エキ</t>
    </rPh>
    <rPh sb="10" eb="11">
      <t>ナカ</t>
    </rPh>
    <rPh sb="11" eb="12">
      <t>カイ</t>
    </rPh>
    <rPh sb="12" eb="14">
      <t>テンジョウ</t>
    </rPh>
    <rPh sb="14" eb="16">
      <t>カイリョウ</t>
    </rPh>
    <rPh sb="16" eb="18">
      <t>コウジ</t>
    </rPh>
    <phoneticPr fontId="3"/>
  </si>
  <si>
    <t>タイル工事</t>
    <phoneticPr fontId="3"/>
  </si>
  <si>
    <t>壁  ユニットタイル  施釉</t>
  </si>
  <si>
    <t>壁  ユニットタイル  施釉</t>
    <phoneticPr fontId="3"/>
  </si>
  <si>
    <t>軽鉄天井下地     JIS19型</t>
  </si>
  <si>
    <t>壁タイル（下地共）</t>
  </si>
  <si>
    <t>天井下地（鋼製）</t>
  </si>
  <si>
    <t>アルミ板　ｔ＝４</t>
  </si>
  <si>
    <t>アルミ板　ｔ＝４</t>
    <rPh sb="3" eb="4">
      <t>イタ</t>
    </rPh>
    <phoneticPr fontId="3"/>
  </si>
  <si>
    <t>アクリル板　ｔ＝３</t>
  </si>
  <si>
    <t>アクリル板　ｔ＝３</t>
    <rPh sb="4" eb="5">
      <t>イタ</t>
    </rPh>
    <phoneticPr fontId="3"/>
  </si>
  <si>
    <t>天井下地（鋼製）</t>
    <phoneticPr fontId="3"/>
  </si>
  <si>
    <t>221m</t>
    <phoneticPr fontId="3"/>
  </si>
  <si>
    <t>軽量天井下地開口補強　JIS19型</t>
    <rPh sb="0" eb="2">
      <t>ケイリョウ</t>
    </rPh>
    <rPh sb="2" eb="4">
      <t>テンジョウ</t>
    </rPh>
    <rPh sb="4" eb="6">
      <t>シタジ</t>
    </rPh>
    <rPh sb="6" eb="8">
      <t>カイコウ</t>
    </rPh>
    <rPh sb="8" eb="10">
      <t>ホキョウ</t>
    </rPh>
    <rPh sb="16" eb="17">
      <t>ガタ</t>
    </rPh>
    <phoneticPr fontId="3"/>
  </si>
  <si>
    <t>カ所</t>
    <rPh sb="1" eb="2">
      <t>ショ</t>
    </rPh>
    <phoneticPr fontId="3"/>
  </si>
  <si>
    <t>軽鉄天井下地補強 JIS19型</t>
  </si>
  <si>
    <t>軽鉄天井下地補強 JIS19型</t>
    <phoneticPr fontId="3"/>
  </si>
  <si>
    <t>ヵ所</t>
    <phoneticPr fontId="3"/>
  </si>
  <si>
    <t>開口　150×2500</t>
  </si>
  <si>
    <t>開口　150×2500</t>
    <rPh sb="0" eb="2">
      <t>カイコウ</t>
    </rPh>
    <phoneticPr fontId="3"/>
  </si>
  <si>
    <t>内壁  下地モルタル塗り</t>
  </si>
  <si>
    <t>内壁  下地モルタル塗り</t>
    <phoneticPr fontId="3"/>
  </si>
  <si>
    <t>タイル工事</t>
  </si>
  <si>
    <t>m</t>
    <phoneticPr fontId="3"/>
  </si>
  <si>
    <t>撤去照明下地　鋼材</t>
  </si>
  <si>
    <t>撤去照明下地　鋼材</t>
    <rPh sb="0" eb="2">
      <t>テッキョ</t>
    </rPh>
    <rPh sb="2" eb="4">
      <t>ショウメイ</t>
    </rPh>
    <rPh sb="4" eb="6">
      <t>シタジ</t>
    </rPh>
    <rPh sb="7" eb="9">
      <t>コウザイ</t>
    </rPh>
    <phoneticPr fontId="3"/>
  </si>
  <si>
    <t>軽量天井下地開口補強　JIS19型</t>
  </si>
  <si>
    <t>有価物件処分費</t>
    <rPh sb="0" eb="2">
      <t>ユウカ</t>
    </rPh>
    <rPh sb="2" eb="4">
      <t>ブッケン</t>
    </rPh>
    <rPh sb="4" eb="6">
      <t>ショブン</t>
    </rPh>
    <rPh sb="6" eb="7">
      <t>ヒ</t>
    </rPh>
    <phoneticPr fontId="3"/>
  </si>
  <si>
    <t>鹿島</t>
    <rPh sb="0" eb="2">
      <t>カシマ</t>
    </rPh>
    <phoneticPr fontId="3"/>
  </si>
  <si>
    <t>猪野</t>
    <rPh sb="0" eb="2">
      <t>イノ</t>
    </rPh>
    <phoneticPr fontId="3"/>
  </si>
  <si>
    <t>―</t>
    <phoneticPr fontId="3"/>
  </si>
  <si>
    <t>天井改良工事</t>
    <rPh sb="0" eb="2">
      <t>テンジョウ</t>
    </rPh>
    <rPh sb="2" eb="4">
      <t>カイリョウ</t>
    </rPh>
    <rPh sb="4" eb="6">
      <t>コウジ</t>
    </rPh>
    <phoneticPr fontId="3"/>
  </si>
  <si>
    <t>アンカー穴はつり</t>
  </si>
  <si>
    <t>ヵ所</t>
  </si>
  <si>
    <t>壁面</t>
  </si>
  <si>
    <t>壁面</t>
    <phoneticPr fontId="3"/>
  </si>
  <si>
    <t>23175程度</t>
    <rPh sb="5" eb="7">
      <t>テイド</t>
    </rPh>
    <phoneticPr fontId="3"/>
  </si>
  <si>
    <t>2121602程度</t>
    <rPh sb="7" eb="9">
      <t>テイド</t>
    </rPh>
    <phoneticPr fontId="3"/>
  </si>
  <si>
    <t>内外装部分撤去</t>
    <phoneticPr fontId="3"/>
  </si>
  <si>
    <t>m2</t>
    <phoneticPr fontId="3"/>
  </si>
  <si>
    <t>石膏板・化粧石膏板・ロックウール</t>
    <phoneticPr fontId="3"/>
  </si>
  <si>
    <t>内外装部分撤去</t>
    <phoneticPr fontId="3"/>
  </si>
  <si>
    <t>壁タイル（下地共）</t>
    <phoneticPr fontId="3"/>
  </si>
  <si>
    <t>㎡</t>
    <phoneticPr fontId="3"/>
  </si>
  <si>
    <t>残材処分費</t>
    <phoneticPr fontId="3"/>
  </si>
  <si>
    <t>ｺﾝｸﾘｰﾄ類再生処理</t>
    <phoneticPr fontId="3"/>
  </si>
  <si>
    <t>ｔ</t>
    <phoneticPr fontId="3"/>
  </si>
  <si>
    <t>残材処分費</t>
    <phoneticPr fontId="3"/>
  </si>
  <si>
    <t>ガラスくず及び陶磁器くず</t>
    <phoneticPr fontId="3"/>
  </si>
  <si>
    <t>t</t>
    <phoneticPr fontId="3"/>
  </si>
  <si>
    <t>その他　せっこうﾎﾞｰﾄﾞ類</t>
    <phoneticPr fontId="3"/>
  </si>
  <si>
    <t>ｔ</t>
    <phoneticPr fontId="3"/>
  </si>
  <si>
    <t>廃プラスチック類・ゴムくず</t>
    <phoneticPr fontId="3"/>
  </si>
  <si>
    <t>ｔ</t>
    <phoneticPr fontId="3"/>
  </si>
  <si>
    <t>残材積込費加算</t>
    <phoneticPr fontId="3"/>
  </si>
  <si>
    <t>人力積込</t>
    <phoneticPr fontId="3"/>
  </si>
  <si>
    <t>t</t>
    <phoneticPr fontId="3"/>
  </si>
  <si>
    <t>残材運搬費　部分撤去用</t>
    <phoneticPr fontId="3"/>
  </si>
  <si>
    <t>２ｔ車（ｽｸﾗｯﾌﾟ用）</t>
    <phoneticPr fontId="3"/>
  </si>
  <si>
    <t>台</t>
    <phoneticPr fontId="3"/>
  </si>
  <si>
    <t>積込み費別途</t>
    <phoneticPr fontId="3"/>
  </si>
  <si>
    <t>残材運搬費 部分撤去用</t>
    <phoneticPr fontId="3"/>
  </si>
  <si>
    <t>２t車</t>
    <phoneticPr fontId="3"/>
  </si>
  <si>
    <t>台</t>
    <phoneticPr fontId="3"/>
  </si>
  <si>
    <t>積込み費別途</t>
    <phoneticPr fontId="3"/>
  </si>
  <si>
    <t>運搬費</t>
    <phoneticPr fontId="3"/>
  </si>
  <si>
    <t>材料運搬</t>
    <phoneticPr fontId="3"/>
  </si>
  <si>
    <t>（1Ａ）は不要</t>
    <phoneticPr fontId="3"/>
  </si>
  <si>
    <t>場内小運搬（ｶﾞﾗ運搬共）</t>
    <phoneticPr fontId="3"/>
  </si>
  <si>
    <t>t</t>
    <phoneticPr fontId="3"/>
  </si>
  <si>
    <t>距離ランクを記入</t>
    <phoneticPr fontId="3"/>
  </si>
  <si>
    <t>積算資料2020.5</t>
    <rPh sb="0" eb="2">
      <t>セキサン</t>
    </rPh>
    <rPh sb="2" eb="4">
      <t>シリョウ</t>
    </rPh>
    <phoneticPr fontId="3"/>
  </si>
  <si>
    <t>アルミ　26㎏</t>
    <phoneticPr fontId="3"/>
  </si>
  <si>
    <t>鉄　1159㎏　</t>
    <rPh sb="0" eb="1">
      <t>テツ</t>
    </rPh>
    <phoneticPr fontId="3"/>
  </si>
  <si>
    <t>ｔ</t>
    <phoneticPr fontId="3"/>
  </si>
  <si>
    <t>〃</t>
    <phoneticPr fontId="3"/>
  </si>
  <si>
    <t>費用</t>
  </si>
  <si>
    <t>※別紙工事管理シートによる、</t>
    <rPh sb="1" eb="3">
      <t>ベッシ</t>
    </rPh>
    <rPh sb="3" eb="5">
      <t>コウジ</t>
    </rPh>
    <rPh sb="5" eb="7">
      <t>カンリ</t>
    </rPh>
    <phoneticPr fontId="3"/>
  </si>
  <si>
    <t>材）+@1754*0.3</t>
  </si>
  <si>
    <t>労）@24700(タイル工)*1.2</t>
  </si>
  <si>
    <t>50二丁平　マスク張り 0.3m2</t>
  </si>
  <si>
    <t>50二丁平　マスク張り 0.3m2</t>
    <phoneticPr fontId="3"/>
  </si>
  <si>
    <t>式</t>
    <phoneticPr fontId="3"/>
  </si>
  <si>
    <t>材）+@246*0.3</t>
    <phoneticPr fontId="3"/>
  </si>
  <si>
    <t>労）@26200(左官)*1.23</t>
  </si>
  <si>
    <t>タイル下地  ユニットタイル張り 0.3m2</t>
  </si>
  <si>
    <t>タイル下地  ユニットタイル張り 0.3m2</t>
    <phoneticPr fontId="3"/>
  </si>
  <si>
    <t>(23039+23525)×2程度</t>
    <rPh sb="15" eb="17">
      <t>テイド</t>
    </rPh>
    <phoneticPr fontId="3"/>
  </si>
  <si>
    <t>軽鉄天井下地     JIS19型</t>
    <phoneticPr fontId="3"/>
  </si>
  <si>
    <t>振れ止め</t>
  </si>
  <si>
    <t>亜鉛</t>
  </si>
  <si>
    <t>ホーム階ふところ高1.0～3.0m　中階ふところ高1.5～3.0m</t>
  </si>
  <si>
    <t>別紙より</t>
    <rPh sb="0" eb="2">
      <t>ベッシ</t>
    </rPh>
    <phoneticPr fontId="3"/>
  </si>
  <si>
    <t>〃</t>
    <phoneticPr fontId="3"/>
  </si>
  <si>
    <t>〃</t>
    <phoneticPr fontId="3"/>
  </si>
  <si>
    <t>天井改良</t>
    <rPh sb="0" eb="2">
      <t>テンジョウ</t>
    </rPh>
    <rPh sb="2" eb="4">
      <t>カイリョウ</t>
    </rPh>
    <phoneticPr fontId="3"/>
  </si>
  <si>
    <t>図面・仕様書どおり</t>
    <rPh sb="0" eb="2">
      <t>ズメン</t>
    </rPh>
    <rPh sb="3" eb="6">
      <t>シヨウショ</t>
    </rPh>
    <phoneticPr fontId="3"/>
  </si>
  <si>
    <t>共通費共</t>
    <rPh sb="0" eb="3">
      <t>キョウツウヒ</t>
    </rPh>
    <rPh sb="3" eb="4">
      <t>トモ</t>
    </rPh>
    <phoneticPr fontId="3"/>
  </si>
  <si>
    <t>工事1</t>
    <rPh sb="0" eb="2">
      <t>コウジ</t>
    </rPh>
    <phoneticPr fontId="3"/>
  </si>
  <si>
    <t>改札機シート、コンパネ養生含む</t>
    <rPh sb="0" eb="2">
      <t>カイサツ</t>
    </rPh>
    <rPh sb="2" eb="3">
      <t>キ</t>
    </rPh>
    <rPh sb="11" eb="13">
      <t>ヨウジョウ</t>
    </rPh>
    <rPh sb="13" eb="14">
      <t>フク</t>
    </rPh>
    <phoneticPr fontId="3"/>
  </si>
  <si>
    <t>天井ｽﾊﾟﾝﾄﾞﾚﾙ再用</t>
  </si>
  <si>
    <t>取外し　W100</t>
  </si>
  <si>
    <t>㎡</t>
  </si>
  <si>
    <t>取付け　W100</t>
  </si>
  <si>
    <t>川﨑　宅二</t>
    <rPh sb="0" eb="2">
      <t>カワサキ</t>
    </rPh>
    <rPh sb="3" eb="5">
      <t>タクジ</t>
    </rPh>
    <phoneticPr fontId="3"/>
  </si>
  <si>
    <t>中西　孝雄</t>
    <rPh sb="0" eb="2">
      <t>ナカニシ</t>
    </rPh>
    <rPh sb="3" eb="5">
      <t>タカオ</t>
    </rPh>
    <phoneticPr fontId="3"/>
  </si>
  <si>
    <t>金属工事   見積り金額比較表</t>
    <rPh sb="0" eb="2">
      <t>キンゾク</t>
    </rPh>
    <phoneticPr fontId="3"/>
  </si>
  <si>
    <t>天井アルミスパンドレル</t>
    <rPh sb="0" eb="2">
      <t>テンジョウ</t>
    </rPh>
    <phoneticPr fontId="3"/>
  </si>
  <si>
    <t>A-BE</t>
    <phoneticPr fontId="3"/>
  </si>
  <si>
    <t>天井見切り</t>
    <rPh sb="0" eb="2">
      <t>テンジョウ</t>
    </rPh>
    <rPh sb="2" eb="4">
      <t>ミキ</t>
    </rPh>
    <phoneticPr fontId="3"/>
  </si>
  <si>
    <t>ｍ</t>
    <phoneticPr fontId="3"/>
  </si>
  <si>
    <t>天井アルミスパンドレル切り込み加工</t>
    <rPh sb="0" eb="2">
      <t>テンジョウ</t>
    </rPh>
    <rPh sb="11" eb="12">
      <t>キ</t>
    </rPh>
    <rPh sb="13" eb="14">
      <t>コ</t>
    </rPh>
    <rPh sb="15" eb="17">
      <t>カコウ</t>
    </rPh>
    <phoneticPr fontId="3"/>
  </si>
  <si>
    <t>単体照明器具　150×1235</t>
    <rPh sb="0" eb="2">
      <t>タンタイ</t>
    </rPh>
    <rPh sb="2" eb="4">
      <t>ショウメイ</t>
    </rPh>
    <rPh sb="4" eb="6">
      <t>キグ</t>
    </rPh>
    <phoneticPr fontId="3"/>
  </si>
  <si>
    <t>か所</t>
    <rPh sb="1" eb="2">
      <t>ショ</t>
    </rPh>
    <phoneticPr fontId="3"/>
  </si>
  <si>
    <t>照明器具　150×2500</t>
    <rPh sb="0" eb="2">
      <t>ショウメイ</t>
    </rPh>
    <rPh sb="2" eb="4">
      <t>キグ</t>
    </rPh>
    <phoneticPr fontId="3"/>
  </si>
  <si>
    <t>亜鉛  360 流し  金属板用</t>
  </si>
  <si>
    <t>亜鉛  360 流し  金属板用</t>
    <phoneticPr fontId="3"/>
  </si>
  <si>
    <t>m2</t>
    <phoneticPr fontId="3"/>
  </si>
  <si>
    <t>[標仕]屋内直張･金属板</t>
    <phoneticPr fontId="3"/>
  </si>
  <si>
    <t>亜鉛  単体照明器具用 150×1300</t>
  </si>
  <si>
    <t>亜鉛  単体照明器具用 150×1300</t>
    <phoneticPr fontId="3"/>
  </si>
  <si>
    <t>13041030参考</t>
    <rPh sb="8" eb="10">
      <t>サンコウ</t>
    </rPh>
    <phoneticPr fontId="3"/>
  </si>
  <si>
    <t>＠3,020+(＠3,020/3.2ｍ×2.1ｍ)</t>
    <phoneticPr fontId="3"/>
  </si>
  <si>
    <t>＠3,020-(＠3,020/3.2ｍ×0.3ｍ)</t>
    <phoneticPr fontId="3"/>
  </si>
  <si>
    <t>A:㈱オクジュー</t>
    <phoneticPr fontId="3"/>
  </si>
  <si>
    <t>B:㈱山本金属製作所</t>
    <rPh sb="3" eb="5">
      <t>ヤマモト</t>
    </rPh>
    <rPh sb="5" eb="7">
      <t>キンゾク</t>
    </rPh>
    <rPh sb="7" eb="10">
      <t>セイサクショ</t>
    </rPh>
    <phoneticPr fontId="3"/>
  </si>
  <si>
    <t>天井アルミスパンドレル</t>
    <phoneticPr fontId="3"/>
  </si>
  <si>
    <t>A-BE</t>
    <phoneticPr fontId="3"/>
  </si>
  <si>
    <t>㎡</t>
    <phoneticPr fontId="3"/>
  </si>
  <si>
    <t>見) ㈱オクジュー</t>
    <phoneticPr fontId="3"/>
  </si>
  <si>
    <t>天井見切り</t>
    <phoneticPr fontId="3"/>
  </si>
  <si>
    <t>A-BE</t>
    <phoneticPr fontId="3"/>
  </si>
  <si>
    <t>ｍ</t>
    <phoneticPr fontId="3"/>
  </si>
  <si>
    <t>見) ㈱オクジュー</t>
    <phoneticPr fontId="3"/>
  </si>
  <si>
    <t>天井アルミスパンドレル切り込み加工</t>
    <phoneticPr fontId="3"/>
  </si>
  <si>
    <t>単体照明器具　150×1235</t>
    <phoneticPr fontId="3"/>
  </si>
  <si>
    <t>か所</t>
    <phoneticPr fontId="3"/>
  </si>
  <si>
    <t>見) ㈱オクジュー</t>
    <phoneticPr fontId="3"/>
  </si>
  <si>
    <t>照明器具　150×2500</t>
    <phoneticPr fontId="3"/>
  </si>
  <si>
    <t>か所</t>
    <phoneticPr fontId="3"/>
  </si>
  <si>
    <t>見) ㈱オクジュー</t>
    <phoneticPr fontId="3"/>
  </si>
  <si>
    <t>D4201003</t>
    <phoneticPr fontId="3"/>
  </si>
  <si>
    <t>指名競争</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</si>
</sst>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176" formatCode=";;;"/>
    <numFmt numFmtId="177" formatCode="#,##0;&quot;△ &quot;#,##0"/>
    <numFmt numFmtId="178" formatCode="0&quot;A&quot;"/>
    <numFmt numFmtId="179" formatCode="#,##0_ "/>
    <numFmt numFmtId="180" formatCode="0_ "/>
    <numFmt numFmtId="181" formatCode="0;0;;@"/>
    <numFmt numFmtId="182" formatCode="&quot;◇&quot;@"/>
    <numFmt numFmtId="183" formatCode="General;\-General;"/>
    <numFmt numFmtId="184" formatCode="#,##0;&quot;△ &quot;#,##0;"/>
    <numFmt numFmtId="185" formatCode="0;&quot;△&quot;0;;"/>
    <numFmt numFmtId="186" formatCode="General;&quot;△&quot;General;"/>
    <numFmt numFmtId="187" formatCode="[$-411]ggge&quot;年&quot;m&quot;月&quot;d&quot;日&quot;;@"/>
    <numFmt numFmtId="188" formatCode="0.0"/>
    <numFmt numFmtId="189" formatCode="yyyy&quot;年&quot;m&quot;月&quot;d&quot;日&quot;;@"/>
    <numFmt numFmtId="190" formatCode="&quot;2018-&quot;####"/>
    <numFmt numFmtId="191" formatCode="0&quot;式&quot;"/>
    <numFmt numFmtId="192" formatCode="#,##0.0;[Red]\-#,##0.0"/>
    <numFmt numFmtId="193" formatCode="0.00_ "/>
    <numFmt numFmtId="194" formatCode="0.0_ "/>
    <numFmt numFmtId="195" formatCode="&quot;2020-&quot;####"/>
  </numFmts>
  <fonts count="85">
    <font>
      <sz val="11"/>
      <name val="ＭＳ Ｐゴシック"/>
      <family val="3"/>
      <charset val="128"/>
    </font>
    <font>
      <sz val="11"/>
      <color theme="1"/>
      <name val="ＭＳ Ｐゴシック"/>
      <family val="2"/>
      <charset val="128"/>
    </font>
    <font>
      <sz val="11"/>
      <name val="ＭＳ Ｐゴシック"/>
      <family val="3"/>
      <charset val="128"/>
    </font>
    <font>
      <sz val="6"/>
      <name val="ＭＳ Ｐゴシック"/>
      <family val="3"/>
      <charset val="128"/>
    </font>
    <font>
      <sz val="11"/>
      <name val="ＭＳ Ｐ明朝"/>
      <family val="1"/>
      <charset val="128"/>
    </font>
    <font>
      <sz val="10"/>
      <name val="ＭＳ Ｐ明朝"/>
      <family val="1"/>
      <charset val="128"/>
    </font>
    <font>
      <sz val="14"/>
      <color indexed="8"/>
      <name val="ＭＳ Ｐ明朝"/>
      <family val="1"/>
      <charset val="128"/>
    </font>
    <font>
      <b/>
      <sz val="14"/>
      <color indexed="8"/>
      <name val="ＭＳ Ｐ明朝"/>
      <family val="1"/>
      <charset val="128"/>
    </font>
    <font>
      <b/>
      <sz val="20"/>
      <color indexed="8"/>
      <name val="ＭＳ Ｐゴシック"/>
      <family val="3"/>
      <charset val="128"/>
    </font>
    <font>
      <sz val="8"/>
      <color indexed="8"/>
      <name val="ＭＳ Ｐ明朝"/>
      <family val="1"/>
      <charset val="128"/>
    </font>
    <font>
      <sz val="10"/>
      <color indexed="8"/>
      <name val="ＭＳ Ｐ明朝"/>
      <family val="1"/>
      <charset val="128"/>
    </font>
    <font>
      <sz val="10"/>
      <name val="ＭＳ Ｐゴシック"/>
      <family val="3"/>
      <charset val="128"/>
    </font>
    <font>
      <b/>
      <sz val="11"/>
      <color indexed="8"/>
      <name val="ＭＳ Ｐ明朝"/>
      <family val="1"/>
      <charset val="128"/>
    </font>
    <font>
      <sz val="12"/>
      <color indexed="8"/>
      <name val="ＭＳ Ｐ明朝"/>
      <family val="1"/>
      <charset val="128"/>
    </font>
    <font>
      <sz val="11"/>
      <color indexed="8"/>
      <name val="ＭＳ Ｐ明朝"/>
      <family val="1"/>
      <charset val="128"/>
    </font>
    <font>
      <sz val="16"/>
      <name val="ＭＳ Ｐ明朝"/>
      <family val="1"/>
      <charset val="128"/>
    </font>
    <font>
      <b/>
      <sz val="18"/>
      <color indexed="8"/>
      <name val="ＭＳ Ｐゴシック"/>
      <family val="3"/>
      <charset val="128"/>
    </font>
    <font>
      <sz val="24"/>
      <color indexed="8"/>
      <name val="ＭＳ ゴシック"/>
      <family val="3"/>
      <charset val="128"/>
    </font>
    <font>
      <sz val="13"/>
      <color indexed="8"/>
      <name val="ＭＳ Ｐ明朝"/>
      <family val="1"/>
      <charset val="128"/>
    </font>
    <font>
      <sz val="9"/>
      <name val="ＭＳ Ｐ明朝"/>
      <family val="1"/>
      <charset val="128"/>
    </font>
    <font>
      <b/>
      <sz val="11"/>
      <name val="ＭＳ Ｐゴシック"/>
      <family val="3"/>
      <charset val="128"/>
    </font>
    <font>
      <sz val="14"/>
      <name val="ＭＳ Ｐゴシック"/>
      <family val="3"/>
      <charset val="128"/>
    </font>
    <font>
      <b/>
      <u/>
      <sz val="11"/>
      <name val="ＭＳ Ｐゴシック"/>
      <family val="3"/>
      <charset val="128"/>
    </font>
    <font>
      <sz val="14"/>
      <name val="ＭＳ Ｐ明朝"/>
      <family val="1"/>
      <charset val="128"/>
    </font>
    <font>
      <sz val="9"/>
      <name val="ＭＳ Ｐゴシック"/>
      <family val="3"/>
      <charset val="128"/>
    </font>
    <font>
      <sz val="9"/>
      <color indexed="8"/>
      <name val="ＭＳ Ｐ明朝"/>
      <family val="1"/>
      <charset val="128"/>
    </font>
    <font>
      <i/>
      <sz val="9"/>
      <name val="ＭＳ Ｐゴシック"/>
      <family val="3"/>
      <charset val="128"/>
    </font>
    <font>
      <sz val="12"/>
      <name val="ＭＳ Ｐゴシック"/>
      <family val="3"/>
      <charset val="128"/>
    </font>
    <font>
      <sz val="12"/>
      <name val="ＭＳ Ｐ明朝"/>
      <family val="1"/>
      <charset val="128"/>
    </font>
    <font>
      <sz val="8"/>
      <name val="ＭＳ Ｐ明朝"/>
      <family val="1"/>
      <charset val="128"/>
    </font>
    <font>
      <sz val="11"/>
      <color indexed="10"/>
      <name val="ＭＳ Ｐ明朝"/>
      <family val="1"/>
      <charset val="128"/>
    </font>
    <font>
      <b/>
      <sz val="9"/>
      <name val="ＭＳ Ｐゴシック"/>
      <family val="3"/>
      <charset val="128"/>
    </font>
    <font>
      <sz val="8"/>
      <name val="ＭＳ Ｐゴシック"/>
      <family val="3"/>
      <charset val="128"/>
    </font>
    <font>
      <sz val="9"/>
      <color indexed="10"/>
      <name val="ＭＳ Ｐ明朝"/>
      <family val="1"/>
      <charset val="128"/>
    </font>
    <font>
      <sz val="11"/>
      <color rgb="FFFF0000"/>
      <name val="ＭＳ Ｐ明朝"/>
      <family val="1"/>
      <charset val="128"/>
    </font>
    <font>
      <b/>
      <sz val="11"/>
      <name val="ＭＳ Ｐ明朝"/>
      <family val="1"/>
      <charset val="128"/>
    </font>
    <font>
      <sz val="12"/>
      <name val="ＭＳ 明朝"/>
      <family val="1"/>
      <charset val="128"/>
    </font>
    <font>
      <sz val="11"/>
      <color rgb="FF00B050"/>
      <name val="ＭＳ Ｐ明朝"/>
      <family val="1"/>
      <charset val="128"/>
    </font>
    <font>
      <sz val="11"/>
      <color rgb="FF000000"/>
      <name val="ＭＳ Ｐ明朝"/>
      <family val="1"/>
      <charset val="128"/>
    </font>
    <font>
      <sz val="9"/>
      <color indexed="81"/>
      <name val="MS P ゴシック"/>
      <family val="3"/>
      <charset val="128"/>
    </font>
    <font>
      <b/>
      <sz val="9"/>
      <color indexed="81"/>
      <name val="MS P ゴシック"/>
      <family val="3"/>
      <charset val="128"/>
    </font>
    <font>
      <b/>
      <sz val="14"/>
      <color indexed="10"/>
      <name val="MS P ゴシック"/>
      <family val="3"/>
      <charset val="128"/>
    </font>
    <font>
      <sz val="12"/>
      <name val="ＭＳ Ｐゴシック"/>
      <family val="3"/>
      <charset val="128"/>
      <scheme val="minor"/>
    </font>
    <font>
      <sz val="20"/>
      <color indexed="8"/>
      <name val="ＭＳ Ｐ明朝"/>
      <family val="1"/>
      <charset val="128"/>
    </font>
    <font>
      <sz val="10"/>
      <color rgb="FF000000"/>
      <name val="ＭＳ Ｐゴシック"/>
      <family val="3"/>
      <charset val="128"/>
    </font>
    <font>
      <b/>
      <sz val="9"/>
      <color indexed="8"/>
      <name val="ＭＳ Ｐゴシック"/>
      <family val="3"/>
      <charset val="128"/>
    </font>
    <font>
      <sz val="11"/>
      <color theme="1"/>
      <name val="Meiryo UI"/>
      <family val="3"/>
      <charset val="128"/>
    </font>
    <font>
      <b/>
      <u/>
      <sz val="20"/>
      <color indexed="8"/>
      <name val="ＭＳ Ｐゴシック"/>
      <family val="3"/>
      <charset val="128"/>
    </font>
    <font>
      <b/>
      <u/>
      <sz val="10"/>
      <color indexed="8"/>
      <name val="ＭＳ Ｐ明朝"/>
      <family val="1"/>
      <charset val="128"/>
    </font>
    <font>
      <sz val="11"/>
      <color theme="1"/>
      <name val="ＭＳ Ｐゴシック"/>
      <family val="2"/>
      <charset val="128"/>
      <scheme val="minor"/>
    </font>
    <font>
      <sz val="6"/>
      <name val="ＭＳ Ｐゴシック"/>
      <family val="2"/>
      <charset val="128"/>
      <scheme val="minor"/>
    </font>
    <font>
      <sz val="11"/>
      <color theme="0"/>
      <name val="Meiryo UI"/>
      <family val="3"/>
      <charset val="128"/>
    </font>
    <font>
      <sz val="12"/>
      <color theme="0"/>
      <name val="Meiryo UI"/>
      <family val="3"/>
      <charset val="128"/>
    </font>
    <font>
      <b/>
      <sz val="12"/>
      <color indexed="8"/>
      <name val="ＭＳ Ｐ明朝"/>
      <family val="1"/>
      <charset val="128"/>
    </font>
    <font>
      <b/>
      <sz val="10"/>
      <color indexed="8"/>
      <name val="ＭＳ Ｐ明朝"/>
      <family val="1"/>
      <charset val="128"/>
    </font>
    <font>
      <sz val="10"/>
      <color rgb="FFFF0000"/>
      <name val="ＭＳ Ｐ明朝"/>
      <family val="1"/>
      <charset val="128"/>
    </font>
    <font>
      <sz val="10"/>
      <color theme="0"/>
      <name val="ＭＳ Ｐ明朝"/>
      <family val="1"/>
      <charset val="128"/>
    </font>
    <font>
      <sz val="10"/>
      <color rgb="FF7030A0"/>
      <name val="ＭＳ Ｐ明朝"/>
      <family val="1"/>
      <charset val="128"/>
    </font>
    <font>
      <sz val="10"/>
      <color rgb="FF00B050"/>
      <name val="ＭＳ Ｐ明朝"/>
      <family val="1"/>
      <charset val="128"/>
    </font>
    <font>
      <b/>
      <sz val="10"/>
      <name val="ＭＳ Ｐ明朝"/>
      <family val="1"/>
      <charset val="128"/>
    </font>
    <font>
      <b/>
      <sz val="11"/>
      <color rgb="FF00B050"/>
      <name val="ＭＳ Ｐ明朝"/>
      <family val="1"/>
      <charset val="128"/>
    </font>
    <font>
      <b/>
      <sz val="10"/>
      <color rgb="FF00B050"/>
      <name val="ＭＳ Ｐ明朝"/>
      <family val="1"/>
      <charset val="128"/>
    </font>
    <font>
      <sz val="9"/>
      <color rgb="FF00B050"/>
      <name val="ＭＳ Ｐ明朝"/>
      <family val="1"/>
      <charset val="128"/>
    </font>
    <font>
      <sz val="10"/>
      <color indexed="10"/>
      <name val="ＭＳ Ｐ明朝"/>
      <family val="1"/>
      <charset val="128"/>
    </font>
    <font>
      <sz val="10"/>
      <color indexed="17"/>
      <name val="ＭＳ Ｐ明朝"/>
      <family val="1"/>
      <charset val="128"/>
    </font>
    <font>
      <sz val="8"/>
      <color rgb="FFFF0000"/>
      <name val="ＭＳ Ｐ明朝"/>
      <family val="1"/>
      <charset val="128"/>
    </font>
    <font>
      <b/>
      <sz val="9"/>
      <name val="ＭＳ Ｐ明朝"/>
      <family val="1"/>
      <charset val="128"/>
    </font>
    <font>
      <b/>
      <sz val="9"/>
      <color indexed="81"/>
      <name val="ＭＳ Ｐゴシック"/>
      <family val="3"/>
      <charset val="128"/>
    </font>
    <font>
      <sz val="9"/>
      <color indexed="81"/>
      <name val="ＭＳ Ｐゴシック"/>
      <family val="3"/>
      <charset val="128"/>
    </font>
    <font>
      <b/>
      <sz val="11"/>
      <color indexed="10"/>
      <name val="ＭＳ Ｐ明朝"/>
      <family val="1"/>
      <charset val="128"/>
    </font>
    <font>
      <sz val="10"/>
      <color indexed="9"/>
      <name val="ＭＳ Ｐ明朝"/>
      <family val="1"/>
      <charset val="128"/>
    </font>
    <font>
      <sz val="9"/>
      <color rgb="FF7030A0"/>
      <name val="ＭＳ Ｐ明朝"/>
      <family val="1"/>
      <charset val="128"/>
    </font>
    <font>
      <sz val="10"/>
      <color indexed="36"/>
      <name val="ＭＳ Ｐ明朝"/>
      <family val="1"/>
      <charset val="128"/>
    </font>
    <font>
      <b/>
      <sz val="10"/>
      <color indexed="10"/>
      <name val="ＭＳ Ｐ明朝"/>
      <family val="1"/>
      <charset val="128"/>
    </font>
    <font>
      <b/>
      <sz val="11"/>
      <color indexed="12"/>
      <name val="ＭＳ Ｐ明朝"/>
      <family val="1"/>
      <charset val="128"/>
    </font>
    <font>
      <sz val="9"/>
      <color rgb="FF0070C0"/>
      <name val="ＭＳ Ｐ明朝"/>
      <family val="1"/>
      <charset val="128"/>
    </font>
    <font>
      <sz val="9"/>
      <color rgb="FFFF0000"/>
      <name val="ＭＳ Ｐ明朝"/>
      <family val="1"/>
      <charset val="128"/>
    </font>
    <font>
      <b/>
      <sz val="10"/>
      <color theme="0"/>
      <name val="ＭＳ Ｐ明朝"/>
      <family val="1"/>
      <charset val="128"/>
    </font>
    <font>
      <sz val="9"/>
      <color theme="0"/>
      <name val="ＭＳ Ｐ明朝"/>
      <family val="1"/>
      <charset val="128"/>
    </font>
    <font>
      <sz val="8"/>
      <color theme="0"/>
      <name val="ＭＳ Ｐ明朝"/>
      <family val="1"/>
      <charset val="128"/>
    </font>
    <font>
      <b/>
      <sz val="9"/>
      <color theme="0"/>
      <name val="ＭＳ Ｐ明朝"/>
      <family val="1"/>
      <charset val="128"/>
    </font>
    <font>
      <sz val="10"/>
      <color rgb="FF0070C0"/>
      <name val="ＭＳ Ｐ明朝"/>
      <family val="1"/>
      <charset val="128"/>
    </font>
    <font>
      <b/>
      <sz val="12"/>
      <color rgb="FF0070C0"/>
      <name val="ＭＳ Ｐ明朝"/>
      <family val="1"/>
      <charset val="128"/>
    </font>
    <font>
      <b/>
      <sz val="11"/>
      <color rgb="FF0070C0"/>
      <name val="ＭＳ Ｐ明朝"/>
      <family val="1"/>
      <charset val="128"/>
    </font>
    <font>
      <b/>
      <sz val="10"/>
      <color rgb="FF0070C0"/>
      <name val="ＭＳ Ｐ明朝"/>
      <family val="1"/>
      <charset val="128"/>
    </font>
  </fonts>
  <fills count="36">
    <fill>
      <patternFill patternType="none"/>
    </fill>
    <fill>
      <patternFill patternType="gray125"/>
    </fill>
    <fill>
      <patternFill patternType="solid">
        <fgColor indexed="43"/>
        <bgColor indexed="64"/>
      </patternFill>
    </fill>
    <fill>
      <patternFill patternType="solid">
        <fgColor indexed="11"/>
        <bgColor indexed="64"/>
      </patternFill>
    </fill>
    <fill>
      <patternFill patternType="solid">
        <fgColor indexed="47"/>
        <bgColor indexed="64"/>
      </patternFill>
    </fill>
    <fill>
      <patternFill patternType="solid">
        <fgColor indexed="45"/>
        <bgColor indexed="64"/>
      </patternFill>
    </fill>
    <fill>
      <patternFill patternType="solid">
        <fgColor indexed="10"/>
        <bgColor indexed="64"/>
      </patternFill>
    </fill>
    <fill>
      <patternFill patternType="mediumGray">
        <fgColor indexed="43"/>
      </patternFill>
    </fill>
    <fill>
      <patternFill patternType="lightGray">
        <fgColor indexed="45"/>
      </patternFill>
    </fill>
    <fill>
      <patternFill patternType="lightHorizontal">
        <fgColor indexed="42"/>
      </patternFill>
    </fill>
    <fill>
      <patternFill patternType="lightGray">
        <fgColor indexed="51"/>
      </patternFill>
    </fill>
    <fill>
      <patternFill patternType="gray125">
        <fgColor indexed="11"/>
      </patternFill>
    </fill>
    <fill>
      <patternFill patternType="solid">
        <fgColor indexed="42"/>
        <bgColor indexed="64"/>
      </patternFill>
    </fill>
    <fill>
      <patternFill patternType="solid">
        <fgColor rgb="FF00FF00"/>
        <bgColor indexed="64"/>
      </patternFill>
    </fill>
    <fill>
      <patternFill patternType="solid">
        <fgColor theme="9" tint="0.79998168889431442"/>
        <bgColor indexed="64"/>
      </patternFill>
    </fill>
    <fill>
      <patternFill patternType="solid">
        <fgColor rgb="FFCC66FF"/>
        <bgColor indexed="64"/>
      </patternFill>
    </fill>
    <fill>
      <patternFill patternType="solid">
        <fgColor theme="8"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rgb="FFFFFF99"/>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0" tint="-0.14999847407452621"/>
        <bgColor indexed="64"/>
      </patternFill>
    </fill>
    <fill>
      <patternFill patternType="solid">
        <fgColor theme="1"/>
        <bgColor indexed="64"/>
      </patternFill>
    </fill>
    <fill>
      <patternFill patternType="solid">
        <fgColor rgb="FF00B0F0"/>
        <bgColor indexed="64"/>
      </patternFill>
    </fill>
    <fill>
      <patternFill patternType="solid">
        <fgColor indexed="9"/>
        <bgColor indexed="64"/>
      </patternFill>
    </fill>
    <fill>
      <patternFill patternType="solid">
        <fgColor rgb="FFCCFFCC"/>
        <bgColor indexed="64"/>
      </patternFill>
    </fill>
    <fill>
      <patternFill patternType="solid">
        <fgColor rgb="FFCCFF99"/>
        <bgColor indexed="64"/>
      </patternFill>
    </fill>
    <fill>
      <patternFill patternType="solid">
        <fgColor rgb="FFCCFF99"/>
        <bgColor rgb="FF000000"/>
      </patternFill>
    </fill>
    <fill>
      <patternFill patternType="solid">
        <fgColor indexed="46"/>
        <bgColor indexed="64"/>
      </patternFill>
    </fill>
    <fill>
      <patternFill patternType="solid">
        <fgColor rgb="FF92D050"/>
        <bgColor indexed="64"/>
      </patternFill>
    </fill>
    <fill>
      <patternFill patternType="solid">
        <fgColor rgb="FFFFC000"/>
        <bgColor indexed="64"/>
      </patternFill>
    </fill>
    <fill>
      <patternFill patternType="solid">
        <fgColor theme="9" tint="0.59999389629810485"/>
        <bgColor indexed="64"/>
      </patternFill>
    </fill>
    <fill>
      <patternFill patternType="solid">
        <fgColor rgb="FFD985FF"/>
        <bgColor indexed="64"/>
      </patternFill>
    </fill>
  </fills>
  <borders count="326">
    <border>
      <left/>
      <right/>
      <top/>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top/>
      <bottom style="medium">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double">
        <color indexed="64"/>
      </right>
      <top style="double">
        <color indexed="64"/>
      </top>
      <bottom style="medium">
        <color indexed="64"/>
      </bottom>
      <diagonal/>
    </border>
    <border>
      <left style="medium">
        <color indexed="64"/>
      </left>
      <right style="dotted">
        <color indexed="64"/>
      </right>
      <top style="medium">
        <color indexed="64"/>
      </top>
      <bottom style="hair">
        <color indexed="64"/>
      </bottom>
      <diagonal/>
    </border>
    <border>
      <left style="medium">
        <color indexed="64"/>
      </left>
      <right style="dotted">
        <color indexed="64"/>
      </right>
      <top style="hair">
        <color indexed="64"/>
      </top>
      <bottom style="hair">
        <color indexed="64"/>
      </bottom>
      <diagonal/>
    </border>
    <border>
      <left style="medium">
        <color indexed="64"/>
      </left>
      <right style="dotted">
        <color indexed="64"/>
      </right>
      <top style="hair">
        <color indexed="64"/>
      </top>
      <bottom style="double">
        <color indexed="64"/>
      </bottom>
      <diagonal/>
    </border>
    <border>
      <left style="thin">
        <color indexed="64"/>
      </left>
      <right style="hair">
        <color indexed="64"/>
      </right>
      <top style="medium">
        <color indexed="64"/>
      </top>
      <bottom/>
      <diagonal/>
    </border>
    <border>
      <left style="thin">
        <color indexed="64"/>
      </left>
      <right style="hair">
        <color indexed="64"/>
      </right>
      <top/>
      <bottom style="medium">
        <color indexed="64"/>
      </bottom>
      <diagonal/>
    </border>
    <border>
      <left style="thin">
        <color indexed="64"/>
      </left>
      <right style="hair">
        <color indexed="64"/>
      </right>
      <top style="medium">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double">
        <color indexed="64"/>
      </bottom>
      <diagonal/>
    </border>
    <border>
      <left style="double">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double">
        <color indexed="64"/>
      </left>
      <right style="hair">
        <color indexed="64"/>
      </right>
      <top style="medium">
        <color indexed="64"/>
      </top>
      <bottom style="hair">
        <color indexed="64"/>
      </bottom>
      <diagonal/>
    </border>
    <border>
      <left style="hair">
        <color indexed="64"/>
      </left>
      <right style="thin">
        <color indexed="64"/>
      </right>
      <top style="medium">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double">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double">
        <color indexed="64"/>
      </left>
      <right style="hair">
        <color indexed="64"/>
      </right>
      <top style="double">
        <color indexed="64"/>
      </top>
      <bottom style="medium">
        <color indexed="64"/>
      </bottom>
      <diagonal/>
    </border>
    <border>
      <left style="hair">
        <color indexed="64"/>
      </left>
      <right style="thin">
        <color indexed="64"/>
      </right>
      <top style="double">
        <color indexed="64"/>
      </top>
      <bottom style="medium">
        <color indexed="64"/>
      </bottom>
      <diagonal/>
    </border>
    <border>
      <left style="thin">
        <color indexed="64"/>
      </left>
      <right style="hair">
        <color indexed="64"/>
      </right>
      <top style="hair">
        <color indexed="64"/>
      </top>
      <bottom style="medium">
        <color indexed="64"/>
      </bottom>
      <diagonal/>
    </border>
    <border>
      <left style="thin">
        <color indexed="64"/>
      </left>
      <right style="hair">
        <color indexed="64"/>
      </right>
      <top style="double">
        <color indexed="64"/>
      </top>
      <bottom style="medium">
        <color indexed="64"/>
      </bottom>
      <diagonal/>
    </border>
    <border>
      <left/>
      <right/>
      <top style="hair">
        <color indexed="8"/>
      </top>
      <bottom style="hair">
        <color indexed="8"/>
      </bottom>
      <diagonal/>
    </border>
    <border>
      <left/>
      <right style="medium">
        <color indexed="8"/>
      </right>
      <top style="hair">
        <color indexed="8"/>
      </top>
      <bottom style="hair">
        <color indexed="8"/>
      </bottom>
      <diagonal/>
    </border>
    <border>
      <left style="hair">
        <color indexed="8"/>
      </left>
      <right style="hair">
        <color indexed="8"/>
      </right>
      <top style="medium">
        <color indexed="8"/>
      </top>
      <bottom style="hair">
        <color indexed="8"/>
      </bottom>
      <diagonal/>
    </border>
    <border>
      <left style="dotted">
        <color indexed="64"/>
      </left>
      <right/>
      <top style="medium">
        <color indexed="64"/>
      </top>
      <bottom style="hair">
        <color indexed="64"/>
      </bottom>
      <diagonal/>
    </border>
    <border>
      <left style="dotted">
        <color indexed="64"/>
      </left>
      <right/>
      <top style="hair">
        <color indexed="64"/>
      </top>
      <bottom style="hair">
        <color indexed="64"/>
      </bottom>
      <diagonal/>
    </border>
    <border>
      <left style="dotted">
        <color indexed="64"/>
      </left>
      <right/>
      <top style="hair">
        <color indexed="64"/>
      </top>
      <bottom style="double">
        <color indexed="64"/>
      </bottom>
      <diagonal/>
    </border>
    <border>
      <left/>
      <right style="double">
        <color indexed="64"/>
      </right>
      <top style="medium">
        <color indexed="64"/>
      </top>
      <bottom/>
      <diagonal/>
    </border>
    <border>
      <left/>
      <right style="double">
        <color indexed="64"/>
      </right>
      <top/>
      <bottom style="medium">
        <color indexed="64"/>
      </bottom>
      <diagonal/>
    </border>
    <border>
      <left/>
      <right style="double">
        <color indexed="64"/>
      </right>
      <top style="medium">
        <color indexed="64"/>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double">
        <color indexed="64"/>
      </bottom>
      <diagonal/>
    </border>
    <border>
      <left style="hair">
        <color indexed="64"/>
      </left>
      <right/>
      <top style="medium">
        <color indexed="64"/>
      </top>
      <bottom/>
      <diagonal/>
    </border>
    <border>
      <left style="hair">
        <color indexed="64"/>
      </left>
      <right/>
      <top/>
      <bottom style="medium">
        <color indexed="64"/>
      </bottom>
      <diagonal/>
    </border>
    <border>
      <left style="hair">
        <color indexed="64"/>
      </left>
      <right/>
      <top style="medium">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double">
        <color indexed="64"/>
      </bottom>
      <diagonal/>
    </border>
    <border>
      <left style="hair">
        <color indexed="64"/>
      </left>
      <right style="double">
        <color indexed="64"/>
      </right>
      <top style="medium">
        <color indexed="64"/>
      </top>
      <bottom style="hair">
        <color indexed="64"/>
      </bottom>
      <diagonal/>
    </border>
    <border>
      <left style="hair">
        <color indexed="64"/>
      </left>
      <right style="double">
        <color indexed="64"/>
      </right>
      <top style="hair">
        <color indexed="64"/>
      </top>
      <bottom style="hair">
        <color indexed="64"/>
      </bottom>
      <diagonal/>
    </border>
    <border>
      <left style="hair">
        <color indexed="64"/>
      </left>
      <right style="double">
        <color indexed="64"/>
      </right>
      <top style="hair">
        <color indexed="64"/>
      </top>
      <bottom style="double">
        <color indexed="64"/>
      </bottom>
      <diagonal/>
    </border>
    <border>
      <left style="hair">
        <color indexed="64"/>
      </left>
      <right style="double">
        <color indexed="64"/>
      </right>
      <top style="double">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medium">
        <color indexed="64"/>
      </bottom>
      <diagonal/>
    </border>
    <border>
      <left style="hair">
        <color indexed="8"/>
      </left>
      <right style="hair">
        <color indexed="8"/>
      </right>
      <top/>
      <bottom style="hair">
        <color indexed="8"/>
      </bottom>
      <diagonal/>
    </border>
    <border>
      <left style="medium">
        <color indexed="8"/>
      </left>
      <right/>
      <top style="medium">
        <color indexed="8"/>
      </top>
      <bottom style="hair">
        <color indexed="8"/>
      </bottom>
      <diagonal/>
    </border>
    <border>
      <left/>
      <right/>
      <top style="medium">
        <color indexed="8"/>
      </top>
      <bottom style="hair">
        <color indexed="8"/>
      </bottom>
      <diagonal/>
    </border>
    <border>
      <left/>
      <right style="medium">
        <color indexed="8"/>
      </right>
      <top style="medium">
        <color indexed="8"/>
      </top>
      <bottom style="hair">
        <color indexed="8"/>
      </bottom>
      <diagonal/>
    </border>
    <border>
      <left style="dotted">
        <color indexed="64"/>
      </left>
      <right style="dotted">
        <color indexed="64"/>
      </right>
      <top style="medium">
        <color indexed="64"/>
      </top>
      <bottom style="hair">
        <color indexed="64"/>
      </bottom>
      <diagonal/>
    </border>
    <border>
      <left style="dotted">
        <color indexed="64"/>
      </left>
      <right style="dotted">
        <color indexed="64"/>
      </right>
      <top style="hair">
        <color indexed="64"/>
      </top>
      <bottom style="hair">
        <color indexed="64"/>
      </bottom>
      <diagonal/>
    </border>
    <border>
      <left style="dotted">
        <color indexed="64"/>
      </left>
      <right style="dotted">
        <color indexed="64"/>
      </right>
      <top style="hair">
        <color indexed="64"/>
      </top>
      <bottom style="double">
        <color indexed="64"/>
      </bottom>
      <diagonal/>
    </border>
    <border>
      <left/>
      <right/>
      <top style="hair">
        <color indexed="8"/>
      </top>
      <bottom style="medium">
        <color indexed="8"/>
      </bottom>
      <diagonal/>
    </border>
    <border>
      <left style="thick">
        <color indexed="64"/>
      </left>
      <right style="thick">
        <color indexed="64"/>
      </right>
      <top/>
      <bottom/>
      <diagonal/>
    </border>
    <border>
      <left/>
      <right/>
      <top/>
      <bottom style="hair">
        <color indexed="8"/>
      </bottom>
      <diagonal/>
    </border>
    <border>
      <left/>
      <right style="medium">
        <color indexed="8"/>
      </right>
      <top/>
      <bottom style="hair">
        <color indexed="8"/>
      </bottom>
      <diagonal/>
    </border>
    <border>
      <left style="medium">
        <color indexed="8"/>
      </left>
      <right/>
      <top/>
      <bottom style="hair">
        <color indexed="8"/>
      </bottom>
      <diagonal/>
    </border>
    <border>
      <left style="medium">
        <color indexed="8"/>
      </left>
      <right/>
      <top style="hair">
        <color indexed="8"/>
      </top>
      <bottom style="hair">
        <color indexed="8"/>
      </bottom>
      <diagonal/>
    </border>
    <border>
      <left style="hair">
        <color indexed="8"/>
      </left>
      <right style="hair">
        <color indexed="8"/>
      </right>
      <top style="hair">
        <color indexed="8"/>
      </top>
      <bottom style="hair">
        <color indexed="8"/>
      </bottom>
      <diagonal/>
    </border>
    <border>
      <left style="medium">
        <color indexed="8"/>
      </left>
      <right/>
      <top style="hair">
        <color indexed="8"/>
      </top>
      <bottom style="medium">
        <color indexed="8"/>
      </bottom>
      <diagonal/>
    </border>
    <border>
      <left style="hair">
        <color indexed="8"/>
      </left>
      <right style="hair">
        <color indexed="8"/>
      </right>
      <top style="hair">
        <color indexed="8"/>
      </top>
      <bottom style="medium">
        <color indexed="8"/>
      </bottom>
      <diagonal/>
    </border>
    <border>
      <left/>
      <right style="medium">
        <color indexed="8"/>
      </right>
      <top style="hair">
        <color indexed="8"/>
      </top>
      <bottom style="medium">
        <color indexed="8"/>
      </bottom>
      <diagonal/>
    </border>
    <border>
      <left/>
      <right style="hair">
        <color indexed="8"/>
      </right>
      <top style="hair">
        <color indexed="8"/>
      </top>
      <bottom style="hair">
        <color indexed="8"/>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hair">
        <color indexed="64"/>
      </left>
      <right/>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double">
        <color indexed="64"/>
      </left>
      <right style="dotted">
        <color indexed="64"/>
      </right>
      <top style="medium">
        <color indexed="64"/>
      </top>
      <bottom/>
      <diagonal/>
    </border>
    <border>
      <left style="dotted">
        <color indexed="64"/>
      </left>
      <right style="hair">
        <color indexed="64"/>
      </right>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double">
        <color indexed="64"/>
      </left>
      <right style="dotted">
        <color indexed="64"/>
      </right>
      <top/>
      <bottom style="medium">
        <color indexed="64"/>
      </bottom>
      <diagonal/>
    </border>
    <border>
      <left/>
      <right style="hair">
        <color indexed="64"/>
      </right>
      <top/>
      <bottom style="medium">
        <color indexed="64"/>
      </bottom>
      <diagonal/>
    </border>
    <border>
      <left style="double">
        <color indexed="64"/>
      </left>
      <right style="medium">
        <color indexed="64"/>
      </right>
      <top style="hair">
        <color indexed="64"/>
      </top>
      <bottom style="medium">
        <color indexed="64"/>
      </bottom>
      <diagonal/>
    </border>
    <border>
      <left style="dotted">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thin">
        <color indexed="64"/>
      </left>
      <right/>
      <top style="medium">
        <color indexed="64"/>
      </top>
      <bottom style="hair">
        <color indexed="64"/>
      </bottom>
      <diagonal/>
    </border>
    <border>
      <left style="double">
        <color indexed="64"/>
      </left>
      <right style="dotted">
        <color indexed="64"/>
      </right>
      <top style="medium">
        <color indexed="64"/>
      </top>
      <bottom style="hair">
        <color indexed="64"/>
      </bottom>
      <diagonal/>
    </border>
    <border>
      <left style="double">
        <color indexed="64"/>
      </left>
      <right style="medium">
        <color indexed="64"/>
      </right>
      <top style="medium">
        <color indexed="64"/>
      </top>
      <bottom style="hair">
        <color indexed="64"/>
      </bottom>
      <diagonal/>
    </border>
    <border>
      <left style="dotted">
        <color indexed="64"/>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style="double">
        <color indexed="64"/>
      </left>
      <right style="dotted">
        <color indexed="64"/>
      </right>
      <top style="hair">
        <color indexed="64"/>
      </top>
      <bottom style="hair">
        <color indexed="64"/>
      </bottom>
      <diagonal/>
    </border>
    <border>
      <left style="double">
        <color indexed="64"/>
      </left>
      <right style="medium">
        <color indexed="64"/>
      </right>
      <top style="hair">
        <color indexed="64"/>
      </top>
      <bottom style="hair">
        <color indexed="64"/>
      </bottom>
      <diagonal/>
    </border>
    <border>
      <left style="medium">
        <color indexed="64"/>
      </left>
      <right style="dotted">
        <color indexed="64"/>
      </right>
      <top style="hair">
        <color indexed="64"/>
      </top>
      <bottom style="medium">
        <color indexed="64"/>
      </bottom>
      <diagonal/>
    </border>
    <border>
      <left style="dotted">
        <color indexed="64"/>
      </left>
      <right style="dotted">
        <color indexed="64"/>
      </right>
      <top style="hair">
        <color indexed="64"/>
      </top>
      <bottom style="medium">
        <color indexed="64"/>
      </bottom>
      <diagonal/>
    </border>
    <border>
      <left style="dotted">
        <color indexed="64"/>
      </left>
      <right/>
      <top style="hair">
        <color indexed="64"/>
      </top>
      <bottom style="medium">
        <color indexed="64"/>
      </bottom>
      <diagonal/>
    </border>
    <border>
      <left style="dotted">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double">
        <color indexed="64"/>
      </left>
      <right style="dotted">
        <color indexed="64"/>
      </right>
      <top style="hair">
        <color indexed="64"/>
      </top>
      <bottom style="medium">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thin">
        <color indexed="64"/>
      </right>
      <top style="hair">
        <color indexed="64"/>
      </top>
      <bottom/>
      <diagonal/>
    </border>
    <border>
      <left/>
      <right style="thin">
        <color indexed="64"/>
      </right>
      <top style="thin">
        <color indexed="64"/>
      </top>
      <bottom style="thin">
        <color indexed="64"/>
      </bottom>
      <diagonal/>
    </border>
    <border>
      <left/>
      <right/>
      <top style="medium">
        <color indexed="64"/>
      </top>
      <bottom style="hair">
        <color indexed="64"/>
      </bottom>
      <diagonal/>
    </border>
    <border>
      <left style="medium">
        <color indexed="64"/>
      </left>
      <right/>
      <top style="medium">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style="thin">
        <color indexed="64"/>
      </left>
      <right style="thin">
        <color indexed="64"/>
      </right>
      <top style="hair">
        <color indexed="64"/>
      </top>
      <bottom/>
      <diagonal/>
    </border>
    <border>
      <left style="dotted">
        <color indexed="64"/>
      </left>
      <right style="hair">
        <color indexed="64"/>
      </right>
      <top style="medium">
        <color indexed="64"/>
      </top>
      <bottom/>
      <diagonal/>
    </border>
    <border>
      <left style="hair">
        <color indexed="64"/>
      </left>
      <right style="thin">
        <color indexed="64"/>
      </right>
      <top style="medium">
        <color indexed="64"/>
      </top>
      <bottom/>
      <diagonal/>
    </border>
    <border>
      <left/>
      <right style="hair">
        <color indexed="64"/>
      </right>
      <top style="medium">
        <color indexed="64"/>
      </top>
      <bottom/>
      <diagonal/>
    </border>
    <border>
      <left style="hair">
        <color indexed="64"/>
      </left>
      <right style="hair">
        <color indexed="64"/>
      </right>
      <top style="medium">
        <color indexed="64"/>
      </top>
      <bottom/>
      <diagonal/>
    </border>
    <border>
      <left style="double">
        <color indexed="64"/>
      </left>
      <right style="medium">
        <color indexed="64"/>
      </right>
      <top style="medium">
        <color indexed="64"/>
      </top>
      <bottom/>
      <diagonal/>
    </border>
    <border>
      <left style="hair">
        <color indexed="64"/>
      </left>
      <right style="hair">
        <color indexed="64"/>
      </right>
      <top/>
      <bottom style="medium">
        <color indexed="64"/>
      </bottom>
      <diagonal/>
    </border>
    <border>
      <left style="hair">
        <color indexed="64"/>
      </left>
      <right style="thin">
        <color indexed="64"/>
      </right>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8"/>
      </left>
      <right/>
      <top style="medium">
        <color indexed="8"/>
      </top>
      <bottom style="hair">
        <color indexed="8"/>
      </bottom>
      <diagonal/>
    </border>
    <border>
      <left/>
      <right/>
      <top/>
      <bottom style="medium">
        <color indexed="8"/>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hair">
        <color indexed="8"/>
      </left>
      <right/>
      <top style="hair">
        <color indexed="8"/>
      </top>
      <bottom style="hair">
        <color indexed="8"/>
      </bottom>
      <diagonal/>
    </border>
    <border>
      <left style="double">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double">
        <color indexed="64"/>
      </right>
      <top style="medium">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top/>
      <bottom style="hair">
        <color indexed="64"/>
      </bottom>
      <diagonal/>
    </border>
    <border>
      <left/>
      <right/>
      <top/>
      <bottom style="hair">
        <color indexed="64"/>
      </bottom>
      <diagonal/>
    </border>
    <border>
      <left/>
      <right/>
      <top style="hair">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top/>
      <bottom style="medium">
        <color indexed="64"/>
      </bottom>
      <diagonal/>
    </border>
    <border>
      <left/>
      <right style="thin">
        <color indexed="64"/>
      </right>
      <top style="medium">
        <color indexed="64"/>
      </top>
      <bottom style="hair">
        <color indexed="64"/>
      </bottom>
      <diagonal/>
    </border>
    <border>
      <left style="double">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hair">
        <color indexed="64"/>
      </left>
      <right/>
      <top style="hair">
        <color indexed="64"/>
      </top>
      <bottom/>
      <diagonal/>
    </border>
    <border>
      <left/>
      <right style="thin">
        <color indexed="64"/>
      </right>
      <top style="hair">
        <color indexed="64"/>
      </top>
      <bottom/>
      <diagonal/>
    </border>
    <border>
      <left style="double">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top style="dotted">
        <color indexed="64"/>
      </top>
      <bottom style="dotted">
        <color indexed="64"/>
      </bottom>
      <diagonal/>
    </border>
    <border>
      <left/>
      <right style="double">
        <color indexed="64"/>
      </right>
      <top style="thin">
        <color indexed="64"/>
      </top>
      <bottom style="thin">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thin">
        <color indexed="64"/>
      </top>
      <bottom style="hair">
        <color indexed="64"/>
      </bottom>
      <diagonal/>
    </border>
    <border>
      <left style="medium">
        <color indexed="8"/>
      </left>
      <right/>
      <top/>
      <bottom/>
      <diagonal/>
    </border>
    <border>
      <left/>
      <right/>
      <top/>
      <bottom style="medium">
        <color auto="1"/>
      </bottom>
      <diagonal/>
    </border>
    <border>
      <left/>
      <right/>
      <top style="medium">
        <color auto="1"/>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hair">
        <color indexed="64"/>
      </left>
      <right style="hair">
        <color indexed="64"/>
      </right>
      <top style="thin">
        <color indexed="64"/>
      </top>
      <bottom/>
      <diagonal/>
    </border>
    <border>
      <left/>
      <right style="hair">
        <color indexed="64"/>
      </right>
      <top style="thin">
        <color indexed="64"/>
      </top>
      <bottom style="hair">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right style="hair">
        <color indexed="64"/>
      </right>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right style="hair">
        <color indexed="64"/>
      </right>
      <top style="thin">
        <color indexed="64"/>
      </top>
      <bottom style="thin">
        <color indexed="64"/>
      </bottom>
      <diagonal/>
    </border>
    <border>
      <left/>
      <right style="hair">
        <color indexed="64"/>
      </right>
      <top style="thin">
        <color indexed="64"/>
      </top>
      <bottom style="double">
        <color indexed="64"/>
      </bottom>
      <diagonal/>
    </border>
    <border>
      <left/>
      <right style="hair">
        <color indexed="64"/>
      </right>
      <top style="double">
        <color indexed="64"/>
      </top>
      <bottom style="thin">
        <color indexed="64"/>
      </bottom>
      <diagonal/>
    </border>
    <border>
      <left style="hair">
        <color indexed="64"/>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hair">
        <color indexed="64"/>
      </left>
      <right style="thin">
        <color indexed="64"/>
      </right>
      <top style="thin">
        <color indexed="64"/>
      </top>
      <bottom style="double">
        <color indexed="64"/>
      </bottom>
      <diagonal/>
    </border>
    <border>
      <left style="hair">
        <color indexed="64"/>
      </left>
      <right style="thin">
        <color indexed="64"/>
      </right>
      <top style="double">
        <color indexed="64"/>
      </top>
      <bottom style="thin">
        <color indexed="64"/>
      </bottom>
      <diagonal/>
    </border>
    <border>
      <left/>
      <right/>
      <top style="hair">
        <color indexed="64"/>
      </top>
      <bottom/>
      <diagonal/>
    </border>
    <border>
      <left/>
      <right style="hair">
        <color indexed="64"/>
      </right>
      <top style="thin">
        <color indexed="64"/>
      </top>
      <bottom/>
      <diagonal/>
    </border>
    <border>
      <left style="dotted">
        <color indexed="64"/>
      </left>
      <right style="dotted">
        <color indexed="64"/>
      </right>
      <top style="dotted">
        <color indexed="64"/>
      </top>
      <bottom style="dotted">
        <color indexed="64"/>
      </bottom>
      <diagonal/>
    </border>
    <border>
      <left style="medium">
        <color indexed="8"/>
      </left>
      <right style="hair">
        <color indexed="8"/>
      </right>
      <top style="medium">
        <color indexed="8"/>
      </top>
      <bottom style="hair">
        <color indexed="8"/>
      </bottom>
      <diagonal/>
    </border>
    <border>
      <left style="hair">
        <color indexed="8"/>
      </left>
      <right style="medium">
        <color indexed="8"/>
      </right>
      <top style="medium">
        <color indexed="8"/>
      </top>
      <bottom style="hair">
        <color indexed="8"/>
      </bottom>
      <diagonal/>
    </border>
    <border>
      <left style="medium">
        <color indexed="8"/>
      </left>
      <right style="hair">
        <color indexed="8"/>
      </right>
      <top style="hair">
        <color indexed="8"/>
      </top>
      <bottom style="hair">
        <color indexed="8"/>
      </bottom>
      <diagonal/>
    </border>
    <border>
      <left style="hair">
        <color indexed="8"/>
      </left>
      <right style="medium">
        <color indexed="8"/>
      </right>
      <top style="hair">
        <color indexed="8"/>
      </top>
      <bottom style="hair">
        <color indexed="8"/>
      </bottom>
      <diagonal/>
    </border>
    <border>
      <left style="medium">
        <color indexed="8"/>
      </left>
      <right style="hair">
        <color indexed="8"/>
      </right>
      <top style="hair">
        <color indexed="8"/>
      </top>
      <bottom style="medium">
        <color indexed="8"/>
      </bottom>
      <diagonal/>
    </border>
    <border>
      <left style="hair">
        <color indexed="8"/>
      </left>
      <right style="medium">
        <color indexed="8"/>
      </right>
      <top style="hair">
        <color indexed="8"/>
      </top>
      <bottom style="medium">
        <color indexed="8"/>
      </bottom>
      <diagonal/>
    </border>
    <border>
      <left style="hair">
        <color auto="1"/>
      </left>
      <right style="hair">
        <color auto="1"/>
      </right>
      <top style="hair">
        <color auto="1"/>
      </top>
      <bottom/>
      <diagonal/>
    </border>
    <border>
      <left style="dotted">
        <color indexed="64"/>
      </left>
      <right style="dotted">
        <color indexed="64"/>
      </right>
      <top style="dotted">
        <color indexed="64"/>
      </top>
      <bottom/>
      <diagonal/>
    </border>
    <border>
      <left style="dotted">
        <color indexed="64"/>
      </left>
      <right style="dotted">
        <color indexed="64"/>
      </right>
      <top/>
      <bottom style="dotted">
        <color indexed="64"/>
      </bottom>
      <diagonal/>
    </border>
    <border>
      <left style="hair">
        <color auto="1"/>
      </left>
      <right/>
      <top style="hair">
        <color auto="1"/>
      </top>
      <bottom/>
      <diagonal/>
    </border>
    <border>
      <left/>
      <right style="hair">
        <color auto="1"/>
      </right>
      <top style="hair">
        <color auto="1"/>
      </top>
      <bottom/>
      <diagonal/>
    </border>
    <border>
      <left/>
      <right/>
      <top style="hair">
        <color indexed="64"/>
      </top>
      <bottom style="hair">
        <color indexed="64"/>
      </bottom>
      <diagonal/>
    </border>
    <border>
      <left style="medium">
        <color indexed="64"/>
      </left>
      <right/>
      <top style="hair">
        <color indexed="64"/>
      </top>
      <bottom style="hair">
        <color indexed="64"/>
      </bottom>
      <diagonal/>
    </border>
    <border>
      <left style="hair">
        <color indexed="8"/>
      </left>
      <right style="hair">
        <color indexed="8"/>
      </right>
      <top style="hair">
        <color indexed="8"/>
      </top>
      <bottom style="hair">
        <color indexed="8"/>
      </bottom>
      <diagonal/>
    </border>
    <border>
      <left style="hair">
        <color indexed="8"/>
      </left>
      <right/>
      <top style="hair">
        <color indexed="8"/>
      </top>
      <bottom style="hair">
        <color indexed="8"/>
      </bottom>
      <diagonal/>
    </border>
    <border>
      <left/>
      <right/>
      <top style="hair">
        <color indexed="8"/>
      </top>
      <bottom style="hair">
        <color indexed="8"/>
      </bottom>
      <diagonal/>
    </border>
    <border>
      <left/>
      <right style="medium">
        <color indexed="8"/>
      </right>
      <top style="hair">
        <color indexed="8"/>
      </top>
      <bottom style="hair">
        <color indexed="8"/>
      </bottom>
      <diagonal/>
    </border>
    <border>
      <left style="hair">
        <color indexed="8"/>
      </left>
      <right/>
      <top style="hair">
        <color indexed="8"/>
      </top>
      <bottom style="medium">
        <color indexed="8"/>
      </bottom>
      <diagonal/>
    </border>
    <border>
      <left/>
      <right/>
      <top style="hair">
        <color indexed="8"/>
      </top>
      <bottom style="medium">
        <color indexed="8"/>
      </bottom>
      <diagonal/>
    </border>
    <border>
      <left/>
      <right style="medium">
        <color indexed="8"/>
      </right>
      <top style="hair">
        <color indexed="8"/>
      </top>
      <bottom style="medium">
        <color indexed="8"/>
      </bottom>
      <diagonal/>
    </border>
    <border>
      <left style="hair">
        <color indexed="8"/>
      </left>
      <right/>
      <top style="hair">
        <color indexed="8"/>
      </top>
      <bottom style="hair">
        <color indexed="8"/>
      </bottom>
      <diagonal/>
    </border>
    <border>
      <left style="double">
        <color indexed="8"/>
      </left>
      <right style="hair">
        <color indexed="8"/>
      </right>
      <top style="medium">
        <color indexed="8"/>
      </top>
      <bottom style="hair">
        <color indexed="8"/>
      </bottom>
      <diagonal/>
    </border>
    <border>
      <left style="double">
        <color indexed="8"/>
      </left>
      <right style="hair">
        <color indexed="8"/>
      </right>
      <top/>
      <bottom style="hair">
        <color indexed="8"/>
      </bottom>
      <diagonal/>
    </border>
    <border>
      <left style="double">
        <color indexed="8"/>
      </left>
      <right style="hair">
        <color indexed="8"/>
      </right>
      <top style="hair">
        <color indexed="8"/>
      </top>
      <bottom style="hair">
        <color indexed="8"/>
      </bottom>
      <diagonal/>
    </border>
    <border>
      <left style="double">
        <color indexed="8"/>
      </left>
      <right style="hair">
        <color indexed="8"/>
      </right>
      <top/>
      <bottom/>
      <diagonal/>
    </border>
    <border>
      <left style="hair">
        <color indexed="8"/>
      </left>
      <right style="hair">
        <color indexed="8"/>
      </right>
      <top style="hair">
        <color indexed="8"/>
      </top>
      <bottom style="medium">
        <color indexed="8"/>
      </bottom>
      <diagonal/>
    </border>
    <border>
      <left style="double">
        <color indexed="8"/>
      </left>
      <right style="hair">
        <color indexed="8"/>
      </right>
      <top style="hair">
        <color indexed="8"/>
      </top>
      <bottom style="medium">
        <color indexed="8"/>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hair">
        <color indexed="8"/>
      </left>
      <right style="hair">
        <color indexed="8"/>
      </right>
      <top style="medium">
        <color indexed="8"/>
      </top>
      <bottom style="hair">
        <color indexed="64"/>
      </bottom>
      <diagonal/>
    </border>
    <border>
      <left style="hair">
        <color indexed="8"/>
      </left>
      <right style="hair">
        <color indexed="8"/>
      </right>
      <top/>
      <bottom style="hair">
        <color indexed="8"/>
      </bottom>
      <diagonal/>
    </border>
    <border>
      <left style="hair">
        <color indexed="8"/>
      </left>
      <right style="hair">
        <color indexed="8"/>
      </right>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style="hair">
        <color indexed="8"/>
      </left>
      <right style="medium">
        <color indexed="8"/>
      </right>
      <top style="medium">
        <color indexed="8"/>
      </top>
      <bottom style="medium">
        <color indexed="8"/>
      </bottom>
      <diagonal/>
    </border>
    <border>
      <left style="medium">
        <color indexed="8"/>
      </left>
      <right/>
      <top/>
      <bottom style="hair">
        <color indexed="8"/>
      </bottom>
      <diagonal/>
    </border>
    <border>
      <left/>
      <right/>
      <top/>
      <bottom style="hair">
        <color indexed="8"/>
      </bottom>
      <diagonal/>
    </border>
    <border>
      <left/>
      <right style="medium">
        <color indexed="8"/>
      </right>
      <top/>
      <bottom style="hair">
        <color indexed="8"/>
      </bottom>
      <diagonal/>
    </border>
    <border>
      <left style="medium">
        <color indexed="8"/>
      </left>
      <right/>
      <top style="hair">
        <color indexed="8"/>
      </top>
      <bottom style="hair">
        <color indexed="8"/>
      </bottom>
      <diagonal/>
    </border>
    <border>
      <left style="medium">
        <color indexed="8"/>
      </left>
      <right/>
      <top style="hair">
        <color indexed="8"/>
      </top>
      <bottom style="thin">
        <color indexed="8"/>
      </bottom>
      <diagonal/>
    </border>
    <border>
      <left/>
      <right/>
      <top style="hair">
        <color indexed="8"/>
      </top>
      <bottom style="thin">
        <color indexed="8"/>
      </bottom>
      <diagonal/>
    </border>
    <border>
      <left style="hair">
        <color indexed="8"/>
      </left>
      <right style="hair">
        <color indexed="8"/>
      </right>
      <top style="hair">
        <color indexed="8"/>
      </top>
      <bottom style="thin">
        <color indexed="8"/>
      </bottom>
      <diagonal/>
    </border>
    <border>
      <left/>
      <right style="medium">
        <color indexed="8"/>
      </right>
      <top style="hair">
        <color indexed="8"/>
      </top>
      <bottom style="thin">
        <color indexed="8"/>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top/>
      <bottom style="hair">
        <color auto="1"/>
      </bottom>
      <diagonal/>
    </border>
    <border>
      <left/>
      <right style="hair">
        <color auto="1"/>
      </right>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style="hair">
        <color auto="1"/>
      </bottom>
      <diagonal/>
    </border>
    <border>
      <left style="hair">
        <color indexed="8"/>
      </left>
      <right style="double">
        <color indexed="8"/>
      </right>
      <top style="hair">
        <color indexed="8"/>
      </top>
      <bottom style="medium">
        <color indexed="8"/>
      </bottom>
      <diagonal/>
    </border>
    <border>
      <left style="hair">
        <color indexed="8"/>
      </left>
      <right style="double">
        <color indexed="8"/>
      </right>
      <top style="hair">
        <color indexed="8"/>
      </top>
      <bottom style="hair">
        <color indexed="8"/>
      </bottom>
      <diagonal/>
    </border>
    <border>
      <left style="thin">
        <color indexed="64"/>
      </left>
      <right/>
      <top/>
      <bottom style="hair">
        <color indexed="64"/>
      </bottom>
      <diagonal/>
    </border>
    <border>
      <left/>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style="double">
        <color indexed="64"/>
      </bottom>
      <diagonal/>
    </border>
    <border>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bottom style="double">
        <color indexed="64"/>
      </bottom>
      <diagonal/>
    </border>
    <border>
      <left style="thin">
        <color indexed="64"/>
      </left>
      <right/>
      <top style="double">
        <color indexed="64"/>
      </top>
      <bottom style="hair">
        <color indexed="64"/>
      </bottom>
      <diagonal/>
    </border>
    <border>
      <left/>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style="hair">
        <color indexed="64"/>
      </left>
      <right style="thin">
        <color indexed="64"/>
      </right>
      <top style="double">
        <color indexed="64"/>
      </top>
      <bottom/>
      <diagonal/>
    </border>
    <border>
      <left/>
      <right style="hair">
        <color indexed="64"/>
      </right>
      <top style="medium">
        <color indexed="64"/>
      </top>
      <bottom style="hair">
        <color indexed="64"/>
      </bottom>
      <diagonal/>
    </border>
    <border>
      <left style="medium">
        <color indexed="64"/>
      </left>
      <right/>
      <top style="hair">
        <color indexed="64"/>
      </top>
      <bottom/>
      <diagonal/>
    </border>
    <border>
      <left style="medium">
        <color indexed="64"/>
      </left>
      <right/>
      <top/>
      <bottom/>
      <diagonal/>
    </border>
    <border>
      <left style="medium">
        <color indexed="64"/>
      </left>
      <right/>
      <top/>
      <bottom style="hair">
        <color indexed="64"/>
      </bottom>
      <diagonal/>
    </border>
    <border>
      <left style="medium">
        <color indexed="64"/>
      </left>
      <right/>
      <top/>
      <bottom style="medium">
        <color indexed="64"/>
      </bottom>
      <diagonal/>
    </border>
    <border>
      <left style="hair">
        <color indexed="64"/>
      </left>
      <right style="medium">
        <color indexed="64"/>
      </right>
      <top/>
      <bottom style="medium">
        <color indexed="64"/>
      </bottom>
      <diagonal/>
    </border>
    <border>
      <left style="thick">
        <color indexed="64"/>
      </left>
      <right/>
      <top/>
      <bottom/>
      <diagonal/>
    </border>
    <border>
      <left style="hair">
        <color indexed="64"/>
      </left>
      <right/>
      <top style="thin">
        <color indexed="64"/>
      </top>
      <bottom style="thin">
        <color indexed="64"/>
      </bottom>
      <diagonal/>
    </border>
    <border>
      <left style="thin">
        <color indexed="64"/>
      </left>
      <right/>
      <top style="hair">
        <color indexed="64"/>
      </top>
      <bottom/>
      <diagonal/>
    </border>
    <border>
      <left style="hair">
        <color indexed="64"/>
      </left>
      <right style="hair">
        <color indexed="64"/>
      </right>
      <top/>
      <bottom style="dotted">
        <color indexed="64"/>
      </bottom>
      <diagonal/>
    </border>
    <border>
      <left style="hair">
        <color indexed="64"/>
      </left>
      <right style="thin">
        <color indexed="64"/>
      </right>
      <top style="hair">
        <color indexed="64"/>
      </top>
      <bottom style="dotted">
        <color indexed="64"/>
      </bottom>
      <diagonal/>
    </border>
    <border>
      <left style="hair">
        <color indexed="64"/>
      </left>
      <right/>
      <top style="dotted">
        <color indexed="64"/>
      </top>
      <bottom style="dotted">
        <color indexed="64"/>
      </bottom>
      <diagonal/>
    </border>
    <border>
      <left/>
      <right style="hair">
        <color indexed="64"/>
      </right>
      <top style="dotted">
        <color indexed="64"/>
      </top>
      <bottom style="dotted">
        <color indexed="64"/>
      </bottom>
      <diagonal/>
    </border>
    <border>
      <left style="hair">
        <color indexed="64"/>
      </left>
      <right style="hair">
        <color indexed="64"/>
      </right>
      <top style="dotted">
        <color indexed="64"/>
      </top>
      <bottom/>
      <diagonal/>
    </border>
    <border>
      <left style="hair">
        <color indexed="64"/>
      </left>
      <right style="thin">
        <color indexed="64"/>
      </right>
      <top style="dotted">
        <color indexed="64"/>
      </top>
      <bottom/>
      <diagonal/>
    </border>
    <border>
      <left style="hair">
        <color indexed="64"/>
      </left>
      <right/>
      <top style="dotted">
        <color indexed="64"/>
      </top>
      <bottom style="thin">
        <color indexed="64"/>
      </bottom>
      <diagonal/>
    </border>
    <border>
      <left/>
      <right style="hair">
        <color indexed="64"/>
      </right>
      <top style="dotted">
        <color indexed="64"/>
      </top>
      <bottom style="thin">
        <color indexed="64"/>
      </bottom>
      <diagonal/>
    </border>
    <border>
      <left style="hair">
        <color indexed="64"/>
      </left>
      <right style="hair">
        <color indexed="64"/>
      </right>
      <top style="dotted">
        <color indexed="64"/>
      </top>
      <bottom style="thin">
        <color indexed="64"/>
      </bottom>
      <diagonal/>
    </border>
    <border>
      <left style="hair">
        <color indexed="64"/>
      </left>
      <right/>
      <top style="hair">
        <color indexed="64"/>
      </top>
      <bottom style="dashed">
        <color indexed="64"/>
      </bottom>
      <diagonal/>
    </border>
    <border>
      <left/>
      <right style="hair">
        <color indexed="64"/>
      </right>
      <top style="hair">
        <color indexed="64"/>
      </top>
      <bottom style="dashed">
        <color indexed="64"/>
      </bottom>
      <diagonal/>
    </border>
    <border>
      <left style="hair">
        <color indexed="64"/>
      </left>
      <right style="hair">
        <color indexed="64"/>
      </right>
      <top style="hair">
        <color indexed="64"/>
      </top>
      <bottom style="dashed">
        <color indexed="64"/>
      </bottom>
      <diagonal/>
    </border>
    <border>
      <left style="hair">
        <color indexed="64"/>
      </left>
      <right style="thin">
        <color indexed="64"/>
      </right>
      <top style="hair">
        <color indexed="64"/>
      </top>
      <bottom style="dashed">
        <color indexed="64"/>
      </bottom>
      <diagonal/>
    </border>
    <border>
      <left style="hair">
        <color indexed="64"/>
      </left>
      <right/>
      <top style="dashed">
        <color indexed="64"/>
      </top>
      <bottom/>
      <diagonal/>
    </border>
    <border>
      <left/>
      <right/>
      <top style="dashed">
        <color indexed="64"/>
      </top>
      <bottom/>
      <diagonal/>
    </border>
    <border>
      <left style="hair">
        <color indexed="64"/>
      </left>
      <right style="hair">
        <color indexed="64"/>
      </right>
      <top style="dashed">
        <color indexed="64"/>
      </top>
      <bottom/>
      <diagonal/>
    </border>
    <border>
      <left style="hair">
        <color indexed="64"/>
      </left>
      <right style="hair">
        <color indexed="64"/>
      </right>
      <top style="dotted">
        <color indexed="64"/>
      </top>
      <bottom style="dotted">
        <color indexed="64"/>
      </bottom>
      <diagonal/>
    </border>
    <border>
      <left style="hair">
        <color indexed="64"/>
      </left>
      <right style="thin">
        <color indexed="64"/>
      </right>
      <top style="dotted">
        <color indexed="64"/>
      </top>
      <bottom style="dotted">
        <color indexed="64"/>
      </bottom>
      <diagonal/>
    </border>
    <border>
      <left/>
      <right/>
      <top style="dotted">
        <color indexed="64"/>
      </top>
      <bottom style="thin">
        <color indexed="64"/>
      </bottom>
      <diagonal/>
    </border>
    <border>
      <left style="hair">
        <color indexed="64"/>
      </left>
      <right style="thin">
        <color indexed="64"/>
      </right>
      <top style="dotted">
        <color indexed="64"/>
      </top>
      <bottom style="thin">
        <color indexed="64"/>
      </bottom>
      <diagonal/>
    </border>
    <border>
      <left style="thin">
        <color indexed="64"/>
      </left>
      <right/>
      <top style="double">
        <color indexed="64"/>
      </top>
      <bottom/>
      <diagonal/>
    </border>
    <border>
      <left/>
      <right/>
      <top style="double">
        <color indexed="64"/>
      </top>
      <bottom style="dotted">
        <color indexed="64"/>
      </bottom>
      <diagonal/>
    </border>
    <border>
      <left style="hair">
        <color indexed="64"/>
      </left>
      <right style="hair">
        <color indexed="64"/>
      </right>
      <top style="double">
        <color indexed="64"/>
      </top>
      <bottom style="dotted">
        <color indexed="64"/>
      </bottom>
      <diagonal/>
    </border>
    <border>
      <left/>
      <right style="thin">
        <color indexed="64"/>
      </right>
      <top style="double">
        <color indexed="64"/>
      </top>
      <bottom style="dotted">
        <color indexed="64"/>
      </bottom>
      <diagonal/>
    </border>
    <border>
      <left/>
      <right/>
      <top style="thin">
        <color indexed="64"/>
      </top>
      <bottom style="dotted">
        <color indexed="64"/>
      </bottom>
      <diagonal/>
    </border>
    <border>
      <left style="hair">
        <color indexed="64"/>
      </left>
      <right style="hair">
        <color indexed="64"/>
      </right>
      <top style="thin">
        <color indexed="64"/>
      </top>
      <bottom style="dotted">
        <color indexed="64"/>
      </bottom>
      <diagonal/>
    </border>
    <border>
      <left style="hair">
        <color indexed="64"/>
      </left>
      <right/>
      <top style="thin">
        <color indexed="64"/>
      </top>
      <bottom style="dotted">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8"/>
      </left>
      <right style="hair">
        <color indexed="8"/>
      </right>
      <top style="hair">
        <color indexed="8"/>
      </top>
      <bottom style="hair">
        <color indexed="8"/>
      </bottom>
      <diagonal/>
    </border>
    <border>
      <left style="thin">
        <color indexed="64"/>
      </left>
      <right style="hair">
        <color indexed="64"/>
      </right>
      <top/>
      <bottom style="hair">
        <color indexed="64"/>
      </bottom>
      <diagonal/>
    </border>
    <border>
      <left style="medium">
        <color indexed="8"/>
      </left>
      <right/>
      <top style="hair">
        <color indexed="8"/>
      </top>
      <bottom style="hair">
        <color indexed="8"/>
      </bottom>
      <diagonal/>
    </border>
    <border>
      <left/>
      <right/>
      <top style="hair">
        <color indexed="8"/>
      </top>
      <bottom style="hair">
        <color indexed="8"/>
      </bottom>
      <diagonal/>
    </border>
    <border>
      <left/>
      <right style="medium">
        <color indexed="8"/>
      </right>
      <top style="hair">
        <color indexed="8"/>
      </top>
      <bottom style="hair">
        <color indexed="8"/>
      </bottom>
      <diagonal/>
    </border>
    <border>
      <left style="hair">
        <color indexed="8"/>
      </left>
      <right/>
      <top style="hair">
        <color indexed="8"/>
      </top>
      <bottom style="hair">
        <color indexed="8"/>
      </bottom>
      <diagonal/>
    </border>
  </borders>
  <cellStyleXfs count="7">
    <xf numFmtId="0" fontId="0" fillId="0" borderId="0"/>
    <xf numFmtId="38" fontId="2" fillId="0" borderId="0" applyFont="0" applyFill="0" applyBorder="0" applyAlignment="0" applyProtection="0"/>
    <xf numFmtId="0" fontId="2" fillId="0" borderId="0"/>
    <xf numFmtId="9" fontId="2" fillId="0" borderId="0" applyFont="0" applyFill="0" applyBorder="0" applyAlignment="0" applyProtection="0"/>
    <xf numFmtId="38" fontId="2" fillId="0" borderId="0" applyFont="0" applyFill="0" applyBorder="0" applyAlignment="0" applyProtection="0">
      <alignment vertical="center"/>
    </xf>
    <xf numFmtId="0" fontId="49" fillId="0" borderId="0">
      <alignment vertical="center"/>
    </xf>
    <xf numFmtId="9" fontId="2" fillId="0" borderId="0" applyFont="0" applyFill="0" applyBorder="0" applyAlignment="0" applyProtection="0">
      <alignment vertical="center"/>
    </xf>
  </cellStyleXfs>
  <cellXfs count="2481">
    <xf numFmtId="0" fontId="0" fillId="0" borderId="0" xfId="0"/>
    <xf numFmtId="0" fontId="4" fillId="0" borderId="0" xfId="0" applyFont="1" applyAlignment="1">
      <alignment vertical="center"/>
    </xf>
    <xf numFmtId="0" fontId="4" fillId="0" borderId="0" xfId="0" applyFont="1" applyAlignment="1">
      <alignment vertical="center" wrapText="1"/>
    </xf>
    <xf numFmtId="0" fontId="4" fillId="0" borderId="0" xfId="0" applyFont="1" applyAlignment="1">
      <alignment horizontal="center" vertical="center"/>
    </xf>
    <xf numFmtId="177" fontId="4" fillId="0" borderId="0" xfId="0" applyNumberFormat="1" applyFont="1" applyAlignment="1">
      <alignment vertical="center" shrinkToFit="1"/>
    </xf>
    <xf numFmtId="0" fontId="5" fillId="0" borderId="0" xfId="0" applyFont="1" applyAlignment="1">
      <alignment vertical="top" textRotation="255" shrinkToFit="1"/>
    </xf>
    <xf numFmtId="0" fontId="4" fillId="0" borderId="0" xfId="0" applyFont="1" applyAlignment="1">
      <alignment vertical="center" shrinkToFit="1"/>
    </xf>
    <xf numFmtId="178" fontId="5" fillId="0" borderId="0" xfId="0" applyNumberFormat="1" applyFont="1" applyAlignment="1">
      <alignment vertical="center" shrinkToFit="1"/>
    </xf>
    <xf numFmtId="0" fontId="5" fillId="0" borderId="0" xfId="0" applyFont="1" applyBorder="1" applyAlignment="1">
      <alignment vertical="top" textRotation="255" shrinkToFit="1"/>
    </xf>
    <xf numFmtId="0" fontId="6" fillId="0" borderId="0" xfId="0" applyFont="1" applyBorder="1" applyAlignment="1" applyProtection="1">
      <alignment horizontal="center" vertical="center" wrapText="1"/>
    </xf>
    <xf numFmtId="0" fontId="6" fillId="0" borderId="0" xfId="0" applyFont="1" applyBorder="1" applyAlignment="1" applyProtection="1">
      <alignment horizontal="center" vertical="center"/>
    </xf>
    <xf numFmtId="178" fontId="5" fillId="0" borderId="0" xfId="0" applyNumberFormat="1" applyFont="1" applyBorder="1" applyAlignment="1">
      <alignment vertical="center" shrinkToFit="1"/>
    </xf>
    <xf numFmtId="0" fontId="7" fillId="0" borderId="0" xfId="0" applyFont="1" applyBorder="1" applyAlignment="1" applyProtection="1">
      <alignment vertical="center"/>
    </xf>
    <xf numFmtId="0" fontId="6" fillId="0" borderId="0" xfId="0" applyFont="1" applyBorder="1" applyAlignment="1" applyProtection="1">
      <alignment vertical="center"/>
    </xf>
    <xf numFmtId="0" fontId="6" fillId="0" borderId="0" xfId="0" applyFont="1" applyBorder="1" applyAlignment="1" applyProtection="1">
      <alignment vertical="center" wrapText="1"/>
    </xf>
    <xf numFmtId="0" fontId="6" fillId="0" borderId="0" xfId="0" applyFont="1" applyBorder="1" applyAlignment="1" applyProtection="1">
      <alignment horizontal="right" vertical="center"/>
    </xf>
    <xf numFmtId="177" fontId="6" fillId="0" borderId="0" xfId="0" applyNumberFormat="1" applyFont="1" applyBorder="1" applyAlignment="1" applyProtection="1">
      <alignment vertical="center" shrinkToFit="1"/>
    </xf>
    <xf numFmtId="0" fontId="14" fillId="0" borderId="0" xfId="0" applyFont="1" applyBorder="1" applyAlignment="1" applyProtection="1">
      <alignment horizontal="right" vertical="center"/>
    </xf>
    <xf numFmtId="0" fontId="19" fillId="0" borderId="0" xfId="0" applyFont="1" applyAlignment="1">
      <alignment vertical="center"/>
    </xf>
    <xf numFmtId="0" fontId="19" fillId="0" borderId="1" xfId="0" applyFont="1" applyBorder="1" applyAlignment="1">
      <alignment horizontal="center" vertical="center"/>
    </xf>
    <xf numFmtId="0" fontId="19" fillId="0" borderId="2" xfId="0" applyFont="1" applyBorder="1" applyAlignment="1">
      <alignment horizontal="center" vertical="center"/>
    </xf>
    <xf numFmtId="0" fontId="19" fillId="0" borderId="3" xfId="0" applyFont="1" applyBorder="1" applyAlignment="1">
      <alignment horizontal="center" vertical="center"/>
    </xf>
    <xf numFmtId="0" fontId="19" fillId="0" borderId="0" xfId="0" applyFont="1" applyAlignment="1">
      <alignment horizontal="center" vertical="center"/>
    </xf>
    <xf numFmtId="0" fontId="19" fillId="0" borderId="4" xfId="0" applyFont="1" applyBorder="1" applyAlignment="1">
      <alignment horizontal="center" vertical="center"/>
    </xf>
    <xf numFmtId="0" fontId="19" fillId="0" borderId="5" xfId="0" applyFont="1" applyBorder="1" applyAlignment="1">
      <alignment horizontal="center" vertical="center"/>
    </xf>
    <xf numFmtId="0" fontId="19" fillId="0" borderId="6" xfId="0" applyFont="1" applyBorder="1" applyAlignment="1">
      <alignment horizontal="center" vertical="center"/>
    </xf>
    <xf numFmtId="0" fontId="19" fillId="0" borderId="7" xfId="0" applyFont="1" applyBorder="1" applyAlignment="1">
      <alignment horizontal="center" vertical="center"/>
    </xf>
    <xf numFmtId="0" fontId="19" fillId="0" borderId="8" xfId="0" applyFont="1" applyBorder="1" applyAlignment="1">
      <alignment horizontal="center" vertical="center"/>
    </xf>
    <xf numFmtId="0" fontId="19" fillId="0" borderId="9" xfId="0" applyFont="1" applyBorder="1" applyAlignment="1">
      <alignment vertical="center"/>
    </xf>
    <xf numFmtId="0" fontId="19" fillId="0" borderId="10" xfId="0" applyFont="1" applyBorder="1" applyAlignment="1">
      <alignment vertical="center"/>
    </xf>
    <xf numFmtId="179" fontId="19" fillId="0" borderId="0" xfId="0" applyNumberFormat="1" applyFont="1" applyAlignment="1">
      <alignment vertical="center"/>
    </xf>
    <xf numFmtId="0" fontId="4" fillId="2" borderId="11" xfId="0" applyFont="1" applyFill="1" applyBorder="1" applyAlignment="1">
      <alignment vertical="center"/>
    </xf>
    <xf numFmtId="0" fontId="4" fillId="0" borderId="0" xfId="0" applyFont="1" applyAlignment="1">
      <alignment horizontal="right" vertical="center" wrapText="1"/>
    </xf>
    <xf numFmtId="0" fontId="4" fillId="0" borderId="0" xfId="0" quotePrefix="1" applyFont="1" applyAlignment="1">
      <alignment horizontal="center" vertical="center"/>
    </xf>
    <xf numFmtId="177" fontId="4" fillId="0" borderId="0" xfId="0" applyNumberFormat="1" applyFont="1" applyAlignment="1">
      <alignment horizontal="right" vertical="center"/>
    </xf>
    <xf numFmtId="0" fontId="15" fillId="0" borderId="0" xfId="0" applyFont="1" applyAlignment="1" applyProtection="1">
      <alignment vertical="center"/>
      <protection locked="0"/>
    </xf>
    <xf numFmtId="178" fontId="5" fillId="0" borderId="0" xfId="0" applyNumberFormat="1" applyFont="1" applyAlignment="1" applyProtection="1">
      <alignment vertical="center" shrinkToFit="1"/>
      <protection locked="0"/>
    </xf>
    <xf numFmtId="0" fontId="4" fillId="0" borderId="0" xfId="0" applyFont="1" applyAlignment="1" applyProtection="1">
      <alignment vertical="center"/>
      <protection locked="0"/>
    </xf>
    <xf numFmtId="0" fontId="4" fillId="2" borderId="11" xfId="0" applyFont="1" applyFill="1" applyBorder="1" applyAlignment="1" applyProtection="1">
      <alignment vertical="center"/>
      <protection locked="0"/>
    </xf>
    <xf numFmtId="0" fontId="0" fillId="0" borderId="0" xfId="0" applyProtection="1">
      <protection locked="0"/>
    </xf>
    <xf numFmtId="0" fontId="0" fillId="3" borderId="12" xfId="0" applyFill="1" applyBorder="1" applyProtection="1">
      <protection locked="0"/>
    </xf>
    <xf numFmtId="0" fontId="0" fillId="3" borderId="13" xfId="0" applyFill="1" applyBorder="1" applyProtection="1">
      <protection locked="0"/>
    </xf>
    <xf numFmtId="0" fontId="0" fillId="4" borderId="0" xfId="0" applyFill="1" applyProtection="1">
      <protection locked="0"/>
    </xf>
    <xf numFmtId="0" fontId="0" fillId="3" borderId="0" xfId="0" applyFill="1" applyProtection="1">
      <protection locked="0"/>
    </xf>
    <xf numFmtId="0" fontId="0" fillId="2" borderId="14" xfId="0" applyFill="1" applyBorder="1" applyProtection="1">
      <protection locked="0"/>
    </xf>
    <xf numFmtId="0" fontId="0" fillId="2" borderId="15" xfId="0" applyFill="1" applyBorder="1" applyProtection="1">
      <protection locked="0"/>
    </xf>
    <xf numFmtId="0" fontId="11" fillId="4" borderId="0" xfId="0" applyFont="1" applyFill="1" applyProtection="1">
      <protection locked="0"/>
    </xf>
    <xf numFmtId="0" fontId="0" fillId="0" borderId="0" xfId="0" quotePrefix="1" applyProtection="1">
      <protection locked="0"/>
    </xf>
    <xf numFmtId="176" fontId="6" fillId="0" borderId="0" xfId="0" applyNumberFormat="1" applyFont="1" applyBorder="1" applyAlignment="1" applyProtection="1">
      <alignment vertical="center"/>
    </xf>
    <xf numFmtId="0" fontId="19" fillId="0" borderId="16" xfId="0" applyFont="1" applyBorder="1" applyAlignment="1" applyProtection="1">
      <alignment horizontal="center" vertical="center"/>
      <protection locked="0"/>
    </xf>
    <xf numFmtId="0" fontId="19" fillId="0" borderId="17" xfId="0" applyFont="1" applyBorder="1" applyAlignment="1" applyProtection="1">
      <alignment horizontal="center" vertical="center"/>
      <protection locked="0"/>
    </xf>
    <xf numFmtId="0" fontId="19" fillId="0" borderId="18" xfId="0" applyFont="1" applyBorder="1" applyAlignment="1" applyProtection="1">
      <alignment horizontal="center" vertical="center"/>
      <protection locked="0"/>
    </xf>
    <xf numFmtId="0" fontId="19" fillId="0" borderId="19" xfId="0" applyFont="1" applyBorder="1" applyAlignment="1" applyProtection="1">
      <alignment horizontal="center" vertical="center"/>
      <protection locked="0"/>
    </xf>
    <xf numFmtId="0" fontId="19" fillId="0" borderId="20" xfId="0" applyFont="1" applyBorder="1" applyAlignment="1">
      <alignment horizontal="center" vertical="center"/>
    </xf>
    <xf numFmtId="0" fontId="19" fillId="0" borderId="21" xfId="0" applyFont="1" applyBorder="1" applyAlignment="1">
      <alignment horizontal="center" vertical="center"/>
    </xf>
    <xf numFmtId="0" fontId="19" fillId="0" borderId="22" xfId="0" applyFont="1" applyBorder="1" applyAlignment="1" applyProtection="1">
      <alignment vertical="center"/>
      <protection locked="0"/>
    </xf>
    <xf numFmtId="0" fontId="24" fillId="0" borderId="23" xfId="0" applyFont="1" applyBorder="1" applyAlignment="1">
      <alignment horizontal="center" shrinkToFit="1"/>
    </xf>
    <xf numFmtId="0" fontId="19" fillId="0" borderId="24" xfId="0" applyFont="1" applyBorder="1" applyAlignment="1" applyProtection="1">
      <alignment vertical="center"/>
      <protection locked="0"/>
    </xf>
    <xf numFmtId="0" fontId="19" fillId="0" borderId="25" xfId="0" applyFont="1" applyBorder="1" applyAlignment="1" applyProtection="1">
      <alignment vertical="center"/>
      <protection locked="0"/>
    </xf>
    <xf numFmtId="179" fontId="19" fillId="0" borderId="26" xfId="0" applyNumberFormat="1" applyFont="1" applyBorder="1" applyAlignment="1">
      <alignment horizontal="center" vertical="center"/>
    </xf>
    <xf numFmtId="179" fontId="19" fillId="0" borderId="27" xfId="0" applyNumberFormat="1" applyFont="1" applyBorder="1" applyAlignment="1">
      <alignment horizontal="center" vertical="center"/>
    </xf>
    <xf numFmtId="179" fontId="19" fillId="0" borderId="36" xfId="0" applyNumberFormat="1" applyFont="1" applyBorder="1" applyAlignment="1">
      <alignment horizontal="center" vertical="center"/>
    </xf>
    <xf numFmtId="0" fontId="6" fillId="0" borderId="38" xfId="0" applyFont="1" applyBorder="1" applyAlignment="1" applyProtection="1">
      <alignment vertical="center"/>
      <protection locked="0"/>
    </xf>
    <xf numFmtId="0" fontId="6" fillId="0" borderId="39" xfId="0" applyFont="1" applyBorder="1" applyAlignment="1" applyProtection="1">
      <alignment vertical="center"/>
      <protection locked="0"/>
    </xf>
    <xf numFmtId="0" fontId="6" fillId="0" borderId="40" xfId="0" applyFont="1" applyBorder="1" applyAlignment="1" applyProtection="1">
      <alignment horizontal="center" vertical="center"/>
    </xf>
    <xf numFmtId="177" fontId="6" fillId="0" borderId="40" xfId="0" applyNumberFormat="1" applyFont="1" applyBorder="1" applyAlignment="1" applyProtection="1">
      <alignment horizontal="center" vertical="center" shrinkToFit="1"/>
    </xf>
    <xf numFmtId="0" fontId="6" fillId="0" borderId="40" xfId="0" applyFont="1" applyBorder="1" applyAlignment="1" applyProtection="1">
      <alignment horizontal="center" vertical="center" wrapText="1"/>
    </xf>
    <xf numFmtId="181" fontId="14" fillId="0" borderId="38" xfId="0" applyNumberFormat="1" applyFont="1" applyBorder="1" applyAlignment="1" applyProtection="1">
      <alignment horizontal="left" vertical="center"/>
      <protection locked="0"/>
    </xf>
    <xf numFmtId="0" fontId="14" fillId="0" borderId="38" xfId="0" applyFont="1" applyBorder="1" applyAlignment="1" applyProtection="1">
      <alignment vertical="center"/>
      <protection locked="0"/>
    </xf>
    <xf numFmtId="0" fontId="14" fillId="0" borderId="39" xfId="0" applyFont="1" applyBorder="1" applyAlignment="1" applyProtection="1">
      <alignment vertical="center"/>
      <protection locked="0"/>
    </xf>
    <xf numFmtId="0" fontId="19" fillId="0" borderId="41" xfId="0" applyFont="1" applyBorder="1" applyAlignment="1" applyProtection="1">
      <alignment vertical="center"/>
      <protection locked="0"/>
    </xf>
    <xf numFmtId="0" fontId="19" fillId="0" borderId="42" xfId="0" applyFont="1" applyBorder="1" applyAlignment="1" applyProtection="1">
      <alignment vertical="center"/>
      <protection locked="0"/>
    </xf>
    <xf numFmtId="0" fontId="19" fillId="0" borderId="43" xfId="0" applyFont="1" applyBorder="1" applyAlignment="1" applyProtection="1">
      <alignment vertical="center"/>
      <protection locked="0"/>
    </xf>
    <xf numFmtId="0" fontId="19" fillId="0" borderId="44" xfId="0" applyFont="1" applyBorder="1" applyAlignment="1">
      <alignment horizontal="center" vertical="center"/>
    </xf>
    <xf numFmtId="0" fontId="19" fillId="0" borderId="45" xfId="0" applyFont="1" applyBorder="1" applyAlignment="1">
      <alignment horizontal="center" vertical="center"/>
    </xf>
    <xf numFmtId="0" fontId="19" fillId="0" borderId="46" xfId="0" applyFont="1" applyBorder="1" applyAlignment="1" applyProtection="1">
      <alignment horizontal="center" vertical="center"/>
      <protection locked="0"/>
    </xf>
    <xf numFmtId="0" fontId="19" fillId="0" borderId="47" xfId="0" applyFont="1" applyBorder="1" applyAlignment="1" applyProtection="1">
      <alignment horizontal="center" vertical="center"/>
      <protection locked="0"/>
    </xf>
    <xf numFmtId="0" fontId="19" fillId="0" borderId="48" xfId="0" applyFont="1" applyBorder="1" applyAlignment="1" applyProtection="1">
      <alignment horizontal="center" vertical="center"/>
      <protection locked="0"/>
    </xf>
    <xf numFmtId="0" fontId="19" fillId="0" borderId="49" xfId="0" applyFont="1" applyBorder="1" applyAlignment="1">
      <alignment horizontal="center" vertical="center"/>
    </xf>
    <xf numFmtId="0" fontId="19" fillId="0" borderId="50" xfId="0" applyFont="1" applyBorder="1" applyAlignment="1">
      <alignment horizontal="center" vertical="center"/>
    </xf>
    <xf numFmtId="0" fontId="19" fillId="0" borderId="51" xfId="0" applyFont="1" applyBorder="1" applyAlignment="1" applyProtection="1">
      <alignment vertical="center"/>
      <protection locked="0"/>
    </xf>
    <xf numFmtId="0" fontId="19" fillId="0" borderId="52" xfId="0" applyFont="1" applyBorder="1" applyAlignment="1" applyProtection="1">
      <alignment vertical="center"/>
      <protection locked="0"/>
    </xf>
    <xf numFmtId="0" fontId="19" fillId="0" borderId="53" xfId="0" applyFont="1" applyBorder="1" applyAlignment="1" applyProtection="1">
      <alignment vertical="center"/>
      <protection locked="0"/>
    </xf>
    <xf numFmtId="179" fontId="19" fillId="0" borderId="58" xfId="0" applyNumberFormat="1" applyFont="1" applyBorder="1" applyAlignment="1">
      <alignment horizontal="center" vertical="center"/>
    </xf>
    <xf numFmtId="177" fontId="6" fillId="0" borderId="0" xfId="0" applyNumberFormat="1" applyFont="1" applyBorder="1" applyAlignment="1" applyProtection="1">
      <alignment vertical="center" shrinkToFit="1"/>
      <protection locked="0"/>
    </xf>
    <xf numFmtId="0" fontId="24" fillId="0" borderId="0" xfId="0" applyFont="1" applyAlignment="1">
      <alignment shrinkToFit="1"/>
    </xf>
    <xf numFmtId="0" fontId="4" fillId="0" borderId="0" xfId="0" applyFont="1" applyAlignment="1" applyProtection="1">
      <alignment vertical="center"/>
    </xf>
    <xf numFmtId="177" fontId="9" fillId="0" borderId="63" xfId="0" applyNumberFormat="1" applyFont="1" applyBorder="1" applyAlignment="1" applyProtection="1">
      <alignment horizontal="right" vertical="top" shrinkToFit="1"/>
    </xf>
    <xf numFmtId="0" fontId="6" fillId="0" borderId="64" xfId="0" applyFont="1" applyBorder="1" applyAlignment="1" applyProtection="1">
      <alignment horizontal="centerContinuous" vertical="center"/>
    </xf>
    <xf numFmtId="0" fontId="6" fillId="0" borderId="65" xfId="0" applyFont="1" applyBorder="1" applyAlignment="1" applyProtection="1">
      <alignment horizontal="centerContinuous" vertical="center"/>
    </xf>
    <xf numFmtId="0" fontId="6" fillId="0" borderId="66" xfId="0" applyFont="1" applyBorder="1" applyAlignment="1" applyProtection="1">
      <alignment horizontal="centerContinuous" vertical="center"/>
    </xf>
    <xf numFmtId="178" fontId="19" fillId="0" borderId="67" xfId="0" applyNumberFormat="1" applyFont="1" applyBorder="1" applyAlignment="1" applyProtection="1">
      <alignment horizontal="center" vertical="center"/>
      <protection locked="0"/>
    </xf>
    <xf numFmtId="178" fontId="19" fillId="0" borderId="41" xfId="0" applyNumberFormat="1" applyFont="1" applyBorder="1" applyAlignment="1" applyProtection="1">
      <alignment horizontal="center" vertical="center"/>
      <protection locked="0"/>
    </xf>
    <xf numFmtId="178" fontId="19" fillId="0" borderId="68" xfId="0" applyNumberFormat="1" applyFont="1" applyBorder="1" applyAlignment="1" applyProtection="1">
      <alignment horizontal="center" vertical="center"/>
      <protection locked="0"/>
    </xf>
    <xf numFmtId="178" fontId="19" fillId="0" borderId="42" xfId="0" applyNumberFormat="1" applyFont="1" applyBorder="1" applyAlignment="1" applyProtection="1">
      <alignment horizontal="center" vertical="center"/>
      <protection locked="0"/>
    </xf>
    <xf numFmtId="178" fontId="19" fillId="0" borderId="69" xfId="0" applyNumberFormat="1" applyFont="1" applyBorder="1" applyAlignment="1" applyProtection="1">
      <alignment horizontal="center" vertical="center"/>
      <protection locked="0"/>
    </xf>
    <xf numFmtId="178" fontId="19" fillId="0" borderId="43" xfId="0" applyNumberFormat="1" applyFont="1" applyBorder="1" applyAlignment="1" applyProtection="1">
      <alignment horizontal="center" vertical="center"/>
      <protection locked="0"/>
    </xf>
    <xf numFmtId="38" fontId="9" fillId="0" borderId="63" xfId="0" applyNumberFormat="1" applyFont="1" applyBorder="1" applyAlignment="1" applyProtection="1">
      <alignment horizontal="right" vertical="top"/>
      <protection locked="0"/>
    </xf>
    <xf numFmtId="38" fontId="9" fillId="0" borderId="63" xfId="0" applyNumberFormat="1" applyFont="1" applyBorder="1" applyAlignment="1" applyProtection="1">
      <alignment horizontal="right" vertical="top" shrinkToFit="1"/>
      <protection locked="0"/>
    </xf>
    <xf numFmtId="0" fontId="14" fillId="0" borderId="70" xfId="0" applyFont="1" applyBorder="1" applyAlignment="1" applyProtection="1">
      <alignment vertical="center"/>
      <protection locked="0"/>
    </xf>
    <xf numFmtId="0" fontId="24" fillId="0" borderId="0" xfId="0" applyNumberFormat="1" applyFont="1" applyAlignment="1">
      <alignment shrinkToFit="1"/>
    </xf>
    <xf numFmtId="177" fontId="6" fillId="5" borderId="71" xfId="0" applyNumberFormat="1" applyFont="1" applyFill="1" applyBorder="1" applyAlignment="1" applyProtection="1">
      <alignment vertical="center" shrinkToFit="1"/>
    </xf>
    <xf numFmtId="0" fontId="4" fillId="0" borderId="0" xfId="0" applyNumberFormat="1" applyFont="1" applyAlignment="1">
      <alignment vertical="center"/>
    </xf>
    <xf numFmtId="0" fontId="14" fillId="0" borderId="72" xfId="0" applyFont="1" applyBorder="1" applyAlignment="1" applyProtection="1">
      <alignment vertical="center"/>
      <protection locked="0"/>
    </xf>
    <xf numFmtId="0" fontId="14" fillId="0" borderId="73" xfId="0" applyFont="1" applyBorder="1" applyAlignment="1" applyProtection="1">
      <alignment vertical="center"/>
      <protection locked="0"/>
    </xf>
    <xf numFmtId="0" fontId="12" fillId="0" borderId="74" xfId="0" applyFont="1" applyBorder="1" applyAlignment="1" applyProtection="1">
      <alignment vertical="center"/>
      <protection locked="0"/>
    </xf>
    <xf numFmtId="0" fontId="14" fillId="0" borderId="63" xfId="0" applyFont="1" applyBorder="1" applyAlignment="1" applyProtection="1">
      <alignment vertical="center" wrapText="1"/>
      <protection locked="0"/>
    </xf>
    <xf numFmtId="0" fontId="14" fillId="0" borderId="63" xfId="0" applyFont="1" applyBorder="1" applyAlignment="1" applyProtection="1">
      <alignment horizontal="center" vertical="center"/>
      <protection locked="0"/>
    </xf>
    <xf numFmtId="0" fontId="14" fillId="0" borderId="75" xfId="0" quotePrefix="1" applyFont="1" applyBorder="1" applyAlignment="1" applyProtection="1">
      <alignment horizontal="right" vertical="center"/>
      <protection locked="0"/>
    </xf>
    <xf numFmtId="0" fontId="14" fillId="0" borderId="76" xfId="0" applyFont="1" applyBorder="1" applyAlignment="1" applyProtection="1">
      <alignment vertical="center" wrapText="1"/>
      <protection locked="0"/>
    </xf>
    <xf numFmtId="0" fontId="14" fillId="0" borderId="76" xfId="0" applyFont="1" applyBorder="1" applyAlignment="1" applyProtection="1">
      <alignment vertical="center"/>
      <protection locked="0"/>
    </xf>
    <xf numFmtId="177" fontId="14" fillId="0" borderId="76" xfId="0" applyNumberFormat="1" applyFont="1" applyBorder="1" applyAlignment="1" applyProtection="1">
      <alignment vertical="center" shrinkToFit="1"/>
      <protection locked="0"/>
    </xf>
    <xf numFmtId="0" fontId="14" fillId="0" borderId="75" xfId="0" applyFont="1" applyBorder="1" applyAlignment="1" applyProtection="1">
      <alignment horizontal="right" vertical="center"/>
      <protection locked="0"/>
    </xf>
    <xf numFmtId="0" fontId="14" fillId="0" borderId="77" xfId="0" applyFont="1" applyBorder="1" applyAlignment="1" applyProtection="1">
      <alignment vertical="center"/>
      <protection locked="0"/>
    </xf>
    <xf numFmtId="0" fontId="14" fillId="0" borderId="78" xfId="0" applyFont="1" applyBorder="1" applyAlignment="1" applyProtection="1">
      <alignment vertical="center" wrapText="1"/>
      <protection locked="0"/>
    </xf>
    <xf numFmtId="177" fontId="14" fillId="0" borderId="78" xfId="0" applyNumberFormat="1" applyFont="1" applyBorder="1" applyAlignment="1" applyProtection="1">
      <alignment vertical="center" shrinkToFit="1"/>
      <protection locked="0"/>
    </xf>
    <xf numFmtId="0" fontId="13" fillId="0" borderId="65" xfId="0" applyFont="1" applyBorder="1" applyAlignment="1" applyProtection="1">
      <alignment horizontal="centerContinuous" vertical="center"/>
    </xf>
    <xf numFmtId="0" fontId="13" fillId="0" borderId="40" xfId="0" applyFont="1" applyBorder="1" applyAlignment="1" applyProtection="1">
      <alignment horizontal="center" vertical="center" wrapText="1"/>
    </xf>
    <xf numFmtId="0" fontId="13" fillId="0" borderId="40" xfId="0" applyFont="1" applyBorder="1" applyAlignment="1" applyProtection="1">
      <alignment horizontal="center" vertical="center"/>
    </xf>
    <xf numFmtId="177" fontId="13" fillId="0" borderId="40" xfId="0" applyNumberFormat="1" applyFont="1" applyBorder="1" applyAlignment="1" applyProtection="1">
      <alignment horizontal="center" vertical="center" shrinkToFit="1"/>
    </xf>
    <xf numFmtId="0" fontId="13" fillId="0" borderId="64" xfId="0" applyFont="1" applyBorder="1" applyAlignment="1" applyProtection="1">
      <alignment horizontal="centerContinuous" vertical="center"/>
    </xf>
    <xf numFmtId="0" fontId="12" fillId="0" borderId="74" xfId="0" applyFont="1" applyBorder="1" applyAlignment="1" applyProtection="1">
      <alignment vertical="center"/>
    </xf>
    <xf numFmtId="0" fontId="14" fillId="0" borderId="72" xfId="0" applyFont="1" applyBorder="1" applyAlignment="1" applyProtection="1">
      <alignment vertical="center"/>
    </xf>
    <xf numFmtId="0" fontId="14" fillId="0" borderId="63" xfId="0" applyFont="1" applyBorder="1" applyAlignment="1" applyProtection="1">
      <alignment horizontal="center" vertical="center"/>
    </xf>
    <xf numFmtId="0" fontId="14" fillId="0" borderId="76" xfId="0" applyFont="1" applyBorder="1" applyAlignment="1" applyProtection="1">
      <alignment vertical="center" shrinkToFit="1"/>
      <protection locked="0"/>
    </xf>
    <xf numFmtId="0" fontId="14" fillId="0" borderId="76" xfId="0" applyFont="1" applyBorder="1" applyAlignment="1" applyProtection="1">
      <alignment horizontal="center" vertical="center" shrinkToFit="1"/>
      <protection locked="0"/>
    </xf>
    <xf numFmtId="0" fontId="14" fillId="0" borderId="38" xfId="0" quotePrefix="1" applyFont="1" applyBorder="1" applyAlignment="1" applyProtection="1">
      <alignment vertical="center"/>
      <protection locked="0"/>
    </xf>
    <xf numFmtId="0" fontId="14" fillId="0" borderId="78" xfId="0" applyFont="1" applyBorder="1" applyAlignment="1" applyProtection="1">
      <alignment horizontal="center" vertical="center" shrinkToFit="1"/>
      <protection locked="0"/>
    </xf>
    <xf numFmtId="177" fontId="14" fillId="0" borderId="78" xfId="0" applyNumberFormat="1" applyFont="1" applyBorder="1" applyAlignment="1" applyProtection="1">
      <alignment horizontal="right" vertical="center" shrinkToFit="1"/>
      <protection locked="0"/>
    </xf>
    <xf numFmtId="0" fontId="14" fillId="0" borderId="79" xfId="0" applyFont="1" applyBorder="1" applyAlignment="1" applyProtection="1">
      <alignment vertical="center"/>
      <protection locked="0"/>
    </xf>
    <xf numFmtId="0" fontId="5" fillId="0" borderId="0" xfId="0" applyFont="1" applyAlignment="1">
      <alignment horizontal="right" vertical="center" wrapText="1"/>
    </xf>
    <xf numFmtId="0" fontId="5" fillId="0" borderId="0" xfId="0" applyFont="1" applyAlignment="1">
      <alignment vertical="center"/>
    </xf>
    <xf numFmtId="0" fontId="5" fillId="0" borderId="0" xfId="0" quotePrefix="1" applyFont="1" applyAlignment="1">
      <alignment horizontal="center" vertical="center"/>
    </xf>
    <xf numFmtId="177" fontId="5" fillId="0" borderId="0" xfId="0" applyNumberFormat="1" applyFont="1" applyAlignment="1">
      <alignment vertical="center" shrinkToFit="1"/>
    </xf>
    <xf numFmtId="180" fontId="14" fillId="0" borderId="75" xfId="0" applyNumberFormat="1" applyFont="1" applyBorder="1" applyAlignment="1" applyProtection="1">
      <alignment horizontal="right" vertical="center" shrinkToFit="1"/>
      <protection locked="0"/>
    </xf>
    <xf numFmtId="0" fontId="14" fillId="0" borderId="38" xfId="0" applyFont="1" applyBorder="1" applyAlignment="1" applyProtection="1">
      <alignment vertical="center" shrinkToFit="1"/>
      <protection locked="0"/>
    </xf>
    <xf numFmtId="0" fontId="14" fillId="0" borderId="76" xfId="0" applyFont="1" applyBorder="1" applyAlignment="1" applyProtection="1">
      <alignment horizontal="right" vertical="center" shrinkToFit="1"/>
      <protection locked="0"/>
    </xf>
    <xf numFmtId="38" fontId="14" fillId="0" borderId="78" xfId="0" applyNumberFormat="1" applyFont="1" applyBorder="1" applyAlignment="1" applyProtection="1">
      <alignment horizontal="right" vertical="center" shrinkToFit="1"/>
      <protection locked="0"/>
    </xf>
    <xf numFmtId="182" fontId="12" fillId="0" borderId="74" xfId="0" applyNumberFormat="1" applyFont="1" applyBorder="1" applyAlignment="1" applyProtection="1">
      <alignment vertical="center"/>
      <protection locked="0"/>
    </xf>
    <xf numFmtId="0" fontId="14" fillId="0" borderId="72" xfId="0" applyFont="1" applyBorder="1" applyAlignment="1" applyProtection="1">
      <alignment vertical="center" shrinkToFit="1"/>
      <protection locked="0"/>
    </xf>
    <xf numFmtId="0" fontId="14" fillId="0" borderId="63" xfId="0" applyFont="1" applyBorder="1" applyAlignment="1" applyProtection="1">
      <alignment vertical="center" shrinkToFit="1"/>
      <protection locked="0"/>
    </xf>
    <xf numFmtId="38" fontId="14" fillId="0" borderId="76" xfId="0" applyNumberFormat="1" applyFont="1" applyBorder="1" applyAlignment="1" applyProtection="1">
      <alignment horizontal="right" vertical="center" shrinkToFit="1"/>
      <protection locked="0"/>
    </xf>
    <xf numFmtId="0" fontId="14" fillId="0" borderId="63" xfId="0" applyFont="1" applyBorder="1" applyAlignment="1" applyProtection="1">
      <alignment horizontal="center" vertical="center" shrinkToFit="1"/>
      <protection locked="0"/>
    </xf>
    <xf numFmtId="38" fontId="14" fillId="0" borderId="76" xfId="0" applyNumberFormat="1" applyFont="1" applyBorder="1" applyAlignment="1" applyProtection="1">
      <alignment vertical="center" shrinkToFit="1"/>
      <protection locked="0"/>
    </xf>
    <xf numFmtId="0" fontId="14" fillId="0" borderId="80" xfId="0" applyFont="1" applyBorder="1" applyAlignment="1" applyProtection="1">
      <alignment vertical="center"/>
      <protection locked="0"/>
    </xf>
    <xf numFmtId="0" fontId="11" fillId="0" borderId="0" xfId="0" applyFont="1" applyAlignment="1">
      <alignment shrinkToFit="1"/>
    </xf>
    <xf numFmtId="0" fontId="2" fillId="4" borderId="0" xfId="0" applyFont="1" applyFill="1" applyProtection="1">
      <protection locked="0"/>
    </xf>
    <xf numFmtId="0" fontId="2" fillId="6" borderId="0" xfId="0" applyFont="1" applyFill="1" applyProtection="1"/>
    <xf numFmtId="0" fontId="20" fillId="6" borderId="0" xfId="0" applyFont="1" applyFill="1" applyProtection="1"/>
    <xf numFmtId="0" fontId="0" fillId="0" borderId="0" xfId="0" applyProtection="1"/>
    <xf numFmtId="0" fontId="27" fillId="4" borderId="0" xfId="0" applyFont="1" applyFill="1" applyProtection="1">
      <protection locked="0"/>
    </xf>
    <xf numFmtId="0" fontId="27" fillId="3" borderId="12" xfId="0" applyFont="1" applyFill="1" applyBorder="1" applyProtection="1">
      <protection locked="0"/>
    </xf>
    <xf numFmtId="0" fontId="27" fillId="3" borderId="13" xfId="0" applyFont="1" applyFill="1" applyBorder="1" applyProtection="1">
      <protection locked="0"/>
    </xf>
    <xf numFmtId="0" fontId="28" fillId="0" borderId="0" xfId="0" applyFont="1" applyAlignment="1">
      <alignment vertical="center"/>
    </xf>
    <xf numFmtId="0" fontId="27" fillId="0" borderId="0" xfId="0" applyFont="1" applyProtection="1">
      <protection locked="0"/>
    </xf>
    <xf numFmtId="0" fontId="21" fillId="3" borderId="0" xfId="0" applyFont="1" applyFill="1" applyProtection="1">
      <protection locked="0"/>
    </xf>
    <xf numFmtId="0" fontId="24" fillId="0" borderId="23" xfId="0" applyFont="1" applyBorder="1" applyAlignment="1">
      <alignment shrinkToFit="1"/>
    </xf>
    <xf numFmtId="0" fontId="0" fillId="0" borderId="0" xfId="0" applyFill="1"/>
    <xf numFmtId="0" fontId="0" fillId="0" borderId="0" xfId="0" quotePrefix="1" applyFill="1"/>
    <xf numFmtId="0" fontId="0" fillId="0" borderId="0" xfId="0" applyFill="1" applyProtection="1">
      <protection locked="0"/>
    </xf>
    <xf numFmtId="10" fontId="0" fillId="0" borderId="0" xfId="0" applyNumberFormat="1" applyFill="1"/>
    <xf numFmtId="0" fontId="0" fillId="6" borderId="0" xfId="0" applyFill="1"/>
    <xf numFmtId="0" fontId="0" fillId="0" borderId="0" xfId="0" applyAlignment="1" applyProtection="1">
      <alignment horizontal="right"/>
      <protection locked="0"/>
    </xf>
    <xf numFmtId="0" fontId="4" fillId="0" borderId="11" xfId="0" applyFont="1" applyBorder="1" applyAlignment="1">
      <alignment horizontal="center" vertical="center"/>
    </xf>
    <xf numFmtId="0" fontId="29" fillId="0" borderId="11" xfId="0" applyFont="1" applyBorder="1" applyAlignment="1">
      <alignment vertical="center"/>
    </xf>
    <xf numFmtId="0" fontId="4" fillId="0" borderId="81" xfId="0" applyFont="1" applyBorder="1" applyAlignment="1">
      <alignment horizontal="center" vertical="center"/>
    </xf>
    <xf numFmtId="0" fontId="24" fillId="0" borderId="0" xfId="0" applyFont="1" applyBorder="1" applyAlignment="1">
      <alignment shrinkToFit="1"/>
    </xf>
    <xf numFmtId="0" fontId="30" fillId="0" borderId="0" xfId="0" applyFont="1" applyAlignment="1">
      <alignment vertical="center"/>
    </xf>
    <xf numFmtId="0" fontId="24" fillId="0" borderId="52" xfId="0" applyFont="1" applyBorder="1" applyAlignment="1">
      <alignment horizontal="center" shrinkToFit="1"/>
    </xf>
    <xf numFmtId="0" fontId="24" fillId="0" borderId="52" xfId="0" applyFont="1" applyBorder="1" applyAlignment="1">
      <alignment shrinkToFit="1"/>
    </xf>
    <xf numFmtId="0" fontId="24" fillId="0" borderId="24" xfId="0" applyFont="1" applyBorder="1" applyAlignment="1">
      <alignment horizontal="center" shrinkToFit="1"/>
    </xf>
    <xf numFmtId="0" fontId="24" fillId="0" borderId="31" xfId="0" applyFont="1" applyBorder="1" applyAlignment="1">
      <alignment horizontal="center" shrinkToFit="1"/>
    </xf>
    <xf numFmtId="0" fontId="24" fillId="0" borderId="24" xfId="0" applyFont="1" applyBorder="1" applyAlignment="1">
      <alignment shrinkToFit="1"/>
    </xf>
    <xf numFmtId="0" fontId="24" fillId="0" borderId="83" xfId="0" applyFont="1" applyBorder="1" applyAlignment="1">
      <alignment shrinkToFit="1"/>
    </xf>
    <xf numFmtId="0" fontId="24" fillId="0" borderId="84" xfId="0" applyFont="1" applyBorder="1" applyAlignment="1">
      <alignment shrinkToFit="1"/>
    </xf>
    <xf numFmtId="0" fontId="24" fillId="0" borderId="85" xfId="0" applyFont="1" applyBorder="1" applyAlignment="1">
      <alignment shrinkToFit="1"/>
    </xf>
    <xf numFmtId="0" fontId="24" fillId="0" borderId="0" xfId="0" applyFont="1" applyBorder="1" applyAlignment="1">
      <alignment vertical="center" shrinkToFit="1"/>
    </xf>
    <xf numFmtId="0" fontId="24" fillId="0" borderId="86" xfId="0" applyFont="1" applyBorder="1" applyAlignment="1">
      <alignment vertical="center" shrinkToFit="1"/>
    </xf>
    <xf numFmtId="0" fontId="24" fillId="0" borderId="87" xfId="0" applyFont="1" applyBorder="1" applyAlignment="1">
      <alignment vertical="center" shrinkToFit="1"/>
    </xf>
    <xf numFmtId="0" fontId="24" fillId="0" borderId="0" xfId="0" applyFont="1" applyAlignment="1">
      <alignment vertical="center" shrinkToFit="1"/>
    </xf>
    <xf numFmtId="0" fontId="26" fillId="0" borderId="88" xfId="0" applyFont="1" applyBorder="1" applyAlignment="1">
      <alignment vertical="center" shrinkToFit="1"/>
    </xf>
    <xf numFmtId="0" fontId="2" fillId="0" borderId="0" xfId="0" applyFont="1" applyAlignment="1"/>
    <xf numFmtId="0" fontId="2" fillId="0" borderId="89" xfId="0" applyFont="1" applyFill="1" applyBorder="1" applyAlignment="1"/>
    <xf numFmtId="0" fontId="24" fillId="0" borderId="90" xfId="0" applyFont="1" applyBorder="1" applyAlignment="1">
      <alignment shrinkToFit="1"/>
    </xf>
    <xf numFmtId="0" fontId="24" fillId="0" borderId="91" xfId="0" applyFont="1" applyBorder="1" applyAlignment="1">
      <alignment shrinkToFit="1"/>
    </xf>
    <xf numFmtId="0" fontId="24" fillId="0" borderId="24" xfId="0" applyFont="1" applyBorder="1" applyAlignment="1">
      <alignment vertical="center" shrinkToFit="1"/>
    </xf>
    <xf numFmtId="0" fontId="24" fillId="0" borderId="23" xfId="0" applyFont="1" applyBorder="1" applyAlignment="1">
      <alignment vertical="center" shrinkToFit="1"/>
    </xf>
    <xf numFmtId="0" fontId="26" fillId="0" borderId="52" xfId="0" applyFont="1" applyBorder="1" applyAlignment="1">
      <alignment vertical="center" shrinkToFit="1"/>
    </xf>
    <xf numFmtId="0" fontId="24" fillId="0" borderId="83" xfId="0" applyNumberFormat="1" applyFont="1" applyBorder="1" applyAlignment="1">
      <alignment shrinkToFit="1"/>
    </xf>
    <xf numFmtId="0" fontId="24" fillId="0" borderId="24" xfId="0" applyNumberFormat="1" applyFont="1" applyBorder="1" applyAlignment="1">
      <alignment shrinkToFit="1"/>
    </xf>
    <xf numFmtId="0" fontId="26" fillId="0" borderId="95" xfId="0" applyFont="1" applyBorder="1" applyAlignment="1">
      <alignment shrinkToFit="1"/>
    </xf>
    <xf numFmtId="0" fontId="24" fillId="0" borderId="97" xfId="0" applyFont="1" applyBorder="1" applyAlignment="1">
      <alignment vertical="center" shrinkToFit="1"/>
    </xf>
    <xf numFmtId="183" fontId="24" fillId="0" borderId="24" xfId="0" quotePrefix="1" applyNumberFormat="1" applyFont="1" applyBorder="1" applyAlignment="1">
      <alignment vertical="center" shrinkToFit="1"/>
    </xf>
    <xf numFmtId="183" fontId="24" fillId="0" borderId="90" xfId="0" applyNumberFormat="1" applyFont="1" applyBorder="1" applyAlignment="1">
      <alignment shrinkToFit="1"/>
    </xf>
    <xf numFmtId="0" fontId="14" fillId="0" borderId="75" xfId="0" applyFont="1" applyBorder="1" applyAlignment="1" applyProtection="1">
      <alignment vertical="center"/>
      <protection locked="0"/>
    </xf>
    <xf numFmtId="177" fontId="14" fillId="0" borderId="38" xfId="0" applyNumberFormat="1" applyFont="1" applyBorder="1" applyAlignment="1" applyProtection="1">
      <alignment vertical="center"/>
      <protection locked="0"/>
    </xf>
    <xf numFmtId="184" fontId="24" fillId="0" borderId="86" xfId="0" applyNumberFormat="1" applyFont="1" applyBorder="1" applyAlignment="1">
      <alignment vertical="center" shrinkToFit="1"/>
    </xf>
    <xf numFmtId="184" fontId="24" fillId="0" borderId="87" xfId="0" applyNumberFormat="1" applyFont="1" applyBorder="1" applyAlignment="1">
      <alignment vertical="center" shrinkToFit="1"/>
    </xf>
    <xf numFmtId="184" fontId="24" fillId="0" borderId="100" xfId="0" applyNumberFormat="1" applyFont="1" applyBorder="1" applyAlignment="1">
      <alignment vertical="center" shrinkToFit="1"/>
    </xf>
    <xf numFmtId="185" fontId="24" fillId="0" borderId="97" xfId="0" applyNumberFormat="1" applyFont="1" applyBorder="1" applyAlignment="1">
      <alignment vertical="center" shrinkToFit="1"/>
    </xf>
    <xf numFmtId="185" fontId="24" fillId="0" borderId="24" xfId="0" applyNumberFormat="1" applyFont="1" applyBorder="1" applyAlignment="1">
      <alignment vertical="center" shrinkToFit="1"/>
    </xf>
    <xf numFmtId="185" fontId="24" fillId="0" borderId="23" xfId="0" applyNumberFormat="1" applyFont="1" applyBorder="1" applyAlignment="1">
      <alignment vertical="center" shrinkToFit="1"/>
    </xf>
    <xf numFmtId="185" fontId="24" fillId="0" borderId="31" xfId="0" applyNumberFormat="1" applyFont="1" applyBorder="1" applyAlignment="1">
      <alignment vertical="center" shrinkToFit="1"/>
    </xf>
    <xf numFmtId="185" fontId="24" fillId="0" borderId="90" xfId="0" applyNumberFormat="1" applyFont="1" applyBorder="1" applyAlignment="1">
      <alignment shrinkToFit="1"/>
    </xf>
    <xf numFmtId="185" fontId="24" fillId="0" borderId="91" xfId="0" applyNumberFormat="1" applyFont="1" applyBorder="1" applyAlignment="1">
      <alignment shrinkToFit="1"/>
    </xf>
    <xf numFmtId="185" fontId="24" fillId="0" borderId="102" xfId="0" applyNumberFormat="1" applyFont="1" applyBorder="1" applyAlignment="1">
      <alignment shrinkToFit="1"/>
    </xf>
    <xf numFmtId="0" fontId="4" fillId="0" borderId="23" xfId="0" applyFont="1" applyBorder="1" applyAlignment="1">
      <alignment vertical="center"/>
    </xf>
    <xf numFmtId="0" fontId="4" fillId="0" borderId="84" xfId="0" applyFont="1" applyBorder="1" applyAlignment="1">
      <alignment vertical="center"/>
    </xf>
    <xf numFmtId="179" fontId="14" fillId="7" borderId="78" xfId="0" applyNumberFormat="1" applyFont="1" applyFill="1" applyBorder="1" applyAlignment="1" applyProtection="1">
      <alignment vertical="center" shrinkToFit="1"/>
      <protection locked="0"/>
    </xf>
    <xf numFmtId="21" fontId="14" fillId="0" borderId="76" xfId="0" applyNumberFormat="1" applyFont="1" applyBorder="1" applyAlignment="1" applyProtection="1">
      <alignment vertical="center" wrapText="1"/>
      <protection locked="0"/>
    </xf>
    <xf numFmtId="179" fontId="14" fillId="7" borderId="72" xfId="0" applyNumberFormat="1" applyFont="1" applyFill="1" applyBorder="1" applyAlignment="1" applyProtection="1">
      <alignment vertical="center" shrinkToFit="1"/>
      <protection locked="0"/>
    </xf>
    <xf numFmtId="179" fontId="14" fillId="7" borderId="63" xfId="0" applyNumberFormat="1" applyFont="1" applyFill="1" applyBorder="1" applyAlignment="1" applyProtection="1">
      <alignment vertical="center" shrinkToFit="1"/>
      <protection locked="0"/>
    </xf>
    <xf numFmtId="179" fontId="14" fillId="7" borderId="63" xfId="0" applyNumberFormat="1" applyFont="1" applyFill="1" applyBorder="1" applyAlignment="1" applyProtection="1">
      <alignment vertical="center"/>
      <protection locked="0"/>
    </xf>
    <xf numFmtId="179" fontId="14" fillId="7" borderId="63" xfId="0" applyNumberFormat="1" applyFont="1" applyFill="1" applyBorder="1" applyAlignment="1" applyProtection="1">
      <alignment horizontal="center" vertical="center"/>
      <protection locked="0"/>
    </xf>
    <xf numFmtId="0" fontId="4" fillId="0" borderId="11" xfId="0" applyFont="1" applyBorder="1" applyAlignment="1" applyProtection="1">
      <alignment vertical="center"/>
      <protection locked="0"/>
    </xf>
    <xf numFmtId="0" fontId="24" fillId="0" borderId="0" xfId="0" applyFont="1" applyAlignment="1">
      <alignment horizontal="center" vertical="center"/>
    </xf>
    <xf numFmtId="0" fontId="24" fillId="0" borderId="0" xfId="0" applyFont="1" applyAlignment="1">
      <alignment vertical="center"/>
    </xf>
    <xf numFmtId="179" fontId="24" fillId="0" borderId="0" xfId="0" applyNumberFormat="1" applyFont="1" applyAlignment="1">
      <alignment vertical="center"/>
    </xf>
    <xf numFmtId="9" fontId="11" fillId="8" borderId="0" xfId="0" applyNumberFormat="1" applyFont="1" applyFill="1" applyAlignment="1">
      <alignment horizontal="center" vertical="center"/>
    </xf>
    <xf numFmtId="21" fontId="14" fillId="0" borderId="76" xfId="0" quotePrefix="1" applyNumberFormat="1" applyFont="1" applyBorder="1" applyAlignment="1" applyProtection="1">
      <alignment vertical="center" wrapText="1"/>
      <protection locked="0"/>
    </xf>
    <xf numFmtId="0" fontId="15" fillId="0" borderId="0" xfId="0" applyFont="1" applyAlignment="1">
      <alignment vertical="center"/>
    </xf>
    <xf numFmtId="176" fontId="6" fillId="9" borderId="0" xfId="0" applyNumberFormat="1" applyFont="1" applyFill="1" applyBorder="1" applyAlignment="1" applyProtection="1">
      <alignment vertical="center"/>
    </xf>
    <xf numFmtId="176" fontId="6" fillId="9" borderId="0" xfId="0" applyNumberFormat="1" applyFont="1" applyFill="1" applyBorder="1" applyAlignment="1" applyProtection="1">
      <alignment vertical="center" shrinkToFit="1"/>
    </xf>
    <xf numFmtId="0" fontId="0" fillId="3" borderId="0" xfId="0" applyFill="1" applyAlignment="1" applyProtection="1">
      <protection locked="0"/>
    </xf>
    <xf numFmtId="0" fontId="29" fillId="0" borderId="14" xfId="0" applyFont="1" applyBorder="1" applyAlignment="1">
      <alignment vertical="center" wrapText="1"/>
    </xf>
    <xf numFmtId="0" fontId="4" fillId="0" borderId="0" xfId="0" applyFont="1" applyBorder="1" applyAlignment="1">
      <alignment horizontal="center" vertical="center"/>
    </xf>
    <xf numFmtId="0" fontId="4" fillId="0" borderId="0" xfId="0" applyFont="1" applyBorder="1" applyAlignment="1">
      <alignment vertical="center"/>
    </xf>
    <xf numFmtId="0" fontId="29" fillId="0" borderId="0" xfId="0" applyFont="1" applyBorder="1" applyAlignment="1">
      <alignment vertical="center"/>
    </xf>
    <xf numFmtId="0" fontId="29" fillId="0" borderId="0" xfId="0" applyFont="1" applyBorder="1" applyAlignment="1">
      <alignment vertical="center" wrapText="1"/>
    </xf>
    <xf numFmtId="0" fontId="4" fillId="0" borderId="0" xfId="0" applyFont="1" applyBorder="1" applyAlignment="1" applyProtection="1">
      <alignment vertical="center"/>
      <protection locked="0"/>
    </xf>
    <xf numFmtId="0" fontId="23" fillId="0" borderId="0" xfId="0" applyFont="1" applyBorder="1" applyAlignment="1">
      <alignment horizontal="center" vertical="center"/>
    </xf>
    <xf numFmtId="0" fontId="4" fillId="0" borderId="81" xfId="0" applyFont="1" applyBorder="1" applyAlignment="1" applyProtection="1">
      <alignment vertical="center" shrinkToFit="1"/>
      <protection locked="0"/>
    </xf>
    <xf numFmtId="0" fontId="4" fillId="0" borderId="82" xfId="0" applyFont="1" applyBorder="1" applyAlignment="1" applyProtection="1">
      <alignment vertical="center" shrinkToFit="1"/>
      <protection locked="0"/>
    </xf>
    <xf numFmtId="0" fontId="4" fillId="0" borderId="11" xfId="0" applyFont="1" applyBorder="1" applyAlignment="1">
      <alignment vertical="center" shrinkToFit="1"/>
    </xf>
    <xf numFmtId="0" fontId="4" fillId="0" borderId="14" xfId="0" applyFont="1" applyBorder="1" applyAlignment="1">
      <alignment vertical="center" shrinkToFit="1"/>
    </xf>
    <xf numFmtId="0" fontId="4" fillId="0" borderId="82" xfId="0" applyFont="1" applyBorder="1" applyAlignment="1">
      <alignment vertical="center" shrinkToFit="1"/>
    </xf>
    <xf numFmtId="0" fontId="4" fillId="0" borderId="81" xfId="0" applyFont="1" applyBorder="1" applyAlignment="1">
      <alignment vertical="center" shrinkToFit="1"/>
    </xf>
    <xf numFmtId="0" fontId="24" fillId="0" borderId="96" xfId="0" applyFont="1" applyBorder="1" applyAlignment="1">
      <alignment shrinkToFit="1"/>
    </xf>
    <xf numFmtId="0" fontId="24" fillId="0" borderId="97" xfId="0" applyFont="1" applyBorder="1" applyAlignment="1">
      <alignment shrinkToFit="1"/>
    </xf>
    <xf numFmtId="0" fontId="24" fillId="0" borderId="98" xfId="0" applyFont="1" applyBorder="1" applyAlignment="1">
      <alignment shrinkToFit="1"/>
    </xf>
    <xf numFmtId="178" fontId="5" fillId="7" borderId="0" xfId="0" applyNumberFormat="1" applyFont="1" applyFill="1" applyAlignment="1" applyProtection="1">
      <alignment vertical="center" shrinkToFit="1"/>
      <protection locked="0"/>
    </xf>
    <xf numFmtId="0" fontId="22" fillId="0" borderId="0" xfId="0" applyFont="1" applyAlignment="1" applyProtection="1">
      <alignment horizontal="right" vertical="center"/>
      <protection locked="0"/>
    </xf>
    <xf numFmtId="9" fontId="24" fillId="0" borderId="0" xfId="0" applyNumberFormat="1" applyFont="1" applyFill="1" applyAlignment="1">
      <alignment horizontal="center" vertical="center"/>
    </xf>
    <xf numFmtId="0" fontId="19" fillId="0" borderId="2" xfId="0" applyFont="1" applyBorder="1" applyAlignment="1">
      <alignment horizontal="center" vertical="center" shrinkToFit="1"/>
    </xf>
    <xf numFmtId="179" fontId="19" fillId="0" borderId="103" xfId="0" applyNumberFormat="1" applyFont="1" applyBorder="1" applyAlignment="1" applyProtection="1">
      <alignment horizontal="center" vertical="center" shrinkToFit="1"/>
      <protection locked="0"/>
    </xf>
    <xf numFmtId="179" fontId="19" fillId="0" borderId="104" xfId="0" applyNumberFormat="1" applyFont="1" applyBorder="1" applyAlignment="1" applyProtection="1">
      <alignment horizontal="center" vertical="center" shrinkToFit="1"/>
      <protection locked="0"/>
    </xf>
    <xf numFmtId="0" fontId="19" fillId="0" borderId="105" xfId="0" applyFont="1" applyBorder="1" applyAlignment="1">
      <alignment horizontal="center" vertical="center" shrinkToFit="1"/>
    </xf>
    <xf numFmtId="0" fontId="19" fillId="0" borderId="4" xfId="0" applyFont="1" applyBorder="1" applyAlignment="1">
      <alignment horizontal="center" vertical="center" shrinkToFit="1"/>
    </xf>
    <xf numFmtId="0" fontId="19" fillId="0" borderId="5"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06" xfId="0" applyFont="1" applyBorder="1" applyAlignment="1">
      <alignment horizontal="center" vertical="center" shrinkToFit="1"/>
    </xf>
    <xf numFmtId="0" fontId="19" fillId="0" borderId="50" xfId="0" applyFont="1" applyBorder="1" applyAlignment="1">
      <alignment horizontal="center" vertical="center" shrinkToFit="1"/>
    </xf>
    <xf numFmtId="179" fontId="19" fillId="0" borderId="107" xfId="0" applyNumberFormat="1" applyFont="1" applyBorder="1" applyAlignment="1">
      <alignment horizontal="center" vertical="center" shrinkToFit="1"/>
    </xf>
    <xf numFmtId="179" fontId="19" fillId="0" borderId="108" xfId="0" applyNumberFormat="1" applyFont="1" applyBorder="1" applyAlignment="1">
      <alignment horizontal="center" vertical="center" shrinkToFit="1"/>
    </xf>
    <xf numFmtId="0" fontId="19" fillId="0" borderId="109" xfId="0" applyFont="1" applyBorder="1" applyAlignment="1">
      <alignment horizontal="center" vertical="center" shrinkToFit="1"/>
    </xf>
    <xf numFmtId="0" fontId="19" fillId="0" borderId="110" xfId="0" applyFont="1" applyBorder="1" applyAlignment="1">
      <alignment horizontal="center" vertical="center" shrinkToFit="1"/>
    </xf>
    <xf numFmtId="179" fontId="19" fillId="0" borderId="111" xfId="0" applyNumberFormat="1" applyFont="1" applyBorder="1" applyAlignment="1" applyProtection="1">
      <alignment horizontal="center" vertical="center" shrinkToFit="1"/>
    </xf>
    <xf numFmtId="0" fontId="19" fillId="0" borderId="17" xfId="0" applyFont="1" applyBorder="1" applyAlignment="1" applyProtection="1">
      <alignment horizontal="center" vertical="center" shrinkToFit="1"/>
      <protection locked="0"/>
    </xf>
    <xf numFmtId="178" fontId="19" fillId="0" borderId="67" xfId="0" applyNumberFormat="1" applyFont="1" applyBorder="1" applyAlignment="1" applyProtection="1">
      <alignment horizontal="center" vertical="center" shrinkToFit="1"/>
      <protection locked="0"/>
    </xf>
    <xf numFmtId="178" fontId="19" fillId="0" borderId="41" xfId="0" applyNumberFormat="1" applyFont="1" applyBorder="1" applyAlignment="1" applyProtection="1">
      <alignment horizontal="center" vertical="center" shrinkToFit="1"/>
      <protection locked="0"/>
    </xf>
    <xf numFmtId="0" fontId="19" fillId="0" borderId="112" xfId="0" applyFont="1" applyBorder="1" applyAlignment="1" applyProtection="1">
      <alignment vertical="center" shrinkToFit="1"/>
      <protection locked="0"/>
    </xf>
    <xf numFmtId="0" fontId="19" fillId="0" borderId="51" xfId="0" applyFont="1" applyBorder="1" applyAlignment="1" applyProtection="1">
      <alignment vertical="center" shrinkToFit="1"/>
      <protection locked="0"/>
    </xf>
    <xf numFmtId="0" fontId="19" fillId="0" borderId="113" xfId="0" applyFont="1" applyBorder="1" applyAlignment="1" applyProtection="1">
      <alignment vertical="center" shrinkToFit="1"/>
      <protection locked="0"/>
    </xf>
    <xf numFmtId="0" fontId="19" fillId="0" borderId="51" xfId="0" applyFont="1" applyBorder="1" applyAlignment="1" applyProtection="1">
      <alignment horizontal="center" vertical="center" shrinkToFit="1"/>
      <protection locked="0"/>
    </xf>
    <xf numFmtId="179" fontId="19" fillId="10" borderId="114" xfId="0" applyNumberFormat="1" applyFont="1" applyFill="1" applyBorder="1" applyAlignment="1" applyProtection="1">
      <alignment vertical="center" shrinkToFit="1"/>
      <protection locked="0"/>
    </xf>
    <xf numFmtId="178" fontId="19" fillId="0" borderId="115" xfId="0" applyNumberFormat="1" applyFont="1" applyBorder="1" applyAlignment="1" applyProtection="1">
      <alignment horizontal="center" vertical="center" shrinkToFit="1"/>
      <protection locked="0"/>
    </xf>
    <xf numFmtId="179" fontId="19" fillId="0" borderId="116" xfId="0" applyNumberFormat="1" applyFont="1" applyBorder="1" applyAlignment="1" applyProtection="1">
      <alignment vertical="center" shrinkToFit="1"/>
    </xf>
    <xf numFmtId="0" fontId="19" fillId="0" borderId="18" xfId="0" applyFont="1" applyBorder="1" applyAlignment="1" applyProtection="1">
      <alignment horizontal="center" vertical="center" shrinkToFit="1"/>
      <protection locked="0"/>
    </xf>
    <xf numFmtId="178" fontId="19" fillId="0" borderId="68" xfId="0" applyNumberFormat="1" applyFont="1" applyBorder="1" applyAlignment="1" applyProtection="1">
      <alignment horizontal="center" vertical="center" shrinkToFit="1"/>
      <protection locked="0"/>
    </xf>
    <xf numFmtId="178" fontId="19" fillId="0" borderId="42" xfId="0" applyNumberFormat="1" applyFont="1" applyBorder="1" applyAlignment="1" applyProtection="1">
      <alignment horizontal="center" vertical="center" shrinkToFit="1"/>
      <protection locked="0"/>
    </xf>
    <xf numFmtId="0" fontId="19" fillId="0" borderId="117" xfId="0" applyFont="1" applyBorder="1" applyAlignment="1" applyProtection="1">
      <alignment vertical="center" shrinkToFit="1"/>
      <protection locked="0"/>
    </xf>
    <xf numFmtId="0" fontId="19" fillId="0" borderId="52" xfId="0" applyFont="1" applyBorder="1" applyAlignment="1" applyProtection="1">
      <alignment vertical="center" shrinkToFit="1"/>
      <protection locked="0"/>
    </xf>
    <xf numFmtId="0" fontId="19" fillId="0" borderId="23" xfId="0" applyFont="1" applyBorder="1" applyAlignment="1" applyProtection="1">
      <alignment vertical="center" shrinkToFit="1"/>
      <protection locked="0"/>
    </xf>
    <xf numFmtId="0" fontId="19" fillId="0" borderId="52" xfId="0" applyFont="1" applyBorder="1" applyAlignment="1" applyProtection="1">
      <alignment horizontal="center" vertical="center" shrinkToFit="1"/>
      <protection locked="0"/>
    </xf>
    <xf numFmtId="179" fontId="19" fillId="10" borderId="118" xfId="0" applyNumberFormat="1" applyFont="1" applyFill="1" applyBorder="1" applyAlignment="1" applyProtection="1">
      <alignment vertical="center" shrinkToFit="1"/>
      <protection locked="0"/>
    </xf>
    <xf numFmtId="178" fontId="19" fillId="0" borderId="119" xfId="0" applyNumberFormat="1" applyFont="1" applyBorder="1" applyAlignment="1" applyProtection="1">
      <alignment horizontal="center" vertical="center" shrinkToFit="1"/>
      <protection locked="0"/>
    </xf>
    <xf numFmtId="179" fontId="19" fillId="0" borderId="120" xfId="0" applyNumberFormat="1" applyFont="1" applyBorder="1" applyAlignment="1" applyProtection="1">
      <alignment vertical="center" shrinkToFit="1"/>
    </xf>
    <xf numFmtId="0" fontId="19" fillId="0" borderId="121" xfId="0" applyFont="1" applyBorder="1" applyAlignment="1" applyProtection="1">
      <alignment horizontal="center" vertical="center" shrinkToFit="1"/>
      <protection locked="0"/>
    </xf>
    <xf numFmtId="178" fontId="19" fillId="0" borderId="122" xfId="0" applyNumberFormat="1" applyFont="1" applyBorder="1" applyAlignment="1" applyProtection="1">
      <alignment horizontal="center" vertical="center" shrinkToFit="1"/>
      <protection locked="0"/>
    </xf>
    <xf numFmtId="178" fontId="19" fillId="0" borderId="123" xfId="0" applyNumberFormat="1" applyFont="1" applyBorder="1" applyAlignment="1" applyProtection="1">
      <alignment horizontal="center" vertical="center" shrinkToFit="1"/>
      <protection locked="0"/>
    </xf>
    <xf numFmtId="0" fontId="19" fillId="0" borderId="124" xfId="0" applyFont="1" applyBorder="1" applyAlignment="1" applyProtection="1">
      <alignment vertical="center" shrinkToFit="1"/>
      <protection locked="0"/>
    </xf>
    <xf numFmtId="0" fontId="19" fillId="0" borderId="125" xfId="0" applyFont="1" applyBorder="1" applyAlignment="1" applyProtection="1">
      <alignment vertical="center" shrinkToFit="1"/>
      <protection locked="0"/>
    </xf>
    <xf numFmtId="0" fontId="19" fillId="0" borderId="126" xfId="0" applyFont="1" applyBorder="1" applyAlignment="1" applyProtection="1">
      <alignment vertical="center" shrinkToFit="1"/>
      <protection locked="0"/>
    </xf>
    <xf numFmtId="0" fontId="19" fillId="0" borderId="125" xfId="0" applyFont="1" applyBorder="1" applyAlignment="1" applyProtection="1">
      <alignment horizontal="center" vertical="center" shrinkToFit="1"/>
      <protection locked="0"/>
    </xf>
    <xf numFmtId="179" fontId="19" fillId="10" borderId="108" xfId="0" applyNumberFormat="1" applyFont="1" applyFill="1" applyBorder="1" applyAlignment="1" applyProtection="1">
      <alignment vertical="center" shrinkToFit="1"/>
      <protection locked="0"/>
    </xf>
    <xf numFmtId="178" fontId="19" fillId="0" borderId="127" xfId="0" applyNumberFormat="1" applyFont="1" applyBorder="1" applyAlignment="1" applyProtection="1">
      <alignment horizontal="center" vertical="center" shrinkToFit="1"/>
      <protection locked="0"/>
    </xf>
    <xf numFmtId="179" fontId="19" fillId="0" borderId="111" xfId="0" applyNumberFormat="1" applyFont="1" applyBorder="1" applyAlignment="1" applyProtection="1">
      <alignment vertical="center" shrinkToFit="1"/>
    </xf>
    <xf numFmtId="0" fontId="14" fillId="0" borderId="0" xfId="0" applyFont="1" applyAlignment="1">
      <alignment vertical="center"/>
    </xf>
    <xf numFmtId="186" fontId="14" fillId="0" borderId="63" xfId="0" applyNumberFormat="1" applyFont="1" applyBorder="1" applyAlignment="1" applyProtection="1">
      <alignment vertical="center"/>
      <protection locked="0"/>
    </xf>
    <xf numFmtId="186" fontId="14" fillId="0" borderId="76" xfId="0" applyNumberFormat="1" applyFont="1" applyBorder="1" applyAlignment="1" applyProtection="1">
      <alignment vertical="center" shrinkToFit="1"/>
      <protection locked="0"/>
    </xf>
    <xf numFmtId="186" fontId="14" fillId="0" borderId="78" xfId="0" applyNumberFormat="1" applyFont="1" applyBorder="1" applyAlignment="1" applyProtection="1">
      <alignment vertical="center" shrinkToFit="1"/>
      <protection locked="0"/>
    </xf>
    <xf numFmtId="0" fontId="29" fillId="0" borderId="11" xfId="0" applyFont="1" applyBorder="1" applyAlignment="1">
      <alignment vertical="center" wrapText="1"/>
    </xf>
    <xf numFmtId="0" fontId="24" fillId="0" borderId="128" xfId="0" applyFont="1" applyBorder="1" applyAlignment="1">
      <alignment horizontal="center" shrinkToFit="1"/>
    </xf>
    <xf numFmtId="0" fontId="24" fillId="0" borderId="129" xfId="0" applyFont="1" applyBorder="1" applyAlignment="1">
      <alignment horizontal="center" shrinkToFit="1"/>
    </xf>
    <xf numFmtId="0" fontId="32" fillId="0" borderId="129" xfId="0" applyNumberFormat="1" applyFont="1" applyBorder="1" applyAlignment="1">
      <alignment horizontal="center"/>
    </xf>
    <xf numFmtId="0" fontId="24" fillId="0" borderId="130" xfId="0" applyFont="1" applyBorder="1" applyAlignment="1">
      <alignment horizontal="center" shrinkToFit="1"/>
    </xf>
    <xf numFmtId="184" fontId="24" fillId="0" borderId="129" xfId="0" applyNumberFormat="1" applyFont="1" applyBorder="1" applyAlignment="1">
      <alignment horizontal="center" shrinkToFit="1"/>
    </xf>
    <xf numFmtId="0" fontId="0" fillId="0" borderId="129" xfId="0" applyBorder="1" applyAlignment="1">
      <alignment horizontal="center" vertical="center" shrinkToFit="1"/>
    </xf>
    <xf numFmtId="0" fontId="24" fillId="0" borderId="129" xfId="0" applyFont="1" applyBorder="1" applyAlignment="1">
      <alignment shrinkToFit="1"/>
    </xf>
    <xf numFmtId="185" fontId="24" fillId="0" borderId="23" xfId="0" quotePrefix="1" applyNumberFormat="1" applyFont="1" applyBorder="1" applyAlignment="1">
      <alignment vertical="center" shrinkToFit="1"/>
    </xf>
    <xf numFmtId="185" fontId="24" fillId="0" borderId="87" xfId="0" applyNumberFormat="1" applyFont="1" applyBorder="1" applyAlignment="1">
      <alignment shrinkToFit="1"/>
    </xf>
    <xf numFmtId="179" fontId="4" fillId="7" borderId="81" xfId="0" applyNumberFormat="1" applyFont="1" applyFill="1" applyBorder="1" applyAlignment="1" applyProtection="1">
      <alignment vertical="center"/>
    </xf>
    <xf numFmtId="179" fontId="4" fillId="7" borderId="82" xfId="0" applyNumberFormat="1" applyFont="1" applyFill="1" applyBorder="1" applyAlignment="1" applyProtection="1">
      <alignment vertical="center"/>
    </xf>
    <xf numFmtId="179" fontId="4" fillId="7" borderId="132" xfId="0" applyNumberFormat="1" applyFont="1" applyFill="1" applyBorder="1" applyAlignment="1" applyProtection="1">
      <alignment vertical="center"/>
    </xf>
    <xf numFmtId="179" fontId="4" fillId="7" borderId="11" xfId="0" applyNumberFormat="1" applyFont="1" applyFill="1" applyBorder="1" applyAlignment="1" applyProtection="1">
      <alignment vertical="center"/>
    </xf>
    <xf numFmtId="0" fontId="19" fillId="0" borderId="133" xfId="0" applyFont="1" applyBorder="1" applyAlignment="1">
      <alignment horizontal="center" vertical="center" shrinkToFit="1"/>
    </xf>
    <xf numFmtId="0" fontId="19" fillId="0" borderId="134" xfId="0" applyFont="1" applyBorder="1" applyAlignment="1">
      <alignment horizontal="center" vertical="center" shrinkToFit="1"/>
    </xf>
    <xf numFmtId="0" fontId="19" fillId="0" borderId="135" xfId="0" applyFont="1" applyBorder="1" applyAlignment="1" applyProtection="1">
      <alignment horizontal="center" vertical="center" shrinkToFit="1"/>
      <protection locked="0"/>
    </xf>
    <xf numFmtId="178" fontId="19" fillId="0" borderId="136" xfId="0" applyNumberFormat="1" applyFont="1" applyBorder="1" applyAlignment="1" applyProtection="1">
      <alignment horizontal="center" vertical="center" shrinkToFit="1"/>
      <protection locked="0"/>
    </xf>
    <xf numFmtId="0" fontId="19" fillId="0" borderId="136" xfId="0" applyFont="1" applyBorder="1" applyAlignment="1" applyProtection="1">
      <alignment vertical="center" shrinkToFit="1"/>
      <protection locked="0"/>
    </xf>
    <xf numFmtId="0" fontId="19" fillId="0" borderId="137" xfId="0" applyFont="1" applyBorder="1" applyAlignment="1" applyProtection="1">
      <alignment horizontal="right" vertical="center" shrinkToFit="1"/>
      <protection locked="0"/>
    </xf>
    <xf numFmtId="179" fontId="19" fillId="11" borderId="138" xfId="0" applyNumberFormat="1" applyFont="1" applyFill="1" applyBorder="1" applyAlignment="1" applyProtection="1">
      <alignment vertical="center" shrinkToFit="1"/>
      <protection locked="0"/>
    </xf>
    <xf numFmtId="0" fontId="19" fillId="0" borderId="1" xfId="0" applyFont="1" applyBorder="1" applyAlignment="1" applyProtection="1">
      <alignment horizontal="center" vertical="center" shrinkToFit="1"/>
      <protection locked="0"/>
    </xf>
    <xf numFmtId="178" fontId="19" fillId="0" borderId="2" xfId="0" applyNumberFormat="1" applyFont="1" applyBorder="1" applyAlignment="1" applyProtection="1">
      <alignment horizontal="center" vertical="center" shrinkToFit="1"/>
      <protection locked="0"/>
    </xf>
    <xf numFmtId="178" fontId="19" fillId="0" borderId="3" xfId="0" applyNumberFormat="1" applyFont="1" applyBorder="1" applyAlignment="1" applyProtection="1">
      <alignment horizontal="center" vertical="center" shrinkToFit="1"/>
      <protection locked="0"/>
    </xf>
    <xf numFmtId="0" fontId="19" fillId="0" borderId="139" xfId="0" applyFont="1" applyBorder="1" applyAlignment="1" applyProtection="1">
      <alignment vertical="center" shrinkToFit="1"/>
      <protection locked="0"/>
    </xf>
    <xf numFmtId="0" fontId="19" fillId="0" borderId="49" xfId="0" applyFont="1" applyBorder="1" applyAlignment="1" applyProtection="1">
      <alignment horizontal="right" vertical="center" shrinkToFit="1"/>
      <protection locked="0"/>
    </xf>
    <xf numFmtId="0" fontId="19" fillId="0" borderId="140" xfId="0" applyFont="1" applyBorder="1" applyAlignment="1" applyProtection="1">
      <alignment horizontal="right" vertical="center" shrinkToFit="1"/>
      <protection locked="0"/>
    </xf>
    <xf numFmtId="0" fontId="19" fillId="0" borderId="141" xfId="0" applyFont="1" applyBorder="1" applyAlignment="1" applyProtection="1">
      <alignment vertical="center" shrinkToFit="1"/>
      <protection locked="0"/>
    </xf>
    <xf numFmtId="0" fontId="19" fillId="0" borderId="49" xfId="0" applyFont="1" applyBorder="1" applyAlignment="1" applyProtection="1">
      <alignment vertical="center" shrinkToFit="1"/>
      <protection locked="0"/>
    </xf>
    <xf numFmtId="0" fontId="19" fillId="0" borderId="142" xfId="0" applyFont="1" applyBorder="1" applyAlignment="1" applyProtection="1">
      <alignment vertical="center" shrinkToFit="1"/>
      <protection locked="0"/>
    </xf>
    <xf numFmtId="0" fontId="19" fillId="0" borderId="140" xfId="0" applyFont="1" applyBorder="1" applyAlignment="1" applyProtection="1">
      <alignment horizontal="center" vertical="center" shrinkToFit="1"/>
      <protection locked="0"/>
    </xf>
    <xf numFmtId="176" fontId="19" fillId="0" borderId="143" xfId="0" applyNumberFormat="1" applyFont="1" applyBorder="1" applyAlignment="1" applyProtection="1">
      <alignment vertical="center" shrinkToFit="1"/>
    </xf>
    <xf numFmtId="0" fontId="19" fillId="0" borderId="144" xfId="0" applyFont="1" applyBorder="1" applyAlignment="1">
      <alignment horizontal="center" vertical="center" shrinkToFit="1"/>
    </xf>
    <xf numFmtId="0" fontId="19" fillId="0" borderId="145" xfId="0" applyFont="1" applyBorder="1" applyAlignment="1">
      <alignment horizontal="center" vertical="center" shrinkToFit="1"/>
    </xf>
    <xf numFmtId="179" fontId="19" fillId="11" borderId="146" xfId="0" applyNumberFormat="1" applyFont="1" applyFill="1" applyBorder="1" applyAlignment="1" applyProtection="1">
      <alignment vertical="center" shrinkToFit="1"/>
      <protection locked="0"/>
    </xf>
    <xf numFmtId="179" fontId="19" fillId="11" borderId="147" xfId="0" applyNumberFormat="1" applyFont="1" applyFill="1" applyBorder="1" applyAlignment="1" applyProtection="1">
      <alignment vertical="center" shrinkToFit="1"/>
      <protection locked="0"/>
    </xf>
    <xf numFmtId="179" fontId="19" fillId="11" borderId="107" xfId="0" applyNumberFormat="1" applyFont="1" applyFill="1" applyBorder="1" applyAlignment="1" applyProtection="1">
      <alignment vertical="center" shrinkToFit="1"/>
      <protection locked="0"/>
    </xf>
    <xf numFmtId="0" fontId="26" fillId="0" borderId="86" xfId="0" applyFont="1" applyBorder="1" applyAlignment="1">
      <alignment horizontal="right" vertical="center" shrinkToFit="1"/>
    </xf>
    <xf numFmtId="0" fontId="24" fillId="0" borderId="148" xfId="0" applyNumberFormat="1" applyFont="1" applyBorder="1" applyAlignment="1">
      <alignment horizontal="center" shrinkToFit="1"/>
    </xf>
    <xf numFmtId="184" fontId="24" fillId="0" borderId="87" xfId="0" quotePrefix="1" applyNumberFormat="1" applyFont="1" applyBorder="1" applyAlignment="1">
      <alignment vertical="center" shrinkToFit="1"/>
    </xf>
    <xf numFmtId="0" fontId="24" fillId="0" borderId="0" xfId="0" applyFont="1" applyAlignment="1">
      <alignment horizontal="center" shrinkToFit="1"/>
    </xf>
    <xf numFmtId="0" fontId="24" fillId="0" borderId="0" xfId="0" applyNumberFormat="1" applyFont="1" applyBorder="1" applyAlignment="1">
      <alignment shrinkToFit="1"/>
    </xf>
    <xf numFmtId="0" fontId="24" fillId="0" borderId="89" xfId="0" applyNumberFormat="1" applyFont="1" applyBorder="1" applyAlignment="1">
      <alignment shrinkToFit="1"/>
    </xf>
    <xf numFmtId="0" fontId="24" fillId="0" borderId="89" xfId="0" applyFont="1" applyBorder="1" applyAlignment="1">
      <alignment shrinkToFit="1"/>
    </xf>
    <xf numFmtId="177" fontId="31" fillId="0" borderId="89" xfId="0" applyNumberFormat="1" applyFont="1" applyBorder="1" applyAlignment="1">
      <alignment shrinkToFit="1"/>
    </xf>
    <xf numFmtId="0" fontId="31" fillId="0" borderId="89" xfId="0" applyFont="1" applyBorder="1" applyAlignment="1"/>
    <xf numFmtId="177" fontId="24" fillId="0" borderId="89" xfId="0" applyNumberFormat="1" applyFont="1" applyBorder="1" applyAlignment="1">
      <alignment shrinkToFit="1"/>
    </xf>
    <xf numFmtId="0" fontId="24" fillId="0" borderId="0" xfId="0" applyFont="1" applyBorder="1" applyAlignment="1">
      <alignment horizontal="center" shrinkToFit="1"/>
    </xf>
    <xf numFmtId="0" fontId="24" fillId="12" borderId="14" xfId="0" applyFont="1" applyFill="1" applyBorder="1" applyAlignment="1">
      <alignment vertical="center" shrinkToFit="1"/>
    </xf>
    <xf numFmtId="0" fontId="24" fillId="12" borderId="15" xfId="0" applyFont="1" applyFill="1" applyBorder="1" applyAlignment="1">
      <alignment vertical="center" shrinkToFit="1"/>
    </xf>
    <xf numFmtId="0" fontId="24" fillId="12" borderId="132" xfId="0" applyFont="1" applyFill="1" applyBorder="1" applyAlignment="1">
      <alignment vertical="center" shrinkToFit="1"/>
    </xf>
    <xf numFmtId="0" fontId="24" fillId="12" borderId="149" xfId="0" applyFont="1" applyFill="1" applyBorder="1" applyAlignment="1">
      <alignment horizontal="center" shrinkToFit="1"/>
    </xf>
    <xf numFmtId="0" fontId="24" fillId="12" borderId="150" xfId="0" applyFont="1" applyFill="1" applyBorder="1" applyAlignment="1">
      <alignment horizontal="center" shrinkToFit="1"/>
    </xf>
    <xf numFmtId="0" fontId="24" fillId="12" borderId="151" xfId="0" applyFont="1" applyFill="1" applyBorder="1" applyAlignment="1">
      <alignment horizontal="center" shrinkToFit="1"/>
    </xf>
    <xf numFmtId="0" fontId="24" fillId="12" borderId="14" xfId="0" applyFont="1" applyFill="1" applyBorder="1" applyAlignment="1">
      <alignment shrinkToFit="1"/>
    </xf>
    <xf numFmtId="0" fontId="24" fillId="12" borderId="15" xfId="0" applyFont="1" applyFill="1" applyBorder="1" applyAlignment="1">
      <alignment shrinkToFit="1"/>
    </xf>
    <xf numFmtId="0" fontId="24" fillId="12" borderId="132" xfId="0" applyFont="1" applyFill="1" applyBorder="1" applyAlignment="1">
      <alignment shrinkToFit="1"/>
    </xf>
    <xf numFmtId="184" fontId="24" fillId="12" borderId="96" xfId="0" applyNumberFormat="1" applyFont="1" applyFill="1" applyBorder="1" applyAlignment="1">
      <alignment vertical="center" shrinkToFit="1"/>
    </xf>
    <xf numFmtId="184" fontId="24" fillId="12" borderId="97" xfId="0" applyNumberFormat="1" applyFont="1" applyFill="1" applyBorder="1" applyAlignment="1">
      <alignment vertical="center" shrinkToFit="1"/>
    </xf>
    <xf numFmtId="184" fontId="24" fillId="12" borderId="101" xfId="0" applyNumberFormat="1" applyFont="1" applyFill="1" applyBorder="1" applyAlignment="1">
      <alignment vertical="center" shrinkToFit="1"/>
    </xf>
    <xf numFmtId="184" fontId="24" fillId="12" borderId="24" xfId="0" applyNumberFormat="1" applyFont="1" applyFill="1" applyBorder="1" applyAlignment="1">
      <alignment vertical="center" shrinkToFit="1"/>
    </xf>
    <xf numFmtId="184" fontId="24" fillId="12" borderId="23" xfId="0" applyNumberFormat="1" applyFont="1" applyFill="1" applyBorder="1" applyAlignment="1">
      <alignment vertical="center" shrinkToFit="1"/>
    </xf>
    <xf numFmtId="184" fontId="24" fillId="12" borderId="31" xfId="0" applyNumberFormat="1" applyFont="1" applyFill="1" applyBorder="1" applyAlignment="1">
      <alignment vertical="center" shrinkToFit="1"/>
    </xf>
    <xf numFmtId="184" fontId="24" fillId="12" borderId="87" xfId="0" applyNumberFormat="1" applyFont="1" applyFill="1" applyBorder="1" applyAlignment="1">
      <alignment vertical="center" shrinkToFit="1"/>
    </xf>
    <xf numFmtId="184" fontId="24" fillId="12" borderId="100" xfId="0" applyNumberFormat="1" applyFont="1" applyFill="1" applyBorder="1" applyAlignment="1">
      <alignment vertical="center" shrinkToFit="1"/>
    </xf>
    <xf numFmtId="184" fontId="24" fillId="0" borderId="0" xfId="0" applyNumberFormat="1" applyFont="1" applyFill="1" applyBorder="1" applyAlignment="1">
      <alignment vertical="center" shrinkToFit="1"/>
    </xf>
    <xf numFmtId="0" fontId="30" fillId="0" borderId="38" xfId="0" applyFont="1" applyBorder="1" applyAlignment="1" applyProtection="1">
      <alignment vertical="center"/>
      <protection locked="0"/>
    </xf>
    <xf numFmtId="0" fontId="30" fillId="0" borderId="76" xfId="0" applyFont="1" applyBorder="1" applyAlignment="1" applyProtection="1">
      <alignment vertical="center"/>
      <protection locked="0"/>
    </xf>
    <xf numFmtId="0" fontId="29" fillId="0" borderId="82" xfId="0" applyFont="1" applyBorder="1" applyAlignment="1">
      <alignment vertical="center" wrapText="1"/>
    </xf>
    <xf numFmtId="0" fontId="0" fillId="13" borderId="0" xfId="0" applyFill="1"/>
    <xf numFmtId="58" fontId="18" fillId="0" borderId="0" xfId="0" applyNumberFormat="1" applyFont="1" applyBorder="1" applyAlignment="1" applyProtection="1">
      <alignment horizontal="left" vertical="center" shrinkToFit="1"/>
      <protection locked="0"/>
    </xf>
    <xf numFmtId="0" fontId="29" fillId="0" borderId="11" xfId="0" applyFont="1" applyBorder="1" applyAlignment="1">
      <alignment horizontal="center" vertical="center" wrapText="1"/>
    </xf>
    <xf numFmtId="0" fontId="29" fillId="0" borderId="177" xfId="0" applyFont="1" applyBorder="1" applyAlignment="1">
      <alignment horizontal="center" vertical="center" wrapText="1"/>
    </xf>
    <xf numFmtId="0" fontId="4" fillId="0" borderId="132" xfId="0" applyFont="1" applyBorder="1" applyAlignment="1">
      <alignment horizontal="center" vertical="center"/>
    </xf>
    <xf numFmtId="0" fontId="4" fillId="0" borderId="177" xfId="0" applyFont="1" applyBorder="1" applyAlignment="1">
      <alignment vertical="center" shrinkToFit="1"/>
    </xf>
    <xf numFmtId="0" fontId="4" fillId="0" borderId="132" xfId="0" applyFont="1" applyBorder="1" applyAlignment="1">
      <alignment vertical="center" shrinkToFit="1"/>
    </xf>
    <xf numFmtId="0" fontId="4" fillId="0" borderId="11" xfId="0" applyFont="1" applyBorder="1" applyAlignment="1">
      <alignment vertical="center"/>
    </xf>
    <xf numFmtId="0" fontId="24" fillId="0" borderId="172" xfId="0" applyFont="1" applyBorder="1" applyAlignment="1">
      <alignment shrinkToFit="1"/>
    </xf>
    <xf numFmtId="0" fontId="24" fillId="0" borderId="172" xfId="0" applyFont="1" applyBorder="1" applyAlignment="1">
      <alignment horizontal="center" shrinkToFit="1"/>
    </xf>
    <xf numFmtId="0" fontId="24" fillId="0" borderId="131" xfId="0" applyFont="1" applyBorder="1" applyAlignment="1">
      <alignment horizontal="center" shrinkToFit="1"/>
    </xf>
    <xf numFmtId="0" fontId="24" fillId="0" borderId="178" xfId="0" applyFont="1" applyBorder="1" applyAlignment="1">
      <alignment horizontal="center" shrinkToFit="1"/>
    </xf>
    <xf numFmtId="0" fontId="24" fillId="0" borderId="179" xfId="0" applyFont="1" applyBorder="1" applyAlignment="1">
      <alignment horizontal="center" shrinkToFit="1"/>
    </xf>
    <xf numFmtId="0" fontId="24" fillId="0" borderId="101" xfId="0" applyFont="1" applyBorder="1" applyAlignment="1">
      <alignment shrinkToFit="1"/>
    </xf>
    <xf numFmtId="0" fontId="24" fillId="0" borderId="180" xfId="0" applyFont="1" applyBorder="1" applyAlignment="1">
      <alignment shrinkToFit="1"/>
    </xf>
    <xf numFmtId="0" fontId="24" fillId="0" borderId="98" xfId="0" applyFont="1" applyBorder="1" applyAlignment="1">
      <alignment horizontal="center" shrinkToFit="1"/>
    </xf>
    <xf numFmtId="184" fontId="24" fillId="0" borderId="88" xfId="0" applyNumberFormat="1" applyFont="1" applyBorder="1" applyAlignment="1">
      <alignment vertical="center" shrinkToFit="1"/>
    </xf>
    <xf numFmtId="185" fontId="24" fillId="0" borderId="52" xfId="0" applyNumberFormat="1" applyFont="1" applyBorder="1" applyAlignment="1">
      <alignment vertical="center" shrinkToFit="1"/>
    </xf>
    <xf numFmtId="185" fontId="24" fillId="0" borderId="88" xfId="0" applyNumberFormat="1" applyFont="1" applyBorder="1" applyAlignment="1">
      <alignment shrinkToFit="1"/>
    </xf>
    <xf numFmtId="184" fontId="24" fillId="0" borderId="181" xfId="0" applyNumberFormat="1" applyFont="1" applyBorder="1" applyAlignment="1">
      <alignment vertical="center" shrinkToFit="1"/>
    </xf>
    <xf numFmtId="185" fontId="24" fillId="0" borderId="182" xfId="0" applyNumberFormat="1" applyFont="1" applyBorder="1" applyAlignment="1">
      <alignment vertical="center" shrinkToFit="1"/>
    </xf>
    <xf numFmtId="185" fontId="24" fillId="0" borderId="183" xfId="0" applyNumberFormat="1" applyFont="1" applyBorder="1" applyAlignment="1">
      <alignment shrinkToFit="1"/>
    </xf>
    <xf numFmtId="185" fontId="24" fillId="0" borderId="95" xfId="0" applyNumberFormat="1" applyFont="1" applyBorder="1" applyAlignment="1">
      <alignment shrinkToFit="1"/>
    </xf>
    <xf numFmtId="0" fontId="24" fillId="0" borderId="184" xfId="0" applyFont="1" applyBorder="1" applyAlignment="1">
      <alignment vertical="center" shrinkToFit="1"/>
    </xf>
    <xf numFmtId="0" fontId="24" fillId="0" borderId="102" xfId="0" applyFont="1" applyBorder="1" applyAlignment="1">
      <alignment shrinkToFit="1"/>
    </xf>
    <xf numFmtId="0" fontId="24" fillId="0" borderId="31" xfId="0" applyFont="1" applyBorder="1" applyAlignment="1">
      <alignment vertical="center" shrinkToFit="1"/>
    </xf>
    <xf numFmtId="0" fontId="24" fillId="0" borderId="167" xfId="0" applyNumberFormat="1" applyFont="1" applyBorder="1" applyAlignment="1">
      <alignment shrinkToFit="1"/>
    </xf>
    <xf numFmtId="0" fontId="24" fillId="0" borderId="165" xfId="0" applyNumberFormat="1" applyFont="1" applyBorder="1" applyAlignment="1">
      <alignment shrinkToFit="1"/>
    </xf>
    <xf numFmtId="0" fontId="24" fillId="0" borderId="162" xfId="0" quotePrefix="1" applyNumberFormat="1" applyFont="1" applyBorder="1" applyAlignment="1">
      <alignment vertical="center" shrinkToFit="1"/>
    </xf>
    <xf numFmtId="183" fontId="24" fillId="0" borderId="165" xfId="0" quotePrefix="1" applyNumberFormat="1" applyFont="1" applyBorder="1" applyAlignment="1">
      <alignment vertical="center" shrinkToFit="1"/>
    </xf>
    <xf numFmtId="183" fontId="24" fillId="0" borderId="89" xfId="0" applyNumberFormat="1" applyFont="1" applyBorder="1" applyAlignment="1">
      <alignment shrinkToFit="1"/>
    </xf>
    <xf numFmtId="0" fontId="24" fillId="0" borderId="31" xfId="0" applyNumberFormat="1" applyFont="1" applyBorder="1" applyAlignment="1">
      <alignment shrinkToFit="1"/>
    </xf>
    <xf numFmtId="0" fontId="24" fillId="0" borderId="185" xfId="0" applyNumberFormat="1" applyFont="1" applyBorder="1" applyAlignment="1">
      <alignment shrinkToFit="1"/>
    </xf>
    <xf numFmtId="0" fontId="24" fillId="0" borderId="100" xfId="0" quotePrefix="1" applyNumberFormat="1" applyFont="1" applyBorder="1" applyAlignment="1">
      <alignment vertical="center" shrinkToFit="1"/>
    </xf>
    <xf numFmtId="183" fontId="24" fillId="0" borderId="31" xfId="0" quotePrefix="1" applyNumberFormat="1" applyFont="1" applyBorder="1" applyAlignment="1">
      <alignment vertical="center" shrinkToFit="1"/>
    </xf>
    <xf numFmtId="183" fontId="24" fillId="0" borderId="102" xfId="0" applyNumberFormat="1" applyFont="1" applyBorder="1" applyAlignment="1">
      <alignment shrinkToFit="1"/>
    </xf>
    <xf numFmtId="0" fontId="34" fillId="0" borderId="38" xfId="0" applyFont="1" applyBorder="1" applyAlignment="1" applyProtection="1">
      <alignment vertical="center"/>
      <protection locked="0"/>
    </xf>
    <xf numFmtId="179" fontId="4" fillId="7" borderId="14" xfId="0" applyNumberFormat="1" applyFont="1" applyFill="1" applyBorder="1" applyAlignment="1" applyProtection="1">
      <alignment vertical="center"/>
    </xf>
    <xf numFmtId="0" fontId="12" fillId="14" borderId="74" xfId="2" applyFont="1" applyFill="1" applyBorder="1" applyAlignment="1" applyProtection="1">
      <alignment vertical="center"/>
      <protection locked="0"/>
    </xf>
    <xf numFmtId="0" fontId="14" fillId="14" borderId="72" xfId="2" applyFont="1" applyFill="1" applyBorder="1" applyAlignment="1" applyProtection="1">
      <alignment vertical="center"/>
      <protection locked="0"/>
    </xf>
    <xf numFmtId="0" fontId="14" fillId="14" borderId="63" xfId="2" applyFont="1" applyFill="1" applyBorder="1" applyAlignment="1" applyProtection="1">
      <alignment vertical="center" wrapText="1"/>
      <protection locked="0"/>
    </xf>
    <xf numFmtId="186" fontId="14" fillId="0" borderId="63" xfId="2" applyNumberFormat="1" applyFont="1" applyBorder="1" applyAlignment="1" applyProtection="1">
      <alignment vertical="center"/>
      <protection locked="0"/>
    </xf>
    <xf numFmtId="0" fontId="14" fillId="0" borderId="63" xfId="2" applyFont="1" applyBorder="1" applyAlignment="1" applyProtection="1">
      <alignment horizontal="center" vertical="center"/>
      <protection locked="0"/>
    </xf>
    <xf numFmtId="177" fontId="9" fillId="0" borderId="63" xfId="2" applyNumberFormat="1" applyFont="1" applyBorder="1" applyAlignment="1" applyProtection="1">
      <alignment horizontal="right" vertical="top" shrinkToFit="1"/>
    </xf>
    <xf numFmtId="0" fontId="14" fillId="0" borderId="72" xfId="2" applyFont="1" applyBorder="1" applyAlignment="1" applyProtection="1">
      <alignment vertical="center"/>
      <protection locked="0"/>
    </xf>
    <xf numFmtId="0" fontId="14" fillId="0" borderId="73" xfId="2" applyFont="1" applyBorder="1" applyAlignment="1" applyProtection="1">
      <alignment vertical="center"/>
      <protection locked="0"/>
    </xf>
    <xf numFmtId="0" fontId="34" fillId="0" borderId="74" xfId="2" applyFont="1" applyFill="1" applyBorder="1" applyAlignment="1" applyProtection="1">
      <alignment vertical="center"/>
      <protection locked="0"/>
    </xf>
    <xf numFmtId="0" fontId="14" fillId="0" borderId="72" xfId="2" applyFont="1" applyFill="1" applyBorder="1" applyAlignment="1" applyProtection="1">
      <alignment vertical="center"/>
      <protection locked="0"/>
    </xf>
    <xf numFmtId="0" fontId="14" fillId="0" borderId="63" xfId="2" applyFont="1" applyFill="1" applyBorder="1" applyAlignment="1" applyProtection="1">
      <alignment vertical="center" wrapText="1"/>
      <protection locked="0"/>
    </xf>
    <xf numFmtId="186" fontId="14" fillId="0" borderId="63" xfId="2" applyNumberFormat="1" applyFont="1" applyFill="1" applyBorder="1" applyAlignment="1" applyProtection="1">
      <alignment vertical="center"/>
      <protection locked="0"/>
    </xf>
    <xf numFmtId="0" fontId="14" fillId="0" borderId="63" xfId="2" applyFont="1" applyFill="1" applyBorder="1" applyAlignment="1" applyProtection="1">
      <alignment horizontal="center" vertical="center"/>
      <protection locked="0"/>
    </xf>
    <xf numFmtId="177" fontId="9" fillId="0" borderId="63" xfId="2" applyNumberFormat="1" applyFont="1" applyFill="1" applyBorder="1" applyAlignment="1" applyProtection="1">
      <alignment horizontal="right" vertical="top" shrinkToFit="1"/>
    </xf>
    <xf numFmtId="0" fontId="14" fillId="0" borderId="73" xfId="2" applyFont="1" applyFill="1" applyBorder="1" applyAlignment="1" applyProtection="1">
      <alignment vertical="center"/>
      <protection locked="0"/>
    </xf>
    <xf numFmtId="0" fontId="14" fillId="0" borderId="75" xfId="2" quotePrefix="1" applyFont="1" applyBorder="1" applyAlignment="1" applyProtection="1">
      <alignment horizontal="right" vertical="center"/>
      <protection locked="0"/>
    </xf>
    <xf numFmtId="0" fontId="14" fillId="0" borderId="38" xfId="2" applyFont="1" applyBorder="1" applyAlignment="1" applyProtection="1">
      <alignment vertical="center"/>
      <protection locked="0"/>
    </xf>
    <xf numFmtId="0" fontId="14" fillId="0" borderId="76" xfId="2" applyFont="1" applyBorder="1" applyAlignment="1" applyProtection="1">
      <alignment vertical="center" wrapText="1"/>
      <protection locked="0"/>
    </xf>
    <xf numFmtId="186" fontId="14" fillId="0" borderId="76" xfId="2" applyNumberFormat="1" applyFont="1" applyBorder="1" applyAlignment="1" applyProtection="1">
      <alignment vertical="center" shrinkToFit="1"/>
      <protection locked="0"/>
    </xf>
    <xf numFmtId="0" fontId="14" fillId="0" borderId="76" xfId="2" applyFont="1" applyBorder="1" applyAlignment="1" applyProtection="1">
      <alignment horizontal="center" vertical="center"/>
      <protection locked="0"/>
    </xf>
    <xf numFmtId="177" fontId="14" fillId="0" borderId="76" xfId="2" applyNumberFormat="1" applyFont="1" applyBorder="1" applyAlignment="1" applyProtection="1">
      <alignment vertical="center" shrinkToFit="1"/>
      <protection locked="0"/>
    </xf>
    <xf numFmtId="0" fontId="14" fillId="0" borderId="39" xfId="2" applyFont="1" applyBorder="1" applyAlignment="1" applyProtection="1">
      <alignment vertical="center"/>
      <protection locked="0"/>
    </xf>
    <xf numFmtId="0" fontId="14" fillId="0" borderId="75" xfId="2" applyFont="1" applyBorder="1" applyAlignment="1" applyProtection="1">
      <alignment horizontal="right" vertical="center"/>
      <protection locked="0"/>
    </xf>
    <xf numFmtId="0" fontId="14" fillId="0" borderId="38" xfId="2" applyFont="1" applyBorder="1" applyAlignment="1" applyProtection="1">
      <alignment horizontal="left" vertical="center"/>
      <protection locked="0"/>
    </xf>
    <xf numFmtId="0" fontId="14" fillId="0" borderId="38" xfId="0" applyFont="1" applyBorder="1" applyAlignment="1" applyProtection="1">
      <alignment horizontal="left" vertical="center"/>
      <protection locked="0"/>
    </xf>
    <xf numFmtId="0" fontId="10" fillId="0" borderId="38" xfId="2" applyFont="1" applyBorder="1" applyAlignment="1" applyProtection="1">
      <alignment vertical="center"/>
      <protection locked="0"/>
    </xf>
    <xf numFmtId="0" fontId="6" fillId="0" borderId="38" xfId="2" applyFont="1" applyBorder="1" applyAlignment="1" applyProtection="1">
      <alignment vertical="center"/>
      <protection locked="0"/>
    </xf>
    <xf numFmtId="0" fontId="6" fillId="0" borderId="39" xfId="2" applyFont="1" applyBorder="1" applyAlignment="1" applyProtection="1">
      <alignment vertical="center"/>
      <protection locked="0"/>
    </xf>
    <xf numFmtId="0" fontId="14" fillId="0" borderId="77" xfId="2" applyFont="1" applyBorder="1" applyAlignment="1" applyProtection="1">
      <alignment vertical="center"/>
      <protection locked="0"/>
    </xf>
    <xf numFmtId="0" fontId="14" fillId="0" borderId="70" xfId="2" applyFont="1" applyBorder="1" applyAlignment="1" applyProtection="1">
      <alignment vertical="center"/>
      <protection locked="0"/>
    </xf>
    <xf numFmtId="0" fontId="14" fillId="0" borderId="78" xfId="2" applyFont="1" applyBorder="1" applyAlignment="1" applyProtection="1">
      <alignment vertical="center" wrapText="1"/>
      <protection locked="0"/>
    </xf>
    <xf numFmtId="186" fontId="14" fillId="0" borderId="78" xfId="2" applyNumberFormat="1" applyFont="1" applyBorder="1" applyAlignment="1" applyProtection="1">
      <alignment vertical="center" shrinkToFit="1"/>
      <protection locked="0"/>
    </xf>
    <xf numFmtId="0" fontId="14" fillId="0" borderId="78" xfId="2" applyFont="1" applyBorder="1" applyAlignment="1" applyProtection="1">
      <alignment horizontal="center" vertical="center"/>
      <protection locked="0"/>
    </xf>
    <xf numFmtId="177" fontId="14" fillId="0" borderId="78" xfId="2" applyNumberFormat="1" applyFont="1" applyBorder="1" applyAlignment="1" applyProtection="1">
      <alignment vertical="center" shrinkToFit="1"/>
      <protection locked="0"/>
    </xf>
    <xf numFmtId="179" fontId="19" fillId="0" borderId="28" xfId="0" applyNumberFormat="1" applyFont="1" applyBorder="1" applyAlignment="1" applyProtection="1">
      <alignment vertical="center" shrinkToFit="1"/>
      <protection locked="0"/>
    </xf>
    <xf numFmtId="179" fontId="19" fillId="0" borderId="29" xfId="0" applyNumberFormat="1" applyFont="1" applyBorder="1" applyAlignment="1">
      <alignment vertical="center" shrinkToFit="1"/>
    </xf>
    <xf numFmtId="179" fontId="19" fillId="0" borderId="30" xfId="0" applyNumberFormat="1" applyFont="1" applyBorder="1" applyAlignment="1" applyProtection="1">
      <alignment vertical="center" shrinkToFit="1"/>
      <protection locked="0"/>
    </xf>
    <xf numFmtId="179" fontId="19" fillId="0" borderId="31" xfId="0" applyNumberFormat="1" applyFont="1" applyBorder="1" applyAlignment="1">
      <alignment vertical="center" shrinkToFit="1"/>
    </xf>
    <xf numFmtId="179" fontId="19" fillId="0" borderId="32" xfId="0" applyNumberFormat="1" applyFont="1" applyBorder="1" applyAlignment="1" applyProtection="1">
      <alignment vertical="center" shrinkToFit="1"/>
      <protection locked="0"/>
    </xf>
    <xf numFmtId="179" fontId="19" fillId="0" borderId="33" xfId="0" applyNumberFormat="1" applyFont="1" applyBorder="1" applyAlignment="1">
      <alignment vertical="center" shrinkToFit="1"/>
    </xf>
    <xf numFmtId="179" fontId="19" fillId="0" borderId="34" xfId="0" applyNumberFormat="1" applyFont="1" applyBorder="1" applyAlignment="1">
      <alignment vertical="center" shrinkToFit="1"/>
    </xf>
    <xf numFmtId="179" fontId="19" fillId="0" borderId="35" xfId="0" applyNumberFormat="1" applyFont="1" applyBorder="1" applyAlignment="1">
      <alignment vertical="center" shrinkToFit="1"/>
    </xf>
    <xf numFmtId="179" fontId="19" fillId="0" borderId="22" xfId="0" applyNumberFormat="1" applyFont="1" applyBorder="1" applyAlignment="1" applyProtection="1">
      <alignment vertical="center" shrinkToFit="1"/>
      <protection locked="0"/>
    </xf>
    <xf numFmtId="179" fontId="19" fillId="0" borderId="24" xfId="0" applyNumberFormat="1" applyFont="1" applyBorder="1" applyAlignment="1" applyProtection="1">
      <alignment vertical="center" shrinkToFit="1"/>
      <protection locked="0"/>
    </xf>
    <xf numFmtId="179" fontId="19" fillId="0" borderId="25" xfId="0" applyNumberFormat="1" applyFont="1" applyBorder="1" applyAlignment="1" applyProtection="1">
      <alignment vertical="center" shrinkToFit="1"/>
      <protection locked="0"/>
    </xf>
    <xf numFmtId="179" fontId="19" fillId="0" borderId="37" xfId="0" applyNumberFormat="1" applyFont="1" applyBorder="1" applyAlignment="1">
      <alignment vertical="center" shrinkToFit="1"/>
    </xf>
    <xf numFmtId="179" fontId="19" fillId="0" borderId="54" xfId="0" applyNumberFormat="1" applyFont="1" applyBorder="1" applyAlignment="1">
      <alignment vertical="center" shrinkToFit="1"/>
    </xf>
    <xf numFmtId="179" fontId="19" fillId="0" borderId="55" xfId="0" applyNumberFormat="1" applyFont="1" applyBorder="1" applyAlignment="1">
      <alignment vertical="center" shrinkToFit="1"/>
    </xf>
    <xf numFmtId="179" fontId="19" fillId="0" borderId="56" xfId="0" applyNumberFormat="1" applyFont="1" applyBorder="1" applyAlignment="1">
      <alignment vertical="center" shrinkToFit="1"/>
    </xf>
    <xf numFmtId="179" fontId="19" fillId="0" borderId="57" xfId="0" applyNumberFormat="1" applyFont="1" applyBorder="1" applyAlignment="1">
      <alignment vertical="center" shrinkToFit="1"/>
    </xf>
    <xf numFmtId="179" fontId="19" fillId="0" borderId="59" xfId="0" applyNumberFormat="1" applyFont="1" applyBorder="1" applyAlignment="1">
      <alignment vertical="center" shrinkToFit="1"/>
    </xf>
    <xf numFmtId="179" fontId="19" fillId="0" borderId="60" xfId="0" applyNumberFormat="1" applyFont="1" applyBorder="1" applyAlignment="1">
      <alignment vertical="center" shrinkToFit="1"/>
    </xf>
    <xf numFmtId="179" fontId="19" fillId="0" borderId="61" xfId="0" applyNumberFormat="1" applyFont="1" applyBorder="1" applyAlignment="1">
      <alignment vertical="center" shrinkToFit="1"/>
    </xf>
    <xf numFmtId="179" fontId="19" fillId="0" borderId="34" xfId="0" applyNumberFormat="1" applyFont="1" applyBorder="1" applyAlignment="1">
      <alignment horizontal="right" vertical="center" shrinkToFit="1"/>
    </xf>
    <xf numFmtId="179" fontId="19" fillId="0" borderId="62" xfId="0" applyNumberFormat="1" applyFont="1" applyBorder="1" applyAlignment="1">
      <alignment vertical="center" shrinkToFit="1"/>
    </xf>
    <xf numFmtId="0" fontId="19" fillId="0" borderId="41" xfId="0" applyFont="1" applyBorder="1" applyAlignment="1" applyProtection="1">
      <alignment vertical="center" shrinkToFit="1"/>
      <protection locked="0"/>
    </xf>
    <xf numFmtId="0" fontId="19" fillId="0" borderId="42" xfId="0" applyFont="1" applyBorder="1" applyAlignment="1" applyProtection="1">
      <alignment vertical="center" shrinkToFit="1"/>
      <protection locked="0"/>
    </xf>
    <xf numFmtId="0" fontId="33" fillId="0" borderId="42" xfId="0" applyFont="1" applyBorder="1" applyAlignment="1" applyProtection="1">
      <alignment vertical="center" shrinkToFit="1"/>
      <protection locked="0"/>
    </xf>
    <xf numFmtId="0" fontId="19" fillId="0" borderId="43" xfId="0" applyFont="1" applyBorder="1" applyAlignment="1" applyProtection="1">
      <alignment vertical="center" shrinkToFit="1"/>
      <protection locked="0"/>
    </xf>
    <xf numFmtId="0" fontId="19" fillId="0" borderId="53" xfId="0" applyFont="1" applyBorder="1" applyAlignment="1" applyProtection="1">
      <alignment vertical="center" shrinkToFit="1"/>
      <protection locked="0"/>
    </xf>
    <xf numFmtId="0" fontId="27" fillId="13" borderId="12" xfId="0" applyFont="1" applyFill="1" applyBorder="1" applyProtection="1">
      <protection locked="0"/>
    </xf>
    <xf numFmtId="0" fontId="14" fillId="0" borderId="0" xfId="0" applyFont="1" applyFill="1" applyBorder="1" applyAlignment="1" applyProtection="1">
      <alignment vertical="center"/>
      <protection locked="0"/>
    </xf>
    <xf numFmtId="0" fontId="36" fillId="15" borderId="11" xfId="0" applyFont="1" applyFill="1" applyBorder="1" applyAlignment="1">
      <alignment horizontal="center" vertical="center" shrinkToFit="1"/>
    </xf>
    <xf numFmtId="0" fontId="4" fillId="0" borderId="0" xfId="0" applyFont="1" applyAlignment="1">
      <alignment horizontal="left" vertical="center"/>
    </xf>
    <xf numFmtId="0" fontId="9" fillId="0" borderId="0" xfId="0" applyFont="1" applyFill="1" applyBorder="1" applyAlignment="1" applyProtection="1">
      <alignment vertical="center"/>
    </xf>
    <xf numFmtId="0" fontId="9" fillId="0" borderId="0" xfId="0" applyFont="1" applyFill="1" applyBorder="1" applyAlignment="1" applyProtection="1">
      <alignment vertical="center" wrapText="1"/>
    </xf>
    <xf numFmtId="0" fontId="9" fillId="0" borderId="0" xfId="0" applyFont="1" applyFill="1" applyBorder="1" applyAlignment="1" applyProtection="1">
      <alignment horizontal="center" vertical="center"/>
    </xf>
    <xf numFmtId="177" fontId="9" fillId="0" borderId="0" xfId="0" applyNumberFormat="1" applyFont="1" applyFill="1" applyBorder="1" applyAlignment="1" applyProtection="1">
      <alignment vertical="center" shrinkToFit="1"/>
    </xf>
    <xf numFmtId="0" fontId="10" fillId="0" borderId="0" xfId="0" applyFont="1" applyFill="1" applyBorder="1" applyAlignment="1" applyProtection="1">
      <alignment horizontal="right" vertical="center"/>
    </xf>
    <xf numFmtId="0" fontId="10" fillId="0" borderId="0" xfId="0" applyFont="1" applyFill="1" applyBorder="1" applyAlignment="1" applyProtection="1">
      <alignment vertical="center"/>
      <protection locked="0"/>
    </xf>
    <xf numFmtId="0" fontId="10" fillId="0" borderId="0" xfId="0" applyFont="1" applyFill="1" applyBorder="1" applyAlignment="1" applyProtection="1">
      <alignment vertical="center"/>
    </xf>
    <xf numFmtId="187" fontId="10" fillId="0" borderId="0" xfId="0" applyNumberFormat="1" applyFont="1" applyFill="1" applyBorder="1" applyAlignment="1" applyProtection="1">
      <alignment vertical="center"/>
      <protection locked="0"/>
    </xf>
    <xf numFmtId="0" fontId="6" fillId="0" borderId="0" xfId="0" applyFont="1" applyFill="1" applyBorder="1" applyAlignment="1" applyProtection="1">
      <alignment vertical="center"/>
    </xf>
    <xf numFmtId="0" fontId="6" fillId="0" borderId="0" xfId="0" applyFont="1" applyFill="1" applyBorder="1" applyAlignment="1" applyProtection="1">
      <alignment vertical="center" wrapText="1"/>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vertical="center" shrinkToFit="1"/>
    </xf>
    <xf numFmtId="177" fontId="18" fillId="0" borderId="0" xfId="0" applyNumberFormat="1" applyFont="1" applyFill="1" applyBorder="1" applyAlignment="1" applyProtection="1">
      <alignment horizontal="right" vertical="center" shrinkToFit="1"/>
    </xf>
    <xf numFmtId="0" fontId="14" fillId="14" borderId="40" xfId="0" applyFont="1" applyFill="1" applyBorder="1" applyAlignment="1" applyProtection="1">
      <alignment horizontal="center" vertical="center" wrapText="1"/>
    </xf>
    <xf numFmtId="0" fontId="4" fillId="0" borderId="0" xfId="0" applyFont="1" applyFill="1" applyAlignment="1">
      <alignment vertical="center"/>
    </xf>
    <xf numFmtId="0" fontId="4" fillId="0" borderId="0" xfId="0" applyFont="1" applyFill="1" applyAlignment="1">
      <alignment horizontal="left" vertical="center"/>
    </xf>
    <xf numFmtId="177" fontId="10" fillId="0" borderId="38" xfId="2" applyNumberFormat="1" applyFont="1" applyBorder="1" applyAlignment="1" applyProtection="1">
      <alignment vertical="center"/>
      <protection locked="0"/>
    </xf>
    <xf numFmtId="0" fontId="5" fillId="17" borderId="165" xfId="0" applyFont="1" applyFill="1" applyBorder="1" applyAlignment="1">
      <alignment horizontal="left"/>
    </xf>
    <xf numFmtId="0" fontId="38" fillId="0" borderId="38" xfId="0" applyFont="1" applyBorder="1" applyAlignment="1" applyProtection="1">
      <alignment vertical="center" shrinkToFit="1"/>
      <protection locked="0"/>
    </xf>
    <xf numFmtId="0" fontId="12" fillId="17" borderId="0" xfId="0" applyFont="1" applyFill="1" applyBorder="1" applyAlignment="1">
      <alignment horizontal="center"/>
    </xf>
    <xf numFmtId="0" fontId="37" fillId="17" borderId="89" xfId="0" applyFont="1" applyFill="1" applyBorder="1" applyAlignment="1">
      <alignment horizontal="right"/>
    </xf>
    <xf numFmtId="0" fontId="37" fillId="17" borderId="190" xfId="0" applyFont="1" applyFill="1" applyBorder="1" applyAlignment="1">
      <alignment horizontal="right"/>
    </xf>
    <xf numFmtId="0" fontId="35" fillId="17" borderId="182" xfId="0" applyFont="1" applyFill="1" applyBorder="1" applyAlignment="1"/>
    <xf numFmtId="0" fontId="35" fillId="17" borderId="181" xfId="0" applyFont="1" applyFill="1" applyBorder="1" applyAlignment="1"/>
    <xf numFmtId="0" fontId="12" fillId="17" borderId="0" xfId="0" applyFont="1" applyFill="1" applyBorder="1" applyAlignment="1">
      <alignment horizontal="left"/>
    </xf>
    <xf numFmtId="0" fontId="35" fillId="17" borderId="192" xfId="0" applyFont="1" applyFill="1" applyBorder="1" applyAlignment="1">
      <alignment horizontal="left" vertical="center"/>
    </xf>
    <xf numFmtId="0" fontId="37" fillId="17" borderId="15" xfId="0" applyFont="1" applyFill="1" applyBorder="1" applyAlignment="1">
      <alignment horizontal="right"/>
    </xf>
    <xf numFmtId="0" fontId="37" fillId="17" borderId="150" xfId="0" applyFont="1" applyFill="1" applyBorder="1" applyAlignment="1">
      <alignment horizontal="right"/>
    </xf>
    <xf numFmtId="0" fontId="35" fillId="17" borderId="180" xfId="0" applyFont="1" applyFill="1" applyBorder="1" applyAlignment="1"/>
    <xf numFmtId="0" fontId="35" fillId="17" borderId="202" xfId="0" applyFont="1" applyFill="1" applyBorder="1" applyAlignment="1"/>
    <xf numFmtId="0" fontId="4" fillId="17" borderId="180" xfId="0" applyFont="1" applyFill="1" applyBorder="1" applyAlignment="1"/>
    <xf numFmtId="0" fontId="4" fillId="17" borderId="182" xfId="0" applyFont="1" applyFill="1" applyBorder="1" applyAlignment="1"/>
    <xf numFmtId="0" fontId="4" fillId="17" borderId="181" xfId="0" applyFont="1" applyFill="1" applyBorder="1" applyAlignment="1"/>
    <xf numFmtId="0" fontId="4" fillId="17" borderId="89" xfId="0" applyFont="1" applyFill="1" applyBorder="1" applyAlignment="1">
      <alignment horizontal="left" vertical="center"/>
    </xf>
    <xf numFmtId="0" fontId="14" fillId="17" borderId="0" xfId="0" applyFont="1" applyFill="1" applyBorder="1" applyAlignment="1">
      <alignment horizontal="right"/>
    </xf>
    <xf numFmtId="0" fontId="14" fillId="17" borderId="0" xfId="0" applyFont="1" applyFill="1" applyBorder="1" applyAlignment="1">
      <alignment horizontal="center"/>
    </xf>
    <xf numFmtId="0" fontId="12" fillId="17" borderId="0" xfId="0" applyFont="1" applyFill="1" applyBorder="1" applyAlignment="1">
      <alignment horizontal="right"/>
    </xf>
    <xf numFmtId="0" fontId="4" fillId="17" borderId="0" xfId="0" applyFont="1" applyFill="1" applyBorder="1" applyAlignment="1"/>
    <xf numFmtId="0" fontId="14" fillId="17" borderId="89" xfId="0" applyFont="1" applyFill="1" applyBorder="1" applyAlignment="1">
      <alignment horizontal="right"/>
    </xf>
    <xf numFmtId="0" fontId="34" fillId="17" borderId="0" xfId="0" applyFont="1" applyFill="1" applyBorder="1" applyAlignment="1"/>
    <xf numFmtId="0" fontId="4" fillId="17" borderId="191" xfId="0" applyFont="1" applyFill="1" applyBorder="1" applyAlignment="1">
      <alignment horizontal="right"/>
    </xf>
    <xf numFmtId="0" fontId="4" fillId="17" borderId="0" xfId="0" applyFont="1" applyFill="1" applyBorder="1" applyAlignment="1">
      <alignment horizontal="right"/>
    </xf>
    <xf numFmtId="38" fontId="4" fillId="17" borderId="23" xfId="0" applyNumberFormat="1" applyFont="1" applyFill="1" applyBorder="1" applyAlignment="1">
      <alignment horizontal="right"/>
    </xf>
    <xf numFmtId="38" fontId="4" fillId="17" borderId="87" xfId="0" applyNumberFormat="1" applyFont="1" applyFill="1" applyBorder="1" applyAlignment="1">
      <alignment horizontal="right"/>
    </xf>
    <xf numFmtId="0" fontId="37" fillId="17" borderId="192" xfId="0" applyFont="1" applyFill="1" applyBorder="1" applyAlignment="1">
      <alignment horizontal="right"/>
    </xf>
    <xf numFmtId="0" fontId="4" fillId="17" borderId="91" xfId="0" applyFont="1" applyFill="1" applyBorder="1" applyAlignment="1">
      <alignment horizontal="center"/>
    </xf>
    <xf numFmtId="0" fontId="37" fillId="17" borderId="0" xfId="0" applyFont="1" applyFill="1" applyBorder="1" applyAlignment="1"/>
    <xf numFmtId="0" fontId="34" fillId="17" borderId="15" xfId="0" applyFont="1" applyFill="1" applyBorder="1" applyAlignment="1">
      <alignment horizontal="distributed"/>
    </xf>
    <xf numFmtId="0" fontId="4" fillId="17" borderId="15" xfId="0" applyFont="1" applyFill="1" applyBorder="1" applyAlignment="1">
      <alignment horizontal="center"/>
    </xf>
    <xf numFmtId="0" fontId="34" fillId="17" borderId="15" xfId="0" applyFont="1" applyFill="1" applyBorder="1" applyAlignment="1">
      <alignment horizontal="right"/>
    </xf>
    <xf numFmtId="0" fontId="35" fillId="17" borderId="189" xfId="0" applyFont="1" applyFill="1" applyBorder="1" applyAlignment="1">
      <alignment horizontal="left"/>
    </xf>
    <xf numFmtId="0" fontId="34" fillId="17" borderId="190" xfId="0" applyFont="1" applyFill="1" applyBorder="1" applyAlignment="1">
      <alignment horizontal="distributed"/>
    </xf>
    <xf numFmtId="0" fontId="4" fillId="17" borderId="193" xfId="0" applyFont="1" applyFill="1" applyBorder="1" applyAlignment="1">
      <alignment horizontal="center"/>
    </xf>
    <xf numFmtId="0" fontId="0" fillId="17" borderId="91" xfId="0" applyFont="1" applyFill="1" applyBorder="1" applyAlignment="1">
      <alignment horizontal="center"/>
    </xf>
    <xf numFmtId="0" fontId="4" fillId="17" borderId="0" xfId="0" applyFont="1" applyFill="1" applyBorder="1" applyAlignment="1">
      <alignment horizontal="left"/>
    </xf>
    <xf numFmtId="0" fontId="4" fillId="17" borderId="194" xfId="0" applyFont="1" applyFill="1" applyBorder="1" applyAlignment="1">
      <alignment horizontal="left"/>
    </xf>
    <xf numFmtId="0" fontId="4" fillId="17" borderId="84" xfId="0" applyFont="1" applyFill="1" applyBorder="1" applyAlignment="1">
      <alignment horizontal="left" shrinkToFit="1"/>
    </xf>
    <xf numFmtId="38" fontId="14" fillId="17" borderId="84" xfId="0" applyNumberFormat="1" applyFont="1" applyFill="1" applyBorder="1" applyAlignment="1">
      <alignment horizontal="right"/>
    </xf>
    <xf numFmtId="0" fontId="4" fillId="17" borderId="165" xfId="0" applyFont="1" applyFill="1" applyBorder="1" applyAlignment="1">
      <alignment horizontal="left"/>
    </xf>
    <xf numFmtId="0" fontId="4" fillId="17" borderId="182" xfId="0" applyFont="1" applyFill="1" applyBorder="1" applyAlignment="1">
      <alignment horizontal="left"/>
    </xf>
    <xf numFmtId="0" fontId="4" fillId="17" borderId="23" xfId="0" applyFont="1" applyFill="1" applyBorder="1" applyAlignment="1">
      <alignment horizontal="left" shrinkToFit="1"/>
    </xf>
    <xf numFmtId="38" fontId="14" fillId="17" borderId="23" xfId="0" applyNumberFormat="1" applyFont="1" applyFill="1" applyBorder="1" applyAlignment="1">
      <alignment horizontal="right"/>
    </xf>
    <xf numFmtId="0" fontId="4" fillId="17" borderId="165" xfId="0" applyFont="1" applyFill="1" applyBorder="1" applyAlignment="1">
      <alignment vertical="center"/>
    </xf>
    <xf numFmtId="0" fontId="4" fillId="17" borderId="182" xfId="0" applyFont="1" applyFill="1" applyBorder="1" applyAlignment="1">
      <alignment horizontal="right"/>
    </xf>
    <xf numFmtId="0" fontId="4" fillId="17" borderId="14" xfId="0" applyFont="1" applyFill="1" applyBorder="1" applyAlignment="1">
      <alignment horizontal="right"/>
    </xf>
    <xf numFmtId="0" fontId="4" fillId="17" borderId="15" xfId="0" applyFont="1" applyFill="1" applyBorder="1" applyAlignment="1">
      <alignment horizontal="left"/>
    </xf>
    <xf numFmtId="0" fontId="4" fillId="17" borderId="150" xfId="0" applyFont="1" applyFill="1" applyBorder="1" applyAlignment="1">
      <alignment horizontal="right"/>
    </xf>
    <xf numFmtId="38" fontId="14" fillId="17" borderId="150" xfId="0" applyNumberFormat="1" applyFont="1" applyFill="1" applyBorder="1" applyAlignment="1">
      <alignment horizontal="right"/>
    </xf>
    <xf numFmtId="0" fontId="4" fillId="17" borderId="164" xfId="0" applyFont="1" applyFill="1" applyBorder="1" applyAlignment="1"/>
    <xf numFmtId="0" fontId="4" fillId="17" borderId="84" xfId="0" applyFont="1" applyFill="1" applyBorder="1" applyAlignment="1">
      <alignment horizontal="left"/>
    </xf>
    <xf numFmtId="0" fontId="4" fillId="17" borderId="23" xfId="0" applyFont="1" applyFill="1" applyBorder="1" applyAlignment="1">
      <alignment horizontal="left"/>
    </xf>
    <xf numFmtId="38" fontId="14" fillId="0" borderId="23" xfId="0" applyNumberFormat="1" applyFont="1" applyFill="1" applyBorder="1" applyAlignment="1">
      <alignment horizontal="right"/>
    </xf>
    <xf numFmtId="0" fontId="4" fillId="0" borderId="182" xfId="0" applyFont="1" applyFill="1" applyBorder="1" applyAlignment="1">
      <alignment horizontal="left"/>
    </xf>
    <xf numFmtId="0" fontId="4" fillId="0" borderId="23" xfId="0" applyFont="1" applyFill="1" applyBorder="1" applyAlignment="1">
      <alignment horizontal="left"/>
    </xf>
    <xf numFmtId="0" fontId="4" fillId="0" borderId="0" xfId="0" applyFont="1" applyFill="1" applyBorder="1" applyAlignment="1"/>
    <xf numFmtId="0" fontId="4" fillId="17" borderId="199" xfId="0" applyFont="1" applyFill="1" applyBorder="1" applyAlignment="1">
      <alignment horizontal="right"/>
    </xf>
    <xf numFmtId="0" fontId="4" fillId="17" borderId="200" xfId="0" applyFont="1" applyFill="1" applyBorder="1" applyAlignment="1">
      <alignment horizontal="left"/>
    </xf>
    <xf numFmtId="38" fontId="14" fillId="17" borderId="201" xfId="0" applyNumberFormat="1" applyFont="1" applyFill="1" applyBorder="1" applyAlignment="1">
      <alignment horizontal="right"/>
    </xf>
    <xf numFmtId="0" fontId="4" fillId="17" borderId="195" xfId="0" applyFont="1" applyFill="1" applyBorder="1" applyAlignment="1">
      <alignment horizontal="right"/>
    </xf>
    <xf numFmtId="0" fontId="4" fillId="17" borderId="196" xfId="0" applyFont="1" applyFill="1" applyBorder="1" applyAlignment="1">
      <alignment horizontal="left"/>
    </xf>
    <xf numFmtId="38" fontId="4" fillId="17" borderId="197" xfId="0" applyNumberFormat="1" applyFont="1" applyFill="1" applyBorder="1" applyAlignment="1">
      <alignment horizontal="right" shrinkToFit="1"/>
    </xf>
    <xf numFmtId="0" fontId="4" fillId="17" borderId="167" xfId="0" applyFont="1" applyFill="1" applyBorder="1" applyAlignment="1">
      <alignment horizontal="left"/>
    </xf>
    <xf numFmtId="0" fontId="4" fillId="17" borderId="165" xfId="0" applyFont="1" applyFill="1" applyBorder="1" applyAlignment="1">
      <alignment horizontal="left" shrinkToFit="1"/>
    </xf>
    <xf numFmtId="0" fontId="4" fillId="17" borderId="195" xfId="0" applyFont="1" applyFill="1" applyBorder="1" applyAlignment="1"/>
    <xf numFmtId="0" fontId="4" fillId="17" borderId="196" xfId="0" applyFont="1" applyFill="1" applyBorder="1" applyAlignment="1"/>
    <xf numFmtId="0" fontId="35" fillId="17" borderId="204" xfId="0" applyFont="1" applyFill="1" applyBorder="1" applyAlignment="1">
      <alignment horizontal="right"/>
    </xf>
    <xf numFmtId="38" fontId="4" fillId="17" borderId="197" xfId="0" applyNumberFormat="1" applyFont="1" applyFill="1" applyBorder="1" applyAlignment="1"/>
    <xf numFmtId="0" fontId="4" fillId="17" borderId="0" xfId="0" applyFont="1" applyFill="1" applyBorder="1" applyAlignment="1">
      <alignment shrinkToFit="1"/>
    </xf>
    <xf numFmtId="0" fontId="4" fillId="16" borderId="0" xfId="0" applyFont="1" applyFill="1" applyBorder="1" applyAlignment="1"/>
    <xf numFmtId="38" fontId="4" fillId="17" borderId="97" xfId="0" applyNumberFormat="1" applyFont="1" applyFill="1" applyBorder="1" applyAlignment="1">
      <alignment horizontal="right"/>
    </xf>
    <xf numFmtId="0" fontId="4" fillId="17" borderId="150" xfId="0" applyFont="1" applyFill="1" applyBorder="1" applyAlignment="1">
      <alignment horizontal="center"/>
    </xf>
    <xf numFmtId="38" fontId="4" fillId="17" borderId="150" xfId="0" applyNumberFormat="1" applyFont="1" applyFill="1" applyBorder="1" applyAlignment="1">
      <alignment horizontal="right"/>
    </xf>
    <xf numFmtId="38" fontId="4" fillId="17" borderId="91" xfId="0" applyNumberFormat="1" applyFont="1" applyFill="1" applyBorder="1" applyAlignment="1">
      <alignment horizontal="right" shrinkToFit="1"/>
    </xf>
    <xf numFmtId="0" fontId="35" fillId="17" borderId="197" xfId="0" applyFont="1" applyFill="1" applyBorder="1" applyAlignment="1">
      <alignment horizontal="right"/>
    </xf>
    <xf numFmtId="0" fontId="35" fillId="17" borderId="189" xfId="0" applyFont="1" applyFill="1" applyBorder="1" applyAlignment="1">
      <alignment horizontal="left" vertical="center"/>
    </xf>
    <xf numFmtId="0" fontId="4" fillId="0" borderId="193" xfId="0" applyFont="1" applyFill="1" applyBorder="1" applyAlignment="1">
      <alignment horizontal="right"/>
    </xf>
    <xf numFmtId="0" fontId="4" fillId="17" borderId="91" xfId="0" applyFont="1" applyFill="1" applyBorder="1" applyAlignment="1">
      <alignment horizontal="right"/>
    </xf>
    <xf numFmtId="0" fontId="5" fillId="17" borderId="165" xfId="0" applyFont="1" applyFill="1" applyBorder="1" applyAlignment="1">
      <alignment horizontal="left" shrinkToFit="1"/>
    </xf>
    <xf numFmtId="0" fontId="5" fillId="17" borderId="182" xfId="0" applyFont="1" applyFill="1" applyBorder="1" applyAlignment="1">
      <alignment horizontal="right"/>
    </xf>
    <xf numFmtId="0" fontId="4" fillId="16" borderId="199" xfId="0" applyFont="1" applyFill="1" applyBorder="1" applyAlignment="1">
      <alignment horizontal="right"/>
    </xf>
    <xf numFmtId="0" fontId="4" fillId="16" borderId="200" xfId="0" applyFont="1" applyFill="1" applyBorder="1" applyAlignment="1">
      <alignment horizontal="left"/>
    </xf>
    <xf numFmtId="0" fontId="4" fillId="16" borderId="203" xfId="0" applyFont="1" applyFill="1" applyBorder="1" applyAlignment="1">
      <alignment horizontal="right"/>
    </xf>
    <xf numFmtId="38" fontId="14" fillId="16" borderId="201" xfId="0" applyNumberFormat="1" applyFont="1" applyFill="1" applyBorder="1" applyAlignment="1">
      <alignment horizontal="right"/>
    </xf>
    <xf numFmtId="0" fontId="4" fillId="0" borderId="23" xfId="0" applyFont="1" applyFill="1" applyBorder="1" applyAlignment="1">
      <alignment horizontal="left" shrinkToFit="1"/>
    </xf>
    <xf numFmtId="0" fontId="4" fillId="17" borderId="192" xfId="0" applyFont="1" applyFill="1" applyBorder="1" applyAlignment="1"/>
    <xf numFmtId="0" fontId="4" fillId="17" borderId="89" xfId="0" applyFont="1" applyFill="1" applyBorder="1" applyAlignment="1"/>
    <xf numFmtId="0" fontId="35" fillId="17" borderId="89" xfId="0" applyFont="1" applyFill="1" applyBorder="1" applyAlignment="1">
      <alignment horizontal="right"/>
    </xf>
    <xf numFmtId="38" fontId="34" fillId="17" borderId="89" xfId="0" applyNumberFormat="1" applyFont="1" applyFill="1" applyBorder="1" applyAlignment="1"/>
    <xf numFmtId="0" fontId="4" fillId="17" borderId="194" xfId="0" applyFont="1" applyFill="1" applyBorder="1" applyAlignment="1">
      <alignment horizontal="center"/>
    </xf>
    <xf numFmtId="0" fontId="4" fillId="17" borderId="182" xfId="0" applyFont="1" applyFill="1" applyBorder="1" applyAlignment="1">
      <alignment horizontal="center"/>
    </xf>
    <xf numFmtId="0" fontId="4" fillId="0" borderId="182" xfId="0" applyFont="1" applyFill="1" applyBorder="1" applyAlignment="1">
      <alignment horizontal="center"/>
    </xf>
    <xf numFmtId="0" fontId="4" fillId="17" borderId="182" xfId="0" applyFont="1" applyFill="1" applyBorder="1" applyAlignment="1">
      <alignment horizontal="center" shrinkToFit="1"/>
    </xf>
    <xf numFmtId="0" fontId="4" fillId="14" borderId="200" xfId="0" applyFont="1" applyFill="1" applyBorder="1" applyAlignment="1">
      <alignment horizontal="left"/>
    </xf>
    <xf numFmtId="0" fontId="4" fillId="14" borderId="203" xfId="0" applyFont="1" applyFill="1" applyBorder="1" applyAlignment="1">
      <alignment horizontal="right"/>
    </xf>
    <xf numFmtId="38" fontId="14" fillId="14" borderId="201" xfId="0" applyNumberFormat="1" applyFont="1" applyFill="1" applyBorder="1" applyAlignment="1">
      <alignment horizontal="right"/>
    </xf>
    <xf numFmtId="0" fontId="4" fillId="14" borderId="14" xfId="0" applyFont="1" applyFill="1" applyBorder="1" applyAlignment="1">
      <alignment horizontal="right"/>
    </xf>
    <xf numFmtId="0" fontId="4" fillId="14" borderId="15" xfId="0" applyFont="1" applyFill="1" applyBorder="1" applyAlignment="1">
      <alignment horizontal="left"/>
    </xf>
    <xf numFmtId="0" fontId="4" fillId="14" borderId="202" xfId="0" applyFont="1" applyFill="1" applyBorder="1" applyAlignment="1">
      <alignment horizontal="right"/>
    </xf>
    <xf numFmtId="38" fontId="14" fillId="14" borderId="150" xfId="0" applyNumberFormat="1" applyFont="1" applyFill="1" applyBorder="1" applyAlignment="1">
      <alignment horizontal="right"/>
    </xf>
    <xf numFmtId="0" fontId="4" fillId="14" borderId="199" xfId="0" applyFont="1" applyFill="1" applyBorder="1" applyAlignment="1">
      <alignment horizontal="right"/>
    </xf>
    <xf numFmtId="0" fontId="12" fillId="17" borderId="15" xfId="0" applyFont="1" applyFill="1" applyBorder="1" applyAlignment="1">
      <alignment horizontal="center"/>
    </xf>
    <xf numFmtId="0" fontId="12" fillId="17" borderId="150" xfId="0" applyFont="1" applyFill="1" applyBorder="1" applyAlignment="1">
      <alignment horizontal="center"/>
    </xf>
    <xf numFmtId="0" fontId="14" fillId="17" borderId="150" xfId="0" applyFont="1" applyFill="1" applyBorder="1" applyAlignment="1">
      <alignment horizontal="center"/>
    </xf>
    <xf numFmtId="0" fontId="12" fillId="17" borderId="189" xfId="0" applyFont="1" applyFill="1" applyBorder="1" applyAlignment="1">
      <alignment horizontal="left"/>
    </xf>
    <xf numFmtId="0" fontId="14" fillId="17" borderId="190" xfId="0" applyFont="1" applyFill="1" applyBorder="1" applyAlignment="1">
      <alignment horizontal="right"/>
    </xf>
    <xf numFmtId="0" fontId="4" fillId="17" borderId="180" xfId="0" applyFont="1" applyFill="1" applyBorder="1" applyAlignment="1">
      <alignment horizontal="left"/>
    </xf>
    <xf numFmtId="0" fontId="4" fillId="17" borderId="180" xfId="0" applyFont="1" applyFill="1" applyBorder="1" applyAlignment="1">
      <alignment horizontal="center"/>
    </xf>
    <xf numFmtId="0" fontId="4" fillId="17" borderId="97" xfId="0" applyFont="1" applyFill="1" applyBorder="1" applyAlignment="1">
      <alignment horizontal="left" shrinkToFit="1"/>
    </xf>
    <xf numFmtId="0" fontId="35" fillId="17" borderId="150" xfId="0" applyFont="1" applyFill="1" applyBorder="1" applyAlignment="1">
      <alignment horizontal="right"/>
    </xf>
    <xf numFmtId="38" fontId="14" fillId="0" borderId="97" xfId="0" applyNumberFormat="1" applyFont="1" applyFill="1" applyBorder="1" applyAlignment="1">
      <alignment horizontal="right"/>
    </xf>
    <xf numFmtId="0" fontId="35" fillId="17" borderId="201" xfId="0" applyFont="1" applyFill="1" applyBorder="1" applyAlignment="1">
      <alignment horizontal="right"/>
    </xf>
    <xf numFmtId="0" fontId="4" fillId="17" borderId="178" xfId="0" applyFont="1" applyFill="1" applyBorder="1" applyAlignment="1">
      <alignment horizontal="left"/>
    </xf>
    <xf numFmtId="0" fontId="4" fillId="17" borderId="178" xfId="0" applyFont="1" applyFill="1" applyBorder="1" applyAlignment="1">
      <alignment horizontal="center"/>
    </xf>
    <xf numFmtId="0" fontId="4" fillId="17" borderId="129" xfId="0" applyFont="1" applyFill="1" applyBorder="1" applyAlignment="1">
      <alignment horizontal="left" shrinkToFit="1"/>
    </xf>
    <xf numFmtId="38" fontId="14" fillId="17" borderId="129" xfId="0" applyNumberFormat="1" applyFont="1" applyFill="1" applyBorder="1" applyAlignment="1">
      <alignment horizontal="right"/>
    </xf>
    <xf numFmtId="0" fontId="4" fillId="17" borderId="89" xfId="0" applyFont="1" applyFill="1" applyBorder="1" applyAlignment="1">
      <alignment horizontal="right"/>
    </xf>
    <xf numFmtId="0" fontId="4" fillId="17" borderId="183" xfId="0" applyFont="1" applyFill="1" applyBorder="1" applyAlignment="1">
      <alignment horizontal="left"/>
    </xf>
    <xf numFmtId="0" fontId="4" fillId="17" borderId="183" xfId="0" applyFont="1" applyFill="1" applyBorder="1" applyAlignment="1">
      <alignment horizontal="center"/>
    </xf>
    <xf numFmtId="0" fontId="4" fillId="17" borderId="91" xfId="0" applyFont="1" applyFill="1" applyBorder="1" applyAlignment="1">
      <alignment horizontal="left" shrinkToFit="1"/>
    </xf>
    <xf numFmtId="49" fontId="4" fillId="17" borderId="165" xfId="0" applyNumberFormat="1" applyFont="1" applyFill="1" applyBorder="1" applyAlignment="1">
      <alignment horizontal="right"/>
    </xf>
    <xf numFmtId="49" fontId="4" fillId="17" borderId="164" xfId="0" applyNumberFormat="1" applyFont="1" applyFill="1" applyBorder="1" applyAlignment="1">
      <alignment horizontal="right"/>
    </xf>
    <xf numFmtId="0" fontId="4" fillId="17" borderId="191" xfId="0" applyFont="1" applyFill="1" applyBorder="1" applyAlignment="1">
      <alignment horizontal="center"/>
    </xf>
    <xf numFmtId="0" fontId="4" fillId="17" borderId="0" xfId="0" applyFont="1" applyFill="1" applyBorder="1" applyAlignment="1">
      <alignment horizontal="left" vertical="center" textRotation="255"/>
    </xf>
    <xf numFmtId="0" fontId="4" fillId="17" borderId="0" xfId="0" applyFont="1" applyFill="1" applyBorder="1" applyAlignment="1">
      <alignment horizontal="right" vertical="center" textRotation="255"/>
    </xf>
    <xf numFmtId="0" fontId="4" fillId="17" borderId="97" xfId="0" applyFont="1" applyFill="1" applyBorder="1" applyAlignment="1">
      <alignment horizontal="right"/>
    </xf>
    <xf numFmtId="0" fontId="4" fillId="17" borderId="87" xfId="0" applyFont="1" applyFill="1" applyBorder="1" applyAlignment="1">
      <alignment horizontal="right"/>
    </xf>
    <xf numFmtId="0" fontId="4" fillId="17" borderId="23" xfId="0" applyFont="1" applyFill="1" applyBorder="1" applyAlignment="1">
      <alignment horizontal="right"/>
    </xf>
    <xf numFmtId="0" fontId="4" fillId="17" borderId="0" xfId="0" applyFont="1" applyFill="1" applyBorder="1" applyAlignment="1">
      <alignment horizontal="left" vertical="center"/>
    </xf>
    <xf numFmtId="0" fontId="4" fillId="17" borderId="202" xfId="0" applyFont="1" applyFill="1" applyBorder="1" applyAlignment="1"/>
    <xf numFmtId="0" fontId="4" fillId="17" borderId="89" xfId="0" applyFont="1" applyFill="1" applyBorder="1" applyAlignment="1">
      <alignment horizontal="left"/>
    </xf>
    <xf numFmtId="0" fontId="12" fillId="17" borderId="190" xfId="0" applyFont="1" applyFill="1" applyBorder="1" applyAlignment="1">
      <alignment horizontal="left"/>
    </xf>
    <xf numFmtId="0" fontId="4" fillId="17" borderId="0" xfId="0" applyFont="1" applyFill="1" applyBorder="1" applyAlignment="1">
      <alignment horizontal="center" vertical="center"/>
    </xf>
    <xf numFmtId="0" fontId="4" fillId="17" borderId="0" xfId="0" applyFont="1" applyFill="1" applyBorder="1" applyAlignment="1">
      <alignment horizontal="distributed" vertical="center"/>
    </xf>
    <xf numFmtId="0" fontId="35" fillId="17" borderId="0" xfId="0" applyFont="1" applyFill="1" applyBorder="1" applyAlignment="1">
      <alignment horizontal="right"/>
    </xf>
    <xf numFmtId="38" fontId="4" fillId="17" borderId="0" xfId="0" applyNumberFormat="1" applyFont="1" applyFill="1" applyBorder="1" applyAlignment="1">
      <alignment horizontal="right" shrinkToFit="1"/>
    </xf>
    <xf numFmtId="38" fontId="14" fillId="17" borderId="89" xfId="0" applyNumberFormat="1" applyFont="1" applyFill="1" applyBorder="1" applyAlignment="1">
      <alignment horizontal="right"/>
    </xf>
    <xf numFmtId="38" fontId="14" fillId="17" borderId="0" xfId="0" applyNumberFormat="1" applyFont="1" applyFill="1" applyBorder="1" applyAlignment="1">
      <alignment horizontal="right"/>
    </xf>
    <xf numFmtId="0" fontId="4" fillId="17" borderId="150" xfId="0" applyFont="1" applyFill="1" applyBorder="1" applyAlignment="1">
      <alignment horizontal="left"/>
    </xf>
    <xf numFmtId="0" fontId="14" fillId="17" borderId="0" xfId="0" applyFont="1" applyFill="1" applyBorder="1" applyAlignment="1">
      <alignment horizontal="left"/>
    </xf>
    <xf numFmtId="0" fontId="4" fillId="14" borderId="12" xfId="0" applyFont="1" applyFill="1" applyBorder="1" applyAlignment="1">
      <alignment vertical="center"/>
    </xf>
    <xf numFmtId="0" fontId="4" fillId="14" borderId="13" xfId="0" applyFont="1" applyFill="1" applyBorder="1" applyAlignment="1">
      <alignment horizontal="center" vertical="top" wrapText="1"/>
    </xf>
    <xf numFmtId="0" fontId="4" fillId="0" borderId="11" xfId="0" applyFont="1" applyBorder="1" applyAlignment="1" applyProtection="1">
      <alignment vertical="center" shrinkToFit="1"/>
      <protection locked="0"/>
    </xf>
    <xf numFmtId="0" fontId="4" fillId="14" borderId="11" xfId="0" applyFont="1" applyFill="1" applyBorder="1" applyAlignment="1">
      <alignment vertical="center" shrinkToFit="1"/>
    </xf>
    <xf numFmtId="0" fontId="11" fillId="0" borderId="0" xfId="0" applyFont="1" applyFill="1" applyAlignment="1">
      <alignment shrinkToFit="1"/>
    </xf>
    <xf numFmtId="0" fontId="38" fillId="0" borderId="38" xfId="0" applyFont="1" applyBorder="1" applyAlignment="1" applyProtection="1">
      <alignment vertical="center"/>
      <protection locked="0"/>
    </xf>
    <xf numFmtId="0" fontId="14" fillId="18" borderId="0" xfId="0" applyFont="1" applyFill="1" applyBorder="1" applyAlignment="1">
      <alignment horizontal="center" shrinkToFit="1"/>
    </xf>
    <xf numFmtId="38" fontId="4" fillId="18" borderId="151" xfId="0" applyNumberFormat="1" applyFont="1" applyFill="1" applyBorder="1" applyAlignment="1">
      <alignment horizontal="right" shrinkToFit="1"/>
    </xf>
    <xf numFmtId="38" fontId="4" fillId="0" borderId="151" xfId="0" applyNumberFormat="1" applyFont="1" applyFill="1" applyBorder="1" applyAlignment="1">
      <alignment horizontal="right" shrinkToFit="1"/>
    </xf>
    <xf numFmtId="38" fontId="4" fillId="18" borderId="31" xfId="0" applyNumberFormat="1" applyFont="1" applyFill="1" applyBorder="1" applyAlignment="1">
      <alignment horizontal="right" shrinkToFit="1"/>
    </xf>
    <xf numFmtId="38" fontId="4" fillId="18" borderId="100" xfId="0" applyNumberFormat="1" applyFont="1" applyFill="1" applyBorder="1" applyAlignment="1">
      <alignment horizontal="right" shrinkToFit="1"/>
    </xf>
    <xf numFmtId="38" fontId="4" fillId="17" borderId="102" xfId="0" applyNumberFormat="1" applyFont="1" applyFill="1" applyBorder="1" applyAlignment="1">
      <alignment horizontal="right" shrinkToFit="1"/>
    </xf>
    <xf numFmtId="0" fontId="34" fillId="17" borderId="132" xfId="0" applyFont="1" applyFill="1" applyBorder="1" applyAlignment="1">
      <alignment horizontal="center"/>
    </xf>
    <xf numFmtId="38" fontId="4" fillId="0" borderId="205" xfId="0" applyNumberFormat="1" applyFont="1" applyFill="1" applyBorder="1" applyAlignment="1">
      <alignment horizontal="center" shrinkToFit="1"/>
    </xf>
    <xf numFmtId="38" fontId="4" fillId="0" borderId="185" xfId="0" applyNumberFormat="1" applyFont="1" applyFill="1" applyBorder="1" applyAlignment="1">
      <alignment horizontal="right" shrinkToFit="1"/>
    </xf>
    <xf numFmtId="38" fontId="4" fillId="0" borderId="31" xfId="0" applyNumberFormat="1" applyFont="1" applyFill="1" applyBorder="1" applyAlignment="1">
      <alignment horizontal="right" shrinkToFit="1"/>
    </xf>
    <xf numFmtId="38" fontId="4" fillId="17" borderId="151" xfId="0" applyNumberFormat="1" applyFont="1" applyFill="1" applyBorder="1" applyAlignment="1">
      <alignment horizontal="right" shrinkToFit="1"/>
    </xf>
    <xf numFmtId="38" fontId="4" fillId="0" borderId="102" xfId="0" applyNumberFormat="1" applyFont="1" applyFill="1" applyBorder="1" applyAlignment="1">
      <alignment horizontal="center" shrinkToFit="1"/>
    </xf>
    <xf numFmtId="38" fontId="4" fillId="0" borderId="101" xfId="0" applyNumberFormat="1" applyFont="1" applyFill="1" applyBorder="1" applyAlignment="1">
      <alignment horizontal="right" shrinkToFit="1"/>
    </xf>
    <xf numFmtId="38" fontId="4" fillId="17" borderId="206" xfId="0" applyNumberFormat="1" applyFont="1" applyFill="1" applyBorder="1" applyAlignment="1">
      <alignment horizontal="right" shrinkToFit="1"/>
    </xf>
    <xf numFmtId="38" fontId="4" fillId="17" borderId="207" xfId="0" applyNumberFormat="1" applyFont="1" applyFill="1" applyBorder="1" applyAlignment="1">
      <alignment horizontal="right" shrinkToFit="1"/>
    </xf>
    <xf numFmtId="38" fontId="4" fillId="17" borderId="208" xfId="0" applyNumberFormat="1" applyFont="1" applyFill="1" applyBorder="1" applyAlignment="1">
      <alignment horizontal="right" shrinkToFit="1"/>
    </xf>
    <xf numFmtId="38" fontId="4" fillId="17" borderId="209" xfId="0" applyNumberFormat="1" applyFont="1" applyFill="1" applyBorder="1" applyAlignment="1">
      <alignment horizontal="right" shrinkToFit="1"/>
    </xf>
    <xf numFmtId="0" fontId="12" fillId="17" borderId="206" xfId="0" applyFont="1" applyFill="1" applyBorder="1" applyAlignment="1">
      <alignment horizontal="center"/>
    </xf>
    <xf numFmtId="0" fontId="14" fillId="17" borderId="206" xfId="0" applyFont="1" applyFill="1" applyBorder="1" applyAlignment="1">
      <alignment horizontal="center" shrinkToFit="1"/>
    </xf>
    <xf numFmtId="38" fontId="4" fillId="17" borderId="31" xfId="0" applyNumberFormat="1" applyFont="1" applyFill="1" applyBorder="1" applyAlignment="1">
      <alignment horizontal="right" shrinkToFit="1"/>
    </xf>
    <xf numFmtId="38" fontId="14" fillId="17" borderId="31" xfId="0" applyNumberFormat="1" applyFont="1" applyFill="1" applyBorder="1" applyAlignment="1">
      <alignment horizontal="right" shrinkToFit="1"/>
    </xf>
    <xf numFmtId="38" fontId="4" fillId="14" borderId="151" xfId="0" applyNumberFormat="1" applyFont="1" applyFill="1" applyBorder="1" applyAlignment="1">
      <alignment horizontal="right" shrinkToFit="1"/>
    </xf>
    <xf numFmtId="38" fontId="14" fillId="14" borderId="151" xfId="0" applyNumberFormat="1" applyFont="1" applyFill="1" applyBorder="1" applyAlignment="1">
      <alignment horizontal="right"/>
    </xf>
    <xf numFmtId="38" fontId="4" fillId="14" borderId="208" xfId="0" applyNumberFormat="1" applyFont="1" applyFill="1" applyBorder="1" applyAlignment="1">
      <alignment horizontal="right" shrinkToFit="1"/>
    </xf>
    <xf numFmtId="38" fontId="14" fillId="16" borderId="208" xfId="0" applyNumberFormat="1" applyFont="1" applyFill="1" applyBorder="1" applyAlignment="1">
      <alignment horizontal="right"/>
    </xf>
    <xf numFmtId="38" fontId="4" fillId="17" borderId="209" xfId="0" applyNumberFormat="1" applyFont="1" applyFill="1" applyBorder="1" applyAlignment="1"/>
    <xf numFmtId="0" fontId="34" fillId="0" borderId="0" xfId="0" applyFont="1" applyFill="1" applyBorder="1" applyAlignment="1"/>
    <xf numFmtId="0" fontId="37" fillId="0" borderId="0" xfId="0" applyFont="1" applyFill="1" applyBorder="1" applyAlignment="1"/>
    <xf numFmtId="0" fontId="14" fillId="0" borderId="76" xfId="0" applyFont="1" applyBorder="1" applyAlignment="1" applyProtection="1">
      <alignment horizontal="center" vertical="center"/>
      <protection locked="0"/>
    </xf>
    <xf numFmtId="0" fontId="10" fillId="0" borderId="38" xfId="0" applyFont="1" applyBorder="1" applyAlignment="1" applyProtection="1">
      <alignment vertical="center"/>
      <protection locked="0"/>
    </xf>
    <xf numFmtId="0" fontId="14" fillId="0" borderId="78" xfId="0" applyFont="1" applyBorder="1" applyAlignment="1" applyProtection="1">
      <alignment horizontal="center" vertical="center"/>
      <protection locked="0"/>
    </xf>
    <xf numFmtId="0" fontId="14" fillId="0" borderId="0" xfId="0" applyFont="1" applyBorder="1" applyAlignment="1" applyProtection="1">
      <alignment vertical="center"/>
    </xf>
    <xf numFmtId="0" fontId="4" fillId="0" borderId="0" xfId="0" applyFont="1" applyFill="1" applyBorder="1" applyAlignment="1" applyProtection="1">
      <alignment horizontal="right" vertical="center"/>
    </xf>
    <xf numFmtId="0" fontId="4" fillId="0" borderId="0" xfId="0" applyNumberFormat="1" applyFont="1" applyAlignment="1" applyProtection="1">
      <alignment vertical="center"/>
    </xf>
    <xf numFmtId="38" fontId="4" fillId="20" borderId="31" xfId="0" applyNumberFormat="1" applyFont="1" applyFill="1" applyBorder="1" applyAlignment="1">
      <alignment horizontal="right" shrinkToFit="1"/>
    </xf>
    <xf numFmtId="0" fontId="14" fillId="19" borderId="151" xfId="0" applyFont="1" applyFill="1" applyBorder="1" applyAlignment="1">
      <alignment horizontal="center" shrinkToFit="1"/>
    </xf>
    <xf numFmtId="38" fontId="4" fillId="19" borderId="102" xfId="0" applyNumberFormat="1" applyFont="1" applyFill="1" applyBorder="1" applyAlignment="1">
      <alignment horizontal="center" shrinkToFit="1"/>
    </xf>
    <xf numFmtId="177" fontId="6" fillId="5" borderId="0" xfId="0" applyNumberFormat="1" applyFont="1" applyFill="1" applyBorder="1" applyAlignment="1" applyProtection="1">
      <alignment vertical="center" shrinkToFit="1"/>
    </xf>
    <xf numFmtId="0" fontId="4" fillId="0" borderId="0" xfId="0" applyFont="1" applyAlignment="1" applyProtection="1">
      <alignment vertical="center" shrinkToFit="1"/>
      <protection locked="0"/>
    </xf>
    <xf numFmtId="38" fontId="4" fillId="19" borderId="102" xfId="0" applyNumberFormat="1" applyFont="1" applyFill="1" applyBorder="1" applyAlignment="1">
      <alignment horizontal="right" shrinkToFit="1"/>
    </xf>
    <xf numFmtId="0" fontId="4" fillId="0" borderId="0" xfId="0" applyFont="1" applyFill="1" applyBorder="1" applyAlignment="1">
      <alignment vertical="center"/>
    </xf>
    <xf numFmtId="0" fontId="4" fillId="0" borderId="191" xfId="0" applyFont="1" applyFill="1" applyBorder="1" applyAlignment="1">
      <alignment vertical="center"/>
    </xf>
    <xf numFmtId="0" fontId="4" fillId="0" borderId="191" xfId="0" applyFont="1" applyFill="1" applyBorder="1" applyAlignment="1">
      <alignment horizontal="center" vertical="top" wrapText="1"/>
    </xf>
    <xf numFmtId="0" fontId="4" fillId="0" borderId="191" xfId="0" applyFont="1" applyFill="1" applyBorder="1" applyAlignment="1">
      <alignment vertical="center" shrinkToFit="1"/>
    </xf>
    <xf numFmtId="0" fontId="0" fillId="0" borderId="0" xfId="0" applyFill="1" applyBorder="1"/>
    <xf numFmtId="0" fontId="4" fillId="17" borderId="165" xfId="0" quotePrefix="1" applyFont="1" applyFill="1" applyBorder="1" applyAlignment="1">
      <alignment vertical="center"/>
    </xf>
    <xf numFmtId="0" fontId="4" fillId="20" borderId="165" xfId="0" quotePrefix="1" applyFont="1" applyFill="1" applyBorder="1" applyAlignment="1">
      <alignment vertical="center"/>
    </xf>
    <xf numFmtId="0" fontId="4" fillId="20" borderId="182" xfId="0" applyFont="1" applyFill="1" applyBorder="1" applyAlignment="1">
      <alignment horizontal="left"/>
    </xf>
    <xf numFmtId="0" fontId="4" fillId="20" borderId="182" xfId="0" applyFont="1" applyFill="1" applyBorder="1" applyAlignment="1">
      <alignment horizontal="center"/>
    </xf>
    <xf numFmtId="0" fontId="4" fillId="20" borderId="23" xfId="0" applyFont="1" applyFill="1" applyBorder="1" applyAlignment="1">
      <alignment horizontal="left"/>
    </xf>
    <xf numFmtId="0" fontId="4" fillId="20" borderId="165" xfId="0" applyFont="1" applyFill="1" applyBorder="1" applyAlignment="1"/>
    <xf numFmtId="38" fontId="14" fillId="20" borderId="87" xfId="0" applyNumberFormat="1" applyFont="1" applyFill="1" applyBorder="1" applyAlignment="1">
      <alignment horizontal="right"/>
    </xf>
    <xf numFmtId="49" fontId="4" fillId="17" borderId="210" xfId="0" applyNumberFormat="1" applyFont="1" applyFill="1" applyBorder="1" applyAlignment="1">
      <alignment horizontal="right"/>
    </xf>
    <xf numFmtId="38" fontId="4" fillId="20" borderId="131" xfId="0" applyNumberFormat="1" applyFont="1" applyFill="1" applyBorder="1" applyAlignment="1">
      <alignment horizontal="right" shrinkToFit="1"/>
    </xf>
    <xf numFmtId="0" fontId="4" fillId="17" borderId="190" xfId="0" applyFont="1" applyFill="1" applyBorder="1" applyAlignment="1">
      <alignment horizontal="right"/>
    </xf>
    <xf numFmtId="0" fontId="4" fillId="17" borderId="211" xfId="0" applyFont="1" applyFill="1" applyBorder="1" applyAlignment="1">
      <alignment horizontal="left"/>
    </xf>
    <xf numFmtId="0" fontId="4" fillId="17" borderId="211" xfId="0" applyFont="1" applyFill="1" applyBorder="1" applyAlignment="1">
      <alignment horizontal="center"/>
    </xf>
    <xf numFmtId="0" fontId="4" fillId="17" borderId="193" xfId="0" applyFont="1" applyFill="1" applyBorder="1" applyAlignment="1">
      <alignment horizontal="left" shrinkToFit="1"/>
    </xf>
    <xf numFmtId="38" fontId="14" fillId="17" borderId="193" xfId="0" applyNumberFormat="1" applyFont="1" applyFill="1" applyBorder="1" applyAlignment="1">
      <alignment horizontal="right"/>
    </xf>
    <xf numFmtId="38" fontId="4" fillId="17" borderId="205" xfId="0" applyNumberFormat="1" applyFont="1" applyFill="1" applyBorder="1" applyAlignment="1">
      <alignment horizontal="center" shrinkToFit="1"/>
    </xf>
    <xf numFmtId="49" fontId="4" fillId="20" borderId="164" xfId="0" applyNumberFormat="1" applyFont="1" applyFill="1" applyBorder="1" applyAlignment="1">
      <alignment horizontal="right"/>
    </xf>
    <xf numFmtId="0" fontId="4" fillId="20" borderId="182" xfId="0" applyFont="1" applyFill="1" applyBorder="1" applyAlignment="1">
      <alignment horizontal="center" shrinkToFit="1"/>
    </xf>
    <xf numFmtId="0" fontId="4" fillId="20" borderId="23" xfId="0" applyFont="1" applyFill="1" applyBorder="1" applyAlignment="1">
      <alignment horizontal="left" shrinkToFit="1"/>
    </xf>
    <xf numFmtId="38" fontId="14" fillId="20" borderId="23" xfId="0" applyNumberFormat="1" applyFont="1" applyFill="1" applyBorder="1" applyAlignment="1">
      <alignment horizontal="right"/>
    </xf>
    <xf numFmtId="0" fontId="4" fillId="0" borderId="198" xfId="0" applyFont="1" applyFill="1" applyBorder="1" applyAlignment="1"/>
    <xf numFmtId="0" fontId="35" fillId="0" borderId="198" xfId="0" applyFont="1" applyFill="1" applyBorder="1" applyAlignment="1"/>
    <xf numFmtId="0" fontId="4" fillId="0" borderId="130" xfId="0" applyFont="1" applyFill="1" applyBorder="1" applyAlignment="1">
      <alignment horizontal="right"/>
    </xf>
    <xf numFmtId="38" fontId="4" fillId="0" borderId="97" xfId="0" applyNumberFormat="1" applyFont="1" applyFill="1" applyBorder="1" applyAlignment="1">
      <alignment horizontal="right"/>
    </xf>
    <xf numFmtId="38" fontId="4" fillId="0" borderId="184" xfId="4" applyFont="1" applyFill="1" applyBorder="1" applyAlignment="1">
      <alignment horizontal="right"/>
    </xf>
    <xf numFmtId="0" fontId="4" fillId="0" borderId="87" xfId="0" applyFont="1" applyFill="1" applyBorder="1" applyAlignment="1">
      <alignment horizontal="right"/>
    </xf>
    <xf numFmtId="38" fontId="4" fillId="0" borderId="91" xfId="0" applyNumberFormat="1" applyFont="1" applyFill="1" applyBorder="1" applyAlignment="1">
      <alignment horizontal="right"/>
    </xf>
    <xf numFmtId="38" fontId="4" fillId="0" borderId="100" xfId="4" applyFont="1" applyFill="1" applyBorder="1" applyAlignment="1">
      <alignment horizontal="right"/>
    </xf>
    <xf numFmtId="0" fontId="4" fillId="17" borderId="211" xfId="0" applyFont="1" applyFill="1" applyBorder="1" applyAlignment="1">
      <alignment horizontal="right" vertical="center" textRotation="255"/>
    </xf>
    <xf numFmtId="0" fontId="4" fillId="0" borderId="84" xfId="0" applyFont="1" applyFill="1" applyBorder="1" applyAlignment="1">
      <alignment horizontal="right"/>
    </xf>
    <xf numFmtId="0" fontId="0" fillId="0" borderId="198" xfId="0" applyBorder="1" applyAlignment="1">
      <alignment horizontal="right" vertical="center" textRotation="255"/>
    </xf>
    <xf numFmtId="0" fontId="4" fillId="0" borderId="23" xfId="0" applyFont="1" applyFill="1" applyBorder="1" applyAlignment="1">
      <alignment horizontal="right"/>
    </xf>
    <xf numFmtId="0" fontId="4" fillId="0" borderId="88" xfId="0" applyFont="1" applyFill="1" applyBorder="1" applyAlignment="1">
      <alignment horizontal="right"/>
    </xf>
    <xf numFmtId="0" fontId="4" fillId="17" borderId="198" xfId="0" applyFont="1" applyFill="1" applyBorder="1" applyAlignment="1">
      <alignment horizontal="right" vertical="center" textRotation="255"/>
    </xf>
    <xf numFmtId="38" fontId="4" fillId="0" borderId="84" xfId="0" applyNumberFormat="1" applyFont="1" applyFill="1" applyBorder="1" applyAlignment="1">
      <alignment horizontal="right"/>
    </xf>
    <xf numFmtId="38" fontId="4" fillId="0" borderId="23" xfId="0" applyNumberFormat="1" applyFont="1" applyFill="1" applyBorder="1" applyAlignment="1">
      <alignment horizontal="right"/>
    </xf>
    <xf numFmtId="38" fontId="4" fillId="0" borderId="131" xfId="4" applyFont="1" applyFill="1" applyBorder="1" applyAlignment="1">
      <alignment horizontal="right"/>
    </xf>
    <xf numFmtId="0" fontId="0" fillId="0" borderId="183" xfId="0" applyBorder="1" applyAlignment="1">
      <alignment horizontal="right" vertical="center" textRotation="255"/>
    </xf>
    <xf numFmtId="0" fontId="4" fillId="0" borderId="88" xfId="0" applyFont="1" applyFill="1" applyBorder="1" applyAlignment="1">
      <alignment horizontal="right" shrinkToFit="1"/>
    </xf>
    <xf numFmtId="38" fontId="4" fillId="0" borderId="87" xfId="0" applyNumberFormat="1" applyFont="1" applyFill="1" applyBorder="1" applyAlignment="1">
      <alignment horizontal="right"/>
    </xf>
    <xf numFmtId="0" fontId="4" fillId="0" borderId="189" xfId="0" applyFont="1" applyFill="1" applyBorder="1" applyAlignment="1">
      <alignment horizontal="center"/>
    </xf>
    <xf numFmtId="0" fontId="4" fillId="0" borderId="190" xfId="0" applyFont="1" applyFill="1" applyBorder="1" applyAlignment="1">
      <alignment horizontal="right" vertical="center" textRotation="255"/>
    </xf>
    <xf numFmtId="0" fontId="4" fillId="0" borderId="167" xfId="0" applyFont="1" applyFill="1" applyBorder="1" applyAlignment="1">
      <alignment horizontal="left" shrinkToFit="1"/>
    </xf>
    <xf numFmtId="0" fontId="5" fillId="0" borderId="167" xfId="0" applyFont="1" applyFill="1" applyBorder="1" applyAlignment="1">
      <alignment horizontal="left"/>
    </xf>
    <xf numFmtId="0" fontId="5" fillId="0" borderId="167" xfId="0" applyFont="1" applyFill="1" applyBorder="1" applyAlignment="1">
      <alignment horizontal="left" shrinkToFit="1"/>
    </xf>
    <xf numFmtId="0" fontId="5" fillId="0" borderId="194" xfId="0" applyFont="1" applyFill="1" applyBorder="1" applyAlignment="1">
      <alignment horizontal="right"/>
    </xf>
    <xf numFmtId="38" fontId="14" fillId="0" borderId="84" xfId="0" applyNumberFormat="1" applyFont="1" applyFill="1" applyBorder="1" applyAlignment="1">
      <alignment horizontal="right"/>
    </xf>
    <xf numFmtId="0" fontId="4" fillId="0" borderId="191" xfId="0" applyFont="1" applyFill="1" applyBorder="1" applyAlignment="1">
      <alignment horizontal="center"/>
    </xf>
    <xf numFmtId="0" fontId="4" fillId="0" borderId="0" xfId="0" applyFont="1" applyFill="1" applyBorder="1" applyAlignment="1">
      <alignment horizontal="right" vertical="center" textRotation="255"/>
    </xf>
    <xf numFmtId="0" fontId="4" fillId="0" borderId="165" xfId="0" applyFont="1" applyFill="1" applyBorder="1" applyAlignment="1">
      <alignment horizontal="left" shrinkToFit="1"/>
    </xf>
    <xf numFmtId="0" fontId="5" fillId="0" borderId="165" xfId="0" applyFont="1" applyFill="1" applyBorder="1" applyAlignment="1">
      <alignment horizontal="left"/>
    </xf>
    <xf numFmtId="0" fontId="5" fillId="0" borderId="165" xfId="0" applyFont="1" applyFill="1" applyBorder="1" applyAlignment="1">
      <alignment horizontal="left" shrinkToFit="1"/>
    </xf>
    <xf numFmtId="0" fontId="5" fillId="0" borderId="182" xfId="0" applyFont="1" applyFill="1" applyBorder="1" applyAlignment="1">
      <alignment horizontal="right"/>
    </xf>
    <xf numFmtId="0" fontId="4" fillId="20" borderId="165" xfId="0" applyFont="1" applyFill="1" applyBorder="1" applyAlignment="1">
      <alignment horizontal="left"/>
    </xf>
    <xf numFmtId="0" fontId="4" fillId="20" borderId="165" xfId="0" applyFont="1" applyFill="1" applyBorder="1" applyAlignment="1">
      <alignment horizontal="center"/>
    </xf>
    <xf numFmtId="0" fontId="4" fillId="20" borderId="182" xfId="0" applyFont="1" applyFill="1" applyBorder="1" applyAlignment="1">
      <alignment horizontal="right"/>
    </xf>
    <xf numFmtId="0" fontId="4" fillId="20" borderId="31" xfId="0" applyFont="1" applyFill="1" applyBorder="1" applyAlignment="1">
      <alignment horizontal="right"/>
    </xf>
    <xf numFmtId="38" fontId="14" fillId="17" borderId="101" xfId="0" applyNumberFormat="1" applyFont="1" applyFill="1" applyBorder="1" applyAlignment="1">
      <alignment horizontal="right" shrinkToFit="1"/>
    </xf>
    <xf numFmtId="38" fontId="4" fillId="17" borderId="101" xfId="0" applyNumberFormat="1" applyFont="1" applyFill="1" applyBorder="1" applyAlignment="1">
      <alignment horizontal="right" shrinkToFit="1"/>
    </xf>
    <xf numFmtId="0" fontId="4" fillId="20" borderId="100" xfId="0" applyFont="1" applyFill="1" applyBorder="1" applyAlignment="1">
      <alignment horizontal="right"/>
    </xf>
    <xf numFmtId="0" fontId="4" fillId="17" borderId="164" xfId="0" applyFont="1" applyFill="1" applyBorder="1" applyAlignment="1">
      <alignment horizontal="left"/>
    </xf>
    <xf numFmtId="0" fontId="4" fillId="17" borderId="180" xfId="0" applyFont="1" applyFill="1" applyBorder="1" applyAlignment="1">
      <alignment horizontal="right"/>
    </xf>
    <xf numFmtId="0" fontId="4" fillId="21" borderId="199" xfId="0" applyFont="1" applyFill="1" applyBorder="1" applyAlignment="1">
      <alignment horizontal="left"/>
    </xf>
    <xf numFmtId="0" fontId="4" fillId="21" borderId="200" xfId="0" applyFont="1" applyFill="1" applyBorder="1" applyAlignment="1">
      <alignment horizontal="left"/>
    </xf>
    <xf numFmtId="0" fontId="4" fillId="21" borderId="203" xfId="0" applyFont="1" applyFill="1" applyBorder="1" applyAlignment="1">
      <alignment horizontal="right"/>
    </xf>
    <xf numFmtId="38" fontId="14" fillId="21" borderId="201" xfId="0" applyNumberFormat="1" applyFont="1" applyFill="1" applyBorder="1" applyAlignment="1">
      <alignment horizontal="right"/>
    </xf>
    <xf numFmtId="38" fontId="34" fillId="17" borderId="89" xfId="0" applyNumberFormat="1" applyFont="1" applyFill="1" applyBorder="1" applyAlignment="1">
      <alignment shrinkToFit="1"/>
    </xf>
    <xf numFmtId="0" fontId="14" fillId="22" borderId="38" xfId="0" applyFont="1" applyFill="1" applyBorder="1" applyAlignment="1" applyProtection="1">
      <alignment vertical="center"/>
      <protection locked="0"/>
    </xf>
    <xf numFmtId="38" fontId="14" fillId="22" borderId="38" xfId="4" applyFont="1" applyFill="1" applyBorder="1" applyAlignment="1" applyProtection="1">
      <alignment vertical="center"/>
      <protection locked="0"/>
    </xf>
    <xf numFmtId="0" fontId="14" fillId="23" borderId="70" xfId="0" applyFont="1" applyFill="1" applyBorder="1" applyAlignment="1" applyProtection="1">
      <alignment vertical="center"/>
      <protection locked="0"/>
    </xf>
    <xf numFmtId="176" fontId="14" fillId="23" borderId="79" xfId="0" applyNumberFormat="1" applyFont="1" applyFill="1" applyBorder="1" applyAlignment="1" applyProtection="1">
      <alignment vertical="center"/>
      <protection locked="0"/>
    </xf>
    <xf numFmtId="179" fontId="14" fillId="23" borderId="70" xfId="0" applyNumberFormat="1" applyFont="1" applyFill="1" applyBorder="1" applyAlignment="1" applyProtection="1">
      <alignment vertical="center"/>
      <protection locked="0"/>
    </xf>
    <xf numFmtId="177" fontId="10" fillId="0" borderId="0" xfId="0" applyNumberFormat="1" applyFont="1" applyFill="1" applyBorder="1" applyAlignment="1" applyProtection="1">
      <alignment horizontal="left" vertical="center"/>
    </xf>
    <xf numFmtId="58" fontId="18" fillId="0" borderId="0" xfId="0" applyNumberFormat="1" applyFont="1" applyFill="1" applyBorder="1" applyAlignment="1" applyProtection="1">
      <alignment horizontal="left" vertical="center" shrinkToFit="1"/>
      <protection locked="0"/>
    </xf>
    <xf numFmtId="0" fontId="17" fillId="0" borderId="0" xfId="0" applyFont="1" applyFill="1" applyBorder="1" applyAlignment="1" applyProtection="1">
      <alignment horizontal="center" vertical="center"/>
    </xf>
    <xf numFmtId="0" fontId="4" fillId="0" borderId="177" xfId="0" applyFont="1" applyBorder="1" applyAlignment="1">
      <alignment horizontal="center" vertical="center"/>
    </xf>
    <xf numFmtId="0" fontId="4" fillId="0" borderId="177" xfId="0" applyFont="1" applyBorder="1" applyAlignment="1" applyProtection="1">
      <alignment vertical="center" shrinkToFit="1"/>
      <protection locked="0"/>
    </xf>
    <xf numFmtId="0" fontId="4" fillId="2" borderId="13" xfId="0" applyFont="1" applyFill="1" applyBorder="1" applyAlignment="1">
      <alignment vertical="center"/>
    </xf>
    <xf numFmtId="0" fontId="4" fillId="0" borderId="213" xfId="0" applyFont="1" applyBorder="1" applyAlignment="1" applyProtection="1">
      <alignment vertical="center"/>
      <protection locked="0"/>
    </xf>
    <xf numFmtId="0" fontId="4" fillId="0" borderId="215" xfId="0" applyFont="1" applyBorder="1" applyAlignment="1" applyProtection="1">
      <alignment vertical="center"/>
      <protection locked="0"/>
    </xf>
    <xf numFmtId="0" fontId="4" fillId="0" borderId="216" xfId="0" applyFont="1" applyBorder="1" applyAlignment="1" applyProtection="1">
      <alignment vertical="center"/>
      <protection locked="0"/>
    </xf>
    <xf numFmtId="0" fontId="4" fillId="0" borderId="215" xfId="0" applyFont="1" applyBorder="1" applyAlignment="1">
      <alignment vertical="center"/>
    </xf>
    <xf numFmtId="0" fontId="0" fillId="0" borderId="216" xfId="0" applyBorder="1" applyAlignment="1">
      <alignment vertical="center" shrinkToFit="1"/>
    </xf>
    <xf numFmtId="0" fontId="4" fillId="0" borderId="217" xfId="0" applyFont="1" applyBorder="1" applyAlignment="1">
      <alignment vertical="center"/>
    </xf>
    <xf numFmtId="0" fontId="0" fillId="0" borderId="218" xfId="0" applyBorder="1"/>
    <xf numFmtId="0" fontId="29" fillId="0" borderId="214" xfId="0" applyFont="1" applyBorder="1" applyAlignment="1" applyProtection="1">
      <alignment horizontal="center" vertical="center" wrapText="1"/>
      <protection locked="0"/>
    </xf>
    <xf numFmtId="177" fontId="10" fillId="0" borderId="0" xfId="0" applyNumberFormat="1" applyFont="1" applyFill="1" applyBorder="1" applyAlignment="1" applyProtection="1">
      <alignment vertical="center"/>
    </xf>
    <xf numFmtId="57" fontId="36" fillId="15" borderId="11" xfId="0" applyNumberFormat="1" applyFont="1" applyFill="1" applyBorder="1" applyAlignment="1">
      <alignment horizontal="center" vertical="center" shrinkToFit="1"/>
    </xf>
    <xf numFmtId="0" fontId="36" fillId="15" borderId="11" xfId="0" applyFont="1" applyFill="1" applyBorder="1" applyAlignment="1">
      <alignment vertical="center"/>
    </xf>
    <xf numFmtId="188" fontId="42" fillId="15" borderId="11" xfId="0" applyNumberFormat="1" applyFont="1" applyFill="1" applyBorder="1" applyAlignment="1">
      <alignment horizontal="center" vertical="center"/>
    </xf>
    <xf numFmtId="58" fontId="18" fillId="0" borderId="0" xfId="0" applyNumberFormat="1" applyFont="1" applyBorder="1" applyAlignment="1" applyProtection="1">
      <alignment vertical="center" shrinkToFit="1"/>
      <protection locked="0"/>
    </xf>
    <xf numFmtId="0" fontId="25" fillId="0" borderId="0" xfId="0" applyFont="1" applyBorder="1" applyAlignment="1" applyProtection="1">
      <alignment horizontal="center" vertical="center" shrinkToFit="1"/>
    </xf>
    <xf numFmtId="0" fontId="19" fillId="0" borderId="0" xfId="0" applyFont="1" applyBorder="1" applyAlignment="1">
      <alignment horizontal="center" vertical="center" shrinkToFit="1"/>
    </xf>
    <xf numFmtId="0" fontId="10" fillId="0" borderId="0" xfId="0" applyFont="1" applyFill="1" applyBorder="1" applyAlignment="1" applyProtection="1">
      <alignment horizontal="center" vertical="center" shrinkToFit="1"/>
    </xf>
    <xf numFmtId="177" fontId="4" fillId="0" borderId="0" xfId="0" applyNumberFormat="1" applyFont="1" applyBorder="1" applyAlignment="1">
      <alignment vertical="center" shrinkToFit="1"/>
    </xf>
    <xf numFmtId="177" fontId="10" fillId="0" borderId="0" xfId="0" applyNumberFormat="1" applyFont="1" applyFill="1" applyBorder="1" applyAlignment="1" applyProtection="1">
      <alignment horizontal="center" vertical="center" shrinkToFit="1"/>
    </xf>
    <xf numFmtId="177" fontId="10" fillId="0" borderId="0" xfId="0" applyNumberFormat="1" applyFont="1" applyFill="1" applyBorder="1" applyAlignment="1" applyProtection="1">
      <alignment vertical="center" shrinkToFit="1"/>
    </xf>
    <xf numFmtId="186" fontId="14" fillId="0" borderId="156" xfId="0" applyNumberFormat="1" applyFont="1" applyBorder="1" applyAlignment="1" applyProtection="1">
      <alignment horizontal="center" vertical="center" shrinkToFit="1"/>
      <protection locked="0"/>
    </xf>
    <xf numFmtId="0" fontId="0" fillId="0" borderId="0" xfId="0" applyNumberFormat="1"/>
    <xf numFmtId="0" fontId="4" fillId="0" borderId="186" xfId="0" applyFont="1" applyBorder="1" applyAlignment="1">
      <alignment vertical="center"/>
    </xf>
    <xf numFmtId="177" fontId="14" fillId="14" borderId="65" xfId="0" applyNumberFormat="1" applyFont="1" applyFill="1" applyBorder="1" applyAlignment="1" applyProtection="1">
      <alignment horizontal="center" vertical="center" shrinkToFit="1"/>
    </xf>
    <xf numFmtId="177" fontId="14" fillId="14" borderId="234" xfId="0" applyNumberFormat="1" applyFont="1" applyFill="1" applyBorder="1" applyAlignment="1" applyProtection="1">
      <alignment horizontal="center" vertical="center" shrinkToFit="1"/>
    </xf>
    <xf numFmtId="0" fontId="14" fillId="0" borderId="235" xfId="0" applyNumberFormat="1" applyFont="1" applyBorder="1" applyAlignment="1" applyProtection="1">
      <alignment horizontal="center" vertical="center" shrinkToFit="1"/>
    </xf>
    <xf numFmtId="0" fontId="14" fillId="0" borderId="236" xfId="4" applyNumberFormat="1" applyFont="1" applyBorder="1" applyAlignment="1" applyProtection="1">
      <alignment horizontal="center" vertical="center" shrinkToFit="1"/>
      <protection locked="0"/>
    </xf>
    <xf numFmtId="0" fontId="4" fillId="17" borderId="165" xfId="0" applyFont="1" applyFill="1" applyBorder="1" applyAlignment="1">
      <alignment horizontal="left" vertical="center"/>
    </xf>
    <xf numFmtId="0" fontId="4" fillId="17" borderId="165" xfId="0" quotePrefix="1" applyFont="1" applyFill="1" applyBorder="1" applyAlignment="1">
      <alignment horizontal="left" vertical="center"/>
    </xf>
    <xf numFmtId="0" fontId="14" fillId="0" borderId="226" xfId="0" applyFont="1" applyBorder="1" applyAlignment="1" applyProtection="1">
      <alignment vertical="center" shrinkToFit="1"/>
      <protection locked="0"/>
    </xf>
    <xf numFmtId="3" fontId="14" fillId="24" borderId="233" xfId="4" applyNumberFormat="1" applyFont="1" applyFill="1" applyBorder="1" applyAlignment="1" applyProtection="1">
      <alignment horizontal="center" vertical="center" shrinkToFit="1"/>
      <protection locked="0"/>
    </xf>
    <xf numFmtId="0" fontId="14" fillId="14" borderId="242" xfId="0" applyFont="1" applyFill="1" applyBorder="1" applyAlignment="1" applyProtection="1">
      <alignment horizontal="center" vertical="center" wrapText="1"/>
    </xf>
    <xf numFmtId="0" fontId="14" fillId="0" borderId="243" xfId="0" applyFont="1" applyBorder="1" applyAlignment="1" applyProtection="1">
      <alignment vertical="center" shrinkToFit="1"/>
      <protection locked="0"/>
    </xf>
    <xf numFmtId="178" fontId="5" fillId="0" borderId="226" xfId="0" applyNumberFormat="1" applyFont="1" applyBorder="1" applyAlignment="1" applyProtection="1">
      <alignment vertical="center" shrinkToFit="1"/>
      <protection locked="0"/>
    </xf>
    <xf numFmtId="0" fontId="14" fillId="0" borderId="244" xfId="0" applyFont="1" applyBorder="1" applyAlignment="1" applyProtection="1">
      <alignment vertical="center" shrinkToFit="1"/>
      <protection locked="0"/>
    </xf>
    <xf numFmtId="0" fontId="14" fillId="0" borderId="238" xfId="0" applyFont="1" applyBorder="1" applyAlignment="1" applyProtection="1">
      <alignment vertical="center" shrinkToFit="1"/>
      <protection locked="0"/>
    </xf>
    <xf numFmtId="0" fontId="45" fillId="18" borderId="245" xfId="0" applyFont="1" applyFill="1" applyBorder="1" applyAlignment="1" applyProtection="1">
      <alignment horizontal="center" vertical="center" wrapText="1"/>
    </xf>
    <xf numFmtId="0" fontId="45" fillId="18" borderId="247" xfId="0" applyFont="1" applyFill="1" applyBorder="1" applyAlignment="1" applyProtection="1">
      <alignment horizontal="center" vertical="center" shrinkToFit="1"/>
    </xf>
    <xf numFmtId="186" fontId="14" fillId="0" borderId="226" xfId="0" applyNumberFormat="1" applyFont="1" applyBorder="1" applyAlignment="1" applyProtection="1">
      <alignment horizontal="center" vertical="center" shrinkToFit="1"/>
      <protection locked="0"/>
    </xf>
    <xf numFmtId="178" fontId="5" fillId="0" borderId="238" xfId="0" applyNumberFormat="1" applyFont="1" applyBorder="1" applyAlignment="1" applyProtection="1">
      <alignment vertical="center" shrinkToFit="1"/>
      <protection locked="0"/>
    </xf>
    <xf numFmtId="186" fontId="14" fillId="0" borderId="238" xfId="0" applyNumberFormat="1" applyFont="1" applyBorder="1" applyAlignment="1" applyProtection="1">
      <alignment horizontal="center" vertical="center" shrinkToFit="1"/>
      <protection locked="0"/>
    </xf>
    <xf numFmtId="49" fontId="46" fillId="17" borderId="0" xfId="0" applyNumberFormat="1" applyFont="1" applyFill="1" applyAlignment="1">
      <alignment vertical="center"/>
    </xf>
    <xf numFmtId="0" fontId="46" fillId="17" borderId="0" xfId="0" applyFont="1" applyFill="1" applyAlignment="1">
      <alignment vertical="center"/>
    </xf>
    <xf numFmtId="0" fontId="19" fillId="14" borderId="40" xfId="0" applyFont="1" applyFill="1" applyBorder="1" applyAlignment="1">
      <alignment horizontal="center" vertical="center" wrapText="1"/>
    </xf>
    <xf numFmtId="0" fontId="4" fillId="14" borderId="40" xfId="0" applyFont="1" applyFill="1" applyBorder="1" applyAlignment="1">
      <alignment horizontal="center" vertical="center" shrinkToFit="1"/>
    </xf>
    <xf numFmtId="0" fontId="4" fillId="0" borderId="226" xfId="0" applyFont="1" applyBorder="1" applyAlignment="1">
      <alignment horizontal="center" vertical="center" shrinkToFit="1"/>
    </xf>
    <xf numFmtId="191" fontId="4" fillId="0" borderId="226" xfId="0" applyNumberFormat="1" applyFont="1" applyBorder="1" applyAlignment="1">
      <alignment horizontal="center" vertical="center" shrinkToFit="1"/>
    </xf>
    <xf numFmtId="191" fontId="4" fillId="0" borderId="238" xfId="0" applyNumberFormat="1" applyFont="1" applyBorder="1" applyAlignment="1">
      <alignment horizontal="center" vertical="center" shrinkToFit="1"/>
    </xf>
    <xf numFmtId="0" fontId="25" fillId="0" borderId="221" xfId="0" applyFont="1" applyBorder="1" applyAlignment="1" applyProtection="1">
      <alignment horizontal="center" vertical="center" shrinkToFit="1"/>
    </xf>
    <xf numFmtId="0" fontId="14" fillId="0" borderId="249" xfId="0" applyFont="1" applyBorder="1" applyAlignment="1" applyProtection="1">
      <alignment vertical="center"/>
      <protection locked="0"/>
    </xf>
    <xf numFmtId="0" fontId="14" fillId="0" borderId="243" xfId="0" applyFont="1" applyBorder="1" applyAlignment="1" applyProtection="1">
      <alignment vertical="center" wrapText="1"/>
      <protection locked="0"/>
    </xf>
    <xf numFmtId="186" fontId="14" fillId="0" borderId="243" xfId="0" applyNumberFormat="1" applyFont="1" applyBorder="1" applyAlignment="1" applyProtection="1">
      <alignment vertical="center" shrinkToFit="1"/>
      <protection locked="0"/>
    </xf>
    <xf numFmtId="0" fontId="14" fillId="0" borderId="243" xfId="0" applyFont="1" applyBorder="1" applyAlignment="1" applyProtection="1">
      <alignment horizontal="center" vertical="center" shrinkToFit="1"/>
      <protection locked="0"/>
    </xf>
    <xf numFmtId="38" fontId="14" fillId="0" borderId="243" xfId="0" applyNumberFormat="1" applyFont="1" applyBorder="1" applyAlignment="1" applyProtection="1">
      <alignment vertical="center" shrinkToFit="1"/>
      <protection locked="0"/>
    </xf>
    <xf numFmtId="177" fontId="14" fillId="0" borderId="243" xfId="0" applyNumberFormat="1" applyFont="1" applyBorder="1" applyAlignment="1" applyProtection="1">
      <alignment vertical="center" shrinkToFit="1"/>
      <protection locked="0"/>
    </xf>
    <xf numFmtId="0" fontId="14" fillId="0" borderId="250" xfId="0" applyFont="1" applyBorder="1" applyAlignment="1" applyProtection="1">
      <alignment vertical="center"/>
      <protection locked="0"/>
    </xf>
    <xf numFmtId="0" fontId="14" fillId="0" borderId="251" xfId="0" applyFont="1" applyBorder="1" applyAlignment="1" applyProtection="1">
      <alignment horizontal="right" vertical="center"/>
      <protection locked="0"/>
    </xf>
    <xf numFmtId="0" fontId="14" fillId="0" borderId="228" xfId="0" applyFont="1" applyBorder="1" applyAlignment="1" applyProtection="1">
      <alignment vertical="center"/>
      <protection locked="0"/>
    </xf>
    <xf numFmtId="0" fontId="14" fillId="0" borderId="226" xfId="0" applyFont="1" applyBorder="1" applyAlignment="1" applyProtection="1">
      <alignment vertical="center" wrapText="1"/>
      <protection locked="0"/>
    </xf>
    <xf numFmtId="186" fontId="14" fillId="0" borderId="226" xfId="0" applyNumberFormat="1" applyFont="1" applyBorder="1" applyAlignment="1" applyProtection="1">
      <alignment vertical="center" shrinkToFit="1"/>
      <protection locked="0"/>
    </xf>
    <xf numFmtId="0" fontId="14" fillId="0" borderId="226" xfId="0" applyFont="1" applyBorder="1" applyAlignment="1" applyProtection="1">
      <alignment horizontal="center" vertical="center" shrinkToFit="1"/>
      <protection locked="0"/>
    </xf>
    <xf numFmtId="38" fontId="14" fillId="0" borderId="226" xfId="0" applyNumberFormat="1" applyFont="1" applyBorder="1" applyAlignment="1" applyProtection="1">
      <alignment vertical="center" shrinkToFit="1"/>
      <protection locked="0"/>
    </xf>
    <xf numFmtId="0" fontId="14" fillId="0" borderId="229" xfId="0" applyFont="1" applyBorder="1" applyAlignment="1" applyProtection="1">
      <alignment vertical="center"/>
      <protection locked="0"/>
    </xf>
    <xf numFmtId="0" fontId="14" fillId="0" borderId="248" xfId="0" applyFont="1" applyBorder="1" applyAlignment="1" applyProtection="1">
      <alignment horizontal="right" vertical="center"/>
      <protection locked="0"/>
    </xf>
    <xf numFmtId="0" fontId="14" fillId="0" borderId="252" xfId="0" applyNumberFormat="1" applyFont="1" applyBorder="1" applyAlignment="1" applyProtection="1">
      <alignment horizontal="right" vertical="center"/>
      <protection locked="0"/>
    </xf>
    <xf numFmtId="0" fontId="14" fillId="0" borderId="253" xfId="0" applyFont="1" applyBorder="1" applyAlignment="1" applyProtection="1">
      <alignment vertical="center"/>
      <protection locked="0"/>
    </xf>
    <xf numFmtId="0" fontId="14" fillId="0" borderId="254" xfId="0" applyFont="1" applyBorder="1" applyAlignment="1" applyProtection="1">
      <alignment vertical="center" wrapText="1"/>
      <protection locked="0"/>
    </xf>
    <xf numFmtId="186" fontId="14" fillId="0" borderId="254" xfId="0" applyNumberFormat="1" applyFont="1" applyBorder="1" applyAlignment="1" applyProtection="1">
      <alignment vertical="center" shrinkToFit="1"/>
      <protection locked="0"/>
    </xf>
    <xf numFmtId="0" fontId="14" fillId="0" borderId="254" xfId="0" applyFont="1" applyBorder="1" applyAlignment="1" applyProtection="1">
      <alignment horizontal="center" vertical="center" shrinkToFit="1"/>
      <protection locked="0"/>
    </xf>
    <xf numFmtId="38" fontId="14" fillId="0" borderId="254" xfId="0" applyNumberFormat="1" applyFont="1" applyBorder="1" applyAlignment="1" applyProtection="1">
      <alignment vertical="center" shrinkToFit="1"/>
      <protection locked="0"/>
    </xf>
    <xf numFmtId="177" fontId="14" fillId="0" borderId="254" xfId="0" applyNumberFormat="1" applyFont="1" applyBorder="1" applyAlignment="1" applyProtection="1">
      <alignment vertical="center" shrinkToFit="1"/>
      <protection locked="0"/>
    </xf>
    <xf numFmtId="0" fontId="14" fillId="0" borderId="255" xfId="0" applyFont="1" applyBorder="1" applyAlignment="1" applyProtection="1">
      <alignment vertical="center"/>
      <protection locked="0"/>
    </xf>
    <xf numFmtId="0" fontId="14" fillId="0" borderId="252" xfId="0" applyFont="1" applyBorder="1" applyAlignment="1" applyProtection="1">
      <alignment horizontal="right" vertical="center"/>
      <protection locked="0"/>
    </xf>
    <xf numFmtId="0" fontId="45" fillId="18" borderId="246" xfId="0" applyFont="1" applyFill="1" applyBorder="1" applyAlignment="1" applyProtection="1">
      <alignment horizontal="center" vertical="center" shrinkToFit="1"/>
    </xf>
    <xf numFmtId="3" fontId="14" fillId="24" borderId="263" xfId="4" applyNumberFormat="1" applyFont="1" applyFill="1" applyBorder="1" applyAlignment="1" applyProtection="1">
      <alignment horizontal="center" vertical="center" shrinkToFit="1"/>
      <protection locked="0"/>
    </xf>
    <xf numFmtId="3" fontId="14" fillId="24" borderId="262" xfId="4" applyNumberFormat="1" applyFont="1" applyFill="1" applyBorder="1" applyAlignment="1" applyProtection="1">
      <alignment horizontal="center" vertical="center" shrinkToFit="1"/>
      <protection locked="0"/>
    </xf>
    <xf numFmtId="0" fontId="51" fillId="25" borderId="11" xfId="5" applyFont="1" applyFill="1" applyBorder="1">
      <alignment vertical="center"/>
    </xf>
    <xf numFmtId="0" fontId="46" fillId="17" borderId="0" xfId="5" applyFont="1" applyFill="1">
      <alignment vertical="center"/>
    </xf>
    <xf numFmtId="49" fontId="46" fillId="17" borderId="0" xfId="5" applyNumberFormat="1" applyFont="1" applyFill="1">
      <alignment vertical="center"/>
    </xf>
    <xf numFmtId="0" fontId="52" fillId="25" borderId="11" xfId="5" applyFont="1" applyFill="1" applyBorder="1">
      <alignment vertical="center"/>
    </xf>
    <xf numFmtId="0" fontId="46" fillId="18" borderId="0" xfId="5" applyFont="1" applyFill="1">
      <alignment vertical="center"/>
    </xf>
    <xf numFmtId="0" fontId="46" fillId="26" borderId="0" xfId="5" applyFont="1" applyFill="1">
      <alignment vertical="center"/>
    </xf>
    <xf numFmtId="0" fontId="51" fillId="25" borderId="11" xfId="0" applyFont="1" applyFill="1" applyBorder="1" applyAlignment="1">
      <alignment vertical="center"/>
    </xf>
    <xf numFmtId="0" fontId="52" fillId="25" borderId="11" xfId="0" applyFont="1" applyFill="1" applyBorder="1" applyAlignment="1">
      <alignment horizontal="left" vertical="center"/>
    </xf>
    <xf numFmtId="0" fontId="46" fillId="13" borderId="0" xfId="5" applyFont="1" applyFill="1">
      <alignment vertical="center"/>
    </xf>
    <xf numFmtId="0" fontId="14" fillId="0" borderId="236" xfId="0" applyNumberFormat="1" applyFont="1" applyBorder="1" applyAlignment="1" applyProtection="1">
      <alignment vertical="center" shrinkToFit="1"/>
      <protection locked="0"/>
    </xf>
    <xf numFmtId="0" fontId="4" fillId="0" borderId="237" xfId="0" applyNumberFormat="1" applyFont="1" applyBorder="1" applyAlignment="1">
      <alignment vertical="center" shrinkToFit="1"/>
    </xf>
    <xf numFmtId="0" fontId="14" fillId="0" borderId="239" xfId="0" applyNumberFormat="1" applyFont="1" applyBorder="1" applyAlignment="1" applyProtection="1">
      <alignment vertical="center" shrinkToFit="1"/>
      <protection locked="0"/>
    </xf>
    <xf numFmtId="0" fontId="10" fillId="0" borderId="0" xfId="0" applyFont="1" applyFill="1" applyBorder="1" applyAlignment="1">
      <alignment horizontal="right"/>
    </xf>
    <xf numFmtId="0" fontId="10" fillId="0" borderId="0" xfId="0" applyFont="1" applyFill="1" applyBorder="1" applyAlignment="1">
      <alignment horizontal="center"/>
    </xf>
    <xf numFmtId="0" fontId="53" fillId="0" borderId="0" xfId="0" applyFont="1" applyFill="1" applyBorder="1" applyAlignment="1">
      <alignment horizontal="right"/>
    </xf>
    <xf numFmtId="0" fontId="53" fillId="0" borderId="0" xfId="0" applyFont="1" applyFill="1" applyBorder="1" applyAlignment="1">
      <alignment horizontal="left"/>
    </xf>
    <xf numFmtId="0" fontId="54" fillId="0" borderId="0" xfId="0" applyFont="1" applyFill="1" applyBorder="1" applyAlignment="1">
      <alignment horizontal="center"/>
    </xf>
    <xf numFmtId="0" fontId="54" fillId="0" borderId="0" xfId="0" applyFont="1" applyFill="1" applyBorder="1" applyAlignment="1">
      <alignment horizontal="left"/>
    </xf>
    <xf numFmtId="0" fontId="10" fillId="0" borderId="0" xfId="0" applyFont="1" applyFill="1" applyBorder="1" applyAlignment="1">
      <alignment horizontal="right" shrinkToFit="1"/>
    </xf>
    <xf numFmtId="0" fontId="55" fillId="0" borderId="0" xfId="0" applyFont="1" applyFill="1" applyBorder="1" applyAlignment="1">
      <alignment horizontal="right" shrinkToFit="1"/>
    </xf>
    <xf numFmtId="0" fontId="10" fillId="0" borderId="0" xfId="0" applyFont="1" applyFill="1" applyBorder="1" applyAlignment="1">
      <alignment horizontal="center" shrinkToFit="1"/>
    </xf>
    <xf numFmtId="0" fontId="5" fillId="0" borderId="0" xfId="0" applyFont="1" applyBorder="1" applyAlignment="1"/>
    <xf numFmtId="0" fontId="10" fillId="0" borderId="89" xfId="0" applyFont="1" applyFill="1" applyBorder="1" applyAlignment="1">
      <alignment horizontal="right"/>
    </xf>
    <xf numFmtId="0" fontId="12" fillId="0" borderId="0" xfId="0" applyFont="1" applyFill="1" applyBorder="1" applyAlignment="1">
      <alignment horizontal="distributed"/>
    </xf>
    <xf numFmtId="0" fontId="12" fillId="0" borderId="0" xfId="0" applyFont="1" applyFill="1" applyBorder="1" applyAlignment="1">
      <alignment horizontal="center"/>
    </xf>
    <xf numFmtId="0" fontId="10" fillId="0" borderId="89" xfId="0" applyFont="1" applyFill="1" applyBorder="1" applyAlignment="1">
      <alignment horizontal="center" shrinkToFit="1"/>
    </xf>
    <xf numFmtId="38" fontId="10" fillId="0" borderId="89" xfId="0" applyNumberFormat="1" applyFont="1" applyFill="1" applyBorder="1" applyAlignment="1">
      <alignment horizontal="center" vertical="center" shrinkToFit="1"/>
    </xf>
    <xf numFmtId="0" fontId="5" fillId="27" borderId="189" xfId="0" applyFont="1" applyFill="1" applyBorder="1" applyAlignment="1">
      <alignment horizontal="right"/>
    </xf>
    <xf numFmtId="0" fontId="5" fillId="27" borderId="190" xfId="0" applyFont="1" applyFill="1" applyBorder="1" applyAlignment="1">
      <alignment horizontal="right"/>
    </xf>
    <xf numFmtId="0" fontId="5" fillId="0" borderId="167" xfId="0" applyFont="1" applyFill="1" applyBorder="1" applyAlignment="1">
      <alignment horizontal="distributed"/>
    </xf>
    <xf numFmtId="0" fontId="35" fillId="0" borderId="167" xfId="0" applyFont="1" applyFill="1" applyBorder="1" applyAlignment="1">
      <alignment horizontal="center"/>
    </xf>
    <xf numFmtId="0" fontId="5" fillId="0" borderId="84" xfId="0" applyFont="1" applyFill="1" applyBorder="1" applyAlignment="1">
      <alignment horizontal="center"/>
    </xf>
    <xf numFmtId="0" fontId="5" fillId="0" borderId="84" xfId="0" applyFont="1" applyFill="1" applyBorder="1" applyAlignment="1">
      <alignment horizontal="right"/>
    </xf>
    <xf numFmtId="192" fontId="5" fillId="12" borderId="84" xfId="0" applyNumberFormat="1" applyFont="1" applyFill="1" applyBorder="1" applyAlignment="1">
      <alignment horizontal="center" shrinkToFit="1"/>
    </xf>
    <xf numFmtId="192" fontId="5" fillId="12" borderId="185" xfId="0" applyNumberFormat="1" applyFont="1" applyFill="1" applyBorder="1" applyAlignment="1">
      <alignment horizontal="center" shrinkToFit="1"/>
    </xf>
    <xf numFmtId="0" fontId="55" fillId="0" borderId="0" xfId="0" applyFont="1" applyBorder="1" applyAlignment="1"/>
    <xf numFmtId="0" fontId="5" fillId="27" borderId="191" xfId="0" applyFont="1" applyFill="1" applyBorder="1" applyAlignment="1">
      <alignment horizontal="right"/>
    </xf>
    <xf numFmtId="0" fontId="5" fillId="27" borderId="0" xfId="0" applyFont="1" applyFill="1" applyBorder="1" applyAlignment="1">
      <alignment horizontal="right"/>
    </xf>
    <xf numFmtId="0" fontId="5" fillId="0" borderId="224" xfId="0" applyFont="1" applyFill="1" applyBorder="1" applyAlignment="1">
      <alignment horizontal="distributed"/>
    </xf>
    <xf numFmtId="0" fontId="35" fillId="0" borderId="224" xfId="0" applyFont="1" applyFill="1" applyBorder="1" applyAlignment="1">
      <alignment horizontal="center"/>
    </xf>
    <xf numFmtId="0" fontId="5" fillId="0" borderId="23" xfId="0" applyFont="1" applyFill="1" applyBorder="1" applyAlignment="1">
      <alignment horizontal="center"/>
    </xf>
    <xf numFmtId="0" fontId="5" fillId="0" borderId="52" xfId="0" applyFont="1" applyFill="1" applyBorder="1" applyAlignment="1">
      <alignment horizontal="right"/>
    </xf>
    <xf numFmtId="0" fontId="5" fillId="28" borderId="23" xfId="0" applyFont="1" applyFill="1" applyBorder="1" applyAlignment="1">
      <alignment horizontal="center" shrinkToFit="1"/>
    </xf>
    <xf numFmtId="0" fontId="5" fillId="28" borderId="31" xfId="0" applyFont="1" applyFill="1" applyBorder="1" applyAlignment="1">
      <alignment horizontal="center" shrinkToFit="1"/>
    </xf>
    <xf numFmtId="0" fontId="5" fillId="12" borderId="130" xfId="0" applyFont="1" applyFill="1" applyBorder="1" applyAlignment="1">
      <alignment horizontal="center"/>
    </xf>
    <xf numFmtId="0" fontId="10" fillId="27" borderId="130" xfId="0" applyFont="1" applyFill="1" applyBorder="1" applyAlignment="1">
      <alignment horizontal="center" shrinkToFit="1"/>
    </xf>
    <xf numFmtId="0" fontId="5" fillId="27" borderId="129" xfId="0" applyFont="1" applyFill="1" applyBorder="1" applyAlignment="1">
      <alignment horizontal="center" shrinkToFit="1"/>
    </xf>
    <xf numFmtId="0" fontId="5" fillId="27" borderId="184" xfId="0" applyFont="1" applyFill="1" applyBorder="1" applyAlignment="1">
      <alignment horizontal="center" shrinkToFit="1"/>
    </xf>
    <xf numFmtId="0" fontId="56" fillId="27" borderId="261" xfId="0" applyFont="1" applyFill="1" applyBorder="1" applyAlignment="1"/>
    <xf numFmtId="0" fontId="5" fillId="28" borderId="261" xfId="0" applyFont="1" applyFill="1" applyBorder="1" applyAlignment="1">
      <alignment horizontal="center" shrinkToFit="1"/>
    </xf>
    <xf numFmtId="0" fontId="5" fillId="28" borderId="130" xfId="0" applyFont="1" applyFill="1" applyBorder="1" applyAlignment="1">
      <alignment horizontal="center" shrinkToFit="1"/>
    </xf>
    <xf numFmtId="0" fontId="5" fillId="28" borderId="184" xfId="0" applyFont="1" applyFill="1" applyBorder="1" applyAlignment="1">
      <alignment horizontal="center" shrinkToFit="1"/>
    </xf>
    <xf numFmtId="0" fontId="57" fillId="27" borderId="191" xfId="0" applyFont="1" applyFill="1" applyBorder="1" applyAlignment="1">
      <alignment horizontal="right"/>
    </xf>
    <xf numFmtId="0" fontId="57" fillId="27" borderId="0" xfId="0" applyFont="1" applyFill="1" applyBorder="1" applyAlignment="1">
      <alignment horizontal="right"/>
    </xf>
    <xf numFmtId="38" fontId="5" fillId="12" borderId="23" xfId="0" applyNumberFormat="1" applyFont="1" applyFill="1" applyBorder="1" applyAlignment="1">
      <alignment horizontal="center" shrinkToFit="1"/>
    </xf>
    <xf numFmtId="38" fontId="5" fillId="12" borderId="31" xfId="0" applyNumberFormat="1" applyFont="1" applyFill="1" applyBorder="1" applyAlignment="1">
      <alignment horizontal="center" shrinkToFit="1"/>
    </xf>
    <xf numFmtId="0" fontId="58" fillId="0" borderId="0" xfId="0" applyFont="1" applyBorder="1" applyAlignment="1"/>
    <xf numFmtId="38" fontId="5" fillId="12" borderId="261" xfId="0" applyNumberFormat="1" applyFont="1" applyFill="1" applyBorder="1" applyAlignment="1">
      <alignment horizontal="center" vertical="center" shrinkToFit="1"/>
    </xf>
    <xf numFmtId="38" fontId="5" fillId="12" borderId="31" xfId="0" applyNumberFormat="1" applyFont="1" applyFill="1" applyBorder="1" applyAlignment="1">
      <alignment horizontal="center" vertical="center" shrinkToFit="1"/>
    </xf>
    <xf numFmtId="38" fontId="5" fillId="12" borderId="91" xfId="0" applyNumberFormat="1" applyFont="1" applyFill="1" applyBorder="1" applyAlignment="1">
      <alignment horizontal="center" vertical="center" shrinkToFit="1"/>
    </xf>
    <xf numFmtId="38" fontId="5" fillId="12" borderId="102" xfId="0" applyNumberFormat="1" applyFont="1" applyFill="1" applyBorder="1" applyAlignment="1">
      <alignment horizontal="center" vertical="center" shrinkToFit="1"/>
    </xf>
    <xf numFmtId="0" fontId="5" fillId="27" borderId="190" xfId="0" applyFont="1" applyFill="1" applyBorder="1" applyAlignment="1">
      <alignment horizontal="left"/>
    </xf>
    <xf numFmtId="0" fontId="5" fillId="27" borderId="15" xfId="0" applyFont="1" applyFill="1" applyBorder="1" applyAlignment="1">
      <alignment horizontal="left"/>
    </xf>
    <xf numFmtId="0" fontId="5" fillId="27" borderId="150" xfId="0" applyFont="1" applyFill="1" applyBorder="1" applyAlignment="1">
      <alignment horizontal="center"/>
    </xf>
    <xf numFmtId="38" fontId="10" fillId="27" borderId="150" xfId="0" applyNumberFormat="1" applyFont="1" applyFill="1" applyBorder="1" applyAlignment="1">
      <alignment horizontal="right"/>
    </xf>
    <xf numFmtId="38" fontId="5" fillId="0" borderId="150" xfId="0" applyNumberFormat="1" applyFont="1" applyFill="1" applyBorder="1" applyAlignment="1">
      <alignment horizontal="right" shrinkToFit="1"/>
    </xf>
    <xf numFmtId="38" fontId="5" fillId="0" borderId="151" xfId="0" applyNumberFormat="1" applyFont="1" applyFill="1" applyBorder="1" applyAlignment="1">
      <alignment horizontal="right" shrinkToFit="1"/>
    </xf>
    <xf numFmtId="0" fontId="5" fillId="27" borderId="167" xfId="0" applyFont="1" applyFill="1" applyBorder="1" applyAlignment="1">
      <alignment horizontal="left"/>
    </xf>
    <xf numFmtId="0" fontId="5" fillId="27" borderId="167" xfId="0" applyFont="1" applyFill="1" applyBorder="1" applyAlignment="1">
      <alignment horizontal="left" shrinkToFit="1"/>
    </xf>
    <xf numFmtId="0" fontId="5" fillId="27" borderId="84" xfId="0" applyFont="1" applyFill="1" applyBorder="1" applyAlignment="1">
      <alignment horizontal="center"/>
    </xf>
    <xf numFmtId="38" fontId="10" fillId="27" borderId="84" xfId="0" applyNumberFormat="1" applyFont="1" applyFill="1" applyBorder="1" applyAlignment="1">
      <alignment horizontal="right"/>
    </xf>
    <xf numFmtId="38" fontId="5" fillId="12" borderId="84" xfId="0" applyNumberFormat="1" applyFont="1" applyFill="1" applyBorder="1" applyAlignment="1">
      <alignment horizontal="right" shrinkToFit="1"/>
    </xf>
    <xf numFmtId="38" fontId="5" fillId="12" borderId="185" xfId="0" applyNumberFormat="1" applyFont="1" applyFill="1" applyBorder="1" applyAlignment="1">
      <alignment horizontal="right" shrinkToFit="1"/>
    </xf>
    <xf numFmtId="0" fontId="5" fillId="0" borderId="224" xfId="0" applyFont="1" applyBorder="1" applyAlignment="1"/>
    <xf numFmtId="0" fontId="5" fillId="27" borderId="23" xfId="0" applyFont="1" applyFill="1" applyBorder="1" applyAlignment="1">
      <alignment horizontal="right"/>
    </xf>
    <xf numFmtId="38" fontId="10" fillId="27" borderId="23" xfId="0" applyNumberFormat="1" applyFont="1" applyFill="1" applyBorder="1" applyAlignment="1">
      <alignment horizontal="right"/>
    </xf>
    <xf numFmtId="38" fontId="5" fillId="27" borderId="23" xfId="0" applyNumberFormat="1" applyFont="1" applyFill="1" applyBorder="1" applyAlignment="1">
      <alignment horizontal="right" shrinkToFit="1"/>
    </xf>
    <xf numFmtId="38" fontId="5" fillId="27" borderId="31" xfId="0" applyNumberFormat="1" applyFont="1" applyFill="1" applyBorder="1" applyAlignment="1">
      <alignment horizontal="right" shrinkToFit="1"/>
    </xf>
    <xf numFmtId="38" fontId="5" fillId="27" borderId="23" xfId="0" applyNumberFormat="1" applyFont="1" applyFill="1" applyBorder="1" applyAlignment="1">
      <alignment horizontal="right"/>
    </xf>
    <xf numFmtId="0" fontId="5" fillId="17" borderId="191" xfId="0" applyFont="1" applyFill="1" applyBorder="1" applyAlignment="1">
      <alignment horizontal="right"/>
    </xf>
    <xf numFmtId="0" fontId="5" fillId="17" borderId="0" xfId="0" applyFont="1" applyFill="1" applyBorder="1" applyAlignment="1">
      <alignment horizontal="right"/>
    </xf>
    <xf numFmtId="0" fontId="5" fillId="17" borderId="224" xfId="0" applyFont="1" applyFill="1" applyBorder="1" applyAlignment="1">
      <alignment horizontal="left"/>
    </xf>
    <xf numFmtId="0" fontId="5" fillId="17" borderId="23" xfId="0" applyFont="1" applyFill="1" applyBorder="1" applyAlignment="1">
      <alignment horizontal="right"/>
    </xf>
    <xf numFmtId="38" fontId="10" fillId="17" borderId="23" xfId="0" applyNumberFormat="1" applyFont="1" applyFill="1" applyBorder="1" applyAlignment="1">
      <alignment horizontal="right"/>
    </xf>
    <xf numFmtId="38" fontId="5" fillId="17" borderId="23" xfId="0" applyNumberFormat="1" applyFont="1" applyFill="1" applyBorder="1" applyAlignment="1">
      <alignment horizontal="right" shrinkToFit="1"/>
    </xf>
    <xf numFmtId="38" fontId="5" fillId="17" borderId="31" xfId="0" applyNumberFormat="1" applyFont="1" applyFill="1" applyBorder="1" applyAlignment="1">
      <alignment horizontal="right" shrinkToFit="1"/>
    </xf>
    <xf numFmtId="0" fontId="5" fillId="17" borderId="0" xfId="0" applyFont="1" applyFill="1" applyBorder="1" applyAlignment="1"/>
    <xf numFmtId="0" fontId="5" fillId="27" borderId="224" xfId="0" applyFont="1" applyFill="1" applyBorder="1" applyAlignment="1">
      <alignment horizontal="center" vertical="center"/>
    </xf>
    <xf numFmtId="38" fontId="5" fillId="12" borderId="23" xfId="0" applyNumberFormat="1" applyFont="1" applyFill="1" applyBorder="1" applyAlignment="1">
      <alignment horizontal="right" shrinkToFit="1"/>
    </xf>
    <xf numFmtId="38" fontId="5" fillId="12" borderId="31" xfId="0" applyNumberFormat="1" applyFont="1" applyFill="1" applyBorder="1" applyAlignment="1">
      <alignment horizontal="right" shrinkToFit="1"/>
    </xf>
    <xf numFmtId="0" fontId="5" fillId="0" borderId="224" xfId="0" applyFont="1" applyFill="1" applyBorder="1" applyAlignment="1">
      <alignment horizontal="center"/>
    </xf>
    <xf numFmtId="0" fontId="5" fillId="27" borderId="0" xfId="0" applyFont="1" applyFill="1" applyBorder="1" applyAlignment="1">
      <alignment horizontal="center"/>
    </xf>
    <xf numFmtId="0" fontId="5" fillId="27" borderId="0" xfId="0" applyFont="1" applyFill="1" applyBorder="1" applyAlignment="1">
      <alignment horizontal="left"/>
    </xf>
    <xf numFmtId="0" fontId="5" fillId="27" borderId="130" xfId="0" applyFont="1" applyFill="1" applyBorder="1" applyAlignment="1">
      <alignment horizontal="right"/>
    </xf>
    <xf numFmtId="38" fontId="10" fillId="27" borderId="130" xfId="0" applyNumberFormat="1" applyFont="1" applyFill="1" applyBorder="1" applyAlignment="1">
      <alignment horizontal="right"/>
    </xf>
    <xf numFmtId="38" fontId="5" fillId="12" borderId="130" xfId="0" applyNumberFormat="1" applyFont="1" applyFill="1" applyBorder="1" applyAlignment="1">
      <alignment horizontal="right" shrinkToFit="1"/>
    </xf>
    <xf numFmtId="38" fontId="5" fillId="12" borderId="184" xfId="0" applyNumberFormat="1" applyFont="1" applyFill="1" applyBorder="1" applyAlignment="1">
      <alignment horizontal="right" shrinkToFit="1"/>
    </xf>
    <xf numFmtId="0" fontId="5" fillId="27" borderId="192" xfId="0" applyFont="1" applyFill="1" applyBorder="1" applyAlignment="1">
      <alignment horizontal="right"/>
    </xf>
    <xf numFmtId="0" fontId="5" fillId="27" borderId="89" xfId="0" applyFont="1" applyFill="1" applyBorder="1" applyAlignment="1">
      <alignment horizontal="right"/>
    </xf>
    <xf numFmtId="0" fontId="5" fillId="27" borderId="162" xfId="0" applyFont="1" applyFill="1" applyBorder="1" applyAlignment="1">
      <alignment horizontal="center"/>
    </xf>
    <xf numFmtId="0" fontId="5" fillId="27" borderId="162" xfId="0" applyFont="1" applyFill="1" applyBorder="1" applyAlignment="1">
      <alignment horizontal="left"/>
    </xf>
    <xf numFmtId="0" fontId="5" fillId="27" borderId="87" xfId="0" applyFont="1" applyFill="1" applyBorder="1" applyAlignment="1">
      <alignment horizontal="right"/>
    </xf>
    <xf numFmtId="38" fontId="10" fillId="27" borderId="87" xfId="0" applyNumberFormat="1" applyFont="1" applyFill="1" applyBorder="1" applyAlignment="1">
      <alignment horizontal="right"/>
    </xf>
    <xf numFmtId="38" fontId="5" fillId="0" borderId="87" xfId="0" applyNumberFormat="1" applyFont="1" applyFill="1" applyBorder="1" applyAlignment="1">
      <alignment horizontal="right" shrinkToFit="1"/>
    </xf>
    <xf numFmtId="38" fontId="5" fillId="0" borderId="100" xfId="0" applyNumberFormat="1" applyFont="1" applyFill="1" applyBorder="1" applyAlignment="1">
      <alignment horizontal="right" shrinkToFit="1"/>
    </xf>
    <xf numFmtId="38" fontId="5" fillId="0" borderId="130" xfId="0" applyNumberFormat="1" applyFont="1" applyFill="1" applyBorder="1" applyAlignment="1">
      <alignment horizontal="right" shrinkToFit="1"/>
    </xf>
    <xf numFmtId="38" fontId="5" fillId="27" borderId="130" xfId="0" applyNumberFormat="1" applyFont="1" applyFill="1" applyBorder="1" applyAlignment="1">
      <alignment horizontal="right" shrinkToFit="1"/>
    </xf>
    <xf numFmtId="38" fontId="5" fillId="27" borderId="184" xfId="0" applyNumberFormat="1" applyFont="1" applyFill="1" applyBorder="1" applyAlignment="1">
      <alignment horizontal="right" shrinkToFit="1"/>
    </xf>
    <xf numFmtId="0" fontId="5" fillId="17" borderId="167" xfId="0" applyFont="1" applyFill="1" applyBorder="1" applyAlignment="1">
      <alignment horizontal="left"/>
    </xf>
    <xf numFmtId="0" fontId="5" fillId="17" borderId="84" xfId="0" applyFont="1" applyFill="1" applyBorder="1" applyAlignment="1">
      <alignment horizontal="right"/>
    </xf>
    <xf numFmtId="38" fontId="10" fillId="17" borderId="84" xfId="0" applyNumberFormat="1" applyFont="1" applyFill="1" applyBorder="1" applyAlignment="1">
      <alignment horizontal="right"/>
    </xf>
    <xf numFmtId="38" fontId="5" fillId="0" borderId="84" xfId="0" applyNumberFormat="1" applyFont="1" applyFill="1" applyBorder="1" applyAlignment="1">
      <alignment horizontal="right" shrinkToFit="1"/>
    </xf>
    <xf numFmtId="38" fontId="5" fillId="17" borderId="84" xfId="0" applyNumberFormat="1" applyFont="1" applyFill="1" applyBorder="1" applyAlignment="1">
      <alignment horizontal="right" shrinkToFit="1"/>
    </xf>
    <xf numFmtId="38" fontId="5" fillId="17" borderId="185" xfId="0" applyNumberFormat="1" applyFont="1" applyFill="1" applyBorder="1" applyAlignment="1">
      <alignment horizontal="right" shrinkToFit="1"/>
    </xf>
    <xf numFmtId="0" fontId="5" fillId="17" borderId="265" xfId="0" applyFont="1" applyFill="1" applyBorder="1" applyAlignment="1">
      <alignment horizontal="left"/>
    </xf>
    <xf numFmtId="0" fontId="5" fillId="17" borderId="261" xfId="0" applyFont="1" applyFill="1" applyBorder="1" applyAlignment="1">
      <alignment horizontal="right"/>
    </xf>
    <xf numFmtId="38" fontId="5" fillId="0" borderId="261" xfId="0" applyNumberFormat="1" applyFont="1" applyFill="1" applyBorder="1" applyAlignment="1">
      <alignment horizontal="right" shrinkToFit="1"/>
    </xf>
    <xf numFmtId="38" fontId="5" fillId="17" borderId="261" xfId="0" applyNumberFormat="1" applyFont="1" applyFill="1" applyBorder="1" applyAlignment="1">
      <alignment horizontal="right" shrinkToFit="1"/>
    </xf>
    <xf numFmtId="38" fontId="5" fillId="17" borderId="266" xfId="0" applyNumberFormat="1" applyFont="1" applyFill="1" applyBorder="1" applyAlignment="1">
      <alignment horizontal="right" shrinkToFit="1"/>
    </xf>
    <xf numFmtId="0" fontId="5" fillId="17" borderId="224" xfId="0" applyFont="1" applyFill="1" applyBorder="1" applyAlignment="1">
      <alignment horizontal="right"/>
    </xf>
    <xf numFmtId="38" fontId="5" fillId="0" borderId="23" xfId="0" applyNumberFormat="1" applyFont="1" applyFill="1" applyBorder="1" applyAlignment="1">
      <alignment horizontal="right" shrinkToFit="1"/>
    </xf>
    <xf numFmtId="0" fontId="5" fillId="0" borderId="191" xfId="0" applyFont="1" applyFill="1" applyBorder="1" applyAlignment="1">
      <alignment horizontal="right"/>
    </xf>
    <xf numFmtId="0" fontId="5" fillId="0" borderId="0" xfId="0" applyFont="1" applyFill="1" applyBorder="1" applyAlignment="1">
      <alignment horizontal="right"/>
    </xf>
    <xf numFmtId="0" fontId="5" fillId="0" borderId="224" xfId="0" applyFont="1" applyFill="1" applyBorder="1" applyAlignment="1">
      <alignment horizontal="left"/>
    </xf>
    <xf numFmtId="0" fontId="5" fillId="0" borderId="23" xfId="0" applyFont="1" applyFill="1" applyBorder="1" applyAlignment="1">
      <alignment horizontal="right"/>
    </xf>
    <xf numFmtId="38" fontId="10" fillId="0" borderId="23" xfId="0" applyNumberFormat="1" applyFont="1" applyFill="1" applyBorder="1" applyAlignment="1">
      <alignment horizontal="right"/>
    </xf>
    <xf numFmtId="38" fontId="5" fillId="0" borderId="31" xfId="0" applyNumberFormat="1" applyFont="1" applyFill="1" applyBorder="1" applyAlignment="1">
      <alignment horizontal="right" shrinkToFit="1"/>
    </xf>
    <xf numFmtId="0" fontId="5" fillId="0" borderId="0" xfId="0" applyFont="1" applyFill="1" applyBorder="1" applyAlignment="1"/>
    <xf numFmtId="0" fontId="5" fillId="0" borderId="224" xfId="0" applyFont="1" applyFill="1" applyBorder="1" applyAlignment="1">
      <alignment horizontal="right"/>
    </xf>
    <xf numFmtId="38" fontId="5" fillId="0" borderId="0" xfId="0" applyNumberFormat="1" applyFont="1" applyFill="1" applyBorder="1" applyAlignment="1">
      <alignment horizontal="right"/>
    </xf>
    <xf numFmtId="0" fontId="5" fillId="0" borderId="0" xfId="0" applyFont="1" applyFill="1" applyBorder="1" applyAlignment="1">
      <alignment horizontal="left"/>
    </xf>
    <xf numFmtId="0" fontId="5" fillId="0" borderId="130" xfId="0" applyFont="1" applyFill="1" applyBorder="1" applyAlignment="1">
      <alignment horizontal="right"/>
    </xf>
    <xf numFmtId="38" fontId="10" fillId="0" borderId="130" xfId="0" applyNumberFormat="1" applyFont="1" applyFill="1" applyBorder="1" applyAlignment="1">
      <alignment horizontal="right"/>
    </xf>
    <xf numFmtId="38" fontId="5" fillId="0" borderId="184" xfId="0" applyNumberFormat="1" applyFont="1" applyFill="1" applyBorder="1" applyAlignment="1">
      <alignment horizontal="right" shrinkToFit="1"/>
    </xf>
    <xf numFmtId="0" fontId="5" fillId="27" borderId="14" xfId="0" applyFont="1" applyFill="1" applyBorder="1" applyAlignment="1">
      <alignment horizontal="right"/>
    </xf>
    <xf numFmtId="0" fontId="5" fillId="27" borderId="150" xfId="0" applyFont="1" applyFill="1" applyBorder="1" applyAlignment="1">
      <alignment horizontal="right"/>
    </xf>
    <xf numFmtId="38" fontId="5" fillId="27" borderId="150" xfId="0" applyNumberFormat="1" applyFont="1" applyFill="1" applyBorder="1" applyAlignment="1">
      <alignment horizontal="right" shrinkToFit="1"/>
    </xf>
    <xf numFmtId="38" fontId="5" fillId="27" borderId="151" xfId="0" applyNumberFormat="1" applyFont="1" applyFill="1" applyBorder="1" applyAlignment="1">
      <alignment horizontal="right" shrinkToFit="1"/>
    </xf>
    <xf numFmtId="0" fontId="5" fillId="27" borderId="15" xfId="0" applyFont="1" applyFill="1" applyBorder="1" applyAlignment="1">
      <alignment horizontal="right"/>
    </xf>
    <xf numFmtId="0" fontId="35" fillId="27" borderId="0" xfId="0" applyFont="1" applyFill="1" applyBorder="1" applyAlignment="1">
      <alignment horizontal="left"/>
    </xf>
    <xf numFmtId="0" fontId="59" fillId="27" borderId="0" xfId="0" applyFont="1" applyFill="1" applyBorder="1" applyAlignment="1">
      <alignment horizontal="center"/>
    </xf>
    <xf numFmtId="0" fontId="10" fillId="27" borderId="0" xfId="0" applyFont="1" applyFill="1" applyBorder="1" applyAlignment="1">
      <alignment horizontal="center"/>
    </xf>
    <xf numFmtId="0" fontId="5" fillId="27" borderId="0" xfId="0" applyFont="1" applyFill="1" applyBorder="1" applyAlignment="1">
      <alignment horizontal="left" shrinkToFit="1"/>
    </xf>
    <xf numFmtId="0" fontId="5" fillId="27" borderId="0" xfId="0" applyFont="1" applyFill="1" applyBorder="1" applyAlignment="1">
      <alignment horizontal="right" shrinkToFit="1"/>
    </xf>
    <xf numFmtId="0" fontId="5" fillId="27" borderId="206" xfId="0" applyFont="1" applyFill="1" applyBorder="1" applyAlignment="1">
      <alignment horizontal="right" shrinkToFit="1"/>
    </xf>
    <xf numFmtId="0" fontId="5" fillId="27" borderId="193" xfId="0" applyFont="1" applyFill="1" applyBorder="1" applyAlignment="1">
      <alignment horizontal="center"/>
    </xf>
    <xf numFmtId="0" fontId="10" fillId="27" borderId="193" xfId="0" applyFont="1" applyFill="1" applyBorder="1" applyAlignment="1">
      <alignment horizontal="center"/>
    </xf>
    <xf numFmtId="0" fontId="5" fillId="27" borderId="193" xfId="0" applyFont="1" applyFill="1" applyBorder="1" applyAlignment="1">
      <alignment horizontal="center" shrinkToFit="1"/>
    </xf>
    <xf numFmtId="0" fontId="5" fillId="27" borderId="205" xfId="0" applyFont="1" applyFill="1" applyBorder="1" applyAlignment="1">
      <alignment horizontal="center" shrinkToFit="1"/>
    </xf>
    <xf numFmtId="0" fontId="35" fillId="27" borderId="191" xfId="0" applyFont="1" applyFill="1" applyBorder="1" applyAlignment="1">
      <alignment horizontal="left"/>
    </xf>
    <xf numFmtId="0" fontId="59" fillId="27" borderId="0" xfId="0" applyFont="1" applyFill="1" applyBorder="1" applyAlignment="1">
      <alignment horizontal="left"/>
    </xf>
    <xf numFmtId="0" fontId="59" fillId="27" borderId="89" xfId="0" applyFont="1" applyFill="1" applyBorder="1" applyAlignment="1">
      <alignment horizontal="left"/>
    </xf>
    <xf numFmtId="0" fontId="5" fillId="27" borderId="91" xfId="0" applyFont="1" applyFill="1" applyBorder="1" applyAlignment="1">
      <alignment horizontal="center"/>
    </xf>
    <xf numFmtId="0" fontId="10" fillId="27" borderId="91" xfId="0" applyFont="1" applyFill="1" applyBorder="1" applyAlignment="1">
      <alignment horizontal="right"/>
    </xf>
    <xf numFmtId="0" fontId="5" fillId="27" borderId="91" xfId="0" applyFont="1" applyFill="1" applyBorder="1" applyAlignment="1">
      <alignment horizontal="right" shrinkToFit="1"/>
    </xf>
    <xf numFmtId="0" fontId="5" fillId="27" borderId="102" xfId="0" applyFont="1" applyFill="1" applyBorder="1" applyAlignment="1">
      <alignment horizontal="right" shrinkToFit="1"/>
    </xf>
    <xf numFmtId="38" fontId="5" fillId="0" borderId="185" xfId="0" applyNumberFormat="1" applyFont="1" applyFill="1" applyBorder="1" applyAlignment="1">
      <alignment horizontal="right" shrinkToFit="1"/>
    </xf>
    <xf numFmtId="0" fontId="5" fillId="27" borderId="224" xfId="0" applyFont="1" applyFill="1" applyBorder="1" applyAlignment="1">
      <alignment horizontal="left" shrinkToFit="1"/>
    </xf>
    <xf numFmtId="0" fontId="19" fillId="27" borderId="224" xfId="0" applyFont="1" applyFill="1" applyBorder="1" applyAlignment="1">
      <alignment horizontal="left"/>
    </xf>
    <xf numFmtId="38" fontId="10" fillId="12" borderId="23" xfId="0" applyNumberFormat="1" applyFont="1" applyFill="1" applyBorder="1" applyAlignment="1">
      <alignment horizontal="right" shrinkToFit="1"/>
    </xf>
    <xf numFmtId="38" fontId="10" fillId="12" borderId="31" xfId="0" applyNumberFormat="1" applyFont="1" applyFill="1" applyBorder="1" applyAlignment="1">
      <alignment horizontal="right" shrinkToFit="1"/>
    </xf>
    <xf numFmtId="38" fontId="10" fillId="0" borderId="23" xfId="0" applyNumberFormat="1" applyFont="1" applyFill="1" applyBorder="1" applyAlignment="1">
      <alignment horizontal="right" shrinkToFit="1"/>
    </xf>
    <xf numFmtId="38" fontId="10" fillId="0" borderId="31" xfId="0" applyNumberFormat="1" applyFont="1" applyFill="1" applyBorder="1" applyAlignment="1">
      <alignment horizontal="right" shrinkToFit="1"/>
    </xf>
    <xf numFmtId="0" fontId="5" fillId="27" borderId="224" xfId="0" quotePrefix="1" applyFont="1" applyFill="1" applyBorder="1" applyAlignment="1">
      <alignment horizontal="left" shrinkToFit="1"/>
    </xf>
    <xf numFmtId="0" fontId="5" fillId="27" borderId="224" xfId="0" quotePrefix="1" applyFont="1" applyFill="1" applyBorder="1" applyAlignment="1">
      <alignment horizontal="left"/>
    </xf>
    <xf numFmtId="0" fontId="5" fillId="0" borderId="224" xfId="0" applyFont="1" applyFill="1" applyBorder="1" applyAlignment="1">
      <alignment horizontal="left" shrinkToFit="1"/>
    </xf>
    <xf numFmtId="0" fontId="5" fillId="27" borderId="210" xfId="0" applyFont="1" applyFill="1" applyBorder="1" applyAlignment="1">
      <alignment horizontal="left" shrinkToFit="1"/>
    </xf>
    <xf numFmtId="0" fontId="5" fillId="27" borderId="129" xfId="0" applyFont="1" applyFill="1" applyBorder="1" applyAlignment="1">
      <alignment horizontal="right"/>
    </xf>
    <xf numFmtId="38" fontId="10" fillId="29" borderId="23" xfId="0" applyNumberFormat="1" applyFont="1" applyFill="1" applyBorder="1" applyAlignment="1">
      <alignment horizontal="right" shrinkToFit="1"/>
    </xf>
    <xf numFmtId="38" fontId="10" fillId="29" borderId="31" xfId="0" applyNumberFormat="1" applyFont="1" applyFill="1" applyBorder="1" applyAlignment="1">
      <alignment horizontal="right" shrinkToFit="1"/>
    </xf>
    <xf numFmtId="0" fontId="5" fillId="27" borderId="162" xfId="0" applyFont="1" applyFill="1" applyBorder="1" applyAlignment="1">
      <alignment horizontal="left" shrinkToFit="1"/>
    </xf>
    <xf numFmtId="38" fontId="10" fillId="12" borderId="87" xfId="0" applyNumberFormat="1" applyFont="1" applyFill="1" applyBorder="1" applyAlignment="1">
      <alignment horizontal="right" shrinkToFit="1"/>
    </xf>
    <xf numFmtId="38" fontId="10" fillId="12" borderId="100" xfId="0" applyNumberFormat="1" applyFont="1" applyFill="1" applyBorder="1" applyAlignment="1">
      <alignment horizontal="right" shrinkToFit="1"/>
    </xf>
    <xf numFmtId="0" fontId="58" fillId="0" borderId="0" xfId="0" applyFont="1" applyFill="1" applyBorder="1" applyAlignment="1">
      <alignment horizontal="right"/>
    </xf>
    <xf numFmtId="0" fontId="60" fillId="0" borderId="0" xfId="0" applyFont="1" applyFill="1" applyBorder="1" applyAlignment="1">
      <alignment horizontal="center"/>
    </xf>
    <xf numFmtId="0" fontId="58" fillId="0" borderId="0" xfId="0" applyFont="1" applyFill="1" applyBorder="1" applyAlignment="1">
      <alignment horizontal="center"/>
    </xf>
    <xf numFmtId="0" fontId="58" fillId="0" borderId="0" xfId="0" applyFont="1" applyFill="1" applyBorder="1" applyAlignment="1">
      <alignment horizontal="right" shrinkToFit="1"/>
    </xf>
    <xf numFmtId="0" fontId="58" fillId="0" borderId="0" xfId="0" applyFont="1" applyFill="1" applyBorder="1" applyAlignment="1">
      <alignment horizontal="center" shrinkToFit="1"/>
    </xf>
    <xf numFmtId="0" fontId="58" fillId="0" borderId="0" xfId="0" applyFont="1" applyFill="1" applyBorder="1" applyAlignment="1"/>
    <xf numFmtId="0" fontId="61" fillId="0" borderId="0" xfId="0" applyFont="1" applyFill="1" applyBorder="1" applyAlignment="1">
      <alignment horizontal="left"/>
    </xf>
    <xf numFmtId="0" fontId="58" fillId="0" borderId="189" xfId="0" applyFont="1" applyFill="1" applyBorder="1" applyAlignment="1">
      <alignment horizontal="right"/>
    </xf>
    <xf numFmtId="0" fontId="58" fillId="0" borderId="190" xfId="0" applyFont="1" applyFill="1" applyBorder="1" applyAlignment="1">
      <alignment horizontal="right"/>
    </xf>
    <xf numFmtId="0" fontId="58" fillId="0" borderId="193" xfId="0" applyFont="1" applyFill="1" applyBorder="1" applyAlignment="1">
      <alignment horizontal="center"/>
    </xf>
    <xf numFmtId="0" fontId="58" fillId="0" borderId="193" xfId="0" applyFont="1" applyFill="1" applyBorder="1" applyAlignment="1">
      <alignment horizontal="center" shrinkToFit="1"/>
    </xf>
    <xf numFmtId="0" fontId="58" fillId="0" borderId="205" xfId="0" applyFont="1" applyFill="1" applyBorder="1" applyAlignment="1">
      <alignment horizontal="center" shrinkToFit="1"/>
    </xf>
    <xf numFmtId="38" fontId="58" fillId="0" borderId="91" xfId="0" applyNumberFormat="1" applyFont="1" applyFill="1" applyBorder="1" applyAlignment="1">
      <alignment horizontal="right"/>
    </xf>
    <xf numFmtId="38" fontId="58" fillId="0" borderId="91" xfId="0" applyNumberFormat="1" applyFont="1" applyFill="1" applyBorder="1" applyAlignment="1">
      <alignment horizontal="right" shrinkToFit="1"/>
    </xf>
    <xf numFmtId="38" fontId="58" fillId="0" borderId="102" xfId="0" applyNumberFormat="1" applyFont="1" applyFill="1" applyBorder="1" applyAlignment="1">
      <alignment horizontal="right" shrinkToFit="1"/>
    </xf>
    <xf numFmtId="0" fontId="58" fillId="0" borderId="85" xfId="0" applyFont="1" applyFill="1" applyBorder="1" applyAlignment="1"/>
    <xf numFmtId="0" fontId="58" fillId="0" borderId="167" xfId="0" applyFont="1" applyFill="1" applyBorder="1" applyAlignment="1">
      <alignment shrinkToFit="1"/>
    </xf>
    <xf numFmtId="0" fontId="58" fillId="0" borderId="194" xfId="0" applyFont="1" applyFill="1" applyBorder="1" applyAlignment="1">
      <alignment shrinkToFit="1"/>
    </xf>
    <xf numFmtId="38" fontId="58" fillId="0" borderId="193" xfId="0" applyNumberFormat="1" applyFont="1" applyFill="1" applyBorder="1" applyAlignment="1">
      <alignment horizontal="right"/>
    </xf>
    <xf numFmtId="38" fontId="55" fillId="0" borderId="193" xfId="0" applyNumberFormat="1" applyFont="1" applyFill="1" applyBorder="1" applyAlignment="1">
      <alignment horizontal="right" shrinkToFit="1"/>
    </xf>
    <xf numFmtId="38" fontId="55" fillId="0" borderId="205" xfId="0" applyNumberFormat="1" applyFont="1" applyFill="1" applyBorder="1" applyAlignment="1">
      <alignment horizontal="right" shrinkToFit="1"/>
    </xf>
    <xf numFmtId="0" fontId="58" fillId="0" borderId="23" xfId="0" applyFont="1" applyFill="1" applyBorder="1" applyAlignment="1">
      <alignment horizontal="left" shrinkToFit="1"/>
    </xf>
    <xf numFmtId="193" fontId="58" fillId="0" borderId="23" xfId="0" applyNumberFormat="1" applyFont="1" applyFill="1" applyBorder="1" applyAlignment="1">
      <alignment horizontal="right" shrinkToFit="1"/>
    </xf>
    <xf numFmtId="10" fontId="58" fillId="0" borderId="23" xfId="0" quotePrefix="1" applyNumberFormat="1" applyFont="1" applyFill="1" applyBorder="1" applyAlignment="1">
      <alignment horizontal="center" shrinkToFit="1"/>
    </xf>
    <xf numFmtId="38" fontId="58" fillId="0" borderId="23" xfId="0" applyNumberFormat="1" applyFont="1" applyFill="1" applyBorder="1" applyAlignment="1">
      <alignment horizontal="right"/>
    </xf>
    <xf numFmtId="38" fontId="58" fillId="0" borderId="23" xfId="0" applyNumberFormat="1" applyFont="1" applyFill="1" applyBorder="1" applyAlignment="1">
      <alignment horizontal="right" shrinkToFit="1"/>
    </xf>
    <xf numFmtId="38" fontId="58" fillId="0" borderId="31" xfId="0" applyNumberFormat="1" applyFont="1" applyFill="1" applyBorder="1" applyAlignment="1">
      <alignment horizontal="right" shrinkToFit="1"/>
    </xf>
    <xf numFmtId="0" fontId="58" fillId="27" borderId="23" xfId="0" applyFont="1" applyFill="1" applyBorder="1" applyAlignment="1">
      <alignment horizontal="left" shrinkToFit="1"/>
    </xf>
    <xf numFmtId="10" fontId="58" fillId="0" borderId="23" xfId="0" applyNumberFormat="1" applyFont="1" applyFill="1" applyBorder="1" applyAlignment="1">
      <alignment horizontal="right" shrinkToFit="1"/>
    </xf>
    <xf numFmtId="0" fontId="58" fillId="27" borderId="23" xfId="0" quotePrefix="1" applyFont="1" applyFill="1" applyBorder="1" applyAlignment="1">
      <alignment horizontal="left" shrinkToFit="1"/>
    </xf>
    <xf numFmtId="0" fontId="58" fillId="27" borderId="181" xfId="0" applyFont="1" applyFill="1" applyBorder="1" applyAlignment="1">
      <alignment horizontal="center" vertical="center" shrinkToFit="1"/>
    </xf>
    <xf numFmtId="49" fontId="55" fillId="0" borderId="87" xfId="0" applyNumberFormat="1" applyFont="1" applyFill="1" applyBorder="1" applyAlignment="1">
      <alignment horizontal="left" shrinkToFit="1"/>
    </xf>
    <xf numFmtId="193" fontId="58" fillId="0" borderId="87" xfId="0" applyNumberFormat="1" applyFont="1" applyFill="1" applyBorder="1" applyAlignment="1">
      <alignment horizontal="right" shrinkToFit="1"/>
    </xf>
    <xf numFmtId="10" fontId="58" fillId="0" borderId="87" xfId="0" applyNumberFormat="1" applyFont="1" applyFill="1" applyBorder="1" applyAlignment="1">
      <alignment horizontal="right" shrinkToFit="1"/>
    </xf>
    <xf numFmtId="38" fontId="58" fillId="0" borderId="87" xfId="0" applyNumberFormat="1" applyFont="1" applyFill="1" applyBorder="1" applyAlignment="1">
      <alignment horizontal="right"/>
    </xf>
    <xf numFmtId="38" fontId="58" fillId="0" borderId="87" xfId="0" applyNumberFormat="1" applyFont="1" applyFill="1" applyBorder="1" applyAlignment="1">
      <alignment horizontal="right" shrinkToFit="1"/>
    </xf>
    <xf numFmtId="38" fontId="58" fillId="0" borderId="100" xfId="0" applyNumberFormat="1" applyFont="1" applyFill="1" applyBorder="1" applyAlignment="1">
      <alignment horizontal="right" shrinkToFit="1"/>
    </xf>
    <xf numFmtId="0" fontId="58" fillId="0" borderId="189" xfId="0" applyFont="1" applyFill="1" applyBorder="1" applyAlignment="1">
      <alignment horizontal="center" shrinkToFit="1"/>
    </xf>
    <xf numFmtId="0" fontId="58" fillId="27" borderId="190" xfId="0" applyFont="1" applyFill="1" applyBorder="1" applyAlignment="1">
      <alignment horizontal="center" vertical="center" shrinkToFit="1"/>
    </xf>
    <xf numFmtId="0" fontId="58" fillId="27" borderId="190" xfId="0" applyFont="1" applyFill="1" applyBorder="1" applyAlignment="1">
      <alignment horizontal="left" shrinkToFit="1"/>
    </xf>
    <xf numFmtId="38" fontId="58" fillId="0" borderId="193" xfId="0" applyNumberFormat="1" applyFont="1" applyFill="1" applyBorder="1" applyAlignment="1">
      <alignment horizontal="right" shrinkToFit="1"/>
    </xf>
    <xf numFmtId="38" fontId="58" fillId="0" borderId="205" xfId="0" applyNumberFormat="1" applyFont="1" applyFill="1" applyBorder="1" applyAlignment="1">
      <alignment horizontal="right" shrinkToFit="1"/>
    </xf>
    <xf numFmtId="0" fontId="58" fillId="0" borderId="193" xfId="0" applyFont="1" applyFill="1" applyBorder="1" applyAlignment="1">
      <alignment horizontal="left" shrinkToFit="1"/>
    </xf>
    <xf numFmtId="193" fontId="58" fillId="0" borderId="193" xfId="0" applyNumberFormat="1" applyFont="1" applyFill="1" applyBorder="1" applyAlignment="1">
      <alignment vertical="center" shrinkToFit="1"/>
    </xf>
    <xf numFmtId="10" fontId="58" fillId="0" borderId="84" xfId="0" applyNumberFormat="1" applyFont="1" applyFill="1" applyBorder="1" applyAlignment="1">
      <alignment horizontal="center" vertical="center"/>
    </xf>
    <xf numFmtId="38" fontId="62" fillId="0" borderId="84" xfId="0" applyNumberFormat="1" applyFont="1" applyFill="1" applyBorder="1" applyAlignment="1">
      <alignment horizontal="right"/>
    </xf>
    <xf numFmtId="10" fontId="58" fillId="0" borderId="84" xfId="0" applyNumberFormat="1" applyFont="1" applyFill="1" applyBorder="1" applyAlignment="1">
      <alignment horizontal="left" vertical="center" shrinkToFit="1"/>
    </xf>
    <xf numFmtId="10" fontId="58" fillId="0" borderId="185" xfId="0" applyNumberFormat="1" applyFont="1" applyFill="1" applyBorder="1" applyAlignment="1">
      <alignment horizontal="left" vertical="center" shrinkToFit="1"/>
    </xf>
    <xf numFmtId="0" fontId="58" fillId="0" borderId="261" xfId="0" applyFont="1" applyFill="1" applyBorder="1" applyAlignment="1">
      <alignment horizontal="left" shrinkToFit="1"/>
    </xf>
    <xf numFmtId="193" fontId="58" fillId="0" borderId="261" xfId="0" applyNumberFormat="1" applyFont="1" applyFill="1" applyBorder="1" applyAlignment="1">
      <alignment vertical="top" shrinkToFit="1"/>
    </xf>
    <xf numFmtId="10" fontId="58" fillId="0" borderId="23" xfId="0" applyNumberFormat="1" applyFont="1" applyFill="1" applyBorder="1" applyAlignment="1">
      <alignment horizontal="center" vertical="center"/>
    </xf>
    <xf numFmtId="38" fontId="58" fillId="0" borderId="261" xfId="0" applyNumberFormat="1" applyFont="1" applyFill="1" applyBorder="1" applyAlignment="1">
      <alignment horizontal="right" shrinkToFit="1"/>
    </xf>
    <xf numFmtId="38" fontId="58" fillId="0" borderId="266" xfId="0" applyNumberFormat="1" applyFont="1" applyFill="1" applyBorder="1" applyAlignment="1">
      <alignment horizontal="right" shrinkToFit="1"/>
    </xf>
    <xf numFmtId="0" fontId="58" fillId="0" borderId="129" xfId="0" applyFont="1" applyFill="1" applyBorder="1" applyAlignment="1">
      <alignment horizontal="left" shrinkToFit="1"/>
    </xf>
    <xf numFmtId="0" fontId="58" fillId="0" borderId="210" xfId="0" applyFont="1" applyFill="1" applyBorder="1" applyAlignment="1"/>
    <xf numFmtId="38" fontId="62" fillId="0" borderId="23" xfId="0" applyNumberFormat="1" applyFont="1" applyFill="1" applyBorder="1" applyAlignment="1">
      <alignment horizontal="right"/>
    </xf>
    <xf numFmtId="10" fontId="58" fillId="0" borderId="23" xfId="0" applyNumberFormat="1" applyFont="1" applyFill="1" applyBorder="1" applyAlignment="1">
      <alignment horizontal="left" shrinkToFit="1"/>
    </xf>
    <xf numFmtId="10" fontId="58" fillId="0" borderId="31" xfId="0" applyNumberFormat="1" applyFont="1" applyFill="1" applyBorder="1" applyAlignment="1">
      <alignment horizontal="left" shrinkToFit="1"/>
    </xf>
    <xf numFmtId="193" fontId="58" fillId="0" borderId="261" xfId="0" applyNumberFormat="1" applyFont="1" applyFill="1" applyBorder="1" applyAlignment="1">
      <alignment shrinkToFit="1"/>
    </xf>
    <xf numFmtId="193" fontId="58" fillId="0" borderId="23" xfId="0" applyNumberFormat="1" applyFont="1" applyFill="1" applyBorder="1" applyAlignment="1">
      <alignment shrinkToFit="1"/>
    </xf>
    <xf numFmtId="0" fontId="58" fillId="27" borderId="23" xfId="0" applyFont="1" applyFill="1" applyBorder="1" applyAlignment="1">
      <alignment horizontal="left" vertical="center" shrinkToFit="1"/>
    </xf>
    <xf numFmtId="0" fontId="58" fillId="27" borderId="269" xfId="0" applyFont="1" applyFill="1" applyBorder="1" applyAlignment="1">
      <alignment horizontal="center" vertical="center" shrinkToFit="1"/>
    </xf>
    <xf numFmtId="49" fontId="58" fillId="27" borderId="87" xfId="0" applyNumberFormat="1" applyFont="1" applyFill="1" applyBorder="1" applyAlignment="1">
      <alignment horizontal="left" shrinkToFit="1"/>
    </xf>
    <xf numFmtId="193" fontId="58" fillId="0" borderId="270" xfId="0" applyNumberFormat="1" applyFont="1" applyFill="1" applyBorder="1" applyAlignment="1">
      <alignment shrinkToFit="1"/>
    </xf>
    <xf numFmtId="10" fontId="58" fillId="0" borderId="270" xfId="0" applyNumberFormat="1" applyFont="1" applyFill="1" applyBorder="1" applyAlignment="1">
      <alignment horizontal="right" shrinkToFit="1"/>
    </xf>
    <xf numFmtId="38" fontId="58" fillId="0" borderId="270" xfId="0" applyNumberFormat="1" applyFont="1" applyFill="1" applyBorder="1" applyAlignment="1">
      <alignment horizontal="right"/>
    </xf>
    <xf numFmtId="0" fontId="58" fillId="0" borderId="195" xfId="0" applyFont="1" applyFill="1" applyBorder="1" applyAlignment="1">
      <alignment horizontal="right"/>
    </xf>
    <xf numFmtId="0" fontId="58" fillId="0" borderId="196" xfId="0" applyFont="1" applyFill="1" applyBorder="1" applyAlignment="1">
      <alignment horizontal="right"/>
    </xf>
    <xf numFmtId="0" fontId="58" fillId="0" borderId="196" xfId="0" applyFont="1" applyFill="1" applyBorder="1" applyAlignment="1">
      <alignment horizontal="left"/>
    </xf>
    <xf numFmtId="0" fontId="58" fillId="0" borderId="197" xfId="0" applyFont="1" applyFill="1" applyBorder="1" applyAlignment="1">
      <alignment horizontal="left"/>
    </xf>
    <xf numFmtId="0" fontId="58" fillId="0" borderId="197" xfId="0" applyFont="1" applyFill="1" applyBorder="1" applyAlignment="1">
      <alignment horizontal="right"/>
    </xf>
    <xf numFmtId="38" fontId="58" fillId="0" borderId="197" xfId="0" applyNumberFormat="1" applyFont="1" applyFill="1" applyBorder="1" applyAlignment="1">
      <alignment horizontal="right"/>
    </xf>
    <xf numFmtId="38" fontId="58" fillId="0" borderId="197" xfId="0" applyNumberFormat="1" applyFont="1" applyFill="1" applyBorder="1" applyAlignment="1">
      <alignment horizontal="right" shrinkToFit="1"/>
    </xf>
    <xf numFmtId="38" fontId="58" fillId="0" borderId="209" xfId="0" applyNumberFormat="1" applyFont="1" applyFill="1" applyBorder="1" applyAlignment="1">
      <alignment horizontal="right" shrinkToFit="1"/>
    </xf>
    <xf numFmtId="38" fontId="10" fillId="0" borderId="0" xfId="0" applyNumberFormat="1" applyFont="1" applyFill="1" applyBorder="1" applyAlignment="1">
      <alignment horizontal="right"/>
    </xf>
    <xf numFmtId="38" fontId="10" fillId="0" borderId="0" xfId="0" applyNumberFormat="1" applyFont="1" applyFill="1" applyBorder="1" applyAlignment="1">
      <alignment horizontal="right" shrinkToFit="1"/>
    </xf>
    <xf numFmtId="0" fontId="35" fillId="0" borderId="0" xfId="0" applyFont="1" applyFill="1" applyBorder="1" applyAlignment="1">
      <alignment horizontal="center"/>
    </xf>
    <xf numFmtId="0" fontId="5" fillId="0" borderId="0" xfId="0" applyFont="1" applyFill="1" applyBorder="1" applyAlignment="1">
      <alignment horizontal="center"/>
    </xf>
    <xf numFmtId="0" fontId="59" fillId="0" borderId="0" xfId="0" applyFont="1" applyFill="1" applyBorder="1" applyAlignment="1">
      <alignment horizontal="left"/>
    </xf>
    <xf numFmtId="0" fontId="5" fillId="0" borderId="189" xfId="0" applyFont="1" applyFill="1" applyBorder="1" applyAlignment="1">
      <alignment horizontal="right"/>
    </xf>
    <xf numFmtId="0" fontId="5" fillId="0" borderId="190" xfId="0" applyFont="1" applyFill="1" applyBorder="1" applyAlignment="1">
      <alignment horizontal="right"/>
    </xf>
    <xf numFmtId="0" fontId="10" fillId="0" borderId="193" xfId="0" applyFont="1" applyFill="1" applyBorder="1" applyAlignment="1">
      <alignment horizontal="center"/>
    </xf>
    <xf numFmtId="0" fontId="10" fillId="0" borderId="193" xfId="0" applyFont="1" applyFill="1" applyBorder="1" applyAlignment="1">
      <alignment horizontal="center" shrinkToFit="1"/>
    </xf>
    <xf numFmtId="0" fontId="10" fillId="0" borderId="205" xfId="0" applyFont="1" applyFill="1" applyBorder="1" applyAlignment="1">
      <alignment horizontal="center" shrinkToFit="1"/>
    </xf>
    <xf numFmtId="38" fontId="10" fillId="0" borderId="91" xfId="0" applyNumberFormat="1" applyFont="1" applyFill="1" applyBorder="1" applyAlignment="1">
      <alignment horizontal="right"/>
    </xf>
    <xf numFmtId="38" fontId="10" fillId="0" borderId="91" xfId="0" applyNumberFormat="1" applyFont="1" applyFill="1" applyBorder="1" applyAlignment="1">
      <alignment horizontal="right" shrinkToFit="1"/>
    </xf>
    <xf numFmtId="38" fontId="10" fillId="0" borderId="102" xfId="0" applyNumberFormat="1" applyFont="1" applyFill="1" applyBorder="1" applyAlignment="1">
      <alignment horizontal="right" shrinkToFit="1"/>
    </xf>
    <xf numFmtId="0" fontId="5" fillId="0" borderId="85" xfId="0" applyFont="1" applyFill="1" applyBorder="1" applyAlignment="1"/>
    <xf numFmtId="0" fontId="5" fillId="0" borderId="194" xfId="0" applyFont="1" applyFill="1" applyBorder="1" applyAlignment="1"/>
    <xf numFmtId="0" fontId="5" fillId="0" borderId="193" xfId="0" applyFont="1" applyFill="1" applyBorder="1" applyAlignment="1">
      <alignment horizontal="center" shrinkToFit="1"/>
    </xf>
    <xf numFmtId="10" fontId="5" fillId="0" borderId="193" xfId="0" applyNumberFormat="1" applyFont="1" applyFill="1" applyBorder="1" applyAlignment="1">
      <alignment horizontal="right" shrinkToFit="1"/>
    </xf>
    <xf numFmtId="38" fontId="10" fillId="0" borderId="193" xfId="0" applyNumberFormat="1" applyFont="1" applyFill="1" applyBorder="1" applyAlignment="1">
      <alignment horizontal="right"/>
    </xf>
    <xf numFmtId="38" fontId="10" fillId="0" borderId="193" xfId="0" applyNumberFormat="1" applyFont="1" applyFill="1" applyBorder="1" applyAlignment="1">
      <alignment horizontal="right" shrinkToFit="1"/>
    </xf>
    <xf numFmtId="38" fontId="10" fillId="17" borderId="193" xfId="0" applyNumberFormat="1" applyFont="1" applyFill="1" applyBorder="1" applyAlignment="1">
      <alignment horizontal="right" shrinkToFit="1"/>
    </xf>
    <xf numFmtId="38" fontId="10" fillId="17" borderId="205" xfId="0" applyNumberFormat="1" applyFont="1" applyFill="1" applyBorder="1" applyAlignment="1">
      <alignment horizontal="right" shrinkToFit="1"/>
    </xf>
    <xf numFmtId="0" fontId="5" fillId="0" borderId="23" xfId="0" applyFont="1" applyFill="1" applyBorder="1" applyAlignment="1">
      <alignment horizontal="left" shrinkToFit="1"/>
    </xf>
    <xf numFmtId="193" fontId="5" fillId="0" borderId="23" xfId="0" applyNumberFormat="1" applyFont="1" applyFill="1" applyBorder="1" applyAlignment="1">
      <alignment horizontal="right" shrinkToFit="1"/>
    </xf>
    <xf numFmtId="10" fontId="5" fillId="0" borderId="23" xfId="0" quotePrefix="1" applyNumberFormat="1" applyFont="1" applyFill="1" applyBorder="1" applyAlignment="1">
      <alignment horizontal="center" shrinkToFit="1"/>
    </xf>
    <xf numFmtId="0" fontId="5" fillId="17" borderId="23" xfId="0" applyFont="1" applyFill="1" applyBorder="1" applyAlignment="1">
      <alignment horizontal="left" shrinkToFit="1"/>
    </xf>
    <xf numFmtId="193" fontId="5" fillId="17" borderId="23" xfId="0" applyNumberFormat="1" applyFont="1" applyFill="1" applyBorder="1" applyAlignment="1">
      <alignment horizontal="right" shrinkToFit="1"/>
    </xf>
    <xf numFmtId="10" fontId="5" fillId="17" borderId="23" xfId="0" quotePrefix="1" applyNumberFormat="1" applyFont="1" applyFill="1" applyBorder="1" applyAlignment="1">
      <alignment horizontal="center" shrinkToFit="1"/>
    </xf>
    <xf numFmtId="38" fontId="10" fillId="17" borderId="23" xfId="0" applyNumberFormat="1" applyFont="1" applyFill="1" applyBorder="1" applyAlignment="1">
      <alignment horizontal="right" shrinkToFit="1"/>
    </xf>
    <xf numFmtId="38" fontId="10" fillId="17" borderId="31" xfId="0" applyNumberFormat="1" applyFont="1" applyFill="1" applyBorder="1" applyAlignment="1">
      <alignment horizontal="right" shrinkToFit="1"/>
    </xf>
    <xf numFmtId="0" fontId="5" fillId="27" borderId="23" xfId="0" applyFont="1" applyFill="1" applyBorder="1" applyAlignment="1">
      <alignment horizontal="left" shrinkToFit="1"/>
    </xf>
    <xf numFmtId="10" fontId="5" fillId="0" borderId="23" xfId="0" applyNumberFormat="1" applyFont="1" applyFill="1" applyBorder="1" applyAlignment="1">
      <alignment horizontal="right" shrinkToFit="1"/>
    </xf>
    <xf numFmtId="0" fontId="5" fillId="27" borderId="23" xfId="0" quotePrefix="1" applyFont="1" applyFill="1" applyBorder="1" applyAlignment="1">
      <alignment horizontal="left" shrinkToFit="1"/>
    </xf>
    <xf numFmtId="0" fontId="5" fillId="27" borderId="181" xfId="0" applyFont="1" applyFill="1" applyBorder="1" applyAlignment="1">
      <alignment horizontal="center" vertical="center" shrinkToFit="1"/>
    </xf>
    <xf numFmtId="0" fontId="5" fillId="27" borderId="87" xfId="0" applyFont="1" applyFill="1" applyBorder="1" applyAlignment="1">
      <alignment horizontal="left" shrinkToFit="1"/>
    </xf>
    <xf numFmtId="193" fontId="5" fillId="0" borderId="87" xfId="0" applyNumberFormat="1" applyFont="1" applyFill="1" applyBorder="1" applyAlignment="1">
      <alignment horizontal="right" shrinkToFit="1"/>
    </xf>
    <xf numFmtId="10" fontId="5" fillId="0" borderId="87" xfId="0" applyNumberFormat="1" applyFont="1" applyFill="1" applyBorder="1" applyAlignment="1">
      <alignment horizontal="right" shrinkToFit="1"/>
    </xf>
    <xf numFmtId="38" fontId="10" fillId="0" borderId="87" xfId="0" applyNumberFormat="1" applyFont="1" applyFill="1" applyBorder="1" applyAlignment="1">
      <alignment horizontal="right"/>
    </xf>
    <xf numFmtId="38" fontId="10" fillId="0" borderId="87" xfId="0" applyNumberFormat="1" applyFont="1" applyFill="1" applyBorder="1" applyAlignment="1">
      <alignment horizontal="right" shrinkToFit="1"/>
    </xf>
    <xf numFmtId="38" fontId="10" fillId="0" borderId="100" xfId="0" applyNumberFormat="1" applyFont="1" applyFill="1" applyBorder="1" applyAlignment="1">
      <alignment horizontal="right" shrinkToFit="1"/>
    </xf>
    <xf numFmtId="0" fontId="5" fillId="0" borderId="189" xfId="0" applyFont="1" applyFill="1" applyBorder="1" applyAlignment="1">
      <alignment horizontal="center" shrinkToFit="1"/>
    </xf>
    <xf numFmtId="0" fontId="5" fillId="27" borderId="190" xfId="0" applyFont="1" applyFill="1" applyBorder="1" applyAlignment="1">
      <alignment horizontal="center" vertical="center" shrinkToFit="1"/>
    </xf>
    <xf numFmtId="0" fontId="5" fillId="27" borderId="190" xfId="0" applyFont="1" applyFill="1" applyBorder="1" applyAlignment="1">
      <alignment horizontal="left" shrinkToFit="1"/>
    </xf>
    <xf numFmtId="38" fontId="10" fillId="0" borderId="205" xfId="0" applyNumberFormat="1" applyFont="1" applyFill="1" applyBorder="1" applyAlignment="1">
      <alignment horizontal="right" shrinkToFit="1"/>
    </xf>
    <xf numFmtId="0" fontId="5" fillId="0" borderId="193" xfId="0" applyFont="1" applyFill="1" applyBorder="1" applyAlignment="1">
      <alignment horizontal="left" shrinkToFit="1"/>
    </xf>
    <xf numFmtId="193" fontId="5" fillId="0" borderId="193" xfId="0" applyNumberFormat="1" applyFont="1" applyFill="1" applyBorder="1" applyAlignment="1">
      <alignment vertical="center" shrinkToFit="1"/>
    </xf>
    <xf numFmtId="10" fontId="5" fillId="0" borderId="84" xfId="0" applyNumberFormat="1" applyFont="1" applyFill="1" applyBorder="1" applyAlignment="1">
      <alignment horizontal="center" vertical="center"/>
    </xf>
    <xf numFmtId="38" fontId="19" fillId="0" borderId="84" xfId="0" applyNumberFormat="1" applyFont="1" applyFill="1" applyBorder="1" applyAlignment="1">
      <alignment horizontal="right"/>
    </xf>
    <xf numFmtId="10" fontId="5" fillId="0" borderId="84" xfId="0" applyNumberFormat="1" applyFont="1" applyFill="1" applyBorder="1" applyAlignment="1">
      <alignment horizontal="left" vertical="center" shrinkToFit="1"/>
    </xf>
    <xf numFmtId="10" fontId="5" fillId="0" borderId="185" xfId="0" applyNumberFormat="1" applyFont="1" applyFill="1" applyBorder="1" applyAlignment="1">
      <alignment horizontal="left" vertical="center" shrinkToFit="1"/>
    </xf>
    <xf numFmtId="0" fontId="5" fillId="0" borderId="261" xfId="0" applyFont="1" applyFill="1" applyBorder="1" applyAlignment="1">
      <alignment horizontal="left" shrinkToFit="1"/>
    </xf>
    <xf numFmtId="193" fontId="5" fillId="0" borderId="261" xfId="0" applyNumberFormat="1" applyFont="1" applyFill="1" applyBorder="1" applyAlignment="1">
      <alignment vertical="top" shrinkToFit="1"/>
    </xf>
    <xf numFmtId="10" fontId="5" fillId="0" borderId="23" xfId="0" applyNumberFormat="1" applyFont="1" applyFill="1" applyBorder="1" applyAlignment="1">
      <alignment horizontal="center" vertical="center"/>
    </xf>
    <xf numFmtId="38" fontId="5" fillId="0" borderId="23" xfId="0" applyNumberFormat="1" applyFont="1" applyFill="1" applyBorder="1" applyAlignment="1">
      <alignment horizontal="right"/>
    </xf>
    <xf numFmtId="38" fontId="5" fillId="0" borderId="266" xfId="0" applyNumberFormat="1" applyFont="1" applyFill="1" applyBorder="1" applyAlignment="1">
      <alignment horizontal="right" shrinkToFit="1"/>
    </xf>
    <xf numFmtId="0" fontId="5" fillId="0" borderId="129" xfId="0" applyFont="1" applyFill="1" applyBorder="1" applyAlignment="1">
      <alignment horizontal="left" shrinkToFit="1"/>
    </xf>
    <xf numFmtId="0" fontId="5" fillId="0" borderId="210" xfId="0" applyFont="1" applyFill="1" applyBorder="1" applyAlignment="1"/>
    <xf numFmtId="38" fontId="19" fillId="0" borderId="23" xfId="0" applyNumberFormat="1" applyFont="1" applyFill="1" applyBorder="1" applyAlignment="1">
      <alignment horizontal="right"/>
    </xf>
    <xf numFmtId="10" fontId="5" fillId="14" borderId="23" xfId="3" applyNumberFormat="1" applyFont="1" applyFill="1" applyBorder="1" applyAlignment="1">
      <alignment horizontal="left" shrinkToFit="1"/>
    </xf>
    <xf numFmtId="10" fontId="5" fillId="0" borderId="23" xfId="0" applyNumberFormat="1" applyFont="1" applyFill="1" applyBorder="1" applyAlignment="1">
      <alignment horizontal="left" shrinkToFit="1"/>
    </xf>
    <xf numFmtId="10" fontId="5" fillId="0" borderId="31" xfId="0" applyNumberFormat="1" applyFont="1" applyFill="1" applyBorder="1" applyAlignment="1">
      <alignment horizontal="left" shrinkToFit="1"/>
    </xf>
    <xf numFmtId="193" fontId="5" fillId="0" borderId="261" xfId="0" applyNumberFormat="1" applyFont="1" applyFill="1" applyBorder="1" applyAlignment="1">
      <alignment shrinkToFit="1"/>
    </xf>
    <xf numFmtId="193" fontId="5" fillId="0" borderId="23" xfId="0" applyNumberFormat="1" applyFont="1" applyFill="1" applyBorder="1" applyAlignment="1">
      <alignment shrinkToFit="1"/>
    </xf>
    <xf numFmtId="0" fontId="5" fillId="27" borderId="23" xfId="0" applyFont="1" applyFill="1" applyBorder="1" applyAlignment="1">
      <alignment horizontal="left" vertical="center" shrinkToFit="1"/>
    </xf>
    <xf numFmtId="0" fontId="5" fillId="30" borderId="23" xfId="0" applyFont="1" applyFill="1" applyBorder="1" applyAlignment="1">
      <alignment horizontal="left" shrinkToFit="1"/>
    </xf>
    <xf numFmtId="193" fontId="5" fillId="0" borderId="129" xfId="0" applyNumberFormat="1" applyFont="1" applyFill="1" applyBorder="1" applyAlignment="1">
      <alignment shrinkToFit="1"/>
    </xf>
    <xf numFmtId="10" fontId="5" fillId="0" borderId="129" xfId="0" applyNumberFormat="1" applyFont="1" applyFill="1" applyBorder="1" applyAlignment="1">
      <alignment horizontal="right" shrinkToFit="1"/>
    </xf>
    <xf numFmtId="0" fontId="29" fillId="30" borderId="23" xfId="0" applyFont="1" applyFill="1" applyBorder="1" applyAlignment="1">
      <alignment horizontal="left" shrinkToFit="1"/>
    </xf>
    <xf numFmtId="0" fontId="5" fillId="27" borderId="178" xfId="0" applyFont="1" applyFill="1" applyBorder="1" applyAlignment="1">
      <alignment horizontal="center" vertical="center" shrinkToFit="1"/>
    </xf>
    <xf numFmtId="38" fontId="5" fillId="0" borderId="271" xfId="0" applyNumberFormat="1" applyFont="1" applyFill="1" applyBorder="1" applyAlignment="1">
      <alignment horizontal="right" shrinkToFit="1"/>
    </xf>
    <xf numFmtId="0" fontId="5" fillId="0" borderId="272" xfId="0" applyFont="1" applyFill="1" applyBorder="1" applyAlignment="1">
      <alignment horizontal="right"/>
    </xf>
    <xf numFmtId="0" fontId="5" fillId="0" borderId="273" xfId="0" applyFont="1" applyFill="1" applyBorder="1" applyAlignment="1">
      <alignment horizontal="right"/>
    </xf>
    <xf numFmtId="0" fontId="5" fillId="0" borderId="273" xfId="0" applyFont="1" applyFill="1" applyBorder="1" applyAlignment="1">
      <alignment horizontal="left"/>
    </xf>
    <xf numFmtId="0" fontId="5" fillId="0" borderId="274" xfId="0" applyFont="1" applyFill="1" applyBorder="1" applyAlignment="1">
      <alignment horizontal="left"/>
    </xf>
    <xf numFmtId="0" fontId="5" fillId="0" borderId="274" xfId="0" applyFont="1" applyFill="1" applyBorder="1" applyAlignment="1">
      <alignment horizontal="right"/>
    </xf>
    <xf numFmtId="38" fontId="10" fillId="0" borderId="274" xfId="0" applyNumberFormat="1" applyFont="1" applyFill="1" applyBorder="1" applyAlignment="1">
      <alignment horizontal="right"/>
    </xf>
    <xf numFmtId="38" fontId="10" fillId="0" borderId="274" xfId="0" applyNumberFormat="1" applyFont="1" applyFill="1" applyBorder="1" applyAlignment="1">
      <alignment horizontal="right" shrinkToFit="1"/>
    </xf>
    <xf numFmtId="38" fontId="10" fillId="0" borderId="275" xfId="0" applyNumberFormat="1" applyFont="1" applyFill="1" applyBorder="1" applyAlignment="1">
      <alignment horizontal="right" shrinkToFit="1"/>
    </xf>
    <xf numFmtId="0" fontId="5" fillId="0" borderId="161" xfId="0" applyFont="1" applyFill="1" applyBorder="1" applyAlignment="1">
      <alignment horizontal="right"/>
    </xf>
    <xf numFmtId="0" fontId="5" fillId="0" borderId="162" xfId="0" applyFont="1" applyFill="1" applyBorder="1" applyAlignment="1">
      <alignment horizontal="right"/>
    </xf>
    <xf numFmtId="0" fontId="5" fillId="0" borderId="162" xfId="0" applyFont="1" applyFill="1" applyBorder="1" applyAlignment="1">
      <alignment horizontal="left"/>
    </xf>
    <xf numFmtId="0" fontId="5" fillId="0" borderId="87" xfId="0" applyFont="1" applyFill="1" applyBorder="1" applyAlignment="1">
      <alignment horizontal="left"/>
    </xf>
    <xf numFmtId="0" fontId="5" fillId="0" borderId="87" xfId="0" applyFont="1" applyFill="1" applyBorder="1" applyAlignment="1">
      <alignment horizontal="right"/>
    </xf>
    <xf numFmtId="0" fontId="35" fillId="0" borderId="190" xfId="0" applyFont="1" applyFill="1" applyBorder="1" applyAlignment="1">
      <alignment horizontal="center"/>
    </xf>
    <xf numFmtId="0" fontId="5" fillId="0" borderId="190" xfId="0" applyFont="1" applyFill="1" applyBorder="1" applyAlignment="1">
      <alignment horizontal="center"/>
    </xf>
    <xf numFmtId="0" fontId="10" fillId="0" borderId="190" xfId="0" applyFont="1" applyFill="1" applyBorder="1" applyAlignment="1">
      <alignment horizontal="center"/>
    </xf>
    <xf numFmtId="0" fontId="10" fillId="0" borderId="190" xfId="0" applyFont="1" applyFill="1" applyBorder="1" applyAlignment="1">
      <alignment horizontal="center" shrinkToFit="1"/>
    </xf>
    <xf numFmtId="0" fontId="10" fillId="0" borderId="190" xfId="0" applyFont="1" applyFill="1" applyBorder="1" applyAlignment="1">
      <alignment horizontal="right" shrinkToFit="1"/>
    </xf>
    <xf numFmtId="0" fontId="10" fillId="0" borderId="276" xfId="0" applyFont="1" applyFill="1" applyBorder="1" applyAlignment="1">
      <alignment horizontal="center" shrinkToFit="1"/>
    </xf>
    <xf numFmtId="0" fontId="10" fillId="0" borderId="206" xfId="0" applyFont="1" applyFill="1" applyBorder="1" applyAlignment="1">
      <alignment horizontal="right" shrinkToFit="1"/>
    </xf>
    <xf numFmtId="0" fontId="5" fillId="0" borderId="193" xfId="0" applyFont="1" applyFill="1" applyBorder="1" applyAlignment="1">
      <alignment horizontal="center" wrapText="1"/>
    </xf>
    <xf numFmtId="0" fontId="5" fillId="0" borderId="193" xfId="0" applyFont="1" applyFill="1" applyBorder="1" applyAlignment="1">
      <alignment horizontal="center"/>
    </xf>
    <xf numFmtId="0" fontId="11" fillId="0" borderId="91" xfId="0" applyFont="1" applyFill="1" applyBorder="1" applyAlignment="1">
      <alignment horizontal="center" wrapText="1"/>
    </xf>
    <xf numFmtId="0" fontId="5" fillId="0" borderId="91" xfId="0" applyFont="1" applyFill="1" applyBorder="1" applyAlignment="1">
      <alignment horizontal="right"/>
    </xf>
    <xf numFmtId="0" fontId="10" fillId="0" borderId="130" xfId="0" applyFont="1" applyFill="1" applyBorder="1" applyAlignment="1">
      <alignment horizontal="center"/>
    </xf>
    <xf numFmtId="0" fontId="10" fillId="0" borderId="91" xfId="0" applyFont="1" applyFill="1" applyBorder="1" applyAlignment="1">
      <alignment horizontal="center" shrinkToFit="1"/>
    </xf>
    <xf numFmtId="0" fontId="10" fillId="0" borderId="102" xfId="0" applyFont="1" applyFill="1" applyBorder="1" applyAlignment="1">
      <alignment horizontal="center" shrinkToFit="1"/>
    </xf>
    <xf numFmtId="0" fontId="5" fillId="0" borderId="166" xfId="0" applyFont="1" applyFill="1" applyBorder="1" applyAlignment="1">
      <alignment horizontal="right"/>
    </xf>
    <xf numFmtId="0" fontId="5" fillId="0" borderId="167" xfId="0" applyFont="1" applyFill="1" applyBorder="1" applyAlignment="1">
      <alignment horizontal="right"/>
    </xf>
    <xf numFmtId="0" fontId="5" fillId="0" borderId="194" xfId="0" applyFont="1" applyFill="1" applyBorder="1" applyAlignment="1">
      <alignment horizontal="left"/>
    </xf>
    <xf numFmtId="0" fontId="5" fillId="0" borderId="84" xfId="0" applyFont="1" applyFill="1" applyBorder="1" applyAlignment="1">
      <alignment horizontal="left"/>
    </xf>
    <xf numFmtId="0" fontId="5" fillId="0" borderId="85" xfId="0" applyFont="1" applyFill="1" applyBorder="1" applyAlignment="1">
      <alignment horizontal="center"/>
    </xf>
    <xf numFmtId="38" fontId="10" fillId="0" borderId="277" xfId="0" applyNumberFormat="1" applyFont="1" applyFill="1" applyBorder="1" applyAlignment="1">
      <alignment horizontal="right"/>
    </xf>
    <xf numFmtId="38" fontId="10" fillId="0" borderId="194" xfId="0" applyNumberFormat="1" applyFont="1" applyFill="1" applyBorder="1" applyAlignment="1">
      <alignment horizontal="right"/>
    </xf>
    <xf numFmtId="38" fontId="10" fillId="0" borderId="185" xfId="0" applyNumberFormat="1" applyFont="1" applyFill="1" applyBorder="1" applyAlignment="1">
      <alignment horizontal="right"/>
    </xf>
    <xf numFmtId="0" fontId="5" fillId="0" borderId="198" xfId="0" applyFont="1" applyFill="1" applyBorder="1" applyAlignment="1">
      <alignment horizontal="left"/>
    </xf>
    <xf numFmtId="0" fontId="5" fillId="0" borderId="130" xfId="0" applyFont="1" applyFill="1" applyBorder="1" applyAlignment="1">
      <alignment horizontal="left"/>
    </xf>
    <xf numFmtId="0" fontId="5" fillId="0" borderId="130" xfId="0" applyFont="1" applyFill="1" applyBorder="1" applyAlignment="1">
      <alignment horizontal="center"/>
    </xf>
    <xf numFmtId="0" fontId="5" fillId="0" borderId="193" xfId="0" applyFont="1" applyFill="1" applyBorder="1" applyAlignment="1">
      <alignment horizontal="right"/>
    </xf>
    <xf numFmtId="38" fontId="10" fillId="0" borderId="84" xfId="0" applyNumberFormat="1" applyFont="1" applyFill="1" applyBorder="1" applyAlignment="1">
      <alignment horizontal="right" shrinkToFit="1"/>
    </xf>
    <xf numFmtId="38" fontId="10" fillId="0" borderId="185" xfId="0" applyNumberFormat="1" applyFont="1" applyFill="1" applyBorder="1" applyAlignment="1">
      <alignment horizontal="right" shrinkToFit="1"/>
    </xf>
    <xf numFmtId="0" fontId="35" fillId="0" borderId="91" xfId="0" applyFont="1" applyFill="1" applyBorder="1" applyAlignment="1">
      <alignment horizontal="left"/>
    </xf>
    <xf numFmtId="0" fontId="5" fillId="0" borderId="87" xfId="0" applyFont="1" applyFill="1" applyBorder="1" applyAlignment="1">
      <alignment horizontal="center"/>
    </xf>
    <xf numFmtId="0" fontId="5" fillId="0" borderId="84" xfId="0" applyFont="1" applyFill="1" applyBorder="1" applyAlignment="1">
      <alignment horizontal="center" shrinkToFit="1"/>
    </xf>
    <xf numFmtId="0" fontId="5" fillId="0" borderId="84" xfId="0" applyFont="1" applyFill="1" applyBorder="1" applyAlignment="1">
      <alignment horizontal="left" shrinkToFit="1"/>
    </xf>
    <xf numFmtId="0" fontId="5" fillId="0" borderId="84" xfId="0" applyFont="1" applyFill="1" applyBorder="1" applyAlignment="1">
      <alignment shrinkToFit="1"/>
    </xf>
    <xf numFmtId="10" fontId="5" fillId="31" borderId="84" xfId="0" quotePrefix="1" applyNumberFormat="1" applyFont="1" applyFill="1" applyBorder="1" applyAlignment="1">
      <alignment horizontal="right" shrinkToFit="1"/>
    </xf>
    <xf numFmtId="38" fontId="10" fillId="0" borderId="84" xfId="0" applyNumberFormat="1" applyFont="1" applyFill="1" applyBorder="1" applyAlignment="1">
      <alignment horizontal="right"/>
    </xf>
    <xf numFmtId="0" fontId="5" fillId="0" borderId="23" xfId="0" applyNumberFormat="1" applyFont="1" applyFill="1" applyBorder="1" applyAlignment="1">
      <alignment shrinkToFit="1"/>
    </xf>
    <xf numFmtId="0" fontId="5" fillId="0" borderId="23" xfId="0" applyFont="1" applyFill="1" applyBorder="1" applyAlignment="1">
      <alignment horizontal="right" shrinkToFit="1"/>
    </xf>
    <xf numFmtId="0" fontId="5" fillId="0" borderId="23" xfId="0" applyFont="1" applyFill="1" applyBorder="1" applyAlignment="1">
      <alignment shrinkToFit="1"/>
    </xf>
    <xf numFmtId="9" fontId="5" fillId="0" borderId="23" xfId="0" applyNumberFormat="1" applyFont="1" applyFill="1" applyBorder="1" applyAlignment="1">
      <alignment horizontal="right" shrinkToFit="1"/>
    </xf>
    <xf numFmtId="0" fontId="5" fillId="0" borderId="23" xfId="0" applyFont="1" applyFill="1" applyBorder="1" applyAlignment="1">
      <alignment horizontal="left"/>
    </xf>
    <xf numFmtId="0" fontId="5" fillId="0" borderId="129" xfId="0" applyFont="1" applyFill="1" applyBorder="1" applyAlignment="1">
      <alignment horizontal="left"/>
    </xf>
    <xf numFmtId="0" fontId="5" fillId="0" borderId="87" xfId="0" applyFont="1" applyFill="1" applyBorder="1" applyAlignment="1">
      <alignment horizontal="left" shrinkToFit="1"/>
    </xf>
    <xf numFmtId="9" fontId="5" fillId="0" borderId="87" xfId="0" applyNumberFormat="1" applyFont="1" applyFill="1" applyBorder="1" applyAlignment="1">
      <alignment horizontal="right" shrinkToFit="1"/>
    </xf>
    <xf numFmtId="0" fontId="5" fillId="0" borderId="211" xfId="0" applyFont="1" applyFill="1" applyBorder="1" applyAlignment="1">
      <alignment horizontal="right"/>
    </xf>
    <xf numFmtId="0" fontId="5" fillId="0" borderId="193" xfId="0" applyFont="1" applyFill="1" applyBorder="1" applyAlignment="1">
      <alignment horizontal="right" shrinkToFit="1"/>
    </xf>
    <xf numFmtId="0" fontId="5" fillId="0" borderId="84" xfId="0" applyFont="1" applyFill="1" applyBorder="1" applyAlignment="1">
      <alignment horizontal="right" shrinkToFit="1"/>
    </xf>
    <xf numFmtId="0" fontId="35" fillId="0" borderId="91" xfId="0" applyFont="1" applyFill="1" applyBorder="1" applyAlignment="1">
      <alignment horizontal="left" shrinkToFit="1"/>
    </xf>
    <xf numFmtId="0" fontId="5" fillId="0" borderId="87" xfId="0" applyFont="1" applyFill="1" applyBorder="1" applyAlignment="1">
      <alignment horizontal="right" shrinkToFit="1"/>
    </xf>
    <xf numFmtId="38" fontId="56" fillId="0" borderId="87" xfId="0" applyNumberFormat="1" applyFont="1" applyFill="1" applyBorder="1" applyAlignment="1">
      <alignment horizontal="right" shrinkToFit="1"/>
    </xf>
    <xf numFmtId="0" fontId="5" fillId="0" borderId="261" xfId="0" applyFont="1" applyFill="1" applyBorder="1" applyAlignment="1">
      <alignment horizontal="center" shrinkToFit="1"/>
    </xf>
    <xf numFmtId="10" fontId="5" fillId="0" borderId="84" xfId="0" applyNumberFormat="1" applyFont="1" applyFill="1" applyBorder="1" applyAlignment="1">
      <alignment horizontal="right" shrinkToFit="1"/>
    </xf>
    <xf numFmtId="0" fontId="5" fillId="0" borderId="148" xfId="0" applyFont="1" applyFill="1" applyBorder="1" applyAlignment="1">
      <alignment horizontal="right"/>
    </xf>
    <xf numFmtId="0" fontId="5" fillId="30" borderId="261" xfId="0" applyFont="1" applyFill="1" applyBorder="1" applyAlignment="1">
      <alignment horizontal="left" shrinkToFit="1"/>
    </xf>
    <xf numFmtId="193" fontId="5" fillId="0" borderId="130" xfId="0" applyNumberFormat="1" applyFont="1" applyFill="1" applyBorder="1" applyAlignment="1">
      <alignment shrinkToFit="1"/>
    </xf>
    <xf numFmtId="10" fontId="5" fillId="0" borderId="130" xfId="0" applyNumberFormat="1" applyFont="1" applyFill="1" applyBorder="1" applyAlignment="1">
      <alignment horizontal="right" shrinkToFit="1"/>
    </xf>
    <xf numFmtId="38" fontId="5" fillId="0" borderId="261" xfId="0" applyNumberFormat="1" applyFont="1" applyFill="1" applyBorder="1" applyAlignment="1">
      <alignment horizontal="right"/>
    </xf>
    <xf numFmtId="38" fontId="10" fillId="29" borderId="261" xfId="0" applyNumberFormat="1" applyFont="1" applyFill="1" applyBorder="1" applyAlignment="1">
      <alignment horizontal="right" shrinkToFit="1"/>
    </xf>
    <xf numFmtId="38" fontId="10" fillId="29" borderId="266" xfId="0" applyNumberFormat="1" applyFont="1" applyFill="1" applyBorder="1" applyAlignment="1">
      <alignment horizontal="right" shrinkToFit="1"/>
    </xf>
    <xf numFmtId="0" fontId="65" fillId="30" borderId="23" xfId="0" applyFont="1" applyFill="1" applyBorder="1" applyAlignment="1">
      <alignment horizontal="left" shrinkToFit="1"/>
    </xf>
    <xf numFmtId="0" fontId="5" fillId="0" borderId="118" xfId="0" applyFont="1" applyFill="1" applyBorder="1" applyAlignment="1">
      <alignment horizontal="right"/>
    </xf>
    <xf numFmtId="0" fontId="5" fillId="0" borderId="278" xfId="0" applyFont="1" applyFill="1" applyBorder="1" applyAlignment="1">
      <alignment horizontal="right"/>
    </xf>
    <xf numFmtId="0" fontId="5" fillId="0" borderId="279" xfId="0" applyFont="1" applyFill="1" applyBorder="1" applyAlignment="1">
      <alignment horizontal="right"/>
    </xf>
    <xf numFmtId="0" fontId="5" fillId="0" borderId="279" xfId="0" applyFont="1" applyFill="1" applyBorder="1" applyAlignment="1">
      <alignment horizontal="left"/>
    </xf>
    <xf numFmtId="0" fontId="5" fillId="0" borderId="270" xfId="0" applyFont="1" applyFill="1" applyBorder="1" applyAlignment="1">
      <alignment horizontal="left"/>
    </xf>
    <xf numFmtId="0" fontId="5" fillId="0" borderId="270" xfId="0" applyFont="1" applyFill="1" applyBorder="1" applyAlignment="1">
      <alignment horizontal="right"/>
    </xf>
    <xf numFmtId="38" fontId="10" fillId="0" borderId="270" xfId="0" applyNumberFormat="1" applyFont="1" applyFill="1" applyBorder="1" applyAlignment="1">
      <alignment horizontal="right"/>
    </xf>
    <xf numFmtId="38" fontId="10" fillId="0" borderId="270" xfId="0" applyNumberFormat="1" applyFont="1" applyFill="1" applyBorder="1" applyAlignment="1">
      <alignment horizontal="right" shrinkToFit="1"/>
    </xf>
    <xf numFmtId="38" fontId="10" fillId="0" borderId="33" xfId="0" applyNumberFormat="1" applyFont="1" applyFill="1" applyBorder="1" applyAlignment="1">
      <alignment horizontal="right" shrinkToFit="1"/>
    </xf>
    <xf numFmtId="176" fontId="10" fillId="0" borderId="130" xfId="0" applyNumberFormat="1" applyFont="1" applyFill="1" applyBorder="1" applyAlignment="1">
      <alignment horizontal="right" shrinkToFit="1"/>
    </xf>
    <xf numFmtId="176" fontId="10" fillId="0" borderId="280" xfId="0" applyNumberFormat="1" applyFont="1" applyFill="1" applyBorder="1" applyAlignment="1">
      <alignment horizontal="right" shrinkToFit="1"/>
    </xf>
    <xf numFmtId="176" fontId="5" fillId="0" borderId="23" xfId="0" applyNumberFormat="1" applyFont="1" applyFill="1" applyBorder="1" applyAlignment="1">
      <alignment shrinkToFit="1"/>
    </xf>
    <xf numFmtId="38" fontId="5" fillId="0" borderId="23" xfId="0" applyNumberFormat="1" applyFont="1" applyFill="1" applyBorder="1" applyAlignment="1">
      <alignment shrinkToFit="1"/>
    </xf>
    <xf numFmtId="38" fontId="5" fillId="0" borderId="31" xfId="0" applyNumberFormat="1" applyFont="1" applyFill="1" applyBorder="1" applyAlignment="1">
      <alignment shrinkToFit="1"/>
    </xf>
    <xf numFmtId="0" fontId="5" fillId="0" borderId="118" xfId="0" applyFont="1" applyFill="1" applyBorder="1" applyAlignment="1"/>
    <xf numFmtId="0" fontId="5" fillId="0" borderId="224" xfId="0" applyFont="1" applyFill="1" applyBorder="1" applyAlignment="1"/>
    <xf numFmtId="0" fontId="5" fillId="0" borderId="23" xfId="0" applyFont="1" applyFill="1" applyBorder="1" applyAlignment="1"/>
    <xf numFmtId="38" fontId="5" fillId="0" borderId="23" xfId="0" applyNumberFormat="1" applyFont="1" applyFill="1" applyBorder="1" applyAlignment="1"/>
    <xf numFmtId="0" fontId="5" fillId="0" borderId="192" xfId="0" applyFont="1" applyFill="1" applyBorder="1" applyAlignment="1"/>
    <xf numFmtId="0" fontId="5" fillId="0" borderId="89" xfId="0" applyFont="1" applyFill="1" applyBorder="1" applyAlignment="1"/>
    <xf numFmtId="0" fontId="5" fillId="0" borderId="91" xfId="0" applyFont="1" applyFill="1" applyBorder="1" applyAlignment="1"/>
    <xf numFmtId="176" fontId="5" fillId="0" borderId="91" xfId="0" applyNumberFormat="1" applyFont="1" applyFill="1" applyBorder="1" applyAlignment="1">
      <alignment shrinkToFit="1"/>
    </xf>
    <xf numFmtId="176" fontId="5" fillId="0" borderId="91" xfId="0" applyNumberFormat="1" applyFont="1" applyFill="1" applyBorder="1" applyAlignment="1"/>
    <xf numFmtId="176" fontId="5" fillId="0" borderId="102" xfId="0" applyNumberFormat="1" applyFont="1" applyFill="1" applyBorder="1" applyAlignment="1">
      <alignment shrinkToFit="1"/>
    </xf>
    <xf numFmtId="38" fontId="5" fillId="0" borderId="0" xfId="1" applyFont="1" applyBorder="1" applyAlignment="1"/>
    <xf numFmtId="0" fontId="5" fillId="0" borderId="0" xfId="0" applyFont="1" applyBorder="1" applyAlignment="1">
      <alignment horizontal="center" vertical="center" shrinkToFit="1"/>
    </xf>
    <xf numFmtId="0" fontId="5" fillId="0" borderId="0" xfId="0" applyFont="1" applyBorder="1" applyAlignment="1">
      <alignment shrinkToFit="1"/>
    </xf>
    <xf numFmtId="0" fontId="5" fillId="0" borderId="134" xfId="0" applyFont="1" applyBorder="1" applyAlignment="1"/>
    <xf numFmtId="0" fontId="5" fillId="0" borderId="281" xfId="0" applyFont="1" applyBorder="1" applyAlignment="1"/>
    <xf numFmtId="0" fontId="59" fillId="0" borderId="51" xfId="0" applyFont="1" applyBorder="1" applyAlignment="1"/>
    <xf numFmtId="0" fontId="5" fillId="0" borderId="133" xfId="0" applyFont="1" applyBorder="1" applyAlignment="1"/>
    <xf numFmtId="0" fontId="5" fillId="0" borderId="113" xfId="0" applyFont="1" applyBorder="1" applyAlignment="1">
      <alignment horizontal="center" vertical="center" shrinkToFit="1"/>
    </xf>
    <xf numFmtId="188" fontId="5" fillId="0" borderId="113" xfId="0" applyNumberFormat="1" applyFont="1" applyFill="1" applyBorder="1" applyAlignment="1">
      <alignment horizontal="center"/>
    </xf>
    <xf numFmtId="188" fontId="5" fillId="0" borderId="59" xfId="0" applyNumberFormat="1" applyFont="1" applyFill="1" applyBorder="1" applyAlignment="1">
      <alignment horizontal="center"/>
    </xf>
    <xf numFmtId="0" fontId="29" fillId="0" borderId="52" xfId="0" applyFont="1" applyBorder="1" applyAlignment="1">
      <alignment shrinkToFit="1"/>
    </xf>
    <xf numFmtId="0" fontId="5" fillId="0" borderId="182" xfId="0" applyFont="1" applyBorder="1" applyAlignment="1"/>
    <xf numFmtId="0" fontId="5" fillId="0" borderId="23" xfId="0" applyFont="1" applyBorder="1" applyAlignment="1">
      <alignment horizontal="center" vertical="center"/>
    </xf>
    <xf numFmtId="193" fontId="5" fillId="18" borderId="23" xfId="0" applyNumberFormat="1" applyFont="1" applyFill="1" applyBorder="1" applyAlignment="1" applyProtection="1">
      <alignment horizontal="center" vertical="center"/>
    </xf>
    <xf numFmtId="193" fontId="5" fillId="18" borderId="60" xfId="0" applyNumberFormat="1" applyFont="1" applyFill="1" applyBorder="1" applyAlignment="1" applyProtection="1">
      <alignment horizontal="center" vertical="center"/>
    </xf>
    <xf numFmtId="0" fontId="5" fillId="0" borderId="210" xfId="0" applyFont="1" applyBorder="1" applyAlignment="1"/>
    <xf numFmtId="0" fontId="5" fillId="0" borderId="178" xfId="0" applyFont="1" applyBorder="1" applyAlignment="1"/>
    <xf numFmtId="193" fontId="5" fillId="0" borderId="23" xfId="3" applyNumberFormat="1" applyFont="1" applyBorder="1" applyAlignment="1" applyProtection="1">
      <alignment horizontal="center" vertical="center"/>
    </xf>
    <xf numFmtId="193" fontId="5" fillId="0" borderId="60" xfId="3" applyNumberFormat="1" applyFont="1" applyBorder="1" applyAlignment="1" applyProtection="1">
      <alignment horizontal="center" vertical="center"/>
    </xf>
    <xf numFmtId="0" fontId="5" fillId="0" borderId="265" xfId="0" applyFont="1" applyBorder="1" applyAlignment="1"/>
    <xf numFmtId="0" fontId="5" fillId="0" borderId="259" xfId="0" applyFont="1" applyBorder="1" applyAlignment="1"/>
    <xf numFmtId="2" fontId="5" fillId="0" borderId="23" xfId="0" applyNumberFormat="1" applyFont="1" applyBorder="1" applyAlignment="1" applyProtection="1">
      <alignment horizontal="center" vertical="center"/>
    </xf>
    <xf numFmtId="2" fontId="5" fillId="0" borderId="60" xfId="0" applyNumberFormat="1" applyFont="1" applyBorder="1" applyAlignment="1" applyProtection="1">
      <alignment horizontal="center" vertical="center"/>
    </xf>
    <xf numFmtId="2" fontId="5" fillId="32" borderId="23" xfId="0" applyNumberFormat="1" applyFont="1" applyFill="1" applyBorder="1" applyAlignment="1" applyProtection="1">
      <alignment horizontal="center" vertical="center"/>
    </xf>
    <xf numFmtId="2" fontId="5" fillId="32" borderId="60" xfId="0" applyNumberFormat="1" applyFont="1" applyFill="1" applyBorder="1" applyAlignment="1" applyProtection="1">
      <alignment horizontal="center" vertical="center"/>
    </xf>
    <xf numFmtId="0" fontId="5" fillId="32" borderId="0" xfId="0" applyFont="1" applyFill="1" applyBorder="1" applyAlignment="1"/>
    <xf numFmtId="2" fontId="5" fillId="32" borderId="144" xfId="0" applyNumberFormat="1" applyFont="1" applyFill="1" applyBorder="1" applyAlignment="1" applyProtection="1">
      <alignment horizontal="center" vertical="center"/>
    </xf>
    <xf numFmtId="2" fontId="5" fillId="32" borderId="286" xfId="0" applyNumberFormat="1" applyFont="1" applyFill="1" applyBorder="1" applyAlignment="1" applyProtection="1">
      <alignment horizontal="center" vertical="center"/>
    </xf>
    <xf numFmtId="0" fontId="5" fillId="0" borderId="0" xfId="0" applyFont="1" applyFill="1" applyBorder="1" applyAlignment="1">
      <alignment horizontal="center" shrinkToFit="1"/>
    </xf>
    <xf numFmtId="0" fontId="5" fillId="0" borderId="134" xfId="0" applyFont="1" applyFill="1" applyBorder="1" applyAlignment="1"/>
    <xf numFmtId="0" fontId="5" fillId="0" borderId="281" xfId="0" applyFont="1" applyFill="1" applyBorder="1" applyAlignment="1"/>
    <xf numFmtId="0" fontId="59" fillId="0" borderId="51" xfId="0" applyFont="1" applyFill="1" applyBorder="1" applyAlignment="1"/>
    <xf numFmtId="0" fontId="5" fillId="0" borderId="133" xfId="0" applyFont="1" applyFill="1" applyBorder="1" applyAlignment="1"/>
    <xf numFmtId="0" fontId="5" fillId="0" borderId="113" xfId="0" applyFont="1" applyFill="1" applyBorder="1" applyAlignment="1">
      <alignment horizontal="center" vertical="center" shrinkToFit="1"/>
    </xf>
    <xf numFmtId="0" fontId="29" fillId="0" borderId="52" xfId="0" applyFont="1" applyFill="1" applyBorder="1" applyAlignment="1">
      <alignment shrinkToFit="1"/>
    </xf>
    <xf numFmtId="0" fontId="5" fillId="0" borderId="182" xfId="0" applyFont="1" applyFill="1" applyBorder="1" applyAlignment="1"/>
    <xf numFmtId="0" fontId="5" fillId="0" borderId="23" xfId="0" applyFont="1" applyFill="1" applyBorder="1" applyAlignment="1">
      <alignment horizontal="center" vertical="center"/>
    </xf>
    <xf numFmtId="0" fontId="5" fillId="0" borderId="178" xfId="0" applyFont="1" applyFill="1" applyBorder="1" applyAlignment="1"/>
    <xf numFmtId="193" fontId="5" fillId="0" borderId="23" xfId="3" applyNumberFormat="1" applyFont="1" applyFill="1" applyBorder="1" applyAlignment="1" applyProtection="1">
      <alignment horizontal="center" vertical="center"/>
    </xf>
    <xf numFmtId="193" fontId="5" fillId="0" borderId="60" xfId="3" applyNumberFormat="1" applyFont="1" applyFill="1" applyBorder="1" applyAlignment="1" applyProtection="1">
      <alignment horizontal="center" vertical="center"/>
    </xf>
    <xf numFmtId="0" fontId="5" fillId="0" borderId="265" xfId="0" applyFont="1" applyFill="1" applyBorder="1" applyAlignment="1"/>
    <xf numFmtId="0" fontId="5" fillId="0" borderId="259" xfId="0" applyFont="1" applyFill="1" applyBorder="1" applyAlignment="1"/>
    <xf numFmtId="2" fontId="5" fillId="0" borderId="23" xfId="0" applyNumberFormat="1" applyFont="1" applyFill="1" applyBorder="1" applyAlignment="1" applyProtection="1">
      <alignment horizontal="center" vertical="center"/>
    </xf>
    <xf numFmtId="2" fontId="5" fillId="0" borderId="60" xfId="0" applyNumberFormat="1" applyFont="1" applyFill="1" applyBorder="1" applyAlignment="1" applyProtection="1">
      <alignment horizontal="center" vertical="center"/>
    </xf>
    <xf numFmtId="0" fontId="5" fillId="32" borderId="23" xfId="0" applyFont="1" applyFill="1" applyBorder="1" applyAlignment="1" applyProtection="1">
      <alignment horizontal="center" vertical="center"/>
    </xf>
    <xf numFmtId="0" fontId="5" fillId="32" borderId="60" xfId="0" applyFont="1" applyFill="1" applyBorder="1" applyAlignment="1" applyProtection="1">
      <alignment horizontal="center" vertical="center"/>
    </xf>
    <xf numFmtId="0" fontId="5" fillId="0" borderId="0" xfId="0" applyFont="1" applyFill="1" applyBorder="1" applyAlignment="1">
      <alignment shrinkToFit="1"/>
    </xf>
    <xf numFmtId="0" fontId="5" fillId="26" borderId="168" xfId="0" applyFont="1" applyFill="1" applyBorder="1" applyAlignment="1"/>
    <xf numFmtId="0" fontId="5" fillId="26" borderId="137" xfId="0" applyFont="1" applyFill="1" applyBorder="1" applyAlignment="1"/>
    <xf numFmtId="2" fontId="5" fillId="26" borderId="126" xfId="0" applyNumberFormat="1" applyFont="1" applyFill="1" applyBorder="1" applyAlignment="1" applyProtection="1">
      <alignment horizontal="center" vertical="center"/>
    </xf>
    <xf numFmtId="0" fontId="5" fillId="26" borderId="126" xfId="0" applyFont="1" applyFill="1" applyBorder="1" applyAlignment="1" applyProtection="1">
      <alignment horizontal="center" vertical="center"/>
    </xf>
    <xf numFmtId="0" fontId="5" fillId="26" borderId="58" xfId="0" applyFont="1" applyFill="1" applyBorder="1" applyAlignment="1" applyProtection="1">
      <alignment horizontal="center" vertical="center"/>
    </xf>
    <xf numFmtId="0" fontId="5" fillId="26" borderId="0" xfId="0" applyFont="1" applyFill="1" applyBorder="1" applyAlignment="1"/>
    <xf numFmtId="0" fontId="5" fillId="26" borderId="241" xfId="0" applyFont="1" applyFill="1" applyBorder="1" applyAlignment="1"/>
    <xf numFmtId="188" fontId="5" fillId="0" borderId="51" xfId="0" applyNumberFormat="1" applyFont="1" applyFill="1" applyBorder="1" applyAlignment="1">
      <alignment horizontal="center"/>
    </xf>
    <xf numFmtId="188" fontId="5" fillId="0" borderId="287" xfId="0" applyNumberFormat="1" applyFont="1" applyFill="1" applyBorder="1" applyAlignment="1">
      <alignment horizontal="center"/>
    </xf>
    <xf numFmtId="188" fontId="5" fillId="0" borderId="0" xfId="0" applyNumberFormat="1" applyFont="1" applyFill="1" applyBorder="1" applyAlignment="1">
      <alignment horizontal="center"/>
    </xf>
    <xf numFmtId="0" fontId="5" fillId="0" borderId="0" xfId="0" applyFont="1" applyFill="1" applyAlignment="1">
      <alignment horizontal="center" vertical="center"/>
    </xf>
    <xf numFmtId="193" fontId="5" fillId="0" borderId="287" xfId="0" applyNumberFormat="1" applyFont="1" applyFill="1" applyBorder="1" applyAlignment="1" applyProtection="1">
      <alignment horizontal="center" vertical="center"/>
    </xf>
    <xf numFmtId="193" fontId="5" fillId="0" borderId="0" xfId="0" applyNumberFormat="1" applyFont="1" applyFill="1" applyBorder="1" applyAlignment="1" applyProtection="1">
      <alignment horizontal="center" vertical="center"/>
    </xf>
    <xf numFmtId="0" fontId="5" fillId="0" borderId="172" xfId="0" applyFont="1" applyFill="1" applyBorder="1" applyAlignment="1">
      <alignment vertical="center"/>
    </xf>
    <xf numFmtId="0" fontId="5" fillId="0" borderId="182" xfId="0" applyFont="1" applyFill="1" applyBorder="1" applyAlignment="1">
      <alignment horizontal="center" vertical="center"/>
    </xf>
    <xf numFmtId="193" fontId="5" fillId="0" borderId="52" xfId="3" applyNumberFormat="1" applyFont="1" applyFill="1" applyBorder="1" applyAlignment="1" applyProtection="1">
      <alignment horizontal="center" vertical="center"/>
    </xf>
    <xf numFmtId="193" fontId="5" fillId="0" borderId="287" xfId="3" applyNumberFormat="1" applyFont="1" applyFill="1" applyBorder="1" applyAlignment="1" applyProtection="1">
      <alignment horizontal="center" vertical="center"/>
    </xf>
    <xf numFmtId="193" fontId="5" fillId="0" borderId="0" xfId="3" applyNumberFormat="1" applyFont="1" applyFill="1" applyBorder="1" applyAlignment="1" applyProtection="1">
      <alignment horizontal="center" vertical="center"/>
    </xf>
    <xf numFmtId="2" fontId="5" fillId="0" borderId="287" xfId="0" applyNumberFormat="1" applyFont="1" applyFill="1" applyBorder="1" applyAlignment="1" applyProtection="1">
      <alignment horizontal="center" vertical="center"/>
    </xf>
    <xf numFmtId="2" fontId="5" fillId="0" borderId="0" xfId="0" applyNumberFormat="1" applyFont="1" applyFill="1" applyBorder="1" applyAlignment="1" applyProtection="1">
      <alignment horizontal="center" vertical="center"/>
    </xf>
    <xf numFmtId="0" fontId="5" fillId="18" borderId="241" xfId="0" applyFont="1" applyFill="1" applyBorder="1" applyAlignment="1"/>
    <xf numFmtId="0" fontId="5" fillId="18" borderId="137" xfId="0" applyFont="1" applyFill="1" applyBorder="1" applyAlignment="1"/>
    <xf numFmtId="0" fontId="5" fillId="18" borderId="125" xfId="0" applyFont="1" applyFill="1" applyBorder="1" applyAlignment="1" applyProtection="1">
      <alignment horizontal="center" vertical="center"/>
    </xf>
    <xf numFmtId="0" fontId="5" fillId="18" borderId="287" xfId="0" applyFont="1" applyFill="1" applyBorder="1" applyAlignment="1" applyProtection="1">
      <alignment horizontal="center" vertical="center"/>
    </xf>
    <xf numFmtId="0" fontId="5" fillId="18" borderId="0" xfId="0" applyFont="1" applyFill="1" applyBorder="1" applyAlignment="1" applyProtection="1">
      <alignment horizontal="center" vertical="center"/>
    </xf>
    <xf numFmtId="0" fontId="5" fillId="18" borderId="0" xfId="0" applyFont="1" applyFill="1" applyBorder="1" applyAlignment="1"/>
    <xf numFmtId="0" fontId="10" fillId="0" borderId="0" xfId="0" applyFont="1" applyFill="1" applyBorder="1" applyAlignment="1">
      <alignment horizontal="right" vertical="center"/>
    </xf>
    <xf numFmtId="0" fontId="10" fillId="0" borderId="0" xfId="0" applyFont="1" applyFill="1" applyBorder="1" applyAlignment="1">
      <alignment horizontal="center" vertical="center"/>
    </xf>
    <xf numFmtId="0" fontId="53" fillId="0" borderId="0" xfId="0" applyFont="1" applyFill="1" applyBorder="1" applyAlignment="1">
      <alignment horizontal="right" vertical="center"/>
    </xf>
    <xf numFmtId="0" fontId="53" fillId="0" borderId="0" xfId="0" applyFont="1" applyFill="1" applyBorder="1" applyAlignment="1">
      <alignment horizontal="left" vertical="center"/>
    </xf>
    <xf numFmtId="0" fontId="54" fillId="0" borderId="0" xfId="0" applyFont="1" applyFill="1" applyBorder="1" applyAlignment="1">
      <alignment horizontal="left" vertical="center"/>
    </xf>
    <xf numFmtId="0" fontId="10" fillId="0" borderId="0" xfId="0" applyFont="1" applyFill="1" applyBorder="1" applyAlignment="1">
      <alignment horizontal="right" vertical="center" shrinkToFit="1"/>
    </xf>
    <xf numFmtId="0" fontId="55" fillId="0" borderId="0" xfId="0" applyFont="1" applyFill="1" applyBorder="1" applyAlignment="1">
      <alignment horizontal="right" vertical="center" shrinkToFit="1"/>
    </xf>
    <xf numFmtId="0" fontId="10" fillId="0" borderId="0" xfId="0" applyFont="1" applyFill="1" applyBorder="1" applyAlignment="1">
      <alignment horizontal="center" vertical="center" shrinkToFit="1"/>
    </xf>
    <xf numFmtId="0" fontId="5" fillId="0" borderId="0" xfId="0" applyFont="1" applyBorder="1" applyAlignment="1">
      <alignment vertical="center"/>
    </xf>
    <xf numFmtId="0" fontId="69" fillId="0" borderId="0" xfId="0" applyFont="1" applyFill="1" applyBorder="1" applyAlignment="1">
      <alignment horizontal="distributed" vertical="center"/>
    </xf>
    <xf numFmtId="0" fontId="12" fillId="0" borderId="0" xfId="0" applyFont="1" applyFill="1" applyBorder="1" applyAlignment="1">
      <alignment horizontal="center" vertical="center"/>
    </xf>
    <xf numFmtId="38" fontId="10" fillId="18" borderId="89" xfId="0" applyNumberFormat="1" applyFont="1" applyFill="1" applyBorder="1" applyAlignment="1">
      <alignment horizontal="center" vertical="center" shrinkToFit="1"/>
    </xf>
    <xf numFmtId="0" fontId="5" fillId="27" borderId="189" xfId="0" applyFont="1" applyFill="1" applyBorder="1" applyAlignment="1">
      <alignment horizontal="right" vertical="center"/>
    </xf>
    <xf numFmtId="0" fontId="5" fillId="27" borderId="190" xfId="0" applyFont="1" applyFill="1" applyBorder="1" applyAlignment="1">
      <alignment horizontal="right" vertical="center"/>
    </xf>
    <xf numFmtId="0" fontId="5" fillId="0" borderId="190" xfId="0" applyFont="1" applyFill="1" applyBorder="1" applyAlignment="1">
      <alignment horizontal="distributed" vertical="center"/>
    </xf>
    <xf numFmtId="0" fontId="35" fillId="0" borderId="190" xfId="0" applyFont="1" applyFill="1" applyBorder="1" applyAlignment="1">
      <alignment horizontal="center" vertical="center"/>
    </xf>
    <xf numFmtId="0" fontId="5" fillId="0" borderId="193" xfId="0" applyFont="1" applyFill="1" applyBorder="1" applyAlignment="1">
      <alignment horizontal="center" vertical="center"/>
    </xf>
    <xf numFmtId="0" fontId="5" fillId="0" borderId="193" xfId="0" applyFont="1" applyFill="1" applyBorder="1" applyAlignment="1">
      <alignment horizontal="right" vertical="center"/>
    </xf>
    <xf numFmtId="192" fontId="5" fillId="12" borderId="193" xfId="0" applyNumberFormat="1" applyFont="1" applyFill="1" applyBorder="1" applyAlignment="1">
      <alignment horizontal="center" shrinkToFit="1"/>
    </xf>
    <xf numFmtId="192" fontId="5" fillId="12" borderId="193" xfId="0" applyNumberFormat="1" applyFont="1" applyFill="1" applyBorder="1" applyAlignment="1">
      <alignment horizontal="center" vertical="center" shrinkToFit="1"/>
    </xf>
    <xf numFmtId="192" fontId="5" fillId="12" borderId="185" xfId="0" applyNumberFormat="1" applyFont="1" applyFill="1" applyBorder="1" applyAlignment="1">
      <alignment horizontal="center" vertical="center" shrinkToFit="1"/>
    </xf>
    <xf numFmtId="0" fontId="5" fillId="27" borderId="192" xfId="0" applyFont="1" applyFill="1" applyBorder="1" applyAlignment="1">
      <alignment horizontal="right" vertical="center"/>
    </xf>
    <xf numFmtId="0" fontId="5" fillId="27" borderId="89" xfId="0" applyFont="1" applyFill="1" applyBorder="1" applyAlignment="1">
      <alignment horizontal="right" vertical="center"/>
    </xf>
    <xf numFmtId="0" fontId="5" fillId="0" borderId="224" xfId="0" applyFont="1" applyFill="1" applyBorder="1" applyAlignment="1">
      <alignment horizontal="distributed" vertical="center"/>
    </xf>
    <xf numFmtId="0" fontId="35" fillId="0" borderId="224" xfId="0" applyFont="1" applyFill="1" applyBorder="1" applyAlignment="1">
      <alignment horizontal="center" vertical="center"/>
    </xf>
    <xf numFmtId="0" fontId="5" fillId="0" borderId="52" xfId="0" applyFont="1" applyFill="1" applyBorder="1" applyAlignment="1">
      <alignment horizontal="right" vertical="center"/>
    </xf>
    <xf numFmtId="0" fontId="10" fillId="28" borderId="23" xfId="0" applyFont="1" applyFill="1" applyBorder="1" applyAlignment="1">
      <alignment horizontal="center" shrinkToFit="1"/>
    </xf>
    <xf numFmtId="0" fontId="10" fillId="28" borderId="100" xfId="0" applyFont="1" applyFill="1" applyBorder="1" applyAlignment="1">
      <alignment horizontal="center" shrinkToFit="1"/>
    </xf>
    <xf numFmtId="0" fontId="10" fillId="27" borderId="189" xfId="0" applyFont="1" applyFill="1" applyBorder="1" applyAlignment="1">
      <alignment horizontal="right" vertical="center"/>
    </xf>
    <xf numFmtId="0" fontId="10" fillId="27" borderId="190" xfId="0" applyFont="1" applyFill="1" applyBorder="1" applyAlignment="1">
      <alignment horizontal="right" vertical="center"/>
    </xf>
    <xf numFmtId="0" fontId="10" fillId="12" borderId="193" xfId="0" applyFont="1" applyFill="1" applyBorder="1" applyAlignment="1">
      <alignment horizontal="center" vertical="center"/>
    </xf>
    <xf numFmtId="0" fontId="10" fillId="27" borderId="193" xfId="0" applyFont="1" applyFill="1" applyBorder="1" applyAlignment="1">
      <alignment horizontal="center" vertical="center"/>
    </xf>
    <xf numFmtId="0" fontId="10" fillId="27" borderId="193" xfId="0" applyFont="1" applyFill="1" applyBorder="1" applyAlignment="1">
      <alignment horizontal="center" shrinkToFit="1"/>
    </xf>
    <xf numFmtId="0" fontId="10" fillId="27" borderId="193" xfId="0" applyFont="1" applyFill="1" applyBorder="1" applyAlignment="1">
      <alignment horizontal="center" vertical="center" shrinkToFit="1"/>
    </xf>
    <xf numFmtId="0" fontId="10" fillId="27" borderId="205" xfId="0" applyFont="1" applyFill="1" applyBorder="1" applyAlignment="1">
      <alignment horizontal="center" vertical="center" shrinkToFit="1"/>
    </xf>
    <xf numFmtId="0" fontId="10" fillId="27" borderId="191" xfId="0" applyFont="1" applyFill="1" applyBorder="1" applyAlignment="1">
      <alignment horizontal="right" vertical="center"/>
    </xf>
    <xf numFmtId="0" fontId="10" fillId="27" borderId="0" xfId="0" applyFont="1" applyFill="1" applyBorder="1" applyAlignment="1">
      <alignment horizontal="right" vertical="center"/>
    </xf>
    <xf numFmtId="0" fontId="10" fillId="27" borderId="265" xfId="0" applyFont="1" applyFill="1" applyBorder="1" applyAlignment="1">
      <alignment horizontal="right" vertical="center"/>
    </xf>
    <xf numFmtId="0" fontId="10" fillId="12" borderId="261" xfId="0" applyFont="1" applyFill="1" applyBorder="1" applyAlignment="1">
      <alignment horizontal="center" vertical="center"/>
    </xf>
    <xf numFmtId="0" fontId="70" fillId="27" borderId="261" xfId="0" applyFont="1" applyFill="1" applyBorder="1" applyAlignment="1">
      <alignment vertical="center"/>
    </xf>
    <xf numFmtId="0" fontId="10" fillId="27" borderId="261" xfId="0" applyFont="1" applyFill="1" applyBorder="1" applyAlignment="1">
      <alignment horizontal="center" vertical="center" shrinkToFit="1"/>
    </xf>
    <xf numFmtId="0" fontId="10" fillId="27" borderId="266" xfId="0" applyFont="1" applyFill="1" applyBorder="1" applyAlignment="1">
      <alignment horizontal="center" vertical="center" shrinkToFit="1"/>
    </xf>
    <xf numFmtId="38" fontId="58" fillId="12" borderId="23" xfId="0" applyNumberFormat="1" applyFont="1" applyFill="1" applyBorder="1" applyAlignment="1">
      <alignment horizontal="center" shrinkToFit="1"/>
    </xf>
    <xf numFmtId="38" fontId="58" fillId="12" borderId="31" xfId="0" applyNumberFormat="1" applyFont="1" applyFill="1" applyBorder="1" applyAlignment="1">
      <alignment horizontal="center" shrinkToFit="1"/>
    </xf>
    <xf numFmtId="38" fontId="5" fillId="12" borderId="266" xfId="0" applyNumberFormat="1" applyFont="1" applyFill="1" applyBorder="1" applyAlignment="1">
      <alignment horizontal="center" vertical="center" shrinkToFit="1"/>
    </xf>
    <xf numFmtId="0" fontId="10" fillId="27" borderId="190" xfId="0" applyFont="1" applyFill="1" applyBorder="1" applyAlignment="1">
      <alignment vertical="center"/>
    </xf>
    <xf numFmtId="0" fontId="10" fillId="27" borderId="15" xfId="0" applyFont="1" applyFill="1" applyBorder="1" applyAlignment="1">
      <alignment horizontal="right" vertical="center"/>
    </xf>
    <xf numFmtId="0" fontId="10" fillId="0" borderId="288" xfId="0" applyFont="1" applyFill="1" applyBorder="1" applyAlignment="1">
      <alignment horizontal="center" vertical="center"/>
    </xf>
    <xf numFmtId="38" fontId="10" fillId="27" borderId="150" xfId="0" applyNumberFormat="1" applyFont="1" applyFill="1" applyBorder="1" applyAlignment="1">
      <alignment horizontal="right" vertical="center"/>
    </xf>
    <xf numFmtId="179" fontId="10" fillId="12" borderId="150" xfId="0" applyNumberFormat="1" applyFont="1" applyFill="1" applyBorder="1" applyAlignment="1">
      <alignment shrinkToFit="1"/>
    </xf>
    <xf numFmtId="179" fontId="10" fillId="12" borderId="150" xfId="0" applyNumberFormat="1" applyFont="1" applyFill="1" applyBorder="1" applyAlignment="1">
      <alignment vertical="center" shrinkToFit="1"/>
    </xf>
    <xf numFmtId="179" fontId="10" fillId="12" borderId="151" xfId="0" applyNumberFormat="1" applyFont="1" applyFill="1" applyBorder="1" applyAlignment="1">
      <alignment vertical="center" shrinkToFit="1"/>
    </xf>
    <xf numFmtId="0" fontId="5" fillId="17" borderId="224" xfId="0" applyFont="1" applyFill="1" applyBorder="1" applyAlignment="1">
      <alignment horizontal="left" vertical="center"/>
    </xf>
    <xf numFmtId="0" fontId="10" fillId="27" borderId="167" xfId="0" applyFont="1" applyFill="1" applyBorder="1" applyAlignment="1">
      <alignment horizontal="right" vertical="center"/>
    </xf>
    <xf numFmtId="0" fontId="10" fillId="27" borderId="194" xfId="0" applyFont="1" applyFill="1" applyBorder="1" applyAlignment="1">
      <alignment horizontal="right" vertical="center"/>
    </xf>
    <xf numFmtId="0" fontId="10" fillId="0" borderId="85" xfId="0" applyFont="1" applyFill="1" applyBorder="1" applyAlignment="1">
      <alignment horizontal="center" vertical="center"/>
    </xf>
    <xf numFmtId="38" fontId="10" fillId="27" borderId="84" xfId="0" applyNumberFormat="1" applyFont="1" applyFill="1" applyBorder="1" applyAlignment="1">
      <alignment horizontal="right" vertical="center"/>
    </xf>
    <xf numFmtId="179" fontId="10" fillId="0" borderId="84" xfId="0" applyNumberFormat="1" applyFont="1" applyFill="1" applyBorder="1" applyAlignment="1">
      <alignment vertical="center" shrinkToFit="1"/>
    </xf>
    <xf numFmtId="179" fontId="10" fillId="0" borderId="185" xfId="0" applyNumberFormat="1" applyFont="1" applyFill="1" applyBorder="1" applyAlignment="1">
      <alignment vertical="center" shrinkToFit="1"/>
    </xf>
    <xf numFmtId="0" fontId="5" fillId="27" borderId="224" xfId="0" applyFont="1" applyFill="1" applyBorder="1" applyAlignment="1">
      <alignment horizontal="left" vertical="center"/>
    </xf>
    <xf numFmtId="0" fontId="10" fillId="0" borderId="258" xfId="0" applyFont="1" applyFill="1" applyBorder="1" applyAlignment="1">
      <alignment horizontal="center" vertical="center"/>
    </xf>
    <xf numFmtId="38" fontId="10" fillId="27" borderId="261" xfId="0" applyNumberFormat="1" applyFont="1" applyFill="1" applyBorder="1" applyAlignment="1">
      <alignment horizontal="right" vertical="center"/>
    </xf>
    <xf numFmtId="179" fontId="10" fillId="0" borderId="261" xfId="0" applyNumberFormat="1" applyFont="1" applyFill="1" applyBorder="1" applyAlignment="1">
      <alignment vertical="center" shrinkToFit="1"/>
    </xf>
    <xf numFmtId="179" fontId="10" fillId="0" borderId="266" xfId="0" applyNumberFormat="1" applyFont="1" applyFill="1" applyBorder="1" applyAlignment="1">
      <alignment vertical="center" shrinkToFit="1"/>
    </xf>
    <xf numFmtId="38" fontId="5" fillId="27" borderId="261" xfId="0" applyNumberFormat="1" applyFont="1" applyFill="1" applyBorder="1" applyAlignment="1">
      <alignment horizontal="right" vertical="center"/>
    </xf>
    <xf numFmtId="179" fontId="10" fillId="28" borderId="261" xfId="0" applyNumberFormat="1" applyFont="1" applyFill="1" applyBorder="1" applyAlignment="1">
      <alignment shrinkToFit="1"/>
    </xf>
    <xf numFmtId="179" fontId="10" fillId="28" borderId="261" xfId="0" applyNumberFormat="1" applyFont="1" applyFill="1" applyBorder="1" applyAlignment="1">
      <alignment vertical="center" shrinkToFit="1"/>
    </xf>
    <xf numFmtId="179" fontId="10" fillId="28" borderId="266" xfId="0" applyNumberFormat="1" applyFont="1" applyFill="1" applyBorder="1" applyAlignment="1">
      <alignment vertical="center" shrinkToFit="1"/>
    </xf>
    <xf numFmtId="0" fontId="5" fillId="27" borderId="210" xfId="0" applyFont="1" applyFill="1" applyBorder="1" applyAlignment="1">
      <alignment horizontal="left" vertical="center"/>
    </xf>
    <xf numFmtId="0" fontId="10" fillId="17" borderId="210" xfId="0" applyFont="1" applyFill="1" applyBorder="1" applyAlignment="1">
      <alignment horizontal="right" vertical="center"/>
    </xf>
    <xf numFmtId="0" fontId="10" fillId="0" borderId="172" xfId="0" applyFont="1" applyFill="1" applyBorder="1" applyAlignment="1">
      <alignment horizontal="center" vertical="center"/>
    </xf>
    <xf numFmtId="38" fontId="5" fillId="17" borderId="129" xfId="0" applyNumberFormat="1" applyFont="1" applyFill="1" applyBorder="1" applyAlignment="1">
      <alignment horizontal="right" vertical="center"/>
    </xf>
    <xf numFmtId="179" fontId="10" fillId="28" borderId="129" xfId="0" applyNumberFormat="1" applyFont="1" applyFill="1" applyBorder="1" applyAlignment="1">
      <alignment shrinkToFit="1"/>
    </xf>
    <xf numFmtId="179" fontId="10" fillId="28" borderId="129" xfId="0" applyNumberFormat="1" applyFont="1" applyFill="1" applyBorder="1" applyAlignment="1">
      <alignment vertical="center" shrinkToFit="1"/>
    </xf>
    <xf numFmtId="179" fontId="10" fillId="28" borderId="131" xfId="0" applyNumberFormat="1" applyFont="1" applyFill="1" applyBorder="1" applyAlignment="1">
      <alignment vertical="center" shrinkToFit="1"/>
    </xf>
    <xf numFmtId="0" fontId="10" fillId="0" borderId="118" xfId="0" applyFont="1" applyFill="1" applyBorder="1" applyAlignment="1">
      <alignment horizontal="right" vertical="center"/>
    </xf>
    <xf numFmtId="0" fontId="5" fillId="0" borderId="224" xfId="0" applyFont="1" applyFill="1" applyBorder="1" applyAlignment="1">
      <alignment vertical="center"/>
    </xf>
    <xf numFmtId="0" fontId="5" fillId="0" borderId="224" xfId="0" applyFont="1" applyFill="1" applyBorder="1" applyAlignment="1">
      <alignment horizontal="left" vertical="center"/>
    </xf>
    <xf numFmtId="0" fontId="10" fillId="0" borderId="224" xfId="0" applyFont="1" applyFill="1" applyBorder="1" applyAlignment="1">
      <alignment horizontal="right" vertical="center"/>
    </xf>
    <xf numFmtId="0" fontId="10" fillId="0" borderId="52" xfId="0" applyFont="1" applyFill="1" applyBorder="1" applyAlignment="1">
      <alignment horizontal="center" vertical="center"/>
    </xf>
    <xf numFmtId="38" fontId="5" fillId="0" borderId="23" xfId="0" applyNumberFormat="1" applyFont="1" applyFill="1" applyBorder="1" applyAlignment="1">
      <alignment horizontal="right" vertical="center"/>
    </xf>
    <xf numFmtId="179" fontId="10" fillId="28" borderId="23" xfId="0" applyNumberFormat="1" applyFont="1" applyFill="1" applyBorder="1" applyAlignment="1">
      <alignment shrinkToFit="1"/>
    </xf>
    <xf numFmtId="179" fontId="10" fillId="28" borderId="23" xfId="0" applyNumberFormat="1" applyFont="1" applyFill="1" applyBorder="1" applyAlignment="1">
      <alignment vertical="center" shrinkToFit="1"/>
    </xf>
    <xf numFmtId="179" fontId="10" fillId="28" borderId="31" xfId="0" applyNumberFormat="1" applyFont="1" applyFill="1" applyBorder="1" applyAlignment="1">
      <alignment vertical="center" shrinkToFit="1"/>
    </xf>
    <xf numFmtId="0" fontId="10" fillId="0" borderId="289" xfId="0" applyFont="1" applyFill="1" applyBorder="1" applyAlignment="1">
      <alignment horizontal="right" vertical="center"/>
    </xf>
    <xf numFmtId="0" fontId="5" fillId="0" borderId="210" xfId="0" applyFont="1" applyFill="1" applyBorder="1" applyAlignment="1">
      <alignment vertical="center"/>
    </xf>
    <xf numFmtId="0" fontId="5" fillId="0" borderId="210" xfId="0" applyFont="1" applyFill="1" applyBorder="1" applyAlignment="1">
      <alignment horizontal="left" vertical="center"/>
    </xf>
    <xf numFmtId="0" fontId="10" fillId="0" borderId="210" xfId="0" applyFont="1" applyFill="1" applyBorder="1" applyAlignment="1">
      <alignment horizontal="right" vertical="center"/>
    </xf>
    <xf numFmtId="38" fontId="5" fillId="0" borderId="129" xfId="0" applyNumberFormat="1" applyFont="1" applyFill="1" applyBorder="1" applyAlignment="1">
      <alignment horizontal="right" vertical="center"/>
    </xf>
    <xf numFmtId="0" fontId="10" fillId="0" borderId="161" xfId="0" applyFont="1" applyFill="1" applyBorder="1" applyAlignment="1">
      <alignment horizontal="right" vertical="center"/>
    </xf>
    <xf numFmtId="0" fontId="5" fillId="0" borderId="162" xfId="0" applyFont="1" applyFill="1" applyBorder="1" applyAlignment="1">
      <alignment vertical="center"/>
    </xf>
    <xf numFmtId="0" fontId="5" fillId="0" borderId="162" xfId="0" applyFont="1" applyFill="1" applyBorder="1" applyAlignment="1">
      <alignment horizontal="left" vertical="center"/>
    </xf>
    <xf numFmtId="0" fontId="10" fillId="0" borderId="162" xfId="0" applyFont="1" applyFill="1" applyBorder="1" applyAlignment="1">
      <alignment horizontal="right" vertical="center"/>
    </xf>
    <xf numFmtId="0" fontId="10" fillId="0" borderId="88" xfId="0" applyFont="1" applyFill="1" applyBorder="1" applyAlignment="1">
      <alignment horizontal="center" vertical="center"/>
    </xf>
    <xf numFmtId="38" fontId="5" fillId="0" borderId="87" xfId="0" applyNumberFormat="1" applyFont="1" applyFill="1" applyBorder="1" applyAlignment="1">
      <alignment horizontal="right" vertical="center"/>
    </xf>
    <xf numFmtId="179" fontId="10" fillId="28" borderId="87" xfId="0" applyNumberFormat="1" applyFont="1" applyFill="1" applyBorder="1" applyAlignment="1">
      <alignment shrinkToFit="1"/>
    </xf>
    <xf numFmtId="179" fontId="10" fillId="28" borderId="87" xfId="0" applyNumberFormat="1" applyFont="1" applyFill="1" applyBorder="1" applyAlignment="1">
      <alignment vertical="center" shrinkToFit="1"/>
    </xf>
    <xf numFmtId="179" fontId="10" fillId="28" borderId="100" xfId="0" applyNumberFormat="1" applyFont="1" applyFill="1" applyBorder="1" applyAlignment="1">
      <alignment vertical="center" shrinkToFit="1"/>
    </xf>
    <xf numFmtId="0" fontId="10" fillId="27" borderId="190" xfId="0" applyFont="1" applyFill="1" applyBorder="1" applyAlignment="1">
      <alignment horizontal="left" vertical="center"/>
    </xf>
    <xf numFmtId="0" fontId="10" fillId="27" borderId="15" xfId="0" applyFont="1" applyFill="1" applyBorder="1" applyAlignment="1">
      <alignment horizontal="left" vertical="center"/>
    </xf>
    <xf numFmtId="0" fontId="10" fillId="27" borderId="150" xfId="0" applyFont="1" applyFill="1" applyBorder="1" applyAlignment="1">
      <alignment horizontal="center" vertical="center"/>
    </xf>
    <xf numFmtId="38" fontId="10" fillId="0" borderId="150" xfId="0" applyNumberFormat="1" applyFont="1" applyFill="1" applyBorder="1" applyAlignment="1">
      <alignment horizontal="right" vertical="center" shrinkToFit="1"/>
    </xf>
    <xf numFmtId="0" fontId="5" fillId="27" borderId="167" xfId="0" applyFont="1" applyFill="1" applyBorder="1" applyAlignment="1">
      <alignment horizontal="left" vertical="center"/>
    </xf>
    <xf numFmtId="0" fontId="10" fillId="27" borderId="167" xfId="0" applyFont="1" applyFill="1" applyBorder="1" applyAlignment="1">
      <alignment horizontal="left" vertical="center" shrinkToFit="1"/>
    </xf>
    <xf numFmtId="0" fontId="10" fillId="27" borderId="84" xfId="0" applyFont="1" applyFill="1" applyBorder="1" applyAlignment="1">
      <alignment horizontal="center" vertical="center"/>
    </xf>
    <xf numFmtId="38" fontId="10" fillId="17" borderId="84" xfId="0" applyNumberFormat="1" applyFont="1" applyFill="1" applyBorder="1" applyAlignment="1">
      <alignment horizontal="right" vertical="center" shrinkToFit="1"/>
    </xf>
    <xf numFmtId="0" fontId="5" fillId="0" borderId="224" xfId="0" applyFont="1" applyBorder="1" applyAlignment="1">
      <alignment vertical="center"/>
    </xf>
    <xf numFmtId="0" fontId="10" fillId="27" borderId="23" xfId="0" applyFont="1" applyFill="1" applyBorder="1" applyAlignment="1">
      <alignment horizontal="right" vertical="center"/>
    </xf>
    <xf numFmtId="38" fontId="10" fillId="27" borderId="23" xfId="0" applyNumberFormat="1" applyFont="1" applyFill="1" applyBorder="1" applyAlignment="1">
      <alignment horizontal="right" vertical="center"/>
    </xf>
    <xf numFmtId="38" fontId="10" fillId="18" borderId="23" xfId="0" applyNumberFormat="1" applyFont="1" applyFill="1" applyBorder="1" applyAlignment="1">
      <alignment horizontal="right" vertical="center" shrinkToFit="1"/>
    </xf>
    <xf numFmtId="38" fontId="10" fillId="18" borderId="31" xfId="0" applyNumberFormat="1" applyFont="1" applyFill="1" applyBorder="1" applyAlignment="1">
      <alignment horizontal="right" vertical="center" shrinkToFit="1"/>
    </xf>
    <xf numFmtId="0" fontId="10" fillId="27" borderId="192" xfId="0" applyFont="1" applyFill="1" applyBorder="1" applyAlignment="1">
      <alignment horizontal="right" vertical="center"/>
    </xf>
    <xf numFmtId="0" fontId="10" fillId="27" borderId="89" xfId="0" applyFont="1" applyFill="1" applyBorder="1" applyAlignment="1">
      <alignment horizontal="right" vertical="center"/>
    </xf>
    <xf numFmtId="0" fontId="10" fillId="27" borderId="162" xfId="0" applyFont="1" applyFill="1" applyBorder="1" applyAlignment="1">
      <alignment horizontal="left" vertical="center"/>
    </xf>
    <xf numFmtId="0" fontId="10" fillId="27" borderId="87" xfId="0" applyFont="1" applyFill="1" applyBorder="1" applyAlignment="1">
      <alignment horizontal="right" vertical="center"/>
    </xf>
    <xf numFmtId="38" fontId="10" fillId="18" borderId="87" xfId="0" applyNumberFormat="1" applyFont="1" applyFill="1" applyBorder="1" applyAlignment="1">
      <alignment horizontal="right" vertical="center"/>
    </xf>
    <xf numFmtId="38" fontId="57" fillId="18" borderId="87" xfId="0" applyNumberFormat="1" applyFont="1" applyFill="1" applyBorder="1" applyAlignment="1">
      <alignment horizontal="right" vertical="center" shrinkToFit="1"/>
    </xf>
    <xf numFmtId="38" fontId="57" fillId="18" borderId="100" xfId="0" applyNumberFormat="1" applyFont="1" applyFill="1" applyBorder="1" applyAlignment="1">
      <alignment horizontal="right" vertical="center" shrinkToFit="1"/>
    </xf>
    <xf numFmtId="0" fontId="10" fillId="27" borderId="0" xfId="0" applyFont="1" applyFill="1" applyBorder="1" applyAlignment="1">
      <alignment horizontal="left" vertical="center"/>
    </xf>
    <xf numFmtId="0" fontId="10" fillId="27" borderId="130" xfId="0" applyFont="1" applyFill="1" applyBorder="1" applyAlignment="1">
      <alignment horizontal="right" vertical="center"/>
    </xf>
    <xf numFmtId="38" fontId="10" fillId="27" borderId="130" xfId="0" applyNumberFormat="1" applyFont="1" applyFill="1" applyBorder="1" applyAlignment="1">
      <alignment horizontal="right" vertical="center"/>
    </xf>
    <xf numFmtId="38" fontId="10" fillId="27" borderId="130" xfId="0" applyNumberFormat="1" applyFont="1" applyFill="1" applyBorder="1" applyAlignment="1">
      <alignment horizontal="right" vertical="center" shrinkToFit="1"/>
    </xf>
    <xf numFmtId="0" fontId="10" fillId="27" borderId="167" xfId="0" applyFont="1" applyFill="1" applyBorder="1" applyAlignment="1">
      <alignment horizontal="left" vertical="center"/>
    </xf>
    <xf numFmtId="0" fontId="10" fillId="27" borderId="84" xfId="0" applyFont="1" applyFill="1" applyBorder="1" applyAlignment="1">
      <alignment horizontal="right" vertical="center"/>
    </xf>
    <xf numFmtId="0" fontId="10" fillId="27" borderId="224" xfId="0" applyFont="1" applyFill="1" applyBorder="1" applyAlignment="1">
      <alignment horizontal="right" vertical="center"/>
    </xf>
    <xf numFmtId="38" fontId="10" fillId="18" borderId="23" xfId="0" applyNumberFormat="1" applyFont="1" applyFill="1" applyBorder="1" applyAlignment="1">
      <alignment horizontal="right" vertical="center"/>
    </xf>
    <xf numFmtId="0" fontId="5" fillId="17" borderId="0" xfId="0" applyFont="1" applyFill="1" applyBorder="1" applyAlignment="1">
      <alignment vertical="center"/>
    </xf>
    <xf numFmtId="0" fontId="10" fillId="17" borderId="191" xfId="0" applyFont="1" applyFill="1" applyBorder="1" applyAlignment="1">
      <alignment horizontal="right" vertical="center"/>
    </xf>
    <xf numFmtId="0" fontId="10" fillId="17" borderId="0" xfId="0" applyFont="1" applyFill="1" applyBorder="1" applyAlignment="1">
      <alignment horizontal="right" vertical="center"/>
    </xf>
    <xf numFmtId="0" fontId="10" fillId="17" borderId="224" xfId="0" applyFont="1" applyFill="1" applyBorder="1" applyAlignment="1">
      <alignment horizontal="left" vertical="center"/>
    </xf>
    <xf numFmtId="0" fontId="10" fillId="17" borderId="23" xfId="0" applyFont="1" applyFill="1" applyBorder="1" applyAlignment="1">
      <alignment horizontal="right" vertical="center"/>
    </xf>
    <xf numFmtId="38" fontId="10" fillId="17" borderId="23" xfId="0" applyNumberFormat="1" applyFont="1" applyFill="1" applyBorder="1" applyAlignment="1">
      <alignment horizontal="right" vertical="center"/>
    </xf>
    <xf numFmtId="38" fontId="10" fillId="17" borderId="23" xfId="0" applyNumberFormat="1" applyFont="1" applyFill="1" applyBorder="1" applyAlignment="1">
      <alignment horizontal="right" vertical="center" shrinkToFit="1"/>
    </xf>
    <xf numFmtId="0" fontId="10" fillId="17" borderId="224" xfId="0" applyFont="1" applyFill="1" applyBorder="1" applyAlignment="1">
      <alignment horizontal="right" vertical="center"/>
    </xf>
    <xf numFmtId="0" fontId="10" fillId="17" borderId="89" xfId="0" applyFont="1" applyFill="1" applyBorder="1" applyAlignment="1">
      <alignment horizontal="right" vertical="center"/>
    </xf>
    <xf numFmtId="0" fontId="10" fillId="17" borderId="129" xfId="0" applyFont="1" applyFill="1" applyBorder="1" applyAlignment="1">
      <alignment horizontal="right" vertical="center"/>
    </xf>
    <xf numFmtId="38" fontId="10" fillId="17" borderId="129" xfId="0" applyNumberFormat="1" applyFont="1" applyFill="1" applyBorder="1" applyAlignment="1">
      <alignment horizontal="right" vertical="center"/>
    </xf>
    <xf numFmtId="38" fontId="10" fillId="17" borderId="129" xfId="0" applyNumberFormat="1" applyFont="1" applyFill="1" applyBorder="1" applyAlignment="1">
      <alignment horizontal="right" vertical="center" shrinkToFit="1"/>
    </xf>
    <xf numFmtId="0" fontId="10" fillId="27" borderId="14" xfId="0" applyFont="1" applyFill="1" applyBorder="1" applyAlignment="1">
      <alignment horizontal="right" vertical="center"/>
    </xf>
    <xf numFmtId="0" fontId="10" fillId="27" borderId="14" xfId="0" applyFont="1" applyFill="1" applyBorder="1" applyAlignment="1">
      <alignment horizontal="left" vertical="center"/>
    </xf>
    <xf numFmtId="0" fontId="10" fillId="27" borderId="150" xfId="0" applyFont="1" applyFill="1" applyBorder="1" applyAlignment="1">
      <alignment horizontal="right" vertical="center"/>
    </xf>
    <xf numFmtId="38" fontId="10" fillId="27" borderId="150" xfId="0" applyNumberFormat="1" applyFont="1" applyFill="1" applyBorder="1" applyAlignment="1">
      <alignment horizontal="right" vertical="center" shrinkToFit="1"/>
    </xf>
    <xf numFmtId="38" fontId="10" fillId="27" borderId="151" xfId="0" applyNumberFormat="1" applyFont="1" applyFill="1" applyBorder="1" applyAlignment="1">
      <alignment horizontal="right" vertical="center" shrinkToFit="1"/>
    </xf>
    <xf numFmtId="0" fontId="12" fillId="27" borderId="0" xfId="0" applyFont="1" applyFill="1" applyBorder="1" applyAlignment="1">
      <alignment horizontal="left" vertical="center"/>
    </xf>
    <xf numFmtId="0" fontId="54" fillId="27" borderId="0" xfId="0" applyFont="1" applyFill="1" applyBorder="1" applyAlignment="1">
      <alignment horizontal="center" vertical="center"/>
    </xf>
    <xf numFmtId="0" fontId="10" fillId="27" borderId="0" xfId="0" applyFont="1" applyFill="1" applyBorder="1" applyAlignment="1">
      <alignment horizontal="center" vertical="center"/>
    </xf>
    <xf numFmtId="0" fontId="10" fillId="27" borderId="0" xfId="0" applyFont="1" applyFill="1" applyBorder="1" applyAlignment="1">
      <alignment horizontal="left" vertical="center" shrinkToFit="1"/>
    </xf>
    <xf numFmtId="0" fontId="10" fillId="27" borderId="0" xfId="0" applyFont="1" applyFill="1" applyBorder="1" applyAlignment="1">
      <alignment horizontal="right" vertical="center" shrinkToFit="1"/>
    </xf>
    <xf numFmtId="0" fontId="10" fillId="27" borderId="206" xfId="0" applyFont="1" applyFill="1" applyBorder="1" applyAlignment="1">
      <alignment horizontal="right" vertical="center" shrinkToFit="1"/>
    </xf>
    <xf numFmtId="0" fontId="12" fillId="27" borderId="192" xfId="0" applyFont="1" applyFill="1" applyBorder="1" applyAlignment="1">
      <alignment horizontal="left" vertical="center"/>
    </xf>
    <xf numFmtId="0" fontId="54" fillId="27" borderId="0" xfId="0" applyFont="1" applyFill="1" applyBorder="1" applyAlignment="1">
      <alignment horizontal="left" vertical="center"/>
    </xf>
    <xf numFmtId="0" fontId="54" fillId="27" borderId="89" xfId="0" applyFont="1" applyFill="1" applyBorder="1" applyAlignment="1">
      <alignment horizontal="left" vertical="center"/>
    </xf>
    <xf numFmtId="0" fontId="10" fillId="27" borderId="91" xfId="0" applyFont="1" applyFill="1" applyBorder="1" applyAlignment="1">
      <alignment horizontal="center" vertical="center"/>
    </xf>
    <xf numFmtId="0" fontId="10" fillId="27" borderId="91" xfId="0" applyFont="1" applyFill="1" applyBorder="1" applyAlignment="1">
      <alignment horizontal="right" vertical="center"/>
    </xf>
    <xf numFmtId="0" fontId="10" fillId="27" borderId="91" xfId="0" applyFont="1" applyFill="1" applyBorder="1" applyAlignment="1">
      <alignment horizontal="right" vertical="center" shrinkToFit="1"/>
    </xf>
    <xf numFmtId="0" fontId="10" fillId="27" borderId="102" xfId="0" applyFont="1" applyFill="1" applyBorder="1" applyAlignment="1">
      <alignment horizontal="right" vertical="center" shrinkToFit="1"/>
    </xf>
    <xf numFmtId="38" fontId="10" fillId="12" borderId="84" xfId="0" applyNumberFormat="1" applyFont="1" applyFill="1" applyBorder="1" applyAlignment="1">
      <alignment horizontal="right" vertical="center" shrinkToFit="1"/>
    </xf>
    <xf numFmtId="38" fontId="10" fillId="12" borderId="185" xfId="0" applyNumberFormat="1" applyFont="1" applyFill="1" applyBorder="1" applyAlignment="1">
      <alignment horizontal="right" vertical="center" shrinkToFit="1"/>
    </xf>
    <xf numFmtId="0" fontId="10" fillId="18" borderId="265" xfId="0" applyFont="1" applyFill="1" applyBorder="1" applyAlignment="1">
      <alignment horizontal="left" vertical="center" shrinkToFit="1"/>
    </xf>
    <xf numFmtId="0" fontId="10" fillId="18" borderId="261" xfId="0" applyFont="1" applyFill="1" applyBorder="1" applyAlignment="1">
      <alignment horizontal="right" vertical="center"/>
    </xf>
    <xf numFmtId="38" fontId="10" fillId="18" borderId="261" xfId="0" applyNumberFormat="1" applyFont="1" applyFill="1" applyBorder="1" applyAlignment="1">
      <alignment horizontal="right" vertical="center"/>
    </xf>
    <xf numFmtId="38" fontId="5" fillId="18" borderId="261" xfId="0" applyNumberFormat="1" applyFont="1" applyFill="1" applyBorder="1" applyAlignment="1">
      <alignment horizontal="right" vertical="center" shrinkToFit="1"/>
    </xf>
    <xf numFmtId="38" fontId="5" fillId="18" borderId="266" xfId="0" applyNumberFormat="1" applyFont="1" applyFill="1" applyBorder="1" applyAlignment="1">
      <alignment horizontal="right" vertical="center" shrinkToFit="1"/>
    </xf>
    <xf numFmtId="0" fontId="10" fillId="18" borderId="224" xfId="0" applyFont="1" applyFill="1" applyBorder="1" applyAlignment="1">
      <alignment horizontal="left" vertical="center" shrinkToFit="1"/>
    </xf>
    <xf numFmtId="0" fontId="10" fillId="18" borderId="23" xfId="0" applyFont="1" applyFill="1" applyBorder="1" applyAlignment="1">
      <alignment horizontal="right" vertical="center"/>
    </xf>
    <xf numFmtId="0" fontId="71" fillId="27" borderId="224" xfId="0" applyFont="1" applyFill="1" applyBorder="1" applyAlignment="1">
      <alignment horizontal="left" vertical="center"/>
    </xf>
    <xf numFmtId="0" fontId="10" fillId="27" borderId="224" xfId="0" applyFont="1" applyFill="1" applyBorder="1" applyAlignment="1">
      <alignment horizontal="left" vertical="center" shrinkToFit="1"/>
    </xf>
    <xf numFmtId="38" fontId="57" fillId="21" borderId="23" xfId="0" applyNumberFormat="1" applyFont="1" applyFill="1" applyBorder="1" applyAlignment="1">
      <alignment horizontal="right" vertical="center" shrinkToFit="1"/>
    </xf>
    <xf numFmtId="38" fontId="57" fillId="21" borderId="31" xfId="0" applyNumberFormat="1" applyFont="1" applyFill="1" applyBorder="1" applyAlignment="1">
      <alignment horizontal="right" vertical="center" shrinkToFit="1"/>
    </xf>
    <xf numFmtId="38" fontId="57" fillId="18" borderId="23" xfId="0" applyNumberFormat="1" applyFont="1" applyFill="1" applyBorder="1" applyAlignment="1">
      <alignment horizontal="right" vertical="center" shrinkToFit="1"/>
    </xf>
    <xf numFmtId="38" fontId="57" fillId="18" borderId="31" xfId="0" applyNumberFormat="1" applyFont="1" applyFill="1" applyBorder="1" applyAlignment="1">
      <alignment horizontal="right" vertical="center" shrinkToFit="1"/>
    </xf>
    <xf numFmtId="38" fontId="10" fillId="12" borderId="23" xfId="0" applyNumberFormat="1" applyFont="1" applyFill="1" applyBorder="1" applyAlignment="1">
      <alignment horizontal="right" vertical="center" shrinkToFit="1"/>
    </xf>
    <xf numFmtId="38" fontId="10" fillId="12" borderId="31" xfId="0" applyNumberFormat="1" applyFont="1" applyFill="1" applyBorder="1" applyAlignment="1">
      <alignment horizontal="right" vertical="center" shrinkToFit="1"/>
    </xf>
    <xf numFmtId="0" fontId="63" fillId="27" borderId="224" xfId="0" applyFont="1" applyFill="1" applyBorder="1" applyAlignment="1">
      <alignment horizontal="left" vertical="center" shrinkToFit="1"/>
    </xf>
    <xf numFmtId="0" fontId="57" fillId="27" borderId="224" xfId="0" applyFont="1" applyFill="1" applyBorder="1" applyAlignment="1">
      <alignment horizontal="left" vertical="center" shrinkToFit="1"/>
    </xf>
    <xf numFmtId="38" fontId="10" fillId="0" borderId="23" xfId="0" applyNumberFormat="1" applyFont="1" applyFill="1" applyBorder="1" applyAlignment="1">
      <alignment horizontal="right" vertical="center" shrinkToFit="1"/>
    </xf>
    <xf numFmtId="38" fontId="10" fillId="0" borderId="31" xfId="0" applyNumberFormat="1" applyFont="1" applyFill="1" applyBorder="1" applyAlignment="1">
      <alignment horizontal="right" vertical="center" shrinkToFit="1"/>
    </xf>
    <xf numFmtId="0" fontId="10" fillId="27" borderId="52" xfId="0" applyFont="1" applyFill="1" applyBorder="1" applyAlignment="1">
      <alignment horizontal="left" vertical="center" shrinkToFit="1"/>
    </xf>
    <xf numFmtId="194" fontId="10" fillId="0" borderId="182" xfId="0" applyNumberFormat="1" applyFont="1" applyFill="1" applyBorder="1" applyAlignment="1">
      <alignment vertical="center" shrinkToFit="1"/>
    </xf>
    <xf numFmtId="10" fontId="10" fillId="0" borderId="23" xfId="0" applyNumberFormat="1" applyFont="1" applyFill="1" applyBorder="1" applyAlignment="1">
      <alignment horizontal="right" vertical="center" shrinkToFit="1"/>
    </xf>
    <xf numFmtId="0" fontId="10" fillId="32" borderId="224" xfId="0" applyFont="1" applyFill="1" applyBorder="1" applyAlignment="1">
      <alignment horizontal="left" vertical="center" shrinkToFit="1"/>
    </xf>
    <xf numFmtId="0" fontId="10" fillId="27" borderId="224" xfId="0" quotePrefix="1" applyFont="1" applyFill="1" applyBorder="1" applyAlignment="1">
      <alignment horizontal="left" vertical="center" shrinkToFit="1"/>
    </xf>
    <xf numFmtId="0" fontId="19" fillId="27" borderId="224" xfId="0" applyFont="1" applyFill="1" applyBorder="1" applyAlignment="1">
      <alignment horizontal="left" vertical="center"/>
    </xf>
    <xf numFmtId="0" fontId="19" fillId="32" borderId="224" xfId="0" applyFont="1" applyFill="1" applyBorder="1" applyAlignment="1">
      <alignment horizontal="left" vertical="center"/>
    </xf>
    <xf numFmtId="38" fontId="10" fillId="21" borderId="23" xfId="0" applyNumberFormat="1" applyFont="1" applyFill="1" applyBorder="1" applyAlignment="1">
      <alignment horizontal="right" vertical="center" shrinkToFit="1"/>
    </xf>
    <xf numFmtId="38" fontId="10" fillId="21" borderId="31" xfId="0" applyNumberFormat="1" applyFont="1" applyFill="1" applyBorder="1" applyAlignment="1">
      <alignment horizontal="right" vertical="center" shrinkToFit="1"/>
    </xf>
    <xf numFmtId="0" fontId="5" fillId="27" borderId="224" xfId="0" applyFont="1" applyFill="1" applyBorder="1" applyAlignment="1">
      <alignment horizontal="left" vertical="center" shrinkToFit="1"/>
    </xf>
    <xf numFmtId="0" fontId="5" fillId="27" borderId="23" xfId="0" applyFont="1" applyFill="1" applyBorder="1" applyAlignment="1">
      <alignment horizontal="right" vertical="center"/>
    </xf>
    <xf numFmtId="38" fontId="10" fillId="29" borderId="23" xfId="0" applyNumberFormat="1" applyFont="1" applyFill="1" applyBorder="1" applyAlignment="1">
      <alignment horizontal="right" vertical="center" shrinkToFit="1"/>
    </xf>
    <xf numFmtId="38" fontId="10" fillId="29" borderId="31" xfId="0" applyNumberFormat="1" applyFont="1" applyFill="1" applyBorder="1" applyAlignment="1">
      <alignment horizontal="right" vertical="center" shrinkToFit="1"/>
    </xf>
    <xf numFmtId="0" fontId="5" fillId="32" borderId="224" xfId="0" applyFont="1" applyFill="1" applyBorder="1" applyAlignment="1">
      <alignment horizontal="left" vertical="center" shrinkToFit="1"/>
    </xf>
    <xf numFmtId="0" fontId="19" fillId="32" borderId="162" xfId="0" applyFont="1" applyFill="1" applyBorder="1" applyAlignment="1">
      <alignment horizontal="left" vertical="center"/>
    </xf>
    <xf numFmtId="0" fontId="10" fillId="27" borderId="162" xfId="0" applyFont="1" applyFill="1" applyBorder="1" applyAlignment="1">
      <alignment horizontal="left" vertical="center" shrinkToFit="1"/>
    </xf>
    <xf numFmtId="38" fontId="10" fillId="27" borderId="87" xfId="0" applyNumberFormat="1" applyFont="1" applyFill="1" applyBorder="1" applyAlignment="1">
      <alignment horizontal="right" vertical="center"/>
    </xf>
    <xf numFmtId="38" fontId="10" fillId="21" borderId="87" xfId="0" applyNumberFormat="1" applyFont="1" applyFill="1" applyBorder="1" applyAlignment="1">
      <alignment horizontal="right" vertical="center" shrinkToFit="1"/>
    </xf>
    <xf numFmtId="0" fontId="5" fillId="0" borderId="0" xfId="0" applyFont="1" applyFill="1" applyBorder="1" applyAlignment="1">
      <alignment vertical="center"/>
    </xf>
    <xf numFmtId="0" fontId="58" fillId="0" borderId="0" xfId="0" applyFont="1" applyFill="1" applyBorder="1" applyAlignment="1">
      <alignment horizontal="right" vertical="center"/>
    </xf>
    <xf numFmtId="0" fontId="60" fillId="0" borderId="0" xfId="0" applyFont="1" applyFill="1" applyBorder="1" applyAlignment="1">
      <alignment horizontal="center" vertical="center"/>
    </xf>
    <xf numFmtId="0" fontId="58" fillId="0" borderId="0" xfId="0" applyFont="1" applyFill="1" applyBorder="1" applyAlignment="1">
      <alignment horizontal="center" vertical="center"/>
    </xf>
    <xf numFmtId="0" fontId="58" fillId="0" borderId="0" xfId="0" applyFont="1" applyFill="1" applyBorder="1" applyAlignment="1">
      <alignment horizontal="right" vertical="center" shrinkToFit="1"/>
    </xf>
    <xf numFmtId="0" fontId="58" fillId="33" borderId="206" xfId="0" applyFont="1" applyFill="1" applyBorder="1" applyAlignment="1">
      <alignment horizontal="center" vertical="center" shrinkToFit="1"/>
    </xf>
    <xf numFmtId="0" fontId="58" fillId="0" borderId="0" xfId="0" applyFont="1" applyFill="1" applyBorder="1" applyAlignment="1">
      <alignment horizontal="center" vertical="center" shrinkToFit="1"/>
    </xf>
    <xf numFmtId="0" fontId="58" fillId="0" borderId="0" xfId="0" applyFont="1" applyFill="1" applyBorder="1" applyAlignment="1">
      <alignment vertical="center"/>
    </xf>
    <xf numFmtId="0" fontId="61" fillId="0" borderId="0" xfId="0" applyFont="1" applyFill="1" applyBorder="1" applyAlignment="1">
      <alignment horizontal="left" vertical="center"/>
    </xf>
    <xf numFmtId="0" fontId="58" fillId="0" borderId="206" xfId="0" applyFont="1" applyFill="1" applyBorder="1" applyAlignment="1">
      <alignment horizontal="right" vertical="center" shrinkToFit="1"/>
    </xf>
    <xf numFmtId="0" fontId="58" fillId="0" borderId="189" xfId="0" applyFont="1" applyFill="1" applyBorder="1" applyAlignment="1">
      <alignment horizontal="right" vertical="center"/>
    </xf>
    <xf numFmtId="0" fontId="58" fillId="0" borderId="190" xfId="0" applyFont="1" applyFill="1" applyBorder="1" applyAlignment="1">
      <alignment horizontal="right" vertical="center"/>
    </xf>
    <xf numFmtId="0" fontId="58" fillId="0" borderId="193" xfId="0" applyFont="1" applyFill="1" applyBorder="1" applyAlignment="1">
      <alignment horizontal="center" vertical="center"/>
    </xf>
    <xf numFmtId="0" fontId="58" fillId="0" borderId="193" xfId="0" applyFont="1" applyFill="1" applyBorder="1" applyAlignment="1">
      <alignment horizontal="center" vertical="center" shrinkToFit="1"/>
    </xf>
    <xf numFmtId="0" fontId="58" fillId="0" borderId="205" xfId="0" applyFont="1" applyFill="1" applyBorder="1" applyAlignment="1">
      <alignment horizontal="center" vertical="center" shrinkToFit="1"/>
    </xf>
    <xf numFmtId="38" fontId="58" fillId="0" borderId="91" xfId="0" applyNumberFormat="1" applyFont="1" applyFill="1" applyBorder="1" applyAlignment="1">
      <alignment horizontal="right" vertical="center"/>
    </xf>
    <xf numFmtId="38" fontId="58" fillId="0" borderId="91" xfId="0" applyNumberFormat="1" applyFont="1" applyFill="1" applyBorder="1" applyAlignment="1">
      <alignment horizontal="right" vertical="center" shrinkToFit="1"/>
    </xf>
    <xf numFmtId="38" fontId="58" fillId="0" borderId="102" xfId="0" applyNumberFormat="1" applyFont="1" applyFill="1" applyBorder="1" applyAlignment="1">
      <alignment horizontal="right" vertical="center" shrinkToFit="1"/>
    </xf>
    <xf numFmtId="38" fontId="58" fillId="0" borderId="0" xfId="0" applyNumberFormat="1" applyFont="1" applyFill="1" applyBorder="1" applyAlignment="1">
      <alignment horizontal="right" vertical="center" shrinkToFit="1"/>
    </xf>
    <xf numFmtId="0" fontId="58" fillId="0" borderId="85" xfId="0" applyFont="1" applyFill="1" applyBorder="1" applyAlignment="1">
      <alignment vertical="center"/>
    </xf>
    <xf numFmtId="0" fontId="58" fillId="0" borderId="167" xfId="0" applyFont="1" applyFill="1" applyBorder="1" applyAlignment="1">
      <alignment vertical="center" shrinkToFit="1"/>
    </xf>
    <xf numFmtId="0" fontId="58" fillId="0" borderId="194" xfId="0" applyFont="1" applyFill="1" applyBorder="1" applyAlignment="1">
      <alignment vertical="center" shrinkToFit="1"/>
    </xf>
    <xf numFmtId="38" fontId="57" fillId="0" borderId="193" xfId="0" applyNumberFormat="1" applyFont="1" applyFill="1" applyBorder="1" applyAlignment="1">
      <alignment horizontal="right" vertical="center"/>
    </xf>
    <xf numFmtId="38" fontId="57" fillId="0" borderId="193" xfId="0" applyNumberFormat="1" applyFont="1" applyFill="1" applyBorder="1" applyAlignment="1">
      <alignment horizontal="right" vertical="center" shrinkToFit="1"/>
    </xf>
    <xf numFmtId="38" fontId="57" fillId="0" borderId="205" xfId="0" applyNumberFormat="1" applyFont="1" applyFill="1" applyBorder="1" applyAlignment="1">
      <alignment horizontal="right" vertical="center" shrinkToFit="1"/>
    </xf>
    <xf numFmtId="38" fontId="55" fillId="0" borderId="0" xfId="0" applyNumberFormat="1" applyFont="1" applyFill="1" applyBorder="1" applyAlignment="1">
      <alignment horizontal="right" vertical="center" shrinkToFit="1"/>
    </xf>
    <xf numFmtId="0" fontId="58" fillId="0" borderId="23" xfId="0" applyFont="1" applyFill="1" applyBorder="1" applyAlignment="1">
      <alignment horizontal="left" vertical="center" shrinkToFit="1"/>
    </xf>
    <xf numFmtId="193" fontId="58" fillId="0" borderId="23" xfId="0" applyNumberFormat="1" applyFont="1" applyFill="1" applyBorder="1" applyAlignment="1">
      <alignment horizontal="right" vertical="center" shrinkToFit="1"/>
    </xf>
    <xf numFmtId="10" fontId="58" fillId="0" borderId="23" xfId="0" quotePrefix="1" applyNumberFormat="1" applyFont="1" applyFill="1" applyBorder="1" applyAlignment="1">
      <alignment horizontal="center" vertical="center" shrinkToFit="1"/>
    </xf>
    <xf numFmtId="38" fontId="57" fillId="0" borderId="23" xfId="0" applyNumberFormat="1" applyFont="1" applyFill="1" applyBorder="1" applyAlignment="1">
      <alignment horizontal="right" vertical="center"/>
    </xf>
    <xf numFmtId="38" fontId="57" fillId="0" borderId="23" xfId="0" applyNumberFormat="1" applyFont="1" applyFill="1" applyBorder="1" applyAlignment="1">
      <alignment horizontal="right" vertical="center" shrinkToFit="1"/>
    </xf>
    <xf numFmtId="38" fontId="57" fillId="0" borderId="31" xfId="0" applyNumberFormat="1" applyFont="1" applyFill="1" applyBorder="1" applyAlignment="1">
      <alignment horizontal="right" vertical="center" shrinkToFit="1"/>
    </xf>
    <xf numFmtId="10" fontId="57" fillId="0" borderId="23" xfId="0" applyNumberFormat="1" applyFont="1" applyFill="1" applyBorder="1" applyAlignment="1">
      <alignment horizontal="right" vertical="center" shrinkToFit="1"/>
    </xf>
    <xf numFmtId="10" fontId="57" fillId="12" borderId="23" xfId="0" applyNumberFormat="1" applyFont="1" applyFill="1" applyBorder="1" applyAlignment="1">
      <alignment horizontal="right" vertical="center" shrinkToFit="1"/>
    </xf>
    <xf numFmtId="193" fontId="57" fillId="0" borderId="23" xfId="0" applyNumberFormat="1" applyFont="1" applyFill="1" applyBorder="1" applyAlignment="1">
      <alignment horizontal="right" vertical="center" shrinkToFit="1"/>
    </xf>
    <xf numFmtId="0" fontId="58" fillId="27" borderId="23" xfId="0" quotePrefix="1" applyFont="1" applyFill="1" applyBorder="1" applyAlignment="1">
      <alignment horizontal="left" vertical="center" shrinkToFit="1"/>
    </xf>
    <xf numFmtId="10" fontId="58" fillId="0" borderId="23" xfId="0" applyNumberFormat="1" applyFont="1" applyFill="1" applyBorder="1" applyAlignment="1">
      <alignment horizontal="right" vertical="center" shrinkToFit="1"/>
    </xf>
    <xf numFmtId="38" fontId="58" fillId="0" borderId="23" xfId="0" applyNumberFormat="1" applyFont="1" applyFill="1" applyBorder="1" applyAlignment="1">
      <alignment horizontal="right" vertical="center" shrinkToFit="1"/>
    </xf>
    <xf numFmtId="38" fontId="58" fillId="0" borderId="31" xfId="0" applyNumberFormat="1" applyFont="1" applyFill="1" applyBorder="1" applyAlignment="1">
      <alignment horizontal="right" vertical="center" shrinkToFit="1"/>
    </xf>
    <xf numFmtId="49" fontId="57" fillId="0" borderId="87" xfId="0" applyNumberFormat="1" applyFont="1" applyFill="1" applyBorder="1" applyAlignment="1">
      <alignment horizontal="left" vertical="center" shrinkToFit="1"/>
    </xf>
    <xf numFmtId="193" fontId="58" fillId="0" borderId="87" xfId="0" applyNumberFormat="1" applyFont="1" applyFill="1" applyBorder="1" applyAlignment="1">
      <alignment horizontal="right" vertical="center" shrinkToFit="1"/>
    </xf>
    <xf numFmtId="10" fontId="58" fillId="0" borderId="87" xfId="0" applyNumberFormat="1" applyFont="1" applyFill="1" applyBorder="1" applyAlignment="1">
      <alignment horizontal="right" vertical="center" shrinkToFit="1"/>
    </xf>
    <xf numFmtId="38" fontId="57" fillId="21" borderId="87" xfId="0" applyNumberFormat="1" applyFont="1" applyFill="1" applyBorder="1" applyAlignment="1">
      <alignment horizontal="right" vertical="center"/>
    </xf>
    <xf numFmtId="38" fontId="57" fillId="21" borderId="87" xfId="0" applyNumberFormat="1" applyFont="1" applyFill="1" applyBorder="1" applyAlignment="1">
      <alignment horizontal="right" vertical="center" shrinkToFit="1"/>
    </xf>
    <xf numFmtId="38" fontId="57" fillId="21" borderId="100" xfId="0" applyNumberFormat="1" applyFont="1" applyFill="1" applyBorder="1" applyAlignment="1">
      <alignment horizontal="right" vertical="center" shrinkToFit="1"/>
    </xf>
    <xf numFmtId="0" fontId="58" fillId="0" borderId="189" xfId="0" applyFont="1" applyFill="1" applyBorder="1" applyAlignment="1">
      <alignment horizontal="center" vertical="center" shrinkToFit="1"/>
    </xf>
    <xf numFmtId="0" fontId="58" fillId="27" borderId="190" xfId="0" applyFont="1" applyFill="1" applyBorder="1" applyAlignment="1">
      <alignment horizontal="left" vertical="center" shrinkToFit="1"/>
    </xf>
    <xf numFmtId="38" fontId="58" fillId="0" borderId="193" xfId="0" applyNumberFormat="1" applyFont="1" applyFill="1" applyBorder="1" applyAlignment="1">
      <alignment horizontal="right" vertical="center"/>
    </xf>
    <xf numFmtId="38" fontId="58" fillId="0" borderId="193" xfId="0" applyNumberFormat="1" applyFont="1" applyFill="1" applyBorder="1" applyAlignment="1">
      <alignment horizontal="right" vertical="center" shrinkToFit="1"/>
    </xf>
    <xf numFmtId="38" fontId="58" fillId="0" borderId="205" xfId="0" applyNumberFormat="1" applyFont="1" applyFill="1" applyBorder="1" applyAlignment="1">
      <alignment horizontal="right" vertical="center" shrinkToFit="1"/>
    </xf>
    <xf numFmtId="0" fontId="58" fillId="0" borderId="193" xfId="0" applyFont="1" applyFill="1" applyBorder="1" applyAlignment="1">
      <alignment horizontal="left" vertical="center" shrinkToFit="1"/>
    </xf>
    <xf numFmtId="38" fontId="62" fillId="0" borderId="84" xfId="0" applyNumberFormat="1" applyFont="1" applyFill="1" applyBorder="1" applyAlignment="1">
      <alignment horizontal="right" vertical="center"/>
    </xf>
    <xf numFmtId="10" fontId="58" fillId="0" borderId="0" xfId="0" applyNumberFormat="1" applyFont="1" applyFill="1" applyBorder="1" applyAlignment="1">
      <alignment horizontal="left" vertical="center" shrinkToFit="1"/>
    </xf>
    <xf numFmtId="0" fontId="58" fillId="0" borderId="261" xfId="0" applyFont="1" applyFill="1" applyBorder="1" applyAlignment="1">
      <alignment horizontal="left" vertical="center" shrinkToFit="1"/>
    </xf>
    <xf numFmtId="193" fontId="58" fillId="0" borderId="261" xfId="0" applyNumberFormat="1" applyFont="1" applyFill="1" applyBorder="1" applyAlignment="1">
      <alignment vertical="center" shrinkToFit="1"/>
    </xf>
    <xf numFmtId="38" fontId="58" fillId="0" borderId="23" xfId="0" applyNumberFormat="1" applyFont="1" applyFill="1" applyBorder="1" applyAlignment="1">
      <alignment horizontal="right" vertical="center"/>
    </xf>
    <xf numFmtId="38" fontId="58" fillId="0" borderId="261" xfId="0" applyNumberFormat="1" applyFont="1" applyFill="1" applyBorder="1" applyAlignment="1">
      <alignment horizontal="right" vertical="center" shrinkToFit="1"/>
    </xf>
    <xf numFmtId="0" fontId="58" fillId="0" borderId="129" xfId="0" applyFont="1" applyFill="1" applyBorder="1" applyAlignment="1">
      <alignment horizontal="left" vertical="center" shrinkToFit="1"/>
    </xf>
    <xf numFmtId="0" fontId="58" fillId="0" borderId="210" xfId="0" applyFont="1" applyFill="1" applyBorder="1" applyAlignment="1">
      <alignment vertical="center"/>
    </xf>
    <xf numFmtId="38" fontId="62" fillId="0" borderId="23" xfId="0" applyNumberFormat="1" applyFont="1" applyFill="1" applyBorder="1" applyAlignment="1">
      <alignment horizontal="right" vertical="center"/>
    </xf>
    <xf numFmtId="10" fontId="58" fillId="0" borderId="23" xfId="0" applyNumberFormat="1" applyFont="1" applyFill="1" applyBorder="1" applyAlignment="1">
      <alignment horizontal="left" vertical="center" shrinkToFit="1"/>
    </xf>
    <xf numFmtId="10" fontId="58" fillId="0" borderId="31" xfId="0" applyNumberFormat="1" applyFont="1" applyFill="1" applyBorder="1" applyAlignment="1">
      <alignment horizontal="left" vertical="center" shrinkToFit="1"/>
    </xf>
    <xf numFmtId="38" fontId="58" fillId="0" borderId="266" xfId="0" applyNumberFormat="1" applyFont="1" applyFill="1" applyBorder="1" applyAlignment="1">
      <alignment horizontal="right" vertical="center" shrinkToFit="1"/>
    </xf>
    <xf numFmtId="10" fontId="58" fillId="0" borderId="261" xfId="0" applyNumberFormat="1" applyFont="1" applyFill="1" applyBorder="1" applyAlignment="1">
      <alignment horizontal="center" vertical="center"/>
    </xf>
    <xf numFmtId="0" fontId="58" fillId="27" borderId="198" xfId="0" applyFont="1" applyFill="1" applyBorder="1" applyAlignment="1">
      <alignment horizontal="center" vertical="center" textRotation="255"/>
    </xf>
    <xf numFmtId="38" fontId="57" fillId="0" borderId="261" xfId="0" applyNumberFormat="1" applyFont="1" applyFill="1" applyBorder="1" applyAlignment="1">
      <alignment horizontal="right" vertical="center" shrinkToFit="1"/>
    </xf>
    <xf numFmtId="193" fontId="58" fillId="0" borderId="23" xfId="0" applyNumberFormat="1" applyFont="1" applyFill="1" applyBorder="1" applyAlignment="1">
      <alignment vertical="center" shrinkToFit="1"/>
    </xf>
    <xf numFmtId="193" fontId="58" fillId="0" borderId="270" xfId="0" applyNumberFormat="1" applyFont="1" applyFill="1" applyBorder="1" applyAlignment="1">
      <alignment vertical="center" shrinkToFit="1"/>
    </xf>
    <xf numFmtId="10" fontId="58" fillId="0" borderId="270" xfId="0" applyNumberFormat="1" applyFont="1" applyFill="1" applyBorder="1" applyAlignment="1">
      <alignment horizontal="right" vertical="center" shrinkToFit="1"/>
    </xf>
    <xf numFmtId="0" fontId="58" fillId="0" borderId="195" xfId="0" applyFont="1" applyFill="1" applyBorder="1" applyAlignment="1">
      <alignment horizontal="right" vertical="center"/>
    </xf>
    <xf numFmtId="0" fontId="58" fillId="0" borderId="196" xfId="0" applyFont="1" applyFill="1" applyBorder="1" applyAlignment="1">
      <alignment horizontal="right" vertical="center"/>
    </xf>
    <xf numFmtId="0" fontId="58" fillId="0" borderId="196" xfId="0" applyFont="1" applyFill="1" applyBorder="1" applyAlignment="1">
      <alignment horizontal="left" vertical="center"/>
    </xf>
    <xf numFmtId="0" fontId="58" fillId="0" borderId="197" xfId="0" applyFont="1" applyFill="1" applyBorder="1" applyAlignment="1">
      <alignment horizontal="left" vertical="center"/>
    </xf>
    <xf numFmtId="0" fontId="58" fillId="0" borderId="197" xfId="0" applyFont="1" applyFill="1" applyBorder="1" applyAlignment="1">
      <alignment horizontal="right" vertical="center"/>
    </xf>
    <xf numFmtId="38" fontId="58" fillId="0" borderId="197" xfId="0" applyNumberFormat="1" applyFont="1" applyFill="1" applyBorder="1" applyAlignment="1">
      <alignment horizontal="right" vertical="center"/>
    </xf>
    <xf numFmtId="38" fontId="58" fillId="0" borderId="197" xfId="0" applyNumberFormat="1" applyFont="1" applyFill="1" applyBorder="1" applyAlignment="1">
      <alignment horizontal="right" vertical="center" shrinkToFit="1"/>
    </xf>
    <xf numFmtId="0" fontId="10" fillId="27" borderId="0" xfId="0" applyFont="1" applyFill="1" applyBorder="1" applyAlignment="1">
      <alignment horizontal="center" vertical="center" textRotation="255"/>
    </xf>
    <xf numFmtId="0" fontId="5" fillId="27" borderId="0" xfId="0" applyFont="1" applyFill="1" applyBorder="1" applyAlignment="1">
      <alignment horizontal="left" vertical="center" shrinkToFit="1"/>
    </xf>
    <xf numFmtId="38" fontId="10" fillId="27" borderId="0" xfId="0" applyNumberFormat="1" applyFont="1" applyFill="1" applyBorder="1" applyAlignment="1">
      <alignment horizontal="right" vertical="center"/>
    </xf>
    <xf numFmtId="38" fontId="10" fillId="12" borderId="0" xfId="0" applyNumberFormat="1" applyFont="1" applyFill="1" applyBorder="1" applyAlignment="1">
      <alignment horizontal="right" vertical="center" shrinkToFit="1"/>
    </xf>
    <xf numFmtId="0" fontId="10" fillId="33" borderId="0" xfId="0" applyFont="1" applyFill="1" applyBorder="1" applyAlignment="1">
      <alignment horizontal="center" vertical="center" shrinkToFit="1"/>
    </xf>
    <xf numFmtId="0" fontId="73" fillId="0" borderId="0" xfId="0" applyFont="1" applyFill="1" applyBorder="1" applyAlignment="1">
      <alignment horizontal="left" vertical="center"/>
    </xf>
    <xf numFmtId="0" fontId="10" fillId="0" borderId="189" xfId="0" applyFont="1" applyFill="1" applyBorder="1" applyAlignment="1">
      <alignment horizontal="right" vertical="center"/>
    </xf>
    <xf numFmtId="0" fontId="10" fillId="0" borderId="190" xfId="0" applyFont="1" applyFill="1" applyBorder="1" applyAlignment="1">
      <alignment horizontal="right" vertical="center"/>
    </xf>
    <xf numFmtId="0" fontId="10" fillId="0" borderId="193" xfId="0" applyFont="1" applyFill="1" applyBorder="1" applyAlignment="1">
      <alignment horizontal="center" vertical="center"/>
    </xf>
    <xf numFmtId="0" fontId="10" fillId="0" borderId="193" xfId="0" applyFont="1" applyFill="1" applyBorder="1" applyAlignment="1">
      <alignment horizontal="center" vertical="center" shrinkToFit="1"/>
    </xf>
    <xf numFmtId="0" fontId="10" fillId="0" borderId="276" xfId="0" applyFont="1" applyFill="1" applyBorder="1" applyAlignment="1">
      <alignment horizontal="center" vertical="center" shrinkToFit="1"/>
    </xf>
    <xf numFmtId="38" fontId="10" fillId="0" borderId="91" xfId="0" applyNumberFormat="1" applyFont="1" applyFill="1" applyBorder="1" applyAlignment="1">
      <alignment horizontal="right" vertical="center"/>
    </xf>
    <xf numFmtId="38" fontId="10" fillId="0" borderId="91" xfId="0" applyNumberFormat="1" applyFont="1" applyFill="1" applyBorder="1" applyAlignment="1">
      <alignment horizontal="right" vertical="center" shrinkToFit="1"/>
    </xf>
    <xf numFmtId="38" fontId="10" fillId="0" borderId="207" xfId="0" applyNumberFormat="1" applyFont="1" applyFill="1" applyBorder="1" applyAlignment="1">
      <alignment horizontal="right" vertical="center" shrinkToFit="1"/>
    </xf>
    <xf numFmtId="0" fontId="12" fillId="0" borderId="191" xfId="0" applyFont="1" applyFill="1" applyBorder="1" applyAlignment="1">
      <alignment horizontal="left" vertical="center" shrinkToFit="1"/>
    </xf>
    <xf numFmtId="0" fontId="10" fillId="0" borderId="85" xfId="0" applyFont="1" applyFill="1" applyBorder="1" applyAlignment="1">
      <alignment vertical="center"/>
    </xf>
    <xf numFmtId="0" fontId="10" fillId="0" borderId="194" xfId="0" applyFont="1" applyFill="1" applyBorder="1" applyAlignment="1">
      <alignment vertical="center"/>
    </xf>
    <xf numFmtId="10" fontId="10" fillId="0" borderId="193" xfId="0" applyNumberFormat="1" applyFont="1" applyFill="1" applyBorder="1" applyAlignment="1">
      <alignment horizontal="right" vertical="center" shrinkToFit="1"/>
    </xf>
    <xf numFmtId="38" fontId="10" fillId="0" borderId="193" xfId="0" applyNumberFormat="1" applyFont="1" applyFill="1" applyBorder="1" applyAlignment="1">
      <alignment horizontal="right" vertical="center"/>
    </xf>
    <xf numFmtId="38" fontId="57" fillId="21" borderId="193" xfId="0" applyNumberFormat="1" applyFont="1" applyFill="1" applyBorder="1" applyAlignment="1">
      <alignment horizontal="right" vertical="center" shrinkToFit="1"/>
    </xf>
    <xf numFmtId="0" fontId="10" fillId="0" borderId="267" xfId="0" applyFont="1" applyFill="1" applyBorder="1" applyAlignment="1">
      <alignment horizontal="center" vertical="center" shrinkToFit="1"/>
    </xf>
    <xf numFmtId="10" fontId="10" fillId="0" borderId="84" xfId="0" quotePrefix="1" applyNumberFormat="1" applyFont="1" applyFill="1" applyBorder="1" applyAlignment="1">
      <alignment horizontal="center" vertical="center" shrinkToFit="1"/>
    </xf>
    <xf numFmtId="38" fontId="10" fillId="0" borderId="84" xfId="0" applyNumberFormat="1" applyFont="1" applyFill="1" applyBorder="1" applyAlignment="1">
      <alignment horizontal="right" vertical="center" shrinkToFit="1"/>
    </xf>
    <xf numFmtId="38" fontId="10" fillId="0" borderId="185" xfId="0" applyNumberFormat="1" applyFont="1" applyFill="1" applyBorder="1" applyAlignment="1">
      <alignment horizontal="right" vertical="center" shrinkToFit="1"/>
    </xf>
    <xf numFmtId="0" fontId="10" fillId="0" borderId="148" xfId="0" applyFont="1" applyFill="1" applyBorder="1" applyAlignment="1">
      <alignment horizontal="center" vertical="center" shrinkToFit="1"/>
    </xf>
    <xf numFmtId="194" fontId="10" fillId="0" borderId="23" xfId="0" applyNumberFormat="1" applyFont="1" applyFill="1" applyBorder="1" applyAlignment="1">
      <alignment horizontal="right" vertical="center" shrinkToFit="1"/>
    </xf>
    <xf numFmtId="10" fontId="10" fillId="0" borderId="23" xfId="0" quotePrefix="1" applyNumberFormat="1" applyFont="1" applyFill="1" applyBorder="1" applyAlignment="1">
      <alignment horizontal="center" vertical="center" shrinkToFit="1"/>
    </xf>
    <xf numFmtId="38" fontId="10" fillId="0" borderId="23" xfId="0" applyNumberFormat="1" applyFont="1" applyFill="1" applyBorder="1" applyAlignment="1">
      <alignment horizontal="right" vertical="center"/>
    </xf>
    <xf numFmtId="0" fontId="25" fillId="27" borderId="224" xfId="0" applyFont="1" applyFill="1" applyBorder="1" applyAlignment="1">
      <alignment horizontal="left" vertical="center"/>
    </xf>
    <xf numFmtId="0" fontId="25" fillId="27" borderId="224" xfId="0" applyFont="1" applyFill="1" applyBorder="1" applyAlignment="1">
      <alignment horizontal="left" vertical="center" shrinkToFit="1"/>
    </xf>
    <xf numFmtId="10" fontId="10" fillId="12" borderId="23" xfId="0" applyNumberFormat="1" applyFont="1" applyFill="1" applyBorder="1" applyAlignment="1">
      <alignment horizontal="right" vertical="center" shrinkToFit="1"/>
    </xf>
    <xf numFmtId="0" fontId="10" fillId="27" borderId="181" xfId="0" applyFont="1" applyFill="1" applyBorder="1" applyAlignment="1">
      <alignment horizontal="center" vertical="center" shrinkToFit="1"/>
    </xf>
    <xf numFmtId="0" fontId="55" fillId="27" borderId="87" xfId="0" applyFont="1" applyFill="1" applyBorder="1" applyAlignment="1">
      <alignment horizontal="left" vertical="center" shrinkToFit="1"/>
    </xf>
    <xf numFmtId="38" fontId="10" fillId="0" borderId="87" xfId="0" applyNumberFormat="1" applyFont="1" applyFill="1" applyBorder="1" applyAlignment="1">
      <alignment horizontal="right" vertical="center" shrinkToFit="1"/>
    </xf>
    <xf numFmtId="0" fontId="12" fillId="0" borderId="14" xfId="0" applyFont="1" applyFill="1" applyBorder="1" applyAlignment="1">
      <alignment horizontal="left" vertical="center"/>
    </xf>
    <xf numFmtId="0" fontId="12" fillId="0" borderId="15" xfId="0" applyFont="1" applyFill="1" applyBorder="1" applyAlignment="1">
      <alignment horizontal="left" vertical="center"/>
    </xf>
    <xf numFmtId="0" fontId="12" fillId="0" borderId="15" xfId="0" applyFont="1" applyFill="1" applyBorder="1" applyAlignment="1">
      <alignment horizontal="left" vertical="center" shrinkToFit="1"/>
    </xf>
    <xf numFmtId="0" fontId="10" fillId="0" borderId="15" xfId="0" applyFont="1" applyFill="1" applyBorder="1" applyAlignment="1">
      <alignment vertical="center"/>
    </xf>
    <xf numFmtId="38" fontId="10" fillId="0" borderId="15" xfId="0" applyNumberFormat="1" applyFont="1" applyFill="1" applyBorder="1" applyAlignment="1">
      <alignment horizontal="right" vertical="center"/>
    </xf>
    <xf numFmtId="38" fontId="10" fillId="0" borderId="15" xfId="0" applyNumberFormat="1" applyFont="1" applyFill="1" applyBorder="1" applyAlignment="1">
      <alignment horizontal="right" vertical="center" shrinkToFit="1"/>
    </xf>
    <xf numFmtId="38" fontId="10" fillId="0" borderId="132" xfId="0" applyNumberFormat="1" applyFont="1" applyFill="1" applyBorder="1" applyAlignment="1">
      <alignment horizontal="right" vertical="center" shrinkToFit="1"/>
    </xf>
    <xf numFmtId="0" fontId="5" fillId="0" borderId="211" xfId="0" applyFont="1" applyFill="1" applyBorder="1" applyAlignment="1">
      <alignment horizontal="left" vertical="center" shrinkToFit="1"/>
    </xf>
    <xf numFmtId="38" fontId="19" fillId="0" borderId="84" xfId="0" applyNumberFormat="1" applyFont="1" applyFill="1" applyBorder="1" applyAlignment="1">
      <alignment horizontal="right" vertical="center"/>
    </xf>
    <xf numFmtId="0" fontId="5" fillId="0" borderId="259" xfId="0" applyFont="1" applyFill="1" applyBorder="1" applyAlignment="1">
      <alignment horizontal="left" vertical="center" shrinkToFit="1"/>
    </xf>
    <xf numFmtId="193" fontId="56" fillId="0" borderId="261" xfId="0" applyNumberFormat="1" applyFont="1" applyFill="1" applyBorder="1" applyAlignment="1">
      <alignment vertical="center" shrinkToFit="1"/>
    </xf>
    <xf numFmtId="38" fontId="5" fillId="0" borderId="261" xfId="0" applyNumberFormat="1" applyFont="1" applyFill="1" applyBorder="1" applyAlignment="1">
      <alignment horizontal="right" vertical="center" shrinkToFit="1"/>
    </xf>
    <xf numFmtId="38" fontId="5" fillId="0" borderId="266" xfId="0" applyNumberFormat="1" applyFont="1" applyFill="1" applyBorder="1" applyAlignment="1">
      <alignment horizontal="right" vertical="center" shrinkToFit="1"/>
    </xf>
    <xf numFmtId="0" fontId="5" fillId="0" borderId="178" xfId="0" applyFont="1" applyFill="1" applyBorder="1" applyAlignment="1">
      <alignment horizontal="left" vertical="center" shrinkToFit="1"/>
    </xf>
    <xf numFmtId="38" fontId="19" fillId="0" borderId="23" xfId="0" applyNumberFormat="1" applyFont="1" applyFill="1" applyBorder="1" applyAlignment="1">
      <alignment horizontal="right" vertical="center"/>
    </xf>
    <xf numFmtId="10" fontId="5" fillId="0" borderId="23" xfId="3" applyNumberFormat="1" applyFont="1" applyFill="1" applyBorder="1" applyAlignment="1">
      <alignment horizontal="left" vertical="center" shrinkToFit="1"/>
    </xf>
    <xf numFmtId="10" fontId="5" fillId="0" borderId="31" xfId="3" applyNumberFormat="1" applyFont="1" applyFill="1" applyBorder="1" applyAlignment="1">
      <alignment horizontal="left" vertical="center" shrinkToFit="1"/>
    </xf>
    <xf numFmtId="0" fontId="5" fillId="18" borderId="129" xfId="0" applyFont="1" applyFill="1" applyBorder="1" applyAlignment="1">
      <alignment horizontal="left" vertical="center" shrinkToFit="1"/>
    </xf>
    <xf numFmtId="193" fontId="56" fillId="18" borderId="129" xfId="0" applyNumberFormat="1" applyFont="1" applyFill="1" applyBorder="1" applyAlignment="1">
      <alignment vertical="center" shrinkToFit="1"/>
    </xf>
    <xf numFmtId="10" fontId="5" fillId="18" borderId="23" xfId="0" applyNumberFormat="1" applyFont="1" applyFill="1" applyBorder="1" applyAlignment="1">
      <alignment horizontal="center" vertical="center"/>
    </xf>
    <xf numFmtId="38" fontId="5" fillId="18" borderId="23" xfId="0" applyNumberFormat="1" applyFont="1" applyFill="1" applyBorder="1" applyAlignment="1">
      <alignment horizontal="right" vertical="center"/>
    </xf>
    <xf numFmtId="10" fontId="5" fillId="18" borderId="261" xfId="0" applyNumberFormat="1" applyFont="1" applyFill="1" applyBorder="1" applyAlignment="1">
      <alignment horizontal="left" vertical="center" shrinkToFit="1"/>
    </xf>
    <xf numFmtId="10" fontId="5" fillId="18" borderId="266" xfId="0" applyNumberFormat="1" applyFont="1" applyFill="1" applyBorder="1" applyAlignment="1">
      <alignment horizontal="left" vertical="center" shrinkToFit="1"/>
    </xf>
    <xf numFmtId="0" fontId="5" fillId="18" borderId="130" xfId="0" applyFont="1" applyFill="1" applyBorder="1" applyAlignment="1">
      <alignment horizontal="left" vertical="center" shrinkToFit="1"/>
    </xf>
    <xf numFmtId="193" fontId="56" fillId="18" borderId="130" xfId="0" applyNumberFormat="1" applyFont="1" applyFill="1" applyBorder="1" applyAlignment="1">
      <alignment vertical="center" shrinkToFit="1"/>
    </xf>
    <xf numFmtId="0" fontId="10" fillId="18" borderId="261" xfId="0" applyFont="1" applyFill="1" applyBorder="1" applyAlignment="1">
      <alignment horizontal="left" vertical="center" shrinkToFit="1"/>
    </xf>
    <xf numFmtId="194" fontId="10" fillId="18" borderId="261" xfId="0" applyNumberFormat="1" applyFont="1" applyFill="1" applyBorder="1" applyAlignment="1">
      <alignment vertical="center" shrinkToFit="1"/>
    </xf>
    <xf numFmtId="10" fontId="10" fillId="18" borderId="23" xfId="0" applyNumberFormat="1" applyFont="1" applyFill="1" applyBorder="1" applyAlignment="1">
      <alignment horizontal="right" vertical="center" shrinkToFit="1"/>
    </xf>
    <xf numFmtId="38" fontId="57" fillId="18" borderId="23" xfId="0" applyNumberFormat="1" applyFont="1" applyFill="1" applyBorder="1" applyAlignment="1">
      <alignment horizontal="right" vertical="center"/>
    </xf>
    <xf numFmtId="194" fontId="10" fillId="0" borderId="23" xfId="0" applyNumberFormat="1" applyFont="1" applyFill="1" applyBorder="1" applyAlignment="1">
      <alignment vertical="center" shrinkToFit="1"/>
    </xf>
    <xf numFmtId="10" fontId="55" fillId="0" borderId="23" xfId="0" applyNumberFormat="1" applyFont="1" applyFill="1" applyBorder="1" applyAlignment="1">
      <alignment horizontal="right" vertical="center" shrinkToFit="1"/>
    </xf>
    <xf numFmtId="38" fontId="10" fillId="0" borderId="93" xfId="0" applyNumberFormat="1" applyFont="1" applyFill="1" applyBorder="1" applyAlignment="1">
      <alignment horizontal="right" vertical="center" shrinkToFit="1"/>
    </xf>
    <xf numFmtId="9" fontId="10" fillId="0" borderId="23" xfId="0" applyNumberFormat="1" applyFont="1" applyFill="1" applyBorder="1" applyAlignment="1">
      <alignment horizontal="right" vertical="center" shrinkToFit="1"/>
    </xf>
    <xf numFmtId="0" fontId="55" fillId="27" borderId="130" xfId="0" applyFont="1" applyFill="1" applyBorder="1" applyAlignment="1">
      <alignment vertical="center" shrinkToFit="1"/>
    </xf>
    <xf numFmtId="0" fontId="55" fillId="29" borderId="23" xfId="0" applyFont="1" applyFill="1" applyBorder="1" applyAlignment="1">
      <alignment horizontal="left" vertical="center" shrinkToFit="1"/>
    </xf>
    <xf numFmtId="193" fontId="10" fillId="0" borderId="23" xfId="0" applyNumberFormat="1" applyFont="1" applyFill="1" applyBorder="1" applyAlignment="1">
      <alignment vertical="center" shrinkToFit="1"/>
    </xf>
    <xf numFmtId="38" fontId="5" fillId="29" borderId="23" xfId="0" applyNumberFormat="1" applyFont="1" applyFill="1" applyBorder="1" applyAlignment="1">
      <alignment horizontal="right" vertical="center"/>
    </xf>
    <xf numFmtId="0" fontId="55" fillId="27" borderId="261" xfId="0" applyFont="1" applyFill="1" applyBorder="1" applyAlignment="1">
      <alignment vertical="center" shrinkToFit="1"/>
    </xf>
    <xf numFmtId="0" fontId="65" fillId="29" borderId="23" xfId="0" applyFont="1" applyFill="1" applyBorder="1" applyAlignment="1">
      <alignment horizontal="left" vertical="center" shrinkToFit="1"/>
    </xf>
    <xf numFmtId="0" fontId="10" fillId="27" borderId="178" xfId="0" applyFont="1" applyFill="1" applyBorder="1" applyAlignment="1">
      <alignment horizontal="center" vertical="center" shrinkToFit="1"/>
    </xf>
    <xf numFmtId="0" fontId="55" fillId="27" borderId="129" xfId="0" applyFont="1" applyFill="1" applyBorder="1" applyAlignment="1">
      <alignment horizontal="left" vertical="center" shrinkToFit="1"/>
    </xf>
    <xf numFmtId="194" fontId="10" fillId="0" borderId="129" xfId="0" applyNumberFormat="1" applyFont="1" applyFill="1" applyBorder="1" applyAlignment="1">
      <alignment vertical="center" shrinkToFit="1"/>
    </xf>
    <xf numFmtId="10" fontId="10" fillId="0" borderId="129" xfId="0" applyNumberFormat="1" applyFont="1" applyFill="1" applyBorder="1" applyAlignment="1">
      <alignment horizontal="right" vertical="center" shrinkToFit="1"/>
    </xf>
    <xf numFmtId="0" fontId="10" fillId="0" borderId="268" xfId="0" applyFont="1" applyFill="1" applyBorder="1" applyAlignment="1">
      <alignment horizontal="center" vertical="center" shrinkToFit="1"/>
    </xf>
    <xf numFmtId="0" fontId="10" fillId="27" borderId="269" xfId="0" applyFont="1" applyFill="1" applyBorder="1" applyAlignment="1">
      <alignment horizontal="center" vertical="center" shrinkToFit="1"/>
    </xf>
    <xf numFmtId="0" fontId="10" fillId="27" borderId="270" xfId="0" applyFont="1" applyFill="1" applyBorder="1" applyAlignment="1">
      <alignment horizontal="left" vertical="center" shrinkToFit="1"/>
    </xf>
    <xf numFmtId="194" fontId="10" fillId="0" borderId="270" xfId="0" applyNumberFormat="1" applyFont="1" applyFill="1" applyBorder="1" applyAlignment="1">
      <alignment vertical="center" shrinkToFit="1"/>
    </xf>
    <xf numFmtId="38" fontId="10" fillId="0" borderId="270" xfId="0" applyNumberFormat="1" applyFont="1" applyFill="1" applyBorder="1" applyAlignment="1">
      <alignment horizontal="right" vertical="center"/>
    </xf>
    <xf numFmtId="38" fontId="10" fillId="0" borderId="270" xfId="0" applyNumberFormat="1" applyFont="1" applyFill="1" applyBorder="1" applyAlignment="1">
      <alignment horizontal="right" vertical="center" shrinkToFit="1"/>
    </xf>
    <xf numFmtId="38" fontId="10" fillId="0" borderId="33" xfId="0" applyNumberFormat="1" applyFont="1" applyFill="1" applyBorder="1" applyAlignment="1">
      <alignment horizontal="right" vertical="center" shrinkToFit="1"/>
    </xf>
    <xf numFmtId="0" fontId="10" fillId="0" borderId="195" xfId="0" applyFont="1" applyFill="1" applyBorder="1" applyAlignment="1">
      <alignment horizontal="right" vertical="center"/>
    </xf>
    <xf numFmtId="0" fontId="10" fillId="0" borderId="196" xfId="0" applyFont="1" applyFill="1" applyBorder="1" applyAlignment="1">
      <alignment horizontal="right" vertical="center"/>
    </xf>
    <xf numFmtId="0" fontId="10" fillId="0" borderId="196" xfId="0" applyFont="1" applyFill="1" applyBorder="1" applyAlignment="1">
      <alignment horizontal="left" vertical="center"/>
    </xf>
    <xf numFmtId="0" fontId="10" fillId="0" borderId="197" xfId="0" applyFont="1" applyFill="1" applyBorder="1" applyAlignment="1">
      <alignment horizontal="left" vertical="center"/>
    </xf>
    <xf numFmtId="0" fontId="10" fillId="0" borderId="197" xfId="0" applyFont="1" applyFill="1" applyBorder="1" applyAlignment="1">
      <alignment horizontal="right" vertical="center"/>
    </xf>
    <xf numFmtId="38" fontId="10" fillId="0" borderId="197" xfId="0" applyNumberFormat="1" applyFont="1" applyFill="1" applyBorder="1" applyAlignment="1">
      <alignment horizontal="right" vertical="center" shrinkToFit="1"/>
    </xf>
    <xf numFmtId="38" fontId="10" fillId="0" borderId="209" xfId="0" applyNumberFormat="1" applyFont="1" applyFill="1" applyBorder="1" applyAlignment="1">
      <alignment horizontal="right" vertical="center" shrinkToFit="1"/>
    </xf>
    <xf numFmtId="0" fontId="10" fillId="0" borderId="192" xfId="0" applyFont="1" applyFill="1" applyBorder="1" applyAlignment="1">
      <alignment horizontal="right" vertical="center"/>
    </xf>
    <xf numFmtId="0" fontId="10" fillId="0" borderId="89" xfId="0" applyFont="1" applyFill="1" applyBorder="1" applyAlignment="1">
      <alignment horizontal="right" vertical="center"/>
    </xf>
    <xf numFmtId="0" fontId="10" fillId="0" borderId="89" xfId="0" applyFont="1" applyFill="1" applyBorder="1" applyAlignment="1">
      <alignment horizontal="left" vertical="center"/>
    </xf>
    <xf numFmtId="0" fontId="10" fillId="0" borderId="91" xfId="0" applyFont="1" applyFill="1" applyBorder="1" applyAlignment="1">
      <alignment horizontal="left" vertical="center"/>
    </xf>
    <xf numFmtId="0" fontId="10" fillId="0" borderId="91" xfId="0" applyFont="1" applyFill="1" applyBorder="1" applyAlignment="1">
      <alignment horizontal="right" vertical="center"/>
    </xf>
    <xf numFmtId="38" fontId="10" fillId="0" borderId="102" xfId="0" applyNumberFormat="1" applyFont="1" applyFill="1" applyBorder="1" applyAlignment="1">
      <alignment horizontal="right" vertical="center" shrinkToFit="1"/>
    </xf>
    <xf numFmtId="0" fontId="63" fillId="0" borderId="193" xfId="0" applyFont="1" applyFill="1" applyBorder="1" applyAlignment="1">
      <alignment horizontal="center" vertical="center" wrapText="1"/>
    </xf>
    <xf numFmtId="0" fontId="10" fillId="0" borderId="205" xfId="0" applyFont="1" applyFill="1" applyBorder="1" applyAlignment="1">
      <alignment horizontal="center" vertical="center" shrinkToFit="1"/>
    </xf>
    <xf numFmtId="0" fontId="11" fillId="0" borderId="91" xfId="0" applyFont="1" applyFill="1" applyBorder="1" applyAlignment="1">
      <alignment horizontal="center" vertical="center" wrapText="1"/>
    </xf>
    <xf numFmtId="0" fontId="10" fillId="0" borderId="91" xfId="0" applyFont="1" applyFill="1" applyBorder="1" applyAlignment="1">
      <alignment horizontal="center" vertical="center"/>
    </xf>
    <xf numFmtId="0" fontId="10" fillId="0" borderId="91" xfId="0" applyFont="1" applyFill="1" applyBorder="1" applyAlignment="1">
      <alignment horizontal="center" vertical="center" shrinkToFit="1"/>
    </xf>
    <xf numFmtId="0" fontId="10" fillId="0" borderId="102" xfId="0" applyFont="1" applyFill="1" applyBorder="1" applyAlignment="1">
      <alignment horizontal="center" vertical="center" shrinkToFit="1"/>
    </xf>
    <xf numFmtId="0" fontId="10" fillId="0" borderId="166" xfId="0" applyFont="1" applyFill="1" applyBorder="1" applyAlignment="1">
      <alignment horizontal="right" vertical="center"/>
    </xf>
    <xf numFmtId="0" fontId="10" fillId="0" borderId="167" xfId="0" applyFont="1" applyFill="1" applyBorder="1" applyAlignment="1">
      <alignment horizontal="right" vertical="center"/>
    </xf>
    <xf numFmtId="0" fontId="10" fillId="0" borderId="194" xfId="0" applyFont="1" applyFill="1" applyBorder="1" applyAlignment="1">
      <alignment horizontal="left" vertical="center"/>
    </xf>
    <xf numFmtId="0" fontId="10" fillId="0" borderId="84" xfId="0" applyFont="1" applyFill="1" applyBorder="1" applyAlignment="1">
      <alignment horizontal="left" vertical="center"/>
    </xf>
    <xf numFmtId="0" fontId="10" fillId="0" borderId="84" xfId="0" applyFont="1" applyFill="1" applyBorder="1" applyAlignment="1">
      <alignment horizontal="center" vertical="center"/>
    </xf>
    <xf numFmtId="38" fontId="10" fillId="0" borderId="84" xfId="0" applyNumberFormat="1" applyFont="1" applyFill="1" applyBorder="1" applyAlignment="1">
      <alignment horizontal="right" vertical="center"/>
    </xf>
    <xf numFmtId="0" fontId="9" fillId="0" borderId="182" xfId="0" applyFont="1" applyFill="1" applyBorder="1" applyAlignment="1">
      <alignment horizontal="left" vertical="center"/>
    </xf>
    <xf numFmtId="0" fontId="10" fillId="0" borderId="23" xfId="0" applyFont="1" applyFill="1" applyBorder="1" applyAlignment="1">
      <alignment horizontal="left" vertical="center"/>
    </xf>
    <xf numFmtId="0" fontId="25" fillId="0" borderId="23" xfId="0" applyFont="1" applyFill="1" applyBorder="1" applyAlignment="1">
      <alignment horizontal="right" vertical="center"/>
    </xf>
    <xf numFmtId="38" fontId="10" fillId="21" borderId="23" xfId="0" applyNumberFormat="1" applyFont="1" applyFill="1" applyBorder="1" applyAlignment="1">
      <alignment horizontal="right" vertical="center"/>
    </xf>
    <xf numFmtId="0" fontId="25" fillId="0" borderId="183" xfId="0" applyFont="1" applyFill="1" applyBorder="1" applyAlignment="1">
      <alignment horizontal="left" vertical="center"/>
    </xf>
    <xf numFmtId="0" fontId="10" fillId="0" borderId="87" xfId="0" applyFont="1" applyFill="1" applyBorder="1" applyAlignment="1">
      <alignment horizontal="left" vertical="center"/>
    </xf>
    <xf numFmtId="0" fontId="10" fillId="0" borderId="87" xfId="0" applyFont="1" applyFill="1" applyBorder="1" applyAlignment="1">
      <alignment horizontal="center" vertical="center"/>
    </xf>
    <xf numFmtId="38" fontId="10" fillId="0" borderId="87" xfId="0" applyNumberFormat="1" applyFont="1" applyFill="1" applyBorder="1" applyAlignment="1">
      <alignment horizontal="right" vertical="center"/>
    </xf>
    <xf numFmtId="38" fontId="10" fillId="0" borderId="100" xfId="0" applyNumberFormat="1" applyFont="1" applyFill="1" applyBorder="1" applyAlignment="1">
      <alignment horizontal="right" vertical="center" shrinkToFit="1"/>
    </xf>
    <xf numFmtId="0" fontId="10" fillId="0" borderId="193" xfId="0" applyFont="1" applyFill="1" applyBorder="1" applyAlignment="1">
      <alignment horizontal="right" vertical="center"/>
    </xf>
    <xf numFmtId="0" fontId="12" fillId="0" borderId="91" xfId="0" applyFont="1" applyFill="1" applyBorder="1" applyAlignment="1">
      <alignment horizontal="left" vertical="center"/>
    </xf>
    <xf numFmtId="0" fontId="10" fillId="0" borderId="84" xfId="0" applyFont="1" applyFill="1" applyBorder="1" applyAlignment="1">
      <alignment horizontal="center" vertical="center" shrinkToFit="1"/>
    </xf>
    <xf numFmtId="0" fontId="57" fillId="21" borderId="84" xfId="0" applyFont="1" applyFill="1" applyBorder="1" applyAlignment="1">
      <alignment horizontal="left" vertical="center" shrinkToFit="1"/>
    </xf>
    <xf numFmtId="0" fontId="10" fillId="0" borderId="84" xfId="0" applyFont="1" applyFill="1" applyBorder="1" applyAlignment="1">
      <alignment vertical="center" shrinkToFit="1"/>
    </xf>
    <xf numFmtId="10" fontId="10" fillId="0" borderId="193" xfId="0" quotePrefix="1" applyNumberFormat="1" applyFont="1" applyFill="1" applyBorder="1" applyAlignment="1">
      <alignment horizontal="right" vertical="center" shrinkToFit="1"/>
    </xf>
    <xf numFmtId="38" fontId="57" fillId="21" borderId="84" xfId="0" applyNumberFormat="1" applyFont="1" applyFill="1" applyBorder="1" applyAlignment="1">
      <alignment horizontal="right" vertical="center" shrinkToFit="1"/>
    </xf>
    <xf numFmtId="0" fontId="10" fillId="0" borderId="23" xfId="0" applyFont="1" applyFill="1" applyBorder="1" applyAlignment="1">
      <alignment horizontal="right" vertical="center"/>
    </xf>
    <xf numFmtId="10" fontId="57" fillId="21" borderId="23" xfId="0" quotePrefix="1" applyNumberFormat="1" applyFont="1" applyFill="1" applyBorder="1" applyAlignment="1">
      <alignment horizontal="right" vertical="center" shrinkToFit="1"/>
    </xf>
    <xf numFmtId="0" fontId="10" fillId="0" borderId="23" xfId="0" applyNumberFormat="1" applyFont="1" applyFill="1" applyBorder="1" applyAlignment="1">
      <alignment vertical="center" shrinkToFit="1"/>
    </xf>
    <xf numFmtId="0" fontId="10" fillId="0" borderId="23" xfId="0" applyFont="1" applyFill="1" applyBorder="1" applyAlignment="1">
      <alignment horizontal="right" vertical="center" shrinkToFit="1"/>
    </xf>
    <xf numFmtId="0" fontId="57" fillId="21" borderId="23" xfId="0" quotePrefix="1" applyFont="1" applyFill="1" applyBorder="1" applyAlignment="1">
      <alignment vertical="center"/>
    </xf>
    <xf numFmtId="0" fontId="5" fillId="0" borderId="23" xfId="0" applyFont="1" applyFill="1" applyBorder="1" applyAlignment="1">
      <alignment horizontal="left" vertical="center"/>
    </xf>
    <xf numFmtId="0" fontId="10" fillId="0" borderId="23" xfId="0" applyFont="1" applyFill="1" applyBorder="1" applyAlignment="1">
      <alignment vertical="center" shrinkToFit="1"/>
    </xf>
    <xf numFmtId="0" fontId="10" fillId="0" borderId="23" xfId="0" applyFont="1" applyFill="1" applyBorder="1" applyAlignment="1">
      <alignment horizontal="left" vertical="center" shrinkToFit="1"/>
    </xf>
    <xf numFmtId="0" fontId="10" fillId="0" borderId="129" xfId="0" applyFont="1" applyFill="1" applyBorder="1" applyAlignment="1">
      <alignment horizontal="left" vertical="center"/>
    </xf>
    <xf numFmtId="0" fontId="10" fillId="0" borderId="87" xfId="0" applyFont="1" applyFill="1" applyBorder="1" applyAlignment="1">
      <alignment horizontal="left" vertical="center" shrinkToFit="1"/>
    </xf>
    <xf numFmtId="9" fontId="10" fillId="0" borderId="87" xfId="0" applyNumberFormat="1" applyFont="1" applyFill="1" applyBorder="1" applyAlignment="1">
      <alignment horizontal="right" vertical="center" shrinkToFit="1"/>
    </xf>
    <xf numFmtId="0" fontId="10" fillId="0" borderId="211" xfId="0" applyFont="1" applyFill="1" applyBorder="1" applyAlignment="1">
      <alignment horizontal="right" vertical="center"/>
    </xf>
    <xf numFmtId="0" fontId="10" fillId="0" borderId="193" xfId="0" applyFont="1" applyFill="1" applyBorder="1" applyAlignment="1">
      <alignment horizontal="right" vertical="center" shrinkToFit="1"/>
    </xf>
    <xf numFmtId="0" fontId="10" fillId="0" borderId="84" xfId="0" applyFont="1" applyFill="1" applyBorder="1" applyAlignment="1">
      <alignment horizontal="right" vertical="center" shrinkToFit="1"/>
    </xf>
    <xf numFmtId="0" fontId="12" fillId="0" borderId="91" xfId="0" applyFont="1" applyFill="1" applyBorder="1" applyAlignment="1">
      <alignment horizontal="left" vertical="center" shrinkToFit="1"/>
    </xf>
    <xf numFmtId="0" fontId="10" fillId="0" borderId="87" xfId="0" applyFont="1" applyFill="1" applyBorder="1" applyAlignment="1">
      <alignment horizontal="right" vertical="center" shrinkToFit="1"/>
    </xf>
    <xf numFmtId="0" fontId="10" fillId="0" borderId="191" xfId="0" applyFont="1" applyFill="1" applyBorder="1" applyAlignment="1">
      <alignment horizontal="right" vertical="center"/>
    </xf>
    <xf numFmtId="0" fontId="10" fillId="0" borderId="261" xfId="0" applyFont="1" applyFill="1" applyBorder="1" applyAlignment="1">
      <alignment horizontal="center" vertical="center" shrinkToFit="1"/>
    </xf>
    <xf numFmtId="0" fontId="10" fillId="0" borderId="261" xfId="0" quotePrefix="1" applyFont="1" applyFill="1" applyBorder="1" applyAlignment="1">
      <alignment horizontal="left" vertical="center" shrinkToFit="1"/>
    </xf>
    <xf numFmtId="10" fontId="10" fillId="0" borderId="84" xfId="0" applyNumberFormat="1" applyFont="1" applyFill="1" applyBorder="1" applyAlignment="1">
      <alignment horizontal="right" vertical="center" shrinkToFit="1"/>
    </xf>
    <xf numFmtId="0" fontId="10" fillId="0" borderId="23" xfId="0" applyFont="1" applyFill="1" applyBorder="1" applyAlignment="1">
      <alignment vertical="center"/>
    </xf>
    <xf numFmtId="0" fontId="10" fillId="0" borderId="23" xfId="0" quotePrefix="1" applyFont="1" applyFill="1" applyBorder="1" applyAlignment="1">
      <alignment vertical="center"/>
    </xf>
    <xf numFmtId="0" fontId="10" fillId="0" borderId="84" xfId="0" applyFont="1" applyFill="1" applyBorder="1" applyAlignment="1">
      <alignment horizontal="right" vertical="center"/>
    </xf>
    <xf numFmtId="0" fontId="10" fillId="0" borderId="224" xfId="0" applyFont="1" applyFill="1" applyBorder="1" applyAlignment="1">
      <alignment horizontal="left" vertical="center"/>
    </xf>
    <xf numFmtId="0" fontId="10" fillId="0" borderId="278" xfId="0" applyFont="1" applyFill="1" applyBorder="1" applyAlignment="1">
      <alignment horizontal="right" vertical="center"/>
    </xf>
    <xf numFmtId="0" fontId="10" fillId="0" borderId="279" xfId="0" applyFont="1" applyFill="1" applyBorder="1" applyAlignment="1">
      <alignment horizontal="right" vertical="center"/>
    </xf>
    <xf numFmtId="0" fontId="10" fillId="0" borderId="279" xfId="0" applyFont="1" applyFill="1" applyBorder="1" applyAlignment="1">
      <alignment horizontal="left" vertical="center"/>
    </xf>
    <xf numFmtId="0" fontId="10" fillId="0" borderId="270" xfId="0" applyFont="1" applyFill="1" applyBorder="1" applyAlignment="1">
      <alignment horizontal="left" vertical="center"/>
    </xf>
    <xf numFmtId="0" fontId="10" fillId="0" borderId="270" xfId="0" applyFont="1" applyFill="1" applyBorder="1" applyAlignment="1">
      <alignment horizontal="right" vertical="center"/>
    </xf>
    <xf numFmtId="0" fontId="10" fillId="0" borderId="130" xfId="0" applyFont="1" applyFill="1" applyBorder="1" applyAlignment="1">
      <alignment horizontal="right" vertical="center"/>
    </xf>
    <xf numFmtId="38" fontId="10" fillId="0" borderId="130" xfId="0" applyNumberFormat="1" applyFont="1" applyFill="1" applyBorder="1" applyAlignment="1">
      <alignment horizontal="right" vertical="center"/>
    </xf>
    <xf numFmtId="38" fontId="10" fillId="0" borderId="130" xfId="0" applyNumberFormat="1" applyFont="1" applyFill="1" applyBorder="1" applyAlignment="1">
      <alignment horizontal="right" vertical="center" shrinkToFit="1"/>
    </xf>
    <xf numFmtId="38" fontId="10" fillId="0" borderId="184" xfId="0" applyNumberFormat="1" applyFont="1" applyFill="1" applyBorder="1" applyAlignment="1">
      <alignment horizontal="right" vertical="center" shrinkToFit="1"/>
    </xf>
    <xf numFmtId="176" fontId="5" fillId="0" borderId="23" xfId="0" applyNumberFormat="1" applyFont="1" applyFill="1" applyBorder="1" applyAlignment="1">
      <alignment vertical="center"/>
    </xf>
    <xf numFmtId="0" fontId="5" fillId="0" borderId="118" xfId="0" applyFont="1" applyFill="1" applyBorder="1" applyAlignment="1">
      <alignment vertical="center"/>
    </xf>
    <xf numFmtId="0" fontId="5" fillId="0" borderId="23" xfId="0" applyFont="1" applyFill="1" applyBorder="1" applyAlignment="1">
      <alignment vertical="center"/>
    </xf>
    <xf numFmtId="38" fontId="5" fillId="0" borderId="23" xfId="0" applyNumberFormat="1" applyFont="1" applyFill="1" applyBorder="1" applyAlignment="1">
      <alignment vertical="center"/>
    </xf>
    <xf numFmtId="38" fontId="5" fillId="0" borderId="23" xfId="0" applyNumberFormat="1" applyFont="1" applyFill="1" applyBorder="1" applyAlignment="1">
      <alignment vertical="center" shrinkToFit="1"/>
    </xf>
    <xf numFmtId="38" fontId="5" fillId="0" borderId="31" xfId="0" applyNumberFormat="1" applyFont="1" applyFill="1" applyBorder="1" applyAlignment="1">
      <alignment vertical="center" shrinkToFit="1"/>
    </xf>
    <xf numFmtId="0" fontId="5" fillId="0" borderId="192" xfId="0" applyFont="1" applyFill="1" applyBorder="1" applyAlignment="1">
      <alignment vertical="center"/>
    </xf>
    <xf numFmtId="0" fontId="5" fillId="0" borderId="89" xfId="0" applyFont="1" applyFill="1" applyBorder="1" applyAlignment="1">
      <alignment vertical="center"/>
    </xf>
    <xf numFmtId="0" fontId="5" fillId="0" borderId="91" xfId="0" applyFont="1" applyFill="1" applyBorder="1" applyAlignment="1">
      <alignment vertical="center"/>
    </xf>
    <xf numFmtId="176" fontId="5" fillId="0" borderId="91" xfId="0" applyNumberFormat="1" applyFont="1" applyFill="1" applyBorder="1" applyAlignment="1">
      <alignment vertical="center"/>
    </xf>
    <xf numFmtId="176" fontId="5" fillId="0" borderId="91" xfId="0" applyNumberFormat="1" applyFont="1" applyFill="1" applyBorder="1" applyAlignment="1">
      <alignment vertical="center" shrinkToFit="1"/>
    </xf>
    <xf numFmtId="176" fontId="5" fillId="0" borderId="102" xfId="0" applyNumberFormat="1" applyFont="1" applyFill="1" applyBorder="1" applyAlignment="1">
      <alignment vertical="center" shrinkToFit="1"/>
    </xf>
    <xf numFmtId="0" fontId="5" fillId="0" borderId="190" xfId="0" applyFont="1" applyFill="1" applyBorder="1" applyAlignment="1">
      <alignment vertical="center"/>
    </xf>
    <xf numFmtId="176" fontId="5" fillId="0" borderId="190" xfId="0" applyNumberFormat="1" applyFont="1" applyFill="1" applyBorder="1" applyAlignment="1">
      <alignment vertical="center"/>
    </xf>
    <xf numFmtId="176" fontId="5" fillId="0" borderId="190" xfId="0" applyNumberFormat="1" applyFont="1" applyFill="1" applyBorder="1" applyAlignment="1">
      <alignment vertical="center" shrinkToFit="1"/>
    </xf>
    <xf numFmtId="0" fontId="5" fillId="0" borderId="134" xfId="0" applyFont="1" applyBorder="1" applyAlignment="1">
      <alignment vertical="center"/>
    </xf>
    <xf numFmtId="0" fontId="5" fillId="0" borderId="281" xfId="0" applyFont="1" applyBorder="1" applyAlignment="1">
      <alignment vertical="center"/>
    </xf>
    <xf numFmtId="0" fontId="59" fillId="0" borderId="51" xfId="0" applyFont="1" applyBorder="1" applyAlignment="1">
      <alignment vertical="center"/>
    </xf>
    <xf numFmtId="0" fontId="5" fillId="0" borderId="133" xfId="0" applyFont="1" applyBorder="1" applyAlignment="1">
      <alignment vertical="center"/>
    </xf>
    <xf numFmtId="188" fontId="5" fillId="0" borderId="113" xfId="0" applyNumberFormat="1" applyFont="1" applyFill="1" applyBorder="1" applyAlignment="1">
      <alignment horizontal="center" vertical="center"/>
    </xf>
    <xf numFmtId="188" fontId="5" fillId="0" borderId="59" xfId="0" applyNumberFormat="1" applyFont="1" applyFill="1" applyBorder="1" applyAlignment="1">
      <alignment horizontal="center" vertical="center"/>
    </xf>
    <xf numFmtId="188" fontId="5" fillId="0" borderId="0" xfId="0" applyNumberFormat="1" applyFont="1" applyFill="1" applyBorder="1" applyAlignment="1">
      <alignment horizontal="center" vertical="center"/>
    </xf>
    <xf numFmtId="0" fontId="29" fillId="0" borderId="52" xfId="0" applyFont="1" applyBorder="1" applyAlignment="1">
      <alignment vertical="center" shrinkToFit="1"/>
    </xf>
    <xf numFmtId="0" fontId="5" fillId="0" borderId="182" xfId="0" applyFont="1" applyBorder="1" applyAlignment="1">
      <alignment vertical="center"/>
    </xf>
    <xf numFmtId="193" fontId="5" fillId="18" borderId="0" xfId="0" applyNumberFormat="1" applyFont="1" applyFill="1" applyBorder="1" applyAlignment="1" applyProtection="1">
      <alignment horizontal="center" vertical="center"/>
    </xf>
    <xf numFmtId="0" fontId="5" fillId="0" borderId="210" xfId="0" applyFont="1" applyBorder="1" applyAlignment="1">
      <alignment vertical="center"/>
    </xf>
    <xf numFmtId="0" fontId="5" fillId="0" borderId="178" xfId="0" applyFont="1" applyBorder="1" applyAlignment="1">
      <alignment vertical="center"/>
    </xf>
    <xf numFmtId="193" fontId="5" fillId="0" borderId="0" xfId="3" applyNumberFormat="1" applyFont="1" applyBorder="1" applyAlignment="1" applyProtection="1">
      <alignment horizontal="center" vertical="center"/>
    </xf>
    <xf numFmtId="0" fontId="5" fillId="0" borderId="265" xfId="0" applyFont="1" applyBorder="1" applyAlignment="1">
      <alignment vertical="center"/>
    </xf>
    <xf numFmtId="0" fontId="5" fillId="0" borderId="259" xfId="0" applyFont="1" applyBorder="1" applyAlignment="1">
      <alignment vertical="center"/>
    </xf>
    <xf numFmtId="2" fontId="5" fillId="0" borderId="0" xfId="0" applyNumberFormat="1" applyFont="1" applyBorder="1" applyAlignment="1" applyProtection="1">
      <alignment horizontal="center" vertical="center"/>
    </xf>
    <xf numFmtId="2" fontId="5" fillId="32" borderId="0" xfId="0" applyNumberFormat="1" applyFont="1" applyFill="1" applyBorder="1" applyAlignment="1" applyProtection="1">
      <alignment horizontal="center" vertical="center"/>
    </xf>
    <xf numFmtId="0" fontId="5" fillId="32" borderId="0" xfId="0" applyFont="1" applyFill="1" applyBorder="1" applyAlignment="1">
      <alignment vertical="center"/>
    </xf>
    <xf numFmtId="0" fontId="5" fillId="32" borderId="0" xfId="0" applyFont="1" applyFill="1" applyBorder="1" applyAlignment="1">
      <alignment horizontal="left" vertical="center"/>
    </xf>
    <xf numFmtId="0" fontId="0" fillId="32" borderId="0" xfId="0" applyFont="1" applyFill="1" applyBorder="1" applyAlignment="1">
      <alignment horizontal="left" vertical="center"/>
    </xf>
    <xf numFmtId="0" fontId="0" fillId="32" borderId="0" xfId="0" applyFill="1" applyBorder="1" applyAlignment="1">
      <alignment horizontal="left" vertical="center"/>
    </xf>
    <xf numFmtId="0" fontId="5" fillId="0" borderId="134" xfId="0" applyFont="1" applyFill="1" applyBorder="1" applyAlignment="1">
      <alignment vertical="center"/>
    </xf>
    <xf numFmtId="0" fontId="5" fillId="0" borderId="281" xfId="0" applyFont="1" applyFill="1" applyBorder="1" applyAlignment="1">
      <alignment vertical="center"/>
    </xf>
    <xf numFmtId="0" fontId="59" fillId="0" borderId="51" xfId="0" applyFont="1" applyFill="1" applyBorder="1" applyAlignment="1">
      <alignment vertical="center"/>
    </xf>
    <xf numFmtId="0" fontId="5" fillId="0" borderId="133" xfId="0" applyFont="1" applyFill="1" applyBorder="1" applyAlignment="1">
      <alignment vertical="center"/>
    </xf>
    <xf numFmtId="0" fontId="29" fillId="0" borderId="52" xfId="0" applyFont="1" applyFill="1" applyBorder="1" applyAlignment="1">
      <alignment vertical="center" shrinkToFit="1"/>
    </xf>
    <xf numFmtId="0" fontId="5" fillId="0" borderId="182" xfId="0" applyFont="1" applyFill="1" applyBorder="1" applyAlignment="1">
      <alignment vertical="center"/>
    </xf>
    <xf numFmtId="0" fontId="5" fillId="0" borderId="178" xfId="0" applyFont="1" applyFill="1" applyBorder="1" applyAlignment="1">
      <alignment vertical="center"/>
    </xf>
    <xf numFmtId="0" fontId="5" fillId="0" borderId="265" xfId="0" applyFont="1" applyFill="1" applyBorder="1" applyAlignment="1">
      <alignment vertical="center"/>
    </xf>
    <xf numFmtId="0" fontId="5" fillId="0" borderId="259" xfId="0" applyFont="1" applyFill="1" applyBorder="1" applyAlignment="1">
      <alignment vertical="center"/>
    </xf>
    <xf numFmtId="0" fontId="5" fillId="32" borderId="0" xfId="0" applyFont="1" applyFill="1" applyBorder="1" applyAlignment="1" applyProtection="1">
      <alignment horizontal="center" vertical="center"/>
    </xf>
    <xf numFmtId="176" fontId="5" fillId="0" borderId="0" xfId="0" applyNumberFormat="1" applyFont="1" applyFill="1" applyBorder="1" applyAlignment="1">
      <alignment vertical="center"/>
    </xf>
    <xf numFmtId="176" fontId="5" fillId="0" borderId="0" xfId="0" applyNumberFormat="1" applyFont="1" applyFill="1" applyBorder="1" applyAlignment="1">
      <alignment vertical="center" shrinkToFit="1"/>
    </xf>
    <xf numFmtId="188" fontId="5" fillId="34" borderId="113" xfId="0" applyNumberFormat="1" applyFont="1" applyFill="1" applyBorder="1" applyAlignment="1">
      <alignment horizontal="center" vertical="center"/>
    </xf>
    <xf numFmtId="188" fontId="5" fillId="34" borderId="59" xfId="0" applyNumberFormat="1" applyFont="1" applyFill="1" applyBorder="1" applyAlignment="1">
      <alignment horizontal="center" vertical="center"/>
    </xf>
    <xf numFmtId="193" fontId="5" fillId="34" borderId="23" xfId="3" applyNumberFormat="1" applyFont="1" applyFill="1" applyBorder="1" applyAlignment="1" applyProtection="1">
      <alignment horizontal="center" vertical="center"/>
    </xf>
    <xf numFmtId="193" fontId="5" fillId="34" borderId="60" xfId="3" applyNumberFormat="1" applyFont="1" applyFill="1" applyBorder="1" applyAlignment="1" applyProtection="1">
      <alignment horizontal="center" vertical="center"/>
    </xf>
    <xf numFmtId="2" fontId="5" fillId="34" borderId="23" xfId="0" applyNumberFormat="1" applyFont="1" applyFill="1" applyBorder="1" applyAlignment="1" applyProtection="1">
      <alignment horizontal="center" vertical="center"/>
    </xf>
    <xf numFmtId="2" fontId="5" fillId="34" borderId="60" xfId="0" applyNumberFormat="1" applyFont="1" applyFill="1" applyBorder="1" applyAlignment="1" applyProtection="1">
      <alignment horizontal="center" vertical="center"/>
    </xf>
    <xf numFmtId="0" fontId="5" fillId="26" borderId="168" xfId="0" applyFont="1" applyFill="1" applyBorder="1" applyAlignment="1">
      <alignment vertical="center"/>
    </xf>
    <xf numFmtId="0" fontId="5" fillId="26" borderId="137" xfId="0" applyFont="1" applyFill="1" applyBorder="1" applyAlignment="1">
      <alignment vertical="center"/>
    </xf>
    <xf numFmtId="2" fontId="5" fillId="34" borderId="126" xfId="0" applyNumberFormat="1" applyFont="1" applyFill="1" applyBorder="1" applyAlignment="1" applyProtection="1">
      <alignment horizontal="center" vertical="center"/>
    </xf>
    <xf numFmtId="2" fontId="5" fillId="34" borderId="58" xfId="0" applyNumberFormat="1" applyFont="1" applyFill="1" applyBorder="1" applyAlignment="1" applyProtection="1">
      <alignment horizontal="center" vertical="center"/>
    </xf>
    <xf numFmtId="0" fontId="5" fillId="0" borderId="0" xfId="0" applyFont="1" applyFill="1" applyBorder="1" applyAlignment="1">
      <alignment horizontal="center" vertical="center" shrinkToFit="1"/>
    </xf>
    <xf numFmtId="0" fontId="5" fillId="26" borderId="241" xfId="0" applyFont="1" applyFill="1" applyBorder="1" applyAlignment="1">
      <alignment vertical="center"/>
    </xf>
    <xf numFmtId="0" fontId="5" fillId="34" borderId="126" xfId="0" applyFont="1" applyFill="1" applyBorder="1" applyAlignment="1" applyProtection="1">
      <alignment horizontal="center" vertical="center"/>
    </xf>
    <xf numFmtId="0" fontId="5" fillId="34" borderId="58" xfId="0" applyFont="1" applyFill="1" applyBorder="1" applyAlignment="1" applyProtection="1">
      <alignment horizontal="center" vertical="center"/>
    </xf>
    <xf numFmtId="0" fontId="5" fillId="0" borderId="0" xfId="0" applyFont="1" applyFill="1" applyBorder="1" applyAlignment="1">
      <alignment vertical="center" shrinkToFit="1"/>
    </xf>
    <xf numFmtId="188" fontId="5" fillId="0" borderId="51" xfId="0" applyNumberFormat="1" applyFont="1" applyFill="1" applyBorder="1" applyAlignment="1">
      <alignment horizontal="center" vertical="center"/>
    </xf>
    <xf numFmtId="188" fontId="5" fillId="0" borderId="287" xfId="0" applyNumberFormat="1" applyFont="1" applyFill="1" applyBorder="1" applyAlignment="1">
      <alignment horizontal="center" vertical="center"/>
    </xf>
    <xf numFmtId="0" fontId="5" fillId="34" borderId="0" xfId="0" applyFont="1" applyFill="1" applyAlignment="1">
      <alignment horizontal="center" vertical="center"/>
    </xf>
    <xf numFmtId="193" fontId="5" fillId="34" borderId="52" xfId="3" applyNumberFormat="1" applyFont="1" applyFill="1" applyBorder="1" applyAlignment="1" applyProtection="1">
      <alignment horizontal="center" vertical="center"/>
    </xf>
    <xf numFmtId="0" fontId="0" fillId="0" borderId="0" xfId="0" applyFill="1" applyAlignment="1">
      <alignment vertical="center"/>
    </xf>
    <xf numFmtId="0" fontId="5" fillId="18" borderId="241" xfId="0" applyFont="1" applyFill="1" applyBorder="1" applyAlignment="1">
      <alignment vertical="center"/>
    </xf>
    <xf numFmtId="0" fontId="5" fillId="18" borderId="137" xfId="0" applyFont="1" applyFill="1" applyBorder="1" applyAlignment="1">
      <alignment vertical="center"/>
    </xf>
    <xf numFmtId="0" fontId="5" fillId="34" borderId="125" xfId="0" applyFont="1" applyFill="1" applyBorder="1" applyAlignment="1" applyProtection="1">
      <alignment horizontal="center" vertical="center"/>
    </xf>
    <xf numFmtId="0" fontId="5" fillId="0" borderId="0" xfId="0" applyFont="1" applyBorder="1" applyAlignment="1">
      <alignment vertical="center" shrinkToFit="1"/>
    </xf>
    <xf numFmtId="0" fontId="12" fillId="0" borderId="0" xfId="0" applyFont="1" applyFill="1" applyBorder="1" applyAlignment="1">
      <alignment horizontal="right" vertical="center"/>
    </xf>
    <xf numFmtId="0" fontId="55" fillId="0" borderId="0" xfId="0" applyFont="1" applyFill="1" applyBorder="1" applyAlignment="1">
      <alignment horizontal="center" shrinkToFit="1"/>
    </xf>
    <xf numFmtId="0" fontId="56" fillId="0" borderId="89" xfId="0" applyFont="1" applyFill="1" applyBorder="1" applyAlignment="1">
      <alignment horizontal="center" vertical="center" shrinkToFit="1"/>
    </xf>
    <xf numFmtId="0" fontId="5" fillId="0" borderId="190" xfId="0" applyFont="1" applyBorder="1" applyAlignment="1">
      <alignment vertical="center"/>
    </xf>
    <xf numFmtId="0" fontId="54" fillId="0" borderId="190" xfId="0" applyFont="1" applyFill="1" applyBorder="1" applyAlignment="1">
      <alignment horizontal="center" vertical="center"/>
    </xf>
    <xf numFmtId="0" fontId="10" fillId="0" borderId="190" xfId="0" applyFont="1" applyFill="1" applyBorder="1" applyAlignment="1">
      <alignment horizontal="center" vertical="center"/>
    </xf>
    <xf numFmtId="177" fontId="75" fillId="0" borderId="84" xfId="0" applyNumberFormat="1" applyFont="1" applyFill="1" applyBorder="1" applyAlignment="1">
      <alignment horizontal="center" vertical="center" shrinkToFit="1"/>
    </xf>
    <xf numFmtId="177" fontId="10" fillId="0" borderId="193" xfId="0" applyNumberFormat="1" applyFont="1" applyFill="1" applyBorder="1" applyAlignment="1">
      <alignment horizontal="right" vertical="center"/>
    </xf>
    <xf numFmtId="177" fontId="10" fillId="0" borderId="193" xfId="0" applyNumberFormat="1" applyFont="1" applyFill="1" applyBorder="1" applyAlignment="1">
      <alignment vertical="center" shrinkToFit="1"/>
    </xf>
    <xf numFmtId="177" fontId="10" fillId="0" borderId="193" xfId="0" applyNumberFormat="1" applyFont="1" applyFill="1" applyBorder="1" applyAlignment="1">
      <alignment horizontal="right" vertical="center" shrinkToFit="1"/>
    </xf>
    <xf numFmtId="177" fontId="10" fillId="0" borderId="276" xfId="0" applyNumberFormat="1" applyFont="1" applyFill="1" applyBorder="1" applyAlignment="1">
      <alignment vertical="center" shrinkToFit="1"/>
    </xf>
    <xf numFmtId="0" fontId="10" fillId="0" borderId="210" xfId="0" applyFont="1" applyFill="1" applyBorder="1" applyAlignment="1">
      <alignment horizontal="center" vertical="center"/>
    </xf>
    <xf numFmtId="177" fontId="10" fillId="0" borderId="129" xfId="0" applyNumberFormat="1" applyFont="1" applyFill="1" applyBorder="1" applyAlignment="1">
      <alignment horizontal="right" vertical="center"/>
    </xf>
    <xf numFmtId="177" fontId="10" fillId="0" borderId="129" xfId="0" applyNumberFormat="1" applyFont="1" applyFill="1" applyBorder="1" applyAlignment="1">
      <alignment vertical="center" shrinkToFit="1"/>
    </xf>
    <xf numFmtId="177" fontId="10" fillId="0" borderId="131" xfId="0" applyNumberFormat="1" applyFont="1" applyFill="1" applyBorder="1" applyAlignment="1">
      <alignment vertical="center" shrinkToFit="1"/>
    </xf>
    <xf numFmtId="0" fontId="10" fillId="0" borderId="14" xfId="0" applyFont="1" applyFill="1" applyBorder="1" applyAlignment="1">
      <alignment horizontal="right" vertical="center"/>
    </xf>
    <xf numFmtId="0" fontId="10" fillId="0" borderId="15" xfId="0" applyFont="1" applyFill="1" applyBorder="1" applyAlignment="1">
      <alignment horizontal="center" vertical="center"/>
    </xf>
    <xf numFmtId="177" fontId="10" fillId="0" borderId="150" xfId="0" applyNumberFormat="1" applyFont="1" applyFill="1" applyBorder="1" applyAlignment="1">
      <alignment horizontal="right" vertical="center"/>
    </xf>
    <xf numFmtId="177" fontId="10" fillId="0" borderId="150" xfId="0" applyNumberFormat="1" applyFont="1" applyFill="1" applyBorder="1" applyAlignment="1">
      <alignment horizontal="right" vertical="center" shrinkToFit="1"/>
    </xf>
    <xf numFmtId="177" fontId="10" fillId="0" borderId="151" xfId="0" applyNumberFormat="1" applyFont="1" applyFill="1" applyBorder="1" applyAlignment="1">
      <alignment horizontal="right" vertical="center" shrinkToFit="1"/>
    </xf>
    <xf numFmtId="0" fontId="12" fillId="0" borderId="0" xfId="0" applyFont="1" applyFill="1" applyBorder="1" applyAlignment="1">
      <alignment horizontal="distributed" vertical="center"/>
    </xf>
    <xf numFmtId="0" fontId="12" fillId="0" borderId="0" xfId="0" applyFont="1" applyFill="1" applyBorder="1" applyAlignment="1">
      <alignment horizontal="left" vertical="center"/>
    </xf>
    <xf numFmtId="0" fontId="54" fillId="0" borderId="0" xfId="0" applyFont="1" applyFill="1" applyBorder="1" applyAlignment="1">
      <alignment horizontal="center" vertical="center"/>
    </xf>
    <xf numFmtId="0" fontId="55" fillId="0" borderId="0" xfId="0" applyFont="1" applyFill="1" applyBorder="1" applyAlignment="1">
      <alignment horizontal="left" vertical="center"/>
    </xf>
    <xf numFmtId="0" fontId="10" fillId="0" borderId="0" xfId="0" applyFont="1" applyFill="1" applyBorder="1" applyAlignment="1">
      <alignment vertical="center"/>
    </xf>
    <xf numFmtId="0" fontId="10" fillId="0" borderId="206" xfId="0" applyFont="1" applyFill="1" applyBorder="1" applyAlignment="1">
      <alignment horizontal="center" vertical="center" shrinkToFit="1"/>
    </xf>
    <xf numFmtId="192" fontId="5" fillId="0" borderId="84" xfId="0" applyNumberFormat="1" applyFont="1" applyFill="1" applyBorder="1" applyAlignment="1">
      <alignment horizontal="center" shrinkToFit="1"/>
    </xf>
    <xf numFmtId="192" fontId="5" fillId="0" borderId="185" xfId="0" applyNumberFormat="1" applyFont="1" applyFill="1" applyBorder="1" applyAlignment="1">
      <alignment horizontal="center" shrinkToFit="1"/>
    </xf>
    <xf numFmtId="0" fontId="55" fillId="0" borderId="0" xfId="0" applyFont="1" applyFill="1" applyBorder="1" applyAlignment="1"/>
    <xf numFmtId="0" fontId="5" fillId="0" borderId="265" xfId="0" applyFont="1" applyFill="1" applyBorder="1" applyAlignment="1">
      <alignment horizontal="distributed"/>
    </xf>
    <xf numFmtId="0" fontId="35" fillId="0" borderId="265" xfId="0" applyFont="1" applyFill="1" applyBorder="1" applyAlignment="1">
      <alignment horizontal="center"/>
    </xf>
    <xf numFmtId="0" fontId="5" fillId="0" borderId="261" xfId="0" applyFont="1" applyFill="1" applyBorder="1" applyAlignment="1">
      <alignment horizontal="center"/>
    </xf>
    <xf numFmtId="0" fontId="5" fillId="0" borderId="261" xfId="0" applyFont="1" applyFill="1" applyBorder="1" applyAlignment="1">
      <alignment horizontal="right"/>
    </xf>
    <xf numFmtId="192" fontId="5" fillId="0" borderId="261" xfId="0" applyNumberFormat="1" applyFont="1" applyFill="1" applyBorder="1" applyAlignment="1">
      <alignment horizontal="center" shrinkToFit="1"/>
    </xf>
    <xf numFmtId="192" fontId="5" fillId="0" borderId="266" xfId="0" applyNumberFormat="1" applyFont="1" applyFill="1" applyBorder="1" applyAlignment="1">
      <alignment horizontal="center" shrinkToFit="1"/>
    </xf>
    <xf numFmtId="0" fontId="5" fillId="0" borderId="210" xfId="0" applyFont="1" applyFill="1" applyBorder="1" applyAlignment="1">
      <alignment horizontal="left"/>
    </xf>
    <xf numFmtId="0" fontId="4" fillId="0" borderId="210" xfId="0" applyFont="1" applyFill="1" applyBorder="1" applyAlignment="1">
      <alignment horizontal="right"/>
    </xf>
    <xf numFmtId="0" fontId="5" fillId="0" borderId="129" xfId="0" applyFont="1" applyFill="1" applyBorder="1" applyAlignment="1" applyProtection="1">
      <alignment horizontal="center"/>
      <protection locked="0"/>
    </xf>
    <xf numFmtId="0" fontId="5" fillId="0" borderId="129" xfId="0" applyFont="1" applyFill="1" applyBorder="1" applyAlignment="1"/>
    <xf numFmtId="38" fontId="10" fillId="0" borderId="129" xfId="0" applyNumberFormat="1" applyFont="1" applyFill="1" applyBorder="1" applyAlignment="1">
      <alignment horizontal="center" shrinkToFit="1"/>
    </xf>
    <xf numFmtId="38" fontId="10" fillId="0" borderId="131" xfId="0" applyNumberFormat="1" applyFont="1" applyFill="1" applyBorder="1" applyAlignment="1">
      <alignment horizontal="center" shrinkToFit="1"/>
    </xf>
    <xf numFmtId="0" fontId="5" fillId="0" borderId="192" xfId="0" applyFont="1" applyFill="1" applyBorder="1" applyAlignment="1">
      <alignment horizontal="right"/>
    </xf>
    <xf numFmtId="0" fontId="5" fillId="0" borderId="89" xfId="0" applyFont="1" applyFill="1" applyBorder="1" applyAlignment="1">
      <alignment horizontal="right"/>
    </xf>
    <xf numFmtId="0" fontId="5" fillId="0" borderId="89" xfId="0" applyFont="1" applyFill="1" applyBorder="1" applyAlignment="1">
      <alignment horizontal="left" vertical="center"/>
    </xf>
    <xf numFmtId="0" fontId="4" fillId="0" borderId="89" xfId="0" applyFont="1" applyFill="1" applyBorder="1" applyAlignment="1">
      <alignment horizontal="right"/>
    </xf>
    <xf numFmtId="0" fontId="5" fillId="0" borderId="91" xfId="0" applyFont="1" applyFill="1" applyBorder="1" applyAlignment="1" applyProtection="1">
      <alignment horizontal="center"/>
      <protection locked="0"/>
    </xf>
    <xf numFmtId="38" fontId="10" fillId="0" borderId="91" xfId="0" applyNumberFormat="1" applyFont="1" applyFill="1" applyBorder="1" applyAlignment="1">
      <alignment horizontal="center" shrinkToFit="1"/>
    </xf>
    <xf numFmtId="38" fontId="10" fillId="0" borderId="102" xfId="0" applyNumberFormat="1" applyFont="1" applyFill="1" applyBorder="1" applyAlignment="1">
      <alignment horizontal="center" shrinkToFit="1"/>
    </xf>
    <xf numFmtId="0" fontId="5" fillId="0" borderId="190" xfId="0" applyFont="1" applyFill="1" applyBorder="1" applyAlignment="1">
      <alignment horizontal="left"/>
    </xf>
    <xf numFmtId="0" fontId="5" fillId="0" borderId="15" xfId="0" applyFont="1" applyFill="1" applyBorder="1" applyAlignment="1">
      <alignment horizontal="left"/>
    </xf>
    <xf numFmtId="0" fontId="5" fillId="0" borderId="150" xfId="0" applyFont="1" applyFill="1" applyBorder="1" applyAlignment="1">
      <alignment horizontal="center"/>
    </xf>
    <xf numFmtId="38" fontId="10" fillId="0" borderId="150" xfId="0" applyNumberFormat="1" applyFont="1" applyFill="1" applyBorder="1" applyAlignment="1">
      <alignment horizontal="right"/>
    </xf>
    <xf numFmtId="38" fontId="10" fillId="0" borderId="150" xfId="0" applyNumberFormat="1" applyFont="1" applyFill="1" applyBorder="1" applyAlignment="1">
      <alignment horizontal="right" shrinkToFit="1"/>
    </xf>
    <xf numFmtId="38" fontId="10" fillId="0" borderId="151" xfId="0" applyNumberFormat="1" applyFont="1" applyFill="1" applyBorder="1" applyAlignment="1">
      <alignment horizontal="right" shrinkToFit="1"/>
    </xf>
    <xf numFmtId="38" fontId="10" fillId="23" borderId="84" xfId="0" applyNumberFormat="1" applyFont="1" applyFill="1" applyBorder="1" applyAlignment="1">
      <alignment horizontal="right" shrinkToFit="1"/>
    </xf>
    <xf numFmtId="38" fontId="10" fillId="23" borderId="185" xfId="0" applyNumberFormat="1" applyFont="1" applyFill="1" applyBorder="1" applyAlignment="1">
      <alignment horizontal="right" shrinkToFit="1"/>
    </xf>
    <xf numFmtId="0" fontId="5" fillId="0" borderId="224" xfId="0" applyFont="1" applyFill="1" applyBorder="1" applyAlignment="1">
      <alignment horizontal="center" vertical="center"/>
    </xf>
    <xf numFmtId="0" fontId="5" fillId="0" borderId="224" xfId="0" applyFont="1" applyFill="1" applyBorder="1" applyAlignment="1">
      <alignment horizontal="center" vertical="center" shrinkToFit="1"/>
    </xf>
    <xf numFmtId="177" fontId="25" fillId="0" borderId="23" xfId="0" applyNumberFormat="1" applyFont="1" applyFill="1" applyBorder="1" applyAlignment="1">
      <alignment horizontal="right" vertical="center" shrinkToFit="1"/>
    </xf>
    <xf numFmtId="177" fontId="25" fillId="0" borderId="31" xfId="0" applyNumberFormat="1" applyFont="1" applyFill="1" applyBorder="1" applyAlignment="1">
      <alignment horizontal="right" vertical="center" shrinkToFit="1"/>
    </xf>
    <xf numFmtId="177" fontId="25" fillId="0" borderId="0" xfId="0" applyNumberFormat="1" applyFont="1" applyFill="1" applyBorder="1" applyAlignment="1">
      <alignment horizontal="right" vertical="center" shrinkToFit="1"/>
    </xf>
    <xf numFmtId="38" fontId="10" fillId="23" borderId="23" xfId="0" applyNumberFormat="1" applyFont="1" applyFill="1" applyBorder="1" applyAlignment="1">
      <alignment horizontal="right" shrinkToFit="1"/>
    </xf>
    <xf numFmtId="38" fontId="10" fillId="23" borderId="31" xfId="0" applyNumberFormat="1" applyFont="1" applyFill="1" applyBorder="1" applyAlignment="1">
      <alignment horizontal="right" shrinkToFit="1"/>
    </xf>
    <xf numFmtId="38" fontId="10" fillId="23" borderId="130" xfId="0" applyNumberFormat="1" applyFont="1" applyFill="1" applyBorder="1" applyAlignment="1">
      <alignment horizontal="right" shrinkToFit="1"/>
    </xf>
    <xf numFmtId="38" fontId="10" fillId="23" borderId="184" xfId="0" applyNumberFormat="1" applyFont="1" applyFill="1" applyBorder="1" applyAlignment="1">
      <alignment horizontal="right" shrinkToFit="1"/>
    </xf>
    <xf numFmtId="0" fontId="35" fillId="0" borderId="191" xfId="0" applyFont="1" applyFill="1" applyBorder="1" applyAlignment="1">
      <alignment horizontal="left"/>
    </xf>
    <xf numFmtId="0" fontId="59" fillId="0" borderId="89" xfId="0" applyFont="1" applyFill="1" applyBorder="1" applyAlignment="1">
      <alignment horizontal="left"/>
    </xf>
    <xf numFmtId="0" fontId="5" fillId="0" borderId="91" xfId="0" applyFont="1" applyFill="1" applyBorder="1" applyAlignment="1">
      <alignment horizontal="center"/>
    </xf>
    <xf numFmtId="0" fontId="10" fillId="0" borderId="91" xfId="0" applyFont="1" applyFill="1" applyBorder="1" applyAlignment="1">
      <alignment horizontal="right"/>
    </xf>
    <xf numFmtId="0" fontId="10" fillId="0" borderId="91" xfId="0" applyFont="1" applyFill="1" applyBorder="1" applyAlignment="1">
      <alignment horizontal="right" shrinkToFit="1"/>
    </xf>
    <xf numFmtId="0" fontId="10" fillId="0" borderId="102" xfId="0" applyFont="1" applyFill="1" applyBorder="1" applyAlignment="1">
      <alignment horizontal="right" shrinkToFit="1"/>
    </xf>
    <xf numFmtId="0" fontId="19" fillId="0" borderId="224" xfId="0" applyFont="1" applyFill="1" applyBorder="1" applyAlignment="1">
      <alignment horizontal="left"/>
    </xf>
    <xf numFmtId="0" fontId="5" fillId="0" borderId="224" xfId="0" quotePrefix="1" applyFont="1" applyFill="1" applyBorder="1" applyAlignment="1">
      <alignment horizontal="left" shrinkToFit="1"/>
    </xf>
    <xf numFmtId="0" fontId="5" fillId="0" borderId="224" xfId="0" quotePrefix="1" applyFont="1" applyFill="1" applyBorder="1" applyAlignment="1">
      <alignment horizontal="left"/>
    </xf>
    <xf numFmtId="0" fontId="55" fillId="0" borderId="210" xfId="0" applyFont="1" applyFill="1" applyBorder="1" applyAlignment="1">
      <alignment horizontal="left" shrinkToFit="1"/>
    </xf>
    <xf numFmtId="0" fontId="5" fillId="0" borderId="210" xfId="0" applyFont="1" applyFill="1" applyBorder="1" applyAlignment="1">
      <alignment horizontal="left" shrinkToFit="1"/>
    </xf>
    <xf numFmtId="0" fontId="5" fillId="0" borderId="129" xfId="0" applyFont="1" applyFill="1" applyBorder="1" applyAlignment="1">
      <alignment horizontal="right"/>
    </xf>
    <xf numFmtId="177" fontId="25" fillId="32" borderId="23" xfId="0" applyNumberFormat="1" applyFont="1" applyFill="1" applyBorder="1" applyAlignment="1">
      <alignment horizontal="right" vertical="center" shrinkToFit="1"/>
    </xf>
    <xf numFmtId="177" fontId="25" fillId="32" borderId="31" xfId="0" applyNumberFormat="1" applyFont="1" applyFill="1" applyBorder="1" applyAlignment="1">
      <alignment horizontal="right" vertical="center" shrinkToFit="1"/>
    </xf>
    <xf numFmtId="0" fontId="5" fillId="0" borderId="162" xfId="0" applyFont="1" applyFill="1" applyBorder="1" applyAlignment="1">
      <alignment horizontal="left" shrinkToFit="1"/>
    </xf>
    <xf numFmtId="38" fontId="10" fillId="23" borderId="87" xfId="0" applyNumberFormat="1" applyFont="1" applyFill="1" applyBorder="1" applyAlignment="1">
      <alignment horizontal="right" shrinkToFit="1"/>
    </xf>
    <xf numFmtId="38" fontId="10" fillId="23" borderId="100" xfId="0" applyNumberFormat="1" applyFont="1" applyFill="1" applyBorder="1" applyAlignment="1">
      <alignment horizontal="right" shrinkToFit="1"/>
    </xf>
    <xf numFmtId="0" fontId="25" fillId="0" borderId="91" xfId="0" applyFont="1" applyFill="1" applyBorder="1" applyAlignment="1">
      <alignment horizontal="center" vertical="center" wrapText="1"/>
    </xf>
    <xf numFmtId="0" fontId="33" fillId="0" borderId="91" xfId="0" applyFont="1" applyFill="1" applyBorder="1" applyAlignment="1">
      <alignment horizontal="left" vertical="center"/>
    </xf>
    <xf numFmtId="38" fontId="25" fillId="0" borderId="91" xfId="0" applyNumberFormat="1" applyFont="1" applyFill="1" applyBorder="1" applyAlignment="1">
      <alignment horizontal="right" vertical="center"/>
    </xf>
    <xf numFmtId="38" fontId="25" fillId="0" borderId="91" xfId="0" applyNumberFormat="1" applyFont="1" applyFill="1" applyBorder="1" applyAlignment="1">
      <alignment horizontal="right" vertical="center" shrinkToFit="1"/>
    </xf>
    <xf numFmtId="38" fontId="25" fillId="0" borderId="207" xfId="0" applyNumberFormat="1" applyFont="1" applyFill="1" applyBorder="1" applyAlignment="1">
      <alignment horizontal="right" vertical="center" shrinkToFit="1"/>
    </xf>
    <xf numFmtId="0" fontId="25" fillId="0" borderId="84" xfId="0" applyFont="1" applyFill="1" applyBorder="1" applyAlignment="1">
      <alignment horizontal="left" vertical="center" shrinkToFit="1"/>
    </xf>
    <xf numFmtId="0" fontId="25" fillId="0" borderId="23" xfId="0" applyNumberFormat="1" applyFont="1" applyFill="1" applyBorder="1" applyAlignment="1">
      <alignment horizontal="right" vertical="center" shrinkToFit="1"/>
    </xf>
    <xf numFmtId="10" fontId="25" fillId="0" borderId="23" xfId="0" quotePrefix="1" applyNumberFormat="1" applyFont="1" applyFill="1" applyBorder="1" applyAlignment="1">
      <alignment horizontal="right" vertical="center" shrinkToFit="1"/>
    </xf>
    <xf numFmtId="177" fontId="25" fillId="0" borderId="23" xfId="0" applyNumberFormat="1" applyFont="1" applyFill="1" applyBorder="1" applyAlignment="1">
      <alignment horizontal="right" vertical="center"/>
    </xf>
    <xf numFmtId="177" fontId="25" fillId="0" borderId="31" xfId="0" applyNumberFormat="1" applyFont="1" applyFill="1" applyBorder="1" applyAlignment="1">
      <alignment horizontal="right" vertical="center"/>
    </xf>
    <xf numFmtId="0" fontId="25" fillId="0" borderId="23" xfId="0" applyFont="1" applyFill="1" applyBorder="1" applyAlignment="1">
      <alignment horizontal="left" vertical="center" shrinkToFit="1"/>
    </xf>
    <xf numFmtId="10" fontId="25" fillId="0" borderId="23" xfId="0" applyNumberFormat="1" applyFont="1" applyFill="1" applyBorder="1" applyAlignment="1">
      <alignment horizontal="right" vertical="center" shrinkToFit="1"/>
    </xf>
    <xf numFmtId="49" fontId="25" fillId="0" borderId="224" xfId="0" applyNumberFormat="1" applyFont="1" applyFill="1" applyBorder="1" applyAlignment="1">
      <alignment horizontal="left" vertical="center" shrinkToFit="1"/>
    </xf>
    <xf numFmtId="0" fontId="25" fillId="0" borderId="23" xfId="0" applyFont="1" applyFill="1" applyBorder="1" applyAlignment="1">
      <alignment vertical="center" shrinkToFit="1"/>
    </xf>
    <xf numFmtId="0" fontId="25" fillId="0" borderId="23" xfId="0" quotePrefix="1" applyFont="1" applyFill="1" applyBorder="1" applyAlignment="1">
      <alignment horizontal="left" vertical="center" shrinkToFit="1"/>
    </xf>
    <xf numFmtId="0" fontId="76" fillId="27" borderId="129" xfId="0" applyFont="1" applyFill="1" applyBorder="1" applyAlignment="1">
      <alignment horizontal="center" vertical="center" shrinkToFit="1"/>
    </xf>
    <xf numFmtId="0" fontId="76" fillId="27" borderId="23" xfId="0" applyFont="1" applyFill="1" applyBorder="1" applyAlignment="1">
      <alignment horizontal="left" vertical="center" shrinkToFit="1"/>
    </xf>
    <xf numFmtId="0" fontId="76" fillId="27" borderId="290" xfId="0" applyFont="1" applyFill="1" applyBorder="1" applyAlignment="1">
      <alignment horizontal="center" vertical="center" shrinkToFit="1"/>
    </xf>
    <xf numFmtId="0" fontId="65" fillId="27" borderId="129" xfId="0" applyFont="1" applyFill="1" applyBorder="1" applyAlignment="1">
      <alignment horizontal="left" vertical="center" shrinkToFit="1"/>
    </xf>
    <xf numFmtId="0" fontId="25" fillId="0" borderId="129" xfId="0" applyNumberFormat="1" applyFont="1" applyFill="1" applyBorder="1" applyAlignment="1">
      <alignment horizontal="right" vertical="center" shrinkToFit="1"/>
    </xf>
    <xf numFmtId="10" fontId="25" fillId="0" borderId="129" xfId="0" applyNumberFormat="1" applyFont="1" applyFill="1" applyBorder="1" applyAlignment="1">
      <alignment horizontal="right" vertical="center" shrinkToFit="1"/>
    </xf>
    <xf numFmtId="177" fontId="25" fillId="0" borderId="129" xfId="0" applyNumberFormat="1" applyFont="1" applyFill="1" applyBorder="1" applyAlignment="1">
      <alignment horizontal="right" vertical="center"/>
    </xf>
    <xf numFmtId="177" fontId="25" fillId="0" borderId="129" xfId="0" applyNumberFormat="1" applyFont="1" applyFill="1" applyBorder="1" applyAlignment="1">
      <alignment horizontal="right" vertical="center" shrinkToFit="1"/>
    </xf>
    <xf numFmtId="177" fontId="25" fillId="0" borderId="291" xfId="0" applyNumberFormat="1" applyFont="1" applyFill="1" applyBorder="1" applyAlignment="1">
      <alignment horizontal="right" vertical="center" shrinkToFit="1"/>
    </xf>
    <xf numFmtId="0" fontId="25" fillId="0" borderId="191" xfId="0" applyFont="1" applyFill="1" applyBorder="1" applyAlignment="1">
      <alignment horizontal="right" vertical="center"/>
    </xf>
    <xf numFmtId="0" fontId="25" fillId="0" borderId="294" xfId="0" applyFont="1" applyFill="1" applyBorder="1" applyAlignment="1">
      <alignment horizontal="left" vertical="center"/>
    </xf>
    <xf numFmtId="0" fontId="25" fillId="0" borderId="294" xfId="0" applyFont="1" applyFill="1" applyBorder="1" applyAlignment="1">
      <alignment horizontal="right" vertical="center"/>
    </xf>
    <xf numFmtId="177" fontId="25" fillId="0" borderId="294" xfId="0" applyNumberFormat="1" applyFont="1" applyFill="1" applyBorder="1" applyAlignment="1">
      <alignment horizontal="right" vertical="center"/>
    </xf>
    <xf numFmtId="177" fontId="25" fillId="0" borderId="294" xfId="0" applyNumberFormat="1" applyFont="1" applyFill="1" applyBorder="1" applyAlignment="1">
      <alignment horizontal="right" vertical="center" shrinkToFit="1"/>
    </xf>
    <xf numFmtId="177" fontId="25" fillId="0" borderId="295" xfId="0" applyNumberFormat="1" applyFont="1" applyFill="1" applyBorder="1" applyAlignment="1">
      <alignment horizontal="right" vertical="center" shrinkToFit="1"/>
    </xf>
    <xf numFmtId="177" fontId="25" fillId="19" borderId="294" xfId="0" applyNumberFormat="1" applyFont="1" applyFill="1" applyBorder="1" applyAlignment="1">
      <alignment horizontal="right" vertical="center" shrinkToFit="1"/>
    </xf>
    <xf numFmtId="177" fontId="19" fillId="18" borderId="294" xfId="0" applyNumberFormat="1" applyFont="1" applyFill="1" applyBorder="1" applyAlignment="1">
      <alignment horizontal="right" vertical="center" shrinkToFit="1"/>
    </xf>
    <xf numFmtId="0" fontId="25" fillId="0" borderId="298" xfId="0" applyFont="1" applyFill="1" applyBorder="1" applyAlignment="1">
      <alignment horizontal="left" vertical="center"/>
    </xf>
    <xf numFmtId="0" fontId="25" fillId="0" borderId="298" xfId="0" applyFont="1" applyFill="1" applyBorder="1" applyAlignment="1">
      <alignment horizontal="right" vertical="center"/>
    </xf>
    <xf numFmtId="177" fontId="25" fillId="0" borderId="298" xfId="0" applyNumberFormat="1" applyFont="1" applyFill="1" applyBorder="1" applyAlignment="1">
      <alignment horizontal="right" vertical="center" shrinkToFit="1"/>
    </xf>
    <xf numFmtId="0" fontId="59" fillId="0" borderId="189" xfId="0" applyFont="1" applyBorder="1" applyAlignment="1">
      <alignment vertical="center"/>
    </xf>
    <xf numFmtId="0" fontId="19" fillId="0" borderId="190" xfId="0" applyFont="1" applyBorder="1" applyAlignment="1">
      <alignment vertical="center"/>
    </xf>
    <xf numFmtId="0" fontId="19" fillId="0" borderId="193" xfId="0" applyFont="1" applyBorder="1" applyAlignment="1">
      <alignment vertical="center"/>
    </xf>
    <xf numFmtId="0" fontId="19" fillId="0" borderId="193" xfId="0" applyFont="1" applyFill="1" applyBorder="1" applyAlignment="1">
      <alignment horizontal="right" vertical="center"/>
    </xf>
    <xf numFmtId="177" fontId="19" fillId="0" borderId="193" xfId="0" applyNumberFormat="1" applyFont="1" applyBorder="1" applyAlignment="1">
      <alignment vertical="center"/>
    </xf>
    <xf numFmtId="177" fontId="19" fillId="0" borderId="193" xfId="0" applyNumberFormat="1" applyFont="1" applyBorder="1" applyAlignment="1">
      <alignment vertical="center" shrinkToFit="1"/>
    </xf>
    <xf numFmtId="0" fontId="19" fillId="0" borderId="191" xfId="0" applyFont="1" applyBorder="1" applyAlignment="1">
      <alignment vertical="center"/>
    </xf>
    <xf numFmtId="0" fontId="19" fillId="0" borderId="301" xfId="0" applyNumberFormat="1" applyFont="1" applyFill="1" applyBorder="1" applyAlignment="1">
      <alignment horizontal="right" vertical="center" shrinkToFit="1"/>
    </xf>
    <xf numFmtId="10" fontId="19" fillId="0" borderId="301" xfId="0" quotePrefix="1" applyNumberFormat="1" applyFont="1" applyFill="1" applyBorder="1" applyAlignment="1">
      <alignment horizontal="right" vertical="center" shrinkToFit="1"/>
    </xf>
    <xf numFmtId="177" fontId="19" fillId="0" borderId="301" xfId="0" applyNumberFormat="1" applyFont="1" applyBorder="1" applyAlignment="1">
      <alignment vertical="center"/>
    </xf>
    <xf numFmtId="177" fontId="19" fillId="32" borderId="301" xfId="0" applyNumberFormat="1" applyFont="1" applyFill="1" applyBorder="1" applyAlignment="1">
      <alignment vertical="center" shrinkToFit="1"/>
    </xf>
    <xf numFmtId="177" fontId="19" fillId="32" borderId="302" xfId="0" applyNumberFormat="1" applyFont="1" applyFill="1" applyBorder="1" applyAlignment="1">
      <alignment vertical="center" shrinkToFit="1"/>
    </xf>
    <xf numFmtId="0" fontId="19" fillId="0" borderId="303" xfId="0" applyFont="1" applyBorder="1" applyAlignment="1">
      <alignment vertical="center"/>
    </xf>
    <xf numFmtId="0" fontId="19" fillId="0" borderId="304" xfId="0" applyFont="1" applyBorder="1" applyAlignment="1">
      <alignment vertical="center"/>
    </xf>
    <xf numFmtId="0" fontId="19" fillId="0" borderId="305" xfId="0" applyFont="1" applyBorder="1" applyAlignment="1">
      <alignment vertical="center"/>
    </xf>
    <xf numFmtId="0" fontId="19" fillId="0" borderId="305" xfId="0" applyFont="1" applyFill="1" applyBorder="1" applyAlignment="1">
      <alignment horizontal="right" vertical="center"/>
    </xf>
    <xf numFmtId="177" fontId="19" fillId="0" borderId="305" xfId="0" applyNumberFormat="1" applyFont="1" applyBorder="1" applyAlignment="1">
      <alignment vertical="center"/>
    </xf>
    <xf numFmtId="0" fontId="19" fillId="0" borderId="294" xfId="0" applyFont="1" applyFill="1" applyBorder="1" applyAlignment="1">
      <alignment horizontal="left" vertical="center"/>
    </xf>
    <xf numFmtId="0" fontId="19" fillId="0" borderId="294" xfId="0" applyFont="1" applyFill="1" applyBorder="1" applyAlignment="1">
      <alignment horizontal="right" vertical="center"/>
    </xf>
    <xf numFmtId="177" fontId="19" fillId="0" borderId="294" xfId="0" applyNumberFormat="1" applyFont="1" applyFill="1" applyBorder="1" applyAlignment="1">
      <alignment horizontal="right" vertical="center"/>
    </xf>
    <xf numFmtId="177" fontId="19" fillId="0" borderId="294" xfId="0" applyNumberFormat="1" applyFont="1" applyFill="1" applyBorder="1" applyAlignment="1">
      <alignment horizontal="right" vertical="center" shrinkToFit="1"/>
    </xf>
    <xf numFmtId="177" fontId="25" fillId="18" borderId="294" xfId="0" applyNumberFormat="1" applyFont="1" applyFill="1" applyBorder="1" applyAlignment="1">
      <alignment horizontal="right" vertical="center" shrinkToFit="1"/>
    </xf>
    <xf numFmtId="0" fontId="19" fillId="0" borderId="292" xfId="0" applyFont="1" applyBorder="1" applyAlignment="1">
      <alignment vertical="center"/>
    </xf>
    <xf numFmtId="0" fontId="19" fillId="0" borderId="176" xfId="0" applyFont="1" applyBorder="1" applyAlignment="1">
      <alignment vertical="center"/>
    </xf>
    <xf numFmtId="0" fontId="19" fillId="0" borderId="306" xfId="0" applyFont="1" applyBorder="1" applyAlignment="1">
      <alignment vertical="center"/>
    </xf>
    <xf numFmtId="0" fontId="19" fillId="0" borderId="306" xfId="0" applyFont="1" applyFill="1" applyBorder="1" applyAlignment="1">
      <alignment horizontal="right" vertical="center"/>
    </xf>
    <xf numFmtId="177" fontId="19" fillId="0" borderId="306" xfId="0" applyNumberFormat="1" applyFont="1" applyFill="1" applyBorder="1" applyAlignment="1">
      <alignment horizontal="right" vertical="center"/>
    </xf>
    <xf numFmtId="177" fontId="19" fillId="0" borderId="306" xfId="0" applyNumberFormat="1" applyFont="1" applyFill="1" applyBorder="1" applyAlignment="1">
      <alignment horizontal="right" vertical="center" shrinkToFit="1"/>
    </xf>
    <xf numFmtId="177" fontId="25" fillId="0" borderId="306" xfId="0" applyNumberFormat="1" applyFont="1" applyFill="1" applyBorder="1" applyAlignment="1">
      <alignment horizontal="right" vertical="center" shrinkToFit="1"/>
    </xf>
    <xf numFmtId="177" fontId="25" fillId="0" borderId="307" xfId="0" applyNumberFormat="1" applyFont="1" applyFill="1" applyBorder="1" applyAlignment="1">
      <alignment horizontal="right" vertical="center" shrinkToFit="1"/>
    </xf>
    <xf numFmtId="0" fontId="19" fillId="0" borderId="296" xfId="0" applyFont="1" applyBorder="1" applyAlignment="1">
      <alignment vertical="center"/>
    </xf>
    <xf numFmtId="0" fontId="19" fillId="0" borderId="308" xfId="0" applyFont="1" applyBorder="1" applyAlignment="1">
      <alignment vertical="center"/>
    </xf>
    <xf numFmtId="0" fontId="19" fillId="0" borderId="298" xfId="0" applyFont="1" applyBorder="1" applyAlignment="1">
      <alignment vertical="center"/>
    </xf>
    <xf numFmtId="0" fontId="19" fillId="0" borderId="298" xfId="0" applyFont="1" applyFill="1" applyBorder="1" applyAlignment="1">
      <alignment horizontal="right" vertical="center"/>
    </xf>
    <xf numFmtId="177" fontId="19" fillId="0" borderId="298" xfId="0" applyNumberFormat="1" applyFont="1" applyFill="1" applyBorder="1" applyAlignment="1">
      <alignment horizontal="right" vertical="center"/>
    </xf>
    <xf numFmtId="177" fontId="19" fillId="0" borderId="298" xfId="0" applyNumberFormat="1" applyFont="1" applyFill="1" applyBorder="1" applyAlignment="1">
      <alignment horizontal="right" vertical="center" shrinkToFit="1"/>
    </xf>
    <xf numFmtId="177" fontId="25" fillId="0" borderId="309" xfId="0" applyNumberFormat="1" applyFont="1" applyFill="1" applyBorder="1" applyAlignment="1">
      <alignment horizontal="right" vertical="center" shrinkToFit="1"/>
    </xf>
    <xf numFmtId="0" fontId="59" fillId="0" borderId="199" xfId="0" applyFont="1" applyBorder="1" applyAlignment="1">
      <alignment vertical="center"/>
    </xf>
    <xf numFmtId="0" fontId="66" fillId="0" borderId="200" xfId="0" applyFont="1" applyFill="1" applyBorder="1" applyAlignment="1">
      <alignment vertical="center" shrinkToFit="1"/>
    </xf>
    <xf numFmtId="0" fontId="19" fillId="0" borderId="200" xfId="0" applyFont="1" applyFill="1" applyBorder="1" applyAlignment="1">
      <alignment vertical="center" shrinkToFit="1"/>
    </xf>
    <xf numFmtId="194" fontId="19" fillId="0" borderId="201" xfId="0" applyNumberFormat="1" applyFont="1" applyFill="1" applyBorder="1" applyAlignment="1">
      <alignment horizontal="right" vertical="center" shrinkToFit="1"/>
    </xf>
    <xf numFmtId="10" fontId="19" fillId="0" borderId="201" xfId="0" quotePrefix="1" applyNumberFormat="1" applyFont="1" applyFill="1" applyBorder="1" applyAlignment="1">
      <alignment horizontal="right" vertical="center" shrinkToFit="1"/>
    </xf>
    <xf numFmtId="177" fontId="19" fillId="0" borderId="201" xfId="0" applyNumberFormat="1" applyFont="1" applyBorder="1" applyAlignment="1">
      <alignment vertical="center"/>
    </xf>
    <xf numFmtId="177" fontId="19" fillId="0" borderId="201" xfId="0" applyNumberFormat="1" applyFont="1" applyBorder="1" applyAlignment="1">
      <alignment vertical="center" shrinkToFit="1"/>
    </xf>
    <xf numFmtId="177" fontId="19" fillId="0" borderId="208" xfId="0" applyNumberFormat="1" applyFont="1" applyBorder="1" applyAlignment="1">
      <alignment vertical="center" shrinkToFit="1"/>
    </xf>
    <xf numFmtId="0" fontId="59" fillId="0" borderId="310" xfId="0" applyFont="1" applyBorder="1" applyAlignment="1">
      <alignment vertical="center"/>
    </xf>
    <xf numFmtId="0" fontId="19" fillId="0" borderId="311" xfId="0" applyFont="1" applyBorder="1" applyAlignment="1">
      <alignment vertical="center"/>
    </xf>
    <xf numFmtId="0" fontId="19" fillId="0" borderId="312" xfId="0" applyFont="1" applyBorder="1" applyAlignment="1">
      <alignment vertical="center"/>
    </xf>
    <xf numFmtId="0" fontId="29" fillId="0" borderId="312" xfId="0" applyFont="1" applyBorder="1" applyAlignment="1">
      <alignment horizontal="right" vertical="center"/>
    </xf>
    <xf numFmtId="177" fontId="19" fillId="0" borderId="312" xfId="0" applyNumberFormat="1" applyFont="1" applyBorder="1" applyAlignment="1">
      <alignment vertical="center"/>
    </xf>
    <xf numFmtId="177" fontId="19" fillId="0" borderId="312" xfId="0" applyNumberFormat="1" applyFont="1" applyBorder="1" applyAlignment="1">
      <alignment vertical="center" shrinkToFit="1"/>
    </xf>
    <xf numFmtId="177" fontId="19" fillId="0" borderId="313" xfId="0" applyNumberFormat="1" applyFont="1" applyBorder="1" applyAlignment="1">
      <alignment vertical="center" shrinkToFit="1"/>
    </xf>
    <xf numFmtId="0" fontId="59" fillId="0" borderId="191" xfId="0" applyFont="1" applyBorder="1" applyAlignment="1">
      <alignment vertical="center"/>
    </xf>
    <xf numFmtId="0" fontId="19" fillId="0" borderId="0" xfId="0" applyFont="1" applyBorder="1" applyAlignment="1">
      <alignment vertical="center"/>
    </xf>
    <xf numFmtId="0" fontId="19" fillId="0" borderId="130" xfId="0" applyFont="1" applyBorder="1" applyAlignment="1">
      <alignment vertical="center"/>
    </xf>
    <xf numFmtId="176" fontId="29" fillId="0" borderId="130" xfId="0" applyNumberFormat="1" applyFont="1" applyBorder="1" applyAlignment="1">
      <alignment horizontal="right" vertical="center"/>
    </xf>
    <xf numFmtId="177" fontId="19" fillId="0" borderId="130" xfId="0" applyNumberFormat="1" applyFont="1" applyBorder="1" applyAlignment="1">
      <alignment vertical="center"/>
    </xf>
    <xf numFmtId="38" fontId="19" fillId="0" borderId="130" xfId="1" applyFont="1" applyBorder="1" applyAlignment="1">
      <alignment vertical="center" shrinkToFit="1"/>
    </xf>
    <xf numFmtId="38" fontId="5" fillId="0" borderId="129" xfId="1" applyFont="1" applyFill="1" applyBorder="1" applyAlignment="1">
      <alignment shrinkToFit="1"/>
    </xf>
    <xf numFmtId="38" fontId="5" fillId="0" borderId="131" xfId="1" applyFont="1" applyFill="1" applyBorder="1" applyAlignment="1">
      <alignment shrinkToFit="1"/>
    </xf>
    <xf numFmtId="0" fontId="66" fillId="0" borderId="314" xfId="0" applyFont="1" applyBorder="1" applyAlignment="1">
      <alignment vertical="center"/>
    </xf>
    <xf numFmtId="0" fontId="19" fillId="0" borderId="314" xfId="0" applyFont="1" applyBorder="1" applyAlignment="1">
      <alignment vertical="center"/>
    </xf>
    <xf numFmtId="0" fontId="19" fillId="0" borderId="315" xfId="0" applyFont="1" applyBorder="1" applyAlignment="1">
      <alignment vertical="center"/>
    </xf>
    <xf numFmtId="177" fontId="19" fillId="0" borderId="315" xfId="0" applyNumberFormat="1" applyFont="1" applyBorder="1" applyAlignment="1">
      <alignment vertical="center"/>
    </xf>
    <xf numFmtId="177" fontId="19" fillId="0" borderId="315" xfId="0" applyNumberFormat="1" applyFont="1" applyBorder="1" applyAlignment="1">
      <alignment vertical="center" shrinkToFit="1"/>
    </xf>
    <xf numFmtId="177" fontId="19" fillId="0" borderId="316" xfId="0" applyNumberFormat="1" applyFont="1" applyBorder="1" applyAlignment="1">
      <alignment vertical="center" shrinkToFit="1"/>
    </xf>
    <xf numFmtId="177" fontId="19" fillId="0" borderId="298" xfId="0" applyNumberFormat="1" applyFont="1" applyBorder="1" applyAlignment="1">
      <alignment vertical="center"/>
    </xf>
    <xf numFmtId="177" fontId="19" fillId="0" borderId="298" xfId="0" applyNumberFormat="1" applyFont="1" applyBorder="1" applyAlignment="1">
      <alignment vertical="center" shrinkToFit="1"/>
    </xf>
    <xf numFmtId="177" fontId="19" fillId="0" borderId="296" xfId="0" applyNumberFormat="1" applyFont="1" applyBorder="1" applyAlignment="1">
      <alignment vertical="center" shrinkToFit="1"/>
    </xf>
    <xf numFmtId="0" fontId="77" fillId="0" borderId="0" xfId="0" applyFont="1" applyBorder="1" applyAlignment="1">
      <alignment vertical="center"/>
    </xf>
    <xf numFmtId="0" fontId="78" fillId="0" borderId="0" xfId="0" applyFont="1" applyBorder="1" applyAlignment="1">
      <alignment vertical="center"/>
    </xf>
    <xf numFmtId="177" fontId="78" fillId="0" borderId="0" xfId="0" applyNumberFormat="1" applyFont="1" applyBorder="1" applyAlignment="1">
      <alignment vertical="center"/>
    </xf>
    <xf numFmtId="0" fontId="79" fillId="0" borderId="0" xfId="0" applyFont="1" applyBorder="1" applyAlignment="1">
      <alignment horizontal="right" vertical="center"/>
    </xf>
    <xf numFmtId="177" fontId="78" fillId="0" borderId="0" xfId="0" applyNumberFormat="1" applyFont="1" applyBorder="1" applyAlignment="1">
      <alignment vertical="center" shrinkToFit="1"/>
    </xf>
    <xf numFmtId="0" fontId="80" fillId="0" borderId="0" xfId="0" applyFont="1" applyBorder="1" applyAlignment="1">
      <alignment vertical="center"/>
    </xf>
    <xf numFmtId="0" fontId="55" fillId="0" borderId="0" xfId="0" applyFont="1" applyFill="1" applyBorder="1" applyAlignment="1">
      <alignment horizontal="right"/>
    </xf>
    <xf numFmtId="0" fontId="55" fillId="0" borderId="0" xfId="0" applyFont="1" applyFill="1" applyBorder="1" applyAlignment="1">
      <alignment horizontal="center"/>
    </xf>
    <xf numFmtId="0" fontId="81" fillId="0" borderId="0" xfId="0" applyFont="1" applyFill="1" applyBorder="1" applyAlignment="1">
      <alignment horizontal="center"/>
    </xf>
    <xf numFmtId="0" fontId="82" fillId="0" borderId="0" xfId="0" applyFont="1" applyFill="1" applyBorder="1" applyAlignment="1">
      <alignment horizontal="right"/>
    </xf>
    <xf numFmtId="0" fontId="83" fillId="0" borderId="0" xfId="0" applyFont="1" applyFill="1" applyBorder="1" applyAlignment="1">
      <alignment horizontal="left"/>
    </xf>
    <xf numFmtId="0" fontId="84" fillId="0" borderId="0" xfId="0" applyFont="1" applyFill="1" applyBorder="1" applyAlignment="1">
      <alignment horizontal="center"/>
    </xf>
    <xf numFmtId="0" fontId="84" fillId="0" borderId="0" xfId="0" applyFont="1" applyFill="1" applyBorder="1" applyAlignment="1">
      <alignment horizontal="left"/>
    </xf>
    <xf numFmtId="0" fontId="81" fillId="0" borderId="0" xfId="0" applyFont="1" applyFill="1" applyBorder="1" applyAlignment="1">
      <alignment horizontal="right" shrinkToFit="1"/>
    </xf>
    <xf numFmtId="0" fontId="83" fillId="0" borderId="0" xfId="0" applyFont="1" applyFill="1" applyBorder="1" applyAlignment="1">
      <alignment horizontal="distributed"/>
    </xf>
    <xf numFmtId="0" fontId="10" fillId="0" borderId="12" xfId="0" applyFont="1" applyFill="1" applyBorder="1" applyAlignment="1">
      <alignment horizontal="center" shrinkToFit="1"/>
    </xf>
    <xf numFmtId="0" fontId="10" fillId="0" borderId="191" xfId="0" applyFont="1" applyFill="1" applyBorder="1" applyAlignment="1">
      <alignment horizontal="right" shrinkToFit="1"/>
    </xf>
    <xf numFmtId="192" fontId="5" fillId="16" borderId="84" xfId="0" applyNumberFormat="1" applyFont="1" applyFill="1" applyBorder="1" applyAlignment="1">
      <alignment horizontal="center" shrinkToFit="1"/>
    </xf>
    <xf numFmtId="192" fontId="5" fillId="16" borderId="185" xfId="0" applyNumberFormat="1" applyFont="1" applyFill="1" applyBorder="1" applyAlignment="1">
      <alignment horizontal="center" shrinkToFit="1"/>
    </xf>
    <xf numFmtId="192" fontId="5" fillId="16" borderId="261" xfId="0" applyNumberFormat="1" applyFont="1" applyFill="1" applyBorder="1" applyAlignment="1">
      <alignment horizontal="center" shrinkToFit="1"/>
    </xf>
    <xf numFmtId="192" fontId="5" fillId="16" borderId="31" xfId="0" applyNumberFormat="1" applyFont="1" applyFill="1" applyBorder="1" applyAlignment="1">
      <alignment horizontal="center" shrinkToFit="1"/>
    </xf>
    <xf numFmtId="0" fontId="5" fillId="16" borderId="130" xfId="0" applyFont="1" applyFill="1" applyBorder="1" applyAlignment="1">
      <alignment horizontal="center"/>
    </xf>
    <xf numFmtId="192" fontId="5" fillId="0" borderId="130" xfId="0" applyNumberFormat="1" applyFont="1" applyFill="1" applyBorder="1" applyAlignment="1">
      <alignment horizontal="center" shrinkToFit="1"/>
    </xf>
    <xf numFmtId="192" fontId="5" fillId="0" borderId="129" xfId="0" applyNumberFormat="1" applyFont="1" applyFill="1" applyBorder="1" applyAlignment="1">
      <alignment horizontal="center" shrinkToFit="1"/>
    </xf>
    <xf numFmtId="192" fontId="5" fillId="0" borderId="131" xfId="0" applyNumberFormat="1" applyFont="1" applyFill="1" applyBorder="1" applyAlignment="1">
      <alignment horizontal="center" shrinkToFit="1"/>
    </xf>
    <xf numFmtId="0" fontId="56" fillId="0" borderId="261" xfId="0" applyFont="1" applyFill="1" applyBorder="1" applyAlignment="1"/>
    <xf numFmtId="0" fontId="10" fillId="0" borderId="261" xfId="0" applyFont="1" applyFill="1" applyBorder="1" applyAlignment="1">
      <alignment horizontal="center" shrinkToFit="1"/>
    </xf>
    <xf numFmtId="0" fontId="10" fillId="0" borderId="266" xfId="0" applyFont="1" applyFill="1" applyBorder="1" applyAlignment="1">
      <alignment horizontal="center" shrinkToFit="1"/>
    </xf>
    <xf numFmtId="38" fontId="10" fillId="16" borderId="84" xfId="0" applyNumberFormat="1" applyFont="1" applyFill="1" applyBorder="1" applyAlignment="1">
      <alignment horizontal="right" shrinkToFit="1"/>
    </xf>
    <xf numFmtId="38" fontId="10" fillId="16" borderId="185" xfId="0" applyNumberFormat="1" applyFont="1" applyFill="1" applyBorder="1" applyAlignment="1">
      <alignment horizontal="right" shrinkToFit="1"/>
    </xf>
    <xf numFmtId="38" fontId="10" fillId="16" borderId="23" xfId="0" applyNumberFormat="1" applyFont="1" applyFill="1" applyBorder="1" applyAlignment="1">
      <alignment horizontal="right" shrinkToFit="1"/>
    </xf>
    <xf numFmtId="38" fontId="10" fillId="16" borderId="31" xfId="0" applyNumberFormat="1" applyFont="1" applyFill="1" applyBorder="1" applyAlignment="1">
      <alignment horizontal="right" shrinkToFit="1"/>
    </xf>
    <xf numFmtId="38" fontId="10" fillId="16" borderId="130" xfId="0" applyNumberFormat="1" applyFont="1" applyFill="1" applyBorder="1" applyAlignment="1">
      <alignment horizontal="right" shrinkToFit="1"/>
    </xf>
    <xf numFmtId="38" fontId="10" fillId="16" borderId="184" xfId="0" applyNumberFormat="1" applyFont="1" applyFill="1" applyBorder="1" applyAlignment="1">
      <alignment horizontal="right" shrinkToFit="1"/>
    </xf>
    <xf numFmtId="0" fontId="5" fillId="0" borderId="162" xfId="0" applyFont="1" applyFill="1" applyBorder="1" applyAlignment="1">
      <alignment horizontal="center"/>
    </xf>
    <xf numFmtId="38" fontId="10" fillId="0" borderId="130" xfId="0" applyNumberFormat="1" applyFont="1" applyFill="1" applyBorder="1" applyAlignment="1">
      <alignment horizontal="right" shrinkToFit="1"/>
    </xf>
    <xf numFmtId="38" fontId="10" fillId="0" borderId="184" xfId="0" applyNumberFormat="1" applyFont="1" applyFill="1" applyBorder="1" applyAlignment="1">
      <alignment horizontal="right" shrinkToFit="1"/>
    </xf>
    <xf numFmtId="0" fontId="5" fillId="0" borderId="265" xfId="0" applyFont="1" applyFill="1" applyBorder="1" applyAlignment="1">
      <alignment horizontal="left"/>
    </xf>
    <xf numFmtId="0" fontId="5" fillId="0" borderId="14" xfId="0" applyFont="1" applyFill="1" applyBorder="1" applyAlignment="1">
      <alignment horizontal="right"/>
    </xf>
    <xf numFmtId="0" fontId="5" fillId="0" borderId="150" xfId="0" applyFont="1" applyFill="1" applyBorder="1" applyAlignment="1">
      <alignment horizontal="right"/>
    </xf>
    <xf numFmtId="0" fontId="5" fillId="0" borderId="15" xfId="0" applyFont="1" applyFill="1" applyBorder="1" applyAlignment="1">
      <alignment horizontal="right"/>
    </xf>
    <xf numFmtId="0" fontId="35" fillId="0" borderId="0" xfId="0" applyFont="1" applyFill="1" applyBorder="1" applyAlignment="1">
      <alignment horizontal="left"/>
    </xf>
    <xf numFmtId="0" fontId="59" fillId="0" borderId="0" xfId="0" applyFont="1" applyFill="1" applyBorder="1" applyAlignment="1">
      <alignment horizontal="center"/>
    </xf>
    <xf numFmtId="0" fontId="10" fillId="0" borderId="0" xfId="0" applyFont="1" applyFill="1" applyBorder="1" applyAlignment="1">
      <alignment horizontal="left" shrinkToFit="1"/>
    </xf>
    <xf numFmtId="0" fontId="10" fillId="0" borderId="0" xfId="0" applyFont="1" applyFill="1" applyBorder="1" applyAlignment="1"/>
    <xf numFmtId="177" fontId="25" fillId="29" borderId="23" xfId="0" applyNumberFormat="1" applyFont="1" applyFill="1" applyBorder="1" applyAlignment="1">
      <alignment horizontal="right" vertical="center" shrinkToFit="1"/>
    </xf>
    <xf numFmtId="177" fontId="25" fillId="29" borderId="31" xfId="0" applyNumberFormat="1" applyFont="1" applyFill="1" applyBorder="1" applyAlignment="1">
      <alignment horizontal="right" vertical="center" shrinkToFit="1"/>
    </xf>
    <xf numFmtId="38" fontId="10" fillId="16" borderId="87" xfId="0" applyNumberFormat="1" applyFont="1" applyFill="1" applyBorder="1" applyAlignment="1">
      <alignment horizontal="right" shrinkToFit="1"/>
    </xf>
    <xf numFmtId="38" fontId="10" fillId="16" borderId="100" xfId="0" applyNumberFormat="1" applyFont="1" applyFill="1" applyBorder="1" applyAlignment="1">
      <alignment horizontal="right" shrinkToFit="1"/>
    </xf>
    <xf numFmtId="0" fontId="5" fillId="0" borderId="23" xfId="0" quotePrefix="1" applyFont="1" applyFill="1" applyBorder="1" applyAlignment="1">
      <alignment horizontal="left" shrinkToFit="1"/>
    </xf>
    <xf numFmtId="0" fontId="5" fillId="0" borderId="181" xfId="0" applyFont="1" applyFill="1" applyBorder="1" applyAlignment="1">
      <alignment horizontal="center" vertical="center" shrinkToFit="1"/>
    </xf>
    <xf numFmtId="0" fontId="5" fillId="0" borderId="190" xfId="0" applyFont="1" applyFill="1" applyBorder="1" applyAlignment="1">
      <alignment horizontal="center" vertical="center" shrinkToFit="1"/>
    </xf>
    <xf numFmtId="0" fontId="5" fillId="0" borderId="190" xfId="0" applyFont="1" applyFill="1" applyBorder="1" applyAlignment="1">
      <alignment horizontal="left" shrinkToFit="1"/>
    </xf>
    <xf numFmtId="0" fontId="5" fillId="0" borderId="23" xfId="0" applyFont="1" applyFill="1" applyBorder="1" applyAlignment="1">
      <alignment horizontal="left" vertical="center" shrinkToFit="1"/>
    </xf>
    <xf numFmtId="0" fontId="5" fillId="0" borderId="269" xfId="0" applyFont="1" applyFill="1" applyBorder="1" applyAlignment="1">
      <alignment horizontal="center" vertical="center" shrinkToFit="1"/>
    </xf>
    <xf numFmtId="49" fontId="5" fillId="0" borderId="87" xfId="0" applyNumberFormat="1" applyFont="1" applyFill="1" applyBorder="1" applyAlignment="1">
      <alignment horizontal="left" shrinkToFit="1"/>
    </xf>
    <xf numFmtId="193" fontId="5" fillId="0" borderId="270" xfId="0" applyNumberFormat="1" applyFont="1" applyFill="1" applyBorder="1" applyAlignment="1">
      <alignment shrinkToFit="1"/>
    </xf>
    <xf numFmtId="10" fontId="5" fillId="0" borderId="270" xfId="0" applyNumberFormat="1" applyFont="1" applyFill="1" applyBorder="1" applyAlignment="1">
      <alignment horizontal="right" shrinkToFit="1"/>
    </xf>
    <xf numFmtId="0" fontId="5" fillId="0" borderId="195" xfId="0" applyFont="1" applyFill="1" applyBorder="1" applyAlignment="1">
      <alignment horizontal="right"/>
    </xf>
    <xf numFmtId="0" fontId="5" fillId="0" borderId="196" xfId="0" applyFont="1" applyFill="1" applyBorder="1" applyAlignment="1">
      <alignment horizontal="right"/>
    </xf>
    <xf numFmtId="0" fontId="5" fillId="0" borderId="196" xfId="0" applyFont="1" applyFill="1" applyBorder="1" applyAlignment="1">
      <alignment horizontal="left"/>
    </xf>
    <xf numFmtId="0" fontId="5" fillId="0" borderId="197" xfId="0" applyFont="1" applyFill="1" applyBorder="1" applyAlignment="1">
      <alignment horizontal="left"/>
    </xf>
    <xf numFmtId="0" fontId="5" fillId="0" borderId="197" xfId="0" applyFont="1" applyFill="1" applyBorder="1" applyAlignment="1">
      <alignment horizontal="right"/>
    </xf>
    <xf numFmtId="38" fontId="10" fillId="0" borderId="197" xfId="0" applyNumberFormat="1" applyFont="1" applyFill="1" applyBorder="1" applyAlignment="1">
      <alignment horizontal="right"/>
    </xf>
    <xf numFmtId="38" fontId="10" fillId="0" borderId="197" xfId="0" applyNumberFormat="1" applyFont="1" applyFill="1" applyBorder="1" applyAlignment="1">
      <alignment horizontal="right" shrinkToFit="1"/>
    </xf>
    <xf numFmtId="38" fontId="10" fillId="0" borderId="209" xfId="0" applyNumberFormat="1" applyFont="1" applyFill="1" applyBorder="1" applyAlignment="1">
      <alignment horizontal="right" shrinkToFit="1"/>
    </xf>
    <xf numFmtId="10" fontId="5" fillId="0" borderId="23" xfId="3" applyNumberFormat="1" applyFont="1" applyFill="1" applyBorder="1" applyAlignment="1">
      <alignment horizontal="left" shrinkToFit="1"/>
    </xf>
    <xf numFmtId="38" fontId="10" fillId="32" borderId="23" xfId="0" applyNumberFormat="1" applyFont="1" applyFill="1" applyBorder="1" applyAlignment="1">
      <alignment horizontal="right" shrinkToFit="1"/>
    </xf>
    <xf numFmtId="38" fontId="10" fillId="32" borderId="31" xfId="0" applyNumberFormat="1" applyFont="1" applyFill="1" applyBorder="1" applyAlignment="1">
      <alignment horizontal="right" shrinkToFit="1"/>
    </xf>
    <xf numFmtId="0" fontId="29" fillId="0" borderId="23" xfId="0" applyFont="1" applyFill="1" applyBorder="1" applyAlignment="1">
      <alignment horizontal="left" shrinkToFit="1"/>
    </xf>
    <xf numFmtId="0" fontId="5" fillId="0" borderId="178" xfId="0" applyFont="1" applyFill="1" applyBorder="1" applyAlignment="1">
      <alignment horizontal="center" vertical="center" shrinkToFit="1"/>
    </xf>
    <xf numFmtId="0" fontId="10" fillId="0" borderId="89" xfId="0" applyFont="1" applyFill="1" applyBorder="1" applyAlignment="1">
      <alignment horizontal="right" shrinkToFit="1"/>
    </xf>
    <xf numFmtId="38" fontId="10" fillId="0" borderId="184" xfId="0" applyNumberFormat="1" applyFont="1" applyFill="1" applyBorder="1" applyAlignment="1">
      <alignment horizontal="right"/>
    </xf>
    <xf numFmtId="10" fontId="5" fillId="0" borderId="84" xfId="0" quotePrefix="1" applyNumberFormat="1" applyFont="1" applyFill="1" applyBorder="1" applyAlignment="1">
      <alignment horizontal="right" shrinkToFit="1"/>
    </xf>
    <xf numFmtId="38" fontId="10" fillId="32" borderId="261" xfId="0" applyNumberFormat="1" applyFont="1" applyFill="1" applyBorder="1" applyAlignment="1">
      <alignment horizontal="right" shrinkToFit="1"/>
    </xf>
    <xf numFmtId="38" fontId="10" fillId="32" borderId="266" xfId="0" applyNumberFormat="1" applyFont="1" applyFill="1" applyBorder="1" applyAlignment="1">
      <alignment horizontal="right" shrinkToFit="1"/>
    </xf>
    <xf numFmtId="0" fontId="65" fillId="0" borderId="23" xfId="0" applyFont="1" applyFill="1" applyBorder="1" applyAlignment="1">
      <alignment horizontal="left" shrinkToFit="1"/>
    </xf>
    <xf numFmtId="38" fontId="5" fillId="0" borderId="0" xfId="1" applyFont="1" applyFill="1" applyBorder="1" applyAlignment="1"/>
    <xf numFmtId="2" fontId="5" fillId="0" borderId="144" xfId="0" applyNumberFormat="1" applyFont="1" applyFill="1" applyBorder="1" applyAlignment="1" applyProtection="1">
      <alignment horizontal="center" vertical="center"/>
    </xf>
    <xf numFmtId="2" fontId="5" fillId="0" borderId="286" xfId="0" applyNumberFormat="1" applyFont="1" applyFill="1" applyBorder="1" applyAlignment="1" applyProtection="1">
      <alignment horizontal="center" vertical="center"/>
    </xf>
    <xf numFmtId="0" fontId="5" fillId="0" borderId="23" xfId="0" applyFont="1" applyFill="1" applyBorder="1" applyAlignment="1" applyProtection="1">
      <alignment horizontal="center" vertical="center"/>
    </xf>
    <xf numFmtId="0" fontId="5" fillId="0" borderId="168" xfId="0" applyFont="1" applyFill="1" applyBorder="1" applyAlignment="1"/>
    <xf numFmtId="0" fontId="5" fillId="0" borderId="137" xfId="0" applyFont="1" applyFill="1" applyBorder="1" applyAlignment="1"/>
    <xf numFmtId="2" fontId="5" fillId="0" borderId="126" xfId="0" applyNumberFormat="1" applyFont="1" applyFill="1" applyBorder="1" applyAlignment="1" applyProtection="1">
      <alignment horizontal="center" vertical="center"/>
    </xf>
    <xf numFmtId="0" fontId="5" fillId="0" borderId="241" xfId="0" applyFont="1" applyFill="1" applyBorder="1" applyAlignment="1"/>
    <xf numFmtId="0" fontId="5" fillId="0" borderId="126" xfId="0" applyFont="1" applyFill="1" applyBorder="1" applyAlignment="1" applyProtection="1">
      <alignment horizontal="center" vertical="center"/>
    </xf>
    <xf numFmtId="0" fontId="5" fillId="0" borderId="125" xfId="0" applyFont="1" applyFill="1" applyBorder="1" applyAlignment="1" applyProtection="1">
      <alignment horizontal="center" vertical="center"/>
    </xf>
    <xf numFmtId="0" fontId="5" fillId="0" borderId="287" xfId="0" applyFont="1" applyFill="1" applyBorder="1" applyAlignment="1" applyProtection="1">
      <alignment horizontal="center" vertical="center"/>
    </xf>
    <xf numFmtId="0" fontId="5" fillId="0" borderId="0" xfId="0" applyFont="1" applyFill="1" applyBorder="1" applyAlignment="1" applyProtection="1">
      <alignment horizontal="center" vertical="center"/>
    </xf>
    <xf numFmtId="38" fontId="10" fillId="0" borderId="12" xfId="0" applyNumberFormat="1" applyFont="1" applyFill="1" applyBorder="1" applyAlignment="1">
      <alignment horizontal="center" vertical="center" shrinkToFit="1"/>
    </xf>
    <xf numFmtId="192" fontId="5" fillId="0" borderId="23" xfId="0" applyNumberFormat="1" applyFont="1" applyFill="1" applyBorder="1" applyAlignment="1">
      <alignment horizontal="center" shrinkToFit="1"/>
    </xf>
    <xf numFmtId="177" fontId="5" fillId="0" borderId="130" xfId="0" applyNumberFormat="1" applyFont="1" applyFill="1" applyBorder="1" applyAlignment="1">
      <alignment horizontal="center" shrinkToFit="1"/>
    </xf>
    <xf numFmtId="177" fontId="5" fillId="0" borderId="184" xfId="0" applyNumberFormat="1" applyFont="1" applyFill="1" applyBorder="1" applyAlignment="1">
      <alignment horizontal="center" shrinkToFit="1"/>
    </xf>
    <xf numFmtId="0" fontId="10" fillId="0" borderId="130" xfId="0" applyFont="1" applyFill="1" applyBorder="1" applyAlignment="1">
      <alignment horizontal="center" shrinkToFit="1"/>
    </xf>
    <xf numFmtId="0" fontId="10" fillId="0" borderId="184" xfId="0" applyFont="1" applyFill="1" applyBorder="1" applyAlignment="1">
      <alignment horizontal="center" shrinkToFit="1"/>
    </xf>
    <xf numFmtId="38" fontId="10" fillId="34" borderId="84" xfId="0" applyNumberFormat="1" applyFont="1" applyFill="1" applyBorder="1" applyAlignment="1">
      <alignment horizontal="right" shrinkToFit="1"/>
    </xf>
    <xf numFmtId="38" fontId="10" fillId="34" borderId="185" xfId="0" applyNumberFormat="1" applyFont="1" applyFill="1" applyBorder="1" applyAlignment="1">
      <alignment horizontal="right" shrinkToFit="1"/>
    </xf>
    <xf numFmtId="38" fontId="10" fillId="34" borderId="23" xfId="0" applyNumberFormat="1" applyFont="1" applyFill="1" applyBorder="1" applyAlignment="1">
      <alignment horizontal="right" shrinkToFit="1"/>
    </xf>
    <xf numFmtId="38" fontId="10" fillId="34" borderId="31" xfId="0" applyNumberFormat="1" applyFont="1" applyFill="1" applyBorder="1" applyAlignment="1">
      <alignment horizontal="right" shrinkToFit="1"/>
    </xf>
    <xf numFmtId="177" fontId="10" fillId="0" borderId="193" xfId="0" applyNumberFormat="1" applyFont="1" applyFill="1" applyBorder="1" applyAlignment="1">
      <alignment horizontal="center" shrinkToFit="1"/>
    </xf>
    <xf numFmtId="0" fontId="10" fillId="0" borderId="130" xfId="0" applyFont="1" applyFill="1" applyBorder="1" applyAlignment="1">
      <alignment horizontal="right"/>
    </xf>
    <xf numFmtId="0" fontId="10" fillId="0" borderId="130" xfId="0" applyFont="1" applyFill="1" applyBorder="1" applyAlignment="1">
      <alignment horizontal="right" shrinkToFit="1"/>
    </xf>
    <xf numFmtId="0" fontId="10" fillId="0" borderId="184" xfId="0" applyFont="1" applyFill="1" applyBorder="1" applyAlignment="1">
      <alignment horizontal="right" shrinkToFit="1"/>
    </xf>
    <xf numFmtId="38" fontId="10" fillId="34" borderId="87" xfId="0" applyNumberFormat="1" applyFont="1" applyFill="1" applyBorder="1" applyAlignment="1">
      <alignment horizontal="right" shrinkToFit="1"/>
    </xf>
    <xf numFmtId="38" fontId="10" fillId="34" borderId="100" xfId="0" applyNumberFormat="1" applyFont="1" applyFill="1" applyBorder="1" applyAlignment="1">
      <alignment horizontal="right" shrinkToFit="1"/>
    </xf>
    <xf numFmtId="38" fontId="10" fillId="0" borderId="261" xfId="0" applyNumberFormat="1" applyFont="1" applyFill="1" applyBorder="1" applyAlignment="1">
      <alignment horizontal="right" shrinkToFit="1"/>
    </xf>
    <xf numFmtId="38" fontId="10" fillId="0" borderId="266" xfId="0" applyNumberFormat="1" applyFont="1" applyFill="1" applyBorder="1" applyAlignment="1">
      <alignment horizontal="right" shrinkToFit="1"/>
    </xf>
    <xf numFmtId="0" fontId="5" fillId="0" borderId="60" xfId="0" applyFont="1" applyFill="1" applyBorder="1" applyAlignment="1" applyProtection="1">
      <alignment horizontal="center" vertical="center"/>
    </xf>
    <xf numFmtId="2" fontId="5" fillId="0" borderId="58" xfId="0" applyNumberFormat="1" applyFont="1" applyFill="1" applyBorder="1" applyAlignment="1" applyProtection="1">
      <alignment horizontal="center" vertical="center"/>
    </xf>
    <xf numFmtId="0" fontId="5" fillId="0" borderId="58" xfId="0" applyFont="1" applyFill="1" applyBorder="1" applyAlignment="1" applyProtection="1">
      <alignment horizontal="center" vertical="center"/>
    </xf>
    <xf numFmtId="0" fontId="27" fillId="25" borderId="0" xfId="0" applyFont="1" applyFill="1" applyProtection="1">
      <protection locked="0"/>
    </xf>
    <xf numFmtId="0" fontId="27" fillId="25" borderId="12" xfId="0" applyFont="1" applyFill="1" applyBorder="1" applyProtection="1">
      <protection locked="0"/>
    </xf>
    <xf numFmtId="0" fontId="27" fillId="25" borderId="13" xfId="0" applyFont="1" applyFill="1" applyBorder="1" applyProtection="1">
      <protection locked="0"/>
    </xf>
    <xf numFmtId="0" fontId="34" fillId="0" borderId="0" xfId="0" applyFont="1" applyAlignment="1">
      <alignment horizontal="right" vertical="center"/>
    </xf>
    <xf numFmtId="177" fontId="10" fillId="35" borderId="260" xfId="0" applyNumberFormat="1" applyFont="1" applyFill="1" applyBorder="1" applyAlignment="1" applyProtection="1">
      <alignment vertical="center" shrinkToFit="1"/>
    </xf>
    <xf numFmtId="0" fontId="10" fillId="35" borderId="260" xfId="0" applyFont="1" applyFill="1" applyBorder="1" applyAlignment="1" applyProtection="1">
      <alignment vertical="center" shrinkToFit="1"/>
      <protection locked="0"/>
    </xf>
    <xf numFmtId="0" fontId="10" fillId="35" borderId="260" xfId="0" applyFont="1" applyFill="1" applyBorder="1" applyAlignment="1" applyProtection="1">
      <alignment vertical="center" shrinkToFit="1"/>
    </xf>
    <xf numFmtId="177" fontId="10" fillId="24" borderId="260" xfId="0" applyNumberFormat="1" applyFont="1" applyFill="1" applyBorder="1" applyAlignment="1" applyProtection="1">
      <alignment horizontal="center" vertical="center" shrinkToFit="1"/>
    </xf>
    <xf numFmtId="0" fontId="10" fillId="24" borderId="260" xfId="0" applyFont="1" applyFill="1" applyBorder="1" applyAlignment="1" applyProtection="1">
      <alignment horizontal="center" vertical="center" shrinkToFit="1"/>
    </xf>
    <xf numFmtId="0" fontId="10" fillId="24" borderId="260" xfId="0" applyFont="1" applyFill="1" applyBorder="1" applyAlignment="1" applyProtection="1">
      <alignment horizontal="right" vertical="center" shrinkToFit="1"/>
    </xf>
    <xf numFmtId="0" fontId="5" fillId="0" borderId="317" xfId="0" applyFont="1" applyFill="1" applyBorder="1" applyAlignment="1"/>
    <xf numFmtId="0" fontId="5" fillId="0" borderId="318" xfId="0" applyFont="1" applyFill="1" applyBorder="1" applyAlignment="1"/>
    <xf numFmtId="0" fontId="5" fillId="0" borderId="319" xfId="0" applyFont="1" applyFill="1" applyBorder="1" applyAlignment="1"/>
    <xf numFmtId="176" fontId="5" fillId="0" borderId="319" xfId="0" applyNumberFormat="1" applyFont="1" applyFill="1" applyBorder="1" applyAlignment="1">
      <alignment shrinkToFit="1"/>
    </xf>
    <xf numFmtId="38" fontId="5" fillId="0" borderId="319" xfId="0" applyNumberFormat="1" applyFont="1" applyFill="1" applyBorder="1" applyAlignment="1"/>
    <xf numFmtId="38" fontId="5" fillId="0" borderId="319" xfId="0" applyNumberFormat="1" applyFont="1" applyFill="1" applyBorder="1" applyAlignment="1">
      <alignment shrinkToFit="1"/>
    </xf>
    <xf numFmtId="0" fontId="10" fillId="0" borderId="320" xfId="0" applyFont="1" applyBorder="1" applyAlignment="1" applyProtection="1">
      <alignment vertical="center" shrinkToFit="1"/>
      <protection locked="0"/>
    </xf>
    <xf numFmtId="0" fontId="24" fillId="0" borderId="321" xfId="0" applyFont="1" applyBorder="1" applyAlignment="1">
      <alignment vertical="center" shrinkToFit="1"/>
    </xf>
    <xf numFmtId="0" fontId="26" fillId="0" borderId="258" xfId="0" applyFont="1" applyBorder="1" applyAlignment="1">
      <alignment vertical="center" shrinkToFit="1"/>
    </xf>
    <xf numFmtId="183" fontId="24" fillId="0" borderId="321" xfId="0" quotePrefix="1" applyNumberFormat="1" applyFont="1" applyBorder="1" applyAlignment="1">
      <alignment vertical="center" shrinkToFit="1"/>
    </xf>
    <xf numFmtId="183" fontId="24" fillId="0" borderId="265" xfId="0" quotePrefix="1" applyNumberFormat="1" applyFont="1" applyBorder="1" applyAlignment="1">
      <alignment vertical="center" shrinkToFit="1"/>
    </xf>
    <xf numFmtId="183" fontId="24" fillId="0" borderId="266" xfId="0" quotePrefix="1" applyNumberFormat="1" applyFont="1" applyBorder="1" applyAlignment="1">
      <alignment vertical="center" shrinkToFit="1"/>
    </xf>
    <xf numFmtId="185" fontId="24" fillId="0" borderId="321" xfId="0" applyNumberFormat="1" applyFont="1" applyBorder="1" applyAlignment="1">
      <alignment vertical="center" shrinkToFit="1"/>
    </xf>
    <xf numFmtId="185" fontId="24" fillId="0" borderId="266" xfId="0" applyNumberFormat="1" applyFont="1" applyBorder="1" applyAlignment="1">
      <alignment vertical="center" shrinkToFit="1"/>
    </xf>
    <xf numFmtId="0" fontId="38" fillId="0" borderId="228" xfId="0" applyFont="1" applyBorder="1" applyAlignment="1" applyProtection="1">
      <alignment vertical="center"/>
      <protection locked="0"/>
    </xf>
    <xf numFmtId="0" fontId="34" fillId="0" borderId="38" xfId="0" applyFont="1" applyBorder="1" applyAlignment="1" applyProtection="1">
      <alignment vertical="center" shrinkToFit="1"/>
      <protection locked="0"/>
    </xf>
    <xf numFmtId="180" fontId="14" fillId="0" borderId="322" xfId="0" applyNumberFormat="1" applyFont="1" applyBorder="1" applyAlignment="1" applyProtection="1">
      <alignment horizontal="right" vertical="center" shrinkToFit="1"/>
      <protection locked="0"/>
    </xf>
    <xf numFmtId="0" fontId="38" fillId="0" borderId="323" xfId="0" applyFont="1" applyBorder="1" applyAlignment="1" applyProtection="1">
      <alignment vertical="center" shrinkToFit="1"/>
      <protection locked="0"/>
    </xf>
    <xf numFmtId="0" fontId="14" fillId="0" borderId="320" xfId="0" applyFont="1" applyBorder="1" applyAlignment="1" applyProtection="1">
      <alignment vertical="center" shrinkToFit="1"/>
      <protection locked="0"/>
    </xf>
    <xf numFmtId="186" fontId="14" fillId="0" borderId="320" xfId="0" applyNumberFormat="1" applyFont="1" applyBorder="1" applyAlignment="1" applyProtection="1">
      <alignment vertical="center" shrinkToFit="1"/>
      <protection locked="0"/>
    </xf>
    <xf numFmtId="0" fontId="14" fillId="0" borderId="320" xfId="0" applyFont="1" applyBorder="1" applyAlignment="1" applyProtection="1">
      <alignment horizontal="center" vertical="center" shrinkToFit="1"/>
      <protection locked="0"/>
    </xf>
    <xf numFmtId="38" fontId="14" fillId="0" borderId="320" xfId="0" applyNumberFormat="1" applyFont="1" applyBorder="1" applyAlignment="1" applyProtection="1">
      <alignment horizontal="right" vertical="center" shrinkToFit="1"/>
      <protection locked="0"/>
    </xf>
    <xf numFmtId="177" fontId="14" fillId="0" borderId="320" xfId="0" applyNumberFormat="1" applyFont="1" applyBorder="1" applyAlignment="1" applyProtection="1">
      <alignment vertical="center" shrinkToFit="1"/>
      <protection locked="0"/>
    </xf>
    <xf numFmtId="0" fontId="34" fillId="0" borderId="76" xfId="0" applyFont="1" applyBorder="1" applyAlignment="1" applyProtection="1">
      <alignment vertical="center" shrinkToFit="1"/>
      <protection locked="0"/>
    </xf>
    <xf numFmtId="181" fontId="14" fillId="0" borderId="323" xfId="0" applyNumberFormat="1" applyFont="1" applyBorder="1" applyAlignment="1" applyProtection="1">
      <alignment horizontal="left" vertical="center" wrapText="1"/>
      <protection locked="0"/>
    </xf>
    <xf numFmtId="181" fontId="14" fillId="0" borderId="324" xfId="0" applyNumberFormat="1" applyFont="1" applyBorder="1" applyAlignment="1" applyProtection="1">
      <alignment horizontal="left" vertical="center" wrapText="1"/>
      <protection locked="0"/>
    </xf>
    <xf numFmtId="181" fontId="25" fillId="0" borderId="325" xfId="0" applyNumberFormat="1" applyFont="1" applyBorder="1" applyAlignment="1" applyProtection="1">
      <alignment horizontal="left" vertical="center" wrapText="1"/>
      <protection locked="0"/>
    </xf>
    <xf numFmtId="181" fontId="25" fillId="0" borderId="323" xfId="0" applyNumberFormat="1" applyFont="1" applyBorder="1" applyAlignment="1" applyProtection="1">
      <alignment horizontal="left" vertical="center" wrapText="1"/>
      <protection locked="0"/>
    </xf>
    <xf numFmtId="181" fontId="25" fillId="0" borderId="324" xfId="0" applyNumberFormat="1" applyFont="1" applyBorder="1" applyAlignment="1" applyProtection="1">
      <alignment horizontal="left" vertical="center" wrapText="1"/>
      <protection locked="0"/>
    </xf>
    <xf numFmtId="178" fontId="5" fillId="0" borderId="0" xfId="0" applyNumberFormat="1" applyFont="1" applyFill="1" applyAlignment="1" applyProtection="1">
      <alignment vertical="center" shrinkToFit="1"/>
      <protection locked="0"/>
    </xf>
    <xf numFmtId="0" fontId="14" fillId="0" borderId="76" xfId="0" applyFont="1" applyFill="1" applyBorder="1" applyAlignment="1" applyProtection="1">
      <alignment vertical="center" shrinkToFit="1"/>
      <protection locked="0"/>
    </xf>
    <xf numFmtId="0" fontId="38" fillId="0" borderId="38" xfId="0" applyFont="1" applyFill="1" applyBorder="1" applyAlignment="1" applyProtection="1">
      <alignment vertical="center" shrinkToFit="1"/>
      <protection locked="0"/>
    </xf>
    <xf numFmtId="176" fontId="14" fillId="0" borderId="78" xfId="0" applyNumberFormat="1" applyFont="1" applyBorder="1" applyAlignment="1" applyProtection="1">
      <alignment vertical="center" shrinkToFit="1"/>
      <protection locked="0"/>
    </xf>
    <xf numFmtId="31" fontId="36" fillId="15" borderId="11" xfId="0" applyNumberFormat="1" applyFont="1" applyFill="1" applyBorder="1" applyAlignment="1">
      <alignment horizontal="center" vertical="center" shrinkToFit="1"/>
    </xf>
    <xf numFmtId="194" fontId="14" fillId="0" borderId="39" xfId="0" applyNumberFormat="1" applyFont="1" applyBorder="1" applyAlignment="1" applyProtection="1">
      <alignment horizontal="left" vertical="center"/>
      <protection locked="0"/>
    </xf>
    <xf numFmtId="177" fontId="4" fillId="0" borderId="0" xfId="0" applyNumberFormat="1" applyFont="1" applyAlignment="1">
      <alignment vertical="center"/>
    </xf>
    <xf numFmtId="9" fontId="14" fillId="0" borderId="38" xfId="6" quotePrefix="1" applyFont="1" applyBorder="1" applyAlignment="1" applyProtection="1">
      <alignment horizontal="center" vertical="center"/>
      <protection locked="0"/>
    </xf>
    <xf numFmtId="0" fontId="54" fillId="17" borderId="0" xfId="0" applyFont="1" applyFill="1" applyBorder="1" applyAlignment="1">
      <alignment horizontal="left"/>
    </xf>
    <xf numFmtId="177" fontId="48" fillId="24" borderId="256" xfId="0" applyNumberFormat="1" applyFont="1" applyFill="1" applyBorder="1" applyAlignment="1" applyProtection="1">
      <alignment horizontal="center" vertical="center"/>
    </xf>
    <xf numFmtId="177" fontId="48" fillId="24" borderId="257"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shrinkToFit="1"/>
    </xf>
    <xf numFmtId="0" fontId="17" fillId="0" borderId="0" xfId="0" applyFont="1" applyFill="1" applyBorder="1" applyAlignment="1" applyProtection="1">
      <alignment horizontal="center" vertical="center"/>
    </xf>
    <xf numFmtId="0" fontId="25" fillId="0" borderId="154" xfId="0" applyFont="1" applyBorder="1" applyAlignment="1" applyProtection="1">
      <alignment horizontal="center" vertical="center" shrinkToFit="1"/>
    </xf>
    <xf numFmtId="0" fontId="25" fillId="0" borderId="176" xfId="0" applyFont="1" applyBorder="1" applyAlignment="1" applyProtection="1">
      <alignment horizontal="center" vertical="center" shrinkToFit="1"/>
    </xf>
    <xf numFmtId="0" fontId="25" fillId="0" borderId="155" xfId="0" applyFont="1" applyBorder="1" applyAlignment="1" applyProtection="1">
      <alignment horizontal="center" vertical="center" shrinkToFit="1"/>
    </xf>
    <xf numFmtId="0" fontId="6" fillId="0" borderId="0" xfId="0" applyFont="1" applyFill="1" applyBorder="1" applyAlignment="1" applyProtection="1">
      <alignment horizontal="center" vertical="center"/>
    </xf>
    <xf numFmtId="0" fontId="13" fillId="0" borderId="212" xfId="0" applyFont="1" applyFill="1" applyBorder="1" applyAlignment="1" applyProtection="1">
      <alignment horizontal="center" vertical="center"/>
    </xf>
    <xf numFmtId="0" fontId="14" fillId="0" borderId="212" xfId="0" applyFont="1" applyFill="1" applyBorder="1" applyAlignment="1" applyProtection="1">
      <alignment horizontal="center" vertical="center"/>
    </xf>
    <xf numFmtId="0" fontId="19" fillId="0" borderId="220" xfId="0" applyFont="1" applyBorder="1" applyAlignment="1">
      <alignment horizontal="center" vertical="center" shrinkToFit="1"/>
    </xf>
    <xf numFmtId="0" fontId="19" fillId="0" borderId="221" xfId="0" applyFont="1" applyBorder="1" applyAlignment="1">
      <alignment horizontal="center" vertical="center" shrinkToFit="1"/>
    </xf>
    <xf numFmtId="0" fontId="17" fillId="0" borderId="188" xfId="0" applyFont="1" applyFill="1" applyBorder="1" applyAlignment="1" applyProtection="1">
      <alignment horizontal="center" vertical="center"/>
    </xf>
    <xf numFmtId="0" fontId="16" fillId="0" borderId="187" xfId="0" applyFont="1" applyFill="1" applyBorder="1" applyAlignment="1" applyProtection="1">
      <alignment horizontal="distributed" vertical="center" justifyLastLine="1"/>
      <protection locked="0"/>
    </xf>
    <xf numFmtId="187" fontId="10" fillId="0" borderId="0" xfId="0" applyNumberFormat="1" applyFont="1" applyFill="1" applyBorder="1" applyAlignment="1" applyProtection="1">
      <alignment horizontal="left" vertical="center"/>
      <protection locked="0"/>
    </xf>
    <xf numFmtId="0" fontId="8" fillId="0" borderId="153" xfId="0" applyFont="1" applyBorder="1" applyAlignment="1" applyProtection="1">
      <alignment horizontal="center" vertical="center"/>
    </xf>
    <xf numFmtId="0" fontId="28" fillId="0" borderId="0" xfId="0" applyFont="1" applyBorder="1" applyAlignment="1" applyProtection="1">
      <alignment vertical="center" shrinkToFit="1"/>
    </xf>
    <xf numFmtId="0" fontId="0" fillId="0" borderId="0" xfId="0" applyFont="1" applyAlignment="1">
      <alignment vertical="center" shrinkToFit="1"/>
    </xf>
    <xf numFmtId="0" fontId="13" fillId="0" borderId="152" xfId="0" applyFont="1" applyBorder="1" applyAlignment="1" applyProtection="1">
      <alignment horizontal="center" vertical="center"/>
    </xf>
    <xf numFmtId="0" fontId="13" fillId="0" borderId="65" xfId="0" applyFont="1" applyBorder="1" applyAlignment="1" applyProtection="1">
      <alignment horizontal="center" vertical="center"/>
    </xf>
    <xf numFmtId="0" fontId="13" fillId="0" borderId="66" xfId="0" applyFont="1" applyBorder="1" applyAlignment="1" applyProtection="1">
      <alignment horizontal="center" vertical="center"/>
    </xf>
    <xf numFmtId="177" fontId="13" fillId="0" borderId="70" xfId="0" applyNumberFormat="1" applyFont="1" applyBorder="1" applyAlignment="1" applyProtection="1">
      <alignment horizontal="right" vertical="center"/>
      <protection locked="0"/>
    </xf>
    <xf numFmtId="0" fontId="13" fillId="0" borderId="79" xfId="0" applyFont="1" applyBorder="1" applyAlignment="1" applyProtection="1">
      <alignment horizontal="right" vertical="center"/>
      <protection locked="0"/>
    </xf>
    <xf numFmtId="179" fontId="14" fillId="0" borderId="38" xfId="0" applyNumberFormat="1" applyFont="1" applyBorder="1" applyAlignment="1" applyProtection="1">
      <alignment horizontal="right" vertical="center"/>
      <protection locked="0"/>
    </xf>
    <xf numFmtId="179" fontId="14" fillId="0" borderId="39" xfId="0" applyNumberFormat="1" applyFont="1" applyBorder="1" applyAlignment="1" applyProtection="1">
      <alignment horizontal="right" vertical="center"/>
      <protection locked="0"/>
    </xf>
    <xf numFmtId="179" fontId="14" fillId="0" borderId="38" xfId="2" applyNumberFormat="1" applyFont="1" applyBorder="1" applyAlignment="1" applyProtection="1">
      <alignment horizontal="right" vertical="center"/>
      <protection locked="0"/>
    </xf>
    <xf numFmtId="179" fontId="14" fillId="0" borderId="39" xfId="2" applyNumberFormat="1" applyFont="1" applyBorder="1" applyAlignment="1" applyProtection="1">
      <alignment horizontal="right" vertical="center"/>
      <protection locked="0"/>
    </xf>
    <xf numFmtId="177" fontId="13" fillId="0" borderId="38" xfId="0" applyNumberFormat="1" applyFont="1" applyBorder="1" applyAlignment="1" applyProtection="1">
      <alignment horizontal="right" vertical="center"/>
      <protection locked="0"/>
    </xf>
    <xf numFmtId="0" fontId="13" fillId="0" borderId="39" xfId="0" applyFont="1" applyBorder="1" applyAlignment="1" applyProtection="1">
      <alignment horizontal="right" vertical="center"/>
      <protection locked="0"/>
    </xf>
    <xf numFmtId="177" fontId="13" fillId="0" borderId="38" xfId="2" applyNumberFormat="1" applyFont="1" applyBorder="1" applyAlignment="1" applyProtection="1">
      <alignment horizontal="right" vertical="center"/>
      <protection locked="0"/>
    </xf>
    <xf numFmtId="0" fontId="13" fillId="0" borderId="39" xfId="2" applyFont="1" applyBorder="1" applyAlignment="1" applyProtection="1">
      <alignment horizontal="right" vertical="center"/>
      <protection locked="0"/>
    </xf>
    <xf numFmtId="177" fontId="13" fillId="0" borderId="70" xfId="2" applyNumberFormat="1" applyFont="1" applyBorder="1" applyAlignment="1" applyProtection="1">
      <alignment horizontal="right" vertical="center"/>
      <protection locked="0"/>
    </xf>
    <xf numFmtId="0" fontId="13" fillId="0" borderId="79" xfId="2" applyFont="1" applyBorder="1" applyAlignment="1" applyProtection="1">
      <alignment horizontal="right" vertical="center"/>
      <protection locked="0"/>
    </xf>
    <xf numFmtId="190" fontId="10" fillId="0" borderId="260" xfId="0" applyNumberFormat="1" applyFont="1" applyFill="1" applyBorder="1" applyAlignment="1" applyProtection="1">
      <alignment horizontal="center" vertical="center" shrinkToFit="1"/>
      <protection locked="0"/>
    </xf>
    <xf numFmtId="49" fontId="10" fillId="0" borderId="256" xfId="0" applyNumberFormat="1" applyFont="1" applyBorder="1" applyAlignment="1" applyProtection="1">
      <alignment horizontal="center" vertical="center" shrinkToFit="1"/>
    </xf>
    <xf numFmtId="49" fontId="10" fillId="0" borderId="257" xfId="0" applyNumberFormat="1" applyFont="1" applyBorder="1" applyAlignment="1" applyProtection="1">
      <alignment horizontal="center" vertical="center" shrinkToFit="1"/>
    </xf>
    <xf numFmtId="0" fontId="10" fillId="24" borderId="219" xfId="0" applyFont="1" applyFill="1" applyBorder="1" applyAlignment="1" applyProtection="1">
      <alignment horizontal="center" vertical="center" shrinkToFit="1"/>
    </xf>
    <xf numFmtId="0" fontId="10" fillId="24" borderId="261" xfId="0" applyFont="1" applyFill="1" applyBorder="1" applyAlignment="1" applyProtection="1">
      <alignment horizontal="center" vertical="center" shrinkToFit="1"/>
    </xf>
    <xf numFmtId="195" fontId="43" fillId="35" borderId="222" xfId="0" applyNumberFormat="1" applyFont="1" applyFill="1" applyBorder="1" applyAlignment="1" applyProtection="1">
      <alignment horizontal="center" vertical="center" shrinkToFit="1"/>
      <protection locked="0"/>
    </xf>
    <xf numFmtId="195" fontId="43" fillId="35" borderId="223" xfId="0" applyNumberFormat="1" applyFont="1" applyFill="1" applyBorder="1" applyAlignment="1" applyProtection="1">
      <alignment horizontal="center" vertical="center" shrinkToFit="1"/>
      <protection locked="0"/>
    </xf>
    <xf numFmtId="195" fontId="43" fillId="35" borderId="258" xfId="0" applyNumberFormat="1" applyFont="1" applyFill="1" applyBorder="1" applyAlignment="1" applyProtection="1">
      <alignment horizontal="center" vertical="center" shrinkToFit="1"/>
      <protection locked="0"/>
    </xf>
    <xf numFmtId="195" fontId="43" fillId="35" borderId="259" xfId="0" applyNumberFormat="1" applyFont="1" applyFill="1" applyBorder="1" applyAlignment="1" applyProtection="1">
      <alignment horizontal="center" vertical="center" shrinkToFit="1"/>
      <protection locked="0"/>
    </xf>
    <xf numFmtId="0" fontId="4" fillId="0" borderId="0" xfId="0" applyFont="1" applyBorder="1" applyAlignment="1">
      <alignment horizontal="center" vertical="center"/>
    </xf>
    <xf numFmtId="189" fontId="10" fillId="0" borderId="256" xfId="0" applyNumberFormat="1" applyFont="1" applyFill="1" applyBorder="1" applyAlignment="1" applyProtection="1">
      <alignment horizontal="center" vertical="center" shrinkToFit="1"/>
      <protection locked="0"/>
    </xf>
    <xf numFmtId="189" fontId="10" fillId="0" borderId="257" xfId="0" applyNumberFormat="1" applyFont="1" applyFill="1" applyBorder="1" applyAlignment="1" applyProtection="1">
      <alignment horizontal="center" vertical="center" shrinkToFit="1"/>
      <protection locked="0"/>
    </xf>
    <xf numFmtId="189" fontId="10" fillId="35" borderId="256" xfId="0" applyNumberFormat="1" applyFont="1" applyFill="1" applyBorder="1" applyAlignment="1" applyProtection="1">
      <alignment horizontal="center" vertical="center" shrinkToFit="1"/>
      <protection locked="0"/>
    </xf>
    <xf numFmtId="189" fontId="10" fillId="35" borderId="257" xfId="0" applyNumberFormat="1" applyFont="1" applyFill="1" applyBorder="1" applyAlignment="1" applyProtection="1">
      <alignment horizontal="center" vertical="center" shrinkToFit="1"/>
      <protection locked="0"/>
    </xf>
    <xf numFmtId="0" fontId="14" fillId="14" borderId="134" xfId="0" applyFont="1" applyFill="1" applyBorder="1" applyAlignment="1" applyProtection="1">
      <alignment horizontal="center" vertical="center"/>
    </xf>
    <xf numFmtId="0" fontId="14" fillId="14" borderId="133" xfId="0" applyFont="1" applyFill="1" applyBorder="1" applyAlignment="1" applyProtection="1">
      <alignment horizontal="center" vertical="center"/>
    </xf>
    <xf numFmtId="0" fontId="29" fillId="24" borderId="227" xfId="0" applyFont="1" applyFill="1" applyBorder="1" applyAlignment="1">
      <alignment horizontal="left" vertical="center" wrapText="1"/>
    </xf>
    <xf numFmtId="0" fontId="29" fillId="24" borderId="228" xfId="0" applyFont="1" applyFill="1" applyBorder="1" applyAlignment="1">
      <alignment horizontal="left" vertical="center" wrapText="1"/>
    </xf>
    <xf numFmtId="0" fontId="29" fillId="24" borderId="229" xfId="0" applyFont="1" applyFill="1" applyBorder="1" applyAlignment="1">
      <alignment horizontal="left" vertical="center" wrapText="1"/>
    </xf>
    <xf numFmtId="178" fontId="5" fillId="0" borderId="225" xfId="0" applyNumberFormat="1" applyFont="1" applyBorder="1" applyAlignment="1" applyProtection="1">
      <alignment horizontal="center" vertical="center" shrinkToFit="1"/>
      <protection locked="0"/>
    </xf>
    <xf numFmtId="178" fontId="5" fillId="0" borderId="224" xfId="0" applyNumberFormat="1" applyFont="1" applyBorder="1" applyAlignment="1" applyProtection="1">
      <alignment horizontal="center" vertical="center" shrinkToFit="1"/>
      <protection locked="0"/>
    </xf>
    <xf numFmtId="0" fontId="14" fillId="14" borderId="152" xfId="0" applyFont="1" applyFill="1" applyBorder="1" applyAlignment="1" applyProtection="1">
      <alignment horizontal="center" vertical="center"/>
    </xf>
    <xf numFmtId="0" fontId="14" fillId="14" borderId="65" xfId="0" applyFont="1" applyFill="1" applyBorder="1" applyAlignment="1" applyProtection="1">
      <alignment horizontal="center" vertical="center"/>
    </xf>
    <xf numFmtId="0" fontId="14" fillId="14" borderId="66" xfId="0" applyFont="1" applyFill="1" applyBorder="1" applyAlignment="1" applyProtection="1">
      <alignment horizontal="center" vertical="center"/>
    </xf>
    <xf numFmtId="0" fontId="29" fillId="24" borderId="233" xfId="0" applyFont="1" applyFill="1" applyBorder="1" applyAlignment="1">
      <alignment horizontal="left" vertical="center" wrapText="1"/>
    </xf>
    <xf numFmtId="0" fontId="29" fillId="24" borderId="230" xfId="0" applyFont="1" applyFill="1" applyBorder="1" applyAlignment="1">
      <alignment horizontal="left" vertical="center" wrapText="1"/>
    </xf>
    <xf numFmtId="0" fontId="29" fillId="24" borderId="231" xfId="0" applyFont="1" applyFill="1" applyBorder="1" applyAlignment="1">
      <alignment horizontal="left" vertical="center" wrapText="1"/>
    </xf>
    <xf numFmtId="0" fontId="29" fillId="24" borderId="232" xfId="0" applyFont="1" applyFill="1" applyBorder="1" applyAlignment="1">
      <alignment horizontal="left" vertical="center" wrapText="1"/>
    </xf>
    <xf numFmtId="0" fontId="47" fillId="0" borderId="0" xfId="0" applyFont="1" applyFill="1" applyBorder="1" applyAlignment="1" applyProtection="1">
      <alignment horizontal="center" vertical="center"/>
    </xf>
    <xf numFmtId="178" fontId="5" fillId="0" borderId="240" xfId="0" applyNumberFormat="1" applyFont="1" applyBorder="1" applyAlignment="1" applyProtection="1">
      <alignment horizontal="center" vertical="center" shrinkToFit="1"/>
      <protection locked="0"/>
    </xf>
    <xf numFmtId="178" fontId="5" fillId="0" borderId="241" xfId="0" applyNumberFormat="1" applyFont="1" applyBorder="1" applyAlignment="1" applyProtection="1">
      <alignment horizontal="center" vertical="center" shrinkToFit="1"/>
      <protection locked="0"/>
    </xf>
    <xf numFmtId="0" fontId="4" fillId="17" borderId="89" xfId="0" applyFont="1" applyFill="1" applyBorder="1" applyAlignment="1">
      <alignment horizontal="right" shrinkToFit="1"/>
    </xf>
    <xf numFmtId="0" fontId="0" fillId="0" borderId="89" xfId="0" applyFont="1" applyBorder="1" applyAlignment="1">
      <alignment shrinkToFit="1"/>
    </xf>
    <xf numFmtId="0" fontId="0" fillId="0" borderId="183" xfId="0" applyFont="1" applyBorder="1" applyAlignment="1">
      <alignment shrinkToFit="1"/>
    </xf>
    <xf numFmtId="0" fontId="29" fillId="17" borderId="193" xfId="0" applyFont="1" applyFill="1" applyBorder="1" applyAlignment="1">
      <alignment horizontal="center" wrapText="1"/>
    </xf>
    <xf numFmtId="0" fontId="32" fillId="0" borderId="91" xfId="0" applyFont="1" applyBorder="1" applyAlignment="1">
      <alignment horizontal="center" wrapText="1"/>
    </xf>
    <xf numFmtId="0" fontId="4" fillId="17" borderId="211" xfId="0" applyFont="1" applyFill="1" applyBorder="1" applyAlignment="1">
      <alignment horizontal="center" vertical="center" textRotation="255"/>
    </xf>
    <xf numFmtId="0" fontId="0" fillId="0" borderId="198" xfId="0" applyBorder="1" applyAlignment="1">
      <alignment horizontal="center" vertical="center" textRotation="255"/>
    </xf>
    <xf numFmtId="0" fontId="0" fillId="0" borderId="183" xfId="0" applyBorder="1" applyAlignment="1">
      <alignment horizontal="center" vertical="center" textRotation="255"/>
    </xf>
    <xf numFmtId="181" fontId="25" fillId="0" borderId="233" xfId="0" applyNumberFormat="1" applyFont="1" applyBorder="1" applyAlignment="1" applyProtection="1">
      <alignment horizontal="center" vertical="center" wrapText="1"/>
      <protection locked="0"/>
    </xf>
    <xf numFmtId="181" fontId="25" fillId="0" borderId="228" xfId="0" applyNumberFormat="1" applyFont="1" applyBorder="1" applyAlignment="1" applyProtection="1">
      <alignment horizontal="center" vertical="center" wrapText="1"/>
      <protection locked="0"/>
    </xf>
    <xf numFmtId="181" fontId="25" fillId="0" borderId="229" xfId="0" applyNumberFormat="1" applyFont="1" applyBorder="1" applyAlignment="1" applyProtection="1">
      <alignment horizontal="center" vertical="center" wrapText="1"/>
      <protection locked="0"/>
    </xf>
    <xf numFmtId="181" fontId="14" fillId="0" borderId="325" xfId="0" applyNumberFormat="1" applyFont="1" applyBorder="1" applyAlignment="1" applyProtection="1">
      <alignment horizontal="left" vertical="center" wrapText="1"/>
      <protection locked="0"/>
    </xf>
    <xf numFmtId="181" fontId="14" fillId="0" borderId="323" xfId="0" applyNumberFormat="1" applyFont="1" applyBorder="1" applyAlignment="1" applyProtection="1">
      <alignment horizontal="left" vertical="center" wrapText="1"/>
      <protection locked="0"/>
    </xf>
    <xf numFmtId="181" fontId="14" fillId="0" borderId="324" xfId="0" applyNumberFormat="1" applyFont="1" applyBorder="1" applyAlignment="1" applyProtection="1">
      <alignment horizontal="left" vertical="center" wrapText="1"/>
      <protection locked="0"/>
    </xf>
    <xf numFmtId="0" fontId="23" fillId="0" borderId="11" xfId="0" applyFont="1" applyBorder="1" applyAlignment="1">
      <alignment horizontal="center" vertical="center"/>
    </xf>
    <xf numFmtId="0" fontId="0" fillId="0" borderId="11" xfId="0" applyBorder="1" applyAlignment="1">
      <alignment vertical="center"/>
    </xf>
    <xf numFmtId="181" fontId="25" fillId="0" borderId="156" xfId="0" applyNumberFormat="1" applyFont="1" applyBorder="1" applyAlignment="1" applyProtection="1">
      <alignment horizontal="left" vertical="center" wrapText="1"/>
      <protection locked="0"/>
    </xf>
    <xf numFmtId="181" fontId="25" fillId="0" borderId="38" xfId="0" applyNumberFormat="1" applyFont="1" applyBorder="1" applyAlignment="1" applyProtection="1">
      <alignment horizontal="left" vertical="center" wrapText="1"/>
      <protection locked="0"/>
    </xf>
    <xf numFmtId="181" fontId="25" fillId="0" borderId="39" xfId="0" applyNumberFormat="1" applyFont="1" applyBorder="1" applyAlignment="1" applyProtection="1">
      <alignment horizontal="left" vertical="center" wrapText="1"/>
      <protection locked="0"/>
    </xf>
    <xf numFmtId="181" fontId="14" fillId="0" borderId="325" xfId="0" applyNumberFormat="1" applyFont="1" applyBorder="1" applyAlignment="1" applyProtection="1">
      <alignment vertical="top" shrinkToFit="1"/>
      <protection locked="0"/>
    </xf>
    <xf numFmtId="181" fontId="14" fillId="0" borderId="323" xfId="0" applyNumberFormat="1" applyFont="1" applyBorder="1" applyAlignment="1" applyProtection="1">
      <alignment vertical="top" shrinkToFit="1"/>
      <protection locked="0"/>
    </xf>
    <xf numFmtId="181" fontId="14" fillId="0" borderId="324" xfId="0" applyNumberFormat="1" applyFont="1" applyBorder="1" applyAlignment="1" applyProtection="1">
      <alignment vertical="top" shrinkToFit="1"/>
      <protection locked="0"/>
    </xf>
    <xf numFmtId="181" fontId="14" fillId="0" borderId="325" xfId="0" quotePrefix="1" applyNumberFormat="1" applyFont="1" applyBorder="1" applyAlignment="1" applyProtection="1">
      <alignment vertical="top" shrinkToFit="1"/>
      <protection locked="0"/>
    </xf>
    <xf numFmtId="181" fontId="14" fillId="0" borderId="323" xfId="0" quotePrefix="1" applyNumberFormat="1" applyFont="1" applyBorder="1" applyAlignment="1" applyProtection="1">
      <alignment vertical="top" shrinkToFit="1"/>
      <protection locked="0"/>
    </xf>
    <xf numFmtId="181" fontId="14" fillId="0" borderId="324" xfId="0" quotePrefix="1" applyNumberFormat="1" applyFont="1" applyBorder="1" applyAlignment="1" applyProtection="1">
      <alignment vertical="top" shrinkToFit="1"/>
      <protection locked="0"/>
    </xf>
    <xf numFmtId="181" fontId="25" fillId="0" borderId="325" xfId="0" applyNumberFormat="1" applyFont="1" applyBorder="1" applyAlignment="1" applyProtection="1">
      <alignment horizontal="left" vertical="center" wrapText="1"/>
      <protection locked="0"/>
    </xf>
    <xf numFmtId="181" fontId="25" fillId="0" borderId="323" xfId="0" applyNumberFormat="1" applyFont="1" applyBorder="1" applyAlignment="1" applyProtection="1">
      <alignment horizontal="left" vertical="center" wrapText="1"/>
      <protection locked="0"/>
    </xf>
    <xf numFmtId="181" fontId="25" fillId="0" borderId="324" xfId="0" applyNumberFormat="1" applyFont="1" applyBorder="1" applyAlignment="1" applyProtection="1">
      <alignment horizontal="left" vertical="center" wrapText="1"/>
      <protection locked="0"/>
    </xf>
    <xf numFmtId="0" fontId="24" fillId="0" borderId="166" xfId="0" applyFont="1" applyBorder="1" applyAlignment="1">
      <alignment horizontal="center" vertical="center" shrinkToFit="1"/>
    </xf>
    <xf numFmtId="0" fontId="24" fillId="0" borderId="167" xfId="0" applyFont="1" applyBorder="1" applyAlignment="1">
      <alignment horizontal="center" vertical="center" shrinkToFit="1"/>
    </xf>
    <xf numFmtId="0" fontId="24" fillId="0" borderId="92" xfId="0" applyFont="1" applyBorder="1" applyAlignment="1">
      <alignment horizontal="center" vertical="center" shrinkToFit="1"/>
    </xf>
    <xf numFmtId="0" fontId="24" fillId="0" borderId="166" xfId="0" applyFont="1" applyBorder="1" applyAlignment="1">
      <alignment horizontal="center" shrinkToFit="1"/>
    </xf>
    <xf numFmtId="0" fontId="24" fillId="0" borderId="167" xfId="0" applyFont="1" applyBorder="1" applyAlignment="1">
      <alignment horizontal="center" shrinkToFit="1"/>
    </xf>
    <xf numFmtId="0" fontId="0" fillId="0" borderId="167" xfId="0" applyBorder="1" applyAlignment="1">
      <alignment horizontal="center" shrinkToFit="1"/>
    </xf>
    <xf numFmtId="0" fontId="0" fillId="0" borderId="92" xfId="0" applyBorder="1" applyAlignment="1">
      <alignment horizontal="center" shrinkToFit="1"/>
    </xf>
    <xf numFmtId="0" fontId="0" fillId="0" borderId="167" xfId="0" applyBorder="1" applyAlignment="1">
      <alignment shrinkToFit="1"/>
    </xf>
    <xf numFmtId="0" fontId="0" fillId="0" borderId="92" xfId="0" applyBorder="1" applyAlignment="1">
      <alignment shrinkToFit="1"/>
    </xf>
    <xf numFmtId="0" fontId="24" fillId="12" borderId="161" xfId="0" applyFont="1" applyFill="1" applyBorder="1" applyAlignment="1">
      <alignment horizontal="center" vertical="center" shrinkToFit="1"/>
    </xf>
    <xf numFmtId="0" fontId="24" fillId="12" borderId="162" xfId="0" applyFont="1" applyFill="1" applyBorder="1" applyAlignment="1">
      <alignment horizontal="center" vertical="center" shrinkToFit="1"/>
    </xf>
    <xf numFmtId="0" fontId="24" fillId="12" borderId="94" xfId="0" applyFont="1" applyFill="1" applyBorder="1" applyAlignment="1">
      <alignment horizontal="center" vertical="center" shrinkToFit="1"/>
    </xf>
    <xf numFmtId="0" fontId="24" fillId="12" borderId="163" xfId="0" applyFont="1" applyFill="1" applyBorder="1" applyAlignment="1">
      <alignment horizontal="center" vertical="center" shrinkToFit="1"/>
    </xf>
    <xf numFmtId="0" fontId="24" fillId="12" borderId="164" xfId="0" applyFont="1" applyFill="1" applyBorder="1" applyAlignment="1">
      <alignment horizontal="center" vertical="center" shrinkToFit="1"/>
    </xf>
    <xf numFmtId="0" fontId="24" fillId="12" borderId="99" xfId="0" applyFont="1" applyFill="1" applyBorder="1" applyAlignment="1">
      <alignment horizontal="center" vertical="center" shrinkToFit="1"/>
    </xf>
    <xf numFmtId="0" fontId="24" fillId="12" borderId="118" xfId="0" applyFont="1" applyFill="1" applyBorder="1" applyAlignment="1">
      <alignment horizontal="center" vertical="center" shrinkToFit="1"/>
    </xf>
    <xf numFmtId="0" fontId="24" fillId="12" borderId="165" xfId="0" applyFont="1" applyFill="1" applyBorder="1" applyAlignment="1">
      <alignment horizontal="center" vertical="center" shrinkToFit="1"/>
    </xf>
    <xf numFmtId="0" fontId="24" fillId="12" borderId="93" xfId="0" applyFont="1" applyFill="1" applyBorder="1" applyAlignment="1">
      <alignment horizontal="center" vertical="center" shrinkToFit="1"/>
    </xf>
    <xf numFmtId="0" fontId="24" fillId="12" borderId="163" xfId="0" applyFont="1" applyFill="1" applyBorder="1" applyAlignment="1">
      <alignment horizontal="center" vertical="center"/>
    </xf>
    <xf numFmtId="0" fontId="24" fillId="12" borderId="164" xfId="0" applyFont="1" applyFill="1" applyBorder="1" applyAlignment="1">
      <alignment horizontal="center" vertical="center"/>
    </xf>
    <xf numFmtId="0" fontId="24" fillId="12" borderId="99" xfId="0" applyFont="1" applyFill="1" applyBorder="1" applyAlignment="1">
      <alignment horizontal="center" vertical="center"/>
    </xf>
    <xf numFmtId="0" fontId="24" fillId="12" borderId="118" xfId="0" applyFont="1" applyFill="1" applyBorder="1" applyAlignment="1">
      <alignment horizontal="center" vertical="center"/>
    </xf>
    <xf numFmtId="0" fontId="24" fillId="12" borderId="165" xfId="0" applyFont="1" applyFill="1" applyBorder="1" applyAlignment="1">
      <alignment horizontal="center" vertical="center"/>
    </xf>
    <xf numFmtId="0" fontId="24" fillId="12" borderId="93" xfId="0" applyFont="1" applyFill="1" applyBorder="1" applyAlignment="1">
      <alignment horizontal="center" vertical="center"/>
    </xf>
    <xf numFmtId="179" fontId="19" fillId="0" borderId="157" xfId="0" applyNumberFormat="1" applyFont="1" applyBorder="1" applyAlignment="1">
      <alignment horizontal="center" vertical="center" shrinkToFit="1"/>
    </xf>
    <xf numFmtId="179" fontId="19" fillId="0" borderId="158" xfId="0" applyNumberFormat="1" applyFont="1" applyBorder="1" applyAlignment="1">
      <alignment horizontal="center" vertical="center" shrinkToFit="1"/>
    </xf>
    <xf numFmtId="0" fontId="22" fillId="0" borderId="0" xfId="0" applyFont="1" applyAlignment="1" applyProtection="1">
      <alignment horizontal="center" vertical="center"/>
      <protection locked="0"/>
    </xf>
    <xf numFmtId="179" fontId="19" fillId="0" borderId="159" xfId="0" applyNumberFormat="1" applyFont="1" applyBorder="1" applyAlignment="1" applyProtection="1">
      <alignment horizontal="center" vertical="center" shrinkToFit="1"/>
      <protection locked="0"/>
    </xf>
    <xf numFmtId="179" fontId="19" fillId="0" borderId="103" xfId="0" applyNumberFormat="1" applyFont="1" applyBorder="1" applyAlignment="1" applyProtection="1">
      <alignment horizontal="center" vertical="center" shrinkToFit="1"/>
      <protection locked="0"/>
    </xf>
    <xf numFmtId="179" fontId="19" fillId="0" borderId="104" xfId="0" applyNumberFormat="1" applyFont="1" applyBorder="1" applyAlignment="1" applyProtection="1">
      <alignment horizontal="center" vertical="center" shrinkToFit="1"/>
      <protection locked="0"/>
    </xf>
    <xf numFmtId="179" fontId="19" fillId="0" borderId="160" xfId="0" applyNumberFormat="1" applyFont="1" applyBorder="1" applyAlignment="1" applyProtection="1">
      <alignment horizontal="center" vertical="center" shrinkToFit="1"/>
      <protection locked="0"/>
    </xf>
    <xf numFmtId="0" fontId="5" fillId="0" borderId="282" xfId="0" applyFont="1" applyFill="1" applyBorder="1" applyAlignment="1">
      <alignment vertical="center" wrapText="1"/>
    </xf>
    <xf numFmtId="0" fontId="5" fillId="0" borderId="283" xfId="0" applyFont="1" applyFill="1" applyBorder="1" applyAlignment="1">
      <alignment vertical="center" wrapText="1"/>
    </xf>
    <xf numFmtId="0" fontId="66" fillId="0" borderId="178" xfId="0" applyFont="1" applyFill="1" applyBorder="1" applyAlignment="1">
      <alignment vertical="center" wrapText="1"/>
    </xf>
    <xf numFmtId="0" fontId="66" fillId="0" borderId="198" xfId="0" applyFont="1" applyFill="1" applyBorder="1" applyAlignment="1">
      <alignment vertical="center" wrapText="1"/>
    </xf>
    <xf numFmtId="0" fontId="5" fillId="18" borderId="240" xfId="0" applyFont="1" applyFill="1" applyBorder="1" applyAlignment="1">
      <alignment horizontal="center" vertical="center"/>
    </xf>
    <xf numFmtId="0" fontId="0" fillId="18" borderId="241" xfId="0" applyFont="1" applyFill="1" applyBorder="1" applyAlignment="1">
      <alignment horizontal="center" vertical="center"/>
    </xf>
    <xf numFmtId="0" fontId="5" fillId="26" borderId="240" xfId="0" applyFont="1" applyFill="1" applyBorder="1" applyAlignment="1">
      <alignment horizontal="center" vertical="center"/>
    </xf>
    <xf numFmtId="0" fontId="0" fillId="26" borderId="241" xfId="0" applyFont="1" applyFill="1" applyBorder="1" applyAlignment="1">
      <alignment horizontal="center" vertical="center"/>
    </xf>
    <xf numFmtId="0" fontId="0" fillId="26" borderId="168" xfId="0" applyFont="1" applyFill="1" applyBorder="1" applyAlignment="1">
      <alignment horizontal="center" vertical="center"/>
    </xf>
    <xf numFmtId="0" fontId="5" fillId="0" borderId="284" xfId="0" applyFont="1" applyFill="1" applyBorder="1" applyAlignment="1">
      <alignment vertical="center" wrapText="1"/>
    </xf>
    <xf numFmtId="0" fontId="66" fillId="0" borderId="259" xfId="0" applyFont="1" applyFill="1" applyBorder="1" applyAlignment="1">
      <alignment vertical="center" wrapText="1"/>
    </xf>
    <xf numFmtId="0" fontId="5" fillId="0" borderId="172" xfId="0" applyFont="1" applyFill="1" applyBorder="1" applyAlignment="1">
      <alignment vertical="center"/>
    </xf>
    <xf numFmtId="0" fontId="0" fillId="0" borderId="258" xfId="0" applyFont="1" applyFill="1" applyBorder="1" applyAlignment="1">
      <alignment vertical="center"/>
    </xf>
    <xf numFmtId="0" fontId="5" fillId="32" borderId="225" xfId="0" applyFont="1" applyFill="1" applyBorder="1" applyAlignment="1">
      <alignment horizontal="left" vertical="center"/>
    </xf>
    <xf numFmtId="0" fontId="0" fillId="32" borderId="224" xfId="0" applyFont="1" applyFill="1" applyBorder="1" applyAlignment="1">
      <alignment horizontal="left" vertical="center"/>
    </xf>
    <xf numFmtId="0" fontId="0" fillId="32" borderId="224" xfId="0" applyFill="1" applyBorder="1" applyAlignment="1">
      <alignment horizontal="left" vertical="center"/>
    </xf>
    <xf numFmtId="0" fontId="0" fillId="32" borderId="182" xfId="0" applyFill="1" applyBorder="1" applyAlignment="1">
      <alignment horizontal="left" vertical="center"/>
    </xf>
    <xf numFmtId="0" fontId="5" fillId="32" borderId="285" xfId="0" applyFont="1" applyFill="1" applyBorder="1" applyAlignment="1">
      <alignment horizontal="left" vertical="center"/>
    </xf>
    <xf numFmtId="0" fontId="0" fillId="32" borderId="168" xfId="0" applyFont="1" applyFill="1" applyBorder="1" applyAlignment="1">
      <alignment horizontal="left" vertical="center"/>
    </xf>
    <xf numFmtId="0" fontId="0" fillId="32" borderId="168" xfId="0" applyFill="1" applyBorder="1" applyAlignment="1">
      <alignment horizontal="left" vertical="center"/>
    </xf>
    <xf numFmtId="0" fontId="0" fillId="32" borderId="110" xfId="0" applyFill="1" applyBorder="1" applyAlignment="1">
      <alignment horizontal="left" vertical="center"/>
    </xf>
    <xf numFmtId="0" fontId="5" fillId="0" borderId="23" xfId="0" applyFont="1" applyFill="1" applyBorder="1" applyAlignment="1">
      <alignment horizontal="center" vertical="center" textRotation="255"/>
    </xf>
    <xf numFmtId="0" fontId="29" fillId="27" borderId="130" xfId="0" applyFont="1" applyFill="1" applyBorder="1" applyAlignment="1">
      <alignment horizontal="center" vertical="center" textRotation="255" wrapText="1"/>
    </xf>
    <xf numFmtId="0" fontId="32" fillId="0" borderId="261" xfId="0" applyFont="1" applyBorder="1" applyAlignment="1">
      <alignment horizontal="center" vertical="center" textRotation="255" wrapText="1"/>
    </xf>
    <xf numFmtId="0" fontId="5" fillId="0" borderId="282" xfId="0" applyFont="1" applyBorder="1" applyAlignment="1">
      <alignment vertical="center" wrapText="1"/>
    </xf>
    <xf numFmtId="0" fontId="5" fillId="0" borderId="283" xfId="0" applyFont="1" applyBorder="1" applyAlignment="1">
      <alignment vertical="center" wrapText="1"/>
    </xf>
    <xf numFmtId="0" fontId="5" fillId="0" borderId="284" xfId="0" applyFont="1" applyBorder="1" applyAlignment="1">
      <alignment vertical="center" wrapText="1"/>
    </xf>
    <xf numFmtId="0" fontId="66" fillId="0" borderId="178" xfId="0" applyFont="1" applyBorder="1" applyAlignment="1">
      <alignment vertical="center" wrapText="1"/>
    </xf>
    <xf numFmtId="0" fontId="66" fillId="0" borderId="198" xfId="0" applyFont="1" applyBorder="1" applyAlignment="1">
      <alignment vertical="center" wrapText="1"/>
    </xf>
    <xf numFmtId="0" fontId="66" fillId="0" borderId="259" xfId="0" applyFont="1" applyBorder="1" applyAlignment="1">
      <alignment vertical="center" wrapText="1"/>
    </xf>
    <xf numFmtId="0" fontId="5" fillId="0" borderId="172" xfId="0" applyFont="1" applyBorder="1" applyAlignment="1">
      <alignment vertical="center"/>
    </xf>
    <xf numFmtId="0" fontId="0" fillId="0" borderId="258" xfId="0" applyFont="1" applyBorder="1" applyAlignment="1">
      <alignment vertical="center"/>
    </xf>
    <xf numFmtId="38" fontId="10" fillId="0" borderId="84" xfId="0" applyNumberFormat="1" applyFont="1" applyFill="1" applyBorder="1" applyAlignment="1">
      <alignment horizontal="left"/>
    </xf>
    <xf numFmtId="0" fontId="35" fillId="0" borderId="13" xfId="0" applyFont="1" applyFill="1" applyBorder="1" applyAlignment="1">
      <alignment horizontal="left"/>
    </xf>
    <xf numFmtId="0" fontId="35" fillId="0" borderId="192" xfId="0" applyFont="1" applyFill="1" applyBorder="1" applyAlignment="1">
      <alignment horizontal="left"/>
    </xf>
    <xf numFmtId="38" fontId="10" fillId="0" borderId="87" xfId="0" applyNumberFormat="1" applyFont="1" applyFill="1" applyBorder="1" applyAlignment="1">
      <alignment horizontal="left"/>
    </xf>
    <xf numFmtId="0" fontId="35" fillId="0" borderId="90" xfId="0" applyFont="1" applyFill="1" applyBorder="1" applyAlignment="1">
      <alignment horizontal="left"/>
    </xf>
    <xf numFmtId="0" fontId="5" fillId="0" borderId="189" xfId="0" applyFont="1" applyFill="1" applyBorder="1" applyAlignment="1">
      <alignment horizontal="center"/>
    </xf>
    <xf numFmtId="0" fontId="5" fillId="0" borderId="191" xfId="0" applyFont="1" applyFill="1" applyBorder="1" applyAlignment="1">
      <alignment horizontal="center"/>
    </xf>
    <xf numFmtId="0" fontId="5" fillId="0" borderId="129" xfId="0" applyFont="1" applyFill="1" applyBorder="1" applyAlignment="1">
      <alignment horizontal="center" vertical="center" textRotation="255"/>
    </xf>
    <xf numFmtId="0" fontId="5" fillId="0" borderId="189" xfId="0" applyFont="1" applyFill="1" applyBorder="1" applyAlignment="1">
      <alignment horizontal="center" wrapText="1"/>
    </xf>
    <xf numFmtId="0" fontId="5" fillId="0" borderId="190" xfId="0" applyFont="1" applyFill="1" applyBorder="1" applyAlignment="1">
      <alignment horizontal="center" wrapText="1"/>
    </xf>
    <xf numFmtId="0" fontId="11" fillId="0" borderId="192" xfId="0" applyFont="1" applyFill="1" applyBorder="1" applyAlignment="1">
      <alignment horizontal="center" wrapText="1"/>
    </xf>
    <xf numFmtId="0" fontId="11" fillId="0" borderId="89" xfId="0" applyFont="1" applyFill="1" applyBorder="1" applyAlignment="1">
      <alignment horizontal="center" wrapText="1"/>
    </xf>
    <xf numFmtId="0" fontId="19" fillId="0" borderId="162" xfId="0" applyFont="1" applyFill="1" applyBorder="1" applyAlignment="1">
      <alignment horizontal="left" shrinkToFit="1"/>
    </xf>
    <xf numFmtId="0" fontId="0" fillId="0" borderId="162" xfId="0" applyFont="1" applyBorder="1" applyAlignment="1">
      <alignment shrinkToFit="1"/>
    </xf>
    <xf numFmtId="0" fontId="0" fillId="0" borderId="181" xfId="0" applyFont="1" applyBorder="1" applyAlignment="1">
      <alignment shrinkToFit="1"/>
    </xf>
    <xf numFmtId="0" fontId="19" fillId="0" borderId="193" xfId="0" applyFont="1" applyFill="1" applyBorder="1" applyAlignment="1">
      <alignment horizontal="center" vertical="center" wrapText="1"/>
    </xf>
    <xf numFmtId="0" fontId="19" fillId="0" borderId="91" xfId="0" applyFont="1" applyFill="1" applyBorder="1" applyAlignment="1">
      <alignment horizontal="center" vertical="center" wrapText="1"/>
    </xf>
    <xf numFmtId="0" fontId="35" fillId="0" borderId="192" xfId="0" applyFont="1" applyFill="1" applyBorder="1" applyAlignment="1">
      <alignment horizontal="left" shrinkToFit="1"/>
    </xf>
    <xf numFmtId="0" fontId="35" fillId="0" borderId="89" xfId="0" applyFont="1" applyFill="1" applyBorder="1" applyAlignment="1">
      <alignment horizontal="left" shrinkToFit="1"/>
    </xf>
    <xf numFmtId="0" fontId="5" fillId="0" borderId="267" xfId="0" applyFont="1" applyFill="1" applyBorder="1" applyAlignment="1">
      <alignment horizontal="center" shrinkToFit="1"/>
    </xf>
    <xf numFmtId="0" fontId="5" fillId="0" borderId="148" xfId="0" applyFont="1" applyFill="1" applyBorder="1" applyAlignment="1">
      <alignment horizontal="center" shrinkToFit="1"/>
    </xf>
    <xf numFmtId="0" fontId="5" fillId="0" borderId="90" xfId="0" applyFont="1" applyFill="1" applyBorder="1" applyAlignment="1">
      <alignment horizontal="center" shrinkToFit="1"/>
    </xf>
    <xf numFmtId="0" fontId="5" fillId="27" borderId="182" xfId="0" applyFont="1" applyFill="1" applyBorder="1" applyAlignment="1">
      <alignment horizontal="center" vertical="center" textRotation="255"/>
    </xf>
    <xf numFmtId="0" fontId="5" fillId="0" borderId="193" xfId="0" applyFont="1" applyFill="1" applyBorder="1" applyAlignment="1">
      <alignment horizontal="center" vertical="center" wrapText="1"/>
    </xf>
    <xf numFmtId="0" fontId="5" fillId="0" borderId="91" xfId="0" applyFont="1" applyFill="1" applyBorder="1" applyAlignment="1">
      <alignment horizontal="center" vertical="center" wrapText="1"/>
    </xf>
    <xf numFmtId="0" fontId="35" fillId="0" borderId="13" xfId="0" applyFont="1" applyFill="1" applyBorder="1" applyAlignment="1">
      <alignment horizontal="left" shrinkToFit="1"/>
    </xf>
    <xf numFmtId="0" fontId="5" fillId="27" borderId="194" xfId="0" applyFont="1" applyFill="1" applyBorder="1" applyAlignment="1">
      <alignment horizontal="center" vertical="center" textRotation="255"/>
    </xf>
    <xf numFmtId="0" fontId="5" fillId="27" borderId="259" xfId="0" applyFont="1" applyFill="1" applyBorder="1" applyAlignment="1">
      <alignment horizontal="center" vertical="center" textRotation="255"/>
    </xf>
    <xf numFmtId="0" fontId="29" fillId="27" borderId="129" xfId="0" applyFont="1" applyFill="1" applyBorder="1" applyAlignment="1">
      <alignment horizontal="center" vertical="center" textRotation="255" wrapText="1"/>
    </xf>
    <xf numFmtId="0" fontId="58" fillId="0" borderId="193" xfId="0" applyFont="1" applyFill="1" applyBorder="1" applyAlignment="1">
      <alignment horizontal="center" vertical="center" wrapText="1"/>
    </xf>
    <xf numFmtId="0" fontId="58" fillId="0" borderId="91" xfId="0" applyFont="1" applyFill="1" applyBorder="1" applyAlignment="1">
      <alignment horizontal="center" vertical="center" wrapText="1"/>
    </xf>
    <xf numFmtId="0" fontId="60" fillId="0" borderId="13" xfId="0" applyFont="1" applyFill="1" applyBorder="1" applyAlignment="1">
      <alignment horizontal="left" shrinkToFit="1"/>
    </xf>
    <xf numFmtId="0" fontId="60" fillId="0" borderId="192" xfId="0" applyFont="1" applyFill="1" applyBorder="1" applyAlignment="1">
      <alignment horizontal="left" shrinkToFit="1"/>
    </xf>
    <xf numFmtId="0" fontId="58" fillId="0" borderId="267" xfId="0" applyFont="1" applyFill="1" applyBorder="1" applyAlignment="1">
      <alignment horizontal="center" shrinkToFit="1"/>
    </xf>
    <xf numFmtId="0" fontId="58" fillId="0" borderId="148" xfId="0" applyFont="1" applyFill="1" applyBorder="1" applyAlignment="1">
      <alignment horizontal="center" shrinkToFit="1"/>
    </xf>
    <xf numFmtId="0" fontId="58" fillId="0" borderId="268" xfId="0" applyFont="1" applyFill="1" applyBorder="1" applyAlignment="1">
      <alignment horizontal="center" shrinkToFit="1"/>
    </xf>
    <xf numFmtId="0" fontId="58" fillId="27" borderId="194" xfId="0" applyFont="1" applyFill="1" applyBorder="1" applyAlignment="1">
      <alignment horizontal="center" vertical="center" textRotation="255"/>
    </xf>
    <xf numFmtId="0" fontId="58" fillId="27" borderId="259" xfId="0" applyFont="1" applyFill="1" applyBorder="1" applyAlignment="1">
      <alignment horizontal="center" vertical="center" textRotation="255"/>
    </xf>
    <xf numFmtId="0" fontId="58" fillId="27" borderId="182" xfId="0" applyFont="1" applyFill="1" applyBorder="1" applyAlignment="1">
      <alignment horizontal="center" vertical="center" textRotation="255"/>
    </xf>
    <xf numFmtId="0" fontId="62" fillId="0" borderId="193" xfId="0" applyFont="1" applyFill="1" applyBorder="1" applyAlignment="1">
      <alignment horizontal="center" vertical="center" wrapText="1"/>
    </xf>
    <xf numFmtId="0" fontId="62" fillId="0" borderId="91" xfId="0" applyFont="1" applyFill="1" applyBorder="1" applyAlignment="1">
      <alignment horizontal="center" vertical="center" wrapText="1"/>
    </xf>
    <xf numFmtId="0" fontId="60" fillId="0" borderId="89" xfId="0" applyFont="1" applyFill="1" applyBorder="1" applyAlignment="1">
      <alignment horizontal="left" shrinkToFit="1"/>
    </xf>
    <xf numFmtId="0" fontId="58" fillId="0" borderId="90" xfId="0" applyFont="1" applyFill="1" applyBorder="1" applyAlignment="1">
      <alignment horizontal="center" shrinkToFit="1"/>
    </xf>
    <xf numFmtId="0" fontId="57" fillId="0" borderId="224" xfId="0" applyFont="1" applyBorder="1" applyAlignment="1">
      <alignment horizontal="right"/>
    </xf>
    <xf numFmtId="0" fontId="57" fillId="0" borderId="182" xfId="0" applyFont="1" applyBorder="1" applyAlignment="1">
      <alignment horizontal="right"/>
    </xf>
    <xf numFmtId="0" fontId="57" fillId="0" borderId="264" xfId="0" applyFont="1" applyBorder="1" applyAlignment="1">
      <alignment horizontal="right" vertical="center" wrapText="1" shrinkToFit="1"/>
    </xf>
    <xf numFmtId="0" fontId="57" fillId="0" borderId="265" xfId="0" applyFont="1" applyBorder="1" applyAlignment="1">
      <alignment horizontal="right" vertical="center" shrinkToFit="1"/>
    </xf>
    <xf numFmtId="0" fontId="57" fillId="0" borderId="259" xfId="0" applyFont="1" applyBorder="1" applyAlignment="1">
      <alignment horizontal="right" vertical="center" shrinkToFit="1"/>
    </xf>
    <xf numFmtId="0" fontId="57" fillId="0" borderId="192" xfId="0" applyFont="1" applyBorder="1" applyAlignment="1">
      <alignment horizontal="right" vertical="center" wrapText="1" shrinkToFit="1"/>
    </xf>
    <xf numFmtId="0" fontId="57" fillId="0" borderId="89" xfId="0" applyFont="1" applyBorder="1" applyAlignment="1">
      <alignment horizontal="right" vertical="center" shrinkToFit="1"/>
    </xf>
    <xf numFmtId="0" fontId="57" fillId="0" borderId="183" xfId="0" applyFont="1" applyBorder="1" applyAlignment="1">
      <alignment horizontal="right" vertical="center" shrinkToFit="1"/>
    </xf>
    <xf numFmtId="0" fontId="5" fillId="27" borderId="191" xfId="0" applyFont="1" applyFill="1" applyBorder="1" applyAlignment="1">
      <alignment horizontal="center"/>
    </xf>
    <xf numFmtId="0" fontId="5" fillId="27" borderId="192" xfId="0" applyFont="1" applyFill="1" applyBorder="1" applyAlignment="1">
      <alignment horizontal="center"/>
    </xf>
    <xf numFmtId="0" fontId="5" fillId="27" borderId="84" xfId="0" applyFont="1" applyFill="1" applyBorder="1" applyAlignment="1">
      <alignment horizontal="center" vertical="center" textRotation="255"/>
    </xf>
    <xf numFmtId="0" fontId="5" fillId="27" borderId="23" xfId="0" applyFont="1" applyFill="1" applyBorder="1" applyAlignment="1">
      <alignment horizontal="center" vertical="center" textRotation="255"/>
    </xf>
    <xf numFmtId="0" fontId="5" fillId="27" borderId="129" xfId="0" applyFont="1" applyFill="1" applyBorder="1" applyAlignment="1">
      <alignment horizontal="center" vertical="center" textRotation="255"/>
    </xf>
    <xf numFmtId="0" fontId="5" fillId="27" borderId="87" xfId="0" applyFont="1" applyFill="1" applyBorder="1" applyAlignment="1">
      <alignment horizontal="center" vertical="center" textRotation="255"/>
    </xf>
    <xf numFmtId="0" fontId="10" fillId="0" borderId="129" xfId="0" applyFont="1" applyFill="1" applyBorder="1" applyAlignment="1">
      <alignment horizontal="center" vertical="center" textRotation="255"/>
    </xf>
    <xf numFmtId="0" fontId="10" fillId="0" borderId="261" xfId="0" applyFont="1" applyFill="1" applyBorder="1" applyAlignment="1">
      <alignment horizontal="center" vertical="center" textRotation="255"/>
    </xf>
    <xf numFmtId="0" fontId="10" fillId="0" borderId="23" xfId="0" applyFont="1" applyFill="1" applyBorder="1" applyAlignment="1">
      <alignment horizontal="center" vertical="center" textRotation="255"/>
    </xf>
    <xf numFmtId="0" fontId="10" fillId="0" borderId="87" xfId="0" applyFont="1" applyFill="1" applyBorder="1" applyAlignment="1">
      <alignment horizontal="center" vertical="center" textRotation="255"/>
    </xf>
    <xf numFmtId="0" fontId="10" fillId="27" borderId="193" xfId="0" applyFont="1" applyFill="1" applyBorder="1" applyAlignment="1">
      <alignment horizontal="center" vertical="center" textRotation="255"/>
    </xf>
    <xf numFmtId="0" fontId="10" fillId="27" borderId="130" xfId="0" applyFont="1" applyFill="1" applyBorder="1" applyAlignment="1">
      <alignment horizontal="center" vertical="center" textRotation="255"/>
    </xf>
    <xf numFmtId="0" fontId="0" fillId="0" borderId="130" xfId="0" applyBorder="1" applyAlignment="1">
      <alignment horizontal="center" vertical="center" textRotation="255"/>
    </xf>
    <xf numFmtId="0" fontId="0" fillId="0" borderId="261" xfId="0" applyBorder="1" applyAlignment="1">
      <alignment vertical="center"/>
    </xf>
    <xf numFmtId="0" fontId="10" fillId="27" borderId="129" xfId="0" applyFont="1" applyFill="1" applyBorder="1" applyAlignment="1">
      <alignment horizontal="center" vertical="center" textRotation="255"/>
    </xf>
    <xf numFmtId="0" fontId="0" fillId="0" borderId="261" xfId="0" applyBorder="1" applyAlignment="1">
      <alignment horizontal="center" vertical="center" textRotation="255"/>
    </xf>
    <xf numFmtId="0" fontId="10" fillId="27" borderId="261" xfId="0" applyFont="1" applyFill="1" applyBorder="1" applyAlignment="1">
      <alignment horizontal="center" vertical="center" textRotation="255"/>
    </xf>
    <xf numFmtId="0" fontId="63" fillId="0" borderId="189" xfId="0" applyFont="1" applyFill="1" applyBorder="1" applyAlignment="1">
      <alignment horizontal="center" vertical="center" wrapText="1"/>
    </xf>
    <xf numFmtId="0" fontId="63" fillId="0" borderId="190" xfId="0" applyFont="1" applyFill="1" applyBorder="1" applyAlignment="1">
      <alignment horizontal="center" vertical="center" wrapText="1"/>
    </xf>
    <xf numFmtId="0" fontId="11" fillId="0" borderId="192" xfId="0" applyFont="1" applyFill="1" applyBorder="1" applyAlignment="1">
      <alignment horizontal="center" vertical="center" wrapText="1"/>
    </xf>
    <xf numFmtId="0" fontId="11" fillId="0" borderId="89" xfId="0" applyFont="1" applyFill="1" applyBorder="1" applyAlignment="1">
      <alignment horizontal="center" vertical="center" wrapText="1"/>
    </xf>
    <xf numFmtId="0" fontId="10" fillId="0" borderId="189" xfId="0" applyFont="1" applyFill="1" applyBorder="1" applyAlignment="1">
      <alignment horizontal="center" vertical="center"/>
    </xf>
    <xf numFmtId="0" fontId="10" fillId="0" borderId="191" xfId="0" applyFont="1" applyFill="1" applyBorder="1" applyAlignment="1">
      <alignment horizontal="center" vertical="center"/>
    </xf>
    <xf numFmtId="0" fontId="12" fillId="0" borderId="13" xfId="0" applyFont="1" applyFill="1" applyBorder="1" applyAlignment="1">
      <alignment horizontal="left" vertical="center"/>
    </xf>
    <xf numFmtId="0" fontId="12" fillId="0" borderId="90" xfId="0" applyFont="1" applyFill="1" applyBorder="1" applyAlignment="1">
      <alignment horizontal="left" vertical="center"/>
    </xf>
    <xf numFmtId="38" fontId="10" fillId="0" borderId="84" xfId="0" applyNumberFormat="1" applyFont="1" applyFill="1" applyBorder="1" applyAlignment="1">
      <alignment horizontal="left" vertical="center"/>
    </xf>
    <xf numFmtId="0" fontId="12" fillId="0" borderId="192" xfId="0" applyFont="1" applyFill="1" applyBorder="1" applyAlignment="1">
      <alignment horizontal="left" vertical="center"/>
    </xf>
    <xf numFmtId="38" fontId="10" fillId="0" borderId="87" xfId="0" applyNumberFormat="1" applyFont="1" applyFill="1" applyBorder="1" applyAlignment="1">
      <alignment horizontal="left" vertical="center"/>
    </xf>
    <xf numFmtId="0" fontId="10" fillId="0" borderId="193" xfId="0" applyFont="1" applyFill="1" applyBorder="1" applyAlignment="1">
      <alignment horizontal="center" vertical="center" wrapText="1"/>
    </xf>
    <xf numFmtId="0" fontId="10" fillId="0" borderId="91" xfId="0" applyFont="1" applyFill="1" applyBorder="1" applyAlignment="1">
      <alignment horizontal="center" vertical="center" wrapText="1"/>
    </xf>
    <xf numFmtId="0" fontId="12" fillId="0" borderId="192" xfId="0" applyFont="1" applyFill="1" applyBorder="1" applyAlignment="1">
      <alignment horizontal="left" vertical="center" shrinkToFit="1"/>
    </xf>
    <xf numFmtId="0" fontId="12" fillId="0" borderId="89" xfId="0" applyFont="1" applyFill="1" applyBorder="1" applyAlignment="1">
      <alignment horizontal="left" vertical="center" shrinkToFit="1"/>
    </xf>
    <xf numFmtId="0" fontId="60" fillId="0" borderId="13" xfId="0" applyFont="1" applyFill="1" applyBorder="1" applyAlignment="1">
      <alignment horizontal="left" vertical="center" shrinkToFit="1"/>
    </xf>
    <xf numFmtId="0" fontId="60" fillId="0" borderId="192" xfId="0" applyFont="1" applyFill="1" applyBorder="1" applyAlignment="1">
      <alignment horizontal="left" vertical="center" shrinkToFit="1"/>
    </xf>
    <xf numFmtId="0" fontId="58" fillId="0" borderId="267" xfId="0" applyFont="1" applyFill="1" applyBorder="1" applyAlignment="1">
      <alignment horizontal="center" vertical="center" shrinkToFit="1"/>
    </xf>
    <xf numFmtId="0" fontId="58" fillId="0" borderId="148" xfId="0" applyFont="1" applyFill="1" applyBorder="1" applyAlignment="1">
      <alignment horizontal="center" vertical="center" shrinkToFit="1"/>
    </xf>
    <xf numFmtId="0" fontId="58" fillId="0" borderId="268" xfId="0" applyFont="1" applyFill="1" applyBorder="1" applyAlignment="1">
      <alignment horizontal="center" vertical="center" shrinkToFit="1"/>
    </xf>
    <xf numFmtId="0" fontId="58" fillId="27" borderId="193" xfId="0" applyFont="1" applyFill="1" applyBorder="1" applyAlignment="1">
      <alignment horizontal="center" vertical="center" textRotation="255"/>
    </xf>
    <xf numFmtId="0" fontId="58" fillId="27" borderId="130" xfId="0" applyFont="1" applyFill="1" applyBorder="1" applyAlignment="1">
      <alignment horizontal="center" vertical="center" textRotation="255"/>
    </xf>
    <xf numFmtId="0" fontId="58" fillId="27" borderId="261" xfId="0" applyFont="1" applyFill="1" applyBorder="1" applyAlignment="1">
      <alignment horizontal="center" vertical="center" textRotation="255"/>
    </xf>
    <xf numFmtId="0" fontId="58" fillId="27" borderId="129" xfId="0" applyFont="1" applyFill="1" applyBorder="1" applyAlignment="1">
      <alignment horizontal="center" vertical="center" textRotation="255"/>
    </xf>
    <xf numFmtId="0" fontId="60" fillId="0" borderId="89" xfId="0" applyFont="1" applyFill="1" applyBorder="1" applyAlignment="1">
      <alignment horizontal="left" vertical="center" shrinkToFit="1"/>
    </xf>
    <xf numFmtId="0" fontId="58" fillId="0" borderId="90" xfId="0" applyFont="1" applyFill="1" applyBorder="1" applyAlignment="1">
      <alignment horizontal="center" vertical="center" shrinkToFit="1"/>
    </xf>
    <xf numFmtId="0" fontId="57" fillId="0" borderId="224" xfId="0" applyFont="1" applyBorder="1" applyAlignment="1">
      <alignment horizontal="right" vertical="center"/>
    </xf>
    <xf numFmtId="0" fontId="57" fillId="0" borderId="182" xfId="0" applyFont="1" applyBorder="1" applyAlignment="1">
      <alignment horizontal="right" vertical="center"/>
    </xf>
    <xf numFmtId="0" fontId="10" fillId="27" borderId="267" xfId="0" applyFont="1" applyFill="1" applyBorder="1" applyAlignment="1">
      <alignment horizontal="center" vertical="center"/>
    </xf>
    <xf numFmtId="0" fontId="10" fillId="27" borderId="148" xfId="0" applyFont="1" applyFill="1" applyBorder="1" applyAlignment="1">
      <alignment horizontal="center" vertical="center"/>
    </xf>
    <xf numFmtId="0" fontId="10" fillId="27" borderId="90" xfId="0" applyFont="1" applyFill="1" applyBorder="1" applyAlignment="1">
      <alignment horizontal="center" vertical="center"/>
    </xf>
    <xf numFmtId="0" fontId="25" fillId="18" borderId="52" xfId="0" applyFont="1" applyFill="1" applyBorder="1" applyAlignment="1">
      <alignment horizontal="left" vertical="center" shrinkToFit="1"/>
    </xf>
    <xf numFmtId="0" fontId="25" fillId="18" borderId="224" xfId="0" applyFont="1" applyFill="1" applyBorder="1" applyAlignment="1">
      <alignment horizontal="left" vertical="center" shrinkToFit="1"/>
    </xf>
    <xf numFmtId="0" fontId="25" fillId="18" borderId="182" xfId="0" applyFont="1" applyFill="1" applyBorder="1" applyAlignment="1">
      <alignment horizontal="left" vertical="center" shrinkToFit="1"/>
    </xf>
    <xf numFmtId="0" fontId="10" fillId="27" borderId="23" xfId="0" applyFont="1" applyFill="1" applyBorder="1" applyAlignment="1">
      <alignment horizontal="center" vertical="center" textRotation="255"/>
    </xf>
    <xf numFmtId="0" fontId="10" fillId="27" borderId="87" xfId="0" applyFont="1" applyFill="1" applyBorder="1" applyAlignment="1">
      <alignment horizontal="center" vertical="center" textRotation="255"/>
    </xf>
    <xf numFmtId="0" fontId="5" fillId="0" borderId="240" xfId="0" applyFont="1" applyFill="1" applyBorder="1" applyAlignment="1">
      <alignment horizontal="center" vertical="center"/>
    </xf>
    <xf numFmtId="0" fontId="5" fillId="0" borderId="241" xfId="0" applyFont="1" applyFill="1" applyBorder="1" applyAlignment="1">
      <alignment horizontal="center" vertical="center"/>
    </xf>
    <xf numFmtId="0" fontId="5" fillId="0" borderId="258" xfId="0" applyFont="1" applyFill="1" applyBorder="1" applyAlignment="1">
      <alignment vertical="center"/>
    </xf>
    <xf numFmtId="0" fontId="5" fillId="0" borderId="225" xfId="0" applyFont="1" applyFill="1" applyBorder="1" applyAlignment="1">
      <alignment horizontal="left" vertical="center"/>
    </xf>
    <xf numFmtId="0" fontId="5" fillId="0" borderId="224" xfId="0" applyFont="1" applyFill="1" applyBorder="1" applyAlignment="1">
      <alignment horizontal="left" vertical="center"/>
    </xf>
    <xf numFmtId="0" fontId="5" fillId="0" borderId="182" xfId="0" applyFont="1" applyFill="1" applyBorder="1" applyAlignment="1">
      <alignment horizontal="left" vertical="center"/>
    </xf>
    <xf numFmtId="0" fontId="5" fillId="0" borderId="240" xfId="0" applyFont="1" applyFill="1" applyBorder="1" applyAlignment="1">
      <alignment horizontal="left" vertical="center"/>
    </xf>
    <xf numFmtId="0" fontId="5" fillId="0" borderId="241" xfId="0" applyFont="1" applyFill="1" applyBorder="1" applyAlignment="1">
      <alignment horizontal="left" vertical="center"/>
    </xf>
    <xf numFmtId="0" fontId="5" fillId="0" borderId="137" xfId="0" applyFont="1" applyFill="1" applyBorder="1" applyAlignment="1">
      <alignment horizontal="left" vertical="center"/>
    </xf>
    <xf numFmtId="0" fontId="35" fillId="0" borderId="89" xfId="0" applyFont="1" applyFill="1" applyBorder="1" applyAlignment="1">
      <alignment horizontal="left"/>
    </xf>
    <xf numFmtId="0" fontId="35" fillId="0" borderId="183" xfId="0" applyFont="1" applyFill="1" applyBorder="1" applyAlignment="1">
      <alignment horizontal="left"/>
    </xf>
    <xf numFmtId="0" fontId="5" fillId="0" borderId="261" xfId="0" applyFont="1" applyFill="1" applyBorder="1" applyAlignment="1">
      <alignment horizontal="center" vertical="center" textRotation="255"/>
    </xf>
    <xf numFmtId="0" fontId="5" fillId="0" borderId="130" xfId="0" applyFont="1" applyFill="1" applyBorder="1" applyAlignment="1">
      <alignment horizontal="center" vertical="center" textRotation="255"/>
    </xf>
    <xf numFmtId="0" fontId="29" fillId="0" borderId="129" xfId="0" applyFont="1" applyFill="1" applyBorder="1" applyAlignment="1">
      <alignment horizontal="center" vertical="center" textRotation="255" wrapText="1"/>
    </xf>
    <xf numFmtId="0" fontId="29" fillId="0" borderId="91" xfId="0" applyFont="1" applyFill="1" applyBorder="1" applyAlignment="1">
      <alignment horizontal="center" vertical="center" textRotation="255" wrapText="1"/>
    </xf>
    <xf numFmtId="0" fontId="5" fillId="0" borderId="211" xfId="0" applyFont="1" applyFill="1" applyBorder="1" applyAlignment="1">
      <alignment horizontal="center" wrapText="1"/>
    </xf>
    <xf numFmtId="0" fontId="5" fillId="0" borderId="192" xfId="0" applyFont="1" applyFill="1" applyBorder="1" applyAlignment="1">
      <alignment horizontal="center" wrapText="1"/>
    </xf>
    <xf numFmtId="0" fontId="5" fillId="0" borderId="89" xfId="0" applyFont="1" applyFill="1" applyBorder="1" applyAlignment="1">
      <alignment horizontal="center" wrapText="1"/>
    </xf>
    <xf numFmtId="0" fontId="5" fillId="0" borderId="183" xfId="0" applyFont="1" applyFill="1" applyBorder="1" applyAlignment="1">
      <alignment horizontal="center" wrapText="1"/>
    </xf>
    <xf numFmtId="0" fontId="19" fillId="0" borderId="181" xfId="0" applyFont="1" applyFill="1" applyBorder="1" applyAlignment="1">
      <alignment horizontal="left" shrinkToFit="1"/>
    </xf>
    <xf numFmtId="38" fontId="10" fillId="0" borderId="85" xfId="0" applyNumberFormat="1" applyFont="1" applyFill="1" applyBorder="1" applyAlignment="1">
      <alignment horizontal="left"/>
    </xf>
    <xf numFmtId="38" fontId="10" fillId="0" borderId="194" xfId="0" applyNumberFormat="1" applyFont="1" applyFill="1" applyBorder="1" applyAlignment="1">
      <alignment horizontal="left"/>
    </xf>
    <xf numFmtId="38" fontId="10" fillId="0" borderId="88" xfId="0" applyNumberFormat="1" applyFont="1" applyFill="1" applyBorder="1" applyAlignment="1">
      <alignment horizontal="left"/>
    </xf>
    <xf numFmtId="38" fontId="10" fillId="0" borderId="181" xfId="0" applyNumberFormat="1" applyFont="1" applyFill="1" applyBorder="1" applyAlignment="1">
      <alignment horizontal="left"/>
    </xf>
    <xf numFmtId="0" fontId="5" fillId="0" borderId="267" xfId="0" applyFont="1" applyFill="1" applyBorder="1" applyAlignment="1">
      <alignment horizontal="center"/>
    </xf>
    <xf numFmtId="0" fontId="5" fillId="0" borderId="148" xfId="0" applyFont="1" applyFill="1" applyBorder="1" applyAlignment="1">
      <alignment horizontal="center"/>
    </xf>
    <xf numFmtId="0" fontId="5" fillId="0" borderId="90" xfId="0" applyFont="1" applyFill="1" applyBorder="1" applyAlignment="1">
      <alignment horizontal="center"/>
    </xf>
    <xf numFmtId="0" fontId="5" fillId="0" borderId="91" xfId="0" applyFont="1" applyFill="1" applyBorder="1" applyAlignment="1">
      <alignment horizontal="center" vertical="center" textRotation="255"/>
    </xf>
    <xf numFmtId="0" fontId="35" fillId="0" borderId="183" xfId="0" applyFont="1" applyFill="1" applyBorder="1" applyAlignment="1">
      <alignment horizontal="left" shrinkToFit="1"/>
    </xf>
    <xf numFmtId="0" fontId="5" fillId="0" borderId="268" xfId="0" applyFont="1" applyFill="1" applyBorder="1" applyAlignment="1">
      <alignment horizontal="center" shrinkToFit="1"/>
    </xf>
    <xf numFmtId="0" fontId="5" fillId="0" borderId="193" xfId="0" applyFont="1" applyFill="1" applyBorder="1" applyAlignment="1">
      <alignment horizontal="center" vertical="center" textRotation="255"/>
    </xf>
    <xf numFmtId="0" fontId="29" fillId="0" borderId="261" xfId="0" applyFont="1" applyFill="1" applyBorder="1" applyAlignment="1">
      <alignment horizontal="center" vertical="center" textRotation="255" wrapText="1"/>
    </xf>
    <xf numFmtId="0" fontId="19" fillId="0" borderId="292" xfId="0" applyFont="1" applyFill="1" applyBorder="1" applyAlignment="1">
      <alignment horizontal="center" vertical="center"/>
    </xf>
    <xf numFmtId="0" fontId="19" fillId="0" borderId="293" xfId="0" applyFont="1" applyFill="1" applyBorder="1" applyAlignment="1">
      <alignment horizontal="center" vertical="center"/>
    </xf>
    <xf numFmtId="0" fontId="19" fillId="0" borderId="314" xfId="0" applyFont="1" applyBorder="1" applyAlignment="1">
      <alignment vertical="center" textRotation="255"/>
    </xf>
    <xf numFmtId="0" fontId="19" fillId="0" borderId="308" xfId="0" applyFont="1" applyBorder="1" applyAlignment="1">
      <alignment vertical="center" textRotation="255"/>
    </xf>
    <xf numFmtId="0" fontId="78" fillId="0" borderId="0" xfId="0" applyFont="1" applyBorder="1" applyAlignment="1">
      <alignment vertical="center" textRotation="255"/>
    </xf>
    <xf numFmtId="0" fontId="25" fillId="0" borderId="292" xfId="0" applyFont="1" applyFill="1" applyBorder="1" applyAlignment="1">
      <alignment horizontal="center" vertical="center"/>
    </xf>
    <xf numFmtId="0" fontId="25" fillId="0" borderId="293" xfId="0" applyFont="1" applyFill="1" applyBorder="1" applyAlignment="1">
      <alignment horizontal="center" vertical="center"/>
    </xf>
    <xf numFmtId="0" fontId="76" fillId="0" borderId="296" xfId="0" applyFont="1" applyFill="1" applyBorder="1" applyAlignment="1">
      <alignment horizontal="left" vertical="center"/>
    </xf>
    <xf numFmtId="0" fontId="76" fillId="0" borderId="297" xfId="0" applyFont="1" applyFill="1" applyBorder="1" applyAlignment="1">
      <alignment horizontal="left" vertical="center"/>
    </xf>
    <xf numFmtId="0" fontId="19" fillId="0" borderId="299" xfId="0" applyFont="1" applyFill="1" applyBorder="1" applyAlignment="1">
      <alignment vertical="center" shrinkToFit="1"/>
    </xf>
    <xf numFmtId="0" fontId="19" fillId="0" borderId="300" xfId="0" applyFont="1" applyFill="1" applyBorder="1" applyAlignment="1">
      <alignment vertical="center" shrinkToFit="1"/>
    </xf>
    <xf numFmtId="0" fontId="54" fillId="0" borderId="189" xfId="0" applyFont="1" applyFill="1" applyBorder="1" applyAlignment="1">
      <alignment horizontal="left" vertical="center" shrinkToFit="1"/>
    </xf>
    <xf numFmtId="0" fontId="54" fillId="0" borderId="190" xfId="0" applyFont="1" applyFill="1" applyBorder="1" applyAlignment="1">
      <alignment horizontal="left" vertical="center" shrinkToFit="1"/>
    </xf>
    <xf numFmtId="0" fontId="54" fillId="0" borderId="211" xfId="0" applyFont="1" applyFill="1" applyBorder="1" applyAlignment="1">
      <alignment horizontal="left" vertical="center" shrinkToFit="1"/>
    </xf>
    <xf numFmtId="0" fontId="25" fillId="0" borderId="148" xfId="0" applyFont="1" applyFill="1" applyBorder="1" applyAlignment="1">
      <alignment horizontal="center" vertical="center" shrinkToFit="1"/>
    </xf>
    <xf numFmtId="0" fontId="25" fillId="0" borderId="193" xfId="0" applyFont="1" applyFill="1" applyBorder="1" applyAlignment="1">
      <alignment horizontal="center" vertical="center" textRotation="255"/>
    </xf>
    <xf numFmtId="0" fontId="25" fillId="0" borderId="130" xfId="0" applyFont="1" applyFill="1" applyBorder="1" applyAlignment="1">
      <alignment horizontal="center" vertical="center" textRotation="255"/>
    </xf>
    <xf numFmtId="0" fontId="25" fillId="0" borderId="261" xfId="0" applyFont="1" applyFill="1" applyBorder="1" applyAlignment="1">
      <alignment horizontal="center" vertical="center" textRotation="255"/>
    </xf>
    <xf numFmtId="0" fontId="25" fillId="0" borderId="129" xfId="0" applyFont="1" applyFill="1" applyBorder="1" applyAlignment="1">
      <alignment horizontal="center" vertical="center" textRotation="255"/>
    </xf>
    <xf numFmtId="0" fontId="74" fillId="0" borderId="0" xfId="0" applyFont="1" applyFill="1" applyBorder="1" applyAlignment="1">
      <alignment horizontal="left" vertical="center" shrinkToFit="1"/>
    </xf>
    <xf numFmtId="0" fontId="12" fillId="0" borderId="89" xfId="0" applyFont="1" applyFill="1" applyBorder="1" applyAlignment="1">
      <alignment horizontal="distributed" vertical="center"/>
    </xf>
    <xf numFmtId="0" fontId="54" fillId="0" borderId="167" xfId="0" applyFont="1" applyFill="1" applyBorder="1" applyAlignment="1">
      <alignment horizontal="distributed" vertical="center"/>
    </xf>
    <xf numFmtId="0" fontId="54" fillId="0" borderId="162" xfId="0" applyFont="1" applyFill="1" applyBorder="1" applyAlignment="1">
      <alignment horizontal="distributed" vertical="center"/>
    </xf>
    <xf numFmtId="0" fontId="54" fillId="0" borderId="15" xfId="0" applyFont="1" applyFill="1" applyBorder="1" applyAlignment="1">
      <alignment horizontal="distributed" vertical="center"/>
    </xf>
    <xf numFmtId="0" fontId="19" fillId="0" borderId="133" xfId="0" applyFont="1" applyBorder="1" applyAlignment="1">
      <alignment horizontal="center" vertical="center" shrinkToFit="1"/>
    </xf>
    <xf numFmtId="0" fontId="19" fillId="0" borderId="169" xfId="0" applyFont="1" applyBorder="1" applyAlignment="1">
      <alignment horizontal="center" vertical="center" shrinkToFit="1"/>
    </xf>
    <xf numFmtId="0" fontId="19" fillId="0" borderId="170" xfId="0" applyFont="1" applyBorder="1" applyAlignment="1">
      <alignment horizontal="center" vertical="center"/>
    </xf>
    <xf numFmtId="0" fontId="0" fillId="0" borderId="133" xfId="0" applyBorder="1" applyAlignment="1">
      <alignment horizontal="center" vertical="center"/>
    </xf>
    <xf numFmtId="0" fontId="0" fillId="0" borderId="171" xfId="0" applyBorder="1" applyAlignment="1">
      <alignment horizontal="center" vertical="center"/>
    </xf>
    <xf numFmtId="9" fontId="19" fillId="11" borderId="172" xfId="0" applyNumberFormat="1" applyFont="1" applyFill="1" applyBorder="1" applyAlignment="1" applyProtection="1">
      <alignment horizontal="center" vertical="center" shrinkToFit="1"/>
      <protection locked="0"/>
    </xf>
    <xf numFmtId="9" fontId="0" fillId="11" borderId="173" xfId="0" applyNumberFormat="1" applyFill="1" applyBorder="1" applyAlignment="1">
      <alignment horizontal="center" vertical="center" shrinkToFit="1"/>
    </xf>
    <xf numFmtId="178" fontId="19" fillId="0" borderId="174" xfId="0" applyNumberFormat="1" applyFont="1" applyBorder="1" applyAlignment="1" applyProtection="1">
      <alignment horizontal="left" vertical="center" shrinkToFit="1"/>
      <protection locked="0"/>
    </xf>
    <xf numFmtId="178" fontId="19" fillId="0" borderId="136" xfId="0" applyNumberFormat="1" applyFont="1" applyBorder="1" applyAlignment="1" applyProtection="1">
      <alignment horizontal="left" vertical="center" shrinkToFit="1"/>
      <protection locked="0"/>
    </xf>
    <xf numFmtId="178" fontId="19" fillId="0" borderId="175" xfId="0" applyNumberFormat="1" applyFont="1" applyBorder="1" applyAlignment="1" applyProtection="1">
      <alignment horizontal="left" vertical="center" shrinkToFit="1"/>
      <protection locked="0"/>
    </xf>
    <xf numFmtId="0" fontId="22" fillId="0" borderId="168" xfId="0" applyFont="1" applyBorder="1" applyAlignment="1" applyProtection="1">
      <alignment horizontal="center" vertical="center"/>
      <protection locked="0"/>
    </xf>
    <xf numFmtId="0" fontId="22" fillId="10" borderId="168" xfId="0" applyFont="1" applyFill="1" applyBorder="1" applyAlignment="1" applyProtection="1">
      <alignment vertical="center" shrinkToFit="1"/>
      <protection locked="0"/>
    </xf>
  </cellXfs>
  <cellStyles count="7">
    <cellStyle name="パーセント" xfId="6" builtinId="5"/>
    <cellStyle name="パーセント 2" xfId="3"/>
    <cellStyle name="桁区切り" xfId="4" builtinId="6"/>
    <cellStyle name="桁区切り 2" xfId="1"/>
    <cellStyle name="標準" xfId="0" builtinId="0"/>
    <cellStyle name="標準 2" xfId="2"/>
    <cellStyle name="標準 3" xfId="5"/>
  </cellStyles>
  <dxfs count="8">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9" defaultPivotStyle="PivotStyleLight16"/>
  <colors>
    <mruColors>
      <color rgb="FF87D8FD"/>
      <color rgb="FFCC66FF"/>
      <color rgb="FFE6AFFF"/>
      <color rgb="FF00FF00"/>
      <color rgb="FFFFFF99"/>
      <color rgb="FF9933FF"/>
      <color rgb="FFFF3399"/>
      <color rgb="FF99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13</xdr:col>
      <xdr:colOff>214031</xdr:colOff>
      <xdr:row>14</xdr:row>
      <xdr:rowOff>34177</xdr:rowOff>
    </xdr:from>
    <xdr:to>
      <xdr:col>18</xdr:col>
      <xdr:colOff>301437</xdr:colOff>
      <xdr:row>19</xdr:row>
      <xdr:rowOff>28574</xdr:rowOff>
    </xdr:to>
    <xdr:sp macro="" textlink="">
      <xdr:nvSpPr>
        <xdr:cNvPr id="2" name="四角形吹き出し 1">
          <a:extLst>
            <a:ext uri="{FF2B5EF4-FFF2-40B4-BE49-F238E27FC236}">
              <a16:creationId xmlns:a16="http://schemas.microsoft.com/office/drawing/2014/main" id="{00000000-0008-0000-0000-000002000000}"/>
            </a:ext>
          </a:extLst>
        </xdr:cNvPr>
        <xdr:cNvSpPr/>
      </xdr:nvSpPr>
      <xdr:spPr bwMode="auto">
        <a:xfrm>
          <a:off x="11529731" y="3167902"/>
          <a:ext cx="3725956" cy="927847"/>
        </a:xfrm>
        <a:prstGeom prst="wedgeRectCallout">
          <a:avLst>
            <a:gd name="adj1" fmla="val -67760"/>
            <a:gd name="adj2" fmla="val -198991"/>
          </a:avLst>
        </a:prstGeom>
        <a:solidFill>
          <a:srgbClr val="CC66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anchorCtr="1" upright="1"/>
        <a:lstStyle/>
        <a:p>
          <a:pPr algn="l"/>
          <a:r>
            <a:rPr kumimoji="1" lang="ja-JP" altLang="en-US" sz="1100" b="0">
              <a:solidFill>
                <a:srgbClr val="FF0000"/>
              </a:solidFill>
              <a:latin typeface="Meiryo UI" panose="020B0604030504040204" pitchFamily="50" charset="-128"/>
              <a:ea typeface="Meiryo UI" panose="020B0604030504040204" pitchFamily="50" charset="-128"/>
            </a:rPr>
            <a:t>明細情報欄の色塗部は必ず設計担当で入力して下さい。</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828675</xdr:colOff>
      <xdr:row>0</xdr:row>
      <xdr:rowOff>57151</xdr:rowOff>
    </xdr:from>
    <xdr:to>
      <xdr:col>4</xdr:col>
      <xdr:colOff>200025</xdr:colOff>
      <xdr:row>1</xdr:row>
      <xdr:rowOff>114300</xdr:rowOff>
    </xdr:to>
    <xdr:sp macro="" textlink="">
      <xdr:nvSpPr>
        <xdr:cNvPr id="3" name="Text Box 213">
          <a:extLst>
            <a:ext uri="{FF2B5EF4-FFF2-40B4-BE49-F238E27FC236}">
              <a16:creationId xmlns:a16="http://schemas.microsoft.com/office/drawing/2014/main" id="{00000000-0008-0000-0100-000003000000}"/>
            </a:ext>
          </a:extLst>
        </xdr:cNvPr>
        <xdr:cNvSpPr txBox="1">
          <a:spLocks noChangeArrowheads="1"/>
        </xdr:cNvSpPr>
      </xdr:nvSpPr>
      <xdr:spPr bwMode="auto">
        <a:xfrm>
          <a:off x="1295400" y="57151"/>
          <a:ext cx="2867025" cy="304799"/>
        </a:xfrm>
        <a:prstGeom prst="rect">
          <a:avLst/>
        </a:prstGeom>
        <a:solidFill>
          <a:srgbClr val="FFCC99"/>
        </a:solidFill>
        <a:ln w="19050">
          <a:solidFill>
            <a:srgbClr val="000000"/>
          </a:solidFill>
          <a:miter lim="800000"/>
          <a:headEnd/>
          <a:tailEnd/>
        </a:ln>
      </xdr:spPr>
      <xdr:txBody>
        <a:bodyPr vertOverflow="clip" wrap="square" lIns="36576" tIns="22860" rIns="0" bIns="0" anchor="t" upright="1"/>
        <a:lstStyle/>
        <a:p>
          <a:pPr algn="l" rtl="0">
            <a:defRPr sz="1000"/>
          </a:pPr>
          <a:r>
            <a:rPr lang="ja-JP" altLang="en-US" sz="1400" b="0" i="0" strike="noStrike">
              <a:solidFill>
                <a:srgbClr val="000000"/>
              </a:solidFill>
              <a:latin typeface="ＭＳ Ｐゴシック"/>
              <a:ea typeface="ＭＳ Ｐゴシック"/>
            </a:rPr>
            <a:t>＜－工事名称を変更するときは</a:t>
          </a:r>
          <a:r>
            <a:rPr lang="en-US" altLang="ja-JP" sz="1400" b="0" i="0" strike="noStrike">
              <a:solidFill>
                <a:srgbClr val="000000"/>
              </a:solidFill>
              <a:latin typeface="ＭＳ Ｐゴシック"/>
              <a:ea typeface="ＭＳ Ｐゴシック"/>
            </a:rPr>
            <a:t>､</a:t>
          </a:r>
          <a:r>
            <a:rPr lang="ja-JP" altLang="en-US" sz="1400" b="0" i="0" strike="noStrike">
              <a:solidFill>
                <a:srgbClr val="000000"/>
              </a:solidFill>
              <a:latin typeface="ＭＳ Ｐゴシック"/>
              <a:ea typeface="ＭＳ Ｐゴシック"/>
            </a:rPr>
            <a:t>Ｃ２のセルを変更してください。</a:t>
          </a:r>
        </a:p>
      </xdr:txBody>
    </xdr:sp>
    <xdr:clientData fPrintsWithSheet="0"/>
  </xdr:twoCellAnchor>
  <xdr:twoCellAnchor>
    <xdr:from>
      <xdr:col>16</xdr:col>
      <xdr:colOff>649941</xdr:colOff>
      <xdr:row>2</xdr:row>
      <xdr:rowOff>313765</xdr:rowOff>
    </xdr:from>
    <xdr:to>
      <xdr:col>19</xdr:col>
      <xdr:colOff>1109382</xdr:colOff>
      <xdr:row>5</xdr:row>
      <xdr:rowOff>134470</xdr:rowOff>
    </xdr:to>
    <xdr:sp macro="" textlink="">
      <xdr:nvSpPr>
        <xdr:cNvPr id="2" name="左矢印吹き出し 1">
          <a:extLst>
            <a:ext uri="{FF2B5EF4-FFF2-40B4-BE49-F238E27FC236}">
              <a16:creationId xmlns:a16="http://schemas.microsoft.com/office/drawing/2014/main" id="{00000000-0008-0000-0100-000002000000}"/>
            </a:ext>
          </a:extLst>
        </xdr:cNvPr>
        <xdr:cNvSpPr/>
      </xdr:nvSpPr>
      <xdr:spPr bwMode="auto">
        <a:xfrm>
          <a:off x="13267765" y="806824"/>
          <a:ext cx="4022911" cy="986117"/>
        </a:xfrm>
        <a:prstGeom prst="leftArrowCallout">
          <a:avLst>
            <a:gd name="adj1" fmla="val 25000"/>
            <a:gd name="adj2" fmla="val 25000"/>
            <a:gd name="adj3" fmla="val 25000"/>
            <a:gd name="adj4" fmla="val 93348"/>
          </a:avLst>
        </a:prstGeom>
        <a:solidFill>
          <a:schemeClr val="accent5"/>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ctr" anchorCtr="0" upright="1"/>
        <a:lstStyle/>
        <a:p>
          <a:pPr algn="l"/>
          <a:r>
            <a:rPr kumimoji="1" lang="ja-JP" altLang="en-US" sz="1000"/>
            <a:t>資産管理明細書は事業単位で作成して下さい。</a:t>
          </a:r>
          <a:endParaRPr kumimoji="1" lang="en-US" altLang="ja-JP" sz="1000"/>
        </a:p>
        <a:p>
          <a:pPr algn="l"/>
          <a:r>
            <a:rPr kumimoji="1" lang="ja-JP" altLang="en-US" sz="1000"/>
            <a:t>例：２つの事業を一つの工事で発注する場合（ＷＢＳ管理シートが２枚有る場合）はＬ２セルに２を入力し、資産管理明細書を２枚作成。</a:t>
          </a:r>
          <a:r>
            <a:rPr kumimoji="1" lang="en-US" altLang="ja-JP" sz="1000"/>
            <a:t>※</a:t>
          </a:r>
          <a:r>
            <a:rPr kumimoji="1" lang="ja-JP" altLang="en-US" sz="1000"/>
            <a:t>１事業で分類が多く、複数枚に跨るのはＯＫ。</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85725</xdr:rowOff>
        </xdr:from>
        <xdr:to>
          <xdr:col>3</xdr:col>
          <xdr:colOff>1038225</xdr:colOff>
          <xdr:row>16</xdr:row>
          <xdr:rowOff>76200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手順③</a:t>
              </a:r>
            </a:p>
            <a:p>
              <a:pPr algn="l" rtl="0">
                <a:defRPr sz="1000"/>
              </a:pPr>
              <a:r>
                <a:rPr lang="ja-JP" altLang="en-US" sz="1000" b="0" i="0" u="none" strike="noStrike" baseline="0">
                  <a:solidFill>
                    <a:srgbClr val="000000"/>
                  </a:solidFill>
                  <a:latin typeface="ＭＳ Ｐゴシック"/>
                  <a:ea typeface="ＭＳ Ｐゴシック"/>
                </a:rPr>
                <a:t>本表の金額入力が完了したらクリック（不要な行を非表示）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8</xdr:row>
          <xdr:rowOff>47625</xdr:rowOff>
        </xdr:from>
        <xdr:to>
          <xdr:col>3</xdr:col>
          <xdr:colOff>1057275</xdr:colOff>
          <xdr:row>12</xdr:row>
          <xdr:rowOff>28575</xdr:rowOff>
        </xdr:to>
        <xdr:sp macro="" textlink="">
          <xdr:nvSpPr>
            <xdr:cNvPr id="12318" name="Button 30" hidden="1">
              <a:extLst>
                <a:ext uri="{63B3BB69-23CF-44E3-9099-C40C66FF867C}">
                  <a14:compatExt spid="_x0000_s12318"/>
                </a:ext>
                <a:ext uri="{FF2B5EF4-FFF2-40B4-BE49-F238E27FC236}">
                  <a16:creationId xmlns:a16="http://schemas.microsoft.com/office/drawing/2014/main" id="{00000000-0008-0000-0200-00001E3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手順②</a:t>
              </a:r>
            </a:p>
            <a:p>
              <a:pPr algn="l" rtl="0">
                <a:defRPr sz="1000"/>
              </a:pPr>
              <a:r>
                <a:rPr lang="ja-JP" altLang="en-US" sz="1000" b="0" i="0" u="none" strike="noStrike" baseline="0">
                  <a:solidFill>
                    <a:srgbClr val="000000"/>
                  </a:solidFill>
                  <a:latin typeface="ＭＳ Ｐゴシック"/>
                  <a:ea typeface="ＭＳ Ｐゴシック"/>
                </a:rPr>
                <a:t>Ｈ列が完成したらクリック（工事２以降がある場合）</a:t>
              </a:r>
            </a:p>
          </xdr:txBody>
        </xdr:sp>
        <xdr:clientData fPrintsWithSheet="0"/>
      </xdr:twoCellAnchor>
    </mc:Choice>
    <mc:Fallback/>
  </mc:AlternateContent>
  <xdr:twoCellAnchor>
    <xdr:from>
      <xdr:col>9</xdr:col>
      <xdr:colOff>428625</xdr:colOff>
      <xdr:row>64</xdr:row>
      <xdr:rowOff>28575</xdr:rowOff>
    </xdr:from>
    <xdr:to>
      <xdr:col>18</xdr:col>
      <xdr:colOff>85725</xdr:colOff>
      <xdr:row>74</xdr:row>
      <xdr:rowOff>76200</xdr:rowOff>
    </xdr:to>
    <xdr:sp macro="" textlink="">
      <xdr:nvSpPr>
        <xdr:cNvPr id="5" name="テキスト ボックス 4">
          <a:extLst>
            <a:ext uri="{FF2B5EF4-FFF2-40B4-BE49-F238E27FC236}">
              <a16:creationId xmlns:a16="http://schemas.microsoft.com/office/drawing/2014/main" id="{00000000-0008-0000-0200-000005000000}"/>
            </a:ext>
          </a:extLst>
        </xdr:cNvPr>
        <xdr:cNvSpPr txBox="1"/>
      </xdr:nvSpPr>
      <xdr:spPr>
        <a:xfrm>
          <a:off x="8782050" y="11001375"/>
          <a:ext cx="5829300" cy="176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a:t>
          </a:r>
          <a:r>
            <a:rPr kumimoji="1" lang="ja-JP" altLang="en-US" sz="1100"/>
            <a:t>費用分類</a:t>
          </a:r>
          <a:r>
            <a:rPr kumimoji="1" lang="en-US" altLang="ja-JP" sz="1100"/>
            <a:t>】,</a:t>
          </a:r>
          <a:r>
            <a:rPr kumimoji="1" lang="ja-JP" altLang="en-US" sz="1100"/>
            <a:t>費用</a:t>
          </a:r>
          <a:r>
            <a:rPr kumimoji="1" lang="en-US" altLang="ja-JP" sz="1100"/>
            <a:t>,</a:t>
          </a:r>
          <a:r>
            <a:rPr kumimoji="1" lang="ja-JP" altLang="en-US" sz="1100"/>
            <a:t>　</a:t>
          </a:r>
          <a:r>
            <a:rPr kumimoji="1" lang="en-US" altLang="ja-JP" sz="1100"/>
            <a:t>,【</a:t>
          </a:r>
          <a:r>
            <a:rPr kumimoji="1" lang="ja-JP" altLang="en-US" sz="1100"/>
            <a:t>資産区分</a:t>
          </a:r>
          <a:r>
            <a:rPr kumimoji="1" lang="en-US" altLang="ja-JP" sz="1100"/>
            <a:t>】,</a:t>
          </a:r>
          <a:r>
            <a:rPr kumimoji="1" lang="ja-JP" altLang="en-US" sz="1100"/>
            <a:t>＜建物附属設備＞</a:t>
          </a:r>
          <a:r>
            <a:rPr kumimoji="1" lang="en-US" altLang="ja-JP" sz="1100"/>
            <a:t>,</a:t>
          </a:r>
          <a:r>
            <a:rPr kumimoji="1" lang="ja-JP" altLang="en-US" sz="1100"/>
            <a:t>店舗用簡易設備</a:t>
          </a:r>
          <a:r>
            <a:rPr kumimoji="1" lang="en-US" altLang="ja-JP" sz="1100"/>
            <a:t>,</a:t>
          </a:r>
          <a:r>
            <a:rPr kumimoji="1" lang="ja-JP" altLang="en-US" sz="1100"/>
            <a:t>可動間仕切り</a:t>
          </a:r>
          <a:r>
            <a:rPr kumimoji="1" lang="en-US" altLang="ja-JP" sz="1100"/>
            <a:t>-</a:t>
          </a:r>
          <a:r>
            <a:rPr kumimoji="1" lang="ja-JP" altLang="en-US" sz="1100"/>
            <a:t>簡易なもの</a:t>
          </a:r>
          <a:r>
            <a:rPr kumimoji="1" lang="en-US" altLang="ja-JP" sz="1100"/>
            <a:t>,</a:t>
          </a:r>
          <a:r>
            <a:rPr kumimoji="1" lang="ja-JP" altLang="en-US" sz="1100"/>
            <a:t>可動間仕切り</a:t>
          </a:r>
          <a:r>
            <a:rPr kumimoji="1" lang="en-US" altLang="ja-JP" sz="1100"/>
            <a:t>-</a:t>
          </a:r>
          <a:r>
            <a:rPr kumimoji="1" lang="ja-JP" altLang="en-US" sz="1100"/>
            <a:t>その他</a:t>
          </a:r>
          <a:r>
            <a:rPr kumimoji="1" lang="en-US" altLang="ja-JP" sz="1100"/>
            <a:t>,</a:t>
          </a:r>
          <a:r>
            <a:rPr kumimoji="1" lang="ja-JP" altLang="en-US" sz="1100"/>
            <a:t>シャッター・止水鉄扉等（金属製）</a:t>
          </a:r>
          <a:r>
            <a:rPr kumimoji="1" lang="en-US" altLang="ja-JP" sz="1100"/>
            <a:t>,</a:t>
          </a:r>
        </a:p>
        <a:p>
          <a:r>
            <a:rPr kumimoji="1" lang="en-US" altLang="ja-JP" sz="1100"/>
            <a:t>,</a:t>
          </a:r>
          <a:r>
            <a:rPr kumimoji="1" lang="ja-JP" altLang="en-US" sz="1100"/>
            <a:t>　</a:t>
          </a:r>
          <a:r>
            <a:rPr kumimoji="1" lang="en-US" altLang="ja-JP" sz="1100"/>
            <a:t>,</a:t>
          </a:r>
          <a:r>
            <a:rPr kumimoji="1" lang="ja-JP" altLang="en-US" sz="1100"/>
            <a:t>＜工具・器具・備品＞</a:t>
          </a:r>
          <a:r>
            <a:rPr kumimoji="1" lang="en-US" altLang="ja-JP" sz="1100"/>
            <a:t>,</a:t>
          </a:r>
          <a:r>
            <a:rPr kumimoji="1" lang="ja-JP" altLang="en-US" sz="1100"/>
            <a:t>電照サイン（金属製）</a:t>
          </a:r>
          <a:r>
            <a:rPr kumimoji="1" lang="en-US" altLang="ja-JP" sz="1100"/>
            <a:t>,</a:t>
          </a:r>
          <a:r>
            <a:rPr kumimoji="1" lang="ja-JP" altLang="en-US" sz="1100"/>
            <a:t>非電照サイン（金属製）</a:t>
          </a:r>
          <a:r>
            <a:rPr kumimoji="1" lang="en-US" altLang="ja-JP" sz="1100"/>
            <a:t>,</a:t>
          </a:r>
          <a:r>
            <a:rPr kumimoji="1" lang="ja-JP" altLang="en-US" sz="1100"/>
            <a:t>電照広告（金属製）</a:t>
          </a:r>
          <a:r>
            <a:rPr kumimoji="1" lang="en-US" altLang="ja-JP" sz="1100"/>
            <a:t>,</a:t>
          </a:r>
          <a:r>
            <a:rPr kumimoji="1" lang="ja-JP" altLang="en-US" sz="1100"/>
            <a:t>非電照広告（金属製）</a:t>
          </a:r>
          <a:r>
            <a:rPr kumimoji="1" lang="en-US" altLang="ja-JP" sz="1100"/>
            <a:t>,</a:t>
          </a:r>
          <a:r>
            <a:rPr kumimoji="1" lang="ja-JP" altLang="en-US" sz="1100"/>
            <a:t>電気設備</a:t>
          </a:r>
          <a:r>
            <a:rPr kumimoji="1" lang="en-US" altLang="ja-JP" sz="1100"/>
            <a:t>,</a:t>
          </a:r>
          <a:r>
            <a:rPr kumimoji="1" lang="ja-JP" altLang="en-US" sz="1100"/>
            <a:t>非電照サイン（その他）</a:t>
          </a:r>
          <a:r>
            <a:rPr kumimoji="1" lang="en-US" altLang="ja-JP" sz="1100"/>
            <a:t>,</a:t>
          </a:r>
          <a:r>
            <a:rPr kumimoji="1" lang="ja-JP" altLang="en-US" sz="1100"/>
            <a:t>非電照広告（その他）</a:t>
          </a:r>
          <a:r>
            <a:rPr kumimoji="1" lang="en-US" altLang="ja-JP" sz="1100"/>
            <a:t>,</a:t>
          </a:r>
          <a:r>
            <a:rPr kumimoji="1" lang="ja-JP" altLang="en-US" sz="1100"/>
            <a:t>無人駐車管理装置</a:t>
          </a:r>
          <a:r>
            <a:rPr kumimoji="1" lang="en-US" altLang="ja-JP" sz="1100"/>
            <a:t>,</a:t>
          </a:r>
          <a:r>
            <a:rPr kumimoji="1" lang="ja-JP" altLang="en-US" sz="1100"/>
            <a:t>その他（金属製）</a:t>
          </a:r>
          <a:r>
            <a:rPr kumimoji="1" lang="en-US" altLang="ja-JP" sz="1100"/>
            <a:t>,</a:t>
          </a:r>
          <a:r>
            <a:rPr kumimoji="1" lang="ja-JP" altLang="en-US" sz="1100"/>
            <a:t>その他（その他）</a:t>
          </a:r>
        </a:p>
      </xdr:txBody>
    </xdr:sp>
    <xdr:clientData/>
  </xdr:twoCellAnchor>
  <mc:AlternateContent xmlns:mc="http://schemas.openxmlformats.org/markup-compatibility/2006">
    <mc:Choice xmlns:a14="http://schemas.microsoft.com/office/drawing/2010/main" Requires="a14">
      <xdr:twoCellAnchor>
        <xdr:from>
          <xdr:col>0</xdr:col>
          <xdr:colOff>0</xdr:colOff>
          <xdr:row>5</xdr:row>
          <xdr:rowOff>38100</xdr:rowOff>
        </xdr:from>
        <xdr:to>
          <xdr:col>4</xdr:col>
          <xdr:colOff>0</xdr:colOff>
          <xdr:row>7</xdr:row>
          <xdr:rowOff>142875</xdr:rowOff>
        </xdr:to>
        <xdr:sp macro="" textlink="">
          <xdr:nvSpPr>
            <xdr:cNvPr id="12375" name="Button 87" hidden="1">
              <a:extLst>
                <a:ext uri="{63B3BB69-23CF-44E3-9099-C40C66FF867C}">
                  <a14:compatExt spid="_x0000_s12375"/>
                </a:ext>
                <a:ext uri="{FF2B5EF4-FFF2-40B4-BE49-F238E27FC236}">
                  <a16:creationId xmlns:a16="http://schemas.microsoft.com/office/drawing/2014/main" id="{00000000-0008-0000-0200-0000573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手順①</a:t>
              </a:r>
            </a:p>
            <a:p>
              <a:pPr algn="l" rtl="0">
                <a:defRPr sz="1000"/>
              </a:pPr>
              <a:r>
                <a:rPr lang="ja-JP" altLang="en-US" sz="1000" b="0" i="0" u="none" strike="noStrike" baseline="0">
                  <a:solidFill>
                    <a:srgbClr val="000000"/>
                  </a:solidFill>
                  <a:latin typeface="ＭＳ Ｐゴシック"/>
                  <a:ea typeface="ＭＳ Ｐゴシック"/>
                </a:rPr>
                <a:t>諸経費表が完成したらクリック</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962025</xdr:colOff>
      <xdr:row>0</xdr:row>
      <xdr:rowOff>85725</xdr:rowOff>
    </xdr:from>
    <xdr:to>
      <xdr:col>4</xdr:col>
      <xdr:colOff>1647825</xdr:colOff>
      <xdr:row>1</xdr:row>
      <xdr:rowOff>238125</xdr:rowOff>
    </xdr:to>
    <xdr:sp macro="" textlink="">
      <xdr:nvSpPr>
        <xdr:cNvPr id="2261" name="Text Box 213">
          <a:extLst>
            <a:ext uri="{FF2B5EF4-FFF2-40B4-BE49-F238E27FC236}">
              <a16:creationId xmlns:a16="http://schemas.microsoft.com/office/drawing/2014/main" id="{00000000-0008-0000-0300-0000D5080000}"/>
            </a:ext>
          </a:extLst>
        </xdr:cNvPr>
        <xdr:cNvSpPr txBox="1">
          <a:spLocks noChangeArrowheads="1"/>
        </xdr:cNvSpPr>
      </xdr:nvSpPr>
      <xdr:spPr bwMode="auto">
        <a:xfrm>
          <a:off x="2019300" y="85725"/>
          <a:ext cx="2867025" cy="476250"/>
        </a:xfrm>
        <a:prstGeom prst="rect">
          <a:avLst/>
        </a:prstGeom>
        <a:solidFill>
          <a:srgbClr val="FFCC99"/>
        </a:solidFill>
        <a:ln w="19050">
          <a:solidFill>
            <a:srgbClr val="000000"/>
          </a:solidFill>
          <a:miter lim="800000"/>
          <a:headEnd/>
          <a:tailEnd/>
        </a:ln>
      </xdr:spPr>
      <xdr:txBody>
        <a:bodyPr vertOverflow="clip" wrap="square" lIns="36576" tIns="22860" rIns="0" bIns="0" anchor="t" upright="1"/>
        <a:lstStyle/>
        <a:p>
          <a:pPr algn="l" rtl="0">
            <a:defRPr sz="1000"/>
          </a:pPr>
          <a:r>
            <a:rPr lang="ja-JP" altLang="en-US" sz="1400" b="0" i="0" strike="noStrike">
              <a:solidFill>
                <a:srgbClr val="000000"/>
              </a:solidFill>
              <a:latin typeface="ＭＳ Ｐゴシック"/>
              <a:ea typeface="ＭＳ Ｐゴシック"/>
            </a:rPr>
            <a:t>＜－工事名称を変更するときは</a:t>
          </a:r>
          <a:r>
            <a:rPr lang="en-US" altLang="ja-JP" sz="1400" b="0" i="0" strike="noStrike">
              <a:solidFill>
                <a:srgbClr val="000000"/>
              </a:solidFill>
              <a:latin typeface="ＭＳ Ｐゴシック"/>
              <a:ea typeface="ＭＳ Ｐゴシック"/>
            </a:rPr>
            <a:t>､</a:t>
          </a:r>
          <a:r>
            <a:rPr lang="ja-JP" altLang="en-US" sz="1400" b="0" i="0" strike="noStrike">
              <a:solidFill>
                <a:srgbClr val="000000"/>
              </a:solidFill>
              <a:latin typeface="ＭＳ Ｐゴシック"/>
              <a:ea typeface="ＭＳ Ｐゴシック"/>
            </a:rPr>
            <a:t>Ｃ２のセルを変更してください。</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123825</xdr:rowOff>
    </xdr:from>
    <xdr:to>
      <xdr:col>4</xdr:col>
      <xdr:colOff>1333500</xdr:colOff>
      <xdr:row>3</xdr:row>
      <xdr:rowOff>219075</xdr:rowOff>
    </xdr:to>
    <xdr:sp macro="" textlink="">
      <xdr:nvSpPr>
        <xdr:cNvPr id="11267" name="Text Box 3">
          <a:extLst>
            <a:ext uri="{FF2B5EF4-FFF2-40B4-BE49-F238E27FC236}">
              <a16:creationId xmlns:a16="http://schemas.microsoft.com/office/drawing/2014/main" id="{00000000-0008-0000-0400-0000032C0000}"/>
            </a:ext>
          </a:extLst>
        </xdr:cNvPr>
        <xdr:cNvSpPr txBox="1">
          <a:spLocks noChangeArrowheads="1"/>
        </xdr:cNvSpPr>
      </xdr:nvSpPr>
      <xdr:spPr bwMode="auto">
        <a:xfrm>
          <a:off x="714375" y="0"/>
          <a:ext cx="3857625" cy="542925"/>
        </a:xfrm>
        <a:prstGeom prst="rect">
          <a:avLst/>
        </a:prstGeom>
        <a:solidFill>
          <a:srgbClr val="FFCC99"/>
        </a:solidFill>
        <a:ln w="28575">
          <a:solidFill>
            <a:srgbClr val="000000"/>
          </a:solidFill>
          <a:miter lim="800000"/>
          <a:headEnd/>
          <a:tailEnd/>
        </a:ln>
      </xdr:spPr>
      <xdr:txBody>
        <a:bodyPr vertOverflow="clip" wrap="square" lIns="27432" tIns="18288" rIns="0" bIns="0" anchor="t" upright="1"/>
        <a:lstStyle/>
        <a:p>
          <a:pPr algn="l" rtl="0">
            <a:defRPr sz="1000"/>
          </a:pPr>
          <a:r>
            <a:rPr lang="ja-JP" altLang="en-US" sz="1200" b="0" i="0" strike="noStrike">
              <a:solidFill>
                <a:srgbClr val="000000"/>
              </a:solidFill>
              <a:latin typeface="ＭＳ Ｐゴシック"/>
              <a:ea typeface="ＭＳ Ｐゴシック"/>
            </a:rPr>
            <a:t>代価では、各ページの先頭行（名称の下の代価</a:t>
          </a:r>
          <a:r>
            <a:rPr lang="en-US" altLang="ja-JP" sz="1200" b="0" i="0" strike="noStrike">
              <a:solidFill>
                <a:srgbClr val="000000"/>
              </a:solidFill>
              <a:latin typeface="ＭＳ Ｐゴシック"/>
              <a:ea typeface="ＭＳ Ｐゴシック"/>
            </a:rPr>
            <a:t>??</a:t>
          </a:r>
          <a:r>
            <a:rPr lang="ja-JP" altLang="en-US" sz="1200" b="0" i="0" strike="noStrike">
              <a:solidFill>
                <a:srgbClr val="000000"/>
              </a:solidFill>
              <a:latin typeface="ＭＳ Ｐゴシック"/>
              <a:ea typeface="ＭＳ Ｐゴシック"/>
            </a:rPr>
            <a:t>の行）に、そのページの項目、単位を記載してください。コード入力の際に使用します。　</a:t>
          </a:r>
          <a:r>
            <a:rPr lang="en-US" altLang="ja-JP" sz="1200" b="0" i="0" strike="noStrike">
              <a:solidFill>
                <a:srgbClr val="000000"/>
              </a:solidFill>
              <a:latin typeface="ＭＳ Ｐゴシック"/>
              <a:ea typeface="ＭＳ Ｐゴシック"/>
            </a:rPr>
            <a:t>[</a:t>
          </a:r>
          <a:r>
            <a:rPr lang="ja-JP" altLang="en-US" sz="1200" b="0" i="0" strike="noStrike">
              <a:solidFill>
                <a:srgbClr val="000000"/>
              </a:solidFill>
              <a:latin typeface="ＭＳ Ｐゴシック"/>
              <a:ea typeface="ＭＳ Ｐゴシック"/>
            </a:rPr>
            <a:t>未使用</a:t>
          </a:r>
          <a:r>
            <a:rPr lang="en-US" altLang="ja-JP" sz="1200" b="0" i="0" strike="noStrike">
              <a:solidFill>
                <a:srgbClr val="000000"/>
              </a:solidFill>
              <a:latin typeface="ＭＳ Ｐゴシック"/>
              <a:ea typeface="ＭＳ Ｐゴシック"/>
            </a:rPr>
            <a:t>]</a:t>
          </a:r>
          <a:r>
            <a:rPr lang="ja-JP" altLang="en-US" sz="1200" b="0" i="0" strike="noStrike">
              <a:solidFill>
                <a:srgbClr val="000000"/>
              </a:solidFill>
              <a:latin typeface="ＭＳ Ｐゴシック"/>
              <a:ea typeface="ＭＳ Ｐゴシック"/>
            </a:rPr>
            <a:t>の欄を記入してください</a:t>
          </a:r>
          <a:r>
            <a:rPr lang="en-US" altLang="ja-JP" sz="1200" b="0" i="0" strike="noStrike">
              <a:solidFill>
                <a:srgbClr val="000000"/>
              </a:solidFill>
              <a:latin typeface="ＭＳ Ｐゴシック"/>
              <a:ea typeface="ＭＳ Ｐゴシック"/>
            </a:rPr>
            <a:t>.</a:t>
          </a:r>
        </a:p>
        <a:p>
          <a:pPr algn="l" rtl="0">
            <a:defRPr sz="1000"/>
          </a:pPr>
          <a:r>
            <a:rPr lang="en-US" altLang="ja-JP" sz="1200" b="0" i="0" strike="noStrike">
              <a:solidFill>
                <a:srgbClr val="000000"/>
              </a:solidFill>
              <a:latin typeface="ＭＳ Ｐゴシック"/>
              <a:ea typeface="ＭＳ Ｐゴシック"/>
            </a:rPr>
            <a:t>Z</a:t>
          </a:r>
          <a:r>
            <a:rPr lang="ja-JP" altLang="en-US" sz="1200" b="0" i="0" strike="noStrike">
              <a:solidFill>
                <a:srgbClr val="000000"/>
              </a:solidFill>
              <a:latin typeface="ＭＳ Ｐゴシック"/>
              <a:ea typeface="ＭＳ Ｐゴシック"/>
            </a:rPr>
            <a:t>列以降に表計算が記入されています。</a:t>
          </a:r>
        </a:p>
        <a:p>
          <a:pPr algn="l" rtl="0">
            <a:defRPr sz="1000"/>
          </a:pPr>
          <a:r>
            <a:rPr lang="ja-JP" altLang="en-US" sz="1200" b="0" i="0" strike="noStrike">
              <a:solidFill>
                <a:srgbClr val="000000"/>
              </a:solidFill>
              <a:latin typeface="ＭＳ Ｐゴシック"/>
              <a:ea typeface="ＭＳ Ｐゴシック"/>
            </a:rPr>
            <a:t>！！！行全体の削除は止めてください！！</a:t>
          </a:r>
        </a:p>
      </xdr:txBody>
    </xdr:sp>
    <xdr:clientData fPrintsWithSheet="0"/>
  </xdr:twoCellAnchor>
  <xdr:twoCellAnchor>
    <xdr:from>
      <xdr:col>3</xdr:col>
      <xdr:colOff>1917700</xdr:colOff>
      <xdr:row>8</xdr:row>
      <xdr:rowOff>152400</xdr:rowOff>
    </xdr:from>
    <xdr:to>
      <xdr:col>5</xdr:col>
      <xdr:colOff>749300</xdr:colOff>
      <xdr:row>12</xdr:row>
      <xdr:rowOff>228600</xdr:rowOff>
    </xdr:to>
    <xdr:sp macro="" textlink="">
      <xdr:nvSpPr>
        <xdr:cNvPr id="3" name="テキスト ボックス 2">
          <a:extLst>
            <a:ext uri="{FF2B5EF4-FFF2-40B4-BE49-F238E27FC236}">
              <a16:creationId xmlns:a16="http://schemas.microsoft.com/office/drawing/2014/main" id="{00000000-0008-0000-0400-000003000000}"/>
            </a:ext>
          </a:extLst>
        </xdr:cNvPr>
        <xdr:cNvSpPr txBox="1"/>
      </xdr:nvSpPr>
      <xdr:spPr>
        <a:xfrm>
          <a:off x="2984500" y="2235200"/>
          <a:ext cx="2921000"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400" b="1">
              <a:solidFill>
                <a:srgbClr val="FF0000"/>
              </a:solidFill>
            </a:rPr>
            <a:t>・右欄の小運搬重量の計算部がマクロ修正必要です。</a:t>
          </a:r>
          <a:endParaRPr kumimoji="1" lang="en-US" altLang="ja-JP" sz="1400" b="1">
            <a:solidFill>
              <a:srgbClr val="FF0000"/>
            </a:solidFill>
          </a:endParaRPr>
        </a:p>
        <a:p>
          <a:pPr algn="l"/>
          <a:r>
            <a:rPr kumimoji="1" lang="ja-JP" altLang="en-US" sz="1400" b="1">
              <a:solidFill>
                <a:srgbClr val="FF0000"/>
              </a:solidFill>
            </a:rPr>
            <a:t>・ページ数を増やすと、正しく集計されません。当面非表示にしときます</a:t>
          </a:r>
          <a:r>
            <a:rPr kumimoji="1" lang="ja-JP" altLang="en-US" sz="1100"/>
            <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1266825</xdr:colOff>
      <xdr:row>43</xdr:row>
      <xdr:rowOff>19050</xdr:rowOff>
    </xdr:from>
    <xdr:to>
      <xdr:col>6</xdr:col>
      <xdr:colOff>400050</xdr:colOff>
      <xdr:row>49</xdr:row>
      <xdr:rowOff>47625</xdr:rowOff>
    </xdr:to>
    <xdr:sp macro="" textlink="">
      <xdr:nvSpPr>
        <xdr:cNvPr id="10244" name="Text Box 4">
          <a:extLst>
            <a:ext uri="{FF2B5EF4-FFF2-40B4-BE49-F238E27FC236}">
              <a16:creationId xmlns:a16="http://schemas.microsoft.com/office/drawing/2014/main" id="{00000000-0008-0000-0600-000004280000}"/>
            </a:ext>
          </a:extLst>
        </xdr:cNvPr>
        <xdr:cNvSpPr txBox="1">
          <a:spLocks noChangeArrowheads="1"/>
        </xdr:cNvSpPr>
      </xdr:nvSpPr>
      <xdr:spPr bwMode="auto">
        <a:xfrm>
          <a:off x="1266825" y="3667125"/>
          <a:ext cx="3486150" cy="885825"/>
        </a:xfrm>
        <a:prstGeom prst="rect">
          <a:avLst/>
        </a:prstGeom>
        <a:solidFill>
          <a:srgbClr val="FFCC99"/>
        </a:solidFill>
        <a:ln w="57150">
          <a:solidFill>
            <a:srgbClr val="FF0000"/>
          </a:solid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非表示セルにデータが入っています。</a:t>
          </a:r>
        </a:p>
        <a:p>
          <a:pPr algn="l" rtl="0">
            <a:defRPr sz="1000"/>
          </a:pPr>
          <a:r>
            <a:rPr lang="ja-JP" altLang="en-US" sz="1100" b="0" i="0" strike="noStrike">
              <a:solidFill>
                <a:srgbClr val="000000"/>
              </a:solidFill>
              <a:latin typeface="ＭＳ Ｐゴシック"/>
              <a:ea typeface="ＭＳ Ｐゴシック"/>
            </a:rPr>
            <a:t>挿入する場合は、それぞれ下３行より上で挿入してください。また、削除も、下３行はしないでください。</a:t>
          </a:r>
        </a:p>
        <a:p>
          <a:pPr algn="l" rtl="0">
            <a:defRPr sz="1000"/>
          </a:pPr>
          <a:endParaRPr lang="ja-JP" altLang="en-US" sz="1100" b="0" i="0" strike="noStrike">
            <a:solidFill>
              <a:srgbClr val="000000"/>
            </a:solidFill>
            <a:latin typeface="ＭＳ Ｐゴシック"/>
            <a:ea typeface="ＭＳ Ｐゴシック"/>
          </a:endParaRP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239245</xdr:colOff>
      <xdr:row>0</xdr:row>
      <xdr:rowOff>100293</xdr:rowOff>
    </xdr:from>
    <xdr:to>
      <xdr:col>4</xdr:col>
      <xdr:colOff>267820</xdr:colOff>
      <xdr:row>1</xdr:row>
      <xdr:rowOff>81243</xdr:rowOff>
    </xdr:to>
    <xdr:sp macro="" textlink="">
      <xdr:nvSpPr>
        <xdr:cNvPr id="9217" name="Text Box 1">
          <a:extLst>
            <a:ext uri="{FF2B5EF4-FFF2-40B4-BE49-F238E27FC236}">
              <a16:creationId xmlns:a16="http://schemas.microsoft.com/office/drawing/2014/main" id="{00000000-0008-0000-0500-000001240000}"/>
            </a:ext>
          </a:extLst>
        </xdr:cNvPr>
        <xdr:cNvSpPr txBox="1">
          <a:spLocks noChangeArrowheads="1"/>
        </xdr:cNvSpPr>
      </xdr:nvSpPr>
      <xdr:spPr bwMode="auto">
        <a:xfrm>
          <a:off x="239245" y="100293"/>
          <a:ext cx="2953310" cy="227479"/>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oneCell">
    <xdr:from>
      <xdr:col>5</xdr:col>
      <xdr:colOff>752475</xdr:colOff>
      <xdr:row>11</xdr:row>
      <xdr:rowOff>0</xdr:rowOff>
    </xdr:from>
    <xdr:to>
      <xdr:col>5</xdr:col>
      <xdr:colOff>828675</xdr:colOff>
      <xdr:row>12</xdr:row>
      <xdr:rowOff>57150</xdr:rowOff>
    </xdr:to>
    <xdr:sp macro="" textlink="">
      <xdr:nvSpPr>
        <xdr:cNvPr id="13349" name="Text Box 1">
          <a:extLst>
            <a:ext uri="{FF2B5EF4-FFF2-40B4-BE49-F238E27FC236}">
              <a16:creationId xmlns:a16="http://schemas.microsoft.com/office/drawing/2014/main" id="{00000000-0008-0000-0700-000025340000}"/>
            </a:ext>
          </a:extLst>
        </xdr:cNvPr>
        <xdr:cNvSpPr txBox="1">
          <a:spLocks noChangeArrowheads="1"/>
        </xdr:cNvSpPr>
      </xdr:nvSpPr>
      <xdr:spPr bwMode="auto">
        <a:xfrm>
          <a:off x="4333875" y="1676400"/>
          <a:ext cx="76200" cy="209550"/>
        </a:xfrm>
        <a:prstGeom prst="rect">
          <a:avLst/>
        </a:prstGeom>
        <a:noFill/>
        <a:ln w="9525">
          <a:noFill/>
          <a:miter lim="800000"/>
          <a:headEnd/>
          <a:tailEnd/>
        </a:ln>
      </xdr:spPr>
    </xdr:sp>
    <xdr:clientData/>
  </xdr:twoCellAnchor>
  <xdr:twoCellAnchor>
    <xdr:from>
      <xdr:col>5</xdr:col>
      <xdr:colOff>838200</xdr:colOff>
      <xdr:row>3</xdr:row>
      <xdr:rowOff>28575</xdr:rowOff>
    </xdr:from>
    <xdr:to>
      <xdr:col>9</xdr:col>
      <xdr:colOff>9525</xdr:colOff>
      <xdr:row>8</xdr:row>
      <xdr:rowOff>28575</xdr:rowOff>
    </xdr:to>
    <xdr:sp macro="" textlink="">
      <xdr:nvSpPr>
        <xdr:cNvPr id="13314" name="Text Box 2">
          <a:extLst>
            <a:ext uri="{FF2B5EF4-FFF2-40B4-BE49-F238E27FC236}">
              <a16:creationId xmlns:a16="http://schemas.microsoft.com/office/drawing/2014/main" id="{00000000-0008-0000-0700-000002340000}"/>
            </a:ext>
          </a:extLst>
        </xdr:cNvPr>
        <xdr:cNvSpPr txBox="1">
          <a:spLocks noChangeArrowheads="1"/>
        </xdr:cNvSpPr>
      </xdr:nvSpPr>
      <xdr:spPr bwMode="auto">
        <a:xfrm>
          <a:off x="4419600" y="485775"/>
          <a:ext cx="2038350" cy="762000"/>
        </a:xfrm>
        <a:prstGeom prst="rect">
          <a:avLst/>
        </a:prstGeom>
        <a:solidFill>
          <a:srgbClr val="FFFF99"/>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strike="noStrike">
              <a:solidFill>
                <a:srgbClr val="000000"/>
              </a:solidFill>
              <a:latin typeface="ＭＳ Ｐゴシック"/>
              <a:ea typeface="ＭＳ Ｐゴシック"/>
            </a:rPr>
            <a:t>コード番号は</a:t>
          </a:r>
          <a:r>
            <a:rPr lang="en-US" altLang="ja-JP" sz="1100" b="0" i="0" strike="noStrike">
              <a:solidFill>
                <a:srgbClr val="000000"/>
              </a:solidFill>
              <a:latin typeface="ＭＳ Ｐゴシック"/>
              <a:ea typeface="ＭＳ Ｐゴシック"/>
            </a:rPr>
            <a:t>100</a:t>
          </a:r>
          <a:r>
            <a:rPr lang="ja-JP" altLang="en-US" sz="1100" b="0" i="0" strike="noStrike">
              <a:solidFill>
                <a:srgbClr val="000000"/>
              </a:solidFill>
              <a:latin typeface="ＭＳ Ｐゴシック"/>
              <a:ea typeface="ＭＳ Ｐゴシック"/>
            </a:rPr>
            <a:t>以上。</a:t>
          </a:r>
        </a:p>
        <a:p>
          <a:pPr algn="l" rtl="0">
            <a:defRPr sz="1000"/>
          </a:pPr>
          <a:r>
            <a:rPr lang="en-US" altLang="ja-JP" sz="1100" b="0" i="0" strike="noStrike">
              <a:solidFill>
                <a:srgbClr val="000000"/>
              </a:solidFill>
              <a:latin typeface="ＭＳ Ｐゴシック"/>
              <a:ea typeface="ＭＳ Ｐゴシック"/>
            </a:rPr>
            <a:t>1</a:t>
          </a:r>
          <a:r>
            <a:rPr lang="ja-JP" altLang="en-US" sz="1100" b="0" i="0" strike="noStrike">
              <a:solidFill>
                <a:srgbClr val="000000"/>
              </a:solidFill>
              <a:latin typeface="ＭＳ Ｐゴシック"/>
              <a:ea typeface="ＭＳ Ｐゴシック"/>
            </a:rPr>
            <a:t>～</a:t>
          </a:r>
          <a:r>
            <a:rPr lang="en-US" altLang="ja-JP" sz="1100" b="0" i="0" strike="noStrike">
              <a:solidFill>
                <a:srgbClr val="000000"/>
              </a:solidFill>
              <a:latin typeface="ＭＳ Ｐゴシック"/>
              <a:ea typeface="ＭＳ Ｐゴシック"/>
            </a:rPr>
            <a:t>99</a:t>
          </a:r>
          <a:r>
            <a:rPr lang="ja-JP" altLang="en-US" sz="1100" b="0" i="0" strike="noStrike">
              <a:solidFill>
                <a:srgbClr val="000000"/>
              </a:solidFill>
              <a:latin typeface="ＭＳ Ｐゴシック"/>
              <a:ea typeface="ＭＳ Ｐゴシック"/>
            </a:rPr>
            <a:t>は代価（複合）で使用するため、</a:t>
          </a:r>
        </a:p>
        <a:p>
          <a:pPr algn="l" rtl="0">
            <a:defRPr sz="1000"/>
          </a:pPr>
          <a:r>
            <a:rPr lang="ja-JP" altLang="en-US" sz="1100" b="0" i="0" strike="noStrike">
              <a:solidFill>
                <a:srgbClr val="000000"/>
              </a:solidFill>
              <a:latin typeface="ＭＳ Ｐゴシック"/>
              <a:ea typeface="ＭＳ Ｐゴシック"/>
            </a:rPr>
            <a:t>入力しても削除されます。</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0</xdr:col>
      <xdr:colOff>104776</xdr:colOff>
      <xdr:row>297</xdr:row>
      <xdr:rowOff>100853</xdr:rowOff>
    </xdr:from>
    <xdr:to>
      <xdr:col>5</xdr:col>
      <xdr:colOff>305360</xdr:colOff>
      <xdr:row>312</xdr:row>
      <xdr:rowOff>24653</xdr:rowOff>
    </xdr:to>
    <xdr:sp macro="" textlink="">
      <xdr:nvSpPr>
        <xdr:cNvPr id="2" name="角丸四角形 1">
          <a:extLst>
            <a:ext uri="{FF2B5EF4-FFF2-40B4-BE49-F238E27FC236}">
              <a16:creationId xmlns:a16="http://schemas.microsoft.com/office/drawing/2014/main" id="{00000000-0008-0000-0C00-000002000000}"/>
            </a:ext>
          </a:extLst>
        </xdr:cNvPr>
        <xdr:cNvSpPr/>
      </xdr:nvSpPr>
      <xdr:spPr>
        <a:xfrm>
          <a:off x="104776" y="35848178"/>
          <a:ext cx="3010459" cy="24003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2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次回変更　以降　</a:t>
          </a:r>
          <a:endParaRPr kumimoji="1" lang="en-US" altLang="ja-JP" sz="2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a:p>
          <a:pPr algn="l">
            <a:lnSpc>
              <a:spcPts val="2500"/>
            </a:lnSpc>
          </a:pPr>
          <a:r>
            <a:rPr kumimoji="1" lang="ja-JP" altLang="en-US" sz="2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次回計上累計工事費</a:t>
          </a:r>
          <a:endParaRPr kumimoji="1" lang="en-US" altLang="ja-JP" sz="2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endParaRPr>
        </a:p>
        <a:p>
          <a:pPr algn="l">
            <a:lnSpc>
              <a:spcPts val="2500"/>
            </a:lnSpc>
          </a:pPr>
          <a:r>
            <a:rPr kumimoji="1" lang="ja-JP" altLang="en-US" sz="20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次回変更時は色塗り部の金額色塗り部を既発注入力欄に入力</a:t>
          </a:r>
        </a:p>
      </xdr:txBody>
    </xdr:sp>
    <xdr:clientData/>
  </xdr:twoCellAnchor>
  <xdr:twoCellAnchor>
    <xdr:from>
      <xdr:col>2</xdr:col>
      <xdr:colOff>116541</xdr:colOff>
      <xdr:row>88</xdr:row>
      <xdr:rowOff>161364</xdr:rowOff>
    </xdr:from>
    <xdr:to>
      <xdr:col>5</xdr:col>
      <xdr:colOff>649941</xdr:colOff>
      <xdr:row>92</xdr:row>
      <xdr:rowOff>40902</xdr:rowOff>
    </xdr:to>
    <xdr:sp macro="" textlink="">
      <xdr:nvSpPr>
        <xdr:cNvPr id="3" name="角丸四角形 2">
          <a:extLst>
            <a:ext uri="{FF2B5EF4-FFF2-40B4-BE49-F238E27FC236}">
              <a16:creationId xmlns:a16="http://schemas.microsoft.com/office/drawing/2014/main" id="{00000000-0008-0000-0C00-000003000000}"/>
            </a:ext>
          </a:extLst>
        </xdr:cNvPr>
        <xdr:cNvSpPr/>
      </xdr:nvSpPr>
      <xdr:spPr>
        <a:xfrm>
          <a:off x="573741" y="12296214"/>
          <a:ext cx="2886075" cy="565338"/>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2000" b="1" cap="none" spc="0">
              <a:ln w="12700">
                <a:solidFill>
                  <a:schemeClr val="tx2">
                    <a:satMod val="155000"/>
                  </a:schemeClr>
                </a:solidFill>
                <a:prstDash val="solid"/>
              </a:ln>
              <a:solidFill>
                <a:srgbClr val="FF0000"/>
              </a:solidFill>
              <a:effectLst>
                <a:outerShdw blurRad="41275" dist="20320" dir="1800000" algn="tl" rotWithShape="0">
                  <a:srgbClr val="000000">
                    <a:alpha val="40000"/>
                  </a:srgbClr>
                </a:outerShdw>
              </a:effectLst>
            </a:rPr>
            <a:t>既発注工事費　入力欄</a:t>
          </a:r>
          <a:endParaRPr kumimoji="1" lang="en-US" altLang="ja-JP" sz="2000" b="1" cap="none" spc="0">
            <a:ln w="12700">
              <a:solidFill>
                <a:schemeClr val="tx2">
                  <a:satMod val="155000"/>
                </a:schemeClr>
              </a:solidFill>
              <a:prstDash val="solid"/>
            </a:ln>
            <a:solidFill>
              <a:srgbClr val="FF0000"/>
            </a:solidFill>
            <a:effectLst>
              <a:outerShdw blurRad="41275" dist="20320" dir="1800000" algn="tl" rotWithShape="0">
                <a:srgbClr val="000000">
                  <a:alpha val="40000"/>
                </a:srgbClr>
              </a:outerShdw>
            </a:effectLst>
          </a:endParaRPr>
        </a:p>
        <a:p>
          <a:pPr algn="l"/>
          <a:endParaRPr kumimoji="1" lang="ja-JP" altLang="en-US" sz="2000" b="1" cap="none" spc="0">
            <a:ln w="12700">
              <a:solidFill>
                <a:schemeClr val="tx2">
                  <a:satMod val="155000"/>
                </a:schemeClr>
              </a:solidFill>
              <a:prstDash val="solid"/>
            </a:ln>
            <a:solidFill>
              <a:srgbClr val="FF0000"/>
            </a:solidFill>
            <a:effectLst>
              <a:outerShdw blurRad="41275" dist="20320" dir="1800000" algn="tl" rotWithShape="0">
                <a:srgbClr val="000000">
                  <a:alpha val="40000"/>
                </a:srgbClr>
              </a:outerShdw>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104775</xdr:colOff>
      <xdr:row>109</xdr:row>
      <xdr:rowOff>66675</xdr:rowOff>
    </xdr:from>
    <xdr:to>
      <xdr:col>4</xdr:col>
      <xdr:colOff>133350</xdr:colOff>
      <xdr:row>110</xdr:row>
      <xdr:rowOff>47625</xdr:rowOff>
    </xdr:to>
    <xdr:sp macro="" textlink="">
      <xdr:nvSpPr>
        <xdr:cNvPr id="14337" name="Text Box 1">
          <a:extLst>
            <a:ext uri="{FF2B5EF4-FFF2-40B4-BE49-F238E27FC236}">
              <a16:creationId xmlns:a16="http://schemas.microsoft.com/office/drawing/2014/main" id="{00000000-0008-0000-0D00-000001380000}"/>
            </a:ext>
          </a:extLst>
        </xdr:cNvPr>
        <xdr:cNvSpPr txBox="1">
          <a:spLocks noChangeArrowheads="1"/>
        </xdr:cNvSpPr>
      </xdr:nvSpPr>
      <xdr:spPr bwMode="auto">
        <a:xfrm>
          <a:off x="104775" y="24450675"/>
          <a:ext cx="2619375"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104775</xdr:colOff>
      <xdr:row>109</xdr:row>
      <xdr:rowOff>66675</xdr:rowOff>
    </xdr:from>
    <xdr:to>
      <xdr:col>4</xdr:col>
      <xdr:colOff>133350</xdr:colOff>
      <xdr:row>110</xdr:row>
      <xdr:rowOff>47625</xdr:rowOff>
    </xdr:to>
    <xdr:sp macro="" textlink="">
      <xdr:nvSpPr>
        <xdr:cNvPr id="14338" name="Text Box 2">
          <a:extLst>
            <a:ext uri="{FF2B5EF4-FFF2-40B4-BE49-F238E27FC236}">
              <a16:creationId xmlns:a16="http://schemas.microsoft.com/office/drawing/2014/main" id="{00000000-0008-0000-0D00-000002380000}"/>
            </a:ext>
          </a:extLst>
        </xdr:cNvPr>
        <xdr:cNvSpPr txBox="1">
          <a:spLocks noChangeArrowheads="1"/>
        </xdr:cNvSpPr>
      </xdr:nvSpPr>
      <xdr:spPr bwMode="auto">
        <a:xfrm>
          <a:off x="104775" y="24450675"/>
          <a:ext cx="2619375"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twoCellAnchor>
    <xdr:from>
      <xdr:col>0</xdr:col>
      <xdr:colOff>104775</xdr:colOff>
      <xdr:row>109</xdr:row>
      <xdr:rowOff>66675</xdr:rowOff>
    </xdr:from>
    <xdr:to>
      <xdr:col>4</xdr:col>
      <xdr:colOff>133350</xdr:colOff>
      <xdr:row>110</xdr:row>
      <xdr:rowOff>47625</xdr:rowOff>
    </xdr:to>
    <xdr:sp macro="" textlink="">
      <xdr:nvSpPr>
        <xdr:cNvPr id="14339" name="Text Box 3">
          <a:extLst>
            <a:ext uri="{FF2B5EF4-FFF2-40B4-BE49-F238E27FC236}">
              <a16:creationId xmlns:a16="http://schemas.microsoft.com/office/drawing/2014/main" id="{00000000-0008-0000-0D00-000003380000}"/>
            </a:ext>
          </a:extLst>
        </xdr:cNvPr>
        <xdr:cNvSpPr txBox="1">
          <a:spLocks noChangeArrowheads="1"/>
        </xdr:cNvSpPr>
      </xdr:nvSpPr>
      <xdr:spPr bwMode="auto">
        <a:xfrm>
          <a:off x="104775" y="24450675"/>
          <a:ext cx="2619375" cy="228600"/>
        </a:xfrm>
        <a:prstGeom prst="rect">
          <a:avLst/>
        </a:prstGeom>
        <a:solidFill>
          <a:srgbClr val="FFCC00"/>
        </a:solidFill>
        <a:ln w="9525">
          <a:solidFill>
            <a:srgbClr val="000000"/>
          </a:solidFill>
          <a:miter lim="800000"/>
          <a:headEnd/>
          <a:tailEnd/>
        </a:ln>
      </xdr:spPr>
      <xdr:txBody>
        <a:bodyPr vertOverflow="clip" wrap="square" lIns="0" tIns="0" rIns="0" bIns="0" anchor="t" upright="1"/>
        <a:lstStyle/>
        <a:p>
          <a:pPr algn="l" rtl="0">
            <a:defRPr sz="1000"/>
          </a:pPr>
          <a:r>
            <a:rPr lang="ja-JP" altLang="en-US" sz="1100" b="0" i="0" strike="noStrike">
              <a:solidFill>
                <a:srgbClr val="000000"/>
              </a:solidFill>
              <a:latin typeface="ＭＳ Ｐゴシック"/>
              <a:ea typeface="ＭＳ Ｐゴシック"/>
            </a:rPr>
            <a:t>コード</a:t>
          </a:r>
          <a:r>
            <a:rPr lang="en-US" altLang="ja-JP" sz="1100" b="0" i="0" strike="noStrike">
              <a:solidFill>
                <a:srgbClr val="000000"/>
              </a:solidFill>
              <a:latin typeface="ＭＳ Ｐゴシック"/>
              <a:ea typeface="ＭＳ Ｐゴシック"/>
            </a:rPr>
            <a:t>No</a:t>
          </a:r>
          <a:r>
            <a:rPr lang="ja-JP" altLang="en-US" sz="1100" b="0" i="0" strike="noStrike">
              <a:solidFill>
                <a:srgbClr val="000000"/>
              </a:solidFill>
              <a:latin typeface="ＭＳ Ｐゴシック"/>
              <a:ea typeface="ＭＳ Ｐゴシック"/>
            </a:rPr>
            <a:t>は</a:t>
          </a:r>
          <a:r>
            <a:rPr lang="en-US" altLang="ja-JP" sz="1100" b="0" i="0" strike="noStrike">
              <a:solidFill>
                <a:srgbClr val="000000"/>
              </a:solidFill>
              <a:latin typeface="ＭＳ Ｐゴシック"/>
              <a:ea typeface="ＭＳ Ｐゴシック"/>
            </a:rPr>
            <a:t>3</a:t>
          </a:r>
          <a:r>
            <a:rPr lang="ja-JP" altLang="en-US" sz="1100" b="0" i="0" strike="noStrike">
              <a:solidFill>
                <a:srgbClr val="000000"/>
              </a:solidFill>
              <a:latin typeface="ＭＳ Ｐゴシック"/>
              <a:ea typeface="ＭＳ Ｐゴシック"/>
            </a:rPr>
            <a:t>桁までで代価一覧と重ならない数字</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vfile92\k1_eizen$\&#24314;&#31689;\&#31309;&#31639;\9.&#24037;&#20107;&#31649;&#29702;&#12471;&#12540;&#12488;\&#12304;&#21407;&#26412;&#12539;&#20837;&#21147;&#12510;&#12491;&#12517;&#12450;&#12523;&#12305;\&#12304;&#21407;&#26412;&#12305;2018-&#9679;&#9679;-00-&#9633;&#9633;&#24037;&#20107;_&#24037;&#20107;&#31649;&#29702;&#12471;&#12540;&#12488;_&#24037;&#20107;&#31649;&#29702;&#12471;&#12540;&#12488;_ver19.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vfile92\k1_eizen$\&#24314;&#31689;\&#31309;&#31639;\&#12415;&#12435;&#12394;&#12398;&#12527;&#12540;&#12463;&#12501;&#12457;&#12523;&#12480;\&#33509;&#23798;&#23515;&#23376;0410533\&#22266;&#23450;&#36039;&#29987;\&#32933;&#24460;&#27211;&#22806;2&#39365;&#12488;&#12452;&#12524;&#25913;&#36896;&#24037;&#20107;&#12288;&#21442;&#32771;&#26126;&#32048;Ver500c&#65288;&#20837;&#21147;&#34920;&#20316;&#25104;&#35201;&#38936;&#12395;&#20351;&#29992;&#6528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portalweb/Users/A0814/Desktop/OKK%20work/0072_&#24037;&#20107;&#31649;&#29702;&#12471;&#12540;&#12488;VBA&#38283;&#30330;/&#38283;&#30330;&#20013;/TMP_&#24037;&#20107;&#31649;&#29702;&#12471;&#12540;&#12488;/TM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事管理シート説明資料"/>
      <sheetName val="メンテナンス方法"/>
      <sheetName val="変更履歴"/>
      <sheetName val="用語説明シート"/>
      <sheetName val="マニュアル"/>
      <sheetName val="リスト"/>
      <sheetName val="押印欄マスタ"/>
      <sheetName val="工事情報入力シート"/>
      <sheetName val="資産数量・単位記入シート"/>
      <sheetName val="建仮精算アップロード"/>
      <sheetName val="公営の設計監督費"/>
      <sheetName val="工事種別情報アップロード"/>
      <sheetName val="資産クラスコード"/>
      <sheetName val="勘定科目コード"/>
      <sheetName val="財務分類コード"/>
      <sheetName val="予算掌理部署コード"/>
      <sheetName val="WBS第2階層コード"/>
      <sheetName val="原価センタコード"/>
      <sheetName val="事業コード"/>
      <sheetName val="所管コード"/>
      <sheetName val="所在コード"/>
      <sheetName val="品目コード"/>
      <sheetName val="車号 車系"/>
      <sheetName val="単位リスト"/>
      <sheetName val="元構造・元割当"/>
      <sheetName val="建仮科目"/>
    </sheetNames>
    <sheetDataSet>
      <sheetData sheetId="0"/>
      <sheetData sheetId="1"/>
      <sheetData sheetId="2"/>
      <sheetData sheetId="3"/>
      <sheetData sheetId="4"/>
      <sheetData sheetId="5"/>
      <sheetData sheetId="6">
        <row r="2">
          <cell r="H2" t="str">
            <v>$B$29:$AG$35</v>
          </cell>
        </row>
      </sheetData>
      <sheetData sheetId="7">
        <row r="14">
          <cell r="B14">
            <v>14</v>
          </cell>
        </row>
        <row r="515">
          <cell r="B515">
            <v>515</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数量内訳書表紙"/>
      <sheetName val="表紙"/>
      <sheetName val="資産クラス"/>
      <sheetName val="諸経費表"/>
      <sheetName val="工事1"/>
      <sheetName val="工事2"/>
      <sheetName val="工事3"/>
      <sheetName val="工事4"/>
      <sheetName val="工事5"/>
      <sheetName val="Sheet2"/>
      <sheetName val="見積比較"/>
      <sheetName val="工事6"/>
      <sheetName val="工事7"/>
      <sheetName val="工事8"/>
      <sheetName val="工事9"/>
      <sheetName val="工事10"/>
      <sheetName val="工事11"/>
      <sheetName val="工事12"/>
      <sheetName val="工事13"/>
      <sheetName val="工事14"/>
      <sheetName val="工事15"/>
      <sheetName val="代価"/>
      <sheetName val="小運搬"/>
      <sheetName val="代価一覧"/>
      <sheetName val="諸経費表(専業工事用)"/>
      <sheetName val="随契差引諸経費表"/>
      <sheetName val="work"/>
      <sheetName val="新規シート"/>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
          <cell r="A1" t="str">
            <v>＜分類＞</v>
          </cell>
          <cell r="D1" t="str">
            <v>＜区分＞</v>
          </cell>
        </row>
        <row r="2">
          <cell r="A2" t="str">
            <v>費用</v>
          </cell>
          <cell r="D2" t="str">
            <v>＜建物附属設備＞</v>
          </cell>
        </row>
        <row r="3">
          <cell r="D3" t="str">
            <v>エヤーカーテンまたはドアー自動開閉設備</v>
          </cell>
        </row>
        <row r="4">
          <cell r="D4" t="str">
            <v>アーケード又は日よけ設備（金属製）</v>
          </cell>
        </row>
        <row r="5">
          <cell r="D5" t="str">
            <v>アーケード又は日よけ設備（その他）</v>
          </cell>
        </row>
        <row r="6">
          <cell r="D6" t="str">
            <v>店舗用簡易設備</v>
          </cell>
        </row>
        <row r="7">
          <cell r="D7" t="str">
            <v>可動間仕切り-簡易なもの</v>
          </cell>
        </row>
        <row r="8">
          <cell r="D8" t="str">
            <v>可動間仕切り-その他</v>
          </cell>
        </row>
        <row r="9">
          <cell r="D9" t="str">
            <v>金属製シャッター・止水パネル等（金属製）</v>
          </cell>
        </row>
        <row r="10">
          <cell r="D10" t="str">
            <v>シートシャッター・止水シート等(その他）</v>
          </cell>
        </row>
        <row r="12">
          <cell r="D12" t="str">
            <v>＜工具・器具・備品＞</v>
          </cell>
        </row>
        <row r="13">
          <cell r="D13" t="str">
            <v>電照サイン（金属製）</v>
          </cell>
        </row>
        <row r="14">
          <cell r="D14" t="str">
            <v>非電照サイン（金属製）</v>
          </cell>
        </row>
        <row r="15">
          <cell r="D15" t="str">
            <v>電照広告（金属製）</v>
          </cell>
        </row>
        <row r="16">
          <cell r="D16" t="str">
            <v>非電照広告（金属製）</v>
          </cell>
        </row>
        <row r="17">
          <cell r="D17" t="str">
            <v>電気設備</v>
          </cell>
        </row>
        <row r="18">
          <cell r="D18" t="str">
            <v>非電照サイン（その他）</v>
          </cell>
        </row>
        <row r="19">
          <cell r="D19" t="str">
            <v>非電照広告（その他）</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工事監理シート説明資料"/>
      <sheetName val="メンテナンス方法"/>
      <sheetName val="変更履歴"/>
      <sheetName val="用語説明シート"/>
      <sheetName val="リスト"/>
      <sheetName val="マニュアル"/>
      <sheetName val="工事情報入力シート"/>
      <sheetName val="資産数量・単位記入シート"/>
      <sheetName val="建仮精算アップロード"/>
      <sheetName val="工事種別情報アップロード"/>
      <sheetName val="資産クラスコード"/>
      <sheetName val="勘定科目コード"/>
      <sheetName val="財務分類コード"/>
      <sheetName val="予算掌理部署コード"/>
      <sheetName val="WBS第2階層コード"/>
      <sheetName val="原価センタコード"/>
      <sheetName val="事業コード"/>
      <sheetName val="所管コード"/>
      <sheetName val="所在コード"/>
      <sheetName val="品目コード"/>
      <sheetName val="車号 車系"/>
      <sheetName val="単位リスト"/>
      <sheetName val="元構造・元割当"/>
      <sheetName val="建仮科目"/>
    </sheetNames>
    <sheetDataSet>
      <sheetData sheetId="0" refreshError="1"/>
      <sheetData sheetId="1" refreshError="1"/>
      <sheetData sheetId="2" refreshError="1"/>
      <sheetData sheetId="3" refreshError="1"/>
      <sheetData sheetId="4" refreshError="1"/>
      <sheetData sheetId="5" refreshError="1"/>
      <sheetData sheetId="6">
        <row r="14">
          <cell r="B14">
            <v>14</v>
          </cell>
        </row>
        <row r="515">
          <cell r="B515">
            <v>515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71"/>
  <sheetViews>
    <sheetView tabSelected="1" zoomScaleNormal="100" zoomScaleSheetLayoutView="85" workbookViewId="0">
      <selection activeCell="E7" sqref="E7"/>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3" width="6.625" style="1" customWidth="1"/>
    <col min="14" max="14" width="6.75" style="1" customWidth="1"/>
    <col min="15" max="16" width="4.875" style="1" customWidth="1"/>
    <col min="17" max="23" width="15.625" style="1" customWidth="1"/>
    <col min="24" max="25" width="6.625" style="1"/>
    <col min="26" max="26" width="6.625" style="461"/>
    <col min="27" max="16384" width="6.625" style="1"/>
  </cols>
  <sheetData>
    <row r="1" spans="1:31" ht="13.5">
      <c r="H1" s="765"/>
      <c r="I1" s="765"/>
      <c r="J1" s="2196"/>
      <c r="K1" s="2196"/>
      <c r="L1" s="2196"/>
    </row>
    <row r="2" spans="1:31" ht="14.1" customHeight="1">
      <c r="A2" s="8"/>
      <c r="B2" s="8"/>
      <c r="C2" s="761"/>
      <c r="D2" s="761"/>
      <c r="E2" s="9"/>
      <c r="F2" s="10"/>
      <c r="G2" s="10"/>
      <c r="H2" s="2154" t="s">
        <v>2521</v>
      </c>
      <c r="I2" s="2155"/>
      <c r="J2" s="2114" t="s">
        <v>2412</v>
      </c>
      <c r="K2" s="2197">
        <f ca="1">TODAY()</f>
        <v>44018</v>
      </c>
      <c r="L2" s="2198"/>
    </row>
    <row r="3" spans="1:31" ht="14.1" customHeight="1">
      <c r="A3" s="8"/>
      <c r="B3" s="743"/>
      <c r="C3" s="361"/>
      <c r="D3" s="361"/>
      <c r="E3" s="9"/>
      <c r="F3" s="10"/>
      <c r="G3" s="10"/>
      <c r="H3" s="2113" t="s">
        <v>2393</v>
      </c>
      <c r="I3" s="2110" t="s">
        <v>2405</v>
      </c>
      <c r="J3" s="2114" t="s">
        <v>2413</v>
      </c>
      <c r="K3" s="2197">
        <v>43992</v>
      </c>
      <c r="L3" s="2198"/>
    </row>
    <row r="4" spans="1:31" ht="14.1" customHeight="1">
      <c r="A4" s="11"/>
      <c r="B4" s="11"/>
      <c r="C4" s="12"/>
      <c r="D4" s="13"/>
      <c r="E4" s="14"/>
      <c r="F4" s="13"/>
      <c r="G4" s="10"/>
      <c r="H4" s="2113" t="s">
        <v>2394</v>
      </c>
      <c r="I4" s="2110" t="s">
        <v>3282</v>
      </c>
      <c r="J4" s="2114" t="s">
        <v>2381</v>
      </c>
      <c r="K4" s="2199">
        <v>44008</v>
      </c>
      <c r="L4" s="2200"/>
      <c r="Q4" s="220"/>
      <c r="W4" s="2109" t="s">
        <v>205</v>
      </c>
      <c r="Z4" s="461" t="s">
        <v>316</v>
      </c>
      <c r="AE4" s="1" t="s">
        <v>2384</v>
      </c>
    </row>
    <row r="5" spans="1:31" ht="14.1" customHeight="1">
      <c r="A5" s="11"/>
      <c r="B5" s="11"/>
      <c r="C5" s="12"/>
      <c r="D5" s="13"/>
      <c r="E5" s="14"/>
      <c r="F5" s="13"/>
      <c r="G5" s="10"/>
      <c r="H5" s="2114" t="s">
        <v>2377</v>
      </c>
      <c r="I5" s="2110" t="s">
        <v>3283</v>
      </c>
      <c r="J5" s="2114" t="s">
        <v>2382</v>
      </c>
      <c r="K5" s="2199">
        <v>44028</v>
      </c>
      <c r="L5" s="2200"/>
      <c r="Q5" s="2106" t="s">
        <v>46</v>
      </c>
      <c r="R5" s="2106"/>
      <c r="S5" s="2107"/>
      <c r="U5" s="150" t="s">
        <v>46</v>
      </c>
      <c r="V5" s="150"/>
      <c r="W5" s="458" t="s">
        <v>3176</v>
      </c>
      <c r="Z5" s="461" t="s">
        <v>101</v>
      </c>
      <c r="AE5" s="1" t="s">
        <v>2395</v>
      </c>
    </row>
    <row r="6" spans="1:31" ht="14.1" customHeight="1">
      <c r="A6" s="11"/>
      <c r="B6" s="11"/>
      <c r="C6" s="12"/>
      <c r="D6" s="13"/>
      <c r="E6" s="14"/>
      <c r="F6" s="13"/>
      <c r="G6" s="10"/>
      <c r="H6" s="2114" t="s">
        <v>2378</v>
      </c>
      <c r="I6" s="2111" t="s">
        <v>341</v>
      </c>
      <c r="J6" s="2114" t="s">
        <v>2383</v>
      </c>
      <c r="K6" s="2199">
        <v>44134</v>
      </c>
      <c r="L6" s="2200"/>
      <c r="Q6" s="2106" t="s">
        <v>47</v>
      </c>
      <c r="R6" s="2106"/>
      <c r="S6" s="2108" t="s">
        <v>102</v>
      </c>
      <c r="U6" s="150" t="s">
        <v>47</v>
      </c>
      <c r="V6" s="150"/>
      <c r="W6" s="152" t="s">
        <v>102</v>
      </c>
      <c r="Z6" s="461" t="s">
        <v>317</v>
      </c>
      <c r="AE6" s="1" t="s">
        <v>2396</v>
      </c>
    </row>
    <row r="7" spans="1:31" ht="14.1" customHeight="1">
      <c r="A7" s="11"/>
      <c r="B7" s="11"/>
      <c r="C7" s="12"/>
      <c r="D7" s="13"/>
      <c r="E7" s="14"/>
      <c r="F7" s="13"/>
      <c r="G7" s="10"/>
      <c r="H7" s="2114" t="s">
        <v>2379</v>
      </c>
      <c r="I7" s="2112" t="s">
        <v>101</v>
      </c>
      <c r="J7" s="2115" t="s">
        <v>2385</v>
      </c>
      <c r="K7" s="2188" t="s">
        <v>3160</v>
      </c>
      <c r="L7" s="2189"/>
      <c r="Q7" s="153"/>
      <c r="R7" s="153"/>
      <c r="S7" s="153"/>
      <c r="Z7" s="461" t="s">
        <v>329</v>
      </c>
      <c r="AE7" s="1" t="s">
        <v>2397</v>
      </c>
    </row>
    <row r="8" spans="1:31" ht="14.1" customHeight="1">
      <c r="A8" s="11"/>
      <c r="B8" s="11"/>
      <c r="C8" s="12"/>
      <c r="D8" s="13"/>
      <c r="E8" s="14"/>
      <c r="F8" s="13"/>
      <c r="G8" s="10"/>
      <c r="H8" s="2114" t="s">
        <v>2523</v>
      </c>
      <c r="I8" s="2111" t="s">
        <v>3320</v>
      </c>
      <c r="J8" s="2114" t="s">
        <v>2522</v>
      </c>
      <c r="K8" s="2187" t="s">
        <v>3319</v>
      </c>
      <c r="L8" s="2187"/>
      <c r="Q8" s="154" t="s">
        <v>71</v>
      </c>
      <c r="U8" s="150" t="s">
        <v>199</v>
      </c>
      <c r="V8" s="150"/>
      <c r="W8" s="151" t="s">
        <v>2416</v>
      </c>
      <c r="Z8" s="461" t="s">
        <v>330</v>
      </c>
      <c r="AE8" s="1" t="s">
        <v>2398</v>
      </c>
    </row>
    <row r="9" spans="1:31" ht="14.1" customHeight="1">
      <c r="A9" s="11"/>
      <c r="B9" s="11"/>
      <c r="C9" s="12"/>
      <c r="D9" s="13"/>
      <c r="E9" s="14"/>
      <c r="F9" s="13"/>
      <c r="G9" s="10"/>
      <c r="H9" s="2114" t="s">
        <v>2380</v>
      </c>
      <c r="I9" s="2111" t="s">
        <v>342</v>
      </c>
      <c r="J9" s="2190" t="s">
        <v>2520</v>
      </c>
      <c r="K9" s="2192">
        <v>1032</v>
      </c>
      <c r="L9" s="2193"/>
      <c r="S9" s="155">
        <v>1</v>
      </c>
      <c r="U9" s="150" t="s">
        <v>200</v>
      </c>
      <c r="V9" s="150"/>
      <c r="W9" s="152" t="s">
        <v>102</v>
      </c>
      <c r="Z9" s="461" t="s">
        <v>331</v>
      </c>
    </row>
    <row r="10" spans="1:31" ht="14.1" customHeight="1">
      <c r="A10" s="11"/>
      <c r="B10" s="11"/>
      <c r="C10" s="12"/>
      <c r="D10" s="13"/>
      <c r="E10" s="14"/>
      <c r="F10" s="13"/>
      <c r="G10" s="10"/>
      <c r="H10" s="2114" t="s">
        <v>2526</v>
      </c>
      <c r="I10" s="2111" t="s">
        <v>2527</v>
      </c>
      <c r="J10" s="2191"/>
      <c r="K10" s="2194"/>
      <c r="L10" s="2195"/>
      <c r="Q10" s="460"/>
      <c r="R10" s="460" t="s">
        <v>315</v>
      </c>
      <c r="S10" s="460" t="s">
        <v>315</v>
      </c>
      <c r="T10" s="460" t="s">
        <v>315</v>
      </c>
      <c r="U10" s="460" t="s">
        <v>315</v>
      </c>
      <c r="V10" s="460" t="s">
        <v>315</v>
      </c>
      <c r="Z10" s="461" t="s">
        <v>318</v>
      </c>
      <c r="AE10" s="1" t="s">
        <v>2401</v>
      </c>
    </row>
    <row r="11" spans="1:31" ht="24.95" customHeight="1">
      <c r="A11" s="11"/>
      <c r="B11" s="11"/>
      <c r="C11" s="15"/>
      <c r="D11" s="462"/>
      <c r="E11" s="463"/>
      <c r="F11" s="462"/>
      <c r="G11" s="464"/>
      <c r="H11" s="465"/>
      <c r="I11" s="465"/>
      <c r="J11" s="466"/>
      <c r="K11" s="467"/>
      <c r="L11" s="469"/>
      <c r="O11" s="154"/>
      <c r="P11" s="154"/>
      <c r="Q11" s="460" t="s">
        <v>2382</v>
      </c>
      <c r="R11" s="2149">
        <f>K5</f>
        <v>44028</v>
      </c>
      <c r="S11" s="758"/>
      <c r="T11" s="758"/>
      <c r="U11" s="758"/>
      <c r="V11" s="758"/>
      <c r="Z11" s="461" t="s">
        <v>2386</v>
      </c>
      <c r="AE11" s="1" t="s">
        <v>2402</v>
      </c>
    </row>
    <row r="12" spans="1:31" ht="24.95" customHeight="1" thickBot="1">
      <c r="A12" s="11"/>
      <c r="B12" s="11"/>
      <c r="C12" s="15"/>
      <c r="D12" s="2167" t="s">
        <v>3178</v>
      </c>
      <c r="E12" s="2167"/>
      <c r="F12" s="2167"/>
      <c r="G12" s="2167"/>
      <c r="H12" s="2167"/>
      <c r="I12" s="2167"/>
      <c r="J12" s="2167"/>
      <c r="K12" s="2167"/>
      <c r="L12" s="470"/>
      <c r="Q12" s="460" t="s">
        <v>2383</v>
      </c>
      <c r="R12" s="2149">
        <f>K6</f>
        <v>44134</v>
      </c>
      <c r="S12" s="758"/>
      <c r="T12" s="460"/>
      <c r="U12" s="460"/>
      <c r="V12" s="460"/>
      <c r="Z12" s="461" t="s">
        <v>2387</v>
      </c>
      <c r="AE12" s="1" t="s">
        <v>2403</v>
      </c>
    </row>
    <row r="13" spans="1:31" ht="37.5" customHeight="1">
      <c r="A13" s="11"/>
      <c r="B13" s="11"/>
      <c r="C13" s="15"/>
      <c r="D13" s="2166"/>
      <c r="E13" s="2166"/>
      <c r="F13" s="2166"/>
      <c r="G13" s="2166"/>
      <c r="H13" s="2166"/>
      <c r="I13" s="2166"/>
      <c r="J13" s="2166"/>
      <c r="K13" s="2166"/>
      <c r="L13" s="470"/>
      <c r="Q13" s="759"/>
      <c r="R13" s="760">
        <f>IF(R11="","",IF(OR(R11,R12)="","",ROUND((R12-R11-7)/30,1)))</f>
        <v>3.3</v>
      </c>
      <c r="S13" s="760" t="str">
        <f>IF(S11="","",IF(OR(S11,S12)="","",ROUND((S12-S11-7)/30,1)))</f>
        <v/>
      </c>
      <c r="T13" s="760" t="str">
        <f>IF(T11="","",IF(OR(T11,T12)="","",ROUND((T12-T11-7)/30,1)))</f>
        <v/>
      </c>
      <c r="U13" s="760" t="str">
        <f>IF(U11="","",IF(OR(U11,U12)="","",ROUND((U12-U11-7)/30,1)))</f>
        <v/>
      </c>
      <c r="V13" s="760" t="str">
        <f>IF(V11="","",IF(OR(V11,V12)="","",ROUND((V12-V11-7)/30,1)))</f>
        <v/>
      </c>
      <c r="Z13" s="461" t="s">
        <v>2388</v>
      </c>
      <c r="AE13" s="1" t="s">
        <v>2404</v>
      </c>
    </row>
    <row r="14" spans="1:31" ht="24.95" customHeight="1">
      <c r="A14" s="11"/>
      <c r="B14" s="11"/>
      <c r="C14" s="15"/>
      <c r="D14" s="2157" t="s">
        <v>2376</v>
      </c>
      <c r="E14" s="2157"/>
      <c r="F14" s="2157"/>
      <c r="G14" s="2157"/>
      <c r="H14" s="2157"/>
      <c r="I14" s="2157"/>
      <c r="J14" s="2157"/>
      <c r="K14" s="2157"/>
      <c r="L14" s="470"/>
      <c r="Z14" s="461" t="s">
        <v>2389</v>
      </c>
      <c r="AE14" s="1" t="s">
        <v>2399</v>
      </c>
    </row>
    <row r="15" spans="1:31" ht="20.100000000000001" customHeight="1">
      <c r="A15" s="11"/>
      <c r="B15" s="11"/>
      <c r="C15" s="15"/>
      <c r="D15" s="745"/>
      <c r="E15" s="745"/>
      <c r="F15" s="745"/>
      <c r="G15" s="745"/>
      <c r="H15" s="745"/>
      <c r="I15" s="745"/>
      <c r="J15" s="745"/>
      <c r="K15" s="745"/>
      <c r="L15" s="470"/>
      <c r="Z15" s="461" t="s">
        <v>2390</v>
      </c>
      <c r="AE15" s="1" t="s">
        <v>2400</v>
      </c>
    </row>
    <row r="16" spans="1:31" ht="14.1" customHeight="1">
      <c r="A16" s="11"/>
      <c r="B16" s="11"/>
      <c r="C16" s="15"/>
      <c r="D16" s="745"/>
      <c r="E16" s="745"/>
      <c r="F16" s="745"/>
      <c r="G16" s="745"/>
      <c r="H16" s="745"/>
      <c r="I16" s="745"/>
      <c r="J16" s="2158" t="s">
        <v>2392</v>
      </c>
      <c r="K16" s="2159"/>
      <c r="L16" s="2160"/>
      <c r="Z16" s="461" t="s">
        <v>319</v>
      </c>
    </row>
    <row r="17" spans="1:31" ht="14.1" customHeight="1">
      <c r="A17" s="11"/>
      <c r="B17" s="11"/>
      <c r="C17" s="15"/>
      <c r="D17" s="745"/>
      <c r="E17" s="745"/>
      <c r="F17" s="745"/>
      <c r="G17" s="745"/>
      <c r="H17" s="757"/>
      <c r="I17" s="757"/>
      <c r="J17" s="2158" t="s">
        <v>2375</v>
      </c>
      <c r="K17" s="2160"/>
      <c r="L17" s="2164" t="s">
        <v>2374</v>
      </c>
      <c r="N17" s="226"/>
      <c r="O17" s="226"/>
      <c r="P17" s="226"/>
      <c r="Q17" s="226"/>
      <c r="Z17" s="461" t="s">
        <v>320</v>
      </c>
      <c r="AE17" s="1" t="s">
        <v>2405</v>
      </c>
    </row>
    <row r="18" spans="1:31" ht="14.1" customHeight="1">
      <c r="A18" s="11"/>
      <c r="B18" s="11"/>
      <c r="C18" s="15"/>
      <c r="D18" s="745"/>
      <c r="E18" s="745"/>
      <c r="F18" s="745"/>
      <c r="G18" s="745"/>
      <c r="H18" s="766"/>
      <c r="I18" s="767"/>
      <c r="J18" s="796" t="s">
        <v>2513</v>
      </c>
      <c r="K18" s="796" t="s">
        <v>2373</v>
      </c>
      <c r="L18" s="2165"/>
      <c r="N18" s="226"/>
      <c r="O18" s="226"/>
      <c r="P18" s="226"/>
      <c r="Q18" s="226"/>
      <c r="Z18" s="461" t="s">
        <v>321</v>
      </c>
      <c r="AE18" s="1" t="s">
        <v>2406</v>
      </c>
    </row>
    <row r="19" spans="1:31" ht="14.1" customHeight="1">
      <c r="A19" s="11"/>
      <c r="B19" s="11"/>
      <c r="C19" s="15"/>
      <c r="D19" s="745"/>
      <c r="E19" s="745"/>
      <c r="F19" s="745"/>
      <c r="G19" s="745"/>
      <c r="H19" s="766"/>
      <c r="I19" s="757"/>
      <c r="J19" s="2162" t="s">
        <v>3208</v>
      </c>
      <c r="K19" s="2163" t="s">
        <v>3206</v>
      </c>
      <c r="L19" s="2163" t="s">
        <v>3207</v>
      </c>
      <c r="N19" s="2156"/>
      <c r="O19" s="2156"/>
      <c r="P19" s="2156"/>
      <c r="Q19" s="226"/>
      <c r="Z19" s="461" t="s">
        <v>322</v>
      </c>
      <c r="AE19" s="1" t="s">
        <v>2414</v>
      </c>
    </row>
    <row r="20" spans="1:31" ht="14.1" customHeight="1">
      <c r="A20" s="11"/>
      <c r="B20" s="11"/>
      <c r="C20" s="15"/>
      <c r="D20" s="745"/>
      <c r="E20" s="745"/>
      <c r="F20" s="745"/>
      <c r="G20" s="745"/>
      <c r="H20" s="764"/>
      <c r="I20" s="467"/>
      <c r="J20" s="2162"/>
      <c r="K20" s="2163"/>
      <c r="L20" s="2163"/>
      <c r="N20" s="2156"/>
      <c r="O20" s="2156"/>
      <c r="P20" s="2156"/>
      <c r="Q20" s="226"/>
      <c r="Z20" s="461" t="s">
        <v>2391</v>
      </c>
      <c r="AE20" s="1" t="s">
        <v>2407</v>
      </c>
    </row>
    <row r="21" spans="1:31" ht="14.1" customHeight="1">
      <c r="A21" s="11"/>
      <c r="B21" s="11"/>
      <c r="C21" s="15"/>
      <c r="D21" s="745"/>
      <c r="E21" s="745"/>
      <c r="F21" s="745"/>
      <c r="G21" s="745"/>
      <c r="H21" s="764"/>
      <c r="I21" s="467"/>
      <c r="J21" s="2162"/>
      <c r="K21" s="2163"/>
      <c r="L21" s="2163"/>
      <c r="N21" s="2156"/>
      <c r="O21" s="762"/>
      <c r="P21" s="763"/>
      <c r="Q21" s="226"/>
      <c r="Z21" s="461" t="s">
        <v>323</v>
      </c>
      <c r="AE21" s="1" t="s">
        <v>2408</v>
      </c>
    </row>
    <row r="22" spans="1:31" ht="14.1" customHeight="1">
      <c r="A22" s="11"/>
      <c r="B22" s="11"/>
      <c r="C22" s="15"/>
      <c r="D22" s="745"/>
      <c r="E22" s="745"/>
      <c r="F22" s="745"/>
      <c r="G22" s="745"/>
      <c r="H22" s="764"/>
      <c r="I22" s="468"/>
      <c r="J22" s="2162"/>
      <c r="K22" s="2163"/>
      <c r="L22" s="2163"/>
      <c r="N22" s="2157"/>
      <c r="O22" s="2157"/>
      <c r="P22" s="2161"/>
      <c r="Q22" s="226"/>
      <c r="Z22" s="461" t="s">
        <v>324</v>
      </c>
      <c r="AE22" s="1" t="s">
        <v>2409</v>
      </c>
    </row>
    <row r="23" spans="1:31" ht="14.1" customHeight="1">
      <c r="A23" s="11"/>
      <c r="B23" s="11"/>
      <c r="C23" s="15"/>
      <c r="D23" s="470"/>
      <c r="E23" s="471"/>
      <c r="F23" s="470"/>
      <c r="G23" s="472"/>
      <c r="H23" s="764"/>
      <c r="I23" s="467"/>
      <c r="J23" s="467"/>
      <c r="K23" s="467"/>
      <c r="L23" s="467"/>
      <c r="N23" s="2157"/>
      <c r="O23" s="2157"/>
      <c r="P23" s="2161"/>
      <c r="Q23" s="226"/>
      <c r="Z23" s="461" t="s">
        <v>325</v>
      </c>
      <c r="AE23" s="1" t="s">
        <v>2410</v>
      </c>
    </row>
    <row r="24" spans="1:31" ht="20.100000000000001" customHeight="1">
      <c r="A24" s="11"/>
      <c r="B24" s="11"/>
      <c r="C24" s="15"/>
      <c r="D24" s="470"/>
      <c r="E24" s="471"/>
      <c r="F24" s="470"/>
      <c r="G24" s="472"/>
      <c r="H24" s="473"/>
      <c r="I24" s="474"/>
      <c r="J24" s="744"/>
      <c r="K24" s="744"/>
      <c r="L24" s="13"/>
      <c r="N24" s="226"/>
      <c r="O24" s="226"/>
      <c r="P24" s="226"/>
      <c r="Q24" s="226"/>
      <c r="Z24" s="461" t="s">
        <v>326</v>
      </c>
      <c r="AE24" s="1" t="s">
        <v>2411</v>
      </c>
    </row>
    <row r="25" spans="1:31" ht="20.100000000000001" customHeight="1">
      <c r="B25" s="2170" t="s">
        <v>314</v>
      </c>
      <c r="C25" s="2171"/>
      <c r="D25" s="2171"/>
      <c r="E25" s="2171"/>
      <c r="F25" s="221">
        <v>0</v>
      </c>
      <c r="H25" s="222">
        <f>+work!H18</f>
        <v>11</v>
      </c>
      <c r="I25" s="101">
        <v>2</v>
      </c>
      <c r="J25" s="17"/>
      <c r="K25" s="13"/>
      <c r="L25" s="13"/>
      <c r="M25" s="466"/>
      <c r="N25" s="2168"/>
      <c r="O25" s="2168"/>
      <c r="Z25" s="461" t="s">
        <v>327</v>
      </c>
    </row>
    <row r="26" spans="1:31" ht="26.1" customHeight="1" thickBot="1">
      <c r="C26" s="2169" t="s">
        <v>343</v>
      </c>
      <c r="D26" s="2169"/>
      <c r="E26" s="2169"/>
      <c r="F26" s="2169"/>
      <c r="G26" s="2169"/>
      <c r="H26" s="2169"/>
      <c r="I26" s="2169"/>
      <c r="J26" s="2169"/>
      <c r="K26" s="2169"/>
      <c r="L26" s="2169"/>
      <c r="M26" s="466"/>
      <c r="N26" s="2168"/>
      <c r="O26" s="2168"/>
      <c r="Z26" s="461" t="s">
        <v>328</v>
      </c>
    </row>
    <row r="27" spans="1:31" ht="42" customHeight="1">
      <c r="A27" s="5" t="s">
        <v>2115</v>
      </c>
      <c r="B27" s="5" t="s">
        <v>10</v>
      </c>
      <c r="C27" s="120" t="s">
        <v>0</v>
      </c>
      <c r="D27" s="116"/>
      <c r="E27" s="117" t="s">
        <v>1</v>
      </c>
      <c r="F27" s="118" t="s">
        <v>2</v>
      </c>
      <c r="G27" s="118" t="s">
        <v>3</v>
      </c>
      <c r="H27" s="119" t="s">
        <v>4</v>
      </c>
      <c r="I27" s="119" t="s">
        <v>5</v>
      </c>
      <c r="J27" s="2172" t="s">
        <v>6</v>
      </c>
      <c r="K27" s="2173"/>
      <c r="L27" s="2174"/>
      <c r="M27" s="466"/>
      <c r="N27" s="2168"/>
      <c r="O27" s="2168"/>
      <c r="Z27" s="1" t="s">
        <v>332</v>
      </c>
    </row>
    <row r="28" spans="1:31" ht="24" customHeight="1">
      <c r="A28" s="36"/>
      <c r="B28" s="36"/>
      <c r="C28" s="398" t="str">
        <f>D12</f>
        <v>大阪ビジネスパーク駅中階天井改良工事</v>
      </c>
      <c r="D28" s="399"/>
      <c r="E28" s="400"/>
      <c r="F28" s="401"/>
      <c r="G28" s="402"/>
      <c r="H28" s="403" t="s">
        <v>12</v>
      </c>
      <c r="I28" s="403" t="s">
        <v>12</v>
      </c>
      <c r="J28" s="404"/>
      <c r="K28" s="404"/>
      <c r="L28" s="405"/>
      <c r="M28" s="466"/>
      <c r="N28" s="2168"/>
      <c r="O28" s="2168"/>
      <c r="Z28" s="461" t="s">
        <v>333</v>
      </c>
    </row>
    <row r="29" spans="1:31" ht="24" customHeight="1">
      <c r="A29" s="36"/>
      <c r="B29" s="36"/>
      <c r="C29" s="406"/>
      <c r="D29" s="407"/>
      <c r="E29" s="408"/>
      <c r="F29" s="409"/>
      <c r="G29" s="410"/>
      <c r="H29" s="411"/>
      <c r="I29" s="411"/>
      <c r="J29" s="407"/>
      <c r="K29" s="407"/>
      <c r="L29" s="412"/>
      <c r="Z29" s="461" t="s">
        <v>334</v>
      </c>
    </row>
    <row r="30" spans="1:31" ht="24" customHeight="1">
      <c r="A30" s="36"/>
      <c r="B30" s="36"/>
      <c r="C30" s="413">
        <v>1</v>
      </c>
      <c r="D30" s="414" t="s">
        <v>304</v>
      </c>
      <c r="E30" s="415"/>
      <c r="F30" s="416">
        <v>1</v>
      </c>
      <c r="G30" s="417" t="s">
        <v>7</v>
      </c>
      <c r="H30" s="418"/>
      <c r="I30" s="418">
        <f>+工事1!I16</f>
        <v>7963823</v>
      </c>
      <c r="J30" s="414"/>
      <c r="K30" s="414"/>
      <c r="L30" s="419"/>
      <c r="Z30" s="461" t="s">
        <v>335</v>
      </c>
    </row>
    <row r="31" spans="1:31" ht="24" customHeight="1">
      <c r="A31" s="36"/>
      <c r="B31" s="36"/>
      <c r="C31" s="420"/>
      <c r="D31" s="414"/>
      <c r="E31" s="415"/>
      <c r="F31" s="416"/>
      <c r="G31" s="417"/>
      <c r="H31" s="418"/>
      <c r="I31" s="418"/>
      <c r="J31" s="414"/>
      <c r="K31" s="414"/>
      <c r="L31" s="419"/>
      <c r="Z31" s="461" t="s">
        <v>336</v>
      </c>
    </row>
    <row r="32" spans="1:31" ht="24" customHeight="1">
      <c r="A32" s="36"/>
      <c r="B32" s="36"/>
      <c r="C32" s="413"/>
      <c r="D32" s="414"/>
      <c r="E32" s="415"/>
      <c r="F32" s="416"/>
      <c r="G32" s="417"/>
      <c r="H32" s="418"/>
      <c r="I32" s="418"/>
      <c r="J32" s="414"/>
      <c r="K32" s="414"/>
      <c r="L32" s="419"/>
      <c r="Z32" s="461" t="s">
        <v>337</v>
      </c>
    </row>
    <row r="33" spans="1:26" ht="24" customHeight="1">
      <c r="A33" s="36"/>
      <c r="B33" s="36"/>
      <c r="C33" s="420"/>
      <c r="D33" s="414"/>
      <c r="E33" s="415"/>
      <c r="F33" s="416"/>
      <c r="G33" s="417"/>
      <c r="H33" s="418"/>
      <c r="I33" s="418"/>
      <c r="J33" s="414"/>
      <c r="K33" s="414"/>
      <c r="L33" s="419"/>
      <c r="Z33" s="461" t="s">
        <v>338</v>
      </c>
    </row>
    <row r="34" spans="1:26" ht="24" customHeight="1">
      <c r="A34" s="36"/>
      <c r="B34" s="36"/>
      <c r="C34" s="413">
        <v>2</v>
      </c>
      <c r="D34" s="414" t="s">
        <v>305</v>
      </c>
      <c r="E34" s="415"/>
      <c r="F34" s="416"/>
      <c r="G34" s="417"/>
      <c r="H34" s="418"/>
      <c r="I34" s="418"/>
      <c r="J34" s="414"/>
      <c r="K34" s="414"/>
      <c r="L34" s="419"/>
      <c r="Z34" s="461" t="s">
        <v>339</v>
      </c>
    </row>
    <row r="35" spans="1:26" ht="24" customHeight="1">
      <c r="A35" s="36"/>
      <c r="B35" s="36"/>
      <c r="C35" s="420"/>
      <c r="D35" s="421" t="s">
        <v>306</v>
      </c>
      <c r="E35" s="415"/>
      <c r="F35" s="416">
        <v>1</v>
      </c>
      <c r="G35" s="417" t="s">
        <v>307</v>
      </c>
      <c r="H35" s="418"/>
      <c r="I35" s="418">
        <f>+工事1!I19</f>
        <v>566578</v>
      </c>
      <c r="J35" s="414"/>
      <c r="K35" s="414"/>
      <c r="L35" s="419"/>
      <c r="Z35" s="461" t="s">
        <v>340</v>
      </c>
    </row>
    <row r="36" spans="1:26" ht="24" customHeight="1">
      <c r="A36" s="36"/>
      <c r="B36" s="36"/>
      <c r="C36" s="420"/>
      <c r="D36" s="421" t="s">
        <v>308</v>
      </c>
      <c r="E36" s="415"/>
      <c r="F36" s="416">
        <v>1</v>
      </c>
      <c r="G36" s="417" t="s">
        <v>307</v>
      </c>
      <c r="H36" s="418"/>
      <c r="I36" s="418">
        <f>+工事1!I20</f>
        <v>1495334</v>
      </c>
      <c r="J36" s="414"/>
      <c r="K36" s="414"/>
      <c r="L36" s="419"/>
    </row>
    <row r="37" spans="1:26" ht="24" customHeight="1">
      <c r="A37" s="36"/>
      <c r="B37" s="36"/>
      <c r="C37" s="420"/>
      <c r="D37" s="421" t="s">
        <v>309</v>
      </c>
      <c r="E37" s="415"/>
      <c r="F37" s="416">
        <v>1</v>
      </c>
      <c r="G37" s="417" t="s">
        <v>307</v>
      </c>
      <c r="H37" s="418"/>
      <c r="I37" s="418">
        <f>+工事1!I21</f>
        <v>1634265</v>
      </c>
      <c r="J37" s="414"/>
      <c r="K37" s="414"/>
      <c r="L37" s="419"/>
    </row>
    <row r="38" spans="1:26" ht="24" customHeight="1">
      <c r="A38" s="36"/>
      <c r="B38" s="36"/>
      <c r="C38" s="420"/>
      <c r="D38" s="421"/>
      <c r="E38" s="415"/>
      <c r="F38" s="416"/>
      <c r="G38" s="417"/>
      <c r="H38" s="418"/>
      <c r="I38" s="418"/>
      <c r="J38" s="414"/>
      <c r="K38" s="414"/>
      <c r="L38" s="419"/>
    </row>
    <row r="39" spans="1:26" ht="24" customHeight="1">
      <c r="A39" s="36"/>
      <c r="B39" s="36"/>
      <c r="C39" s="420"/>
      <c r="D39" s="422" t="s">
        <v>310</v>
      </c>
      <c r="E39" s="415"/>
      <c r="F39" s="416"/>
      <c r="G39" s="417"/>
      <c r="H39" s="418"/>
      <c r="I39" s="418">
        <f>SUM(I35:I38)</f>
        <v>3696177</v>
      </c>
      <c r="J39" s="414"/>
      <c r="K39" s="414"/>
      <c r="L39" s="419"/>
    </row>
    <row r="40" spans="1:26" ht="24" customHeight="1">
      <c r="A40" s="36"/>
      <c r="B40" s="36"/>
      <c r="C40" s="420"/>
      <c r="D40" s="414"/>
      <c r="E40" s="415"/>
      <c r="F40" s="416"/>
      <c r="G40" s="417"/>
      <c r="H40" s="418"/>
      <c r="I40" s="418"/>
      <c r="J40" s="414"/>
      <c r="K40" s="414"/>
      <c r="L40" s="419"/>
    </row>
    <row r="41" spans="1:26" ht="24" customHeight="1">
      <c r="A41" s="36"/>
      <c r="B41" s="36"/>
      <c r="C41" s="420"/>
      <c r="D41" s="414"/>
      <c r="E41" s="415"/>
      <c r="F41" s="416"/>
      <c r="G41" s="417"/>
      <c r="H41" s="418"/>
      <c r="I41" s="418"/>
      <c r="J41" s="423"/>
      <c r="K41" s="2179"/>
      <c r="L41" s="2180"/>
    </row>
    <row r="42" spans="1:26" ht="24" customHeight="1">
      <c r="A42" s="36"/>
      <c r="B42" s="36"/>
      <c r="C42" s="420"/>
      <c r="D42" s="414"/>
      <c r="E42" s="415"/>
      <c r="F42" s="416"/>
      <c r="G42" s="417"/>
      <c r="H42" s="418"/>
      <c r="I42" s="418"/>
      <c r="J42" s="423"/>
      <c r="K42" s="2179"/>
      <c r="L42" s="2180"/>
    </row>
    <row r="43" spans="1:26" ht="24" customHeight="1">
      <c r="A43" s="36"/>
      <c r="B43" s="36"/>
      <c r="C43" s="420"/>
      <c r="D43" s="414" t="s">
        <v>67</v>
      </c>
      <c r="E43" s="415"/>
      <c r="F43" s="416"/>
      <c r="G43" s="417"/>
      <c r="H43" s="418"/>
      <c r="I43" s="418">
        <f>+I30+I39</f>
        <v>11660000</v>
      </c>
      <c r="J43" s="478"/>
      <c r="K43" s="2179"/>
      <c r="L43" s="2180"/>
    </row>
    <row r="44" spans="1:26" ht="24" customHeight="1">
      <c r="A44" s="36"/>
      <c r="B44" s="36"/>
      <c r="C44" s="420"/>
      <c r="D44" s="414"/>
      <c r="E44" s="415"/>
      <c r="F44" s="416"/>
      <c r="G44" s="417"/>
      <c r="H44" s="418"/>
      <c r="I44" s="418"/>
      <c r="J44" s="423"/>
      <c r="K44" s="2179"/>
      <c r="L44" s="2180"/>
    </row>
    <row r="45" spans="1:26" ht="24" customHeight="1">
      <c r="A45" s="36"/>
      <c r="B45" s="36"/>
      <c r="C45" s="420"/>
      <c r="D45" s="414" t="s">
        <v>311</v>
      </c>
      <c r="E45" s="415"/>
      <c r="F45" s="416">
        <v>1</v>
      </c>
      <c r="G45" s="417" t="s">
        <v>307</v>
      </c>
      <c r="H45" s="418"/>
      <c r="I45" s="111">
        <f>+I43*J45</f>
        <v>1166000</v>
      </c>
      <c r="J45" s="2152">
        <v>0.1</v>
      </c>
      <c r="K45" s="424"/>
      <c r="L45" s="425"/>
    </row>
    <row r="46" spans="1:26" ht="24" customHeight="1">
      <c r="A46" s="36"/>
      <c r="B46" s="36"/>
      <c r="C46" s="420"/>
      <c r="D46" s="414"/>
      <c r="E46" s="415"/>
      <c r="F46" s="416"/>
      <c r="G46" s="417"/>
      <c r="H46" s="418"/>
      <c r="I46" s="418" t="s">
        <v>312</v>
      </c>
      <c r="J46" s="414"/>
      <c r="K46" s="2183"/>
      <c r="L46" s="2184"/>
    </row>
    <row r="47" spans="1:26" ht="24" customHeight="1" thickBot="1">
      <c r="A47" s="36"/>
      <c r="B47" s="36"/>
      <c r="C47" s="426"/>
      <c r="D47" s="427" t="s">
        <v>313</v>
      </c>
      <c r="E47" s="428"/>
      <c r="F47" s="429"/>
      <c r="G47" s="430"/>
      <c r="H47" s="431"/>
      <c r="I47" s="431">
        <f>I43+I45</f>
        <v>12826000</v>
      </c>
      <c r="J47" s="427"/>
      <c r="K47" s="2185"/>
      <c r="L47" s="2186"/>
    </row>
    <row r="48" spans="1:26" ht="14.25" customHeight="1">
      <c r="E48" s="32" t="s">
        <v>68</v>
      </c>
      <c r="F48" s="102">
        <f>F25+1</f>
        <v>1</v>
      </c>
      <c r="G48" s="33" t="s">
        <v>69</v>
      </c>
      <c r="H48" s="4">
        <f>H25</f>
        <v>11</v>
      </c>
      <c r="M48" s="31" t="str">
        <f>IF(A50="","EOL","")</f>
        <v/>
      </c>
      <c r="N48" s="1">
        <f>+F48</f>
        <v>1</v>
      </c>
    </row>
    <row r="49" spans="1:26" s="476" customFormat="1" ht="26.1" customHeight="1" thickBot="1">
      <c r="A49" s="6"/>
      <c r="B49" s="6"/>
      <c r="C49" s="2169" t="s">
        <v>343</v>
      </c>
      <c r="D49" s="2169"/>
      <c r="E49" s="2169"/>
      <c r="F49" s="2169"/>
      <c r="G49" s="2169"/>
      <c r="H49" s="2169"/>
      <c r="I49" s="2169"/>
      <c r="J49" s="2169"/>
      <c r="K49" s="2169"/>
      <c r="L49" s="2169"/>
      <c r="Z49" s="477"/>
    </row>
    <row r="50" spans="1:26" ht="42" customHeight="1">
      <c r="A50" s="5" t="s">
        <v>2117</v>
      </c>
      <c r="B50" s="5" t="s">
        <v>10</v>
      </c>
      <c r="C50" s="120" t="s">
        <v>0</v>
      </c>
      <c r="D50" s="116"/>
      <c r="E50" s="117" t="s">
        <v>1</v>
      </c>
      <c r="F50" s="118" t="s">
        <v>2</v>
      </c>
      <c r="G50" s="118" t="s">
        <v>3</v>
      </c>
      <c r="H50" s="119" t="s">
        <v>4</v>
      </c>
      <c r="I50" s="119" t="s">
        <v>5</v>
      </c>
      <c r="J50" s="2172" t="s">
        <v>6</v>
      </c>
      <c r="K50" s="2173"/>
      <c r="L50" s="2174"/>
    </row>
    <row r="51" spans="1:26" ht="24" customHeight="1">
      <c r="A51" s="36"/>
      <c r="B51" s="36"/>
      <c r="C51" s="105"/>
      <c r="D51" s="103"/>
      <c r="E51" s="106"/>
      <c r="F51" s="288"/>
      <c r="G51" s="107"/>
      <c r="H51" s="87" t="s">
        <v>12</v>
      </c>
      <c r="I51" s="87" t="s">
        <v>12</v>
      </c>
      <c r="J51" s="103"/>
      <c r="K51" s="103"/>
      <c r="L51" s="104"/>
    </row>
    <row r="52" spans="1:26" ht="24" customHeight="1">
      <c r="A52" s="36"/>
      <c r="B52" s="36"/>
      <c r="C52" s="108"/>
      <c r="D52" s="68" t="s">
        <v>3209</v>
      </c>
      <c r="E52" s="109" t="s">
        <v>3274</v>
      </c>
      <c r="F52" s="289">
        <v>1</v>
      </c>
      <c r="G52" s="655" t="str">
        <f>IF(F52="","","式")</f>
        <v>式</v>
      </c>
      <c r="H52" s="111"/>
      <c r="I52" s="111">
        <f>+I43</f>
        <v>11660000</v>
      </c>
      <c r="J52" s="68" t="s">
        <v>3275</v>
      </c>
      <c r="K52" s="68"/>
      <c r="L52" s="69" t="s">
        <v>3276</v>
      </c>
    </row>
    <row r="53" spans="1:26" ht="24" customHeight="1">
      <c r="A53" s="36"/>
      <c r="B53" s="36"/>
      <c r="C53" s="112"/>
      <c r="D53" s="68"/>
      <c r="E53" s="109"/>
      <c r="F53" s="289"/>
      <c r="G53" s="655"/>
      <c r="H53" s="111"/>
      <c r="I53" s="111"/>
      <c r="J53" s="68"/>
      <c r="K53" s="68"/>
      <c r="L53" s="69"/>
    </row>
    <row r="54" spans="1:26" ht="24" customHeight="1">
      <c r="A54" s="36"/>
      <c r="B54" s="36"/>
      <c r="C54" s="108"/>
      <c r="D54" s="68"/>
      <c r="E54" s="109"/>
      <c r="F54" s="289"/>
      <c r="G54" s="655"/>
      <c r="H54" s="111"/>
      <c r="I54" s="111"/>
      <c r="J54" s="68"/>
      <c r="K54" s="68"/>
      <c r="L54" s="69"/>
    </row>
    <row r="55" spans="1:26" ht="24" customHeight="1">
      <c r="A55" s="36"/>
      <c r="B55" s="36"/>
      <c r="C55" s="112"/>
      <c r="D55" s="68"/>
      <c r="E55" s="109"/>
      <c r="F55" s="289"/>
      <c r="G55" s="655"/>
      <c r="H55" s="111"/>
      <c r="I55" s="111"/>
      <c r="J55" s="68"/>
      <c r="K55" s="68"/>
      <c r="L55" s="69"/>
    </row>
    <row r="56" spans="1:26" ht="24" customHeight="1">
      <c r="A56" s="36"/>
      <c r="B56" s="36"/>
      <c r="C56" s="108"/>
      <c r="D56" s="68"/>
      <c r="E56" s="109"/>
      <c r="F56" s="289"/>
      <c r="G56" s="655"/>
      <c r="H56" s="111"/>
      <c r="I56" s="111"/>
      <c r="J56" s="68"/>
      <c r="K56" s="68"/>
      <c r="L56" s="69"/>
    </row>
    <row r="57" spans="1:26" ht="24" customHeight="1">
      <c r="A57" s="36"/>
      <c r="B57" s="36"/>
      <c r="C57" s="112"/>
      <c r="D57" s="68"/>
      <c r="E57" s="109"/>
      <c r="F57" s="289"/>
      <c r="G57" s="655"/>
      <c r="H57" s="111"/>
      <c r="I57" s="111"/>
      <c r="J57" s="68"/>
      <c r="K57" s="68"/>
      <c r="L57" s="69"/>
    </row>
    <row r="58" spans="1:26" ht="24" customHeight="1">
      <c r="A58" s="36"/>
      <c r="B58" s="36"/>
      <c r="C58" s="112"/>
      <c r="D58" s="68"/>
      <c r="E58" s="109"/>
      <c r="F58" s="289"/>
      <c r="G58" s="655"/>
      <c r="H58" s="111"/>
      <c r="I58" s="111"/>
      <c r="J58" s="68"/>
      <c r="K58" s="68"/>
      <c r="L58" s="69"/>
    </row>
    <row r="59" spans="1:26" ht="24" customHeight="1">
      <c r="A59" s="36"/>
      <c r="B59" s="36"/>
      <c r="C59" s="112"/>
      <c r="D59" s="68"/>
      <c r="E59" s="109"/>
      <c r="F59" s="289"/>
      <c r="G59" s="655"/>
      <c r="H59" s="111"/>
      <c r="I59" s="111"/>
      <c r="J59" s="68"/>
      <c r="K59" s="68"/>
      <c r="L59" s="69"/>
    </row>
    <row r="60" spans="1:26" ht="24" customHeight="1">
      <c r="A60" s="36"/>
      <c r="B60" s="36"/>
      <c r="C60" s="112"/>
      <c r="D60" s="68"/>
      <c r="E60" s="109"/>
      <c r="F60" s="289"/>
      <c r="G60" s="655"/>
      <c r="H60" s="111"/>
      <c r="I60" s="111"/>
      <c r="J60" s="68"/>
      <c r="K60" s="68"/>
      <c r="L60" s="69"/>
    </row>
    <row r="61" spans="1:26" ht="24" customHeight="1">
      <c r="A61" s="36"/>
      <c r="B61" s="36"/>
      <c r="C61" s="112"/>
      <c r="D61" s="68"/>
      <c r="E61" s="109"/>
      <c r="F61" s="289"/>
      <c r="G61" s="655"/>
      <c r="H61" s="111"/>
      <c r="I61" s="111"/>
      <c r="J61" s="68"/>
      <c r="K61" s="68"/>
      <c r="L61" s="69"/>
    </row>
    <row r="62" spans="1:26" ht="24" customHeight="1">
      <c r="A62" s="36"/>
      <c r="B62" s="36"/>
      <c r="C62" s="112"/>
      <c r="D62" s="68"/>
      <c r="E62" s="109"/>
      <c r="F62" s="289"/>
      <c r="G62" s="655"/>
      <c r="H62" s="111"/>
      <c r="I62" s="111"/>
      <c r="J62" s="68"/>
      <c r="K62" s="68"/>
      <c r="L62" s="69"/>
    </row>
    <row r="63" spans="1:26" ht="24" customHeight="1">
      <c r="A63" s="36"/>
      <c r="B63" s="36"/>
      <c r="C63" s="112"/>
      <c r="D63" s="68"/>
      <c r="E63" s="109"/>
      <c r="F63" s="289"/>
      <c r="G63" s="655"/>
      <c r="H63" s="111"/>
      <c r="I63" s="111"/>
      <c r="J63" s="68"/>
      <c r="K63" s="68"/>
      <c r="L63" s="69"/>
    </row>
    <row r="64" spans="1:26" ht="24" customHeight="1">
      <c r="A64" s="36"/>
      <c r="B64" s="36"/>
      <c r="C64" s="112"/>
      <c r="D64" s="68"/>
      <c r="E64" s="109"/>
      <c r="F64" s="289"/>
      <c r="G64" s="655"/>
      <c r="H64" s="111"/>
      <c r="I64" s="111"/>
      <c r="J64" s="656"/>
      <c r="K64" s="2177"/>
      <c r="L64" s="2178"/>
    </row>
    <row r="65" spans="1:14" ht="24" customHeight="1">
      <c r="A65" s="36"/>
      <c r="B65" s="36"/>
      <c r="C65" s="112"/>
      <c r="D65" s="68"/>
      <c r="E65" s="109"/>
      <c r="F65" s="289"/>
      <c r="G65" s="655"/>
      <c r="H65" s="111"/>
      <c r="I65" s="111"/>
      <c r="J65" s="656"/>
      <c r="K65" s="2177"/>
      <c r="L65" s="2178"/>
    </row>
    <row r="66" spans="1:14" ht="24" customHeight="1">
      <c r="A66" s="36"/>
      <c r="B66" s="36"/>
      <c r="C66" s="112"/>
      <c r="D66" s="68" t="s">
        <v>2116</v>
      </c>
      <c r="E66" s="109"/>
      <c r="F66" s="289"/>
      <c r="G66" s="655"/>
      <c r="H66" s="111"/>
      <c r="I66" s="111">
        <f>SUM(I52:I65)</f>
        <v>11660000</v>
      </c>
      <c r="J66" s="656"/>
      <c r="K66" s="2177"/>
      <c r="L66" s="2178"/>
    </row>
    <row r="67" spans="1:14" ht="24" customHeight="1">
      <c r="A67" s="36"/>
      <c r="B67" s="36"/>
      <c r="C67" s="112"/>
      <c r="D67" s="68"/>
      <c r="E67" s="109"/>
      <c r="F67" s="289"/>
      <c r="G67" s="655"/>
      <c r="H67" s="111"/>
      <c r="I67" s="111"/>
      <c r="J67" s="656"/>
      <c r="K67" s="2177"/>
      <c r="L67" s="2178"/>
    </row>
    <row r="68" spans="1:14" ht="24" customHeight="1">
      <c r="A68" s="36"/>
      <c r="B68" s="36"/>
      <c r="C68" s="112"/>
      <c r="D68" s="68" t="s">
        <v>14</v>
      </c>
      <c r="E68" s="109"/>
      <c r="F68" s="289">
        <v>1</v>
      </c>
      <c r="G68" s="655" t="str">
        <f>IF(F68="","","式")</f>
        <v>式</v>
      </c>
      <c r="H68" s="111"/>
      <c r="I68" s="111">
        <f>+I66*J68</f>
        <v>1166000</v>
      </c>
      <c r="J68" s="2152">
        <v>0.1</v>
      </c>
      <c r="K68" s="62"/>
      <c r="L68" s="63"/>
    </row>
    <row r="69" spans="1:14" ht="24" customHeight="1">
      <c r="A69" s="36"/>
      <c r="B69" s="36"/>
      <c r="C69" s="112"/>
      <c r="D69" s="68"/>
      <c r="E69" s="109"/>
      <c r="F69" s="289"/>
      <c r="G69" s="655"/>
      <c r="H69" s="111"/>
      <c r="I69" s="111" t="str">
        <f>IF(F69="","",ROUND(F69*H69,0))</f>
        <v/>
      </c>
      <c r="J69" s="68"/>
      <c r="K69" s="2181"/>
      <c r="L69" s="2182"/>
    </row>
    <row r="70" spans="1:14" ht="24" customHeight="1" thickBot="1">
      <c r="A70" s="36"/>
      <c r="B70" s="36"/>
      <c r="C70" s="113"/>
      <c r="D70" s="99" t="s">
        <v>15</v>
      </c>
      <c r="E70" s="114"/>
      <c r="F70" s="290"/>
      <c r="G70" s="657"/>
      <c r="H70" s="115"/>
      <c r="I70" s="115">
        <f>+I66+I68</f>
        <v>12826000</v>
      </c>
      <c r="J70" s="99"/>
      <c r="K70" s="2175"/>
      <c r="L70" s="2176"/>
    </row>
    <row r="71" spans="1:14" ht="14.25" customHeight="1">
      <c r="E71" s="32" t="s">
        <v>68</v>
      </c>
      <c r="F71" s="102">
        <f>F48+1</f>
        <v>2</v>
      </c>
      <c r="G71" s="33" t="s">
        <v>69</v>
      </c>
      <c r="H71" s="4">
        <f>H25</f>
        <v>11</v>
      </c>
      <c r="M71" s="31" t="str">
        <f>IF(A73="","EOL","")</f>
        <v>EOL</v>
      </c>
      <c r="N71" s="1">
        <f>+F71</f>
        <v>2</v>
      </c>
    </row>
  </sheetData>
  <mergeCells count="47">
    <mergeCell ref="K8:L8"/>
    <mergeCell ref="K7:L7"/>
    <mergeCell ref="J9:J10"/>
    <mergeCell ref="K9:L10"/>
    <mergeCell ref="J1:L1"/>
    <mergeCell ref="K3:L3"/>
    <mergeCell ref="K4:L4"/>
    <mergeCell ref="K5:L5"/>
    <mergeCell ref="K6:L6"/>
    <mergeCell ref="K2:L2"/>
    <mergeCell ref="K41:L41"/>
    <mergeCell ref="K42:L42"/>
    <mergeCell ref="K43:L43"/>
    <mergeCell ref="K44:L44"/>
    <mergeCell ref="K69:L69"/>
    <mergeCell ref="K67:L67"/>
    <mergeCell ref="K66:L66"/>
    <mergeCell ref="K46:L46"/>
    <mergeCell ref="K47:L47"/>
    <mergeCell ref="K70:L70"/>
    <mergeCell ref="C49:L49"/>
    <mergeCell ref="K64:L64"/>
    <mergeCell ref="J50:L50"/>
    <mergeCell ref="K65:L65"/>
    <mergeCell ref="N25:O25"/>
    <mergeCell ref="N26:O26"/>
    <mergeCell ref="N27:O27"/>
    <mergeCell ref="N28:O28"/>
    <mergeCell ref="C26:L26"/>
    <mergeCell ref="B25:E25"/>
    <mergeCell ref="J27:L27"/>
    <mergeCell ref="H2:I2"/>
    <mergeCell ref="N19:P19"/>
    <mergeCell ref="N20:N21"/>
    <mergeCell ref="O20:P20"/>
    <mergeCell ref="N22:N23"/>
    <mergeCell ref="J16:L16"/>
    <mergeCell ref="O22:O23"/>
    <mergeCell ref="P22:P23"/>
    <mergeCell ref="J19:J22"/>
    <mergeCell ref="K19:K22"/>
    <mergeCell ref="L19:L22"/>
    <mergeCell ref="J17:K17"/>
    <mergeCell ref="L17:L18"/>
    <mergeCell ref="D13:K13"/>
    <mergeCell ref="D14:K14"/>
    <mergeCell ref="D12:K12"/>
  </mergeCells>
  <phoneticPr fontId="3"/>
  <dataValidations count="10">
    <dataValidation type="list" showInputMessage="1" showErrorMessage="1" sqref="I21 I6">
      <formula1>"有り,無し"</formula1>
    </dataValidation>
    <dataValidation type="list" allowBlank="1" showInputMessage="1" sqref="I23">
      <formula1>"有り,無し"</formula1>
    </dataValidation>
    <dataValidation type="list" allowBlank="1" showInputMessage="1" sqref="I9">
      <formula1>"適用,適用外"</formula1>
    </dataValidation>
    <dataValidation type="list" allowBlank="1" showInputMessage="1" showErrorMessage="1" sqref="I22">
      <formula1>$Z$11:$Z$25</formula1>
    </dataValidation>
    <dataValidation type="list" allowBlank="1" showInputMessage="1" showErrorMessage="1" sqref="I3">
      <formula1>$AE$5:$AE$24</formula1>
    </dataValidation>
    <dataValidation type="list" allowBlank="1" showInputMessage="1" showErrorMessage="1" sqref="I7">
      <formula1>$Z$4:$Z$35</formula1>
    </dataValidation>
    <dataValidation allowBlank="1" showInputMessage="1" sqref="J23:L25 K11"/>
    <dataValidation type="list" allowBlank="1" showInputMessage="1" sqref="I8">
      <formula1>"一般競争,指名競争,随意契約"</formula1>
    </dataValidation>
    <dataValidation type="list" allowBlank="1" showInputMessage="1" sqref="I10">
      <formula1>"有り(40％),有り(年度分割),無し"</formula1>
    </dataValidation>
    <dataValidation type="list" allowBlank="1" showInputMessage="1" showErrorMessage="1" sqref="W5">
      <formula1>"標準単価金額無2019.xls,標準単価2019.xls"</formula1>
    </dataValidation>
  </dataValidations>
  <printOptions horizontalCentered="1" verticalCentered="1"/>
  <pageMargins left="0.196850393700787" right="0.196850393700787" top="0.78740157480314998" bottom="0.196850393700787" header="0.51181102362204722" footer="0.51181102362204722"/>
  <pageSetup paperSize="9" orientation="landscape" cellComments="asDisplayed" horizontalDpi="300" verticalDpi="300" r:id="rId1"/>
  <headerFooter alignWithMargins="0"/>
  <rowBreaks count="2" manualBreakCount="2">
    <brk id="25" max="22" man="1"/>
    <brk id="48" max="22" man="1"/>
  </rowBreaks>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Z25"/>
  <sheetViews>
    <sheetView view="pageBreakPreview" zoomScale="85" zoomScaleNormal="100" zoomScaleSheetLayoutView="85" workbookViewId="0">
      <selection activeCell="C7" sqref="C7"/>
    </sheetView>
  </sheetViews>
  <sheetFormatPr defaultColWidth="6.625" defaultRowHeight="26.1" customHeight="1"/>
  <cols>
    <col min="1" max="1" width="2.625" style="6" customWidth="1"/>
    <col min="2" max="2" width="3.5" style="6" customWidth="1"/>
    <col min="3" max="3" width="24.75" style="1" customWidth="1"/>
    <col min="4" max="4" width="25" style="1" customWidth="1"/>
    <col min="5" max="5" width="15.625" style="2" customWidth="1"/>
    <col min="6" max="6" width="9.125" style="1" customWidth="1"/>
    <col min="7" max="7" width="11" style="3" bestFit="1" customWidth="1"/>
    <col min="8" max="8" width="11.625" style="4" customWidth="1"/>
    <col min="9" max="9" width="10.625" style="4" customWidth="1"/>
    <col min="10" max="12" width="9.625" style="1" customWidth="1"/>
    <col min="13" max="13" width="6.625" style="1" customWidth="1"/>
    <col min="14" max="14" width="6.75" style="1" customWidth="1"/>
    <col min="15" max="16" width="4.875" style="1" customWidth="1"/>
    <col min="17" max="23" width="15.625" style="1" customWidth="1"/>
    <col min="24" max="25" width="6.625" style="1"/>
    <col min="26" max="26" width="6.625" style="461"/>
    <col min="27" max="16384" width="6.625" style="1"/>
  </cols>
  <sheetData>
    <row r="1" spans="1:26" ht="20.100000000000001" customHeight="1">
      <c r="B1" s="1"/>
      <c r="E1" s="14"/>
      <c r="F1" s="48">
        <v>0</v>
      </c>
      <c r="H1" s="16"/>
      <c r="I1" s="1"/>
      <c r="J1" s="17"/>
      <c r="K1" s="459"/>
      <c r="L1" s="659" t="s">
        <v>2119</v>
      </c>
      <c r="Z1" s="461" t="s">
        <v>326</v>
      </c>
    </row>
    <row r="2" spans="1:26" ht="20.100000000000001" customHeight="1" thickBot="1">
      <c r="C2" s="35" t="s">
        <v>101</v>
      </c>
      <c r="E2" s="34" t="s">
        <v>70</v>
      </c>
      <c r="F2" s="660">
        <f>VLOOKUP("EOL",表紙!$M$25:$N$65526,2,FALSE)</f>
        <v>2</v>
      </c>
      <c r="G2" s="1" t="s">
        <v>206</v>
      </c>
      <c r="H2" s="4">
        <f>表紙!H25</f>
        <v>11</v>
      </c>
      <c r="I2" s="4" t="s">
        <v>76</v>
      </c>
      <c r="J2" s="37">
        <f>VLOOKUP("EOL",$M$3:$N$65766,2,FALSE)</f>
        <v>3</v>
      </c>
      <c r="K2" s="658"/>
      <c r="L2" s="664">
        <v>1</v>
      </c>
      <c r="Z2" s="461" t="s">
        <v>327</v>
      </c>
    </row>
    <row r="3" spans="1:26" s="476" customFormat="1" ht="26.1" customHeight="1" thickBot="1">
      <c r="A3" s="2215" t="s">
        <v>2489</v>
      </c>
      <c r="B3" s="2215"/>
      <c r="C3" s="2215"/>
      <c r="D3" s="2215"/>
      <c r="E3" s="2215"/>
      <c r="F3" s="2215"/>
      <c r="G3" s="2215"/>
      <c r="H3" s="2215"/>
      <c r="I3" s="784" t="s">
        <v>2492</v>
      </c>
      <c r="J3" s="785"/>
      <c r="K3" s="821" t="s">
        <v>2524</v>
      </c>
      <c r="L3" s="785"/>
      <c r="Z3" s="477"/>
    </row>
    <row r="4" spans="1:26" ht="42" customHeight="1">
      <c r="A4" s="2201" t="s">
        <v>2488</v>
      </c>
      <c r="B4" s="2202"/>
      <c r="C4" s="779" t="s">
        <v>2417</v>
      </c>
      <c r="D4" s="475" t="s">
        <v>2490</v>
      </c>
      <c r="E4" s="475" t="s">
        <v>2415</v>
      </c>
      <c r="F4" s="791" t="s">
        <v>2420</v>
      </c>
      <c r="G4" s="792" t="s">
        <v>2491</v>
      </c>
      <c r="H4" s="771" t="s">
        <v>2487</v>
      </c>
      <c r="I4" s="772" t="s">
        <v>2419</v>
      </c>
      <c r="J4" s="2208" t="s">
        <v>2418</v>
      </c>
      <c r="K4" s="2209"/>
      <c r="L4" s="2210"/>
      <c r="M4" s="770"/>
      <c r="N4" s="226"/>
      <c r="O4" s="226"/>
      <c r="P4" s="226"/>
      <c r="Q4" s="3"/>
    </row>
    <row r="5" spans="1:26" ht="24" customHeight="1">
      <c r="A5" s="2206"/>
      <c r="B5" s="2207"/>
      <c r="C5" s="780"/>
      <c r="D5" s="780"/>
      <c r="E5" s="781"/>
      <c r="F5" s="793"/>
      <c r="G5" s="794"/>
      <c r="H5" s="778" t="str">
        <f>IFERROR(INDEX(資産クラス!$A$90:$K$318,MATCH(資産管理明細書!I5,資産クラス!$C$90:$C$318,0),MATCH(資産管理明細書!A5,資産クラス!$A$91:$K$91,0)),"")</f>
        <v/>
      </c>
      <c r="I5" s="773"/>
      <c r="J5" s="2203" t="str">
        <f>IFERROR(VLOOKUP(I5,資産クラス一覧表!A$2:D$1687,2,FALSE),"")</f>
        <v/>
      </c>
      <c r="K5" s="2204"/>
      <c r="L5" s="2205"/>
      <c r="P5" s="789"/>
      <c r="Q5" s="790"/>
    </row>
    <row r="6" spans="1:26" ht="24" customHeight="1">
      <c r="A6" s="2206"/>
      <c r="B6" s="2207"/>
      <c r="C6" s="780" t="s">
        <v>3255</v>
      </c>
      <c r="D6" s="780"/>
      <c r="E6" s="781"/>
      <c r="F6" s="768"/>
      <c r="G6" s="794"/>
      <c r="H6" s="778" t="str">
        <f>IFERROR(INDEX(資産クラス!$A$90:$K$318,MATCH(資産管理明細書!I6,資産クラス!$C$90:$C$318,0),MATCH(資産管理明細書!A6,資産クラス!$A$91:$K$91,0)),"")</f>
        <v/>
      </c>
      <c r="I6" s="833"/>
      <c r="J6" s="2203" t="str">
        <f>IFERROR(VLOOKUP(I6,資産クラス一覧表!A$2:D$1687,2,FALSE),"")</f>
        <v/>
      </c>
      <c r="K6" s="2204"/>
      <c r="L6" s="2205"/>
      <c r="P6" s="789"/>
      <c r="Q6" s="790"/>
    </row>
    <row r="7" spans="1:26" ht="24" customHeight="1">
      <c r="A7" s="2206"/>
      <c r="B7" s="2207"/>
      <c r="C7" s="780"/>
      <c r="D7" s="780"/>
      <c r="E7" s="781"/>
      <c r="F7" s="768"/>
      <c r="G7" s="794"/>
      <c r="H7" s="778" t="str">
        <f>IFERROR(INDEX(資産クラス!$A$90:$K$318,MATCH(資産管理明細書!I7,資産クラス!$C$90:$C$318,0),MATCH(資産管理明細書!A7,資産クラス!$A$91:$K$91,0)),"")</f>
        <v/>
      </c>
      <c r="I7" s="774"/>
      <c r="J7" s="2211"/>
      <c r="K7" s="2204"/>
      <c r="L7" s="2205"/>
      <c r="N7" s="781"/>
      <c r="P7" s="789"/>
      <c r="Q7" s="790"/>
    </row>
    <row r="8" spans="1:26" ht="24" customHeight="1">
      <c r="A8" s="2206"/>
      <c r="B8" s="2207"/>
      <c r="C8" s="780"/>
      <c r="D8" s="780"/>
      <c r="E8" s="781"/>
      <c r="F8" s="768"/>
      <c r="G8" s="794"/>
      <c r="H8" s="778" t="str">
        <f>IFERROR(INDEX(資産クラス!$A$90:$K$318,MATCH(資産管理明細書!I8,資産クラス!$C$90:$C$318,0),MATCH(資産管理明細書!A8,資産クラス!$A$91:$K$91,0)),"")</f>
        <v/>
      </c>
      <c r="I8" s="774"/>
      <c r="J8" s="2203" t="str">
        <f>IFERROR(VLOOKUP(I8,資産クラス一覧表!A$2:D$1687,2,FALSE),"")</f>
        <v/>
      </c>
      <c r="K8" s="2204"/>
      <c r="L8" s="2205"/>
      <c r="P8" s="789"/>
      <c r="Q8" s="790"/>
    </row>
    <row r="9" spans="1:26" ht="24" customHeight="1">
      <c r="A9" s="2206"/>
      <c r="B9" s="2207"/>
      <c r="C9" s="780"/>
      <c r="D9" s="780"/>
      <c r="E9" s="781"/>
      <c r="F9" s="768"/>
      <c r="G9" s="794"/>
      <c r="H9" s="778" t="str">
        <f>IFERROR(INDEX(資産クラス!$A$90:$K$318,MATCH(資産管理明細書!I9,資産クラス!$C$90:$C$318,0),MATCH(資産管理明細書!A9,資産クラス!$A$91:$K$91,0)),"")</f>
        <v/>
      </c>
      <c r="I9" s="774"/>
      <c r="J9" s="2203" t="str">
        <f>IFERROR(VLOOKUP(I9,資産クラス一覧表!A$2:D$1687,2,FALSE),"")</f>
        <v/>
      </c>
      <c r="K9" s="2204"/>
      <c r="L9" s="2205"/>
      <c r="P9" s="789"/>
      <c r="Q9" s="790"/>
    </row>
    <row r="10" spans="1:26" ht="24" customHeight="1">
      <c r="A10" s="2206"/>
      <c r="B10" s="2207"/>
      <c r="C10" s="780"/>
      <c r="D10" s="780"/>
      <c r="E10" s="781"/>
      <c r="F10" s="768"/>
      <c r="G10" s="794"/>
      <c r="H10" s="778" t="str">
        <f>IFERROR(INDEX(資産クラス!$A$90:$K$318,MATCH(資産管理明細書!I10,資産クラス!$C$90:$C$318,0),MATCH(資産管理明細書!A10,資産クラス!$A$91:$K$91,0)),"")</f>
        <v/>
      </c>
      <c r="I10" s="774"/>
      <c r="J10" s="2203" t="str">
        <f>IFERROR(VLOOKUP(I10,資産クラス一覧表!A$2:D$1687,2,FALSE),"")</f>
        <v/>
      </c>
      <c r="K10" s="2204"/>
      <c r="L10" s="2205"/>
      <c r="P10" s="789"/>
      <c r="Q10" s="790"/>
    </row>
    <row r="11" spans="1:26" ht="24" customHeight="1">
      <c r="A11" s="2206"/>
      <c r="B11" s="2207"/>
      <c r="C11" s="780"/>
      <c r="D11" s="780"/>
      <c r="E11" s="781"/>
      <c r="F11" s="768"/>
      <c r="G11" s="794"/>
      <c r="H11" s="778" t="str">
        <f>IFERROR(INDEX(資産クラス!$A$90:$K$318,MATCH(資産管理明細書!I11,資産クラス!$C$90:$C$318,0),MATCH(資産管理明細書!A11,資産クラス!$A$91:$K$91,0)),"")</f>
        <v/>
      </c>
      <c r="I11" s="774"/>
      <c r="J11" s="2203" t="str">
        <f>IFERROR(VLOOKUP(I11,資産クラス一覧表!A$2:D$1687,2,FALSE),"")</f>
        <v/>
      </c>
      <c r="K11" s="2204"/>
      <c r="L11" s="2205"/>
      <c r="P11" s="789"/>
      <c r="Q11" s="790"/>
    </row>
    <row r="12" spans="1:26" ht="24" customHeight="1">
      <c r="A12" s="2206"/>
      <c r="B12" s="2207"/>
      <c r="C12" s="780"/>
      <c r="D12" s="780"/>
      <c r="E12" s="781"/>
      <c r="F12" s="768"/>
      <c r="G12" s="794"/>
      <c r="H12" s="778" t="str">
        <f>IFERROR(INDEX(資産クラス!$A$90:$K$318,MATCH(資産管理明細書!I12,資産クラス!$C$90:$C$318,0),MATCH(資産管理明細書!A12,資産クラス!$A$91:$K$91,0)),"")</f>
        <v/>
      </c>
      <c r="I12" s="774"/>
      <c r="J12" s="2203" t="str">
        <f>IFERROR(VLOOKUP(I12,資産クラス一覧表!A$2:D$1687,2,FALSE),"")</f>
        <v/>
      </c>
      <c r="K12" s="2204"/>
      <c r="L12" s="2205"/>
      <c r="P12" s="789"/>
      <c r="Q12" s="790"/>
    </row>
    <row r="13" spans="1:26" ht="24" customHeight="1">
      <c r="A13" s="2206"/>
      <c r="B13" s="2207"/>
      <c r="C13" s="780"/>
      <c r="D13" s="780"/>
      <c r="E13" s="781"/>
      <c r="F13" s="768"/>
      <c r="G13" s="794"/>
      <c r="H13" s="778" t="str">
        <f>IFERROR(INDEX(資産クラス!$A$90:$K$318,MATCH(資産管理明細書!I13,資産クラス!$C$90:$C$318,0),MATCH(資産管理明細書!A13,資産クラス!$A$91:$K$91,0)),"")</f>
        <v/>
      </c>
      <c r="I13" s="833"/>
      <c r="J13" s="2203" t="str">
        <f>IFERROR(VLOOKUP(I13,資産クラス一覧表!A$2:D$1687,2,FALSE),"")</f>
        <v/>
      </c>
      <c r="K13" s="2204"/>
      <c r="L13" s="2205"/>
      <c r="P13" s="789"/>
      <c r="Q13" s="790"/>
    </row>
    <row r="14" spans="1:26" ht="24" customHeight="1">
      <c r="A14" s="2206"/>
      <c r="B14" s="2207"/>
      <c r="C14" s="780"/>
      <c r="D14" s="780"/>
      <c r="E14" s="781"/>
      <c r="F14" s="768"/>
      <c r="G14" s="794"/>
      <c r="H14" s="778" t="str">
        <f>IFERROR(INDEX(資産クラス!$A$90:$K$318,MATCH(資産管理明細書!I14,資産クラス!$C$90:$C$318,0),MATCH(資産管理明細書!A14,資産クラス!$A$91:$K$91,0)),"")</f>
        <v/>
      </c>
      <c r="I14" s="834"/>
      <c r="J14" s="2203" t="str">
        <f>IFERROR(VLOOKUP(I14,資産クラス一覧表!A$2:D$1687,2,FALSE),"")</f>
        <v/>
      </c>
      <c r="K14" s="2204"/>
      <c r="L14" s="2205"/>
      <c r="P14" s="789"/>
      <c r="Q14" s="790"/>
    </row>
    <row r="15" spans="1:26" ht="24" customHeight="1">
      <c r="A15" s="2206"/>
      <c r="B15" s="2207"/>
      <c r="C15" s="780"/>
      <c r="D15" s="780"/>
      <c r="E15" s="781"/>
      <c r="F15" s="768"/>
      <c r="G15" s="794"/>
      <c r="H15" s="778" t="str">
        <f>IFERROR(INDEX(資産クラス!$A$90:$K$318,MATCH(資産管理明細書!I15,資産クラス!$C$90:$C$318,0),MATCH(資産管理明細書!A15,資産クラス!$A$91:$K$91,0)),"")</f>
        <v/>
      </c>
      <c r="I15" s="833"/>
      <c r="J15" s="2203" t="str">
        <f>IFERROR(VLOOKUP(I15,資産クラス一覧表!A$2:D$1687,2,FALSE),"")</f>
        <v/>
      </c>
      <c r="K15" s="2204"/>
      <c r="L15" s="2205"/>
      <c r="P15" s="789"/>
      <c r="Q15" s="790"/>
    </row>
    <row r="16" spans="1:26" ht="24" customHeight="1">
      <c r="A16" s="2206"/>
      <c r="B16" s="2207"/>
      <c r="C16" s="780"/>
      <c r="D16" s="780"/>
      <c r="E16" s="781"/>
      <c r="F16" s="768"/>
      <c r="G16" s="794"/>
      <c r="H16" s="778" t="str">
        <f>IFERROR(INDEX(資産クラス!$A$90:$K$318,MATCH(資産管理明細書!I16,資産クラス!$C$90:$C$318,0),MATCH(資産管理明細書!A16,資産クラス!$A$91:$K$91,0)),"")</f>
        <v/>
      </c>
      <c r="I16" s="833"/>
      <c r="J16" s="2203" t="str">
        <f>IFERROR(VLOOKUP(I16,資産クラス一覧表!A$2:D$1687,2,FALSE),"")</f>
        <v/>
      </c>
      <c r="K16" s="2204"/>
      <c r="L16" s="2205"/>
      <c r="P16" s="789"/>
      <c r="Q16" s="790"/>
    </row>
    <row r="17" spans="1:17" ht="24" customHeight="1">
      <c r="A17" s="2206"/>
      <c r="B17" s="2207"/>
      <c r="C17" s="780"/>
      <c r="D17" s="780"/>
      <c r="E17" s="781"/>
      <c r="F17" s="768"/>
      <c r="G17" s="794"/>
      <c r="H17" s="778" t="str">
        <f>IFERROR(INDEX(資産クラス!$A$90:$K$318,MATCH(資産管理明細書!I17,資産クラス!$C$90:$C$318,0),MATCH(資産管理明細書!A17,資産クラス!$A$91:$K$91,0)),"")</f>
        <v/>
      </c>
      <c r="I17" s="833"/>
      <c r="J17" s="2203" t="str">
        <f>IFERROR(VLOOKUP(I17,資産クラス一覧表!A$2:D$1687,2,FALSE),"")</f>
        <v/>
      </c>
      <c r="K17" s="2204"/>
      <c r="L17" s="2205"/>
      <c r="P17" s="789"/>
      <c r="Q17" s="790"/>
    </row>
    <row r="18" spans="1:17" ht="24" customHeight="1">
      <c r="A18" s="2206"/>
      <c r="B18" s="2207"/>
      <c r="C18" s="780"/>
      <c r="D18" s="780"/>
      <c r="E18" s="781"/>
      <c r="F18" s="768"/>
      <c r="G18" s="794"/>
      <c r="H18" s="778" t="str">
        <f>IFERROR(INDEX(資産クラス!$A$90:$K$318,MATCH(資産管理明細書!I18,資産クラス!$C$90:$C$318,0),MATCH(資産管理明細書!A18,資産クラス!$A$91:$K$91,0)),"")</f>
        <v/>
      </c>
      <c r="I18" s="833"/>
      <c r="J18" s="2203" t="str">
        <f>IFERROR(VLOOKUP(I18,資産クラス一覧表!A$2:D$1687,2,FALSE),"")</f>
        <v/>
      </c>
      <c r="K18" s="2204"/>
      <c r="L18" s="2205"/>
      <c r="P18" s="789"/>
      <c r="Q18" s="790"/>
    </row>
    <row r="19" spans="1:17" ht="24" customHeight="1">
      <c r="A19" s="2206"/>
      <c r="B19" s="2207"/>
      <c r="C19" s="780"/>
      <c r="D19" s="780"/>
      <c r="E19" s="781"/>
      <c r="F19" s="768"/>
      <c r="G19" s="794"/>
      <c r="H19" s="778" t="str">
        <f>IFERROR(INDEX(資産クラス!$A$90:$K$318,MATCH(資産管理明細書!I19,資産クラス!$C$90:$C$318,0),MATCH(資産管理明細書!A19,資産クラス!$A$91:$K$91,0)),"")</f>
        <v/>
      </c>
      <c r="I19" s="833"/>
      <c r="J19" s="2203" t="str">
        <f>IFERROR(VLOOKUP(I19,資産クラス一覧表!A$2:D$1687,2,FALSE),"")</f>
        <v/>
      </c>
      <c r="K19" s="2204"/>
      <c r="L19" s="2205"/>
      <c r="P19" s="789"/>
      <c r="Q19" s="790"/>
    </row>
    <row r="20" spans="1:17" ht="24" customHeight="1">
      <c r="A20" s="2206"/>
      <c r="B20" s="2207"/>
      <c r="C20" s="780"/>
      <c r="D20" s="780"/>
      <c r="E20" s="781"/>
      <c r="F20" s="768"/>
      <c r="G20" s="794"/>
      <c r="H20" s="778" t="str">
        <f>IFERROR(INDEX(資産クラス!$A$90:$K$318,MATCH(資産管理明細書!I20,資産クラス!$C$90:$C$318,0),MATCH(資産管理明細書!A20,資産クラス!$A$91:$K$91,0)),"")</f>
        <v/>
      </c>
      <c r="I20" s="833"/>
      <c r="J20" s="2203" t="str">
        <f>IFERROR(VLOOKUP(I20,資産クラス一覧表!A$2:D$1687,2,FALSE),"")</f>
        <v/>
      </c>
      <c r="K20" s="2204"/>
      <c r="L20" s="2205"/>
      <c r="P20" s="789"/>
      <c r="Q20" s="790"/>
    </row>
    <row r="21" spans="1:17" ht="24" customHeight="1">
      <c r="A21" s="2206"/>
      <c r="B21" s="2207"/>
      <c r="C21" s="780"/>
      <c r="D21" s="780"/>
      <c r="E21" s="781"/>
      <c r="F21" s="768"/>
      <c r="G21" s="794"/>
      <c r="H21" s="778" t="str">
        <f>IFERROR(INDEX(資産クラス!$A$90:$K$318,MATCH(資産管理明細書!I21,資産クラス!$C$90:$C$318,0),MATCH(資産管理明細書!A21,資産クラス!$A$91:$K$91,0)),"")</f>
        <v/>
      </c>
      <c r="I21" s="833"/>
      <c r="J21" s="2203" t="str">
        <f>IFERROR(VLOOKUP(I21,資産クラス一覧表!A$2:D$1687,2,FALSE),"")</f>
        <v/>
      </c>
      <c r="K21" s="2204"/>
      <c r="L21" s="2205"/>
      <c r="P21" s="789"/>
      <c r="Q21" s="790"/>
    </row>
    <row r="22" spans="1:17" ht="24" customHeight="1">
      <c r="A22" s="2206"/>
      <c r="B22" s="2207"/>
      <c r="C22" s="780"/>
      <c r="D22" s="780"/>
      <c r="E22" s="781"/>
      <c r="F22" s="768"/>
      <c r="G22" s="794"/>
      <c r="H22" s="778" t="str">
        <f>IFERROR(INDEX(資産クラス!$A$90:$K$318,MATCH(資産管理明細書!I22,資産クラス!$C$90:$C$318,0),MATCH(資産管理明細書!A22,資産クラス!$A$91:$K$91,0)),"")</f>
        <v/>
      </c>
      <c r="I22" s="833"/>
      <c r="J22" s="2203" t="str">
        <f>IFERROR(VLOOKUP(I22,資産クラス一覧表!A$2:D$1687,2,FALSE),"")</f>
        <v/>
      </c>
      <c r="K22" s="2204"/>
      <c r="L22" s="2205"/>
    </row>
    <row r="23" spans="1:17" ht="24" customHeight="1">
      <c r="A23" s="2206"/>
      <c r="B23" s="2207"/>
      <c r="C23" s="780"/>
      <c r="D23" s="777"/>
      <c r="E23" s="781"/>
      <c r="F23" s="786"/>
      <c r="G23" s="794"/>
      <c r="H23" s="822" t="str">
        <f>IFERROR(INDEX(資産クラス!$A$90:$K$318,MATCH(資産管理明細書!I23,資産クラス!$C$90:$C$318,0),MATCH(資産管理明細書!A23,資産クラス!$A$91:$K$91,0)),"")</f>
        <v/>
      </c>
      <c r="I23" s="833"/>
      <c r="J23" s="2203" t="str">
        <f>IFERROR(VLOOKUP(I23,資産クラス一覧表!A$2:D$1687,2,FALSE),"")</f>
        <v/>
      </c>
      <c r="K23" s="2204"/>
      <c r="L23" s="2205"/>
    </row>
    <row r="24" spans="1:17" ht="24" customHeight="1" thickBot="1">
      <c r="A24" s="2216"/>
      <c r="B24" s="2217"/>
      <c r="C24" s="782"/>
      <c r="D24" s="783"/>
      <c r="E24" s="787"/>
      <c r="F24" s="788"/>
      <c r="G24" s="795"/>
      <c r="H24" s="823" t="str">
        <f>IFERROR(INDEX(資産クラス!$A$90:$K$318,MATCH(資産管理明細書!I24,資産クラス!$C$90:$C$318,0),MATCH(資産管理明細書!A24,資産クラス!$A$91:$K$91,0)),"")</f>
        <v/>
      </c>
      <c r="I24" s="835"/>
      <c r="J24" s="2212" t="str">
        <f>IFERROR(VLOOKUP(I24,資産クラス一覧表!A$2:D$1687,2,FALSE),"")</f>
        <v/>
      </c>
      <c r="K24" s="2213"/>
      <c r="L24" s="2214"/>
    </row>
    <row r="25" spans="1:17" ht="14.25" customHeight="1">
      <c r="E25" s="32" t="s">
        <v>2118</v>
      </c>
      <c r="F25" s="102">
        <f>F2+1</f>
        <v>3</v>
      </c>
      <c r="G25" s="33" t="s">
        <v>69</v>
      </c>
      <c r="H25" s="4">
        <f>H2</f>
        <v>11</v>
      </c>
      <c r="M25" s="31" t="str">
        <f>IF(A27="","EOL","")</f>
        <v>EOL</v>
      </c>
      <c r="N25" s="1">
        <f>+F25</f>
        <v>3</v>
      </c>
    </row>
  </sheetData>
  <sheetProtection formatCells="0" formatColumns="0" formatRows="0" insertColumns="0" insertRows="0" insertHyperlinks="0" deleteColumns="0" deleteRows="0" sort="0" autoFilter="0" pivotTables="0"/>
  <mergeCells count="43">
    <mergeCell ref="A3:H3"/>
    <mergeCell ref="A23:B23"/>
    <mergeCell ref="A24:B24"/>
    <mergeCell ref="A19:B19"/>
    <mergeCell ref="A20:B20"/>
    <mergeCell ref="A21:B21"/>
    <mergeCell ref="A18:B18"/>
    <mergeCell ref="A13:B13"/>
    <mergeCell ref="A14:B14"/>
    <mergeCell ref="A15:B15"/>
    <mergeCell ref="A22:B22"/>
    <mergeCell ref="A10:B10"/>
    <mergeCell ref="A6:B6"/>
    <mergeCell ref="A7:B7"/>
    <mergeCell ref="A16:B16"/>
    <mergeCell ref="A17:B17"/>
    <mergeCell ref="J14:L14"/>
    <mergeCell ref="J7:L7"/>
    <mergeCell ref="A8:B8"/>
    <mergeCell ref="J23:L23"/>
    <mergeCell ref="J24:L24"/>
    <mergeCell ref="J15:L15"/>
    <mergeCell ref="J16:L16"/>
    <mergeCell ref="J17:L17"/>
    <mergeCell ref="J18:L18"/>
    <mergeCell ref="J19:L19"/>
    <mergeCell ref="J20:L20"/>
    <mergeCell ref="J21:L21"/>
    <mergeCell ref="J22:L22"/>
    <mergeCell ref="A11:B11"/>
    <mergeCell ref="A12:B12"/>
    <mergeCell ref="A9:B9"/>
    <mergeCell ref="J10:L10"/>
    <mergeCell ref="J4:L4"/>
    <mergeCell ref="J11:L11"/>
    <mergeCell ref="J12:L12"/>
    <mergeCell ref="J13:L13"/>
    <mergeCell ref="J5:L5"/>
    <mergeCell ref="A4:B4"/>
    <mergeCell ref="J6:L6"/>
    <mergeCell ref="J8:L8"/>
    <mergeCell ref="J9:L9"/>
    <mergeCell ref="A5:B5"/>
  </mergeCells>
  <phoneticPr fontId="3"/>
  <dataValidations count="5">
    <dataValidation type="list" allowBlank="1" showInputMessage="1" sqref="K1">
      <formula1>"有り,無し"</formula1>
    </dataValidation>
    <dataValidation type="list" allowBlank="1" showInputMessage="1" showErrorMessage="1" sqref="N7">
      <formula1>"１　資産【自己調達資金】,２　費用（撤去費）【自己調達資金】,３　費用（修繕費）【自己調達資金】,４　費用（保守費）【自己調達資金】,６　資産【その他調達資金】,７　費用（撤去費）　【その他調達資金】,８　費用（修繕費）【その他調達資金】,９　費用（保守費）【その他調達資金】,Ａ　他流動資産（受託工事）,Ｂ　資産【補助対象】,Ｃ　費用（撤去費）【補助金対象】,Ｄ　費用（修繕費）【補助金対象】,Ｅ　費用（保守費）【補助金対象】,Ｗ　費用（原価企画）【自己調達資金】,Ｘ　費用【その他調達資金】"</formula1>
    </dataValidation>
    <dataValidation type="list" allowBlank="1" showInputMessage="1" showErrorMessage="1" sqref="G5:G24">
      <formula1>OFFSET(INDIRECT("入力規則マスタ!$I$3"),0,0,COUNTA(INDIRECT("入力規則マスタ!$I:$I"))-1,1)</formula1>
    </dataValidation>
    <dataValidation type="list" allowBlank="1" showInputMessage="1" showErrorMessage="1" sqref="A5:B24">
      <formula1>OFFSET(INDIRECT("入力規則マスタ!$A$3"),0,0,COUNTA(INDIRECT("入力規則マスタ!$A:$A"))-1,1)</formula1>
    </dataValidation>
    <dataValidation type="list" allowBlank="1" showInputMessage="1" showErrorMessage="1" sqref="E5:E24">
      <formula1>OFFSET(INDIRECT("入力規則マスタ!$E$3"),0,0,COUNTA(INDIRECT("入力規則マスタ!$E:$E"))-1,1)</formula1>
    </dataValidation>
  </dataValidations>
  <printOptions horizontalCentered="1" verticalCentered="1"/>
  <pageMargins left="0.196850393700787" right="0.196850393700787" top="0.78740157480314998" bottom="0.196850393700787" header="0.51181102362204722" footer="0.51181102362204722"/>
  <pageSetup paperSize="9" orientation="landscape"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Q325"/>
  <sheetViews>
    <sheetView view="pageBreakPreview" topLeftCell="E49" zoomScaleNormal="100" zoomScaleSheetLayoutView="100" workbookViewId="0">
      <selection activeCell="G318" sqref="G318"/>
    </sheetView>
  </sheetViews>
  <sheetFormatPr defaultRowHeight="13.5" customHeight="1"/>
  <cols>
    <col min="1" max="2" width="2.5" style="499" customWidth="1"/>
    <col min="3" max="3" width="9.625" style="499" customWidth="1"/>
    <col min="4" max="4" width="13.875" style="499" customWidth="1"/>
    <col min="5" max="5" width="4.25" style="499" customWidth="1"/>
    <col min="6" max="6" width="45.125" style="499" customWidth="1"/>
    <col min="7" max="7" width="15.25" style="499" customWidth="1"/>
    <col min="8" max="8" width="14.25" style="549" customWidth="1"/>
    <col min="9" max="9" width="2.25" style="536" customWidth="1"/>
    <col min="10" max="227" width="9" style="499"/>
    <col min="228" max="228" width="2.5" style="499" customWidth="1"/>
    <col min="229" max="229" width="3.5" style="499" customWidth="1"/>
    <col min="230" max="230" width="21.5" style="499" customWidth="1"/>
    <col min="231" max="231" width="4" style="499" customWidth="1"/>
    <col min="232" max="232" width="5.375" style="499" customWidth="1"/>
    <col min="233" max="233" width="15.25" style="499" customWidth="1"/>
    <col min="234" max="241" width="14.25" style="499" customWidth="1"/>
    <col min="242" max="483" width="9" style="499"/>
    <col min="484" max="484" width="2.5" style="499" customWidth="1"/>
    <col min="485" max="485" width="3.5" style="499" customWidth="1"/>
    <col min="486" max="486" width="21.5" style="499" customWidth="1"/>
    <col min="487" max="487" width="4" style="499" customWidth="1"/>
    <col min="488" max="488" width="5.375" style="499" customWidth="1"/>
    <col min="489" max="489" width="15.25" style="499" customWidth="1"/>
    <col min="490" max="497" width="14.25" style="499" customWidth="1"/>
    <col min="498" max="739" width="9" style="499"/>
    <col min="740" max="740" width="2.5" style="499" customWidth="1"/>
    <col min="741" max="741" width="3.5" style="499" customWidth="1"/>
    <col min="742" max="742" width="21.5" style="499" customWidth="1"/>
    <col min="743" max="743" width="4" style="499" customWidth="1"/>
    <col min="744" max="744" width="5.375" style="499" customWidth="1"/>
    <col min="745" max="745" width="15.25" style="499" customWidth="1"/>
    <col min="746" max="753" width="14.25" style="499" customWidth="1"/>
    <col min="754" max="995" width="9" style="499"/>
    <col min="996" max="996" width="2.5" style="499" customWidth="1"/>
    <col min="997" max="997" width="3.5" style="499" customWidth="1"/>
    <col min="998" max="998" width="21.5" style="499" customWidth="1"/>
    <col min="999" max="999" width="4" style="499" customWidth="1"/>
    <col min="1000" max="1000" width="5.375" style="499" customWidth="1"/>
    <col min="1001" max="1001" width="15.25" style="499" customWidth="1"/>
    <col min="1002" max="1009" width="14.25" style="499" customWidth="1"/>
    <col min="1010" max="1251" width="9" style="499"/>
    <col min="1252" max="1252" width="2.5" style="499" customWidth="1"/>
    <col min="1253" max="1253" width="3.5" style="499" customWidth="1"/>
    <col min="1254" max="1254" width="21.5" style="499" customWidth="1"/>
    <col min="1255" max="1255" width="4" style="499" customWidth="1"/>
    <col min="1256" max="1256" width="5.375" style="499" customWidth="1"/>
    <col min="1257" max="1257" width="15.25" style="499" customWidth="1"/>
    <col min="1258" max="1265" width="14.25" style="499" customWidth="1"/>
    <col min="1266" max="1507" width="9" style="499"/>
    <col min="1508" max="1508" width="2.5" style="499" customWidth="1"/>
    <col min="1509" max="1509" width="3.5" style="499" customWidth="1"/>
    <col min="1510" max="1510" width="21.5" style="499" customWidth="1"/>
    <col min="1511" max="1511" width="4" style="499" customWidth="1"/>
    <col min="1512" max="1512" width="5.375" style="499" customWidth="1"/>
    <col min="1513" max="1513" width="15.25" style="499" customWidth="1"/>
    <col min="1514" max="1521" width="14.25" style="499" customWidth="1"/>
    <col min="1522" max="1763" width="9" style="499"/>
    <col min="1764" max="1764" width="2.5" style="499" customWidth="1"/>
    <col min="1765" max="1765" width="3.5" style="499" customWidth="1"/>
    <col min="1766" max="1766" width="21.5" style="499" customWidth="1"/>
    <col min="1767" max="1767" width="4" style="499" customWidth="1"/>
    <col min="1768" max="1768" width="5.375" style="499" customWidth="1"/>
    <col min="1769" max="1769" width="15.25" style="499" customWidth="1"/>
    <col min="1770" max="1777" width="14.25" style="499" customWidth="1"/>
    <col min="1778" max="2019" width="9" style="499"/>
    <col min="2020" max="2020" width="2.5" style="499" customWidth="1"/>
    <col min="2021" max="2021" width="3.5" style="499" customWidth="1"/>
    <col min="2022" max="2022" width="21.5" style="499" customWidth="1"/>
    <col min="2023" max="2023" width="4" style="499" customWidth="1"/>
    <col min="2024" max="2024" width="5.375" style="499" customWidth="1"/>
    <col min="2025" max="2025" width="15.25" style="499" customWidth="1"/>
    <col min="2026" max="2033" width="14.25" style="499" customWidth="1"/>
    <col min="2034" max="2275" width="9" style="499"/>
    <col min="2276" max="2276" width="2.5" style="499" customWidth="1"/>
    <col min="2277" max="2277" width="3.5" style="499" customWidth="1"/>
    <col min="2278" max="2278" width="21.5" style="499" customWidth="1"/>
    <col min="2279" max="2279" width="4" style="499" customWidth="1"/>
    <col min="2280" max="2280" width="5.375" style="499" customWidth="1"/>
    <col min="2281" max="2281" width="15.25" style="499" customWidth="1"/>
    <col min="2282" max="2289" width="14.25" style="499" customWidth="1"/>
    <col min="2290" max="2531" width="9" style="499"/>
    <col min="2532" max="2532" width="2.5" style="499" customWidth="1"/>
    <col min="2533" max="2533" width="3.5" style="499" customWidth="1"/>
    <col min="2534" max="2534" width="21.5" style="499" customWidth="1"/>
    <col min="2535" max="2535" width="4" style="499" customWidth="1"/>
    <col min="2536" max="2536" width="5.375" style="499" customWidth="1"/>
    <col min="2537" max="2537" width="15.25" style="499" customWidth="1"/>
    <col min="2538" max="2545" width="14.25" style="499" customWidth="1"/>
    <col min="2546" max="2787" width="9" style="499"/>
    <col min="2788" max="2788" width="2.5" style="499" customWidth="1"/>
    <col min="2789" max="2789" width="3.5" style="499" customWidth="1"/>
    <col min="2790" max="2790" width="21.5" style="499" customWidth="1"/>
    <col min="2791" max="2791" width="4" style="499" customWidth="1"/>
    <col min="2792" max="2792" width="5.375" style="499" customWidth="1"/>
    <col min="2793" max="2793" width="15.25" style="499" customWidth="1"/>
    <col min="2794" max="2801" width="14.25" style="499" customWidth="1"/>
    <col min="2802" max="3043" width="9" style="499"/>
    <col min="3044" max="3044" width="2.5" style="499" customWidth="1"/>
    <col min="3045" max="3045" width="3.5" style="499" customWidth="1"/>
    <col min="3046" max="3046" width="21.5" style="499" customWidth="1"/>
    <col min="3047" max="3047" width="4" style="499" customWidth="1"/>
    <col min="3048" max="3048" width="5.375" style="499" customWidth="1"/>
    <col min="3049" max="3049" width="15.25" style="499" customWidth="1"/>
    <col min="3050" max="3057" width="14.25" style="499" customWidth="1"/>
    <col min="3058" max="3299" width="9" style="499"/>
    <col min="3300" max="3300" width="2.5" style="499" customWidth="1"/>
    <col min="3301" max="3301" width="3.5" style="499" customWidth="1"/>
    <col min="3302" max="3302" width="21.5" style="499" customWidth="1"/>
    <col min="3303" max="3303" width="4" style="499" customWidth="1"/>
    <col min="3304" max="3304" width="5.375" style="499" customWidth="1"/>
    <col min="3305" max="3305" width="15.25" style="499" customWidth="1"/>
    <col min="3306" max="3313" width="14.25" style="499" customWidth="1"/>
    <col min="3314" max="3555" width="9" style="499"/>
    <col min="3556" max="3556" width="2.5" style="499" customWidth="1"/>
    <col min="3557" max="3557" width="3.5" style="499" customWidth="1"/>
    <col min="3558" max="3558" width="21.5" style="499" customWidth="1"/>
    <col min="3559" max="3559" width="4" style="499" customWidth="1"/>
    <col min="3560" max="3560" width="5.375" style="499" customWidth="1"/>
    <col min="3561" max="3561" width="15.25" style="499" customWidth="1"/>
    <col min="3562" max="3569" width="14.25" style="499" customWidth="1"/>
    <col min="3570" max="3811" width="9" style="499"/>
    <col min="3812" max="3812" width="2.5" style="499" customWidth="1"/>
    <col min="3813" max="3813" width="3.5" style="499" customWidth="1"/>
    <col min="3814" max="3814" width="21.5" style="499" customWidth="1"/>
    <col min="3815" max="3815" width="4" style="499" customWidth="1"/>
    <col min="3816" max="3816" width="5.375" style="499" customWidth="1"/>
    <col min="3817" max="3817" width="15.25" style="499" customWidth="1"/>
    <col min="3818" max="3825" width="14.25" style="499" customWidth="1"/>
    <col min="3826" max="4067" width="9" style="499"/>
    <col min="4068" max="4068" width="2.5" style="499" customWidth="1"/>
    <col min="4069" max="4069" width="3.5" style="499" customWidth="1"/>
    <col min="4070" max="4070" width="21.5" style="499" customWidth="1"/>
    <col min="4071" max="4071" width="4" style="499" customWidth="1"/>
    <col min="4072" max="4072" width="5.375" style="499" customWidth="1"/>
    <col min="4073" max="4073" width="15.25" style="499" customWidth="1"/>
    <col min="4074" max="4081" width="14.25" style="499" customWidth="1"/>
    <col min="4082" max="4323" width="9" style="499"/>
    <col min="4324" max="4324" width="2.5" style="499" customWidth="1"/>
    <col min="4325" max="4325" width="3.5" style="499" customWidth="1"/>
    <col min="4326" max="4326" width="21.5" style="499" customWidth="1"/>
    <col min="4327" max="4327" width="4" style="499" customWidth="1"/>
    <col min="4328" max="4328" width="5.375" style="499" customWidth="1"/>
    <col min="4329" max="4329" width="15.25" style="499" customWidth="1"/>
    <col min="4330" max="4337" width="14.25" style="499" customWidth="1"/>
    <col min="4338" max="4579" width="9" style="499"/>
    <col min="4580" max="4580" width="2.5" style="499" customWidth="1"/>
    <col min="4581" max="4581" width="3.5" style="499" customWidth="1"/>
    <col min="4582" max="4582" width="21.5" style="499" customWidth="1"/>
    <col min="4583" max="4583" width="4" style="499" customWidth="1"/>
    <col min="4584" max="4584" width="5.375" style="499" customWidth="1"/>
    <col min="4585" max="4585" width="15.25" style="499" customWidth="1"/>
    <col min="4586" max="4593" width="14.25" style="499" customWidth="1"/>
    <col min="4594" max="4835" width="9" style="499"/>
    <col min="4836" max="4836" width="2.5" style="499" customWidth="1"/>
    <col min="4837" max="4837" width="3.5" style="499" customWidth="1"/>
    <col min="4838" max="4838" width="21.5" style="499" customWidth="1"/>
    <col min="4839" max="4839" width="4" style="499" customWidth="1"/>
    <col min="4840" max="4840" width="5.375" style="499" customWidth="1"/>
    <col min="4841" max="4841" width="15.25" style="499" customWidth="1"/>
    <col min="4842" max="4849" width="14.25" style="499" customWidth="1"/>
    <col min="4850" max="5091" width="9" style="499"/>
    <col min="5092" max="5092" width="2.5" style="499" customWidth="1"/>
    <col min="5093" max="5093" width="3.5" style="499" customWidth="1"/>
    <col min="5094" max="5094" width="21.5" style="499" customWidth="1"/>
    <col min="5095" max="5095" width="4" style="499" customWidth="1"/>
    <col min="5096" max="5096" width="5.375" style="499" customWidth="1"/>
    <col min="5097" max="5097" width="15.25" style="499" customWidth="1"/>
    <col min="5098" max="5105" width="14.25" style="499" customWidth="1"/>
    <col min="5106" max="5347" width="9" style="499"/>
    <col min="5348" max="5348" width="2.5" style="499" customWidth="1"/>
    <col min="5349" max="5349" width="3.5" style="499" customWidth="1"/>
    <col min="5350" max="5350" width="21.5" style="499" customWidth="1"/>
    <col min="5351" max="5351" width="4" style="499" customWidth="1"/>
    <col min="5352" max="5352" width="5.375" style="499" customWidth="1"/>
    <col min="5353" max="5353" width="15.25" style="499" customWidth="1"/>
    <col min="5354" max="5361" width="14.25" style="499" customWidth="1"/>
    <col min="5362" max="5603" width="9" style="499"/>
    <col min="5604" max="5604" width="2.5" style="499" customWidth="1"/>
    <col min="5605" max="5605" width="3.5" style="499" customWidth="1"/>
    <col min="5606" max="5606" width="21.5" style="499" customWidth="1"/>
    <col min="5607" max="5607" width="4" style="499" customWidth="1"/>
    <col min="5608" max="5608" width="5.375" style="499" customWidth="1"/>
    <col min="5609" max="5609" width="15.25" style="499" customWidth="1"/>
    <col min="5610" max="5617" width="14.25" style="499" customWidth="1"/>
    <col min="5618" max="5859" width="9" style="499"/>
    <col min="5860" max="5860" width="2.5" style="499" customWidth="1"/>
    <col min="5861" max="5861" width="3.5" style="499" customWidth="1"/>
    <col min="5862" max="5862" width="21.5" style="499" customWidth="1"/>
    <col min="5863" max="5863" width="4" style="499" customWidth="1"/>
    <col min="5864" max="5864" width="5.375" style="499" customWidth="1"/>
    <col min="5865" max="5865" width="15.25" style="499" customWidth="1"/>
    <col min="5866" max="5873" width="14.25" style="499" customWidth="1"/>
    <col min="5874" max="6115" width="9" style="499"/>
    <col min="6116" max="6116" width="2.5" style="499" customWidth="1"/>
    <col min="6117" max="6117" width="3.5" style="499" customWidth="1"/>
    <col min="6118" max="6118" width="21.5" style="499" customWidth="1"/>
    <col min="6119" max="6119" width="4" style="499" customWidth="1"/>
    <col min="6120" max="6120" width="5.375" style="499" customWidth="1"/>
    <col min="6121" max="6121" width="15.25" style="499" customWidth="1"/>
    <col min="6122" max="6129" width="14.25" style="499" customWidth="1"/>
    <col min="6130" max="6371" width="9" style="499"/>
    <col min="6372" max="6372" width="2.5" style="499" customWidth="1"/>
    <col min="6373" max="6373" width="3.5" style="499" customWidth="1"/>
    <col min="6374" max="6374" width="21.5" style="499" customWidth="1"/>
    <col min="6375" max="6375" width="4" style="499" customWidth="1"/>
    <col min="6376" max="6376" width="5.375" style="499" customWidth="1"/>
    <col min="6377" max="6377" width="15.25" style="499" customWidth="1"/>
    <col min="6378" max="6385" width="14.25" style="499" customWidth="1"/>
    <col min="6386" max="6627" width="9" style="499"/>
    <col min="6628" max="6628" width="2.5" style="499" customWidth="1"/>
    <col min="6629" max="6629" width="3.5" style="499" customWidth="1"/>
    <col min="6630" max="6630" width="21.5" style="499" customWidth="1"/>
    <col min="6631" max="6631" width="4" style="499" customWidth="1"/>
    <col min="6632" max="6632" width="5.375" style="499" customWidth="1"/>
    <col min="6633" max="6633" width="15.25" style="499" customWidth="1"/>
    <col min="6634" max="6641" width="14.25" style="499" customWidth="1"/>
    <col min="6642" max="6883" width="9" style="499"/>
    <col min="6884" max="6884" width="2.5" style="499" customWidth="1"/>
    <col min="6885" max="6885" width="3.5" style="499" customWidth="1"/>
    <col min="6886" max="6886" width="21.5" style="499" customWidth="1"/>
    <col min="6887" max="6887" width="4" style="499" customWidth="1"/>
    <col min="6888" max="6888" width="5.375" style="499" customWidth="1"/>
    <col min="6889" max="6889" width="15.25" style="499" customWidth="1"/>
    <col min="6890" max="6897" width="14.25" style="499" customWidth="1"/>
    <col min="6898" max="7139" width="9" style="499"/>
    <col min="7140" max="7140" width="2.5" style="499" customWidth="1"/>
    <col min="7141" max="7141" width="3.5" style="499" customWidth="1"/>
    <col min="7142" max="7142" width="21.5" style="499" customWidth="1"/>
    <col min="7143" max="7143" width="4" style="499" customWidth="1"/>
    <col min="7144" max="7144" width="5.375" style="499" customWidth="1"/>
    <col min="7145" max="7145" width="15.25" style="499" customWidth="1"/>
    <col min="7146" max="7153" width="14.25" style="499" customWidth="1"/>
    <col min="7154" max="7395" width="9" style="499"/>
    <col min="7396" max="7396" width="2.5" style="499" customWidth="1"/>
    <col min="7397" max="7397" width="3.5" style="499" customWidth="1"/>
    <col min="7398" max="7398" width="21.5" style="499" customWidth="1"/>
    <col min="7399" max="7399" width="4" style="499" customWidth="1"/>
    <col min="7400" max="7400" width="5.375" style="499" customWidth="1"/>
    <col min="7401" max="7401" width="15.25" style="499" customWidth="1"/>
    <col min="7402" max="7409" width="14.25" style="499" customWidth="1"/>
    <col min="7410" max="7651" width="9" style="499"/>
    <col min="7652" max="7652" width="2.5" style="499" customWidth="1"/>
    <col min="7653" max="7653" width="3.5" style="499" customWidth="1"/>
    <col min="7654" max="7654" width="21.5" style="499" customWidth="1"/>
    <col min="7655" max="7655" width="4" style="499" customWidth="1"/>
    <col min="7656" max="7656" width="5.375" style="499" customWidth="1"/>
    <col min="7657" max="7657" width="15.25" style="499" customWidth="1"/>
    <col min="7658" max="7665" width="14.25" style="499" customWidth="1"/>
    <col min="7666" max="7907" width="9" style="499"/>
    <col min="7908" max="7908" width="2.5" style="499" customWidth="1"/>
    <col min="7909" max="7909" width="3.5" style="499" customWidth="1"/>
    <col min="7910" max="7910" width="21.5" style="499" customWidth="1"/>
    <col min="7911" max="7911" width="4" style="499" customWidth="1"/>
    <col min="7912" max="7912" width="5.375" style="499" customWidth="1"/>
    <col min="7913" max="7913" width="15.25" style="499" customWidth="1"/>
    <col min="7914" max="7921" width="14.25" style="499" customWidth="1"/>
    <col min="7922" max="8163" width="9" style="499"/>
    <col min="8164" max="8164" width="2.5" style="499" customWidth="1"/>
    <col min="8165" max="8165" width="3.5" style="499" customWidth="1"/>
    <col min="8166" max="8166" width="21.5" style="499" customWidth="1"/>
    <col min="8167" max="8167" width="4" style="499" customWidth="1"/>
    <col min="8168" max="8168" width="5.375" style="499" customWidth="1"/>
    <col min="8169" max="8169" width="15.25" style="499" customWidth="1"/>
    <col min="8170" max="8177" width="14.25" style="499" customWidth="1"/>
    <col min="8178" max="8419" width="9" style="499"/>
    <col min="8420" max="8420" width="2.5" style="499" customWidth="1"/>
    <col min="8421" max="8421" width="3.5" style="499" customWidth="1"/>
    <col min="8422" max="8422" width="21.5" style="499" customWidth="1"/>
    <col min="8423" max="8423" width="4" style="499" customWidth="1"/>
    <col min="8424" max="8424" width="5.375" style="499" customWidth="1"/>
    <col min="8425" max="8425" width="15.25" style="499" customWidth="1"/>
    <col min="8426" max="8433" width="14.25" style="499" customWidth="1"/>
    <col min="8434" max="8675" width="9" style="499"/>
    <col min="8676" max="8676" width="2.5" style="499" customWidth="1"/>
    <col min="8677" max="8677" width="3.5" style="499" customWidth="1"/>
    <col min="8678" max="8678" width="21.5" style="499" customWidth="1"/>
    <col min="8679" max="8679" width="4" style="499" customWidth="1"/>
    <col min="8680" max="8680" width="5.375" style="499" customWidth="1"/>
    <col min="8681" max="8681" width="15.25" style="499" customWidth="1"/>
    <col min="8682" max="8689" width="14.25" style="499" customWidth="1"/>
    <col min="8690" max="8931" width="9" style="499"/>
    <col min="8932" max="8932" width="2.5" style="499" customWidth="1"/>
    <col min="8933" max="8933" width="3.5" style="499" customWidth="1"/>
    <col min="8934" max="8934" width="21.5" style="499" customWidth="1"/>
    <col min="8935" max="8935" width="4" style="499" customWidth="1"/>
    <col min="8936" max="8936" width="5.375" style="499" customWidth="1"/>
    <col min="8937" max="8937" width="15.25" style="499" customWidth="1"/>
    <col min="8938" max="8945" width="14.25" style="499" customWidth="1"/>
    <col min="8946" max="9187" width="9" style="499"/>
    <col min="9188" max="9188" width="2.5" style="499" customWidth="1"/>
    <col min="9189" max="9189" width="3.5" style="499" customWidth="1"/>
    <col min="9190" max="9190" width="21.5" style="499" customWidth="1"/>
    <col min="9191" max="9191" width="4" style="499" customWidth="1"/>
    <col min="9192" max="9192" width="5.375" style="499" customWidth="1"/>
    <col min="9193" max="9193" width="15.25" style="499" customWidth="1"/>
    <col min="9194" max="9201" width="14.25" style="499" customWidth="1"/>
    <col min="9202" max="9443" width="9" style="499"/>
    <col min="9444" max="9444" width="2.5" style="499" customWidth="1"/>
    <col min="9445" max="9445" width="3.5" style="499" customWidth="1"/>
    <col min="9446" max="9446" width="21.5" style="499" customWidth="1"/>
    <col min="9447" max="9447" width="4" style="499" customWidth="1"/>
    <col min="9448" max="9448" width="5.375" style="499" customWidth="1"/>
    <col min="9449" max="9449" width="15.25" style="499" customWidth="1"/>
    <col min="9450" max="9457" width="14.25" style="499" customWidth="1"/>
    <col min="9458" max="9699" width="9" style="499"/>
    <col min="9700" max="9700" width="2.5" style="499" customWidth="1"/>
    <col min="9701" max="9701" width="3.5" style="499" customWidth="1"/>
    <col min="9702" max="9702" width="21.5" style="499" customWidth="1"/>
    <col min="9703" max="9703" width="4" style="499" customWidth="1"/>
    <col min="9704" max="9704" width="5.375" style="499" customWidth="1"/>
    <col min="9705" max="9705" width="15.25" style="499" customWidth="1"/>
    <col min="9706" max="9713" width="14.25" style="499" customWidth="1"/>
    <col min="9714" max="9955" width="9" style="499"/>
    <col min="9956" max="9956" width="2.5" style="499" customWidth="1"/>
    <col min="9957" max="9957" width="3.5" style="499" customWidth="1"/>
    <col min="9958" max="9958" width="21.5" style="499" customWidth="1"/>
    <col min="9959" max="9959" width="4" style="499" customWidth="1"/>
    <col min="9960" max="9960" width="5.375" style="499" customWidth="1"/>
    <col min="9961" max="9961" width="15.25" style="499" customWidth="1"/>
    <col min="9962" max="9969" width="14.25" style="499" customWidth="1"/>
    <col min="9970" max="10211" width="9" style="499"/>
    <col min="10212" max="10212" width="2.5" style="499" customWidth="1"/>
    <col min="10213" max="10213" width="3.5" style="499" customWidth="1"/>
    <col min="10214" max="10214" width="21.5" style="499" customWidth="1"/>
    <col min="10215" max="10215" width="4" style="499" customWidth="1"/>
    <col min="10216" max="10216" width="5.375" style="499" customWidth="1"/>
    <col min="10217" max="10217" width="15.25" style="499" customWidth="1"/>
    <col min="10218" max="10225" width="14.25" style="499" customWidth="1"/>
    <col min="10226" max="10467" width="9" style="499"/>
    <col min="10468" max="10468" width="2.5" style="499" customWidth="1"/>
    <col min="10469" max="10469" width="3.5" style="499" customWidth="1"/>
    <col min="10470" max="10470" width="21.5" style="499" customWidth="1"/>
    <col min="10471" max="10471" width="4" style="499" customWidth="1"/>
    <col min="10472" max="10472" width="5.375" style="499" customWidth="1"/>
    <col min="10473" max="10473" width="15.25" style="499" customWidth="1"/>
    <col min="10474" max="10481" width="14.25" style="499" customWidth="1"/>
    <col min="10482" max="10723" width="9" style="499"/>
    <col min="10724" max="10724" width="2.5" style="499" customWidth="1"/>
    <col min="10725" max="10725" width="3.5" style="499" customWidth="1"/>
    <col min="10726" max="10726" width="21.5" style="499" customWidth="1"/>
    <col min="10727" max="10727" width="4" style="499" customWidth="1"/>
    <col min="10728" max="10728" width="5.375" style="499" customWidth="1"/>
    <col min="10729" max="10729" width="15.25" style="499" customWidth="1"/>
    <col min="10730" max="10737" width="14.25" style="499" customWidth="1"/>
    <col min="10738" max="10979" width="9" style="499"/>
    <col min="10980" max="10980" width="2.5" style="499" customWidth="1"/>
    <col min="10981" max="10981" width="3.5" style="499" customWidth="1"/>
    <col min="10982" max="10982" width="21.5" style="499" customWidth="1"/>
    <col min="10983" max="10983" width="4" style="499" customWidth="1"/>
    <col min="10984" max="10984" width="5.375" style="499" customWidth="1"/>
    <col min="10985" max="10985" width="15.25" style="499" customWidth="1"/>
    <col min="10986" max="10993" width="14.25" style="499" customWidth="1"/>
    <col min="10994" max="11235" width="9" style="499"/>
    <col min="11236" max="11236" width="2.5" style="499" customWidth="1"/>
    <col min="11237" max="11237" width="3.5" style="499" customWidth="1"/>
    <col min="11238" max="11238" width="21.5" style="499" customWidth="1"/>
    <col min="11239" max="11239" width="4" style="499" customWidth="1"/>
    <col min="11240" max="11240" width="5.375" style="499" customWidth="1"/>
    <col min="11241" max="11241" width="15.25" style="499" customWidth="1"/>
    <col min="11242" max="11249" width="14.25" style="499" customWidth="1"/>
    <col min="11250" max="11491" width="9" style="499"/>
    <col min="11492" max="11492" width="2.5" style="499" customWidth="1"/>
    <col min="11493" max="11493" width="3.5" style="499" customWidth="1"/>
    <col min="11494" max="11494" width="21.5" style="499" customWidth="1"/>
    <col min="11495" max="11495" width="4" style="499" customWidth="1"/>
    <col min="11496" max="11496" width="5.375" style="499" customWidth="1"/>
    <col min="11497" max="11497" width="15.25" style="499" customWidth="1"/>
    <col min="11498" max="11505" width="14.25" style="499" customWidth="1"/>
    <col min="11506" max="11747" width="9" style="499"/>
    <col min="11748" max="11748" width="2.5" style="499" customWidth="1"/>
    <col min="11749" max="11749" width="3.5" style="499" customWidth="1"/>
    <col min="11750" max="11750" width="21.5" style="499" customWidth="1"/>
    <col min="11751" max="11751" width="4" style="499" customWidth="1"/>
    <col min="11752" max="11752" width="5.375" style="499" customWidth="1"/>
    <col min="11753" max="11753" width="15.25" style="499" customWidth="1"/>
    <col min="11754" max="11761" width="14.25" style="499" customWidth="1"/>
    <col min="11762" max="12003" width="9" style="499"/>
    <col min="12004" max="12004" width="2.5" style="499" customWidth="1"/>
    <col min="12005" max="12005" width="3.5" style="499" customWidth="1"/>
    <col min="12006" max="12006" width="21.5" style="499" customWidth="1"/>
    <col min="12007" max="12007" width="4" style="499" customWidth="1"/>
    <col min="12008" max="12008" width="5.375" style="499" customWidth="1"/>
    <col min="12009" max="12009" width="15.25" style="499" customWidth="1"/>
    <col min="12010" max="12017" width="14.25" style="499" customWidth="1"/>
    <col min="12018" max="12259" width="9" style="499"/>
    <col min="12260" max="12260" width="2.5" style="499" customWidth="1"/>
    <col min="12261" max="12261" width="3.5" style="499" customWidth="1"/>
    <col min="12262" max="12262" width="21.5" style="499" customWidth="1"/>
    <col min="12263" max="12263" width="4" style="499" customWidth="1"/>
    <col min="12264" max="12264" width="5.375" style="499" customWidth="1"/>
    <col min="12265" max="12265" width="15.25" style="499" customWidth="1"/>
    <col min="12266" max="12273" width="14.25" style="499" customWidth="1"/>
    <col min="12274" max="12515" width="9" style="499"/>
    <col min="12516" max="12516" width="2.5" style="499" customWidth="1"/>
    <col min="12517" max="12517" width="3.5" style="499" customWidth="1"/>
    <col min="12518" max="12518" width="21.5" style="499" customWidth="1"/>
    <col min="12519" max="12519" width="4" style="499" customWidth="1"/>
    <col min="12520" max="12520" width="5.375" style="499" customWidth="1"/>
    <col min="12521" max="12521" width="15.25" style="499" customWidth="1"/>
    <col min="12522" max="12529" width="14.25" style="499" customWidth="1"/>
    <col min="12530" max="12771" width="9" style="499"/>
    <col min="12772" max="12772" width="2.5" style="499" customWidth="1"/>
    <col min="12773" max="12773" width="3.5" style="499" customWidth="1"/>
    <col min="12774" max="12774" width="21.5" style="499" customWidth="1"/>
    <col min="12775" max="12775" width="4" style="499" customWidth="1"/>
    <col min="12776" max="12776" width="5.375" style="499" customWidth="1"/>
    <col min="12777" max="12777" width="15.25" style="499" customWidth="1"/>
    <col min="12778" max="12785" width="14.25" style="499" customWidth="1"/>
    <col min="12786" max="13027" width="9" style="499"/>
    <col min="13028" max="13028" width="2.5" style="499" customWidth="1"/>
    <col min="13029" max="13029" width="3.5" style="499" customWidth="1"/>
    <col min="13030" max="13030" width="21.5" style="499" customWidth="1"/>
    <col min="13031" max="13031" width="4" style="499" customWidth="1"/>
    <col min="13032" max="13032" width="5.375" style="499" customWidth="1"/>
    <col min="13033" max="13033" width="15.25" style="499" customWidth="1"/>
    <col min="13034" max="13041" width="14.25" style="499" customWidth="1"/>
    <col min="13042" max="13283" width="9" style="499"/>
    <col min="13284" max="13284" width="2.5" style="499" customWidth="1"/>
    <col min="13285" max="13285" width="3.5" style="499" customWidth="1"/>
    <col min="13286" max="13286" width="21.5" style="499" customWidth="1"/>
    <col min="13287" max="13287" width="4" style="499" customWidth="1"/>
    <col min="13288" max="13288" width="5.375" style="499" customWidth="1"/>
    <col min="13289" max="13289" width="15.25" style="499" customWidth="1"/>
    <col min="13290" max="13297" width="14.25" style="499" customWidth="1"/>
    <col min="13298" max="13539" width="9" style="499"/>
    <col min="13540" max="13540" width="2.5" style="499" customWidth="1"/>
    <col min="13541" max="13541" width="3.5" style="499" customWidth="1"/>
    <col min="13542" max="13542" width="21.5" style="499" customWidth="1"/>
    <col min="13543" max="13543" width="4" style="499" customWidth="1"/>
    <col min="13544" max="13544" width="5.375" style="499" customWidth="1"/>
    <col min="13545" max="13545" width="15.25" style="499" customWidth="1"/>
    <col min="13546" max="13553" width="14.25" style="499" customWidth="1"/>
    <col min="13554" max="13795" width="9" style="499"/>
    <col min="13796" max="13796" width="2.5" style="499" customWidth="1"/>
    <col min="13797" max="13797" width="3.5" style="499" customWidth="1"/>
    <col min="13798" max="13798" width="21.5" style="499" customWidth="1"/>
    <col min="13799" max="13799" width="4" style="499" customWidth="1"/>
    <col min="13800" max="13800" width="5.375" style="499" customWidth="1"/>
    <col min="13801" max="13801" width="15.25" style="499" customWidth="1"/>
    <col min="13802" max="13809" width="14.25" style="499" customWidth="1"/>
    <col min="13810" max="14051" width="9" style="499"/>
    <col min="14052" max="14052" width="2.5" style="499" customWidth="1"/>
    <col min="14053" max="14053" width="3.5" style="499" customWidth="1"/>
    <col min="14054" max="14054" width="21.5" style="499" customWidth="1"/>
    <col min="14055" max="14055" width="4" style="499" customWidth="1"/>
    <col min="14056" max="14056" width="5.375" style="499" customWidth="1"/>
    <col min="14057" max="14057" width="15.25" style="499" customWidth="1"/>
    <col min="14058" max="14065" width="14.25" style="499" customWidth="1"/>
    <col min="14066" max="14307" width="9" style="499"/>
    <col min="14308" max="14308" width="2.5" style="499" customWidth="1"/>
    <col min="14309" max="14309" width="3.5" style="499" customWidth="1"/>
    <col min="14310" max="14310" width="21.5" style="499" customWidth="1"/>
    <col min="14311" max="14311" width="4" style="499" customWidth="1"/>
    <col min="14312" max="14312" width="5.375" style="499" customWidth="1"/>
    <col min="14313" max="14313" width="15.25" style="499" customWidth="1"/>
    <col min="14314" max="14321" width="14.25" style="499" customWidth="1"/>
    <col min="14322" max="14563" width="9" style="499"/>
    <col min="14564" max="14564" width="2.5" style="499" customWidth="1"/>
    <col min="14565" max="14565" width="3.5" style="499" customWidth="1"/>
    <col min="14566" max="14566" width="21.5" style="499" customWidth="1"/>
    <col min="14567" max="14567" width="4" style="499" customWidth="1"/>
    <col min="14568" max="14568" width="5.375" style="499" customWidth="1"/>
    <col min="14569" max="14569" width="15.25" style="499" customWidth="1"/>
    <col min="14570" max="14577" width="14.25" style="499" customWidth="1"/>
    <col min="14578" max="14819" width="9" style="499"/>
    <col min="14820" max="14820" width="2.5" style="499" customWidth="1"/>
    <col min="14821" max="14821" width="3.5" style="499" customWidth="1"/>
    <col min="14822" max="14822" width="21.5" style="499" customWidth="1"/>
    <col min="14823" max="14823" width="4" style="499" customWidth="1"/>
    <col min="14824" max="14824" width="5.375" style="499" customWidth="1"/>
    <col min="14825" max="14825" width="15.25" style="499" customWidth="1"/>
    <col min="14826" max="14833" width="14.25" style="499" customWidth="1"/>
    <col min="14834" max="15075" width="9" style="499"/>
    <col min="15076" max="15076" width="2.5" style="499" customWidth="1"/>
    <col min="15077" max="15077" width="3.5" style="499" customWidth="1"/>
    <col min="15078" max="15078" width="21.5" style="499" customWidth="1"/>
    <col min="15079" max="15079" width="4" style="499" customWidth="1"/>
    <col min="15080" max="15080" width="5.375" style="499" customWidth="1"/>
    <col min="15081" max="15081" width="15.25" style="499" customWidth="1"/>
    <col min="15082" max="15089" width="14.25" style="499" customWidth="1"/>
    <col min="15090" max="15331" width="9" style="499"/>
    <col min="15332" max="15332" width="2.5" style="499" customWidth="1"/>
    <col min="15333" max="15333" width="3.5" style="499" customWidth="1"/>
    <col min="15334" max="15334" width="21.5" style="499" customWidth="1"/>
    <col min="15335" max="15335" width="4" style="499" customWidth="1"/>
    <col min="15336" max="15336" width="5.375" style="499" customWidth="1"/>
    <col min="15337" max="15337" width="15.25" style="499" customWidth="1"/>
    <col min="15338" max="15345" width="14.25" style="499" customWidth="1"/>
    <col min="15346" max="15587" width="9" style="499"/>
    <col min="15588" max="15588" width="2.5" style="499" customWidth="1"/>
    <col min="15589" max="15589" width="3.5" style="499" customWidth="1"/>
    <col min="15590" max="15590" width="21.5" style="499" customWidth="1"/>
    <col min="15591" max="15591" width="4" style="499" customWidth="1"/>
    <col min="15592" max="15592" width="5.375" style="499" customWidth="1"/>
    <col min="15593" max="15593" width="15.25" style="499" customWidth="1"/>
    <col min="15594" max="15601" width="14.25" style="499" customWidth="1"/>
    <col min="15602" max="15843" width="9" style="499"/>
    <col min="15844" max="15844" width="2.5" style="499" customWidth="1"/>
    <col min="15845" max="15845" width="3.5" style="499" customWidth="1"/>
    <col min="15846" max="15846" width="21.5" style="499" customWidth="1"/>
    <col min="15847" max="15847" width="4" style="499" customWidth="1"/>
    <col min="15848" max="15848" width="5.375" style="499" customWidth="1"/>
    <col min="15849" max="15849" width="15.25" style="499" customWidth="1"/>
    <col min="15850" max="15857" width="14.25" style="499" customWidth="1"/>
    <col min="15858" max="16099" width="9" style="499"/>
    <col min="16100" max="16100" width="2.5" style="499" customWidth="1"/>
    <col min="16101" max="16101" width="3.5" style="499" customWidth="1"/>
    <col min="16102" max="16102" width="21.5" style="499" customWidth="1"/>
    <col min="16103" max="16103" width="4" style="499" customWidth="1"/>
    <col min="16104" max="16104" width="5.375" style="499" customWidth="1"/>
    <col min="16105" max="16105" width="15.25" style="499" customWidth="1"/>
    <col min="16106" max="16113" width="14.25" style="499" customWidth="1"/>
    <col min="16114" max="16384" width="9" style="499"/>
  </cols>
  <sheetData>
    <row r="1" spans="1:9" ht="13.5" customHeight="1">
      <c r="A1" s="496"/>
      <c r="B1" s="496"/>
      <c r="C1" s="497"/>
      <c r="D1" s="497"/>
      <c r="E1" s="497"/>
      <c r="F1" s="498" t="s">
        <v>346</v>
      </c>
      <c r="G1" s="2153" t="str">
        <f>表紙!D12</f>
        <v>大阪ビジネスパーク駅中階天井改良工事</v>
      </c>
      <c r="H1" s="481"/>
    </row>
    <row r="2" spans="1:9" ht="13.5" customHeight="1">
      <c r="A2" s="486"/>
      <c r="B2" s="496"/>
      <c r="C2" s="486" t="s">
        <v>2020</v>
      </c>
      <c r="D2" s="481"/>
      <c r="E2" s="481"/>
      <c r="F2" s="497"/>
      <c r="G2" s="497"/>
      <c r="H2" s="627" t="str">
        <f>+諸経費表!G6</f>
        <v>天井改良</v>
      </c>
    </row>
    <row r="3" spans="1:9" ht="13.5" customHeight="1">
      <c r="A3" s="486"/>
      <c r="B3" s="496"/>
      <c r="C3" s="486"/>
      <c r="D3" s="481"/>
      <c r="E3" s="481"/>
      <c r="F3" s="497"/>
      <c r="G3" s="497"/>
      <c r="H3" s="627" t="str">
        <f>+諸経費表!G5</f>
        <v>工事1</v>
      </c>
    </row>
    <row r="4" spans="1:9" ht="13.5" customHeight="1">
      <c r="A4" s="585"/>
      <c r="B4" s="586"/>
      <c r="C4" s="612"/>
      <c r="D4" s="582"/>
      <c r="E4" s="583"/>
      <c r="F4" s="584"/>
      <c r="G4" s="528" t="s">
        <v>2057</v>
      </c>
      <c r="H4" s="662" t="s">
        <v>2372</v>
      </c>
    </row>
    <row r="5" spans="1:9" s="501" customFormat="1" ht="13.5" customHeight="1">
      <c r="A5" s="502"/>
      <c r="B5" s="503"/>
      <c r="C5" s="613"/>
      <c r="D5" s="610" t="s">
        <v>304</v>
      </c>
      <c r="E5" s="491"/>
      <c r="F5" s="552"/>
      <c r="G5" s="553">
        <f t="shared" ref="G5:G19" si="0">SUM(H5:I5)</f>
        <v>7963823</v>
      </c>
      <c r="H5" s="628">
        <f>+諸経費表!G11</f>
        <v>7963823</v>
      </c>
      <c r="I5" s="653"/>
    </row>
    <row r="6" spans="1:9" s="501" customFormat="1" ht="13.5" customHeight="1">
      <c r="A6" s="502"/>
      <c r="B6" s="503"/>
      <c r="C6" s="609"/>
      <c r="D6" s="492"/>
      <c r="E6" s="490"/>
      <c r="F6" s="606" t="s">
        <v>2125</v>
      </c>
      <c r="G6" s="551">
        <f t="shared" ca="1" si="0"/>
        <v>819500</v>
      </c>
      <c r="H6" s="639">
        <f ca="1">IF(H$3&gt;0,INDIRECT("'"&amp;H$3&amp;"'!＄i$7"),"")</f>
        <v>819500</v>
      </c>
      <c r="I6" s="536"/>
    </row>
    <row r="7" spans="1:9" s="501" customFormat="1" ht="13.5" customHeight="1">
      <c r="A7" s="502"/>
      <c r="B7" s="503"/>
      <c r="C7" s="609"/>
      <c r="D7" s="691"/>
      <c r="E7" s="692"/>
      <c r="F7" s="693" t="s">
        <v>2126</v>
      </c>
      <c r="G7" s="694">
        <f t="shared" ca="1" si="0"/>
        <v>1283860</v>
      </c>
      <c r="H7" s="695">
        <f ca="1">IF(COUNTIF(INDIRECT("'"&amp;H$3&amp;"'!＄ｄ:$ｄ"),"部分撤去工事")=0,"0",VLOOKUP("部分撤去工事",INDIRECT("'"&amp;H$3&amp;"'!＄D:$L"),6,FALSE))</f>
        <v>1283860</v>
      </c>
      <c r="I7" s="536"/>
    </row>
    <row r="8" spans="1:9" s="501" customFormat="1" ht="13.5" customHeight="1">
      <c r="A8" s="502"/>
      <c r="B8" s="503"/>
      <c r="C8" s="609"/>
      <c r="D8" s="494"/>
      <c r="E8" s="485"/>
      <c r="F8" s="696" t="s">
        <v>2127</v>
      </c>
      <c r="G8" s="697">
        <f t="shared" ca="1" si="0"/>
        <v>5860463</v>
      </c>
      <c r="H8" s="698">
        <f ca="1">H5-H6-H7</f>
        <v>5860463</v>
      </c>
      <c r="I8" s="653"/>
    </row>
    <row r="9" spans="1:9" s="501" customFormat="1" ht="13.5" customHeight="1">
      <c r="A9" s="502"/>
      <c r="B9" s="503"/>
      <c r="C9" s="609"/>
      <c r="D9" s="699"/>
      <c r="E9" s="2223" t="s">
        <v>2128</v>
      </c>
      <c r="F9" s="700" t="s">
        <v>304</v>
      </c>
      <c r="G9" s="694">
        <f t="shared" ca="1" si="0"/>
        <v>6680438</v>
      </c>
      <c r="H9" s="695">
        <f ca="1">H5-H12</f>
        <v>6680438</v>
      </c>
      <c r="I9" s="653"/>
    </row>
    <row r="10" spans="1:9" s="501" customFormat="1" ht="13.5" customHeight="1">
      <c r="A10" s="502"/>
      <c r="B10" s="503"/>
      <c r="C10" s="609"/>
      <c r="D10" s="701"/>
      <c r="E10" s="2224"/>
      <c r="F10" s="702" t="s">
        <v>2129</v>
      </c>
      <c r="G10" s="694">
        <f t="shared" ca="1" si="0"/>
        <v>475</v>
      </c>
      <c r="H10" s="695">
        <f ca="1">H7-H13</f>
        <v>475</v>
      </c>
      <c r="I10" s="653"/>
    </row>
    <row r="11" spans="1:9" s="501" customFormat="1" ht="13.5" customHeight="1">
      <c r="A11" s="502"/>
      <c r="B11" s="503"/>
      <c r="C11" s="609"/>
      <c r="D11" s="701"/>
      <c r="E11" s="2225"/>
      <c r="F11" s="703" t="s">
        <v>2127</v>
      </c>
      <c r="G11" s="694">
        <f t="shared" ca="1" si="0"/>
        <v>5860463</v>
      </c>
      <c r="H11" s="695">
        <f ca="1">H8-H14</f>
        <v>5860463</v>
      </c>
      <c r="I11" s="653"/>
    </row>
    <row r="12" spans="1:9" s="501" customFormat="1" ht="13.5" customHeight="1">
      <c r="A12" s="502"/>
      <c r="B12" s="503"/>
      <c r="C12" s="609"/>
      <c r="D12" s="704"/>
      <c r="E12" s="2223" t="s">
        <v>344</v>
      </c>
      <c r="F12" s="700" t="s">
        <v>304</v>
      </c>
      <c r="G12" s="705">
        <f t="shared" ca="1" si="0"/>
        <v>1283385</v>
      </c>
      <c r="H12" s="635">
        <f ca="1">IF(H4="費用",H5,SUMIF(INDIRECT(H$3&amp;"!$ｊ:$ｊ"),"うち費用",INDIRECT(H$3&amp;"!$ｋ:$ｋ")))</f>
        <v>1283385</v>
      </c>
      <c r="I12" s="653"/>
    </row>
    <row r="13" spans="1:9" s="501" customFormat="1" ht="13.5" customHeight="1">
      <c r="A13" s="502"/>
      <c r="B13" s="503"/>
      <c r="C13" s="609"/>
      <c r="D13" s="701"/>
      <c r="E13" s="2224"/>
      <c r="F13" s="702" t="s">
        <v>2129</v>
      </c>
      <c r="G13" s="706">
        <f t="shared" ca="1" si="0"/>
        <v>1283385</v>
      </c>
      <c r="H13" s="707">
        <f ca="1">IF(H4="費用",H7,SUMIF(INDIRECT(H$3&amp;"!$ｊ:$ｊ"),"）うち費用",INDIRECT(H$3&amp;"!$ｋ:$ｋ")))</f>
        <v>1283385</v>
      </c>
      <c r="I13" s="653"/>
    </row>
    <row r="14" spans="1:9" s="501" customFormat="1" ht="13.5" customHeight="1">
      <c r="A14" s="502"/>
      <c r="B14" s="503"/>
      <c r="C14" s="609"/>
      <c r="D14" s="708"/>
      <c r="E14" s="2225"/>
      <c r="F14" s="709" t="s">
        <v>2127</v>
      </c>
      <c r="G14" s="710">
        <f t="shared" ca="1" si="0"/>
        <v>0</v>
      </c>
      <c r="H14" s="698">
        <f ca="1">IF(H4="費用",H12-H13-H6,H12-H13)</f>
        <v>0</v>
      </c>
      <c r="I14" s="653"/>
    </row>
    <row r="15" spans="1:9" s="501" customFormat="1" ht="13.5" customHeight="1">
      <c r="A15" s="502"/>
      <c r="B15" s="503"/>
      <c r="C15" s="614"/>
      <c r="D15" s="610" t="s">
        <v>305</v>
      </c>
      <c r="E15" s="491"/>
      <c r="F15" s="552"/>
      <c r="G15" s="553">
        <f t="shared" ca="1" si="0"/>
        <v>3696177</v>
      </c>
      <c r="H15" s="629">
        <f ca="1">SUM(H16:H18)</f>
        <v>3696177</v>
      </c>
      <c r="I15" s="653"/>
    </row>
    <row r="16" spans="1:9" s="501" customFormat="1" ht="13.5" customHeight="1">
      <c r="A16" s="502"/>
      <c r="B16" s="503"/>
      <c r="C16" s="609"/>
      <c r="D16" s="492"/>
      <c r="E16" s="490"/>
      <c r="F16" s="606" t="s">
        <v>2093</v>
      </c>
      <c r="G16" s="551">
        <f t="shared" ca="1" si="0"/>
        <v>566578</v>
      </c>
      <c r="H16" s="639">
        <f ca="1">SUMIF(INDIRECT(H$3&amp;"!$ｄ:$ｄ"),"共通仮設費",INDIRECT(H$3&amp;"!$I:$ｉ"))</f>
        <v>566578</v>
      </c>
      <c r="I16" s="653"/>
    </row>
    <row r="17" spans="1:17" ht="13.5" customHeight="1">
      <c r="A17" s="502"/>
      <c r="B17" s="503"/>
      <c r="C17" s="609"/>
      <c r="D17" s="493"/>
      <c r="E17" s="484"/>
      <c r="F17" s="608" t="s">
        <v>2094</v>
      </c>
      <c r="G17" s="504">
        <f t="shared" si="0"/>
        <v>1495334</v>
      </c>
      <c r="H17" s="630">
        <f>+諸経費表!G22</f>
        <v>1495334</v>
      </c>
    </row>
    <row r="18" spans="1:17" ht="13.5" customHeight="1">
      <c r="A18" s="502"/>
      <c r="B18" s="503"/>
      <c r="C18" s="609"/>
      <c r="D18" s="494"/>
      <c r="E18" s="485"/>
      <c r="F18" s="607" t="s">
        <v>2092</v>
      </c>
      <c r="G18" s="505">
        <f t="shared" si="0"/>
        <v>1634265</v>
      </c>
      <c r="H18" s="631">
        <f>+諸経費表!G27</f>
        <v>1634265</v>
      </c>
      <c r="Q18" s="508"/>
    </row>
    <row r="19" spans="1:17" s="508" customFormat="1" ht="13.5" customHeight="1">
      <c r="A19" s="506"/>
      <c r="B19" s="482"/>
      <c r="C19" s="495"/>
      <c r="D19" s="611" t="s">
        <v>347</v>
      </c>
      <c r="E19" s="489"/>
      <c r="F19" s="507"/>
      <c r="G19" s="554">
        <f t="shared" ca="1" si="0"/>
        <v>11660000</v>
      </c>
      <c r="H19" s="632">
        <f ca="1">+H15+H5</f>
        <v>11660000</v>
      </c>
      <c r="I19" s="654"/>
    </row>
    <row r="20" spans="1:17" s="508" customFormat="1" ht="13.5" customHeight="1">
      <c r="A20" s="488"/>
      <c r="B20" s="488"/>
      <c r="C20" s="509"/>
      <c r="D20" s="488"/>
      <c r="E20" s="488"/>
      <c r="F20" s="510"/>
      <c r="G20" s="511" t="str">
        <f ca="1">IF(G$19=G324,"","工事価格が一致ません。↑")</f>
        <v/>
      </c>
      <c r="H20" s="633" t="str">
        <f ca="1">IF(H$19=H324,"","↑error")</f>
        <v/>
      </c>
      <c r="I20" s="654"/>
    </row>
    <row r="21" spans="1:17" s="508" customFormat="1" ht="13.5" customHeight="1">
      <c r="A21" s="512" t="s">
        <v>2095</v>
      </c>
      <c r="B21" s="483"/>
      <c r="C21" s="513"/>
      <c r="D21" s="483"/>
      <c r="E21" s="2221" t="s">
        <v>2014</v>
      </c>
      <c r="F21" s="514"/>
      <c r="G21" s="557" t="s">
        <v>2029</v>
      </c>
      <c r="H21" s="634" t="s">
        <v>2111</v>
      </c>
      <c r="I21" s="654"/>
    </row>
    <row r="22" spans="1:17" s="508" customFormat="1" ht="13.5" customHeight="1">
      <c r="A22" s="487"/>
      <c r="B22" s="2218" t="s">
        <v>2370</v>
      </c>
      <c r="C22" s="2219"/>
      <c r="D22" s="2220"/>
      <c r="E22" s="2222"/>
      <c r="F22" s="515"/>
      <c r="G22" s="558" t="s">
        <v>2028</v>
      </c>
      <c r="H22" s="663" t="s">
        <v>2371</v>
      </c>
      <c r="I22" s="654"/>
    </row>
    <row r="23" spans="1:17" ht="13.5" customHeight="1">
      <c r="A23" s="502"/>
      <c r="B23" s="516"/>
      <c r="C23" s="602" t="s">
        <v>2130</v>
      </c>
      <c r="D23" s="517" t="s">
        <v>2013</v>
      </c>
      <c r="E23" s="570">
        <v>38</v>
      </c>
      <c r="F23" s="518" t="s">
        <v>2131</v>
      </c>
      <c r="G23" s="519">
        <f t="shared" ref="G23:G49" ca="1" si="1">SUM(H23:I23)</f>
        <v>5860463</v>
      </c>
      <c r="H23" s="635">
        <f ca="1">IF(H$4="費用",0,H11-SUM(H24:H48)-H87-H69)</f>
        <v>5860463</v>
      </c>
    </row>
    <row r="24" spans="1:17" ht="13.5" hidden="1" customHeight="1">
      <c r="A24" s="502"/>
      <c r="B24" s="503"/>
      <c r="C24" s="601" t="s">
        <v>2132</v>
      </c>
      <c r="D24" s="521" t="s">
        <v>2013</v>
      </c>
      <c r="E24" s="571">
        <v>34</v>
      </c>
      <c r="F24" s="522" t="s">
        <v>2133</v>
      </c>
      <c r="G24" s="523">
        <f t="shared" si="1"/>
        <v>0</v>
      </c>
      <c r="H24" s="661"/>
    </row>
    <row r="25" spans="1:17" ht="13.5" hidden="1" customHeight="1">
      <c r="A25" s="502"/>
      <c r="B25" s="503"/>
      <c r="C25" s="602" t="s">
        <v>2134</v>
      </c>
      <c r="D25" s="521" t="s">
        <v>2013</v>
      </c>
      <c r="E25" s="571">
        <v>31</v>
      </c>
      <c r="F25" s="522" t="s">
        <v>2135</v>
      </c>
      <c r="G25" s="523">
        <f t="shared" si="1"/>
        <v>0</v>
      </c>
      <c r="H25" s="661"/>
    </row>
    <row r="26" spans="1:17" ht="13.5" hidden="1" customHeight="1">
      <c r="A26" s="502"/>
      <c r="B26" s="503"/>
      <c r="C26" s="601" t="s">
        <v>2136</v>
      </c>
      <c r="D26" s="521" t="s">
        <v>2013</v>
      </c>
      <c r="E26" s="571">
        <v>25</v>
      </c>
      <c r="F26" s="522" t="s">
        <v>2137</v>
      </c>
      <c r="G26" s="523">
        <f t="shared" si="1"/>
        <v>0</v>
      </c>
      <c r="H26" s="661"/>
    </row>
    <row r="27" spans="1:17" ht="13.5" hidden="1" customHeight="1">
      <c r="A27" s="502"/>
      <c r="B27" s="503"/>
      <c r="C27" s="602" t="s">
        <v>2138</v>
      </c>
      <c r="D27" s="521" t="s">
        <v>2013</v>
      </c>
      <c r="E27" s="571">
        <v>19</v>
      </c>
      <c r="F27" s="522" t="s">
        <v>2139</v>
      </c>
      <c r="G27" s="523">
        <f t="shared" si="1"/>
        <v>0</v>
      </c>
      <c r="H27" s="661"/>
    </row>
    <row r="28" spans="1:17" ht="13.5" hidden="1" customHeight="1">
      <c r="A28" s="502"/>
      <c r="B28" s="503"/>
      <c r="C28" s="601" t="s">
        <v>2140</v>
      </c>
      <c r="D28" s="521" t="s">
        <v>2013</v>
      </c>
      <c r="E28" s="571">
        <v>17</v>
      </c>
      <c r="F28" s="522" t="s">
        <v>2141</v>
      </c>
      <c r="G28" s="523">
        <f t="shared" si="1"/>
        <v>0</v>
      </c>
      <c r="H28" s="661"/>
    </row>
    <row r="29" spans="1:17" ht="13.5" hidden="1" customHeight="1">
      <c r="A29" s="502"/>
      <c r="B29" s="503"/>
      <c r="C29" s="602" t="s">
        <v>2142</v>
      </c>
      <c r="D29" s="521" t="s">
        <v>2013</v>
      </c>
      <c r="E29" s="571">
        <v>15</v>
      </c>
      <c r="F29" s="522" t="s">
        <v>2143</v>
      </c>
      <c r="G29" s="523">
        <f t="shared" si="1"/>
        <v>0</v>
      </c>
      <c r="H29" s="661"/>
    </row>
    <row r="30" spans="1:17" ht="13.5" hidden="1" customHeight="1">
      <c r="A30" s="502"/>
      <c r="B30" s="503"/>
      <c r="C30" s="601" t="s">
        <v>2144</v>
      </c>
      <c r="D30" s="521" t="s">
        <v>2013</v>
      </c>
      <c r="E30" s="571">
        <v>10</v>
      </c>
      <c r="F30" s="522" t="s">
        <v>2145</v>
      </c>
      <c r="G30" s="523">
        <f t="shared" si="1"/>
        <v>0</v>
      </c>
      <c r="H30" s="661"/>
    </row>
    <row r="31" spans="1:17" ht="13.5" hidden="1" customHeight="1">
      <c r="A31" s="502"/>
      <c r="B31" s="503"/>
      <c r="C31" s="602" t="s">
        <v>2146</v>
      </c>
      <c r="D31" s="521" t="s">
        <v>2013</v>
      </c>
      <c r="E31" s="571">
        <v>7</v>
      </c>
      <c r="F31" s="522" t="s">
        <v>2147</v>
      </c>
      <c r="G31" s="523">
        <f t="shared" si="1"/>
        <v>0</v>
      </c>
      <c r="H31" s="661"/>
    </row>
    <row r="32" spans="1:17" s="536" customFormat="1" ht="13.5" hidden="1" customHeight="1">
      <c r="A32" s="502"/>
      <c r="B32" s="503"/>
      <c r="C32" s="601" t="s">
        <v>2148</v>
      </c>
      <c r="D32" s="525" t="s">
        <v>345</v>
      </c>
      <c r="E32" s="571">
        <v>6</v>
      </c>
      <c r="F32" s="565" t="s">
        <v>2149</v>
      </c>
      <c r="G32" s="533">
        <f t="shared" si="1"/>
        <v>0</v>
      </c>
      <c r="H32" s="636"/>
    </row>
    <row r="33" spans="1:9" s="536" customFormat="1" ht="13.5" hidden="1" customHeight="1">
      <c r="A33" s="502"/>
      <c r="B33" s="503"/>
      <c r="C33" s="602" t="s">
        <v>2150</v>
      </c>
      <c r="D33" s="525" t="s">
        <v>345</v>
      </c>
      <c r="E33" s="571">
        <v>15</v>
      </c>
      <c r="F33" s="565" t="s">
        <v>2151</v>
      </c>
      <c r="G33" s="533">
        <f t="shared" si="1"/>
        <v>0</v>
      </c>
      <c r="H33" s="636"/>
    </row>
    <row r="34" spans="1:9" s="536" customFormat="1" ht="13.5" hidden="1" customHeight="1">
      <c r="A34" s="502"/>
      <c r="B34" s="503"/>
      <c r="C34" s="601" t="s">
        <v>2152</v>
      </c>
      <c r="D34" s="525" t="s">
        <v>345</v>
      </c>
      <c r="E34" s="571">
        <v>15</v>
      </c>
      <c r="F34" s="565" t="s">
        <v>2153</v>
      </c>
      <c r="G34" s="533">
        <f t="shared" si="1"/>
        <v>0</v>
      </c>
      <c r="H34" s="636"/>
    </row>
    <row r="35" spans="1:9" s="536" customFormat="1" ht="13.5" hidden="1" customHeight="1">
      <c r="A35" s="502"/>
      <c r="B35" s="503"/>
      <c r="C35" s="602" t="s">
        <v>2154</v>
      </c>
      <c r="D35" s="525" t="s">
        <v>345</v>
      </c>
      <c r="E35" s="571">
        <v>13</v>
      </c>
      <c r="F35" s="565" t="s">
        <v>2155</v>
      </c>
      <c r="G35" s="533">
        <f t="shared" si="1"/>
        <v>0</v>
      </c>
      <c r="H35" s="636"/>
    </row>
    <row r="36" spans="1:9" s="536" customFormat="1" ht="13.5" hidden="1" customHeight="1">
      <c r="A36" s="502"/>
      <c r="B36" s="503"/>
      <c r="C36" s="601" t="s">
        <v>2156</v>
      </c>
      <c r="D36" s="525" t="s">
        <v>345</v>
      </c>
      <c r="E36" s="571">
        <v>15</v>
      </c>
      <c r="F36" s="565" t="s">
        <v>2157</v>
      </c>
      <c r="G36" s="533">
        <f t="shared" si="1"/>
        <v>0</v>
      </c>
      <c r="H36" s="636"/>
    </row>
    <row r="37" spans="1:9" s="536" customFormat="1" ht="13.5" hidden="1" customHeight="1">
      <c r="A37" s="502"/>
      <c r="B37" s="503"/>
      <c r="C37" s="602" t="s">
        <v>2158</v>
      </c>
      <c r="D37" s="525" t="s">
        <v>345</v>
      </c>
      <c r="E37" s="571">
        <v>17</v>
      </c>
      <c r="F37" s="565" t="s">
        <v>2159</v>
      </c>
      <c r="G37" s="533">
        <f t="shared" si="1"/>
        <v>0</v>
      </c>
      <c r="H37" s="636"/>
    </row>
    <row r="38" spans="1:9" s="536" customFormat="1" ht="13.5" hidden="1" customHeight="1">
      <c r="A38" s="502"/>
      <c r="B38" s="503"/>
      <c r="C38" s="601" t="s">
        <v>2160</v>
      </c>
      <c r="D38" s="525" t="s">
        <v>345</v>
      </c>
      <c r="E38" s="571">
        <v>15</v>
      </c>
      <c r="F38" s="565" t="s">
        <v>2161</v>
      </c>
      <c r="G38" s="533">
        <f t="shared" si="1"/>
        <v>0</v>
      </c>
      <c r="H38" s="636"/>
    </row>
    <row r="39" spans="1:9" ht="13.5" hidden="1" customHeight="1">
      <c r="A39" s="502"/>
      <c r="B39" s="503"/>
      <c r="C39" s="602" t="s">
        <v>2162</v>
      </c>
      <c r="D39" s="521"/>
      <c r="E39" s="571">
        <v>8</v>
      </c>
      <c r="F39" s="522" t="s">
        <v>2163</v>
      </c>
      <c r="G39" s="523">
        <f t="shared" si="1"/>
        <v>0</v>
      </c>
      <c r="H39" s="661"/>
    </row>
    <row r="40" spans="1:9" ht="13.5" hidden="1" customHeight="1">
      <c r="A40" s="502"/>
      <c r="B40" s="503"/>
      <c r="C40" s="601" t="s">
        <v>2164</v>
      </c>
      <c r="D40" s="521" t="s">
        <v>2114</v>
      </c>
      <c r="E40" s="571">
        <v>12</v>
      </c>
      <c r="F40" s="522" t="s">
        <v>2165</v>
      </c>
      <c r="G40" s="523">
        <f t="shared" si="1"/>
        <v>0</v>
      </c>
      <c r="H40" s="661"/>
    </row>
    <row r="41" spans="1:9" ht="13.5" hidden="1" customHeight="1">
      <c r="A41" s="502"/>
      <c r="B41" s="503"/>
      <c r="C41" s="602" t="s">
        <v>2166</v>
      </c>
      <c r="D41" s="521" t="s">
        <v>2114</v>
      </c>
      <c r="E41" s="571">
        <v>15</v>
      </c>
      <c r="F41" s="522" t="s">
        <v>2167</v>
      </c>
      <c r="G41" s="523">
        <f t="shared" si="1"/>
        <v>0</v>
      </c>
      <c r="H41" s="661"/>
    </row>
    <row r="42" spans="1:9" ht="13.5" hidden="1" customHeight="1">
      <c r="A42" s="502"/>
      <c r="B42" s="503"/>
      <c r="C42" s="601" t="s">
        <v>2168</v>
      </c>
      <c r="D42" s="521" t="s">
        <v>2114</v>
      </c>
      <c r="E42" s="571">
        <v>8</v>
      </c>
      <c r="F42" s="522" t="s">
        <v>2011</v>
      </c>
      <c r="G42" s="523">
        <f t="shared" si="1"/>
        <v>0</v>
      </c>
      <c r="H42" s="661"/>
    </row>
    <row r="43" spans="1:9" ht="13.5" hidden="1" customHeight="1">
      <c r="A43" s="502"/>
      <c r="B43" s="503"/>
      <c r="C43" s="602" t="s">
        <v>2169</v>
      </c>
      <c r="D43" s="521" t="s">
        <v>2114</v>
      </c>
      <c r="E43" s="571">
        <v>3</v>
      </c>
      <c r="F43" s="522" t="s">
        <v>2012</v>
      </c>
      <c r="G43" s="523">
        <f t="shared" ca="1" si="1"/>
        <v>0</v>
      </c>
      <c r="H43" s="636">
        <f ca="1">SUMIF(INDIRECT(H$3&amp;"!$ｎ:$ｎ"),"店舗用簡易設備",INDIRECT(H$3&amp;"!$i:$i"))</f>
        <v>0</v>
      </c>
    </row>
    <row r="44" spans="1:9" ht="13.5" hidden="1" customHeight="1">
      <c r="A44" s="502"/>
      <c r="B44" s="503"/>
      <c r="C44" s="601" t="s">
        <v>2170</v>
      </c>
      <c r="D44" s="521" t="s">
        <v>2114</v>
      </c>
      <c r="E44" s="571">
        <v>3</v>
      </c>
      <c r="F44" s="522" t="s">
        <v>2171</v>
      </c>
      <c r="G44" s="523">
        <f t="shared" ca="1" si="1"/>
        <v>0</v>
      </c>
      <c r="H44" s="636">
        <f ca="1">SUMIF(INDIRECT(H$3&amp;"!$ｎ:$ｎ"),"可動間仕切り-簡易なもの",INDIRECT(H$3&amp;"!$i:$i"))</f>
        <v>0</v>
      </c>
    </row>
    <row r="45" spans="1:9" ht="13.5" hidden="1" customHeight="1">
      <c r="A45" s="502"/>
      <c r="B45" s="516"/>
      <c r="C45" s="602" t="s">
        <v>2172</v>
      </c>
      <c r="D45" s="521" t="s">
        <v>2114</v>
      </c>
      <c r="E45" s="571">
        <v>15</v>
      </c>
      <c r="F45" s="522" t="s">
        <v>2173</v>
      </c>
      <c r="G45" s="523">
        <f t="shared" ca="1" si="1"/>
        <v>0</v>
      </c>
      <c r="H45" s="636">
        <f ca="1">SUMIF(INDIRECT(H$3&amp;"!$ｎ:$ｎ"),"可動間仕切り-その他",INDIRECT(H$3&amp;"!$i:$i"))</f>
        <v>0</v>
      </c>
    </row>
    <row r="46" spans="1:9" ht="13.5" hidden="1" customHeight="1">
      <c r="A46" s="502"/>
      <c r="B46" s="503"/>
      <c r="C46" s="601" t="s">
        <v>2174</v>
      </c>
      <c r="D46" s="521" t="s">
        <v>2114</v>
      </c>
      <c r="E46" s="571">
        <v>18</v>
      </c>
      <c r="F46" s="522" t="s">
        <v>2175</v>
      </c>
      <c r="G46" s="523">
        <f t="shared" ca="1" si="1"/>
        <v>0</v>
      </c>
      <c r="H46" s="636">
        <f ca="1">SUMIF(INDIRECT(H$3&amp;"!$ｎ:$ｎ"),"シャッター等（金属製）",INDIRECT(H$3&amp;"!$i:$i"))</f>
        <v>0</v>
      </c>
    </row>
    <row r="47" spans="1:9" ht="13.5" hidden="1" customHeight="1">
      <c r="A47" s="502"/>
      <c r="B47" s="503"/>
      <c r="C47" s="602" t="s">
        <v>2176</v>
      </c>
      <c r="D47" s="521" t="s">
        <v>2114</v>
      </c>
      <c r="E47" s="573">
        <v>10</v>
      </c>
      <c r="F47" s="522" t="s">
        <v>2177</v>
      </c>
      <c r="G47" s="523">
        <f t="shared" ca="1" si="1"/>
        <v>0</v>
      </c>
      <c r="H47" s="636">
        <f ca="1">SUMIF(INDIRECT(H$3&amp;"!$ｎ:$ｎ"),"シャッター等（その他）",INDIRECT(H$3&amp;"!$i:$i"))</f>
        <v>0</v>
      </c>
    </row>
    <row r="48" spans="1:9" ht="13.5" hidden="1" customHeight="1">
      <c r="A48" s="502"/>
      <c r="B48" s="503"/>
      <c r="C48" s="687"/>
      <c r="D48" s="674"/>
      <c r="E48" s="688"/>
      <c r="F48" s="689"/>
      <c r="G48" s="690">
        <f t="shared" si="1"/>
        <v>0</v>
      </c>
      <c r="H48" s="661"/>
    </row>
    <row r="49" spans="1:9" ht="13.5" customHeight="1">
      <c r="A49" s="526"/>
      <c r="B49" s="527"/>
      <c r="C49" s="527"/>
      <c r="D49" s="527"/>
      <c r="E49" s="619"/>
      <c r="F49" s="590" t="s">
        <v>2026</v>
      </c>
      <c r="G49" s="529">
        <f t="shared" ca="1" si="1"/>
        <v>5860463</v>
      </c>
      <c r="H49" s="637">
        <f ca="1">IF(H$4="費用",0,SUM(H23:H48))</f>
        <v>5860463</v>
      </c>
    </row>
    <row r="50" spans="1:9" s="508" customFormat="1" ht="12.75" customHeight="1">
      <c r="A50" s="512" t="s">
        <v>2096</v>
      </c>
      <c r="B50" s="483"/>
      <c r="C50" s="513"/>
      <c r="D50" s="483"/>
      <c r="E50" s="2221" t="s">
        <v>2014</v>
      </c>
      <c r="F50" s="514"/>
      <c r="G50" s="557" t="s">
        <v>2029</v>
      </c>
      <c r="H50" s="634" t="s">
        <v>2112</v>
      </c>
      <c r="I50" s="654"/>
    </row>
    <row r="51" spans="1:9" s="508" customFormat="1" ht="13.5" customHeight="1">
      <c r="A51" s="487"/>
      <c r="B51" s="2218" t="s">
        <v>2370</v>
      </c>
      <c r="C51" s="2219"/>
      <c r="D51" s="2220"/>
      <c r="E51" s="2222"/>
      <c r="F51" s="515"/>
      <c r="G51" s="558" t="s">
        <v>2030</v>
      </c>
      <c r="H51" s="638" t="s">
        <v>2034</v>
      </c>
      <c r="I51" s="654"/>
    </row>
    <row r="52" spans="1:9" ht="13.5" hidden="1" customHeight="1">
      <c r="A52" s="502"/>
      <c r="B52" s="516"/>
      <c r="C52" s="517" t="s">
        <v>2124</v>
      </c>
      <c r="D52" s="517"/>
      <c r="E52" s="570">
        <v>32</v>
      </c>
      <c r="F52" s="518"/>
      <c r="G52" s="523">
        <f>SUM(H52:I52)</f>
        <v>0</v>
      </c>
      <c r="H52" s="636">
        <f>SUM(H53:H54)</f>
        <v>0</v>
      </c>
    </row>
    <row r="53" spans="1:9" ht="13.5" hidden="1" customHeight="1">
      <c r="A53" s="502"/>
      <c r="B53" s="503"/>
      <c r="C53" s="601" t="s">
        <v>2130</v>
      </c>
      <c r="D53" s="521" t="s">
        <v>2033</v>
      </c>
      <c r="E53" s="571"/>
      <c r="F53" s="522" t="s">
        <v>2120</v>
      </c>
      <c r="G53" s="523"/>
      <c r="H53" s="661"/>
    </row>
    <row r="54" spans="1:9" ht="13.5" hidden="1" customHeight="1">
      <c r="A54" s="502"/>
      <c r="B54" s="503"/>
      <c r="C54" s="679" t="s">
        <v>2039</v>
      </c>
      <c r="D54" s="593" t="s">
        <v>2178</v>
      </c>
      <c r="E54" s="594"/>
      <c r="F54" s="595" t="s">
        <v>2178</v>
      </c>
      <c r="G54" s="596"/>
      <c r="H54" s="680"/>
    </row>
    <row r="55" spans="1:9" ht="13.5" hidden="1" customHeight="1">
      <c r="A55" s="502"/>
      <c r="B55" s="503"/>
      <c r="C55" s="681"/>
      <c r="D55" s="682"/>
      <c r="E55" s="683"/>
      <c r="F55" s="684"/>
      <c r="G55" s="685" t="s">
        <v>2029</v>
      </c>
      <c r="H55" s="686" t="s">
        <v>2112</v>
      </c>
    </row>
    <row r="56" spans="1:9" ht="13.5" hidden="1" customHeight="1">
      <c r="A56" s="502"/>
      <c r="B56" s="503"/>
      <c r="C56" s="597"/>
      <c r="D56" s="598"/>
      <c r="E56" s="599"/>
      <c r="F56" s="600"/>
      <c r="G56" s="558" t="s">
        <v>2028</v>
      </c>
      <c r="H56" s="666"/>
    </row>
    <row r="57" spans="1:9" ht="13.5" hidden="1" customHeight="1">
      <c r="A57" s="502"/>
      <c r="B57" s="503"/>
      <c r="C57" s="587" t="s">
        <v>2179</v>
      </c>
      <c r="D57" s="587"/>
      <c r="E57" s="588"/>
      <c r="F57" s="589"/>
      <c r="G57" s="591"/>
      <c r="H57" s="639"/>
    </row>
    <row r="58" spans="1:9" ht="13.5" hidden="1" customHeight="1">
      <c r="A58" s="502"/>
      <c r="B58" s="503"/>
      <c r="C58" s="601" t="s">
        <v>2180</v>
      </c>
      <c r="D58" s="521" t="s">
        <v>2033</v>
      </c>
      <c r="E58" s="571">
        <v>15</v>
      </c>
      <c r="F58" s="522" t="s">
        <v>2035</v>
      </c>
      <c r="G58" s="523">
        <f t="shared" ref="G58:G69" si="2">SUM(H58:I58)</f>
        <v>0</v>
      </c>
      <c r="H58" s="661"/>
    </row>
    <row r="59" spans="1:9" ht="13.5" hidden="1" customHeight="1">
      <c r="A59" s="502"/>
      <c r="B59" s="503"/>
      <c r="C59" s="601" t="s">
        <v>2039</v>
      </c>
      <c r="D59" s="521" t="s">
        <v>2033</v>
      </c>
      <c r="E59" s="571">
        <v>10</v>
      </c>
      <c r="F59" s="522" t="s">
        <v>2036</v>
      </c>
      <c r="G59" s="523">
        <f t="shared" si="2"/>
        <v>0</v>
      </c>
      <c r="H59" s="661"/>
    </row>
    <row r="60" spans="1:9" ht="13.5" hidden="1" customHeight="1">
      <c r="A60" s="502"/>
      <c r="B60" s="503"/>
      <c r="C60" s="601" t="s">
        <v>2040</v>
      </c>
      <c r="D60" s="521" t="s">
        <v>2033</v>
      </c>
      <c r="E60" s="571">
        <v>3</v>
      </c>
      <c r="F60" s="565" t="s">
        <v>2037</v>
      </c>
      <c r="G60" s="533">
        <f t="shared" si="2"/>
        <v>0</v>
      </c>
      <c r="H60" s="661"/>
    </row>
    <row r="61" spans="1:9" ht="13.5" hidden="1" customHeight="1">
      <c r="A61" s="502"/>
      <c r="B61" s="503"/>
      <c r="C61" s="601" t="s">
        <v>2041</v>
      </c>
      <c r="D61" s="521" t="s">
        <v>2181</v>
      </c>
      <c r="E61" s="571">
        <v>30</v>
      </c>
      <c r="F61" s="565" t="s">
        <v>2045</v>
      </c>
      <c r="G61" s="533">
        <f t="shared" si="2"/>
        <v>0</v>
      </c>
      <c r="H61" s="661"/>
    </row>
    <row r="62" spans="1:9" ht="13.5" hidden="1" customHeight="1">
      <c r="A62" s="502"/>
      <c r="B62" s="503"/>
      <c r="C62" s="601" t="s">
        <v>2042</v>
      </c>
      <c r="D62" s="521" t="s">
        <v>2038</v>
      </c>
      <c r="E62" s="571">
        <v>60</v>
      </c>
      <c r="F62" s="565" t="s">
        <v>2045</v>
      </c>
      <c r="G62" s="533">
        <f t="shared" si="2"/>
        <v>0</v>
      </c>
      <c r="H62" s="661"/>
    </row>
    <row r="63" spans="1:9" ht="13.5" hidden="1" customHeight="1">
      <c r="A63" s="502"/>
      <c r="B63" s="503"/>
      <c r="C63" s="601" t="s">
        <v>2043</v>
      </c>
      <c r="D63" s="521" t="s">
        <v>2181</v>
      </c>
      <c r="E63" s="571">
        <v>15</v>
      </c>
      <c r="F63" s="565" t="s">
        <v>2046</v>
      </c>
      <c r="G63" s="533">
        <f t="shared" si="2"/>
        <v>0</v>
      </c>
      <c r="H63" s="661"/>
    </row>
    <row r="64" spans="1:9" ht="13.5" hidden="1" customHeight="1">
      <c r="A64" s="502"/>
      <c r="B64" s="503"/>
      <c r="C64" s="601" t="s">
        <v>2044</v>
      </c>
      <c r="D64" s="521" t="s">
        <v>2038</v>
      </c>
      <c r="E64" s="571">
        <v>40</v>
      </c>
      <c r="F64" s="565" t="s">
        <v>2046</v>
      </c>
      <c r="G64" s="533">
        <f t="shared" si="2"/>
        <v>0</v>
      </c>
      <c r="H64" s="661"/>
    </row>
    <row r="65" spans="1:9" ht="13.5" hidden="1" customHeight="1">
      <c r="A65" s="502"/>
      <c r="B65" s="503"/>
      <c r="C65" s="601" t="s">
        <v>2047</v>
      </c>
      <c r="D65" s="521" t="s">
        <v>2181</v>
      </c>
      <c r="E65" s="571">
        <v>10</v>
      </c>
      <c r="F65" s="565" t="s">
        <v>2049</v>
      </c>
      <c r="G65" s="533">
        <f t="shared" si="2"/>
        <v>0</v>
      </c>
      <c r="H65" s="661"/>
    </row>
    <row r="66" spans="1:9" ht="13.5" hidden="1" customHeight="1">
      <c r="A66" s="502"/>
      <c r="B66" s="503"/>
      <c r="C66" s="601" t="s">
        <v>2048</v>
      </c>
      <c r="D66" s="521" t="s">
        <v>2038</v>
      </c>
      <c r="E66" s="571">
        <v>45</v>
      </c>
      <c r="F66" s="565" t="s">
        <v>2049</v>
      </c>
      <c r="G66" s="533">
        <f t="shared" si="2"/>
        <v>0</v>
      </c>
      <c r="H66" s="661"/>
    </row>
    <row r="67" spans="1:9" ht="13.5" hidden="1" customHeight="1">
      <c r="A67" s="502"/>
      <c r="B67" s="503"/>
      <c r="C67" s="601" t="s">
        <v>2182</v>
      </c>
      <c r="D67" s="521" t="s">
        <v>2181</v>
      </c>
      <c r="E67" s="571">
        <v>10</v>
      </c>
      <c r="F67" s="565" t="s">
        <v>2050</v>
      </c>
      <c r="G67" s="533">
        <f t="shared" si="2"/>
        <v>0</v>
      </c>
      <c r="H67" s="661"/>
    </row>
    <row r="68" spans="1:9" ht="13.5" hidden="1" customHeight="1">
      <c r="A68" s="502"/>
      <c r="B68" s="503"/>
      <c r="C68" s="601" t="s">
        <v>2183</v>
      </c>
      <c r="D68" s="521" t="s">
        <v>2038</v>
      </c>
      <c r="E68" s="571">
        <v>15</v>
      </c>
      <c r="F68" s="565" t="s">
        <v>2050</v>
      </c>
      <c r="G68" s="533">
        <f t="shared" si="2"/>
        <v>0</v>
      </c>
      <c r="H68" s="661"/>
    </row>
    <row r="69" spans="1:9" ht="13.5" customHeight="1">
      <c r="A69" s="526"/>
      <c r="B69" s="527"/>
      <c r="C69" s="527"/>
      <c r="D69" s="527"/>
      <c r="E69" s="619"/>
      <c r="F69" s="590" t="s">
        <v>2032</v>
      </c>
      <c r="G69" s="529">
        <f t="shared" si="2"/>
        <v>0</v>
      </c>
      <c r="H69" s="637">
        <f>IF(H$4="費用",0,SUM(H52,H58:H68))</f>
        <v>0</v>
      </c>
    </row>
    <row r="70" spans="1:9" ht="13.5" customHeight="1">
      <c r="A70" s="503"/>
      <c r="B70" s="516"/>
      <c r="C70" s="516"/>
      <c r="D70" s="516"/>
      <c r="E70" s="516"/>
      <c r="F70" s="615"/>
      <c r="G70" s="618"/>
      <c r="H70" s="640"/>
    </row>
    <row r="71" spans="1:9" ht="13.5" customHeight="1">
      <c r="A71" s="597"/>
      <c r="B71" s="611"/>
      <c r="C71" s="611"/>
      <c r="D71" s="611"/>
      <c r="E71" s="611"/>
      <c r="F71" s="568"/>
      <c r="G71" s="617"/>
      <c r="H71" s="641"/>
    </row>
    <row r="72" spans="1:9" s="508" customFormat="1" ht="13.5" customHeight="1">
      <c r="A72" s="556" t="s">
        <v>2097</v>
      </c>
      <c r="B72" s="483"/>
      <c r="C72" s="513"/>
      <c r="D72" s="483"/>
      <c r="E72" s="2221" t="s">
        <v>2014</v>
      </c>
      <c r="F72" s="514"/>
      <c r="G72" s="557" t="s">
        <v>2029</v>
      </c>
      <c r="H72" s="634" t="s">
        <v>2184</v>
      </c>
      <c r="I72" s="654"/>
    </row>
    <row r="73" spans="1:9" s="508" customFormat="1" ht="13.5" customHeight="1">
      <c r="A73" s="487"/>
      <c r="B73" s="2218" t="s">
        <v>2370</v>
      </c>
      <c r="C73" s="2219"/>
      <c r="D73" s="2220"/>
      <c r="E73" s="2222"/>
      <c r="F73" s="515"/>
      <c r="G73" s="558" t="s">
        <v>2030</v>
      </c>
      <c r="H73" s="638" t="s">
        <v>2185</v>
      </c>
      <c r="I73" s="654"/>
    </row>
    <row r="74" spans="1:9" ht="13.5" hidden="1" customHeight="1">
      <c r="A74" s="502"/>
      <c r="B74" s="516"/>
      <c r="C74" s="530" t="s">
        <v>700</v>
      </c>
      <c r="D74" s="517"/>
      <c r="E74" s="570">
        <v>10</v>
      </c>
      <c r="F74" s="531" t="s">
        <v>2186</v>
      </c>
      <c r="G74" s="519">
        <f ca="1">SUM(H74:I74)</f>
        <v>0</v>
      </c>
      <c r="H74" s="636">
        <f ca="1">SUM(H75:H79)</f>
        <v>0</v>
      </c>
    </row>
    <row r="75" spans="1:9" ht="13.5" hidden="1" customHeight="1">
      <c r="A75" s="502"/>
      <c r="B75" s="503"/>
      <c r="C75" s="601" t="s">
        <v>2180</v>
      </c>
      <c r="D75" s="521" t="s">
        <v>2051</v>
      </c>
      <c r="E75" s="571"/>
      <c r="F75" s="532" t="s">
        <v>2015</v>
      </c>
      <c r="G75" s="533"/>
      <c r="H75" s="636">
        <f ca="1">SUMIF(INDIRECT(H$3&amp;"!$ｎ:$ｎ"),"電照サイン（金属製）",INDIRECT(H$3&amp;"!$i:$i"))</f>
        <v>0</v>
      </c>
    </row>
    <row r="76" spans="1:9" ht="13.5" hidden="1" customHeight="1">
      <c r="A76" s="502"/>
      <c r="B76" s="503"/>
      <c r="C76" s="601" t="s">
        <v>2039</v>
      </c>
      <c r="D76" s="521" t="s">
        <v>2052</v>
      </c>
      <c r="E76" s="571"/>
      <c r="F76" s="532"/>
      <c r="G76" s="533"/>
      <c r="H76" s="636">
        <f ca="1">SUMIF(INDIRECT(H$3&amp;"!$ｎ:$ｎ"),"非電照サイン（金属製）",INDIRECT(H$3&amp;"!$i:$i"))</f>
        <v>0</v>
      </c>
    </row>
    <row r="77" spans="1:9" ht="13.5" hidden="1" customHeight="1">
      <c r="A77" s="502"/>
      <c r="B77" s="503"/>
      <c r="C77" s="601" t="s">
        <v>2040</v>
      </c>
      <c r="D77" s="521" t="s">
        <v>2053</v>
      </c>
      <c r="E77" s="571"/>
      <c r="F77" s="532"/>
      <c r="G77" s="533"/>
      <c r="H77" s="636">
        <f ca="1">SUMIF(INDIRECT(H$3&amp;"!$ｎ:$ｎ"),"電照広告（金属製）",INDIRECT(H$3&amp;"!$i:$i"))</f>
        <v>0</v>
      </c>
    </row>
    <row r="78" spans="1:9" s="536" customFormat="1" ht="13.5" hidden="1" customHeight="1">
      <c r="A78" s="502"/>
      <c r="B78" s="503"/>
      <c r="C78" s="601" t="s">
        <v>2041</v>
      </c>
      <c r="D78" s="521" t="s">
        <v>2054</v>
      </c>
      <c r="E78" s="572"/>
      <c r="F78" s="535"/>
      <c r="G78" s="533"/>
      <c r="H78" s="636">
        <f ca="1">SUMIF(INDIRECT(H$3&amp;"!$ｎ:$ｎ"),"非電照広告（金属製）",INDIRECT(H$3&amp;"!$i:$i"))</f>
        <v>0</v>
      </c>
    </row>
    <row r="79" spans="1:9" s="536" customFormat="1" ht="13.5" hidden="1" customHeight="1">
      <c r="A79" s="502"/>
      <c r="B79" s="503"/>
      <c r="C79" s="601" t="s">
        <v>2042</v>
      </c>
      <c r="D79" s="534" t="s">
        <v>2055</v>
      </c>
      <c r="E79" s="572"/>
      <c r="F79" s="535"/>
      <c r="G79" s="533"/>
      <c r="H79" s="636">
        <f ca="1">SUMIF(INDIRECT(H$3&amp;"!$ｎ:$ｎ"),"電気設備",INDIRECT(H$3&amp;"!$i:$i"))</f>
        <v>0</v>
      </c>
    </row>
    <row r="80" spans="1:9" ht="13.5" hidden="1" customHeight="1">
      <c r="A80" s="502"/>
      <c r="B80" s="503"/>
      <c r="C80" s="524" t="s">
        <v>702</v>
      </c>
      <c r="D80" s="521"/>
      <c r="E80" s="571">
        <v>5</v>
      </c>
      <c r="F80" s="532" t="s">
        <v>2187</v>
      </c>
      <c r="G80" s="523">
        <f ca="1">SUM(H80:I80)</f>
        <v>0</v>
      </c>
      <c r="H80" s="636">
        <f ca="1">SUM(H81:H82)</f>
        <v>0</v>
      </c>
    </row>
    <row r="81" spans="1:8" ht="13.5" hidden="1" customHeight="1">
      <c r="A81" s="502"/>
      <c r="B81" s="503"/>
      <c r="C81" s="601" t="s">
        <v>2180</v>
      </c>
      <c r="D81" s="521" t="s">
        <v>2052</v>
      </c>
      <c r="E81" s="571"/>
      <c r="F81" s="532" t="s">
        <v>2016</v>
      </c>
      <c r="G81" s="533"/>
      <c r="H81" s="636">
        <f ca="1">SUMIF(INDIRECT(H$3&amp;"!$ｎ:$ｎ"),"非電照サイン（その他）",INDIRECT(H$3&amp;"!$i:$i"))</f>
        <v>0</v>
      </c>
    </row>
    <row r="82" spans="1:8" ht="13.5" hidden="1" customHeight="1">
      <c r="A82" s="502"/>
      <c r="B82" s="503"/>
      <c r="C82" s="601" t="s">
        <v>2039</v>
      </c>
      <c r="D82" s="521" t="s">
        <v>2113</v>
      </c>
      <c r="E82" s="571"/>
      <c r="F82" s="532"/>
      <c r="G82" s="533"/>
      <c r="H82" s="636">
        <f ca="1">SUMIF(INDIRECT(H$3&amp;"!$ｎ:$ｎ"),"非電照広告（その他）",INDIRECT(H$3&amp;"!$i:$i"))</f>
        <v>0</v>
      </c>
    </row>
    <row r="83" spans="1:8" ht="13.5" hidden="1" customHeight="1">
      <c r="A83" s="502"/>
      <c r="B83" s="503"/>
      <c r="C83" s="672" t="s">
        <v>2188</v>
      </c>
      <c r="D83" s="521" t="s">
        <v>2121</v>
      </c>
      <c r="E83" s="571">
        <v>5</v>
      </c>
      <c r="F83" s="532"/>
      <c r="G83" s="533">
        <f t="shared" ref="G83:G88" ca="1" si="3">SUM(H83:I83)</f>
        <v>0</v>
      </c>
      <c r="H83" s="636">
        <f ca="1">SUMIF(INDIRECT(H$3&amp;"!$ｎ:$ｎ"),"無人駐車管理装置",INDIRECT(H$3&amp;"!$i:$i"))</f>
        <v>0</v>
      </c>
    </row>
    <row r="84" spans="1:8" ht="13.5" hidden="1" customHeight="1">
      <c r="A84" s="502"/>
      <c r="B84" s="503"/>
      <c r="C84" s="672" t="s">
        <v>2189</v>
      </c>
      <c r="D84" s="521" t="s">
        <v>2122</v>
      </c>
      <c r="E84" s="571">
        <v>10</v>
      </c>
      <c r="F84" s="532"/>
      <c r="G84" s="533">
        <f t="shared" ca="1" si="3"/>
        <v>0</v>
      </c>
      <c r="H84" s="636">
        <f ca="1">SUMIF(INDIRECT(H$3&amp;"!$ｎ:$ｎ"),"その他（金造製）",INDIRECT(H$3&amp;"!$i:$i"))</f>
        <v>0</v>
      </c>
    </row>
    <row r="85" spans="1:8" ht="13.5" hidden="1" customHeight="1">
      <c r="A85" s="502"/>
      <c r="B85" s="503"/>
      <c r="C85" s="672" t="s">
        <v>2190</v>
      </c>
      <c r="D85" s="521" t="s">
        <v>2123</v>
      </c>
      <c r="E85" s="571">
        <v>5</v>
      </c>
      <c r="F85" s="532"/>
      <c r="G85" s="533">
        <f t="shared" ca="1" si="3"/>
        <v>0</v>
      </c>
      <c r="H85" s="636">
        <f ca="1">SUMIF(INDIRECT(H$3&amp;"!$ｎ:$ｎ"),"その他（その他）",INDIRECT(H$3&amp;"!$i:$i"))</f>
        <v>0</v>
      </c>
    </row>
    <row r="86" spans="1:8" ht="13.5" hidden="1" customHeight="1">
      <c r="A86" s="502"/>
      <c r="B86" s="503"/>
      <c r="C86" s="677"/>
      <c r="D86" s="674"/>
      <c r="E86" s="675"/>
      <c r="F86" s="676"/>
      <c r="G86" s="678">
        <f t="shared" si="3"/>
        <v>0</v>
      </c>
      <c r="H86" s="661"/>
    </row>
    <row r="87" spans="1:8" ht="13.5" customHeight="1" thickBot="1">
      <c r="A87" s="537"/>
      <c r="B87" s="538"/>
      <c r="C87" s="538"/>
      <c r="D87" s="538"/>
      <c r="E87" s="538"/>
      <c r="F87" s="592" t="s">
        <v>2027</v>
      </c>
      <c r="G87" s="539">
        <f t="shared" ca="1" si="3"/>
        <v>0</v>
      </c>
      <c r="H87" s="642">
        <f ca="1">IF(H4="費用",0,SUM(H74,H80,H83:H86))</f>
        <v>0</v>
      </c>
    </row>
    <row r="88" spans="1:8" ht="13.5" customHeight="1" thickTop="1">
      <c r="A88" s="540"/>
      <c r="B88" s="541"/>
      <c r="C88" s="541"/>
      <c r="D88" s="541"/>
      <c r="E88" s="541"/>
      <c r="F88" s="555" t="s">
        <v>2191</v>
      </c>
      <c r="G88" s="542">
        <f t="shared" ca="1" si="3"/>
        <v>5860463</v>
      </c>
      <c r="H88" s="643">
        <f ca="1">+H87+H49+H69</f>
        <v>5860463</v>
      </c>
    </row>
    <row r="89" spans="1:8" ht="13.5" hidden="1" customHeight="1">
      <c r="A89" s="503"/>
      <c r="B89" s="516"/>
      <c r="C89" s="516"/>
      <c r="D89" s="516"/>
      <c r="E89" s="516"/>
      <c r="F89" s="615"/>
      <c r="G89" s="616"/>
      <c r="H89" s="640"/>
    </row>
    <row r="90" spans="1:8" ht="13.5" customHeight="1">
      <c r="A90" s="496"/>
      <c r="B90" s="486" t="s">
        <v>2020</v>
      </c>
      <c r="C90" s="497"/>
      <c r="D90" s="497"/>
      <c r="E90" s="497"/>
      <c r="F90" s="498" t="s">
        <v>346</v>
      </c>
      <c r="G90" s="2153" t="str">
        <f>+G1</f>
        <v>大阪ビジネスパーク駅中階天井改良工事</v>
      </c>
      <c r="H90" s="644"/>
    </row>
    <row r="91" spans="1:8" ht="13.5" customHeight="1">
      <c r="A91" s="500"/>
      <c r="C91" s="620"/>
      <c r="D91" s="481"/>
      <c r="E91" s="497" t="s">
        <v>2098</v>
      </c>
      <c r="F91" s="497"/>
      <c r="G91" s="497" t="s">
        <v>348</v>
      </c>
      <c r="H91" s="645" t="str">
        <f>H3</f>
        <v>工事1</v>
      </c>
    </row>
    <row r="92" spans="1:8" s="536" customFormat="1" ht="13.5" customHeight="1">
      <c r="A92" s="711"/>
      <c r="B92" s="712"/>
      <c r="C92" s="713">
        <v>10500701</v>
      </c>
      <c r="D92" s="714" t="s">
        <v>2192</v>
      </c>
      <c r="E92" s="715"/>
      <c r="F92" s="716"/>
      <c r="G92" s="717">
        <f ca="1">SUM(H92:I92)</f>
        <v>9564000</v>
      </c>
      <c r="H92" s="635">
        <f ca="1">IF(H$22="007停車場建物",ROUND(H23+H23/(H$5-H$6)*H$6+H23/(H$5-H$6)*H$15,-3),"")-1000</f>
        <v>9564000</v>
      </c>
    </row>
    <row r="93" spans="1:8" s="536" customFormat="1" ht="13.5" hidden="1" customHeight="1">
      <c r="A93" s="718"/>
      <c r="B93" s="719"/>
      <c r="C93" s="720">
        <v>10500702</v>
      </c>
      <c r="D93" s="721" t="s">
        <v>2193</v>
      </c>
      <c r="E93" s="722"/>
      <c r="F93" s="723"/>
      <c r="G93" s="533">
        <f t="shared" ref="G93:G155" ca="1" si="4">SUM(H93:I93)</f>
        <v>0</v>
      </c>
      <c r="H93" s="639">
        <f t="shared" ref="H93:H107" ca="1" si="5">IF(H$22="007停車場建物",ROUND(H24+H24/(H$5-H$6)*H$6+H24/(H$5-H$6)*H$15,-3),"")</f>
        <v>0</v>
      </c>
    </row>
    <row r="94" spans="1:8" ht="13.5" hidden="1" customHeight="1">
      <c r="A94" s="603"/>
      <c r="B94" s="605"/>
      <c r="C94" s="544">
        <v>10500703</v>
      </c>
      <c r="D94" s="479" t="s">
        <v>2194</v>
      </c>
      <c r="E94" s="559"/>
      <c r="F94" s="560"/>
      <c r="G94" s="523">
        <f t="shared" ca="1" si="4"/>
        <v>0</v>
      </c>
      <c r="H94" s="646">
        <f t="shared" ca="1" si="5"/>
        <v>0</v>
      </c>
    </row>
    <row r="95" spans="1:8" ht="13.5" hidden="1" customHeight="1">
      <c r="A95" s="603"/>
      <c r="B95" s="605"/>
      <c r="C95" s="544">
        <v>10500704</v>
      </c>
      <c r="D95" s="479" t="s">
        <v>2195</v>
      </c>
      <c r="E95" s="559"/>
      <c r="F95" s="560"/>
      <c r="G95" s="523">
        <f t="shared" ca="1" si="4"/>
        <v>0</v>
      </c>
      <c r="H95" s="646">
        <f t="shared" ca="1" si="5"/>
        <v>0</v>
      </c>
    </row>
    <row r="96" spans="1:8" ht="13.5" hidden="1" customHeight="1">
      <c r="A96" s="603"/>
      <c r="B96" s="605"/>
      <c r="C96" s="544">
        <v>10500705</v>
      </c>
      <c r="D96" s="479" t="s">
        <v>2196</v>
      </c>
      <c r="E96" s="559"/>
      <c r="F96" s="560"/>
      <c r="G96" s="523">
        <f t="shared" ca="1" si="4"/>
        <v>0</v>
      </c>
      <c r="H96" s="646">
        <f t="shared" ca="1" si="5"/>
        <v>0</v>
      </c>
    </row>
    <row r="97" spans="1:8" ht="13.5" hidden="1" customHeight="1">
      <c r="A97" s="603"/>
      <c r="B97" s="605"/>
      <c r="C97" s="544">
        <v>10500706</v>
      </c>
      <c r="D97" s="479" t="s">
        <v>2197</v>
      </c>
      <c r="E97" s="559"/>
      <c r="F97" s="560"/>
      <c r="G97" s="523">
        <f t="shared" ca="1" si="4"/>
        <v>0</v>
      </c>
      <c r="H97" s="646">
        <f t="shared" ca="1" si="5"/>
        <v>0</v>
      </c>
    </row>
    <row r="98" spans="1:8" ht="13.5" hidden="1" customHeight="1">
      <c r="A98" s="603"/>
      <c r="B98" s="605"/>
      <c r="C98" s="544">
        <v>10500707</v>
      </c>
      <c r="D98" s="479" t="s">
        <v>2198</v>
      </c>
      <c r="E98" s="559"/>
      <c r="F98" s="560"/>
      <c r="G98" s="523">
        <f t="shared" ca="1" si="4"/>
        <v>0</v>
      </c>
      <c r="H98" s="646">
        <f t="shared" ca="1" si="5"/>
        <v>0</v>
      </c>
    </row>
    <row r="99" spans="1:8" ht="13.5" hidden="1" customHeight="1">
      <c r="A99" s="603"/>
      <c r="B99" s="605"/>
      <c r="C99" s="544">
        <v>10500708</v>
      </c>
      <c r="D99" s="479" t="s">
        <v>2199</v>
      </c>
      <c r="E99" s="559"/>
      <c r="F99" s="560"/>
      <c r="G99" s="523">
        <f t="shared" ca="1" si="4"/>
        <v>0</v>
      </c>
      <c r="H99" s="646">
        <f t="shared" ca="1" si="5"/>
        <v>0</v>
      </c>
    </row>
    <row r="100" spans="1:8" ht="13.5" hidden="1" customHeight="1">
      <c r="A100" s="603"/>
      <c r="B100" s="605"/>
      <c r="C100" s="544">
        <v>10500709</v>
      </c>
      <c r="D100" s="479" t="s">
        <v>2200</v>
      </c>
      <c r="E100" s="559"/>
      <c r="F100" s="560"/>
      <c r="G100" s="523">
        <f t="shared" ca="1" si="4"/>
        <v>0</v>
      </c>
      <c r="H100" s="646">
        <f t="shared" ca="1" si="5"/>
        <v>0</v>
      </c>
    </row>
    <row r="101" spans="1:8" ht="13.5" hidden="1" customHeight="1">
      <c r="A101" s="603"/>
      <c r="B101" s="605"/>
      <c r="C101" s="544">
        <v>10500710</v>
      </c>
      <c r="D101" s="479" t="s">
        <v>2201</v>
      </c>
      <c r="E101" s="559"/>
      <c r="F101" s="560"/>
      <c r="G101" s="523">
        <f t="shared" ca="1" si="4"/>
        <v>0</v>
      </c>
      <c r="H101" s="646">
        <f t="shared" ca="1" si="5"/>
        <v>0</v>
      </c>
    </row>
    <row r="102" spans="1:8" ht="13.5" hidden="1" customHeight="1">
      <c r="A102" s="603"/>
      <c r="B102" s="605"/>
      <c r="C102" s="544">
        <v>10500711</v>
      </c>
      <c r="D102" s="479" t="s">
        <v>2202</v>
      </c>
      <c r="E102" s="559"/>
      <c r="F102" s="560"/>
      <c r="G102" s="523">
        <f t="shared" ca="1" si="4"/>
        <v>0</v>
      </c>
      <c r="H102" s="646">
        <f t="shared" ca="1" si="5"/>
        <v>0</v>
      </c>
    </row>
    <row r="103" spans="1:8" ht="13.5" hidden="1" customHeight="1">
      <c r="A103" s="603"/>
      <c r="B103" s="605"/>
      <c r="C103" s="544">
        <v>10500712</v>
      </c>
      <c r="D103" s="479" t="s">
        <v>2203</v>
      </c>
      <c r="E103" s="559"/>
      <c r="F103" s="560"/>
      <c r="G103" s="523">
        <f t="shared" ca="1" si="4"/>
        <v>0</v>
      </c>
      <c r="H103" s="646">
        <f t="shared" ca="1" si="5"/>
        <v>0</v>
      </c>
    </row>
    <row r="104" spans="1:8" ht="13.5" hidden="1" customHeight="1">
      <c r="A104" s="603"/>
      <c r="B104" s="605"/>
      <c r="C104" s="544">
        <v>10500713</v>
      </c>
      <c r="D104" s="479" t="s">
        <v>2204</v>
      </c>
      <c r="E104" s="559"/>
      <c r="F104" s="560"/>
      <c r="G104" s="523">
        <f t="shared" ca="1" si="4"/>
        <v>0</v>
      </c>
      <c r="H104" s="646">
        <f t="shared" ca="1" si="5"/>
        <v>0</v>
      </c>
    </row>
    <row r="105" spans="1:8" ht="13.5" hidden="1" customHeight="1">
      <c r="A105" s="603"/>
      <c r="B105" s="605"/>
      <c r="C105" s="544">
        <v>10500714</v>
      </c>
      <c r="D105" s="479" t="s">
        <v>2205</v>
      </c>
      <c r="E105" s="559"/>
      <c r="F105" s="560"/>
      <c r="G105" s="523">
        <f t="shared" ca="1" si="4"/>
        <v>0</v>
      </c>
      <c r="H105" s="646">
        <f t="shared" ca="1" si="5"/>
        <v>0</v>
      </c>
    </row>
    <row r="106" spans="1:8" ht="13.5" hidden="1" customHeight="1">
      <c r="A106" s="603"/>
      <c r="B106" s="605"/>
      <c r="C106" s="544">
        <v>10500715</v>
      </c>
      <c r="D106" s="479" t="s">
        <v>2206</v>
      </c>
      <c r="E106" s="559"/>
      <c r="F106" s="560"/>
      <c r="G106" s="523">
        <f t="shared" ca="1" si="4"/>
        <v>0</v>
      </c>
      <c r="H106" s="646">
        <f t="shared" ca="1" si="5"/>
        <v>0</v>
      </c>
    </row>
    <row r="107" spans="1:8" ht="13.5" hidden="1" customHeight="1">
      <c r="A107" s="603"/>
      <c r="B107" s="605"/>
      <c r="C107" s="544">
        <v>10500716</v>
      </c>
      <c r="D107" s="479" t="s">
        <v>2207</v>
      </c>
      <c r="E107" s="559"/>
      <c r="F107" s="560"/>
      <c r="G107" s="523">
        <f t="shared" ca="1" si="4"/>
        <v>0</v>
      </c>
      <c r="H107" s="646">
        <f t="shared" ca="1" si="5"/>
        <v>0</v>
      </c>
    </row>
    <row r="108" spans="1:8" ht="13.5" hidden="1" customHeight="1">
      <c r="A108" s="603"/>
      <c r="B108" s="605"/>
      <c r="C108" s="544">
        <v>10500717</v>
      </c>
      <c r="D108" s="479" t="s">
        <v>2208</v>
      </c>
      <c r="E108" s="559"/>
      <c r="F108" s="560"/>
      <c r="G108" s="523">
        <f t="shared" ca="1" si="4"/>
        <v>0</v>
      </c>
      <c r="H108" s="646">
        <f t="shared" ref="H108:H117" ca="1" si="6">IF(H$22="007停車場建物",ROUND(H39+H39/(H$5-H$6)*H$6+H39/(H$5-H$6)*H$15,-3),"")</f>
        <v>0</v>
      </c>
    </row>
    <row r="109" spans="1:8" ht="13.5" hidden="1" customHeight="1">
      <c r="A109" s="603"/>
      <c r="B109" s="605"/>
      <c r="C109" s="544">
        <v>10500718</v>
      </c>
      <c r="D109" s="479" t="s">
        <v>2209</v>
      </c>
      <c r="E109" s="559"/>
      <c r="F109" s="560"/>
      <c r="G109" s="523">
        <f t="shared" ca="1" si="4"/>
        <v>0</v>
      </c>
      <c r="H109" s="646">
        <f t="shared" ca="1" si="6"/>
        <v>0</v>
      </c>
    </row>
    <row r="110" spans="1:8" ht="13.5" hidden="1" customHeight="1">
      <c r="A110" s="603"/>
      <c r="B110" s="605"/>
      <c r="C110" s="544">
        <v>10500719</v>
      </c>
      <c r="D110" s="479" t="s">
        <v>2210</v>
      </c>
      <c r="E110" s="559"/>
      <c r="F110" s="560"/>
      <c r="G110" s="523">
        <f t="shared" ca="1" si="4"/>
        <v>0</v>
      </c>
      <c r="H110" s="646">
        <f t="shared" ca="1" si="6"/>
        <v>0</v>
      </c>
    </row>
    <row r="111" spans="1:8" ht="13.5" hidden="1" customHeight="1">
      <c r="A111" s="603"/>
      <c r="B111" s="605"/>
      <c r="C111" s="544">
        <v>10500720</v>
      </c>
      <c r="D111" s="479" t="s">
        <v>2211</v>
      </c>
      <c r="E111" s="559"/>
      <c r="F111" s="560"/>
      <c r="G111" s="523">
        <f t="shared" ca="1" si="4"/>
        <v>0</v>
      </c>
      <c r="H111" s="646">
        <f t="shared" ca="1" si="6"/>
        <v>0</v>
      </c>
    </row>
    <row r="112" spans="1:8" ht="13.5" hidden="1" customHeight="1">
      <c r="A112" s="603"/>
      <c r="B112" s="605"/>
      <c r="C112" s="544">
        <v>10500721</v>
      </c>
      <c r="D112" s="479" t="s">
        <v>2212</v>
      </c>
      <c r="E112" s="559"/>
      <c r="F112" s="560"/>
      <c r="G112" s="523">
        <f t="shared" ca="1" si="4"/>
        <v>0</v>
      </c>
      <c r="H112" s="646">
        <f t="shared" ca="1" si="6"/>
        <v>0</v>
      </c>
    </row>
    <row r="113" spans="1:8" ht="13.5" hidden="1" customHeight="1">
      <c r="A113" s="603"/>
      <c r="B113" s="605"/>
      <c r="C113" s="544">
        <v>10500722</v>
      </c>
      <c r="D113" s="479" t="s">
        <v>2213</v>
      </c>
      <c r="E113" s="559"/>
      <c r="F113" s="560"/>
      <c r="G113" s="523">
        <f t="shared" ca="1" si="4"/>
        <v>0</v>
      </c>
      <c r="H113" s="646">
        <f t="shared" ca="1" si="6"/>
        <v>0</v>
      </c>
    </row>
    <row r="114" spans="1:8" ht="13.5" hidden="1" customHeight="1">
      <c r="A114" s="603"/>
      <c r="B114" s="605"/>
      <c r="C114" s="544">
        <v>10500723</v>
      </c>
      <c r="D114" s="479" t="s">
        <v>2214</v>
      </c>
      <c r="E114" s="559"/>
      <c r="F114" s="560"/>
      <c r="G114" s="523">
        <f t="shared" ca="1" si="4"/>
        <v>0</v>
      </c>
      <c r="H114" s="646">
        <f t="shared" ca="1" si="6"/>
        <v>0</v>
      </c>
    </row>
    <row r="115" spans="1:8" ht="13.5" hidden="1" customHeight="1">
      <c r="A115" s="603"/>
      <c r="B115" s="605"/>
      <c r="C115" s="544">
        <v>10500724</v>
      </c>
      <c r="D115" s="479" t="s">
        <v>2215</v>
      </c>
      <c r="E115" s="559"/>
      <c r="F115" s="560"/>
      <c r="G115" s="523">
        <f t="shared" ca="1" si="4"/>
        <v>0</v>
      </c>
      <c r="H115" s="646">
        <f t="shared" ca="1" si="6"/>
        <v>0</v>
      </c>
    </row>
    <row r="116" spans="1:8" ht="13.5" hidden="1" customHeight="1">
      <c r="A116" s="603"/>
      <c r="B116" s="605"/>
      <c r="C116" s="544">
        <v>10500725</v>
      </c>
      <c r="D116" s="479" t="s">
        <v>2216</v>
      </c>
      <c r="E116" s="559"/>
      <c r="F116" s="560"/>
      <c r="G116" s="523">
        <f t="shared" ca="1" si="4"/>
        <v>0</v>
      </c>
      <c r="H116" s="646">
        <f t="shared" ca="1" si="6"/>
        <v>0</v>
      </c>
    </row>
    <row r="117" spans="1:8" ht="13.5" hidden="1" customHeight="1">
      <c r="A117" s="603"/>
      <c r="B117" s="605"/>
      <c r="C117" s="673"/>
      <c r="D117" s="724"/>
      <c r="E117" s="725"/>
      <c r="F117" s="674"/>
      <c r="G117" s="726">
        <f t="shared" ca="1" si="4"/>
        <v>0</v>
      </c>
      <c r="H117" s="727">
        <f t="shared" ca="1" si="6"/>
        <v>0</v>
      </c>
    </row>
    <row r="118" spans="1:8" ht="13.5" hidden="1" customHeight="1">
      <c r="A118" s="603"/>
      <c r="B118" s="605"/>
      <c r="C118" s="544">
        <v>10500801</v>
      </c>
      <c r="D118" s="479" t="s">
        <v>2217</v>
      </c>
      <c r="E118" s="559"/>
      <c r="F118" s="560"/>
      <c r="G118" s="523">
        <f t="shared" si="4"/>
        <v>0</v>
      </c>
      <c r="H118" s="728" t="str">
        <f t="shared" ref="H118:H133" si="7">IF(H$22="008変電所建物",ROUND(H23+H23/(H$5-H$6)*H$6+H23/(H$5-H$6)*H$15,-3),"")</f>
        <v/>
      </c>
    </row>
    <row r="119" spans="1:8" ht="13.5" hidden="1" customHeight="1">
      <c r="A119" s="603"/>
      <c r="B119" s="605"/>
      <c r="C119" s="544">
        <v>10500802</v>
      </c>
      <c r="D119" s="479" t="s">
        <v>2218</v>
      </c>
      <c r="E119" s="559"/>
      <c r="F119" s="560"/>
      <c r="G119" s="523">
        <f t="shared" si="4"/>
        <v>0</v>
      </c>
      <c r="H119" s="647" t="str">
        <f t="shared" si="7"/>
        <v/>
      </c>
    </row>
    <row r="120" spans="1:8" ht="13.5" hidden="1" customHeight="1">
      <c r="A120" s="603"/>
      <c r="B120" s="605"/>
      <c r="C120" s="544">
        <v>10500803</v>
      </c>
      <c r="D120" s="479" t="s">
        <v>2219</v>
      </c>
      <c r="E120" s="559"/>
      <c r="F120" s="560"/>
      <c r="G120" s="523">
        <f t="shared" si="4"/>
        <v>0</v>
      </c>
      <c r="H120" s="647" t="str">
        <f t="shared" si="7"/>
        <v/>
      </c>
    </row>
    <row r="121" spans="1:8" ht="13.5" hidden="1" customHeight="1">
      <c r="A121" s="603"/>
      <c r="B121" s="605"/>
      <c r="C121" s="544">
        <v>10500804</v>
      </c>
      <c r="D121" s="479" t="s">
        <v>2220</v>
      </c>
      <c r="E121" s="559"/>
      <c r="F121" s="560"/>
      <c r="G121" s="523">
        <f t="shared" si="4"/>
        <v>0</v>
      </c>
      <c r="H121" s="647" t="str">
        <f t="shared" si="7"/>
        <v/>
      </c>
    </row>
    <row r="122" spans="1:8" ht="13.5" hidden="1" customHeight="1">
      <c r="A122" s="603"/>
      <c r="B122" s="605"/>
      <c r="C122" s="544">
        <v>10500805</v>
      </c>
      <c r="D122" s="479" t="s">
        <v>2221</v>
      </c>
      <c r="E122" s="559"/>
      <c r="F122" s="560"/>
      <c r="G122" s="523">
        <f t="shared" si="4"/>
        <v>0</v>
      </c>
      <c r="H122" s="647" t="str">
        <f t="shared" si="7"/>
        <v/>
      </c>
    </row>
    <row r="123" spans="1:8" ht="13.5" hidden="1" customHeight="1">
      <c r="A123" s="603"/>
      <c r="B123" s="605"/>
      <c r="C123" s="544">
        <v>10500806</v>
      </c>
      <c r="D123" s="479" t="s">
        <v>2222</v>
      </c>
      <c r="E123" s="559"/>
      <c r="F123" s="560"/>
      <c r="G123" s="523">
        <f t="shared" si="4"/>
        <v>0</v>
      </c>
      <c r="H123" s="647" t="str">
        <f t="shared" si="7"/>
        <v/>
      </c>
    </row>
    <row r="124" spans="1:8" ht="13.5" hidden="1" customHeight="1">
      <c r="A124" s="603"/>
      <c r="B124" s="605"/>
      <c r="C124" s="544">
        <v>10500807</v>
      </c>
      <c r="D124" s="479" t="s">
        <v>2223</v>
      </c>
      <c r="E124" s="559"/>
      <c r="F124" s="560"/>
      <c r="G124" s="523">
        <f t="shared" si="4"/>
        <v>0</v>
      </c>
      <c r="H124" s="647" t="str">
        <f t="shared" si="7"/>
        <v/>
      </c>
    </row>
    <row r="125" spans="1:8" ht="13.5" hidden="1" customHeight="1">
      <c r="A125" s="603"/>
      <c r="B125" s="605"/>
      <c r="C125" s="544">
        <v>10500808</v>
      </c>
      <c r="D125" s="479" t="s">
        <v>2224</v>
      </c>
      <c r="E125" s="559"/>
      <c r="F125" s="560"/>
      <c r="G125" s="523">
        <f t="shared" si="4"/>
        <v>0</v>
      </c>
      <c r="H125" s="647" t="str">
        <f t="shared" si="7"/>
        <v/>
      </c>
    </row>
    <row r="126" spans="1:8" ht="13.5" hidden="1" customHeight="1">
      <c r="A126" s="603"/>
      <c r="B126" s="605"/>
      <c r="C126" s="544">
        <v>10500809</v>
      </c>
      <c r="D126" s="479" t="s">
        <v>2225</v>
      </c>
      <c r="E126" s="559"/>
      <c r="F126" s="560"/>
      <c r="G126" s="523">
        <f t="shared" si="4"/>
        <v>0</v>
      </c>
      <c r="H126" s="647" t="str">
        <f t="shared" si="7"/>
        <v/>
      </c>
    </row>
    <row r="127" spans="1:8" ht="13.5" hidden="1" customHeight="1">
      <c r="A127" s="603"/>
      <c r="B127" s="605"/>
      <c r="C127" s="544">
        <v>10500810</v>
      </c>
      <c r="D127" s="479" t="s">
        <v>2226</v>
      </c>
      <c r="E127" s="559"/>
      <c r="F127" s="560"/>
      <c r="G127" s="523">
        <f t="shared" si="4"/>
        <v>0</v>
      </c>
      <c r="H127" s="647" t="str">
        <f t="shared" si="7"/>
        <v/>
      </c>
    </row>
    <row r="128" spans="1:8" ht="13.5" hidden="1" customHeight="1">
      <c r="A128" s="603"/>
      <c r="B128" s="605"/>
      <c r="C128" s="544">
        <v>10500811</v>
      </c>
      <c r="D128" s="479" t="s">
        <v>2227</v>
      </c>
      <c r="E128" s="559"/>
      <c r="F128" s="560"/>
      <c r="G128" s="523">
        <f t="shared" si="4"/>
        <v>0</v>
      </c>
      <c r="H128" s="647" t="str">
        <f t="shared" si="7"/>
        <v/>
      </c>
    </row>
    <row r="129" spans="1:8" ht="13.5" hidden="1" customHeight="1">
      <c r="A129" s="603"/>
      <c r="B129" s="605"/>
      <c r="C129" s="544">
        <v>10500812</v>
      </c>
      <c r="D129" s="479" t="s">
        <v>2228</v>
      </c>
      <c r="E129" s="559"/>
      <c r="F129" s="560"/>
      <c r="G129" s="523">
        <f t="shared" si="4"/>
        <v>0</v>
      </c>
      <c r="H129" s="647" t="str">
        <f t="shared" si="7"/>
        <v/>
      </c>
    </row>
    <row r="130" spans="1:8" ht="13.5" hidden="1" customHeight="1">
      <c r="A130" s="603"/>
      <c r="B130" s="605"/>
      <c r="C130" s="544">
        <v>10500813</v>
      </c>
      <c r="D130" s="479" t="s">
        <v>2229</v>
      </c>
      <c r="E130" s="559"/>
      <c r="F130" s="560"/>
      <c r="G130" s="523">
        <f t="shared" si="4"/>
        <v>0</v>
      </c>
      <c r="H130" s="647" t="str">
        <f t="shared" si="7"/>
        <v/>
      </c>
    </row>
    <row r="131" spans="1:8" ht="13.5" hidden="1" customHeight="1">
      <c r="A131" s="603"/>
      <c r="B131" s="605"/>
      <c r="C131" s="544">
        <v>10500814</v>
      </c>
      <c r="D131" s="479" t="s">
        <v>2230</v>
      </c>
      <c r="E131" s="559"/>
      <c r="F131" s="560"/>
      <c r="G131" s="523">
        <f t="shared" si="4"/>
        <v>0</v>
      </c>
      <c r="H131" s="647" t="str">
        <f t="shared" si="7"/>
        <v/>
      </c>
    </row>
    <row r="132" spans="1:8" ht="13.5" hidden="1" customHeight="1">
      <c r="A132" s="603"/>
      <c r="B132" s="605"/>
      <c r="C132" s="544">
        <v>10500815</v>
      </c>
      <c r="D132" s="479" t="s">
        <v>2231</v>
      </c>
      <c r="E132" s="559"/>
      <c r="F132" s="560"/>
      <c r="G132" s="523">
        <f t="shared" si="4"/>
        <v>0</v>
      </c>
      <c r="H132" s="647" t="str">
        <f t="shared" si="7"/>
        <v/>
      </c>
    </row>
    <row r="133" spans="1:8" ht="13.5" hidden="1" customHeight="1">
      <c r="A133" s="603"/>
      <c r="B133" s="605"/>
      <c r="C133" s="544">
        <v>10500816</v>
      </c>
      <c r="D133" s="479" t="s">
        <v>2232</v>
      </c>
      <c r="E133" s="559"/>
      <c r="F133" s="560"/>
      <c r="G133" s="523">
        <f t="shared" si="4"/>
        <v>0</v>
      </c>
      <c r="H133" s="647" t="str">
        <f t="shared" si="7"/>
        <v/>
      </c>
    </row>
    <row r="134" spans="1:8" ht="13.5" hidden="1" customHeight="1">
      <c r="A134" s="603"/>
      <c r="B134" s="605"/>
      <c r="C134" s="544">
        <v>10500817</v>
      </c>
      <c r="D134" s="479" t="s">
        <v>2233</v>
      </c>
      <c r="E134" s="559"/>
      <c r="F134" s="560"/>
      <c r="G134" s="523">
        <f t="shared" si="4"/>
        <v>0</v>
      </c>
      <c r="H134" s="647" t="str">
        <f t="shared" ref="H134:H143" si="8">IF(H$22="008変電所建物",ROUND(H39+H39/(H$5-H$6)*H$6+H39/(H$5-H$6)*H$15,-3),"")</f>
        <v/>
      </c>
    </row>
    <row r="135" spans="1:8" ht="13.5" hidden="1" customHeight="1">
      <c r="A135" s="603"/>
      <c r="B135" s="605"/>
      <c r="C135" s="544">
        <v>10500818</v>
      </c>
      <c r="D135" s="479" t="s">
        <v>2234</v>
      </c>
      <c r="E135" s="559"/>
      <c r="F135" s="560"/>
      <c r="G135" s="523">
        <f t="shared" si="4"/>
        <v>0</v>
      </c>
      <c r="H135" s="647" t="str">
        <f t="shared" si="8"/>
        <v/>
      </c>
    </row>
    <row r="136" spans="1:8" ht="13.5" hidden="1" customHeight="1">
      <c r="A136" s="603"/>
      <c r="B136" s="605"/>
      <c r="C136" s="544">
        <v>10500819</v>
      </c>
      <c r="D136" s="479" t="s">
        <v>2235</v>
      </c>
      <c r="E136" s="559"/>
      <c r="F136" s="560"/>
      <c r="G136" s="523">
        <f t="shared" si="4"/>
        <v>0</v>
      </c>
      <c r="H136" s="647" t="str">
        <f t="shared" si="8"/>
        <v/>
      </c>
    </row>
    <row r="137" spans="1:8" ht="13.5" hidden="1" customHeight="1">
      <c r="A137" s="603"/>
      <c r="B137" s="605"/>
      <c r="C137" s="544">
        <v>10500820</v>
      </c>
      <c r="D137" s="479" t="s">
        <v>2236</v>
      </c>
      <c r="E137" s="559"/>
      <c r="F137" s="560"/>
      <c r="G137" s="523">
        <f t="shared" si="4"/>
        <v>0</v>
      </c>
      <c r="H137" s="647" t="str">
        <f t="shared" si="8"/>
        <v/>
      </c>
    </row>
    <row r="138" spans="1:8" ht="13.5" hidden="1" customHeight="1">
      <c r="A138" s="603"/>
      <c r="B138" s="605"/>
      <c r="C138" s="544">
        <v>10500821</v>
      </c>
      <c r="D138" s="479" t="s">
        <v>2237</v>
      </c>
      <c r="E138" s="559"/>
      <c r="F138" s="560"/>
      <c r="G138" s="523">
        <f t="shared" si="4"/>
        <v>0</v>
      </c>
      <c r="H138" s="647" t="str">
        <f t="shared" si="8"/>
        <v/>
      </c>
    </row>
    <row r="139" spans="1:8" ht="13.5" hidden="1" customHeight="1">
      <c r="A139" s="603"/>
      <c r="B139" s="605"/>
      <c r="C139" s="544">
        <v>10500822</v>
      </c>
      <c r="D139" s="479" t="s">
        <v>2238</v>
      </c>
      <c r="E139" s="559"/>
      <c r="F139" s="560"/>
      <c r="G139" s="523">
        <f t="shared" si="4"/>
        <v>0</v>
      </c>
      <c r="H139" s="647" t="str">
        <f t="shared" si="8"/>
        <v/>
      </c>
    </row>
    <row r="140" spans="1:8" ht="13.5" hidden="1" customHeight="1">
      <c r="A140" s="603"/>
      <c r="B140" s="605"/>
      <c r="C140" s="544">
        <v>10500823</v>
      </c>
      <c r="D140" s="479" t="s">
        <v>2239</v>
      </c>
      <c r="E140" s="559"/>
      <c r="F140" s="560"/>
      <c r="G140" s="523">
        <f t="shared" si="4"/>
        <v>0</v>
      </c>
      <c r="H140" s="647" t="str">
        <f t="shared" si="8"/>
        <v/>
      </c>
    </row>
    <row r="141" spans="1:8" ht="13.5" hidden="1" customHeight="1">
      <c r="A141" s="603"/>
      <c r="B141" s="605"/>
      <c r="C141" s="544">
        <v>10500824</v>
      </c>
      <c r="D141" s="479" t="s">
        <v>2240</v>
      </c>
      <c r="E141" s="559"/>
      <c r="F141" s="560"/>
      <c r="G141" s="523">
        <f t="shared" si="4"/>
        <v>0</v>
      </c>
      <c r="H141" s="647" t="str">
        <f t="shared" si="8"/>
        <v/>
      </c>
    </row>
    <row r="142" spans="1:8" ht="13.5" hidden="1" customHeight="1">
      <c r="A142" s="603"/>
      <c r="B142" s="605"/>
      <c r="C142" s="544">
        <v>10500825</v>
      </c>
      <c r="D142" s="479" t="s">
        <v>2241</v>
      </c>
      <c r="E142" s="559"/>
      <c r="F142" s="560"/>
      <c r="G142" s="523">
        <f t="shared" si="4"/>
        <v>0</v>
      </c>
      <c r="H142" s="647" t="str">
        <f t="shared" si="8"/>
        <v/>
      </c>
    </row>
    <row r="143" spans="1:8" ht="13.5" hidden="1" customHeight="1">
      <c r="A143" s="603"/>
      <c r="B143" s="605"/>
      <c r="C143" s="673"/>
      <c r="D143" s="724"/>
      <c r="E143" s="725"/>
      <c r="F143" s="674"/>
      <c r="G143" s="726">
        <f t="shared" si="4"/>
        <v>0</v>
      </c>
      <c r="H143" s="727" t="str">
        <f t="shared" si="8"/>
        <v/>
      </c>
    </row>
    <row r="144" spans="1:8" ht="13.5" hidden="1" customHeight="1">
      <c r="A144" s="603"/>
      <c r="B144" s="605"/>
      <c r="C144" s="544">
        <v>10500901</v>
      </c>
      <c r="D144" s="479" t="s">
        <v>2242</v>
      </c>
      <c r="E144" s="559"/>
      <c r="F144" s="560"/>
      <c r="G144" s="523">
        <f t="shared" si="4"/>
        <v>0</v>
      </c>
      <c r="H144" s="729" t="str">
        <f t="shared" ref="H144:H159" si="9">IF(H$22="009車庫、工場建物",ROUND(H23+H23/(H$5-H$6)*H$6+H23/(H$5-H$6)*H$15,-3),"")</f>
        <v/>
      </c>
    </row>
    <row r="145" spans="1:8" ht="13.5" hidden="1" customHeight="1">
      <c r="A145" s="603"/>
      <c r="B145" s="605"/>
      <c r="C145" s="544">
        <v>10500902</v>
      </c>
      <c r="D145" s="479" t="s">
        <v>2243</v>
      </c>
      <c r="E145" s="559"/>
      <c r="F145" s="560"/>
      <c r="G145" s="523">
        <f t="shared" si="4"/>
        <v>0</v>
      </c>
      <c r="H145" s="646" t="str">
        <f t="shared" si="9"/>
        <v/>
      </c>
    </row>
    <row r="146" spans="1:8" ht="13.5" hidden="1" customHeight="1">
      <c r="A146" s="603"/>
      <c r="B146" s="605"/>
      <c r="C146" s="544">
        <v>10500903</v>
      </c>
      <c r="D146" s="479" t="s">
        <v>2244</v>
      </c>
      <c r="E146" s="559"/>
      <c r="F146" s="560"/>
      <c r="G146" s="523">
        <f t="shared" si="4"/>
        <v>0</v>
      </c>
      <c r="H146" s="646" t="str">
        <f t="shared" si="9"/>
        <v/>
      </c>
    </row>
    <row r="147" spans="1:8" ht="13.5" hidden="1" customHeight="1">
      <c r="A147" s="603"/>
      <c r="B147" s="605"/>
      <c r="C147" s="544">
        <v>10500904</v>
      </c>
      <c r="D147" s="479" t="s">
        <v>2245</v>
      </c>
      <c r="E147" s="559"/>
      <c r="F147" s="560"/>
      <c r="G147" s="523">
        <f t="shared" si="4"/>
        <v>0</v>
      </c>
      <c r="H147" s="646" t="str">
        <f t="shared" si="9"/>
        <v/>
      </c>
    </row>
    <row r="148" spans="1:8" ht="13.5" hidden="1" customHeight="1">
      <c r="A148" s="603"/>
      <c r="B148" s="605"/>
      <c r="C148" s="544">
        <v>10500905</v>
      </c>
      <c r="D148" s="479" t="s">
        <v>2246</v>
      </c>
      <c r="E148" s="559"/>
      <c r="F148" s="560"/>
      <c r="G148" s="523">
        <f t="shared" si="4"/>
        <v>0</v>
      </c>
      <c r="H148" s="646" t="str">
        <f t="shared" si="9"/>
        <v/>
      </c>
    </row>
    <row r="149" spans="1:8" ht="13.5" hidden="1" customHeight="1">
      <c r="A149" s="603"/>
      <c r="B149" s="605"/>
      <c r="C149" s="544">
        <v>10500906</v>
      </c>
      <c r="D149" s="479" t="s">
        <v>2247</v>
      </c>
      <c r="E149" s="559"/>
      <c r="F149" s="560"/>
      <c r="G149" s="523">
        <f t="shared" si="4"/>
        <v>0</v>
      </c>
      <c r="H149" s="646" t="str">
        <f t="shared" si="9"/>
        <v/>
      </c>
    </row>
    <row r="150" spans="1:8" ht="13.5" hidden="1" customHeight="1">
      <c r="A150" s="603"/>
      <c r="B150" s="605"/>
      <c r="C150" s="544">
        <v>10500907</v>
      </c>
      <c r="D150" s="479" t="s">
        <v>2248</v>
      </c>
      <c r="E150" s="559"/>
      <c r="F150" s="560"/>
      <c r="G150" s="523">
        <f t="shared" si="4"/>
        <v>0</v>
      </c>
      <c r="H150" s="646" t="str">
        <f t="shared" si="9"/>
        <v/>
      </c>
    </row>
    <row r="151" spans="1:8" ht="13.5" hidden="1" customHeight="1">
      <c r="A151" s="603"/>
      <c r="B151" s="605"/>
      <c r="C151" s="544">
        <v>10500908</v>
      </c>
      <c r="D151" s="479" t="s">
        <v>2249</v>
      </c>
      <c r="E151" s="559"/>
      <c r="F151" s="560"/>
      <c r="G151" s="523">
        <f t="shared" si="4"/>
        <v>0</v>
      </c>
      <c r="H151" s="646" t="str">
        <f t="shared" si="9"/>
        <v/>
      </c>
    </row>
    <row r="152" spans="1:8" ht="13.5" hidden="1" customHeight="1">
      <c r="A152" s="603"/>
      <c r="B152" s="605"/>
      <c r="C152" s="544">
        <v>10500909</v>
      </c>
      <c r="D152" s="479" t="s">
        <v>2250</v>
      </c>
      <c r="E152" s="559"/>
      <c r="F152" s="560"/>
      <c r="G152" s="523">
        <f t="shared" si="4"/>
        <v>0</v>
      </c>
      <c r="H152" s="646" t="str">
        <f t="shared" si="9"/>
        <v/>
      </c>
    </row>
    <row r="153" spans="1:8" ht="13.5" hidden="1" customHeight="1">
      <c r="A153" s="603"/>
      <c r="B153" s="605"/>
      <c r="C153" s="544">
        <v>10500910</v>
      </c>
      <c r="D153" s="479" t="s">
        <v>2251</v>
      </c>
      <c r="E153" s="559"/>
      <c r="F153" s="560"/>
      <c r="G153" s="523">
        <f t="shared" si="4"/>
        <v>0</v>
      </c>
      <c r="H153" s="646" t="str">
        <f t="shared" si="9"/>
        <v/>
      </c>
    </row>
    <row r="154" spans="1:8" ht="13.5" hidden="1" customHeight="1">
      <c r="A154" s="603"/>
      <c r="B154" s="605"/>
      <c r="C154" s="544">
        <v>10500911</v>
      </c>
      <c r="D154" s="479" t="s">
        <v>2252</v>
      </c>
      <c r="E154" s="559"/>
      <c r="F154" s="560"/>
      <c r="G154" s="523">
        <f t="shared" si="4"/>
        <v>0</v>
      </c>
      <c r="H154" s="646" t="str">
        <f t="shared" si="9"/>
        <v/>
      </c>
    </row>
    <row r="155" spans="1:8" ht="13.5" hidden="1" customHeight="1">
      <c r="A155" s="603"/>
      <c r="B155" s="605"/>
      <c r="C155" s="544">
        <v>10500912</v>
      </c>
      <c r="D155" s="479" t="s">
        <v>2253</v>
      </c>
      <c r="E155" s="559"/>
      <c r="F155" s="560"/>
      <c r="G155" s="523">
        <f t="shared" si="4"/>
        <v>0</v>
      </c>
      <c r="H155" s="646" t="str">
        <f t="shared" si="9"/>
        <v/>
      </c>
    </row>
    <row r="156" spans="1:8" ht="13.5" hidden="1" customHeight="1">
      <c r="A156" s="603"/>
      <c r="B156" s="605"/>
      <c r="C156" s="544">
        <v>10500913</v>
      </c>
      <c r="D156" s="479" t="s">
        <v>2254</v>
      </c>
      <c r="E156" s="559"/>
      <c r="F156" s="560"/>
      <c r="G156" s="523">
        <f t="shared" ref="G156:G219" si="10">SUM(H156:I156)</f>
        <v>0</v>
      </c>
      <c r="H156" s="646" t="str">
        <f t="shared" si="9"/>
        <v/>
      </c>
    </row>
    <row r="157" spans="1:8" ht="13.5" hidden="1" customHeight="1">
      <c r="A157" s="603"/>
      <c r="B157" s="605"/>
      <c r="C157" s="544">
        <v>10500914</v>
      </c>
      <c r="D157" s="479" t="s">
        <v>2255</v>
      </c>
      <c r="E157" s="559"/>
      <c r="F157" s="560"/>
      <c r="G157" s="523">
        <f t="shared" si="10"/>
        <v>0</v>
      </c>
      <c r="H157" s="646" t="str">
        <f t="shared" si="9"/>
        <v/>
      </c>
    </row>
    <row r="158" spans="1:8" ht="13.5" hidden="1" customHeight="1">
      <c r="A158" s="603"/>
      <c r="B158" s="605"/>
      <c r="C158" s="544">
        <v>10500915</v>
      </c>
      <c r="D158" s="479" t="s">
        <v>2256</v>
      </c>
      <c r="E158" s="559"/>
      <c r="F158" s="560"/>
      <c r="G158" s="523">
        <f t="shared" si="10"/>
        <v>0</v>
      </c>
      <c r="H158" s="646" t="str">
        <f t="shared" si="9"/>
        <v/>
      </c>
    </row>
    <row r="159" spans="1:8" ht="13.5" hidden="1" customHeight="1">
      <c r="A159" s="603"/>
      <c r="B159" s="605"/>
      <c r="C159" s="544">
        <v>10500916</v>
      </c>
      <c r="D159" s="479" t="s">
        <v>2257</v>
      </c>
      <c r="E159" s="559"/>
      <c r="F159" s="560"/>
      <c r="G159" s="523">
        <f t="shared" si="10"/>
        <v>0</v>
      </c>
      <c r="H159" s="646" t="str">
        <f t="shared" si="9"/>
        <v/>
      </c>
    </row>
    <row r="160" spans="1:8" ht="13.5" hidden="1" customHeight="1">
      <c r="A160" s="603"/>
      <c r="B160" s="605"/>
      <c r="C160" s="544">
        <v>10500917</v>
      </c>
      <c r="D160" s="479" t="s">
        <v>2258</v>
      </c>
      <c r="E160" s="559"/>
      <c r="F160" s="560"/>
      <c r="G160" s="523">
        <f t="shared" si="10"/>
        <v>0</v>
      </c>
      <c r="H160" s="646" t="str">
        <f t="shared" ref="H160:H169" si="11">IF(H$22="009車庫、工場建物",ROUND(H39+H39/(H$5-H$6)*H$6+H39/(H$5-H$6)*H$15,-3),"")</f>
        <v/>
      </c>
    </row>
    <row r="161" spans="1:8" ht="13.5" hidden="1" customHeight="1">
      <c r="A161" s="603"/>
      <c r="B161" s="605"/>
      <c r="C161" s="544">
        <v>10500918</v>
      </c>
      <c r="D161" s="479" t="s">
        <v>2259</v>
      </c>
      <c r="E161" s="559"/>
      <c r="F161" s="560"/>
      <c r="G161" s="523">
        <f t="shared" si="10"/>
        <v>0</v>
      </c>
      <c r="H161" s="646" t="str">
        <f t="shared" si="11"/>
        <v/>
      </c>
    </row>
    <row r="162" spans="1:8" ht="13.5" hidden="1" customHeight="1">
      <c r="A162" s="603"/>
      <c r="B162" s="605"/>
      <c r="C162" s="544">
        <v>10500919</v>
      </c>
      <c r="D162" s="479" t="s">
        <v>2260</v>
      </c>
      <c r="E162" s="559"/>
      <c r="F162" s="560"/>
      <c r="G162" s="523">
        <f t="shared" si="10"/>
        <v>0</v>
      </c>
      <c r="H162" s="646" t="str">
        <f t="shared" si="11"/>
        <v/>
      </c>
    </row>
    <row r="163" spans="1:8" ht="13.5" hidden="1" customHeight="1">
      <c r="A163" s="603"/>
      <c r="B163" s="605"/>
      <c r="C163" s="544">
        <v>10500920</v>
      </c>
      <c r="D163" s="479" t="s">
        <v>2261</v>
      </c>
      <c r="E163" s="559"/>
      <c r="F163" s="560"/>
      <c r="G163" s="523">
        <f t="shared" si="10"/>
        <v>0</v>
      </c>
      <c r="H163" s="646" t="str">
        <f t="shared" si="11"/>
        <v/>
      </c>
    </row>
    <row r="164" spans="1:8" ht="13.5" hidden="1" customHeight="1">
      <c r="A164" s="603"/>
      <c r="B164" s="605"/>
      <c r="C164" s="544">
        <v>10500921</v>
      </c>
      <c r="D164" s="479" t="s">
        <v>2262</v>
      </c>
      <c r="E164" s="559"/>
      <c r="F164" s="560"/>
      <c r="G164" s="523">
        <f t="shared" si="10"/>
        <v>0</v>
      </c>
      <c r="H164" s="646" t="str">
        <f t="shared" si="11"/>
        <v/>
      </c>
    </row>
    <row r="165" spans="1:8" ht="13.5" hidden="1" customHeight="1">
      <c r="A165" s="603"/>
      <c r="B165" s="605"/>
      <c r="C165" s="544">
        <v>10500922</v>
      </c>
      <c r="D165" s="479" t="s">
        <v>2263</v>
      </c>
      <c r="E165" s="559"/>
      <c r="F165" s="560"/>
      <c r="G165" s="523">
        <f t="shared" si="10"/>
        <v>0</v>
      </c>
      <c r="H165" s="646" t="str">
        <f t="shared" si="11"/>
        <v/>
      </c>
    </row>
    <row r="166" spans="1:8" ht="13.5" hidden="1" customHeight="1">
      <c r="A166" s="603"/>
      <c r="B166" s="605"/>
      <c r="C166" s="544">
        <v>10500923</v>
      </c>
      <c r="D166" s="479" t="s">
        <v>2264</v>
      </c>
      <c r="E166" s="559"/>
      <c r="F166" s="560"/>
      <c r="G166" s="523">
        <f t="shared" si="10"/>
        <v>0</v>
      </c>
      <c r="H166" s="646" t="str">
        <f t="shared" si="11"/>
        <v/>
      </c>
    </row>
    <row r="167" spans="1:8" ht="13.5" hidden="1" customHeight="1">
      <c r="A167" s="603"/>
      <c r="B167" s="605"/>
      <c r="C167" s="544">
        <v>10500924</v>
      </c>
      <c r="D167" s="479" t="s">
        <v>2265</v>
      </c>
      <c r="E167" s="559"/>
      <c r="F167" s="560"/>
      <c r="G167" s="523">
        <f t="shared" si="10"/>
        <v>0</v>
      </c>
      <c r="H167" s="646" t="str">
        <f t="shared" si="11"/>
        <v/>
      </c>
    </row>
    <row r="168" spans="1:8" ht="13.5" hidden="1" customHeight="1">
      <c r="A168" s="603"/>
      <c r="B168" s="605"/>
      <c r="C168" s="544">
        <v>10500925</v>
      </c>
      <c r="D168" s="479" t="s">
        <v>2266</v>
      </c>
      <c r="E168" s="559"/>
      <c r="F168" s="560"/>
      <c r="G168" s="523">
        <f t="shared" si="10"/>
        <v>0</v>
      </c>
      <c r="H168" s="646" t="str">
        <f t="shared" si="11"/>
        <v/>
      </c>
    </row>
    <row r="169" spans="1:8" ht="13.5" hidden="1" customHeight="1">
      <c r="A169" s="603"/>
      <c r="B169" s="605"/>
      <c r="C169" s="673"/>
      <c r="D169" s="724"/>
      <c r="E169" s="725"/>
      <c r="F169" s="674"/>
      <c r="G169" s="726">
        <f t="shared" si="10"/>
        <v>0</v>
      </c>
      <c r="H169" s="727" t="str">
        <f t="shared" si="11"/>
        <v/>
      </c>
    </row>
    <row r="170" spans="1:8" ht="13.5" hidden="1" customHeight="1">
      <c r="A170" s="603"/>
      <c r="B170" s="503"/>
      <c r="C170" s="544">
        <v>10501001</v>
      </c>
      <c r="D170" s="479" t="s">
        <v>2267</v>
      </c>
      <c r="E170" s="559"/>
      <c r="F170" s="560"/>
      <c r="G170" s="523">
        <f t="shared" si="10"/>
        <v>0</v>
      </c>
      <c r="H170" s="729" t="str">
        <f t="shared" ref="H170:H185" si="12">IF(H$22="010倉庫建物",ROUND(H23+H23/(H$5-H$6)*H$6+H23/(H$5-H$6)*H$15,-3),"")</f>
        <v/>
      </c>
    </row>
    <row r="171" spans="1:8" ht="13.5" hidden="1" customHeight="1">
      <c r="A171" s="603"/>
      <c r="C171" s="544">
        <v>10501002</v>
      </c>
      <c r="D171" s="479" t="s">
        <v>2268</v>
      </c>
      <c r="E171" s="559"/>
      <c r="F171" s="560"/>
      <c r="G171" s="523">
        <f t="shared" si="10"/>
        <v>0</v>
      </c>
      <c r="H171" s="646" t="str">
        <f t="shared" si="12"/>
        <v/>
      </c>
    </row>
    <row r="172" spans="1:8" ht="13.5" hidden="1" customHeight="1">
      <c r="A172" s="603"/>
      <c r="C172" s="544">
        <v>10501003</v>
      </c>
      <c r="D172" s="479" t="s">
        <v>2269</v>
      </c>
      <c r="E172" s="559"/>
      <c r="F172" s="560"/>
      <c r="G172" s="523">
        <f t="shared" si="10"/>
        <v>0</v>
      </c>
      <c r="H172" s="646" t="str">
        <f t="shared" si="12"/>
        <v/>
      </c>
    </row>
    <row r="173" spans="1:8" ht="13.5" hidden="1" customHeight="1">
      <c r="A173" s="603"/>
      <c r="C173" s="544">
        <v>10501004</v>
      </c>
      <c r="D173" s="479" t="s">
        <v>2270</v>
      </c>
      <c r="E173" s="559"/>
      <c r="F173" s="560"/>
      <c r="G173" s="523">
        <f t="shared" si="10"/>
        <v>0</v>
      </c>
      <c r="H173" s="646" t="str">
        <f t="shared" si="12"/>
        <v/>
      </c>
    </row>
    <row r="174" spans="1:8" ht="13.5" hidden="1" customHeight="1">
      <c r="A174" s="603"/>
      <c r="C174" s="544">
        <v>10501005</v>
      </c>
      <c r="D174" s="479" t="s">
        <v>2271</v>
      </c>
      <c r="E174" s="559"/>
      <c r="F174" s="560"/>
      <c r="G174" s="523">
        <f t="shared" si="10"/>
        <v>0</v>
      </c>
      <c r="H174" s="646" t="str">
        <f t="shared" si="12"/>
        <v/>
      </c>
    </row>
    <row r="175" spans="1:8" ht="13.5" hidden="1" customHeight="1">
      <c r="A175" s="603"/>
      <c r="C175" s="544">
        <v>10501006</v>
      </c>
      <c r="D175" s="479" t="s">
        <v>2272</v>
      </c>
      <c r="E175" s="559"/>
      <c r="F175" s="560"/>
      <c r="G175" s="523">
        <f t="shared" si="10"/>
        <v>0</v>
      </c>
      <c r="H175" s="646" t="str">
        <f t="shared" si="12"/>
        <v/>
      </c>
    </row>
    <row r="176" spans="1:8" ht="13.5" hidden="1" customHeight="1">
      <c r="A176" s="603"/>
      <c r="C176" s="544">
        <v>10501007</v>
      </c>
      <c r="D176" s="479" t="s">
        <v>2273</v>
      </c>
      <c r="E176" s="559"/>
      <c r="F176" s="560"/>
      <c r="G176" s="523">
        <f t="shared" si="10"/>
        <v>0</v>
      </c>
      <c r="H176" s="646" t="str">
        <f t="shared" si="12"/>
        <v/>
      </c>
    </row>
    <row r="177" spans="1:8" ht="13.5" hidden="1" customHeight="1">
      <c r="A177" s="603"/>
      <c r="C177" s="544">
        <v>10501008</v>
      </c>
      <c r="D177" s="479" t="s">
        <v>2274</v>
      </c>
      <c r="E177" s="559"/>
      <c r="F177" s="560"/>
      <c r="G177" s="523">
        <f t="shared" si="10"/>
        <v>0</v>
      </c>
      <c r="H177" s="646" t="str">
        <f t="shared" si="12"/>
        <v/>
      </c>
    </row>
    <row r="178" spans="1:8" ht="13.5" hidden="1" customHeight="1">
      <c r="A178" s="603"/>
      <c r="C178" s="544">
        <v>10501009</v>
      </c>
      <c r="D178" s="479" t="s">
        <v>2275</v>
      </c>
      <c r="E178" s="559"/>
      <c r="F178" s="560"/>
      <c r="G178" s="523">
        <f t="shared" si="10"/>
        <v>0</v>
      </c>
      <c r="H178" s="646" t="str">
        <f t="shared" si="12"/>
        <v/>
      </c>
    </row>
    <row r="179" spans="1:8" ht="13.5" hidden="1" customHeight="1">
      <c r="A179" s="603"/>
      <c r="C179" s="544">
        <v>10501010</v>
      </c>
      <c r="D179" s="479" t="s">
        <v>2276</v>
      </c>
      <c r="E179" s="559"/>
      <c r="F179" s="560"/>
      <c r="G179" s="523">
        <f t="shared" si="10"/>
        <v>0</v>
      </c>
      <c r="H179" s="646" t="str">
        <f t="shared" si="12"/>
        <v/>
      </c>
    </row>
    <row r="180" spans="1:8" ht="13.5" hidden="1" customHeight="1">
      <c r="A180" s="603"/>
      <c r="C180" s="544">
        <v>10501011</v>
      </c>
      <c r="D180" s="479" t="s">
        <v>2021</v>
      </c>
      <c r="E180" s="559"/>
      <c r="F180" s="560"/>
      <c r="G180" s="523">
        <f t="shared" si="10"/>
        <v>0</v>
      </c>
      <c r="H180" s="646" t="str">
        <f t="shared" si="12"/>
        <v/>
      </c>
    </row>
    <row r="181" spans="1:8" ht="13.5" hidden="1" customHeight="1">
      <c r="A181" s="603"/>
      <c r="C181" s="544">
        <v>10501012</v>
      </c>
      <c r="D181" s="479" t="s">
        <v>2277</v>
      </c>
      <c r="E181" s="559"/>
      <c r="F181" s="560"/>
      <c r="G181" s="523">
        <f t="shared" si="10"/>
        <v>0</v>
      </c>
      <c r="H181" s="646" t="str">
        <f t="shared" si="12"/>
        <v/>
      </c>
    </row>
    <row r="182" spans="1:8" ht="13.5" hidden="1" customHeight="1">
      <c r="A182" s="603"/>
      <c r="C182" s="544">
        <v>10501013</v>
      </c>
      <c r="D182" s="479" t="s">
        <v>2278</v>
      </c>
      <c r="E182" s="559"/>
      <c r="F182" s="560"/>
      <c r="G182" s="523">
        <f t="shared" si="10"/>
        <v>0</v>
      </c>
      <c r="H182" s="646" t="str">
        <f t="shared" si="12"/>
        <v/>
      </c>
    </row>
    <row r="183" spans="1:8" ht="13.5" hidden="1" customHeight="1">
      <c r="A183" s="603"/>
      <c r="C183" s="544">
        <v>10501014</v>
      </c>
      <c r="D183" s="479" t="s">
        <v>2279</v>
      </c>
      <c r="E183" s="559"/>
      <c r="F183" s="560"/>
      <c r="G183" s="523">
        <f t="shared" si="10"/>
        <v>0</v>
      </c>
      <c r="H183" s="646" t="str">
        <f t="shared" si="12"/>
        <v/>
      </c>
    </row>
    <row r="184" spans="1:8" ht="13.5" hidden="1" customHeight="1">
      <c r="A184" s="603"/>
      <c r="C184" s="544">
        <v>10501015</v>
      </c>
      <c r="D184" s="479" t="s">
        <v>2280</v>
      </c>
      <c r="E184" s="559"/>
      <c r="F184" s="560"/>
      <c r="G184" s="523">
        <f t="shared" si="10"/>
        <v>0</v>
      </c>
      <c r="H184" s="646" t="str">
        <f t="shared" si="12"/>
        <v/>
      </c>
    </row>
    <row r="185" spans="1:8" ht="13.5" hidden="1" customHeight="1">
      <c r="A185" s="603"/>
      <c r="C185" s="544">
        <v>10501016</v>
      </c>
      <c r="D185" s="479" t="s">
        <v>2281</v>
      </c>
      <c r="E185" s="559"/>
      <c r="F185" s="560"/>
      <c r="G185" s="523">
        <f t="shared" si="10"/>
        <v>0</v>
      </c>
      <c r="H185" s="646" t="str">
        <f t="shared" si="12"/>
        <v/>
      </c>
    </row>
    <row r="186" spans="1:8" ht="13.5" hidden="1" customHeight="1">
      <c r="A186" s="603"/>
      <c r="C186" s="544">
        <v>10501017</v>
      </c>
      <c r="D186" s="479" t="s">
        <v>2022</v>
      </c>
      <c r="E186" s="559"/>
      <c r="F186" s="560"/>
      <c r="G186" s="523">
        <f t="shared" si="10"/>
        <v>0</v>
      </c>
      <c r="H186" s="646" t="str">
        <f t="shared" ref="H186:H195" si="13">IF(H$22="010倉庫建物",ROUND(H39+H39/(H$5-H$6)*H$6+H39/(H$5-H$6)*H$15,-3),"")</f>
        <v/>
      </c>
    </row>
    <row r="187" spans="1:8" ht="13.5" hidden="1" customHeight="1">
      <c r="A187" s="603"/>
      <c r="C187" s="544">
        <v>10501018</v>
      </c>
      <c r="D187" s="479" t="s">
        <v>2282</v>
      </c>
      <c r="E187" s="559"/>
      <c r="F187" s="560"/>
      <c r="G187" s="523">
        <f t="shared" si="10"/>
        <v>0</v>
      </c>
      <c r="H187" s="646" t="str">
        <f t="shared" si="13"/>
        <v/>
      </c>
    </row>
    <row r="188" spans="1:8" ht="13.5" hidden="1" customHeight="1">
      <c r="A188" s="603"/>
      <c r="C188" s="544">
        <v>10501019</v>
      </c>
      <c r="D188" s="479" t="s">
        <v>2283</v>
      </c>
      <c r="E188" s="559"/>
      <c r="F188" s="560"/>
      <c r="G188" s="523">
        <f t="shared" si="10"/>
        <v>0</v>
      </c>
      <c r="H188" s="646" t="str">
        <f t="shared" si="13"/>
        <v/>
      </c>
    </row>
    <row r="189" spans="1:8" ht="13.5" hidden="1" customHeight="1">
      <c r="A189" s="603"/>
      <c r="C189" s="544">
        <v>10501020</v>
      </c>
      <c r="D189" s="479" t="s">
        <v>2023</v>
      </c>
      <c r="E189" s="559"/>
      <c r="F189" s="560"/>
      <c r="G189" s="523">
        <f t="shared" si="10"/>
        <v>0</v>
      </c>
      <c r="H189" s="646" t="str">
        <f t="shared" si="13"/>
        <v/>
      </c>
    </row>
    <row r="190" spans="1:8" ht="13.5" hidden="1" customHeight="1">
      <c r="A190" s="603"/>
      <c r="C190" s="544">
        <v>10501021</v>
      </c>
      <c r="D190" s="479" t="s">
        <v>2284</v>
      </c>
      <c r="E190" s="559"/>
      <c r="F190" s="560"/>
      <c r="G190" s="523">
        <f t="shared" si="10"/>
        <v>0</v>
      </c>
      <c r="H190" s="646" t="str">
        <f t="shared" si="13"/>
        <v/>
      </c>
    </row>
    <row r="191" spans="1:8" ht="13.5" hidden="1" customHeight="1">
      <c r="A191" s="603"/>
      <c r="C191" s="544">
        <v>10501022</v>
      </c>
      <c r="D191" s="479" t="s">
        <v>2285</v>
      </c>
      <c r="E191" s="559"/>
      <c r="F191" s="560"/>
      <c r="G191" s="523">
        <f t="shared" si="10"/>
        <v>0</v>
      </c>
      <c r="H191" s="646" t="str">
        <f t="shared" si="13"/>
        <v/>
      </c>
    </row>
    <row r="192" spans="1:8" ht="13.5" hidden="1" customHeight="1">
      <c r="A192" s="603"/>
      <c r="C192" s="544">
        <v>10501023</v>
      </c>
      <c r="D192" s="479" t="s">
        <v>2024</v>
      </c>
      <c r="E192" s="559"/>
      <c r="F192" s="560"/>
      <c r="G192" s="523">
        <f t="shared" si="10"/>
        <v>0</v>
      </c>
      <c r="H192" s="646" t="str">
        <f t="shared" si="13"/>
        <v/>
      </c>
    </row>
    <row r="193" spans="1:8" ht="13.5" hidden="1" customHeight="1">
      <c r="A193" s="603"/>
      <c r="C193" s="544">
        <v>10501024</v>
      </c>
      <c r="D193" s="479" t="s">
        <v>2286</v>
      </c>
      <c r="E193" s="559"/>
      <c r="F193" s="560"/>
      <c r="G193" s="523">
        <f t="shared" si="10"/>
        <v>0</v>
      </c>
      <c r="H193" s="646" t="str">
        <f t="shared" si="13"/>
        <v/>
      </c>
    </row>
    <row r="194" spans="1:8" ht="13.5" hidden="1" customHeight="1">
      <c r="A194" s="603"/>
      <c r="C194" s="544">
        <v>10501025</v>
      </c>
      <c r="D194" s="479" t="s">
        <v>2287</v>
      </c>
      <c r="E194" s="559"/>
      <c r="F194" s="560"/>
      <c r="G194" s="523">
        <f t="shared" si="10"/>
        <v>0</v>
      </c>
      <c r="H194" s="646" t="str">
        <f t="shared" si="13"/>
        <v/>
      </c>
    </row>
    <row r="195" spans="1:8" ht="13.5" hidden="1" customHeight="1">
      <c r="A195" s="603"/>
      <c r="B195" s="605"/>
      <c r="C195" s="673"/>
      <c r="D195" s="724"/>
      <c r="E195" s="725"/>
      <c r="F195" s="674"/>
      <c r="G195" s="726">
        <f t="shared" si="10"/>
        <v>0</v>
      </c>
      <c r="H195" s="727" t="str">
        <f t="shared" si="13"/>
        <v/>
      </c>
    </row>
    <row r="196" spans="1:8" ht="13.5" hidden="1" customHeight="1">
      <c r="A196" s="603"/>
      <c r="C196" s="544">
        <v>10501101</v>
      </c>
      <c r="D196" s="479" t="s">
        <v>2288</v>
      </c>
      <c r="E196" s="559"/>
      <c r="F196" s="560"/>
      <c r="G196" s="523">
        <f t="shared" si="10"/>
        <v>0</v>
      </c>
      <c r="H196" s="729" t="str">
        <f t="shared" ref="H196:H211" si="14">IF(H$22="011詰所建物",ROUND(H23+H23/(H$5-H$6)*H$6+H23/(H$5-H$6)*H$15,-3),"")</f>
        <v/>
      </c>
    </row>
    <row r="197" spans="1:8" ht="13.5" hidden="1" customHeight="1">
      <c r="A197" s="603"/>
      <c r="C197" s="544">
        <v>10501102</v>
      </c>
      <c r="D197" s="479" t="s">
        <v>2289</v>
      </c>
      <c r="E197" s="559"/>
      <c r="F197" s="560"/>
      <c r="G197" s="523">
        <f t="shared" si="10"/>
        <v>0</v>
      </c>
      <c r="H197" s="646" t="str">
        <f t="shared" si="14"/>
        <v/>
      </c>
    </row>
    <row r="198" spans="1:8" ht="13.5" hidden="1" customHeight="1">
      <c r="A198" s="603"/>
      <c r="C198" s="544">
        <v>10501103</v>
      </c>
      <c r="D198" s="479" t="s">
        <v>2290</v>
      </c>
      <c r="E198" s="559"/>
      <c r="F198" s="560"/>
      <c r="G198" s="523">
        <f t="shared" si="10"/>
        <v>0</v>
      </c>
      <c r="H198" s="646" t="str">
        <f t="shared" si="14"/>
        <v/>
      </c>
    </row>
    <row r="199" spans="1:8" ht="13.5" hidden="1" customHeight="1">
      <c r="A199" s="603"/>
      <c r="C199" s="544">
        <v>10501104</v>
      </c>
      <c r="D199" s="479" t="s">
        <v>2291</v>
      </c>
      <c r="E199" s="559"/>
      <c r="F199" s="560"/>
      <c r="G199" s="523">
        <f t="shared" si="10"/>
        <v>0</v>
      </c>
      <c r="H199" s="646" t="str">
        <f t="shared" si="14"/>
        <v/>
      </c>
    </row>
    <row r="200" spans="1:8" ht="13.5" hidden="1" customHeight="1">
      <c r="A200" s="603"/>
      <c r="C200" s="544">
        <v>10501105</v>
      </c>
      <c r="D200" s="479" t="s">
        <v>2292</v>
      </c>
      <c r="E200" s="559"/>
      <c r="F200" s="560"/>
      <c r="G200" s="523">
        <f t="shared" si="10"/>
        <v>0</v>
      </c>
      <c r="H200" s="646" t="str">
        <f t="shared" si="14"/>
        <v/>
      </c>
    </row>
    <row r="201" spans="1:8" ht="13.5" hidden="1" customHeight="1">
      <c r="A201" s="603"/>
      <c r="C201" s="544">
        <v>10501106</v>
      </c>
      <c r="D201" s="479" t="s">
        <v>2293</v>
      </c>
      <c r="E201" s="559"/>
      <c r="F201" s="560"/>
      <c r="G201" s="523">
        <f t="shared" si="10"/>
        <v>0</v>
      </c>
      <c r="H201" s="646" t="str">
        <f t="shared" si="14"/>
        <v/>
      </c>
    </row>
    <row r="202" spans="1:8" ht="13.5" hidden="1" customHeight="1">
      <c r="A202" s="603"/>
      <c r="C202" s="544">
        <v>10501107</v>
      </c>
      <c r="D202" s="479" t="s">
        <v>2294</v>
      </c>
      <c r="E202" s="559"/>
      <c r="F202" s="560"/>
      <c r="G202" s="523">
        <f t="shared" si="10"/>
        <v>0</v>
      </c>
      <c r="H202" s="646" t="str">
        <f t="shared" si="14"/>
        <v/>
      </c>
    </row>
    <row r="203" spans="1:8" ht="13.5" hidden="1" customHeight="1">
      <c r="A203" s="603"/>
      <c r="C203" s="544">
        <v>10501108</v>
      </c>
      <c r="D203" s="479" t="s">
        <v>2295</v>
      </c>
      <c r="E203" s="559"/>
      <c r="F203" s="560"/>
      <c r="G203" s="523">
        <f t="shared" si="10"/>
        <v>0</v>
      </c>
      <c r="H203" s="646" t="str">
        <f t="shared" si="14"/>
        <v/>
      </c>
    </row>
    <row r="204" spans="1:8" ht="13.5" hidden="1" customHeight="1">
      <c r="A204" s="603"/>
      <c r="C204" s="544">
        <v>10501109</v>
      </c>
      <c r="D204" s="479" t="s">
        <v>2296</v>
      </c>
      <c r="E204" s="559"/>
      <c r="F204" s="560"/>
      <c r="G204" s="523">
        <f t="shared" si="10"/>
        <v>0</v>
      </c>
      <c r="H204" s="646" t="str">
        <f t="shared" si="14"/>
        <v/>
      </c>
    </row>
    <row r="205" spans="1:8" ht="13.5" hidden="1" customHeight="1">
      <c r="A205" s="603"/>
      <c r="C205" s="544">
        <v>10501110</v>
      </c>
      <c r="D205" s="479" t="s">
        <v>2297</v>
      </c>
      <c r="E205" s="559"/>
      <c r="F205" s="560"/>
      <c r="G205" s="523">
        <f t="shared" si="10"/>
        <v>0</v>
      </c>
      <c r="H205" s="646" t="str">
        <f t="shared" si="14"/>
        <v/>
      </c>
    </row>
    <row r="206" spans="1:8" ht="13.5" hidden="1" customHeight="1">
      <c r="A206" s="603"/>
      <c r="C206" s="544">
        <v>10501111</v>
      </c>
      <c r="D206" s="479" t="s">
        <v>2298</v>
      </c>
      <c r="E206" s="559"/>
      <c r="F206" s="560"/>
      <c r="G206" s="523">
        <f t="shared" si="10"/>
        <v>0</v>
      </c>
      <c r="H206" s="646" t="str">
        <f t="shared" si="14"/>
        <v/>
      </c>
    </row>
    <row r="207" spans="1:8" ht="13.5" hidden="1" customHeight="1">
      <c r="A207" s="603"/>
      <c r="C207" s="544">
        <v>10501112</v>
      </c>
      <c r="D207" s="479" t="s">
        <v>2299</v>
      </c>
      <c r="E207" s="559"/>
      <c r="F207" s="560"/>
      <c r="G207" s="523">
        <f t="shared" si="10"/>
        <v>0</v>
      </c>
      <c r="H207" s="646" t="str">
        <f t="shared" si="14"/>
        <v/>
      </c>
    </row>
    <row r="208" spans="1:8" ht="13.5" hidden="1" customHeight="1">
      <c r="A208" s="603"/>
      <c r="C208" s="544">
        <v>10501113</v>
      </c>
      <c r="D208" s="479" t="s">
        <v>2300</v>
      </c>
      <c r="E208" s="559"/>
      <c r="F208" s="560"/>
      <c r="G208" s="523">
        <f t="shared" si="10"/>
        <v>0</v>
      </c>
      <c r="H208" s="646" t="str">
        <f t="shared" si="14"/>
        <v/>
      </c>
    </row>
    <row r="209" spans="1:8" ht="13.5" hidden="1" customHeight="1">
      <c r="A209" s="603"/>
      <c r="C209" s="544">
        <v>10501114</v>
      </c>
      <c r="D209" s="479" t="s">
        <v>2301</v>
      </c>
      <c r="E209" s="559"/>
      <c r="F209" s="560"/>
      <c r="G209" s="523">
        <f t="shared" si="10"/>
        <v>0</v>
      </c>
      <c r="H209" s="646" t="str">
        <f t="shared" si="14"/>
        <v/>
      </c>
    </row>
    <row r="210" spans="1:8" ht="13.5" hidden="1" customHeight="1">
      <c r="A210" s="603"/>
      <c r="C210" s="544">
        <v>10501115</v>
      </c>
      <c r="D210" s="479" t="s">
        <v>2302</v>
      </c>
      <c r="E210" s="559"/>
      <c r="F210" s="560"/>
      <c r="G210" s="523">
        <f t="shared" si="10"/>
        <v>0</v>
      </c>
      <c r="H210" s="646" t="str">
        <f t="shared" si="14"/>
        <v/>
      </c>
    </row>
    <row r="211" spans="1:8" ht="13.5" hidden="1" customHeight="1">
      <c r="A211" s="603"/>
      <c r="C211" s="544">
        <v>10501116</v>
      </c>
      <c r="D211" s="479" t="s">
        <v>2303</v>
      </c>
      <c r="E211" s="559"/>
      <c r="F211" s="560"/>
      <c r="G211" s="523">
        <f t="shared" si="10"/>
        <v>0</v>
      </c>
      <c r="H211" s="646" t="str">
        <f t="shared" si="14"/>
        <v/>
      </c>
    </row>
    <row r="212" spans="1:8" ht="13.5" hidden="1" customHeight="1">
      <c r="A212" s="603"/>
      <c r="C212" s="544">
        <v>10501117</v>
      </c>
      <c r="D212" s="479" t="s">
        <v>2304</v>
      </c>
      <c r="E212" s="559"/>
      <c r="F212" s="560"/>
      <c r="G212" s="523">
        <f t="shared" si="10"/>
        <v>0</v>
      </c>
      <c r="H212" s="646" t="str">
        <f t="shared" ref="H212:H221" si="15">IF(H$22="011詰所建物",ROUND(H39+H39/(H$5-H$6)*H$6+H39/(H$5-H$6)*H$15,-3),"")</f>
        <v/>
      </c>
    </row>
    <row r="213" spans="1:8" ht="13.5" hidden="1" customHeight="1">
      <c r="A213" s="603"/>
      <c r="C213" s="544">
        <v>10501118</v>
      </c>
      <c r="D213" s="479" t="s">
        <v>2305</v>
      </c>
      <c r="E213" s="559"/>
      <c r="F213" s="560"/>
      <c r="G213" s="523">
        <f t="shared" si="10"/>
        <v>0</v>
      </c>
      <c r="H213" s="646" t="str">
        <f t="shared" si="15"/>
        <v/>
      </c>
    </row>
    <row r="214" spans="1:8" ht="13.5" hidden="1" customHeight="1">
      <c r="A214" s="603"/>
      <c r="C214" s="544">
        <v>10501119</v>
      </c>
      <c r="D214" s="479" t="s">
        <v>2306</v>
      </c>
      <c r="E214" s="559"/>
      <c r="F214" s="560"/>
      <c r="G214" s="523">
        <f t="shared" si="10"/>
        <v>0</v>
      </c>
      <c r="H214" s="646" t="str">
        <f t="shared" si="15"/>
        <v/>
      </c>
    </row>
    <row r="215" spans="1:8" ht="13.5" hidden="1" customHeight="1">
      <c r="A215" s="603"/>
      <c r="C215" s="544">
        <v>10501120</v>
      </c>
      <c r="D215" s="479" t="s">
        <v>2307</v>
      </c>
      <c r="E215" s="559"/>
      <c r="F215" s="560"/>
      <c r="G215" s="523">
        <f t="shared" si="10"/>
        <v>0</v>
      </c>
      <c r="H215" s="646" t="str">
        <f t="shared" si="15"/>
        <v/>
      </c>
    </row>
    <row r="216" spans="1:8" ht="13.5" hidden="1" customHeight="1">
      <c r="A216" s="603"/>
      <c r="C216" s="544">
        <v>10501121</v>
      </c>
      <c r="D216" s="479" t="s">
        <v>2308</v>
      </c>
      <c r="E216" s="559"/>
      <c r="F216" s="560"/>
      <c r="G216" s="523">
        <f t="shared" si="10"/>
        <v>0</v>
      </c>
      <c r="H216" s="646" t="str">
        <f t="shared" si="15"/>
        <v/>
      </c>
    </row>
    <row r="217" spans="1:8" ht="13.5" hidden="1" customHeight="1">
      <c r="A217" s="603"/>
      <c r="C217" s="544">
        <v>10501122</v>
      </c>
      <c r="D217" s="479" t="s">
        <v>2309</v>
      </c>
      <c r="E217" s="559"/>
      <c r="F217" s="560"/>
      <c r="G217" s="523">
        <f t="shared" si="10"/>
        <v>0</v>
      </c>
      <c r="H217" s="646" t="str">
        <f t="shared" si="15"/>
        <v/>
      </c>
    </row>
    <row r="218" spans="1:8" ht="13.5" hidden="1" customHeight="1">
      <c r="A218" s="603"/>
      <c r="C218" s="544">
        <v>10501123</v>
      </c>
      <c r="D218" s="479" t="s">
        <v>2310</v>
      </c>
      <c r="E218" s="559"/>
      <c r="F218" s="560"/>
      <c r="G218" s="523">
        <f t="shared" si="10"/>
        <v>0</v>
      </c>
      <c r="H218" s="646" t="str">
        <f t="shared" si="15"/>
        <v/>
      </c>
    </row>
    <row r="219" spans="1:8" ht="13.5" hidden="1" customHeight="1">
      <c r="A219" s="603"/>
      <c r="C219" s="544">
        <v>10501124</v>
      </c>
      <c r="D219" s="479" t="s">
        <v>2311</v>
      </c>
      <c r="E219" s="559"/>
      <c r="F219" s="560"/>
      <c r="G219" s="523">
        <f t="shared" si="10"/>
        <v>0</v>
      </c>
      <c r="H219" s="646" t="str">
        <f t="shared" si="15"/>
        <v/>
      </c>
    </row>
    <row r="220" spans="1:8" ht="13.5" hidden="1" customHeight="1">
      <c r="A220" s="603"/>
      <c r="C220" s="544">
        <v>10501125</v>
      </c>
      <c r="D220" s="479" t="s">
        <v>2312</v>
      </c>
      <c r="E220" s="559"/>
      <c r="F220" s="560"/>
      <c r="G220" s="523">
        <f t="shared" ref="G220:G283" si="16">SUM(H220:I220)</f>
        <v>0</v>
      </c>
      <c r="H220" s="646" t="str">
        <f t="shared" si="15"/>
        <v/>
      </c>
    </row>
    <row r="221" spans="1:8" ht="13.5" hidden="1" customHeight="1">
      <c r="A221" s="603"/>
      <c r="B221" s="605"/>
      <c r="C221" s="673"/>
      <c r="D221" s="724"/>
      <c r="E221" s="725"/>
      <c r="F221" s="674"/>
      <c r="G221" s="726">
        <f t="shared" si="16"/>
        <v>0</v>
      </c>
      <c r="H221" s="727" t="str">
        <f t="shared" si="15"/>
        <v/>
      </c>
    </row>
    <row r="222" spans="1:8" ht="13.5" hidden="1" customHeight="1">
      <c r="A222" s="603"/>
      <c r="C222" s="544">
        <v>10501201</v>
      </c>
      <c r="D222" s="479" t="s">
        <v>2313</v>
      </c>
      <c r="E222" s="559"/>
      <c r="F222" s="560"/>
      <c r="G222" s="523">
        <f t="shared" si="16"/>
        <v>0</v>
      </c>
      <c r="H222" s="729" t="str">
        <f t="shared" ref="H222:H237" si="17">IF(H$22="012事務所建物",ROUND(H23+H23/(H$5-H$6)*H$6+H23/(H$5-H$6)*H$15,-3),"")</f>
        <v/>
      </c>
    </row>
    <row r="223" spans="1:8" ht="13.5" hidden="1" customHeight="1">
      <c r="A223" s="603"/>
      <c r="C223" s="544">
        <v>10501202</v>
      </c>
      <c r="D223" s="479" t="s">
        <v>2314</v>
      </c>
      <c r="E223" s="559"/>
      <c r="F223" s="560"/>
      <c r="G223" s="523">
        <f t="shared" si="16"/>
        <v>0</v>
      </c>
      <c r="H223" s="646" t="str">
        <f t="shared" si="17"/>
        <v/>
      </c>
    </row>
    <row r="224" spans="1:8" ht="13.5" hidden="1" customHeight="1">
      <c r="A224" s="603"/>
      <c r="C224" s="544">
        <v>10501203</v>
      </c>
      <c r="D224" s="479" t="s">
        <v>2315</v>
      </c>
      <c r="E224" s="559"/>
      <c r="F224" s="560"/>
      <c r="G224" s="523">
        <f t="shared" si="16"/>
        <v>0</v>
      </c>
      <c r="H224" s="646" t="str">
        <f t="shared" si="17"/>
        <v/>
      </c>
    </row>
    <row r="225" spans="1:8" ht="13.5" hidden="1" customHeight="1">
      <c r="A225" s="603"/>
      <c r="C225" s="544">
        <v>10501204</v>
      </c>
      <c r="D225" s="479" t="s">
        <v>2316</v>
      </c>
      <c r="E225" s="559"/>
      <c r="F225" s="560"/>
      <c r="G225" s="523">
        <f t="shared" si="16"/>
        <v>0</v>
      </c>
      <c r="H225" s="646" t="str">
        <f t="shared" si="17"/>
        <v/>
      </c>
    </row>
    <row r="226" spans="1:8" ht="13.5" hidden="1" customHeight="1">
      <c r="A226" s="603"/>
      <c r="C226" s="544">
        <v>10501205</v>
      </c>
      <c r="D226" s="479" t="s">
        <v>2317</v>
      </c>
      <c r="E226" s="559"/>
      <c r="F226" s="560"/>
      <c r="G226" s="523">
        <f t="shared" si="16"/>
        <v>0</v>
      </c>
      <c r="H226" s="646" t="str">
        <f t="shared" si="17"/>
        <v/>
      </c>
    </row>
    <row r="227" spans="1:8" ht="13.5" hidden="1" customHeight="1">
      <c r="A227" s="603"/>
      <c r="C227" s="544">
        <v>10501206</v>
      </c>
      <c r="D227" s="479" t="s">
        <v>2318</v>
      </c>
      <c r="E227" s="559"/>
      <c r="F227" s="560"/>
      <c r="G227" s="523">
        <f t="shared" si="16"/>
        <v>0</v>
      </c>
      <c r="H227" s="646" t="str">
        <f t="shared" si="17"/>
        <v/>
      </c>
    </row>
    <row r="228" spans="1:8" ht="13.5" hidden="1" customHeight="1">
      <c r="A228" s="603"/>
      <c r="C228" s="544">
        <v>10501207</v>
      </c>
      <c r="D228" s="479" t="s">
        <v>2319</v>
      </c>
      <c r="E228" s="559"/>
      <c r="F228" s="560"/>
      <c r="G228" s="523">
        <f t="shared" si="16"/>
        <v>0</v>
      </c>
      <c r="H228" s="646" t="str">
        <f t="shared" si="17"/>
        <v/>
      </c>
    </row>
    <row r="229" spans="1:8" ht="13.5" hidden="1" customHeight="1">
      <c r="A229" s="603"/>
      <c r="C229" s="544">
        <v>10501208</v>
      </c>
      <c r="D229" s="479" t="s">
        <v>2025</v>
      </c>
      <c r="E229" s="559"/>
      <c r="F229" s="560"/>
      <c r="G229" s="523">
        <f t="shared" si="16"/>
        <v>0</v>
      </c>
      <c r="H229" s="646" t="str">
        <f t="shared" si="17"/>
        <v/>
      </c>
    </row>
    <row r="230" spans="1:8" ht="13.5" hidden="1" customHeight="1">
      <c r="A230" s="603"/>
      <c r="C230" s="544">
        <v>10501209</v>
      </c>
      <c r="D230" s="479" t="s">
        <v>2320</v>
      </c>
      <c r="E230" s="559"/>
      <c r="F230" s="560"/>
      <c r="G230" s="523">
        <f t="shared" si="16"/>
        <v>0</v>
      </c>
      <c r="H230" s="646" t="str">
        <f t="shared" si="17"/>
        <v/>
      </c>
    </row>
    <row r="231" spans="1:8" ht="13.5" hidden="1" customHeight="1">
      <c r="A231" s="603"/>
      <c r="C231" s="544">
        <v>10501210</v>
      </c>
      <c r="D231" s="479" t="s">
        <v>2321</v>
      </c>
      <c r="E231" s="559"/>
      <c r="F231" s="560"/>
      <c r="G231" s="523">
        <f t="shared" si="16"/>
        <v>0</v>
      </c>
      <c r="H231" s="646" t="str">
        <f t="shared" si="17"/>
        <v/>
      </c>
    </row>
    <row r="232" spans="1:8" ht="13.5" hidden="1" customHeight="1">
      <c r="A232" s="603"/>
      <c r="C232" s="544">
        <v>10501211</v>
      </c>
      <c r="D232" s="479" t="s">
        <v>2322</v>
      </c>
      <c r="E232" s="559"/>
      <c r="F232" s="560"/>
      <c r="G232" s="523">
        <f t="shared" si="16"/>
        <v>0</v>
      </c>
      <c r="H232" s="646" t="str">
        <f t="shared" si="17"/>
        <v/>
      </c>
    </row>
    <row r="233" spans="1:8" ht="13.5" hidden="1" customHeight="1">
      <c r="A233" s="603"/>
      <c r="C233" s="544">
        <v>10501212</v>
      </c>
      <c r="D233" s="479" t="s">
        <v>2323</v>
      </c>
      <c r="E233" s="559"/>
      <c r="F233" s="560"/>
      <c r="G233" s="523">
        <f t="shared" si="16"/>
        <v>0</v>
      </c>
      <c r="H233" s="646" t="str">
        <f t="shared" si="17"/>
        <v/>
      </c>
    </row>
    <row r="234" spans="1:8" ht="13.5" hidden="1" customHeight="1">
      <c r="A234" s="603"/>
      <c r="C234" s="544">
        <v>10501213</v>
      </c>
      <c r="D234" s="479" t="s">
        <v>2324</v>
      </c>
      <c r="E234" s="559"/>
      <c r="F234" s="560"/>
      <c r="G234" s="523">
        <f t="shared" si="16"/>
        <v>0</v>
      </c>
      <c r="H234" s="646" t="str">
        <f t="shared" si="17"/>
        <v/>
      </c>
    </row>
    <row r="235" spans="1:8" ht="13.5" hidden="1" customHeight="1">
      <c r="A235" s="603"/>
      <c r="C235" s="544">
        <v>10501214</v>
      </c>
      <c r="D235" s="479" t="s">
        <v>2325</v>
      </c>
      <c r="E235" s="559"/>
      <c r="F235" s="560"/>
      <c r="G235" s="523">
        <f t="shared" si="16"/>
        <v>0</v>
      </c>
      <c r="H235" s="646" t="str">
        <f t="shared" si="17"/>
        <v/>
      </c>
    </row>
    <row r="236" spans="1:8" ht="13.5" hidden="1" customHeight="1">
      <c r="A236" s="603"/>
      <c r="C236" s="544">
        <v>10501215</v>
      </c>
      <c r="D236" s="479" t="s">
        <v>2326</v>
      </c>
      <c r="E236" s="559"/>
      <c r="F236" s="560"/>
      <c r="G236" s="523">
        <f t="shared" si="16"/>
        <v>0</v>
      </c>
      <c r="H236" s="646" t="str">
        <f t="shared" si="17"/>
        <v/>
      </c>
    </row>
    <row r="237" spans="1:8" ht="13.5" hidden="1" customHeight="1">
      <c r="A237" s="603"/>
      <c r="C237" s="544">
        <v>10501216</v>
      </c>
      <c r="D237" s="479" t="s">
        <v>2327</v>
      </c>
      <c r="E237" s="559"/>
      <c r="F237" s="560"/>
      <c r="G237" s="523">
        <f t="shared" si="16"/>
        <v>0</v>
      </c>
      <c r="H237" s="646" t="str">
        <f t="shared" si="17"/>
        <v/>
      </c>
    </row>
    <row r="238" spans="1:8" ht="13.5" hidden="1" customHeight="1">
      <c r="A238" s="603"/>
      <c r="C238" s="544">
        <v>10501217</v>
      </c>
      <c r="D238" s="479" t="s">
        <v>2328</v>
      </c>
      <c r="E238" s="559"/>
      <c r="F238" s="560"/>
      <c r="G238" s="523">
        <f t="shared" si="16"/>
        <v>0</v>
      </c>
      <c r="H238" s="646" t="str">
        <f t="shared" ref="H238:H247" si="18">IF(H$22="012事務所建物",ROUND(H39+H39/(H$5-H$6)*H$6+H39/(H$5-H$6)*H$15,-3),"")</f>
        <v/>
      </c>
    </row>
    <row r="239" spans="1:8" ht="13.5" hidden="1" customHeight="1">
      <c r="A239" s="603"/>
      <c r="C239" s="544">
        <v>10501218</v>
      </c>
      <c r="D239" s="479" t="s">
        <v>2329</v>
      </c>
      <c r="E239" s="559"/>
      <c r="F239" s="560"/>
      <c r="G239" s="523">
        <f t="shared" si="16"/>
        <v>0</v>
      </c>
      <c r="H239" s="646" t="str">
        <f t="shared" si="18"/>
        <v/>
      </c>
    </row>
    <row r="240" spans="1:8" ht="13.5" hidden="1" customHeight="1">
      <c r="A240" s="603"/>
      <c r="C240" s="544">
        <v>10501219</v>
      </c>
      <c r="D240" s="479" t="s">
        <v>2330</v>
      </c>
      <c r="E240" s="559"/>
      <c r="F240" s="560"/>
      <c r="G240" s="523">
        <f t="shared" si="16"/>
        <v>0</v>
      </c>
      <c r="H240" s="646" t="str">
        <f t="shared" si="18"/>
        <v/>
      </c>
    </row>
    <row r="241" spans="1:8" ht="13.5" hidden="1" customHeight="1">
      <c r="A241" s="603"/>
      <c r="C241" s="544">
        <v>10501220</v>
      </c>
      <c r="D241" s="479" t="s">
        <v>2331</v>
      </c>
      <c r="E241" s="559"/>
      <c r="F241" s="560"/>
      <c r="G241" s="523">
        <f t="shared" si="16"/>
        <v>0</v>
      </c>
      <c r="H241" s="646" t="str">
        <f t="shared" si="18"/>
        <v/>
      </c>
    </row>
    <row r="242" spans="1:8" ht="13.5" hidden="1" customHeight="1">
      <c r="A242" s="603"/>
      <c r="C242" s="544">
        <v>10501221</v>
      </c>
      <c r="D242" s="479" t="s">
        <v>2332</v>
      </c>
      <c r="E242" s="559"/>
      <c r="F242" s="560"/>
      <c r="G242" s="523">
        <f t="shared" si="16"/>
        <v>0</v>
      </c>
      <c r="H242" s="646" t="str">
        <f t="shared" si="18"/>
        <v/>
      </c>
    </row>
    <row r="243" spans="1:8" ht="13.5" hidden="1" customHeight="1">
      <c r="A243" s="603"/>
      <c r="C243" s="544">
        <v>10501222</v>
      </c>
      <c r="D243" s="479" t="s">
        <v>2333</v>
      </c>
      <c r="E243" s="559"/>
      <c r="F243" s="560"/>
      <c r="G243" s="523">
        <f t="shared" si="16"/>
        <v>0</v>
      </c>
      <c r="H243" s="646" t="str">
        <f t="shared" si="18"/>
        <v/>
      </c>
    </row>
    <row r="244" spans="1:8" ht="13.5" hidden="1" customHeight="1">
      <c r="A244" s="603"/>
      <c r="C244" s="544">
        <v>10501223</v>
      </c>
      <c r="D244" s="479" t="s">
        <v>2334</v>
      </c>
      <c r="E244" s="559"/>
      <c r="F244" s="560"/>
      <c r="G244" s="523">
        <f t="shared" si="16"/>
        <v>0</v>
      </c>
      <c r="H244" s="646" t="str">
        <f t="shared" si="18"/>
        <v/>
      </c>
    </row>
    <row r="245" spans="1:8" ht="13.5" hidden="1" customHeight="1">
      <c r="A245" s="603"/>
      <c r="C245" s="544">
        <v>10501224</v>
      </c>
      <c r="D245" s="479" t="s">
        <v>2335</v>
      </c>
      <c r="E245" s="559"/>
      <c r="F245" s="560"/>
      <c r="G245" s="523">
        <f t="shared" si="16"/>
        <v>0</v>
      </c>
      <c r="H245" s="646" t="str">
        <f t="shared" si="18"/>
        <v/>
      </c>
    </row>
    <row r="246" spans="1:8" ht="13.5" hidden="1" customHeight="1">
      <c r="A246" s="603"/>
      <c r="C246" s="544">
        <v>10501225</v>
      </c>
      <c r="D246" s="479" t="s">
        <v>2336</v>
      </c>
      <c r="E246" s="559"/>
      <c r="F246" s="560"/>
      <c r="G246" s="523">
        <f t="shared" si="16"/>
        <v>0</v>
      </c>
      <c r="H246" s="646" t="str">
        <f t="shared" si="18"/>
        <v/>
      </c>
    </row>
    <row r="247" spans="1:8" ht="13.5" hidden="1" customHeight="1">
      <c r="A247" s="603"/>
      <c r="B247" s="605"/>
      <c r="C247" s="673"/>
      <c r="D247" s="724"/>
      <c r="E247" s="725"/>
      <c r="F247" s="674"/>
      <c r="G247" s="726">
        <f t="shared" si="16"/>
        <v>0</v>
      </c>
      <c r="H247" s="727" t="str">
        <f t="shared" si="18"/>
        <v/>
      </c>
    </row>
    <row r="248" spans="1:8" ht="13.5" hidden="1" customHeight="1">
      <c r="A248" s="603"/>
      <c r="C248" s="544">
        <v>10501301</v>
      </c>
      <c r="D248" s="479" t="s">
        <v>2337</v>
      </c>
      <c r="E248" s="559"/>
      <c r="F248" s="560"/>
      <c r="G248" s="523">
        <f t="shared" si="16"/>
        <v>0</v>
      </c>
      <c r="H248" s="729" t="str">
        <f t="shared" ref="H248:H263" si="19">IF(H$22="013社宅及び寮建物",ROUND(H23+H23/(H$5-H$6)*H$6+H23/(H$5-H$6)*H$15,-3),"")</f>
        <v/>
      </c>
    </row>
    <row r="249" spans="1:8" ht="13.5" hidden="1" customHeight="1">
      <c r="A249" s="603"/>
      <c r="C249" s="544">
        <v>10501302</v>
      </c>
      <c r="D249" s="479" t="s">
        <v>2338</v>
      </c>
      <c r="E249" s="559"/>
      <c r="F249" s="560"/>
      <c r="G249" s="523">
        <f t="shared" si="16"/>
        <v>0</v>
      </c>
      <c r="H249" s="646" t="str">
        <f t="shared" si="19"/>
        <v/>
      </c>
    </row>
    <row r="250" spans="1:8" ht="13.5" hidden="1" customHeight="1">
      <c r="A250" s="603"/>
      <c r="C250" s="544">
        <v>10501303</v>
      </c>
      <c r="D250" s="479" t="s">
        <v>2339</v>
      </c>
      <c r="E250" s="559"/>
      <c r="F250" s="560"/>
      <c r="G250" s="523">
        <f t="shared" si="16"/>
        <v>0</v>
      </c>
      <c r="H250" s="646" t="str">
        <f t="shared" si="19"/>
        <v/>
      </c>
    </row>
    <row r="251" spans="1:8" ht="13.5" hidden="1" customHeight="1">
      <c r="A251" s="603"/>
      <c r="C251" s="544">
        <v>10501304</v>
      </c>
      <c r="D251" s="479" t="s">
        <v>2340</v>
      </c>
      <c r="E251" s="559"/>
      <c r="F251" s="560"/>
      <c r="G251" s="523">
        <f t="shared" si="16"/>
        <v>0</v>
      </c>
      <c r="H251" s="646" t="str">
        <f t="shared" si="19"/>
        <v/>
      </c>
    </row>
    <row r="252" spans="1:8" ht="13.5" hidden="1" customHeight="1">
      <c r="A252" s="603"/>
      <c r="C252" s="544">
        <v>10501305</v>
      </c>
      <c r="D252" s="479" t="s">
        <v>2341</v>
      </c>
      <c r="E252" s="559"/>
      <c r="F252" s="560"/>
      <c r="G252" s="523">
        <f t="shared" si="16"/>
        <v>0</v>
      </c>
      <c r="H252" s="646" t="str">
        <f t="shared" si="19"/>
        <v/>
      </c>
    </row>
    <row r="253" spans="1:8" ht="13.5" hidden="1" customHeight="1">
      <c r="A253" s="603"/>
      <c r="C253" s="544">
        <v>10501306</v>
      </c>
      <c r="D253" s="479" t="s">
        <v>2342</v>
      </c>
      <c r="E253" s="559"/>
      <c r="F253" s="560"/>
      <c r="G253" s="523">
        <f t="shared" si="16"/>
        <v>0</v>
      </c>
      <c r="H253" s="646" t="str">
        <f t="shared" si="19"/>
        <v/>
      </c>
    </row>
    <row r="254" spans="1:8" ht="13.5" hidden="1" customHeight="1">
      <c r="A254" s="603"/>
      <c r="C254" s="544">
        <v>10501307</v>
      </c>
      <c r="D254" s="479" t="s">
        <v>2343</v>
      </c>
      <c r="E254" s="559"/>
      <c r="F254" s="560"/>
      <c r="G254" s="523">
        <f t="shared" si="16"/>
        <v>0</v>
      </c>
      <c r="H254" s="646" t="str">
        <f t="shared" si="19"/>
        <v/>
      </c>
    </row>
    <row r="255" spans="1:8" ht="13.5" hidden="1" customHeight="1">
      <c r="A255" s="603"/>
      <c r="C255" s="544">
        <v>10501308</v>
      </c>
      <c r="D255" s="479" t="s">
        <v>2344</v>
      </c>
      <c r="E255" s="559"/>
      <c r="F255" s="560"/>
      <c r="G255" s="523">
        <f t="shared" si="16"/>
        <v>0</v>
      </c>
      <c r="H255" s="646" t="str">
        <f t="shared" si="19"/>
        <v/>
      </c>
    </row>
    <row r="256" spans="1:8" ht="13.5" hidden="1" customHeight="1">
      <c r="A256" s="603"/>
      <c r="C256" s="544">
        <v>10501309</v>
      </c>
      <c r="D256" s="479" t="s">
        <v>2345</v>
      </c>
      <c r="E256" s="559"/>
      <c r="F256" s="560"/>
      <c r="G256" s="523">
        <f t="shared" si="16"/>
        <v>0</v>
      </c>
      <c r="H256" s="646" t="str">
        <f t="shared" si="19"/>
        <v/>
      </c>
    </row>
    <row r="257" spans="1:8" ht="13.5" hidden="1" customHeight="1">
      <c r="A257" s="603"/>
      <c r="C257" s="544">
        <v>10501310</v>
      </c>
      <c r="D257" s="479" t="s">
        <v>2346</v>
      </c>
      <c r="E257" s="559"/>
      <c r="F257" s="560"/>
      <c r="G257" s="523">
        <f t="shared" si="16"/>
        <v>0</v>
      </c>
      <c r="H257" s="646" t="str">
        <f t="shared" si="19"/>
        <v/>
      </c>
    </row>
    <row r="258" spans="1:8" ht="13.5" hidden="1" customHeight="1">
      <c r="A258" s="603"/>
      <c r="C258" s="544">
        <v>10501311</v>
      </c>
      <c r="D258" s="479" t="s">
        <v>2347</v>
      </c>
      <c r="E258" s="559"/>
      <c r="F258" s="560"/>
      <c r="G258" s="523">
        <f t="shared" si="16"/>
        <v>0</v>
      </c>
      <c r="H258" s="646" t="str">
        <f t="shared" si="19"/>
        <v/>
      </c>
    </row>
    <row r="259" spans="1:8" ht="13.5" hidden="1" customHeight="1">
      <c r="A259" s="603"/>
      <c r="C259" s="544">
        <v>10501312</v>
      </c>
      <c r="D259" s="479" t="s">
        <v>2348</v>
      </c>
      <c r="E259" s="559"/>
      <c r="F259" s="560"/>
      <c r="G259" s="523">
        <f t="shared" si="16"/>
        <v>0</v>
      </c>
      <c r="H259" s="646" t="str">
        <f t="shared" si="19"/>
        <v/>
      </c>
    </row>
    <row r="260" spans="1:8" ht="13.5" hidden="1" customHeight="1">
      <c r="A260" s="603"/>
      <c r="C260" s="544">
        <v>10501313</v>
      </c>
      <c r="D260" s="479" t="s">
        <v>2349</v>
      </c>
      <c r="E260" s="559"/>
      <c r="F260" s="560"/>
      <c r="G260" s="523">
        <f t="shared" si="16"/>
        <v>0</v>
      </c>
      <c r="H260" s="646" t="str">
        <f t="shared" si="19"/>
        <v/>
      </c>
    </row>
    <row r="261" spans="1:8" ht="13.5" hidden="1" customHeight="1">
      <c r="A261" s="603"/>
      <c r="C261" s="544">
        <v>10501314</v>
      </c>
      <c r="D261" s="479" t="s">
        <v>2350</v>
      </c>
      <c r="E261" s="559"/>
      <c r="F261" s="560"/>
      <c r="G261" s="523">
        <f t="shared" si="16"/>
        <v>0</v>
      </c>
      <c r="H261" s="646" t="str">
        <f t="shared" si="19"/>
        <v/>
      </c>
    </row>
    <row r="262" spans="1:8" ht="13.5" hidden="1" customHeight="1">
      <c r="A262" s="603"/>
      <c r="C262" s="544">
        <v>10501315</v>
      </c>
      <c r="D262" s="479" t="s">
        <v>2351</v>
      </c>
      <c r="E262" s="559"/>
      <c r="F262" s="560"/>
      <c r="G262" s="523">
        <f t="shared" si="16"/>
        <v>0</v>
      </c>
      <c r="H262" s="646" t="str">
        <f t="shared" si="19"/>
        <v/>
      </c>
    </row>
    <row r="263" spans="1:8" ht="13.5" hidden="1" customHeight="1">
      <c r="A263" s="603"/>
      <c r="C263" s="544">
        <v>10501316</v>
      </c>
      <c r="D263" s="479" t="s">
        <v>2352</v>
      </c>
      <c r="E263" s="559"/>
      <c r="F263" s="560"/>
      <c r="G263" s="523">
        <f t="shared" si="16"/>
        <v>0</v>
      </c>
      <c r="H263" s="646" t="str">
        <f t="shared" si="19"/>
        <v/>
      </c>
    </row>
    <row r="264" spans="1:8" ht="13.5" hidden="1" customHeight="1">
      <c r="A264" s="603"/>
      <c r="C264" s="544">
        <v>10501317</v>
      </c>
      <c r="D264" s="479" t="s">
        <v>2353</v>
      </c>
      <c r="E264" s="559"/>
      <c r="F264" s="560"/>
      <c r="G264" s="523">
        <f t="shared" si="16"/>
        <v>0</v>
      </c>
      <c r="H264" s="646" t="str">
        <f t="shared" ref="H264:H273" si="20">IF(H$22="013社宅及び寮建物",ROUND(H39+H39/(H$5-H$6)*H$6+H39/(H$5-H$6)*H$15,-3),"")</f>
        <v/>
      </c>
    </row>
    <row r="265" spans="1:8" ht="13.5" hidden="1" customHeight="1">
      <c r="A265" s="603"/>
      <c r="C265" s="544">
        <v>10501318</v>
      </c>
      <c r="D265" s="479" t="s">
        <v>2354</v>
      </c>
      <c r="E265" s="559"/>
      <c r="F265" s="560"/>
      <c r="G265" s="523">
        <f t="shared" si="16"/>
        <v>0</v>
      </c>
      <c r="H265" s="646" t="str">
        <f t="shared" si="20"/>
        <v/>
      </c>
    </row>
    <row r="266" spans="1:8" ht="13.5" hidden="1" customHeight="1">
      <c r="A266" s="603"/>
      <c r="C266" s="544">
        <v>10501319</v>
      </c>
      <c r="D266" s="479" t="s">
        <v>2355</v>
      </c>
      <c r="E266" s="559"/>
      <c r="F266" s="560"/>
      <c r="G266" s="523">
        <f t="shared" si="16"/>
        <v>0</v>
      </c>
      <c r="H266" s="646" t="str">
        <f t="shared" si="20"/>
        <v/>
      </c>
    </row>
    <row r="267" spans="1:8" ht="13.5" hidden="1" customHeight="1">
      <c r="A267" s="603"/>
      <c r="C267" s="544">
        <v>10501320</v>
      </c>
      <c r="D267" s="479" t="s">
        <v>2356</v>
      </c>
      <c r="E267" s="559"/>
      <c r="F267" s="560"/>
      <c r="G267" s="523">
        <f t="shared" si="16"/>
        <v>0</v>
      </c>
      <c r="H267" s="646" t="str">
        <f t="shared" si="20"/>
        <v/>
      </c>
    </row>
    <row r="268" spans="1:8" ht="13.5" hidden="1" customHeight="1">
      <c r="A268" s="603"/>
      <c r="C268" s="544">
        <v>10501321</v>
      </c>
      <c r="D268" s="479" t="s">
        <v>2357</v>
      </c>
      <c r="E268" s="559"/>
      <c r="F268" s="560"/>
      <c r="G268" s="523">
        <f t="shared" si="16"/>
        <v>0</v>
      </c>
      <c r="H268" s="646" t="str">
        <f t="shared" si="20"/>
        <v/>
      </c>
    </row>
    <row r="269" spans="1:8" ht="13.5" hidden="1" customHeight="1">
      <c r="A269" s="603"/>
      <c r="C269" s="544">
        <v>10501322</v>
      </c>
      <c r="D269" s="479" t="s">
        <v>2358</v>
      </c>
      <c r="E269" s="559"/>
      <c r="F269" s="560"/>
      <c r="G269" s="523">
        <f t="shared" si="16"/>
        <v>0</v>
      </c>
      <c r="H269" s="646" t="str">
        <f t="shared" si="20"/>
        <v/>
      </c>
    </row>
    <row r="270" spans="1:8" ht="13.5" hidden="1" customHeight="1">
      <c r="A270" s="603"/>
      <c r="C270" s="544">
        <v>10501323</v>
      </c>
      <c r="D270" s="479" t="s">
        <v>2359</v>
      </c>
      <c r="E270" s="559"/>
      <c r="F270" s="560"/>
      <c r="G270" s="523">
        <f t="shared" si="16"/>
        <v>0</v>
      </c>
      <c r="H270" s="646" t="str">
        <f t="shared" si="20"/>
        <v/>
      </c>
    </row>
    <row r="271" spans="1:8" ht="13.5" hidden="1" customHeight="1">
      <c r="A271" s="603"/>
      <c r="C271" s="544">
        <v>10501324</v>
      </c>
      <c r="D271" s="479" t="s">
        <v>2360</v>
      </c>
      <c r="E271" s="559"/>
      <c r="F271" s="560"/>
      <c r="G271" s="523">
        <f t="shared" si="16"/>
        <v>0</v>
      </c>
      <c r="H271" s="646" t="str">
        <f t="shared" si="20"/>
        <v/>
      </c>
    </row>
    <row r="272" spans="1:8" ht="13.5" hidden="1" customHeight="1">
      <c r="A272" s="603"/>
      <c r="C272" s="544">
        <v>10501325</v>
      </c>
      <c r="D272" s="479" t="s">
        <v>2361</v>
      </c>
      <c r="E272" s="559"/>
      <c r="F272" s="560"/>
      <c r="G272" s="523">
        <f t="shared" si="16"/>
        <v>0</v>
      </c>
      <c r="H272" s="646" t="str">
        <f t="shared" si="20"/>
        <v/>
      </c>
    </row>
    <row r="273" spans="1:9" ht="13.5" hidden="1" customHeight="1">
      <c r="A273" s="603"/>
      <c r="B273" s="605"/>
      <c r="C273" s="673"/>
      <c r="D273" s="724"/>
      <c r="E273" s="725"/>
      <c r="F273" s="674"/>
      <c r="G273" s="726">
        <f t="shared" si="16"/>
        <v>0</v>
      </c>
      <c r="H273" s="730" t="str">
        <f t="shared" si="20"/>
        <v/>
      </c>
    </row>
    <row r="274" spans="1:9" s="550" customFormat="1" ht="13.5" customHeight="1">
      <c r="A274" s="577"/>
      <c r="B274" s="578"/>
      <c r="C274" s="578"/>
      <c r="D274" s="578"/>
      <c r="E274" s="578"/>
      <c r="F274" s="579" t="s">
        <v>2017</v>
      </c>
      <c r="G274" s="580">
        <f ca="1">SUM(H274:I274)</f>
        <v>9564000</v>
      </c>
      <c r="H274" s="648">
        <f ca="1">IF(H4="費用",0,SUM(H92:H273))</f>
        <v>9564000</v>
      </c>
      <c r="I274" s="536"/>
    </row>
    <row r="275" spans="1:9" s="536" customFormat="1" ht="13.5" hidden="1" customHeight="1">
      <c r="A275" s="603"/>
      <c r="B275" s="499"/>
      <c r="C275" s="720">
        <v>11002401</v>
      </c>
      <c r="D275" s="479" t="s">
        <v>2362</v>
      </c>
      <c r="E275" s="559"/>
      <c r="F275" s="560"/>
      <c r="G275" s="533">
        <f t="shared" si="16"/>
        <v>0</v>
      </c>
      <c r="H275" s="636" t="str">
        <f>IF(H53="","",ROUND(H53+H53/(H$5-H$6)*H$6+H53/(H$5-H$6)*H$15,-3))</f>
        <v/>
      </c>
    </row>
    <row r="276" spans="1:9" s="536" customFormat="1" ht="13.5" hidden="1" customHeight="1">
      <c r="A276" s="603"/>
      <c r="B276" s="499"/>
      <c r="C276" s="720">
        <v>11002402</v>
      </c>
      <c r="D276" s="479" t="s">
        <v>2363</v>
      </c>
      <c r="E276" s="559"/>
      <c r="F276" s="560"/>
      <c r="G276" s="533">
        <f t="shared" si="16"/>
        <v>0</v>
      </c>
      <c r="H276" s="636" t="str">
        <f>IF(H54="","",ROUND(H54+H54/(H$5-H$6)*H$6+H54/(H$5-H$6)*H$15,-3))</f>
        <v/>
      </c>
    </row>
    <row r="277" spans="1:9" s="536" customFormat="1" ht="13.5" hidden="1" customHeight="1">
      <c r="A277" s="603"/>
      <c r="B277" s="604"/>
      <c r="C277" s="544">
        <v>11004901</v>
      </c>
      <c r="D277" s="479" t="s">
        <v>2059</v>
      </c>
      <c r="E277" s="559"/>
      <c r="F277" s="560"/>
      <c r="G277" s="523">
        <f t="shared" si="16"/>
        <v>0</v>
      </c>
      <c r="H277" s="646" t="str">
        <f t="shared" ref="H277:H287" si="21">IF(H58="","",ROUND(H58+H58/(H$5-H$6)*H$6+H58/(H$5-H$6)*H$15,-3))</f>
        <v/>
      </c>
    </row>
    <row r="278" spans="1:9" s="536" customFormat="1" ht="13.5" hidden="1" customHeight="1">
      <c r="A278" s="603"/>
      <c r="B278" s="604"/>
      <c r="C278" s="544">
        <v>11004902</v>
      </c>
      <c r="D278" s="479" t="s">
        <v>2060</v>
      </c>
      <c r="E278" s="559"/>
      <c r="F278" s="560"/>
      <c r="G278" s="523">
        <f t="shared" si="16"/>
        <v>0</v>
      </c>
      <c r="H278" s="646" t="str">
        <f t="shared" si="21"/>
        <v/>
      </c>
    </row>
    <row r="279" spans="1:9" s="536" customFormat="1" ht="13.5" hidden="1" customHeight="1">
      <c r="A279" s="603"/>
      <c r="B279" s="604"/>
      <c r="C279" s="544">
        <v>11004903</v>
      </c>
      <c r="D279" s="479" t="s">
        <v>2061</v>
      </c>
      <c r="E279" s="559"/>
      <c r="F279" s="560"/>
      <c r="G279" s="523">
        <f t="shared" si="16"/>
        <v>0</v>
      </c>
      <c r="H279" s="646" t="str">
        <f t="shared" si="21"/>
        <v/>
      </c>
    </row>
    <row r="280" spans="1:9" s="536" customFormat="1" ht="13.5" hidden="1" customHeight="1">
      <c r="A280" s="603"/>
      <c r="B280" s="604"/>
      <c r="C280" s="544">
        <v>11004904</v>
      </c>
      <c r="D280" s="479" t="s">
        <v>2062</v>
      </c>
      <c r="E280" s="559"/>
      <c r="F280" s="560"/>
      <c r="G280" s="523">
        <f t="shared" si="16"/>
        <v>0</v>
      </c>
      <c r="H280" s="646" t="str">
        <f t="shared" si="21"/>
        <v/>
      </c>
    </row>
    <row r="281" spans="1:9" s="536" customFormat="1" ht="13.5" hidden="1" customHeight="1">
      <c r="A281" s="603"/>
      <c r="B281" s="604"/>
      <c r="C281" s="544">
        <v>11004905</v>
      </c>
      <c r="D281" s="479" t="s">
        <v>2063</v>
      </c>
      <c r="E281" s="559"/>
      <c r="F281" s="560"/>
      <c r="G281" s="523">
        <f t="shared" si="16"/>
        <v>0</v>
      </c>
      <c r="H281" s="646" t="str">
        <f t="shared" si="21"/>
        <v/>
      </c>
    </row>
    <row r="282" spans="1:9" s="536" customFormat="1" ht="13.5" hidden="1" customHeight="1">
      <c r="A282" s="603"/>
      <c r="B282" s="604"/>
      <c r="C282" s="544">
        <v>11004906</v>
      </c>
      <c r="D282" s="479" t="s">
        <v>2064</v>
      </c>
      <c r="E282" s="559"/>
      <c r="F282" s="560"/>
      <c r="G282" s="523">
        <f t="shared" si="16"/>
        <v>0</v>
      </c>
      <c r="H282" s="646" t="str">
        <f t="shared" si="21"/>
        <v/>
      </c>
    </row>
    <row r="283" spans="1:9" s="536" customFormat="1" ht="13.5" hidden="1" customHeight="1">
      <c r="A283" s="603"/>
      <c r="B283" s="604"/>
      <c r="C283" s="544">
        <v>11004907</v>
      </c>
      <c r="D283" s="479" t="s">
        <v>2065</v>
      </c>
      <c r="E283" s="559"/>
      <c r="F283" s="560"/>
      <c r="G283" s="523">
        <f t="shared" si="16"/>
        <v>0</v>
      </c>
      <c r="H283" s="646" t="str">
        <f t="shared" si="21"/>
        <v/>
      </c>
    </row>
    <row r="284" spans="1:9" s="536" customFormat="1" ht="13.5" hidden="1" customHeight="1">
      <c r="A284" s="603"/>
      <c r="B284" s="604"/>
      <c r="C284" s="544">
        <v>11004908</v>
      </c>
      <c r="D284" s="479" t="s">
        <v>2066</v>
      </c>
      <c r="E284" s="559"/>
      <c r="F284" s="560"/>
      <c r="G284" s="523">
        <f t="shared" ref="G284:G309" si="22">SUM(H284:I284)</f>
        <v>0</v>
      </c>
      <c r="H284" s="646" t="str">
        <f t="shared" si="21"/>
        <v/>
      </c>
    </row>
    <row r="285" spans="1:9" s="536" customFormat="1" ht="13.5" hidden="1" customHeight="1">
      <c r="A285" s="603"/>
      <c r="B285" s="604"/>
      <c r="C285" s="544">
        <v>11004909</v>
      </c>
      <c r="D285" s="479" t="s">
        <v>2067</v>
      </c>
      <c r="E285" s="559"/>
      <c r="F285" s="560"/>
      <c r="G285" s="523">
        <f t="shared" si="22"/>
        <v>0</v>
      </c>
      <c r="H285" s="646" t="str">
        <f t="shared" si="21"/>
        <v/>
      </c>
    </row>
    <row r="286" spans="1:9" s="536" customFormat="1" ht="13.5" hidden="1" customHeight="1">
      <c r="A286" s="603"/>
      <c r="B286" s="604"/>
      <c r="C286" s="544">
        <v>11004910</v>
      </c>
      <c r="D286" s="479" t="s">
        <v>2068</v>
      </c>
      <c r="E286" s="559"/>
      <c r="F286" s="560"/>
      <c r="G286" s="523">
        <f t="shared" si="22"/>
        <v>0</v>
      </c>
      <c r="H286" s="646" t="str">
        <f t="shared" si="21"/>
        <v/>
      </c>
    </row>
    <row r="287" spans="1:9" s="536" customFormat="1" ht="13.5" hidden="1" customHeight="1">
      <c r="A287" s="603"/>
      <c r="B287" s="604"/>
      <c r="C287" s="544">
        <v>11004911</v>
      </c>
      <c r="D287" s="479" t="s">
        <v>2069</v>
      </c>
      <c r="E287" s="559"/>
      <c r="F287" s="560"/>
      <c r="G287" s="523">
        <f t="shared" si="22"/>
        <v>0</v>
      </c>
      <c r="H287" s="646" t="str">
        <f t="shared" si="21"/>
        <v/>
      </c>
    </row>
    <row r="288" spans="1:9" s="536" customFormat="1" ht="13.5" hidden="1" customHeight="1">
      <c r="A288" s="603"/>
      <c r="B288" s="604"/>
      <c r="C288" s="544">
        <v>11005001</v>
      </c>
      <c r="D288" s="479" t="s">
        <v>2070</v>
      </c>
      <c r="E288" s="559"/>
      <c r="F288" s="560"/>
      <c r="G288" s="523">
        <f t="shared" si="22"/>
        <v>0</v>
      </c>
      <c r="H288" s="646" t="str">
        <f>IF(H$56="050変電所構築物",ROUND(H58+H58/(H$5-H$6)*H$6+H58/(H$5-H$6)*H$15,-3),"")</f>
        <v/>
      </c>
    </row>
    <row r="289" spans="1:8" s="536" customFormat="1" ht="13.5" hidden="1" customHeight="1">
      <c r="A289" s="603"/>
      <c r="B289" s="604"/>
      <c r="C289" s="544">
        <v>11005002</v>
      </c>
      <c r="D289" s="479" t="s">
        <v>2071</v>
      </c>
      <c r="E289" s="559"/>
      <c r="F289" s="560"/>
      <c r="G289" s="523">
        <f t="shared" si="22"/>
        <v>0</v>
      </c>
      <c r="H289" s="646" t="str">
        <f t="shared" ref="H289:H298" si="23">IF(H$56="050変電所構築物",ROUND(H59+H59/(H$5-H$6)*H$6+H59/(H$5-H$6)*H$15,-3),"")</f>
        <v/>
      </c>
    </row>
    <row r="290" spans="1:8" s="536" customFormat="1" ht="13.5" hidden="1" customHeight="1">
      <c r="A290" s="603"/>
      <c r="B290" s="604"/>
      <c r="C290" s="544">
        <v>11005003</v>
      </c>
      <c r="D290" s="479" t="s">
        <v>2072</v>
      </c>
      <c r="E290" s="559"/>
      <c r="F290" s="560"/>
      <c r="G290" s="523">
        <f t="shared" si="22"/>
        <v>0</v>
      </c>
      <c r="H290" s="646" t="str">
        <f t="shared" si="23"/>
        <v/>
      </c>
    </row>
    <row r="291" spans="1:8" s="536" customFormat="1" ht="13.5" hidden="1" customHeight="1">
      <c r="A291" s="603"/>
      <c r="B291" s="604"/>
      <c r="C291" s="544">
        <v>11005004</v>
      </c>
      <c r="D291" s="479" t="s">
        <v>2073</v>
      </c>
      <c r="E291" s="559"/>
      <c r="F291" s="560"/>
      <c r="G291" s="523">
        <f t="shared" si="22"/>
        <v>0</v>
      </c>
      <c r="H291" s="646" t="str">
        <f t="shared" si="23"/>
        <v/>
      </c>
    </row>
    <row r="292" spans="1:8" s="536" customFormat="1" ht="13.5" hidden="1" customHeight="1">
      <c r="A292" s="603"/>
      <c r="B292" s="604"/>
      <c r="C292" s="544">
        <v>11005005</v>
      </c>
      <c r="D292" s="479" t="s">
        <v>2074</v>
      </c>
      <c r="E292" s="559"/>
      <c r="F292" s="560"/>
      <c r="G292" s="523">
        <f t="shared" si="22"/>
        <v>0</v>
      </c>
      <c r="H292" s="646" t="str">
        <f t="shared" si="23"/>
        <v/>
      </c>
    </row>
    <row r="293" spans="1:8" s="536" customFormat="1" ht="13.5" hidden="1" customHeight="1">
      <c r="A293" s="603"/>
      <c r="B293" s="604"/>
      <c r="C293" s="544">
        <v>11005006</v>
      </c>
      <c r="D293" s="479" t="s">
        <v>2075</v>
      </c>
      <c r="E293" s="559"/>
      <c r="F293" s="560"/>
      <c r="G293" s="523">
        <f t="shared" si="22"/>
        <v>0</v>
      </c>
      <c r="H293" s="646" t="str">
        <f>IF(H$56="050変電所構築物",ROUND(H63+H63/(H$5-H$6)*H$6+H63/(H$5-H$6)*H$15,-3),"")</f>
        <v/>
      </c>
    </row>
    <row r="294" spans="1:8" s="536" customFormat="1" ht="13.5" hidden="1" customHeight="1">
      <c r="A294" s="603"/>
      <c r="B294" s="604"/>
      <c r="C294" s="544">
        <v>11005007</v>
      </c>
      <c r="D294" s="479" t="s">
        <v>2076</v>
      </c>
      <c r="E294" s="559"/>
      <c r="F294" s="560"/>
      <c r="G294" s="523">
        <f t="shared" si="22"/>
        <v>0</v>
      </c>
      <c r="H294" s="646" t="str">
        <f t="shared" si="23"/>
        <v/>
      </c>
    </row>
    <row r="295" spans="1:8" s="536" customFormat="1" ht="13.5" hidden="1" customHeight="1">
      <c r="A295" s="603"/>
      <c r="B295" s="604"/>
      <c r="C295" s="544">
        <v>11005008</v>
      </c>
      <c r="D295" s="479" t="s">
        <v>2077</v>
      </c>
      <c r="E295" s="559"/>
      <c r="F295" s="560"/>
      <c r="G295" s="523">
        <f t="shared" si="22"/>
        <v>0</v>
      </c>
      <c r="H295" s="646" t="str">
        <f t="shared" si="23"/>
        <v/>
      </c>
    </row>
    <row r="296" spans="1:8" s="536" customFormat="1" ht="13.5" hidden="1" customHeight="1">
      <c r="A296" s="603"/>
      <c r="B296" s="604"/>
      <c r="C296" s="544">
        <v>11005009</v>
      </c>
      <c r="D296" s="479" t="s">
        <v>2078</v>
      </c>
      <c r="E296" s="559"/>
      <c r="F296" s="560"/>
      <c r="G296" s="523">
        <f t="shared" si="22"/>
        <v>0</v>
      </c>
      <c r="H296" s="646" t="str">
        <f t="shared" si="23"/>
        <v/>
      </c>
    </row>
    <row r="297" spans="1:8" s="536" customFormat="1" ht="13.5" hidden="1" customHeight="1">
      <c r="A297" s="603"/>
      <c r="B297" s="604"/>
      <c r="C297" s="544">
        <v>11005010</v>
      </c>
      <c r="D297" s="479" t="s">
        <v>2079</v>
      </c>
      <c r="E297" s="559"/>
      <c r="F297" s="560"/>
      <c r="G297" s="523">
        <f t="shared" si="22"/>
        <v>0</v>
      </c>
      <c r="H297" s="646" t="str">
        <f t="shared" si="23"/>
        <v/>
      </c>
    </row>
    <row r="298" spans="1:8" s="536" customFormat="1" ht="13.5" hidden="1" customHeight="1">
      <c r="A298" s="603"/>
      <c r="B298" s="604"/>
      <c r="C298" s="544">
        <v>11005011</v>
      </c>
      <c r="D298" s="479" t="s">
        <v>2080</v>
      </c>
      <c r="E298" s="559"/>
      <c r="F298" s="560"/>
      <c r="G298" s="523">
        <f t="shared" si="22"/>
        <v>0</v>
      </c>
      <c r="H298" s="646" t="str">
        <f t="shared" si="23"/>
        <v/>
      </c>
    </row>
    <row r="299" spans="1:8" s="536" customFormat="1" ht="13.5" hidden="1" customHeight="1">
      <c r="A299" s="603"/>
      <c r="B299" s="604"/>
      <c r="C299" s="544">
        <v>11099901</v>
      </c>
      <c r="D299" s="479" t="s">
        <v>2081</v>
      </c>
      <c r="E299" s="559"/>
      <c r="F299" s="560"/>
      <c r="G299" s="523">
        <f t="shared" si="22"/>
        <v>0</v>
      </c>
      <c r="H299" s="646" t="str">
        <f>IF(H$56="999雑構築物",ROUND(H58+H58/(H$5-H$6)*H$6+H58/(H$5-H$6)*H$15,-3),"")</f>
        <v/>
      </c>
    </row>
    <row r="300" spans="1:8" s="536" customFormat="1" ht="13.5" hidden="1" customHeight="1">
      <c r="A300" s="603"/>
      <c r="B300" s="604"/>
      <c r="C300" s="544">
        <v>11099902</v>
      </c>
      <c r="D300" s="479" t="s">
        <v>2082</v>
      </c>
      <c r="E300" s="559"/>
      <c r="F300" s="560"/>
      <c r="G300" s="523">
        <f t="shared" si="22"/>
        <v>0</v>
      </c>
      <c r="H300" s="646" t="str">
        <f>IF(H$56="999雑構築物",ROUND(H59+H59/(H$5-H$6)*H$6+H59/(H$5-H$6)*H$15,-3),"")</f>
        <v/>
      </c>
    </row>
    <row r="301" spans="1:8" s="536" customFormat="1" ht="13.5" hidden="1" customHeight="1">
      <c r="A301" s="603"/>
      <c r="B301" s="604"/>
      <c r="C301" s="544">
        <v>11099903</v>
      </c>
      <c r="D301" s="479" t="s">
        <v>2083</v>
      </c>
      <c r="E301" s="559"/>
      <c r="F301" s="560"/>
      <c r="G301" s="523">
        <f t="shared" si="22"/>
        <v>0</v>
      </c>
      <c r="H301" s="646" t="str">
        <f t="shared" ref="H301:H307" si="24">IF(H$56="999雑構築物",ROUND(H60+H60/(H$5-H$6)*H$6+H60/(H$5-H$6)*H$15,-3),"")</f>
        <v/>
      </c>
    </row>
    <row r="302" spans="1:8" s="536" customFormat="1" ht="13.5" hidden="1" customHeight="1">
      <c r="A302" s="603"/>
      <c r="B302" s="604"/>
      <c r="C302" s="544">
        <v>11099904</v>
      </c>
      <c r="D302" s="479" t="s">
        <v>2084</v>
      </c>
      <c r="E302" s="559"/>
      <c r="F302" s="560"/>
      <c r="G302" s="523">
        <f t="shared" si="22"/>
        <v>0</v>
      </c>
      <c r="H302" s="646" t="str">
        <f t="shared" si="24"/>
        <v/>
      </c>
    </row>
    <row r="303" spans="1:8" s="536" customFormat="1" ht="13.5" hidden="1" customHeight="1">
      <c r="A303" s="603"/>
      <c r="B303" s="604"/>
      <c r="C303" s="544">
        <v>11099905</v>
      </c>
      <c r="D303" s="479" t="s">
        <v>2085</v>
      </c>
      <c r="E303" s="559"/>
      <c r="F303" s="560"/>
      <c r="G303" s="523">
        <f t="shared" si="22"/>
        <v>0</v>
      </c>
      <c r="H303" s="646" t="str">
        <f t="shared" si="24"/>
        <v/>
      </c>
    </row>
    <row r="304" spans="1:8" s="536" customFormat="1" ht="13.5" hidden="1" customHeight="1">
      <c r="A304" s="603"/>
      <c r="B304" s="604"/>
      <c r="C304" s="544">
        <v>11099906</v>
      </c>
      <c r="D304" s="479" t="s">
        <v>2086</v>
      </c>
      <c r="E304" s="559"/>
      <c r="F304" s="560"/>
      <c r="G304" s="523">
        <f t="shared" si="22"/>
        <v>0</v>
      </c>
      <c r="H304" s="646" t="str">
        <f t="shared" si="24"/>
        <v/>
      </c>
    </row>
    <row r="305" spans="1:9" s="536" customFormat="1" ht="13.5" hidden="1" customHeight="1">
      <c r="A305" s="603"/>
      <c r="B305" s="604"/>
      <c r="C305" s="544">
        <v>11099907</v>
      </c>
      <c r="D305" s="479" t="s">
        <v>2087</v>
      </c>
      <c r="E305" s="559"/>
      <c r="F305" s="560"/>
      <c r="G305" s="523">
        <f t="shared" si="22"/>
        <v>0</v>
      </c>
      <c r="H305" s="646" t="str">
        <f t="shared" si="24"/>
        <v/>
      </c>
    </row>
    <row r="306" spans="1:9" s="536" customFormat="1" ht="13.5" hidden="1" customHeight="1">
      <c r="A306" s="603"/>
      <c r="B306" s="604"/>
      <c r="C306" s="544">
        <v>11099908</v>
      </c>
      <c r="D306" s="479" t="s">
        <v>2088</v>
      </c>
      <c r="E306" s="559"/>
      <c r="F306" s="560"/>
      <c r="G306" s="523">
        <f t="shared" si="22"/>
        <v>0</v>
      </c>
      <c r="H306" s="646" t="str">
        <f t="shared" si="24"/>
        <v/>
      </c>
    </row>
    <row r="307" spans="1:9" s="536" customFormat="1" ht="13.5" hidden="1" customHeight="1">
      <c r="A307" s="603"/>
      <c r="B307" s="604"/>
      <c r="C307" s="544">
        <v>11099909</v>
      </c>
      <c r="D307" s="479" t="s">
        <v>2089</v>
      </c>
      <c r="E307" s="559"/>
      <c r="F307" s="560"/>
      <c r="G307" s="523">
        <f t="shared" si="22"/>
        <v>0</v>
      </c>
      <c r="H307" s="646" t="str">
        <f t="shared" si="24"/>
        <v/>
      </c>
    </row>
    <row r="308" spans="1:9" s="536" customFormat="1" ht="13.5" hidden="1" customHeight="1">
      <c r="A308" s="603"/>
      <c r="B308" s="604"/>
      <c r="C308" s="544">
        <v>11099910</v>
      </c>
      <c r="D308" s="479" t="s">
        <v>2090</v>
      </c>
      <c r="E308" s="559"/>
      <c r="F308" s="560"/>
      <c r="G308" s="523">
        <f t="shared" si="22"/>
        <v>0</v>
      </c>
      <c r="H308" s="646" t="str">
        <f>IF(H$56="999雑構築物",ROUND(H67+H67/(H$5-H$6)*H$6+H67/(H$5-H$6)*H$15,-3),"")</f>
        <v/>
      </c>
    </row>
    <row r="309" spans="1:9" s="536" customFormat="1" ht="13.5" hidden="1" customHeight="1">
      <c r="A309" s="603"/>
      <c r="B309" s="604"/>
      <c r="C309" s="544">
        <v>11099911</v>
      </c>
      <c r="D309" s="479" t="s">
        <v>2091</v>
      </c>
      <c r="E309" s="559"/>
      <c r="F309" s="560"/>
      <c r="G309" s="523">
        <f t="shared" si="22"/>
        <v>0</v>
      </c>
      <c r="H309" s="646" t="str">
        <f>IF(H$56="999雑構築物",ROUND(H68+H68/(H$5-H$6)*H$6+H68/(H$5-H$6)*H$15,-3),"")</f>
        <v/>
      </c>
    </row>
    <row r="310" spans="1:9" s="550" customFormat="1" ht="13.5" hidden="1" customHeight="1">
      <c r="A310" s="577"/>
      <c r="B310" s="578"/>
      <c r="C310" s="578"/>
      <c r="D310" s="578"/>
      <c r="E310" s="578"/>
      <c r="F310" s="579" t="s">
        <v>2056</v>
      </c>
      <c r="G310" s="580">
        <f t="shared" ref="G310:G324" si="25">SUM(H310:I310)</f>
        <v>0</v>
      </c>
      <c r="H310" s="649">
        <f>IF(H4="費用",0,SUM(H275:H309))</f>
        <v>0</v>
      </c>
      <c r="I310" s="536"/>
    </row>
    <row r="311" spans="1:9" ht="13.5" hidden="1" customHeight="1">
      <c r="A311" s="502"/>
      <c r="B311" s="516"/>
      <c r="C311" s="731">
        <v>12505958</v>
      </c>
      <c r="D311" s="543" t="str">
        <f>+F74</f>
        <v>看板・広告機器-(主として金属製)</v>
      </c>
      <c r="E311" s="543"/>
      <c r="F311" s="517"/>
      <c r="G311" s="519">
        <f t="shared" ca="1" si="25"/>
        <v>0</v>
      </c>
      <c r="H311" s="646">
        <f ca="1">IF(H74="","",ROUND(H74+H74/(H$5-H$6)*H$6+H74/(H$5-H$6)*H$15,-3))</f>
        <v>0</v>
      </c>
    </row>
    <row r="312" spans="1:9" ht="13.5" hidden="1" customHeight="1">
      <c r="A312" s="502"/>
      <c r="B312" s="516"/>
      <c r="C312" s="775">
        <v>12505959</v>
      </c>
      <c r="D312" s="520" t="str">
        <f>+F80</f>
        <v>看板・広告機器-その他のもの</v>
      </c>
      <c r="E312" s="520"/>
      <c r="F312" s="521"/>
      <c r="G312" s="523">
        <f t="shared" ca="1" si="25"/>
        <v>0</v>
      </c>
      <c r="H312" s="646">
        <f ca="1">IF(H80="","",ROUND(H80+H80/(H$5-H$6)*H$6+H80/(H$5-H$6)*H$15,-3))</f>
        <v>0</v>
      </c>
    </row>
    <row r="313" spans="1:9" ht="13.5" hidden="1" customHeight="1">
      <c r="A313" s="502"/>
      <c r="B313" s="516"/>
      <c r="C313" s="776">
        <v>12505988</v>
      </c>
      <c r="D313" s="520" t="s">
        <v>2121</v>
      </c>
      <c r="E313" s="520"/>
      <c r="F313" s="521"/>
      <c r="G313" s="523">
        <f t="shared" ca="1" si="25"/>
        <v>0</v>
      </c>
      <c r="H313" s="636">
        <f ca="1">IF(H83="","",ROUND(H83+H83/(H$5-H$6)*H$6+H83/(H$5-H$6)*H$15,-3))</f>
        <v>0</v>
      </c>
    </row>
    <row r="314" spans="1:9" ht="13.5" hidden="1" customHeight="1">
      <c r="A314" s="502"/>
      <c r="B314" s="516"/>
      <c r="C314" s="776">
        <v>12505990</v>
      </c>
      <c r="D314" s="520" t="s">
        <v>2122</v>
      </c>
      <c r="E314" s="520"/>
      <c r="F314" s="521"/>
      <c r="G314" s="523">
        <f t="shared" ca="1" si="25"/>
        <v>0</v>
      </c>
      <c r="H314" s="636">
        <f ca="1">IF(H84="","",ROUND(H84+H84/(H$5-H$6)*H$6+H84/(H$5-H$6)*H$15,-3))</f>
        <v>0</v>
      </c>
    </row>
    <row r="315" spans="1:9" ht="13.5" hidden="1" customHeight="1">
      <c r="A315" s="502"/>
      <c r="B315" s="516"/>
      <c r="C315" s="776">
        <v>12505991</v>
      </c>
      <c r="D315" s="520" t="s">
        <v>2123</v>
      </c>
      <c r="E315" s="520"/>
      <c r="F315" s="521"/>
      <c r="G315" s="523">
        <f t="shared" ca="1" si="25"/>
        <v>0</v>
      </c>
      <c r="H315" s="636">
        <f ca="1">IF(H85="","",ROUND(H85+H85/(H$5-H$6)*H$6+H85/(H$5-H$6)*H$15,-3))</f>
        <v>0</v>
      </c>
    </row>
    <row r="316" spans="1:9" ht="13.5" hidden="1" customHeight="1">
      <c r="A316" s="502"/>
      <c r="B316" s="516"/>
      <c r="C316" s="673"/>
      <c r="D316" s="724"/>
      <c r="E316" s="725"/>
      <c r="F316" s="674"/>
      <c r="G316" s="726">
        <f t="shared" si="25"/>
        <v>0</v>
      </c>
      <c r="H316" s="730" t="str">
        <f>IF(H86="","",ROUND(H86+H86/(H$5-H$6)*H$6+H86/(H$5-H$6)*H$15,-3))</f>
        <v/>
      </c>
    </row>
    <row r="317" spans="1:9" s="550" customFormat="1" ht="13.5" hidden="1" customHeight="1" thickBot="1">
      <c r="A317" s="581"/>
      <c r="B317" s="574"/>
      <c r="C317" s="574"/>
      <c r="D317" s="574"/>
      <c r="E317" s="574"/>
      <c r="F317" s="575" t="s">
        <v>2018</v>
      </c>
      <c r="G317" s="576">
        <f t="shared" ca="1" si="25"/>
        <v>0</v>
      </c>
      <c r="H317" s="650">
        <f ca="1">IF(H$4="費用",0,SUM(H311:H315))</f>
        <v>0</v>
      </c>
      <c r="I317" s="536"/>
    </row>
    <row r="318" spans="1:9" ht="13.5" customHeight="1">
      <c r="A318" s="502"/>
      <c r="B318" s="516"/>
      <c r="C318" s="520" t="s">
        <v>2364</v>
      </c>
      <c r="D318" s="731" t="s">
        <v>2365</v>
      </c>
      <c r="E318" s="731"/>
      <c r="F318" s="732"/>
      <c r="G318" s="523">
        <f t="shared" ca="1" si="25"/>
        <v>1000</v>
      </c>
      <c r="H318" s="646">
        <f ca="1">IF(H10="","",ROUND(H10+H10/(H$5-H$6)*H$6+H10/(H$5-H$6)*H$15,-3))</f>
        <v>1000</v>
      </c>
    </row>
    <row r="319" spans="1:9" ht="13.5" customHeight="1">
      <c r="A319" s="502"/>
      <c r="B319" s="516"/>
      <c r="C319" s="520" t="s">
        <v>2364</v>
      </c>
      <c r="D319" s="731" t="s">
        <v>2366</v>
      </c>
      <c r="E319" s="520"/>
      <c r="F319" s="525"/>
      <c r="G319" s="523">
        <f t="shared" ca="1" si="25"/>
        <v>2095000</v>
      </c>
      <c r="H319" s="646">
        <f ca="1">IF(H4="費用",0,IF(H13="","",ROUND(H13+H13/(H$5-H$6)*H$6+H13/(H$5-H$6)*H$15,-3)))</f>
        <v>2095000</v>
      </c>
    </row>
    <row r="320" spans="1:9" s="550" customFormat="1" ht="13.5" customHeight="1" thickBot="1">
      <c r="A320" s="733"/>
      <c r="B320" s="734"/>
      <c r="C320" s="734"/>
      <c r="D320" s="734"/>
      <c r="E320" s="734"/>
      <c r="F320" s="735" t="s">
        <v>2367</v>
      </c>
      <c r="G320" s="736">
        <f t="shared" ca="1" si="25"/>
        <v>2096000</v>
      </c>
      <c r="H320" s="736">
        <f ca="1">SUM(H318:H319)</f>
        <v>2096000</v>
      </c>
      <c r="I320" s="536"/>
    </row>
    <row r="321" spans="1:9" ht="13.5" hidden="1" customHeight="1" thickTop="1">
      <c r="A321" s="502"/>
      <c r="B321" s="516"/>
      <c r="C321" s="520" t="s">
        <v>2364</v>
      </c>
      <c r="D321" s="520" t="s">
        <v>2368</v>
      </c>
      <c r="E321" s="520"/>
      <c r="F321" s="525"/>
      <c r="G321" s="523">
        <f t="shared" ca="1" si="25"/>
        <v>0</v>
      </c>
      <c r="H321" s="646">
        <f ca="1">IF(H4="費用",0,IF(H12="","",ROUND(H14+H14/(H$5-H$6)*H$6+H14/(H$5-H$6)*H$15,-3)))</f>
        <v>0</v>
      </c>
    </row>
    <row r="322" spans="1:9" ht="13.5" hidden="1" customHeight="1" thickTop="1">
      <c r="A322" s="502"/>
      <c r="B322" s="516"/>
      <c r="C322" s="520" t="s">
        <v>2364</v>
      </c>
      <c r="D322" s="520" t="s">
        <v>2058</v>
      </c>
      <c r="E322" s="520"/>
      <c r="F322" s="525"/>
      <c r="G322" s="523">
        <f t="shared" si="25"/>
        <v>0</v>
      </c>
      <c r="H322" s="646">
        <f>IF(H$4="費用",H19,0)</f>
        <v>0</v>
      </c>
    </row>
    <row r="323" spans="1:9" s="550" customFormat="1" ht="13.5" hidden="1" customHeight="1" thickTop="1" thickBot="1">
      <c r="A323" s="561"/>
      <c r="B323" s="562"/>
      <c r="C323" s="562"/>
      <c r="D323" s="562"/>
      <c r="E323" s="562"/>
      <c r="F323" s="563" t="s">
        <v>2369</v>
      </c>
      <c r="G323" s="564">
        <f t="shared" ca="1" si="25"/>
        <v>0</v>
      </c>
      <c r="H323" s="651">
        <f ca="1">SUM(H321:H322)</f>
        <v>0</v>
      </c>
      <c r="I323" s="536"/>
    </row>
    <row r="324" spans="1:9" ht="13.5" customHeight="1" thickTop="1">
      <c r="A324" s="545"/>
      <c r="B324" s="546"/>
      <c r="C324" s="546"/>
      <c r="D324" s="546"/>
      <c r="E324" s="546"/>
      <c r="F324" s="547" t="s">
        <v>2019</v>
      </c>
      <c r="G324" s="548">
        <f t="shared" ca="1" si="25"/>
        <v>11660000</v>
      </c>
      <c r="H324" s="652">
        <f ca="1">H274+H310+H317+H320+H323</f>
        <v>11660000</v>
      </c>
    </row>
    <row r="325" spans="1:9" ht="13.5" customHeight="1">
      <c r="A325" s="566"/>
      <c r="B325" s="567"/>
      <c r="C325" s="567"/>
      <c r="D325" s="567"/>
      <c r="E325" s="567"/>
      <c r="F325" s="568"/>
      <c r="G325" s="737" t="str">
        <f ca="1">IF(G$19=G324,"","工事価格が一致ません。↑")</f>
        <v/>
      </c>
      <c r="H325" s="569" t="str">
        <f ca="1">IF(H$19=H324,"","↑error")</f>
        <v/>
      </c>
    </row>
  </sheetData>
  <sheetProtection selectLockedCells="1" selectUnlockedCells="1"/>
  <mergeCells count="8">
    <mergeCell ref="B22:D22"/>
    <mergeCell ref="B51:D51"/>
    <mergeCell ref="B73:D73"/>
    <mergeCell ref="E72:E73"/>
    <mergeCell ref="E9:E11"/>
    <mergeCell ref="E12:E14"/>
    <mergeCell ref="E21:E22"/>
    <mergeCell ref="E50:E51"/>
  </mergeCells>
  <phoneticPr fontId="3"/>
  <conditionalFormatting sqref="G72:G73 G20:G22 H20">
    <cfRule type="expression" dxfId="7" priority="22" stopIfTrue="1">
      <formula>AND($G$49&gt;5000000,OR($F$18="無し",$F$18="なし"))</formula>
    </cfRule>
  </conditionalFormatting>
  <conditionalFormatting sqref="G50">
    <cfRule type="expression" dxfId="6" priority="21" stopIfTrue="1">
      <formula>AND($G$49&gt;5000000,OR($F$18="無し",$F$18="なし"))</formula>
    </cfRule>
  </conditionalFormatting>
  <conditionalFormatting sqref="G51">
    <cfRule type="expression" dxfId="5" priority="20" stopIfTrue="1">
      <formula>AND($G$49&gt;5000000,OR($F$18="無し",$F$18="なし"))</formula>
    </cfRule>
  </conditionalFormatting>
  <conditionalFormatting sqref="G56">
    <cfRule type="expression" dxfId="4" priority="19" stopIfTrue="1">
      <formula>AND($G$49&gt;5000000,OR($F$18="無し",$F$18="なし"))</formula>
    </cfRule>
  </conditionalFormatting>
  <dataValidations disablePrompts="1" count="7">
    <dataValidation type="list" allowBlank="1" showInputMessage="1" showErrorMessage="1" sqref="WUJ981421:WUJ981422 HX17:HX18 RT17:RT18 ABP17:ABP18 ALL17:ALL18 AVH17:AVH18 BFD17:BFD18 BOZ17:BOZ18 BYV17:BYV18 CIR17:CIR18 CSN17:CSN18 DCJ17:DCJ18 DMF17:DMF18 DWB17:DWB18 EFX17:EFX18 EPT17:EPT18 EZP17:EZP18 FJL17:FJL18 FTH17:FTH18 GDD17:GDD18 GMZ17:GMZ18 GWV17:GWV18 HGR17:HGR18 HQN17:HQN18 IAJ17:IAJ18 IKF17:IKF18 IUB17:IUB18 JDX17:JDX18 JNT17:JNT18 JXP17:JXP18 KHL17:KHL18 KRH17:KRH18 LBD17:LBD18 LKZ17:LKZ18 LUV17:LUV18 MER17:MER18 MON17:MON18 MYJ17:MYJ18 NIF17:NIF18 NSB17:NSB18 OBX17:OBX18 OLT17:OLT18 OVP17:OVP18 PFL17:PFL18 PPH17:PPH18 PZD17:PZD18 QIZ17:QIZ18 QSV17:QSV18 RCR17:RCR18 RMN17:RMN18 RWJ17:RWJ18 SGF17:SGF18 SQB17:SQB18 SZX17:SZX18 TJT17:TJT18 TTP17:TTP18 UDL17:UDL18 UNH17:UNH18 UXD17:UXD18 VGZ17:VGZ18 VQV17:VQV18 WAR17:WAR18 WKN17:WKN18 WUJ17:WUJ18 F63917:F63918 HX63917:HX63918 RT63917:RT63918 ABP63917:ABP63918 ALL63917:ALL63918 AVH63917:AVH63918 BFD63917:BFD63918 BOZ63917:BOZ63918 BYV63917:BYV63918 CIR63917:CIR63918 CSN63917:CSN63918 DCJ63917:DCJ63918 DMF63917:DMF63918 DWB63917:DWB63918 EFX63917:EFX63918 EPT63917:EPT63918 EZP63917:EZP63918 FJL63917:FJL63918 FTH63917:FTH63918 GDD63917:GDD63918 GMZ63917:GMZ63918 GWV63917:GWV63918 HGR63917:HGR63918 HQN63917:HQN63918 IAJ63917:IAJ63918 IKF63917:IKF63918 IUB63917:IUB63918 JDX63917:JDX63918 JNT63917:JNT63918 JXP63917:JXP63918 KHL63917:KHL63918 KRH63917:KRH63918 LBD63917:LBD63918 LKZ63917:LKZ63918 LUV63917:LUV63918 MER63917:MER63918 MON63917:MON63918 MYJ63917:MYJ63918 NIF63917:NIF63918 NSB63917:NSB63918 OBX63917:OBX63918 OLT63917:OLT63918 OVP63917:OVP63918 PFL63917:PFL63918 PPH63917:PPH63918 PZD63917:PZD63918 QIZ63917:QIZ63918 QSV63917:QSV63918 RCR63917:RCR63918 RMN63917:RMN63918 RWJ63917:RWJ63918 SGF63917:SGF63918 SQB63917:SQB63918 SZX63917:SZX63918 TJT63917:TJT63918 TTP63917:TTP63918 UDL63917:UDL63918 UNH63917:UNH63918 UXD63917:UXD63918 VGZ63917:VGZ63918 VQV63917:VQV63918 WAR63917:WAR63918 WKN63917:WKN63918 WUJ63917:WUJ63918 F129453:F129454 HX129453:HX129454 RT129453:RT129454 ABP129453:ABP129454 ALL129453:ALL129454 AVH129453:AVH129454 BFD129453:BFD129454 BOZ129453:BOZ129454 BYV129453:BYV129454 CIR129453:CIR129454 CSN129453:CSN129454 DCJ129453:DCJ129454 DMF129453:DMF129454 DWB129453:DWB129454 EFX129453:EFX129454 EPT129453:EPT129454 EZP129453:EZP129454 FJL129453:FJL129454 FTH129453:FTH129454 GDD129453:GDD129454 GMZ129453:GMZ129454 GWV129453:GWV129454 HGR129453:HGR129454 HQN129453:HQN129454 IAJ129453:IAJ129454 IKF129453:IKF129454 IUB129453:IUB129454 JDX129453:JDX129454 JNT129453:JNT129454 JXP129453:JXP129454 KHL129453:KHL129454 KRH129453:KRH129454 LBD129453:LBD129454 LKZ129453:LKZ129454 LUV129453:LUV129454 MER129453:MER129454 MON129453:MON129454 MYJ129453:MYJ129454 NIF129453:NIF129454 NSB129453:NSB129454 OBX129453:OBX129454 OLT129453:OLT129454 OVP129453:OVP129454 PFL129453:PFL129454 PPH129453:PPH129454 PZD129453:PZD129454 QIZ129453:QIZ129454 QSV129453:QSV129454 RCR129453:RCR129454 RMN129453:RMN129454 RWJ129453:RWJ129454 SGF129453:SGF129454 SQB129453:SQB129454 SZX129453:SZX129454 TJT129453:TJT129454 TTP129453:TTP129454 UDL129453:UDL129454 UNH129453:UNH129454 UXD129453:UXD129454 VGZ129453:VGZ129454 VQV129453:VQV129454 WAR129453:WAR129454 WKN129453:WKN129454 WUJ129453:WUJ129454 F194989:F194990 HX194989:HX194990 RT194989:RT194990 ABP194989:ABP194990 ALL194989:ALL194990 AVH194989:AVH194990 BFD194989:BFD194990 BOZ194989:BOZ194990 BYV194989:BYV194990 CIR194989:CIR194990 CSN194989:CSN194990 DCJ194989:DCJ194990 DMF194989:DMF194990 DWB194989:DWB194990 EFX194989:EFX194990 EPT194989:EPT194990 EZP194989:EZP194990 FJL194989:FJL194990 FTH194989:FTH194990 GDD194989:GDD194990 GMZ194989:GMZ194990 GWV194989:GWV194990 HGR194989:HGR194990 HQN194989:HQN194990 IAJ194989:IAJ194990 IKF194989:IKF194990 IUB194989:IUB194990 JDX194989:JDX194990 JNT194989:JNT194990 JXP194989:JXP194990 KHL194989:KHL194990 KRH194989:KRH194990 LBD194989:LBD194990 LKZ194989:LKZ194990 LUV194989:LUV194990 MER194989:MER194990 MON194989:MON194990 MYJ194989:MYJ194990 NIF194989:NIF194990 NSB194989:NSB194990 OBX194989:OBX194990 OLT194989:OLT194990 OVP194989:OVP194990 PFL194989:PFL194990 PPH194989:PPH194990 PZD194989:PZD194990 QIZ194989:QIZ194990 QSV194989:QSV194990 RCR194989:RCR194990 RMN194989:RMN194990 RWJ194989:RWJ194990 SGF194989:SGF194990 SQB194989:SQB194990 SZX194989:SZX194990 TJT194989:TJT194990 TTP194989:TTP194990 UDL194989:UDL194990 UNH194989:UNH194990 UXD194989:UXD194990 VGZ194989:VGZ194990 VQV194989:VQV194990 WAR194989:WAR194990 WKN194989:WKN194990 WUJ194989:WUJ194990 F260525:F260526 HX260525:HX260526 RT260525:RT260526 ABP260525:ABP260526 ALL260525:ALL260526 AVH260525:AVH260526 BFD260525:BFD260526 BOZ260525:BOZ260526 BYV260525:BYV260526 CIR260525:CIR260526 CSN260525:CSN260526 DCJ260525:DCJ260526 DMF260525:DMF260526 DWB260525:DWB260526 EFX260525:EFX260526 EPT260525:EPT260526 EZP260525:EZP260526 FJL260525:FJL260526 FTH260525:FTH260526 GDD260525:GDD260526 GMZ260525:GMZ260526 GWV260525:GWV260526 HGR260525:HGR260526 HQN260525:HQN260526 IAJ260525:IAJ260526 IKF260525:IKF260526 IUB260525:IUB260526 JDX260525:JDX260526 JNT260525:JNT260526 JXP260525:JXP260526 KHL260525:KHL260526 KRH260525:KRH260526 LBD260525:LBD260526 LKZ260525:LKZ260526 LUV260525:LUV260526 MER260525:MER260526 MON260525:MON260526 MYJ260525:MYJ260526 NIF260525:NIF260526 NSB260525:NSB260526 OBX260525:OBX260526 OLT260525:OLT260526 OVP260525:OVP260526 PFL260525:PFL260526 PPH260525:PPH260526 PZD260525:PZD260526 QIZ260525:QIZ260526 QSV260525:QSV260526 RCR260525:RCR260526 RMN260525:RMN260526 RWJ260525:RWJ260526 SGF260525:SGF260526 SQB260525:SQB260526 SZX260525:SZX260526 TJT260525:TJT260526 TTP260525:TTP260526 UDL260525:UDL260526 UNH260525:UNH260526 UXD260525:UXD260526 VGZ260525:VGZ260526 VQV260525:VQV260526 WAR260525:WAR260526 WKN260525:WKN260526 WUJ260525:WUJ260526 F326061:F326062 HX326061:HX326062 RT326061:RT326062 ABP326061:ABP326062 ALL326061:ALL326062 AVH326061:AVH326062 BFD326061:BFD326062 BOZ326061:BOZ326062 BYV326061:BYV326062 CIR326061:CIR326062 CSN326061:CSN326062 DCJ326061:DCJ326062 DMF326061:DMF326062 DWB326061:DWB326062 EFX326061:EFX326062 EPT326061:EPT326062 EZP326061:EZP326062 FJL326061:FJL326062 FTH326061:FTH326062 GDD326061:GDD326062 GMZ326061:GMZ326062 GWV326061:GWV326062 HGR326061:HGR326062 HQN326061:HQN326062 IAJ326061:IAJ326062 IKF326061:IKF326062 IUB326061:IUB326062 JDX326061:JDX326062 JNT326061:JNT326062 JXP326061:JXP326062 KHL326061:KHL326062 KRH326061:KRH326062 LBD326061:LBD326062 LKZ326061:LKZ326062 LUV326061:LUV326062 MER326061:MER326062 MON326061:MON326062 MYJ326061:MYJ326062 NIF326061:NIF326062 NSB326061:NSB326062 OBX326061:OBX326062 OLT326061:OLT326062 OVP326061:OVP326062 PFL326061:PFL326062 PPH326061:PPH326062 PZD326061:PZD326062 QIZ326061:QIZ326062 QSV326061:QSV326062 RCR326061:RCR326062 RMN326061:RMN326062 RWJ326061:RWJ326062 SGF326061:SGF326062 SQB326061:SQB326062 SZX326061:SZX326062 TJT326061:TJT326062 TTP326061:TTP326062 UDL326061:UDL326062 UNH326061:UNH326062 UXD326061:UXD326062 VGZ326061:VGZ326062 VQV326061:VQV326062 WAR326061:WAR326062 WKN326061:WKN326062 WUJ326061:WUJ326062 F391597:F391598 HX391597:HX391598 RT391597:RT391598 ABP391597:ABP391598 ALL391597:ALL391598 AVH391597:AVH391598 BFD391597:BFD391598 BOZ391597:BOZ391598 BYV391597:BYV391598 CIR391597:CIR391598 CSN391597:CSN391598 DCJ391597:DCJ391598 DMF391597:DMF391598 DWB391597:DWB391598 EFX391597:EFX391598 EPT391597:EPT391598 EZP391597:EZP391598 FJL391597:FJL391598 FTH391597:FTH391598 GDD391597:GDD391598 GMZ391597:GMZ391598 GWV391597:GWV391598 HGR391597:HGR391598 HQN391597:HQN391598 IAJ391597:IAJ391598 IKF391597:IKF391598 IUB391597:IUB391598 JDX391597:JDX391598 JNT391597:JNT391598 JXP391597:JXP391598 KHL391597:KHL391598 KRH391597:KRH391598 LBD391597:LBD391598 LKZ391597:LKZ391598 LUV391597:LUV391598 MER391597:MER391598 MON391597:MON391598 MYJ391597:MYJ391598 NIF391597:NIF391598 NSB391597:NSB391598 OBX391597:OBX391598 OLT391597:OLT391598 OVP391597:OVP391598 PFL391597:PFL391598 PPH391597:PPH391598 PZD391597:PZD391598 QIZ391597:QIZ391598 QSV391597:QSV391598 RCR391597:RCR391598 RMN391597:RMN391598 RWJ391597:RWJ391598 SGF391597:SGF391598 SQB391597:SQB391598 SZX391597:SZX391598 TJT391597:TJT391598 TTP391597:TTP391598 UDL391597:UDL391598 UNH391597:UNH391598 UXD391597:UXD391598 VGZ391597:VGZ391598 VQV391597:VQV391598 WAR391597:WAR391598 WKN391597:WKN391598 WUJ391597:WUJ391598 F457133:F457134 HX457133:HX457134 RT457133:RT457134 ABP457133:ABP457134 ALL457133:ALL457134 AVH457133:AVH457134 BFD457133:BFD457134 BOZ457133:BOZ457134 BYV457133:BYV457134 CIR457133:CIR457134 CSN457133:CSN457134 DCJ457133:DCJ457134 DMF457133:DMF457134 DWB457133:DWB457134 EFX457133:EFX457134 EPT457133:EPT457134 EZP457133:EZP457134 FJL457133:FJL457134 FTH457133:FTH457134 GDD457133:GDD457134 GMZ457133:GMZ457134 GWV457133:GWV457134 HGR457133:HGR457134 HQN457133:HQN457134 IAJ457133:IAJ457134 IKF457133:IKF457134 IUB457133:IUB457134 JDX457133:JDX457134 JNT457133:JNT457134 JXP457133:JXP457134 KHL457133:KHL457134 KRH457133:KRH457134 LBD457133:LBD457134 LKZ457133:LKZ457134 LUV457133:LUV457134 MER457133:MER457134 MON457133:MON457134 MYJ457133:MYJ457134 NIF457133:NIF457134 NSB457133:NSB457134 OBX457133:OBX457134 OLT457133:OLT457134 OVP457133:OVP457134 PFL457133:PFL457134 PPH457133:PPH457134 PZD457133:PZD457134 QIZ457133:QIZ457134 QSV457133:QSV457134 RCR457133:RCR457134 RMN457133:RMN457134 RWJ457133:RWJ457134 SGF457133:SGF457134 SQB457133:SQB457134 SZX457133:SZX457134 TJT457133:TJT457134 TTP457133:TTP457134 UDL457133:UDL457134 UNH457133:UNH457134 UXD457133:UXD457134 VGZ457133:VGZ457134 VQV457133:VQV457134 WAR457133:WAR457134 WKN457133:WKN457134 WUJ457133:WUJ457134 F522669:F522670 HX522669:HX522670 RT522669:RT522670 ABP522669:ABP522670 ALL522669:ALL522670 AVH522669:AVH522670 BFD522669:BFD522670 BOZ522669:BOZ522670 BYV522669:BYV522670 CIR522669:CIR522670 CSN522669:CSN522670 DCJ522669:DCJ522670 DMF522669:DMF522670 DWB522669:DWB522670 EFX522669:EFX522670 EPT522669:EPT522670 EZP522669:EZP522670 FJL522669:FJL522670 FTH522669:FTH522670 GDD522669:GDD522670 GMZ522669:GMZ522670 GWV522669:GWV522670 HGR522669:HGR522670 HQN522669:HQN522670 IAJ522669:IAJ522670 IKF522669:IKF522670 IUB522669:IUB522670 JDX522669:JDX522670 JNT522669:JNT522670 JXP522669:JXP522670 KHL522669:KHL522670 KRH522669:KRH522670 LBD522669:LBD522670 LKZ522669:LKZ522670 LUV522669:LUV522670 MER522669:MER522670 MON522669:MON522670 MYJ522669:MYJ522670 NIF522669:NIF522670 NSB522669:NSB522670 OBX522669:OBX522670 OLT522669:OLT522670 OVP522669:OVP522670 PFL522669:PFL522670 PPH522669:PPH522670 PZD522669:PZD522670 QIZ522669:QIZ522670 QSV522669:QSV522670 RCR522669:RCR522670 RMN522669:RMN522670 RWJ522669:RWJ522670 SGF522669:SGF522670 SQB522669:SQB522670 SZX522669:SZX522670 TJT522669:TJT522670 TTP522669:TTP522670 UDL522669:UDL522670 UNH522669:UNH522670 UXD522669:UXD522670 VGZ522669:VGZ522670 VQV522669:VQV522670 WAR522669:WAR522670 WKN522669:WKN522670 WUJ522669:WUJ522670 F588205:F588206 HX588205:HX588206 RT588205:RT588206 ABP588205:ABP588206 ALL588205:ALL588206 AVH588205:AVH588206 BFD588205:BFD588206 BOZ588205:BOZ588206 BYV588205:BYV588206 CIR588205:CIR588206 CSN588205:CSN588206 DCJ588205:DCJ588206 DMF588205:DMF588206 DWB588205:DWB588206 EFX588205:EFX588206 EPT588205:EPT588206 EZP588205:EZP588206 FJL588205:FJL588206 FTH588205:FTH588206 GDD588205:GDD588206 GMZ588205:GMZ588206 GWV588205:GWV588206 HGR588205:HGR588206 HQN588205:HQN588206 IAJ588205:IAJ588206 IKF588205:IKF588206 IUB588205:IUB588206 JDX588205:JDX588206 JNT588205:JNT588206 JXP588205:JXP588206 KHL588205:KHL588206 KRH588205:KRH588206 LBD588205:LBD588206 LKZ588205:LKZ588206 LUV588205:LUV588206 MER588205:MER588206 MON588205:MON588206 MYJ588205:MYJ588206 NIF588205:NIF588206 NSB588205:NSB588206 OBX588205:OBX588206 OLT588205:OLT588206 OVP588205:OVP588206 PFL588205:PFL588206 PPH588205:PPH588206 PZD588205:PZD588206 QIZ588205:QIZ588206 QSV588205:QSV588206 RCR588205:RCR588206 RMN588205:RMN588206 RWJ588205:RWJ588206 SGF588205:SGF588206 SQB588205:SQB588206 SZX588205:SZX588206 TJT588205:TJT588206 TTP588205:TTP588206 UDL588205:UDL588206 UNH588205:UNH588206 UXD588205:UXD588206 VGZ588205:VGZ588206 VQV588205:VQV588206 WAR588205:WAR588206 WKN588205:WKN588206 WUJ588205:WUJ588206 F653741:F653742 HX653741:HX653742 RT653741:RT653742 ABP653741:ABP653742 ALL653741:ALL653742 AVH653741:AVH653742 BFD653741:BFD653742 BOZ653741:BOZ653742 BYV653741:BYV653742 CIR653741:CIR653742 CSN653741:CSN653742 DCJ653741:DCJ653742 DMF653741:DMF653742 DWB653741:DWB653742 EFX653741:EFX653742 EPT653741:EPT653742 EZP653741:EZP653742 FJL653741:FJL653742 FTH653741:FTH653742 GDD653741:GDD653742 GMZ653741:GMZ653742 GWV653741:GWV653742 HGR653741:HGR653742 HQN653741:HQN653742 IAJ653741:IAJ653742 IKF653741:IKF653742 IUB653741:IUB653742 JDX653741:JDX653742 JNT653741:JNT653742 JXP653741:JXP653742 KHL653741:KHL653742 KRH653741:KRH653742 LBD653741:LBD653742 LKZ653741:LKZ653742 LUV653741:LUV653742 MER653741:MER653742 MON653741:MON653742 MYJ653741:MYJ653742 NIF653741:NIF653742 NSB653741:NSB653742 OBX653741:OBX653742 OLT653741:OLT653742 OVP653741:OVP653742 PFL653741:PFL653742 PPH653741:PPH653742 PZD653741:PZD653742 QIZ653741:QIZ653742 QSV653741:QSV653742 RCR653741:RCR653742 RMN653741:RMN653742 RWJ653741:RWJ653742 SGF653741:SGF653742 SQB653741:SQB653742 SZX653741:SZX653742 TJT653741:TJT653742 TTP653741:TTP653742 UDL653741:UDL653742 UNH653741:UNH653742 UXD653741:UXD653742 VGZ653741:VGZ653742 VQV653741:VQV653742 WAR653741:WAR653742 WKN653741:WKN653742 WUJ653741:WUJ653742 F719277:F719278 HX719277:HX719278 RT719277:RT719278 ABP719277:ABP719278 ALL719277:ALL719278 AVH719277:AVH719278 BFD719277:BFD719278 BOZ719277:BOZ719278 BYV719277:BYV719278 CIR719277:CIR719278 CSN719277:CSN719278 DCJ719277:DCJ719278 DMF719277:DMF719278 DWB719277:DWB719278 EFX719277:EFX719278 EPT719277:EPT719278 EZP719277:EZP719278 FJL719277:FJL719278 FTH719277:FTH719278 GDD719277:GDD719278 GMZ719277:GMZ719278 GWV719277:GWV719278 HGR719277:HGR719278 HQN719277:HQN719278 IAJ719277:IAJ719278 IKF719277:IKF719278 IUB719277:IUB719278 JDX719277:JDX719278 JNT719277:JNT719278 JXP719277:JXP719278 KHL719277:KHL719278 KRH719277:KRH719278 LBD719277:LBD719278 LKZ719277:LKZ719278 LUV719277:LUV719278 MER719277:MER719278 MON719277:MON719278 MYJ719277:MYJ719278 NIF719277:NIF719278 NSB719277:NSB719278 OBX719277:OBX719278 OLT719277:OLT719278 OVP719277:OVP719278 PFL719277:PFL719278 PPH719277:PPH719278 PZD719277:PZD719278 QIZ719277:QIZ719278 QSV719277:QSV719278 RCR719277:RCR719278 RMN719277:RMN719278 RWJ719277:RWJ719278 SGF719277:SGF719278 SQB719277:SQB719278 SZX719277:SZX719278 TJT719277:TJT719278 TTP719277:TTP719278 UDL719277:UDL719278 UNH719277:UNH719278 UXD719277:UXD719278 VGZ719277:VGZ719278 VQV719277:VQV719278 WAR719277:WAR719278 WKN719277:WKN719278 WUJ719277:WUJ719278 F784813:F784814 HX784813:HX784814 RT784813:RT784814 ABP784813:ABP784814 ALL784813:ALL784814 AVH784813:AVH784814 BFD784813:BFD784814 BOZ784813:BOZ784814 BYV784813:BYV784814 CIR784813:CIR784814 CSN784813:CSN784814 DCJ784813:DCJ784814 DMF784813:DMF784814 DWB784813:DWB784814 EFX784813:EFX784814 EPT784813:EPT784814 EZP784813:EZP784814 FJL784813:FJL784814 FTH784813:FTH784814 GDD784813:GDD784814 GMZ784813:GMZ784814 GWV784813:GWV784814 HGR784813:HGR784814 HQN784813:HQN784814 IAJ784813:IAJ784814 IKF784813:IKF784814 IUB784813:IUB784814 JDX784813:JDX784814 JNT784813:JNT784814 JXP784813:JXP784814 KHL784813:KHL784814 KRH784813:KRH784814 LBD784813:LBD784814 LKZ784813:LKZ784814 LUV784813:LUV784814 MER784813:MER784814 MON784813:MON784814 MYJ784813:MYJ784814 NIF784813:NIF784814 NSB784813:NSB784814 OBX784813:OBX784814 OLT784813:OLT784814 OVP784813:OVP784814 PFL784813:PFL784814 PPH784813:PPH784814 PZD784813:PZD784814 QIZ784813:QIZ784814 QSV784813:QSV784814 RCR784813:RCR784814 RMN784813:RMN784814 RWJ784813:RWJ784814 SGF784813:SGF784814 SQB784813:SQB784814 SZX784813:SZX784814 TJT784813:TJT784814 TTP784813:TTP784814 UDL784813:UDL784814 UNH784813:UNH784814 UXD784813:UXD784814 VGZ784813:VGZ784814 VQV784813:VQV784814 WAR784813:WAR784814 WKN784813:WKN784814 WUJ784813:WUJ784814 F850349:F850350 HX850349:HX850350 RT850349:RT850350 ABP850349:ABP850350 ALL850349:ALL850350 AVH850349:AVH850350 BFD850349:BFD850350 BOZ850349:BOZ850350 BYV850349:BYV850350 CIR850349:CIR850350 CSN850349:CSN850350 DCJ850349:DCJ850350 DMF850349:DMF850350 DWB850349:DWB850350 EFX850349:EFX850350 EPT850349:EPT850350 EZP850349:EZP850350 FJL850349:FJL850350 FTH850349:FTH850350 GDD850349:GDD850350 GMZ850349:GMZ850350 GWV850349:GWV850350 HGR850349:HGR850350 HQN850349:HQN850350 IAJ850349:IAJ850350 IKF850349:IKF850350 IUB850349:IUB850350 JDX850349:JDX850350 JNT850349:JNT850350 JXP850349:JXP850350 KHL850349:KHL850350 KRH850349:KRH850350 LBD850349:LBD850350 LKZ850349:LKZ850350 LUV850349:LUV850350 MER850349:MER850350 MON850349:MON850350 MYJ850349:MYJ850350 NIF850349:NIF850350 NSB850349:NSB850350 OBX850349:OBX850350 OLT850349:OLT850350 OVP850349:OVP850350 PFL850349:PFL850350 PPH850349:PPH850350 PZD850349:PZD850350 QIZ850349:QIZ850350 QSV850349:QSV850350 RCR850349:RCR850350 RMN850349:RMN850350 RWJ850349:RWJ850350 SGF850349:SGF850350 SQB850349:SQB850350 SZX850349:SZX850350 TJT850349:TJT850350 TTP850349:TTP850350 UDL850349:UDL850350 UNH850349:UNH850350 UXD850349:UXD850350 VGZ850349:VGZ850350 VQV850349:VQV850350 WAR850349:WAR850350 WKN850349:WKN850350 WUJ850349:WUJ850350 F915885:F915886 HX915885:HX915886 RT915885:RT915886 ABP915885:ABP915886 ALL915885:ALL915886 AVH915885:AVH915886 BFD915885:BFD915886 BOZ915885:BOZ915886 BYV915885:BYV915886 CIR915885:CIR915886 CSN915885:CSN915886 DCJ915885:DCJ915886 DMF915885:DMF915886 DWB915885:DWB915886 EFX915885:EFX915886 EPT915885:EPT915886 EZP915885:EZP915886 FJL915885:FJL915886 FTH915885:FTH915886 GDD915885:GDD915886 GMZ915885:GMZ915886 GWV915885:GWV915886 HGR915885:HGR915886 HQN915885:HQN915886 IAJ915885:IAJ915886 IKF915885:IKF915886 IUB915885:IUB915886 JDX915885:JDX915886 JNT915885:JNT915886 JXP915885:JXP915886 KHL915885:KHL915886 KRH915885:KRH915886 LBD915885:LBD915886 LKZ915885:LKZ915886 LUV915885:LUV915886 MER915885:MER915886 MON915885:MON915886 MYJ915885:MYJ915886 NIF915885:NIF915886 NSB915885:NSB915886 OBX915885:OBX915886 OLT915885:OLT915886 OVP915885:OVP915886 PFL915885:PFL915886 PPH915885:PPH915886 PZD915885:PZD915886 QIZ915885:QIZ915886 QSV915885:QSV915886 RCR915885:RCR915886 RMN915885:RMN915886 RWJ915885:RWJ915886 SGF915885:SGF915886 SQB915885:SQB915886 SZX915885:SZX915886 TJT915885:TJT915886 TTP915885:TTP915886 UDL915885:UDL915886 UNH915885:UNH915886 UXD915885:UXD915886 VGZ915885:VGZ915886 VQV915885:VQV915886 WAR915885:WAR915886 WKN915885:WKN915886 WUJ915885:WUJ915886 F981421:F981422 HX981421:HX981422 RT981421:RT981422 ABP981421:ABP981422 ALL981421:ALL981422 AVH981421:AVH981422 BFD981421:BFD981422 BOZ981421:BOZ981422 BYV981421:BYV981422 CIR981421:CIR981422 CSN981421:CSN981422 DCJ981421:DCJ981422 DMF981421:DMF981422 DWB981421:DWB981422 EFX981421:EFX981422 EPT981421:EPT981422 EZP981421:EZP981422 FJL981421:FJL981422 FTH981421:FTH981422 GDD981421:GDD981422 GMZ981421:GMZ981422 GWV981421:GWV981422 HGR981421:HGR981422 HQN981421:HQN981422 IAJ981421:IAJ981422 IKF981421:IKF981422 IUB981421:IUB981422 JDX981421:JDX981422 JNT981421:JNT981422 JXP981421:JXP981422 KHL981421:KHL981422 KRH981421:KRH981422 LBD981421:LBD981422 LKZ981421:LKZ981422 LUV981421:LUV981422 MER981421:MER981422 MON981421:MON981422 MYJ981421:MYJ981422 NIF981421:NIF981422 NSB981421:NSB981422 OBX981421:OBX981422 OLT981421:OLT981422 OVP981421:OVP981422 PFL981421:PFL981422 PPH981421:PPH981422 PZD981421:PZD981422 QIZ981421:QIZ981422 QSV981421:QSV981422 RCR981421:RCR981422 RMN981421:RMN981422 RWJ981421:RWJ981422 SGF981421:SGF981422 SQB981421:SQB981422 SZX981421:SZX981422 TJT981421:TJT981422 TTP981421:TTP981422 UDL981421:UDL981422 UNH981421:UNH981422 UXD981421:UXD981422 VGZ981421:VGZ981422 VQV981421:VQV981422 WAR981421:WAR981422 WKN981421:WKN981422">
      <formula1>"有り,無し"</formula1>
    </dataValidation>
    <dataValidation type="list" allowBlank="1" showInputMessage="1" showErrorMessage="1" sqref="WUJ981423:WUJ981424 RT19:RT22 ABP19:ABP22 ALL19:ALL22 AVH19:AVH22 BFD19:BFD22 BOZ19:BOZ22 BYV19:BYV22 CIR19:CIR22 CSN19:CSN22 DCJ19:DCJ22 DMF19:DMF22 DWB19:DWB22 EFX19:EFX22 EPT19:EPT22 EZP19:EZP22 FJL19:FJL22 FTH19:FTH22 GDD19:GDD22 GMZ19:GMZ22 GWV19:GWV22 HGR19:HGR22 HQN19:HQN22 IAJ19:IAJ22 IKF19:IKF22 IUB19:IUB22 JDX19:JDX22 JNT19:JNT22 JXP19:JXP22 KHL19:KHL22 KRH19:KRH22 LBD19:LBD22 LKZ19:LKZ22 LUV19:LUV22 MER19:MER22 MON19:MON22 MYJ19:MYJ22 NIF19:NIF22 NSB19:NSB22 OBX19:OBX22 OLT19:OLT22 OVP19:OVP22 PFL19:PFL22 PPH19:PPH22 PZD19:PZD22 QIZ19:QIZ22 QSV19:QSV22 RCR19:RCR22 RMN19:RMN22 RWJ19:RWJ22 SGF19:SGF22 SQB19:SQB22 SZX19:SZX22 TJT19:TJT22 TTP19:TTP22 UDL19:UDL22 UNH19:UNH22 UXD19:UXD22 VGZ19:VGZ22 VQV19:VQV22 WAR19:WAR22 WKN19:WKN22 WUJ19:WUJ22 WKN981423:WKN981424 F63919:F63920 HX63919:HX63920 RT63919:RT63920 ABP63919:ABP63920 ALL63919:ALL63920 AVH63919:AVH63920 BFD63919:BFD63920 BOZ63919:BOZ63920 BYV63919:BYV63920 CIR63919:CIR63920 CSN63919:CSN63920 DCJ63919:DCJ63920 DMF63919:DMF63920 DWB63919:DWB63920 EFX63919:EFX63920 EPT63919:EPT63920 EZP63919:EZP63920 FJL63919:FJL63920 FTH63919:FTH63920 GDD63919:GDD63920 GMZ63919:GMZ63920 GWV63919:GWV63920 HGR63919:HGR63920 HQN63919:HQN63920 IAJ63919:IAJ63920 IKF63919:IKF63920 IUB63919:IUB63920 JDX63919:JDX63920 JNT63919:JNT63920 JXP63919:JXP63920 KHL63919:KHL63920 KRH63919:KRH63920 LBD63919:LBD63920 LKZ63919:LKZ63920 LUV63919:LUV63920 MER63919:MER63920 MON63919:MON63920 MYJ63919:MYJ63920 NIF63919:NIF63920 NSB63919:NSB63920 OBX63919:OBX63920 OLT63919:OLT63920 OVP63919:OVP63920 PFL63919:PFL63920 PPH63919:PPH63920 PZD63919:PZD63920 QIZ63919:QIZ63920 QSV63919:QSV63920 RCR63919:RCR63920 RMN63919:RMN63920 RWJ63919:RWJ63920 SGF63919:SGF63920 SQB63919:SQB63920 SZX63919:SZX63920 TJT63919:TJT63920 TTP63919:TTP63920 UDL63919:UDL63920 UNH63919:UNH63920 UXD63919:UXD63920 VGZ63919:VGZ63920 VQV63919:VQV63920 WAR63919:WAR63920 WKN63919:WKN63920 WUJ63919:WUJ63920 F129455:F129456 HX129455:HX129456 RT129455:RT129456 ABP129455:ABP129456 ALL129455:ALL129456 AVH129455:AVH129456 BFD129455:BFD129456 BOZ129455:BOZ129456 BYV129455:BYV129456 CIR129455:CIR129456 CSN129455:CSN129456 DCJ129455:DCJ129456 DMF129455:DMF129456 DWB129455:DWB129456 EFX129455:EFX129456 EPT129455:EPT129456 EZP129455:EZP129456 FJL129455:FJL129456 FTH129455:FTH129456 GDD129455:GDD129456 GMZ129455:GMZ129456 GWV129455:GWV129456 HGR129455:HGR129456 HQN129455:HQN129456 IAJ129455:IAJ129456 IKF129455:IKF129456 IUB129455:IUB129456 JDX129455:JDX129456 JNT129455:JNT129456 JXP129455:JXP129456 KHL129455:KHL129456 KRH129455:KRH129456 LBD129455:LBD129456 LKZ129455:LKZ129456 LUV129455:LUV129456 MER129455:MER129456 MON129455:MON129456 MYJ129455:MYJ129456 NIF129455:NIF129456 NSB129455:NSB129456 OBX129455:OBX129456 OLT129455:OLT129456 OVP129455:OVP129456 PFL129455:PFL129456 PPH129455:PPH129456 PZD129455:PZD129456 QIZ129455:QIZ129456 QSV129455:QSV129456 RCR129455:RCR129456 RMN129455:RMN129456 RWJ129455:RWJ129456 SGF129455:SGF129456 SQB129455:SQB129456 SZX129455:SZX129456 TJT129455:TJT129456 TTP129455:TTP129456 UDL129455:UDL129456 UNH129455:UNH129456 UXD129455:UXD129456 VGZ129455:VGZ129456 VQV129455:VQV129456 WAR129455:WAR129456 WKN129455:WKN129456 WUJ129455:WUJ129456 F194991:F194992 HX194991:HX194992 RT194991:RT194992 ABP194991:ABP194992 ALL194991:ALL194992 AVH194991:AVH194992 BFD194991:BFD194992 BOZ194991:BOZ194992 BYV194991:BYV194992 CIR194991:CIR194992 CSN194991:CSN194992 DCJ194991:DCJ194992 DMF194991:DMF194992 DWB194991:DWB194992 EFX194991:EFX194992 EPT194991:EPT194992 EZP194991:EZP194992 FJL194991:FJL194992 FTH194991:FTH194992 GDD194991:GDD194992 GMZ194991:GMZ194992 GWV194991:GWV194992 HGR194991:HGR194992 HQN194991:HQN194992 IAJ194991:IAJ194992 IKF194991:IKF194992 IUB194991:IUB194992 JDX194991:JDX194992 JNT194991:JNT194992 JXP194991:JXP194992 KHL194991:KHL194992 KRH194991:KRH194992 LBD194991:LBD194992 LKZ194991:LKZ194992 LUV194991:LUV194992 MER194991:MER194992 MON194991:MON194992 MYJ194991:MYJ194992 NIF194991:NIF194992 NSB194991:NSB194992 OBX194991:OBX194992 OLT194991:OLT194992 OVP194991:OVP194992 PFL194991:PFL194992 PPH194991:PPH194992 PZD194991:PZD194992 QIZ194991:QIZ194992 QSV194991:QSV194992 RCR194991:RCR194992 RMN194991:RMN194992 RWJ194991:RWJ194992 SGF194991:SGF194992 SQB194991:SQB194992 SZX194991:SZX194992 TJT194991:TJT194992 TTP194991:TTP194992 UDL194991:UDL194992 UNH194991:UNH194992 UXD194991:UXD194992 VGZ194991:VGZ194992 VQV194991:VQV194992 WAR194991:WAR194992 WKN194991:WKN194992 WUJ194991:WUJ194992 F260527:F260528 HX260527:HX260528 RT260527:RT260528 ABP260527:ABP260528 ALL260527:ALL260528 AVH260527:AVH260528 BFD260527:BFD260528 BOZ260527:BOZ260528 BYV260527:BYV260528 CIR260527:CIR260528 CSN260527:CSN260528 DCJ260527:DCJ260528 DMF260527:DMF260528 DWB260527:DWB260528 EFX260527:EFX260528 EPT260527:EPT260528 EZP260527:EZP260528 FJL260527:FJL260528 FTH260527:FTH260528 GDD260527:GDD260528 GMZ260527:GMZ260528 GWV260527:GWV260528 HGR260527:HGR260528 HQN260527:HQN260528 IAJ260527:IAJ260528 IKF260527:IKF260528 IUB260527:IUB260528 JDX260527:JDX260528 JNT260527:JNT260528 JXP260527:JXP260528 KHL260527:KHL260528 KRH260527:KRH260528 LBD260527:LBD260528 LKZ260527:LKZ260528 LUV260527:LUV260528 MER260527:MER260528 MON260527:MON260528 MYJ260527:MYJ260528 NIF260527:NIF260528 NSB260527:NSB260528 OBX260527:OBX260528 OLT260527:OLT260528 OVP260527:OVP260528 PFL260527:PFL260528 PPH260527:PPH260528 PZD260527:PZD260528 QIZ260527:QIZ260528 QSV260527:QSV260528 RCR260527:RCR260528 RMN260527:RMN260528 RWJ260527:RWJ260528 SGF260527:SGF260528 SQB260527:SQB260528 SZX260527:SZX260528 TJT260527:TJT260528 TTP260527:TTP260528 UDL260527:UDL260528 UNH260527:UNH260528 UXD260527:UXD260528 VGZ260527:VGZ260528 VQV260527:VQV260528 WAR260527:WAR260528 WKN260527:WKN260528 WUJ260527:WUJ260528 F326063:F326064 HX326063:HX326064 RT326063:RT326064 ABP326063:ABP326064 ALL326063:ALL326064 AVH326063:AVH326064 BFD326063:BFD326064 BOZ326063:BOZ326064 BYV326063:BYV326064 CIR326063:CIR326064 CSN326063:CSN326064 DCJ326063:DCJ326064 DMF326063:DMF326064 DWB326063:DWB326064 EFX326063:EFX326064 EPT326063:EPT326064 EZP326063:EZP326064 FJL326063:FJL326064 FTH326063:FTH326064 GDD326063:GDD326064 GMZ326063:GMZ326064 GWV326063:GWV326064 HGR326063:HGR326064 HQN326063:HQN326064 IAJ326063:IAJ326064 IKF326063:IKF326064 IUB326063:IUB326064 JDX326063:JDX326064 JNT326063:JNT326064 JXP326063:JXP326064 KHL326063:KHL326064 KRH326063:KRH326064 LBD326063:LBD326064 LKZ326063:LKZ326064 LUV326063:LUV326064 MER326063:MER326064 MON326063:MON326064 MYJ326063:MYJ326064 NIF326063:NIF326064 NSB326063:NSB326064 OBX326063:OBX326064 OLT326063:OLT326064 OVP326063:OVP326064 PFL326063:PFL326064 PPH326063:PPH326064 PZD326063:PZD326064 QIZ326063:QIZ326064 QSV326063:QSV326064 RCR326063:RCR326064 RMN326063:RMN326064 RWJ326063:RWJ326064 SGF326063:SGF326064 SQB326063:SQB326064 SZX326063:SZX326064 TJT326063:TJT326064 TTP326063:TTP326064 UDL326063:UDL326064 UNH326063:UNH326064 UXD326063:UXD326064 VGZ326063:VGZ326064 VQV326063:VQV326064 WAR326063:WAR326064 WKN326063:WKN326064 WUJ326063:WUJ326064 F391599:F391600 HX391599:HX391600 RT391599:RT391600 ABP391599:ABP391600 ALL391599:ALL391600 AVH391599:AVH391600 BFD391599:BFD391600 BOZ391599:BOZ391600 BYV391599:BYV391600 CIR391599:CIR391600 CSN391599:CSN391600 DCJ391599:DCJ391600 DMF391599:DMF391600 DWB391599:DWB391600 EFX391599:EFX391600 EPT391599:EPT391600 EZP391599:EZP391600 FJL391599:FJL391600 FTH391599:FTH391600 GDD391599:GDD391600 GMZ391599:GMZ391600 GWV391599:GWV391600 HGR391599:HGR391600 HQN391599:HQN391600 IAJ391599:IAJ391600 IKF391599:IKF391600 IUB391599:IUB391600 JDX391599:JDX391600 JNT391599:JNT391600 JXP391599:JXP391600 KHL391599:KHL391600 KRH391599:KRH391600 LBD391599:LBD391600 LKZ391599:LKZ391600 LUV391599:LUV391600 MER391599:MER391600 MON391599:MON391600 MYJ391599:MYJ391600 NIF391599:NIF391600 NSB391599:NSB391600 OBX391599:OBX391600 OLT391599:OLT391600 OVP391599:OVP391600 PFL391599:PFL391600 PPH391599:PPH391600 PZD391599:PZD391600 QIZ391599:QIZ391600 QSV391599:QSV391600 RCR391599:RCR391600 RMN391599:RMN391600 RWJ391599:RWJ391600 SGF391599:SGF391600 SQB391599:SQB391600 SZX391599:SZX391600 TJT391599:TJT391600 TTP391599:TTP391600 UDL391599:UDL391600 UNH391599:UNH391600 UXD391599:UXD391600 VGZ391599:VGZ391600 VQV391599:VQV391600 WAR391599:WAR391600 WKN391599:WKN391600 WUJ391599:WUJ391600 F457135:F457136 HX457135:HX457136 RT457135:RT457136 ABP457135:ABP457136 ALL457135:ALL457136 AVH457135:AVH457136 BFD457135:BFD457136 BOZ457135:BOZ457136 BYV457135:BYV457136 CIR457135:CIR457136 CSN457135:CSN457136 DCJ457135:DCJ457136 DMF457135:DMF457136 DWB457135:DWB457136 EFX457135:EFX457136 EPT457135:EPT457136 EZP457135:EZP457136 FJL457135:FJL457136 FTH457135:FTH457136 GDD457135:GDD457136 GMZ457135:GMZ457136 GWV457135:GWV457136 HGR457135:HGR457136 HQN457135:HQN457136 IAJ457135:IAJ457136 IKF457135:IKF457136 IUB457135:IUB457136 JDX457135:JDX457136 JNT457135:JNT457136 JXP457135:JXP457136 KHL457135:KHL457136 KRH457135:KRH457136 LBD457135:LBD457136 LKZ457135:LKZ457136 LUV457135:LUV457136 MER457135:MER457136 MON457135:MON457136 MYJ457135:MYJ457136 NIF457135:NIF457136 NSB457135:NSB457136 OBX457135:OBX457136 OLT457135:OLT457136 OVP457135:OVP457136 PFL457135:PFL457136 PPH457135:PPH457136 PZD457135:PZD457136 QIZ457135:QIZ457136 QSV457135:QSV457136 RCR457135:RCR457136 RMN457135:RMN457136 RWJ457135:RWJ457136 SGF457135:SGF457136 SQB457135:SQB457136 SZX457135:SZX457136 TJT457135:TJT457136 TTP457135:TTP457136 UDL457135:UDL457136 UNH457135:UNH457136 UXD457135:UXD457136 VGZ457135:VGZ457136 VQV457135:VQV457136 WAR457135:WAR457136 WKN457135:WKN457136 WUJ457135:WUJ457136 F522671:F522672 HX522671:HX522672 RT522671:RT522672 ABP522671:ABP522672 ALL522671:ALL522672 AVH522671:AVH522672 BFD522671:BFD522672 BOZ522671:BOZ522672 BYV522671:BYV522672 CIR522671:CIR522672 CSN522671:CSN522672 DCJ522671:DCJ522672 DMF522671:DMF522672 DWB522671:DWB522672 EFX522671:EFX522672 EPT522671:EPT522672 EZP522671:EZP522672 FJL522671:FJL522672 FTH522671:FTH522672 GDD522671:GDD522672 GMZ522671:GMZ522672 GWV522671:GWV522672 HGR522671:HGR522672 HQN522671:HQN522672 IAJ522671:IAJ522672 IKF522671:IKF522672 IUB522671:IUB522672 JDX522671:JDX522672 JNT522671:JNT522672 JXP522671:JXP522672 KHL522671:KHL522672 KRH522671:KRH522672 LBD522671:LBD522672 LKZ522671:LKZ522672 LUV522671:LUV522672 MER522671:MER522672 MON522671:MON522672 MYJ522671:MYJ522672 NIF522671:NIF522672 NSB522671:NSB522672 OBX522671:OBX522672 OLT522671:OLT522672 OVP522671:OVP522672 PFL522671:PFL522672 PPH522671:PPH522672 PZD522671:PZD522672 QIZ522671:QIZ522672 QSV522671:QSV522672 RCR522671:RCR522672 RMN522671:RMN522672 RWJ522671:RWJ522672 SGF522671:SGF522672 SQB522671:SQB522672 SZX522671:SZX522672 TJT522671:TJT522672 TTP522671:TTP522672 UDL522671:UDL522672 UNH522671:UNH522672 UXD522671:UXD522672 VGZ522671:VGZ522672 VQV522671:VQV522672 WAR522671:WAR522672 WKN522671:WKN522672 WUJ522671:WUJ522672 F588207:F588208 HX588207:HX588208 RT588207:RT588208 ABP588207:ABP588208 ALL588207:ALL588208 AVH588207:AVH588208 BFD588207:BFD588208 BOZ588207:BOZ588208 BYV588207:BYV588208 CIR588207:CIR588208 CSN588207:CSN588208 DCJ588207:DCJ588208 DMF588207:DMF588208 DWB588207:DWB588208 EFX588207:EFX588208 EPT588207:EPT588208 EZP588207:EZP588208 FJL588207:FJL588208 FTH588207:FTH588208 GDD588207:GDD588208 GMZ588207:GMZ588208 GWV588207:GWV588208 HGR588207:HGR588208 HQN588207:HQN588208 IAJ588207:IAJ588208 IKF588207:IKF588208 IUB588207:IUB588208 JDX588207:JDX588208 JNT588207:JNT588208 JXP588207:JXP588208 KHL588207:KHL588208 KRH588207:KRH588208 LBD588207:LBD588208 LKZ588207:LKZ588208 LUV588207:LUV588208 MER588207:MER588208 MON588207:MON588208 MYJ588207:MYJ588208 NIF588207:NIF588208 NSB588207:NSB588208 OBX588207:OBX588208 OLT588207:OLT588208 OVP588207:OVP588208 PFL588207:PFL588208 PPH588207:PPH588208 PZD588207:PZD588208 QIZ588207:QIZ588208 QSV588207:QSV588208 RCR588207:RCR588208 RMN588207:RMN588208 RWJ588207:RWJ588208 SGF588207:SGF588208 SQB588207:SQB588208 SZX588207:SZX588208 TJT588207:TJT588208 TTP588207:TTP588208 UDL588207:UDL588208 UNH588207:UNH588208 UXD588207:UXD588208 VGZ588207:VGZ588208 VQV588207:VQV588208 WAR588207:WAR588208 WKN588207:WKN588208 WUJ588207:WUJ588208 F653743:F653744 HX653743:HX653744 RT653743:RT653744 ABP653743:ABP653744 ALL653743:ALL653744 AVH653743:AVH653744 BFD653743:BFD653744 BOZ653743:BOZ653744 BYV653743:BYV653744 CIR653743:CIR653744 CSN653743:CSN653744 DCJ653743:DCJ653744 DMF653743:DMF653744 DWB653743:DWB653744 EFX653743:EFX653744 EPT653743:EPT653744 EZP653743:EZP653744 FJL653743:FJL653744 FTH653743:FTH653744 GDD653743:GDD653744 GMZ653743:GMZ653744 GWV653743:GWV653744 HGR653743:HGR653744 HQN653743:HQN653744 IAJ653743:IAJ653744 IKF653743:IKF653744 IUB653743:IUB653744 JDX653743:JDX653744 JNT653743:JNT653744 JXP653743:JXP653744 KHL653743:KHL653744 KRH653743:KRH653744 LBD653743:LBD653744 LKZ653743:LKZ653744 LUV653743:LUV653744 MER653743:MER653744 MON653743:MON653744 MYJ653743:MYJ653744 NIF653743:NIF653744 NSB653743:NSB653744 OBX653743:OBX653744 OLT653743:OLT653744 OVP653743:OVP653744 PFL653743:PFL653744 PPH653743:PPH653744 PZD653743:PZD653744 QIZ653743:QIZ653744 QSV653743:QSV653744 RCR653743:RCR653744 RMN653743:RMN653744 RWJ653743:RWJ653744 SGF653743:SGF653744 SQB653743:SQB653744 SZX653743:SZX653744 TJT653743:TJT653744 TTP653743:TTP653744 UDL653743:UDL653744 UNH653743:UNH653744 UXD653743:UXD653744 VGZ653743:VGZ653744 VQV653743:VQV653744 WAR653743:WAR653744 WKN653743:WKN653744 WUJ653743:WUJ653744 F719279:F719280 HX719279:HX719280 RT719279:RT719280 ABP719279:ABP719280 ALL719279:ALL719280 AVH719279:AVH719280 BFD719279:BFD719280 BOZ719279:BOZ719280 BYV719279:BYV719280 CIR719279:CIR719280 CSN719279:CSN719280 DCJ719279:DCJ719280 DMF719279:DMF719280 DWB719279:DWB719280 EFX719279:EFX719280 EPT719279:EPT719280 EZP719279:EZP719280 FJL719279:FJL719280 FTH719279:FTH719280 GDD719279:GDD719280 GMZ719279:GMZ719280 GWV719279:GWV719280 HGR719279:HGR719280 HQN719279:HQN719280 IAJ719279:IAJ719280 IKF719279:IKF719280 IUB719279:IUB719280 JDX719279:JDX719280 JNT719279:JNT719280 JXP719279:JXP719280 KHL719279:KHL719280 KRH719279:KRH719280 LBD719279:LBD719280 LKZ719279:LKZ719280 LUV719279:LUV719280 MER719279:MER719280 MON719279:MON719280 MYJ719279:MYJ719280 NIF719279:NIF719280 NSB719279:NSB719280 OBX719279:OBX719280 OLT719279:OLT719280 OVP719279:OVP719280 PFL719279:PFL719280 PPH719279:PPH719280 PZD719279:PZD719280 QIZ719279:QIZ719280 QSV719279:QSV719280 RCR719279:RCR719280 RMN719279:RMN719280 RWJ719279:RWJ719280 SGF719279:SGF719280 SQB719279:SQB719280 SZX719279:SZX719280 TJT719279:TJT719280 TTP719279:TTP719280 UDL719279:UDL719280 UNH719279:UNH719280 UXD719279:UXD719280 VGZ719279:VGZ719280 VQV719279:VQV719280 WAR719279:WAR719280 WKN719279:WKN719280 WUJ719279:WUJ719280 F784815:F784816 HX784815:HX784816 RT784815:RT784816 ABP784815:ABP784816 ALL784815:ALL784816 AVH784815:AVH784816 BFD784815:BFD784816 BOZ784815:BOZ784816 BYV784815:BYV784816 CIR784815:CIR784816 CSN784815:CSN784816 DCJ784815:DCJ784816 DMF784815:DMF784816 DWB784815:DWB784816 EFX784815:EFX784816 EPT784815:EPT784816 EZP784815:EZP784816 FJL784815:FJL784816 FTH784815:FTH784816 GDD784815:GDD784816 GMZ784815:GMZ784816 GWV784815:GWV784816 HGR784815:HGR784816 HQN784815:HQN784816 IAJ784815:IAJ784816 IKF784815:IKF784816 IUB784815:IUB784816 JDX784815:JDX784816 JNT784815:JNT784816 JXP784815:JXP784816 KHL784815:KHL784816 KRH784815:KRH784816 LBD784815:LBD784816 LKZ784815:LKZ784816 LUV784815:LUV784816 MER784815:MER784816 MON784815:MON784816 MYJ784815:MYJ784816 NIF784815:NIF784816 NSB784815:NSB784816 OBX784815:OBX784816 OLT784815:OLT784816 OVP784815:OVP784816 PFL784815:PFL784816 PPH784815:PPH784816 PZD784815:PZD784816 QIZ784815:QIZ784816 QSV784815:QSV784816 RCR784815:RCR784816 RMN784815:RMN784816 RWJ784815:RWJ784816 SGF784815:SGF784816 SQB784815:SQB784816 SZX784815:SZX784816 TJT784815:TJT784816 TTP784815:TTP784816 UDL784815:UDL784816 UNH784815:UNH784816 UXD784815:UXD784816 VGZ784815:VGZ784816 VQV784815:VQV784816 WAR784815:WAR784816 WKN784815:WKN784816 WUJ784815:WUJ784816 F850351:F850352 HX850351:HX850352 RT850351:RT850352 ABP850351:ABP850352 ALL850351:ALL850352 AVH850351:AVH850352 BFD850351:BFD850352 BOZ850351:BOZ850352 BYV850351:BYV850352 CIR850351:CIR850352 CSN850351:CSN850352 DCJ850351:DCJ850352 DMF850351:DMF850352 DWB850351:DWB850352 EFX850351:EFX850352 EPT850351:EPT850352 EZP850351:EZP850352 FJL850351:FJL850352 FTH850351:FTH850352 GDD850351:GDD850352 GMZ850351:GMZ850352 GWV850351:GWV850352 HGR850351:HGR850352 HQN850351:HQN850352 IAJ850351:IAJ850352 IKF850351:IKF850352 IUB850351:IUB850352 JDX850351:JDX850352 JNT850351:JNT850352 JXP850351:JXP850352 KHL850351:KHL850352 KRH850351:KRH850352 LBD850351:LBD850352 LKZ850351:LKZ850352 LUV850351:LUV850352 MER850351:MER850352 MON850351:MON850352 MYJ850351:MYJ850352 NIF850351:NIF850352 NSB850351:NSB850352 OBX850351:OBX850352 OLT850351:OLT850352 OVP850351:OVP850352 PFL850351:PFL850352 PPH850351:PPH850352 PZD850351:PZD850352 QIZ850351:QIZ850352 QSV850351:QSV850352 RCR850351:RCR850352 RMN850351:RMN850352 RWJ850351:RWJ850352 SGF850351:SGF850352 SQB850351:SQB850352 SZX850351:SZX850352 TJT850351:TJT850352 TTP850351:TTP850352 UDL850351:UDL850352 UNH850351:UNH850352 UXD850351:UXD850352 VGZ850351:VGZ850352 VQV850351:VQV850352 WAR850351:WAR850352 WKN850351:WKN850352 WUJ850351:WUJ850352 F915887:F915888 HX915887:HX915888 RT915887:RT915888 ABP915887:ABP915888 ALL915887:ALL915888 AVH915887:AVH915888 BFD915887:BFD915888 BOZ915887:BOZ915888 BYV915887:BYV915888 CIR915887:CIR915888 CSN915887:CSN915888 DCJ915887:DCJ915888 DMF915887:DMF915888 DWB915887:DWB915888 EFX915887:EFX915888 EPT915887:EPT915888 EZP915887:EZP915888 FJL915887:FJL915888 FTH915887:FTH915888 GDD915887:GDD915888 GMZ915887:GMZ915888 GWV915887:GWV915888 HGR915887:HGR915888 HQN915887:HQN915888 IAJ915887:IAJ915888 IKF915887:IKF915888 IUB915887:IUB915888 JDX915887:JDX915888 JNT915887:JNT915888 JXP915887:JXP915888 KHL915887:KHL915888 KRH915887:KRH915888 LBD915887:LBD915888 LKZ915887:LKZ915888 LUV915887:LUV915888 MER915887:MER915888 MON915887:MON915888 MYJ915887:MYJ915888 NIF915887:NIF915888 NSB915887:NSB915888 OBX915887:OBX915888 OLT915887:OLT915888 OVP915887:OVP915888 PFL915887:PFL915888 PPH915887:PPH915888 PZD915887:PZD915888 QIZ915887:QIZ915888 QSV915887:QSV915888 RCR915887:RCR915888 RMN915887:RMN915888 RWJ915887:RWJ915888 SGF915887:SGF915888 SQB915887:SQB915888 SZX915887:SZX915888 TJT915887:TJT915888 TTP915887:TTP915888 UDL915887:UDL915888 UNH915887:UNH915888 UXD915887:UXD915888 VGZ915887:VGZ915888 VQV915887:VQV915888 WAR915887:WAR915888 WKN915887:WKN915888 WUJ915887:WUJ915888 F981423:F981424 HX981423:HX981424 RT981423:RT981424 ABP981423:ABP981424 ALL981423:ALL981424 AVH981423:AVH981424 BFD981423:BFD981424 BOZ981423:BOZ981424 BYV981423:BYV981424 CIR981423:CIR981424 CSN981423:CSN981424 DCJ981423:DCJ981424 DMF981423:DMF981424 DWB981423:DWB981424 EFX981423:EFX981424 EPT981423:EPT981424 EZP981423:EZP981424 FJL981423:FJL981424 FTH981423:FTH981424 GDD981423:GDD981424 GMZ981423:GMZ981424 GWV981423:GWV981424 HGR981423:HGR981424 HQN981423:HQN981424 IAJ981423:IAJ981424 IKF981423:IKF981424 IUB981423:IUB981424 JDX981423:JDX981424 JNT981423:JNT981424 JXP981423:JXP981424 KHL981423:KHL981424 KRH981423:KRH981424 LBD981423:LBD981424 LKZ981423:LKZ981424 LUV981423:LUV981424 MER981423:MER981424 MON981423:MON981424 MYJ981423:MYJ981424 NIF981423:NIF981424 NSB981423:NSB981424 OBX981423:OBX981424 OLT981423:OLT981424 OVP981423:OVP981424 PFL981423:PFL981424 PPH981423:PPH981424 PZD981423:PZD981424 QIZ981423:QIZ981424 QSV981423:QSV981424 RCR981423:RCR981424 RMN981423:RMN981424 RWJ981423:RWJ981424 SGF981423:SGF981424 SQB981423:SQB981424 SZX981423:SZX981424 TJT981423:TJT981424 TTP981423:TTP981424 UDL981423:UDL981424 UNH981423:UNH981424 UXD981423:UXD981424 VGZ981423:VGZ981424 VQV981423:VQV981424 WAR981423:WAR981424 HX19:HX22 RT72:RT73 ABP72:ABP73 ALL72:ALL73 AVH72:AVH73 BFD72:BFD73 BOZ72:BOZ73 BYV72:BYV73 CIR72:CIR73 CSN72:CSN73 DCJ72:DCJ73 DMF72:DMF73 DWB72:DWB73 EFX72:EFX73 EPT72:EPT73 EZP72:EZP73 FJL72:FJL73 FTH72:FTH73 GDD72:GDD73 GMZ72:GMZ73 GWV72:GWV73 HGR72:HGR73 HQN72:HQN73 IAJ72:IAJ73 IKF72:IKF73 IUB72:IUB73 JDX72:JDX73 JNT72:JNT73 JXP72:JXP73 KHL72:KHL73 KRH72:KRH73 LBD72:LBD73 LKZ72:LKZ73 LUV72:LUV73 MER72:MER73 MON72:MON73 MYJ72:MYJ73 NIF72:NIF73 NSB72:NSB73 OBX72:OBX73 OLT72:OLT73 OVP72:OVP73 PFL72:PFL73 PPH72:PPH73 PZD72:PZD73 QIZ72:QIZ73 QSV72:QSV73 RCR72:RCR73 RMN72:RMN73 RWJ72:RWJ73 SGF72:SGF73 SQB72:SQB73 SZX72:SZX73 TJT72:TJT73 TTP72:TTP73 UDL72:UDL73 UNH72:UNH73 UXD72:UXD73 VGZ72:VGZ73 VQV72:VQV73 WAR72:WAR73 WKN72:WKN73 WUJ72:WUJ73 HX72:HX73 RT50:RT51 ABP50:ABP51 ALL50:ALL51 AVH50:AVH51 BFD50:BFD51 BOZ50:BOZ51 BYV50:BYV51 CIR50:CIR51 CSN50:CSN51 DCJ50:DCJ51 DMF50:DMF51 DWB50:DWB51 EFX50:EFX51 EPT50:EPT51 EZP50:EZP51 FJL50:FJL51 FTH50:FTH51 GDD50:GDD51 GMZ50:GMZ51 GWV50:GWV51 HGR50:HGR51 HQN50:HQN51 IAJ50:IAJ51 IKF50:IKF51 IUB50:IUB51 JDX50:JDX51 JNT50:JNT51 JXP50:JXP51 KHL50:KHL51 KRH50:KRH51 LBD50:LBD51 LKZ50:LKZ51 LUV50:LUV51 MER50:MER51 MON50:MON51 MYJ50:MYJ51 NIF50:NIF51 NSB50:NSB51 OBX50:OBX51 OLT50:OLT51 OVP50:OVP51 PFL50:PFL51 PPH50:PPH51 PZD50:PZD51 QIZ50:QIZ51 QSV50:QSV51 RCR50:RCR51 RMN50:RMN51 RWJ50:RWJ51 SGF50:SGF51 SQB50:SQB51 SZX50:SZX51 TJT50:TJT51 TTP50:TTP51 UDL50:UDL51 UNH50:UNH51 UXD50:UXD51 VGZ50:VGZ51 VQV50:VQV51 WAR50:WAR51 WKN50:WKN51 WUJ50:WUJ51 HX50:HX51">
      <formula1>"○,×"</formula1>
    </dataValidation>
    <dataValidation type="list" allowBlank="1" showInputMessage="1" showErrorMessage="1" sqref="WUL981423:WUS981423 HZ19:IG21 RV19:SC21 ABR19:ABY21 ALN19:ALU21 AVJ19:AVQ21 BFF19:BFM21 BPB19:BPI21 BYX19:BZE21 CIT19:CJA21 CSP19:CSW21 DCL19:DCS21 DMH19:DMO21 DWD19:DWK21 EFZ19:EGG21 EPV19:EQC21 EZR19:EZY21 FJN19:FJU21 FTJ19:FTQ21 GDF19:GDM21 GNB19:GNI21 GWX19:GXE21 HGT19:HHA21 HQP19:HQW21 IAL19:IAS21 IKH19:IKO21 IUD19:IUK21 JDZ19:JEG21 JNV19:JOC21 JXR19:JXY21 KHN19:KHU21 KRJ19:KRQ21 LBF19:LBM21 LLB19:LLI21 LUX19:LVE21 MET19:MFA21 MOP19:MOW21 MYL19:MYS21 NIH19:NIO21 NSD19:NSK21 OBZ19:OCG21 OLV19:OMC21 OVR19:OVY21 PFN19:PFU21 PPJ19:PPQ21 PZF19:PZM21 QJB19:QJI21 QSX19:QTE21 RCT19:RDA21 RMP19:RMW21 RWL19:RWS21 SGH19:SGO21 SQD19:SQK21 SZZ19:TAG21 TJV19:TKC21 TTR19:TTY21 UDN19:UDU21 UNJ19:UNQ21 UXF19:UXM21 VHB19:VHI21 VQX19:VRE21 WAT19:WBA21 WKP19:WKW21 WUL19:WUS21 RMP50:RMW50 HZ63919:IG63919 RV63919:SC63919 ABR63919:ABY63919 ALN63919:ALU63919 AVJ63919:AVQ63919 BFF63919:BFM63919 BPB63919:BPI63919 BYX63919:BZE63919 CIT63919:CJA63919 CSP63919:CSW63919 DCL63919:DCS63919 DMH63919:DMO63919 DWD63919:DWK63919 EFZ63919:EGG63919 EPV63919:EQC63919 EZR63919:EZY63919 FJN63919:FJU63919 FTJ63919:FTQ63919 GDF63919:GDM63919 GNB63919:GNI63919 GWX63919:GXE63919 HGT63919:HHA63919 HQP63919:HQW63919 IAL63919:IAS63919 IKH63919:IKO63919 IUD63919:IUK63919 JDZ63919:JEG63919 JNV63919:JOC63919 JXR63919:JXY63919 KHN63919:KHU63919 KRJ63919:KRQ63919 LBF63919:LBM63919 LLB63919:LLI63919 LUX63919:LVE63919 MET63919:MFA63919 MOP63919:MOW63919 MYL63919:MYS63919 NIH63919:NIO63919 NSD63919:NSK63919 OBZ63919:OCG63919 OLV63919:OMC63919 OVR63919:OVY63919 PFN63919:PFU63919 PPJ63919:PPQ63919 PZF63919:PZM63919 QJB63919:QJI63919 QSX63919:QTE63919 RCT63919:RDA63919 RMP63919:RMW63919 RWL63919:RWS63919 SGH63919:SGO63919 SQD63919:SQK63919 SZZ63919:TAG63919 TJV63919:TKC63919 TTR63919:TTY63919 UDN63919:UDU63919 UNJ63919:UNQ63919 UXF63919:UXM63919 VHB63919:VHI63919 VQX63919:VRE63919 WAT63919:WBA63919 WKP63919:WKW63919 WUL63919:WUS63919 RWL50:RWS50 HZ129455:IG129455 RV129455:SC129455 ABR129455:ABY129455 ALN129455:ALU129455 AVJ129455:AVQ129455 BFF129455:BFM129455 BPB129455:BPI129455 BYX129455:BZE129455 CIT129455:CJA129455 CSP129455:CSW129455 DCL129455:DCS129455 DMH129455:DMO129455 DWD129455:DWK129455 EFZ129455:EGG129455 EPV129455:EQC129455 EZR129455:EZY129455 FJN129455:FJU129455 FTJ129455:FTQ129455 GDF129455:GDM129455 GNB129455:GNI129455 GWX129455:GXE129455 HGT129455:HHA129455 HQP129455:HQW129455 IAL129455:IAS129455 IKH129455:IKO129455 IUD129455:IUK129455 JDZ129455:JEG129455 JNV129455:JOC129455 JXR129455:JXY129455 KHN129455:KHU129455 KRJ129455:KRQ129455 LBF129455:LBM129455 LLB129455:LLI129455 LUX129455:LVE129455 MET129455:MFA129455 MOP129455:MOW129455 MYL129455:MYS129455 NIH129455:NIO129455 NSD129455:NSK129455 OBZ129455:OCG129455 OLV129455:OMC129455 OVR129455:OVY129455 PFN129455:PFU129455 PPJ129455:PPQ129455 PZF129455:PZM129455 QJB129455:QJI129455 QSX129455:QTE129455 RCT129455:RDA129455 RMP129455:RMW129455 RWL129455:RWS129455 SGH129455:SGO129455 SQD129455:SQK129455 SZZ129455:TAG129455 TJV129455:TKC129455 TTR129455:TTY129455 UDN129455:UDU129455 UNJ129455:UNQ129455 UXF129455:UXM129455 VHB129455:VHI129455 VQX129455:VRE129455 WAT129455:WBA129455 WKP129455:WKW129455 WUL129455:WUS129455 SGH50:SGO50 HZ194991:IG194991 RV194991:SC194991 ABR194991:ABY194991 ALN194991:ALU194991 AVJ194991:AVQ194991 BFF194991:BFM194991 BPB194991:BPI194991 BYX194991:BZE194991 CIT194991:CJA194991 CSP194991:CSW194991 DCL194991:DCS194991 DMH194991:DMO194991 DWD194991:DWK194991 EFZ194991:EGG194991 EPV194991:EQC194991 EZR194991:EZY194991 FJN194991:FJU194991 FTJ194991:FTQ194991 GDF194991:GDM194991 GNB194991:GNI194991 GWX194991:GXE194991 HGT194991:HHA194991 HQP194991:HQW194991 IAL194991:IAS194991 IKH194991:IKO194991 IUD194991:IUK194991 JDZ194991:JEG194991 JNV194991:JOC194991 JXR194991:JXY194991 KHN194991:KHU194991 KRJ194991:KRQ194991 LBF194991:LBM194991 LLB194991:LLI194991 LUX194991:LVE194991 MET194991:MFA194991 MOP194991:MOW194991 MYL194991:MYS194991 NIH194991:NIO194991 NSD194991:NSK194991 OBZ194991:OCG194991 OLV194991:OMC194991 OVR194991:OVY194991 PFN194991:PFU194991 PPJ194991:PPQ194991 PZF194991:PZM194991 QJB194991:QJI194991 QSX194991:QTE194991 RCT194991:RDA194991 RMP194991:RMW194991 RWL194991:RWS194991 SGH194991:SGO194991 SQD194991:SQK194991 SZZ194991:TAG194991 TJV194991:TKC194991 TTR194991:TTY194991 UDN194991:UDU194991 UNJ194991:UNQ194991 UXF194991:UXM194991 VHB194991:VHI194991 VQX194991:VRE194991 WAT194991:WBA194991 WKP194991:WKW194991 WUL194991:WUS194991 SQD50:SQK50 HZ260527:IG260527 RV260527:SC260527 ABR260527:ABY260527 ALN260527:ALU260527 AVJ260527:AVQ260527 BFF260527:BFM260527 BPB260527:BPI260527 BYX260527:BZE260527 CIT260527:CJA260527 CSP260527:CSW260527 DCL260527:DCS260527 DMH260527:DMO260527 DWD260527:DWK260527 EFZ260527:EGG260527 EPV260527:EQC260527 EZR260527:EZY260527 FJN260527:FJU260527 FTJ260527:FTQ260527 GDF260527:GDM260527 GNB260527:GNI260527 GWX260527:GXE260527 HGT260527:HHA260527 HQP260527:HQW260527 IAL260527:IAS260527 IKH260527:IKO260527 IUD260527:IUK260527 JDZ260527:JEG260527 JNV260527:JOC260527 JXR260527:JXY260527 KHN260527:KHU260527 KRJ260527:KRQ260527 LBF260527:LBM260527 LLB260527:LLI260527 LUX260527:LVE260527 MET260527:MFA260527 MOP260527:MOW260527 MYL260527:MYS260527 NIH260527:NIO260527 NSD260527:NSK260527 OBZ260527:OCG260527 OLV260527:OMC260527 OVR260527:OVY260527 PFN260527:PFU260527 PPJ260527:PPQ260527 PZF260527:PZM260527 QJB260527:QJI260527 QSX260527:QTE260527 RCT260527:RDA260527 RMP260527:RMW260527 RWL260527:RWS260527 SGH260527:SGO260527 SQD260527:SQK260527 SZZ260527:TAG260527 TJV260527:TKC260527 TTR260527:TTY260527 UDN260527:UDU260527 UNJ260527:UNQ260527 UXF260527:UXM260527 VHB260527:VHI260527 VQX260527:VRE260527 WAT260527:WBA260527 WKP260527:WKW260527 WUL260527:WUS260527 SZZ50:TAG50 HZ326063:IG326063 RV326063:SC326063 ABR326063:ABY326063 ALN326063:ALU326063 AVJ326063:AVQ326063 BFF326063:BFM326063 BPB326063:BPI326063 BYX326063:BZE326063 CIT326063:CJA326063 CSP326063:CSW326063 DCL326063:DCS326063 DMH326063:DMO326063 DWD326063:DWK326063 EFZ326063:EGG326063 EPV326063:EQC326063 EZR326063:EZY326063 FJN326063:FJU326063 FTJ326063:FTQ326063 GDF326063:GDM326063 GNB326063:GNI326063 GWX326063:GXE326063 HGT326063:HHA326063 HQP326063:HQW326063 IAL326063:IAS326063 IKH326063:IKO326063 IUD326063:IUK326063 JDZ326063:JEG326063 JNV326063:JOC326063 JXR326063:JXY326063 KHN326063:KHU326063 KRJ326063:KRQ326063 LBF326063:LBM326063 LLB326063:LLI326063 LUX326063:LVE326063 MET326063:MFA326063 MOP326063:MOW326063 MYL326063:MYS326063 NIH326063:NIO326063 NSD326063:NSK326063 OBZ326063:OCG326063 OLV326063:OMC326063 OVR326063:OVY326063 PFN326063:PFU326063 PPJ326063:PPQ326063 PZF326063:PZM326063 QJB326063:QJI326063 QSX326063:QTE326063 RCT326063:RDA326063 RMP326063:RMW326063 RWL326063:RWS326063 SGH326063:SGO326063 SQD326063:SQK326063 SZZ326063:TAG326063 TJV326063:TKC326063 TTR326063:TTY326063 UDN326063:UDU326063 UNJ326063:UNQ326063 UXF326063:UXM326063 VHB326063:VHI326063 VQX326063:VRE326063 WAT326063:WBA326063 WKP326063:WKW326063 WUL326063:WUS326063 TJV50:TKC50 HZ391599:IG391599 RV391599:SC391599 ABR391599:ABY391599 ALN391599:ALU391599 AVJ391599:AVQ391599 BFF391599:BFM391599 BPB391599:BPI391599 BYX391599:BZE391599 CIT391599:CJA391599 CSP391599:CSW391599 DCL391599:DCS391599 DMH391599:DMO391599 DWD391599:DWK391599 EFZ391599:EGG391599 EPV391599:EQC391599 EZR391599:EZY391599 FJN391599:FJU391599 FTJ391599:FTQ391599 GDF391599:GDM391599 GNB391599:GNI391599 GWX391599:GXE391599 HGT391599:HHA391599 HQP391599:HQW391599 IAL391599:IAS391599 IKH391599:IKO391599 IUD391599:IUK391599 JDZ391599:JEG391599 JNV391599:JOC391599 JXR391599:JXY391599 KHN391599:KHU391599 KRJ391599:KRQ391599 LBF391599:LBM391599 LLB391599:LLI391599 LUX391599:LVE391599 MET391599:MFA391599 MOP391599:MOW391599 MYL391599:MYS391599 NIH391599:NIO391599 NSD391599:NSK391599 OBZ391599:OCG391599 OLV391599:OMC391599 OVR391599:OVY391599 PFN391599:PFU391599 PPJ391599:PPQ391599 PZF391599:PZM391599 QJB391599:QJI391599 QSX391599:QTE391599 RCT391599:RDA391599 RMP391599:RMW391599 RWL391599:RWS391599 SGH391599:SGO391599 SQD391599:SQK391599 SZZ391599:TAG391599 TJV391599:TKC391599 TTR391599:TTY391599 UDN391599:UDU391599 UNJ391599:UNQ391599 UXF391599:UXM391599 VHB391599:VHI391599 VQX391599:VRE391599 WAT391599:WBA391599 WKP391599:WKW391599 WUL391599:WUS391599 TTR50:TTY50 HZ457135:IG457135 RV457135:SC457135 ABR457135:ABY457135 ALN457135:ALU457135 AVJ457135:AVQ457135 BFF457135:BFM457135 BPB457135:BPI457135 BYX457135:BZE457135 CIT457135:CJA457135 CSP457135:CSW457135 DCL457135:DCS457135 DMH457135:DMO457135 DWD457135:DWK457135 EFZ457135:EGG457135 EPV457135:EQC457135 EZR457135:EZY457135 FJN457135:FJU457135 FTJ457135:FTQ457135 GDF457135:GDM457135 GNB457135:GNI457135 GWX457135:GXE457135 HGT457135:HHA457135 HQP457135:HQW457135 IAL457135:IAS457135 IKH457135:IKO457135 IUD457135:IUK457135 JDZ457135:JEG457135 JNV457135:JOC457135 JXR457135:JXY457135 KHN457135:KHU457135 KRJ457135:KRQ457135 LBF457135:LBM457135 LLB457135:LLI457135 LUX457135:LVE457135 MET457135:MFA457135 MOP457135:MOW457135 MYL457135:MYS457135 NIH457135:NIO457135 NSD457135:NSK457135 OBZ457135:OCG457135 OLV457135:OMC457135 OVR457135:OVY457135 PFN457135:PFU457135 PPJ457135:PPQ457135 PZF457135:PZM457135 QJB457135:QJI457135 QSX457135:QTE457135 RCT457135:RDA457135 RMP457135:RMW457135 RWL457135:RWS457135 SGH457135:SGO457135 SQD457135:SQK457135 SZZ457135:TAG457135 TJV457135:TKC457135 TTR457135:TTY457135 UDN457135:UDU457135 UNJ457135:UNQ457135 UXF457135:UXM457135 VHB457135:VHI457135 VQX457135:VRE457135 WAT457135:WBA457135 WKP457135:WKW457135 WUL457135:WUS457135 UDN50:UDU50 HZ522671:IG522671 RV522671:SC522671 ABR522671:ABY522671 ALN522671:ALU522671 AVJ522671:AVQ522671 BFF522671:BFM522671 BPB522671:BPI522671 BYX522671:BZE522671 CIT522671:CJA522671 CSP522671:CSW522671 DCL522671:DCS522671 DMH522671:DMO522671 DWD522671:DWK522671 EFZ522671:EGG522671 EPV522671:EQC522671 EZR522671:EZY522671 FJN522671:FJU522671 FTJ522671:FTQ522671 GDF522671:GDM522671 GNB522671:GNI522671 GWX522671:GXE522671 HGT522671:HHA522671 HQP522671:HQW522671 IAL522671:IAS522671 IKH522671:IKO522671 IUD522671:IUK522671 JDZ522671:JEG522671 JNV522671:JOC522671 JXR522671:JXY522671 KHN522671:KHU522671 KRJ522671:KRQ522671 LBF522671:LBM522671 LLB522671:LLI522671 LUX522671:LVE522671 MET522671:MFA522671 MOP522671:MOW522671 MYL522671:MYS522671 NIH522671:NIO522671 NSD522671:NSK522671 OBZ522671:OCG522671 OLV522671:OMC522671 OVR522671:OVY522671 PFN522671:PFU522671 PPJ522671:PPQ522671 PZF522671:PZM522671 QJB522671:QJI522671 QSX522671:QTE522671 RCT522671:RDA522671 RMP522671:RMW522671 RWL522671:RWS522671 SGH522671:SGO522671 SQD522671:SQK522671 SZZ522671:TAG522671 TJV522671:TKC522671 TTR522671:TTY522671 UDN522671:UDU522671 UNJ522671:UNQ522671 UXF522671:UXM522671 VHB522671:VHI522671 VQX522671:VRE522671 WAT522671:WBA522671 WKP522671:WKW522671 WUL522671:WUS522671 UNJ50:UNQ50 HZ588207:IG588207 RV588207:SC588207 ABR588207:ABY588207 ALN588207:ALU588207 AVJ588207:AVQ588207 BFF588207:BFM588207 BPB588207:BPI588207 BYX588207:BZE588207 CIT588207:CJA588207 CSP588207:CSW588207 DCL588207:DCS588207 DMH588207:DMO588207 DWD588207:DWK588207 EFZ588207:EGG588207 EPV588207:EQC588207 EZR588207:EZY588207 FJN588207:FJU588207 FTJ588207:FTQ588207 GDF588207:GDM588207 GNB588207:GNI588207 GWX588207:GXE588207 HGT588207:HHA588207 HQP588207:HQW588207 IAL588207:IAS588207 IKH588207:IKO588207 IUD588207:IUK588207 JDZ588207:JEG588207 JNV588207:JOC588207 JXR588207:JXY588207 KHN588207:KHU588207 KRJ588207:KRQ588207 LBF588207:LBM588207 LLB588207:LLI588207 LUX588207:LVE588207 MET588207:MFA588207 MOP588207:MOW588207 MYL588207:MYS588207 NIH588207:NIO588207 NSD588207:NSK588207 OBZ588207:OCG588207 OLV588207:OMC588207 OVR588207:OVY588207 PFN588207:PFU588207 PPJ588207:PPQ588207 PZF588207:PZM588207 QJB588207:QJI588207 QSX588207:QTE588207 RCT588207:RDA588207 RMP588207:RMW588207 RWL588207:RWS588207 SGH588207:SGO588207 SQD588207:SQK588207 SZZ588207:TAG588207 TJV588207:TKC588207 TTR588207:TTY588207 UDN588207:UDU588207 UNJ588207:UNQ588207 UXF588207:UXM588207 VHB588207:VHI588207 VQX588207:VRE588207 WAT588207:WBA588207 WKP588207:WKW588207 WUL588207:WUS588207 UXF50:UXM50 HZ653743:IG653743 RV653743:SC653743 ABR653743:ABY653743 ALN653743:ALU653743 AVJ653743:AVQ653743 BFF653743:BFM653743 BPB653743:BPI653743 BYX653743:BZE653743 CIT653743:CJA653743 CSP653743:CSW653743 DCL653743:DCS653743 DMH653743:DMO653743 DWD653743:DWK653743 EFZ653743:EGG653743 EPV653743:EQC653743 EZR653743:EZY653743 FJN653743:FJU653743 FTJ653743:FTQ653743 GDF653743:GDM653743 GNB653743:GNI653743 GWX653743:GXE653743 HGT653743:HHA653743 HQP653743:HQW653743 IAL653743:IAS653743 IKH653743:IKO653743 IUD653743:IUK653743 JDZ653743:JEG653743 JNV653743:JOC653743 JXR653743:JXY653743 KHN653743:KHU653743 KRJ653743:KRQ653743 LBF653743:LBM653743 LLB653743:LLI653743 LUX653743:LVE653743 MET653743:MFA653743 MOP653743:MOW653743 MYL653743:MYS653743 NIH653743:NIO653743 NSD653743:NSK653743 OBZ653743:OCG653743 OLV653743:OMC653743 OVR653743:OVY653743 PFN653743:PFU653743 PPJ653743:PPQ653743 PZF653743:PZM653743 QJB653743:QJI653743 QSX653743:QTE653743 RCT653743:RDA653743 RMP653743:RMW653743 RWL653743:RWS653743 SGH653743:SGO653743 SQD653743:SQK653743 SZZ653743:TAG653743 TJV653743:TKC653743 TTR653743:TTY653743 UDN653743:UDU653743 UNJ653743:UNQ653743 UXF653743:UXM653743 VHB653743:VHI653743 VQX653743:VRE653743 WAT653743:WBA653743 WKP653743:WKW653743 WUL653743:WUS653743 VHB50:VHI50 HZ719279:IG719279 RV719279:SC719279 ABR719279:ABY719279 ALN719279:ALU719279 AVJ719279:AVQ719279 BFF719279:BFM719279 BPB719279:BPI719279 BYX719279:BZE719279 CIT719279:CJA719279 CSP719279:CSW719279 DCL719279:DCS719279 DMH719279:DMO719279 DWD719279:DWK719279 EFZ719279:EGG719279 EPV719279:EQC719279 EZR719279:EZY719279 FJN719279:FJU719279 FTJ719279:FTQ719279 GDF719279:GDM719279 GNB719279:GNI719279 GWX719279:GXE719279 HGT719279:HHA719279 HQP719279:HQW719279 IAL719279:IAS719279 IKH719279:IKO719279 IUD719279:IUK719279 JDZ719279:JEG719279 JNV719279:JOC719279 JXR719279:JXY719279 KHN719279:KHU719279 KRJ719279:KRQ719279 LBF719279:LBM719279 LLB719279:LLI719279 LUX719279:LVE719279 MET719279:MFA719279 MOP719279:MOW719279 MYL719279:MYS719279 NIH719279:NIO719279 NSD719279:NSK719279 OBZ719279:OCG719279 OLV719279:OMC719279 OVR719279:OVY719279 PFN719279:PFU719279 PPJ719279:PPQ719279 PZF719279:PZM719279 QJB719279:QJI719279 QSX719279:QTE719279 RCT719279:RDA719279 RMP719279:RMW719279 RWL719279:RWS719279 SGH719279:SGO719279 SQD719279:SQK719279 SZZ719279:TAG719279 TJV719279:TKC719279 TTR719279:TTY719279 UDN719279:UDU719279 UNJ719279:UNQ719279 UXF719279:UXM719279 VHB719279:VHI719279 VQX719279:VRE719279 WAT719279:WBA719279 WKP719279:WKW719279 WUL719279:WUS719279 VQX50:VRE50 HZ784815:IG784815 RV784815:SC784815 ABR784815:ABY784815 ALN784815:ALU784815 AVJ784815:AVQ784815 BFF784815:BFM784815 BPB784815:BPI784815 BYX784815:BZE784815 CIT784815:CJA784815 CSP784815:CSW784815 DCL784815:DCS784815 DMH784815:DMO784815 DWD784815:DWK784815 EFZ784815:EGG784815 EPV784815:EQC784815 EZR784815:EZY784815 FJN784815:FJU784815 FTJ784815:FTQ784815 GDF784815:GDM784815 GNB784815:GNI784815 GWX784815:GXE784815 HGT784815:HHA784815 HQP784815:HQW784815 IAL784815:IAS784815 IKH784815:IKO784815 IUD784815:IUK784815 JDZ784815:JEG784815 JNV784815:JOC784815 JXR784815:JXY784815 KHN784815:KHU784815 KRJ784815:KRQ784815 LBF784815:LBM784815 LLB784815:LLI784815 LUX784815:LVE784815 MET784815:MFA784815 MOP784815:MOW784815 MYL784815:MYS784815 NIH784815:NIO784815 NSD784815:NSK784815 OBZ784815:OCG784815 OLV784815:OMC784815 OVR784815:OVY784815 PFN784815:PFU784815 PPJ784815:PPQ784815 PZF784815:PZM784815 QJB784815:QJI784815 QSX784815:QTE784815 RCT784815:RDA784815 RMP784815:RMW784815 RWL784815:RWS784815 SGH784815:SGO784815 SQD784815:SQK784815 SZZ784815:TAG784815 TJV784815:TKC784815 TTR784815:TTY784815 UDN784815:UDU784815 UNJ784815:UNQ784815 UXF784815:UXM784815 VHB784815:VHI784815 VQX784815:VRE784815 WAT784815:WBA784815 WKP784815:WKW784815 WUL784815:WUS784815 WAT50:WBA50 HZ850351:IG850351 RV850351:SC850351 ABR850351:ABY850351 ALN850351:ALU850351 AVJ850351:AVQ850351 BFF850351:BFM850351 BPB850351:BPI850351 BYX850351:BZE850351 CIT850351:CJA850351 CSP850351:CSW850351 DCL850351:DCS850351 DMH850351:DMO850351 DWD850351:DWK850351 EFZ850351:EGG850351 EPV850351:EQC850351 EZR850351:EZY850351 FJN850351:FJU850351 FTJ850351:FTQ850351 GDF850351:GDM850351 GNB850351:GNI850351 GWX850351:GXE850351 HGT850351:HHA850351 HQP850351:HQW850351 IAL850351:IAS850351 IKH850351:IKO850351 IUD850351:IUK850351 JDZ850351:JEG850351 JNV850351:JOC850351 JXR850351:JXY850351 KHN850351:KHU850351 KRJ850351:KRQ850351 LBF850351:LBM850351 LLB850351:LLI850351 LUX850351:LVE850351 MET850351:MFA850351 MOP850351:MOW850351 MYL850351:MYS850351 NIH850351:NIO850351 NSD850351:NSK850351 OBZ850351:OCG850351 OLV850351:OMC850351 OVR850351:OVY850351 PFN850351:PFU850351 PPJ850351:PPQ850351 PZF850351:PZM850351 QJB850351:QJI850351 QSX850351:QTE850351 RCT850351:RDA850351 RMP850351:RMW850351 RWL850351:RWS850351 SGH850351:SGO850351 SQD850351:SQK850351 SZZ850351:TAG850351 TJV850351:TKC850351 TTR850351:TTY850351 UDN850351:UDU850351 UNJ850351:UNQ850351 UXF850351:UXM850351 VHB850351:VHI850351 VQX850351:VRE850351 WAT850351:WBA850351 WKP850351:WKW850351 WUL850351:WUS850351 WKP50:WKW50 HZ915887:IG915887 RV915887:SC915887 ABR915887:ABY915887 ALN915887:ALU915887 AVJ915887:AVQ915887 BFF915887:BFM915887 BPB915887:BPI915887 BYX915887:BZE915887 CIT915887:CJA915887 CSP915887:CSW915887 DCL915887:DCS915887 DMH915887:DMO915887 DWD915887:DWK915887 EFZ915887:EGG915887 EPV915887:EQC915887 EZR915887:EZY915887 FJN915887:FJU915887 FTJ915887:FTQ915887 GDF915887:GDM915887 GNB915887:GNI915887 GWX915887:GXE915887 HGT915887:HHA915887 HQP915887:HQW915887 IAL915887:IAS915887 IKH915887:IKO915887 IUD915887:IUK915887 JDZ915887:JEG915887 JNV915887:JOC915887 JXR915887:JXY915887 KHN915887:KHU915887 KRJ915887:KRQ915887 LBF915887:LBM915887 LLB915887:LLI915887 LUX915887:LVE915887 MET915887:MFA915887 MOP915887:MOW915887 MYL915887:MYS915887 NIH915887:NIO915887 NSD915887:NSK915887 OBZ915887:OCG915887 OLV915887:OMC915887 OVR915887:OVY915887 PFN915887:PFU915887 PPJ915887:PPQ915887 PZF915887:PZM915887 QJB915887:QJI915887 QSX915887:QTE915887 RCT915887:RDA915887 RMP915887:RMW915887 RWL915887:RWS915887 SGH915887:SGO915887 SQD915887:SQK915887 SZZ915887:TAG915887 TJV915887:TKC915887 TTR915887:TTY915887 UDN915887:UDU915887 UNJ915887:UNQ915887 UXF915887:UXM915887 VHB915887:VHI915887 VQX915887:VRE915887 WAT915887:WBA915887 WKP915887:WKW915887 WUL915887:WUS915887 WUL50:WUS50 HZ981423:IG981423 RV981423:SC981423 ABR981423:ABY981423 ALN981423:ALU981423 AVJ981423:AVQ981423 BFF981423:BFM981423 BPB981423:BPI981423 BYX981423:BZE981423 CIT981423:CJA981423 CSP981423:CSW981423 DCL981423:DCS981423 DMH981423:DMO981423 DWD981423:DWK981423 EFZ981423:EGG981423 EPV981423:EQC981423 EZR981423:EZY981423 FJN981423:FJU981423 FTJ981423:FTQ981423 GDF981423:GDM981423 GNB981423:GNI981423 GWX981423:GXE981423 HGT981423:HHA981423 HQP981423:HQW981423 IAL981423:IAS981423 IKH981423:IKO981423 IUD981423:IUK981423 JDZ981423:JEG981423 JNV981423:JOC981423 JXR981423:JXY981423 KHN981423:KHU981423 KRJ981423:KRQ981423 LBF981423:LBM981423 LLB981423:LLI981423 LUX981423:LVE981423 MET981423:MFA981423 MOP981423:MOW981423 MYL981423:MYS981423 NIH981423:NIO981423 NSD981423:NSK981423 OBZ981423:OCG981423 OLV981423:OMC981423 OVR981423:OVY981423 PFN981423:PFU981423 PPJ981423:PPQ981423 PZF981423:PZM981423 QJB981423:QJI981423 QSX981423:QTE981423 RCT981423:RDA981423 RMP981423:RMW981423 RWL981423:RWS981423 SGH981423:SGO981423 SQD981423:SQK981423 SZZ981423:TAG981423 TJV981423:TKC981423 TTR981423:TTY981423 UDN981423:UDU981423 UNJ981423:UNQ981423 UXF981423:UXM981423 VHB981423:VHI981423 VQX981423:VRE981423 WAT981423:WBA981423 WKP981423:WKW981423 HZ72:IG72 RV72:SC72 ABR72:ABY72 ALN72:ALU72 AVJ72:AVQ72 BFF72:BFM72 BPB72:BPI72 BYX72:BZE72 CIT72:CJA72 CSP72:CSW72 DCL72:DCS72 DMH72:DMO72 DWD72:DWK72 EFZ72:EGG72 EPV72:EQC72 EZR72:EZY72 FJN72:FJU72 FTJ72:FTQ72 GDF72:GDM72 GNB72:GNI72 GWX72:GXE72 HGT72:HHA72 HQP72:HQW72 IAL72:IAS72 IKH72:IKO72 IUD72:IUK72 JDZ72:JEG72 JNV72:JOC72 JXR72:JXY72 KHN72:KHU72 KRJ72:KRQ72 LBF72:LBM72 LLB72:LLI72 LUX72:LVE72 MET72:MFA72 MOP72:MOW72 MYL72:MYS72 NIH72:NIO72 NSD72:NSK72 OBZ72:OCG72 OLV72:OMC72 OVR72:OVY72 PFN72:PFU72 PPJ72:PPQ72 PZF72:PZM72 QJB72:QJI72 QSX72:QTE72 RCT72:RDA72 RMP72:RMW72 RWL72:RWS72 SGH72:SGO72 SQD72:SQK72 SZZ72:TAG72 TJV72:TKC72 TTR72:TTY72 UDN72:UDU72 UNJ72:UNQ72 UXF72:UXM72 VHB72:VHI72 VQX72:VRE72 WAT72:WBA72 WKP72:WKW72 WUL72:WUS72 HZ50:IG50 RV50:SC50 ABR50:ABY50 ALN50:ALU50 AVJ50:AVQ50 BFF50:BFM50 BPB50:BPI50 BYX50:BZE50 CIT50:CJA50 CSP50:CSW50 DCL50:DCS50 DMH50:DMO50 DWD50:DWK50 EFZ50:EGG50 EPV50:EQC50 EZR50:EZY50 FJN50:FJU50 FTJ50:FTQ50 GDF50:GDM50 GNB50:GNI50 GWX50:GXE50 HGT50:HHA50 HQP50:HQW50 IAL50:IAS50 IKH50:IKO50 IUD50:IUK50 JDZ50:JEG50 JNV50:JOC50 JXR50:JXY50 KHN50:KHU50 KRJ50:KRQ50 LBF50:LBM50 LLB50:LLI50 LUX50:LVE50 MET50:MFA50 MOP50:MOW50 MYL50:MYS50 NIH50:NIO50 NSD50:NSK50 OBZ50:OCG50 OLV50:OMC50 OVR50:OVY50 PFN50:PFU50 PPJ50:PPQ50 PZF50:PZM50 QJB50:QJI50 QSX50:QTE50 RCT50:RDA50 H129455 H194991 H260527 H326063 H391599 H457135 H522671 H588207 H653743 H719279 H784815 H850351 H915887 H981423 H63919">
      <formula1>"積上げ,積上げ・率処理併用"</formula1>
    </dataValidation>
    <dataValidation type="list" allowBlank="1" showInputMessage="1" showErrorMessage="1" sqref="WUL981424:WUS981424 RV22:SC22 ABR22:ABY22 ALN22:ALU22 AVJ22:AVQ22 BFF22:BFM22 BPB22:BPI22 BYX22:BZE22 CIT22:CJA22 CSP22:CSW22 DCL22:DCS22 DMH22:DMO22 DWD22:DWK22 EFZ22:EGG22 EPV22:EQC22 EZR22:EZY22 FJN22:FJU22 FTJ22:FTQ22 GDF22:GDM22 GNB22:GNI22 GWX22:GXE22 HGT22:HHA22 HQP22:HQW22 IAL22:IAS22 IKH22:IKO22 IUD22:IUK22 JDZ22:JEG22 JNV22:JOC22 JXR22:JXY22 KHN22:KHU22 KRJ22:KRQ22 LBF22:LBM22 LLB22:LLI22 LUX22:LVE22 MET22:MFA22 MOP22:MOW22 MYL22:MYS22 NIH22:NIO22 NSD22:NSK22 OBZ22:OCG22 OLV22:OMC22 OVR22:OVY22 PFN22:PFU22 PPJ22:PPQ22 PZF22:PZM22 QJB22:QJI22 QSX22:QTE22 RCT22:RDA22 RMP22:RMW22 RWL22:RWS22 SGH22:SGO22 SQD22:SQK22 SZZ22:TAG22 TJV22:TKC22 TTR22:TTY22 UDN22:UDU22 UNJ22:UNQ22 UXF22:UXM22 VHB22:VHI22 VQX22:VRE22 WAT22:WBA22 WKP22:WKW22 WUL22:WUS22 WKP981424:WKW981424 RWL51:RWS51 HZ63920:IG63920 RV63920:SC63920 ABR63920:ABY63920 ALN63920:ALU63920 AVJ63920:AVQ63920 BFF63920:BFM63920 BPB63920:BPI63920 BYX63920:BZE63920 CIT63920:CJA63920 CSP63920:CSW63920 DCL63920:DCS63920 DMH63920:DMO63920 DWD63920:DWK63920 EFZ63920:EGG63920 EPV63920:EQC63920 EZR63920:EZY63920 FJN63920:FJU63920 FTJ63920:FTQ63920 GDF63920:GDM63920 GNB63920:GNI63920 GWX63920:GXE63920 HGT63920:HHA63920 HQP63920:HQW63920 IAL63920:IAS63920 IKH63920:IKO63920 IUD63920:IUK63920 JDZ63920:JEG63920 JNV63920:JOC63920 JXR63920:JXY63920 KHN63920:KHU63920 KRJ63920:KRQ63920 LBF63920:LBM63920 LLB63920:LLI63920 LUX63920:LVE63920 MET63920:MFA63920 MOP63920:MOW63920 MYL63920:MYS63920 NIH63920:NIO63920 NSD63920:NSK63920 OBZ63920:OCG63920 OLV63920:OMC63920 OVR63920:OVY63920 PFN63920:PFU63920 PPJ63920:PPQ63920 PZF63920:PZM63920 QJB63920:QJI63920 QSX63920:QTE63920 RCT63920:RDA63920 RMP63920:RMW63920 RWL63920:RWS63920 SGH63920:SGO63920 SQD63920:SQK63920 SZZ63920:TAG63920 TJV63920:TKC63920 TTR63920:TTY63920 UDN63920:UDU63920 UNJ63920:UNQ63920 UXF63920:UXM63920 VHB63920:VHI63920 VQX63920:VRE63920 WAT63920:WBA63920 WKP63920:WKW63920 WUL63920:WUS63920 SGH51:SGO51 HZ129456:IG129456 RV129456:SC129456 ABR129456:ABY129456 ALN129456:ALU129456 AVJ129456:AVQ129456 BFF129456:BFM129456 BPB129456:BPI129456 BYX129456:BZE129456 CIT129456:CJA129456 CSP129456:CSW129456 DCL129456:DCS129456 DMH129456:DMO129456 DWD129456:DWK129456 EFZ129456:EGG129456 EPV129456:EQC129456 EZR129456:EZY129456 FJN129456:FJU129456 FTJ129456:FTQ129456 GDF129456:GDM129456 GNB129456:GNI129456 GWX129456:GXE129456 HGT129456:HHA129456 HQP129456:HQW129456 IAL129456:IAS129456 IKH129456:IKO129456 IUD129456:IUK129456 JDZ129456:JEG129456 JNV129456:JOC129456 JXR129456:JXY129456 KHN129456:KHU129456 KRJ129456:KRQ129456 LBF129456:LBM129456 LLB129456:LLI129456 LUX129456:LVE129456 MET129456:MFA129456 MOP129456:MOW129456 MYL129456:MYS129456 NIH129456:NIO129456 NSD129456:NSK129456 OBZ129456:OCG129456 OLV129456:OMC129456 OVR129456:OVY129456 PFN129456:PFU129456 PPJ129456:PPQ129456 PZF129456:PZM129456 QJB129456:QJI129456 QSX129456:QTE129456 RCT129456:RDA129456 RMP129456:RMW129456 RWL129456:RWS129456 SGH129456:SGO129456 SQD129456:SQK129456 SZZ129456:TAG129456 TJV129456:TKC129456 TTR129456:TTY129456 UDN129456:UDU129456 UNJ129456:UNQ129456 UXF129456:UXM129456 VHB129456:VHI129456 VQX129456:VRE129456 WAT129456:WBA129456 WKP129456:WKW129456 WUL129456:WUS129456 SQD51:SQK51 HZ194992:IG194992 RV194992:SC194992 ABR194992:ABY194992 ALN194992:ALU194992 AVJ194992:AVQ194992 BFF194992:BFM194992 BPB194992:BPI194992 BYX194992:BZE194992 CIT194992:CJA194992 CSP194992:CSW194992 DCL194992:DCS194992 DMH194992:DMO194992 DWD194992:DWK194992 EFZ194992:EGG194992 EPV194992:EQC194992 EZR194992:EZY194992 FJN194992:FJU194992 FTJ194992:FTQ194992 GDF194992:GDM194992 GNB194992:GNI194992 GWX194992:GXE194992 HGT194992:HHA194992 HQP194992:HQW194992 IAL194992:IAS194992 IKH194992:IKO194992 IUD194992:IUK194992 JDZ194992:JEG194992 JNV194992:JOC194992 JXR194992:JXY194992 KHN194992:KHU194992 KRJ194992:KRQ194992 LBF194992:LBM194992 LLB194992:LLI194992 LUX194992:LVE194992 MET194992:MFA194992 MOP194992:MOW194992 MYL194992:MYS194992 NIH194992:NIO194992 NSD194992:NSK194992 OBZ194992:OCG194992 OLV194992:OMC194992 OVR194992:OVY194992 PFN194992:PFU194992 PPJ194992:PPQ194992 PZF194992:PZM194992 QJB194992:QJI194992 QSX194992:QTE194992 RCT194992:RDA194992 RMP194992:RMW194992 RWL194992:RWS194992 SGH194992:SGO194992 SQD194992:SQK194992 SZZ194992:TAG194992 TJV194992:TKC194992 TTR194992:TTY194992 UDN194992:UDU194992 UNJ194992:UNQ194992 UXF194992:UXM194992 VHB194992:VHI194992 VQX194992:VRE194992 WAT194992:WBA194992 WKP194992:WKW194992 WUL194992:WUS194992 SZZ51:TAG51 HZ260528:IG260528 RV260528:SC260528 ABR260528:ABY260528 ALN260528:ALU260528 AVJ260528:AVQ260528 BFF260528:BFM260528 BPB260528:BPI260528 BYX260528:BZE260528 CIT260528:CJA260528 CSP260528:CSW260528 DCL260528:DCS260528 DMH260528:DMO260528 DWD260528:DWK260528 EFZ260528:EGG260528 EPV260528:EQC260528 EZR260528:EZY260528 FJN260528:FJU260528 FTJ260528:FTQ260528 GDF260528:GDM260528 GNB260528:GNI260528 GWX260528:GXE260528 HGT260528:HHA260528 HQP260528:HQW260528 IAL260528:IAS260528 IKH260528:IKO260528 IUD260528:IUK260528 JDZ260528:JEG260528 JNV260528:JOC260528 JXR260528:JXY260528 KHN260528:KHU260528 KRJ260528:KRQ260528 LBF260528:LBM260528 LLB260528:LLI260528 LUX260528:LVE260528 MET260528:MFA260528 MOP260528:MOW260528 MYL260528:MYS260528 NIH260528:NIO260528 NSD260528:NSK260528 OBZ260528:OCG260528 OLV260528:OMC260528 OVR260528:OVY260528 PFN260528:PFU260528 PPJ260528:PPQ260528 PZF260528:PZM260528 QJB260528:QJI260528 QSX260528:QTE260528 RCT260528:RDA260528 RMP260528:RMW260528 RWL260528:RWS260528 SGH260528:SGO260528 SQD260528:SQK260528 SZZ260528:TAG260528 TJV260528:TKC260528 TTR260528:TTY260528 UDN260528:UDU260528 UNJ260528:UNQ260528 UXF260528:UXM260528 VHB260528:VHI260528 VQX260528:VRE260528 WAT260528:WBA260528 WKP260528:WKW260528 WUL260528:WUS260528 TJV51:TKC51 HZ326064:IG326064 RV326064:SC326064 ABR326064:ABY326064 ALN326064:ALU326064 AVJ326064:AVQ326064 BFF326064:BFM326064 BPB326064:BPI326064 BYX326064:BZE326064 CIT326064:CJA326064 CSP326064:CSW326064 DCL326064:DCS326064 DMH326064:DMO326064 DWD326064:DWK326064 EFZ326064:EGG326064 EPV326064:EQC326064 EZR326064:EZY326064 FJN326064:FJU326064 FTJ326064:FTQ326064 GDF326064:GDM326064 GNB326064:GNI326064 GWX326064:GXE326064 HGT326064:HHA326064 HQP326064:HQW326064 IAL326064:IAS326064 IKH326064:IKO326064 IUD326064:IUK326064 JDZ326064:JEG326064 JNV326064:JOC326064 JXR326064:JXY326064 KHN326064:KHU326064 KRJ326064:KRQ326064 LBF326064:LBM326064 LLB326064:LLI326064 LUX326064:LVE326064 MET326064:MFA326064 MOP326064:MOW326064 MYL326064:MYS326064 NIH326064:NIO326064 NSD326064:NSK326064 OBZ326064:OCG326064 OLV326064:OMC326064 OVR326064:OVY326064 PFN326064:PFU326064 PPJ326064:PPQ326064 PZF326064:PZM326064 QJB326064:QJI326064 QSX326064:QTE326064 RCT326064:RDA326064 RMP326064:RMW326064 RWL326064:RWS326064 SGH326064:SGO326064 SQD326064:SQK326064 SZZ326064:TAG326064 TJV326064:TKC326064 TTR326064:TTY326064 UDN326064:UDU326064 UNJ326064:UNQ326064 UXF326064:UXM326064 VHB326064:VHI326064 VQX326064:VRE326064 WAT326064:WBA326064 WKP326064:WKW326064 WUL326064:WUS326064 TTR51:TTY51 HZ391600:IG391600 RV391600:SC391600 ABR391600:ABY391600 ALN391600:ALU391600 AVJ391600:AVQ391600 BFF391600:BFM391600 BPB391600:BPI391600 BYX391600:BZE391600 CIT391600:CJA391600 CSP391600:CSW391600 DCL391600:DCS391600 DMH391600:DMO391600 DWD391600:DWK391600 EFZ391600:EGG391600 EPV391600:EQC391600 EZR391600:EZY391600 FJN391600:FJU391600 FTJ391600:FTQ391600 GDF391600:GDM391600 GNB391600:GNI391600 GWX391600:GXE391600 HGT391600:HHA391600 HQP391600:HQW391600 IAL391600:IAS391600 IKH391600:IKO391600 IUD391600:IUK391600 JDZ391600:JEG391600 JNV391600:JOC391600 JXR391600:JXY391600 KHN391600:KHU391600 KRJ391600:KRQ391600 LBF391600:LBM391600 LLB391600:LLI391600 LUX391600:LVE391600 MET391600:MFA391600 MOP391600:MOW391600 MYL391600:MYS391600 NIH391600:NIO391600 NSD391600:NSK391600 OBZ391600:OCG391600 OLV391600:OMC391600 OVR391600:OVY391600 PFN391600:PFU391600 PPJ391600:PPQ391600 PZF391600:PZM391600 QJB391600:QJI391600 QSX391600:QTE391600 RCT391600:RDA391600 RMP391600:RMW391600 RWL391600:RWS391600 SGH391600:SGO391600 SQD391600:SQK391600 SZZ391600:TAG391600 TJV391600:TKC391600 TTR391600:TTY391600 UDN391600:UDU391600 UNJ391600:UNQ391600 UXF391600:UXM391600 VHB391600:VHI391600 VQX391600:VRE391600 WAT391600:WBA391600 WKP391600:WKW391600 WUL391600:WUS391600 UDN51:UDU51 HZ457136:IG457136 RV457136:SC457136 ABR457136:ABY457136 ALN457136:ALU457136 AVJ457136:AVQ457136 BFF457136:BFM457136 BPB457136:BPI457136 BYX457136:BZE457136 CIT457136:CJA457136 CSP457136:CSW457136 DCL457136:DCS457136 DMH457136:DMO457136 DWD457136:DWK457136 EFZ457136:EGG457136 EPV457136:EQC457136 EZR457136:EZY457136 FJN457136:FJU457136 FTJ457136:FTQ457136 GDF457136:GDM457136 GNB457136:GNI457136 GWX457136:GXE457136 HGT457136:HHA457136 HQP457136:HQW457136 IAL457136:IAS457136 IKH457136:IKO457136 IUD457136:IUK457136 JDZ457136:JEG457136 JNV457136:JOC457136 JXR457136:JXY457136 KHN457136:KHU457136 KRJ457136:KRQ457136 LBF457136:LBM457136 LLB457136:LLI457136 LUX457136:LVE457136 MET457136:MFA457136 MOP457136:MOW457136 MYL457136:MYS457136 NIH457136:NIO457136 NSD457136:NSK457136 OBZ457136:OCG457136 OLV457136:OMC457136 OVR457136:OVY457136 PFN457136:PFU457136 PPJ457136:PPQ457136 PZF457136:PZM457136 QJB457136:QJI457136 QSX457136:QTE457136 RCT457136:RDA457136 RMP457136:RMW457136 RWL457136:RWS457136 SGH457136:SGO457136 SQD457136:SQK457136 SZZ457136:TAG457136 TJV457136:TKC457136 TTR457136:TTY457136 UDN457136:UDU457136 UNJ457136:UNQ457136 UXF457136:UXM457136 VHB457136:VHI457136 VQX457136:VRE457136 WAT457136:WBA457136 WKP457136:WKW457136 WUL457136:WUS457136 UNJ51:UNQ51 HZ522672:IG522672 RV522672:SC522672 ABR522672:ABY522672 ALN522672:ALU522672 AVJ522672:AVQ522672 BFF522672:BFM522672 BPB522672:BPI522672 BYX522672:BZE522672 CIT522672:CJA522672 CSP522672:CSW522672 DCL522672:DCS522672 DMH522672:DMO522672 DWD522672:DWK522672 EFZ522672:EGG522672 EPV522672:EQC522672 EZR522672:EZY522672 FJN522672:FJU522672 FTJ522672:FTQ522672 GDF522672:GDM522672 GNB522672:GNI522672 GWX522672:GXE522672 HGT522672:HHA522672 HQP522672:HQW522672 IAL522672:IAS522672 IKH522672:IKO522672 IUD522672:IUK522672 JDZ522672:JEG522672 JNV522672:JOC522672 JXR522672:JXY522672 KHN522672:KHU522672 KRJ522672:KRQ522672 LBF522672:LBM522672 LLB522672:LLI522672 LUX522672:LVE522672 MET522672:MFA522672 MOP522672:MOW522672 MYL522672:MYS522672 NIH522672:NIO522672 NSD522672:NSK522672 OBZ522672:OCG522672 OLV522672:OMC522672 OVR522672:OVY522672 PFN522672:PFU522672 PPJ522672:PPQ522672 PZF522672:PZM522672 QJB522672:QJI522672 QSX522672:QTE522672 RCT522672:RDA522672 RMP522672:RMW522672 RWL522672:RWS522672 SGH522672:SGO522672 SQD522672:SQK522672 SZZ522672:TAG522672 TJV522672:TKC522672 TTR522672:TTY522672 UDN522672:UDU522672 UNJ522672:UNQ522672 UXF522672:UXM522672 VHB522672:VHI522672 VQX522672:VRE522672 WAT522672:WBA522672 WKP522672:WKW522672 WUL522672:WUS522672 UXF51:UXM51 HZ588208:IG588208 RV588208:SC588208 ABR588208:ABY588208 ALN588208:ALU588208 AVJ588208:AVQ588208 BFF588208:BFM588208 BPB588208:BPI588208 BYX588208:BZE588208 CIT588208:CJA588208 CSP588208:CSW588208 DCL588208:DCS588208 DMH588208:DMO588208 DWD588208:DWK588208 EFZ588208:EGG588208 EPV588208:EQC588208 EZR588208:EZY588208 FJN588208:FJU588208 FTJ588208:FTQ588208 GDF588208:GDM588208 GNB588208:GNI588208 GWX588208:GXE588208 HGT588208:HHA588208 HQP588208:HQW588208 IAL588208:IAS588208 IKH588208:IKO588208 IUD588208:IUK588208 JDZ588208:JEG588208 JNV588208:JOC588208 JXR588208:JXY588208 KHN588208:KHU588208 KRJ588208:KRQ588208 LBF588208:LBM588208 LLB588208:LLI588208 LUX588208:LVE588208 MET588208:MFA588208 MOP588208:MOW588208 MYL588208:MYS588208 NIH588208:NIO588208 NSD588208:NSK588208 OBZ588208:OCG588208 OLV588208:OMC588208 OVR588208:OVY588208 PFN588208:PFU588208 PPJ588208:PPQ588208 PZF588208:PZM588208 QJB588208:QJI588208 QSX588208:QTE588208 RCT588208:RDA588208 RMP588208:RMW588208 RWL588208:RWS588208 SGH588208:SGO588208 SQD588208:SQK588208 SZZ588208:TAG588208 TJV588208:TKC588208 TTR588208:TTY588208 UDN588208:UDU588208 UNJ588208:UNQ588208 UXF588208:UXM588208 VHB588208:VHI588208 VQX588208:VRE588208 WAT588208:WBA588208 WKP588208:WKW588208 WUL588208:WUS588208 VHB51:VHI51 HZ653744:IG653744 RV653744:SC653744 ABR653744:ABY653744 ALN653744:ALU653744 AVJ653744:AVQ653744 BFF653744:BFM653744 BPB653744:BPI653744 BYX653744:BZE653744 CIT653744:CJA653744 CSP653744:CSW653744 DCL653744:DCS653744 DMH653744:DMO653744 DWD653744:DWK653744 EFZ653744:EGG653744 EPV653744:EQC653744 EZR653744:EZY653744 FJN653744:FJU653744 FTJ653744:FTQ653744 GDF653744:GDM653744 GNB653744:GNI653744 GWX653744:GXE653744 HGT653744:HHA653744 HQP653744:HQW653744 IAL653744:IAS653744 IKH653744:IKO653744 IUD653744:IUK653744 JDZ653744:JEG653744 JNV653744:JOC653744 JXR653744:JXY653744 KHN653744:KHU653744 KRJ653744:KRQ653744 LBF653744:LBM653744 LLB653744:LLI653744 LUX653744:LVE653744 MET653744:MFA653744 MOP653744:MOW653744 MYL653744:MYS653744 NIH653744:NIO653744 NSD653744:NSK653744 OBZ653744:OCG653744 OLV653744:OMC653744 OVR653744:OVY653744 PFN653744:PFU653744 PPJ653744:PPQ653744 PZF653744:PZM653744 QJB653744:QJI653744 QSX653744:QTE653744 RCT653744:RDA653744 RMP653744:RMW653744 RWL653744:RWS653744 SGH653744:SGO653744 SQD653744:SQK653744 SZZ653744:TAG653744 TJV653744:TKC653744 TTR653744:TTY653744 UDN653744:UDU653744 UNJ653744:UNQ653744 UXF653744:UXM653744 VHB653744:VHI653744 VQX653744:VRE653744 WAT653744:WBA653744 WKP653744:WKW653744 WUL653744:WUS653744 VQX51:VRE51 HZ719280:IG719280 RV719280:SC719280 ABR719280:ABY719280 ALN719280:ALU719280 AVJ719280:AVQ719280 BFF719280:BFM719280 BPB719280:BPI719280 BYX719280:BZE719280 CIT719280:CJA719280 CSP719280:CSW719280 DCL719280:DCS719280 DMH719280:DMO719280 DWD719280:DWK719280 EFZ719280:EGG719280 EPV719280:EQC719280 EZR719280:EZY719280 FJN719280:FJU719280 FTJ719280:FTQ719280 GDF719280:GDM719280 GNB719280:GNI719280 GWX719280:GXE719280 HGT719280:HHA719280 HQP719280:HQW719280 IAL719280:IAS719280 IKH719280:IKO719280 IUD719280:IUK719280 JDZ719280:JEG719280 JNV719280:JOC719280 JXR719280:JXY719280 KHN719280:KHU719280 KRJ719280:KRQ719280 LBF719280:LBM719280 LLB719280:LLI719280 LUX719280:LVE719280 MET719280:MFA719280 MOP719280:MOW719280 MYL719280:MYS719280 NIH719280:NIO719280 NSD719280:NSK719280 OBZ719280:OCG719280 OLV719280:OMC719280 OVR719280:OVY719280 PFN719280:PFU719280 PPJ719280:PPQ719280 PZF719280:PZM719280 QJB719280:QJI719280 QSX719280:QTE719280 RCT719280:RDA719280 RMP719280:RMW719280 RWL719280:RWS719280 SGH719280:SGO719280 SQD719280:SQK719280 SZZ719280:TAG719280 TJV719280:TKC719280 TTR719280:TTY719280 UDN719280:UDU719280 UNJ719280:UNQ719280 UXF719280:UXM719280 VHB719280:VHI719280 VQX719280:VRE719280 WAT719280:WBA719280 WKP719280:WKW719280 WUL719280:WUS719280 WAT51:WBA51 HZ784816:IG784816 RV784816:SC784816 ABR784816:ABY784816 ALN784816:ALU784816 AVJ784816:AVQ784816 BFF784816:BFM784816 BPB784816:BPI784816 BYX784816:BZE784816 CIT784816:CJA784816 CSP784816:CSW784816 DCL784816:DCS784816 DMH784816:DMO784816 DWD784816:DWK784816 EFZ784816:EGG784816 EPV784816:EQC784816 EZR784816:EZY784816 FJN784816:FJU784816 FTJ784816:FTQ784816 GDF784816:GDM784816 GNB784816:GNI784816 GWX784816:GXE784816 HGT784816:HHA784816 HQP784816:HQW784816 IAL784816:IAS784816 IKH784816:IKO784816 IUD784816:IUK784816 JDZ784816:JEG784816 JNV784816:JOC784816 JXR784816:JXY784816 KHN784816:KHU784816 KRJ784816:KRQ784816 LBF784816:LBM784816 LLB784816:LLI784816 LUX784816:LVE784816 MET784816:MFA784816 MOP784816:MOW784816 MYL784816:MYS784816 NIH784816:NIO784816 NSD784816:NSK784816 OBZ784816:OCG784816 OLV784816:OMC784816 OVR784816:OVY784816 PFN784816:PFU784816 PPJ784816:PPQ784816 PZF784816:PZM784816 QJB784816:QJI784816 QSX784816:QTE784816 RCT784816:RDA784816 RMP784816:RMW784816 RWL784816:RWS784816 SGH784816:SGO784816 SQD784816:SQK784816 SZZ784816:TAG784816 TJV784816:TKC784816 TTR784816:TTY784816 UDN784816:UDU784816 UNJ784816:UNQ784816 UXF784816:UXM784816 VHB784816:VHI784816 VQX784816:VRE784816 WAT784816:WBA784816 WKP784816:WKW784816 WUL784816:WUS784816 WKP51:WKW51 HZ850352:IG850352 RV850352:SC850352 ABR850352:ABY850352 ALN850352:ALU850352 AVJ850352:AVQ850352 BFF850352:BFM850352 BPB850352:BPI850352 BYX850352:BZE850352 CIT850352:CJA850352 CSP850352:CSW850352 DCL850352:DCS850352 DMH850352:DMO850352 DWD850352:DWK850352 EFZ850352:EGG850352 EPV850352:EQC850352 EZR850352:EZY850352 FJN850352:FJU850352 FTJ850352:FTQ850352 GDF850352:GDM850352 GNB850352:GNI850352 GWX850352:GXE850352 HGT850352:HHA850352 HQP850352:HQW850352 IAL850352:IAS850352 IKH850352:IKO850352 IUD850352:IUK850352 JDZ850352:JEG850352 JNV850352:JOC850352 JXR850352:JXY850352 KHN850352:KHU850352 KRJ850352:KRQ850352 LBF850352:LBM850352 LLB850352:LLI850352 LUX850352:LVE850352 MET850352:MFA850352 MOP850352:MOW850352 MYL850352:MYS850352 NIH850352:NIO850352 NSD850352:NSK850352 OBZ850352:OCG850352 OLV850352:OMC850352 OVR850352:OVY850352 PFN850352:PFU850352 PPJ850352:PPQ850352 PZF850352:PZM850352 QJB850352:QJI850352 QSX850352:QTE850352 RCT850352:RDA850352 RMP850352:RMW850352 RWL850352:RWS850352 SGH850352:SGO850352 SQD850352:SQK850352 SZZ850352:TAG850352 TJV850352:TKC850352 TTR850352:TTY850352 UDN850352:UDU850352 UNJ850352:UNQ850352 UXF850352:UXM850352 VHB850352:VHI850352 VQX850352:VRE850352 WAT850352:WBA850352 WKP850352:WKW850352 WUL850352:WUS850352 WUL51:WUS51 HZ915888:IG915888 RV915888:SC915888 ABR915888:ABY915888 ALN915888:ALU915888 AVJ915888:AVQ915888 BFF915888:BFM915888 BPB915888:BPI915888 BYX915888:BZE915888 CIT915888:CJA915888 CSP915888:CSW915888 DCL915888:DCS915888 DMH915888:DMO915888 DWD915888:DWK915888 EFZ915888:EGG915888 EPV915888:EQC915888 EZR915888:EZY915888 FJN915888:FJU915888 FTJ915888:FTQ915888 GDF915888:GDM915888 GNB915888:GNI915888 GWX915888:GXE915888 HGT915888:HHA915888 HQP915888:HQW915888 IAL915888:IAS915888 IKH915888:IKO915888 IUD915888:IUK915888 JDZ915888:JEG915888 JNV915888:JOC915888 JXR915888:JXY915888 KHN915888:KHU915888 KRJ915888:KRQ915888 LBF915888:LBM915888 LLB915888:LLI915888 LUX915888:LVE915888 MET915888:MFA915888 MOP915888:MOW915888 MYL915888:MYS915888 NIH915888:NIO915888 NSD915888:NSK915888 OBZ915888:OCG915888 OLV915888:OMC915888 OVR915888:OVY915888 PFN915888:PFU915888 PPJ915888:PPQ915888 PZF915888:PZM915888 QJB915888:QJI915888 QSX915888:QTE915888 RCT915888:RDA915888 RMP915888:RMW915888 RWL915888:RWS915888 SGH915888:SGO915888 SQD915888:SQK915888 SZZ915888:TAG915888 TJV915888:TKC915888 TTR915888:TTY915888 UDN915888:UDU915888 UNJ915888:UNQ915888 UXF915888:UXM915888 VHB915888:VHI915888 VQX915888:VRE915888 WAT915888:WBA915888 WKP915888:WKW915888 WUL915888:WUS915888 HZ51:IG51 HZ981424:IG981424 RV981424:SC981424 ABR981424:ABY981424 ALN981424:ALU981424 AVJ981424:AVQ981424 BFF981424:BFM981424 BPB981424:BPI981424 BYX981424:BZE981424 CIT981424:CJA981424 CSP981424:CSW981424 DCL981424:DCS981424 DMH981424:DMO981424 DWD981424:DWK981424 EFZ981424:EGG981424 EPV981424:EQC981424 EZR981424:EZY981424 FJN981424:FJU981424 FTJ981424:FTQ981424 GDF981424:GDM981424 GNB981424:GNI981424 GWX981424:GXE981424 HGT981424:HHA981424 HQP981424:HQW981424 IAL981424:IAS981424 IKH981424:IKO981424 IUD981424:IUK981424 JDZ981424:JEG981424 JNV981424:JOC981424 JXR981424:JXY981424 KHN981424:KHU981424 KRJ981424:KRQ981424 LBF981424:LBM981424 LLB981424:LLI981424 LUX981424:LVE981424 MET981424:MFA981424 MOP981424:MOW981424 MYL981424:MYS981424 NIH981424:NIO981424 NSD981424:NSK981424 OBZ981424:OCG981424 OLV981424:OMC981424 OVR981424:OVY981424 PFN981424:PFU981424 PPJ981424:PPQ981424 PZF981424:PZM981424 QJB981424:QJI981424 QSX981424:QTE981424 RCT981424:RDA981424 RMP981424:RMW981424 RWL981424:RWS981424 SGH981424:SGO981424 SQD981424:SQK981424 SZZ981424:TAG981424 TJV981424:TKC981424 TTR981424:TTY981424 UDN981424:UDU981424 UNJ981424:UNQ981424 UXF981424:UXM981424 VHB981424:VHI981424 VQX981424:VRE981424 WAT981424:WBA981424 HZ22:IG22 RV73:SC73 ABR73:ABY73 ALN73:ALU73 AVJ73:AVQ73 BFF73:BFM73 BPB73:BPI73 BYX73:BZE73 CIT73:CJA73 CSP73:CSW73 DCL73:DCS73 DMH73:DMO73 DWD73:DWK73 EFZ73:EGG73 EPV73:EQC73 EZR73:EZY73 FJN73:FJU73 FTJ73:FTQ73 GDF73:GDM73 GNB73:GNI73 GWX73:GXE73 HGT73:HHA73 HQP73:HQW73 IAL73:IAS73 IKH73:IKO73 IUD73:IUK73 JDZ73:JEG73 JNV73:JOC73 JXR73:JXY73 KHN73:KHU73 KRJ73:KRQ73 LBF73:LBM73 LLB73:LLI73 LUX73:LVE73 MET73:MFA73 MOP73:MOW73 MYL73:MYS73 NIH73:NIO73 NSD73:NSK73 OBZ73:OCG73 OLV73:OMC73 OVR73:OVY73 PFN73:PFU73 PPJ73:PPQ73 PZF73:PZM73 QJB73:QJI73 QSX73:QTE73 RCT73:RDA73 RMP73:RMW73 RWL73:RWS73 SGH73:SGO73 SQD73:SQK73 SZZ73:TAG73 TJV73:TKC73 TTR73:TTY73 UDN73:UDU73 UNJ73:UNQ73 UXF73:UXM73 VHB73:VHI73 VQX73:VRE73 WAT73:WBA73 WKP73:WKW73 WUL73:WUS73 HZ73:IG73 RV51:SC51 ABR51:ABY51 ALN51:ALU51 AVJ51:AVQ51 BFF51:BFM51 BPB51:BPI51 BYX51:BZE51 CIT51:CJA51 CSP51:CSW51 DCL51:DCS51 DMH51:DMO51 DWD51:DWK51 EFZ51:EGG51 EPV51:EQC51 EZR51:EZY51 FJN51:FJU51 FTJ51:FTQ51 GDF51:GDM51 GNB51:GNI51 GWX51:GXE51 HGT51:HHA51 HQP51:HQW51 IAL51:IAS51 IKH51:IKO51 IUD51:IUK51 JDZ51:JEG51 JNV51:JOC51 JXR51:JXY51 KHN51:KHU51 KRJ51:KRQ51 LBF51:LBM51 LLB51:LLI51 LUX51:LVE51 MET51:MFA51 MOP51:MOW51 MYL51:MYS51 NIH51:NIO51 NSD51:NSK51 OBZ51:OCG51 OLV51:OMC51 OVR51:OVY51 PFN51:PFU51 PPJ51:PPQ51 PZF51:PZM51 QJB51:QJI51 QSX51:QTE51 RCT51:RDA51 RMP51:RMW51 H129456 H194992 H260528 H326064 H391600 H457136 H522672 H588208 H653744 H719280 H784816 H850352 H915888 H981424 H63920">
      <formula1>"　　　,有り"</formula1>
    </dataValidation>
    <dataValidation type="list" allowBlank="1" showInputMessage="1" showErrorMessage="1" sqref="WUL981420:WUS981420 HZ16:IG16 RV16:SC16 ABR16:ABY16 ALN16:ALU16 AVJ16:AVQ16 BFF16:BFM16 BPB16:BPI16 BYX16:BZE16 CIT16:CJA16 CSP16:CSW16 DCL16:DCS16 DMH16:DMO16 DWD16:DWK16 EFZ16:EGG16 EPV16:EQC16 EZR16:EZY16 FJN16:FJU16 FTJ16:FTQ16 GDF16:GDM16 GNB16:GNI16 GWX16:GXE16 HGT16:HHA16 HQP16:HQW16 IAL16:IAS16 IKH16:IKO16 IUD16:IUK16 JDZ16:JEG16 JNV16:JOC16 JXR16:JXY16 KHN16:KHU16 KRJ16:KRQ16 LBF16:LBM16 LLB16:LLI16 LUX16:LVE16 MET16:MFA16 MOP16:MOW16 MYL16:MYS16 NIH16:NIO16 NSD16:NSK16 OBZ16:OCG16 OLV16:OMC16 OVR16:OVY16 PFN16:PFU16 PPJ16:PPQ16 PZF16:PZM16 QJB16:QJI16 QSX16:QTE16 RCT16:RDA16 RMP16:RMW16 RWL16:RWS16 SGH16:SGO16 SQD16:SQK16 SZZ16:TAG16 TJV16:TKC16 TTR16:TTY16 UDN16:UDU16 UNJ16:UNQ16 UXF16:UXM16 VHB16:VHI16 VQX16:VRE16 WAT16:WBA16 WKP16:WKW16 WUL16:WUS16 RCT981420:RDA981420 HZ63916:IG63916 RV63916:SC63916 ABR63916:ABY63916 ALN63916:ALU63916 AVJ63916:AVQ63916 BFF63916:BFM63916 BPB63916:BPI63916 BYX63916:BZE63916 CIT63916:CJA63916 CSP63916:CSW63916 DCL63916:DCS63916 DMH63916:DMO63916 DWD63916:DWK63916 EFZ63916:EGG63916 EPV63916:EQC63916 EZR63916:EZY63916 FJN63916:FJU63916 FTJ63916:FTQ63916 GDF63916:GDM63916 GNB63916:GNI63916 GWX63916:GXE63916 HGT63916:HHA63916 HQP63916:HQW63916 IAL63916:IAS63916 IKH63916:IKO63916 IUD63916:IUK63916 JDZ63916:JEG63916 JNV63916:JOC63916 JXR63916:JXY63916 KHN63916:KHU63916 KRJ63916:KRQ63916 LBF63916:LBM63916 LLB63916:LLI63916 LUX63916:LVE63916 MET63916:MFA63916 MOP63916:MOW63916 MYL63916:MYS63916 NIH63916:NIO63916 NSD63916:NSK63916 OBZ63916:OCG63916 OLV63916:OMC63916 OVR63916:OVY63916 PFN63916:PFU63916 PPJ63916:PPQ63916 PZF63916:PZM63916 QJB63916:QJI63916 QSX63916:QTE63916 RCT63916:RDA63916 RMP63916:RMW63916 RWL63916:RWS63916 SGH63916:SGO63916 SQD63916:SQK63916 SZZ63916:TAG63916 TJV63916:TKC63916 TTR63916:TTY63916 UDN63916:UDU63916 UNJ63916:UNQ63916 UXF63916:UXM63916 VHB63916:VHI63916 VQX63916:VRE63916 WAT63916:WBA63916 WKP63916:WKW63916 WUL63916:WUS63916 RMP981420:RMW981420 HZ129452:IG129452 RV129452:SC129452 ABR129452:ABY129452 ALN129452:ALU129452 AVJ129452:AVQ129452 BFF129452:BFM129452 BPB129452:BPI129452 BYX129452:BZE129452 CIT129452:CJA129452 CSP129452:CSW129452 DCL129452:DCS129452 DMH129452:DMO129452 DWD129452:DWK129452 EFZ129452:EGG129452 EPV129452:EQC129452 EZR129452:EZY129452 FJN129452:FJU129452 FTJ129452:FTQ129452 GDF129452:GDM129452 GNB129452:GNI129452 GWX129452:GXE129452 HGT129452:HHA129452 HQP129452:HQW129452 IAL129452:IAS129452 IKH129452:IKO129452 IUD129452:IUK129452 JDZ129452:JEG129452 JNV129452:JOC129452 JXR129452:JXY129452 KHN129452:KHU129452 KRJ129452:KRQ129452 LBF129452:LBM129452 LLB129452:LLI129452 LUX129452:LVE129452 MET129452:MFA129452 MOP129452:MOW129452 MYL129452:MYS129452 NIH129452:NIO129452 NSD129452:NSK129452 OBZ129452:OCG129452 OLV129452:OMC129452 OVR129452:OVY129452 PFN129452:PFU129452 PPJ129452:PPQ129452 PZF129452:PZM129452 QJB129452:QJI129452 QSX129452:QTE129452 RCT129452:RDA129452 RMP129452:RMW129452 RWL129452:RWS129452 SGH129452:SGO129452 SQD129452:SQK129452 SZZ129452:TAG129452 TJV129452:TKC129452 TTR129452:TTY129452 UDN129452:UDU129452 UNJ129452:UNQ129452 UXF129452:UXM129452 VHB129452:VHI129452 VQX129452:VRE129452 WAT129452:WBA129452 WKP129452:WKW129452 WUL129452:WUS129452 RWL981420:RWS981420 HZ194988:IG194988 RV194988:SC194988 ABR194988:ABY194988 ALN194988:ALU194988 AVJ194988:AVQ194988 BFF194988:BFM194988 BPB194988:BPI194988 BYX194988:BZE194988 CIT194988:CJA194988 CSP194988:CSW194988 DCL194988:DCS194988 DMH194988:DMO194988 DWD194988:DWK194988 EFZ194988:EGG194988 EPV194988:EQC194988 EZR194988:EZY194988 FJN194988:FJU194988 FTJ194988:FTQ194988 GDF194988:GDM194988 GNB194988:GNI194988 GWX194988:GXE194988 HGT194988:HHA194988 HQP194988:HQW194988 IAL194988:IAS194988 IKH194988:IKO194988 IUD194988:IUK194988 JDZ194988:JEG194988 JNV194988:JOC194988 JXR194988:JXY194988 KHN194988:KHU194988 KRJ194988:KRQ194988 LBF194988:LBM194988 LLB194988:LLI194988 LUX194988:LVE194988 MET194988:MFA194988 MOP194988:MOW194988 MYL194988:MYS194988 NIH194988:NIO194988 NSD194988:NSK194988 OBZ194988:OCG194988 OLV194988:OMC194988 OVR194988:OVY194988 PFN194988:PFU194988 PPJ194988:PPQ194988 PZF194988:PZM194988 QJB194988:QJI194988 QSX194988:QTE194988 RCT194988:RDA194988 RMP194988:RMW194988 RWL194988:RWS194988 SGH194988:SGO194988 SQD194988:SQK194988 SZZ194988:TAG194988 TJV194988:TKC194988 TTR194988:TTY194988 UDN194988:UDU194988 UNJ194988:UNQ194988 UXF194988:UXM194988 VHB194988:VHI194988 VQX194988:VRE194988 WAT194988:WBA194988 WKP194988:WKW194988 WUL194988:WUS194988 SGH981420:SGO981420 HZ260524:IG260524 RV260524:SC260524 ABR260524:ABY260524 ALN260524:ALU260524 AVJ260524:AVQ260524 BFF260524:BFM260524 BPB260524:BPI260524 BYX260524:BZE260524 CIT260524:CJA260524 CSP260524:CSW260524 DCL260524:DCS260524 DMH260524:DMO260524 DWD260524:DWK260524 EFZ260524:EGG260524 EPV260524:EQC260524 EZR260524:EZY260524 FJN260524:FJU260524 FTJ260524:FTQ260524 GDF260524:GDM260524 GNB260524:GNI260524 GWX260524:GXE260524 HGT260524:HHA260524 HQP260524:HQW260524 IAL260524:IAS260524 IKH260524:IKO260524 IUD260524:IUK260524 JDZ260524:JEG260524 JNV260524:JOC260524 JXR260524:JXY260524 KHN260524:KHU260524 KRJ260524:KRQ260524 LBF260524:LBM260524 LLB260524:LLI260524 LUX260524:LVE260524 MET260524:MFA260524 MOP260524:MOW260524 MYL260524:MYS260524 NIH260524:NIO260524 NSD260524:NSK260524 OBZ260524:OCG260524 OLV260524:OMC260524 OVR260524:OVY260524 PFN260524:PFU260524 PPJ260524:PPQ260524 PZF260524:PZM260524 QJB260524:QJI260524 QSX260524:QTE260524 RCT260524:RDA260524 RMP260524:RMW260524 RWL260524:RWS260524 SGH260524:SGO260524 SQD260524:SQK260524 SZZ260524:TAG260524 TJV260524:TKC260524 TTR260524:TTY260524 UDN260524:UDU260524 UNJ260524:UNQ260524 UXF260524:UXM260524 VHB260524:VHI260524 VQX260524:VRE260524 WAT260524:WBA260524 WKP260524:WKW260524 WUL260524:WUS260524 SQD981420:SQK981420 HZ326060:IG326060 RV326060:SC326060 ABR326060:ABY326060 ALN326060:ALU326060 AVJ326060:AVQ326060 BFF326060:BFM326060 BPB326060:BPI326060 BYX326060:BZE326060 CIT326060:CJA326060 CSP326060:CSW326060 DCL326060:DCS326060 DMH326060:DMO326060 DWD326060:DWK326060 EFZ326060:EGG326060 EPV326060:EQC326060 EZR326060:EZY326060 FJN326060:FJU326060 FTJ326060:FTQ326060 GDF326060:GDM326060 GNB326060:GNI326060 GWX326060:GXE326060 HGT326060:HHA326060 HQP326060:HQW326060 IAL326060:IAS326060 IKH326060:IKO326060 IUD326060:IUK326060 JDZ326060:JEG326060 JNV326060:JOC326060 JXR326060:JXY326060 KHN326060:KHU326060 KRJ326060:KRQ326060 LBF326060:LBM326060 LLB326060:LLI326060 LUX326060:LVE326060 MET326060:MFA326060 MOP326060:MOW326060 MYL326060:MYS326060 NIH326060:NIO326060 NSD326060:NSK326060 OBZ326060:OCG326060 OLV326060:OMC326060 OVR326060:OVY326060 PFN326060:PFU326060 PPJ326060:PPQ326060 PZF326060:PZM326060 QJB326060:QJI326060 QSX326060:QTE326060 RCT326060:RDA326060 RMP326060:RMW326060 RWL326060:RWS326060 SGH326060:SGO326060 SQD326060:SQK326060 SZZ326060:TAG326060 TJV326060:TKC326060 TTR326060:TTY326060 UDN326060:UDU326060 UNJ326060:UNQ326060 UXF326060:UXM326060 VHB326060:VHI326060 VQX326060:VRE326060 WAT326060:WBA326060 WKP326060:WKW326060 WUL326060:WUS326060 SZZ981420:TAG981420 HZ391596:IG391596 RV391596:SC391596 ABR391596:ABY391596 ALN391596:ALU391596 AVJ391596:AVQ391596 BFF391596:BFM391596 BPB391596:BPI391596 BYX391596:BZE391596 CIT391596:CJA391596 CSP391596:CSW391596 DCL391596:DCS391596 DMH391596:DMO391596 DWD391596:DWK391596 EFZ391596:EGG391596 EPV391596:EQC391596 EZR391596:EZY391596 FJN391596:FJU391596 FTJ391596:FTQ391596 GDF391596:GDM391596 GNB391596:GNI391596 GWX391596:GXE391596 HGT391596:HHA391596 HQP391596:HQW391596 IAL391596:IAS391596 IKH391596:IKO391596 IUD391596:IUK391596 JDZ391596:JEG391596 JNV391596:JOC391596 JXR391596:JXY391596 KHN391596:KHU391596 KRJ391596:KRQ391596 LBF391596:LBM391596 LLB391596:LLI391596 LUX391596:LVE391596 MET391596:MFA391596 MOP391596:MOW391596 MYL391596:MYS391596 NIH391596:NIO391596 NSD391596:NSK391596 OBZ391596:OCG391596 OLV391596:OMC391596 OVR391596:OVY391596 PFN391596:PFU391596 PPJ391596:PPQ391596 PZF391596:PZM391596 QJB391596:QJI391596 QSX391596:QTE391596 RCT391596:RDA391596 RMP391596:RMW391596 RWL391596:RWS391596 SGH391596:SGO391596 SQD391596:SQK391596 SZZ391596:TAG391596 TJV391596:TKC391596 TTR391596:TTY391596 UDN391596:UDU391596 UNJ391596:UNQ391596 UXF391596:UXM391596 VHB391596:VHI391596 VQX391596:VRE391596 WAT391596:WBA391596 WKP391596:WKW391596 WUL391596:WUS391596 TJV981420:TKC981420 HZ457132:IG457132 RV457132:SC457132 ABR457132:ABY457132 ALN457132:ALU457132 AVJ457132:AVQ457132 BFF457132:BFM457132 BPB457132:BPI457132 BYX457132:BZE457132 CIT457132:CJA457132 CSP457132:CSW457132 DCL457132:DCS457132 DMH457132:DMO457132 DWD457132:DWK457132 EFZ457132:EGG457132 EPV457132:EQC457132 EZR457132:EZY457132 FJN457132:FJU457132 FTJ457132:FTQ457132 GDF457132:GDM457132 GNB457132:GNI457132 GWX457132:GXE457132 HGT457132:HHA457132 HQP457132:HQW457132 IAL457132:IAS457132 IKH457132:IKO457132 IUD457132:IUK457132 JDZ457132:JEG457132 JNV457132:JOC457132 JXR457132:JXY457132 KHN457132:KHU457132 KRJ457132:KRQ457132 LBF457132:LBM457132 LLB457132:LLI457132 LUX457132:LVE457132 MET457132:MFA457132 MOP457132:MOW457132 MYL457132:MYS457132 NIH457132:NIO457132 NSD457132:NSK457132 OBZ457132:OCG457132 OLV457132:OMC457132 OVR457132:OVY457132 PFN457132:PFU457132 PPJ457132:PPQ457132 PZF457132:PZM457132 QJB457132:QJI457132 QSX457132:QTE457132 RCT457132:RDA457132 RMP457132:RMW457132 RWL457132:RWS457132 SGH457132:SGO457132 SQD457132:SQK457132 SZZ457132:TAG457132 TJV457132:TKC457132 TTR457132:TTY457132 UDN457132:UDU457132 UNJ457132:UNQ457132 UXF457132:UXM457132 VHB457132:VHI457132 VQX457132:VRE457132 WAT457132:WBA457132 WKP457132:WKW457132 WUL457132:WUS457132 TTR981420:TTY981420 HZ522668:IG522668 RV522668:SC522668 ABR522668:ABY522668 ALN522668:ALU522668 AVJ522668:AVQ522668 BFF522668:BFM522668 BPB522668:BPI522668 BYX522668:BZE522668 CIT522668:CJA522668 CSP522668:CSW522668 DCL522668:DCS522668 DMH522668:DMO522668 DWD522668:DWK522668 EFZ522668:EGG522668 EPV522668:EQC522668 EZR522668:EZY522668 FJN522668:FJU522668 FTJ522668:FTQ522668 GDF522668:GDM522668 GNB522668:GNI522668 GWX522668:GXE522668 HGT522668:HHA522668 HQP522668:HQW522668 IAL522668:IAS522668 IKH522668:IKO522668 IUD522668:IUK522668 JDZ522668:JEG522668 JNV522668:JOC522668 JXR522668:JXY522668 KHN522668:KHU522668 KRJ522668:KRQ522668 LBF522668:LBM522668 LLB522668:LLI522668 LUX522668:LVE522668 MET522668:MFA522668 MOP522668:MOW522668 MYL522668:MYS522668 NIH522668:NIO522668 NSD522668:NSK522668 OBZ522668:OCG522668 OLV522668:OMC522668 OVR522668:OVY522668 PFN522668:PFU522668 PPJ522668:PPQ522668 PZF522668:PZM522668 QJB522668:QJI522668 QSX522668:QTE522668 RCT522668:RDA522668 RMP522668:RMW522668 RWL522668:RWS522668 SGH522668:SGO522668 SQD522668:SQK522668 SZZ522668:TAG522668 TJV522668:TKC522668 TTR522668:TTY522668 UDN522668:UDU522668 UNJ522668:UNQ522668 UXF522668:UXM522668 VHB522668:VHI522668 VQX522668:VRE522668 WAT522668:WBA522668 WKP522668:WKW522668 WUL522668:WUS522668 UDN981420:UDU981420 HZ588204:IG588204 RV588204:SC588204 ABR588204:ABY588204 ALN588204:ALU588204 AVJ588204:AVQ588204 BFF588204:BFM588204 BPB588204:BPI588204 BYX588204:BZE588204 CIT588204:CJA588204 CSP588204:CSW588204 DCL588204:DCS588204 DMH588204:DMO588204 DWD588204:DWK588204 EFZ588204:EGG588204 EPV588204:EQC588204 EZR588204:EZY588204 FJN588204:FJU588204 FTJ588204:FTQ588204 GDF588204:GDM588204 GNB588204:GNI588204 GWX588204:GXE588204 HGT588204:HHA588204 HQP588204:HQW588204 IAL588204:IAS588204 IKH588204:IKO588204 IUD588204:IUK588204 JDZ588204:JEG588204 JNV588204:JOC588204 JXR588204:JXY588204 KHN588204:KHU588204 KRJ588204:KRQ588204 LBF588204:LBM588204 LLB588204:LLI588204 LUX588204:LVE588204 MET588204:MFA588204 MOP588204:MOW588204 MYL588204:MYS588204 NIH588204:NIO588204 NSD588204:NSK588204 OBZ588204:OCG588204 OLV588204:OMC588204 OVR588204:OVY588204 PFN588204:PFU588204 PPJ588204:PPQ588204 PZF588204:PZM588204 QJB588204:QJI588204 QSX588204:QTE588204 RCT588204:RDA588204 RMP588204:RMW588204 RWL588204:RWS588204 SGH588204:SGO588204 SQD588204:SQK588204 SZZ588204:TAG588204 TJV588204:TKC588204 TTR588204:TTY588204 UDN588204:UDU588204 UNJ588204:UNQ588204 UXF588204:UXM588204 VHB588204:VHI588204 VQX588204:VRE588204 WAT588204:WBA588204 WKP588204:WKW588204 WUL588204:WUS588204 UNJ981420:UNQ981420 HZ653740:IG653740 RV653740:SC653740 ABR653740:ABY653740 ALN653740:ALU653740 AVJ653740:AVQ653740 BFF653740:BFM653740 BPB653740:BPI653740 BYX653740:BZE653740 CIT653740:CJA653740 CSP653740:CSW653740 DCL653740:DCS653740 DMH653740:DMO653740 DWD653740:DWK653740 EFZ653740:EGG653740 EPV653740:EQC653740 EZR653740:EZY653740 FJN653740:FJU653740 FTJ653740:FTQ653740 GDF653740:GDM653740 GNB653740:GNI653740 GWX653740:GXE653740 HGT653740:HHA653740 HQP653740:HQW653740 IAL653740:IAS653740 IKH653740:IKO653740 IUD653740:IUK653740 JDZ653740:JEG653740 JNV653740:JOC653740 JXR653740:JXY653740 KHN653740:KHU653740 KRJ653740:KRQ653740 LBF653740:LBM653740 LLB653740:LLI653740 LUX653740:LVE653740 MET653740:MFA653740 MOP653740:MOW653740 MYL653740:MYS653740 NIH653740:NIO653740 NSD653740:NSK653740 OBZ653740:OCG653740 OLV653740:OMC653740 OVR653740:OVY653740 PFN653740:PFU653740 PPJ653740:PPQ653740 PZF653740:PZM653740 QJB653740:QJI653740 QSX653740:QTE653740 RCT653740:RDA653740 RMP653740:RMW653740 RWL653740:RWS653740 SGH653740:SGO653740 SQD653740:SQK653740 SZZ653740:TAG653740 TJV653740:TKC653740 TTR653740:TTY653740 UDN653740:UDU653740 UNJ653740:UNQ653740 UXF653740:UXM653740 VHB653740:VHI653740 VQX653740:VRE653740 WAT653740:WBA653740 WKP653740:WKW653740 WUL653740:WUS653740 UXF981420:UXM981420 HZ719276:IG719276 RV719276:SC719276 ABR719276:ABY719276 ALN719276:ALU719276 AVJ719276:AVQ719276 BFF719276:BFM719276 BPB719276:BPI719276 BYX719276:BZE719276 CIT719276:CJA719276 CSP719276:CSW719276 DCL719276:DCS719276 DMH719276:DMO719276 DWD719276:DWK719276 EFZ719276:EGG719276 EPV719276:EQC719276 EZR719276:EZY719276 FJN719276:FJU719276 FTJ719276:FTQ719276 GDF719276:GDM719276 GNB719276:GNI719276 GWX719276:GXE719276 HGT719276:HHA719276 HQP719276:HQW719276 IAL719276:IAS719276 IKH719276:IKO719276 IUD719276:IUK719276 JDZ719276:JEG719276 JNV719276:JOC719276 JXR719276:JXY719276 KHN719276:KHU719276 KRJ719276:KRQ719276 LBF719276:LBM719276 LLB719276:LLI719276 LUX719276:LVE719276 MET719276:MFA719276 MOP719276:MOW719276 MYL719276:MYS719276 NIH719276:NIO719276 NSD719276:NSK719276 OBZ719276:OCG719276 OLV719276:OMC719276 OVR719276:OVY719276 PFN719276:PFU719276 PPJ719276:PPQ719276 PZF719276:PZM719276 QJB719276:QJI719276 QSX719276:QTE719276 RCT719276:RDA719276 RMP719276:RMW719276 RWL719276:RWS719276 SGH719276:SGO719276 SQD719276:SQK719276 SZZ719276:TAG719276 TJV719276:TKC719276 TTR719276:TTY719276 UDN719276:UDU719276 UNJ719276:UNQ719276 UXF719276:UXM719276 VHB719276:VHI719276 VQX719276:VRE719276 WAT719276:WBA719276 WKP719276:WKW719276 WUL719276:WUS719276 VHB981420:VHI981420 HZ784812:IG784812 RV784812:SC784812 ABR784812:ABY784812 ALN784812:ALU784812 AVJ784812:AVQ784812 BFF784812:BFM784812 BPB784812:BPI784812 BYX784812:BZE784812 CIT784812:CJA784812 CSP784812:CSW784812 DCL784812:DCS784812 DMH784812:DMO784812 DWD784812:DWK784812 EFZ784812:EGG784812 EPV784812:EQC784812 EZR784812:EZY784812 FJN784812:FJU784812 FTJ784812:FTQ784812 GDF784812:GDM784812 GNB784812:GNI784812 GWX784812:GXE784812 HGT784812:HHA784812 HQP784812:HQW784812 IAL784812:IAS784812 IKH784812:IKO784812 IUD784812:IUK784812 JDZ784812:JEG784812 JNV784812:JOC784812 JXR784812:JXY784812 KHN784812:KHU784812 KRJ784812:KRQ784812 LBF784812:LBM784812 LLB784812:LLI784812 LUX784812:LVE784812 MET784812:MFA784812 MOP784812:MOW784812 MYL784812:MYS784812 NIH784812:NIO784812 NSD784812:NSK784812 OBZ784812:OCG784812 OLV784812:OMC784812 OVR784812:OVY784812 PFN784812:PFU784812 PPJ784812:PPQ784812 PZF784812:PZM784812 QJB784812:QJI784812 QSX784812:QTE784812 RCT784812:RDA784812 RMP784812:RMW784812 RWL784812:RWS784812 SGH784812:SGO784812 SQD784812:SQK784812 SZZ784812:TAG784812 TJV784812:TKC784812 TTR784812:TTY784812 UDN784812:UDU784812 UNJ784812:UNQ784812 UXF784812:UXM784812 VHB784812:VHI784812 VQX784812:VRE784812 WAT784812:WBA784812 WKP784812:WKW784812 WUL784812:WUS784812 VQX981420:VRE981420 HZ850348:IG850348 RV850348:SC850348 ABR850348:ABY850348 ALN850348:ALU850348 AVJ850348:AVQ850348 BFF850348:BFM850348 BPB850348:BPI850348 BYX850348:BZE850348 CIT850348:CJA850348 CSP850348:CSW850348 DCL850348:DCS850348 DMH850348:DMO850348 DWD850348:DWK850348 EFZ850348:EGG850348 EPV850348:EQC850348 EZR850348:EZY850348 FJN850348:FJU850348 FTJ850348:FTQ850348 GDF850348:GDM850348 GNB850348:GNI850348 GWX850348:GXE850348 HGT850348:HHA850348 HQP850348:HQW850348 IAL850348:IAS850348 IKH850348:IKO850348 IUD850348:IUK850348 JDZ850348:JEG850348 JNV850348:JOC850348 JXR850348:JXY850348 KHN850348:KHU850348 KRJ850348:KRQ850348 LBF850348:LBM850348 LLB850348:LLI850348 LUX850348:LVE850348 MET850348:MFA850348 MOP850348:MOW850348 MYL850348:MYS850348 NIH850348:NIO850348 NSD850348:NSK850348 OBZ850348:OCG850348 OLV850348:OMC850348 OVR850348:OVY850348 PFN850348:PFU850348 PPJ850348:PPQ850348 PZF850348:PZM850348 QJB850348:QJI850348 QSX850348:QTE850348 RCT850348:RDA850348 RMP850348:RMW850348 RWL850348:RWS850348 SGH850348:SGO850348 SQD850348:SQK850348 SZZ850348:TAG850348 TJV850348:TKC850348 TTR850348:TTY850348 UDN850348:UDU850348 UNJ850348:UNQ850348 UXF850348:UXM850348 VHB850348:VHI850348 VQX850348:VRE850348 WAT850348:WBA850348 WKP850348:WKW850348 WUL850348:WUS850348 WAT981420:WBA981420 HZ915884:IG915884 RV915884:SC915884 ABR915884:ABY915884 ALN915884:ALU915884 AVJ915884:AVQ915884 BFF915884:BFM915884 BPB915884:BPI915884 BYX915884:BZE915884 CIT915884:CJA915884 CSP915884:CSW915884 DCL915884:DCS915884 DMH915884:DMO915884 DWD915884:DWK915884 EFZ915884:EGG915884 EPV915884:EQC915884 EZR915884:EZY915884 FJN915884:FJU915884 FTJ915884:FTQ915884 GDF915884:GDM915884 GNB915884:GNI915884 GWX915884:GXE915884 HGT915884:HHA915884 HQP915884:HQW915884 IAL915884:IAS915884 IKH915884:IKO915884 IUD915884:IUK915884 JDZ915884:JEG915884 JNV915884:JOC915884 JXR915884:JXY915884 KHN915884:KHU915884 KRJ915884:KRQ915884 LBF915884:LBM915884 LLB915884:LLI915884 LUX915884:LVE915884 MET915884:MFA915884 MOP915884:MOW915884 MYL915884:MYS915884 NIH915884:NIO915884 NSD915884:NSK915884 OBZ915884:OCG915884 OLV915884:OMC915884 OVR915884:OVY915884 PFN915884:PFU915884 PPJ915884:PPQ915884 PZF915884:PZM915884 QJB915884:QJI915884 QSX915884:QTE915884 RCT915884:RDA915884 RMP915884:RMW915884 RWL915884:RWS915884 SGH915884:SGO915884 SQD915884:SQK915884 SZZ915884:TAG915884 TJV915884:TKC915884 TTR915884:TTY915884 UDN915884:UDU915884 UNJ915884:UNQ915884 UXF915884:UXM915884 VHB915884:VHI915884 VQX915884:VRE915884 WAT915884:WBA915884 WKP915884:WKW915884 WUL915884:WUS915884 WKP981420:WKW981420 HZ981420:IG981420 RV981420:SC981420 ABR981420:ABY981420 ALN981420:ALU981420 AVJ981420:AVQ981420 BFF981420:BFM981420 BPB981420:BPI981420 BYX981420:BZE981420 CIT981420:CJA981420 CSP981420:CSW981420 DCL981420:DCS981420 DMH981420:DMO981420 DWD981420:DWK981420 EFZ981420:EGG981420 EPV981420:EQC981420 EZR981420:EZY981420 FJN981420:FJU981420 FTJ981420:FTQ981420 GDF981420:GDM981420 GNB981420:GNI981420 GWX981420:GXE981420 HGT981420:HHA981420 HQP981420:HQW981420 IAL981420:IAS981420 IKH981420:IKO981420 IUD981420:IUK981420 JDZ981420:JEG981420 JNV981420:JOC981420 JXR981420:JXY981420 KHN981420:KHU981420 KRJ981420:KRQ981420 LBF981420:LBM981420 LLB981420:LLI981420 LUX981420:LVE981420 MET981420:MFA981420 MOP981420:MOW981420 MYL981420:MYS981420 NIH981420:NIO981420 NSD981420:NSK981420 OBZ981420:OCG981420 OLV981420:OMC981420 OVR981420:OVY981420 PFN981420:PFU981420 PPJ981420:PPQ981420 PZF981420:PZM981420 QJB981420:QJI981420 QSX981420:QTE981420 H129452 H194988 H260524 H326060 H391596 H457132 H522668 H588204 H653740 H719276 H784812 H850348 H915884 H981420 H63916">
      <formula1>"改修,新営"</formula1>
    </dataValidation>
    <dataValidation type="list" allowBlank="1" showInputMessage="1" showErrorMessage="1" sqref="H4">
      <formula1>"資産,費用"</formula1>
    </dataValidation>
    <dataValidation type="list" allowBlank="1" showInputMessage="1" showErrorMessage="1" sqref="H22 H56">
      <formula1>#REF!</formula1>
    </dataValidation>
  </dataValidations>
  <printOptions horizontalCentered="1"/>
  <pageMargins left="0.19685039370078741" right="0.19685039370078741" top="0.6692913385826772" bottom="0.19685039370078741" header="0.51181102362204722" footer="0.51181102362204722"/>
  <pageSetup paperSize="9" scale="90" fitToHeight="0" orientation="landscape" cellComments="asDisplayed"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表示設定">
                <anchor moveWithCells="1" sizeWithCells="1">
                  <from>
                    <xdr:col>0</xdr:col>
                    <xdr:colOff>28575</xdr:colOff>
                    <xdr:row>12</xdr:row>
                    <xdr:rowOff>85725</xdr:rowOff>
                  </from>
                  <to>
                    <xdr:col>3</xdr:col>
                    <xdr:colOff>1038225</xdr:colOff>
                    <xdr:row>16</xdr:row>
                    <xdr:rowOff>76200</xdr:rowOff>
                  </to>
                </anchor>
              </controlPr>
            </control>
          </mc:Choice>
        </mc:AlternateContent>
        <mc:AlternateContent xmlns:mc="http://schemas.openxmlformats.org/markup-compatibility/2006">
          <mc:Choice Requires="x14">
            <control shapeId="12318" r:id="rId5" name="Button 30">
              <controlPr defaultSize="0" print="0" autoFill="0" autoPict="0" macro="[0]!H列をコピーして追加">
                <anchor moveWithCells="1" sizeWithCells="1">
                  <from>
                    <xdr:col>0</xdr:col>
                    <xdr:colOff>9525</xdr:colOff>
                    <xdr:row>8</xdr:row>
                    <xdr:rowOff>47625</xdr:rowOff>
                  </from>
                  <to>
                    <xdr:col>3</xdr:col>
                    <xdr:colOff>1057275</xdr:colOff>
                    <xdr:row>12</xdr:row>
                    <xdr:rowOff>28575</xdr:rowOff>
                  </to>
                </anchor>
              </controlPr>
            </control>
          </mc:Choice>
        </mc:AlternateContent>
        <mc:AlternateContent xmlns:mc="http://schemas.openxmlformats.org/markup-compatibility/2006">
          <mc:Choice Requires="x14">
            <control shapeId="12375" r:id="rId6" name="Button 87">
              <controlPr defaultSize="0" print="0" autoFill="0" autoPict="0" macro="[0]!諸経費表からリンク">
                <anchor moveWithCells="1" sizeWithCells="1">
                  <from>
                    <xdr:col>0</xdr:col>
                    <xdr:colOff>0</xdr:colOff>
                    <xdr:row>5</xdr:row>
                    <xdr:rowOff>38100</xdr:rowOff>
                  </from>
                  <to>
                    <xdr:col>4</xdr:col>
                    <xdr:colOff>0</xdr:colOff>
                    <xdr:row>7</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AI207"/>
  <sheetViews>
    <sheetView topLeftCell="A163" zoomScale="70" zoomScaleNormal="70" zoomScaleSheetLayoutView="80" workbookViewId="0">
      <selection activeCell="I168" sqref="I168"/>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3" width="5.625" style="1" bestFit="1" customWidth="1"/>
    <col min="14" max="14" width="19.75" style="1" customWidth="1"/>
    <col min="15" max="16" width="5.25" style="37" customWidth="1"/>
    <col min="17" max="34" width="5.25" style="1" customWidth="1"/>
    <col min="35" max="35" width="11.625" style="667" customWidth="1"/>
    <col min="36" max="16384" width="6.625" style="1"/>
  </cols>
  <sheetData>
    <row r="2" spans="1:35" ht="26.1" customHeight="1">
      <c r="C2" s="35" t="s">
        <v>3209</v>
      </c>
      <c r="E2" s="34" t="s">
        <v>70</v>
      </c>
      <c r="F2" s="86">
        <f>VLOOKUP("EOL",資産管理明細書!$M$3:$N$65480,2,FALSE)</f>
        <v>3</v>
      </c>
      <c r="G2" s="1" t="s">
        <v>206</v>
      </c>
      <c r="H2" s="4">
        <f>表紙!H25</f>
        <v>11</v>
      </c>
      <c r="I2" s="4" t="s">
        <v>76</v>
      </c>
      <c r="J2" s="37">
        <f>VLOOKUP("EOL",$M$25:$N$65605,2,FALSE)</f>
        <v>11</v>
      </c>
    </row>
    <row r="3" spans="1:35" ht="26.1" customHeight="1" thickBot="1">
      <c r="C3" s="2169" t="s">
        <v>343</v>
      </c>
      <c r="D3" s="2169"/>
      <c r="E3" s="2169"/>
      <c r="F3" s="2169"/>
      <c r="G3" s="2169"/>
      <c r="H3" s="2169"/>
      <c r="I3" s="2169"/>
      <c r="J3" s="2169"/>
      <c r="K3" s="2169"/>
      <c r="L3" s="2169"/>
      <c r="O3" s="2232" t="s">
        <v>155</v>
      </c>
      <c r="P3" s="2232"/>
      <c r="Q3" s="2232"/>
      <c r="R3" s="2232"/>
      <c r="S3" s="2232"/>
      <c r="T3" s="2232"/>
      <c r="U3" s="2232"/>
      <c r="V3" s="2232"/>
      <c r="W3" s="2232"/>
      <c r="X3" s="2232"/>
      <c r="Y3" s="2232"/>
      <c r="Z3" s="2232"/>
      <c r="AA3" s="2232"/>
      <c r="AB3" s="2232"/>
      <c r="AC3" s="2232"/>
      <c r="AD3" s="2232"/>
      <c r="AE3" s="2232"/>
      <c r="AF3" s="2232"/>
      <c r="AG3" s="2232"/>
      <c r="AH3" s="2233"/>
      <c r="AI3" s="668"/>
    </row>
    <row r="4" spans="1:35" ht="42" customHeight="1">
      <c r="A4" s="5" t="s">
        <v>11</v>
      </c>
      <c r="B4" s="5" t="s">
        <v>10</v>
      </c>
      <c r="C4" s="120" t="s">
        <v>0</v>
      </c>
      <c r="D4" s="116"/>
      <c r="E4" s="117" t="s">
        <v>1</v>
      </c>
      <c r="F4" s="118" t="s">
        <v>2</v>
      </c>
      <c r="G4" s="118" t="s">
        <v>3</v>
      </c>
      <c r="H4" s="119" t="s">
        <v>4</v>
      </c>
      <c r="I4" s="119" t="s">
        <v>5</v>
      </c>
      <c r="J4" s="2172" t="s">
        <v>6</v>
      </c>
      <c r="K4" s="2173"/>
      <c r="L4" s="2174"/>
      <c r="O4" s="165" t="s">
        <v>87</v>
      </c>
      <c r="P4" s="359" t="s">
        <v>267</v>
      </c>
      <c r="Q4" s="291" t="s">
        <v>282</v>
      </c>
      <c r="R4" s="291" t="s">
        <v>229</v>
      </c>
      <c r="S4" s="291" t="s">
        <v>230</v>
      </c>
      <c r="T4" s="291" t="s">
        <v>245</v>
      </c>
      <c r="U4" s="291" t="s">
        <v>149</v>
      </c>
      <c r="V4" s="164" t="s">
        <v>148</v>
      </c>
      <c r="W4" s="291" t="s">
        <v>231</v>
      </c>
      <c r="X4" s="224" t="s">
        <v>232</v>
      </c>
      <c r="Y4" s="224" t="s">
        <v>233</v>
      </c>
      <c r="Z4" s="224" t="s">
        <v>234</v>
      </c>
      <c r="AA4" s="224" t="s">
        <v>235</v>
      </c>
      <c r="AB4" s="224" t="s">
        <v>277</v>
      </c>
      <c r="AC4" s="362" t="s">
        <v>286</v>
      </c>
      <c r="AD4" s="363" t="s">
        <v>287</v>
      </c>
      <c r="AE4" s="364" t="s">
        <v>151</v>
      </c>
      <c r="AF4" s="163" t="s">
        <v>154</v>
      </c>
      <c r="AG4" s="163" t="s">
        <v>152</v>
      </c>
      <c r="AH4" s="163" t="s">
        <v>153</v>
      </c>
      <c r="AI4" s="669"/>
    </row>
    <row r="5" spans="1:35" ht="24" customHeight="1">
      <c r="A5" s="7"/>
      <c r="B5" s="7"/>
      <c r="C5" s="121" t="str">
        <f>+C2</f>
        <v>天井改良工事</v>
      </c>
      <c r="D5" s="122"/>
      <c r="E5" s="106"/>
      <c r="F5" s="288"/>
      <c r="G5" s="123"/>
      <c r="H5" s="87" t="s">
        <v>12</v>
      </c>
      <c r="I5" s="87" t="s">
        <v>12</v>
      </c>
      <c r="J5" s="2226" t="str">
        <f ca="1">RIGHT(CELL("filename",A1),LEN(CELL("filename",A1))-FIND("]",CELL("filename",A1)))</f>
        <v>工事1</v>
      </c>
      <c r="K5" s="2227"/>
      <c r="L5" s="2228"/>
      <c r="M5" s="37"/>
      <c r="N5" s="37"/>
      <c r="O5" s="231"/>
      <c r="P5" s="232"/>
      <c r="Q5" s="233"/>
      <c r="R5" s="233"/>
      <c r="S5" s="233"/>
      <c r="T5" s="233"/>
      <c r="U5" s="233"/>
      <c r="V5" s="233"/>
      <c r="W5" s="233"/>
      <c r="X5" s="234"/>
      <c r="Y5" s="234"/>
      <c r="Z5" s="234"/>
      <c r="AA5" s="234"/>
      <c r="AB5" s="234"/>
      <c r="AC5" s="233"/>
      <c r="AD5" s="365"/>
      <c r="AE5" s="366"/>
      <c r="AF5" s="233"/>
      <c r="AG5" s="233"/>
      <c r="AH5" s="233"/>
      <c r="AI5" s="670"/>
    </row>
    <row r="6" spans="1:35" ht="24" customHeight="1">
      <c r="A6" s="36"/>
      <c r="B6" s="36"/>
      <c r="C6" s="194" t="s">
        <v>165</v>
      </c>
      <c r="D6" s="68"/>
      <c r="E6" s="109"/>
      <c r="F6" s="289"/>
      <c r="G6" s="125"/>
      <c r="H6" s="111"/>
      <c r="I6" s="111"/>
      <c r="J6" s="68"/>
      <c r="K6" s="68"/>
      <c r="L6" s="69"/>
      <c r="M6" s="37"/>
      <c r="N6" s="37"/>
      <c r="O6" s="231"/>
      <c r="P6" s="232"/>
      <c r="Q6" s="233"/>
      <c r="R6" s="233"/>
      <c r="S6" s="233"/>
      <c r="T6" s="233"/>
      <c r="U6" s="233"/>
      <c r="V6" s="233"/>
      <c r="W6" s="233"/>
      <c r="X6" s="234"/>
      <c r="Y6" s="234"/>
      <c r="Z6" s="234"/>
      <c r="AA6" s="234"/>
      <c r="AB6" s="234"/>
      <c r="AC6" s="233"/>
      <c r="AD6" s="365"/>
      <c r="AE6" s="366"/>
      <c r="AF6" s="233"/>
      <c r="AG6" s="233"/>
      <c r="AH6" s="233"/>
      <c r="AI6" s="670"/>
    </row>
    <row r="7" spans="1:35" ht="24" customHeight="1">
      <c r="A7" s="36"/>
      <c r="B7" s="36"/>
      <c r="C7" s="112"/>
      <c r="D7" s="68" t="s">
        <v>8</v>
      </c>
      <c r="E7" s="109"/>
      <c r="F7" s="289">
        <v>1</v>
      </c>
      <c r="G7" s="125" t="s">
        <v>7</v>
      </c>
      <c r="H7" s="111"/>
      <c r="I7" s="111">
        <f>I70</f>
        <v>819500</v>
      </c>
      <c r="J7" s="68"/>
      <c r="K7" s="68"/>
      <c r="L7" s="69"/>
      <c r="M7" s="37"/>
      <c r="N7" s="37"/>
      <c r="O7" s="231"/>
      <c r="P7" s="232"/>
      <c r="Q7" s="233"/>
      <c r="R7" s="233"/>
      <c r="S7" s="233"/>
      <c r="T7" s="233"/>
      <c r="U7" s="233"/>
      <c r="V7" s="233"/>
      <c r="W7" s="233"/>
      <c r="X7" s="234"/>
      <c r="Y7" s="234"/>
      <c r="Z7" s="234"/>
      <c r="AA7" s="234"/>
      <c r="AB7" s="234"/>
      <c r="AC7" s="233"/>
      <c r="AD7" s="365"/>
      <c r="AE7" s="366"/>
      <c r="AF7" s="233"/>
      <c r="AG7" s="233"/>
      <c r="AH7" s="233"/>
      <c r="AI7" s="670"/>
    </row>
    <row r="8" spans="1:35" ht="24" customHeight="1">
      <c r="A8" s="36"/>
      <c r="B8" s="36"/>
      <c r="C8" s="112"/>
      <c r="D8" s="68" t="s">
        <v>3200</v>
      </c>
      <c r="E8" s="109"/>
      <c r="F8" s="289">
        <v>1</v>
      </c>
      <c r="G8" s="125" t="s">
        <v>7</v>
      </c>
      <c r="H8" s="111"/>
      <c r="I8" s="111">
        <f>I93</f>
        <v>30166</v>
      </c>
      <c r="J8" s="68"/>
      <c r="K8" s="68"/>
      <c r="L8" s="69"/>
      <c r="M8" s="37"/>
      <c r="N8" s="37"/>
      <c r="O8" s="231"/>
      <c r="P8" s="232"/>
      <c r="Q8" s="233"/>
      <c r="R8" s="233"/>
      <c r="S8" s="233"/>
      <c r="T8" s="233"/>
      <c r="U8" s="233"/>
      <c r="V8" s="233"/>
      <c r="W8" s="233"/>
      <c r="X8" s="234"/>
      <c r="Y8" s="234"/>
      <c r="Z8" s="234"/>
      <c r="AA8" s="234"/>
      <c r="AB8" s="234"/>
      <c r="AC8" s="233"/>
      <c r="AD8" s="365"/>
      <c r="AE8" s="366"/>
      <c r="AF8" s="233"/>
      <c r="AG8" s="233"/>
      <c r="AH8" s="233"/>
      <c r="AI8" s="670"/>
    </row>
    <row r="9" spans="1:35" ht="24" customHeight="1">
      <c r="A9" s="36"/>
      <c r="B9" s="36"/>
      <c r="C9" s="112"/>
      <c r="D9" s="68" t="s">
        <v>3165</v>
      </c>
      <c r="E9" s="109"/>
      <c r="F9" s="289">
        <v>1</v>
      </c>
      <c r="G9" s="125" t="s">
        <v>7</v>
      </c>
      <c r="H9" s="111"/>
      <c r="I9" s="111">
        <f>I116</f>
        <v>5797998</v>
      </c>
      <c r="J9" s="68"/>
      <c r="K9" s="68"/>
      <c r="L9" s="69"/>
      <c r="M9" s="37"/>
      <c r="N9" s="37"/>
      <c r="O9" s="231"/>
      <c r="P9" s="232"/>
      <c r="Q9" s="233"/>
      <c r="R9" s="233"/>
      <c r="S9" s="233"/>
      <c r="T9" s="233"/>
      <c r="U9" s="233"/>
      <c r="V9" s="233"/>
      <c r="W9" s="233"/>
      <c r="X9" s="234"/>
      <c r="Y9" s="234"/>
      <c r="Z9" s="234"/>
      <c r="AA9" s="234"/>
      <c r="AB9" s="234"/>
      <c r="AC9" s="233"/>
      <c r="AD9" s="365"/>
      <c r="AE9" s="366"/>
      <c r="AF9" s="233"/>
      <c r="AG9" s="233"/>
      <c r="AH9" s="233"/>
      <c r="AI9" s="670"/>
    </row>
    <row r="10" spans="1:35" ht="24" customHeight="1">
      <c r="A10" s="36"/>
      <c r="B10" s="36"/>
      <c r="C10" s="112"/>
      <c r="D10" s="68" t="s">
        <v>3170</v>
      </c>
      <c r="E10" s="109"/>
      <c r="F10" s="289">
        <v>1</v>
      </c>
      <c r="G10" s="125" t="s">
        <v>7</v>
      </c>
      <c r="H10" s="111"/>
      <c r="I10" s="111">
        <f>I139</f>
        <v>32299</v>
      </c>
      <c r="J10" s="68"/>
      <c r="K10" s="68"/>
      <c r="L10" s="69"/>
      <c r="M10" s="37"/>
      <c r="N10" s="37"/>
      <c r="O10" s="231"/>
      <c r="P10" s="232"/>
      <c r="Q10" s="233"/>
      <c r="R10" s="233"/>
      <c r="S10" s="233"/>
      <c r="T10" s="233"/>
      <c r="U10" s="233"/>
      <c r="V10" s="233"/>
      <c r="W10" s="233"/>
      <c r="X10" s="234"/>
      <c r="Y10" s="234"/>
      <c r="Z10" s="234"/>
      <c r="AA10" s="234"/>
      <c r="AB10" s="234"/>
      <c r="AC10" s="233"/>
      <c r="AD10" s="365"/>
      <c r="AE10" s="366"/>
      <c r="AF10" s="233"/>
      <c r="AG10" s="233"/>
      <c r="AH10" s="233"/>
      <c r="AI10" s="670"/>
    </row>
    <row r="11" spans="1:35" ht="24" customHeight="1">
      <c r="A11" s="36"/>
      <c r="B11" s="36"/>
      <c r="C11" s="112"/>
      <c r="D11" s="68" t="s">
        <v>3166</v>
      </c>
      <c r="E11" s="109"/>
      <c r="F11" s="289">
        <v>1</v>
      </c>
      <c r="G11" s="125" t="s">
        <v>7</v>
      </c>
      <c r="H11" s="111"/>
      <c r="I11" s="111">
        <f>I185</f>
        <v>1283860</v>
      </c>
      <c r="J11" s="68"/>
      <c r="K11" s="68"/>
      <c r="L11" s="69"/>
      <c r="M11" s="37"/>
      <c r="N11" s="37"/>
      <c r="O11" s="231"/>
      <c r="P11" s="232"/>
      <c r="Q11" s="233"/>
      <c r="R11" s="233"/>
      <c r="S11" s="233"/>
      <c r="T11" s="233"/>
      <c r="U11" s="233"/>
      <c r="V11" s="233"/>
      <c r="W11" s="233"/>
      <c r="X11" s="234"/>
      <c r="Y11" s="234"/>
      <c r="Z11" s="234"/>
      <c r="AA11" s="234"/>
      <c r="AB11" s="234"/>
      <c r="AC11" s="233"/>
      <c r="AD11" s="365"/>
      <c r="AE11" s="366"/>
      <c r="AF11" s="233"/>
      <c r="AG11" s="233"/>
      <c r="AH11" s="233"/>
      <c r="AI11" s="670"/>
    </row>
    <row r="12" spans="1:35" s="37" customFormat="1" ht="24" customHeight="1">
      <c r="A12" s="36"/>
      <c r="B12" s="36"/>
      <c r="C12" s="112"/>
      <c r="D12" s="68"/>
      <c r="E12" s="109"/>
      <c r="F12" s="289"/>
      <c r="G12" s="125"/>
      <c r="H12" s="111"/>
      <c r="I12" s="111"/>
      <c r="J12" s="68"/>
      <c r="K12" s="68"/>
      <c r="L12" s="69"/>
      <c r="O12" s="231"/>
      <c r="P12" s="232"/>
      <c r="Q12" s="233"/>
      <c r="R12" s="233"/>
      <c r="S12" s="233"/>
      <c r="T12" s="233"/>
      <c r="U12" s="233"/>
      <c r="V12" s="233"/>
      <c r="W12" s="233"/>
      <c r="X12" s="234"/>
      <c r="Y12" s="234"/>
      <c r="Z12" s="234"/>
      <c r="AA12" s="234"/>
      <c r="AB12" s="234"/>
      <c r="AC12" s="233"/>
      <c r="AD12" s="365"/>
      <c r="AE12" s="366"/>
      <c r="AF12" s="233"/>
      <c r="AG12" s="233"/>
      <c r="AH12" s="233"/>
      <c r="AI12" s="670"/>
    </row>
    <row r="13" spans="1:35" ht="24" customHeight="1">
      <c r="A13" s="36"/>
      <c r="B13" s="36"/>
      <c r="C13" s="112"/>
      <c r="D13" s="68"/>
      <c r="E13" s="109"/>
      <c r="F13" s="289"/>
      <c r="G13" s="125"/>
      <c r="H13" s="111"/>
      <c r="I13" s="111"/>
      <c r="J13" s="68"/>
      <c r="K13" s="68"/>
      <c r="L13" s="69"/>
      <c r="M13" s="37"/>
      <c r="N13" s="37"/>
      <c r="O13" s="231"/>
      <c r="P13" s="232"/>
      <c r="Q13" s="233"/>
      <c r="R13" s="233"/>
      <c r="S13" s="233"/>
      <c r="T13" s="233"/>
      <c r="U13" s="233"/>
      <c r="V13" s="233"/>
      <c r="W13" s="233"/>
      <c r="X13" s="234"/>
      <c r="Y13" s="234"/>
      <c r="Z13" s="234"/>
      <c r="AA13" s="234"/>
      <c r="AB13" s="234"/>
      <c r="AC13" s="233"/>
      <c r="AD13" s="365"/>
      <c r="AE13" s="366"/>
      <c r="AF13" s="233"/>
      <c r="AG13" s="233"/>
      <c r="AH13" s="233"/>
      <c r="AI13" s="670"/>
    </row>
    <row r="14" spans="1:35" ht="24" customHeight="1">
      <c r="A14" s="36"/>
      <c r="B14" s="36"/>
      <c r="C14" s="112"/>
      <c r="D14" s="68"/>
      <c r="E14" s="109"/>
      <c r="F14" s="289"/>
      <c r="G14" s="125"/>
      <c r="H14" s="111"/>
      <c r="I14" s="111"/>
      <c r="J14" s="68"/>
      <c r="K14" s="68"/>
      <c r="L14" s="69"/>
      <c r="M14" s="37"/>
      <c r="N14" s="37"/>
      <c r="O14" s="231"/>
      <c r="P14" s="232"/>
      <c r="Q14" s="233"/>
      <c r="R14" s="233"/>
      <c r="S14" s="233"/>
      <c r="T14" s="233"/>
      <c r="U14" s="233"/>
      <c r="V14" s="233"/>
      <c r="W14" s="233"/>
      <c r="X14" s="234"/>
      <c r="Y14" s="234"/>
      <c r="Z14" s="234"/>
      <c r="AA14" s="234"/>
      <c r="AB14" s="234"/>
      <c r="AC14" s="233"/>
      <c r="AD14" s="365"/>
      <c r="AE14" s="366"/>
      <c r="AF14" s="233"/>
      <c r="AG14" s="233"/>
      <c r="AH14" s="233"/>
      <c r="AI14" s="670"/>
    </row>
    <row r="15" spans="1:35" s="37" customFormat="1" ht="24" customHeight="1">
      <c r="A15" s="36"/>
      <c r="B15" s="36"/>
      <c r="C15" s="112"/>
      <c r="D15" s="68"/>
      <c r="E15" s="109"/>
      <c r="F15" s="289"/>
      <c r="G15" s="125"/>
      <c r="H15" s="111"/>
      <c r="I15" s="111"/>
      <c r="J15" s="68"/>
      <c r="K15" s="68"/>
      <c r="L15" s="69"/>
      <c r="O15" s="231"/>
      <c r="P15" s="232"/>
      <c r="Q15" s="233"/>
      <c r="R15" s="233"/>
      <c r="S15" s="233"/>
      <c r="T15" s="233"/>
      <c r="U15" s="233"/>
      <c r="V15" s="233"/>
      <c r="W15" s="233"/>
      <c r="X15" s="234"/>
      <c r="Y15" s="234"/>
      <c r="Z15" s="234"/>
      <c r="AA15" s="234"/>
      <c r="AB15" s="234"/>
      <c r="AC15" s="233"/>
      <c r="AD15" s="365"/>
      <c r="AE15" s="366"/>
      <c r="AF15" s="233"/>
      <c r="AG15" s="233"/>
      <c r="AH15" s="233"/>
      <c r="AI15" s="670"/>
    </row>
    <row r="16" spans="1:35" ht="24" customHeight="1">
      <c r="A16" s="36"/>
      <c r="B16" s="36"/>
      <c r="C16" s="112"/>
      <c r="D16" s="68" t="s">
        <v>67</v>
      </c>
      <c r="E16" s="109"/>
      <c r="F16" s="289"/>
      <c r="G16" s="125"/>
      <c r="H16" s="111"/>
      <c r="I16" s="111">
        <f>SUM(I7:I15)</f>
        <v>7963823</v>
      </c>
      <c r="J16" s="738" t="str">
        <f>IF(COUNTIF(N:N,"費用")=0,"","うち費用")</f>
        <v>うち費用</v>
      </c>
      <c r="K16" s="739">
        <f>IF(COUNTIF(N:N,"費用")=0,"",SUMIF(N:N,"費用",I:I))</f>
        <v>1283385</v>
      </c>
      <c r="L16" s="69"/>
      <c r="M16" s="37"/>
      <c r="N16" s="37"/>
      <c r="O16" s="231"/>
      <c r="P16" s="232"/>
      <c r="Q16" s="233"/>
      <c r="R16" s="233"/>
      <c r="S16" s="233"/>
      <c r="T16" s="233"/>
      <c r="U16" s="233"/>
      <c r="V16" s="233"/>
      <c r="W16" s="233"/>
      <c r="X16" s="234"/>
      <c r="Y16" s="234"/>
      <c r="Z16" s="234"/>
      <c r="AA16" s="234"/>
      <c r="AB16" s="234"/>
      <c r="AC16" s="233"/>
      <c r="AD16" s="365"/>
      <c r="AE16" s="366"/>
      <c r="AF16" s="233"/>
      <c r="AG16" s="233"/>
      <c r="AH16" s="233"/>
      <c r="AI16" s="670"/>
    </row>
    <row r="17" spans="1:35" s="37" customFormat="1" ht="24" customHeight="1">
      <c r="A17" s="36"/>
      <c r="B17" s="36"/>
      <c r="C17" s="112"/>
      <c r="D17" s="126"/>
      <c r="E17" s="109"/>
      <c r="F17" s="289"/>
      <c r="G17" s="125"/>
      <c r="H17" s="111"/>
      <c r="I17" s="111"/>
      <c r="J17" s="68"/>
      <c r="K17" s="68"/>
      <c r="L17" s="69"/>
      <c r="O17" s="231"/>
      <c r="P17" s="232"/>
      <c r="Q17" s="233"/>
      <c r="R17" s="233"/>
      <c r="S17" s="233"/>
      <c r="T17" s="233"/>
      <c r="U17" s="233"/>
      <c r="V17" s="233"/>
      <c r="W17" s="233"/>
      <c r="X17" s="234"/>
      <c r="Y17" s="234"/>
      <c r="Z17" s="234"/>
      <c r="AA17" s="234"/>
      <c r="AB17" s="234"/>
      <c r="AC17" s="233"/>
      <c r="AD17" s="365"/>
      <c r="AE17" s="366"/>
      <c r="AF17" s="233"/>
      <c r="AG17" s="233"/>
      <c r="AH17" s="233"/>
      <c r="AI17" s="670"/>
    </row>
    <row r="18" spans="1:35" ht="24" customHeight="1">
      <c r="A18" s="36"/>
      <c r="B18" s="36"/>
      <c r="C18" s="194" t="s">
        <v>166</v>
      </c>
      <c r="D18" s="68"/>
      <c r="E18" s="109"/>
      <c r="F18" s="289"/>
      <c r="G18" s="125"/>
      <c r="H18" s="111"/>
      <c r="I18" s="111"/>
      <c r="J18" s="68"/>
      <c r="K18" s="68"/>
      <c r="L18" s="69"/>
      <c r="M18" s="37"/>
      <c r="N18" s="37"/>
      <c r="O18" s="231"/>
      <c r="P18" s="232"/>
      <c r="Q18" s="233"/>
      <c r="R18" s="233"/>
      <c r="S18" s="233"/>
      <c r="T18" s="233"/>
      <c r="U18" s="233"/>
      <c r="V18" s="233"/>
      <c r="W18" s="233"/>
      <c r="X18" s="234"/>
      <c r="Y18" s="234"/>
      <c r="Z18" s="234"/>
      <c r="AA18" s="234"/>
      <c r="AB18" s="234"/>
      <c r="AC18" s="233"/>
      <c r="AD18" s="365"/>
      <c r="AE18" s="366"/>
      <c r="AF18" s="233"/>
      <c r="AG18" s="233"/>
      <c r="AH18" s="233"/>
      <c r="AI18" s="670"/>
    </row>
    <row r="19" spans="1:35" ht="24" customHeight="1">
      <c r="A19" s="36"/>
      <c r="B19" s="36"/>
      <c r="C19" s="112"/>
      <c r="D19" s="68" t="s">
        <v>169</v>
      </c>
      <c r="E19" s="109"/>
      <c r="F19" s="289">
        <v>1</v>
      </c>
      <c r="G19" s="125" t="s">
        <v>7</v>
      </c>
      <c r="H19" s="111"/>
      <c r="I19" s="111">
        <f>+I47</f>
        <v>566578</v>
      </c>
      <c r="J19" s="68"/>
      <c r="K19" s="68"/>
      <c r="L19" s="69"/>
      <c r="M19" s="37"/>
      <c r="N19" s="37"/>
      <c r="O19" s="231"/>
      <c r="P19" s="232"/>
      <c r="Q19" s="233"/>
      <c r="R19" s="233"/>
      <c r="S19" s="233"/>
      <c r="T19" s="233"/>
      <c r="U19" s="233"/>
      <c r="V19" s="233"/>
      <c r="W19" s="233"/>
      <c r="X19" s="234"/>
      <c r="Y19" s="234"/>
      <c r="Z19" s="234"/>
      <c r="AA19" s="234"/>
      <c r="AB19" s="234"/>
      <c r="AC19" s="233"/>
      <c r="AD19" s="365"/>
      <c r="AE19" s="366"/>
      <c r="AF19" s="233"/>
      <c r="AG19" s="233"/>
      <c r="AH19" s="233"/>
      <c r="AI19" s="670"/>
    </row>
    <row r="20" spans="1:35" ht="24" customHeight="1">
      <c r="A20" s="36"/>
      <c r="B20" s="36"/>
      <c r="C20" s="112"/>
      <c r="D20" s="68" t="s">
        <v>3161</v>
      </c>
      <c r="E20" s="109"/>
      <c r="F20" s="289">
        <v>1</v>
      </c>
      <c r="G20" s="125" t="s">
        <v>7</v>
      </c>
      <c r="H20" s="111"/>
      <c r="I20" s="111">
        <f>+諸経費表!F22</f>
        <v>1495334</v>
      </c>
      <c r="J20" s="195"/>
      <c r="K20" s="68"/>
      <c r="L20" s="69"/>
      <c r="M20" s="37"/>
      <c r="N20" s="37"/>
      <c r="O20" s="231"/>
      <c r="P20" s="232"/>
      <c r="Q20" s="233"/>
      <c r="R20" s="233"/>
      <c r="S20" s="233"/>
      <c r="T20" s="233"/>
      <c r="U20" s="233"/>
      <c r="V20" s="233"/>
      <c r="W20" s="233"/>
      <c r="X20" s="234"/>
      <c r="Y20" s="234"/>
      <c r="Z20" s="234"/>
      <c r="AA20" s="234"/>
      <c r="AB20" s="234"/>
      <c r="AC20" s="233"/>
      <c r="AD20" s="365"/>
      <c r="AE20" s="366"/>
      <c r="AF20" s="233"/>
      <c r="AG20" s="233"/>
      <c r="AH20" s="233"/>
      <c r="AI20" s="670"/>
    </row>
    <row r="21" spans="1:35" ht="24" customHeight="1">
      <c r="A21" s="36"/>
      <c r="B21" s="36"/>
      <c r="C21" s="112"/>
      <c r="D21" s="68" t="s">
        <v>3094</v>
      </c>
      <c r="E21" s="109"/>
      <c r="F21" s="289">
        <v>1</v>
      </c>
      <c r="G21" s="125" t="s">
        <v>3163</v>
      </c>
      <c r="H21" s="111"/>
      <c r="I21" s="111">
        <f>+諸経費表!F27</f>
        <v>1634265</v>
      </c>
      <c r="J21" s="68"/>
      <c r="K21" s="68"/>
      <c r="L21" s="69"/>
      <c r="M21" s="37"/>
      <c r="N21" s="37"/>
      <c r="O21" s="231"/>
      <c r="P21" s="232"/>
      <c r="Q21" s="233"/>
      <c r="R21" s="233"/>
      <c r="S21" s="233"/>
      <c r="T21" s="233"/>
      <c r="U21" s="233"/>
      <c r="V21" s="233"/>
      <c r="W21" s="233"/>
      <c r="X21" s="234"/>
      <c r="Y21" s="234"/>
      <c r="Z21" s="234"/>
      <c r="AA21" s="234"/>
      <c r="AB21" s="234"/>
      <c r="AC21" s="233"/>
      <c r="AD21" s="365"/>
      <c r="AE21" s="366"/>
      <c r="AF21" s="233"/>
      <c r="AG21" s="233"/>
      <c r="AH21" s="233"/>
      <c r="AI21" s="670"/>
    </row>
    <row r="22" spans="1:35" ht="24" customHeight="1">
      <c r="A22" s="36"/>
      <c r="B22" s="36"/>
      <c r="C22" s="112"/>
      <c r="D22" s="68" t="s">
        <v>67</v>
      </c>
      <c r="E22" s="109"/>
      <c r="F22" s="289"/>
      <c r="G22" s="125"/>
      <c r="H22" s="111"/>
      <c r="I22" s="111">
        <f>SUM(I19:I21)</f>
        <v>3696177</v>
      </c>
      <c r="J22" s="68"/>
      <c r="K22" s="68"/>
      <c r="L22" s="69"/>
      <c r="M22" s="37"/>
      <c r="N22" s="37"/>
      <c r="O22" s="231"/>
      <c r="P22" s="232"/>
      <c r="Q22" s="233"/>
      <c r="R22" s="233"/>
      <c r="S22" s="233"/>
      <c r="T22" s="233"/>
      <c r="U22" s="233"/>
      <c r="V22" s="233"/>
      <c r="W22" s="233"/>
      <c r="X22" s="234"/>
      <c r="Y22" s="234"/>
      <c r="Z22" s="234"/>
      <c r="AA22" s="234"/>
      <c r="AB22" s="234"/>
      <c r="AC22" s="233"/>
      <c r="AD22" s="365"/>
      <c r="AE22" s="366"/>
      <c r="AF22" s="233"/>
      <c r="AG22" s="233"/>
      <c r="AH22" s="233"/>
      <c r="AI22" s="670"/>
    </row>
    <row r="23" spans="1:35" s="37" customFormat="1" ht="24" customHeight="1">
      <c r="A23" s="36"/>
      <c r="B23" s="36"/>
      <c r="C23" s="112"/>
      <c r="D23" s="68"/>
      <c r="E23" s="109"/>
      <c r="F23" s="289"/>
      <c r="G23" s="125"/>
      <c r="H23" s="111"/>
      <c r="I23" s="111"/>
      <c r="J23" s="68"/>
      <c r="K23" s="68"/>
      <c r="L23" s="69"/>
      <c r="O23" s="231"/>
      <c r="P23" s="232"/>
      <c r="Q23" s="233"/>
      <c r="R23" s="233"/>
      <c r="S23" s="233"/>
      <c r="T23" s="233"/>
      <c r="U23" s="233"/>
      <c r="V23" s="233"/>
      <c r="W23" s="233"/>
      <c r="X23" s="234"/>
      <c r="Y23" s="234"/>
      <c r="Z23" s="234"/>
      <c r="AA23" s="234"/>
      <c r="AB23" s="234"/>
      <c r="AC23" s="233"/>
      <c r="AD23" s="365"/>
      <c r="AE23" s="366"/>
      <c r="AF23" s="233"/>
      <c r="AG23" s="233"/>
      <c r="AH23" s="233"/>
      <c r="AI23" s="670"/>
    </row>
    <row r="24" spans="1:35" ht="24" customHeight="1" thickBot="1">
      <c r="A24" s="36"/>
      <c r="B24" s="36"/>
      <c r="C24" s="113"/>
      <c r="D24" s="99" t="s">
        <v>63</v>
      </c>
      <c r="E24" s="114"/>
      <c r="F24" s="290"/>
      <c r="G24" s="127"/>
      <c r="H24" s="128" t="s">
        <v>90</v>
      </c>
      <c r="I24" s="115">
        <f>+I22+I16</f>
        <v>11660000</v>
      </c>
      <c r="J24" s="99" t="s">
        <v>91</v>
      </c>
      <c r="K24" s="99"/>
      <c r="L24" s="129"/>
      <c r="O24" s="231"/>
      <c r="P24" s="232"/>
      <c r="Q24" s="233"/>
      <c r="R24" s="233"/>
      <c r="S24" s="233"/>
      <c r="T24" s="233"/>
      <c r="U24" s="233"/>
      <c r="V24" s="233"/>
      <c r="W24" s="233"/>
      <c r="X24" s="234"/>
      <c r="Y24" s="234"/>
      <c r="Z24" s="234"/>
      <c r="AA24" s="234"/>
      <c r="AB24" s="234"/>
      <c r="AC24" s="233"/>
      <c r="AD24" s="365"/>
      <c r="AE24" s="366"/>
      <c r="AF24" s="233"/>
      <c r="AG24" s="233"/>
      <c r="AH24" s="233"/>
      <c r="AI24" s="670"/>
    </row>
    <row r="25" spans="1:35" ht="14.25" customHeight="1">
      <c r="E25" s="130" t="s">
        <v>108</v>
      </c>
      <c r="F25" s="131">
        <f>+F2+1</f>
        <v>4</v>
      </c>
      <c r="G25" s="132" t="s">
        <v>109</v>
      </c>
      <c r="H25" s="133">
        <f>H2</f>
        <v>11</v>
      </c>
      <c r="M25" s="31" t="str">
        <f>IF(A27="","EOL","")</f>
        <v/>
      </c>
      <c r="N25" s="1">
        <f>+F25</f>
        <v>4</v>
      </c>
    </row>
    <row r="26" spans="1:35" ht="26.1" customHeight="1" thickBot="1">
      <c r="C26" s="2169" t="s">
        <v>343</v>
      </c>
      <c r="D26" s="2169"/>
      <c r="E26" s="2169"/>
      <c r="F26" s="2169"/>
      <c r="G26" s="2169"/>
      <c r="H26" s="2169"/>
      <c r="I26" s="2169"/>
      <c r="J26" s="2169"/>
      <c r="K26" s="2169"/>
      <c r="L26" s="2169"/>
      <c r="O26" s="2232" t="s">
        <v>155</v>
      </c>
      <c r="P26" s="2232"/>
      <c r="Q26" s="2232"/>
      <c r="R26" s="2232"/>
      <c r="S26" s="2232"/>
      <c r="T26" s="2232"/>
      <c r="U26" s="2232"/>
      <c r="V26" s="2232"/>
      <c r="W26" s="2232"/>
      <c r="X26" s="2232"/>
      <c r="Y26" s="2232"/>
      <c r="Z26" s="2232"/>
      <c r="AA26" s="2232"/>
      <c r="AB26" s="2232"/>
      <c r="AC26" s="2232"/>
      <c r="AD26" s="2232"/>
      <c r="AE26" s="2232"/>
      <c r="AF26" s="2232"/>
      <c r="AG26" s="2232"/>
      <c r="AH26" s="2233"/>
      <c r="AI26" s="668"/>
    </row>
    <row r="27" spans="1:35" ht="42" customHeight="1">
      <c r="A27" s="5" t="s">
        <v>11</v>
      </c>
      <c r="B27" s="5" t="s">
        <v>10</v>
      </c>
      <c r="C27" s="88" t="s">
        <v>0</v>
      </c>
      <c r="D27" s="89"/>
      <c r="E27" s="66" t="s">
        <v>1</v>
      </c>
      <c r="F27" s="64" t="s">
        <v>2</v>
      </c>
      <c r="G27" s="64" t="s">
        <v>3</v>
      </c>
      <c r="H27" s="65" t="s">
        <v>4</v>
      </c>
      <c r="I27" s="65" t="s">
        <v>5</v>
      </c>
      <c r="J27" s="89" t="s">
        <v>6</v>
      </c>
      <c r="K27" s="89"/>
      <c r="L27" s="90"/>
      <c r="M27" s="37"/>
      <c r="N27" s="37"/>
      <c r="O27" s="165" t="s">
        <v>87</v>
      </c>
      <c r="P27" s="359" t="s">
        <v>267</v>
      </c>
      <c r="Q27" s="291" t="s">
        <v>282</v>
      </c>
      <c r="R27" s="291" t="s">
        <v>229</v>
      </c>
      <c r="S27" s="291" t="s">
        <v>230</v>
      </c>
      <c r="T27" s="291" t="s">
        <v>245</v>
      </c>
      <c r="U27" s="291" t="s">
        <v>149</v>
      </c>
      <c r="V27" s="164" t="s">
        <v>148</v>
      </c>
      <c r="W27" s="291" t="s">
        <v>231</v>
      </c>
      <c r="X27" s="224" t="s">
        <v>232</v>
      </c>
      <c r="Y27" s="224" t="s">
        <v>233</v>
      </c>
      <c r="Z27" s="224" t="s">
        <v>234</v>
      </c>
      <c r="AA27" s="224" t="s">
        <v>235</v>
      </c>
      <c r="AB27" s="224" t="s">
        <v>277</v>
      </c>
      <c r="AC27" s="362" t="s">
        <v>286</v>
      </c>
      <c r="AD27" s="363" t="s">
        <v>287</v>
      </c>
      <c r="AE27" s="364" t="s">
        <v>151</v>
      </c>
      <c r="AF27" s="163" t="s">
        <v>154</v>
      </c>
      <c r="AG27" s="163" t="s">
        <v>152</v>
      </c>
      <c r="AH27" s="163" t="s">
        <v>153</v>
      </c>
      <c r="AI27" s="669"/>
    </row>
    <row r="28" spans="1:35" ht="24" customHeight="1">
      <c r="A28" s="36"/>
      <c r="B28" s="36"/>
      <c r="C28" s="138" t="s">
        <v>170</v>
      </c>
      <c r="D28" s="103"/>
      <c r="E28" s="106"/>
      <c r="F28" s="288"/>
      <c r="G28" s="142"/>
      <c r="H28" s="98" t="s">
        <v>12</v>
      </c>
      <c r="I28" s="98" t="s">
        <v>12</v>
      </c>
      <c r="J28" s="103"/>
      <c r="K28" s="103"/>
      <c r="L28" s="104"/>
      <c r="O28" s="231"/>
      <c r="P28" s="232"/>
      <c r="Q28" s="233"/>
      <c r="R28" s="233"/>
      <c r="S28" s="233"/>
      <c r="T28" s="233"/>
      <c r="U28" s="233"/>
      <c r="V28" s="233"/>
      <c r="W28" s="233"/>
      <c r="X28" s="234"/>
      <c r="Y28" s="234"/>
      <c r="Z28" s="234"/>
      <c r="AA28" s="234"/>
      <c r="AB28" s="234"/>
      <c r="AC28" s="233"/>
      <c r="AD28" s="365"/>
      <c r="AE28" s="366"/>
      <c r="AF28" s="233"/>
      <c r="AG28" s="233"/>
      <c r="AH28" s="233"/>
      <c r="AI28" s="670"/>
    </row>
    <row r="29" spans="1:35" s="37" customFormat="1" ht="24" customHeight="1">
      <c r="A29" s="36"/>
      <c r="B29" s="36"/>
      <c r="C29" s="112"/>
      <c r="D29" s="68" t="s">
        <v>2516</v>
      </c>
      <c r="E29" s="109"/>
      <c r="F29" s="289"/>
      <c r="G29" s="125"/>
      <c r="H29" s="143"/>
      <c r="I29" s="111" t="str">
        <f t="shared" ref="I29:I46" si="0">IF(F29="","",INT(F29*H29))</f>
        <v/>
      </c>
      <c r="J29" s="68"/>
      <c r="K29" s="68"/>
      <c r="L29" s="69"/>
      <c r="O29" s="231"/>
      <c r="P29" s="232"/>
      <c r="Q29" s="233"/>
      <c r="R29" s="233"/>
      <c r="S29" s="233"/>
      <c r="T29" s="233"/>
      <c r="U29" s="233"/>
      <c r="V29" s="233"/>
      <c r="W29" s="233"/>
      <c r="X29" s="234"/>
      <c r="Y29" s="234"/>
      <c r="Z29" s="234"/>
      <c r="AA29" s="234"/>
      <c r="AB29" s="234"/>
      <c r="AC29" s="233"/>
      <c r="AD29" s="365"/>
      <c r="AE29" s="366"/>
      <c r="AF29" s="233"/>
      <c r="AG29" s="233"/>
      <c r="AH29" s="233"/>
      <c r="AI29" s="670"/>
    </row>
    <row r="30" spans="1:35" s="37" customFormat="1" ht="24" customHeight="1">
      <c r="A30" s="36"/>
      <c r="B30" s="36"/>
      <c r="C30" s="112"/>
      <c r="D30" s="68" t="s">
        <v>2514</v>
      </c>
      <c r="E30" s="109"/>
      <c r="F30" s="289">
        <v>1</v>
      </c>
      <c r="G30" s="125" t="s">
        <v>2515</v>
      </c>
      <c r="H30" s="143">
        <f>+諸経費表!F16</f>
        <v>261678</v>
      </c>
      <c r="I30" s="111">
        <f t="shared" si="0"/>
        <v>261678</v>
      </c>
      <c r="J30" s="68"/>
      <c r="K30" s="68"/>
      <c r="L30" s="69"/>
      <c r="O30" s="231"/>
      <c r="P30" s="232"/>
      <c r="Q30" s="233"/>
      <c r="R30" s="233"/>
      <c r="S30" s="233"/>
      <c r="T30" s="233"/>
      <c r="U30" s="233"/>
      <c r="V30" s="233"/>
      <c r="W30" s="233"/>
      <c r="X30" s="234"/>
      <c r="Y30" s="234"/>
      <c r="Z30" s="234"/>
      <c r="AA30" s="234"/>
      <c r="AB30" s="234"/>
      <c r="AC30" s="233"/>
      <c r="AD30" s="365"/>
      <c r="AE30" s="366"/>
      <c r="AF30" s="233"/>
      <c r="AG30" s="233"/>
      <c r="AH30" s="233"/>
      <c r="AI30" s="670"/>
    </row>
    <row r="31" spans="1:35" s="37" customFormat="1" ht="24" customHeight="1">
      <c r="A31" s="36"/>
      <c r="B31" s="36"/>
      <c r="C31" s="804"/>
      <c r="D31" s="805"/>
      <c r="E31" s="806"/>
      <c r="F31" s="807"/>
      <c r="G31" s="808"/>
      <c r="H31" s="809"/>
      <c r="I31" s="111" t="str">
        <f t="shared" si="0"/>
        <v/>
      </c>
      <c r="J31" s="805"/>
      <c r="K31" s="805"/>
      <c r="L31" s="810"/>
      <c r="O31" s="231"/>
      <c r="P31" s="232"/>
      <c r="Q31" s="233"/>
      <c r="R31" s="233"/>
      <c r="S31" s="233"/>
      <c r="T31" s="233"/>
      <c r="U31" s="233"/>
      <c r="V31" s="233"/>
      <c r="W31" s="233"/>
      <c r="X31" s="234"/>
      <c r="Y31" s="234"/>
      <c r="Z31" s="234"/>
      <c r="AA31" s="234"/>
      <c r="AB31" s="234"/>
      <c r="AC31" s="233"/>
      <c r="AD31" s="365"/>
      <c r="AE31" s="366"/>
      <c r="AF31" s="233"/>
      <c r="AG31" s="233"/>
      <c r="AH31" s="233"/>
      <c r="AI31" s="670"/>
    </row>
    <row r="32" spans="1:35" s="37" customFormat="1" ht="24" customHeight="1">
      <c r="A32" s="36"/>
      <c r="B32" s="36"/>
      <c r="C32" s="812"/>
      <c r="D32" s="813" t="s">
        <v>2519</v>
      </c>
      <c r="E32" s="814"/>
      <c r="F32" s="815"/>
      <c r="G32" s="816"/>
      <c r="H32" s="817"/>
      <c r="I32" s="818">
        <f>SUM(I30:I31)</f>
        <v>261678</v>
      </c>
      <c r="J32" s="813"/>
      <c r="K32" s="813"/>
      <c r="L32" s="819"/>
      <c r="O32" s="231"/>
      <c r="P32" s="232"/>
      <c r="Q32" s="233"/>
      <c r="R32" s="233"/>
      <c r="S32" s="233"/>
      <c r="T32" s="233"/>
      <c r="U32" s="233"/>
      <c r="V32" s="233"/>
      <c r="W32" s="233"/>
      <c r="X32" s="234"/>
      <c r="Y32" s="234"/>
      <c r="Z32" s="234"/>
      <c r="AA32" s="234"/>
      <c r="AB32" s="234"/>
      <c r="AC32" s="233"/>
      <c r="AD32" s="365"/>
      <c r="AE32" s="366"/>
      <c r="AF32" s="233"/>
      <c r="AG32" s="233"/>
      <c r="AH32" s="233"/>
      <c r="AI32" s="670"/>
    </row>
    <row r="33" spans="1:35" s="37" customFormat="1" ht="24" customHeight="1">
      <c r="A33" s="36"/>
      <c r="B33" s="36"/>
      <c r="C33" s="811"/>
      <c r="D33" s="797"/>
      <c r="E33" s="798"/>
      <c r="F33" s="799"/>
      <c r="G33" s="800"/>
      <c r="H33" s="801"/>
      <c r="I33" s="802" t="str">
        <f t="shared" si="0"/>
        <v/>
      </c>
      <c r="J33" s="797"/>
      <c r="K33" s="797"/>
      <c r="L33" s="803"/>
      <c r="O33" s="231"/>
      <c r="P33" s="232"/>
      <c r="Q33" s="233"/>
      <c r="R33" s="233"/>
      <c r="S33" s="233"/>
      <c r="T33" s="233"/>
      <c r="U33" s="233"/>
      <c r="V33" s="233"/>
      <c r="W33" s="233"/>
      <c r="X33" s="234"/>
      <c r="Y33" s="234"/>
      <c r="Z33" s="234"/>
      <c r="AA33" s="234"/>
      <c r="AB33" s="234"/>
      <c r="AC33" s="233"/>
      <c r="AD33" s="365"/>
      <c r="AE33" s="366"/>
      <c r="AF33" s="233"/>
      <c r="AG33" s="233"/>
      <c r="AH33" s="233"/>
      <c r="AI33" s="670"/>
    </row>
    <row r="34" spans="1:35" s="37" customFormat="1" ht="24" customHeight="1">
      <c r="A34" s="36"/>
      <c r="B34" s="36"/>
      <c r="C34" s="112"/>
      <c r="D34" s="68" t="s">
        <v>2517</v>
      </c>
      <c r="E34" s="109"/>
      <c r="F34" s="289"/>
      <c r="G34" s="125"/>
      <c r="H34" s="143"/>
      <c r="I34" s="111" t="str">
        <f t="shared" si="0"/>
        <v/>
      </c>
      <c r="J34" s="68"/>
      <c r="K34" s="68"/>
      <c r="L34" s="69"/>
      <c r="O34" s="231"/>
      <c r="P34" s="232"/>
      <c r="Q34" s="233"/>
      <c r="R34" s="233"/>
      <c r="S34" s="233"/>
      <c r="T34" s="233"/>
      <c r="U34" s="233"/>
      <c r="V34" s="233"/>
      <c r="W34" s="233"/>
      <c r="X34" s="234"/>
      <c r="Y34" s="234"/>
      <c r="Z34" s="234"/>
      <c r="AA34" s="234"/>
      <c r="AB34" s="234"/>
      <c r="AC34" s="233"/>
      <c r="AD34" s="365"/>
      <c r="AE34" s="366"/>
      <c r="AF34" s="233"/>
      <c r="AG34" s="233"/>
      <c r="AH34" s="233"/>
      <c r="AI34" s="670"/>
    </row>
    <row r="35" spans="1:35" s="37" customFormat="1" ht="24" customHeight="1">
      <c r="A35" s="36"/>
      <c r="B35" s="36"/>
      <c r="C35" s="112"/>
      <c r="D35" s="68" t="s">
        <v>51</v>
      </c>
      <c r="E35" s="109"/>
      <c r="F35" s="289">
        <v>1</v>
      </c>
      <c r="G35" s="125" t="s">
        <v>7</v>
      </c>
      <c r="H35" s="143"/>
      <c r="I35" s="111">
        <f t="shared" si="0"/>
        <v>0</v>
      </c>
      <c r="J35" s="68"/>
      <c r="K35" s="68"/>
      <c r="L35" s="69"/>
      <c r="O35" s="231"/>
      <c r="P35" s="232"/>
      <c r="Q35" s="233"/>
      <c r="R35" s="233"/>
      <c r="S35" s="233"/>
      <c r="T35" s="233"/>
      <c r="U35" s="233"/>
      <c r="V35" s="233"/>
      <c r="W35" s="233"/>
      <c r="X35" s="234"/>
      <c r="Y35" s="234"/>
      <c r="Z35" s="234"/>
      <c r="AA35" s="234"/>
      <c r="AB35" s="234"/>
      <c r="AC35" s="233"/>
      <c r="AD35" s="365"/>
      <c r="AE35" s="366"/>
      <c r="AF35" s="233"/>
      <c r="AG35" s="233"/>
      <c r="AH35" s="233"/>
      <c r="AI35" s="670"/>
    </row>
    <row r="36" spans="1:35" s="37" customFormat="1" ht="24" customHeight="1">
      <c r="A36" s="36"/>
      <c r="B36" s="36"/>
      <c r="C36" s="112"/>
      <c r="D36" s="68" t="s">
        <v>52</v>
      </c>
      <c r="E36" s="109"/>
      <c r="F36" s="289">
        <v>1</v>
      </c>
      <c r="G36" s="125" t="s">
        <v>7</v>
      </c>
      <c r="H36" s="143"/>
      <c r="I36" s="111">
        <f t="shared" si="0"/>
        <v>0</v>
      </c>
      <c r="J36" s="68"/>
      <c r="K36" s="68"/>
      <c r="L36" s="69"/>
      <c r="O36" s="231"/>
      <c r="P36" s="232"/>
      <c r="Q36" s="233"/>
      <c r="R36" s="233"/>
      <c r="S36" s="233"/>
      <c r="T36" s="233"/>
      <c r="U36" s="233"/>
      <c r="V36" s="233"/>
      <c r="W36" s="233"/>
      <c r="X36" s="234"/>
      <c r="Y36" s="234"/>
      <c r="Z36" s="234"/>
      <c r="AA36" s="234"/>
      <c r="AB36" s="234"/>
      <c r="AC36" s="233"/>
      <c r="AD36" s="365"/>
      <c r="AE36" s="366"/>
      <c r="AF36" s="233"/>
      <c r="AG36" s="233"/>
      <c r="AH36" s="233"/>
      <c r="AI36" s="670"/>
    </row>
    <row r="37" spans="1:35" s="37" customFormat="1" ht="24" customHeight="1">
      <c r="A37" s="36"/>
      <c r="B37" s="36"/>
      <c r="C37" s="112"/>
      <c r="D37" s="68" t="s">
        <v>50</v>
      </c>
      <c r="E37" s="109"/>
      <c r="F37" s="289">
        <v>1</v>
      </c>
      <c r="G37" s="125" t="s">
        <v>7</v>
      </c>
      <c r="H37" s="143"/>
      <c r="I37" s="111">
        <v>232900</v>
      </c>
      <c r="J37" s="68" t="s">
        <v>3270</v>
      </c>
      <c r="K37" s="68"/>
      <c r="L37" s="69"/>
      <c r="O37" s="231"/>
      <c r="P37" s="232"/>
      <c r="Q37" s="233"/>
      <c r="R37" s="233"/>
      <c r="S37" s="233"/>
      <c r="T37" s="233"/>
      <c r="U37" s="233"/>
      <c r="V37" s="233"/>
      <c r="W37" s="233"/>
      <c r="X37" s="234"/>
      <c r="Y37" s="234"/>
      <c r="Z37" s="234"/>
      <c r="AA37" s="234"/>
      <c r="AB37" s="234"/>
      <c r="AC37" s="233"/>
      <c r="AD37" s="365"/>
      <c r="AE37" s="366"/>
      <c r="AF37" s="233"/>
      <c r="AG37" s="233"/>
      <c r="AH37" s="233"/>
      <c r="AI37" s="670"/>
    </row>
    <row r="38" spans="1:35" s="37" customFormat="1" ht="24" customHeight="1">
      <c r="A38" s="36"/>
      <c r="B38" s="36"/>
      <c r="C38" s="112"/>
      <c r="D38" s="68" t="s">
        <v>167</v>
      </c>
      <c r="E38" s="109"/>
      <c r="F38" s="289">
        <v>1</v>
      </c>
      <c r="G38" s="125" t="s">
        <v>7</v>
      </c>
      <c r="H38" s="143"/>
      <c r="I38" s="111">
        <f t="shared" si="0"/>
        <v>0</v>
      </c>
      <c r="J38" s="68"/>
      <c r="K38" s="68"/>
      <c r="L38" s="69"/>
      <c r="O38" s="231"/>
      <c r="P38" s="232"/>
      <c r="Q38" s="233"/>
      <c r="R38" s="233"/>
      <c r="S38" s="233"/>
      <c r="T38" s="233"/>
      <c r="U38" s="233"/>
      <c r="V38" s="233"/>
      <c r="W38" s="233"/>
      <c r="X38" s="234"/>
      <c r="Y38" s="234"/>
      <c r="Z38" s="234"/>
      <c r="AA38" s="234"/>
      <c r="AB38" s="234"/>
      <c r="AC38" s="233"/>
      <c r="AD38" s="365"/>
      <c r="AE38" s="366"/>
      <c r="AF38" s="233"/>
      <c r="AG38" s="233"/>
      <c r="AH38" s="233"/>
      <c r="AI38" s="670"/>
    </row>
    <row r="39" spans="1:35" s="37" customFormat="1" ht="24" customHeight="1">
      <c r="A39" s="36"/>
      <c r="B39" s="36"/>
      <c r="C39" s="112"/>
      <c r="D39" s="626" t="s">
        <v>3169</v>
      </c>
      <c r="E39" s="109"/>
      <c r="F39" s="289">
        <v>1</v>
      </c>
      <c r="G39" s="125" t="s">
        <v>7</v>
      </c>
      <c r="H39" s="143"/>
      <c r="I39" s="111">
        <f>IF(F39="","",INT(F39*H39))</f>
        <v>0</v>
      </c>
      <c r="J39" s="68"/>
      <c r="K39" s="68"/>
      <c r="L39" s="69"/>
      <c r="O39" s="231"/>
      <c r="P39" s="232"/>
      <c r="Q39" s="233"/>
      <c r="R39" s="233"/>
      <c r="S39" s="233"/>
      <c r="T39" s="233"/>
      <c r="U39" s="233"/>
      <c r="V39" s="233"/>
      <c r="W39" s="233"/>
      <c r="X39" s="234"/>
      <c r="Y39" s="234"/>
      <c r="Z39" s="234"/>
      <c r="AA39" s="234"/>
      <c r="AB39" s="234"/>
      <c r="AC39" s="233"/>
      <c r="AD39" s="365"/>
      <c r="AE39" s="366"/>
      <c r="AF39" s="233"/>
      <c r="AG39" s="233"/>
      <c r="AH39" s="233"/>
      <c r="AI39" s="670"/>
    </row>
    <row r="40" spans="1:35" s="37" customFormat="1" ht="24" customHeight="1">
      <c r="A40" s="36"/>
      <c r="B40" s="36"/>
      <c r="C40" s="112"/>
      <c r="D40" s="68" t="s">
        <v>54</v>
      </c>
      <c r="E40" s="109"/>
      <c r="F40" s="289">
        <v>1</v>
      </c>
      <c r="G40" s="125" t="s">
        <v>7</v>
      </c>
      <c r="H40" s="143"/>
      <c r="I40" s="111">
        <f t="shared" si="0"/>
        <v>0</v>
      </c>
      <c r="J40" s="68"/>
      <c r="K40" s="68"/>
      <c r="L40" s="69"/>
      <c r="O40" s="231"/>
      <c r="P40" s="232"/>
      <c r="Q40" s="233"/>
      <c r="R40" s="233"/>
      <c r="S40" s="233"/>
      <c r="T40" s="233"/>
      <c r="U40" s="233"/>
      <c r="V40" s="233"/>
      <c r="W40" s="233"/>
      <c r="X40" s="234"/>
      <c r="Y40" s="234"/>
      <c r="Z40" s="234"/>
      <c r="AA40" s="234"/>
      <c r="AB40" s="234"/>
      <c r="AC40" s="233"/>
      <c r="AD40" s="365"/>
      <c r="AE40" s="366"/>
      <c r="AF40" s="233"/>
      <c r="AG40" s="233"/>
      <c r="AH40" s="233"/>
      <c r="AI40" s="670"/>
    </row>
    <row r="41" spans="1:35" s="37" customFormat="1" ht="24" customHeight="1">
      <c r="A41" s="36"/>
      <c r="B41" s="36"/>
      <c r="C41" s="112"/>
      <c r="D41" s="626" t="s">
        <v>3168</v>
      </c>
      <c r="E41" s="109"/>
      <c r="F41" s="289">
        <v>1</v>
      </c>
      <c r="G41" s="125" t="s">
        <v>7</v>
      </c>
      <c r="H41" s="143"/>
      <c r="I41" s="111">
        <f>IF(F41="","",INT(F41*H41))</f>
        <v>0</v>
      </c>
      <c r="J41" s="68" t="s">
        <v>3270</v>
      </c>
      <c r="K41" s="68"/>
      <c r="L41" s="69"/>
      <c r="O41" s="231"/>
      <c r="P41" s="232"/>
      <c r="Q41" s="233"/>
      <c r="R41" s="233"/>
      <c r="S41" s="233"/>
      <c r="T41" s="233"/>
      <c r="U41" s="233"/>
      <c r="V41" s="233"/>
      <c r="W41" s="233"/>
      <c r="X41" s="234"/>
      <c r="Y41" s="234"/>
      <c r="Z41" s="234"/>
      <c r="AA41" s="234"/>
      <c r="AB41" s="234"/>
      <c r="AC41" s="233"/>
      <c r="AD41" s="365"/>
      <c r="AE41" s="366"/>
      <c r="AF41" s="233"/>
      <c r="AG41" s="233"/>
      <c r="AH41" s="233"/>
      <c r="AI41" s="670"/>
    </row>
    <row r="42" spans="1:35" s="37" customFormat="1" ht="24" customHeight="1">
      <c r="A42" s="36"/>
      <c r="B42" s="36"/>
      <c r="C42" s="112"/>
      <c r="D42" s="68" t="s">
        <v>56</v>
      </c>
      <c r="E42" s="109"/>
      <c r="F42" s="289">
        <v>1</v>
      </c>
      <c r="G42" s="125" t="s">
        <v>7</v>
      </c>
      <c r="H42" s="143"/>
      <c r="I42" s="111">
        <v>72000</v>
      </c>
      <c r="J42" s="68" t="s">
        <v>3272</v>
      </c>
      <c r="K42" s="68"/>
      <c r="L42" s="69"/>
      <c r="O42" s="231"/>
      <c r="P42" s="232"/>
      <c r="Q42" s="233"/>
      <c r="R42" s="233"/>
      <c r="S42" s="233"/>
      <c r="T42" s="233"/>
      <c r="U42" s="233"/>
      <c r="V42" s="233"/>
      <c r="W42" s="233"/>
      <c r="X42" s="234"/>
      <c r="Y42" s="234"/>
      <c r="Z42" s="234"/>
      <c r="AA42" s="234"/>
      <c r="AB42" s="234"/>
      <c r="AC42" s="233"/>
      <c r="AD42" s="365"/>
      <c r="AE42" s="366"/>
      <c r="AF42" s="233"/>
      <c r="AG42" s="233"/>
      <c r="AH42" s="233"/>
      <c r="AI42" s="670"/>
    </row>
    <row r="43" spans="1:35" s="37" customFormat="1" ht="24" customHeight="1">
      <c r="A43" s="36"/>
      <c r="B43" s="36"/>
      <c r="C43" s="112"/>
      <c r="D43" s="626" t="s">
        <v>3167</v>
      </c>
      <c r="E43" s="109"/>
      <c r="F43" s="289">
        <v>1</v>
      </c>
      <c r="G43" s="125" t="s">
        <v>7</v>
      </c>
      <c r="H43" s="143"/>
      <c r="I43" s="111">
        <f>IF(F43="","",INT(F43*H43))</f>
        <v>0</v>
      </c>
      <c r="J43" s="68"/>
      <c r="K43" s="68"/>
      <c r="L43" s="69"/>
      <c r="O43" s="231"/>
      <c r="P43" s="232"/>
      <c r="Q43" s="233"/>
      <c r="R43" s="233"/>
      <c r="S43" s="233"/>
      <c r="T43" s="233"/>
      <c r="U43" s="233"/>
      <c r="V43" s="233"/>
      <c r="W43" s="233"/>
      <c r="X43" s="234"/>
      <c r="Y43" s="234"/>
      <c r="Z43" s="234"/>
      <c r="AA43" s="234"/>
      <c r="AB43" s="234"/>
      <c r="AC43" s="233"/>
      <c r="AD43" s="365"/>
      <c r="AE43" s="366"/>
      <c r="AF43" s="233"/>
      <c r="AG43" s="233"/>
      <c r="AH43" s="233"/>
      <c r="AI43" s="670"/>
    </row>
    <row r="44" spans="1:35" s="37" customFormat="1" ht="24" customHeight="1">
      <c r="A44" s="36"/>
      <c r="B44" s="36"/>
      <c r="C44" s="804"/>
      <c r="D44" s="2130"/>
      <c r="E44" s="806"/>
      <c r="F44" s="807"/>
      <c r="G44" s="125"/>
      <c r="H44" s="809"/>
      <c r="I44" s="111" t="str">
        <f>IF(F44="","",INT(F44*H44))</f>
        <v/>
      </c>
      <c r="J44" s="805"/>
      <c r="K44" s="805"/>
      <c r="L44" s="810"/>
      <c r="O44" s="231"/>
      <c r="P44" s="232"/>
      <c r="Q44" s="233"/>
      <c r="R44" s="233"/>
      <c r="S44" s="233"/>
      <c r="T44" s="233"/>
      <c r="U44" s="233"/>
      <c r="V44" s="233"/>
      <c r="W44" s="233"/>
      <c r="X44" s="234"/>
      <c r="Y44" s="234"/>
      <c r="Z44" s="234"/>
      <c r="AA44" s="234"/>
      <c r="AB44" s="234"/>
      <c r="AC44" s="233"/>
      <c r="AD44" s="365"/>
      <c r="AE44" s="366"/>
      <c r="AF44" s="233"/>
      <c r="AG44" s="233"/>
      <c r="AH44" s="233"/>
      <c r="AI44" s="670"/>
    </row>
    <row r="45" spans="1:35" s="37" customFormat="1" ht="24" customHeight="1">
      <c r="A45" s="36"/>
      <c r="B45" s="36"/>
      <c r="C45" s="820"/>
      <c r="D45" s="813" t="s">
        <v>2518</v>
      </c>
      <c r="E45" s="814"/>
      <c r="F45" s="815"/>
      <c r="G45" s="816"/>
      <c r="H45" s="817"/>
      <c r="I45" s="818">
        <f>SUM(I35:I44)</f>
        <v>304900</v>
      </c>
      <c r="J45" s="813"/>
      <c r="K45" s="813"/>
      <c r="L45" s="819"/>
      <c r="O45" s="231"/>
      <c r="P45" s="232"/>
      <c r="Q45" s="233"/>
      <c r="R45" s="233"/>
      <c r="S45" s="233"/>
      <c r="T45" s="233"/>
      <c r="U45" s="233"/>
      <c r="V45" s="233"/>
      <c r="W45" s="233"/>
      <c r="X45" s="234"/>
      <c r="Y45" s="234"/>
      <c r="Z45" s="234"/>
      <c r="AA45" s="234"/>
      <c r="AB45" s="234"/>
      <c r="AC45" s="233"/>
      <c r="AD45" s="365"/>
      <c r="AE45" s="366"/>
      <c r="AF45" s="233"/>
      <c r="AG45" s="233"/>
      <c r="AH45" s="233"/>
      <c r="AI45" s="670"/>
    </row>
    <row r="46" spans="1:35" s="37" customFormat="1" ht="24" customHeight="1">
      <c r="A46" s="36"/>
      <c r="B46" s="36"/>
      <c r="C46" s="811"/>
      <c r="D46" s="797"/>
      <c r="E46" s="798"/>
      <c r="F46" s="799"/>
      <c r="G46" s="800"/>
      <c r="H46" s="801"/>
      <c r="I46" s="802" t="str">
        <f t="shared" si="0"/>
        <v/>
      </c>
      <c r="J46" s="797"/>
      <c r="K46" s="797"/>
      <c r="L46" s="803"/>
      <c r="O46" s="231"/>
      <c r="P46" s="232"/>
      <c r="Q46" s="233"/>
      <c r="R46" s="233"/>
      <c r="S46" s="233"/>
      <c r="T46" s="233"/>
      <c r="U46" s="233"/>
      <c r="V46" s="233"/>
      <c r="W46" s="233"/>
      <c r="X46" s="234"/>
      <c r="Y46" s="234"/>
      <c r="Z46" s="234"/>
      <c r="AA46" s="234"/>
      <c r="AB46" s="234"/>
      <c r="AC46" s="233"/>
      <c r="AD46" s="365"/>
      <c r="AE46" s="366"/>
      <c r="AF46" s="233"/>
      <c r="AG46" s="233"/>
      <c r="AH46" s="233"/>
      <c r="AI46" s="670"/>
    </row>
    <row r="47" spans="1:35" ht="24" customHeight="1" thickBot="1">
      <c r="A47" s="36"/>
      <c r="B47" s="36"/>
      <c r="C47" s="113"/>
      <c r="D47" s="99" t="s">
        <v>9</v>
      </c>
      <c r="E47" s="114"/>
      <c r="F47" s="290"/>
      <c r="G47" s="127"/>
      <c r="H47" s="137" t="s">
        <v>90</v>
      </c>
      <c r="I47" s="115">
        <f>I32+I45</f>
        <v>566578</v>
      </c>
      <c r="J47" s="99" t="s">
        <v>91</v>
      </c>
      <c r="K47" s="740" t="str">
        <f>IF(C28="部分撤去工事",(K24+L47),"")</f>
        <v/>
      </c>
      <c r="L47" s="741">
        <f>IF(C28="部分撤去工事",SUMIF(N29:N46,"費用",I29:I46),0)</f>
        <v>0</v>
      </c>
      <c r="O47" s="231"/>
      <c r="P47" s="232"/>
      <c r="Q47" s="233"/>
      <c r="R47" s="233"/>
      <c r="S47" s="233"/>
      <c r="T47" s="233"/>
      <c r="U47" s="233"/>
      <c r="V47" s="233"/>
      <c r="W47" s="233"/>
      <c r="X47" s="234"/>
      <c r="Y47" s="234"/>
      <c r="Z47" s="234"/>
      <c r="AA47" s="234"/>
      <c r="AB47" s="234"/>
      <c r="AC47" s="233"/>
      <c r="AD47" s="365"/>
      <c r="AE47" s="366"/>
      <c r="AF47" s="233"/>
      <c r="AG47" s="233"/>
      <c r="AH47" s="233"/>
      <c r="AI47" s="670"/>
    </row>
    <row r="48" spans="1:35" ht="14.25" customHeight="1">
      <c r="C48" s="167"/>
      <c r="D48" s="167"/>
      <c r="E48" s="130" t="s">
        <v>68</v>
      </c>
      <c r="F48" s="131">
        <f>+F25+1</f>
        <v>5</v>
      </c>
      <c r="G48" s="132" t="s">
        <v>69</v>
      </c>
      <c r="H48" s="133">
        <f>+H25</f>
        <v>11</v>
      </c>
      <c r="I48" s="133"/>
      <c r="M48" s="31" t="str">
        <f>IF(A50="","EOL","")</f>
        <v/>
      </c>
      <c r="N48" s="1">
        <f>+F48</f>
        <v>5</v>
      </c>
      <c r="O48" s="1"/>
      <c r="P48" s="1"/>
    </row>
    <row r="49" spans="1:35" ht="26.1" customHeight="1" thickBot="1">
      <c r="C49" s="2169" t="s">
        <v>343</v>
      </c>
      <c r="D49" s="2169"/>
      <c r="E49" s="2169"/>
      <c r="F49" s="2169"/>
      <c r="G49" s="2169"/>
      <c r="H49" s="2169"/>
      <c r="I49" s="2169"/>
      <c r="J49" s="2169"/>
      <c r="K49" s="2169"/>
      <c r="L49" s="2169"/>
      <c r="O49" s="2232" t="s">
        <v>155</v>
      </c>
      <c r="P49" s="2232"/>
      <c r="Q49" s="2232"/>
      <c r="R49" s="2232"/>
      <c r="S49" s="2232"/>
      <c r="T49" s="2232"/>
      <c r="U49" s="2232"/>
      <c r="V49" s="2232"/>
      <c r="W49" s="2232"/>
      <c r="X49" s="2232"/>
      <c r="Y49" s="2232"/>
      <c r="Z49" s="2232"/>
      <c r="AA49" s="2232"/>
      <c r="AB49" s="2232"/>
      <c r="AC49" s="2232"/>
      <c r="AD49" s="2232"/>
      <c r="AE49" s="2232"/>
      <c r="AF49" s="2232"/>
      <c r="AG49" s="2232"/>
      <c r="AH49" s="2233"/>
      <c r="AI49" s="668"/>
    </row>
    <row r="50" spans="1:35" ht="41.25" customHeight="1">
      <c r="A50" s="5" t="s">
        <v>11</v>
      </c>
      <c r="B50" s="5" t="s">
        <v>49</v>
      </c>
      <c r="C50" s="120" t="s">
        <v>0</v>
      </c>
      <c r="D50" s="116"/>
      <c r="E50" s="117" t="s">
        <v>1</v>
      </c>
      <c r="F50" s="118" t="s">
        <v>2</v>
      </c>
      <c r="G50" s="118" t="s">
        <v>3</v>
      </c>
      <c r="H50" s="119" t="s">
        <v>4</v>
      </c>
      <c r="I50" s="119" t="s">
        <v>5</v>
      </c>
      <c r="J50" s="2172" t="s">
        <v>6</v>
      </c>
      <c r="K50" s="2173"/>
      <c r="L50" s="2174"/>
      <c r="O50" s="165" t="s">
        <v>87</v>
      </c>
      <c r="P50" s="359" t="s">
        <v>267</v>
      </c>
      <c r="Q50" s="291" t="s">
        <v>282</v>
      </c>
      <c r="R50" s="291" t="s">
        <v>229</v>
      </c>
      <c r="S50" s="291" t="s">
        <v>230</v>
      </c>
      <c r="T50" s="291" t="s">
        <v>245</v>
      </c>
      <c r="U50" s="291" t="s">
        <v>149</v>
      </c>
      <c r="V50" s="164" t="s">
        <v>148</v>
      </c>
      <c r="W50" s="291" t="s">
        <v>231</v>
      </c>
      <c r="X50" s="224" t="s">
        <v>232</v>
      </c>
      <c r="Y50" s="224" t="s">
        <v>233</v>
      </c>
      <c r="Z50" s="224" t="s">
        <v>234</v>
      </c>
      <c r="AA50" s="224" t="s">
        <v>235</v>
      </c>
      <c r="AB50" s="224" t="s">
        <v>277</v>
      </c>
      <c r="AC50" s="362" t="s">
        <v>286</v>
      </c>
      <c r="AD50" s="363" t="s">
        <v>287</v>
      </c>
      <c r="AE50" s="364" t="s">
        <v>151</v>
      </c>
      <c r="AF50" s="163" t="s">
        <v>154</v>
      </c>
      <c r="AG50" s="163" t="s">
        <v>152</v>
      </c>
      <c r="AH50" s="163" t="s">
        <v>153</v>
      </c>
      <c r="AI50" s="669"/>
    </row>
    <row r="51" spans="1:35" ht="24" customHeight="1">
      <c r="A51" s="36"/>
      <c r="B51" s="36"/>
      <c r="C51" s="138" t="s">
        <v>8</v>
      </c>
      <c r="D51" s="139"/>
      <c r="E51" s="140"/>
      <c r="F51" s="288"/>
      <c r="G51" s="107"/>
      <c r="H51" s="97" t="s">
        <v>12</v>
      </c>
      <c r="I51" s="97" t="s">
        <v>12</v>
      </c>
      <c r="J51" s="2234"/>
      <c r="K51" s="2235"/>
      <c r="L51" s="2236"/>
      <c r="O51" s="231"/>
      <c r="P51" s="232"/>
      <c r="Q51" s="233"/>
      <c r="R51" s="233"/>
      <c r="S51" s="233"/>
      <c r="T51" s="233"/>
      <c r="U51" s="233"/>
      <c r="V51" s="233"/>
      <c r="W51" s="233"/>
      <c r="X51" s="234"/>
      <c r="Y51" s="234"/>
      <c r="Z51" s="234"/>
      <c r="AA51" s="234"/>
      <c r="AB51" s="234"/>
      <c r="AC51" s="233"/>
      <c r="AD51" s="365"/>
      <c r="AE51" s="366"/>
      <c r="AF51" s="233"/>
      <c r="AG51" s="233"/>
      <c r="AH51" s="233"/>
      <c r="AI51" s="670"/>
    </row>
    <row r="52" spans="1:35" s="37" customFormat="1" ht="24" customHeight="1">
      <c r="A52" s="36"/>
      <c r="B52" s="36"/>
      <c r="C52" s="134"/>
      <c r="D52" s="135"/>
      <c r="E52" s="124"/>
      <c r="F52" s="289"/>
      <c r="G52" s="125"/>
      <c r="H52" s="141"/>
      <c r="I52" s="111" t="str">
        <f t="shared" ref="I52:I69" si="1">IF(F52="","",INT(F52*H52))</f>
        <v/>
      </c>
      <c r="J52" s="67"/>
      <c r="K52" s="68"/>
      <c r="L52" s="69"/>
      <c r="O52" s="231"/>
      <c r="P52" s="232"/>
      <c r="Q52" s="233"/>
      <c r="R52" s="233"/>
      <c r="S52" s="233"/>
      <c r="T52" s="233"/>
      <c r="U52" s="233"/>
      <c r="V52" s="233"/>
      <c r="W52" s="233"/>
      <c r="X52" s="234"/>
      <c r="Y52" s="234"/>
      <c r="Z52" s="234"/>
      <c r="AA52" s="234"/>
      <c r="AB52" s="234"/>
      <c r="AC52" s="233"/>
      <c r="AD52" s="365"/>
      <c r="AE52" s="366"/>
      <c r="AF52" s="233"/>
      <c r="AG52" s="233"/>
      <c r="AH52" s="233"/>
      <c r="AI52" s="670"/>
    </row>
    <row r="53" spans="1:35" s="37" customFormat="1" ht="24" customHeight="1">
      <c r="A53" s="36"/>
      <c r="B53" s="36"/>
      <c r="C53" s="112"/>
      <c r="D53" s="144" t="s">
        <v>58</v>
      </c>
      <c r="E53" s="109"/>
      <c r="F53" s="289">
        <v>1</v>
      </c>
      <c r="G53" s="125" t="s">
        <v>7</v>
      </c>
      <c r="H53" s="143"/>
      <c r="I53" s="111">
        <v>57600</v>
      </c>
      <c r="J53" s="68" t="s">
        <v>3270</v>
      </c>
      <c r="K53" s="68"/>
      <c r="L53" s="69"/>
      <c r="O53" s="231"/>
      <c r="P53" s="232"/>
      <c r="Q53" s="233"/>
      <c r="R53" s="233"/>
      <c r="S53" s="233"/>
      <c r="T53" s="233"/>
      <c r="U53" s="233"/>
      <c r="V53" s="233"/>
      <c r="W53" s="233"/>
      <c r="X53" s="234"/>
      <c r="Y53" s="234"/>
      <c r="Z53" s="234"/>
      <c r="AA53" s="234"/>
      <c r="AB53" s="234"/>
      <c r="AC53" s="233"/>
      <c r="AD53" s="365"/>
      <c r="AE53" s="366"/>
      <c r="AF53" s="233"/>
      <c r="AG53" s="233"/>
      <c r="AH53" s="233"/>
      <c r="AI53" s="670"/>
    </row>
    <row r="54" spans="1:35" s="37" customFormat="1" ht="24" customHeight="1">
      <c r="A54" s="36"/>
      <c r="B54" s="36"/>
      <c r="C54" s="112"/>
      <c r="D54" s="144" t="s">
        <v>168</v>
      </c>
      <c r="E54" s="124" t="s">
        <v>3277</v>
      </c>
      <c r="F54" s="289">
        <v>1</v>
      </c>
      <c r="G54" s="125" t="s">
        <v>7</v>
      </c>
      <c r="H54" s="143"/>
      <c r="I54" s="111">
        <f>39200+215300+96000</f>
        <v>350500</v>
      </c>
      <c r="J54" s="68" t="s">
        <v>3271</v>
      </c>
      <c r="K54" s="68"/>
      <c r="L54" s="69"/>
      <c r="O54" s="231"/>
      <c r="P54" s="232"/>
      <c r="Q54" s="233"/>
      <c r="R54" s="233"/>
      <c r="S54" s="233"/>
      <c r="T54" s="233"/>
      <c r="U54" s="233"/>
      <c r="V54" s="233"/>
      <c r="W54" s="233"/>
      <c r="X54" s="234"/>
      <c r="Y54" s="234"/>
      <c r="Z54" s="234"/>
      <c r="AA54" s="234"/>
      <c r="AB54" s="234"/>
      <c r="AC54" s="233"/>
      <c r="AD54" s="365"/>
      <c r="AE54" s="366"/>
      <c r="AF54" s="233"/>
      <c r="AG54" s="233"/>
      <c r="AH54" s="233"/>
      <c r="AI54" s="670"/>
    </row>
    <row r="55" spans="1:35" s="37" customFormat="1" ht="24" customHeight="1">
      <c r="A55" s="36"/>
      <c r="B55" s="36"/>
      <c r="C55" s="112"/>
      <c r="D55" s="144" t="s">
        <v>59</v>
      </c>
      <c r="E55" s="109"/>
      <c r="F55" s="289">
        <v>1</v>
      </c>
      <c r="G55" s="125" t="s">
        <v>7</v>
      </c>
      <c r="H55" s="143"/>
      <c r="I55" s="111">
        <v>140100</v>
      </c>
      <c r="J55" s="68" t="s">
        <v>3272</v>
      </c>
      <c r="K55" s="68"/>
      <c r="L55" s="69"/>
      <c r="O55" s="231"/>
      <c r="P55" s="232"/>
      <c r="Q55" s="233"/>
      <c r="R55" s="233"/>
      <c r="S55" s="233"/>
      <c r="T55" s="233"/>
      <c r="U55" s="233"/>
      <c r="V55" s="233"/>
      <c r="W55" s="233"/>
      <c r="X55" s="234"/>
      <c r="Y55" s="234"/>
      <c r="Z55" s="234"/>
      <c r="AA55" s="234"/>
      <c r="AB55" s="234"/>
      <c r="AC55" s="233"/>
      <c r="AD55" s="365"/>
      <c r="AE55" s="366"/>
      <c r="AF55" s="233"/>
      <c r="AG55" s="233"/>
      <c r="AH55" s="233"/>
      <c r="AI55" s="670"/>
    </row>
    <row r="56" spans="1:35" s="37" customFormat="1" ht="24" customHeight="1">
      <c r="A56" s="36"/>
      <c r="B56" s="36"/>
      <c r="C56" s="112"/>
      <c r="D56" s="144" t="s">
        <v>60</v>
      </c>
      <c r="E56" s="109"/>
      <c r="F56" s="289">
        <v>1</v>
      </c>
      <c r="G56" s="125" t="s">
        <v>7</v>
      </c>
      <c r="H56" s="143"/>
      <c r="I56" s="111">
        <f t="shared" si="1"/>
        <v>0</v>
      </c>
      <c r="J56" s="68"/>
      <c r="K56" s="68"/>
      <c r="L56" s="69"/>
      <c r="O56" s="231"/>
      <c r="P56" s="232"/>
      <c r="Q56" s="233"/>
      <c r="R56" s="233"/>
      <c r="S56" s="233"/>
      <c r="T56" s="233"/>
      <c r="U56" s="233"/>
      <c r="V56" s="233"/>
      <c r="W56" s="233"/>
      <c r="X56" s="234"/>
      <c r="Y56" s="234"/>
      <c r="Z56" s="234"/>
      <c r="AA56" s="234"/>
      <c r="AB56" s="234"/>
      <c r="AC56" s="233"/>
      <c r="AD56" s="365"/>
      <c r="AE56" s="366"/>
      <c r="AF56" s="233"/>
      <c r="AG56" s="233"/>
      <c r="AH56" s="233"/>
      <c r="AI56" s="670"/>
    </row>
    <row r="57" spans="1:35" s="37" customFormat="1" ht="24" customHeight="1">
      <c r="A57" s="36"/>
      <c r="B57" s="36"/>
      <c r="C57" s="112"/>
      <c r="D57" s="144" t="s">
        <v>61</v>
      </c>
      <c r="E57" s="109"/>
      <c r="F57" s="289">
        <v>1</v>
      </c>
      <c r="G57" s="125" t="s">
        <v>7</v>
      </c>
      <c r="H57" s="143"/>
      <c r="I57" s="111">
        <v>202700</v>
      </c>
      <c r="J57" s="68" t="s">
        <v>3270</v>
      </c>
      <c r="K57" s="68"/>
      <c r="L57" s="69"/>
      <c r="O57" s="231"/>
      <c r="P57" s="232"/>
      <c r="Q57" s="233"/>
      <c r="R57" s="233"/>
      <c r="S57" s="233"/>
      <c r="T57" s="233"/>
      <c r="U57" s="233"/>
      <c r="V57" s="233"/>
      <c r="W57" s="233"/>
      <c r="X57" s="234"/>
      <c r="Y57" s="234"/>
      <c r="Z57" s="234"/>
      <c r="AA57" s="234"/>
      <c r="AB57" s="234"/>
      <c r="AC57" s="233"/>
      <c r="AD57" s="365"/>
      <c r="AE57" s="366"/>
      <c r="AF57" s="233"/>
      <c r="AG57" s="233"/>
      <c r="AH57" s="233"/>
      <c r="AI57" s="670"/>
    </row>
    <row r="58" spans="1:35" s="37" customFormat="1" ht="24" customHeight="1">
      <c r="A58" s="36"/>
      <c r="B58" s="36"/>
      <c r="C58" s="112"/>
      <c r="D58" s="144" t="s">
        <v>62</v>
      </c>
      <c r="E58" s="109"/>
      <c r="F58" s="289">
        <v>1</v>
      </c>
      <c r="G58" s="125" t="s">
        <v>7</v>
      </c>
      <c r="H58" s="143"/>
      <c r="I58" s="111">
        <v>68600</v>
      </c>
      <c r="J58" s="68" t="s">
        <v>3272</v>
      </c>
      <c r="K58" s="68"/>
      <c r="L58" s="69"/>
      <c r="O58" s="231"/>
      <c r="P58" s="232"/>
      <c r="Q58" s="233"/>
      <c r="R58" s="233"/>
      <c r="S58" s="233"/>
      <c r="T58" s="233"/>
      <c r="U58" s="233"/>
      <c r="V58" s="233"/>
      <c r="W58" s="233"/>
      <c r="X58" s="234"/>
      <c r="Y58" s="234"/>
      <c r="Z58" s="234"/>
      <c r="AA58" s="234"/>
      <c r="AB58" s="234"/>
      <c r="AC58" s="233"/>
      <c r="AD58" s="365"/>
      <c r="AE58" s="366"/>
      <c r="AF58" s="233"/>
      <c r="AG58" s="233"/>
      <c r="AH58" s="233"/>
      <c r="AI58" s="670"/>
    </row>
    <row r="59" spans="1:35" s="37" customFormat="1" ht="24" customHeight="1">
      <c r="A59" s="36"/>
      <c r="B59" s="36"/>
      <c r="C59" s="134"/>
      <c r="D59" s="480"/>
      <c r="E59" s="124"/>
      <c r="F59" s="289"/>
      <c r="G59" s="125"/>
      <c r="H59" s="141"/>
      <c r="I59" s="111"/>
      <c r="J59" s="67"/>
      <c r="K59" s="68"/>
      <c r="L59" s="69"/>
      <c r="O59" s="231"/>
      <c r="P59" s="232"/>
      <c r="Q59" s="233"/>
      <c r="R59" s="233"/>
      <c r="S59" s="233"/>
      <c r="T59" s="233"/>
      <c r="U59" s="233"/>
      <c r="V59" s="233"/>
      <c r="W59" s="233"/>
      <c r="X59" s="234"/>
      <c r="Y59" s="234"/>
      <c r="Z59" s="234"/>
      <c r="AA59" s="234"/>
      <c r="AB59" s="234"/>
      <c r="AC59" s="233"/>
      <c r="AD59" s="365"/>
      <c r="AE59" s="366"/>
      <c r="AF59" s="233"/>
      <c r="AG59" s="233"/>
      <c r="AH59" s="233"/>
      <c r="AI59" s="670"/>
    </row>
    <row r="60" spans="1:35" s="37" customFormat="1" ht="24" customHeight="1">
      <c r="A60" s="36"/>
      <c r="B60" s="36"/>
      <c r="C60" s="134"/>
      <c r="D60" s="480"/>
      <c r="E60" s="124"/>
      <c r="F60" s="289"/>
      <c r="G60" s="125"/>
      <c r="H60" s="141"/>
      <c r="I60" s="111"/>
      <c r="J60" s="67"/>
      <c r="K60" s="68"/>
      <c r="L60" s="69"/>
      <c r="O60" s="231"/>
      <c r="P60" s="232"/>
      <c r="Q60" s="233"/>
      <c r="R60" s="233"/>
      <c r="S60" s="233"/>
      <c r="T60" s="233"/>
      <c r="U60" s="233"/>
      <c r="V60" s="233"/>
      <c r="W60" s="233"/>
      <c r="X60" s="234"/>
      <c r="Y60" s="234"/>
      <c r="Z60" s="234"/>
      <c r="AA60" s="234"/>
      <c r="AB60" s="234"/>
      <c r="AC60" s="233"/>
      <c r="AD60" s="365"/>
      <c r="AE60" s="366"/>
      <c r="AF60" s="233"/>
      <c r="AG60" s="233"/>
      <c r="AH60" s="233"/>
      <c r="AI60" s="670"/>
    </row>
    <row r="61" spans="1:35" s="37" customFormat="1" ht="24" customHeight="1">
      <c r="A61" s="36"/>
      <c r="B61" s="36"/>
      <c r="C61" s="134"/>
      <c r="D61" s="480"/>
      <c r="E61" s="124"/>
      <c r="F61" s="289"/>
      <c r="G61" s="125"/>
      <c r="H61" s="141"/>
      <c r="I61" s="111"/>
      <c r="J61" s="67"/>
      <c r="K61" s="68"/>
      <c r="L61" s="69"/>
      <c r="O61" s="231"/>
      <c r="P61" s="232"/>
      <c r="Q61" s="233"/>
      <c r="R61" s="233"/>
      <c r="S61" s="233"/>
      <c r="T61" s="233"/>
      <c r="U61" s="233"/>
      <c r="V61" s="233"/>
      <c r="W61" s="233"/>
      <c r="X61" s="234"/>
      <c r="Y61" s="234"/>
      <c r="Z61" s="234"/>
      <c r="AA61" s="234"/>
      <c r="AB61" s="234"/>
      <c r="AC61" s="233"/>
      <c r="AD61" s="365"/>
      <c r="AE61" s="366"/>
      <c r="AF61" s="233"/>
      <c r="AG61" s="233"/>
      <c r="AH61" s="233"/>
      <c r="AI61" s="670"/>
    </row>
    <row r="62" spans="1:35" s="37" customFormat="1" ht="24" customHeight="1">
      <c r="A62" s="36"/>
      <c r="B62" s="36"/>
      <c r="C62" s="134"/>
      <c r="D62" s="480"/>
      <c r="E62" s="124"/>
      <c r="F62" s="289"/>
      <c r="G62" s="125"/>
      <c r="H62" s="141"/>
      <c r="I62" s="111"/>
      <c r="J62" s="67"/>
      <c r="K62" s="68"/>
      <c r="L62" s="69"/>
      <c r="O62" s="231"/>
      <c r="P62" s="232"/>
      <c r="Q62" s="233"/>
      <c r="R62" s="233"/>
      <c r="S62" s="233"/>
      <c r="T62" s="233"/>
      <c r="U62" s="233"/>
      <c r="V62" s="233"/>
      <c r="W62" s="233"/>
      <c r="X62" s="234"/>
      <c r="Y62" s="234"/>
      <c r="Z62" s="234"/>
      <c r="AA62" s="234"/>
      <c r="AB62" s="234"/>
      <c r="AC62" s="233"/>
      <c r="AD62" s="365"/>
      <c r="AE62" s="366"/>
      <c r="AF62" s="233"/>
      <c r="AG62" s="233"/>
      <c r="AH62" s="233"/>
      <c r="AI62" s="670"/>
    </row>
    <row r="63" spans="1:35" s="37" customFormat="1" ht="24" customHeight="1">
      <c r="A63" s="36"/>
      <c r="B63" s="36"/>
      <c r="C63" s="134"/>
      <c r="D63" s="480"/>
      <c r="E63" s="124"/>
      <c r="F63" s="289"/>
      <c r="G63" s="125"/>
      <c r="H63" s="141"/>
      <c r="I63" s="111"/>
      <c r="J63" s="67"/>
      <c r="K63" s="68"/>
      <c r="L63" s="69"/>
      <c r="O63" s="231"/>
      <c r="P63" s="232"/>
      <c r="Q63" s="233"/>
      <c r="R63" s="233"/>
      <c r="S63" s="233"/>
      <c r="T63" s="233"/>
      <c r="U63" s="233"/>
      <c r="V63" s="233"/>
      <c r="W63" s="233"/>
      <c r="X63" s="234"/>
      <c r="Y63" s="234"/>
      <c r="Z63" s="234"/>
      <c r="AA63" s="234"/>
      <c r="AB63" s="234"/>
      <c r="AC63" s="233"/>
      <c r="AD63" s="365"/>
      <c r="AE63" s="366"/>
      <c r="AF63" s="233"/>
      <c r="AG63" s="233"/>
      <c r="AH63" s="233"/>
      <c r="AI63" s="670"/>
    </row>
    <row r="64" spans="1:35" s="37" customFormat="1" ht="24" customHeight="1">
      <c r="A64" s="36"/>
      <c r="B64" s="36"/>
      <c r="C64" s="134"/>
      <c r="D64" s="480"/>
      <c r="E64" s="124"/>
      <c r="F64" s="289"/>
      <c r="G64" s="125"/>
      <c r="H64" s="141"/>
      <c r="I64" s="111"/>
      <c r="J64" s="67"/>
      <c r="K64" s="68"/>
      <c r="L64" s="69"/>
      <c r="O64" s="231"/>
      <c r="P64" s="232"/>
      <c r="Q64" s="233"/>
      <c r="R64" s="233"/>
      <c r="S64" s="233"/>
      <c r="T64" s="233"/>
      <c r="U64" s="233"/>
      <c r="V64" s="233"/>
      <c r="W64" s="233"/>
      <c r="X64" s="234"/>
      <c r="Y64" s="234"/>
      <c r="Z64" s="234"/>
      <c r="AA64" s="234"/>
      <c r="AB64" s="234"/>
      <c r="AC64" s="233"/>
      <c r="AD64" s="365"/>
      <c r="AE64" s="366"/>
      <c r="AF64" s="233"/>
      <c r="AG64" s="233"/>
      <c r="AH64" s="233"/>
      <c r="AI64" s="670"/>
    </row>
    <row r="65" spans="1:35" s="37" customFormat="1" ht="24" customHeight="1">
      <c r="A65" s="36"/>
      <c r="B65" s="36"/>
      <c r="C65" s="134"/>
      <c r="D65" s="480"/>
      <c r="E65" s="124"/>
      <c r="F65" s="289"/>
      <c r="G65" s="125"/>
      <c r="H65" s="141"/>
      <c r="I65" s="111"/>
      <c r="J65" s="67"/>
      <c r="K65" s="68"/>
      <c r="L65" s="69"/>
      <c r="O65" s="231"/>
      <c r="P65" s="232"/>
      <c r="Q65" s="233"/>
      <c r="R65" s="233"/>
      <c r="S65" s="233"/>
      <c r="T65" s="233"/>
      <c r="U65" s="233"/>
      <c r="V65" s="233"/>
      <c r="W65" s="233"/>
      <c r="X65" s="234"/>
      <c r="Y65" s="234"/>
      <c r="Z65" s="234"/>
      <c r="AA65" s="234"/>
      <c r="AB65" s="234"/>
      <c r="AC65" s="233"/>
      <c r="AD65" s="365"/>
      <c r="AE65" s="366"/>
      <c r="AF65" s="233"/>
      <c r="AG65" s="233"/>
      <c r="AH65" s="233"/>
      <c r="AI65" s="670"/>
    </row>
    <row r="66" spans="1:35" s="37" customFormat="1" ht="24" customHeight="1">
      <c r="A66" s="36"/>
      <c r="B66" s="36"/>
      <c r="C66" s="134"/>
      <c r="D66" s="480"/>
      <c r="E66" s="124"/>
      <c r="F66" s="289"/>
      <c r="G66" s="125"/>
      <c r="H66" s="141"/>
      <c r="I66" s="111"/>
      <c r="J66" s="67"/>
      <c r="K66" s="68"/>
      <c r="L66" s="69"/>
      <c r="O66" s="231"/>
      <c r="P66" s="232"/>
      <c r="Q66" s="233"/>
      <c r="R66" s="233"/>
      <c r="S66" s="233"/>
      <c r="T66" s="233"/>
      <c r="U66" s="233"/>
      <c r="V66" s="233"/>
      <c r="W66" s="233"/>
      <c r="X66" s="234"/>
      <c r="Y66" s="234"/>
      <c r="Z66" s="234"/>
      <c r="AA66" s="234"/>
      <c r="AB66" s="234"/>
      <c r="AC66" s="233"/>
      <c r="AD66" s="365"/>
      <c r="AE66" s="366"/>
      <c r="AF66" s="233"/>
      <c r="AG66" s="233"/>
      <c r="AH66" s="233"/>
      <c r="AI66" s="670"/>
    </row>
    <row r="67" spans="1:35" s="37" customFormat="1" ht="24" customHeight="1">
      <c r="A67" s="36"/>
      <c r="B67" s="36"/>
      <c r="C67" s="134"/>
      <c r="D67" s="135"/>
      <c r="E67" s="124"/>
      <c r="F67" s="289"/>
      <c r="G67" s="125"/>
      <c r="H67" s="141"/>
      <c r="I67" s="111" t="str">
        <f t="shared" si="1"/>
        <v/>
      </c>
      <c r="J67" s="67"/>
      <c r="K67" s="68"/>
      <c r="L67" s="69"/>
      <c r="O67" s="231"/>
      <c r="P67" s="232"/>
      <c r="Q67" s="233"/>
      <c r="R67" s="233"/>
      <c r="S67" s="233"/>
      <c r="T67" s="233"/>
      <c r="U67" s="233"/>
      <c r="V67" s="233"/>
      <c r="W67" s="233"/>
      <c r="X67" s="234"/>
      <c r="Y67" s="234"/>
      <c r="Z67" s="234"/>
      <c r="AA67" s="234"/>
      <c r="AB67" s="234"/>
      <c r="AC67" s="233"/>
      <c r="AD67" s="365"/>
      <c r="AE67" s="366"/>
      <c r="AF67" s="233"/>
      <c r="AG67" s="233"/>
      <c r="AH67" s="233"/>
      <c r="AI67" s="670"/>
    </row>
    <row r="68" spans="1:35" s="37" customFormat="1" ht="24" customHeight="1">
      <c r="A68" s="36"/>
      <c r="B68" s="36"/>
      <c r="C68" s="134"/>
      <c r="D68" s="135"/>
      <c r="E68" s="124"/>
      <c r="F68" s="289"/>
      <c r="G68" s="125"/>
      <c r="H68" s="141"/>
      <c r="I68" s="111" t="str">
        <f t="shared" si="1"/>
        <v/>
      </c>
      <c r="J68" s="67"/>
      <c r="K68" s="68"/>
      <c r="L68" s="69"/>
      <c r="O68" s="231"/>
      <c r="P68" s="232"/>
      <c r="Q68" s="233"/>
      <c r="R68" s="233"/>
      <c r="S68" s="233"/>
      <c r="T68" s="233"/>
      <c r="U68" s="233"/>
      <c r="V68" s="233"/>
      <c r="W68" s="233"/>
      <c r="X68" s="234"/>
      <c r="Y68" s="234"/>
      <c r="Z68" s="234"/>
      <c r="AA68" s="234"/>
      <c r="AB68" s="234"/>
      <c r="AC68" s="233"/>
      <c r="AD68" s="365"/>
      <c r="AE68" s="366"/>
      <c r="AF68" s="233"/>
      <c r="AG68" s="233"/>
      <c r="AH68" s="233"/>
      <c r="AI68" s="670"/>
    </row>
    <row r="69" spans="1:35" s="37" customFormat="1" ht="24" customHeight="1">
      <c r="A69" s="36"/>
      <c r="B69" s="36"/>
      <c r="C69" s="134"/>
      <c r="D69" s="135"/>
      <c r="E69" s="124"/>
      <c r="F69" s="289"/>
      <c r="G69" s="125"/>
      <c r="H69" s="141"/>
      <c r="I69" s="111" t="str">
        <f t="shared" si="1"/>
        <v/>
      </c>
      <c r="J69" s="67"/>
      <c r="K69" s="68"/>
      <c r="L69" s="69"/>
      <c r="O69" s="231"/>
      <c r="P69" s="232"/>
      <c r="Q69" s="233"/>
      <c r="R69" s="233"/>
      <c r="S69" s="233"/>
      <c r="T69" s="233"/>
      <c r="U69" s="233"/>
      <c r="V69" s="233"/>
      <c r="W69" s="233"/>
      <c r="X69" s="234"/>
      <c r="Y69" s="234"/>
      <c r="Z69" s="234"/>
      <c r="AA69" s="234"/>
      <c r="AB69" s="234"/>
      <c r="AC69" s="233"/>
      <c r="AD69" s="365"/>
      <c r="AE69" s="366"/>
      <c r="AF69" s="233"/>
      <c r="AG69" s="233"/>
      <c r="AH69" s="233"/>
      <c r="AI69" s="670"/>
    </row>
    <row r="70" spans="1:35" ht="24" customHeight="1" thickBot="1">
      <c r="A70" s="36"/>
      <c r="B70" s="36"/>
      <c r="C70" s="113"/>
      <c r="D70" s="99" t="s">
        <v>9</v>
      </c>
      <c r="E70" s="114"/>
      <c r="F70" s="290"/>
      <c r="G70" s="127"/>
      <c r="H70" s="137" t="s">
        <v>90</v>
      </c>
      <c r="I70" s="115">
        <f>SUM(I52:I69)</f>
        <v>819500</v>
      </c>
      <c r="J70" s="740" t="str">
        <f>IF(C51="部分撤去工事","）うち費用",")")</f>
        <v>)</v>
      </c>
      <c r="K70" s="742">
        <f>IF(C51="部分撤去工事",(K47+L70),0)</f>
        <v>0</v>
      </c>
      <c r="L70" s="741">
        <f>IF(C51="部分撤去工事",SUMIF(N52:N69,"費用",I52:I69),0)</f>
        <v>0</v>
      </c>
      <c r="M70" s="754"/>
      <c r="N70"/>
      <c r="O70" s="231"/>
      <c r="P70" s="232"/>
      <c r="Q70" s="233"/>
      <c r="R70" s="233"/>
      <c r="S70" s="233"/>
      <c r="T70" s="233"/>
      <c r="U70" s="233"/>
      <c r="V70" s="233"/>
      <c r="W70" s="233"/>
      <c r="X70" s="234"/>
      <c r="Y70" s="234"/>
      <c r="Z70" s="234"/>
      <c r="AA70" s="234"/>
      <c r="AB70" s="234"/>
      <c r="AC70" s="233"/>
      <c r="AD70" s="365"/>
      <c r="AE70" s="366"/>
      <c r="AF70" s="233"/>
      <c r="AG70" s="233"/>
      <c r="AH70" s="233"/>
      <c r="AI70" s="670"/>
    </row>
    <row r="71" spans="1:35" ht="14.25" customHeight="1">
      <c r="E71" s="130" t="s">
        <v>68</v>
      </c>
      <c r="F71" s="131">
        <f>+F48+1</f>
        <v>6</v>
      </c>
      <c r="G71" s="132" t="s">
        <v>69</v>
      </c>
      <c r="H71" s="133">
        <f>+H48</f>
        <v>11</v>
      </c>
      <c r="I71" s="133"/>
      <c r="M71" s="748" t="str">
        <f>IF(A73="","EOL","")</f>
        <v/>
      </c>
      <c r="N71" s="1">
        <f>+F71</f>
        <v>6</v>
      </c>
      <c r="Q71" s="37"/>
      <c r="R71" s="37"/>
      <c r="S71" s="37"/>
      <c r="T71" s="37"/>
      <c r="U71" s="37"/>
      <c r="V71" s="37"/>
      <c r="W71" s="37"/>
      <c r="X71" s="37"/>
      <c r="Y71" s="37"/>
      <c r="Z71" s="37"/>
    </row>
    <row r="72" spans="1:35" ht="26.1" customHeight="1" thickBot="1">
      <c r="C72" s="2169" t="s">
        <v>343</v>
      </c>
      <c r="D72" s="2169"/>
      <c r="E72" s="2169"/>
      <c r="F72" s="2169"/>
      <c r="G72" s="2169"/>
      <c r="H72" s="2169"/>
      <c r="I72" s="2169"/>
      <c r="J72" s="2169"/>
      <c r="K72" s="2169"/>
      <c r="L72" s="2169"/>
      <c r="O72" s="2232" t="s">
        <v>155</v>
      </c>
      <c r="P72" s="2232"/>
      <c r="Q72" s="2232"/>
      <c r="R72" s="2232"/>
      <c r="S72" s="2232"/>
      <c r="T72" s="2232"/>
      <c r="U72" s="2232"/>
      <c r="V72" s="2232"/>
      <c r="W72" s="2232"/>
      <c r="X72" s="2232"/>
      <c r="Y72" s="2232"/>
      <c r="Z72" s="2232"/>
      <c r="AA72" s="2232"/>
      <c r="AB72" s="2232"/>
      <c r="AC72" s="2232"/>
      <c r="AD72" s="2232"/>
      <c r="AE72" s="2232"/>
      <c r="AF72" s="2232"/>
      <c r="AG72" s="2232"/>
      <c r="AH72" s="2233"/>
      <c r="AI72" s="668"/>
    </row>
    <row r="73" spans="1:35" ht="41.25" customHeight="1">
      <c r="A73" s="5" t="s">
        <v>11</v>
      </c>
      <c r="B73" s="5" t="s">
        <v>49</v>
      </c>
      <c r="C73" s="120" t="s">
        <v>0</v>
      </c>
      <c r="D73" s="116"/>
      <c r="E73" s="117" t="s">
        <v>1</v>
      </c>
      <c r="F73" s="118" t="s">
        <v>2</v>
      </c>
      <c r="G73" s="118" t="s">
        <v>3</v>
      </c>
      <c r="H73" s="119" t="s">
        <v>4</v>
      </c>
      <c r="I73" s="119" t="s">
        <v>5</v>
      </c>
      <c r="J73" s="2172" t="s">
        <v>6</v>
      </c>
      <c r="K73" s="2173"/>
      <c r="L73" s="2174"/>
      <c r="M73" s="749"/>
      <c r="N73" s="756" t="s">
        <v>2525</v>
      </c>
      <c r="O73" s="746" t="s">
        <v>87</v>
      </c>
      <c r="P73" s="359" t="s">
        <v>267</v>
      </c>
      <c r="Q73" s="291" t="s">
        <v>282</v>
      </c>
      <c r="R73" s="291" t="s">
        <v>229</v>
      </c>
      <c r="S73" s="291" t="s">
        <v>230</v>
      </c>
      <c r="T73" s="291" t="s">
        <v>245</v>
      </c>
      <c r="U73" s="291" t="s">
        <v>149</v>
      </c>
      <c r="V73" s="164" t="s">
        <v>148</v>
      </c>
      <c r="W73" s="291" t="s">
        <v>231</v>
      </c>
      <c r="X73" s="224" t="s">
        <v>232</v>
      </c>
      <c r="Y73" s="224" t="s">
        <v>233</v>
      </c>
      <c r="Z73" s="224" t="s">
        <v>234</v>
      </c>
      <c r="AA73" s="224" t="s">
        <v>235</v>
      </c>
      <c r="AB73" s="224" t="s">
        <v>277</v>
      </c>
      <c r="AC73" s="362" t="s">
        <v>286</v>
      </c>
      <c r="AD73" s="363" t="s">
        <v>287</v>
      </c>
      <c r="AE73" s="364" t="s">
        <v>151</v>
      </c>
      <c r="AF73" s="163" t="s">
        <v>154</v>
      </c>
      <c r="AG73" s="163" t="s">
        <v>152</v>
      </c>
      <c r="AH73" s="163" t="s">
        <v>153</v>
      </c>
      <c r="AI73" s="669"/>
    </row>
    <row r="74" spans="1:35" ht="24" customHeight="1">
      <c r="A74" s="36"/>
      <c r="B74" s="36"/>
      <c r="C74" s="138" t="s">
        <v>3179</v>
      </c>
      <c r="D74" s="139"/>
      <c r="E74" s="140"/>
      <c r="F74" s="288"/>
      <c r="G74" s="107"/>
      <c r="H74" s="97" t="s">
        <v>12</v>
      </c>
      <c r="I74" s="97" t="s">
        <v>12</v>
      </c>
      <c r="J74" s="2226" t="str">
        <f ca="1">RIGHT(CELL("filename",A70),LEN(CELL("filename",A70))-FIND("]",CELL("filename",A70)))</f>
        <v>工事1</v>
      </c>
      <c r="K74" s="2227"/>
      <c r="L74" s="2228"/>
      <c r="M74" s="750"/>
      <c r="N74" s="751"/>
      <c r="O74" s="747"/>
      <c r="P74" s="232"/>
      <c r="Q74" s="233"/>
      <c r="R74" s="233"/>
      <c r="S74" s="233"/>
      <c r="T74" s="233"/>
      <c r="U74" s="233"/>
      <c r="V74" s="233"/>
      <c r="W74" s="233"/>
      <c r="X74" s="234"/>
      <c r="Y74" s="234"/>
      <c r="Z74" s="234"/>
      <c r="AA74" s="234"/>
      <c r="AB74" s="234"/>
      <c r="AC74" s="233"/>
      <c r="AD74" s="365"/>
      <c r="AE74" s="366"/>
      <c r="AF74" s="233"/>
      <c r="AG74" s="233"/>
      <c r="AH74" s="233"/>
      <c r="AI74" s="670"/>
    </row>
    <row r="75" spans="1:35" s="37" customFormat="1" ht="24" customHeight="1">
      <c r="A75" s="36"/>
      <c r="B75" s="36"/>
      <c r="C75" s="134"/>
      <c r="D75" s="135"/>
      <c r="E75" s="124"/>
      <c r="F75" s="289"/>
      <c r="G75" s="125"/>
      <c r="H75" s="141"/>
      <c r="I75" s="111" t="str">
        <f t="shared" ref="I75" si="2">IF(F75="","",INT(F75*H75))</f>
        <v/>
      </c>
      <c r="J75" s="67"/>
      <c r="K75" s="68"/>
      <c r="L75" s="69"/>
      <c r="M75" s="752"/>
      <c r="N75" s="753"/>
      <c r="O75" s="747"/>
      <c r="P75" s="232"/>
      <c r="Q75" s="233"/>
      <c r="R75" s="233"/>
      <c r="S75" s="233"/>
      <c r="T75" s="233"/>
      <c r="U75" s="233"/>
      <c r="V75" s="233"/>
      <c r="W75" s="233"/>
      <c r="X75" s="234"/>
      <c r="Y75" s="234"/>
      <c r="Z75" s="234"/>
      <c r="AA75" s="234"/>
      <c r="AB75" s="234"/>
      <c r="AC75" s="233"/>
      <c r="AD75" s="365"/>
      <c r="AE75" s="366"/>
      <c r="AF75" s="233"/>
      <c r="AG75" s="233"/>
      <c r="AH75" s="623"/>
      <c r="AI75" s="670"/>
    </row>
    <row r="76" spans="1:35" s="37" customFormat="1" ht="24" customHeight="1">
      <c r="A76" s="2145">
        <v>3</v>
      </c>
      <c r="B76" s="2145">
        <v>3</v>
      </c>
      <c r="C76" s="134">
        <v>1004003</v>
      </c>
      <c r="D76" s="480" t="s">
        <v>3181</v>
      </c>
      <c r="E76" s="124" t="s">
        <v>3259</v>
      </c>
      <c r="F76" s="289">
        <v>1</v>
      </c>
      <c r="G76" s="125" t="s">
        <v>3260</v>
      </c>
      <c r="H76" s="141"/>
      <c r="I76" s="111">
        <v>30166</v>
      </c>
      <c r="J76" s="67" t="s">
        <v>3256</v>
      </c>
      <c r="K76" s="68"/>
      <c r="L76" s="69"/>
      <c r="M76" s="752"/>
      <c r="N76" s="753"/>
      <c r="O76" s="747">
        <v>23</v>
      </c>
      <c r="P76" s="232"/>
      <c r="Q76" s="233"/>
      <c r="R76" s="233"/>
      <c r="S76" s="233"/>
      <c r="T76" s="233"/>
      <c r="U76" s="233"/>
      <c r="V76" s="233"/>
      <c r="W76" s="233"/>
      <c r="X76" s="234"/>
      <c r="Y76" s="234"/>
      <c r="Z76" s="234"/>
      <c r="AA76" s="234"/>
      <c r="AB76" s="234"/>
      <c r="AC76" s="233"/>
      <c r="AD76" s="365"/>
      <c r="AE76" s="366"/>
      <c r="AF76" s="233"/>
      <c r="AG76" s="233"/>
      <c r="AH76" s="623"/>
      <c r="AI76" s="670"/>
    </row>
    <row r="77" spans="1:35" s="37" customFormat="1" ht="24" customHeight="1">
      <c r="A77" s="36"/>
      <c r="B77" s="36"/>
      <c r="C77" s="134"/>
      <c r="D77" s="135"/>
      <c r="E77" s="124"/>
      <c r="F77" s="289"/>
      <c r="G77" s="125"/>
      <c r="H77" s="141"/>
      <c r="I77" s="111" t="str">
        <f t="shared" ref="I77:I92" si="3">IF(F77="","",INT(F77*H77))</f>
        <v/>
      </c>
      <c r="J77" s="67" t="s">
        <v>3257</v>
      </c>
      <c r="K77" s="68"/>
      <c r="L77" s="69"/>
      <c r="M77" s="752"/>
      <c r="N77" s="753"/>
      <c r="O77" s="747"/>
      <c r="P77" s="232"/>
      <c r="Q77" s="233"/>
      <c r="R77" s="233"/>
      <c r="S77" s="233"/>
      <c r="T77" s="233"/>
      <c r="U77" s="233"/>
      <c r="V77" s="233"/>
      <c r="W77" s="233"/>
      <c r="X77" s="234"/>
      <c r="Y77" s="234"/>
      <c r="Z77" s="234"/>
      <c r="AA77" s="234"/>
      <c r="AB77" s="234"/>
      <c r="AC77" s="233"/>
      <c r="AD77" s="365"/>
      <c r="AE77" s="366"/>
      <c r="AF77" s="233"/>
      <c r="AG77" s="233"/>
      <c r="AH77" s="623"/>
      <c r="AI77" s="670"/>
    </row>
    <row r="78" spans="1:35" s="37" customFormat="1" ht="24" customHeight="1">
      <c r="A78" s="36"/>
      <c r="B78" s="36"/>
      <c r="C78" s="134"/>
      <c r="D78" s="135"/>
      <c r="E78" s="124"/>
      <c r="F78" s="289"/>
      <c r="G78" s="125"/>
      <c r="H78" s="141"/>
      <c r="I78" s="111" t="str">
        <f t="shared" si="3"/>
        <v/>
      </c>
      <c r="J78" s="67"/>
      <c r="K78" s="68"/>
      <c r="L78" s="69"/>
      <c r="M78" s="752"/>
      <c r="N78" s="753"/>
      <c r="O78" s="747"/>
      <c r="P78" s="232"/>
      <c r="Q78" s="233"/>
      <c r="R78" s="233"/>
      <c r="S78" s="233"/>
      <c r="T78" s="233"/>
      <c r="U78" s="233"/>
      <c r="V78" s="233"/>
      <c r="W78" s="233"/>
      <c r="X78" s="234"/>
      <c r="Y78" s="234"/>
      <c r="Z78" s="234"/>
      <c r="AA78" s="234"/>
      <c r="AB78" s="234"/>
      <c r="AC78" s="233"/>
      <c r="AD78" s="365"/>
      <c r="AE78" s="366"/>
      <c r="AF78" s="233"/>
      <c r="AG78" s="233"/>
      <c r="AH78" s="623"/>
      <c r="AI78" s="670"/>
    </row>
    <row r="79" spans="1:35" s="37" customFormat="1" ht="24" customHeight="1">
      <c r="A79" s="36"/>
      <c r="B79" s="36"/>
      <c r="C79" s="134"/>
      <c r="D79" s="135"/>
      <c r="E79" s="124"/>
      <c r="F79" s="289"/>
      <c r="G79" s="125"/>
      <c r="H79" s="141"/>
      <c r="I79" s="111" t="str">
        <f t="shared" si="3"/>
        <v/>
      </c>
      <c r="J79" s="67"/>
      <c r="K79" s="68"/>
      <c r="L79" s="69"/>
      <c r="M79" s="752"/>
      <c r="N79" s="753"/>
      <c r="O79" s="747"/>
      <c r="P79" s="232"/>
      <c r="Q79" s="233"/>
      <c r="R79" s="233"/>
      <c r="S79" s="233"/>
      <c r="T79" s="233"/>
      <c r="U79" s="233"/>
      <c r="V79" s="233"/>
      <c r="W79" s="233"/>
      <c r="X79" s="234"/>
      <c r="Y79" s="234"/>
      <c r="Z79" s="234"/>
      <c r="AA79" s="234"/>
      <c r="AB79" s="234"/>
      <c r="AC79" s="233"/>
      <c r="AD79" s="365"/>
      <c r="AE79" s="366"/>
      <c r="AF79" s="233"/>
      <c r="AG79" s="233"/>
      <c r="AH79" s="623"/>
      <c r="AI79" s="670"/>
    </row>
    <row r="80" spans="1:35" s="37" customFormat="1" ht="24" customHeight="1">
      <c r="A80" s="36"/>
      <c r="B80" s="36"/>
      <c r="C80" s="134"/>
      <c r="D80" s="135"/>
      <c r="E80" s="124"/>
      <c r="F80" s="289"/>
      <c r="G80" s="125"/>
      <c r="H80" s="141"/>
      <c r="I80" s="111" t="str">
        <f t="shared" si="3"/>
        <v/>
      </c>
      <c r="J80" s="67"/>
      <c r="K80" s="68"/>
      <c r="L80" s="69"/>
      <c r="M80" s="752"/>
      <c r="N80" s="753"/>
      <c r="O80" s="747"/>
      <c r="P80" s="232"/>
      <c r="Q80" s="233"/>
      <c r="R80" s="233"/>
      <c r="S80" s="233"/>
      <c r="T80" s="233"/>
      <c r="U80" s="233"/>
      <c r="V80" s="233"/>
      <c r="W80" s="233"/>
      <c r="X80" s="234"/>
      <c r="Y80" s="234"/>
      <c r="Z80" s="234"/>
      <c r="AA80" s="234"/>
      <c r="AB80" s="234"/>
      <c r="AC80" s="233"/>
      <c r="AD80" s="365"/>
      <c r="AE80" s="366"/>
      <c r="AF80" s="233"/>
      <c r="AG80" s="233"/>
      <c r="AH80" s="623"/>
      <c r="AI80" s="670"/>
    </row>
    <row r="81" spans="1:35" s="37" customFormat="1" ht="24" customHeight="1">
      <c r="A81" s="36"/>
      <c r="B81" s="36"/>
      <c r="C81" s="134"/>
      <c r="D81" s="135"/>
      <c r="E81" s="124"/>
      <c r="F81" s="289"/>
      <c r="G81" s="125"/>
      <c r="H81" s="141"/>
      <c r="I81" s="111" t="str">
        <f t="shared" si="3"/>
        <v/>
      </c>
      <c r="J81" s="67"/>
      <c r="K81" s="68"/>
      <c r="L81" s="69"/>
      <c r="M81" s="752"/>
      <c r="N81" s="753"/>
      <c r="O81" s="747"/>
      <c r="P81" s="232"/>
      <c r="Q81" s="233"/>
      <c r="R81" s="233"/>
      <c r="S81" s="233"/>
      <c r="T81" s="233"/>
      <c r="U81" s="233"/>
      <c r="V81" s="233"/>
      <c r="W81" s="233"/>
      <c r="X81" s="234"/>
      <c r="Y81" s="234"/>
      <c r="Z81" s="234"/>
      <c r="AA81" s="234"/>
      <c r="AB81" s="234"/>
      <c r="AC81" s="233"/>
      <c r="AD81" s="365"/>
      <c r="AE81" s="366"/>
      <c r="AF81" s="233"/>
      <c r="AG81" s="233"/>
      <c r="AH81" s="623"/>
      <c r="AI81" s="670"/>
    </row>
    <row r="82" spans="1:35" s="37" customFormat="1" ht="24" customHeight="1">
      <c r="A82" s="36"/>
      <c r="B82" s="36"/>
      <c r="C82" s="134"/>
      <c r="D82" s="135"/>
      <c r="E82" s="124"/>
      <c r="F82" s="289"/>
      <c r="G82" s="125"/>
      <c r="H82" s="141"/>
      <c r="I82" s="111" t="str">
        <f t="shared" si="3"/>
        <v/>
      </c>
      <c r="J82" s="67"/>
      <c r="K82" s="68"/>
      <c r="L82" s="69"/>
      <c r="M82" s="752"/>
      <c r="N82" s="753"/>
      <c r="O82" s="747"/>
      <c r="P82" s="232"/>
      <c r="Q82" s="233"/>
      <c r="R82" s="233"/>
      <c r="S82" s="233"/>
      <c r="T82" s="233"/>
      <c r="U82" s="233"/>
      <c r="V82" s="233"/>
      <c r="W82" s="233"/>
      <c r="X82" s="234"/>
      <c r="Y82" s="234"/>
      <c r="Z82" s="234"/>
      <c r="AA82" s="234"/>
      <c r="AB82" s="234"/>
      <c r="AC82" s="233"/>
      <c r="AD82" s="365"/>
      <c r="AE82" s="366"/>
      <c r="AF82" s="233"/>
      <c r="AG82" s="233"/>
      <c r="AH82" s="623"/>
      <c r="AI82" s="670"/>
    </row>
    <row r="83" spans="1:35" s="37" customFormat="1" ht="24" customHeight="1">
      <c r="A83" s="36"/>
      <c r="B83" s="36"/>
      <c r="C83" s="134"/>
      <c r="D83" s="135"/>
      <c r="E83" s="124"/>
      <c r="F83" s="289"/>
      <c r="G83" s="125"/>
      <c r="H83" s="141"/>
      <c r="I83" s="111" t="str">
        <f t="shared" si="3"/>
        <v/>
      </c>
      <c r="J83" s="67"/>
      <c r="K83" s="68"/>
      <c r="L83" s="69"/>
      <c r="M83" s="752"/>
      <c r="N83" s="753"/>
      <c r="O83" s="747"/>
      <c r="P83" s="232"/>
      <c r="Q83" s="233"/>
      <c r="R83" s="233"/>
      <c r="S83" s="233"/>
      <c r="T83" s="233"/>
      <c r="U83" s="233"/>
      <c r="V83" s="233"/>
      <c r="W83" s="233"/>
      <c r="X83" s="234"/>
      <c r="Y83" s="234"/>
      <c r="Z83" s="234"/>
      <c r="AA83" s="234"/>
      <c r="AB83" s="234"/>
      <c r="AC83" s="233"/>
      <c r="AD83" s="365"/>
      <c r="AE83" s="366"/>
      <c r="AF83" s="233"/>
      <c r="AG83" s="233"/>
      <c r="AH83" s="623"/>
      <c r="AI83" s="670"/>
    </row>
    <row r="84" spans="1:35" s="37" customFormat="1" ht="24" customHeight="1">
      <c r="A84" s="36"/>
      <c r="B84" s="36"/>
      <c r="C84" s="134"/>
      <c r="D84" s="135"/>
      <c r="E84" s="124"/>
      <c r="F84" s="289"/>
      <c r="G84" s="125"/>
      <c r="H84" s="141"/>
      <c r="I84" s="111" t="str">
        <f t="shared" si="3"/>
        <v/>
      </c>
      <c r="J84" s="67"/>
      <c r="K84" s="68"/>
      <c r="L84" s="69"/>
      <c r="M84" s="752"/>
      <c r="N84" s="753"/>
      <c r="O84" s="747"/>
      <c r="P84" s="232"/>
      <c r="Q84" s="233"/>
      <c r="R84" s="233"/>
      <c r="S84" s="233"/>
      <c r="T84" s="233"/>
      <c r="U84" s="233"/>
      <c r="V84" s="233"/>
      <c r="W84" s="233"/>
      <c r="X84" s="234"/>
      <c r="Y84" s="234"/>
      <c r="Z84" s="234"/>
      <c r="AA84" s="234"/>
      <c r="AB84" s="234"/>
      <c r="AC84" s="233"/>
      <c r="AD84" s="365"/>
      <c r="AE84" s="366"/>
      <c r="AF84" s="233"/>
      <c r="AG84" s="233"/>
      <c r="AH84" s="623"/>
      <c r="AI84" s="670"/>
    </row>
    <row r="85" spans="1:35" s="37" customFormat="1" ht="24" customHeight="1">
      <c r="A85" s="36"/>
      <c r="B85" s="36"/>
      <c r="C85" s="134"/>
      <c r="D85" s="135"/>
      <c r="E85" s="124"/>
      <c r="F85" s="289"/>
      <c r="G85" s="125"/>
      <c r="H85" s="141"/>
      <c r="I85" s="111" t="str">
        <f t="shared" si="3"/>
        <v/>
      </c>
      <c r="J85" s="67"/>
      <c r="K85" s="68"/>
      <c r="L85" s="69"/>
      <c r="M85" s="752"/>
      <c r="N85" s="753"/>
      <c r="O85" s="747"/>
      <c r="P85" s="232"/>
      <c r="Q85" s="233"/>
      <c r="R85" s="233"/>
      <c r="S85" s="233"/>
      <c r="T85" s="233"/>
      <c r="U85" s="233"/>
      <c r="V85" s="233"/>
      <c r="W85" s="233"/>
      <c r="X85" s="234"/>
      <c r="Y85" s="234"/>
      <c r="Z85" s="234"/>
      <c r="AA85" s="234"/>
      <c r="AB85" s="234"/>
      <c r="AC85" s="233"/>
      <c r="AD85" s="365"/>
      <c r="AE85" s="366"/>
      <c r="AF85" s="233"/>
      <c r="AG85" s="233"/>
      <c r="AH85" s="623"/>
      <c r="AI85" s="670"/>
    </row>
    <row r="86" spans="1:35" s="37" customFormat="1" ht="24" customHeight="1">
      <c r="A86" s="36"/>
      <c r="B86" s="36"/>
      <c r="C86" s="134"/>
      <c r="D86" s="135"/>
      <c r="E86" s="124"/>
      <c r="F86" s="289"/>
      <c r="G86" s="125"/>
      <c r="H86" s="141"/>
      <c r="I86" s="111" t="str">
        <f t="shared" si="3"/>
        <v/>
      </c>
      <c r="J86" s="67"/>
      <c r="K86" s="68"/>
      <c r="L86" s="69"/>
      <c r="M86" s="752"/>
      <c r="N86" s="753"/>
      <c r="O86" s="747"/>
      <c r="P86" s="232"/>
      <c r="Q86" s="233"/>
      <c r="R86" s="233"/>
      <c r="S86" s="233"/>
      <c r="T86" s="233"/>
      <c r="U86" s="233"/>
      <c r="V86" s="233"/>
      <c r="W86" s="233"/>
      <c r="X86" s="234"/>
      <c r="Y86" s="234"/>
      <c r="Z86" s="234"/>
      <c r="AA86" s="234"/>
      <c r="AB86" s="234"/>
      <c r="AC86" s="233"/>
      <c r="AD86" s="365"/>
      <c r="AE86" s="366"/>
      <c r="AF86" s="233"/>
      <c r="AG86" s="233"/>
      <c r="AH86" s="623"/>
      <c r="AI86" s="670"/>
    </row>
    <row r="87" spans="1:35" s="37" customFormat="1" ht="24" customHeight="1">
      <c r="A87" s="36"/>
      <c r="B87" s="36"/>
      <c r="C87" s="134"/>
      <c r="D87" s="135"/>
      <c r="E87" s="124"/>
      <c r="F87" s="289"/>
      <c r="G87" s="125"/>
      <c r="H87" s="141"/>
      <c r="I87" s="111" t="str">
        <f t="shared" si="3"/>
        <v/>
      </c>
      <c r="J87" s="67"/>
      <c r="K87" s="68"/>
      <c r="L87" s="69"/>
      <c r="M87" s="752"/>
      <c r="N87" s="753"/>
      <c r="O87" s="747"/>
      <c r="P87" s="232"/>
      <c r="Q87" s="233"/>
      <c r="R87" s="233"/>
      <c r="S87" s="233"/>
      <c r="T87" s="233"/>
      <c r="U87" s="233"/>
      <c r="V87" s="233"/>
      <c r="W87" s="233"/>
      <c r="X87" s="234"/>
      <c r="Y87" s="234"/>
      <c r="Z87" s="234"/>
      <c r="AA87" s="234"/>
      <c r="AB87" s="234"/>
      <c r="AC87" s="233"/>
      <c r="AD87" s="365"/>
      <c r="AE87" s="366"/>
      <c r="AF87" s="233"/>
      <c r="AG87" s="233"/>
      <c r="AH87" s="623"/>
      <c r="AI87" s="670"/>
    </row>
    <row r="88" spans="1:35" s="37" customFormat="1" ht="24" customHeight="1">
      <c r="A88" s="36"/>
      <c r="B88" s="36"/>
      <c r="C88" s="134"/>
      <c r="D88" s="135"/>
      <c r="E88" s="124"/>
      <c r="F88" s="289"/>
      <c r="G88" s="125"/>
      <c r="H88" s="141"/>
      <c r="I88" s="111" t="str">
        <f t="shared" si="3"/>
        <v/>
      </c>
      <c r="J88" s="67"/>
      <c r="K88" s="68"/>
      <c r="L88" s="69"/>
      <c r="M88" s="752"/>
      <c r="N88" s="753"/>
      <c r="O88" s="747"/>
      <c r="P88" s="232"/>
      <c r="Q88" s="233"/>
      <c r="R88" s="233"/>
      <c r="S88" s="233"/>
      <c r="T88" s="233"/>
      <c r="U88" s="233"/>
      <c r="V88" s="233"/>
      <c r="W88" s="233"/>
      <c r="X88" s="234"/>
      <c r="Y88" s="234"/>
      <c r="Z88" s="234"/>
      <c r="AA88" s="234"/>
      <c r="AB88" s="234"/>
      <c r="AC88" s="233"/>
      <c r="AD88" s="365"/>
      <c r="AE88" s="366"/>
      <c r="AF88" s="233"/>
      <c r="AG88" s="233"/>
      <c r="AH88" s="623"/>
      <c r="AI88" s="670"/>
    </row>
    <row r="89" spans="1:35" s="37" customFormat="1" ht="24" customHeight="1">
      <c r="A89" s="36"/>
      <c r="B89" s="36"/>
      <c r="C89" s="134"/>
      <c r="D89" s="135"/>
      <c r="E89" s="124"/>
      <c r="F89" s="289"/>
      <c r="G89" s="125"/>
      <c r="H89" s="141"/>
      <c r="I89" s="111" t="str">
        <f t="shared" si="3"/>
        <v/>
      </c>
      <c r="J89" s="67"/>
      <c r="K89" s="68"/>
      <c r="L89" s="69"/>
      <c r="M89" s="752"/>
      <c r="N89" s="753"/>
      <c r="O89" s="747"/>
      <c r="P89" s="232"/>
      <c r="Q89" s="233"/>
      <c r="R89" s="233"/>
      <c r="S89" s="233"/>
      <c r="T89" s="233"/>
      <c r="U89" s="233"/>
      <c r="V89" s="233"/>
      <c r="W89" s="233"/>
      <c r="X89" s="234"/>
      <c r="Y89" s="234"/>
      <c r="Z89" s="234"/>
      <c r="AA89" s="234"/>
      <c r="AB89" s="234"/>
      <c r="AC89" s="233"/>
      <c r="AD89" s="365"/>
      <c r="AE89" s="366"/>
      <c r="AF89" s="233"/>
      <c r="AG89" s="233"/>
      <c r="AH89" s="623"/>
      <c r="AI89" s="670"/>
    </row>
    <row r="90" spans="1:35" s="37" customFormat="1" ht="24" customHeight="1">
      <c r="A90" s="36"/>
      <c r="B90" s="36"/>
      <c r="C90" s="134"/>
      <c r="D90" s="135"/>
      <c r="E90" s="124"/>
      <c r="F90" s="289"/>
      <c r="G90" s="125"/>
      <c r="H90" s="141"/>
      <c r="I90" s="111" t="str">
        <f t="shared" si="3"/>
        <v/>
      </c>
      <c r="J90" s="67"/>
      <c r="K90" s="68"/>
      <c r="L90" s="69"/>
      <c r="M90" s="752"/>
      <c r="N90" s="753"/>
      <c r="O90" s="747"/>
      <c r="P90" s="232"/>
      <c r="Q90" s="233"/>
      <c r="R90" s="233"/>
      <c r="S90" s="233"/>
      <c r="T90" s="233"/>
      <c r="U90" s="233"/>
      <c r="V90" s="233"/>
      <c r="W90" s="233"/>
      <c r="X90" s="234"/>
      <c r="Y90" s="234"/>
      <c r="Z90" s="234"/>
      <c r="AA90" s="234"/>
      <c r="AB90" s="234"/>
      <c r="AC90" s="233"/>
      <c r="AD90" s="365"/>
      <c r="AE90" s="366"/>
      <c r="AF90" s="233"/>
      <c r="AG90" s="233"/>
      <c r="AH90" s="623"/>
      <c r="AI90" s="670"/>
    </row>
    <row r="91" spans="1:35" s="37" customFormat="1" ht="24" customHeight="1">
      <c r="A91" s="36"/>
      <c r="B91" s="36"/>
      <c r="C91" s="134"/>
      <c r="D91" s="135"/>
      <c r="E91" s="124"/>
      <c r="F91" s="289"/>
      <c r="G91" s="125"/>
      <c r="H91" s="141"/>
      <c r="I91" s="111" t="str">
        <f t="shared" si="3"/>
        <v/>
      </c>
      <c r="J91" s="67"/>
      <c r="K91" s="68"/>
      <c r="L91" s="69"/>
      <c r="M91" s="752"/>
      <c r="N91" s="753"/>
      <c r="O91" s="747"/>
      <c r="P91" s="232"/>
      <c r="Q91" s="233"/>
      <c r="R91" s="233"/>
      <c r="S91" s="233"/>
      <c r="T91" s="233"/>
      <c r="U91" s="233"/>
      <c r="V91" s="233"/>
      <c r="W91" s="233"/>
      <c r="X91" s="234"/>
      <c r="Y91" s="234"/>
      <c r="Z91" s="234"/>
      <c r="AA91" s="234"/>
      <c r="AB91" s="234"/>
      <c r="AC91" s="233"/>
      <c r="AD91" s="365"/>
      <c r="AE91" s="366"/>
      <c r="AF91" s="233"/>
      <c r="AG91" s="233"/>
      <c r="AH91" s="623"/>
      <c r="AI91" s="670"/>
    </row>
    <row r="92" spans="1:35" s="37" customFormat="1" ht="24" customHeight="1">
      <c r="A92" s="36"/>
      <c r="B92" s="36"/>
      <c r="C92" s="134"/>
      <c r="D92" s="135"/>
      <c r="E92" s="124"/>
      <c r="F92" s="289"/>
      <c r="G92" s="125"/>
      <c r="H92" s="141"/>
      <c r="I92" s="111" t="str">
        <f t="shared" si="3"/>
        <v/>
      </c>
      <c r="J92" s="67"/>
      <c r="K92" s="68"/>
      <c r="L92" s="69"/>
      <c r="M92" s="752"/>
      <c r="N92" s="753"/>
      <c r="O92" s="747"/>
      <c r="P92" s="232"/>
      <c r="Q92" s="233"/>
      <c r="R92" s="233"/>
      <c r="S92" s="233"/>
      <c r="T92" s="233"/>
      <c r="U92" s="233"/>
      <c r="V92" s="233"/>
      <c r="W92" s="233"/>
      <c r="X92" s="234"/>
      <c r="Y92" s="234"/>
      <c r="Z92" s="234"/>
      <c r="AA92" s="234"/>
      <c r="AB92" s="234"/>
      <c r="AC92" s="233"/>
      <c r="AD92" s="365"/>
      <c r="AE92" s="366"/>
      <c r="AF92" s="233"/>
      <c r="AG92" s="233"/>
      <c r="AH92" s="623"/>
      <c r="AI92" s="670"/>
    </row>
    <row r="93" spans="1:35" ht="24" customHeight="1" thickBot="1">
      <c r="A93" s="36"/>
      <c r="B93" s="36"/>
      <c r="C93" s="113"/>
      <c r="D93" s="99" t="s">
        <v>9</v>
      </c>
      <c r="E93" s="114"/>
      <c r="F93" s="290"/>
      <c r="G93" s="127"/>
      <c r="H93" s="137" t="s">
        <v>90</v>
      </c>
      <c r="I93" s="115">
        <f>SUM(I75:I92)</f>
        <v>30166</v>
      </c>
      <c r="J93" s="740" t="str">
        <f>IF(C74="部分撤去工事","）うち費用",")")</f>
        <v>)</v>
      </c>
      <c r="K93" s="742">
        <f>IF(C74="部分撤去工事",(K70+L93),0)</f>
        <v>0</v>
      </c>
      <c r="L93" s="741">
        <f>IF(C74="部分撤去工事",SUMIF(N75:N92,"費用",I75:I92),0)</f>
        <v>0</v>
      </c>
      <c r="M93" s="754"/>
      <c r="N93" s="755"/>
      <c r="O93" s="747"/>
      <c r="P93" s="232"/>
      <c r="Q93" s="233"/>
      <c r="R93" s="233"/>
      <c r="S93" s="233"/>
      <c r="T93" s="233"/>
      <c r="U93" s="233"/>
      <c r="V93" s="233"/>
      <c r="W93" s="233"/>
      <c r="X93" s="234"/>
      <c r="Y93" s="234"/>
      <c r="Z93" s="234"/>
      <c r="AA93" s="234"/>
      <c r="AB93" s="234"/>
      <c r="AC93" s="233"/>
      <c r="AD93" s="365"/>
      <c r="AE93" s="366"/>
      <c r="AF93" s="233"/>
      <c r="AG93" s="233"/>
      <c r="AH93" s="233"/>
      <c r="AI93" s="670"/>
    </row>
    <row r="94" spans="1:35" ht="14.25" customHeight="1">
      <c r="E94" s="130" t="s">
        <v>68</v>
      </c>
      <c r="F94" s="131">
        <f>+F71+1</f>
        <v>7</v>
      </c>
      <c r="G94" s="132" t="s">
        <v>69</v>
      </c>
      <c r="H94" s="133">
        <f>+H71</f>
        <v>11</v>
      </c>
      <c r="I94" s="133"/>
      <c r="M94" s="748" t="str">
        <f>IF(A96="","EOL","")</f>
        <v/>
      </c>
      <c r="N94" s="1">
        <f>+F94</f>
        <v>7</v>
      </c>
      <c r="Q94" s="37"/>
      <c r="R94" s="37"/>
      <c r="S94" s="37"/>
      <c r="T94" s="37"/>
      <c r="U94" s="37"/>
      <c r="V94" s="37"/>
      <c r="W94" s="37"/>
      <c r="X94" s="37"/>
      <c r="Y94" s="37"/>
      <c r="Z94" s="37"/>
    </row>
    <row r="95" spans="1:35" ht="26.1" customHeight="1" thickBot="1">
      <c r="C95" s="2169" t="s">
        <v>343</v>
      </c>
      <c r="D95" s="2169"/>
      <c r="E95" s="2169"/>
      <c r="F95" s="2169"/>
      <c r="G95" s="2169"/>
      <c r="H95" s="2169"/>
      <c r="I95" s="2169"/>
      <c r="J95" s="2169"/>
      <c r="K95" s="2169"/>
      <c r="L95" s="2169"/>
      <c r="O95" s="2232" t="s">
        <v>155</v>
      </c>
      <c r="P95" s="2232"/>
      <c r="Q95" s="2232"/>
      <c r="R95" s="2232"/>
      <c r="S95" s="2232"/>
      <c r="T95" s="2232"/>
      <c r="U95" s="2232"/>
      <c r="V95" s="2232"/>
      <c r="W95" s="2232"/>
      <c r="X95" s="2232"/>
      <c r="Y95" s="2232"/>
      <c r="Z95" s="2232"/>
      <c r="AA95" s="2232"/>
      <c r="AB95" s="2232"/>
      <c r="AC95" s="2232"/>
      <c r="AD95" s="2232"/>
      <c r="AE95" s="2232"/>
      <c r="AF95" s="2232"/>
      <c r="AG95" s="2232"/>
      <c r="AH95" s="2233"/>
      <c r="AI95" s="668"/>
    </row>
    <row r="96" spans="1:35" ht="41.25" customHeight="1">
      <c r="A96" s="5" t="s">
        <v>11</v>
      </c>
      <c r="B96" s="5" t="s">
        <v>49</v>
      </c>
      <c r="C96" s="120" t="s">
        <v>0</v>
      </c>
      <c r="D96" s="116"/>
      <c r="E96" s="117" t="s">
        <v>1</v>
      </c>
      <c r="F96" s="118" t="s">
        <v>2</v>
      </c>
      <c r="G96" s="118" t="s">
        <v>3</v>
      </c>
      <c r="H96" s="119" t="s">
        <v>4</v>
      </c>
      <c r="I96" s="119" t="s">
        <v>5</v>
      </c>
      <c r="J96" s="2172" t="s">
        <v>6</v>
      </c>
      <c r="K96" s="2173"/>
      <c r="L96" s="2174"/>
      <c r="M96" s="749"/>
      <c r="N96" s="756" t="s">
        <v>2525</v>
      </c>
      <c r="O96" s="746" t="s">
        <v>87</v>
      </c>
      <c r="P96" s="359" t="s">
        <v>267</v>
      </c>
      <c r="Q96" s="291" t="s">
        <v>282</v>
      </c>
      <c r="R96" s="291" t="s">
        <v>229</v>
      </c>
      <c r="S96" s="291" t="s">
        <v>230</v>
      </c>
      <c r="T96" s="291" t="s">
        <v>245</v>
      </c>
      <c r="U96" s="291" t="s">
        <v>149</v>
      </c>
      <c r="V96" s="164" t="s">
        <v>148</v>
      </c>
      <c r="W96" s="291" t="s">
        <v>231</v>
      </c>
      <c r="X96" s="224" t="s">
        <v>232</v>
      </c>
      <c r="Y96" s="224" t="s">
        <v>233</v>
      </c>
      <c r="Z96" s="224" t="s">
        <v>234</v>
      </c>
      <c r="AA96" s="224" t="s">
        <v>235</v>
      </c>
      <c r="AB96" s="224" t="s">
        <v>277</v>
      </c>
      <c r="AC96" s="362" t="s">
        <v>286</v>
      </c>
      <c r="AD96" s="363" t="s">
        <v>287</v>
      </c>
      <c r="AE96" s="364" t="s">
        <v>151</v>
      </c>
      <c r="AF96" s="163" t="s">
        <v>154</v>
      </c>
      <c r="AG96" s="163" t="s">
        <v>152</v>
      </c>
      <c r="AH96" s="163" t="s">
        <v>153</v>
      </c>
      <c r="AI96" s="669"/>
    </row>
    <row r="97" spans="1:35" ht="24" customHeight="1">
      <c r="A97" s="36"/>
      <c r="B97" s="36"/>
      <c r="C97" s="138" t="s">
        <v>3165</v>
      </c>
      <c r="D97" s="139"/>
      <c r="E97" s="140"/>
      <c r="F97" s="288"/>
      <c r="G97" s="107"/>
      <c r="H97" s="97" t="s">
        <v>12</v>
      </c>
      <c r="I97" s="97" t="s">
        <v>12</v>
      </c>
      <c r="J97" s="2226" t="str">
        <f ca="1">RIGHT(CELL("filename",A70),LEN(CELL("filename",A70))-FIND("]",CELL("filename",A70)))</f>
        <v>工事1</v>
      </c>
      <c r="K97" s="2227"/>
      <c r="L97" s="2228"/>
      <c r="M97" s="750"/>
      <c r="N97" s="751"/>
      <c r="O97" s="747"/>
      <c r="P97" s="232"/>
      <c r="Q97" s="233"/>
      <c r="R97" s="233"/>
      <c r="S97" s="233"/>
      <c r="T97" s="233"/>
      <c r="U97" s="233"/>
      <c r="V97" s="233"/>
      <c r="W97" s="233"/>
      <c r="X97" s="234"/>
      <c r="Y97" s="234"/>
      <c r="Z97" s="234"/>
      <c r="AA97" s="234"/>
      <c r="AB97" s="234"/>
      <c r="AC97" s="233"/>
      <c r="AD97" s="365"/>
      <c r="AE97" s="366"/>
      <c r="AF97" s="233"/>
      <c r="AG97" s="233"/>
      <c r="AH97" s="233"/>
      <c r="AI97" s="670"/>
    </row>
    <row r="98" spans="1:35" s="37" customFormat="1" ht="24" customHeight="1">
      <c r="A98" s="36"/>
      <c r="B98" s="36"/>
      <c r="C98" s="134"/>
      <c r="D98" s="135"/>
      <c r="E98" s="124"/>
      <c r="F98" s="289"/>
      <c r="G98" s="125"/>
      <c r="H98" s="141"/>
      <c r="I98" s="111"/>
      <c r="J98" s="67"/>
      <c r="K98" s="68"/>
      <c r="L98" s="69"/>
      <c r="M98" s="752"/>
      <c r="N98" s="753"/>
      <c r="O98" s="747"/>
      <c r="P98" s="232"/>
      <c r="Q98" s="233"/>
      <c r="R98" s="233"/>
      <c r="S98" s="233"/>
      <c r="T98" s="233"/>
      <c r="U98" s="233"/>
      <c r="V98" s="233"/>
      <c r="W98" s="233"/>
      <c r="X98" s="234"/>
      <c r="Y98" s="234"/>
      <c r="Z98" s="234"/>
      <c r="AA98" s="234"/>
      <c r="AB98" s="234"/>
      <c r="AC98" s="233"/>
      <c r="AD98" s="365"/>
      <c r="AE98" s="366"/>
      <c r="AF98" s="233"/>
      <c r="AG98" s="233"/>
      <c r="AH98" s="623"/>
      <c r="AI98" s="670"/>
    </row>
    <row r="99" spans="1:35" s="37" customFormat="1" ht="24" customHeight="1">
      <c r="A99" s="36">
        <v>3</v>
      </c>
      <c r="B99" s="36">
        <v>3</v>
      </c>
      <c r="C99" s="134">
        <v>1303105</v>
      </c>
      <c r="D99" s="480" t="s">
        <v>3266</v>
      </c>
      <c r="E99" s="2146" t="s">
        <v>3294</v>
      </c>
      <c r="F99" s="289">
        <v>97.3</v>
      </c>
      <c r="G99" s="125" t="s">
        <v>3295</v>
      </c>
      <c r="H99" s="141">
        <v>1560</v>
      </c>
      <c r="I99" s="111">
        <f>IF(F99="","",INT(F99*H99))</f>
        <v>151788</v>
      </c>
      <c r="J99" s="67" t="s">
        <v>3296</v>
      </c>
      <c r="K99" s="68"/>
      <c r="L99" s="69"/>
      <c r="M99" s="752"/>
      <c r="N99" s="753"/>
      <c r="O99" s="747">
        <v>2</v>
      </c>
      <c r="P99" s="232"/>
      <c r="Q99" s="233"/>
      <c r="R99" s="233"/>
      <c r="S99" s="233"/>
      <c r="T99" s="233"/>
      <c r="U99" s="233"/>
      <c r="V99" s="233"/>
      <c r="W99" s="233"/>
      <c r="X99" s="234"/>
      <c r="Y99" s="234"/>
      <c r="Z99" s="234"/>
      <c r="AA99" s="234"/>
      <c r="AB99" s="234"/>
      <c r="AC99" s="233"/>
      <c r="AD99" s="365"/>
      <c r="AE99" s="366"/>
      <c r="AF99" s="233"/>
      <c r="AG99" s="233"/>
      <c r="AH99" s="623"/>
      <c r="AI99" s="670"/>
    </row>
    <row r="100" spans="1:35" s="37" customFormat="1" ht="24" customHeight="1">
      <c r="A100" s="36"/>
      <c r="B100" s="36"/>
      <c r="C100" s="134"/>
      <c r="D100" s="135"/>
      <c r="E100" s="2139"/>
      <c r="F100" s="289"/>
      <c r="G100" s="125"/>
      <c r="H100" s="141"/>
      <c r="I100" s="111"/>
      <c r="J100" s="2237"/>
      <c r="K100" s="2238"/>
      <c r="L100" s="2239"/>
      <c r="M100" s="752"/>
      <c r="N100" s="753"/>
      <c r="O100" s="747"/>
      <c r="P100" s="232"/>
      <c r="Q100" s="233"/>
      <c r="R100" s="233"/>
      <c r="S100" s="233"/>
      <c r="T100" s="233"/>
      <c r="U100" s="233"/>
      <c r="V100" s="233"/>
      <c r="W100" s="233"/>
      <c r="X100" s="234"/>
      <c r="Y100" s="234"/>
      <c r="Z100" s="234"/>
      <c r="AA100" s="234"/>
      <c r="AB100" s="234"/>
      <c r="AC100" s="233"/>
      <c r="AD100" s="365"/>
      <c r="AE100" s="366"/>
      <c r="AF100" s="233"/>
      <c r="AG100" s="233"/>
      <c r="AH100" s="623"/>
      <c r="AI100" s="670"/>
    </row>
    <row r="101" spans="1:35" s="37" customFormat="1" ht="24" customHeight="1">
      <c r="A101" s="36">
        <v>3</v>
      </c>
      <c r="B101" s="36">
        <v>3</v>
      </c>
      <c r="C101" s="134"/>
      <c r="D101" s="480" t="s">
        <v>3194</v>
      </c>
      <c r="E101" s="124" t="s">
        <v>3298</v>
      </c>
      <c r="F101" s="289">
        <v>15</v>
      </c>
      <c r="G101" s="125" t="s">
        <v>3195</v>
      </c>
      <c r="H101" s="141">
        <f>ROUNDDOWN(3020-(3020/3.2*0.3),-1)</f>
        <v>2730</v>
      </c>
      <c r="I101" s="111">
        <f>IF(F101="","",INT(F101*H101))</f>
        <v>40950</v>
      </c>
      <c r="J101" s="67" t="s">
        <v>3299</v>
      </c>
      <c r="K101" s="68"/>
      <c r="L101" s="69"/>
      <c r="M101" s="752"/>
      <c r="N101" s="753"/>
      <c r="O101" s="747">
        <v>1</v>
      </c>
      <c r="P101" s="232"/>
      <c r="Q101" s="233"/>
      <c r="R101" s="233"/>
      <c r="S101" s="233"/>
      <c r="T101" s="233"/>
      <c r="U101" s="233"/>
      <c r="V101" s="233"/>
      <c r="W101" s="233"/>
      <c r="X101" s="234"/>
      <c r="Y101" s="234"/>
      <c r="Z101" s="234"/>
      <c r="AA101" s="234"/>
      <c r="AB101" s="234"/>
      <c r="AC101" s="233"/>
      <c r="AD101" s="365"/>
      <c r="AE101" s="366"/>
      <c r="AF101" s="233"/>
      <c r="AG101" s="233"/>
      <c r="AH101" s="623"/>
      <c r="AI101" s="670"/>
    </row>
    <row r="102" spans="1:35" s="37" customFormat="1" ht="24" customHeight="1">
      <c r="A102" s="36"/>
      <c r="B102" s="36"/>
      <c r="C102" s="134"/>
      <c r="D102" s="480"/>
      <c r="E102" s="124"/>
      <c r="F102" s="289"/>
      <c r="G102" s="125"/>
      <c r="H102" s="141"/>
      <c r="I102" s="111"/>
      <c r="J102" s="2240" t="s">
        <v>3301</v>
      </c>
      <c r="K102" s="2241"/>
      <c r="L102" s="2242"/>
      <c r="M102" s="752"/>
      <c r="N102" s="753"/>
      <c r="O102" s="747"/>
      <c r="P102" s="232"/>
      <c r="Q102" s="233"/>
      <c r="R102" s="233"/>
      <c r="S102" s="233"/>
      <c r="T102" s="233"/>
      <c r="U102" s="233"/>
      <c r="V102" s="233"/>
      <c r="W102" s="233"/>
      <c r="X102" s="234"/>
      <c r="Y102" s="234"/>
      <c r="Z102" s="234"/>
      <c r="AA102" s="234"/>
      <c r="AB102" s="234"/>
      <c r="AC102" s="233"/>
      <c r="AD102" s="365"/>
      <c r="AE102" s="366"/>
      <c r="AF102" s="233"/>
      <c r="AG102" s="233"/>
      <c r="AH102" s="623"/>
      <c r="AI102" s="670"/>
    </row>
    <row r="103" spans="1:35" s="37" customFormat="1" ht="24" customHeight="1">
      <c r="A103" s="36">
        <v>3</v>
      </c>
      <c r="B103" s="36">
        <v>3</v>
      </c>
      <c r="C103" s="2132"/>
      <c r="D103" s="2133" t="s">
        <v>3191</v>
      </c>
      <c r="E103" s="2134" t="s">
        <v>3197</v>
      </c>
      <c r="F103" s="2135">
        <v>4</v>
      </c>
      <c r="G103" s="2136" t="s">
        <v>3192</v>
      </c>
      <c r="H103" s="141">
        <f>ROUNDDOWN(3020+(3020/3.2*2.1),-1)</f>
        <v>5000</v>
      </c>
      <c r="I103" s="2138">
        <f>IF(F103="","",INT(F103*H103))</f>
        <v>20000</v>
      </c>
      <c r="J103" s="67" t="s">
        <v>3299</v>
      </c>
      <c r="K103" s="2140"/>
      <c r="L103" s="2141"/>
      <c r="M103" s="752"/>
      <c r="N103" s="753"/>
      <c r="O103" s="747">
        <v>1</v>
      </c>
      <c r="P103" s="232"/>
      <c r="Q103" s="233"/>
      <c r="R103" s="233"/>
      <c r="S103" s="233"/>
      <c r="T103" s="233"/>
      <c r="U103" s="233"/>
      <c r="V103" s="233"/>
      <c r="W103" s="233"/>
      <c r="X103" s="234"/>
      <c r="Y103" s="234"/>
      <c r="Z103" s="234"/>
      <c r="AA103" s="234"/>
      <c r="AB103" s="234"/>
      <c r="AC103" s="233"/>
      <c r="AD103" s="365"/>
      <c r="AE103" s="366"/>
      <c r="AF103" s="233"/>
      <c r="AG103" s="233"/>
      <c r="AH103" s="623"/>
      <c r="AI103" s="670"/>
    </row>
    <row r="104" spans="1:35" s="37" customFormat="1" ht="24" customHeight="1">
      <c r="A104" s="36"/>
      <c r="B104" s="36"/>
      <c r="C104" s="2132"/>
      <c r="D104" s="2133"/>
      <c r="E104" s="2134"/>
      <c r="F104" s="2135"/>
      <c r="G104" s="2136"/>
      <c r="H104" s="2137"/>
      <c r="I104" s="2138"/>
      <c r="J104" s="2240" t="s">
        <v>3300</v>
      </c>
      <c r="K104" s="2241"/>
      <c r="L104" s="2242"/>
      <c r="M104" s="752"/>
      <c r="N104" s="753"/>
      <c r="O104" s="747"/>
      <c r="P104" s="232"/>
      <c r="Q104" s="233"/>
      <c r="R104" s="233"/>
      <c r="S104" s="233"/>
      <c r="T104" s="233"/>
      <c r="U104" s="233"/>
      <c r="V104" s="233"/>
      <c r="W104" s="233"/>
      <c r="X104" s="234"/>
      <c r="Y104" s="234"/>
      <c r="Z104" s="234"/>
      <c r="AA104" s="234"/>
      <c r="AB104" s="234"/>
      <c r="AC104" s="233"/>
      <c r="AD104" s="365"/>
      <c r="AE104" s="366"/>
      <c r="AF104" s="233"/>
      <c r="AG104" s="233"/>
      <c r="AH104" s="623"/>
      <c r="AI104" s="670"/>
    </row>
    <row r="105" spans="1:35" s="37" customFormat="1" ht="24" customHeight="1">
      <c r="A105" s="36">
        <v>3</v>
      </c>
      <c r="B105" s="36">
        <v>3</v>
      </c>
      <c r="C105" s="2132">
        <v>1306701</v>
      </c>
      <c r="D105" s="2133" t="s">
        <v>3267</v>
      </c>
      <c r="E105" s="2134" t="s">
        <v>3268</v>
      </c>
      <c r="F105" s="2135">
        <v>97.3</v>
      </c>
      <c r="G105" s="2136" t="s">
        <v>164</v>
      </c>
      <c r="H105" s="2137">
        <v>260</v>
      </c>
      <c r="I105" s="111">
        <f>IF(F105="","",INT(F105*H105))</f>
        <v>25298</v>
      </c>
      <c r="J105" s="2243" t="s">
        <v>3269</v>
      </c>
      <c r="K105" s="2244"/>
      <c r="L105" s="2245"/>
      <c r="M105" s="752"/>
      <c r="N105" s="753"/>
      <c r="O105" s="747">
        <v>2</v>
      </c>
      <c r="P105" s="232"/>
      <c r="Q105" s="233"/>
      <c r="R105" s="233"/>
      <c r="S105" s="233"/>
      <c r="T105" s="233"/>
      <c r="U105" s="233"/>
      <c r="V105" s="233"/>
      <c r="W105" s="233"/>
      <c r="X105" s="234"/>
      <c r="Y105" s="234"/>
      <c r="Z105" s="234"/>
      <c r="AA105" s="234"/>
      <c r="AB105" s="234"/>
      <c r="AC105" s="233"/>
      <c r="AD105" s="365"/>
      <c r="AE105" s="366"/>
      <c r="AF105" s="233"/>
      <c r="AG105" s="233"/>
      <c r="AH105" s="623"/>
      <c r="AI105" s="670"/>
    </row>
    <row r="106" spans="1:35" s="37" customFormat="1" ht="24" customHeight="1">
      <c r="A106" s="36"/>
      <c r="B106" s="36"/>
      <c r="C106" s="2132"/>
      <c r="D106" s="2133"/>
      <c r="E106" s="2134"/>
      <c r="F106" s="2135"/>
      <c r="G106" s="2136"/>
      <c r="H106" s="2137"/>
      <c r="I106" s="2138"/>
      <c r="J106" s="2142"/>
      <c r="K106" s="2143"/>
      <c r="L106" s="2144"/>
      <c r="M106" s="752"/>
      <c r="N106" s="753"/>
      <c r="O106" s="747"/>
      <c r="P106" s="232"/>
      <c r="Q106" s="233"/>
      <c r="R106" s="233"/>
      <c r="S106" s="233"/>
      <c r="T106" s="233"/>
      <c r="U106" s="233"/>
      <c r="V106" s="233"/>
      <c r="W106" s="233"/>
      <c r="X106" s="234"/>
      <c r="Y106" s="234"/>
      <c r="Z106" s="234"/>
      <c r="AA106" s="234"/>
      <c r="AB106" s="234"/>
      <c r="AC106" s="233"/>
      <c r="AD106" s="365"/>
      <c r="AE106" s="366"/>
      <c r="AF106" s="233"/>
      <c r="AG106" s="233"/>
      <c r="AH106" s="623"/>
      <c r="AI106" s="670"/>
    </row>
    <row r="107" spans="1:35" s="37" customFormat="1" ht="24" customHeight="1">
      <c r="A107" s="36">
        <v>3</v>
      </c>
      <c r="B107" s="36">
        <v>3</v>
      </c>
      <c r="C107" s="134">
        <v>14097</v>
      </c>
      <c r="D107" s="480" t="s">
        <v>3278</v>
      </c>
      <c r="E107" s="124" t="s">
        <v>3279</v>
      </c>
      <c r="F107" s="289">
        <v>10</v>
      </c>
      <c r="G107" s="125" t="s">
        <v>3280</v>
      </c>
      <c r="H107" s="141">
        <v>4050</v>
      </c>
      <c r="I107" s="111">
        <f>IF(F107="","",INT(F107*H107))</f>
        <v>40500</v>
      </c>
      <c r="J107" s="67"/>
      <c r="K107" s="68"/>
      <c r="L107" s="69"/>
      <c r="M107" s="752"/>
      <c r="N107" s="753"/>
      <c r="O107" s="747">
        <v>0</v>
      </c>
      <c r="P107" s="232"/>
      <c r="Q107" s="233"/>
      <c r="R107" s="233"/>
      <c r="S107" s="233"/>
      <c r="T107" s="233"/>
      <c r="U107" s="233"/>
      <c r="V107" s="233"/>
      <c r="W107" s="233"/>
      <c r="X107" s="234"/>
      <c r="Y107" s="234"/>
      <c r="Z107" s="234"/>
      <c r="AA107" s="234"/>
      <c r="AB107" s="234"/>
      <c r="AC107" s="233"/>
      <c r="AD107" s="365"/>
      <c r="AE107" s="366"/>
      <c r="AF107" s="233"/>
      <c r="AG107" s="233"/>
      <c r="AH107" s="623"/>
      <c r="AI107" s="670"/>
    </row>
    <row r="108" spans="1:35" s="37" customFormat="1" ht="24" customHeight="1">
      <c r="A108" s="36">
        <v>3</v>
      </c>
      <c r="B108" s="36">
        <v>3</v>
      </c>
      <c r="C108" s="134">
        <v>14098</v>
      </c>
      <c r="D108" s="480" t="s">
        <v>3278</v>
      </c>
      <c r="E108" s="124" t="s">
        <v>3281</v>
      </c>
      <c r="F108" s="289">
        <v>10</v>
      </c>
      <c r="G108" s="125" t="s">
        <v>3280</v>
      </c>
      <c r="H108" s="141">
        <v>10100</v>
      </c>
      <c r="I108" s="111">
        <f>IF(F108="","",INT(F108*H108))</f>
        <v>101000</v>
      </c>
      <c r="J108" s="67"/>
      <c r="K108" s="68"/>
      <c r="L108" s="69"/>
      <c r="M108" s="752"/>
      <c r="N108" s="753"/>
      <c r="O108" s="747">
        <v>0</v>
      </c>
      <c r="P108" s="232"/>
      <c r="Q108" s="233"/>
      <c r="R108" s="233"/>
      <c r="S108" s="233"/>
      <c r="T108" s="233"/>
      <c r="U108" s="233"/>
      <c r="V108" s="233"/>
      <c r="W108" s="233"/>
      <c r="X108" s="234"/>
      <c r="Y108" s="234"/>
      <c r="Z108" s="234"/>
      <c r="AA108" s="234"/>
      <c r="AB108" s="234"/>
      <c r="AC108" s="233"/>
      <c r="AD108" s="365"/>
      <c r="AE108" s="366"/>
      <c r="AF108" s="233"/>
      <c r="AG108" s="233"/>
      <c r="AH108" s="623"/>
      <c r="AI108" s="670"/>
    </row>
    <row r="109" spans="1:35" s="37" customFormat="1" ht="24" customHeight="1">
      <c r="A109" s="36"/>
      <c r="B109" s="36"/>
      <c r="C109" s="134"/>
      <c r="D109" s="2131"/>
      <c r="E109" s="124"/>
      <c r="F109" s="289"/>
      <c r="G109" s="125"/>
      <c r="H109" s="141"/>
      <c r="I109" s="111" t="str">
        <f t="shared" ref="I109:I115" si="4">IF(F109="","",INT(F109*H109))</f>
        <v/>
      </c>
      <c r="J109" s="67"/>
      <c r="K109" s="68"/>
      <c r="L109" s="69"/>
      <c r="M109" s="752"/>
      <c r="N109" s="753"/>
      <c r="O109" s="747"/>
      <c r="P109" s="232"/>
      <c r="Q109" s="233"/>
      <c r="R109" s="233"/>
      <c r="S109" s="233"/>
      <c r="T109" s="233"/>
      <c r="U109" s="233"/>
      <c r="V109" s="233"/>
      <c r="W109" s="233"/>
      <c r="X109" s="234"/>
      <c r="Y109" s="234"/>
      <c r="Z109" s="234"/>
      <c r="AA109" s="234"/>
      <c r="AB109" s="234"/>
      <c r="AC109" s="233"/>
      <c r="AD109" s="365"/>
      <c r="AE109" s="366"/>
      <c r="AF109" s="233"/>
      <c r="AG109" s="233"/>
      <c r="AH109" s="623"/>
      <c r="AI109" s="670"/>
    </row>
    <row r="110" spans="1:35" s="37" customFormat="1" ht="24" customHeight="1">
      <c r="A110" s="36">
        <v>3</v>
      </c>
      <c r="B110" s="36">
        <v>3</v>
      </c>
      <c r="C110" s="134">
        <v>300</v>
      </c>
      <c r="D110" s="480" t="s">
        <v>3304</v>
      </c>
      <c r="E110" s="124" t="s">
        <v>3305</v>
      </c>
      <c r="F110" s="289">
        <v>97.3</v>
      </c>
      <c r="G110" s="125" t="s">
        <v>3306</v>
      </c>
      <c r="H110" s="141">
        <f>見積比較!O$5</f>
        <v>45700</v>
      </c>
      <c r="I110" s="111">
        <f>IF(F110="","",INT(F110*H110))</f>
        <v>4446610</v>
      </c>
      <c r="J110" s="67" t="s">
        <v>3307</v>
      </c>
      <c r="K110" s="68"/>
      <c r="L110" s="69"/>
      <c r="M110" s="752"/>
      <c r="N110" s="753"/>
      <c r="O110" s="747">
        <v>0</v>
      </c>
      <c r="P110" s="232"/>
      <c r="Q110" s="233"/>
      <c r="R110" s="233"/>
      <c r="S110" s="233"/>
      <c r="T110" s="233"/>
      <c r="U110" s="233"/>
      <c r="V110" s="233"/>
      <c r="W110" s="233"/>
      <c r="X110" s="234"/>
      <c r="Y110" s="234"/>
      <c r="Z110" s="234"/>
      <c r="AA110" s="234"/>
      <c r="AB110" s="234"/>
      <c r="AC110" s="233"/>
      <c r="AD110" s="365"/>
      <c r="AE110" s="366"/>
      <c r="AF110" s="233"/>
      <c r="AG110" s="233"/>
      <c r="AH110" s="623"/>
      <c r="AI110" s="670"/>
    </row>
    <row r="111" spans="1:35" s="37" customFormat="1" ht="24" customHeight="1">
      <c r="A111" s="36">
        <v>3</v>
      </c>
      <c r="B111" s="36">
        <v>3</v>
      </c>
      <c r="C111" s="134">
        <v>310</v>
      </c>
      <c r="D111" s="480" t="s">
        <v>3308</v>
      </c>
      <c r="E111" s="124" t="s">
        <v>3309</v>
      </c>
      <c r="F111" s="289">
        <v>62.3</v>
      </c>
      <c r="G111" s="125" t="s">
        <v>3310</v>
      </c>
      <c r="H111" s="141">
        <f>見積比較!O$7</f>
        <v>6240</v>
      </c>
      <c r="I111" s="111">
        <f>IF(F111="","",INT(F111*H111))</f>
        <v>388752</v>
      </c>
      <c r="J111" s="67" t="s">
        <v>3311</v>
      </c>
      <c r="K111" s="68"/>
      <c r="L111" s="69"/>
      <c r="M111" s="752"/>
      <c r="N111" s="753"/>
      <c r="O111" s="747">
        <v>0</v>
      </c>
      <c r="P111" s="232"/>
      <c r="Q111" s="233"/>
      <c r="R111" s="233"/>
      <c r="S111" s="233"/>
      <c r="T111" s="233"/>
      <c r="U111" s="233"/>
      <c r="V111" s="233"/>
      <c r="W111" s="233"/>
      <c r="X111" s="234"/>
      <c r="Y111" s="234"/>
      <c r="Z111" s="234"/>
      <c r="AA111" s="234"/>
      <c r="AB111" s="234"/>
      <c r="AC111" s="233"/>
      <c r="AD111" s="365"/>
      <c r="AE111" s="366"/>
      <c r="AF111" s="233"/>
      <c r="AG111" s="233"/>
      <c r="AH111" s="623"/>
      <c r="AI111" s="670"/>
    </row>
    <row r="112" spans="1:35" s="37" customFormat="1" ht="24" customHeight="1">
      <c r="A112" s="36"/>
      <c r="B112" s="36"/>
      <c r="C112" s="134"/>
      <c r="D112" s="480"/>
      <c r="E112" s="124"/>
      <c r="F112" s="289"/>
      <c r="G112" s="125"/>
      <c r="H112" s="141"/>
      <c r="I112" s="111" t="str">
        <f>IF(F112="","",INT(F112*H112))</f>
        <v/>
      </c>
      <c r="J112" s="67"/>
      <c r="K112" s="68"/>
      <c r="L112" s="69"/>
      <c r="M112" s="752"/>
      <c r="N112" s="753"/>
      <c r="O112" s="747"/>
      <c r="P112" s="232"/>
      <c r="Q112" s="233"/>
      <c r="R112" s="233"/>
      <c r="S112" s="233"/>
      <c r="T112" s="233"/>
      <c r="U112" s="233"/>
      <c r="V112" s="233"/>
      <c r="W112" s="233"/>
      <c r="X112" s="234"/>
      <c r="Y112" s="234"/>
      <c r="Z112" s="234"/>
      <c r="AA112" s="234"/>
      <c r="AB112" s="234"/>
      <c r="AC112" s="233"/>
      <c r="AD112" s="365"/>
      <c r="AE112" s="366"/>
      <c r="AF112" s="233"/>
      <c r="AG112" s="233"/>
      <c r="AH112" s="623"/>
      <c r="AI112" s="670"/>
    </row>
    <row r="113" spans="1:35" s="37" customFormat="1" ht="24" customHeight="1">
      <c r="A113" s="36">
        <v>3</v>
      </c>
      <c r="B113" s="36">
        <v>3</v>
      </c>
      <c r="C113" s="134">
        <v>320</v>
      </c>
      <c r="D113" s="480" t="s">
        <v>3312</v>
      </c>
      <c r="E113" s="124" t="s">
        <v>3313</v>
      </c>
      <c r="F113" s="289">
        <v>15</v>
      </c>
      <c r="G113" s="125" t="s">
        <v>3314</v>
      </c>
      <c r="H113" s="141">
        <f>見積比較!O$9</f>
        <v>26500</v>
      </c>
      <c r="I113" s="111">
        <f>IF(F113="","",INT(F113*H113))</f>
        <v>397500</v>
      </c>
      <c r="J113" s="67" t="s">
        <v>3315</v>
      </c>
      <c r="K113" s="68"/>
      <c r="L113" s="69"/>
      <c r="M113" s="752"/>
      <c r="N113" s="753"/>
      <c r="O113" s="747">
        <v>0</v>
      </c>
      <c r="P113" s="232"/>
      <c r="Q113" s="233"/>
      <c r="R113" s="233"/>
      <c r="S113" s="233"/>
      <c r="T113" s="233"/>
      <c r="U113" s="233"/>
      <c r="V113" s="233"/>
      <c r="W113" s="233"/>
      <c r="X113" s="234"/>
      <c r="Y113" s="234"/>
      <c r="Z113" s="234"/>
      <c r="AA113" s="234"/>
      <c r="AB113" s="234"/>
      <c r="AC113" s="233"/>
      <c r="AD113" s="365"/>
      <c r="AE113" s="366"/>
      <c r="AF113" s="233"/>
      <c r="AG113" s="233"/>
      <c r="AH113" s="623"/>
      <c r="AI113" s="670"/>
    </row>
    <row r="114" spans="1:35" s="37" customFormat="1" ht="24" customHeight="1">
      <c r="A114" s="36">
        <v>3</v>
      </c>
      <c r="B114" s="36">
        <v>3</v>
      </c>
      <c r="C114" s="134">
        <v>330</v>
      </c>
      <c r="D114" s="480" t="s">
        <v>3312</v>
      </c>
      <c r="E114" s="124" t="s">
        <v>3316</v>
      </c>
      <c r="F114" s="289">
        <v>4</v>
      </c>
      <c r="G114" s="125" t="s">
        <v>3317</v>
      </c>
      <c r="H114" s="141">
        <f>見積比較!O$11</f>
        <v>46400</v>
      </c>
      <c r="I114" s="111">
        <f>IF(F114="","",INT(F114*H114))</f>
        <v>185600</v>
      </c>
      <c r="J114" s="67" t="s">
        <v>3318</v>
      </c>
      <c r="K114" s="68"/>
      <c r="L114" s="69"/>
      <c r="M114" s="752"/>
      <c r="N114" s="753"/>
      <c r="O114" s="747">
        <v>0</v>
      </c>
      <c r="P114" s="232"/>
      <c r="Q114" s="233"/>
      <c r="R114" s="233"/>
      <c r="S114" s="233"/>
      <c r="T114" s="233"/>
      <c r="U114" s="233"/>
      <c r="V114" s="233"/>
      <c r="W114" s="233"/>
      <c r="X114" s="234"/>
      <c r="Y114" s="234"/>
      <c r="Z114" s="234"/>
      <c r="AA114" s="234"/>
      <c r="AB114" s="234"/>
      <c r="AC114" s="233"/>
      <c r="AD114" s="365"/>
      <c r="AE114" s="366"/>
      <c r="AF114" s="233"/>
      <c r="AG114" s="233"/>
      <c r="AH114" s="623"/>
      <c r="AI114" s="670"/>
    </row>
    <row r="115" spans="1:35" s="37" customFormat="1" ht="24" customHeight="1">
      <c r="A115" s="36"/>
      <c r="B115" s="36"/>
      <c r="C115" s="134"/>
      <c r="D115" s="135"/>
      <c r="E115" s="124"/>
      <c r="F115" s="289"/>
      <c r="G115" s="125"/>
      <c r="H115" s="141"/>
      <c r="I115" s="111" t="str">
        <f t="shared" si="4"/>
        <v/>
      </c>
      <c r="J115" s="67"/>
      <c r="K115" s="68"/>
      <c r="L115" s="69"/>
      <c r="M115" s="752"/>
      <c r="N115" s="753"/>
      <c r="O115" s="747"/>
      <c r="P115" s="232"/>
      <c r="Q115" s="233"/>
      <c r="R115" s="233"/>
      <c r="S115" s="233"/>
      <c r="T115" s="233"/>
      <c r="U115" s="233"/>
      <c r="V115" s="233"/>
      <c r="W115" s="233"/>
      <c r="X115" s="234"/>
      <c r="Y115" s="234"/>
      <c r="Z115" s="234"/>
      <c r="AA115" s="234"/>
      <c r="AB115" s="234"/>
      <c r="AC115" s="233"/>
      <c r="AD115" s="365"/>
      <c r="AE115" s="366"/>
      <c r="AF115" s="233"/>
      <c r="AG115" s="233"/>
      <c r="AH115" s="623"/>
      <c r="AI115" s="670"/>
    </row>
    <row r="116" spans="1:35" ht="24" customHeight="1" thickBot="1">
      <c r="A116" s="36"/>
      <c r="B116" s="36"/>
      <c r="C116" s="113"/>
      <c r="D116" s="99" t="s">
        <v>9</v>
      </c>
      <c r="E116" s="114"/>
      <c r="F116" s="290"/>
      <c r="G116" s="127"/>
      <c r="H116" s="137" t="s">
        <v>90</v>
      </c>
      <c r="I116" s="115">
        <f>SUM(I98:I115)</f>
        <v>5797998</v>
      </c>
      <c r="J116" s="740" t="str">
        <f>IF(C97="部分撤去工事","）うち費用",")")</f>
        <v>)</v>
      </c>
      <c r="K116" s="742">
        <f>IF(C97="部分撤去工事",(K70+L116),0)</f>
        <v>0</v>
      </c>
      <c r="L116" s="741">
        <f>IF(C97="部分撤去工事",SUMIF(N98:N115,"費用",I98:I115),0)</f>
        <v>0</v>
      </c>
      <c r="M116" s="754"/>
      <c r="N116" s="755"/>
      <c r="O116" s="747"/>
      <c r="P116" s="232"/>
      <c r="Q116" s="233"/>
      <c r="R116" s="233"/>
      <c r="S116" s="233"/>
      <c r="T116" s="233"/>
      <c r="U116" s="233"/>
      <c r="V116" s="233"/>
      <c r="W116" s="233"/>
      <c r="X116" s="234"/>
      <c r="Y116" s="234"/>
      <c r="Z116" s="234"/>
      <c r="AA116" s="234"/>
      <c r="AB116" s="234"/>
      <c r="AC116" s="233"/>
      <c r="AD116" s="365"/>
      <c r="AE116" s="366"/>
      <c r="AF116" s="233"/>
      <c r="AG116" s="233"/>
      <c r="AH116" s="233"/>
      <c r="AI116" s="670"/>
    </row>
    <row r="117" spans="1:35" ht="14.25" customHeight="1">
      <c r="E117" s="130" t="s">
        <v>68</v>
      </c>
      <c r="F117" s="131">
        <f>+F94+1</f>
        <v>8</v>
      </c>
      <c r="G117" s="132" t="s">
        <v>69</v>
      </c>
      <c r="H117" s="133">
        <f>+H94</f>
        <v>11</v>
      </c>
      <c r="I117" s="133"/>
      <c r="M117" s="748" t="str">
        <f>IF(A119="","EOL","")</f>
        <v/>
      </c>
      <c r="N117" s="1">
        <f>+F117</f>
        <v>8</v>
      </c>
      <c r="Q117" s="37"/>
      <c r="R117" s="37"/>
      <c r="S117" s="37"/>
      <c r="T117" s="37"/>
      <c r="U117" s="37"/>
      <c r="V117" s="37"/>
      <c r="W117" s="37"/>
      <c r="X117" s="37"/>
      <c r="Y117" s="37"/>
      <c r="Z117" s="37"/>
    </row>
    <row r="118" spans="1:35" ht="26.1" customHeight="1" thickBot="1">
      <c r="C118" s="2169" t="s">
        <v>343</v>
      </c>
      <c r="D118" s="2169"/>
      <c r="E118" s="2169"/>
      <c r="F118" s="2169"/>
      <c r="G118" s="2169"/>
      <c r="H118" s="2169"/>
      <c r="I118" s="2169"/>
      <c r="J118" s="2169"/>
      <c r="K118" s="2169"/>
      <c r="L118" s="2169"/>
      <c r="O118" s="2232" t="s">
        <v>155</v>
      </c>
      <c r="P118" s="2232"/>
      <c r="Q118" s="2232"/>
      <c r="R118" s="2232"/>
      <c r="S118" s="2232"/>
      <c r="T118" s="2232"/>
      <c r="U118" s="2232"/>
      <c r="V118" s="2232"/>
      <c r="W118" s="2232"/>
      <c r="X118" s="2232"/>
      <c r="Y118" s="2232"/>
      <c r="Z118" s="2232"/>
      <c r="AA118" s="2232"/>
      <c r="AB118" s="2232"/>
      <c r="AC118" s="2232"/>
      <c r="AD118" s="2232"/>
      <c r="AE118" s="2232"/>
      <c r="AF118" s="2232"/>
      <c r="AG118" s="2232"/>
      <c r="AH118" s="2233"/>
      <c r="AI118" s="668"/>
    </row>
    <row r="119" spans="1:35" ht="41.25" customHeight="1">
      <c r="A119" s="5" t="s">
        <v>11</v>
      </c>
      <c r="B119" s="5" t="s">
        <v>49</v>
      </c>
      <c r="C119" s="120" t="s">
        <v>0</v>
      </c>
      <c r="D119" s="116"/>
      <c r="E119" s="117" t="s">
        <v>1</v>
      </c>
      <c r="F119" s="118" t="s">
        <v>2</v>
      </c>
      <c r="G119" s="118" t="s">
        <v>3</v>
      </c>
      <c r="H119" s="119" t="s">
        <v>4</v>
      </c>
      <c r="I119" s="119" t="s">
        <v>5</v>
      </c>
      <c r="J119" s="2172" t="s">
        <v>6</v>
      </c>
      <c r="K119" s="2173"/>
      <c r="L119" s="2174"/>
      <c r="M119" s="749"/>
      <c r="N119" s="756" t="s">
        <v>2525</v>
      </c>
      <c r="O119" s="746" t="s">
        <v>87</v>
      </c>
      <c r="P119" s="359" t="s">
        <v>267</v>
      </c>
      <c r="Q119" s="291" t="s">
        <v>282</v>
      </c>
      <c r="R119" s="291" t="s">
        <v>229</v>
      </c>
      <c r="S119" s="291" t="s">
        <v>230</v>
      </c>
      <c r="T119" s="291" t="s">
        <v>245</v>
      </c>
      <c r="U119" s="291" t="s">
        <v>149</v>
      </c>
      <c r="V119" s="164" t="s">
        <v>148</v>
      </c>
      <c r="W119" s="291" t="s">
        <v>231</v>
      </c>
      <c r="X119" s="224" t="s">
        <v>232</v>
      </c>
      <c r="Y119" s="224" t="s">
        <v>233</v>
      </c>
      <c r="Z119" s="224" t="s">
        <v>234</v>
      </c>
      <c r="AA119" s="224" t="s">
        <v>235</v>
      </c>
      <c r="AB119" s="224" t="s">
        <v>277</v>
      </c>
      <c r="AC119" s="362" t="s">
        <v>286</v>
      </c>
      <c r="AD119" s="363" t="s">
        <v>287</v>
      </c>
      <c r="AE119" s="364" t="s">
        <v>151</v>
      </c>
      <c r="AF119" s="163" t="s">
        <v>154</v>
      </c>
      <c r="AG119" s="163" t="s">
        <v>152</v>
      </c>
      <c r="AH119" s="163" t="s">
        <v>153</v>
      </c>
      <c r="AI119" s="669"/>
    </row>
    <row r="120" spans="1:35" ht="24" customHeight="1">
      <c r="A120" s="36"/>
      <c r="B120" s="36"/>
      <c r="C120" s="138" t="s">
        <v>3170</v>
      </c>
      <c r="D120" s="139"/>
      <c r="E120" s="140"/>
      <c r="F120" s="288"/>
      <c r="G120" s="107"/>
      <c r="H120" s="97" t="s">
        <v>12</v>
      </c>
      <c r="I120" s="97" t="s">
        <v>12</v>
      </c>
      <c r="J120" s="2226" t="str">
        <f ca="1">RIGHT(CELL("filename",A116),LEN(CELL("filename",A116))-FIND("]",CELL("filename",A116)))</f>
        <v>工事1</v>
      </c>
      <c r="K120" s="2227"/>
      <c r="L120" s="2228"/>
      <c r="M120" s="750"/>
      <c r="N120" s="751"/>
      <c r="O120" s="747"/>
      <c r="P120" s="232"/>
      <c r="Q120" s="233"/>
      <c r="R120" s="233"/>
      <c r="S120" s="233"/>
      <c r="T120" s="233"/>
      <c r="U120" s="233"/>
      <c r="V120" s="233"/>
      <c r="W120" s="233"/>
      <c r="X120" s="234"/>
      <c r="Y120" s="234"/>
      <c r="Z120" s="234"/>
      <c r="AA120" s="234"/>
      <c r="AB120" s="234"/>
      <c r="AC120" s="233"/>
      <c r="AD120" s="365"/>
      <c r="AE120" s="366"/>
      <c r="AF120" s="233"/>
      <c r="AG120" s="233"/>
      <c r="AH120" s="233"/>
      <c r="AI120" s="670"/>
    </row>
    <row r="121" spans="1:35" s="37" customFormat="1" ht="24" customHeight="1">
      <c r="A121" s="36"/>
      <c r="B121" s="36"/>
      <c r="C121" s="134"/>
      <c r="D121" s="480"/>
      <c r="E121" s="124"/>
      <c r="F121" s="289"/>
      <c r="G121" s="125"/>
      <c r="H121" s="141"/>
      <c r="I121" s="111" t="str">
        <f>IF(F121="","",INT(F121*H121))</f>
        <v/>
      </c>
      <c r="J121" s="67"/>
      <c r="K121" s="68"/>
      <c r="L121" s="69"/>
      <c r="M121" s="752"/>
      <c r="N121" s="753"/>
      <c r="O121" s="747"/>
      <c r="P121" s="232"/>
      <c r="Q121" s="233"/>
      <c r="R121" s="233"/>
      <c r="S121" s="233"/>
      <c r="T121" s="233"/>
      <c r="U121" s="233"/>
      <c r="V121" s="233"/>
      <c r="W121" s="233"/>
      <c r="X121" s="234"/>
      <c r="Y121" s="234"/>
      <c r="Z121" s="234"/>
      <c r="AA121" s="234"/>
      <c r="AB121" s="234"/>
      <c r="AC121" s="233"/>
      <c r="AD121" s="365"/>
      <c r="AE121" s="366"/>
      <c r="AF121" s="233"/>
      <c r="AG121" s="233"/>
      <c r="AH121" s="623"/>
      <c r="AI121" s="670"/>
    </row>
    <row r="122" spans="1:35" s="37" customFormat="1" ht="24" customHeight="1">
      <c r="A122" s="36">
        <v>3</v>
      </c>
      <c r="B122" s="36">
        <v>3</v>
      </c>
      <c r="C122" s="134">
        <v>1480013</v>
      </c>
      <c r="D122" s="2147" t="s">
        <v>3199</v>
      </c>
      <c r="E122" s="124" t="s">
        <v>3264</v>
      </c>
      <c r="F122" s="289">
        <v>1</v>
      </c>
      <c r="G122" s="125" t="s">
        <v>3260</v>
      </c>
      <c r="H122" s="141"/>
      <c r="I122" s="111">
        <v>32299</v>
      </c>
      <c r="J122" s="67" t="s">
        <v>3261</v>
      </c>
      <c r="K122" s="68"/>
      <c r="L122" s="69"/>
      <c r="M122" s="752"/>
      <c r="N122" s="753"/>
      <c r="O122" s="747">
        <v>28</v>
      </c>
      <c r="P122" s="232"/>
      <c r="Q122" s="233"/>
      <c r="R122" s="233"/>
      <c r="S122" s="233"/>
      <c r="T122" s="233"/>
      <c r="U122" s="233"/>
      <c r="V122" s="233"/>
      <c r="W122" s="233"/>
      <c r="X122" s="234"/>
      <c r="Y122" s="234"/>
      <c r="Z122" s="234"/>
      <c r="AA122" s="234"/>
      <c r="AB122" s="234"/>
      <c r="AC122" s="233"/>
      <c r="AD122" s="365"/>
      <c r="AE122" s="366"/>
      <c r="AF122" s="233"/>
      <c r="AG122" s="233"/>
      <c r="AH122" s="623"/>
      <c r="AI122" s="670"/>
    </row>
    <row r="123" spans="1:35" s="37" customFormat="1" ht="24" customHeight="1">
      <c r="A123" s="36"/>
      <c r="B123" s="36"/>
      <c r="C123" s="134"/>
      <c r="D123" s="480"/>
      <c r="E123" s="124"/>
      <c r="F123" s="289"/>
      <c r="G123" s="125"/>
      <c r="H123" s="141"/>
      <c r="I123" s="111" t="str">
        <f>IF(F123="","",INT(F123*H123))</f>
        <v/>
      </c>
      <c r="J123" s="67" t="s">
        <v>3262</v>
      </c>
      <c r="K123" s="68"/>
      <c r="L123" s="69"/>
      <c r="M123" s="752"/>
      <c r="N123" s="753"/>
      <c r="O123" s="747"/>
      <c r="P123" s="232"/>
      <c r="Q123" s="233"/>
      <c r="R123" s="233"/>
      <c r="S123" s="233"/>
      <c r="T123" s="233"/>
      <c r="U123" s="233"/>
      <c r="V123" s="233"/>
      <c r="W123" s="233"/>
      <c r="X123" s="234"/>
      <c r="Y123" s="234"/>
      <c r="Z123" s="234"/>
      <c r="AA123" s="234"/>
      <c r="AB123" s="234"/>
      <c r="AC123" s="233"/>
      <c r="AD123" s="365"/>
      <c r="AE123" s="366"/>
      <c r="AF123" s="233"/>
      <c r="AG123" s="233"/>
      <c r="AH123" s="623"/>
      <c r="AI123" s="670"/>
    </row>
    <row r="124" spans="1:35" s="37" customFormat="1" ht="24" customHeight="1">
      <c r="A124" s="36"/>
      <c r="B124" s="36"/>
      <c r="C124" s="134"/>
      <c r="D124" s="135"/>
      <c r="E124" s="124"/>
      <c r="F124" s="289"/>
      <c r="G124" s="125"/>
      <c r="H124" s="141"/>
      <c r="I124" s="111" t="str">
        <f t="shared" ref="I124:I138" si="5">IF(F124="","",INT(F124*H124))</f>
        <v/>
      </c>
      <c r="J124" s="67"/>
      <c r="K124" s="68"/>
      <c r="L124" s="69"/>
      <c r="M124" s="752"/>
      <c r="N124" s="753"/>
      <c r="O124" s="747"/>
      <c r="P124" s="232"/>
      <c r="Q124" s="233"/>
      <c r="R124" s="233"/>
      <c r="S124" s="233"/>
      <c r="T124" s="233"/>
      <c r="U124" s="233"/>
      <c r="V124" s="233"/>
      <c r="W124" s="233"/>
      <c r="X124" s="234"/>
      <c r="Y124" s="234"/>
      <c r="Z124" s="234"/>
      <c r="AA124" s="234"/>
      <c r="AB124" s="234"/>
      <c r="AC124" s="233"/>
      <c r="AD124" s="365"/>
      <c r="AE124" s="366"/>
      <c r="AF124" s="233"/>
      <c r="AG124" s="233"/>
      <c r="AH124" s="623"/>
      <c r="AI124" s="670"/>
    </row>
    <row r="125" spans="1:35" s="37" customFormat="1" ht="24" customHeight="1">
      <c r="A125" s="36"/>
      <c r="B125" s="36"/>
      <c r="C125" s="134"/>
      <c r="D125" s="135"/>
      <c r="E125" s="124"/>
      <c r="F125" s="289"/>
      <c r="G125" s="125"/>
      <c r="H125" s="141"/>
      <c r="I125" s="111" t="str">
        <f t="shared" si="5"/>
        <v/>
      </c>
      <c r="J125" s="67"/>
      <c r="K125" s="68"/>
      <c r="L125" s="69"/>
      <c r="M125" s="752"/>
      <c r="N125" s="753"/>
      <c r="O125" s="747"/>
      <c r="P125" s="232"/>
      <c r="Q125" s="233"/>
      <c r="R125" s="233"/>
      <c r="S125" s="233"/>
      <c r="T125" s="233"/>
      <c r="U125" s="233"/>
      <c r="V125" s="233"/>
      <c r="W125" s="233"/>
      <c r="X125" s="234"/>
      <c r="Y125" s="234"/>
      <c r="Z125" s="234"/>
      <c r="AA125" s="234"/>
      <c r="AB125" s="234"/>
      <c r="AC125" s="233"/>
      <c r="AD125" s="365"/>
      <c r="AE125" s="366"/>
      <c r="AF125" s="233"/>
      <c r="AG125" s="233"/>
      <c r="AH125" s="623"/>
      <c r="AI125" s="670"/>
    </row>
    <row r="126" spans="1:35" s="37" customFormat="1" ht="24" customHeight="1">
      <c r="A126" s="36"/>
      <c r="B126" s="36"/>
      <c r="C126" s="134"/>
      <c r="D126" s="135"/>
      <c r="E126" s="124"/>
      <c r="F126" s="289"/>
      <c r="G126" s="125"/>
      <c r="H126" s="141"/>
      <c r="I126" s="111" t="str">
        <f t="shared" si="5"/>
        <v/>
      </c>
      <c r="J126" s="67"/>
      <c r="K126" s="68"/>
      <c r="L126" s="69"/>
      <c r="M126" s="752"/>
      <c r="N126" s="753"/>
      <c r="O126" s="747"/>
      <c r="P126" s="232"/>
      <c r="Q126" s="233"/>
      <c r="R126" s="233"/>
      <c r="S126" s="233"/>
      <c r="T126" s="233"/>
      <c r="U126" s="233"/>
      <c r="V126" s="233"/>
      <c r="W126" s="233"/>
      <c r="X126" s="234"/>
      <c r="Y126" s="234"/>
      <c r="Z126" s="234"/>
      <c r="AA126" s="234"/>
      <c r="AB126" s="234"/>
      <c r="AC126" s="233"/>
      <c r="AD126" s="365"/>
      <c r="AE126" s="366"/>
      <c r="AF126" s="233"/>
      <c r="AG126" s="233"/>
      <c r="AH126" s="623"/>
      <c r="AI126" s="670"/>
    </row>
    <row r="127" spans="1:35" s="37" customFormat="1" ht="24" customHeight="1">
      <c r="A127" s="36"/>
      <c r="B127" s="36"/>
      <c r="C127" s="134"/>
      <c r="D127" s="135"/>
      <c r="E127" s="124"/>
      <c r="F127" s="289"/>
      <c r="G127" s="125"/>
      <c r="H127" s="141"/>
      <c r="I127" s="111" t="str">
        <f t="shared" si="5"/>
        <v/>
      </c>
      <c r="J127" s="67"/>
      <c r="K127" s="68"/>
      <c r="L127" s="69"/>
      <c r="M127" s="752"/>
      <c r="N127" s="753"/>
      <c r="O127" s="747"/>
      <c r="P127" s="232"/>
      <c r="Q127" s="233"/>
      <c r="R127" s="233"/>
      <c r="S127" s="233"/>
      <c r="T127" s="233"/>
      <c r="U127" s="233"/>
      <c r="V127" s="233"/>
      <c r="W127" s="233"/>
      <c r="X127" s="234"/>
      <c r="Y127" s="234"/>
      <c r="Z127" s="234"/>
      <c r="AA127" s="234"/>
      <c r="AB127" s="234"/>
      <c r="AC127" s="233"/>
      <c r="AD127" s="365"/>
      <c r="AE127" s="366"/>
      <c r="AF127" s="233"/>
      <c r="AG127" s="233"/>
      <c r="AH127" s="623"/>
      <c r="AI127" s="670"/>
    </row>
    <row r="128" spans="1:35" s="37" customFormat="1" ht="24" customHeight="1">
      <c r="A128" s="36"/>
      <c r="B128" s="36"/>
      <c r="C128" s="134"/>
      <c r="D128" s="135"/>
      <c r="E128" s="124"/>
      <c r="F128" s="289"/>
      <c r="G128" s="125"/>
      <c r="H128" s="141"/>
      <c r="I128" s="111" t="str">
        <f t="shared" si="5"/>
        <v/>
      </c>
      <c r="J128" s="67"/>
      <c r="K128" s="68"/>
      <c r="L128" s="69"/>
      <c r="M128" s="752"/>
      <c r="N128" s="753"/>
      <c r="O128" s="747"/>
      <c r="P128" s="232"/>
      <c r="Q128" s="233"/>
      <c r="R128" s="233"/>
      <c r="S128" s="233"/>
      <c r="T128" s="233"/>
      <c r="U128" s="233"/>
      <c r="V128" s="233"/>
      <c r="W128" s="233"/>
      <c r="X128" s="234"/>
      <c r="Y128" s="234"/>
      <c r="Z128" s="234"/>
      <c r="AA128" s="234"/>
      <c r="AB128" s="234"/>
      <c r="AC128" s="233"/>
      <c r="AD128" s="365"/>
      <c r="AE128" s="366"/>
      <c r="AF128" s="233"/>
      <c r="AG128" s="233"/>
      <c r="AH128" s="623"/>
      <c r="AI128" s="670"/>
    </row>
    <row r="129" spans="1:35" s="37" customFormat="1" ht="24" customHeight="1">
      <c r="A129" s="36"/>
      <c r="B129" s="36"/>
      <c r="C129" s="134"/>
      <c r="D129" s="135"/>
      <c r="E129" s="124"/>
      <c r="F129" s="289"/>
      <c r="G129" s="125"/>
      <c r="H129" s="141"/>
      <c r="I129" s="111" t="str">
        <f t="shared" si="5"/>
        <v/>
      </c>
      <c r="J129" s="67"/>
      <c r="K129" s="68"/>
      <c r="L129" s="69"/>
      <c r="M129" s="752"/>
      <c r="N129" s="753"/>
      <c r="O129" s="747"/>
      <c r="P129" s="232"/>
      <c r="Q129" s="233"/>
      <c r="R129" s="233"/>
      <c r="S129" s="233"/>
      <c r="T129" s="233"/>
      <c r="U129" s="233"/>
      <c r="V129" s="233"/>
      <c r="W129" s="233"/>
      <c r="X129" s="234"/>
      <c r="Y129" s="234"/>
      <c r="Z129" s="234"/>
      <c r="AA129" s="234"/>
      <c r="AB129" s="234"/>
      <c r="AC129" s="233"/>
      <c r="AD129" s="365"/>
      <c r="AE129" s="366"/>
      <c r="AF129" s="233"/>
      <c r="AG129" s="233"/>
      <c r="AH129" s="623"/>
      <c r="AI129" s="670"/>
    </row>
    <row r="130" spans="1:35" s="37" customFormat="1" ht="24" customHeight="1">
      <c r="A130" s="36"/>
      <c r="B130" s="36"/>
      <c r="C130" s="134"/>
      <c r="D130" s="135"/>
      <c r="E130" s="124"/>
      <c r="F130" s="289"/>
      <c r="G130" s="125"/>
      <c r="H130" s="141"/>
      <c r="I130" s="111" t="str">
        <f t="shared" si="5"/>
        <v/>
      </c>
      <c r="J130" s="67"/>
      <c r="K130" s="68"/>
      <c r="L130" s="69"/>
      <c r="M130" s="752"/>
      <c r="N130" s="753"/>
      <c r="O130" s="747"/>
      <c r="P130" s="232"/>
      <c r="Q130" s="233"/>
      <c r="R130" s="233"/>
      <c r="S130" s="233"/>
      <c r="T130" s="233"/>
      <c r="U130" s="233"/>
      <c r="V130" s="233"/>
      <c r="W130" s="233"/>
      <c r="X130" s="234"/>
      <c r="Y130" s="234"/>
      <c r="Z130" s="234"/>
      <c r="AA130" s="234"/>
      <c r="AB130" s="234"/>
      <c r="AC130" s="233"/>
      <c r="AD130" s="365"/>
      <c r="AE130" s="366"/>
      <c r="AF130" s="233"/>
      <c r="AG130" s="233"/>
      <c r="AH130" s="623"/>
      <c r="AI130" s="670"/>
    </row>
    <row r="131" spans="1:35" s="37" customFormat="1" ht="24" customHeight="1">
      <c r="A131" s="36"/>
      <c r="B131" s="36"/>
      <c r="C131" s="134"/>
      <c r="D131" s="135"/>
      <c r="E131" s="124"/>
      <c r="F131" s="289"/>
      <c r="G131" s="125"/>
      <c r="H131" s="141"/>
      <c r="I131" s="111" t="str">
        <f t="shared" si="5"/>
        <v/>
      </c>
      <c r="J131" s="67"/>
      <c r="K131" s="68"/>
      <c r="L131" s="69"/>
      <c r="M131" s="752"/>
      <c r="N131" s="753"/>
      <c r="O131" s="747"/>
      <c r="P131" s="232"/>
      <c r="Q131" s="233"/>
      <c r="R131" s="233"/>
      <c r="S131" s="233"/>
      <c r="T131" s="233"/>
      <c r="U131" s="233"/>
      <c r="V131" s="233"/>
      <c r="W131" s="233"/>
      <c r="X131" s="234"/>
      <c r="Y131" s="234"/>
      <c r="Z131" s="234"/>
      <c r="AA131" s="234"/>
      <c r="AB131" s="234"/>
      <c r="AC131" s="233"/>
      <c r="AD131" s="365"/>
      <c r="AE131" s="366"/>
      <c r="AF131" s="233"/>
      <c r="AG131" s="233"/>
      <c r="AH131" s="623"/>
      <c r="AI131" s="670"/>
    </row>
    <row r="132" spans="1:35" s="37" customFormat="1" ht="24" customHeight="1">
      <c r="A132" s="36"/>
      <c r="B132" s="36"/>
      <c r="C132" s="134"/>
      <c r="D132" s="135"/>
      <c r="E132" s="124"/>
      <c r="F132" s="289"/>
      <c r="G132" s="125"/>
      <c r="H132" s="141"/>
      <c r="I132" s="111" t="str">
        <f t="shared" si="5"/>
        <v/>
      </c>
      <c r="J132" s="67"/>
      <c r="K132" s="68"/>
      <c r="L132" s="69"/>
      <c r="M132" s="752"/>
      <c r="N132" s="753"/>
      <c r="O132" s="747"/>
      <c r="P132" s="232"/>
      <c r="Q132" s="233"/>
      <c r="R132" s="233"/>
      <c r="S132" s="233"/>
      <c r="T132" s="233"/>
      <c r="U132" s="233"/>
      <c r="V132" s="233"/>
      <c r="W132" s="233"/>
      <c r="X132" s="234"/>
      <c r="Y132" s="234"/>
      <c r="Z132" s="234"/>
      <c r="AA132" s="234"/>
      <c r="AB132" s="234"/>
      <c r="AC132" s="233"/>
      <c r="AD132" s="365"/>
      <c r="AE132" s="366"/>
      <c r="AF132" s="233"/>
      <c r="AG132" s="233"/>
      <c r="AH132" s="623"/>
      <c r="AI132" s="670"/>
    </row>
    <row r="133" spans="1:35" s="37" customFormat="1" ht="24" customHeight="1">
      <c r="A133" s="36"/>
      <c r="B133" s="36"/>
      <c r="C133" s="134"/>
      <c r="D133" s="135"/>
      <c r="E133" s="124"/>
      <c r="F133" s="289"/>
      <c r="G133" s="125"/>
      <c r="H133" s="141"/>
      <c r="I133" s="111" t="str">
        <f t="shared" si="5"/>
        <v/>
      </c>
      <c r="J133" s="67"/>
      <c r="K133" s="68"/>
      <c r="L133" s="69"/>
      <c r="M133" s="752"/>
      <c r="N133" s="753"/>
      <c r="O133" s="747"/>
      <c r="P133" s="232"/>
      <c r="Q133" s="233"/>
      <c r="R133" s="233"/>
      <c r="S133" s="233"/>
      <c r="T133" s="233"/>
      <c r="U133" s="233"/>
      <c r="V133" s="233"/>
      <c r="W133" s="233"/>
      <c r="X133" s="234"/>
      <c r="Y133" s="234"/>
      <c r="Z133" s="234"/>
      <c r="AA133" s="234"/>
      <c r="AB133" s="234"/>
      <c r="AC133" s="233"/>
      <c r="AD133" s="365"/>
      <c r="AE133" s="366"/>
      <c r="AF133" s="233"/>
      <c r="AG133" s="233"/>
      <c r="AH133" s="623"/>
      <c r="AI133" s="670"/>
    </row>
    <row r="134" spans="1:35" s="37" customFormat="1" ht="24" customHeight="1">
      <c r="A134" s="36"/>
      <c r="B134" s="36"/>
      <c r="C134" s="134"/>
      <c r="D134" s="135"/>
      <c r="E134" s="124"/>
      <c r="F134" s="289"/>
      <c r="G134" s="125"/>
      <c r="H134" s="141"/>
      <c r="I134" s="111" t="str">
        <f t="shared" si="5"/>
        <v/>
      </c>
      <c r="J134" s="67"/>
      <c r="K134" s="68"/>
      <c r="L134" s="69"/>
      <c r="M134" s="752"/>
      <c r="N134" s="753"/>
      <c r="O134" s="747"/>
      <c r="P134" s="232"/>
      <c r="Q134" s="233"/>
      <c r="R134" s="233"/>
      <c r="S134" s="233"/>
      <c r="T134" s="233"/>
      <c r="U134" s="233"/>
      <c r="V134" s="233"/>
      <c r="W134" s="233"/>
      <c r="X134" s="234"/>
      <c r="Y134" s="234"/>
      <c r="Z134" s="234"/>
      <c r="AA134" s="234"/>
      <c r="AB134" s="234"/>
      <c r="AC134" s="233"/>
      <c r="AD134" s="365"/>
      <c r="AE134" s="366"/>
      <c r="AF134" s="233"/>
      <c r="AG134" s="233"/>
      <c r="AH134" s="623"/>
      <c r="AI134" s="670"/>
    </row>
    <row r="135" spans="1:35" s="37" customFormat="1" ht="24" customHeight="1">
      <c r="A135" s="36"/>
      <c r="B135" s="36"/>
      <c r="C135" s="134"/>
      <c r="D135" s="135"/>
      <c r="E135" s="124"/>
      <c r="F135" s="289"/>
      <c r="G135" s="125"/>
      <c r="H135" s="141"/>
      <c r="I135" s="111" t="str">
        <f t="shared" si="5"/>
        <v/>
      </c>
      <c r="J135" s="67"/>
      <c r="K135" s="68"/>
      <c r="L135" s="69"/>
      <c r="M135" s="752"/>
      <c r="N135" s="753"/>
      <c r="O135" s="747"/>
      <c r="P135" s="232"/>
      <c r="Q135" s="233"/>
      <c r="R135" s="233"/>
      <c r="S135" s="233"/>
      <c r="T135" s="233"/>
      <c r="U135" s="233"/>
      <c r="V135" s="233"/>
      <c r="W135" s="233"/>
      <c r="X135" s="234"/>
      <c r="Y135" s="234"/>
      <c r="Z135" s="234"/>
      <c r="AA135" s="234"/>
      <c r="AB135" s="234"/>
      <c r="AC135" s="233"/>
      <c r="AD135" s="365"/>
      <c r="AE135" s="366"/>
      <c r="AF135" s="233"/>
      <c r="AG135" s="233"/>
      <c r="AH135" s="623"/>
      <c r="AI135" s="670"/>
    </row>
    <row r="136" spans="1:35" s="37" customFormat="1" ht="24" customHeight="1">
      <c r="A136" s="36"/>
      <c r="B136" s="36"/>
      <c r="C136" s="134"/>
      <c r="D136" s="135"/>
      <c r="E136" s="124"/>
      <c r="F136" s="289"/>
      <c r="G136" s="125"/>
      <c r="H136" s="141"/>
      <c r="I136" s="111" t="str">
        <f t="shared" si="5"/>
        <v/>
      </c>
      <c r="J136" s="67"/>
      <c r="K136" s="68"/>
      <c r="L136" s="69"/>
      <c r="M136" s="752"/>
      <c r="N136" s="753"/>
      <c r="O136" s="747"/>
      <c r="P136" s="232"/>
      <c r="Q136" s="233"/>
      <c r="R136" s="233"/>
      <c r="S136" s="233"/>
      <c r="T136" s="233"/>
      <c r="U136" s="233"/>
      <c r="V136" s="233"/>
      <c r="W136" s="233"/>
      <c r="X136" s="234"/>
      <c r="Y136" s="234"/>
      <c r="Z136" s="234"/>
      <c r="AA136" s="234"/>
      <c r="AB136" s="234"/>
      <c r="AC136" s="233"/>
      <c r="AD136" s="365"/>
      <c r="AE136" s="366"/>
      <c r="AF136" s="233"/>
      <c r="AG136" s="233"/>
      <c r="AH136" s="623"/>
      <c r="AI136" s="670"/>
    </row>
    <row r="137" spans="1:35" s="37" customFormat="1" ht="24" customHeight="1">
      <c r="A137" s="36"/>
      <c r="B137" s="36"/>
      <c r="C137" s="134"/>
      <c r="D137" s="135"/>
      <c r="E137" s="124"/>
      <c r="F137" s="289"/>
      <c r="G137" s="125"/>
      <c r="H137" s="141"/>
      <c r="I137" s="111" t="str">
        <f t="shared" si="5"/>
        <v/>
      </c>
      <c r="J137" s="67"/>
      <c r="K137" s="68"/>
      <c r="L137" s="69"/>
      <c r="M137" s="752"/>
      <c r="N137" s="753"/>
      <c r="O137" s="747"/>
      <c r="P137" s="232"/>
      <c r="Q137" s="233"/>
      <c r="R137" s="233"/>
      <c r="S137" s="233"/>
      <c r="T137" s="233"/>
      <c r="U137" s="233"/>
      <c r="V137" s="233"/>
      <c r="W137" s="233"/>
      <c r="X137" s="234"/>
      <c r="Y137" s="234"/>
      <c r="Z137" s="234"/>
      <c r="AA137" s="234"/>
      <c r="AB137" s="234"/>
      <c r="AC137" s="233"/>
      <c r="AD137" s="365"/>
      <c r="AE137" s="366"/>
      <c r="AF137" s="233"/>
      <c r="AG137" s="233"/>
      <c r="AH137" s="623"/>
      <c r="AI137" s="670"/>
    </row>
    <row r="138" spans="1:35" s="37" customFormat="1" ht="24" customHeight="1">
      <c r="A138" s="36"/>
      <c r="B138" s="36"/>
      <c r="C138" s="134"/>
      <c r="D138" s="135"/>
      <c r="E138" s="124"/>
      <c r="F138" s="289"/>
      <c r="G138" s="125"/>
      <c r="H138" s="141"/>
      <c r="I138" s="111" t="str">
        <f t="shared" si="5"/>
        <v/>
      </c>
      <c r="J138" s="67"/>
      <c r="K138" s="68"/>
      <c r="L138" s="69"/>
      <c r="M138" s="752"/>
      <c r="N138" s="753"/>
      <c r="O138" s="747"/>
      <c r="P138" s="232"/>
      <c r="Q138" s="233"/>
      <c r="R138" s="233"/>
      <c r="S138" s="233"/>
      <c r="T138" s="233"/>
      <c r="U138" s="233"/>
      <c r="V138" s="233"/>
      <c r="W138" s="233"/>
      <c r="X138" s="234"/>
      <c r="Y138" s="234"/>
      <c r="Z138" s="234"/>
      <c r="AA138" s="234"/>
      <c r="AB138" s="234"/>
      <c r="AC138" s="233"/>
      <c r="AD138" s="365"/>
      <c r="AE138" s="366"/>
      <c r="AF138" s="233"/>
      <c r="AG138" s="233"/>
      <c r="AH138" s="623"/>
      <c r="AI138" s="670"/>
    </row>
    <row r="139" spans="1:35" ht="24" customHeight="1" thickBot="1">
      <c r="A139" s="36"/>
      <c r="B139" s="36"/>
      <c r="C139" s="113"/>
      <c r="D139" s="99" t="s">
        <v>9</v>
      </c>
      <c r="E139" s="114"/>
      <c r="F139" s="290"/>
      <c r="G139" s="127"/>
      <c r="H139" s="137" t="s">
        <v>90</v>
      </c>
      <c r="I139" s="115">
        <f>SUM(I121:I138)</f>
        <v>32299</v>
      </c>
      <c r="J139" s="740" t="str">
        <f>IF(C120="部分撤去工事","）うち費用",")")</f>
        <v>)</v>
      </c>
      <c r="K139" s="742">
        <f>IF(C120="部分撤去工事",(K116+L139),0)</f>
        <v>0</v>
      </c>
      <c r="L139" s="741">
        <f>IF(C120="部分撤去工事",SUMIF(N121:N138,"費用",I121:I138),0)</f>
        <v>0</v>
      </c>
      <c r="M139" s="754"/>
      <c r="N139" s="755"/>
      <c r="O139" s="747"/>
      <c r="P139" s="232"/>
      <c r="Q139" s="233"/>
      <c r="R139" s="233"/>
      <c r="S139" s="233"/>
      <c r="T139" s="233"/>
      <c r="U139" s="233"/>
      <c r="V139" s="233"/>
      <c r="W139" s="233"/>
      <c r="X139" s="234"/>
      <c r="Y139" s="234"/>
      <c r="Z139" s="234"/>
      <c r="AA139" s="234"/>
      <c r="AB139" s="234"/>
      <c r="AC139" s="233"/>
      <c r="AD139" s="365"/>
      <c r="AE139" s="366"/>
      <c r="AF139" s="233"/>
      <c r="AG139" s="233"/>
      <c r="AH139" s="233"/>
      <c r="AI139" s="670"/>
    </row>
    <row r="140" spans="1:35" ht="14.25" customHeight="1">
      <c r="E140" s="130" t="s">
        <v>68</v>
      </c>
      <c r="F140" s="131">
        <f>+F117+1</f>
        <v>9</v>
      </c>
      <c r="G140" s="132" t="s">
        <v>69</v>
      </c>
      <c r="H140" s="133">
        <f>+H117</f>
        <v>11</v>
      </c>
      <c r="I140" s="133"/>
      <c r="M140" s="748" t="str">
        <f>IF(A142="","EOL","")</f>
        <v/>
      </c>
      <c r="N140" s="1">
        <f>+F140</f>
        <v>9</v>
      </c>
      <c r="Q140" s="37"/>
      <c r="R140" s="37"/>
      <c r="S140" s="37"/>
      <c r="T140" s="37"/>
      <c r="U140" s="37"/>
      <c r="V140" s="37"/>
      <c r="W140" s="37"/>
      <c r="X140" s="37"/>
      <c r="Y140" s="37"/>
      <c r="Z140" s="37"/>
    </row>
    <row r="141" spans="1:35" ht="26.1" customHeight="1" thickBot="1">
      <c r="C141" s="2169" t="s">
        <v>343</v>
      </c>
      <c r="D141" s="2169"/>
      <c r="E141" s="2169"/>
      <c r="F141" s="2169"/>
      <c r="G141" s="2169"/>
      <c r="H141" s="2169"/>
      <c r="I141" s="2169"/>
      <c r="J141" s="2169"/>
      <c r="K141" s="2169"/>
      <c r="L141" s="2169"/>
      <c r="O141" s="2232" t="s">
        <v>155</v>
      </c>
      <c r="P141" s="2232"/>
      <c r="Q141" s="2232"/>
      <c r="R141" s="2232"/>
      <c r="S141" s="2232"/>
      <c r="T141" s="2232"/>
      <c r="U141" s="2232"/>
      <c r="V141" s="2232"/>
      <c r="W141" s="2232"/>
      <c r="X141" s="2232"/>
      <c r="Y141" s="2232"/>
      <c r="Z141" s="2232"/>
      <c r="AA141" s="2232"/>
      <c r="AB141" s="2232"/>
      <c r="AC141" s="2232"/>
      <c r="AD141" s="2232"/>
      <c r="AE141" s="2232"/>
      <c r="AF141" s="2232"/>
      <c r="AG141" s="2232"/>
      <c r="AH141" s="2233"/>
      <c r="AI141" s="668"/>
    </row>
    <row r="142" spans="1:35" ht="41.25" customHeight="1">
      <c r="A142" s="5" t="s">
        <v>11</v>
      </c>
      <c r="B142" s="5" t="s">
        <v>49</v>
      </c>
      <c r="C142" s="120" t="s">
        <v>0</v>
      </c>
      <c r="D142" s="116"/>
      <c r="E142" s="117" t="s">
        <v>1</v>
      </c>
      <c r="F142" s="118" t="s">
        <v>2</v>
      </c>
      <c r="G142" s="118" t="s">
        <v>3</v>
      </c>
      <c r="H142" s="119" t="s">
        <v>4</v>
      </c>
      <c r="I142" s="119" t="s">
        <v>5</v>
      </c>
      <c r="J142" s="2172" t="s">
        <v>6</v>
      </c>
      <c r="K142" s="2173"/>
      <c r="L142" s="2174"/>
      <c r="M142" s="749"/>
      <c r="N142" s="756" t="s">
        <v>2525</v>
      </c>
      <c r="O142" s="746" t="s">
        <v>87</v>
      </c>
      <c r="P142" s="359" t="s">
        <v>267</v>
      </c>
      <c r="Q142" s="291" t="s">
        <v>282</v>
      </c>
      <c r="R142" s="291" t="s">
        <v>229</v>
      </c>
      <c r="S142" s="291" t="s">
        <v>230</v>
      </c>
      <c r="T142" s="291" t="s">
        <v>245</v>
      </c>
      <c r="U142" s="291" t="s">
        <v>149</v>
      </c>
      <c r="V142" s="164" t="s">
        <v>148</v>
      </c>
      <c r="W142" s="291" t="s">
        <v>231</v>
      </c>
      <c r="X142" s="224" t="s">
        <v>232</v>
      </c>
      <c r="Y142" s="224" t="s">
        <v>233</v>
      </c>
      <c r="Z142" s="224" t="s">
        <v>234</v>
      </c>
      <c r="AA142" s="224" t="s">
        <v>235</v>
      </c>
      <c r="AB142" s="224" t="s">
        <v>277</v>
      </c>
      <c r="AC142" s="362" t="s">
        <v>286</v>
      </c>
      <c r="AD142" s="363" t="s">
        <v>287</v>
      </c>
      <c r="AE142" s="364" t="s">
        <v>151</v>
      </c>
      <c r="AF142" s="163" t="s">
        <v>154</v>
      </c>
      <c r="AG142" s="163" t="s">
        <v>152</v>
      </c>
      <c r="AH142" s="163" t="s">
        <v>153</v>
      </c>
      <c r="AI142" s="669"/>
    </row>
    <row r="143" spans="1:35" ht="24" customHeight="1">
      <c r="A143" s="36"/>
      <c r="B143" s="36"/>
      <c r="C143" s="138" t="s">
        <v>3166</v>
      </c>
      <c r="D143" s="139"/>
      <c r="E143" s="140"/>
      <c r="F143" s="288"/>
      <c r="G143" s="107"/>
      <c r="H143" s="97" t="s">
        <v>12</v>
      </c>
      <c r="I143" s="97" t="s">
        <v>12</v>
      </c>
      <c r="J143" s="2226" t="e">
        <f ca="1">RIGHT(CELL("filename",#REF!),LEN(CELL("filename",#REF!))-FIND("]",CELL("filename",#REF!)))</f>
        <v>#REF!</v>
      </c>
      <c r="K143" s="2227"/>
      <c r="L143" s="2228"/>
      <c r="M143" s="750"/>
      <c r="N143" s="751"/>
      <c r="O143" s="747"/>
      <c r="P143" s="232"/>
      <c r="Q143" s="233"/>
      <c r="R143" s="233"/>
      <c r="S143" s="233"/>
      <c r="T143" s="233"/>
      <c r="U143" s="233"/>
      <c r="V143" s="233"/>
      <c r="W143" s="233"/>
      <c r="X143" s="234"/>
      <c r="Y143" s="234"/>
      <c r="Z143" s="234"/>
      <c r="AA143" s="234"/>
      <c r="AB143" s="234"/>
      <c r="AC143" s="233"/>
      <c r="AD143" s="365"/>
      <c r="AE143" s="366"/>
      <c r="AF143" s="233"/>
      <c r="AG143" s="233"/>
      <c r="AH143" s="233"/>
      <c r="AI143" s="670"/>
    </row>
    <row r="144" spans="1:35" s="37" customFormat="1" ht="24" customHeight="1">
      <c r="A144" s="36"/>
      <c r="B144" s="36"/>
      <c r="C144" s="134"/>
      <c r="D144" s="135"/>
      <c r="E144" s="124"/>
      <c r="F144" s="289"/>
      <c r="G144" s="125"/>
      <c r="H144" s="141"/>
      <c r="I144" s="111" t="str">
        <f t="shared" ref="I144:I161" si="6">IF(F144="","",INT(F144*H144))</f>
        <v/>
      </c>
      <c r="J144" s="67"/>
      <c r="K144" s="68"/>
      <c r="L144" s="69"/>
      <c r="M144" s="752"/>
      <c r="N144" s="753"/>
      <c r="O144" s="747"/>
      <c r="P144" s="232"/>
      <c r="Q144" s="233"/>
      <c r="R144" s="233"/>
      <c r="S144" s="233"/>
      <c r="T144" s="233"/>
      <c r="U144" s="233"/>
      <c r="V144" s="233"/>
      <c r="W144" s="233"/>
      <c r="X144" s="234"/>
      <c r="Y144" s="234"/>
      <c r="Z144" s="234"/>
      <c r="AA144" s="234"/>
      <c r="AB144" s="234"/>
      <c r="AC144" s="233"/>
      <c r="AD144" s="365"/>
      <c r="AE144" s="366"/>
      <c r="AF144" s="233"/>
      <c r="AG144" s="233"/>
      <c r="AH144" s="623"/>
      <c r="AI144" s="670"/>
    </row>
    <row r="145" spans="1:35" s="37" customFormat="1" ht="24" customHeight="1">
      <c r="A145" s="36">
        <v>3</v>
      </c>
      <c r="B145" s="36">
        <v>3</v>
      </c>
      <c r="C145" s="134">
        <v>23014</v>
      </c>
      <c r="D145" s="480" t="s">
        <v>3219</v>
      </c>
      <c r="E145" s="124" t="s">
        <v>3220</v>
      </c>
      <c r="F145" s="289">
        <v>0.3</v>
      </c>
      <c r="G145" s="125" t="s">
        <v>3221</v>
      </c>
      <c r="H145" s="141">
        <v>7020</v>
      </c>
      <c r="I145" s="111">
        <f>IF(F145="","",INT(F145*H145))</f>
        <v>2106</v>
      </c>
      <c r="J145" s="67"/>
      <c r="K145" s="68"/>
      <c r="L145" s="69"/>
      <c r="M145" s="752"/>
      <c r="N145" s="753" t="s">
        <v>3254</v>
      </c>
      <c r="O145" s="747"/>
      <c r="P145" s="232">
        <v>60</v>
      </c>
      <c r="Q145" s="233"/>
      <c r="R145" s="233"/>
      <c r="S145" s="233"/>
      <c r="T145" s="233"/>
      <c r="U145" s="233">
        <v>16</v>
      </c>
      <c r="V145" s="233"/>
      <c r="W145" s="233"/>
      <c r="X145" s="234"/>
      <c r="Y145" s="234"/>
      <c r="Z145" s="234"/>
      <c r="AA145" s="234"/>
      <c r="AB145" s="234"/>
      <c r="AC145" s="233"/>
      <c r="AD145" s="365"/>
      <c r="AE145" s="366"/>
      <c r="AF145" s="233"/>
      <c r="AG145" s="233"/>
      <c r="AH145" s="623"/>
      <c r="AI145" s="670"/>
    </row>
    <row r="146" spans="1:35" s="37" customFormat="1" ht="24" customHeight="1">
      <c r="A146" s="36">
        <v>3</v>
      </c>
      <c r="B146" s="36">
        <v>3</v>
      </c>
      <c r="C146" s="134">
        <v>23101</v>
      </c>
      <c r="D146" s="480" t="s">
        <v>3216</v>
      </c>
      <c r="E146" s="124" t="s">
        <v>3175</v>
      </c>
      <c r="F146" s="289">
        <v>92.9</v>
      </c>
      <c r="G146" s="125" t="s">
        <v>3173</v>
      </c>
      <c r="H146" s="141">
        <v>2830</v>
      </c>
      <c r="I146" s="111">
        <f>IF(F146="","",INT(F146*H146))</f>
        <v>262907</v>
      </c>
      <c r="J146" s="67" t="s">
        <v>3218</v>
      </c>
      <c r="K146" s="68"/>
      <c r="L146" s="69"/>
      <c r="M146" s="752"/>
      <c r="N146" s="753" t="s">
        <v>3254</v>
      </c>
      <c r="O146" s="747"/>
      <c r="P146" s="232"/>
      <c r="Q146" s="233"/>
      <c r="R146" s="233"/>
      <c r="S146" s="233"/>
      <c r="T146" s="233"/>
      <c r="U146" s="233"/>
      <c r="V146" s="233"/>
      <c r="W146" s="233"/>
      <c r="X146" s="234">
        <v>18</v>
      </c>
      <c r="Y146" s="234"/>
      <c r="Z146" s="234"/>
      <c r="AA146" s="234"/>
      <c r="AB146" s="234"/>
      <c r="AC146" s="233"/>
      <c r="AD146" s="365"/>
      <c r="AE146" s="366"/>
      <c r="AF146" s="233"/>
      <c r="AG146" s="233"/>
      <c r="AH146" s="623"/>
      <c r="AI146" s="670"/>
    </row>
    <row r="147" spans="1:35" s="37" customFormat="1" ht="24" customHeight="1">
      <c r="A147" s="36">
        <v>3</v>
      </c>
      <c r="B147" s="36">
        <v>3</v>
      </c>
      <c r="C147" s="134">
        <v>23029</v>
      </c>
      <c r="D147" s="480" t="s">
        <v>3216</v>
      </c>
      <c r="E147" s="124" t="s">
        <v>3189</v>
      </c>
      <c r="F147" s="289">
        <v>92.9</v>
      </c>
      <c r="G147" s="125" t="s">
        <v>3217</v>
      </c>
      <c r="H147" s="141">
        <v>1410</v>
      </c>
      <c r="I147" s="111">
        <f>IF(F147="","",INT(F147*H147))</f>
        <v>130989</v>
      </c>
      <c r="J147" s="67"/>
      <c r="K147" s="68"/>
      <c r="L147" s="69"/>
      <c r="M147" s="752"/>
      <c r="N147" s="753" t="s">
        <v>3254</v>
      </c>
      <c r="O147" s="747"/>
      <c r="P147" s="232"/>
      <c r="Q147" s="233"/>
      <c r="R147" s="233"/>
      <c r="S147" s="233"/>
      <c r="T147" s="233"/>
      <c r="U147" s="233"/>
      <c r="V147" s="233"/>
      <c r="W147" s="233"/>
      <c r="X147" s="234"/>
      <c r="Y147" s="234"/>
      <c r="Z147" s="234"/>
      <c r="AA147" s="234"/>
      <c r="AB147" s="234"/>
      <c r="AC147" s="233"/>
      <c r="AD147" s="365"/>
      <c r="AE147" s="366">
        <v>2</v>
      </c>
      <c r="AF147" s="233"/>
      <c r="AG147" s="233"/>
      <c r="AH147" s="623"/>
      <c r="AI147" s="670"/>
    </row>
    <row r="148" spans="1:35" s="37" customFormat="1" ht="24" customHeight="1">
      <c r="A148" s="36">
        <v>3</v>
      </c>
      <c r="B148" s="36">
        <v>3</v>
      </c>
      <c r="C148" s="134"/>
      <c r="D148" s="480" t="s">
        <v>3172</v>
      </c>
      <c r="E148" s="124" t="s">
        <v>3203</v>
      </c>
      <c r="F148" s="289">
        <v>31.2</v>
      </c>
      <c r="G148" s="125" t="s">
        <v>3201</v>
      </c>
      <c r="H148" s="141">
        <f>(5140+2590)*2</f>
        <v>15460</v>
      </c>
      <c r="I148" s="111">
        <f t="shared" si="6"/>
        <v>482352</v>
      </c>
      <c r="J148" s="2229" t="s">
        <v>3265</v>
      </c>
      <c r="K148" s="2230"/>
      <c r="L148" s="2231"/>
      <c r="M148" s="752"/>
      <c r="N148" s="753" t="s">
        <v>3254</v>
      </c>
      <c r="O148" s="747"/>
      <c r="P148" s="232"/>
      <c r="Q148" s="233"/>
      <c r="R148" s="233"/>
      <c r="S148" s="233"/>
      <c r="T148" s="233"/>
      <c r="U148" s="233"/>
      <c r="V148" s="233"/>
      <c r="W148" s="233"/>
      <c r="X148" s="234"/>
      <c r="Y148" s="234"/>
      <c r="Z148" s="234"/>
      <c r="AA148" s="234"/>
      <c r="AB148" s="234"/>
      <c r="AC148" s="233"/>
      <c r="AD148" s="365"/>
      <c r="AE148" s="366">
        <v>31.2</v>
      </c>
      <c r="AF148" s="233"/>
      <c r="AG148" s="233"/>
      <c r="AH148" s="623"/>
      <c r="AI148" s="670"/>
    </row>
    <row r="149" spans="1:35" s="37" customFormat="1" ht="24" customHeight="1">
      <c r="A149" s="36">
        <v>3</v>
      </c>
      <c r="B149" s="36">
        <v>3</v>
      </c>
      <c r="C149" s="134"/>
      <c r="D149" s="480" t="s">
        <v>3172</v>
      </c>
      <c r="E149" s="124" t="s">
        <v>3188</v>
      </c>
      <c r="F149" s="289">
        <v>32</v>
      </c>
      <c r="G149" s="125" t="s">
        <v>164</v>
      </c>
      <c r="H149" s="141">
        <v>870</v>
      </c>
      <c r="I149" s="111">
        <f t="shared" si="6"/>
        <v>27840</v>
      </c>
      <c r="J149" s="67" t="s">
        <v>3215</v>
      </c>
      <c r="K149" s="68"/>
      <c r="L149" s="69"/>
      <c r="M149" s="752"/>
      <c r="N149" s="753" t="s">
        <v>3254</v>
      </c>
      <c r="O149" s="747"/>
      <c r="P149" s="232"/>
      <c r="Q149" s="233"/>
      <c r="R149" s="233"/>
      <c r="S149" s="233"/>
      <c r="T149" s="233">
        <v>4.5</v>
      </c>
      <c r="U149" s="233"/>
      <c r="V149" s="233"/>
      <c r="W149" s="233"/>
      <c r="X149" s="234"/>
      <c r="Y149" s="234"/>
      <c r="Z149" s="234"/>
      <c r="AA149" s="234"/>
      <c r="AB149" s="234"/>
      <c r="AC149" s="233"/>
      <c r="AD149" s="365"/>
      <c r="AE149" s="366"/>
      <c r="AF149" s="233"/>
      <c r="AG149" s="233"/>
      <c r="AH149" s="623"/>
      <c r="AI149" s="670"/>
    </row>
    <row r="150" spans="1:35" s="37" customFormat="1" ht="24" customHeight="1">
      <c r="A150" s="36">
        <v>3</v>
      </c>
      <c r="B150" s="36">
        <v>3</v>
      </c>
      <c r="C150" s="134"/>
      <c r="D150" s="480" t="s">
        <v>3172</v>
      </c>
      <c r="E150" s="124" t="s">
        <v>3186</v>
      </c>
      <c r="F150" s="289">
        <v>32</v>
      </c>
      <c r="G150" s="125" t="s">
        <v>164</v>
      </c>
      <c r="H150" s="141">
        <v>2370</v>
      </c>
      <c r="I150" s="111">
        <f t="shared" si="6"/>
        <v>75840</v>
      </c>
      <c r="J150" s="67" t="s">
        <v>3214</v>
      </c>
      <c r="K150" s="68"/>
      <c r="L150" s="69"/>
      <c r="M150" s="752"/>
      <c r="N150" s="753" t="s">
        <v>3254</v>
      </c>
      <c r="O150" s="747"/>
      <c r="P150" s="232"/>
      <c r="Q150" s="233"/>
      <c r="R150" s="233"/>
      <c r="S150" s="233"/>
      <c r="T150" s="233"/>
      <c r="U150" s="233"/>
      <c r="V150" s="233"/>
      <c r="W150" s="233"/>
      <c r="X150" s="234"/>
      <c r="Y150" s="234"/>
      <c r="Z150" s="234"/>
      <c r="AA150" s="234"/>
      <c r="AB150" s="234"/>
      <c r="AC150" s="233"/>
      <c r="AD150" s="365"/>
      <c r="AE150" s="366"/>
      <c r="AF150" s="233"/>
      <c r="AG150" s="233">
        <v>0.81</v>
      </c>
      <c r="AH150" s="623"/>
      <c r="AI150" s="670"/>
    </row>
    <row r="151" spans="1:35" s="37" customFormat="1" ht="24" customHeight="1">
      <c r="A151" s="36">
        <v>3</v>
      </c>
      <c r="B151" s="36">
        <v>3</v>
      </c>
      <c r="C151" s="134">
        <v>2140700</v>
      </c>
      <c r="D151" s="480" t="s">
        <v>3210</v>
      </c>
      <c r="E151" s="124" t="s">
        <v>3213</v>
      </c>
      <c r="F151" s="289">
        <v>16</v>
      </c>
      <c r="G151" s="125" t="s">
        <v>3211</v>
      </c>
      <c r="H151" s="141">
        <v>900</v>
      </c>
      <c r="I151" s="111">
        <f>IF(F151="","",INT(F151*H151))</f>
        <v>14400</v>
      </c>
      <c r="J151" s="67"/>
      <c r="K151" s="68"/>
      <c r="L151" s="69"/>
      <c r="M151" s="752"/>
      <c r="N151" s="753" t="s">
        <v>3254</v>
      </c>
      <c r="O151" s="747"/>
      <c r="P151" s="232">
        <v>5</v>
      </c>
      <c r="Q151" s="233"/>
      <c r="R151" s="233"/>
      <c r="S151" s="233"/>
      <c r="T151" s="233"/>
      <c r="U151" s="233"/>
      <c r="V151" s="233"/>
      <c r="W151" s="233"/>
      <c r="X151" s="234"/>
      <c r="Y151" s="234"/>
      <c r="Z151" s="234"/>
      <c r="AA151" s="234"/>
      <c r="AB151" s="234"/>
      <c r="AC151" s="233"/>
      <c r="AD151" s="365"/>
      <c r="AE151" s="366"/>
      <c r="AF151" s="233"/>
      <c r="AG151" s="233"/>
      <c r="AH151" s="623"/>
      <c r="AI151" s="670"/>
    </row>
    <row r="152" spans="1:35" s="37" customFormat="1" ht="24" customHeight="1">
      <c r="A152" s="36"/>
      <c r="B152" s="36"/>
      <c r="C152" s="134"/>
      <c r="D152" s="135"/>
      <c r="E152" s="124"/>
      <c r="F152" s="289"/>
      <c r="G152" s="125"/>
      <c r="H152" s="141"/>
      <c r="I152" s="111" t="str">
        <f t="shared" ref="I152" si="7">IF(F152="","",INT(F152*H152))</f>
        <v/>
      </c>
      <c r="J152" s="67"/>
      <c r="K152" s="68"/>
      <c r="L152" s="69"/>
      <c r="M152" s="752"/>
      <c r="N152" s="753"/>
      <c r="O152" s="747"/>
      <c r="P152" s="232"/>
      <c r="Q152" s="233"/>
      <c r="R152" s="233"/>
      <c r="S152" s="233"/>
      <c r="T152" s="233"/>
      <c r="U152" s="233"/>
      <c r="V152" s="233"/>
      <c r="W152" s="233"/>
      <c r="X152" s="234"/>
      <c r="Y152" s="234"/>
      <c r="Z152" s="234"/>
      <c r="AA152" s="234"/>
      <c r="AB152" s="234"/>
      <c r="AC152" s="233"/>
      <c r="AD152" s="365"/>
      <c r="AE152" s="366"/>
      <c r="AF152" s="233"/>
      <c r="AG152" s="233"/>
      <c r="AH152" s="623"/>
      <c r="AI152" s="670"/>
    </row>
    <row r="153" spans="1:35" s="37" customFormat="1" ht="24" customHeight="1">
      <c r="A153" s="36">
        <v>3</v>
      </c>
      <c r="B153" s="36">
        <v>3</v>
      </c>
      <c r="C153" s="134">
        <v>24063</v>
      </c>
      <c r="D153" s="480" t="s">
        <v>3222</v>
      </c>
      <c r="E153" s="124" t="s">
        <v>3223</v>
      </c>
      <c r="F153" s="289">
        <v>0.1</v>
      </c>
      <c r="G153" s="125" t="s">
        <v>3224</v>
      </c>
      <c r="H153" s="141">
        <v>1180</v>
      </c>
      <c r="I153" s="111">
        <f>IF(F153="","",INT(F153*H153))</f>
        <v>118</v>
      </c>
      <c r="J153" s="67"/>
      <c r="K153" s="68"/>
      <c r="L153" s="69"/>
      <c r="M153" s="752"/>
      <c r="N153" s="753" t="s">
        <v>3254</v>
      </c>
      <c r="O153" s="747">
        <v>0</v>
      </c>
      <c r="P153" s="232"/>
      <c r="Q153" s="233"/>
      <c r="R153" s="233"/>
      <c r="S153" s="233"/>
      <c r="T153" s="233"/>
      <c r="U153" s="233"/>
      <c r="V153" s="233"/>
      <c r="W153" s="233"/>
      <c r="X153" s="234"/>
      <c r="Y153" s="234"/>
      <c r="Z153" s="234"/>
      <c r="AA153" s="234"/>
      <c r="AB153" s="234"/>
      <c r="AC153" s="233"/>
      <c r="AD153" s="365"/>
      <c r="AE153" s="366"/>
      <c r="AF153" s="233"/>
      <c r="AG153" s="233"/>
      <c r="AH153" s="623"/>
      <c r="AI153" s="670"/>
    </row>
    <row r="154" spans="1:35" s="37" customFormat="1" ht="24" customHeight="1">
      <c r="A154" s="36">
        <v>3</v>
      </c>
      <c r="B154" s="36">
        <v>3</v>
      </c>
      <c r="C154" s="134">
        <v>24006</v>
      </c>
      <c r="D154" s="480" t="s">
        <v>3225</v>
      </c>
      <c r="E154" s="124" t="s">
        <v>3226</v>
      </c>
      <c r="F154" s="289">
        <v>5.0000000000000001E-3</v>
      </c>
      <c r="G154" s="125" t="s">
        <v>3227</v>
      </c>
      <c r="H154" s="141">
        <v>11700</v>
      </c>
      <c r="I154" s="111">
        <f>IF(F154="","",INT(F154*H154))</f>
        <v>58</v>
      </c>
      <c r="J154" s="67"/>
      <c r="K154" s="68"/>
      <c r="L154" s="69"/>
      <c r="M154" s="752"/>
      <c r="N154" s="753" t="s">
        <v>3254</v>
      </c>
      <c r="O154" s="747">
        <v>0</v>
      </c>
      <c r="P154" s="232"/>
      <c r="Q154" s="233"/>
      <c r="R154" s="233"/>
      <c r="S154" s="233"/>
      <c r="T154" s="233"/>
      <c r="U154" s="233"/>
      <c r="V154" s="233"/>
      <c r="W154" s="233"/>
      <c r="X154" s="234"/>
      <c r="Y154" s="234"/>
      <c r="Z154" s="234"/>
      <c r="AA154" s="234"/>
      <c r="AB154" s="234"/>
      <c r="AC154" s="233"/>
      <c r="AD154" s="365"/>
      <c r="AE154" s="366"/>
      <c r="AF154" s="233"/>
      <c r="AG154" s="233"/>
      <c r="AH154" s="623"/>
      <c r="AI154" s="670"/>
    </row>
    <row r="155" spans="1:35" s="37" customFormat="1" ht="24" customHeight="1">
      <c r="A155" s="36">
        <v>3</v>
      </c>
      <c r="B155" s="36">
        <v>3</v>
      </c>
      <c r="C155" s="134">
        <v>24071</v>
      </c>
      <c r="D155" s="480" t="s">
        <v>3177</v>
      </c>
      <c r="E155" s="124" t="s">
        <v>3228</v>
      </c>
      <c r="F155" s="289">
        <v>1.7</v>
      </c>
      <c r="G155" s="125" t="s">
        <v>3229</v>
      </c>
      <c r="H155" s="141">
        <v>18800</v>
      </c>
      <c r="I155" s="111">
        <f>IF(F155="","",INT(F155*H155))</f>
        <v>31960</v>
      </c>
      <c r="J155" s="67"/>
      <c r="K155" s="68"/>
      <c r="L155" s="69"/>
      <c r="M155" s="752"/>
      <c r="N155" s="753" t="s">
        <v>3254</v>
      </c>
      <c r="O155" s="747">
        <v>0</v>
      </c>
      <c r="P155" s="232"/>
      <c r="Q155" s="233"/>
      <c r="R155" s="233"/>
      <c r="S155" s="233"/>
      <c r="T155" s="233"/>
      <c r="U155" s="233"/>
      <c r="V155" s="233"/>
      <c r="W155" s="233"/>
      <c r="X155" s="234"/>
      <c r="Y155" s="234"/>
      <c r="Z155" s="234"/>
      <c r="AA155" s="234"/>
      <c r="AB155" s="234"/>
      <c r="AC155" s="233"/>
      <c r="AD155" s="365"/>
      <c r="AE155" s="366"/>
      <c r="AF155" s="233"/>
      <c r="AG155" s="233"/>
      <c r="AH155" s="623"/>
      <c r="AI155" s="670"/>
    </row>
    <row r="156" spans="1:35" s="37" customFormat="1" ht="24" customHeight="1">
      <c r="A156" s="36">
        <v>3</v>
      </c>
      <c r="B156" s="36">
        <v>3</v>
      </c>
      <c r="C156" s="134">
        <v>24008</v>
      </c>
      <c r="D156" s="480" t="s">
        <v>3222</v>
      </c>
      <c r="E156" s="124" t="s">
        <v>3230</v>
      </c>
      <c r="F156" s="289">
        <v>0.14000000000000001</v>
      </c>
      <c r="G156" s="125" t="s">
        <v>3231</v>
      </c>
      <c r="H156" s="141">
        <v>14600</v>
      </c>
      <c r="I156" s="111">
        <f>IF(F156="","",INT(F156*H156))</f>
        <v>2044</v>
      </c>
      <c r="J156" s="67"/>
      <c r="K156" s="68"/>
      <c r="L156" s="69"/>
      <c r="M156" s="752"/>
      <c r="N156" s="753" t="s">
        <v>3254</v>
      </c>
      <c r="O156" s="747">
        <v>0</v>
      </c>
      <c r="P156" s="232"/>
      <c r="Q156" s="233"/>
      <c r="R156" s="233"/>
      <c r="S156" s="233"/>
      <c r="T156" s="233"/>
      <c r="U156" s="233"/>
      <c r="V156" s="233"/>
      <c r="W156" s="233"/>
      <c r="X156" s="234"/>
      <c r="Y156" s="234"/>
      <c r="Z156" s="234"/>
      <c r="AA156" s="234"/>
      <c r="AB156" s="234"/>
      <c r="AC156" s="233"/>
      <c r="AD156" s="365"/>
      <c r="AE156" s="366"/>
      <c r="AF156" s="233"/>
      <c r="AG156" s="233"/>
      <c r="AH156" s="623"/>
      <c r="AI156" s="670"/>
    </row>
    <row r="157" spans="1:35" s="37" customFormat="1" ht="24" customHeight="1">
      <c r="A157" s="36"/>
      <c r="B157" s="36"/>
      <c r="C157" s="134"/>
      <c r="D157" s="135"/>
      <c r="E157" s="124"/>
      <c r="F157" s="289"/>
      <c r="G157" s="125"/>
      <c r="H157" s="141"/>
      <c r="I157" s="111" t="str">
        <f t="shared" si="6"/>
        <v/>
      </c>
      <c r="J157" s="67"/>
      <c r="K157" s="68"/>
      <c r="L157" s="69"/>
      <c r="M157" s="752"/>
      <c r="N157" s="753"/>
      <c r="O157" s="747"/>
      <c r="P157" s="232"/>
      <c r="Q157" s="233"/>
      <c r="R157" s="233"/>
      <c r="S157" s="233"/>
      <c r="T157" s="233"/>
      <c r="U157" s="233"/>
      <c r="V157" s="233"/>
      <c r="W157" s="233"/>
      <c r="X157" s="234"/>
      <c r="Y157" s="234"/>
      <c r="Z157" s="234"/>
      <c r="AA157" s="234"/>
      <c r="AB157" s="234"/>
      <c r="AC157" s="233"/>
      <c r="AD157" s="365"/>
      <c r="AE157" s="366"/>
      <c r="AF157" s="233"/>
      <c r="AG157" s="233"/>
      <c r="AH157" s="623"/>
      <c r="AI157" s="670"/>
    </row>
    <row r="158" spans="1:35" s="37" customFormat="1" ht="24" customHeight="1">
      <c r="A158" s="36">
        <v>3</v>
      </c>
      <c r="B158" s="36">
        <v>3</v>
      </c>
      <c r="C158" s="134">
        <v>24020</v>
      </c>
      <c r="D158" s="480" t="s">
        <v>3232</v>
      </c>
      <c r="E158" s="124" t="s">
        <v>3233</v>
      </c>
      <c r="F158" s="289">
        <v>3.1</v>
      </c>
      <c r="G158" s="125" t="s">
        <v>3234</v>
      </c>
      <c r="H158" s="141">
        <v>3410</v>
      </c>
      <c r="I158" s="111">
        <f>IF(F158="","",INT(F158*H158))</f>
        <v>10571</v>
      </c>
      <c r="J158" s="67"/>
      <c r="K158" s="68"/>
      <c r="L158" s="69"/>
      <c r="M158" s="752"/>
      <c r="N158" s="753" t="s">
        <v>3254</v>
      </c>
      <c r="O158" s="747">
        <v>0</v>
      </c>
      <c r="P158" s="232"/>
      <c r="Q158" s="233"/>
      <c r="R158" s="233"/>
      <c r="S158" s="233"/>
      <c r="T158" s="233"/>
      <c r="U158" s="233"/>
      <c r="V158" s="233"/>
      <c r="W158" s="233"/>
      <c r="X158" s="234"/>
      <c r="Y158" s="234"/>
      <c r="Z158" s="234"/>
      <c r="AA158" s="234"/>
      <c r="AB158" s="234"/>
      <c r="AC158" s="233"/>
      <c r="AD158" s="365"/>
      <c r="AE158" s="366"/>
      <c r="AF158" s="233"/>
      <c r="AG158" s="233"/>
      <c r="AH158" s="623"/>
      <c r="AI158" s="670"/>
    </row>
    <row r="159" spans="1:35" s="37" customFormat="1" ht="24" customHeight="1">
      <c r="A159" s="36">
        <v>3</v>
      </c>
      <c r="B159" s="36">
        <v>3</v>
      </c>
      <c r="C159" s="134">
        <v>24069</v>
      </c>
      <c r="D159" s="480" t="s">
        <v>3235</v>
      </c>
      <c r="E159" s="124" t="s">
        <v>3236</v>
      </c>
      <c r="F159" s="289">
        <v>1</v>
      </c>
      <c r="G159" s="125" t="s">
        <v>3237</v>
      </c>
      <c r="H159" s="141">
        <v>23100</v>
      </c>
      <c r="I159" s="111">
        <f>IF(F159="","",INT(F159*H159))</f>
        <v>23100</v>
      </c>
      <c r="J159" s="67" t="s">
        <v>3238</v>
      </c>
      <c r="K159" s="68"/>
      <c r="L159" s="69"/>
      <c r="M159" s="752"/>
      <c r="N159" s="753" t="s">
        <v>3254</v>
      </c>
      <c r="O159" s="747">
        <v>0</v>
      </c>
      <c r="P159" s="232"/>
      <c r="Q159" s="233"/>
      <c r="R159" s="233"/>
      <c r="S159" s="233"/>
      <c r="T159" s="233"/>
      <c r="U159" s="233"/>
      <c r="V159" s="233"/>
      <c r="W159" s="233"/>
      <c r="X159" s="234"/>
      <c r="Y159" s="234"/>
      <c r="Z159" s="234"/>
      <c r="AA159" s="234"/>
      <c r="AB159" s="234"/>
      <c r="AC159" s="233"/>
      <c r="AD159" s="365"/>
      <c r="AE159" s="366"/>
      <c r="AF159" s="233"/>
      <c r="AG159" s="233"/>
      <c r="AH159" s="623"/>
      <c r="AI159" s="670"/>
    </row>
    <row r="160" spans="1:35" s="37" customFormat="1" ht="24" customHeight="1">
      <c r="A160" s="36">
        <v>3</v>
      </c>
      <c r="B160" s="36">
        <v>3</v>
      </c>
      <c r="C160" s="134">
        <v>24011</v>
      </c>
      <c r="D160" s="480" t="s">
        <v>3239</v>
      </c>
      <c r="E160" s="124" t="s">
        <v>3240</v>
      </c>
      <c r="F160" s="289">
        <v>1</v>
      </c>
      <c r="G160" s="125" t="s">
        <v>3241</v>
      </c>
      <c r="H160" s="141">
        <v>23100</v>
      </c>
      <c r="I160" s="111">
        <f>IF(F160="","",INT(F160*H160))</f>
        <v>23100</v>
      </c>
      <c r="J160" s="67" t="s">
        <v>3242</v>
      </c>
      <c r="K160" s="68"/>
      <c r="L160" s="69"/>
      <c r="M160" s="752"/>
      <c r="N160" s="753" t="s">
        <v>3254</v>
      </c>
      <c r="O160" s="747">
        <v>0</v>
      </c>
      <c r="P160" s="232"/>
      <c r="Q160" s="233"/>
      <c r="R160" s="233"/>
      <c r="S160" s="233"/>
      <c r="T160" s="233"/>
      <c r="U160" s="233"/>
      <c r="V160" s="233"/>
      <c r="W160" s="233"/>
      <c r="X160" s="234"/>
      <c r="Y160" s="234"/>
      <c r="Z160" s="234"/>
      <c r="AA160" s="234"/>
      <c r="AB160" s="234"/>
      <c r="AC160" s="233"/>
      <c r="AD160" s="365"/>
      <c r="AE160" s="366"/>
      <c r="AF160" s="233"/>
      <c r="AG160" s="233"/>
      <c r="AH160" s="623"/>
      <c r="AI160" s="670"/>
    </row>
    <row r="161" spans="1:35" s="37" customFormat="1" ht="24" customHeight="1">
      <c r="A161" s="36"/>
      <c r="B161" s="36"/>
      <c r="C161" s="134"/>
      <c r="D161" s="135"/>
      <c r="E161" s="124"/>
      <c r="F161" s="289"/>
      <c r="G161" s="125"/>
      <c r="H161" s="141"/>
      <c r="I161" s="111" t="str">
        <f t="shared" si="6"/>
        <v/>
      </c>
      <c r="J161" s="67"/>
      <c r="K161" s="68"/>
      <c r="L161" s="69"/>
      <c r="M161" s="752"/>
      <c r="N161" s="753"/>
      <c r="O161" s="747"/>
      <c r="P161" s="232"/>
      <c r="Q161" s="233"/>
      <c r="R161" s="233"/>
      <c r="S161" s="233"/>
      <c r="T161" s="233"/>
      <c r="U161" s="233"/>
      <c r="V161" s="233"/>
      <c r="W161" s="233"/>
      <c r="X161" s="234"/>
      <c r="Y161" s="234"/>
      <c r="Z161" s="234"/>
      <c r="AA161" s="234"/>
      <c r="AB161" s="234"/>
      <c r="AC161" s="233"/>
      <c r="AD161" s="365"/>
      <c r="AE161" s="366"/>
      <c r="AF161" s="233"/>
      <c r="AG161" s="233"/>
      <c r="AH161" s="623"/>
      <c r="AI161" s="670"/>
    </row>
    <row r="162" spans="1:35" ht="24" customHeight="1" thickBot="1">
      <c r="A162" s="36"/>
      <c r="B162" s="36"/>
      <c r="C162" s="113"/>
      <c r="D162" s="99"/>
      <c r="E162" s="114"/>
      <c r="F162" s="290"/>
      <c r="G162" s="127"/>
      <c r="H162" s="137"/>
      <c r="I162" s="2148">
        <f>SUM(I144:I161)</f>
        <v>1087385</v>
      </c>
      <c r="J162" s="740"/>
      <c r="K162" s="742">
        <f>IF(C143="部分撤去工事",(K139+L162),0)</f>
        <v>1087385</v>
      </c>
      <c r="L162" s="741">
        <f>IF(C143="部分撤去工事",SUMIF(N144:N161,"費用",I144:I161),0)</f>
        <v>1087385</v>
      </c>
      <c r="M162" s="754"/>
      <c r="N162" s="755"/>
      <c r="O162" s="747"/>
      <c r="P162" s="232"/>
      <c r="Q162" s="233"/>
      <c r="R162" s="233"/>
      <c r="S162" s="233"/>
      <c r="T162" s="233"/>
      <c r="U162" s="233"/>
      <c r="V162" s="233"/>
      <c r="W162" s="233"/>
      <c r="X162" s="234"/>
      <c r="Y162" s="234"/>
      <c r="Z162" s="234"/>
      <c r="AA162" s="234"/>
      <c r="AB162" s="234"/>
      <c r="AC162" s="233"/>
      <c r="AD162" s="365"/>
      <c r="AE162" s="366"/>
      <c r="AF162" s="233"/>
      <c r="AG162" s="233"/>
      <c r="AH162" s="233"/>
      <c r="AI162" s="670"/>
    </row>
    <row r="163" spans="1:35" ht="14.25" customHeight="1">
      <c r="E163" s="130" t="s">
        <v>68</v>
      </c>
      <c r="F163" s="131">
        <f>+F140+1</f>
        <v>10</v>
      </c>
      <c r="G163" s="132" t="s">
        <v>69</v>
      </c>
      <c r="H163" s="133">
        <f>+H140</f>
        <v>11</v>
      </c>
      <c r="I163" s="133"/>
      <c r="M163" s="748" t="str">
        <f>IF(A165="","EOL","")</f>
        <v/>
      </c>
      <c r="N163" s="1">
        <f>+F163</f>
        <v>10</v>
      </c>
      <c r="Q163" s="37"/>
      <c r="R163" s="37"/>
      <c r="S163" s="37"/>
      <c r="T163" s="37"/>
      <c r="U163" s="37"/>
      <c r="V163" s="37"/>
      <c r="W163" s="37"/>
      <c r="X163" s="37"/>
      <c r="Y163" s="37"/>
      <c r="Z163" s="37"/>
    </row>
    <row r="164" spans="1:35" ht="26.1" customHeight="1" thickBot="1">
      <c r="C164" s="2169" t="s">
        <v>343</v>
      </c>
      <c r="D164" s="2169"/>
      <c r="E164" s="2169"/>
      <c r="F164" s="2169"/>
      <c r="G164" s="2169"/>
      <c r="H164" s="2169"/>
      <c r="I164" s="2169"/>
      <c r="J164" s="2169"/>
      <c r="K164" s="2169"/>
      <c r="L164" s="2169"/>
      <c r="O164" s="2232" t="s">
        <v>155</v>
      </c>
      <c r="P164" s="2232"/>
      <c r="Q164" s="2232"/>
      <c r="R164" s="2232"/>
      <c r="S164" s="2232"/>
      <c r="T164" s="2232"/>
      <c r="U164" s="2232"/>
      <c r="V164" s="2232"/>
      <c r="W164" s="2232"/>
      <c r="X164" s="2232"/>
      <c r="Y164" s="2232"/>
      <c r="Z164" s="2232"/>
      <c r="AA164" s="2232"/>
      <c r="AB164" s="2232"/>
      <c r="AC164" s="2232"/>
      <c r="AD164" s="2232"/>
      <c r="AE164" s="2232"/>
      <c r="AF164" s="2232"/>
      <c r="AG164" s="2232"/>
      <c r="AH164" s="2233"/>
      <c r="AI164" s="668"/>
    </row>
    <row r="165" spans="1:35" ht="41.25" customHeight="1">
      <c r="A165" s="5" t="s">
        <v>11</v>
      </c>
      <c r="B165" s="5" t="s">
        <v>49</v>
      </c>
      <c r="C165" s="120" t="s">
        <v>0</v>
      </c>
      <c r="D165" s="116"/>
      <c r="E165" s="117" t="s">
        <v>1</v>
      </c>
      <c r="F165" s="118" t="s">
        <v>2</v>
      </c>
      <c r="G165" s="118" t="s">
        <v>3</v>
      </c>
      <c r="H165" s="119" t="s">
        <v>4</v>
      </c>
      <c r="I165" s="119" t="s">
        <v>5</v>
      </c>
      <c r="J165" s="2172" t="s">
        <v>6</v>
      </c>
      <c r="K165" s="2173"/>
      <c r="L165" s="2174"/>
      <c r="M165" s="749"/>
      <c r="N165" s="756" t="s">
        <v>2525</v>
      </c>
      <c r="O165" s="746" t="s">
        <v>87</v>
      </c>
      <c r="P165" s="359" t="s">
        <v>267</v>
      </c>
      <c r="Q165" s="291" t="s">
        <v>282</v>
      </c>
      <c r="R165" s="291" t="s">
        <v>229</v>
      </c>
      <c r="S165" s="291" t="s">
        <v>230</v>
      </c>
      <c r="T165" s="291" t="s">
        <v>245</v>
      </c>
      <c r="U165" s="291" t="s">
        <v>149</v>
      </c>
      <c r="V165" s="164" t="s">
        <v>148</v>
      </c>
      <c r="W165" s="291" t="s">
        <v>231</v>
      </c>
      <c r="X165" s="224" t="s">
        <v>232</v>
      </c>
      <c r="Y165" s="224" t="s">
        <v>233</v>
      </c>
      <c r="Z165" s="224" t="s">
        <v>234</v>
      </c>
      <c r="AA165" s="224" t="s">
        <v>235</v>
      </c>
      <c r="AB165" s="224" t="s">
        <v>277</v>
      </c>
      <c r="AC165" s="362" t="s">
        <v>286</v>
      </c>
      <c r="AD165" s="363" t="s">
        <v>287</v>
      </c>
      <c r="AE165" s="364" t="s">
        <v>151</v>
      </c>
      <c r="AF165" s="163" t="s">
        <v>154</v>
      </c>
      <c r="AG165" s="163" t="s">
        <v>152</v>
      </c>
      <c r="AH165" s="163" t="s">
        <v>153</v>
      </c>
      <c r="AI165" s="669"/>
    </row>
    <row r="166" spans="1:35" ht="24" customHeight="1">
      <c r="A166" s="36"/>
      <c r="B166" s="36"/>
      <c r="C166" s="138" t="s">
        <v>3166</v>
      </c>
      <c r="D166" s="139"/>
      <c r="E166" s="140"/>
      <c r="F166" s="288"/>
      <c r="G166" s="107"/>
      <c r="H166" s="97" t="s">
        <v>12</v>
      </c>
      <c r="I166" s="97" t="s">
        <v>12</v>
      </c>
      <c r="J166" s="2226" t="str">
        <f ca="1">RIGHT(CELL("filename",A162),LEN(CELL("filename",A162))-FIND("]",CELL("filename",A162)))</f>
        <v>工事1</v>
      </c>
      <c r="K166" s="2227"/>
      <c r="L166" s="2228"/>
      <c r="M166" s="750"/>
      <c r="N166" s="751"/>
      <c r="O166" s="747"/>
      <c r="P166" s="232"/>
      <c r="Q166" s="233"/>
      <c r="R166" s="233"/>
      <c r="S166" s="233"/>
      <c r="T166" s="233"/>
      <c r="U166" s="233"/>
      <c r="V166" s="233"/>
      <c r="W166" s="233"/>
      <c r="X166" s="234"/>
      <c r="Y166" s="234"/>
      <c r="Z166" s="234"/>
      <c r="AA166" s="234"/>
      <c r="AB166" s="234"/>
      <c r="AC166" s="233"/>
      <c r="AD166" s="365"/>
      <c r="AE166" s="366"/>
      <c r="AF166" s="233"/>
      <c r="AG166" s="233"/>
      <c r="AH166" s="233"/>
      <c r="AI166" s="670"/>
    </row>
    <row r="167" spans="1:35" s="37" customFormat="1" ht="24" customHeight="1">
      <c r="A167" s="36"/>
      <c r="B167" s="36"/>
      <c r="C167" s="134"/>
      <c r="D167" s="135"/>
      <c r="E167" s="124"/>
      <c r="F167" s="289"/>
      <c r="G167" s="125"/>
      <c r="H167" s="141"/>
      <c r="I167" s="111" t="str">
        <f t="shared" ref="I167:I184" si="8">IF(F167="","",INT(F167*H167))</f>
        <v/>
      </c>
      <c r="J167" s="67"/>
      <c r="K167" s="68"/>
      <c r="L167" s="69"/>
      <c r="M167" s="752"/>
      <c r="N167" s="753"/>
      <c r="O167" s="747"/>
      <c r="P167" s="232"/>
      <c r="Q167" s="233"/>
      <c r="R167" s="233"/>
      <c r="S167" s="233"/>
      <c r="T167" s="233"/>
      <c r="U167" s="233"/>
      <c r="V167" s="233"/>
      <c r="W167" s="233"/>
      <c r="X167" s="234"/>
      <c r="Y167" s="234"/>
      <c r="Z167" s="234"/>
      <c r="AA167" s="234"/>
      <c r="AB167" s="234"/>
      <c r="AC167" s="233"/>
      <c r="AD167" s="365"/>
      <c r="AE167" s="366"/>
      <c r="AF167" s="233"/>
      <c r="AG167" s="233"/>
      <c r="AH167" s="623"/>
      <c r="AI167" s="670"/>
    </row>
    <row r="168" spans="1:35" s="37" customFormat="1" ht="24" customHeight="1">
      <c r="A168" s="36">
        <v>3</v>
      </c>
      <c r="B168" s="36">
        <v>3</v>
      </c>
      <c r="C168" s="134">
        <v>20060</v>
      </c>
      <c r="D168" s="480" t="s">
        <v>3243</v>
      </c>
      <c r="E168" s="124" t="s">
        <v>3244</v>
      </c>
      <c r="F168" s="289">
        <v>0.5</v>
      </c>
      <c r="G168" s="125" t="s">
        <v>3224</v>
      </c>
      <c r="H168" s="141">
        <v>950</v>
      </c>
      <c r="I168" s="111">
        <f>IF(F168="","",INT(F168*H168))</f>
        <v>475</v>
      </c>
      <c r="J168" s="67" t="s">
        <v>3245</v>
      </c>
      <c r="K168" s="68"/>
      <c r="L168" s="69"/>
      <c r="M168" s="752"/>
      <c r="N168" s="753"/>
      <c r="O168" s="747">
        <v>0</v>
      </c>
      <c r="P168" s="232"/>
      <c r="Q168" s="233"/>
      <c r="R168" s="233"/>
      <c r="S168" s="233"/>
      <c r="T168" s="233"/>
      <c r="U168" s="233"/>
      <c r="V168" s="233"/>
      <c r="W168" s="233"/>
      <c r="X168" s="234"/>
      <c r="Y168" s="234"/>
      <c r="Z168" s="234"/>
      <c r="AA168" s="234"/>
      <c r="AB168" s="234"/>
      <c r="AC168" s="233"/>
      <c r="AD168" s="365"/>
      <c r="AE168" s="366"/>
      <c r="AF168" s="233"/>
      <c r="AG168" s="233"/>
      <c r="AH168" s="623"/>
      <c r="AI168" s="670"/>
    </row>
    <row r="169" spans="1:35" s="37" customFormat="1" ht="24" customHeight="1">
      <c r="A169" s="36">
        <v>3</v>
      </c>
      <c r="B169" s="36">
        <v>3</v>
      </c>
      <c r="C169" s="134">
        <v>20061</v>
      </c>
      <c r="D169" s="480" t="s">
        <v>3243</v>
      </c>
      <c r="E169" s="124" t="s">
        <v>3246</v>
      </c>
      <c r="F169" s="289">
        <v>3.7</v>
      </c>
      <c r="G169" s="125" t="s">
        <v>3247</v>
      </c>
      <c r="H169" s="141">
        <f>11300*L169</f>
        <v>56500</v>
      </c>
      <c r="I169" s="111">
        <f>IF(F169="","",INT(F169*H169))</f>
        <v>209050</v>
      </c>
      <c r="J169" s="67" t="s">
        <v>3248</v>
      </c>
      <c r="K169" s="68"/>
      <c r="L169" s="2150">
        <v>5</v>
      </c>
      <c r="M169" s="752"/>
      <c r="N169" s="753" t="s">
        <v>3254</v>
      </c>
      <c r="O169" s="747">
        <v>0</v>
      </c>
      <c r="P169" s="232"/>
      <c r="Q169" s="233"/>
      <c r="R169" s="233"/>
      <c r="S169" s="233"/>
      <c r="T169" s="233"/>
      <c r="U169" s="233"/>
      <c r="V169" s="233"/>
      <c r="W169" s="233"/>
      <c r="X169" s="234"/>
      <c r="Y169" s="234"/>
      <c r="Z169" s="234"/>
      <c r="AA169" s="234"/>
      <c r="AB169" s="234"/>
      <c r="AC169" s="233"/>
      <c r="AD169" s="365"/>
      <c r="AE169" s="366"/>
      <c r="AF169" s="233"/>
      <c r="AG169" s="233"/>
      <c r="AH169" s="623"/>
      <c r="AI169" s="670"/>
    </row>
    <row r="170" spans="1:35" s="37" customFormat="1" ht="24" customHeight="1">
      <c r="A170" s="36"/>
      <c r="B170" s="36"/>
      <c r="C170" s="134"/>
      <c r="D170" s="480"/>
      <c r="E170" s="124"/>
      <c r="F170" s="289"/>
      <c r="G170" s="125"/>
      <c r="H170" s="141"/>
      <c r="I170" s="111" t="str">
        <f>IF(F170="","",INT(F170*H170))</f>
        <v/>
      </c>
      <c r="J170" s="67" t="s">
        <v>3190</v>
      </c>
      <c r="K170" s="68"/>
      <c r="L170" s="69"/>
      <c r="M170" s="752"/>
      <c r="N170" s="753"/>
      <c r="O170" s="747">
        <v>0</v>
      </c>
      <c r="P170" s="232"/>
      <c r="Q170" s="233"/>
      <c r="R170" s="233"/>
      <c r="S170" s="233"/>
      <c r="T170" s="233"/>
      <c r="U170" s="233"/>
      <c r="V170" s="233"/>
      <c r="W170" s="233"/>
      <c r="X170" s="234"/>
      <c r="Y170" s="234"/>
      <c r="Z170" s="234"/>
      <c r="AA170" s="234"/>
      <c r="AB170" s="234"/>
      <c r="AC170" s="233"/>
      <c r="AD170" s="365"/>
      <c r="AE170" s="366"/>
      <c r="AF170" s="233"/>
      <c r="AG170" s="233"/>
      <c r="AH170" s="623"/>
      <c r="AI170" s="670"/>
    </row>
    <row r="171" spans="1:35" s="37" customFormat="1" ht="24" customHeight="1">
      <c r="A171" s="36">
        <v>3</v>
      </c>
      <c r="B171" s="36">
        <v>3</v>
      </c>
      <c r="C171" s="134"/>
      <c r="D171" s="480" t="s">
        <v>3205</v>
      </c>
      <c r="E171" s="124" t="s">
        <v>3251</v>
      </c>
      <c r="F171" s="289">
        <v>-1.2</v>
      </c>
      <c r="G171" s="125" t="s">
        <v>3229</v>
      </c>
      <c r="H171" s="141">
        <v>9000</v>
      </c>
      <c r="I171" s="111">
        <f t="shared" si="8"/>
        <v>-10800</v>
      </c>
      <c r="J171" s="67" t="s">
        <v>3249</v>
      </c>
      <c r="K171" s="68"/>
      <c r="L171" s="69"/>
      <c r="M171" s="752"/>
      <c r="N171" s="753" t="s">
        <v>3254</v>
      </c>
      <c r="O171" s="747">
        <v>0</v>
      </c>
      <c r="P171" s="232"/>
      <c r="Q171" s="233"/>
      <c r="R171" s="233"/>
      <c r="S171" s="233"/>
      <c r="T171" s="233"/>
      <c r="U171" s="233"/>
      <c r="V171" s="233"/>
      <c r="W171" s="233"/>
      <c r="X171" s="234"/>
      <c r="Y171" s="234"/>
      <c r="Z171" s="234"/>
      <c r="AA171" s="234"/>
      <c r="AB171" s="234"/>
      <c r="AC171" s="233"/>
      <c r="AD171" s="365"/>
      <c r="AE171" s="366"/>
      <c r="AF171" s="233"/>
      <c r="AG171" s="233"/>
      <c r="AH171" s="623"/>
      <c r="AI171" s="670"/>
    </row>
    <row r="172" spans="1:35" s="37" customFormat="1" ht="24" customHeight="1">
      <c r="A172" s="36">
        <v>3</v>
      </c>
      <c r="B172" s="36">
        <v>3</v>
      </c>
      <c r="C172" s="134"/>
      <c r="D172" s="480" t="s">
        <v>3205</v>
      </c>
      <c r="E172" s="124" t="s">
        <v>3250</v>
      </c>
      <c r="F172" s="289">
        <v>-0.03</v>
      </c>
      <c r="G172" s="125" t="s">
        <v>3252</v>
      </c>
      <c r="H172" s="141">
        <v>75000</v>
      </c>
      <c r="I172" s="111">
        <f t="shared" si="8"/>
        <v>-2250</v>
      </c>
      <c r="J172" s="67" t="s">
        <v>3253</v>
      </c>
      <c r="K172" s="68"/>
      <c r="L172" s="69"/>
      <c r="M172" s="752"/>
      <c r="N172" s="753" t="s">
        <v>3254</v>
      </c>
      <c r="O172" s="747">
        <v>0</v>
      </c>
      <c r="P172" s="232"/>
      <c r="Q172" s="233"/>
      <c r="R172" s="233"/>
      <c r="S172" s="233"/>
      <c r="T172" s="233"/>
      <c r="U172" s="233"/>
      <c r="V172" s="233"/>
      <c r="W172" s="233"/>
      <c r="X172" s="234"/>
      <c r="Y172" s="234"/>
      <c r="Z172" s="234"/>
      <c r="AA172" s="234"/>
      <c r="AB172" s="234"/>
      <c r="AC172" s="233"/>
      <c r="AD172" s="365"/>
      <c r="AE172" s="366"/>
      <c r="AF172" s="233"/>
      <c r="AG172" s="233"/>
      <c r="AH172" s="623"/>
      <c r="AI172" s="670"/>
    </row>
    <row r="173" spans="1:35" s="37" customFormat="1" ht="24" customHeight="1">
      <c r="A173" s="36"/>
      <c r="B173" s="36"/>
      <c r="C173" s="134"/>
      <c r="D173" s="135"/>
      <c r="E173" s="124"/>
      <c r="F173" s="289"/>
      <c r="G173" s="125"/>
      <c r="H173" s="141"/>
      <c r="I173" s="111" t="str">
        <f t="shared" si="8"/>
        <v/>
      </c>
      <c r="J173" s="67"/>
      <c r="K173" s="68"/>
      <c r="L173" s="69"/>
      <c r="M173" s="752"/>
      <c r="N173" s="753"/>
      <c r="O173" s="747"/>
      <c r="P173" s="232"/>
      <c r="Q173" s="233"/>
      <c r="R173" s="233"/>
      <c r="S173" s="233"/>
      <c r="T173" s="233"/>
      <c r="U173" s="233"/>
      <c r="V173" s="233"/>
      <c r="W173" s="233"/>
      <c r="X173" s="234"/>
      <c r="Y173" s="234"/>
      <c r="Z173" s="234"/>
      <c r="AA173" s="234"/>
      <c r="AB173" s="234"/>
      <c r="AC173" s="233"/>
      <c r="AD173" s="365"/>
      <c r="AE173" s="366"/>
      <c r="AF173" s="233"/>
      <c r="AG173" s="233"/>
      <c r="AH173" s="623"/>
      <c r="AI173" s="670"/>
    </row>
    <row r="174" spans="1:35" s="37" customFormat="1" ht="24" customHeight="1">
      <c r="A174" s="36"/>
      <c r="B174" s="36"/>
      <c r="C174" s="134"/>
      <c r="D174" s="135"/>
      <c r="E174" s="124"/>
      <c r="F174" s="289"/>
      <c r="G174" s="125"/>
      <c r="H174" s="141"/>
      <c r="I174" s="111" t="str">
        <f t="shared" si="8"/>
        <v/>
      </c>
      <c r="J174" s="67"/>
      <c r="K174" s="68"/>
      <c r="L174" s="69"/>
      <c r="M174" s="752"/>
      <c r="N174" s="753"/>
      <c r="O174" s="747"/>
      <c r="P174" s="232"/>
      <c r="Q174" s="233"/>
      <c r="R174" s="233"/>
      <c r="S174" s="233"/>
      <c r="T174" s="233"/>
      <c r="U174" s="233"/>
      <c r="V174" s="233"/>
      <c r="W174" s="233"/>
      <c r="X174" s="234"/>
      <c r="Y174" s="234"/>
      <c r="Z174" s="234"/>
      <c r="AA174" s="234"/>
      <c r="AB174" s="234"/>
      <c r="AC174" s="233"/>
      <c r="AD174" s="365"/>
      <c r="AE174" s="366"/>
      <c r="AF174" s="233"/>
      <c r="AG174" s="233"/>
      <c r="AH174" s="623"/>
      <c r="AI174" s="670"/>
    </row>
    <row r="175" spans="1:35" s="37" customFormat="1" ht="24" customHeight="1">
      <c r="A175" s="36"/>
      <c r="B175" s="36"/>
      <c r="C175" s="134"/>
      <c r="D175" s="135"/>
      <c r="E175" s="124"/>
      <c r="F175" s="289"/>
      <c r="G175" s="125"/>
      <c r="H175" s="141"/>
      <c r="I175" s="111" t="str">
        <f t="shared" si="8"/>
        <v/>
      </c>
      <c r="J175" s="67"/>
      <c r="K175" s="68"/>
      <c r="L175" s="69"/>
      <c r="M175" s="752"/>
      <c r="N175" s="753"/>
      <c r="O175" s="747"/>
      <c r="P175" s="232"/>
      <c r="Q175" s="233"/>
      <c r="R175" s="233"/>
      <c r="S175" s="233"/>
      <c r="T175" s="233"/>
      <c r="U175" s="233"/>
      <c r="V175" s="233"/>
      <c r="W175" s="233"/>
      <c r="X175" s="234"/>
      <c r="Y175" s="234"/>
      <c r="Z175" s="234"/>
      <c r="AA175" s="234"/>
      <c r="AB175" s="234"/>
      <c r="AC175" s="233"/>
      <c r="AD175" s="365"/>
      <c r="AE175" s="366"/>
      <c r="AF175" s="233"/>
      <c r="AG175" s="233"/>
      <c r="AH175" s="623"/>
      <c r="AI175" s="670"/>
    </row>
    <row r="176" spans="1:35" s="37" customFormat="1" ht="24" customHeight="1">
      <c r="A176" s="36"/>
      <c r="B176" s="36"/>
      <c r="C176" s="134"/>
      <c r="D176" s="135"/>
      <c r="E176" s="124"/>
      <c r="F176" s="289"/>
      <c r="G176" s="125"/>
      <c r="H176" s="141"/>
      <c r="I176" s="111" t="str">
        <f t="shared" si="8"/>
        <v/>
      </c>
      <c r="J176" s="67"/>
      <c r="K176" s="68"/>
      <c r="L176" s="69"/>
      <c r="M176" s="752"/>
      <c r="N176" s="753"/>
      <c r="O176" s="747"/>
      <c r="P176" s="232"/>
      <c r="Q176" s="233"/>
      <c r="R176" s="233"/>
      <c r="S176" s="233"/>
      <c r="T176" s="233"/>
      <c r="U176" s="233"/>
      <c r="V176" s="233"/>
      <c r="W176" s="233"/>
      <c r="X176" s="234"/>
      <c r="Y176" s="234"/>
      <c r="Z176" s="234"/>
      <c r="AA176" s="234"/>
      <c r="AB176" s="234"/>
      <c r="AC176" s="233"/>
      <c r="AD176" s="365"/>
      <c r="AE176" s="366"/>
      <c r="AF176" s="233"/>
      <c r="AG176" s="233"/>
      <c r="AH176" s="623"/>
      <c r="AI176" s="670"/>
    </row>
    <row r="177" spans="1:35" s="37" customFormat="1" ht="24" customHeight="1">
      <c r="A177" s="36"/>
      <c r="B177" s="36"/>
      <c r="C177" s="134"/>
      <c r="D177" s="135"/>
      <c r="E177" s="124"/>
      <c r="F177" s="289"/>
      <c r="G177" s="125"/>
      <c r="H177" s="141"/>
      <c r="I177" s="111" t="str">
        <f t="shared" si="8"/>
        <v/>
      </c>
      <c r="J177" s="67"/>
      <c r="K177" s="68"/>
      <c r="L177" s="69"/>
      <c r="M177" s="752"/>
      <c r="N177" s="753"/>
      <c r="O177" s="747"/>
      <c r="P177" s="232"/>
      <c r="Q177" s="233"/>
      <c r="R177" s="233"/>
      <c r="S177" s="233"/>
      <c r="T177" s="233"/>
      <c r="U177" s="233"/>
      <c r="V177" s="233"/>
      <c r="W177" s="233"/>
      <c r="X177" s="234"/>
      <c r="Y177" s="234"/>
      <c r="Z177" s="234"/>
      <c r="AA177" s="234"/>
      <c r="AB177" s="234"/>
      <c r="AC177" s="233"/>
      <c r="AD177" s="365"/>
      <c r="AE177" s="366"/>
      <c r="AF177" s="233"/>
      <c r="AG177" s="233"/>
      <c r="AH177" s="623"/>
      <c r="AI177" s="670"/>
    </row>
    <row r="178" spans="1:35" s="37" customFormat="1" ht="24" customHeight="1">
      <c r="A178" s="36"/>
      <c r="B178" s="36"/>
      <c r="C178" s="134"/>
      <c r="D178" s="135"/>
      <c r="E178" s="124"/>
      <c r="F178" s="289"/>
      <c r="G178" s="125"/>
      <c r="H178" s="141"/>
      <c r="I178" s="111" t="str">
        <f t="shared" si="8"/>
        <v/>
      </c>
      <c r="J178" s="67"/>
      <c r="K178" s="68"/>
      <c r="L178" s="69"/>
      <c r="M178" s="752"/>
      <c r="N178" s="753"/>
      <c r="O178" s="747"/>
      <c r="P178" s="232"/>
      <c r="Q178" s="233"/>
      <c r="R178" s="233"/>
      <c r="S178" s="233"/>
      <c r="T178" s="233"/>
      <c r="U178" s="233"/>
      <c r="V178" s="233"/>
      <c r="W178" s="233"/>
      <c r="X178" s="234"/>
      <c r="Y178" s="234"/>
      <c r="Z178" s="234"/>
      <c r="AA178" s="234"/>
      <c r="AB178" s="234"/>
      <c r="AC178" s="233"/>
      <c r="AD178" s="365"/>
      <c r="AE178" s="366"/>
      <c r="AF178" s="233"/>
      <c r="AG178" s="233"/>
      <c r="AH178" s="623"/>
      <c r="AI178" s="670"/>
    </row>
    <row r="179" spans="1:35" s="37" customFormat="1" ht="24" customHeight="1">
      <c r="A179" s="36"/>
      <c r="B179" s="36"/>
      <c r="C179" s="134"/>
      <c r="D179" s="135"/>
      <c r="E179" s="124"/>
      <c r="F179" s="289"/>
      <c r="G179" s="125"/>
      <c r="H179" s="141"/>
      <c r="I179" s="111" t="str">
        <f t="shared" si="8"/>
        <v/>
      </c>
      <c r="J179" s="67"/>
      <c r="K179" s="68"/>
      <c r="L179" s="69"/>
      <c r="M179" s="752"/>
      <c r="N179" s="753"/>
      <c r="O179" s="747"/>
      <c r="P179" s="232"/>
      <c r="Q179" s="233"/>
      <c r="R179" s="233"/>
      <c r="S179" s="233"/>
      <c r="T179" s="233"/>
      <c r="U179" s="233"/>
      <c r="V179" s="233"/>
      <c r="W179" s="233"/>
      <c r="X179" s="234"/>
      <c r="Y179" s="234"/>
      <c r="Z179" s="234"/>
      <c r="AA179" s="234"/>
      <c r="AB179" s="234"/>
      <c r="AC179" s="233"/>
      <c r="AD179" s="365"/>
      <c r="AE179" s="366"/>
      <c r="AF179" s="233"/>
      <c r="AG179" s="233"/>
      <c r="AH179" s="623"/>
      <c r="AI179" s="670"/>
    </row>
    <row r="180" spans="1:35" s="37" customFormat="1" ht="24" customHeight="1">
      <c r="A180" s="36"/>
      <c r="B180" s="36"/>
      <c r="C180" s="134"/>
      <c r="D180" s="135"/>
      <c r="E180" s="124"/>
      <c r="F180" s="289"/>
      <c r="G180" s="125"/>
      <c r="H180" s="141"/>
      <c r="I180" s="111" t="str">
        <f t="shared" si="8"/>
        <v/>
      </c>
      <c r="J180" s="67"/>
      <c r="K180" s="68"/>
      <c r="L180" s="69"/>
      <c r="M180" s="752"/>
      <c r="N180" s="753"/>
      <c r="O180" s="747"/>
      <c r="P180" s="232"/>
      <c r="Q180" s="233"/>
      <c r="R180" s="233"/>
      <c r="S180" s="233"/>
      <c r="T180" s="233"/>
      <c r="U180" s="233"/>
      <c r="V180" s="233"/>
      <c r="W180" s="233"/>
      <c r="X180" s="234"/>
      <c r="Y180" s="234"/>
      <c r="Z180" s="234"/>
      <c r="AA180" s="234"/>
      <c r="AB180" s="234"/>
      <c r="AC180" s="233"/>
      <c r="AD180" s="365"/>
      <c r="AE180" s="366"/>
      <c r="AF180" s="233"/>
      <c r="AG180" s="233"/>
      <c r="AH180" s="623"/>
      <c r="AI180" s="670"/>
    </row>
    <row r="181" spans="1:35" s="37" customFormat="1" ht="24" customHeight="1">
      <c r="A181" s="36"/>
      <c r="B181" s="36"/>
      <c r="C181" s="134"/>
      <c r="D181" s="135"/>
      <c r="E181" s="124"/>
      <c r="F181" s="289"/>
      <c r="G181" s="125"/>
      <c r="H181" s="141"/>
      <c r="I181" s="111" t="str">
        <f t="shared" si="8"/>
        <v/>
      </c>
      <c r="J181" s="67"/>
      <c r="K181" s="68"/>
      <c r="L181" s="69"/>
      <c r="M181" s="752"/>
      <c r="N181" s="753"/>
      <c r="O181" s="747"/>
      <c r="P181" s="232"/>
      <c r="Q181" s="233"/>
      <c r="R181" s="233"/>
      <c r="S181" s="233"/>
      <c r="T181" s="233"/>
      <c r="U181" s="233"/>
      <c r="V181" s="233"/>
      <c r="W181" s="233"/>
      <c r="X181" s="234"/>
      <c r="Y181" s="234"/>
      <c r="Z181" s="234"/>
      <c r="AA181" s="234"/>
      <c r="AB181" s="234"/>
      <c r="AC181" s="233"/>
      <c r="AD181" s="365"/>
      <c r="AE181" s="366"/>
      <c r="AF181" s="233"/>
      <c r="AG181" s="233"/>
      <c r="AH181" s="623"/>
      <c r="AI181" s="670"/>
    </row>
    <row r="182" spans="1:35" s="37" customFormat="1" ht="24" customHeight="1">
      <c r="A182" s="36"/>
      <c r="B182" s="36"/>
      <c r="C182" s="134"/>
      <c r="D182" s="135"/>
      <c r="E182" s="124"/>
      <c r="F182" s="289"/>
      <c r="G182" s="125"/>
      <c r="H182" s="141"/>
      <c r="I182" s="111" t="str">
        <f t="shared" si="8"/>
        <v/>
      </c>
      <c r="J182" s="67"/>
      <c r="K182" s="68"/>
      <c r="L182" s="69"/>
      <c r="M182" s="752"/>
      <c r="N182" s="753"/>
      <c r="O182" s="747"/>
      <c r="P182" s="232"/>
      <c r="Q182" s="233"/>
      <c r="R182" s="233"/>
      <c r="S182" s="233"/>
      <c r="T182" s="233"/>
      <c r="U182" s="233"/>
      <c r="V182" s="233"/>
      <c r="W182" s="233"/>
      <c r="X182" s="234"/>
      <c r="Y182" s="234"/>
      <c r="Z182" s="234"/>
      <c r="AA182" s="234"/>
      <c r="AB182" s="234"/>
      <c r="AC182" s="233"/>
      <c r="AD182" s="365"/>
      <c r="AE182" s="366"/>
      <c r="AF182" s="233"/>
      <c r="AG182" s="233"/>
      <c r="AH182" s="623"/>
      <c r="AI182" s="670"/>
    </row>
    <row r="183" spans="1:35" s="37" customFormat="1" ht="24" customHeight="1">
      <c r="A183" s="36"/>
      <c r="B183" s="36"/>
      <c r="C183" s="134"/>
      <c r="D183" s="135"/>
      <c r="E183" s="124"/>
      <c r="F183" s="289"/>
      <c r="G183" s="125"/>
      <c r="H183" s="141"/>
      <c r="I183" s="111" t="str">
        <f t="shared" si="8"/>
        <v/>
      </c>
      <c r="J183" s="67"/>
      <c r="K183" s="68"/>
      <c r="L183" s="69"/>
      <c r="M183" s="752"/>
      <c r="N183" s="753"/>
      <c r="O183" s="747"/>
      <c r="P183" s="232"/>
      <c r="Q183" s="233"/>
      <c r="R183" s="233"/>
      <c r="S183" s="233"/>
      <c r="T183" s="233"/>
      <c r="U183" s="233"/>
      <c r="V183" s="233"/>
      <c r="W183" s="233"/>
      <c r="X183" s="234"/>
      <c r="Y183" s="234"/>
      <c r="Z183" s="234"/>
      <c r="AA183" s="234"/>
      <c r="AB183" s="234"/>
      <c r="AC183" s="233"/>
      <c r="AD183" s="365"/>
      <c r="AE183" s="366"/>
      <c r="AF183" s="233"/>
      <c r="AG183" s="233"/>
      <c r="AH183" s="623"/>
      <c r="AI183" s="670"/>
    </row>
    <row r="184" spans="1:35" s="37" customFormat="1" ht="24" customHeight="1">
      <c r="A184" s="36"/>
      <c r="B184" s="36"/>
      <c r="C184" s="134"/>
      <c r="D184" s="135"/>
      <c r="E184" s="124"/>
      <c r="F184" s="289"/>
      <c r="G184" s="125"/>
      <c r="H184" s="141"/>
      <c r="I184" s="111" t="str">
        <f t="shared" si="8"/>
        <v/>
      </c>
      <c r="J184" s="67"/>
      <c r="K184" s="68"/>
      <c r="L184" s="69"/>
      <c r="M184" s="752"/>
      <c r="N184" s="753"/>
      <c r="O184" s="747"/>
      <c r="P184" s="232"/>
      <c r="Q184" s="233"/>
      <c r="R184" s="233"/>
      <c r="S184" s="233"/>
      <c r="T184" s="233"/>
      <c r="U184" s="233"/>
      <c r="V184" s="233"/>
      <c r="W184" s="233"/>
      <c r="X184" s="234"/>
      <c r="Y184" s="234"/>
      <c r="Z184" s="234"/>
      <c r="AA184" s="234"/>
      <c r="AB184" s="234"/>
      <c r="AC184" s="233"/>
      <c r="AD184" s="365"/>
      <c r="AE184" s="366"/>
      <c r="AF184" s="233"/>
      <c r="AG184" s="233"/>
      <c r="AH184" s="623"/>
      <c r="AI184" s="670"/>
    </row>
    <row r="185" spans="1:35" ht="24" customHeight="1" thickBot="1">
      <c r="A185" s="36"/>
      <c r="B185" s="36"/>
      <c r="C185" s="113"/>
      <c r="D185" s="99" t="s">
        <v>9</v>
      </c>
      <c r="E185" s="114"/>
      <c r="F185" s="290"/>
      <c r="G185" s="127"/>
      <c r="H185" s="137" t="s">
        <v>90</v>
      </c>
      <c r="I185" s="115">
        <f>SUM(I167:I184)+I162</f>
        <v>1283860</v>
      </c>
      <c r="J185" s="740" t="str">
        <f>IF(C166="部分撤去工事","）うち費用",")")</f>
        <v>）うち費用</v>
      </c>
      <c r="K185" s="742">
        <f>IF(C166="部分撤去工事",(K162+L185),0)</f>
        <v>1283385</v>
      </c>
      <c r="L185" s="741">
        <f>IF(C166="部分撤去工事",SUMIF(N167:N184,"費用",I167:I184),0)</f>
        <v>196000</v>
      </c>
      <c r="M185" s="754"/>
      <c r="N185" s="755"/>
      <c r="O185" s="747"/>
      <c r="P185" s="232"/>
      <c r="Q185" s="233"/>
      <c r="R185" s="233"/>
      <c r="S185" s="233"/>
      <c r="T185" s="233"/>
      <c r="U185" s="233"/>
      <c r="V185" s="233"/>
      <c r="W185" s="233"/>
      <c r="X185" s="234"/>
      <c r="Y185" s="234"/>
      <c r="Z185" s="234"/>
      <c r="AA185" s="234"/>
      <c r="AB185" s="234"/>
      <c r="AC185" s="233"/>
      <c r="AD185" s="365"/>
      <c r="AE185" s="366"/>
      <c r="AF185" s="233"/>
      <c r="AG185" s="233"/>
      <c r="AH185" s="233"/>
      <c r="AI185" s="670"/>
    </row>
    <row r="186" spans="1:35" ht="14.25" customHeight="1">
      <c r="E186" s="130" t="s">
        <v>68</v>
      </c>
      <c r="F186" s="131">
        <f>+F163+1</f>
        <v>11</v>
      </c>
      <c r="G186" s="132" t="s">
        <v>69</v>
      </c>
      <c r="H186" s="133">
        <f>+H163</f>
        <v>11</v>
      </c>
      <c r="I186" s="133"/>
      <c r="M186" s="748" t="str">
        <f>IF(A188="","EOL","")</f>
        <v>EOL</v>
      </c>
      <c r="N186" s="1">
        <f>+F186</f>
        <v>11</v>
      </c>
      <c r="Q186" s="37"/>
      <c r="R186" s="37"/>
      <c r="S186" s="37"/>
      <c r="T186" s="37"/>
      <c r="U186" s="37"/>
      <c r="V186" s="37"/>
      <c r="W186" s="37"/>
      <c r="X186" s="37"/>
      <c r="Y186" s="37"/>
      <c r="Z186" s="37"/>
    </row>
    <row r="187" spans="1:35" ht="26.1" customHeight="1">
      <c r="K187" s="2151"/>
    </row>
    <row r="188" spans="1:35" ht="26.1" customHeight="1">
      <c r="D188" s="287"/>
    </row>
    <row r="190" spans="1:35" ht="26.1" customHeight="1">
      <c r="D190" s="287"/>
    </row>
    <row r="191" spans="1:35" ht="26.1" customHeight="1">
      <c r="D191" s="287"/>
    </row>
    <row r="193" spans="1:35" ht="26.1" customHeight="1">
      <c r="D193" s="287"/>
    </row>
    <row r="194" spans="1:35" ht="26.1" customHeight="1">
      <c r="D194" s="287"/>
    </row>
    <row r="203" spans="1:35" ht="26.1" customHeight="1">
      <c r="A203" s="1"/>
      <c r="B203" s="1"/>
      <c r="E203" s="1"/>
      <c r="I203" s="1"/>
      <c r="O203" s="1"/>
      <c r="P203" s="1"/>
      <c r="AI203" s="1"/>
    </row>
    <row r="207" spans="1:35" ht="26.1" customHeight="1">
      <c r="A207" s="1"/>
      <c r="B207" s="1"/>
      <c r="E207" s="1"/>
      <c r="F207" s="131"/>
      <c r="G207" s="132"/>
      <c r="H207" s="133"/>
      <c r="I207" s="133"/>
      <c r="O207" s="1"/>
      <c r="P207" s="1"/>
      <c r="AI207" s="1"/>
    </row>
  </sheetData>
  <mergeCells count="35">
    <mergeCell ref="O118:AH118"/>
    <mergeCell ref="J119:L119"/>
    <mergeCell ref="O95:AH95"/>
    <mergeCell ref="C72:L72"/>
    <mergeCell ref="O72:AH72"/>
    <mergeCell ref="J73:L73"/>
    <mergeCell ref="J74:L74"/>
    <mergeCell ref="J51:L51"/>
    <mergeCell ref="J120:L120"/>
    <mergeCell ref="C118:L118"/>
    <mergeCell ref="C95:L95"/>
    <mergeCell ref="J100:L100"/>
    <mergeCell ref="J102:L102"/>
    <mergeCell ref="J104:L104"/>
    <mergeCell ref="J105:L105"/>
    <mergeCell ref="J96:L96"/>
    <mergeCell ref="J97:L97"/>
    <mergeCell ref="C49:L49"/>
    <mergeCell ref="O49:AH49"/>
    <mergeCell ref="J50:L50"/>
    <mergeCell ref="J5:L5"/>
    <mergeCell ref="C3:L3"/>
    <mergeCell ref="C26:L26"/>
    <mergeCell ref="J4:L4"/>
    <mergeCell ref="O3:AH3"/>
    <mergeCell ref="O26:AH26"/>
    <mergeCell ref="J165:L165"/>
    <mergeCell ref="J166:L166"/>
    <mergeCell ref="J148:L148"/>
    <mergeCell ref="C141:L141"/>
    <mergeCell ref="O141:AH141"/>
    <mergeCell ref="J142:L142"/>
    <mergeCell ref="J143:L143"/>
    <mergeCell ref="C164:L164"/>
    <mergeCell ref="O164:AH164"/>
  </mergeCells>
  <phoneticPr fontId="3"/>
  <dataValidations count="1">
    <dataValidation type="list" allowBlank="1" showInputMessage="1" showErrorMessage="1" prompt="費用/建物附属設備/工具・器具・備品の場合、選択してください。" sqref="N75:N92 N121:N138 N98:N115 N144:N161 N167:N184">
      <formula1>"【費用分類】,費用,　,【資産区分】,＜建物附属設備＞,エヤーカーテンまたはドアー自動開閉設備,アーケード又は日よけ設備（金属製）,アーケード又は日よけ設備（その他）,店舗用簡易設備,可動間仕切り-簡易なもの,可動間仕切り-その他,シャッター等（金属製）,シャッター等（その他）,　,＜工具・器具・備品＞,電照サイン（金属製）,非電照サイン（金属製）,電照広告（金属製）,非電照広告（金属製）,電気設備,非電照サイン（その他）,非電照広告（その他）,無人駐車管理装置,その他（金属製）,その他（その他）"</formula1>
    </dataValidation>
  </dataValidations>
  <printOptions horizontalCentered="1" verticalCentered="1"/>
  <pageMargins left="0.196850393700787" right="0.196850393700787" top="0.78740157480314998" bottom="0.196850393700787" header="0.511811023622047" footer="0.511811023622047"/>
  <pageSetup paperSize="9" orientation="landscape" r:id="rId1"/>
  <headerFooter alignWithMargins="0"/>
  <rowBreaks count="1" manualBreakCount="1">
    <brk id="2" max="16383" man="1"/>
  </rowBreaks>
  <colBreaks count="1" manualBreakCount="1">
    <brk id="12" max="1048575" man="1"/>
  </col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C48"/>
  <sheetViews>
    <sheetView topLeftCell="A3" zoomScale="75" zoomScaleNormal="75" workbookViewId="0">
      <selection activeCell="D8" sqref="D8"/>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4" width="3.625" style="1" customWidth="1"/>
    <col min="15" max="33" width="5.25" style="37" customWidth="1"/>
    <col min="34" max="35" width="5.375" style="1" customWidth="1"/>
    <col min="36" max="36" width="5.25" style="1" customWidth="1"/>
    <col min="37" max="47" width="4.25" style="1" customWidth="1"/>
    <col min="48" max="54" width="4.375" style="1" customWidth="1"/>
    <col min="55" max="55" width="4.25" style="1" customWidth="1"/>
    <col min="56" max="16384" width="6.625" style="1"/>
  </cols>
  <sheetData>
    <row r="1" spans="1:55" ht="25.5" hidden="1" customHeight="1"/>
    <row r="2" spans="1:55" ht="24" hidden="1" customHeight="1">
      <c r="C2" s="35"/>
      <c r="E2" s="34" t="s">
        <v>70</v>
      </c>
      <c r="F2" s="86">
        <v>0</v>
      </c>
      <c r="G2" s="1"/>
      <c r="I2" s="4" t="s">
        <v>76</v>
      </c>
      <c r="J2" s="37">
        <f>VLOOKUP("EOL",$M$25:$N$65536,2,FALSE)</f>
        <v>2</v>
      </c>
    </row>
    <row r="3" spans="1:55" ht="26.1" customHeight="1" thickBot="1">
      <c r="C3" s="2169" t="s">
        <v>343</v>
      </c>
      <c r="D3" s="2169"/>
      <c r="E3" s="2169"/>
      <c r="F3" s="2169"/>
      <c r="G3" s="2169"/>
      <c r="H3" s="2169"/>
      <c r="I3" s="2169"/>
      <c r="J3" s="2169"/>
      <c r="K3" s="2169"/>
      <c r="L3" s="2169"/>
      <c r="O3" s="2232" t="s">
        <v>155</v>
      </c>
      <c r="P3" s="2232"/>
      <c r="Q3" s="2232"/>
      <c r="R3" s="2232"/>
      <c r="S3" s="2232"/>
      <c r="T3" s="2232"/>
      <c r="U3" s="2232"/>
      <c r="V3" s="2232"/>
      <c r="W3" s="2232"/>
      <c r="X3" s="2232"/>
      <c r="Y3" s="2232"/>
      <c r="Z3" s="2232"/>
      <c r="AA3" s="2232"/>
      <c r="AB3" s="2232"/>
      <c r="AC3" s="2232"/>
      <c r="AD3" s="2232"/>
      <c r="AE3" s="2232"/>
      <c r="AF3" s="2232"/>
      <c r="AG3" s="2232"/>
      <c r="AH3" s="2233"/>
      <c r="AI3" s="621"/>
    </row>
    <row r="4" spans="1:55" ht="42" customHeight="1">
      <c r="A4" s="5" t="s">
        <v>176</v>
      </c>
      <c r="B4" s="5" t="s">
        <v>10</v>
      </c>
      <c r="C4" s="120" t="s">
        <v>0</v>
      </c>
      <c r="D4" s="116"/>
      <c r="E4" s="117" t="s">
        <v>1</v>
      </c>
      <c r="F4" s="118" t="s">
        <v>2</v>
      </c>
      <c r="G4" s="118" t="s">
        <v>3</v>
      </c>
      <c r="H4" s="119" t="s">
        <v>4</v>
      </c>
      <c r="I4" s="119" t="s">
        <v>5</v>
      </c>
      <c r="J4" s="2172" t="s">
        <v>6</v>
      </c>
      <c r="K4" s="2173"/>
      <c r="L4" s="2174"/>
      <c r="O4" s="165" t="s">
        <v>87</v>
      </c>
      <c r="P4" s="359" t="s">
        <v>267</v>
      </c>
      <c r="Q4" s="291" t="s">
        <v>282</v>
      </c>
      <c r="R4" s="291" t="s">
        <v>229</v>
      </c>
      <c r="S4" s="291" t="s">
        <v>230</v>
      </c>
      <c r="T4" s="291" t="s">
        <v>245</v>
      </c>
      <c r="U4" s="291" t="s">
        <v>149</v>
      </c>
      <c r="V4" s="164" t="s">
        <v>148</v>
      </c>
      <c r="W4" s="291" t="s">
        <v>231</v>
      </c>
      <c r="X4" s="224" t="s">
        <v>232</v>
      </c>
      <c r="Y4" s="224" t="s">
        <v>233</v>
      </c>
      <c r="Z4" s="224" t="s">
        <v>234</v>
      </c>
      <c r="AA4" s="224" t="s">
        <v>235</v>
      </c>
      <c r="AB4" s="224" t="s">
        <v>277</v>
      </c>
      <c r="AC4" s="362" t="s">
        <v>286</v>
      </c>
      <c r="AD4" s="363" t="s">
        <v>287</v>
      </c>
      <c r="AE4" s="364" t="s">
        <v>151</v>
      </c>
      <c r="AF4" s="163" t="s">
        <v>154</v>
      </c>
      <c r="AG4" s="163" t="s">
        <v>152</v>
      </c>
      <c r="AH4" s="163" t="s">
        <v>153</v>
      </c>
      <c r="AI4" s="622" t="s">
        <v>2099</v>
      </c>
    </row>
    <row r="5" spans="1:55" ht="24" customHeight="1">
      <c r="A5" s="240">
        <v>1</v>
      </c>
      <c r="B5" s="240">
        <v>1</v>
      </c>
      <c r="C5" s="138" t="s">
        <v>202</v>
      </c>
      <c r="D5" s="210" t="s">
        <v>179</v>
      </c>
      <c r="E5" s="211" t="s">
        <v>179</v>
      </c>
      <c r="F5" s="212" t="s">
        <v>179</v>
      </c>
      <c r="G5" s="213" t="s">
        <v>179</v>
      </c>
      <c r="H5" s="87" t="s">
        <v>12</v>
      </c>
      <c r="I5" s="98" t="s">
        <v>12</v>
      </c>
      <c r="J5" s="2234"/>
      <c r="K5" s="2235"/>
      <c r="L5" s="2236"/>
      <c r="M5" s="37"/>
      <c r="N5" s="37"/>
      <c r="O5" s="231"/>
      <c r="P5" s="232"/>
      <c r="Q5" s="233"/>
      <c r="R5" s="233"/>
      <c r="S5" s="233"/>
      <c r="T5" s="233"/>
      <c r="U5" s="233"/>
      <c r="V5" s="233"/>
      <c r="W5" s="233"/>
      <c r="X5" s="234"/>
      <c r="Y5" s="234"/>
      <c r="Z5" s="234"/>
      <c r="AA5" s="234"/>
      <c r="AB5" s="234"/>
      <c r="AC5" s="233"/>
      <c r="AD5" s="365"/>
      <c r="AE5" s="366"/>
      <c r="AF5" s="233"/>
      <c r="AG5" s="233"/>
      <c r="AH5" s="367"/>
      <c r="AI5" s="624"/>
    </row>
    <row r="6" spans="1:55" ht="24" customHeight="1">
      <c r="A6" s="36"/>
      <c r="B6" s="36"/>
      <c r="C6" s="194"/>
      <c r="D6" s="68"/>
      <c r="E6" s="109"/>
      <c r="F6" s="124"/>
      <c r="G6" s="125"/>
      <c r="H6" s="111"/>
      <c r="I6" s="111" t="str">
        <f t="shared" ref="I6:I23" si="0">IF(F6="","",ROUNDDOWN(F6*H6,0))</f>
        <v/>
      </c>
      <c r="J6" s="68"/>
      <c r="K6" s="68"/>
      <c r="L6" s="69"/>
      <c r="M6" s="37"/>
      <c r="N6" s="37"/>
      <c r="O6" s="231"/>
      <c r="P6" s="232"/>
      <c r="Q6" s="233"/>
      <c r="R6" s="233"/>
      <c r="S6" s="233"/>
      <c r="T6" s="233"/>
      <c r="U6" s="233"/>
      <c r="V6" s="233"/>
      <c r="W6" s="233"/>
      <c r="X6" s="234"/>
      <c r="Y6" s="234"/>
      <c r="Z6" s="234"/>
      <c r="AA6" s="234"/>
      <c r="AB6" s="234"/>
      <c r="AC6" s="233"/>
      <c r="AD6" s="365"/>
      <c r="AE6" s="366"/>
      <c r="AF6" s="233"/>
      <c r="AG6" s="233"/>
      <c r="AH6" s="214"/>
      <c r="AI6" s="624"/>
      <c r="AJ6" s="206">
        <f t="shared" ref="AJ6:BC6" si="1">$F6*O6</f>
        <v>0</v>
      </c>
      <c r="AK6" s="206">
        <f t="shared" si="1"/>
        <v>0</v>
      </c>
      <c r="AL6" s="206">
        <f t="shared" si="1"/>
        <v>0</v>
      </c>
      <c r="AM6" s="206">
        <f t="shared" si="1"/>
        <v>0</v>
      </c>
      <c r="AN6" s="206">
        <f t="shared" si="1"/>
        <v>0</v>
      </c>
      <c r="AO6" s="206">
        <f t="shared" si="1"/>
        <v>0</v>
      </c>
      <c r="AP6" s="206">
        <f t="shared" si="1"/>
        <v>0</v>
      </c>
      <c r="AQ6" s="206">
        <f t="shared" si="1"/>
        <v>0</v>
      </c>
      <c r="AR6" s="206">
        <f t="shared" si="1"/>
        <v>0</v>
      </c>
      <c r="AS6" s="206">
        <f t="shared" si="1"/>
        <v>0</v>
      </c>
      <c r="AT6" s="206">
        <f t="shared" si="1"/>
        <v>0</v>
      </c>
      <c r="AU6" s="206">
        <f t="shared" si="1"/>
        <v>0</v>
      </c>
      <c r="AV6" s="206">
        <f t="shared" si="1"/>
        <v>0</v>
      </c>
      <c r="AW6" s="206">
        <f t="shared" si="1"/>
        <v>0</v>
      </c>
      <c r="AX6" s="206">
        <f t="shared" si="1"/>
        <v>0</v>
      </c>
      <c r="AY6" s="206">
        <f t="shared" si="1"/>
        <v>0</v>
      </c>
      <c r="AZ6" s="206">
        <f t="shared" si="1"/>
        <v>0</v>
      </c>
      <c r="BA6" s="206">
        <f t="shared" si="1"/>
        <v>0</v>
      </c>
      <c r="BB6" s="206">
        <f t="shared" si="1"/>
        <v>0</v>
      </c>
      <c r="BC6" s="206">
        <f t="shared" si="1"/>
        <v>0</v>
      </c>
    </row>
    <row r="7" spans="1:55" ht="24" customHeight="1">
      <c r="A7" s="36">
        <v>1</v>
      </c>
      <c r="B7" s="36">
        <v>1</v>
      </c>
      <c r="C7" s="112"/>
      <c r="D7" s="68"/>
      <c r="E7" s="109"/>
      <c r="F7" s="124"/>
      <c r="G7" s="125"/>
      <c r="H7" s="111"/>
      <c r="I7" s="111" t="str">
        <f t="shared" si="0"/>
        <v/>
      </c>
      <c r="J7" s="68"/>
      <c r="K7" s="68"/>
      <c r="L7" s="69"/>
      <c r="M7" s="37"/>
      <c r="N7" s="37"/>
      <c r="O7" s="231"/>
      <c r="P7" s="232"/>
      <c r="Q7" s="233"/>
      <c r="R7" s="233"/>
      <c r="S7" s="233"/>
      <c r="T7" s="233"/>
      <c r="U7" s="233"/>
      <c r="V7" s="233"/>
      <c r="W7" s="233"/>
      <c r="X7" s="234"/>
      <c r="Y7" s="234"/>
      <c r="Z7" s="234"/>
      <c r="AA7" s="234"/>
      <c r="AB7" s="234"/>
      <c r="AC7" s="233"/>
      <c r="AD7" s="365"/>
      <c r="AE7" s="366"/>
      <c r="AF7" s="233"/>
      <c r="AG7" s="233"/>
      <c r="AH7" s="214"/>
      <c r="AI7" s="624"/>
      <c r="AJ7" s="206">
        <f t="shared" ref="AJ7:AJ22" si="2">$F7*O7</f>
        <v>0</v>
      </c>
      <c r="AK7" s="206">
        <f t="shared" ref="AK7:AK23" si="3">$F7*P7</f>
        <v>0</v>
      </c>
      <c r="AL7" s="206">
        <f t="shared" ref="AL7:AL23" si="4">$F7*Q7</f>
        <v>0</v>
      </c>
      <c r="AM7" s="206">
        <f t="shared" ref="AM7:AM23" si="5">$F7*R7</f>
        <v>0</v>
      </c>
      <c r="AN7" s="206">
        <f t="shared" ref="AN7:AN23" si="6">$F7*S7</f>
        <v>0</v>
      </c>
      <c r="AO7" s="206">
        <f t="shared" ref="AO7:AO23" si="7">$F7*T7</f>
        <v>0</v>
      </c>
      <c r="AP7" s="206">
        <f t="shared" ref="AP7:AP23" si="8">$F7*U7</f>
        <v>0</v>
      </c>
      <c r="AQ7" s="206">
        <f t="shared" ref="AQ7:AQ23" si="9">$F7*V7</f>
        <v>0</v>
      </c>
      <c r="AR7" s="206">
        <f t="shared" ref="AR7:AR23" si="10">$F7*W7</f>
        <v>0</v>
      </c>
      <c r="AS7" s="206">
        <f t="shared" ref="AS7:AS23" si="11">$F7*X7</f>
        <v>0</v>
      </c>
      <c r="AT7" s="206">
        <f t="shared" ref="AT7:AT23" si="12">$F7*Y7</f>
        <v>0</v>
      </c>
      <c r="AU7" s="206">
        <f t="shared" ref="AU7:AU23" si="13">$F7*Z7</f>
        <v>0</v>
      </c>
      <c r="AV7" s="206">
        <f t="shared" ref="AV7:AV23" si="14">$F7*AA7</f>
        <v>0</v>
      </c>
      <c r="AW7" s="206">
        <f t="shared" ref="AW7:AW23" si="15">$F7*AB7</f>
        <v>0</v>
      </c>
      <c r="AX7" s="206">
        <f t="shared" ref="AX7:AX23" si="16">$F7*AC7</f>
        <v>0</v>
      </c>
      <c r="AY7" s="206">
        <f t="shared" ref="AY7:AY23" si="17">$F7*AD7</f>
        <v>0</v>
      </c>
      <c r="AZ7" s="206">
        <f t="shared" ref="AZ7:AZ23" si="18">$F7*AE7</f>
        <v>0</v>
      </c>
      <c r="BA7" s="206">
        <f t="shared" ref="BA7:BA23" si="19">$F7*AF7</f>
        <v>0</v>
      </c>
      <c r="BB7" s="206">
        <f t="shared" ref="BB7:BC22" si="20">$F7*AG7</f>
        <v>0</v>
      </c>
      <c r="BC7" s="206">
        <f t="shared" si="20"/>
        <v>0</v>
      </c>
    </row>
    <row r="8" spans="1:55" ht="24" customHeight="1">
      <c r="A8" s="36"/>
      <c r="B8" s="36"/>
      <c r="C8" s="112"/>
      <c r="D8" s="68"/>
      <c r="E8" s="109"/>
      <c r="F8" s="124"/>
      <c r="G8" s="125"/>
      <c r="H8" s="111"/>
      <c r="I8" s="111" t="str">
        <f t="shared" si="0"/>
        <v/>
      </c>
      <c r="J8" s="68"/>
      <c r="K8" s="68"/>
      <c r="L8" s="69"/>
      <c r="M8" s="37"/>
      <c r="N8" s="37"/>
      <c r="O8" s="231"/>
      <c r="P8" s="232"/>
      <c r="Q8" s="233"/>
      <c r="R8" s="233"/>
      <c r="S8" s="233"/>
      <c r="T8" s="233"/>
      <c r="U8" s="233"/>
      <c r="V8" s="233"/>
      <c r="W8" s="233"/>
      <c r="X8" s="234"/>
      <c r="Y8" s="234"/>
      <c r="Z8" s="234"/>
      <c r="AA8" s="234"/>
      <c r="AB8" s="234"/>
      <c r="AC8" s="233"/>
      <c r="AD8" s="365"/>
      <c r="AE8" s="366"/>
      <c r="AF8" s="233"/>
      <c r="AG8" s="233"/>
      <c r="AH8" s="214"/>
      <c r="AI8" s="624"/>
      <c r="AJ8" s="206">
        <f t="shared" si="2"/>
        <v>0</v>
      </c>
      <c r="AK8" s="206">
        <f t="shared" si="3"/>
        <v>0</v>
      </c>
      <c r="AL8" s="206">
        <f t="shared" si="4"/>
        <v>0</v>
      </c>
      <c r="AM8" s="206">
        <f t="shared" si="5"/>
        <v>0</v>
      </c>
      <c r="AN8" s="206">
        <f t="shared" si="6"/>
        <v>0</v>
      </c>
      <c r="AO8" s="206">
        <f t="shared" si="7"/>
        <v>0</v>
      </c>
      <c r="AP8" s="206">
        <f t="shared" si="8"/>
        <v>0</v>
      </c>
      <c r="AQ8" s="206">
        <f t="shared" si="9"/>
        <v>0</v>
      </c>
      <c r="AR8" s="206">
        <f t="shared" si="10"/>
        <v>0</v>
      </c>
      <c r="AS8" s="206">
        <f t="shared" si="11"/>
        <v>0</v>
      </c>
      <c r="AT8" s="206">
        <f t="shared" si="12"/>
        <v>0</v>
      </c>
      <c r="AU8" s="206">
        <f t="shared" si="13"/>
        <v>0</v>
      </c>
      <c r="AV8" s="206">
        <f t="shared" si="14"/>
        <v>0</v>
      </c>
      <c r="AW8" s="206">
        <f t="shared" si="15"/>
        <v>0</v>
      </c>
      <c r="AX8" s="206">
        <f t="shared" si="16"/>
        <v>0</v>
      </c>
      <c r="AY8" s="206">
        <f t="shared" si="17"/>
        <v>0</v>
      </c>
      <c r="AZ8" s="206">
        <f t="shared" si="18"/>
        <v>0</v>
      </c>
      <c r="BA8" s="206">
        <f t="shared" si="19"/>
        <v>0</v>
      </c>
      <c r="BB8" s="206">
        <f t="shared" si="20"/>
        <v>0</v>
      </c>
      <c r="BC8" s="206">
        <f t="shared" si="20"/>
        <v>0</v>
      </c>
    </row>
    <row r="9" spans="1:55" ht="24" customHeight="1">
      <c r="A9" s="36"/>
      <c r="B9" s="36"/>
      <c r="C9" s="112"/>
      <c r="D9" s="68"/>
      <c r="E9" s="109"/>
      <c r="F9" s="124"/>
      <c r="G9" s="125"/>
      <c r="H9" s="111"/>
      <c r="I9" s="111" t="str">
        <f t="shared" si="0"/>
        <v/>
      </c>
      <c r="J9" s="68"/>
      <c r="K9" s="68"/>
      <c r="L9" s="69"/>
      <c r="M9" s="37"/>
      <c r="N9" s="37"/>
      <c r="O9" s="231"/>
      <c r="P9" s="232"/>
      <c r="Q9" s="233"/>
      <c r="R9" s="233"/>
      <c r="S9" s="233"/>
      <c r="T9" s="233"/>
      <c r="U9" s="233"/>
      <c r="V9" s="233"/>
      <c r="W9" s="233"/>
      <c r="X9" s="234"/>
      <c r="Y9" s="234"/>
      <c r="Z9" s="234"/>
      <c r="AA9" s="234"/>
      <c r="AB9" s="234"/>
      <c r="AC9" s="233"/>
      <c r="AD9" s="365"/>
      <c r="AE9" s="366"/>
      <c r="AF9" s="233"/>
      <c r="AG9" s="233"/>
      <c r="AH9" s="214"/>
      <c r="AI9" s="624"/>
      <c r="AJ9" s="206">
        <f t="shared" si="2"/>
        <v>0</v>
      </c>
      <c r="AK9" s="206">
        <f t="shared" si="3"/>
        <v>0</v>
      </c>
      <c r="AL9" s="206">
        <f t="shared" si="4"/>
        <v>0</v>
      </c>
      <c r="AM9" s="206">
        <f t="shared" si="5"/>
        <v>0</v>
      </c>
      <c r="AN9" s="206">
        <f t="shared" si="6"/>
        <v>0</v>
      </c>
      <c r="AO9" s="206">
        <f t="shared" si="7"/>
        <v>0</v>
      </c>
      <c r="AP9" s="206">
        <f t="shared" si="8"/>
        <v>0</v>
      </c>
      <c r="AQ9" s="206">
        <f t="shared" si="9"/>
        <v>0</v>
      </c>
      <c r="AR9" s="206">
        <f t="shared" si="10"/>
        <v>0</v>
      </c>
      <c r="AS9" s="206">
        <f t="shared" si="11"/>
        <v>0</v>
      </c>
      <c r="AT9" s="206">
        <f t="shared" si="12"/>
        <v>0</v>
      </c>
      <c r="AU9" s="206">
        <f t="shared" si="13"/>
        <v>0</v>
      </c>
      <c r="AV9" s="206">
        <f t="shared" si="14"/>
        <v>0</v>
      </c>
      <c r="AW9" s="206">
        <f t="shared" si="15"/>
        <v>0</v>
      </c>
      <c r="AX9" s="206">
        <f t="shared" si="16"/>
        <v>0</v>
      </c>
      <c r="AY9" s="206">
        <f t="shared" si="17"/>
        <v>0</v>
      </c>
      <c r="AZ9" s="206">
        <f t="shared" si="18"/>
        <v>0</v>
      </c>
      <c r="BA9" s="206">
        <f t="shared" si="19"/>
        <v>0</v>
      </c>
      <c r="BB9" s="206">
        <f t="shared" si="20"/>
        <v>0</v>
      </c>
      <c r="BC9" s="206">
        <f t="shared" si="20"/>
        <v>0</v>
      </c>
    </row>
    <row r="10" spans="1:55" ht="24" customHeight="1">
      <c r="A10" s="36"/>
      <c r="B10" s="36"/>
      <c r="C10" s="112"/>
      <c r="D10" s="68"/>
      <c r="E10" s="109"/>
      <c r="F10" s="124"/>
      <c r="G10" s="125"/>
      <c r="H10" s="111"/>
      <c r="I10" s="111" t="str">
        <f t="shared" si="0"/>
        <v/>
      </c>
      <c r="J10" s="68"/>
      <c r="K10" s="68"/>
      <c r="L10" s="69"/>
      <c r="M10" s="37"/>
      <c r="N10" s="37"/>
      <c r="O10" s="231"/>
      <c r="P10" s="232"/>
      <c r="Q10" s="233"/>
      <c r="R10" s="233"/>
      <c r="S10" s="233"/>
      <c r="T10" s="233"/>
      <c r="U10" s="233"/>
      <c r="V10" s="233"/>
      <c r="W10" s="233"/>
      <c r="X10" s="234"/>
      <c r="Y10" s="234"/>
      <c r="Z10" s="234"/>
      <c r="AA10" s="234"/>
      <c r="AB10" s="234"/>
      <c r="AC10" s="233"/>
      <c r="AD10" s="365"/>
      <c r="AE10" s="366"/>
      <c r="AF10" s="233"/>
      <c r="AG10" s="233"/>
      <c r="AH10" s="214"/>
      <c r="AI10" s="624"/>
      <c r="AJ10" s="206">
        <f t="shared" si="2"/>
        <v>0</v>
      </c>
      <c r="AK10" s="206">
        <f t="shared" si="3"/>
        <v>0</v>
      </c>
      <c r="AL10" s="206">
        <f t="shared" si="4"/>
        <v>0</v>
      </c>
      <c r="AM10" s="206">
        <f t="shared" si="5"/>
        <v>0</v>
      </c>
      <c r="AN10" s="206">
        <f t="shared" si="6"/>
        <v>0</v>
      </c>
      <c r="AO10" s="206">
        <f t="shared" si="7"/>
        <v>0</v>
      </c>
      <c r="AP10" s="206">
        <f t="shared" si="8"/>
        <v>0</v>
      </c>
      <c r="AQ10" s="206">
        <f t="shared" si="9"/>
        <v>0</v>
      </c>
      <c r="AR10" s="206">
        <f t="shared" si="10"/>
        <v>0</v>
      </c>
      <c r="AS10" s="206">
        <f t="shared" si="11"/>
        <v>0</v>
      </c>
      <c r="AT10" s="206">
        <f t="shared" si="12"/>
        <v>0</v>
      </c>
      <c r="AU10" s="206">
        <f t="shared" si="13"/>
        <v>0</v>
      </c>
      <c r="AV10" s="206">
        <f t="shared" si="14"/>
        <v>0</v>
      </c>
      <c r="AW10" s="206">
        <f t="shared" si="15"/>
        <v>0</v>
      </c>
      <c r="AX10" s="206">
        <f t="shared" si="16"/>
        <v>0</v>
      </c>
      <c r="AY10" s="206">
        <f t="shared" si="17"/>
        <v>0</v>
      </c>
      <c r="AZ10" s="206">
        <f t="shared" si="18"/>
        <v>0</v>
      </c>
      <c r="BA10" s="206">
        <f t="shared" si="19"/>
        <v>0</v>
      </c>
      <c r="BB10" s="206">
        <f t="shared" si="20"/>
        <v>0</v>
      </c>
      <c r="BC10" s="206">
        <f t="shared" si="20"/>
        <v>0</v>
      </c>
    </row>
    <row r="11" spans="1:55" ht="24" customHeight="1">
      <c r="A11" s="36"/>
      <c r="B11" s="36"/>
      <c r="C11" s="112"/>
      <c r="D11" s="68"/>
      <c r="E11" s="109"/>
      <c r="F11" s="124"/>
      <c r="G11" s="125"/>
      <c r="H11" s="111"/>
      <c r="I11" s="111" t="str">
        <f t="shared" si="0"/>
        <v/>
      </c>
      <c r="J11" s="68"/>
      <c r="K11" s="68"/>
      <c r="L11" s="69"/>
      <c r="M11" s="37"/>
      <c r="N11" s="37"/>
      <c r="O11" s="231"/>
      <c r="P11" s="232"/>
      <c r="Q11" s="233"/>
      <c r="R11" s="233"/>
      <c r="S11" s="233"/>
      <c r="T11" s="233"/>
      <c r="U11" s="233"/>
      <c r="V11" s="233"/>
      <c r="W11" s="233"/>
      <c r="X11" s="234"/>
      <c r="Y11" s="234"/>
      <c r="Z11" s="234"/>
      <c r="AA11" s="234"/>
      <c r="AB11" s="234"/>
      <c r="AC11" s="233"/>
      <c r="AD11" s="365"/>
      <c r="AE11" s="366"/>
      <c r="AF11" s="233"/>
      <c r="AG11" s="233"/>
      <c r="AH11" s="214"/>
      <c r="AI11" s="624"/>
      <c r="AJ11" s="206">
        <f t="shared" si="2"/>
        <v>0</v>
      </c>
      <c r="AK11" s="206">
        <f t="shared" si="3"/>
        <v>0</v>
      </c>
      <c r="AL11" s="206">
        <f t="shared" si="4"/>
        <v>0</v>
      </c>
      <c r="AM11" s="206">
        <f t="shared" si="5"/>
        <v>0</v>
      </c>
      <c r="AN11" s="206">
        <f t="shared" si="6"/>
        <v>0</v>
      </c>
      <c r="AO11" s="206">
        <f t="shared" si="7"/>
        <v>0</v>
      </c>
      <c r="AP11" s="206">
        <f t="shared" si="8"/>
        <v>0</v>
      </c>
      <c r="AQ11" s="206">
        <f t="shared" si="9"/>
        <v>0</v>
      </c>
      <c r="AR11" s="206">
        <f t="shared" si="10"/>
        <v>0</v>
      </c>
      <c r="AS11" s="206">
        <f t="shared" si="11"/>
        <v>0</v>
      </c>
      <c r="AT11" s="206">
        <f t="shared" si="12"/>
        <v>0</v>
      </c>
      <c r="AU11" s="206">
        <f t="shared" si="13"/>
        <v>0</v>
      </c>
      <c r="AV11" s="206">
        <f t="shared" si="14"/>
        <v>0</v>
      </c>
      <c r="AW11" s="206">
        <f t="shared" si="15"/>
        <v>0</v>
      </c>
      <c r="AX11" s="206">
        <f t="shared" si="16"/>
        <v>0</v>
      </c>
      <c r="AY11" s="206">
        <f t="shared" si="17"/>
        <v>0</v>
      </c>
      <c r="AZ11" s="206">
        <f t="shared" si="18"/>
        <v>0</v>
      </c>
      <c r="BA11" s="206">
        <f t="shared" si="19"/>
        <v>0</v>
      </c>
      <c r="BB11" s="206">
        <f t="shared" si="20"/>
        <v>0</v>
      </c>
      <c r="BC11" s="206">
        <f t="shared" si="20"/>
        <v>0</v>
      </c>
    </row>
    <row r="12" spans="1:55" s="37" customFormat="1" ht="24" customHeight="1">
      <c r="A12" s="36"/>
      <c r="B12" s="36"/>
      <c r="C12" s="112"/>
      <c r="D12" s="68"/>
      <c r="E12" s="109"/>
      <c r="F12" s="124"/>
      <c r="G12" s="125"/>
      <c r="H12" s="111"/>
      <c r="I12" s="111" t="str">
        <f t="shared" si="0"/>
        <v/>
      </c>
      <c r="J12" s="68"/>
      <c r="K12" s="68"/>
      <c r="L12" s="69"/>
      <c r="O12" s="231"/>
      <c r="P12" s="232"/>
      <c r="Q12" s="233"/>
      <c r="R12" s="233"/>
      <c r="S12" s="233"/>
      <c r="T12" s="233"/>
      <c r="U12" s="233"/>
      <c r="V12" s="233"/>
      <c r="W12" s="233"/>
      <c r="X12" s="234"/>
      <c r="Y12" s="234"/>
      <c r="Z12" s="234"/>
      <c r="AA12" s="234"/>
      <c r="AB12" s="234"/>
      <c r="AC12" s="233"/>
      <c r="AD12" s="365"/>
      <c r="AE12" s="366"/>
      <c r="AF12" s="233"/>
      <c r="AG12" s="233"/>
      <c r="AH12" s="214"/>
      <c r="AI12" s="624"/>
      <c r="AJ12" s="206">
        <f t="shared" si="2"/>
        <v>0</v>
      </c>
      <c r="AK12" s="206">
        <f t="shared" si="3"/>
        <v>0</v>
      </c>
      <c r="AL12" s="206">
        <f t="shared" si="4"/>
        <v>0</v>
      </c>
      <c r="AM12" s="206">
        <f t="shared" si="5"/>
        <v>0</v>
      </c>
      <c r="AN12" s="206">
        <f t="shared" si="6"/>
        <v>0</v>
      </c>
      <c r="AO12" s="206">
        <f t="shared" si="7"/>
        <v>0</v>
      </c>
      <c r="AP12" s="206">
        <f t="shared" si="8"/>
        <v>0</v>
      </c>
      <c r="AQ12" s="206">
        <f t="shared" si="9"/>
        <v>0</v>
      </c>
      <c r="AR12" s="206">
        <f t="shared" si="10"/>
        <v>0</v>
      </c>
      <c r="AS12" s="206">
        <f t="shared" si="11"/>
        <v>0</v>
      </c>
      <c r="AT12" s="206">
        <f t="shared" si="12"/>
        <v>0</v>
      </c>
      <c r="AU12" s="206">
        <f t="shared" si="13"/>
        <v>0</v>
      </c>
      <c r="AV12" s="206">
        <f t="shared" si="14"/>
        <v>0</v>
      </c>
      <c r="AW12" s="206">
        <f t="shared" si="15"/>
        <v>0</v>
      </c>
      <c r="AX12" s="206">
        <f t="shared" si="16"/>
        <v>0</v>
      </c>
      <c r="AY12" s="206">
        <f t="shared" si="17"/>
        <v>0</v>
      </c>
      <c r="AZ12" s="206">
        <f t="shared" si="18"/>
        <v>0</v>
      </c>
      <c r="BA12" s="206">
        <f t="shared" si="19"/>
        <v>0</v>
      </c>
      <c r="BB12" s="206">
        <f t="shared" si="20"/>
        <v>0</v>
      </c>
      <c r="BC12" s="206">
        <f t="shared" si="20"/>
        <v>0</v>
      </c>
    </row>
    <row r="13" spans="1:55" ht="24" customHeight="1">
      <c r="A13" s="36"/>
      <c r="B13" s="36"/>
      <c r="C13" s="112"/>
      <c r="D13" s="68"/>
      <c r="E13" s="109"/>
      <c r="F13" s="124"/>
      <c r="G13" s="125"/>
      <c r="H13" s="111"/>
      <c r="I13" s="111" t="str">
        <f t="shared" si="0"/>
        <v/>
      </c>
      <c r="J13" s="68"/>
      <c r="K13" s="68"/>
      <c r="L13" s="69"/>
      <c r="M13" s="37"/>
      <c r="N13" s="37"/>
      <c r="O13" s="231"/>
      <c r="P13" s="232"/>
      <c r="Q13" s="233"/>
      <c r="R13" s="233"/>
      <c r="S13" s="233"/>
      <c r="T13" s="233"/>
      <c r="U13" s="233"/>
      <c r="V13" s="233"/>
      <c r="W13" s="233"/>
      <c r="X13" s="234"/>
      <c r="Y13" s="234"/>
      <c r="Z13" s="234"/>
      <c r="AA13" s="234"/>
      <c r="AB13" s="234"/>
      <c r="AC13" s="233"/>
      <c r="AD13" s="365"/>
      <c r="AE13" s="366"/>
      <c r="AF13" s="233"/>
      <c r="AG13" s="233"/>
      <c r="AH13" s="214"/>
      <c r="AI13" s="624"/>
      <c r="AJ13" s="206">
        <f t="shared" si="2"/>
        <v>0</v>
      </c>
      <c r="AK13" s="206">
        <f t="shared" si="3"/>
        <v>0</v>
      </c>
      <c r="AL13" s="206">
        <f t="shared" si="4"/>
        <v>0</v>
      </c>
      <c r="AM13" s="206">
        <f t="shared" si="5"/>
        <v>0</v>
      </c>
      <c r="AN13" s="206">
        <f t="shared" si="6"/>
        <v>0</v>
      </c>
      <c r="AO13" s="206">
        <f t="shared" si="7"/>
        <v>0</v>
      </c>
      <c r="AP13" s="206">
        <f t="shared" si="8"/>
        <v>0</v>
      </c>
      <c r="AQ13" s="206">
        <f t="shared" si="9"/>
        <v>0</v>
      </c>
      <c r="AR13" s="206">
        <f t="shared" si="10"/>
        <v>0</v>
      </c>
      <c r="AS13" s="206">
        <f t="shared" si="11"/>
        <v>0</v>
      </c>
      <c r="AT13" s="206">
        <f t="shared" si="12"/>
        <v>0</v>
      </c>
      <c r="AU13" s="206">
        <f t="shared" si="13"/>
        <v>0</v>
      </c>
      <c r="AV13" s="206">
        <f t="shared" si="14"/>
        <v>0</v>
      </c>
      <c r="AW13" s="206">
        <f t="shared" si="15"/>
        <v>0</v>
      </c>
      <c r="AX13" s="206">
        <f t="shared" si="16"/>
        <v>0</v>
      </c>
      <c r="AY13" s="206">
        <f t="shared" si="17"/>
        <v>0</v>
      </c>
      <c r="AZ13" s="206">
        <f t="shared" si="18"/>
        <v>0</v>
      </c>
      <c r="BA13" s="206">
        <f t="shared" si="19"/>
        <v>0</v>
      </c>
      <c r="BB13" s="206">
        <f t="shared" si="20"/>
        <v>0</v>
      </c>
      <c r="BC13" s="206">
        <f t="shared" si="20"/>
        <v>0</v>
      </c>
    </row>
    <row r="14" spans="1:55" ht="24" customHeight="1">
      <c r="A14" s="36"/>
      <c r="B14" s="36"/>
      <c r="C14" s="112"/>
      <c r="D14" s="68"/>
      <c r="E14" s="209"/>
      <c r="F14" s="124"/>
      <c r="G14" s="125"/>
      <c r="H14" s="111"/>
      <c r="I14" s="111" t="str">
        <f t="shared" si="0"/>
        <v/>
      </c>
      <c r="J14" s="68"/>
      <c r="K14" s="68"/>
      <c r="L14" s="69"/>
      <c r="M14" s="37"/>
      <c r="N14" s="37"/>
      <c r="O14" s="231"/>
      <c r="P14" s="232"/>
      <c r="Q14" s="233"/>
      <c r="R14" s="233"/>
      <c r="S14" s="233"/>
      <c r="T14" s="233"/>
      <c r="U14" s="233"/>
      <c r="V14" s="233"/>
      <c r="W14" s="233"/>
      <c r="X14" s="234"/>
      <c r="Y14" s="234"/>
      <c r="Z14" s="234"/>
      <c r="AA14" s="234"/>
      <c r="AB14" s="234"/>
      <c r="AC14" s="233"/>
      <c r="AD14" s="365"/>
      <c r="AE14" s="366"/>
      <c r="AF14" s="233"/>
      <c r="AG14" s="233"/>
      <c r="AH14" s="214"/>
      <c r="AI14" s="624"/>
      <c r="AJ14" s="206">
        <f t="shared" si="2"/>
        <v>0</v>
      </c>
      <c r="AK14" s="206">
        <f t="shared" si="3"/>
        <v>0</v>
      </c>
      <c r="AL14" s="206">
        <f t="shared" si="4"/>
        <v>0</v>
      </c>
      <c r="AM14" s="206">
        <f t="shared" si="5"/>
        <v>0</v>
      </c>
      <c r="AN14" s="206">
        <f t="shared" si="6"/>
        <v>0</v>
      </c>
      <c r="AO14" s="206">
        <f t="shared" si="7"/>
        <v>0</v>
      </c>
      <c r="AP14" s="206">
        <f t="shared" si="8"/>
        <v>0</v>
      </c>
      <c r="AQ14" s="206">
        <f t="shared" si="9"/>
        <v>0</v>
      </c>
      <c r="AR14" s="206">
        <f t="shared" si="10"/>
        <v>0</v>
      </c>
      <c r="AS14" s="206">
        <f t="shared" si="11"/>
        <v>0</v>
      </c>
      <c r="AT14" s="206">
        <f t="shared" si="12"/>
        <v>0</v>
      </c>
      <c r="AU14" s="206">
        <f t="shared" si="13"/>
        <v>0</v>
      </c>
      <c r="AV14" s="206">
        <f t="shared" si="14"/>
        <v>0</v>
      </c>
      <c r="AW14" s="206">
        <f t="shared" si="15"/>
        <v>0</v>
      </c>
      <c r="AX14" s="206">
        <f t="shared" si="16"/>
        <v>0</v>
      </c>
      <c r="AY14" s="206">
        <f t="shared" si="17"/>
        <v>0</v>
      </c>
      <c r="AZ14" s="206">
        <f t="shared" si="18"/>
        <v>0</v>
      </c>
      <c r="BA14" s="206">
        <f t="shared" si="19"/>
        <v>0</v>
      </c>
      <c r="BB14" s="206">
        <f t="shared" si="20"/>
        <v>0</v>
      </c>
      <c r="BC14" s="206">
        <f t="shared" si="20"/>
        <v>0</v>
      </c>
    </row>
    <row r="15" spans="1:55" s="37" customFormat="1" ht="24" customHeight="1">
      <c r="A15" s="36"/>
      <c r="B15" s="36"/>
      <c r="C15" s="112"/>
      <c r="D15" s="68"/>
      <c r="E15" s="109"/>
      <c r="F15" s="124"/>
      <c r="G15" s="125"/>
      <c r="H15" s="111"/>
      <c r="I15" s="111" t="str">
        <f t="shared" si="0"/>
        <v/>
      </c>
      <c r="J15" s="68"/>
      <c r="K15" s="68"/>
      <c r="L15" s="69"/>
      <c r="O15" s="231"/>
      <c r="P15" s="232"/>
      <c r="Q15" s="233"/>
      <c r="R15" s="233"/>
      <c r="S15" s="233"/>
      <c r="T15" s="233"/>
      <c r="U15" s="233"/>
      <c r="V15" s="233"/>
      <c r="W15" s="233"/>
      <c r="X15" s="234"/>
      <c r="Y15" s="234"/>
      <c r="Z15" s="234"/>
      <c r="AA15" s="234"/>
      <c r="AB15" s="234"/>
      <c r="AC15" s="233"/>
      <c r="AD15" s="365"/>
      <c r="AE15" s="366"/>
      <c r="AF15" s="233"/>
      <c r="AG15" s="233"/>
      <c r="AH15" s="214"/>
      <c r="AI15" s="624"/>
      <c r="AJ15" s="206">
        <f t="shared" si="2"/>
        <v>0</v>
      </c>
      <c r="AK15" s="206">
        <f t="shared" si="3"/>
        <v>0</v>
      </c>
      <c r="AL15" s="206">
        <f t="shared" si="4"/>
        <v>0</v>
      </c>
      <c r="AM15" s="206">
        <f t="shared" si="5"/>
        <v>0</v>
      </c>
      <c r="AN15" s="206">
        <f t="shared" si="6"/>
        <v>0</v>
      </c>
      <c r="AO15" s="206">
        <f t="shared" si="7"/>
        <v>0</v>
      </c>
      <c r="AP15" s="206">
        <f t="shared" si="8"/>
        <v>0</v>
      </c>
      <c r="AQ15" s="206">
        <f t="shared" si="9"/>
        <v>0</v>
      </c>
      <c r="AR15" s="206">
        <f t="shared" si="10"/>
        <v>0</v>
      </c>
      <c r="AS15" s="206">
        <f t="shared" si="11"/>
        <v>0</v>
      </c>
      <c r="AT15" s="206">
        <f t="shared" si="12"/>
        <v>0</v>
      </c>
      <c r="AU15" s="206">
        <f t="shared" si="13"/>
        <v>0</v>
      </c>
      <c r="AV15" s="206">
        <f t="shared" si="14"/>
        <v>0</v>
      </c>
      <c r="AW15" s="206">
        <f t="shared" si="15"/>
        <v>0</v>
      </c>
      <c r="AX15" s="206">
        <f t="shared" si="16"/>
        <v>0</v>
      </c>
      <c r="AY15" s="206">
        <f t="shared" si="17"/>
        <v>0</v>
      </c>
      <c r="AZ15" s="206">
        <f t="shared" si="18"/>
        <v>0</v>
      </c>
      <c r="BA15" s="206">
        <f t="shared" si="19"/>
        <v>0</v>
      </c>
      <c r="BB15" s="206">
        <f t="shared" si="20"/>
        <v>0</v>
      </c>
      <c r="BC15" s="206">
        <f t="shared" si="20"/>
        <v>0</v>
      </c>
    </row>
    <row r="16" spans="1:55" ht="24" customHeight="1">
      <c r="A16" s="36"/>
      <c r="B16" s="36"/>
      <c r="C16" s="112"/>
      <c r="D16" s="68"/>
      <c r="E16" s="109"/>
      <c r="F16" s="124"/>
      <c r="G16" s="125"/>
      <c r="H16" s="111"/>
      <c r="I16" s="111" t="str">
        <f t="shared" si="0"/>
        <v/>
      </c>
      <c r="J16" s="68"/>
      <c r="K16" s="68"/>
      <c r="L16" s="69"/>
      <c r="M16" s="37"/>
      <c r="N16" s="37"/>
      <c r="O16" s="231"/>
      <c r="P16" s="232"/>
      <c r="Q16" s="233"/>
      <c r="R16" s="233"/>
      <c r="S16" s="233"/>
      <c r="T16" s="233"/>
      <c r="U16" s="233"/>
      <c r="V16" s="233"/>
      <c r="W16" s="233"/>
      <c r="X16" s="234"/>
      <c r="Y16" s="234"/>
      <c r="Z16" s="234"/>
      <c r="AA16" s="234"/>
      <c r="AB16" s="234"/>
      <c r="AC16" s="233"/>
      <c r="AD16" s="365"/>
      <c r="AE16" s="366"/>
      <c r="AF16" s="233"/>
      <c r="AG16" s="233"/>
      <c r="AH16" s="214"/>
      <c r="AI16" s="624"/>
      <c r="AJ16" s="206">
        <f t="shared" si="2"/>
        <v>0</v>
      </c>
      <c r="AK16" s="206">
        <f t="shared" si="3"/>
        <v>0</v>
      </c>
      <c r="AL16" s="206">
        <f t="shared" si="4"/>
        <v>0</v>
      </c>
      <c r="AM16" s="206">
        <f t="shared" si="5"/>
        <v>0</v>
      </c>
      <c r="AN16" s="206">
        <f t="shared" si="6"/>
        <v>0</v>
      </c>
      <c r="AO16" s="206">
        <f t="shared" si="7"/>
        <v>0</v>
      </c>
      <c r="AP16" s="206">
        <f t="shared" si="8"/>
        <v>0</v>
      </c>
      <c r="AQ16" s="206">
        <f t="shared" si="9"/>
        <v>0</v>
      </c>
      <c r="AR16" s="206">
        <f t="shared" si="10"/>
        <v>0</v>
      </c>
      <c r="AS16" s="206">
        <f t="shared" si="11"/>
        <v>0</v>
      </c>
      <c r="AT16" s="206">
        <f t="shared" si="12"/>
        <v>0</v>
      </c>
      <c r="AU16" s="206">
        <f t="shared" si="13"/>
        <v>0</v>
      </c>
      <c r="AV16" s="206">
        <f t="shared" si="14"/>
        <v>0</v>
      </c>
      <c r="AW16" s="206">
        <f t="shared" si="15"/>
        <v>0</v>
      </c>
      <c r="AX16" s="206">
        <f t="shared" si="16"/>
        <v>0</v>
      </c>
      <c r="AY16" s="206">
        <f t="shared" si="17"/>
        <v>0</v>
      </c>
      <c r="AZ16" s="206">
        <f t="shared" si="18"/>
        <v>0</v>
      </c>
      <c r="BA16" s="206">
        <f t="shared" si="19"/>
        <v>0</v>
      </c>
      <c r="BB16" s="206">
        <f t="shared" si="20"/>
        <v>0</v>
      </c>
      <c r="BC16" s="206">
        <f t="shared" si="20"/>
        <v>0</v>
      </c>
    </row>
    <row r="17" spans="1:55" s="37" customFormat="1" ht="24" customHeight="1">
      <c r="A17" s="36"/>
      <c r="B17" s="36"/>
      <c r="C17" s="112"/>
      <c r="D17" s="68"/>
      <c r="E17" s="109"/>
      <c r="F17" s="124"/>
      <c r="G17" s="125"/>
      <c r="H17" s="111"/>
      <c r="I17" s="111" t="str">
        <f t="shared" si="0"/>
        <v/>
      </c>
      <c r="J17" s="68"/>
      <c r="K17" s="68"/>
      <c r="L17" s="69"/>
      <c r="O17" s="231"/>
      <c r="P17" s="232"/>
      <c r="Q17" s="233"/>
      <c r="R17" s="233"/>
      <c r="S17" s="233"/>
      <c r="T17" s="233"/>
      <c r="U17" s="233"/>
      <c r="V17" s="233"/>
      <c r="W17" s="233"/>
      <c r="X17" s="234"/>
      <c r="Y17" s="234"/>
      <c r="Z17" s="234"/>
      <c r="AA17" s="234"/>
      <c r="AB17" s="234"/>
      <c r="AC17" s="233"/>
      <c r="AD17" s="365"/>
      <c r="AE17" s="366"/>
      <c r="AF17" s="233"/>
      <c r="AG17" s="233"/>
      <c r="AH17" s="214"/>
      <c r="AI17" s="624"/>
      <c r="AJ17" s="206">
        <f t="shared" si="2"/>
        <v>0</v>
      </c>
      <c r="AK17" s="206">
        <f t="shared" si="3"/>
        <v>0</v>
      </c>
      <c r="AL17" s="206">
        <f t="shared" si="4"/>
        <v>0</v>
      </c>
      <c r="AM17" s="206">
        <f t="shared" si="5"/>
        <v>0</v>
      </c>
      <c r="AN17" s="206">
        <f t="shared" si="6"/>
        <v>0</v>
      </c>
      <c r="AO17" s="206">
        <f t="shared" si="7"/>
        <v>0</v>
      </c>
      <c r="AP17" s="206">
        <f t="shared" si="8"/>
        <v>0</v>
      </c>
      <c r="AQ17" s="206">
        <f t="shared" si="9"/>
        <v>0</v>
      </c>
      <c r="AR17" s="206">
        <f t="shared" si="10"/>
        <v>0</v>
      </c>
      <c r="AS17" s="206">
        <f t="shared" si="11"/>
        <v>0</v>
      </c>
      <c r="AT17" s="206">
        <f t="shared" si="12"/>
        <v>0</v>
      </c>
      <c r="AU17" s="206">
        <f t="shared" si="13"/>
        <v>0</v>
      </c>
      <c r="AV17" s="206">
        <f t="shared" si="14"/>
        <v>0</v>
      </c>
      <c r="AW17" s="206">
        <f t="shared" si="15"/>
        <v>0</v>
      </c>
      <c r="AX17" s="206">
        <f t="shared" si="16"/>
        <v>0</v>
      </c>
      <c r="AY17" s="206">
        <f t="shared" si="17"/>
        <v>0</v>
      </c>
      <c r="AZ17" s="206">
        <f t="shared" si="18"/>
        <v>0</v>
      </c>
      <c r="BA17" s="206">
        <f t="shared" si="19"/>
        <v>0</v>
      </c>
      <c r="BB17" s="206">
        <f t="shared" si="20"/>
        <v>0</v>
      </c>
      <c r="BC17" s="206">
        <f t="shared" si="20"/>
        <v>0</v>
      </c>
    </row>
    <row r="18" spans="1:55" ht="24" customHeight="1">
      <c r="A18" s="36"/>
      <c r="B18" s="36"/>
      <c r="C18" s="194"/>
      <c r="D18" s="68"/>
      <c r="E18" s="109"/>
      <c r="F18" s="124"/>
      <c r="G18" s="125"/>
      <c r="H18" s="111"/>
      <c r="I18" s="111" t="str">
        <f t="shared" si="0"/>
        <v/>
      </c>
      <c r="J18" s="68"/>
      <c r="K18" s="68"/>
      <c r="L18" s="69"/>
      <c r="M18" s="37"/>
      <c r="N18" s="37"/>
      <c r="O18" s="231"/>
      <c r="P18" s="232"/>
      <c r="Q18" s="233"/>
      <c r="R18" s="233"/>
      <c r="S18" s="233"/>
      <c r="T18" s="233"/>
      <c r="U18" s="233"/>
      <c r="V18" s="233"/>
      <c r="W18" s="233"/>
      <c r="X18" s="234"/>
      <c r="Y18" s="234"/>
      <c r="Z18" s="234"/>
      <c r="AA18" s="234"/>
      <c r="AB18" s="234"/>
      <c r="AC18" s="233"/>
      <c r="AD18" s="365"/>
      <c r="AE18" s="366"/>
      <c r="AF18" s="233"/>
      <c r="AG18" s="233"/>
      <c r="AH18" s="214"/>
      <c r="AI18" s="624"/>
      <c r="AJ18" s="206">
        <f t="shared" si="2"/>
        <v>0</v>
      </c>
      <c r="AK18" s="206">
        <f t="shared" si="3"/>
        <v>0</v>
      </c>
      <c r="AL18" s="206">
        <f t="shared" si="4"/>
        <v>0</v>
      </c>
      <c r="AM18" s="206">
        <f t="shared" si="5"/>
        <v>0</v>
      </c>
      <c r="AN18" s="206">
        <f t="shared" si="6"/>
        <v>0</v>
      </c>
      <c r="AO18" s="206">
        <f t="shared" si="7"/>
        <v>0</v>
      </c>
      <c r="AP18" s="206">
        <f t="shared" si="8"/>
        <v>0</v>
      </c>
      <c r="AQ18" s="206">
        <f t="shared" si="9"/>
        <v>0</v>
      </c>
      <c r="AR18" s="206">
        <f t="shared" si="10"/>
        <v>0</v>
      </c>
      <c r="AS18" s="206">
        <f t="shared" si="11"/>
        <v>0</v>
      </c>
      <c r="AT18" s="206">
        <f t="shared" si="12"/>
        <v>0</v>
      </c>
      <c r="AU18" s="206">
        <f t="shared" si="13"/>
        <v>0</v>
      </c>
      <c r="AV18" s="206">
        <f t="shared" si="14"/>
        <v>0</v>
      </c>
      <c r="AW18" s="206">
        <f t="shared" si="15"/>
        <v>0</v>
      </c>
      <c r="AX18" s="206">
        <f t="shared" si="16"/>
        <v>0</v>
      </c>
      <c r="AY18" s="206">
        <f t="shared" si="17"/>
        <v>0</v>
      </c>
      <c r="AZ18" s="206">
        <f t="shared" si="18"/>
        <v>0</v>
      </c>
      <c r="BA18" s="206">
        <f t="shared" si="19"/>
        <v>0</v>
      </c>
      <c r="BB18" s="206">
        <f t="shared" si="20"/>
        <v>0</v>
      </c>
      <c r="BC18" s="206">
        <f t="shared" si="20"/>
        <v>0</v>
      </c>
    </row>
    <row r="19" spans="1:55" ht="24" customHeight="1">
      <c r="A19" s="36"/>
      <c r="B19" s="36"/>
      <c r="C19" s="112"/>
      <c r="D19" s="68"/>
      <c r="E19" s="109"/>
      <c r="F19" s="124"/>
      <c r="G19" s="125"/>
      <c r="H19" s="111"/>
      <c r="I19" s="111" t="str">
        <f t="shared" si="0"/>
        <v/>
      </c>
      <c r="J19" s="68"/>
      <c r="K19" s="68"/>
      <c r="L19" s="69"/>
      <c r="M19" s="37"/>
      <c r="N19" s="37"/>
      <c r="O19" s="231"/>
      <c r="P19" s="232"/>
      <c r="Q19" s="233"/>
      <c r="R19" s="233"/>
      <c r="S19" s="233"/>
      <c r="T19" s="233"/>
      <c r="U19" s="233"/>
      <c r="V19" s="233"/>
      <c r="W19" s="233"/>
      <c r="X19" s="234"/>
      <c r="Y19" s="234"/>
      <c r="Z19" s="234"/>
      <c r="AA19" s="234"/>
      <c r="AB19" s="234"/>
      <c r="AC19" s="233"/>
      <c r="AD19" s="365"/>
      <c r="AE19" s="366"/>
      <c r="AF19" s="233"/>
      <c r="AG19" s="233"/>
      <c r="AH19" s="214"/>
      <c r="AI19" s="624"/>
      <c r="AJ19" s="206">
        <f t="shared" si="2"/>
        <v>0</v>
      </c>
      <c r="AK19" s="206">
        <f t="shared" si="3"/>
        <v>0</v>
      </c>
      <c r="AL19" s="206">
        <f t="shared" si="4"/>
        <v>0</v>
      </c>
      <c r="AM19" s="206">
        <f t="shared" si="5"/>
        <v>0</v>
      </c>
      <c r="AN19" s="206">
        <f t="shared" si="6"/>
        <v>0</v>
      </c>
      <c r="AO19" s="206">
        <f t="shared" si="7"/>
        <v>0</v>
      </c>
      <c r="AP19" s="206">
        <f t="shared" si="8"/>
        <v>0</v>
      </c>
      <c r="AQ19" s="206">
        <f t="shared" si="9"/>
        <v>0</v>
      </c>
      <c r="AR19" s="206">
        <f t="shared" si="10"/>
        <v>0</v>
      </c>
      <c r="AS19" s="206">
        <f t="shared" si="11"/>
        <v>0</v>
      </c>
      <c r="AT19" s="206">
        <f t="shared" si="12"/>
        <v>0</v>
      </c>
      <c r="AU19" s="206">
        <f t="shared" si="13"/>
        <v>0</v>
      </c>
      <c r="AV19" s="206">
        <f t="shared" si="14"/>
        <v>0</v>
      </c>
      <c r="AW19" s="206">
        <f t="shared" si="15"/>
        <v>0</v>
      </c>
      <c r="AX19" s="206">
        <f t="shared" si="16"/>
        <v>0</v>
      </c>
      <c r="AY19" s="206">
        <f t="shared" si="17"/>
        <v>0</v>
      </c>
      <c r="AZ19" s="206">
        <f t="shared" si="18"/>
        <v>0</v>
      </c>
      <c r="BA19" s="206">
        <f t="shared" si="19"/>
        <v>0</v>
      </c>
      <c r="BB19" s="206">
        <f t="shared" si="20"/>
        <v>0</v>
      </c>
      <c r="BC19" s="206">
        <f t="shared" si="20"/>
        <v>0</v>
      </c>
    </row>
    <row r="20" spans="1:55" ht="24" customHeight="1">
      <c r="A20" s="36"/>
      <c r="B20" s="36"/>
      <c r="C20" s="112"/>
      <c r="D20" s="68"/>
      <c r="E20" s="109"/>
      <c r="F20" s="124"/>
      <c r="G20" s="125"/>
      <c r="H20" s="111"/>
      <c r="I20" s="111" t="str">
        <f t="shared" si="0"/>
        <v/>
      </c>
      <c r="J20" s="195"/>
      <c r="K20" s="68"/>
      <c r="L20" s="69"/>
      <c r="M20" s="37"/>
      <c r="N20" s="37"/>
      <c r="O20" s="231"/>
      <c r="P20" s="232"/>
      <c r="Q20" s="233"/>
      <c r="R20" s="233"/>
      <c r="S20" s="233"/>
      <c r="T20" s="233"/>
      <c r="U20" s="233"/>
      <c r="V20" s="233"/>
      <c r="W20" s="233"/>
      <c r="X20" s="234"/>
      <c r="Y20" s="234"/>
      <c r="Z20" s="234"/>
      <c r="AA20" s="234"/>
      <c r="AB20" s="234"/>
      <c r="AC20" s="233"/>
      <c r="AD20" s="365"/>
      <c r="AE20" s="366"/>
      <c r="AF20" s="233"/>
      <c r="AG20" s="233"/>
      <c r="AH20" s="214"/>
      <c r="AI20" s="624"/>
      <c r="AJ20" s="206">
        <f t="shared" si="2"/>
        <v>0</v>
      </c>
      <c r="AK20" s="206">
        <f t="shared" si="3"/>
        <v>0</v>
      </c>
      <c r="AL20" s="206">
        <f t="shared" si="4"/>
        <v>0</v>
      </c>
      <c r="AM20" s="206">
        <f t="shared" si="5"/>
        <v>0</v>
      </c>
      <c r="AN20" s="206">
        <f t="shared" si="6"/>
        <v>0</v>
      </c>
      <c r="AO20" s="206">
        <f t="shared" si="7"/>
        <v>0</v>
      </c>
      <c r="AP20" s="206">
        <f t="shared" si="8"/>
        <v>0</v>
      </c>
      <c r="AQ20" s="206">
        <f t="shared" si="9"/>
        <v>0</v>
      </c>
      <c r="AR20" s="206">
        <f t="shared" si="10"/>
        <v>0</v>
      </c>
      <c r="AS20" s="206">
        <f t="shared" si="11"/>
        <v>0</v>
      </c>
      <c r="AT20" s="206">
        <f t="shared" si="12"/>
        <v>0</v>
      </c>
      <c r="AU20" s="206">
        <f t="shared" si="13"/>
        <v>0</v>
      </c>
      <c r="AV20" s="206">
        <f t="shared" si="14"/>
        <v>0</v>
      </c>
      <c r="AW20" s="206">
        <f t="shared" si="15"/>
        <v>0</v>
      </c>
      <c r="AX20" s="206">
        <f t="shared" si="16"/>
        <v>0</v>
      </c>
      <c r="AY20" s="206">
        <f t="shared" si="17"/>
        <v>0</v>
      </c>
      <c r="AZ20" s="206">
        <f t="shared" si="18"/>
        <v>0</v>
      </c>
      <c r="BA20" s="206">
        <f t="shared" si="19"/>
        <v>0</v>
      </c>
      <c r="BB20" s="206">
        <f t="shared" si="20"/>
        <v>0</v>
      </c>
      <c r="BC20" s="206">
        <f t="shared" si="20"/>
        <v>0</v>
      </c>
    </row>
    <row r="21" spans="1:55" ht="24" customHeight="1">
      <c r="A21" s="36"/>
      <c r="B21" s="36"/>
      <c r="C21" s="112"/>
      <c r="D21" s="68"/>
      <c r="E21" s="109"/>
      <c r="F21" s="124"/>
      <c r="G21" s="125"/>
      <c r="H21" s="111"/>
      <c r="I21" s="111"/>
      <c r="J21" s="68"/>
      <c r="K21" s="68"/>
      <c r="L21" s="69"/>
      <c r="M21" s="37"/>
      <c r="N21" s="37"/>
      <c r="O21" s="231"/>
      <c r="P21" s="232"/>
      <c r="Q21" s="233"/>
      <c r="R21" s="233"/>
      <c r="S21" s="233"/>
      <c r="T21" s="233"/>
      <c r="U21" s="233"/>
      <c r="V21" s="233"/>
      <c r="W21" s="233"/>
      <c r="X21" s="234"/>
      <c r="Y21" s="234"/>
      <c r="Z21" s="234"/>
      <c r="AA21" s="234"/>
      <c r="AB21" s="234"/>
      <c r="AC21" s="233"/>
      <c r="AD21" s="365"/>
      <c r="AE21" s="366"/>
      <c r="AF21" s="233"/>
      <c r="AG21" s="233"/>
      <c r="AH21" s="214"/>
      <c r="AI21" s="624"/>
      <c r="AJ21" s="206">
        <f t="shared" si="2"/>
        <v>0</v>
      </c>
      <c r="AK21" s="206">
        <f t="shared" si="3"/>
        <v>0</v>
      </c>
      <c r="AL21" s="206">
        <f t="shared" si="4"/>
        <v>0</v>
      </c>
      <c r="AM21" s="206">
        <f t="shared" si="5"/>
        <v>0</v>
      </c>
      <c r="AN21" s="206">
        <f t="shared" si="6"/>
        <v>0</v>
      </c>
      <c r="AO21" s="206">
        <f t="shared" si="7"/>
        <v>0</v>
      </c>
      <c r="AP21" s="206">
        <f t="shared" si="8"/>
        <v>0</v>
      </c>
      <c r="AQ21" s="206">
        <f t="shared" si="9"/>
        <v>0</v>
      </c>
      <c r="AR21" s="206">
        <f t="shared" si="10"/>
        <v>0</v>
      </c>
      <c r="AS21" s="206">
        <f t="shared" si="11"/>
        <v>0</v>
      </c>
      <c r="AT21" s="206">
        <f t="shared" si="12"/>
        <v>0</v>
      </c>
      <c r="AU21" s="206">
        <f t="shared" si="13"/>
        <v>0</v>
      </c>
      <c r="AV21" s="206">
        <f t="shared" si="14"/>
        <v>0</v>
      </c>
      <c r="AW21" s="206">
        <f t="shared" si="15"/>
        <v>0</v>
      </c>
      <c r="AX21" s="206">
        <f t="shared" si="16"/>
        <v>0</v>
      </c>
      <c r="AY21" s="206">
        <f t="shared" si="17"/>
        <v>0</v>
      </c>
      <c r="AZ21" s="206">
        <f t="shared" si="18"/>
        <v>0</v>
      </c>
      <c r="BA21" s="206">
        <f t="shared" si="19"/>
        <v>0</v>
      </c>
      <c r="BB21" s="206">
        <f t="shared" si="20"/>
        <v>0</v>
      </c>
      <c r="BC21" s="206">
        <f t="shared" si="20"/>
        <v>0</v>
      </c>
    </row>
    <row r="22" spans="1:55" ht="24" customHeight="1">
      <c r="A22" s="36"/>
      <c r="B22" s="36"/>
      <c r="C22" s="112"/>
      <c r="D22" s="68"/>
      <c r="E22" s="109"/>
      <c r="F22" s="124"/>
      <c r="G22" s="125"/>
      <c r="H22" s="111"/>
      <c r="I22" s="111" t="str">
        <f t="shared" si="0"/>
        <v/>
      </c>
      <c r="J22" s="68"/>
      <c r="K22" s="68"/>
      <c r="L22" s="69"/>
      <c r="M22" s="37"/>
      <c r="N22" s="37"/>
      <c r="O22" s="231"/>
      <c r="P22" s="232"/>
      <c r="Q22" s="233"/>
      <c r="R22" s="233"/>
      <c r="S22" s="233"/>
      <c r="T22" s="233"/>
      <c r="U22" s="233"/>
      <c r="V22" s="233"/>
      <c r="W22" s="233"/>
      <c r="X22" s="234"/>
      <c r="Y22" s="234"/>
      <c r="Z22" s="234"/>
      <c r="AA22" s="234"/>
      <c r="AB22" s="234"/>
      <c r="AC22" s="233"/>
      <c r="AD22" s="365"/>
      <c r="AE22" s="366"/>
      <c r="AF22" s="233"/>
      <c r="AG22" s="233"/>
      <c r="AH22" s="214"/>
      <c r="AI22" s="624"/>
      <c r="AJ22" s="206">
        <f t="shared" si="2"/>
        <v>0</v>
      </c>
      <c r="AK22" s="206">
        <f t="shared" si="3"/>
        <v>0</v>
      </c>
      <c r="AL22" s="206">
        <f>$F22*Q22</f>
        <v>0</v>
      </c>
      <c r="AM22" s="206">
        <f t="shared" si="5"/>
        <v>0</v>
      </c>
      <c r="AN22" s="206">
        <f t="shared" si="6"/>
        <v>0</v>
      </c>
      <c r="AO22" s="206">
        <f t="shared" si="7"/>
        <v>0</v>
      </c>
      <c r="AP22" s="206">
        <f t="shared" si="8"/>
        <v>0</v>
      </c>
      <c r="AQ22" s="206">
        <f t="shared" si="9"/>
        <v>0</v>
      </c>
      <c r="AR22" s="206">
        <f t="shared" si="10"/>
        <v>0</v>
      </c>
      <c r="AS22" s="206">
        <f t="shared" si="11"/>
        <v>0</v>
      </c>
      <c r="AT22" s="206">
        <f t="shared" si="12"/>
        <v>0</v>
      </c>
      <c r="AU22" s="206">
        <f t="shared" si="13"/>
        <v>0</v>
      </c>
      <c r="AV22" s="206">
        <f t="shared" si="14"/>
        <v>0</v>
      </c>
      <c r="AW22" s="206">
        <f t="shared" si="15"/>
        <v>0</v>
      </c>
      <c r="AX22" s="206">
        <f t="shared" si="16"/>
        <v>0</v>
      </c>
      <c r="AY22" s="206">
        <f t="shared" si="17"/>
        <v>0</v>
      </c>
      <c r="AZ22" s="206">
        <f t="shared" si="18"/>
        <v>0</v>
      </c>
      <c r="BA22" s="206">
        <f t="shared" si="19"/>
        <v>0</v>
      </c>
      <c r="BB22" s="206">
        <f t="shared" si="20"/>
        <v>0</v>
      </c>
      <c r="BC22" s="206">
        <f t="shared" si="20"/>
        <v>0</v>
      </c>
    </row>
    <row r="23" spans="1:55" s="37" customFormat="1" ht="24" customHeight="1">
      <c r="A23" s="36"/>
      <c r="B23" s="36"/>
      <c r="C23" s="112"/>
      <c r="D23" s="68"/>
      <c r="E23" s="109"/>
      <c r="F23" s="124"/>
      <c r="G23" s="125"/>
      <c r="H23" s="111"/>
      <c r="I23" s="111" t="str">
        <f t="shared" si="0"/>
        <v/>
      </c>
      <c r="J23" s="68"/>
      <c r="K23" s="68"/>
      <c r="L23" s="69"/>
      <c r="O23" s="231"/>
      <c r="P23" s="232"/>
      <c r="Q23" s="233"/>
      <c r="R23" s="233"/>
      <c r="S23" s="233"/>
      <c r="T23" s="233"/>
      <c r="U23" s="233"/>
      <c r="V23" s="233"/>
      <c r="W23" s="233"/>
      <c r="X23" s="234"/>
      <c r="Y23" s="234"/>
      <c r="Z23" s="234"/>
      <c r="AA23" s="234"/>
      <c r="AB23" s="234"/>
      <c r="AC23" s="233"/>
      <c r="AD23" s="365"/>
      <c r="AE23" s="366"/>
      <c r="AF23" s="233"/>
      <c r="AG23" s="233"/>
      <c r="AH23" s="214"/>
      <c r="AI23" s="624"/>
      <c r="AJ23" s="206">
        <f>$F23*O23</f>
        <v>0</v>
      </c>
      <c r="AK23" s="206">
        <f t="shared" si="3"/>
        <v>0</v>
      </c>
      <c r="AL23" s="206">
        <f t="shared" si="4"/>
        <v>0</v>
      </c>
      <c r="AM23" s="206">
        <f t="shared" si="5"/>
        <v>0</v>
      </c>
      <c r="AN23" s="206">
        <f t="shared" si="6"/>
        <v>0</v>
      </c>
      <c r="AO23" s="206">
        <f t="shared" si="7"/>
        <v>0</v>
      </c>
      <c r="AP23" s="206">
        <f t="shared" si="8"/>
        <v>0</v>
      </c>
      <c r="AQ23" s="206">
        <f t="shared" si="9"/>
        <v>0</v>
      </c>
      <c r="AR23" s="206">
        <f t="shared" si="10"/>
        <v>0</v>
      </c>
      <c r="AS23" s="206">
        <f t="shared" si="11"/>
        <v>0</v>
      </c>
      <c r="AT23" s="206">
        <f t="shared" si="12"/>
        <v>0</v>
      </c>
      <c r="AU23" s="206">
        <f t="shared" si="13"/>
        <v>0</v>
      </c>
      <c r="AV23" s="206">
        <f t="shared" si="14"/>
        <v>0</v>
      </c>
      <c r="AW23" s="206">
        <f t="shared" si="15"/>
        <v>0</v>
      </c>
      <c r="AX23" s="206">
        <f t="shared" si="16"/>
        <v>0</v>
      </c>
      <c r="AY23" s="206">
        <f t="shared" si="17"/>
        <v>0</v>
      </c>
      <c r="AZ23" s="206">
        <f t="shared" si="18"/>
        <v>0</v>
      </c>
      <c r="BA23" s="206">
        <f t="shared" si="19"/>
        <v>0</v>
      </c>
      <c r="BB23" s="206">
        <f>$F23*AG23</f>
        <v>0</v>
      </c>
      <c r="BC23" s="206">
        <f>$F23*AH23</f>
        <v>0</v>
      </c>
    </row>
    <row r="24" spans="1:55" ht="24" customHeight="1" thickBot="1">
      <c r="A24" s="36"/>
      <c r="B24" s="36"/>
      <c r="C24" s="113"/>
      <c r="D24" s="99" t="s">
        <v>9</v>
      </c>
      <c r="E24" s="114"/>
      <c r="F24" s="290"/>
      <c r="G24" s="127"/>
      <c r="H24" s="137" t="s">
        <v>112</v>
      </c>
      <c r="I24" s="208">
        <f>SUM(I6:I23)</f>
        <v>0</v>
      </c>
      <c r="J24" s="99" t="s">
        <v>113</v>
      </c>
      <c r="K24" s="99"/>
      <c r="L24" s="129"/>
      <c r="O24" s="301">
        <f>AJ24</f>
        <v>0</v>
      </c>
      <c r="P24" s="302">
        <f t="shared" ref="P24:AG24" si="21">AK24</f>
        <v>0</v>
      </c>
      <c r="Q24" s="303">
        <f>AL24</f>
        <v>0</v>
      </c>
      <c r="R24" s="303">
        <f t="shared" si="21"/>
        <v>0</v>
      </c>
      <c r="S24" s="303">
        <f t="shared" si="21"/>
        <v>0</v>
      </c>
      <c r="T24" s="303">
        <f t="shared" si="21"/>
        <v>0</v>
      </c>
      <c r="U24" s="303">
        <f t="shared" si="21"/>
        <v>0</v>
      </c>
      <c r="V24" s="304">
        <f t="shared" si="21"/>
        <v>0</v>
      </c>
      <c r="W24" s="304">
        <f t="shared" si="21"/>
        <v>0</v>
      </c>
      <c r="X24" s="304">
        <f t="shared" si="21"/>
        <v>0</v>
      </c>
      <c r="Y24" s="304">
        <f t="shared" si="21"/>
        <v>0</v>
      </c>
      <c r="Z24" s="304">
        <f t="shared" si="21"/>
        <v>0</v>
      </c>
      <c r="AA24" s="304">
        <f t="shared" si="21"/>
        <v>0</v>
      </c>
      <c r="AB24" s="397">
        <f t="shared" si="21"/>
        <v>0</v>
      </c>
      <c r="AC24" s="304">
        <f t="shared" si="21"/>
        <v>0</v>
      </c>
      <c r="AD24" s="301">
        <f t="shared" si="21"/>
        <v>0</v>
      </c>
      <c r="AE24" s="303">
        <f t="shared" si="21"/>
        <v>0</v>
      </c>
      <c r="AF24" s="304">
        <f>BA24</f>
        <v>0</v>
      </c>
      <c r="AG24" s="304">
        <f t="shared" si="21"/>
        <v>0</v>
      </c>
      <c r="AH24" s="304">
        <f>BC24</f>
        <v>0</v>
      </c>
      <c r="AI24" s="624"/>
      <c r="AJ24" s="207">
        <f>SUM(AJ6:AJ23)</f>
        <v>0</v>
      </c>
      <c r="AK24" s="207">
        <f t="shared" ref="AK24:AT24" si="22">SUM(AK6:AK23)</f>
        <v>0</v>
      </c>
      <c r="AL24" s="207">
        <f t="shared" si="22"/>
        <v>0</v>
      </c>
      <c r="AM24" s="207">
        <f t="shared" si="22"/>
        <v>0</v>
      </c>
      <c r="AN24" s="207">
        <f>SUM(AN6:AN23)</f>
        <v>0</v>
      </c>
      <c r="AO24" s="207">
        <f>SUM(AO6:AO23)</f>
        <v>0</v>
      </c>
      <c r="AP24" s="207">
        <f t="shared" si="22"/>
        <v>0</v>
      </c>
      <c r="AQ24" s="207">
        <f t="shared" si="22"/>
        <v>0</v>
      </c>
      <c r="AR24" s="207">
        <f t="shared" si="22"/>
        <v>0</v>
      </c>
      <c r="AS24" s="207">
        <f t="shared" si="22"/>
        <v>0</v>
      </c>
      <c r="AT24" s="207">
        <f t="shared" si="22"/>
        <v>0</v>
      </c>
      <c r="AU24" s="207">
        <f>SUM(AU6:AU23)</f>
        <v>0</v>
      </c>
      <c r="AV24" s="207">
        <f t="shared" ref="AV24:BA24" si="23">SUM(AV6:AV23)</f>
        <v>0</v>
      </c>
      <c r="AW24" s="207">
        <f t="shared" si="23"/>
        <v>0</v>
      </c>
      <c r="AX24" s="207">
        <f t="shared" si="23"/>
        <v>0</v>
      </c>
      <c r="AY24" s="207">
        <f t="shared" si="23"/>
        <v>0</v>
      </c>
      <c r="AZ24" s="207">
        <f t="shared" si="23"/>
        <v>0</v>
      </c>
      <c r="BA24" s="207">
        <f t="shared" si="23"/>
        <v>0</v>
      </c>
      <c r="BB24" s="207">
        <f>SUM(BB6:BB23)</f>
        <v>0</v>
      </c>
      <c r="BC24" s="207">
        <f>SUM(BC6:BC23)</f>
        <v>0</v>
      </c>
    </row>
    <row r="25" spans="1:55" ht="14.25" customHeight="1">
      <c r="E25" s="130" t="s">
        <v>108</v>
      </c>
      <c r="F25" s="131">
        <f>+F2+1</f>
        <v>1</v>
      </c>
      <c r="G25" s="132" t="s">
        <v>109</v>
      </c>
      <c r="H25" s="133">
        <f>+H2</f>
        <v>0</v>
      </c>
      <c r="I25" s="133"/>
      <c r="M25" s="31" t="str">
        <f>IF(A27="","EOL","")</f>
        <v/>
      </c>
      <c r="N25" s="1">
        <f>+F25</f>
        <v>1</v>
      </c>
    </row>
    <row r="26" spans="1:55" ht="26.1" customHeight="1" thickBot="1">
      <c r="C26" s="2169" t="s">
        <v>343</v>
      </c>
      <c r="D26" s="2169"/>
      <c r="E26" s="2169"/>
      <c r="F26" s="2169"/>
      <c r="G26" s="2169"/>
      <c r="H26" s="2169"/>
      <c r="I26" s="2169"/>
      <c r="J26" s="2169"/>
      <c r="K26" s="2169"/>
      <c r="L26" s="2169"/>
      <c r="O26" s="2232" t="s">
        <v>155</v>
      </c>
      <c r="P26" s="2232"/>
      <c r="Q26" s="2232"/>
      <c r="R26" s="2232"/>
      <c r="S26" s="2232"/>
      <c r="T26" s="2232"/>
      <c r="U26" s="2232"/>
      <c r="V26" s="2232"/>
      <c r="W26" s="2232"/>
      <c r="X26" s="2232"/>
      <c r="Y26" s="2232"/>
      <c r="Z26" s="2232"/>
      <c r="AA26" s="2232"/>
      <c r="AB26" s="2232"/>
      <c r="AC26" s="2232"/>
      <c r="AD26" s="2232"/>
      <c r="AE26" s="2232"/>
      <c r="AF26" s="2232"/>
      <c r="AG26" s="2232"/>
      <c r="AH26" s="2233"/>
      <c r="AI26" s="621"/>
    </row>
    <row r="27" spans="1:55" ht="41.25" customHeight="1">
      <c r="A27" s="5" t="s">
        <v>13</v>
      </c>
      <c r="B27" s="5" t="s">
        <v>49</v>
      </c>
      <c r="C27" s="120" t="s">
        <v>0</v>
      </c>
      <c r="D27" s="116"/>
      <c r="E27" s="117" t="s">
        <v>1</v>
      </c>
      <c r="F27" s="118" t="s">
        <v>2</v>
      </c>
      <c r="G27" s="118" t="s">
        <v>3</v>
      </c>
      <c r="H27" s="119" t="s">
        <v>4</v>
      </c>
      <c r="I27" s="119" t="s">
        <v>5</v>
      </c>
      <c r="J27" s="2172" t="s">
        <v>6</v>
      </c>
      <c r="K27" s="2173"/>
      <c r="L27" s="2174"/>
      <c r="O27" s="165" t="s">
        <v>87</v>
      </c>
      <c r="P27" s="359" t="s">
        <v>267</v>
      </c>
      <c r="Q27" s="291" t="s">
        <v>282</v>
      </c>
      <c r="R27" s="291" t="s">
        <v>229</v>
      </c>
      <c r="S27" s="291" t="s">
        <v>230</v>
      </c>
      <c r="T27" s="291" t="s">
        <v>245</v>
      </c>
      <c r="U27" s="291" t="s">
        <v>149</v>
      </c>
      <c r="V27" s="164" t="s">
        <v>148</v>
      </c>
      <c r="W27" s="291" t="s">
        <v>231</v>
      </c>
      <c r="X27" s="224" t="s">
        <v>232</v>
      </c>
      <c r="Y27" s="224" t="s">
        <v>233</v>
      </c>
      <c r="Z27" s="224" t="s">
        <v>234</v>
      </c>
      <c r="AA27" s="224" t="s">
        <v>235</v>
      </c>
      <c r="AB27" s="224" t="s">
        <v>277</v>
      </c>
      <c r="AC27" s="362" t="s">
        <v>286</v>
      </c>
      <c r="AD27" s="363" t="s">
        <v>287</v>
      </c>
      <c r="AE27" s="364" t="s">
        <v>151</v>
      </c>
      <c r="AF27" s="163" t="s">
        <v>154</v>
      </c>
      <c r="AG27" s="163" t="s">
        <v>152</v>
      </c>
      <c r="AH27" s="163" t="s">
        <v>153</v>
      </c>
      <c r="AI27" s="622" t="s">
        <v>2099</v>
      </c>
    </row>
    <row r="28" spans="1:55" ht="24" customHeight="1">
      <c r="A28" s="240">
        <v>1</v>
      </c>
      <c r="B28" s="240">
        <v>1</v>
      </c>
      <c r="C28" s="138" t="s">
        <v>178</v>
      </c>
      <c r="D28" s="210" t="s">
        <v>177</v>
      </c>
      <c r="E28" s="211" t="s">
        <v>180</v>
      </c>
      <c r="F28" s="212">
        <v>1</v>
      </c>
      <c r="G28" s="213" t="s">
        <v>136</v>
      </c>
      <c r="H28" s="97" t="s">
        <v>12</v>
      </c>
      <c r="I28" s="97" t="s">
        <v>12</v>
      </c>
      <c r="J28" s="2234"/>
      <c r="K28" s="2235"/>
      <c r="L28" s="2236"/>
      <c r="O28" s="231"/>
      <c r="P28" s="232"/>
      <c r="Q28" s="233"/>
      <c r="R28" s="233"/>
      <c r="S28" s="233"/>
      <c r="T28" s="233"/>
      <c r="U28" s="233"/>
      <c r="V28" s="233"/>
      <c r="W28" s="233"/>
      <c r="X28" s="234"/>
      <c r="Y28" s="234"/>
      <c r="Z28" s="234"/>
      <c r="AA28" s="234"/>
      <c r="AB28" s="234"/>
      <c r="AC28" s="233"/>
      <c r="AD28" s="365"/>
      <c r="AE28" s="366"/>
      <c r="AF28" s="233"/>
      <c r="AG28" s="233"/>
      <c r="AH28" s="367"/>
      <c r="AI28" s="624"/>
    </row>
    <row r="29" spans="1:55" s="37" customFormat="1" ht="24" customHeight="1">
      <c r="A29" s="36"/>
      <c r="B29" s="36"/>
      <c r="C29" s="134"/>
      <c r="D29" s="357" t="s">
        <v>272</v>
      </c>
      <c r="E29" s="124"/>
      <c r="F29" s="124"/>
      <c r="G29" s="125"/>
      <c r="H29" s="141"/>
      <c r="I29" s="111" t="str">
        <f t="shared" ref="I29:I40" si="24">IF(F29="","",ROUNDDOWN(F29*H29,0))</f>
        <v/>
      </c>
      <c r="J29" s="67"/>
      <c r="K29" s="68"/>
      <c r="L29" s="69"/>
      <c r="O29" s="231"/>
      <c r="P29" s="232"/>
      <c r="Q29" s="233"/>
      <c r="R29" s="233"/>
      <c r="S29" s="233"/>
      <c r="T29" s="233"/>
      <c r="U29" s="233"/>
      <c r="V29" s="233"/>
      <c r="W29" s="233"/>
      <c r="X29" s="234"/>
      <c r="Y29" s="234"/>
      <c r="Z29" s="234"/>
      <c r="AA29" s="234"/>
      <c r="AB29" s="234"/>
      <c r="AC29" s="233"/>
      <c r="AD29" s="365"/>
      <c r="AE29" s="366"/>
      <c r="AF29" s="233"/>
      <c r="AG29" s="233"/>
      <c r="AH29" s="214"/>
      <c r="AI29" s="624"/>
      <c r="AJ29" s="206">
        <f t="shared" ref="AJ29:AJ36" si="25">$F29*O29</f>
        <v>0</v>
      </c>
      <c r="AK29" s="206">
        <f t="shared" ref="AK29:AK46" si="26">$F29*P29</f>
        <v>0</v>
      </c>
      <c r="AL29" s="206">
        <f t="shared" ref="AL29:AL46" si="27">$F29*Q29</f>
        <v>0</v>
      </c>
      <c r="AM29" s="206">
        <f t="shared" ref="AM29:AM46" si="28">$F29*R29</f>
        <v>0</v>
      </c>
      <c r="AN29" s="206">
        <f t="shared" ref="AN29:AN46" si="29">$F29*S29</f>
        <v>0</v>
      </c>
      <c r="AO29" s="206">
        <f t="shared" ref="AO29:AO46" si="30">$F29*T29</f>
        <v>0</v>
      </c>
      <c r="AP29" s="206">
        <f t="shared" ref="AP29:AP46" si="31">$F29*U29</f>
        <v>0</v>
      </c>
      <c r="AQ29" s="206">
        <f t="shared" ref="AQ29:AQ46" si="32">$F29*V29</f>
        <v>0</v>
      </c>
      <c r="AR29" s="206">
        <f t="shared" ref="AR29:AR46" si="33">$F29*W29</f>
        <v>0</v>
      </c>
      <c r="AS29" s="206">
        <f t="shared" ref="AS29:AS46" si="34">$F29*X29</f>
        <v>0</v>
      </c>
      <c r="AT29" s="206">
        <f t="shared" ref="AT29:AT46" si="35">$F29*Y29</f>
        <v>0</v>
      </c>
      <c r="AU29" s="206">
        <f t="shared" ref="AU29:AU46" si="36">$F29*Z29</f>
        <v>0</v>
      </c>
      <c r="AV29" s="206">
        <f t="shared" ref="AV29:AV46" si="37">$F29*AA29</f>
        <v>0</v>
      </c>
      <c r="AW29" s="206">
        <f t="shared" ref="AW29:AW46" si="38">$F29*AB29</f>
        <v>0</v>
      </c>
      <c r="AX29" s="206">
        <f t="shared" ref="AX29:AX46" si="39">$F29*AC29</f>
        <v>0</v>
      </c>
      <c r="AY29" s="206">
        <f t="shared" ref="AY29:AY46" si="40">$F29*AD29</f>
        <v>0</v>
      </c>
      <c r="AZ29" s="206">
        <f t="shared" ref="AZ29:AZ46" si="41">$F29*AE29</f>
        <v>0</v>
      </c>
      <c r="BA29" s="206">
        <f t="shared" ref="BA29:BA46" si="42">$F29*AF29</f>
        <v>0</v>
      </c>
      <c r="BB29" s="206">
        <f t="shared" ref="BB29:BC46" si="43">$F29*AG29</f>
        <v>0</v>
      </c>
      <c r="BC29" s="206">
        <f t="shared" si="43"/>
        <v>0</v>
      </c>
    </row>
    <row r="30" spans="1:55" ht="24" customHeight="1">
      <c r="A30" s="36">
        <v>1</v>
      </c>
      <c r="B30" s="36">
        <v>1</v>
      </c>
      <c r="C30" s="112">
        <v>300901</v>
      </c>
      <c r="D30" s="626" t="s">
        <v>2102</v>
      </c>
      <c r="E30" s="109" t="s">
        <v>2103</v>
      </c>
      <c r="F30" s="124">
        <v>0.4</v>
      </c>
      <c r="G30" s="125" t="s">
        <v>2109</v>
      </c>
      <c r="H30" s="111"/>
      <c r="I30" s="111">
        <f>IF(F30="","",INT(F30*H30))</f>
        <v>0</v>
      </c>
      <c r="J30" s="68" t="s">
        <v>2110</v>
      </c>
      <c r="K30" s="68"/>
      <c r="L30" s="69"/>
      <c r="M30" s="37"/>
      <c r="N30" s="37"/>
      <c r="O30" s="231">
        <v>0</v>
      </c>
      <c r="P30" s="232"/>
      <c r="Q30" s="233"/>
      <c r="R30" s="233"/>
      <c r="S30" s="233"/>
      <c r="T30" s="233"/>
      <c r="U30" s="233"/>
      <c r="V30" s="233"/>
      <c r="W30" s="233"/>
      <c r="X30" s="234"/>
      <c r="Y30" s="234"/>
      <c r="Z30" s="234"/>
      <c r="AA30" s="234"/>
      <c r="AB30" s="234"/>
      <c r="AC30" s="233"/>
      <c r="AD30" s="365"/>
      <c r="AE30" s="366"/>
      <c r="AF30" s="233"/>
      <c r="AG30" s="233"/>
      <c r="AH30" s="214"/>
      <c r="AI30" s="624" t="s">
        <v>2031</v>
      </c>
      <c r="AJ30" s="206">
        <f t="shared" si="25"/>
        <v>0</v>
      </c>
      <c r="AK30" s="206">
        <f t="shared" si="26"/>
        <v>0</v>
      </c>
      <c r="AL30" s="206">
        <f t="shared" si="27"/>
        <v>0</v>
      </c>
      <c r="AM30" s="206">
        <f t="shared" si="28"/>
        <v>0</v>
      </c>
      <c r="AN30" s="206">
        <f t="shared" si="29"/>
        <v>0</v>
      </c>
      <c r="AO30" s="206">
        <f t="shared" si="30"/>
        <v>0</v>
      </c>
      <c r="AP30" s="206">
        <f t="shared" si="31"/>
        <v>0</v>
      </c>
      <c r="AQ30" s="206">
        <f t="shared" si="32"/>
        <v>0</v>
      </c>
      <c r="AR30" s="206">
        <f t="shared" si="33"/>
        <v>0</v>
      </c>
      <c r="AS30" s="206">
        <f t="shared" si="34"/>
        <v>0</v>
      </c>
      <c r="AT30" s="206">
        <f t="shared" si="35"/>
        <v>0</v>
      </c>
      <c r="AU30" s="206">
        <f t="shared" si="36"/>
        <v>0</v>
      </c>
      <c r="AV30" s="206">
        <f t="shared" si="37"/>
        <v>0</v>
      </c>
      <c r="AW30" s="206">
        <f t="shared" si="38"/>
        <v>0</v>
      </c>
      <c r="AX30" s="206">
        <f t="shared" si="39"/>
        <v>0</v>
      </c>
      <c r="AY30" s="206">
        <f t="shared" si="40"/>
        <v>0</v>
      </c>
      <c r="AZ30" s="206">
        <f t="shared" si="41"/>
        <v>0</v>
      </c>
      <c r="BA30" s="206">
        <f t="shared" si="42"/>
        <v>0</v>
      </c>
      <c r="BB30" s="206">
        <f t="shared" si="43"/>
        <v>0</v>
      </c>
      <c r="BC30" s="206">
        <f t="shared" si="43"/>
        <v>0</v>
      </c>
    </row>
    <row r="31" spans="1:55" ht="24" customHeight="1">
      <c r="A31" s="36">
        <v>1</v>
      </c>
      <c r="B31" s="36">
        <v>1</v>
      </c>
      <c r="C31" s="112">
        <v>3011</v>
      </c>
      <c r="D31" s="626" t="s">
        <v>2105</v>
      </c>
      <c r="E31" s="109" t="s">
        <v>2106</v>
      </c>
      <c r="F31" s="124">
        <v>0.1</v>
      </c>
      <c r="G31" s="125" t="s">
        <v>2104</v>
      </c>
      <c r="H31" s="111"/>
      <c r="I31" s="111">
        <f>IF(F31="","",INT(F31*H31))</f>
        <v>0</v>
      </c>
      <c r="J31" s="68" t="s">
        <v>2107</v>
      </c>
      <c r="K31" s="68"/>
      <c r="L31" s="69"/>
      <c r="M31" s="37"/>
      <c r="N31" s="37"/>
      <c r="O31" s="231">
        <v>0</v>
      </c>
      <c r="P31" s="232"/>
      <c r="Q31" s="233"/>
      <c r="R31" s="233"/>
      <c r="S31" s="233"/>
      <c r="T31" s="233"/>
      <c r="U31" s="233"/>
      <c r="V31" s="233"/>
      <c r="W31" s="233"/>
      <c r="X31" s="234"/>
      <c r="Y31" s="234"/>
      <c r="Z31" s="234"/>
      <c r="AA31" s="234"/>
      <c r="AB31" s="234"/>
      <c r="AC31" s="233"/>
      <c r="AD31" s="365"/>
      <c r="AE31" s="366"/>
      <c r="AF31" s="233"/>
      <c r="AG31" s="233"/>
      <c r="AH31" s="214"/>
      <c r="AI31" s="624"/>
      <c r="AJ31" s="206">
        <f t="shared" si="25"/>
        <v>0</v>
      </c>
      <c r="AK31" s="206">
        <f t="shared" si="26"/>
        <v>0</v>
      </c>
      <c r="AL31" s="206">
        <f t="shared" si="27"/>
        <v>0</v>
      </c>
      <c r="AM31" s="206">
        <f t="shared" si="28"/>
        <v>0</v>
      </c>
      <c r="AN31" s="206">
        <f t="shared" si="29"/>
        <v>0</v>
      </c>
      <c r="AO31" s="206">
        <f t="shared" si="30"/>
        <v>0</v>
      </c>
      <c r="AP31" s="206">
        <f t="shared" si="31"/>
        <v>0</v>
      </c>
      <c r="AQ31" s="206">
        <f t="shared" si="32"/>
        <v>0</v>
      </c>
      <c r="AR31" s="206">
        <f t="shared" si="33"/>
        <v>0</v>
      </c>
      <c r="AS31" s="206">
        <f t="shared" si="34"/>
        <v>0</v>
      </c>
      <c r="AT31" s="206">
        <f t="shared" si="35"/>
        <v>0</v>
      </c>
      <c r="AU31" s="206">
        <f t="shared" si="36"/>
        <v>0</v>
      </c>
      <c r="AV31" s="206">
        <f t="shared" si="37"/>
        <v>0</v>
      </c>
      <c r="AW31" s="206">
        <f t="shared" si="38"/>
        <v>0</v>
      </c>
      <c r="AX31" s="206">
        <f t="shared" si="39"/>
        <v>0</v>
      </c>
      <c r="AY31" s="206">
        <f t="shared" si="40"/>
        <v>0</v>
      </c>
      <c r="AZ31" s="206">
        <f t="shared" si="41"/>
        <v>0</v>
      </c>
      <c r="BA31" s="206">
        <f t="shared" si="42"/>
        <v>0</v>
      </c>
      <c r="BB31" s="206">
        <f t="shared" si="43"/>
        <v>0</v>
      </c>
      <c r="BC31" s="206">
        <f t="shared" si="43"/>
        <v>0</v>
      </c>
    </row>
    <row r="32" spans="1:55" ht="24" customHeight="1">
      <c r="A32" s="36">
        <v>1</v>
      </c>
      <c r="B32" s="36">
        <v>1</v>
      </c>
      <c r="C32" s="112">
        <v>301004</v>
      </c>
      <c r="D32" s="396" t="s">
        <v>181</v>
      </c>
      <c r="E32" s="109" t="s">
        <v>182</v>
      </c>
      <c r="F32" s="124">
        <v>0.3</v>
      </c>
      <c r="G32" s="125" t="s">
        <v>80</v>
      </c>
      <c r="H32" s="111"/>
      <c r="I32" s="111">
        <f t="shared" si="24"/>
        <v>0</v>
      </c>
      <c r="J32" s="68"/>
      <c r="K32" s="68"/>
      <c r="L32" s="69"/>
      <c r="M32" s="37"/>
      <c r="N32" s="37"/>
      <c r="O32" s="231"/>
      <c r="P32" s="232"/>
      <c r="Q32" s="233"/>
      <c r="R32" s="233"/>
      <c r="S32" s="233"/>
      <c r="T32" s="233"/>
      <c r="U32" s="233"/>
      <c r="V32" s="233"/>
      <c r="W32" s="233"/>
      <c r="X32" s="234"/>
      <c r="Y32" s="234"/>
      <c r="Z32" s="234"/>
      <c r="AA32" s="234"/>
      <c r="AB32" s="234"/>
      <c r="AC32" s="233"/>
      <c r="AD32" s="365"/>
      <c r="AE32" s="366"/>
      <c r="AF32" s="233"/>
      <c r="AG32" s="233"/>
      <c r="AH32" s="214"/>
      <c r="AI32" s="624"/>
      <c r="AJ32" s="206">
        <f t="shared" si="25"/>
        <v>0</v>
      </c>
      <c r="AK32" s="206">
        <f t="shared" si="26"/>
        <v>0</v>
      </c>
      <c r="AL32" s="206">
        <f t="shared" si="27"/>
        <v>0</v>
      </c>
      <c r="AM32" s="206">
        <f t="shared" si="28"/>
        <v>0</v>
      </c>
      <c r="AN32" s="206">
        <f>$F32*S32</f>
        <v>0</v>
      </c>
      <c r="AO32" s="206">
        <f t="shared" si="30"/>
        <v>0</v>
      </c>
      <c r="AP32" s="206">
        <f t="shared" si="31"/>
        <v>0</v>
      </c>
      <c r="AQ32" s="206">
        <f t="shared" si="32"/>
        <v>0</v>
      </c>
      <c r="AR32" s="206">
        <f t="shared" si="33"/>
        <v>0</v>
      </c>
      <c r="AS32" s="206">
        <f t="shared" si="34"/>
        <v>0</v>
      </c>
      <c r="AT32" s="206">
        <f t="shared" si="35"/>
        <v>0</v>
      </c>
      <c r="AU32" s="206">
        <f t="shared" si="36"/>
        <v>0</v>
      </c>
      <c r="AV32" s="206">
        <f t="shared" si="37"/>
        <v>0</v>
      </c>
      <c r="AW32" s="206">
        <f t="shared" si="38"/>
        <v>0</v>
      </c>
      <c r="AX32" s="206">
        <f t="shared" si="39"/>
        <v>0</v>
      </c>
      <c r="AY32" s="206">
        <f t="shared" si="40"/>
        <v>0</v>
      </c>
      <c r="AZ32" s="206">
        <f t="shared" si="41"/>
        <v>0</v>
      </c>
      <c r="BA32" s="206">
        <f t="shared" si="42"/>
        <v>0</v>
      </c>
      <c r="BB32" s="206">
        <f t="shared" si="43"/>
        <v>0</v>
      </c>
      <c r="BC32" s="206">
        <f t="shared" si="43"/>
        <v>0</v>
      </c>
    </row>
    <row r="33" spans="1:55" ht="24" customHeight="1">
      <c r="A33" s="36">
        <v>1</v>
      </c>
      <c r="B33" s="36">
        <v>1</v>
      </c>
      <c r="C33" s="112">
        <v>3045</v>
      </c>
      <c r="D33" s="396" t="s">
        <v>183</v>
      </c>
      <c r="E33" s="109" t="s">
        <v>184</v>
      </c>
      <c r="F33" s="124">
        <v>0.3</v>
      </c>
      <c r="G33" s="125" t="s">
        <v>80</v>
      </c>
      <c r="H33" s="111"/>
      <c r="I33" s="111">
        <f t="shared" si="24"/>
        <v>0</v>
      </c>
      <c r="J33" s="68"/>
      <c r="K33" s="68"/>
      <c r="L33" s="69"/>
      <c r="M33" s="37"/>
      <c r="N33" s="37"/>
      <c r="O33" s="231"/>
      <c r="P33" s="232"/>
      <c r="Q33" s="233"/>
      <c r="R33" s="233"/>
      <c r="S33" s="233"/>
      <c r="T33" s="233"/>
      <c r="U33" s="233"/>
      <c r="V33" s="233"/>
      <c r="W33" s="233"/>
      <c r="X33" s="234"/>
      <c r="Y33" s="234"/>
      <c r="Z33" s="234"/>
      <c r="AA33" s="234"/>
      <c r="AB33" s="234"/>
      <c r="AC33" s="233"/>
      <c r="AD33" s="365"/>
      <c r="AE33" s="366"/>
      <c r="AF33" s="233"/>
      <c r="AG33" s="233"/>
      <c r="AH33" s="214"/>
      <c r="AI33" s="624"/>
      <c r="AJ33" s="206">
        <f t="shared" si="25"/>
        <v>0</v>
      </c>
      <c r="AK33" s="206">
        <f t="shared" si="26"/>
        <v>0</v>
      </c>
      <c r="AL33" s="206">
        <f t="shared" si="27"/>
        <v>0</v>
      </c>
      <c r="AM33" s="206">
        <f t="shared" si="28"/>
        <v>0</v>
      </c>
      <c r="AN33" s="206">
        <f t="shared" si="29"/>
        <v>0</v>
      </c>
      <c r="AO33" s="206">
        <f t="shared" si="30"/>
        <v>0</v>
      </c>
      <c r="AP33" s="206">
        <f t="shared" si="31"/>
        <v>0</v>
      </c>
      <c r="AQ33" s="206">
        <f t="shared" si="32"/>
        <v>0</v>
      </c>
      <c r="AR33" s="206">
        <f t="shared" si="33"/>
        <v>0</v>
      </c>
      <c r="AS33" s="206">
        <f t="shared" si="34"/>
        <v>0</v>
      </c>
      <c r="AT33" s="206">
        <f t="shared" si="35"/>
        <v>0</v>
      </c>
      <c r="AU33" s="206">
        <f t="shared" si="36"/>
        <v>0</v>
      </c>
      <c r="AV33" s="206">
        <f t="shared" si="37"/>
        <v>0</v>
      </c>
      <c r="AW33" s="206">
        <f t="shared" si="38"/>
        <v>0</v>
      </c>
      <c r="AX33" s="206">
        <f t="shared" si="39"/>
        <v>0</v>
      </c>
      <c r="AY33" s="206">
        <f t="shared" si="40"/>
        <v>0</v>
      </c>
      <c r="AZ33" s="206">
        <f t="shared" si="41"/>
        <v>0</v>
      </c>
      <c r="BA33" s="206">
        <f t="shared" si="42"/>
        <v>0</v>
      </c>
      <c r="BB33" s="206">
        <f t="shared" si="43"/>
        <v>0</v>
      </c>
      <c r="BC33" s="206">
        <f t="shared" si="43"/>
        <v>0</v>
      </c>
    </row>
    <row r="34" spans="1:55" ht="24" customHeight="1">
      <c r="A34" s="36">
        <v>1</v>
      </c>
      <c r="B34" s="36">
        <v>1</v>
      </c>
      <c r="C34" s="112">
        <v>102</v>
      </c>
      <c r="D34" s="396" t="s">
        <v>185</v>
      </c>
      <c r="E34" s="109" t="s">
        <v>94</v>
      </c>
      <c r="F34" s="124">
        <v>0.01</v>
      </c>
      <c r="G34" s="125" t="s">
        <v>186</v>
      </c>
      <c r="H34" s="111"/>
      <c r="I34" s="111">
        <f t="shared" si="24"/>
        <v>0</v>
      </c>
      <c r="J34" s="68"/>
      <c r="K34" s="68"/>
      <c r="L34" s="69"/>
      <c r="M34" s="37"/>
      <c r="N34" s="37"/>
      <c r="O34" s="231"/>
      <c r="P34" s="232"/>
      <c r="Q34" s="233"/>
      <c r="R34" s="233"/>
      <c r="S34" s="233"/>
      <c r="T34" s="233"/>
      <c r="U34" s="233"/>
      <c r="V34" s="233"/>
      <c r="W34" s="233"/>
      <c r="X34" s="234"/>
      <c r="Y34" s="234"/>
      <c r="Z34" s="234"/>
      <c r="AA34" s="234"/>
      <c r="AB34" s="234"/>
      <c r="AC34" s="233"/>
      <c r="AD34" s="365"/>
      <c r="AE34" s="366"/>
      <c r="AF34" s="233"/>
      <c r="AG34" s="233"/>
      <c r="AH34" s="214"/>
      <c r="AI34" s="624"/>
      <c r="AJ34" s="206">
        <f t="shared" si="25"/>
        <v>0</v>
      </c>
      <c r="AK34" s="206">
        <f t="shared" si="26"/>
        <v>0</v>
      </c>
      <c r="AL34" s="206">
        <f t="shared" si="27"/>
        <v>0</v>
      </c>
      <c r="AM34" s="206">
        <f t="shared" si="28"/>
        <v>0</v>
      </c>
      <c r="AN34" s="206">
        <f t="shared" si="29"/>
        <v>0</v>
      </c>
      <c r="AO34" s="206">
        <f t="shared" si="30"/>
        <v>0</v>
      </c>
      <c r="AP34" s="206">
        <f t="shared" si="31"/>
        <v>0</v>
      </c>
      <c r="AQ34" s="206">
        <f t="shared" si="32"/>
        <v>0</v>
      </c>
      <c r="AR34" s="206">
        <f t="shared" si="33"/>
        <v>0</v>
      </c>
      <c r="AS34" s="206">
        <f t="shared" si="34"/>
        <v>0</v>
      </c>
      <c r="AT34" s="206">
        <f t="shared" si="35"/>
        <v>0</v>
      </c>
      <c r="AU34" s="206">
        <f t="shared" si="36"/>
        <v>0</v>
      </c>
      <c r="AV34" s="206">
        <f t="shared" si="37"/>
        <v>0</v>
      </c>
      <c r="AW34" s="206">
        <f t="shared" si="38"/>
        <v>0</v>
      </c>
      <c r="AX34" s="206">
        <f t="shared" si="39"/>
        <v>0</v>
      </c>
      <c r="AY34" s="206">
        <f t="shared" si="40"/>
        <v>0</v>
      </c>
      <c r="AZ34" s="206">
        <f t="shared" si="41"/>
        <v>0</v>
      </c>
      <c r="BA34" s="206">
        <f t="shared" si="42"/>
        <v>0</v>
      </c>
      <c r="BB34" s="206">
        <f t="shared" si="43"/>
        <v>0</v>
      </c>
      <c r="BC34" s="206">
        <f t="shared" si="43"/>
        <v>0</v>
      </c>
    </row>
    <row r="35" spans="1:55" s="37" customFormat="1" ht="24" customHeight="1">
      <c r="A35" s="36">
        <v>1</v>
      </c>
      <c r="B35" s="36">
        <v>1</v>
      </c>
      <c r="C35" s="112">
        <v>411102</v>
      </c>
      <c r="D35" s="396" t="s">
        <v>187</v>
      </c>
      <c r="E35" s="109" t="s">
        <v>188</v>
      </c>
      <c r="F35" s="124">
        <v>0.01</v>
      </c>
      <c r="G35" s="125" t="s">
        <v>186</v>
      </c>
      <c r="H35" s="111"/>
      <c r="I35" s="111">
        <f t="shared" si="24"/>
        <v>0</v>
      </c>
      <c r="J35" s="68"/>
      <c r="K35" s="68"/>
      <c r="L35" s="69"/>
      <c r="O35" s="231"/>
      <c r="P35" s="232"/>
      <c r="Q35" s="233"/>
      <c r="R35" s="233"/>
      <c r="S35" s="233"/>
      <c r="T35" s="233"/>
      <c r="U35" s="233"/>
      <c r="V35" s="233"/>
      <c r="W35" s="233"/>
      <c r="X35" s="234"/>
      <c r="Y35" s="234"/>
      <c r="Z35" s="234"/>
      <c r="AA35" s="234"/>
      <c r="AB35" s="234"/>
      <c r="AC35" s="233"/>
      <c r="AD35" s="365"/>
      <c r="AE35" s="366"/>
      <c r="AF35" s="233"/>
      <c r="AG35" s="233"/>
      <c r="AH35" s="214"/>
      <c r="AI35" s="624"/>
      <c r="AJ35" s="206">
        <f t="shared" si="25"/>
        <v>0</v>
      </c>
      <c r="AK35" s="206">
        <f t="shared" si="26"/>
        <v>0</v>
      </c>
      <c r="AL35" s="206">
        <f t="shared" si="27"/>
        <v>0</v>
      </c>
      <c r="AM35" s="206">
        <f t="shared" si="28"/>
        <v>0</v>
      </c>
      <c r="AN35" s="206">
        <f t="shared" si="29"/>
        <v>0</v>
      </c>
      <c r="AO35" s="206">
        <f t="shared" si="30"/>
        <v>0</v>
      </c>
      <c r="AP35" s="206">
        <f t="shared" si="31"/>
        <v>0</v>
      </c>
      <c r="AQ35" s="206">
        <f t="shared" si="32"/>
        <v>0</v>
      </c>
      <c r="AR35" s="206">
        <f t="shared" si="33"/>
        <v>0</v>
      </c>
      <c r="AS35" s="206">
        <f t="shared" si="34"/>
        <v>0</v>
      </c>
      <c r="AT35" s="206">
        <f t="shared" si="35"/>
        <v>0</v>
      </c>
      <c r="AU35" s="206">
        <f t="shared" si="36"/>
        <v>0</v>
      </c>
      <c r="AV35" s="206">
        <f t="shared" si="37"/>
        <v>0</v>
      </c>
      <c r="AW35" s="206">
        <f t="shared" si="38"/>
        <v>0</v>
      </c>
      <c r="AX35" s="206">
        <f t="shared" si="39"/>
        <v>0</v>
      </c>
      <c r="AY35" s="206">
        <f t="shared" si="40"/>
        <v>0</v>
      </c>
      <c r="AZ35" s="206">
        <f t="shared" si="41"/>
        <v>0</v>
      </c>
      <c r="BA35" s="206">
        <f t="shared" si="42"/>
        <v>0</v>
      </c>
      <c r="BB35" s="206">
        <f t="shared" si="43"/>
        <v>0</v>
      </c>
      <c r="BC35" s="206">
        <f t="shared" si="43"/>
        <v>0</v>
      </c>
    </row>
    <row r="36" spans="1:55" ht="24" customHeight="1">
      <c r="A36" s="36">
        <v>1</v>
      </c>
      <c r="B36" s="36">
        <v>1</v>
      </c>
      <c r="C36" s="112">
        <v>7022</v>
      </c>
      <c r="D36" s="396" t="s">
        <v>189</v>
      </c>
      <c r="E36" s="109" t="s">
        <v>190</v>
      </c>
      <c r="F36" s="124">
        <v>0.01</v>
      </c>
      <c r="G36" s="125" t="s">
        <v>186</v>
      </c>
      <c r="H36" s="111"/>
      <c r="I36" s="111">
        <f t="shared" si="24"/>
        <v>0</v>
      </c>
      <c r="J36" s="68"/>
      <c r="K36" s="68"/>
      <c r="L36" s="69"/>
      <c r="M36" s="37"/>
      <c r="N36" s="37"/>
      <c r="O36" s="231"/>
      <c r="P36" s="232"/>
      <c r="Q36" s="233"/>
      <c r="R36" s="233"/>
      <c r="S36" s="233"/>
      <c r="T36" s="233"/>
      <c r="U36" s="233"/>
      <c r="V36" s="233"/>
      <c r="W36" s="233"/>
      <c r="X36" s="234"/>
      <c r="Y36" s="234"/>
      <c r="Z36" s="234"/>
      <c r="AA36" s="234"/>
      <c r="AB36" s="234"/>
      <c r="AC36" s="233"/>
      <c r="AD36" s="365"/>
      <c r="AE36" s="366"/>
      <c r="AF36" s="233"/>
      <c r="AG36" s="233"/>
      <c r="AH36" s="214"/>
      <c r="AI36" s="624"/>
      <c r="AJ36" s="206">
        <f t="shared" si="25"/>
        <v>0</v>
      </c>
      <c r="AK36" s="206">
        <f t="shared" si="26"/>
        <v>0</v>
      </c>
      <c r="AL36" s="206">
        <f t="shared" si="27"/>
        <v>0</v>
      </c>
      <c r="AM36" s="206">
        <f t="shared" si="28"/>
        <v>0</v>
      </c>
      <c r="AN36" s="206">
        <f t="shared" si="29"/>
        <v>0</v>
      </c>
      <c r="AO36" s="206">
        <f t="shared" si="30"/>
        <v>0</v>
      </c>
      <c r="AP36" s="206">
        <f t="shared" si="31"/>
        <v>0</v>
      </c>
      <c r="AQ36" s="206">
        <f t="shared" si="32"/>
        <v>0</v>
      </c>
      <c r="AR36" s="206">
        <f t="shared" si="33"/>
        <v>0</v>
      </c>
      <c r="AS36" s="206">
        <f t="shared" si="34"/>
        <v>0</v>
      </c>
      <c r="AT36" s="206">
        <f t="shared" si="35"/>
        <v>0</v>
      </c>
      <c r="AU36" s="206">
        <f t="shared" si="36"/>
        <v>0</v>
      </c>
      <c r="AV36" s="206">
        <f t="shared" si="37"/>
        <v>0</v>
      </c>
      <c r="AW36" s="206">
        <f t="shared" si="38"/>
        <v>0</v>
      </c>
      <c r="AX36" s="206">
        <f t="shared" si="39"/>
        <v>0</v>
      </c>
      <c r="AY36" s="206">
        <f t="shared" si="40"/>
        <v>0</v>
      </c>
      <c r="AZ36" s="206">
        <f t="shared" si="41"/>
        <v>0</v>
      </c>
      <c r="BA36" s="206">
        <f t="shared" si="42"/>
        <v>0</v>
      </c>
      <c r="BB36" s="206">
        <f t="shared" si="43"/>
        <v>0</v>
      </c>
      <c r="BC36" s="206">
        <f t="shared" si="43"/>
        <v>0</v>
      </c>
    </row>
    <row r="37" spans="1:55" ht="24" customHeight="1">
      <c r="A37" s="36">
        <v>1</v>
      </c>
      <c r="B37" s="36">
        <v>1</v>
      </c>
      <c r="C37" s="112">
        <v>518200</v>
      </c>
      <c r="D37" s="396" t="s">
        <v>191</v>
      </c>
      <c r="E37" s="219" t="s">
        <v>203</v>
      </c>
      <c r="F37" s="124">
        <v>0.2</v>
      </c>
      <c r="G37" s="125" t="s">
        <v>80</v>
      </c>
      <c r="H37" s="111"/>
      <c r="I37" s="111">
        <f t="shared" si="24"/>
        <v>0</v>
      </c>
      <c r="J37" s="68" t="s">
        <v>192</v>
      </c>
      <c r="K37" s="68"/>
      <c r="L37" s="69"/>
      <c r="M37" s="37"/>
      <c r="N37" s="37"/>
      <c r="O37" s="231"/>
      <c r="P37" s="232"/>
      <c r="Q37" s="233"/>
      <c r="R37" s="233"/>
      <c r="S37" s="233"/>
      <c r="T37" s="233"/>
      <c r="U37" s="233"/>
      <c r="V37" s="233"/>
      <c r="W37" s="233"/>
      <c r="X37" s="234"/>
      <c r="Y37" s="234"/>
      <c r="Z37" s="234"/>
      <c r="AA37" s="234"/>
      <c r="AB37" s="234"/>
      <c r="AC37" s="233"/>
      <c r="AD37" s="365"/>
      <c r="AE37" s="366"/>
      <c r="AF37" s="233"/>
      <c r="AG37" s="233"/>
      <c r="AH37" s="214"/>
      <c r="AI37" s="624"/>
      <c r="AJ37" s="206">
        <f t="shared" ref="AJ37:AJ46" si="44">$F37*O37</f>
        <v>0</v>
      </c>
      <c r="AK37" s="206">
        <f t="shared" si="26"/>
        <v>0</v>
      </c>
      <c r="AL37" s="206">
        <f t="shared" si="27"/>
        <v>0</v>
      </c>
      <c r="AM37" s="206">
        <f t="shared" si="28"/>
        <v>0</v>
      </c>
      <c r="AN37" s="206">
        <f t="shared" si="29"/>
        <v>0</v>
      </c>
      <c r="AO37" s="206">
        <f t="shared" si="30"/>
        <v>0</v>
      </c>
      <c r="AP37" s="206">
        <f t="shared" si="31"/>
        <v>0</v>
      </c>
      <c r="AQ37" s="206">
        <f t="shared" si="32"/>
        <v>0</v>
      </c>
      <c r="AR37" s="206">
        <f t="shared" si="33"/>
        <v>0</v>
      </c>
      <c r="AS37" s="206">
        <f t="shared" si="34"/>
        <v>0</v>
      </c>
      <c r="AT37" s="206">
        <f t="shared" si="35"/>
        <v>0</v>
      </c>
      <c r="AU37" s="206">
        <f t="shared" si="36"/>
        <v>0</v>
      </c>
      <c r="AV37" s="206">
        <f t="shared" si="37"/>
        <v>0</v>
      </c>
      <c r="AW37" s="206">
        <f t="shared" si="38"/>
        <v>0</v>
      </c>
      <c r="AX37" s="206">
        <f t="shared" si="39"/>
        <v>0</v>
      </c>
      <c r="AY37" s="206">
        <f t="shared" si="40"/>
        <v>0</v>
      </c>
      <c r="AZ37" s="206">
        <f t="shared" si="41"/>
        <v>0</v>
      </c>
      <c r="BA37" s="206">
        <f t="shared" si="42"/>
        <v>0</v>
      </c>
      <c r="BB37" s="206">
        <f t="shared" si="43"/>
        <v>0</v>
      </c>
      <c r="BC37" s="206">
        <f t="shared" si="43"/>
        <v>0</v>
      </c>
    </row>
    <row r="38" spans="1:55" s="37" customFormat="1" ht="24" customHeight="1">
      <c r="A38" s="36">
        <v>1</v>
      </c>
      <c r="B38" s="36">
        <v>1</v>
      </c>
      <c r="C38" s="112">
        <v>5008</v>
      </c>
      <c r="D38" s="396" t="s">
        <v>193</v>
      </c>
      <c r="E38" s="109" t="s">
        <v>194</v>
      </c>
      <c r="F38" s="124">
        <v>0.2</v>
      </c>
      <c r="G38" s="125" t="s">
        <v>80</v>
      </c>
      <c r="H38" s="111"/>
      <c r="I38" s="111">
        <f t="shared" si="24"/>
        <v>0</v>
      </c>
      <c r="J38" s="68"/>
      <c r="K38" s="68"/>
      <c r="L38" s="69"/>
      <c r="O38" s="231"/>
      <c r="P38" s="232"/>
      <c r="Q38" s="233"/>
      <c r="R38" s="233"/>
      <c r="S38" s="233"/>
      <c r="T38" s="233"/>
      <c r="U38" s="233"/>
      <c r="V38" s="233"/>
      <c r="W38" s="233"/>
      <c r="X38" s="234"/>
      <c r="Y38" s="234"/>
      <c r="Z38" s="234"/>
      <c r="AA38" s="234"/>
      <c r="AB38" s="234"/>
      <c r="AC38" s="233"/>
      <c r="AD38" s="365"/>
      <c r="AE38" s="366"/>
      <c r="AF38" s="233"/>
      <c r="AG38" s="233"/>
      <c r="AH38" s="214"/>
      <c r="AI38" s="624"/>
      <c r="AJ38" s="206">
        <f t="shared" si="44"/>
        <v>0</v>
      </c>
      <c r="AK38" s="206">
        <f t="shared" si="26"/>
        <v>0</v>
      </c>
      <c r="AL38" s="206">
        <f t="shared" si="27"/>
        <v>0</v>
      </c>
      <c r="AM38" s="206">
        <f t="shared" si="28"/>
        <v>0</v>
      </c>
      <c r="AN38" s="206">
        <f t="shared" si="29"/>
        <v>0</v>
      </c>
      <c r="AO38" s="206">
        <f t="shared" si="30"/>
        <v>0</v>
      </c>
      <c r="AP38" s="206">
        <f t="shared" si="31"/>
        <v>0</v>
      </c>
      <c r="AQ38" s="206">
        <f t="shared" si="32"/>
        <v>0</v>
      </c>
      <c r="AR38" s="206">
        <f t="shared" si="33"/>
        <v>0</v>
      </c>
      <c r="AS38" s="206">
        <f t="shared" si="34"/>
        <v>0</v>
      </c>
      <c r="AT38" s="206">
        <f t="shared" si="35"/>
        <v>0</v>
      </c>
      <c r="AU38" s="206">
        <f t="shared" si="36"/>
        <v>0</v>
      </c>
      <c r="AV38" s="206">
        <f t="shared" si="37"/>
        <v>0</v>
      </c>
      <c r="AW38" s="206">
        <f t="shared" si="38"/>
        <v>0</v>
      </c>
      <c r="AX38" s="206">
        <f t="shared" si="39"/>
        <v>0</v>
      </c>
      <c r="AY38" s="206">
        <f t="shared" si="40"/>
        <v>0</v>
      </c>
      <c r="AZ38" s="206">
        <f t="shared" si="41"/>
        <v>0</v>
      </c>
      <c r="BA38" s="206">
        <f t="shared" si="42"/>
        <v>0</v>
      </c>
      <c r="BB38" s="206">
        <f t="shared" si="43"/>
        <v>0</v>
      </c>
      <c r="BC38" s="206">
        <f t="shared" si="43"/>
        <v>0</v>
      </c>
    </row>
    <row r="39" spans="1:55" ht="24" customHeight="1">
      <c r="A39" s="36">
        <v>1</v>
      </c>
      <c r="B39" s="36">
        <v>1</v>
      </c>
      <c r="C39" s="112">
        <v>6001</v>
      </c>
      <c r="D39" s="396" t="s">
        <v>195</v>
      </c>
      <c r="E39" s="109" t="s">
        <v>194</v>
      </c>
      <c r="F39" s="124">
        <v>0.2</v>
      </c>
      <c r="G39" s="125" t="s">
        <v>164</v>
      </c>
      <c r="H39" s="111"/>
      <c r="I39" s="111">
        <f t="shared" si="24"/>
        <v>0</v>
      </c>
      <c r="J39" s="68"/>
      <c r="K39" s="68"/>
      <c r="L39" s="69"/>
      <c r="M39" s="37"/>
      <c r="N39" s="37"/>
      <c r="O39" s="231"/>
      <c r="P39" s="232"/>
      <c r="Q39" s="233"/>
      <c r="R39" s="233"/>
      <c r="S39" s="233"/>
      <c r="T39" s="233"/>
      <c r="U39" s="233"/>
      <c r="V39" s="233"/>
      <c r="W39" s="233"/>
      <c r="X39" s="234"/>
      <c r="Y39" s="234"/>
      <c r="Z39" s="234"/>
      <c r="AA39" s="234"/>
      <c r="AB39" s="234"/>
      <c r="AC39" s="233"/>
      <c r="AD39" s="365"/>
      <c r="AE39" s="366"/>
      <c r="AF39" s="233"/>
      <c r="AG39" s="233"/>
      <c r="AH39" s="214"/>
      <c r="AI39" s="624"/>
      <c r="AJ39" s="206">
        <f t="shared" si="44"/>
        <v>0</v>
      </c>
      <c r="AK39" s="206">
        <f t="shared" si="26"/>
        <v>0</v>
      </c>
      <c r="AL39" s="206">
        <f t="shared" si="27"/>
        <v>0</v>
      </c>
      <c r="AM39" s="206">
        <f t="shared" si="28"/>
        <v>0</v>
      </c>
      <c r="AN39" s="206">
        <f t="shared" si="29"/>
        <v>0</v>
      </c>
      <c r="AO39" s="206">
        <f t="shared" si="30"/>
        <v>0</v>
      </c>
      <c r="AP39" s="206">
        <f t="shared" si="31"/>
        <v>0</v>
      </c>
      <c r="AQ39" s="206">
        <f t="shared" si="32"/>
        <v>0</v>
      </c>
      <c r="AR39" s="206">
        <f t="shared" si="33"/>
        <v>0</v>
      </c>
      <c r="AS39" s="206">
        <f t="shared" si="34"/>
        <v>0</v>
      </c>
      <c r="AT39" s="206">
        <f t="shared" si="35"/>
        <v>0</v>
      </c>
      <c r="AU39" s="206">
        <f t="shared" si="36"/>
        <v>0</v>
      </c>
      <c r="AV39" s="206">
        <f t="shared" si="37"/>
        <v>0</v>
      </c>
      <c r="AW39" s="206">
        <f t="shared" si="38"/>
        <v>0</v>
      </c>
      <c r="AX39" s="206">
        <f t="shared" si="39"/>
        <v>0</v>
      </c>
      <c r="AY39" s="206">
        <f t="shared" si="40"/>
        <v>0</v>
      </c>
      <c r="AZ39" s="206">
        <f t="shared" si="41"/>
        <v>0</v>
      </c>
      <c r="BA39" s="206">
        <f t="shared" si="42"/>
        <v>0</v>
      </c>
      <c r="BB39" s="206">
        <f t="shared" si="43"/>
        <v>0</v>
      </c>
      <c r="BC39" s="206">
        <f t="shared" si="43"/>
        <v>0</v>
      </c>
    </row>
    <row r="40" spans="1:55" s="37" customFormat="1" ht="24" customHeight="1">
      <c r="A40" s="36">
        <v>1</v>
      </c>
      <c r="B40" s="36">
        <v>1</v>
      </c>
      <c r="C40" s="112">
        <v>6020</v>
      </c>
      <c r="D40" s="396" t="s">
        <v>246</v>
      </c>
      <c r="E40" s="109" t="s">
        <v>196</v>
      </c>
      <c r="F40" s="124">
        <v>0.2</v>
      </c>
      <c r="G40" s="125" t="s">
        <v>197</v>
      </c>
      <c r="H40" s="111"/>
      <c r="I40" s="111">
        <f t="shared" si="24"/>
        <v>0</v>
      </c>
      <c r="J40" s="68" t="s">
        <v>198</v>
      </c>
      <c r="K40" s="68"/>
      <c r="L40" s="69"/>
      <c r="O40" s="231"/>
      <c r="P40" s="232"/>
      <c r="Q40" s="233"/>
      <c r="R40" s="233"/>
      <c r="S40" s="233"/>
      <c r="T40" s="233"/>
      <c r="U40" s="233"/>
      <c r="V40" s="233"/>
      <c r="W40" s="233"/>
      <c r="X40" s="234"/>
      <c r="Y40" s="234"/>
      <c r="Z40" s="234"/>
      <c r="AA40" s="234"/>
      <c r="AB40" s="234"/>
      <c r="AC40" s="233"/>
      <c r="AD40" s="365"/>
      <c r="AE40" s="366"/>
      <c r="AF40" s="233"/>
      <c r="AG40" s="233"/>
      <c r="AH40" s="214"/>
      <c r="AI40" s="624"/>
      <c r="AJ40" s="206">
        <f t="shared" si="44"/>
        <v>0</v>
      </c>
      <c r="AK40" s="206">
        <f t="shared" si="26"/>
        <v>0</v>
      </c>
      <c r="AL40" s="206">
        <f t="shared" si="27"/>
        <v>0</v>
      </c>
      <c r="AM40" s="206">
        <f t="shared" si="28"/>
        <v>0</v>
      </c>
      <c r="AN40" s="206">
        <f t="shared" si="29"/>
        <v>0</v>
      </c>
      <c r="AO40" s="206">
        <f t="shared" si="30"/>
        <v>0</v>
      </c>
      <c r="AP40" s="206">
        <f t="shared" si="31"/>
        <v>0</v>
      </c>
      <c r="AQ40" s="206">
        <f t="shared" si="32"/>
        <v>0</v>
      </c>
      <c r="AR40" s="206">
        <f t="shared" si="33"/>
        <v>0</v>
      </c>
      <c r="AS40" s="206">
        <f t="shared" si="34"/>
        <v>0</v>
      </c>
      <c r="AT40" s="206">
        <f t="shared" si="35"/>
        <v>0</v>
      </c>
      <c r="AU40" s="206">
        <f t="shared" si="36"/>
        <v>0</v>
      </c>
      <c r="AV40" s="206">
        <f t="shared" si="37"/>
        <v>0</v>
      </c>
      <c r="AW40" s="206">
        <f t="shared" si="38"/>
        <v>0</v>
      </c>
      <c r="AX40" s="206">
        <f t="shared" si="39"/>
        <v>0</v>
      </c>
      <c r="AY40" s="206">
        <f t="shared" si="40"/>
        <v>0</v>
      </c>
      <c r="AZ40" s="206">
        <f t="shared" si="41"/>
        <v>0</v>
      </c>
      <c r="BA40" s="206">
        <f t="shared" si="42"/>
        <v>0</v>
      </c>
      <c r="BB40" s="206">
        <f t="shared" si="43"/>
        <v>0</v>
      </c>
      <c r="BC40" s="206">
        <f t="shared" si="43"/>
        <v>0</v>
      </c>
    </row>
    <row r="41" spans="1:55" s="37" customFormat="1" ht="24" customHeight="1">
      <c r="A41" s="36"/>
      <c r="B41" s="36"/>
      <c r="C41" s="134"/>
      <c r="D41" s="68"/>
      <c r="E41" s="124"/>
      <c r="F41" s="124"/>
      <c r="G41" s="125"/>
      <c r="H41" s="141"/>
      <c r="I41" s="111" t="str">
        <f>IF(F41="","",ROUNDDOWN(F41*H41,0))</f>
        <v/>
      </c>
      <c r="J41" s="67"/>
      <c r="K41" s="68"/>
      <c r="L41" s="69"/>
      <c r="O41" s="231"/>
      <c r="P41" s="232"/>
      <c r="Q41" s="233"/>
      <c r="R41" s="233"/>
      <c r="S41" s="233"/>
      <c r="T41" s="233"/>
      <c r="U41" s="233"/>
      <c r="V41" s="233"/>
      <c r="W41" s="233"/>
      <c r="X41" s="234"/>
      <c r="Y41" s="234"/>
      <c r="Z41" s="234"/>
      <c r="AA41" s="234"/>
      <c r="AB41" s="234"/>
      <c r="AC41" s="233"/>
      <c r="AD41" s="365"/>
      <c r="AE41" s="366"/>
      <c r="AF41" s="233"/>
      <c r="AG41" s="233"/>
      <c r="AH41" s="214"/>
      <c r="AI41" s="624"/>
      <c r="AJ41" s="206">
        <f t="shared" si="44"/>
        <v>0</v>
      </c>
      <c r="AK41" s="206">
        <f t="shared" si="26"/>
        <v>0</v>
      </c>
      <c r="AL41" s="206">
        <f t="shared" si="27"/>
        <v>0</v>
      </c>
      <c r="AM41" s="206">
        <f t="shared" si="28"/>
        <v>0</v>
      </c>
      <c r="AN41" s="206">
        <f t="shared" si="29"/>
        <v>0</v>
      </c>
      <c r="AO41" s="206">
        <f t="shared" si="30"/>
        <v>0</v>
      </c>
      <c r="AP41" s="206">
        <f t="shared" si="31"/>
        <v>0</v>
      </c>
      <c r="AQ41" s="206">
        <f t="shared" si="32"/>
        <v>0</v>
      </c>
      <c r="AR41" s="206">
        <f t="shared" si="33"/>
        <v>0</v>
      </c>
      <c r="AS41" s="206">
        <f t="shared" si="34"/>
        <v>0</v>
      </c>
      <c r="AT41" s="206">
        <f t="shared" si="35"/>
        <v>0</v>
      </c>
      <c r="AU41" s="206">
        <f t="shared" si="36"/>
        <v>0</v>
      </c>
      <c r="AV41" s="206">
        <f t="shared" si="37"/>
        <v>0</v>
      </c>
      <c r="AW41" s="206">
        <f t="shared" si="38"/>
        <v>0</v>
      </c>
      <c r="AX41" s="206">
        <f t="shared" si="39"/>
        <v>0</v>
      </c>
      <c r="AY41" s="206">
        <f t="shared" si="40"/>
        <v>0</v>
      </c>
      <c r="AZ41" s="206">
        <f t="shared" si="41"/>
        <v>0</v>
      </c>
      <c r="BA41" s="206">
        <f t="shared" si="42"/>
        <v>0</v>
      </c>
      <c r="BB41" s="206">
        <f t="shared" si="43"/>
        <v>0</v>
      </c>
      <c r="BC41" s="206">
        <f t="shared" si="43"/>
        <v>0</v>
      </c>
    </row>
    <row r="42" spans="1:55" s="37" customFormat="1" ht="24" customHeight="1">
      <c r="A42" s="36"/>
      <c r="B42" s="36"/>
      <c r="C42" s="134"/>
      <c r="D42" s="357" t="s">
        <v>269</v>
      </c>
      <c r="E42" s="110"/>
      <c r="F42" s="124"/>
      <c r="G42" s="125"/>
      <c r="H42" s="141"/>
      <c r="I42" s="111" t="str">
        <f>IF(F42="","",ROUNDDOWN(F42*H42,0))</f>
        <v/>
      </c>
      <c r="J42" s="67"/>
      <c r="K42" s="68"/>
      <c r="L42" s="69"/>
      <c r="O42" s="231"/>
      <c r="P42" s="232"/>
      <c r="Q42" s="233"/>
      <c r="R42" s="233"/>
      <c r="S42" s="233"/>
      <c r="T42" s="233"/>
      <c r="U42" s="233"/>
      <c r="V42" s="233"/>
      <c r="W42" s="233"/>
      <c r="X42" s="234"/>
      <c r="Y42" s="234"/>
      <c r="Z42" s="234"/>
      <c r="AA42" s="234"/>
      <c r="AB42" s="234"/>
      <c r="AC42" s="233"/>
      <c r="AD42" s="365"/>
      <c r="AE42" s="366"/>
      <c r="AF42" s="233"/>
      <c r="AG42" s="233"/>
      <c r="AH42" s="214"/>
      <c r="AI42" s="624"/>
      <c r="AJ42" s="206">
        <f t="shared" si="44"/>
        <v>0</v>
      </c>
      <c r="AK42" s="206">
        <f t="shared" si="26"/>
        <v>0</v>
      </c>
      <c r="AL42" s="206">
        <f t="shared" si="27"/>
        <v>0</v>
      </c>
      <c r="AM42" s="206">
        <f t="shared" si="28"/>
        <v>0</v>
      </c>
      <c r="AN42" s="206">
        <f t="shared" si="29"/>
        <v>0</v>
      </c>
      <c r="AO42" s="206">
        <f t="shared" si="30"/>
        <v>0</v>
      </c>
      <c r="AP42" s="206">
        <f t="shared" si="31"/>
        <v>0</v>
      </c>
      <c r="AQ42" s="206">
        <f t="shared" si="32"/>
        <v>0</v>
      </c>
      <c r="AR42" s="206">
        <f t="shared" si="33"/>
        <v>0</v>
      </c>
      <c r="AS42" s="206">
        <f t="shared" si="34"/>
        <v>0</v>
      </c>
      <c r="AT42" s="206">
        <f t="shared" si="35"/>
        <v>0</v>
      </c>
      <c r="AU42" s="206">
        <f t="shared" si="36"/>
        <v>0</v>
      </c>
      <c r="AV42" s="206">
        <f t="shared" si="37"/>
        <v>0</v>
      </c>
      <c r="AW42" s="206">
        <f t="shared" si="38"/>
        <v>0</v>
      </c>
      <c r="AX42" s="206">
        <f t="shared" si="39"/>
        <v>0</v>
      </c>
      <c r="AY42" s="206">
        <f t="shared" si="40"/>
        <v>0</v>
      </c>
      <c r="AZ42" s="206">
        <f t="shared" si="41"/>
        <v>0</v>
      </c>
      <c r="BA42" s="206">
        <f t="shared" si="42"/>
        <v>0</v>
      </c>
      <c r="BB42" s="206">
        <f t="shared" si="43"/>
        <v>0</v>
      </c>
      <c r="BC42" s="206">
        <f t="shared" si="43"/>
        <v>0</v>
      </c>
    </row>
    <row r="43" spans="1:55" s="37" customFormat="1" ht="24" customHeight="1">
      <c r="A43" s="36"/>
      <c r="B43" s="36"/>
      <c r="C43" s="134"/>
      <c r="D43" s="357" t="s">
        <v>270</v>
      </c>
      <c r="E43" s="124"/>
      <c r="F43" s="110"/>
      <c r="G43" s="125"/>
      <c r="H43" s="141"/>
      <c r="I43" s="111" t="str">
        <f>IF(F43="","",ROUNDDOWN(F43*H43,0))</f>
        <v/>
      </c>
      <c r="J43" s="67"/>
      <c r="K43" s="68"/>
      <c r="L43" s="69"/>
      <c r="O43" s="231"/>
      <c r="P43" s="232"/>
      <c r="Q43" s="233"/>
      <c r="R43" s="233"/>
      <c r="S43" s="233"/>
      <c r="T43" s="233"/>
      <c r="U43" s="233"/>
      <c r="V43" s="233"/>
      <c r="W43" s="233"/>
      <c r="X43" s="234"/>
      <c r="Y43" s="234"/>
      <c r="Z43" s="234"/>
      <c r="AA43" s="234"/>
      <c r="AB43" s="234"/>
      <c r="AC43" s="233"/>
      <c r="AD43" s="365"/>
      <c r="AE43" s="366"/>
      <c r="AF43" s="233"/>
      <c r="AG43" s="233"/>
      <c r="AH43" s="214"/>
      <c r="AI43" s="624"/>
      <c r="AJ43" s="206">
        <f t="shared" si="44"/>
        <v>0</v>
      </c>
      <c r="AK43" s="206">
        <f t="shared" si="26"/>
        <v>0</v>
      </c>
      <c r="AL43" s="206">
        <f t="shared" si="27"/>
        <v>0</v>
      </c>
      <c r="AM43" s="206">
        <f t="shared" si="28"/>
        <v>0</v>
      </c>
      <c r="AN43" s="206">
        <f t="shared" si="29"/>
        <v>0</v>
      </c>
      <c r="AO43" s="206">
        <f t="shared" si="30"/>
        <v>0</v>
      </c>
      <c r="AP43" s="206">
        <f t="shared" si="31"/>
        <v>0</v>
      </c>
      <c r="AQ43" s="206">
        <f t="shared" si="32"/>
        <v>0</v>
      </c>
      <c r="AR43" s="206">
        <f t="shared" si="33"/>
        <v>0</v>
      </c>
      <c r="AS43" s="206">
        <f t="shared" si="34"/>
        <v>0</v>
      </c>
      <c r="AT43" s="206">
        <f t="shared" si="35"/>
        <v>0</v>
      </c>
      <c r="AU43" s="206">
        <f t="shared" si="36"/>
        <v>0</v>
      </c>
      <c r="AV43" s="206">
        <f t="shared" si="37"/>
        <v>0</v>
      </c>
      <c r="AW43" s="206">
        <f t="shared" si="38"/>
        <v>0</v>
      </c>
      <c r="AX43" s="206">
        <f t="shared" si="39"/>
        <v>0</v>
      </c>
      <c r="AY43" s="206">
        <f t="shared" si="40"/>
        <v>0</v>
      </c>
      <c r="AZ43" s="206">
        <f t="shared" si="41"/>
        <v>0</v>
      </c>
      <c r="BA43" s="206">
        <f t="shared" si="42"/>
        <v>0</v>
      </c>
      <c r="BB43" s="206">
        <f t="shared" si="43"/>
        <v>0</v>
      </c>
      <c r="BC43" s="206">
        <f t="shared" si="43"/>
        <v>0</v>
      </c>
    </row>
    <row r="44" spans="1:55" s="37" customFormat="1" ht="24" customHeight="1">
      <c r="A44" s="36"/>
      <c r="B44" s="36"/>
      <c r="C44" s="134"/>
      <c r="D44" s="357" t="s">
        <v>271</v>
      </c>
      <c r="E44" s="124"/>
      <c r="F44" s="124"/>
      <c r="G44" s="125"/>
      <c r="H44" s="141"/>
      <c r="I44" s="111"/>
      <c r="J44" s="67"/>
      <c r="K44" s="68"/>
      <c r="L44" s="69"/>
      <c r="O44" s="231"/>
      <c r="P44" s="232"/>
      <c r="Q44" s="233"/>
      <c r="R44" s="233"/>
      <c r="S44" s="233"/>
      <c r="T44" s="233"/>
      <c r="U44" s="233"/>
      <c r="V44" s="233"/>
      <c r="W44" s="233"/>
      <c r="X44" s="234"/>
      <c r="Y44" s="234"/>
      <c r="Z44" s="234"/>
      <c r="AA44" s="234"/>
      <c r="AB44" s="234"/>
      <c r="AC44" s="233"/>
      <c r="AD44" s="365"/>
      <c r="AE44" s="366"/>
      <c r="AF44" s="233"/>
      <c r="AG44" s="233"/>
      <c r="AH44" s="214"/>
      <c r="AI44" s="624"/>
      <c r="AJ44" s="206">
        <f t="shared" si="44"/>
        <v>0</v>
      </c>
      <c r="AK44" s="206">
        <f t="shared" si="26"/>
        <v>0</v>
      </c>
      <c r="AL44" s="206">
        <f t="shared" si="27"/>
        <v>0</v>
      </c>
      <c r="AM44" s="206">
        <f t="shared" si="28"/>
        <v>0</v>
      </c>
      <c r="AN44" s="206">
        <f t="shared" si="29"/>
        <v>0</v>
      </c>
      <c r="AO44" s="206">
        <f t="shared" si="30"/>
        <v>0</v>
      </c>
      <c r="AP44" s="206">
        <f t="shared" si="31"/>
        <v>0</v>
      </c>
      <c r="AQ44" s="206">
        <f t="shared" si="32"/>
        <v>0</v>
      </c>
      <c r="AR44" s="206">
        <f t="shared" si="33"/>
        <v>0</v>
      </c>
      <c r="AS44" s="206">
        <f t="shared" si="34"/>
        <v>0</v>
      </c>
      <c r="AT44" s="206">
        <f t="shared" si="35"/>
        <v>0</v>
      </c>
      <c r="AU44" s="206">
        <f t="shared" si="36"/>
        <v>0</v>
      </c>
      <c r="AV44" s="206">
        <f t="shared" si="37"/>
        <v>0</v>
      </c>
      <c r="AW44" s="206">
        <f t="shared" si="38"/>
        <v>0</v>
      </c>
      <c r="AX44" s="206">
        <f t="shared" si="39"/>
        <v>0</v>
      </c>
      <c r="AY44" s="206">
        <f t="shared" si="40"/>
        <v>0</v>
      </c>
      <c r="AZ44" s="206">
        <f t="shared" si="41"/>
        <v>0</v>
      </c>
      <c r="BA44" s="206">
        <f t="shared" si="42"/>
        <v>0</v>
      </c>
      <c r="BB44" s="206">
        <f t="shared" si="43"/>
        <v>0</v>
      </c>
      <c r="BC44" s="206">
        <f t="shared" si="43"/>
        <v>0</v>
      </c>
    </row>
    <row r="45" spans="1:55" s="37" customFormat="1" ht="24" customHeight="1">
      <c r="A45" s="36"/>
      <c r="B45" s="36"/>
      <c r="C45" s="134"/>
      <c r="D45" s="135"/>
      <c r="E45" s="358" t="s">
        <v>204</v>
      </c>
      <c r="F45" s="124"/>
      <c r="G45" s="125"/>
      <c r="H45" s="141"/>
      <c r="I45" s="111" t="str">
        <f>IF(F45="","",ROUNDDOWN(F45*H45,0))</f>
        <v/>
      </c>
      <c r="J45" s="67"/>
      <c r="K45" s="68"/>
      <c r="L45" s="69"/>
      <c r="O45" s="231"/>
      <c r="P45" s="232"/>
      <c r="Q45" s="233"/>
      <c r="R45" s="233"/>
      <c r="S45" s="233"/>
      <c r="T45" s="233"/>
      <c r="U45" s="233"/>
      <c r="V45" s="233"/>
      <c r="W45" s="233"/>
      <c r="X45" s="234"/>
      <c r="Y45" s="234"/>
      <c r="Z45" s="234"/>
      <c r="AA45" s="234"/>
      <c r="AB45" s="234"/>
      <c r="AC45" s="233"/>
      <c r="AD45" s="365"/>
      <c r="AE45" s="366"/>
      <c r="AF45" s="233"/>
      <c r="AG45" s="233"/>
      <c r="AH45" s="214"/>
      <c r="AI45" s="624"/>
      <c r="AJ45" s="206">
        <f t="shared" si="44"/>
        <v>0</v>
      </c>
      <c r="AK45" s="206">
        <f t="shared" si="26"/>
        <v>0</v>
      </c>
      <c r="AL45" s="206">
        <f t="shared" si="27"/>
        <v>0</v>
      </c>
      <c r="AM45" s="206">
        <f t="shared" si="28"/>
        <v>0</v>
      </c>
      <c r="AN45" s="206">
        <f t="shared" si="29"/>
        <v>0</v>
      </c>
      <c r="AO45" s="206">
        <f t="shared" si="30"/>
        <v>0</v>
      </c>
      <c r="AP45" s="206">
        <f t="shared" si="31"/>
        <v>0</v>
      </c>
      <c r="AQ45" s="206">
        <f t="shared" si="32"/>
        <v>0</v>
      </c>
      <c r="AR45" s="206">
        <f t="shared" si="33"/>
        <v>0</v>
      </c>
      <c r="AS45" s="206">
        <f t="shared" si="34"/>
        <v>0</v>
      </c>
      <c r="AT45" s="206">
        <f t="shared" si="35"/>
        <v>0</v>
      </c>
      <c r="AU45" s="206">
        <f t="shared" si="36"/>
        <v>0</v>
      </c>
      <c r="AV45" s="206">
        <f t="shared" si="37"/>
        <v>0</v>
      </c>
      <c r="AW45" s="206">
        <f t="shared" si="38"/>
        <v>0</v>
      </c>
      <c r="AX45" s="206">
        <f t="shared" si="39"/>
        <v>0</v>
      </c>
      <c r="AY45" s="206">
        <f t="shared" si="40"/>
        <v>0</v>
      </c>
      <c r="AZ45" s="206">
        <f t="shared" si="41"/>
        <v>0</v>
      </c>
      <c r="BA45" s="206">
        <f t="shared" si="42"/>
        <v>0</v>
      </c>
      <c r="BB45" s="206">
        <f t="shared" si="43"/>
        <v>0</v>
      </c>
      <c r="BC45" s="206">
        <f t="shared" si="43"/>
        <v>0</v>
      </c>
    </row>
    <row r="46" spans="1:55" s="37" customFormat="1" ht="24" customHeight="1">
      <c r="A46" s="36"/>
      <c r="B46" s="36"/>
      <c r="C46" s="134"/>
      <c r="D46" s="135"/>
      <c r="E46" s="358"/>
      <c r="F46" s="124"/>
      <c r="G46" s="125"/>
      <c r="H46" s="141"/>
      <c r="I46" s="111"/>
      <c r="J46" s="67"/>
      <c r="K46" s="68"/>
      <c r="L46" s="69"/>
      <c r="O46" s="231"/>
      <c r="P46" s="232"/>
      <c r="Q46" s="233"/>
      <c r="R46" s="233"/>
      <c r="S46" s="233"/>
      <c r="T46" s="233"/>
      <c r="U46" s="233"/>
      <c r="V46" s="233"/>
      <c r="W46" s="233"/>
      <c r="X46" s="234"/>
      <c r="Y46" s="234"/>
      <c r="Z46" s="234"/>
      <c r="AA46" s="234"/>
      <c r="AB46" s="234"/>
      <c r="AC46" s="233"/>
      <c r="AD46" s="365"/>
      <c r="AE46" s="366"/>
      <c r="AF46" s="233"/>
      <c r="AG46" s="233"/>
      <c r="AH46" s="214"/>
      <c r="AI46" s="624"/>
      <c r="AJ46" s="206">
        <f t="shared" si="44"/>
        <v>0</v>
      </c>
      <c r="AK46" s="206">
        <f t="shared" si="26"/>
        <v>0</v>
      </c>
      <c r="AL46" s="206">
        <f t="shared" si="27"/>
        <v>0</v>
      </c>
      <c r="AM46" s="206">
        <f t="shared" si="28"/>
        <v>0</v>
      </c>
      <c r="AN46" s="206">
        <f t="shared" si="29"/>
        <v>0</v>
      </c>
      <c r="AO46" s="206">
        <f t="shared" si="30"/>
        <v>0</v>
      </c>
      <c r="AP46" s="206">
        <f t="shared" si="31"/>
        <v>0</v>
      </c>
      <c r="AQ46" s="206">
        <f t="shared" si="32"/>
        <v>0</v>
      </c>
      <c r="AR46" s="206">
        <f t="shared" si="33"/>
        <v>0</v>
      </c>
      <c r="AS46" s="206">
        <f t="shared" si="34"/>
        <v>0</v>
      </c>
      <c r="AT46" s="206">
        <f t="shared" si="35"/>
        <v>0</v>
      </c>
      <c r="AU46" s="206">
        <f t="shared" si="36"/>
        <v>0</v>
      </c>
      <c r="AV46" s="206">
        <f t="shared" si="37"/>
        <v>0</v>
      </c>
      <c r="AW46" s="206">
        <f t="shared" si="38"/>
        <v>0</v>
      </c>
      <c r="AX46" s="206">
        <f t="shared" si="39"/>
        <v>0</v>
      </c>
      <c r="AY46" s="206">
        <f t="shared" si="40"/>
        <v>0</v>
      </c>
      <c r="AZ46" s="206">
        <f t="shared" si="41"/>
        <v>0</v>
      </c>
      <c r="BA46" s="206">
        <f t="shared" si="42"/>
        <v>0</v>
      </c>
      <c r="BB46" s="206">
        <f t="shared" si="43"/>
        <v>0</v>
      </c>
      <c r="BC46" s="206">
        <f>$F46*AH46</f>
        <v>0</v>
      </c>
    </row>
    <row r="47" spans="1:55" ht="24" customHeight="1" thickBot="1">
      <c r="A47" s="36"/>
      <c r="B47" s="36"/>
      <c r="C47" s="113"/>
      <c r="D47" s="99" t="s">
        <v>9</v>
      </c>
      <c r="E47" s="114"/>
      <c r="F47" s="290"/>
      <c r="G47" s="127"/>
      <c r="H47" s="137" t="s">
        <v>90</v>
      </c>
      <c r="I47" s="208">
        <f>SUM(I29:I46)</f>
        <v>0</v>
      </c>
      <c r="J47" s="99" t="s">
        <v>91</v>
      </c>
      <c r="K47" s="99"/>
      <c r="L47" s="129"/>
      <c r="N47"/>
      <c r="O47" s="301">
        <f t="shared" ref="O47:AH47" si="45">AJ47</f>
        <v>0</v>
      </c>
      <c r="P47" s="302">
        <f t="shared" si="45"/>
        <v>0</v>
      </c>
      <c r="Q47" s="303">
        <f t="shared" si="45"/>
        <v>0</v>
      </c>
      <c r="R47" s="303">
        <f t="shared" si="45"/>
        <v>0</v>
      </c>
      <c r="S47" s="303">
        <f t="shared" si="45"/>
        <v>0</v>
      </c>
      <c r="T47" s="303">
        <f t="shared" si="45"/>
        <v>0</v>
      </c>
      <c r="U47" s="303">
        <f t="shared" si="45"/>
        <v>0</v>
      </c>
      <c r="V47" s="304">
        <f t="shared" si="45"/>
        <v>0</v>
      </c>
      <c r="W47" s="304">
        <f t="shared" si="45"/>
        <v>0</v>
      </c>
      <c r="X47" s="304">
        <f t="shared" si="45"/>
        <v>0</v>
      </c>
      <c r="Y47" s="304">
        <f t="shared" si="45"/>
        <v>0</v>
      </c>
      <c r="Z47" s="304">
        <f t="shared" si="45"/>
        <v>0</v>
      </c>
      <c r="AA47" s="304">
        <f t="shared" si="45"/>
        <v>0</v>
      </c>
      <c r="AB47" s="397">
        <f t="shared" si="45"/>
        <v>0</v>
      </c>
      <c r="AC47" s="304">
        <f t="shared" si="45"/>
        <v>0</v>
      </c>
      <c r="AD47" s="301">
        <f t="shared" si="45"/>
        <v>0</v>
      </c>
      <c r="AE47" s="303">
        <f t="shared" si="45"/>
        <v>0</v>
      </c>
      <c r="AF47" s="304">
        <f t="shared" si="45"/>
        <v>0</v>
      </c>
      <c r="AG47" s="304">
        <f t="shared" si="45"/>
        <v>0</v>
      </c>
      <c r="AH47" s="304">
        <f t="shared" si="45"/>
        <v>0</v>
      </c>
      <c r="AI47" s="624"/>
      <c r="AJ47" s="207">
        <f t="shared" ref="AJ47:BB47" si="46">SUM(AJ29:AJ46)</f>
        <v>0</v>
      </c>
      <c r="AK47" s="207">
        <f t="shared" si="46"/>
        <v>0</v>
      </c>
      <c r="AL47" s="207">
        <f t="shared" si="46"/>
        <v>0</v>
      </c>
      <c r="AM47" s="207">
        <f t="shared" si="46"/>
        <v>0</v>
      </c>
      <c r="AN47" s="207">
        <f t="shared" si="46"/>
        <v>0</v>
      </c>
      <c r="AO47" s="207">
        <f t="shared" si="46"/>
        <v>0</v>
      </c>
      <c r="AP47" s="207">
        <f t="shared" si="46"/>
        <v>0</v>
      </c>
      <c r="AQ47" s="207">
        <f t="shared" si="46"/>
        <v>0</v>
      </c>
      <c r="AR47" s="207">
        <f t="shared" si="46"/>
        <v>0</v>
      </c>
      <c r="AS47" s="207">
        <f t="shared" si="46"/>
        <v>0</v>
      </c>
      <c r="AT47" s="207">
        <f t="shared" si="46"/>
        <v>0</v>
      </c>
      <c r="AU47" s="207">
        <f t="shared" si="46"/>
        <v>0</v>
      </c>
      <c r="AV47" s="207">
        <f t="shared" si="46"/>
        <v>0</v>
      </c>
      <c r="AW47" s="207">
        <f t="shared" si="46"/>
        <v>0</v>
      </c>
      <c r="AX47" s="207">
        <f t="shared" si="46"/>
        <v>0</v>
      </c>
      <c r="AY47" s="207">
        <f t="shared" si="46"/>
        <v>0</v>
      </c>
      <c r="AZ47" s="207">
        <f t="shared" si="46"/>
        <v>0</v>
      </c>
      <c r="BA47" s="207">
        <f t="shared" si="46"/>
        <v>0</v>
      </c>
      <c r="BB47" s="207">
        <f t="shared" si="46"/>
        <v>0</v>
      </c>
      <c r="BC47" s="207">
        <f>SUM(BC29:BC46)</f>
        <v>0</v>
      </c>
    </row>
    <row r="48" spans="1:55" ht="14.25" customHeight="1">
      <c r="E48" s="130" t="s">
        <v>108</v>
      </c>
      <c r="F48" s="131">
        <f>+F25+1</f>
        <v>2</v>
      </c>
      <c r="G48" s="132" t="s">
        <v>109</v>
      </c>
      <c r="H48" s="133">
        <f>+H25</f>
        <v>0</v>
      </c>
      <c r="I48" s="133"/>
      <c r="M48" s="31" t="str">
        <f>IF(A50="","EOL","")</f>
        <v>EOL</v>
      </c>
      <c r="N48" s="1">
        <f>+F48</f>
        <v>2</v>
      </c>
    </row>
  </sheetData>
  <mergeCells count="8">
    <mergeCell ref="O26:AH26"/>
    <mergeCell ref="O3:AH3"/>
    <mergeCell ref="C26:L26"/>
    <mergeCell ref="J27:L27"/>
    <mergeCell ref="J28:L28"/>
    <mergeCell ref="J5:L5"/>
    <mergeCell ref="C3:L3"/>
    <mergeCell ref="J4:L4"/>
  </mergeCells>
  <phoneticPr fontId="3"/>
  <printOptions horizontalCentered="1" verticalCentered="1"/>
  <pageMargins left="0.19685039370078741" right="0.19685039370078741" top="0.78740157480314965" bottom="0.19685039370078741" header="0.51181102362204722" footer="0.51181102362204722"/>
  <pageSetup paperSize="9" orientation="landscape" horizontalDpi="300" verticalDpi="300" r:id="rId1"/>
  <headerFooter alignWithMargins="0"/>
  <colBreaks count="1" manualBreakCount="1">
    <brk id="12"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43"/>
  <sheetViews>
    <sheetView view="pageBreakPreview" topLeftCell="B4" zoomScaleNormal="100" zoomScaleSheetLayoutView="100" workbookViewId="0">
      <selection activeCell="M2" sqref="M2"/>
    </sheetView>
  </sheetViews>
  <sheetFormatPr defaultColWidth="9" defaultRowHeight="11.25"/>
  <cols>
    <col min="1" max="1" width="2.625" style="166" hidden="1" customWidth="1"/>
    <col min="2" max="2" width="19.375" style="85" customWidth="1"/>
    <col min="3" max="3" width="22.5" style="85" customWidth="1"/>
    <col min="4" max="4" width="5.125" style="85" customWidth="1"/>
    <col min="5" max="5" width="5.125" style="100" customWidth="1"/>
    <col min="6" max="22" width="5.125" style="85" customWidth="1"/>
    <col min="23" max="27" width="4.75" style="85" customWidth="1"/>
    <col min="28" max="16384" width="9" style="85"/>
  </cols>
  <sheetData>
    <row r="1" spans="1:31" ht="15" customHeight="1">
      <c r="B1" s="181" t="s">
        <v>162</v>
      </c>
      <c r="C1" s="85" t="str">
        <f>工事1!C2</f>
        <v>天井改良工事</v>
      </c>
      <c r="F1" s="166"/>
      <c r="G1" s="339"/>
      <c r="H1" s="340"/>
      <c r="I1" s="340"/>
      <c r="J1" s="341"/>
      <c r="K1" s="342" t="s">
        <v>171</v>
      </c>
      <c r="L1" s="343" t="s">
        <v>172</v>
      </c>
      <c r="M1" s="343" t="s">
        <v>173</v>
      </c>
      <c r="N1" s="344" t="s">
        <v>174</v>
      </c>
      <c r="O1" s="345"/>
      <c r="P1" s="346"/>
      <c r="Q1" s="346"/>
      <c r="R1" s="347"/>
      <c r="S1" s="342" t="s">
        <v>171</v>
      </c>
      <c r="T1" s="343" t="s">
        <v>172</v>
      </c>
      <c r="U1" s="343" t="s">
        <v>173</v>
      </c>
      <c r="V1" s="344" t="s">
        <v>174</v>
      </c>
      <c r="W1" s="338"/>
    </row>
    <row r="2" spans="1:31" ht="15" customHeight="1">
      <c r="B2" s="181"/>
      <c r="E2" s="332"/>
      <c r="G2" s="2264" t="s">
        <v>263</v>
      </c>
      <c r="H2" s="2265"/>
      <c r="I2" s="2265"/>
      <c r="J2" s="2266"/>
      <c r="K2" s="348">
        <f>+H9+L9</f>
        <v>0</v>
      </c>
      <c r="L2" s="349">
        <f>+I9+M9</f>
        <v>0</v>
      </c>
      <c r="M2" s="349">
        <f>+J9+N9</f>
        <v>3563.3599999999997</v>
      </c>
      <c r="N2" s="350">
        <f>+K9+O9</f>
        <v>0</v>
      </c>
      <c r="O2" s="2258" t="s">
        <v>273</v>
      </c>
      <c r="P2" s="2259"/>
      <c r="Q2" s="2259"/>
      <c r="R2" s="2260"/>
      <c r="S2" s="348">
        <f>+P9+T9+X9</f>
        <v>0</v>
      </c>
      <c r="T2" s="349">
        <f>+Q9+U9+Y9</f>
        <v>0</v>
      </c>
      <c r="U2" s="349">
        <f>+R9+V9+Z9</f>
        <v>3104.16</v>
      </c>
      <c r="V2" s="350">
        <f>+S9+W9+AA9</f>
        <v>0</v>
      </c>
      <c r="W2" s="331"/>
    </row>
    <row r="3" spans="1:31" ht="15" customHeight="1">
      <c r="B3" s="181"/>
      <c r="E3" s="332"/>
      <c r="G3" s="2267" t="s">
        <v>264</v>
      </c>
      <c r="H3" s="2268"/>
      <c r="I3" s="2268"/>
      <c r="J3" s="2269"/>
      <c r="K3" s="351">
        <f>+H9</f>
        <v>0</v>
      </c>
      <c r="L3" s="352">
        <f>+I9</f>
        <v>0</v>
      </c>
      <c r="M3" s="352">
        <f>+J9</f>
        <v>459.2</v>
      </c>
      <c r="N3" s="353">
        <f>+K9</f>
        <v>0</v>
      </c>
      <c r="O3" s="2261" t="s">
        <v>274</v>
      </c>
      <c r="P3" s="2262"/>
      <c r="Q3" s="2262"/>
      <c r="R3" s="2263"/>
      <c r="S3" s="351">
        <f>+P9</f>
        <v>0</v>
      </c>
      <c r="T3" s="352">
        <f>+Q9</f>
        <v>0</v>
      </c>
      <c r="U3" s="352">
        <f>+R9</f>
        <v>1919</v>
      </c>
      <c r="V3" s="353">
        <f>+S9</f>
        <v>0</v>
      </c>
      <c r="W3" s="331"/>
    </row>
    <row r="4" spans="1:31" ht="15" customHeight="1">
      <c r="B4" s="181"/>
      <c r="E4" s="332"/>
      <c r="G4" s="2267" t="s">
        <v>265</v>
      </c>
      <c r="H4" s="2268"/>
      <c r="I4" s="2268"/>
      <c r="J4" s="2269"/>
      <c r="K4" s="351">
        <f>+L9</f>
        <v>0</v>
      </c>
      <c r="L4" s="352">
        <f>+M9</f>
        <v>0</v>
      </c>
      <c r="M4" s="352">
        <f>+N9</f>
        <v>3104.16</v>
      </c>
      <c r="N4" s="353">
        <f>+O9</f>
        <v>0</v>
      </c>
      <c r="O4" s="2261" t="s">
        <v>275</v>
      </c>
      <c r="P4" s="2262"/>
      <c r="Q4" s="2262"/>
      <c r="R4" s="2263"/>
      <c r="S4" s="351">
        <f>+T9</f>
        <v>0</v>
      </c>
      <c r="T4" s="352">
        <f>+U9</f>
        <v>0</v>
      </c>
      <c r="U4" s="352">
        <f>+V9</f>
        <v>1185.1600000000001</v>
      </c>
      <c r="V4" s="353">
        <f>+W9</f>
        <v>0</v>
      </c>
      <c r="W4" s="331"/>
    </row>
    <row r="5" spans="1:31" ht="15" customHeight="1">
      <c r="B5" s="181"/>
      <c r="E5" s="332"/>
      <c r="G5" s="2255"/>
      <c r="H5" s="2256"/>
      <c r="I5" s="2256"/>
      <c r="J5" s="2257"/>
      <c r="K5" s="354"/>
      <c r="L5" s="354"/>
      <c r="M5" s="354"/>
      <c r="N5" s="354"/>
      <c r="O5" s="2255" t="s">
        <v>293</v>
      </c>
      <c r="P5" s="2256"/>
      <c r="Q5" s="2256"/>
      <c r="R5" s="2257"/>
      <c r="S5" s="354">
        <f>X9</f>
        <v>0</v>
      </c>
      <c r="T5" s="354">
        <f>Y9</f>
        <v>0</v>
      </c>
      <c r="U5" s="354">
        <f>Z9</f>
        <v>0</v>
      </c>
      <c r="V5" s="355">
        <f>AA9</f>
        <v>0</v>
      </c>
      <c r="W5" s="331"/>
      <c r="AB5" s="356"/>
      <c r="AC5" s="356"/>
      <c r="AD5" s="356"/>
      <c r="AE5" s="356"/>
    </row>
    <row r="6" spans="1:31" ht="7.5" customHeight="1">
      <c r="B6" s="181"/>
      <c r="E6" s="333"/>
      <c r="F6" s="334"/>
      <c r="G6" s="335"/>
      <c r="H6" s="335"/>
      <c r="I6" s="335"/>
      <c r="J6" s="335"/>
      <c r="K6" s="336"/>
      <c r="L6" s="334"/>
      <c r="M6" s="334"/>
      <c r="N6" s="334"/>
      <c r="O6" s="334"/>
      <c r="P6" s="334"/>
      <c r="Q6" s="334"/>
      <c r="R6" s="334"/>
      <c r="S6" s="337"/>
      <c r="T6" s="337"/>
      <c r="U6" s="337"/>
      <c r="V6" s="337"/>
      <c r="W6" s="331"/>
    </row>
    <row r="7" spans="1:31" ht="15" customHeight="1">
      <c r="B7" s="173"/>
      <c r="C7" s="174"/>
      <c r="D7" s="175"/>
      <c r="E7" s="188"/>
      <c r="F7" s="386"/>
      <c r="G7" s="392"/>
      <c r="H7" s="2246" t="s">
        <v>262</v>
      </c>
      <c r="I7" s="2247"/>
      <c r="J7" s="2247"/>
      <c r="K7" s="2248"/>
      <c r="L7" s="2246" t="s">
        <v>290</v>
      </c>
      <c r="M7" s="2247"/>
      <c r="N7" s="2247"/>
      <c r="O7" s="2248"/>
      <c r="P7" s="2246" t="s">
        <v>291</v>
      </c>
      <c r="Q7" s="2247"/>
      <c r="R7" s="2247"/>
      <c r="S7" s="2248"/>
      <c r="T7" s="2246" t="s">
        <v>276</v>
      </c>
      <c r="U7" s="2247"/>
      <c r="V7" s="2247"/>
      <c r="W7" s="2248"/>
      <c r="X7" s="2246" t="s">
        <v>292</v>
      </c>
      <c r="Y7" s="2247"/>
      <c r="Z7" s="2247"/>
      <c r="AA7" s="2248"/>
    </row>
    <row r="8" spans="1:31">
      <c r="B8" s="172" t="s">
        <v>87</v>
      </c>
      <c r="C8" s="156" t="s">
        <v>88</v>
      </c>
      <c r="D8" s="169" t="s">
        <v>23</v>
      </c>
      <c r="E8" s="189" t="s">
        <v>89</v>
      </c>
      <c r="F8" s="387" t="s">
        <v>163</v>
      </c>
      <c r="G8" s="391" t="s">
        <v>303</v>
      </c>
      <c r="H8" s="170" t="s">
        <v>171</v>
      </c>
      <c r="I8" s="56" t="s">
        <v>172</v>
      </c>
      <c r="J8" s="56" t="s">
        <v>173</v>
      </c>
      <c r="K8" s="171" t="s">
        <v>174</v>
      </c>
      <c r="L8" s="170" t="s">
        <v>171</v>
      </c>
      <c r="M8" s="56" t="s">
        <v>172</v>
      </c>
      <c r="N8" s="56" t="s">
        <v>173</v>
      </c>
      <c r="O8" s="171" t="s">
        <v>174</v>
      </c>
      <c r="P8" s="170" t="s">
        <v>171</v>
      </c>
      <c r="Q8" s="56" t="s">
        <v>172</v>
      </c>
      <c r="R8" s="56" t="s">
        <v>173</v>
      </c>
      <c r="S8" s="171" t="s">
        <v>174</v>
      </c>
      <c r="T8" s="170" t="s">
        <v>171</v>
      </c>
      <c r="U8" s="56" t="s">
        <v>172</v>
      </c>
      <c r="V8" s="56" t="s">
        <v>173</v>
      </c>
      <c r="W8" s="171" t="s">
        <v>174</v>
      </c>
      <c r="X8" s="170" t="s">
        <v>171</v>
      </c>
      <c r="Y8" s="56" t="s">
        <v>172</v>
      </c>
      <c r="Z8" s="56" t="s">
        <v>173</v>
      </c>
      <c r="AA8" s="171" t="s">
        <v>174</v>
      </c>
    </row>
    <row r="9" spans="1:31" s="179" customFormat="1" ht="15.75" customHeight="1">
      <c r="A9" s="176"/>
      <c r="B9" s="177"/>
      <c r="C9" s="178"/>
      <c r="D9" s="180"/>
      <c r="E9" s="328" t="s">
        <v>261</v>
      </c>
      <c r="F9" s="388" t="s">
        <v>175</v>
      </c>
      <c r="G9" s="393"/>
      <c r="H9" s="196">
        <f t="shared" ref="H9:AA9" si="0">SUM(H10:H26)</f>
        <v>0</v>
      </c>
      <c r="I9" s="197">
        <f t="shared" si="0"/>
        <v>0</v>
      </c>
      <c r="J9" s="197">
        <f t="shared" si="0"/>
        <v>459.2</v>
      </c>
      <c r="K9" s="198">
        <f t="shared" si="0"/>
        <v>0</v>
      </c>
      <c r="L9" s="196">
        <f t="shared" si="0"/>
        <v>0</v>
      </c>
      <c r="M9" s="197">
        <f t="shared" si="0"/>
        <v>0</v>
      </c>
      <c r="N9" s="197">
        <f t="shared" si="0"/>
        <v>3104.16</v>
      </c>
      <c r="O9" s="198">
        <f t="shared" si="0"/>
        <v>0</v>
      </c>
      <c r="P9" s="196">
        <f t="shared" si="0"/>
        <v>0</v>
      </c>
      <c r="Q9" s="197">
        <f t="shared" si="0"/>
        <v>0</v>
      </c>
      <c r="R9" s="197">
        <f t="shared" si="0"/>
        <v>1919</v>
      </c>
      <c r="S9" s="198">
        <f t="shared" si="0"/>
        <v>0</v>
      </c>
      <c r="T9" s="197">
        <f t="shared" si="0"/>
        <v>0</v>
      </c>
      <c r="U9" s="197">
        <f t="shared" si="0"/>
        <v>0</v>
      </c>
      <c r="V9" s="197">
        <f t="shared" si="0"/>
        <v>1185.1600000000001</v>
      </c>
      <c r="W9" s="198">
        <f t="shared" si="0"/>
        <v>0</v>
      </c>
      <c r="X9" s="197">
        <f t="shared" si="0"/>
        <v>0</v>
      </c>
      <c r="Y9" s="197">
        <f t="shared" si="0"/>
        <v>0</v>
      </c>
      <c r="Z9" s="197">
        <f t="shared" si="0"/>
        <v>0</v>
      </c>
      <c r="AA9" s="198">
        <f t="shared" si="0"/>
        <v>0</v>
      </c>
    </row>
    <row r="10" spans="1:31" s="179" customFormat="1" ht="11.25" customHeight="1">
      <c r="B10" s="2123"/>
      <c r="C10" s="191"/>
      <c r="D10" s="2124"/>
      <c r="E10" s="2125"/>
      <c r="F10" s="2126"/>
      <c r="G10" s="2127"/>
      <c r="H10" s="2128"/>
      <c r="I10" s="199"/>
      <c r="J10" s="199"/>
      <c r="K10" s="2129"/>
      <c r="L10" s="2128"/>
      <c r="M10" s="199"/>
      <c r="N10" s="199"/>
      <c r="O10" s="2129"/>
      <c r="P10" s="2128"/>
      <c r="Q10" s="199"/>
      <c r="R10" s="199"/>
      <c r="S10" s="2129"/>
      <c r="T10" s="2128"/>
      <c r="U10" s="199"/>
      <c r="V10" s="199"/>
      <c r="W10" s="2129"/>
      <c r="X10" s="2128"/>
      <c r="Y10" s="199"/>
      <c r="Z10" s="199"/>
      <c r="AA10" s="2129"/>
    </row>
    <row r="11" spans="1:31" s="179" customFormat="1" ht="11.25" customHeight="1">
      <c r="B11" s="2123" t="s">
        <v>3180</v>
      </c>
      <c r="C11" s="191" t="s">
        <v>3258</v>
      </c>
      <c r="D11" s="2124">
        <v>1</v>
      </c>
      <c r="E11" s="2125">
        <v>23</v>
      </c>
      <c r="F11" s="2126"/>
      <c r="G11" s="2127"/>
      <c r="H11" s="2128"/>
      <c r="I11" s="199"/>
      <c r="J11" s="199">
        <f t="shared" ref="J11:J16" si="1">D11*E11</f>
        <v>23</v>
      </c>
      <c r="K11" s="2129"/>
      <c r="L11" s="2128"/>
      <c r="M11" s="199"/>
      <c r="N11" s="199"/>
      <c r="O11" s="2129"/>
      <c r="P11" s="2128"/>
      <c r="Q11" s="199"/>
      <c r="R11" s="199"/>
      <c r="S11" s="2129"/>
      <c r="T11" s="2128"/>
      <c r="U11" s="199"/>
      <c r="V11" s="199"/>
      <c r="W11" s="2129"/>
      <c r="X11" s="2128"/>
      <c r="Y11" s="199"/>
      <c r="Z11" s="199"/>
      <c r="AA11" s="2129"/>
    </row>
    <row r="12" spans="1:31" s="179" customFormat="1" ht="11.25" customHeight="1">
      <c r="B12" s="2123" t="s">
        <v>3182</v>
      </c>
      <c r="C12" s="191" t="s">
        <v>3293</v>
      </c>
      <c r="D12" s="2124">
        <v>97.3</v>
      </c>
      <c r="E12" s="2125">
        <v>2</v>
      </c>
      <c r="F12" s="2126"/>
      <c r="G12" s="2127"/>
      <c r="H12" s="2128"/>
      <c r="I12" s="199"/>
      <c r="J12" s="199">
        <f t="shared" si="1"/>
        <v>194.6</v>
      </c>
      <c r="K12" s="2129"/>
      <c r="L12" s="2128"/>
      <c r="M12" s="199"/>
      <c r="N12" s="199"/>
      <c r="O12" s="2129"/>
      <c r="P12" s="2128"/>
      <c r="Q12" s="199"/>
      <c r="R12" s="199"/>
      <c r="S12" s="2129"/>
      <c r="T12" s="2128"/>
      <c r="U12" s="199"/>
      <c r="V12" s="199"/>
      <c r="W12" s="2129"/>
      <c r="X12" s="2128"/>
      <c r="Y12" s="199"/>
      <c r="Z12" s="199"/>
      <c r="AA12" s="2129"/>
    </row>
    <row r="13" spans="1:31" s="179" customFormat="1" ht="11.25" customHeight="1">
      <c r="B13" s="2123" t="s">
        <v>3193</v>
      </c>
      <c r="C13" s="191" t="s">
        <v>3297</v>
      </c>
      <c r="D13" s="2124">
        <v>15</v>
      </c>
      <c r="E13" s="2125">
        <v>1</v>
      </c>
      <c r="F13" s="2126"/>
      <c r="G13" s="2127"/>
      <c r="H13" s="2128"/>
      <c r="I13" s="199"/>
      <c r="J13" s="199">
        <f t="shared" si="1"/>
        <v>15</v>
      </c>
      <c r="K13" s="2129"/>
      <c r="L13" s="2128"/>
      <c r="M13" s="199"/>
      <c r="N13" s="199"/>
      <c r="O13" s="2129"/>
      <c r="P13" s="2128"/>
      <c r="Q13" s="199"/>
      <c r="R13" s="199"/>
      <c r="S13" s="2129"/>
      <c r="T13" s="2128"/>
      <c r="U13" s="199"/>
      <c r="V13" s="199"/>
      <c r="W13" s="2129"/>
      <c r="X13" s="2128"/>
      <c r="Y13" s="199"/>
      <c r="Z13" s="199"/>
      <c r="AA13" s="2129"/>
    </row>
    <row r="14" spans="1:31" s="179" customFormat="1" ht="11.25" customHeight="1">
      <c r="B14" s="2123" t="s">
        <v>3204</v>
      </c>
      <c r="C14" s="191" t="s">
        <v>3196</v>
      </c>
      <c r="D14" s="2124">
        <v>4</v>
      </c>
      <c r="E14" s="2125">
        <v>1</v>
      </c>
      <c r="F14" s="2126"/>
      <c r="G14" s="2127"/>
      <c r="H14" s="2128"/>
      <c r="I14" s="199"/>
      <c r="J14" s="199">
        <f t="shared" si="1"/>
        <v>4</v>
      </c>
      <c r="K14" s="2129"/>
      <c r="L14" s="2128"/>
      <c r="M14" s="199"/>
      <c r="N14" s="199"/>
      <c r="O14" s="2129"/>
      <c r="P14" s="2128"/>
      <c r="Q14" s="199"/>
      <c r="R14" s="199"/>
      <c r="S14" s="2129"/>
      <c r="T14" s="2128"/>
      <c r="U14" s="199"/>
      <c r="V14" s="199"/>
      <c r="W14" s="2129"/>
      <c r="X14" s="2128"/>
      <c r="Y14" s="199"/>
      <c r="Z14" s="199"/>
      <c r="AA14" s="2129"/>
    </row>
    <row r="15" spans="1:31" s="179" customFormat="1" ht="11.25" customHeight="1">
      <c r="B15" s="2123" t="s">
        <v>3267</v>
      </c>
      <c r="C15" s="191" t="s">
        <v>3268</v>
      </c>
      <c r="D15" s="2124">
        <v>97.3</v>
      </c>
      <c r="E15" s="2125">
        <v>2</v>
      </c>
      <c r="F15" s="2126"/>
      <c r="G15" s="2127"/>
      <c r="H15" s="2128"/>
      <c r="I15" s="199"/>
      <c r="J15" s="199">
        <f t="shared" si="1"/>
        <v>194.6</v>
      </c>
      <c r="K15" s="2129"/>
      <c r="L15" s="2128"/>
      <c r="M15" s="199"/>
      <c r="N15" s="199"/>
      <c r="O15" s="2129"/>
      <c r="P15" s="2128"/>
      <c r="Q15" s="199"/>
      <c r="R15" s="199"/>
      <c r="S15" s="2129"/>
      <c r="T15" s="2128"/>
      <c r="U15" s="199"/>
      <c r="V15" s="199"/>
      <c r="W15" s="2129"/>
      <c r="X15" s="2128"/>
      <c r="Y15" s="199"/>
      <c r="Z15" s="199"/>
      <c r="AA15" s="2129"/>
    </row>
    <row r="16" spans="1:31" s="179" customFormat="1" ht="11.25" customHeight="1">
      <c r="B16" s="2123" t="s">
        <v>3198</v>
      </c>
      <c r="C16" s="191" t="s">
        <v>3263</v>
      </c>
      <c r="D16" s="2124">
        <v>1</v>
      </c>
      <c r="E16" s="2125">
        <v>28</v>
      </c>
      <c r="F16" s="2126"/>
      <c r="G16" s="2127"/>
      <c r="H16" s="2128"/>
      <c r="I16" s="199"/>
      <c r="J16" s="199">
        <f t="shared" si="1"/>
        <v>28</v>
      </c>
      <c r="K16" s="2129"/>
      <c r="L16" s="2128"/>
      <c r="M16" s="199"/>
      <c r="N16" s="199"/>
      <c r="O16" s="2129"/>
      <c r="P16" s="2128"/>
      <c r="Q16" s="199"/>
      <c r="R16" s="199"/>
      <c r="S16" s="2129"/>
      <c r="T16" s="2128"/>
      <c r="U16" s="199"/>
      <c r="V16" s="199"/>
      <c r="W16" s="2129"/>
      <c r="X16" s="2128"/>
      <c r="Y16" s="199"/>
      <c r="Z16" s="199"/>
      <c r="AA16" s="2129"/>
    </row>
    <row r="17" spans="1:27" s="179" customFormat="1" ht="11.25" customHeight="1">
      <c r="B17" s="2123" t="s">
        <v>3171</v>
      </c>
      <c r="C17" s="191" t="s">
        <v>3183</v>
      </c>
      <c r="D17" s="2124">
        <v>0.3</v>
      </c>
      <c r="E17" s="2125">
        <v>76</v>
      </c>
      <c r="F17" s="2126">
        <v>0</v>
      </c>
      <c r="G17" s="2127">
        <v>0</v>
      </c>
      <c r="H17" s="2128"/>
      <c r="I17" s="199"/>
      <c r="J17" s="199"/>
      <c r="K17" s="2129"/>
      <c r="L17" s="2128"/>
      <c r="M17" s="199"/>
      <c r="N17" s="199">
        <f t="shared" ref="N17:N23" si="2">D17*(E17+F17+G17)</f>
        <v>22.8</v>
      </c>
      <c r="O17" s="2129"/>
      <c r="P17" s="2128"/>
      <c r="Q17" s="199"/>
      <c r="R17" s="199">
        <f t="shared" ref="R17:R23" si="3">D17*E17</f>
        <v>22.8</v>
      </c>
      <c r="S17" s="2129"/>
      <c r="T17" s="2128"/>
      <c r="U17" s="199"/>
      <c r="V17" s="199">
        <f t="shared" ref="V17:V23" si="4">D17*F17</f>
        <v>0</v>
      </c>
      <c r="W17" s="2129"/>
      <c r="X17" s="2128"/>
      <c r="Y17" s="199"/>
      <c r="Z17" s="199">
        <f t="shared" ref="Z17:Z23" si="5">D17*G17</f>
        <v>0</v>
      </c>
      <c r="AA17" s="2129"/>
    </row>
    <row r="18" spans="1:27" s="179" customFormat="1" ht="11.25" customHeight="1">
      <c r="B18" s="2123" t="s">
        <v>3171</v>
      </c>
      <c r="C18" s="191" t="s">
        <v>3174</v>
      </c>
      <c r="D18" s="2124">
        <v>92.9</v>
      </c>
      <c r="E18" s="2125">
        <v>18</v>
      </c>
      <c r="F18" s="2126">
        <v>0</v>
      </c>
      <c r="G18" s="2127">
        <v>0</v>
      </c>
      <c r="H18" s="2128"/>
      <c r="I18" s="199"/>
      <c r="J18" s="199"/>
      <c r="K18" s="2129"/>
      <c r="L18" s="2128"/>
      <c r="M18" s="199"/>
      <c r="N18" s="199">
        <f t="shared" si="2"/>
        <v>1672.2</v>
      </c>
      <c r="O18" s="2129"/>
      <c r="P18" s="2128"/>
      <c r="Q18" s="199"/>
      <c r="R18" s="199">
        <f t="shared" si="3"/>
        <v>1672.2</v>
      </c>
      <c r="S18" s="2129"/>
      <c r="T18" s="2128"/>
      <c r="U18" s="199"/>
      <c r="V18" s="199">
        <f t="shared" si="4"/>
        <v>0</v>
      </c>
      <c r="W18" s="2129"/>
      <c r="X18" s="2128"/>
      <c r="Y18" s="199"/>
      <c r="Z18" s="199">
        <f t="shared" si="5"/>
        <v>0</v>
      </c>
      <c r="AA18" s="2129"/>
    </row>
    <row r="19" spans="1:27" s="179" customFormat="1" ht="11.25" customHeight="1">
      <c r="B19" s="2123" t="s">
        <v>3171</v>
      </c>
      <c r="C19" s="191" t="s">
        <v>3184</v>
      </c>
      <c r="D19" s="2124">
        <v>92.9</v>
      </c>
      <c r="E19" s="2125">
        <v>0</v>
      </c>
      <c r="F19" s="2126">
        <v>2</v>
      </c>
      <c r="G19" s="2127">
        <v>0</v>
      </c>
      <c r="H19" s="2128"/>
      <c r="I19" s="199"/>
      <c r="J19" s="199"/>
      <c r="K19" s="2129"/>
      <c r="L19" s="2128"/>
      <c r="M19" s="199"/>
      <c r="N19" s="199">
        <f t="shared" si="2"/>
        <v>185.8</v>
      </c>
      <c r="O19" s="2129"/>
      <c r="P19" s="2128"/>
      <c r="Q19" s="199"/>
      <c r="R19" s="199">
        <f t="shared" si="3"/>
        <v>0</v>
      </c>
      <c r="S19" s="2129"/>
      <c r="T19" s="2128"/>
      <c r="U19" s="199"/>
      <c r="V19" s="199">
        <f t="shared" si="4"/>
        <v>185.8</v>
      </c>
      <c r="W19" s="2129"/>
      <c r="X19" s="2128"/>
      <c r="Y19" s="199"/>
      <c r="Z19" s="199">
        <f t="shared" si="5"/>
        <v>0</v>
      </c>
      <c r="AA19" s="2129"/>
    </row>
    <row r="20" spans="1:27" s="179" customFormat="1" ht="11.25" customHeight="1">
      <c r="B20" s="2123" t="s">
        <v>3171</v>
      </c>
      <c r="C20" s="191" t="s">
        <v>3202</v>
      </c>
      <c r="D20" s="2124">
        <v>31.2</v>
      </c>
      <c r="E20" s="2125">
        <v>0</v>
      </c>
      <c r="F20" s="2126">
        <v>31.2</v>
      </c>
      <c r="G20" s="2127">
        <v>0</v>
      </c>
      <c r="H20" s="2128"/>
      <c r="I20" s="199"/>
      <c r="J20" s="199"/>
      <c r="K20" s="2129"/>
      <c r="L20" s="2128"/>
      <c r="M20" s="199"/>
      <c r="N20" s="199">
        <f t="shared" si="2"/>
        <v>973.43999999999994</v>
      </c>
      <c r="O20" s="2129"/>
      <c r="P20" s="2128"/>
      <c r="Q20" s="199"/>
      <c r="R20" s="199">
        <f t="shared" si="3"/>
        <v>0</v>
      </c>
      <c r="S20" s="2129"/>
      <c r="T20" s="2128"/>
      <c r="U20" s="199"/>
      <c r="V20" s="199">
        <f t="shared" si="4"/>
        <v>973.43999999999994</v>
      </c>
      <c r="W20" s="2129"/>
      <c r="X20" s="2128"/>
      <c r="Y20" s="199"/>
      <c r="Z20" s="199">
        <f t="shared" si="5"/>
        <v>0</v>
      </c>
      <c r="AA20" s="2129"/>
    </row>
    <row r="21" spans="1:27" s="179" customFormat="1" ht="11.25" customHeight="1">
      <c r="B21" s="2123" t="s">
        <v>3171</v>
      </c>
      <c r="C21" s="191" t="s">
        <v>3187</v>
      </c>
      <c r="D21" s="2124">
        <v>32</v>
      </c>
      <c r="E21" s="2125">
        <v>4.5</v>
      </c>
      <c r="F21" s="2126">
        <v>0</v>
      </c>
      <c r="G21" s="2127">
        <v>0</v>
      </c>
      <c r="H21" s="2128"/>
      <c r="I21" s="199"/>
      <c r="J21" s="199"/>
      <c r="K21" s="2129"/>
      <c r="L21" s="2128"/>
      <c r="M21" s="199"/>
      <c r="N21" s="199">
        <f t="shared" si="2"/>
        <v>144</v>
      </c>
      <c r="O21" s="2129"/>
      <c r="P21" s="2128"/>
      <c r="Q21" s="199"/>
      <c r="R21" s="199">
        <f t="shared" si="3"/>
        <v>144</v>
      </c>
      <c r="S21" s="2129"/>
      <c r="T21" s="2128"/>
      <c r="U21" s="199"/>
      <c r="V21" s="199">
        <f t="shared" si="4"/>
        <v>0</v>
      </c>
      <c r="W21" s="2129"/>
      <c r="X21" s="2128"/>
      <c r="Y21" s="199"/>
      <c r="Z21" s="199">
        <f t="shared" si="5"/>
        <v>0</v>
      </c>
      <c r="AA21" s="2129"/>
    </row>
    <row r="22" spans="1:27" s="179" customFormat="1" ht="11.25" customHeight="1">
      <c r="B22" s="2123" t="s">
        <v>3171</v>
      </c>
      <c r="C22" s="191" t="s">
        <v>3185</v>
      </c>
      <c r="D22" s="2124">
        <v>32</v>
      </c>
      <c r="E22" s="2125">
        <v>0</v>
      </c>
      <c r="F22" s="2126">
        <v>0.81</v>
      </c>
      <c r="G22" s="2127">
        <v>0</v>
      </c>
      <c r="H22" s="2128"/>
      <c r="I22" s="199"/>
      <c r="J22" s="199"/>
      <c r="K22" s="2129"/>
      <c r="L22" s="2128"/>
      <c r="M22" s="199"/>
      <c r="N22" s="199">
        <f t="shared" si="2"/>
        <v>25.92</v>
      </c>
      <c r="O22" s="2129"/>
      <c r="P22" s="2128"/>
      <c r="Q22" s="199"/>
      <c r="R22" s="199">
        <f t="shared" si="3"/>
        <v>0</v>
      </c>
      <c r="S22" s="2129"/>
      <c r="T22" s="2128"/>
      <c r="U22" s="199"/>
      <c r="V22" s="199">
        <f t="shared" si="4"/>
        <v>25.92</v>
      </c>
      <c r="W22" s="2129"/>
      <c r="X22" s="2128"/>
      <c r="Y22" s="199"/>
      <c r="Z22" s="199">
        <f t="shared" si="5"/>
        <v>0</v>
      </c>
      <c r="AA22" s="2129"/>
    </row>
    <row r="23" spans="1:27" s="179" customFormat="1" ht="11.25" customHeight="1">
      <c r="B23" s="2123" t="s">
        <v>3210</v>
      </c>
      <c r="C23" s="191" t="s">
        <v>3212</v>
      </c>
      <c r="D23" s="2124">
        <v>16</v>
      </c>
      <c r="E23" s="2125">
        <v>5</v>
      </c>
      <c r="F23" s="2126">
        <v>0</v>
      </c>
      <c r="G23" s="2127">
        <v>0</v>
      </c>
      <c r="H23" s="2128"/>
      <c r="I23" s="199"/>
      <c r="J23" s="199"/>
      <c r="K23" s="2129"/>
      <c r="L23" s="2128"/>
      <c r="M23" s="199"/>
      <c r="N23" s="199">
        <f t="shared" si="2"/>
        <v>80</v>
      </c>
      <c r="O23" s="2129"/>
      <c r="P23" s="2128"/>
      <c r="Q23" s="199"/>
      <c r="R23" s="199">
        <f t="shared" si="3"/>
        <v>80</v>
      </c>
      <c r="S23" s="2129"/>
      <c r="T23" s="2128"/>
      <c r="U23" s="199"/>
      <c r="V23" s="199">
        <f t="shared" si="4"/>
        <v>0</v>
      </c>
      <c r="W23" s="2129"/>
      <c r="X23" s="2128"/>
      <c r="Y23" s="199"/>
      <c r="Z23" s="199">
        <f t="shared" si="5"/>
        <v>0</v>
      </c>
      <c r="AA23" s="2129"/>
    </row>
    <row r="24" spans="1:27" s="179" customFormat="1" ht="11.25" customHeight="1">
      <c r="B24" s="2123"/>
      <c r="C24" s="191"/>
      <c r="D24" s="2124"/>
      <c r="E24" s="2125"/>
      <c r="F24" s="2126"/>
      <c r="G24" s="2127"/>
      <c r="H24" s="2128"/>
      <c r="I24" s="199"/>
      <c r="J24" s="199"/>
      <c r="K24" s="2129"/>
      <c r="L24" s="2128"/>
      <c r="M24" s="199"/>
      <c r="N24" s="199"/>
      <c r="O24" s="2129"/>
      <c r="P24" s="2128"/>
      <c r="Q24" s="199"/>
      <c r="R24" s="199"/>
      <c r="S24" s="2129"/>
      <c r="T24" s="2128"/>
      <c r="U24" s="199"/>
      <c r="V24" s="199"/>
      <c r="W24" s="2129"/>
      <c r="X24" s="2128"/>
      <c r="Y24" s="199"/>
      <c r="Z24" s="199"/>
      <c r="AA24" s="2129"/>
    </row>
    <row r="25" spans="1:27" s="179" customFormat="1" ht="11.25" customHeight="1">
      <c r="A25" s="166" t="s">
        <v>266</v>
      </c>
      <c r="B25" s="185"/>
      <c r="C25" s="186"/>
      <c r="D25" s="187"/>
      <c r="E25" s="192"/>
      <c r="F25" s="389"/>
      <c r="G25" s="394"/>
      <c r="H25" s="200">
        <f>D25*E25</f>
        <v>0</v>
      </c>
      <c r="I25" s="201"/>
      <c r="J25" s="201"/>
      <c r="K25" s="202"/>
      <c r="L25" s="200"/>
      <c r="M25" s="201"/>
      <c r="N25" s="201"/>
      <c r="O25" s="202"/>
      <c r="P25" s="200"/>
      <c r="Q25" s="201"/>
      <c r="R25" s="201"/>
      <c r="S25" s="202"/>
      <c r="T25" s="200"/>
      <c r="U25" s="201"/>
      <c r="V25" s="201"/>
      <c r="W25" s="202"/>
      <c r="X25" s="200"/>
      <c r="Y25" s="201"/>
      <c r="Z25" s="201"/>
      <c r="AA25" s="202"/>
    </row>
    <row r="26" spans="1:27">
      <c r="A26" s="85"/>
      <c r="B26" s="183"/>
      <c r="C26" s="184"/>
      <c r="D26" s="190"/>
      <c r="E26" s="193"/>
      <c r="F26" s="390"/>
      <c r="G26" s="395"/>
      <c r="H26" s="203"/>
      <c r="I26" s="204"/>
      <c r="J26" s="204"/>
      <c r="K26" s="205"/>
      <c r="L26" s="203"/>
      <c r="M26" s="204"/>
      <c r="N26" s="204"/>
      <c r="O26" s="205"/>
      <c r="P26" s="203"/>
      <c r="Q26" s="204"/>
      <c r="R26" s="204"/>
      <c r="S26" s="205"/>
      <c r="T26" s="203"/>
      <c r="U26" s="204"/>
      <c r="V26" s="204"/>
      <c r="W26" s="205"/>
      <c r="X26" s="203"/>
      <c r="Y26" s="204"/>
      <c r="Z26" s="204"/>
      <c r="AA26" s="205"/>
    </row>
    <row r="27" spans="1:27" ht="15" customHeight="1">
      <c r="B27" s="182" t="s">
        <v>161</v>
      </c>
      <c r="C27"/>
      <c r="D27"/>
      <c r="E27"/>
      <c r="F27"/>
      <c r="G27"/>
      <c r="H27"/>
      <c r="I27"/>
      <c r="J27"/>
      <c r="K27"/>
      <c r="L27"/>
      <c r="M27"/>
      <c r="N27"/>
      <c r="O27"/>
    </row>
    <row r="28" spans="1:27" ht="13.5" customHeight="1">
      <c r="B28" s="173" t="s">
        <v>159</v>
      </c>
      <c r="C28" s="174"/>
      <c r="D28" s="175"/>
      <c r="E28" s="2249" t="s">
        <v>150</v>
      </c>
      <c r="F28" s="2250"/>
      <c r="G28" s="2250"/>
      <c r="H28" s="2250"/>
      <c r="I28" s="2250"/>
      <c r="J28" s="2250"/>
      <c r="K28" s="2250"/>
      <c r="L28" s="2250"/>
      <c r="M28" s="2250"/>
      <c r="N28" s="2250"/>
      <c r="O28" s="2250"/>
      <c r="P28" s="2250"/>
      <c r="Q28" s="2250"/>
      <c r="R28" s="2251"/>
      <c r="S28" s="2252"/>
      <c r="T28" s="2246" t="s">
        <v>294</v>
      </c>
      <c r="U28" s="2253"/>
      <c r="V28" s="2253"/>
      <c r="W28" s="2254"/>
    </row>
    <row r="29" spans="1:27" ht="12.75" customHeight="1">
      <c r="B29" s="237"/>
      <c r="C29" s="238"/>
      <c r="D29" s="239"/>
      <c r="E29" s="292" t="s">
        <v>281</v>
      </c>
      <c r="F29" s="293" t="s">
        <v>282</v>
      </c>
      <c r="G29" s="293" t="s">
        <v>228</v>
      </c>
      <c r="H29" s="293" t="s">
        <v>228</v>
      </c>
      <c r="I29" s="293" t="s">
        <v>283</v>
      </c>
      <c r="J29" s="294" t="s">
        <v>295</v>
      </c>
      <c r="K29" s="296" t="s">
        <v>239</v>
      </c>
      <c r="L29" s="293" t="s">
        <v>146</v>
      </c>
      <c r="M29" s="293" t="s">
        <v>240</v>
      </c>
      <c r="N29" s="293" t="s">
        <v>296</v>
      </c>
      <c r="O29" s="297" t="s">
        <v>241</v>
      </c>
      <c r="P29" s="298" t="s">
        <v>243</v>
      </c>
      <c r="Q29" s="368" t="s">
        <v>145</v>
      </c>
      <c r="R29" s="369" t="s">
        <v>232</v>
      </c>
      <c r="S29" s="370" t="s">
        <v>233</v>
      </c>
      <c r="T29" s="371" t="s">
        <v>151</v>
      </c>
      <c r="U29" s="293" t="s">
        <v>288</v>
      </c>
      <c r="V29" s="369" t="s">
        <v>297</v>
      </c>
      <c r="W29" s="370" t="s">
        <v>153</v>
      </c>
    </row>
    <row r="30" spans="1:27">
      <c r="B30" s="172" t="s">
        <v>87</v>
      </c>
      <c r="C30" s="156" t="s">
        <v>88</v>
      </c>
      <c r="D30" s="168" t="s">
        <v>23</v>
      </c>
      <c r="E30" s="329"/>
      <c r="F30" s="295"/>
      <c r="G30" s="295" t="s">
        <v>236</v>
      </c>
      <c r="H30" s="295" t="s">
        <v>237</v>
      </c>
      <c r="I30" s="295"/>
      <c r="J30" s="295" t="s">
        <v>238</v>
      </c>
      <c r="K30" s="295" t="s">
        <v>298</v>
      </c>
      <c r="L30" s="295"/>
      <c r="M30" s="295" t="s">
        <v>299</v>
      </c>
      <c r="N30" s="295" t="s">
        <v>300</v>
      </c>
      <c r="O30" s="295" t="s">
        <v>242</v>
      </c>
      <c r="P30" s="295" t="s">
        <v>244</v>
      </c>
      <c r="Q30" s="372" t="s">
        <v>301</v>
      </c>
      <c r="R30" s="239" t="s">
        <v>302</v>
      </c>
      <c r="S30" s="373" t="s">
        <v>302</v>
      </c>
      <c r="T30" s="374"/>
      <c r="U30" s="238"/>
      <c r="V30" s="375"/>
      <c r="W30" s="373"/>
    </row>
    <row r="31" spans="1:27" s="179" customFormat="1" ht="15.75" customHeight="1">
      <c r="A31" s="176"/>
      <c r="B31" s="177"/>
      <c r="C31" s="178"/>
      <c r="D31" s="180"/>
      <c r="E31" s="196">
        <f t="shared" ref="E31:W31" si="6">SUM(E32:E46)</f>
        <v>98</v>
      </c>
      <c r="F31" s="197">
        <f t="shared" si="6"/>
        <v>0</v>
      </c>
      <c r="G31" s="197">
        <f t="shared" si="6"/>
        <v>0</v>
      </c>
      <c r="H31" s="197">
        <f t="shared" si="6"/>
        <v>0</v>
      </c>
      <c r="I31" s="197">
        <f t="shared" si="6"/>
        <v>144</v>
      </c>
      <c r="J31" s="197">
        <f t="shared" si="6"/>
        <v>4.8</v>
      </c>
      <c r="K31" s="197">
        <f t="shared" si="6"/>
        <v>0</v>
      </c>
      <c r="L31" s="197">
        <f t="shared" si="6"/>
        <v>0</v>
      </c>
      <c r="M31" s="197">
        <f t="shared" si="6"/>
        <v>1672.2</v>
      </c>
      <c r="N31" s="197">
        <f t="shared" si="6"/>
        <v>0</v>
      </c>
      <c r="O31" s="330">
        <f t="shared" si="6"/>
        <v>0</v>
      </c>
      <c r="P31" s="197">
        <f t="shared" si="6"/>
        <v>0</v>
      </c>
      <c r="Q31" s="376">
        <f t="shared" si="6"/>
        <v>0</v>
      </c>
      <c r="R31" s="197">
        <f t="shared" si="6"/>
        <v>0</v>
      </c>
      <c r="S31" s="198">
        <f t="shared" si="6"/>
        <v>0</v>
      </c>
      <c r="T31" s="379">
        <f t="shared" si="6"/>
        <v>1159.24</v>
      </c>
      <c r="U31" s="197">
        <f t="shared" si="6"/>
        <v>0</v>
      </c>
      <c r="V31" s="376">
        <f t="shared" si="6"/>
        <v>25.92</v>
      </c>
      <c r="W31" s="198">
        <f t="shared" si="6"/>
        <v>0</v>
      </c>
    </row>
    <row r="32" spans="1:27" s="179" customFormat="1" ht="11.25" customHeight="1">
      <c r="B32" s="185"/>
      <c r="C32" s="186"/>
      <c r="D32" s="187"/>
      <c r="E32" s="200"/>
      <c r="F32" s="201"/>
      <c r="G32" s="201"/>
      <c r="H32" s="201"/>
      <c r="I32" s="201"/>
      <c r="J32" s="201"/>
      <c r="K32" s="201"/>
      <c r="L32" s="201"/>
      <c r="M32" s="201"/>
      <c r="N32" s="201"/>
      <c r="O32" s="299"/>
      <c r="P32" s="201"/>
      <c r="Q32" s="377"/>
      <c r="R32" s="201"/>
      <c r="S32" s="202"/>
      <c r="T32" s="380"/>
      <c r="U32" s="201"/>
      <c r="V32" s="377"/>
      <c r="W32" s="383"/>
    </row>
    <row r="33" spans="1:23" s="179" customFormat="1" ht="11.25" customHeight="1">
      <c r="B33" s="185" t="s">
        <v>3171</v>
      </c>
      <c r="C33" s="186" t="s">
        <v>3183</v>
      </c>
      <c r="D33" s="187">
        <v>0.3</v>
      </c>
      <c r="E33" s="200">
        <f>D33*60</f>
        <v>18</v>
      </c>
      <c r="F33" s="201"/>
      <c r="G33" s="201"/>
      <c r="H33" s="201"/>
      <c r="I33" s="201"/>
      <c r="J33" s="201">
        <f>D33*16</f>
        <v>4.8</v>
      </c>
      <c r="K33" s="201"/>
      <c r="L33" s="201"/>
      <c r="M33" s="201"/>
      <c r="N33" s="201"/>
      <c r="O33" s="299"/>
      <c r="P33" s="201"/>
      <c r="Q33" s="377"/>
      <c r="R33" s="201"/>
      <c r="S33" s="202"/>
      <c r="T33" s="380"/>
      <c r="U33" s="201"/>
      <c r="V33" s="377"/>
      <c r="W33" s="383"/>
    </row>
    <row r="34" spans="1:23" s="179" customFormat="1" ht="11.25" customHeight="1">
      <c r="B34" s="185" t="s">
        <v>3171</v>
      </c>
      <c r="C34" s="186" t="s">
        <v>3174</v>
      </c>
      <c r="D34" s="187">
        <v>92.9</v>
      </c>
      <c r="E34" s="200"/>
      <c r="F34" s="201"/>
      <c r="G34" s="201"/>
      <c r="H34" s="201"/>
      <c r="I34" s="201"/>
      <c r="J34" s="201"/>
      <c r="K34" s="201"/>
      <c r="L34" s="201"/>
      <c r="M34" s="201">
        <f>D34*18</f>
        <v>1672.2</v>
      </c>
      <c r="N34" s="201"/>
      <c r="O34" s="299"/>
      <c r="P34" s="201"/>
      <c r="Q34" s="377"/>
      <c r="R34" s="201"/>
      <c r="S34" s="202"/>
      <c r="T34" s="380"/>
      <c r="U34" s="201"/>
      <c r="V34" s="377"/>
      <c r="W34" s="383"/>
    </row>
    <row r="35" spans="1:23" s="179" customFormat="1" ht="11.25" customHeight="1">
      <c r="B35" s="185" t="s">
        <v>3171</v>
      </c>
      <c r="C35" s="186" t="s">
        <v>3184</v>
      </c>
      <c r="D35" s="187">
        <v>92.9</v>
      </c>
      <c r="E35" s="200"/>
      <c r="F35" s="201"/>
      <c r="G35" s="201"/>
      <c r="H35" s="201"/>
      <c r="I35" s="201"/>
      <c r="J35" s="201"/>
      <c r="K35" s="201"/>
      <c r="L35" s="201"/>
      <c r="M35" s="201"/>
      <c r="N35" s="201"/>
      <c r="O35" s="299"/>
      <c r="P35" s="201"/>
      <c r="Q35" s="377"/>
      <c r="R35" s="201"/>
      <c r="S35" s="202"/>
      <c r="T35" s="380">
        <f>D35*2</f>
        <v>185.8</v>
      </c>
      <c r="U35" s="201"/>
      <c r="V35" s="377"/>
      <c r="W35" s="383"/>
    </row>
    <row r="36" spans="1:23" s="179" customFormat="1" ht="11.25" customHeight="1">
      <c r="B36" s="185" t="s">
        <v>3171</v>
      </c>
      <c r="C36" s="186" t="s">
        <v>3202</v>
      </c>
      <c r="D36" s="187">
        <v>31.2</v>
      </c>
      <c r="E36" s="200"/>
      <c r="F36" s="201"/>
      <c r="G36" s="201"/>
      <c r="H36" s="201"/>
      <c r="I36" s="201"/>
      <c r="J36" s="201"/>
      <c r="K36" s="201"/>
      <c r="L36" s="201"/>
      <c r="M36" s="201"/>
      <c r="N36" s="201"/>
      <c r="O36" s="299"/>
      <c r="P36" s="201"/>
      <c r="Q36" s="377"/>
      <c r="R36" s="201"/>
      <c r="S36" s="202"/>
      <c r="T36" s="380">
        <f>D36*31.2</f>
        <v>973.43999999999994</v>
      </c>
      <c r="U36" s="201"/>
      <c r="V36" s="377"/>
      <c r="W36" s="383"/>
    </row>
    <row r="37" spans="1:23" s="179" customFormat="1" ht="11.25" customHeight="1">
      <c r="B37" s="185" t="s">
        <v>3171</v>
      </c>
      <c r="C37" s="186" t="s">
        <v>3187</v>
      </c>
      <c r="D37" s="187">
        <v>32</v>
      </c>
      <c r="E37" s="200"/>
      <c r="F37" s="201"/>
      <c r="G37" s="201"/>
      <c r="H37" s="201"/>
      <c r="I37" s="201">
        <f>D37*4.5</f>
        <v>144</v>
      </c>
      <c r="J37" s="201"/>
      <c r="K37" s="201"/>
      <c r="L37" s="201"/>
      <c r="M37" s="201"/>
      <c r="N37" s="201"/>
      <c r="O37" s="299"/>
      <c r="P37" s="201"/>
      <c r="Q37" s="377"/>
      <c r="R37" s="201"/>
      <c r="S37" s="202"/>
      <c r="T37" s="380"/>
      <c r="U37" s="201"/>
      <c r="V37" s="377"/>
      <c r="W37" s="383"/>
    </row>
    <row r="38" spans="1:23" s="179" customFormat="1" ht="11.25" customHeight="1">
      <c r="B38" s="185" t="s">
        <v>3171</v>
      </c>
      <c r="C38" s="186" t="s">
        <v>3185</v>
      </c>
      <c r="D38" s="187">
        <v>32</v>
      </c>
      <c r="E38" s="200"/>
      <c r="F38" s="201"/>
      <c r="G38" s="201"/>
      <c r="H38" s="201"/>
      <c r="I38" s="201"/>
      <c r="J38" s="201"/>
      <c r="K38" s="201"/>
      <c r="L38" s="201"/>
      <c r="M38" s="201"/>
      <c r="N38" s="201"/>
      <c r="O38" s="299"/>
      <c r="P38" s="201"/>
      <c r="Q38" s="377"/>
      <c r="R38" s="201"/>
      <c r="S38" s="202"/>
      <c r="T38" s="380"/>
      <c r="U38" s="201"/>
      <c r="V38" s="377">
        <f>D38*0.81</f>
        <v>25.92</v>
      </c>
      <c r="W38" s="383"/>
    </row>
    <row r="39" spans="1:23" s="179" customFormat="1" ht="11.25" customHeight="1">
      <c r="B39" s="185" t="s">
        <v>3210</v>
      </c>
      <c r="C39" s="186" t="s">
        <v>3212</v>
      </c>
      <c r="D39" s="187">
        <v>16</v>
      </c>
      <c r="E39" s="200">
        <f>D39*5</f>
        <v>80</v>
      </c>
      <c r="F39" s="201"/>
      <c r="G39" s="201"/>
      <c r="H39" s="201"/>
      <c r="I39" s="201"/>
      <c r="J39" s="201"/>
      <c r="K39" s="201"/>
      <c r="L39" s="201"/>
      <c r="M39" s="201"/>
      <c r="N39" s="201"/>
      <c r="O39" s="299"/>
      <c r="P39" s="201"/>
      <c r="Q39" s="377"/>
      <c r="R39" s="201"/>
      <c r="S39" s="202"/>
      <c r="T39" s="380"/>
      <c r="U39" s="201"/>
      <c r="V39" s="377"/>
      <c r="W39" s="383"/>
    </row>
    <row r="40" spans="1:23" s="179" customFormat="1" ht="11.25" customHeight="1">
      <c r="B40" s="185"/>
      <c r="C40" s="186"/>
      <c r="D40" s="187"/>
      <c r="E40" s="200"/>
      <c r="F40" s="201"/>
      <c r="G40" s="201"/>
      <c r="H40" s="201"/>
      <c r="I40" s="201"/>
      <c r="J40" s="201"/>
      <c r="K40" s="201"/>
      <c r="L40" s="201"/>
      <c r="M40" s="201"/>
      <c r="N40" s="201"/>
      <c r="O40" s="299"/>
      <c r="P40" s="201"/>
      <c r="Q40" s="377"/>
      <c r="R40" s="201"/>
      <c r="S40" s="202"/>
      <c r="T40" s="380"/>
      <c r="U40" s="201"/>
      <c r="V40" s="377"/>
      <c r="W40" s="383"/>
    </row>
    <row r="41" spans="1:23" s="179" customFormat="1" ht="11.25" customHeight="1">
      <c r="A41" s="166" t="s">
        <v>268</v>
      </c>
      <c r="B41" s="185"/>
      <c r="C41" s="186"/>
      <c r="D41" s="187"/>
      <c r="E41" s="200"/>
      <c r="F41" s="201"/>
      <c r="G41" s="201"/>
      <c r="H41" s="201"/>
      <c r="I41" s="201"/>
      <c r="J41" s="201"/>
      <c r="K41" s="201"/>
      <c r="L41" s="201"/>
      <c r="M41" s="201"/>
      <c r="N41" s="201"/>
      <c r="O41" s="299"/>
      <c r="P41" s="201"/>
      <c r="Q41" s="377"/>
      <c r="R41" s="201"/>
      <c r="S41" s="202"/>
      <c r="T41" s="380"/>
      <c r="U41" s="201">
        <f>$D41*O41</f>
        <v>0</v>
      </c>
      <c r="V41" s="377">
        <f>$D41*P41</f>
        <v>0</v>
      </c>
      <c r="W41" s="385"/>
    </row>
    <row r="42" spans="1:23">
      <c r="A42" s="85"/>
      <c r="B42" s="183"/>
      <c r="C42" s="184"/>
      <c r="D42" s="190"/>
      <c r="E42" s="203"/>
      <c r="F42" s="204"/>
      <c r="G42" s="204"/>
      <c r="H42" s="300"/>
      <c r="I42" s="300"/>
      <c r="J42" s="300"/>
      <c r="K42" s="300"/>
      <c r="L42" s="300"/>
      <c r="M42" s="300"/>
      <c r="N42" s="300"/>
      <c r="O42" s="300"/>
      <c r="P42" s="300"/>
      <c r="Q42" s="378"/>
      <c r="R42" s="204"/>
      <c r="S42" s="205"/>
      <c r="T42" s="381"/>
      <c r="U42" s="204">
        <f>$D42*O42</f>
        <v>0</v>
      </c>
      <c r="V42" s="382">
        <f>$D42*P42</f>
        <v>0</v>
      </c>
      <c r="W42" s="384"/>
    </row>
    <row r="43" spans="1:23">
      <c r="E43" s="85"/>
    </row>
  </sheetData>
  <mergeCells count="15">
    <mergeCell ref="X7:AA7"/>
    <mergeCell ref="E28:S28"/>
    <mergeCell ref="T28:W28"/>
    <mergeCell ref="G5:J5"/>
    <mergeCell ref="O2:R2"/>
    <mergeCell ref="O3:R3"/>
    <mergeCell ref="O4:R4"/>
    <mergeCell ref="O5:R5"/>
    <mergeCell ref="G2:J2"/>
    <mergeCell ref="G3:J3"/>
    <mergeCell ref="G4:J4"/>
    <mergeCell ref="H7:K7"/>
    <mergeCell ref="T7:W7"/>
    <mergeCell ref="L7:O7"/>
    <mergeCell ref="P7:S7"/>
  </mergeCells>
  <phoneticPr fontId="3"/>
  <pageMargins left="0.19685039370078741" right="0.19685039370078741" top="0.78740157480314965" bottom="0.19685039370078741" header="0.51181102362204722" footer="0.51181102362204722"/>
  <pageSetup paperSize="9" scale="88" orientation="landscape"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7"/>
  <sheetViews>
    <sheetView zoomScale="85" zoomScaleNormal="85" workbookViewId="0">
      <selection activeCell="I41" sqref="I41"/>
    </sheetView>
  </sheetViews>
  <sheetFormatPr defaultColWidth="9" defaultRowHeight="20.100000000000001" customHeight="1"/>
  <cols>
    <col min="1" max="1" width="6.125" style="215" customWidth="1"/>
    <col min="2" max="3" width="4.125" style="215" customWidth="1"/>
    <col min="4" max="4" width="24" style="216" customWidth="1"/>
    <col min="5" max="5" width="21.125" style="216" customWidth="1"/>
    <col min="6" max="6" width="4.75" style="216" customWidth="1"/>
    <col min="7" max="7" width="4.375" style="215" customWidth="1"/>
    <col min="8" max="15" width="9.25" style="217" customWidth="1"/>
    <col min="16" max="16" width="9.25" style="216" bestFit="1" customWidth="1"/>
    <col min="17" max="17" width="5.875" style="216" customWidth="1"/>
    <col min="18" max="20" width="10.625" style="216" customWidth="1"/>
    <col min="21" max="16384" width="9" style="216"/>
  </cols>
  <sheetData>
    <row r="1" spans="1:17" s="18" customFormat="1" ht="20.100000000000001" customHeight="1" thickBot="1">
      <c r="A1" s="2272" t="s">
        <v>3284</v>
      </c>
      <c r="B1" s="2272"/>
      <c r="C1" s="2272"/>
      <c r="D1" s="2272"/>
      <c r="E1" s="2272"/>
      <c r="F1" s="2272"/>
      <c r="G1" s="2272"/>
      <c r="H1" s="2272"/>
      <c r="I1" s="2272"/>
      <c r="J1" s="2272"/>
      <c r="K1" s="2272"/>
      <c r="L1" s="2272"/>
      <c r="M1" s="2272"/>
      <c r="N1" s="22" t="s">
        <v>107</v>
      </c>
      <c r="O1" s="218">
        <v>0.6</v>
      </c>
      <c r="P1" s="18" t="s">
        <v>82</v>
      </c>
      <c r="Q1" s="1">
        <f>VLOOKUP("EOL",$N$27:$O$65536,2,FALSE)</f>
        <v>1</v>
      </c>
    </row>
    <row r="2" spans="1:17" s="22" customFormat="1" ht="20.100000000000001" customHeight="1">
      <c r="A2" s="19"/>
      <c r="B2" s="20" t="s">
        <v>18</v>
      </c>
      <c r="C2" s="21" t="s">
        <v>20</v>
      </c>
      <c r="D2" s="21"/>
      <c r="E2" s="78"/>
      <c r="F2" s="53"/>
      <c r="G2" s="73"/>
      <c r="H2" s="2273" t="s">
        <v>3302</v>
      </c>
      <c r="I2" s="2274"/>
      <c r="J2" s="2274" t="s">
        <v>3303</v>
      </c>
      <c r="K2" s="2275"/>
      <c r="L2" s="2274" t="s">
        <v>29</v>
      </c>
      <c r="M2" s="2276"/>
      <c r="N2" s="2270" t="str">
        <f>IF(G53="",IF(O26=I26,H2,IF(O26=K26,J2,L2)),N29)</f>
        <v>A:㈱オクジュー</v>
      </c>
      <c r="O2" s="2271"/>
    </row>
    <row r="3" spans="1:17" s="22" customFormat="1" ht="20.100000000000001" customHeight="1" thickBot="1">
      <c r="A3" s="23" t="s">
        <v>30</v>
      </c>
      <c r="B3" s="24" t="s">
        <v>19</v>
      </c>
      <c r="C3" s="25" t="s">
        <v>19</v>
      </c>
      <c r="D3" s="25" t="s">
        <v>21</v>
      </c>
      <c r="E3" s="79" t="s">
        <v>22</v>
      </c>
      <c r="F3" s="54" t="s">
        <v>23</v>
      </c>
      <c r="G3" s="74" t="s">
        <v>24</v>
      </c>
      <c r="H3" s="59" t="s">
        <v>25</v>
      </c>
      <c r="I3" s="60" t="s">
        <v>26</v>
      </c>
      <c r="J3" s="61" t="s">
        <v>25</v>
      </c>
      <c r="K3" s="60" t="s">
        <v>26</v>
      </c>
      <c r="L3" s="61" t="s">
        <v>25</v>
      </c>
      <c r="M3" s="60" t="s">
        <v>26</v>
      </c>
      <c r="N3" s="59" t="s">
        <v>31</v>
      </c>
      <c r="O3" s="83" t="s">
        <v>32</v>
      </c>
    </row>
    <row r="4" spans="1:17" s="18" customFormat="1" ht="20.100000000000001" customHeight="1">
      <c r="A4" s="50"/>
      <c r="B4" s="91"/>
      <c r="C4" s="92"/>
      <c r="D4" s="453"/>
      <c r="E4" s="261"/>
      <c r="F4" s="55"/>
      <c r="G4" s="75"/>
      <c r="H4" s="432"/>
      <c r="I4" s="433" t="str">
        <f t="shared" ref="I4:I25" si="0">IF(H4="","",ROUNDDOWN(H4*F4,0))</f>
        <v/>
      </c>
      <c r="J4" s="440"/>
      <c r="K4" s="433" t="str">
        <f t="shared" ref="I4:K25" si="1">IF(J4="","",ROUNDDOWN(J4*$F4,0))</f>
        <v/>
      </c>
      <c r="L4" s="440"/>
      <c r="M4" s="444" t="str">
        <f t="shared" ref="M4:M25" si="2">IF(L4="","",ROUNDDOWN(L4*$F4,0))</f>
        <v/>
      </c>
      <c r="N4" s="432" t="str">
        <f>IF(F4="","",INT(HLOOKUP(N2,H2:M25,3,FALSE)*O1))</f>
        <v/>
      </c>
      <c r="O4" s="448" t="str">
        <f t="shared" ref="O4:O25" si="3">IF(N4="","",IF(N4&lt;10,INT(N4),IF(N4&lt;10000,ROUNDDOWN(N4,-1),ROUNDDOWN(N4,-2))))</f>
        <v/>
      </c>
    </row>
    <row r="5" spans="1:17" s="18" customFormat="1" ht="20.100000000000001" customHeight="1">
      <c r="A5" s="51">
        <v>300</v>
      </c>
      <c r="B5" s="93">
        <v>3</v>
      </c>
      <c r="C5" s="94">
        <v>3</v>
      </c>
      <c r="D5" s="454" t="s">
        <v>3285</v>
      </c>
      <c r="E5" s="271" t="s">
        <v>3286</v>
      </c>
      <c r="F5" s="57">
        <v>97.3</v>
      </c>
      <c r="G5" s="76" t="s">
        <v>3173</v>
      </c>
      <c r="H5" s="434">
        <v>76200</v>
      </c>
      <c r="I5" s="435">
        <f t="shared" si="1"/>
        <v>7414260</v>
      </c>
      <c r="J5" s="441">
        <f>75000*1.05</f>
        <v>78750</v>
      </c>
      <c r="K5" s="435">
        <f t="shared" si="1"/>
        <v>7662375</v>
      </c>
      <c r="L5" s="441"/>
      <c r="M5" s="445"/>
      <c r="N5" s="434">
        <f>IF(F5="","",INT(HLOOKUP(N2,H2:M25,4,FALSE)*O1))</f>
        <v>45720</v>
      </c>
      <c r="O5" s="449">
        <f t="shared" si="3"/>
        <v>45700</v>
      </c>
    </row>
    <row r="6" spans="1:17" s="18" customFormat="1" ht="20.100000000000001" customHeight="1">
      <c r="A6" s="51"/>
      <c r="B6" s="93"/>
      <c r="C6" s="94"/>
      <c r="D6" s="455"/>
      <c r="E6" s="2122"/>
      <c r="F6" s="57"/>
      <c r="G6" s="76"/>
      <c r="H6" s="434"/>
      <c r="I6" s="435" t="str">
        <f t="shared" si="1"/>
        <v/>
      </c>
      <c r="J6" s="441"/>
      <c r="K6" s="435" t="str">
        <f t="shared" si="1"/>
        <v/>
      </c>
      <c r="L6" s="441"/>
      <c r="M6" s="445"/>
      <c r="N6" s="434" t="str">
        <f>IF(F6="","",INT(HLOOKUP(N2,H2:M25,5,FALSE)*O1))</f>
        <v/>
      </c>
      <c r="O6" s="449" t="str">
        <f t="shared" si="3"/>
        <v/>
      </c>
    </row>
    <row r="7" spans="1:17" s="18" customFormat="1" ht="20.100000000000001" customHeight="1">
      <c r="A7" s="51">
        <v>310</v>
      </c>
      <c r="B7" s="93">
        <v>3</v>
      </c>
      <c r="C7" s="94">
        <v>3</v>
      </c>
      <c r="D7" s="454" t="s">
        <v>3287</v>
      </c>
      <c r="E7" s="271" t="s">
        <v>3286</v>
      </c>
      <c r="F7" s="57">
        <v>62.3</v>
      </c>
      <c r="G7" s="76" t="s">
        <v>3288</v>
      </c>
      <c r="H7" s="434">
        <v>10400</v>
      </c>
      <c r="I7" s="435">
        <f t="shared" si="1"/>
        <v>647920</v>
      </c>
      <c r="J7" s="441">
        <f>10000*1.05+100</f>
        <v>10600</v>
      </c>
      <c r="K7" s="435">
        <f t="shared" si="1"/>
        <v>660380</v>
      </c>
      <c r="L7" s="441"/>
      <c r="M7" s="445"/>
      <c r="N7" s="434">
        <f>IF(F7="","",INT(HLOOKUP(N2,H2:M25,6,FALSE)*O1))</f>
        <v>6240</v>
      </c>
      <c r="O7" s="449">
        <f t="shared" si="3"/>
        <v>6240</v>
      </c>
    </row>
    <row r="8" spans="1:17" s="18" customFormat="1" ht="20.100000000000001" customHeight="1">
      <c r="A8" s="51"/>
      <c r="B8" s="93"/>
      <c r="C8" s="94"/>
      <c r="D8" s="454"/>
      <c r="E8" s="2122"/>
      <c r="F8" s="57"/>
      <c r="G8" s="76"/>
      <c r="H8" s="434"/>
      <c r="I8" s="435" t="str">
        <f t="shared" si="1"/>
        <v/>
      </c>
      <c r="J8" s="441"/>
      <c r="K8" s="435" t="str">
        <f t="shared" si="1"/>
        <v/>
      </c>
      <c r="L8" s="441"/>
      <c r="M8" s="445"/>
      <c r="N8" s="434" t="str">
        <f>IF(F8="","",INT(HLOOKUP(N2,H2:M25,7,FALSE)*O1))</f>
        <v/>
      </c>
      <c r="O8" s="449" t="str">
        <f t="shared" si="3"/>
        <v/>
      </c>
    </row>
    <row r="9" spans="1:17" s="18" customFormat="1" ht="20.100000000000001" customHeight="1">
      <c r="A9" s="51">
        <v>320</v>
      </c>
      <c r="B9" s="93">
        <v>3</v>
      </c>
      <c r="C9" s="94">
        <v>3</v>
      </c>
      <c r="D9" s="454" t="s">
        <v>3289</v>
      </c>
      <c r="E9" s="271" t="s">
        <v>3290</v>
      </c>
      <c r="F9" s="57">
        <v>15</v>
      </c>
      <c r="G9" s="76" t="s">
        <v>3291</v>
      </c>
      <c r="H9" s="434">
        <v>44300</v>
      </c>
      <c r="I9" s="435">
        <f t="shared" si="1"/>
        <v>664500</v>
      </c>
      <c r="J9" s="441">
        <f>ROUND(43900*1.05,0)</f>
        <v>46095</v>
      </c>
      <c r="K9" s="435">
        <f t="shared" si="1"/>
        <v>691425</v>
      </c>
      <c r="L9" s="441"/>
      <c r="M9" s="445"/>
      <c r="N9" s="434">
        <f>IF(F9="","",INT(HLOOKUP(N2,H2:M25,8,FALSE)*O1))</f>
        <v>26580</v>
      </c>
      <c r="O9" s="449">
        <f t="shared" si="3"/>
        <v>26500</v>
      </c>
    </row>
    <row r="10" spans="1:17" s="18" customFormat="1" ht="20.100000000000001" customHeight="1">
      <c r="A10" s="51"/>
      <c r="B10" s="93"/>
      <c r="C10" s="94"/>
      <c r="D10" s="454"/>
      <c r="E10" s="271"/>
      <c r="F10" s="57"/>
      <c r="G10" s="76"/>
      <c r="H10" s="434"/>
      <c r="I10" s="435" t="str">
        <f t="shared" si="1"/>
        <v/>
      </c>
      <c r="J10" s="441"/>
      <c r="K10" s="435" t="str">
        <f t="shared" si="1"/>
        <v/>
      </c>
      <c r="L10" s="441"/>
      <c r="M10" s="445"/>
      <c r="N10" s="434" t="str">
        <f>IF(F10="","",INT(HLOOKUP(N2,H2:M25,9,FALSE)*O1))</f>
        <v/>
      </c>
      <c r="O10" s="449" t="str">
        <f t="shared" si="3"/>
        <v/>
      </c>
    </row>
    <row r="11" spans="1:17" s="18" customFormat="1" ht="20.100000000000001" customHeight="1">
      <c r="A11" s="51">
        <v>330</v>
      </c>
      <c r="B11" s="93">
        <v>3</v>
      </c>
      <c r="C11" s="94">
        <v>3</v>
      </c>
      <c r="D11" s="454" t="s">
        <v>3289</v>
      </c>
      <c r="E11" s="271" t="s">
        <v>3292</v>
      </c>
      <c r="F11" s="57">
        <v>4</v>
      </c>
      <c r="G11" s="76" t="s">
        <v>3291</v>
      </c>
      <c r="H11" s="434">
        <v>77400</v>
      </c>
      <c r="I11" s="435">
        <f t="shared" si="1"/>
        <v>309600</v>
      </c>
      <c r="J11" s="441">
        <f>ROUND(75100*1.05,0)</f>
        <v>78855</v>
      </c>
      <c r="K11" s="435">
        <f t="shared" si="1"/>
        <v>315420</v>
      </c>
      <c r="L11" s="441"/>
      <c r="M11" s="445"/>
      <c r="N11" s="434">
        <f>IF(F11="","",INT(HLOOKUP(N2,H2:M25,10,FALSE)*O1))</f>
        <v>46440</v>
      </c>
      <c r="O11" s="449">
        <f t="shared" si="3"/>
        <v>46400</v>
      </c>
    </row>
    <row r="12" spans="1:17" s="18" customFormat="1" ht="20.100000000000001" customHeight="1">
      <c r="A12" s="51"/>
      <c r="B12" s="93"/>
      <c r="C12" s="94"/>
      <c r="D12" s="454"/>
      <c r="E12" s="271"/>
      <c r="F12" s="57"/>
      <c r="G12" s="76"/>
      <c r="H12" s="434"/>
      <c r="I12" s="435" t="str">
        <f t="shared" si="1"/>
        <v/>
      </c>
      <c r="J12" s="441"/>
      <c r="K12" s="435" t="str">
        <f t="shared" si="1"/>
        <v/>
      </c>
      <c r="L12" s="441"/>
      <c r="M12" s="445"/>
      <c r="N12" s="434"/>
      <c r="O12" s="449"/>
    </row>
    <row r="13" spans="1:17" s="18" customFormat="1" ht="20.100000000000001" customHeight="1">
      <c r="A13" s="51"/>
      <c r="B13" s="93"/>
      <c r="C13" s="94"/>
      <c r="D13" s="454"/>
      <c r="E13" s="271"/>
      <c r="F13" s="57"/>
      <c r="G13" s="76"/>
      <c r="H13" s="434"/>
      <c r="I13" s="435" t="str">
        <f t="shared" si="1"/>
        <v/>
      </c>
      <c r="J13" s="441"/>
      <c r="K13" s="435" t="str">
        <f t="shared" si="1"/>
        <v/>
      </c>
      <c r="L13" s="441"/>
      <c r="M13" s="445" t="str">
        <f t="shared" si="2"/>
        <v/>
      </c>
      <c r="N13" s="434" t="str">
        <f>IF(F13="","",INT(HLOOKUP(N2,H2:M25,12,FALSE)*O1))</f>
        <v/>
      </c>
      <c r="O13" s="449" t="str">
        <f t="shared" si="3"/>
        <v/>
      </c>
    </row>
    <row r="14" spans="1:17" s="18" customFormat="1" ht="20.100000000000001" customHeight="1">
      <c r="A14" s="51"/>
      <c r="B14" s="93"/>
      <c r="C14" s="94"/>
      <c r="D14" s="454"/>
      <c r="E14" s="271"/>
      <c r="F14" s="57"/>
      <c r="G14" s="76"/>
      <c r="H14" s="434"/>
      <c r="I14" s="435" t="str">
        <f t="shared" si="1"/>
        <v/>
      </c>
      <c r="J14" s="441"/>
      <c r="K14" s="435" t="str">
        <f t="shared" si="1"/>
        <v/>
      </c>
      <c r="L14" s="441"/>
      <c r="M14" s="445" t="str">
        <f t="shared" si="2"/>
        <v/>
      </c>
      <c r="N14" s="434" t="str">
        <f>IF(F14="","",INT(HLOOKUP(N2,H2:M25,13,FALSE)*O1))</f>
        <v/>
      </c>
      <c r="O14" s="449" t="str">
        <f t="shared" si="3"/>
        <v/>
      </c>
    </row>
    <row r="15" spans="1:17" s="18" customFormat="1" ht="20.100000000000001" customHeight="1">
      <c r="A15" s="51"/>
      <c r="B15" s="93"/>
      <c r="C15" s="94"/>
      <c r="D15" s="454"/>
      <c r="E15" s="271"/>
      <c r="F15" s="57"/>
      <c r="G15" s="76"/>
      <c r="H15" s="434"/>
      <c r="I15" s="435" t="str">
        <f t="shared" si="1"/>
        <v/>
      </c>
      <c r="J15" s="441"/>
      <c r="K15" s="435" t="str">
        <f t="shared" si="1"/>
        <v/>
      </c>
      <c r="L15" s="441"/>
      <c r="M15" s="445" t="str">
        <f t="shared" si="2"/>
        <v/>
      </c>
      <c r="N15" s="434" t="str">
        <f>IF(F15="","",INT(HLOOKUP(N2,H2:M25,14,FALSE)*O1))</f>
        <v/>
      </c>
      <c r="O15" s="449" t="str">
        <f t="shared" si="3"/>
        <v/>
      </c>
    </row>
    <row r="16" spans="1:17" s="18" customFormat="1" ht="20.100000000000001" customHeight="1">
      <c r="A16" s="51"/>
      <c r="B16" s="93"/>
      <c r="C16" s="94"/>
      <c r="D16" s="454"/>
      <c r="E16" s="271"/>
      <c r="F16" s="57"/>
      <c r="G16" s="76"/>
      <c r="H16" s="434"/>
      <c r="I16" s="435" t="str">
        <f t="shared" si="1"/>
        <v/>
      </c>
      <c r="J16" s="441"/>
      <c r="K16" s="435" t="str">
        <f t="shared" si="1"/>
        <v/>
      </c>
      <c r="L16" s="441"/>
      <c r="M16" s="445" t="str">
        <f t="shared" si="2"/>
        <v/>
      </c>
      <c r="N16" s="434" t="str">
        <f>IF(F16="","",INT(HLOOKUP(N2,H2:M25,15,FALSE)*O1))</f>
        <v/>
      </c>
      <c r="O16" s="449" t="str">
        <f t="shared" si="3"/>
        <v/>
      </c>
    </row>
    <row r="17" spans="1:15" s="18" customFormat="1" ht="20.100000000000001" customHeight="1">
      <c r="A17" s="51"/>
      <c r="B17" s="93"/>
      <c r="C17" s="94"/>
      <c r="D17" s="454"/>
      <c r="E17" s="271"/>
      <c r="F17" s="57"/>
      <c r="G17" s="76"/>
      <c r="H17" s="434"/>
      <c r="I17" s="435" t="str">
        <f t="shared" si="1"/>
        <v/>
      </c>
      <c r="J17" s="441"/>
      <c r="K17" s="435" t="str">
        <f t="shared" si="1"/>
        <v/>
      </c>
      <c r="L17" s="441"/>
      <c r="M17" s="445" t="str">
        <f t="shared" si="2"/>
        <v/>
      </c>
      <c r="N17" s="434" t="str">
        <f>IF(F17="","",INT(HLOOKUP(N2,H2:M25,16,FALSE)*O1))</f>
        <v/>
      </c>
      <c r="O17" s="449" t="str">
        <f t="shared" si="3"/>
        <v/>
      </c>
    </row>
    <row r="18" spans="1:15" s="18" customFormat="1" ht="20.100000000000001" customHeight="1">
      <c r="A18" s="51"/>
      <c r="B18" s="93"/>
      <c r="C18" s="94"/>
      <c r="D18" s="454"/>
      <c r="E18" s="271"/>
      <c r="F18" s="57"/>
      <c r="G18" s="76"/>
      <c r="H18" s="434"/>
      <c r="I18" s="435" t="str">
        <f t="shared" si="0"/>
        <v/>
      </c>
      <c r="J18" s="441"/>
      <c r="K18" s="435" t="str">
        <f t="shared" si="1"/>
        <v/>
      </c>
      <c r="L18" s="441"/>
      <c r="M18" s="445" t="str">
        <f t="shared" si="2"/>
        <v/>
      </c>
      <c r="N18" s="434" t="str">
        <f>IF(F18="","",INT(HLOOKUP(N2,H2:M25,17,FALSE)*O1))</f>
        <v/>
      </c>
      <c r="O18" s="449" t="str">
        <f t="shared" si="3"/>
        <v/>
      </c>
    </row>
    <row r="19" spans="1:15" s="18" customFormat="1" ht="20.100000000000001" customHeight="1">
      <c r="A19" s="51"/>
      <c r="B19" s="93"/>
      <c r="C19" s="94"/>
      <c r="D19" s="454"/>
      <c r="E19" s="271"/>
      <c r="F19" s="57"/>
      <c r="G19" s="76"/>
      <c r="H19" s="434"/>
      <c r="I19" s="435" t="str">
        <f t="shared" si="0"/>
        <v/>
      </c>
      <c r="J19" s="441"/>
      <c r="K19" s="435" t="str">
        <f t="shared" si="1"/>
        <v/>
      </c>
      <c r="L19" s="441"/>
      <c r="M19" s="445" t="str">
        <f t="shared" si="2"/>
        <v/>
      </c>
      <c r="N19" s="434" t="str">
        <f>IF(F19="","",INT(HLOOKUP(N2,H2:M25,18,FALSE)*O1))</f>
        <v/>
      </c>
      <c r="O19" s="449" t="str">
        <f t="shared" si="3"/>
        <v/>
      </c>
    </row>
    <row r="20" spans="1:15" s="18" customFormat="1" ht="20.100000000000001" customHeight="1">
      <c r="A20" s="51"/>
      <c r="B20" s="93"/>
      <c r="C20" s="94"/>
      <c r="D20" s="454"/>
      <c r="E20" s="271"/>
      <c r="F20" s="57"/>
      <c r="G20" s="76"/>
      <c r="H20" s="434"/>
      <c r="I20" s="435" t="str">
        <f t="shared" si="0"/>
        <v/>
      </c>
      <c r="J20" s="441"/>
      <c r="K20" s="435" t="str">
        <f t="shared" si="1"/>
        <v/>
      </c>
      <c r="L20" s="441"/>
      <c r="M20" s="445" t="str">
        <f t="shared" si="2"/>
        <v/>
      </c>
      <c r="N20" s="434" t="str">
        <f>IF(F20="","",INT(HLOOKUP(N2,H2:M25,19,FALSE)*O1))</f>
        <v/>
      </c>
      <c r="O20" s="449" t="str">
        <f t="shared" si="3"/>
        <v/>
      </c>
    </row>
    <row r="21" spans="1:15" s="18" customFormat="1" ht="20.100000000000001" customHeight="1">
      <c r="A21" s="51"/>
      <c r="B21" s="93"/>
      <c r="C21" s="94"/>
      <c r="D21" s="454"/>
      <c r="E21" s="271"/>
      <c r="F21" s="57"/>
      <c r="G21" s="76"/>
      <c r="H21" s="434"/>
      <c r="I21" s="435" t="str">
        <f t="shared" si="0"/>
        <v/>
      </c>
      <c r="J21" s="441"/>
      <c r="K21" s="435" t="str">
        <f t="shared" si="1"/>
        <v/>
      </c>
      <c r="L21" s="441"/>
      <c r="M21" s="445" t="str">
        <f t="shared" si="2"/>
        <v/>
      </c>
      <c r="N21" s="434" t="str">
        <f>IF(F21="","",INT(HLOOKUP(N2,H2:M25,20,FALSE)*O1))</f>
        <v/>
      </c>
      <c r="O21" s="449" t="str">
        <f t="shared" si="3"/>
        <v/>
      </c>
    </row>
    <row r="22" spans="1:15" s="18" customFormat="1" ht="20.100000000000001" customHeight="1">
      <c r="A22" s="51"/>
      <c r="B22" s="93"/>
      <c r="C22" s="94"/>
      <c r="D22" s="454"/>
      <c r="E22" s="271"/>
      <c r="F22" s="57"/>
      <c r="G22" s="76"/>
      <c r="H22" s="434"/>
      <c r="I22" s="435" t="str">
        <f t="shared" si="0"/>
        <v/>
      </c>
      <c r="J22" s="441"/>
      <c r="K22" s="435" t="str">
        <f t="shared" si="1"/>
        <v/>
      </c>
      <c r="L22" s="441"/>
      <c r="M22" s="445" t="str">
        <f t="shared" si="2"/>
        <v/>
      </c>
      <c r="N22" s="434" t="str">
        <f>IF(F22="","",INT(HLOOKUP(N2,H2:M25,21,FALSE)*O1))</f>
        <v/>
      </c>
      <c r="O22" s="449" t="str">
        <f t="shared" si="3"/>
        <v/>
      </c>
    </row>
    <row r="23" spans="1:15" s="18" customFormat="1" ht="20.100000000000001" customHeight="1">
      <c r="A23" s="51"/>
      <c r="B23" s="93"/>
      <c r="C23" s="94"/>
      <c r="D23" s="454"/>
      <c r="E23" s="271"/>
      <c r="F23" s="57"/>
      <c r="G23" s="76"/>
      <c r="H23" s="434"/>
      <c r="I23" s="435" t="str">
        <f t="shared" si="0"/>
        <v/>
      </c>
      <c r="J23" s="441"/>
      <c r="K23" s="435" t="str">
        <f t="shared" si="1"/>
        <v/>
      </c>
      <c r="L23" s="441"/>
      <c r="M23" s="445" t="str">
        <f t="shared" si="2"/>
        <v/>
      </c>
      <c r="N23" s="434" t="str">
        <f>IF(F23="","",INT(HLOOKUP(N2,H2:M25,22,FALSE)*O1))</f>
        <v/>
      </c>
      <c r="O23" s="449" t="str">
        <f t="shared" si="3"/>
        <v/>
      </c>
    </row>
    <row r="24" spans="1:15" s="18" customFormat="1" ht="20.100000000000001" customHeight="1">
      <c r="A24" s="51"/>
      <c r="B24" s="93"/>
      <c r="C24" s="94"/>
      <c r="D24" s="454"/>
      <c r="E24" s="271"/>
      <c r="F24" s="57"/>
      <c r="G24" s="76"/>
      <c r="H24" s="434"/>
      <c r="I24" s="435" t="str">
        <f t="shared" si="0"/>
        <v/>
      </c>
      <c r="J24" s="441"/>
      <c r="K24" s="435" t="str">
        <f t="shared" si="1"/>
        <v/>
      </c>
      <c r="L24" s="441"/>
      <c r="M24" s="445" t="str">
        <f t="shared" si="2"/>
        <v/>
      </c>
      <c r="N24" s="434" t="str">
        <f>IF(F24="","",INT(HLOOKUP(N2,H2:M25,23,FALSE)*O1))</f>
        <v/>
      </c>
      <c r="O24" s="449" t="str">
        <f t="shared" si="3"/>
        <v/>
      </c>
    </row>
    <row r="25" spans="1:15" s="18" customFormat="1" ht="20.100000000000001" customHeight="1" thickBot="1">
      <c r="A25" s="52"/>
      <c r="B25" s="95"/>
      <c r="C25" s="96"/>
      <c r="D25" s="456"/>
      <c r="E25" s="457"/>
      <c r="F25" s="58"/>
      <c r="G25" s="77"/>
      <c r="H25" s="436"/>
      <c r="I25" s="437" t="str">
        <f t="shared" si="0"/>
        <v/>
      </c>
      <c r="J25" s="442"/>
      <c r="K25" s="437" t="str">
        <f t="shared" si="1"/>
        <v/>
      </c>
      <c r="L25" s="442"/>
      <c r="M25" s="446" t="str">
        <f t="shared" si="2"/>
        <v/>
      </c>
      <c r="N25" s="436" t="str">
        <f>IF(F25="","",INT(HLOOKUP(N2,H2:M25,24,FALSE)*O1))</f>
        <v/>
      </c>
      <c r="O25" s="450" t="str">
        <f t="shared" si="3"/>
        <v/>
      </c>
    </row>
    <row r="26" spans="1:15" s="18" customFormat="1" ht="20.100000000000001" customHeight="1" thickTop="1" thickBot="1">
      <c r="A26" s="26"/>
      <c r="B26" s="27"/>
      <c r="C26" s="27"/>
      <c r="D26" s="28" t="str">
        <f>IF(G26="","合      計","")</f>
        <v>合      計</v>
      </c>
      <c r="E26" s="29" t="s">
        <v>81</v>
      </c>
      <c r="F26" s="29"/>
      <c r="G26" s="49"/>
      <c r="H26" s="438"/>
      <c r="I26" s="439">
        <f>IF($G26="",IF(SUM(I4:I25)=0,"",SUM(I4:I25)),IF(#REF!="","",SUM(I4:I25)+#REF!))</f>
        <v>9036280</v>
      </c>
      <c r="J26" s="443"/>
      <c r="K26" s="439">
        <f>IF(G26="",IF(SUM(K4:K25)=0,"",SUM(K4:K25)),IF(#REF!="","",SUM(K4:K25)+#REF!))</f>
        <v>9329600</v>
      </c>
      <c r="L26" s="443"/>
      <c r="M26" s="447" t="str">
        <f>IF(G26="",IF(SUM(M4:M25)=0,"",SUM(M4:M25)),IF(#REF!="","",SUM(M4:M25)+#REF!))</f>
        <v/>
      </c>
      <c r="N26" s="451" t="s">
        <v>33</v>
      </c>
      <c r="O26" s="452">
        <f>IF(G53="",MIN(I26,K26,M26),"")</f>
        <v>9036280</v>
      </c>
    </row>
    <row r="27" spans="1:15" s="18" customFormat="1" ht="20.100000000000001" customHeight="1">
      <c r="A27" s="22"/>
      <c r="B27" s="22"/>
      <c r="C27" s="22"/>
      <c r="G27" s="22"/>
      <c r="H27" s="30"/>
      <c r="I27" s="30"/>
      <c r="J27" s="30"/>
      <c r="K27" s="30"/>
      <c r="L27" s="30"/>
      <c r="M27" s="30"/>
      <c r="N27" s="18" t="str">
        <f>IF(B29="","EOL","")</f>
        <v>EOL</v>
      </c>
      <c r="O27" s="30">
        <v>1</v>
      </c>
    </row>
  </sheetData>
  <mergeCells count="5">
    <mergeCell ref="N2:O2"/>
    <mergeCell ref="A1:M1"/>
    <mergeCell ref="H2:I2"/>
    <mergeCell ref="J2:K2"/>
    <mergeCell ref="L2:M2"/>
  </mergeCells>
  <phoneticPr fontId="3"/>
  <pageMargins left="0.19685039370078741" right="0.19685039370078741" top="0.78740157480314965" bottom="0.19685039370078741" header="0.51181102362204722" footer="0.51181102362204722"/>
  <pageSetup paperSize="9"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H13"/>
  <sheetViews>
    <sheetView workbookViewId="0">
      <pane xSplit="4" topLeftCell="E1" activePane="topRight" state="frozen"/>
      <selection activeCell="C73" sqref="C73"/>
      <selection pane="topRight"/>
    </sheetView>
  </sheetViews>
  <sheetFormatPr defaultColWidth="9" defaultRowHeight="12"/>
  <cols>
    <col min="1" max="1" width="3.75" style="145" customWidth="1"/>
    <col min="2" max="2" width="4.875" style="145" customWidth="1"/>
    <col min="3" max="3" width="16.375" style="145" customWidth="1"/>
    <col min="4" max="4" width="16.75" style="145" customWidth="1"/>
    <col min="5" max="5" width="5.25" style="145" bestFit="1" customWidth="1"/>
    <col min="6" max="6" width="23.75" style="145" bestFit="1" customWidth="1"/>
    <col min="7" max="13" width="4.625" style="145" customWidth="1"/>
    <col min="14" max="25" width="5.75" style="145" customWidth="1"/>
    <col min="26" max="34" width="5.625" style="145" customWidth="1"/>
    <col min="35" max="16384" width="9" style="145"/>
  </cols>
  <sheetData>
    <row r="1" spans="1:34">
      <c r="A1" s="145" t="s">
        <v>43</v>
      </c>
      <c r="B1" s="145" t="s">
        <v>34</v>
      </c>
      <c r="C1" s="145" t="s">
        <v>79</v>
      </c>
      <c r="D1" s="145" t="s">
        <v>35</v>
      </c>
      <c r="E1" s="145" t="s">
        <v>36</v>
      </c>
      <c r="F1" s="145" t="s">
        <v>42</v>
      </c>
      <c r="G1" s="145" t="s">
        <v>37</v>
      </c>
      <c r="H1" s="145" t="s">
        <v>38</v>
      </c>
      <c r="I1" s="145" t="s">
        <v>114</v>
      </c>
      <c r="J1" s="145" t="s">
        <v>115</v>
      </c>
      <c r="K1" s="145" t="s">
        <v>39</v>
      </c>
      <c r="L1" s="145" t="s">
        <v>40</v>
      </c>
      <c r="M1" s="145" t="s">
        <v>41</v>
      </c>
      <c r="N1" s="145" t="s">
        <v>160</v>
      </c>
      <c r="O1" s="145" t="s">
        <v>267</v>
      </c>
      <c r="P1" s="145" t="s">
        <v>227</v>
      </c>
      <c r="Q1" s="145" t="s">
        <v>247</v>
      </c>
      <c r="R1" s="145" t="s">
        <v>248</v>
      </c>
      <c r="S1" s="145" t="s">
        <v>145</v>
      </c>
      <c r="T1" s="145" t="s">
        <v>156</v>
      </c>
      <c r="U1" s="145" t="s">
        <v>147</v>
      </c>
      <c r="V1" s="145" t="s">
        <v>146</v>
      </c>
      <c r="W1" s="145" t="s">
        <v>249</v>
      </c>
      <c r="X1" s="145" t="s">
        <v>250</v>
      </c>
      <c r="Y1" s="145" t="s">
        <v>251</v>
      </c>
      <c r="Z1" s="145" t="s">
        <v>235</v>
      </c>
      <c r="AA1" s="145" t="s">
        <v>2100</v>
      </c>
      <c r="AB1" s="145" t="s">
        <v>286</v>
      </c>
      <c r="AC1" s="145" t="s">
        <v>287</v>
      </c>
      <c r="AD1" s="145" t="s">
        <v>151</v>
      </c>
      <c r="AE1" s="145" t="s">
        <v>157</v>
      </c>
      <c r="AF1" s="145" t="s">
        <v>158</v>
      </c>
      <c r="AG1" s="145" t="s">
        <v>153</v>
      </c>
      <c r="AH1" s="145" t="s">
        <v>2101</v>
      </c>
    </row>
    <row r="2" spans="1:34">
      <c r="A2" s="145">
        <v>3</v>
      </c>
      <c r="B2" s="145">
        <v>101</v>
      </c>
      <c r="C2" s="145" t="s">
        <v>132</v>
      </c>
      <c r="D2" s="145" t="s">
        <v>116</v>
      </c>
      <c r="E2" s="145" t="s">
        <v>117</v>
      </c>
      <c r="N2" s="145">
        <v>1000</v>
      </c>
    </row>
    <row r="3" spans="1:34">
      <c r="A3" s="145">
        <v>3</v>
      </c>
      <c r="B3" s="145">
        <v>102</v>
      </c>
      <c r="C3" s="145" t="s">
        <v>132</v>
      </c>
      <c r="D3" s="145" t="s">
        <v>94</v>
      </c>
      <c r="E3" s="145" t="s">
        <v>117</v>
      </c>
      <c r="N3" s="145">
        <v>1000</v>
      </c>
    </row>
    <row r="4" spans="1:34">
      <c r="A4" s="145">
        <v>3</v>
      </c>
      <c r="B4" s="145">
        <v>103</v>
      </c>
      <c r="C4" s="145" t="s">
        <v>132</v>
      </c>
      <c r="D4" s="145" t="s">
        <v>95</v>
      </c>
      <c r="E4" s="145" t="s">
        <v>117</v>
      </c>
      <c r="N4" s="145">
        <v>1000</v>
      </c>
    </row>
    <row r="5" spans="1:34">
      <c r="A5" s="145">
        <v>3</v>
      </c>
      <c r="B5" s="145">
        <v>104</v>
      </c>
      <c r="C5" s="145" t="s">
        <v>133</v>
      </c>
      <c r="D5" s="145" t="s">
        <v>96</v>
      </c>
      <c r="E5" s="145" t="s">
        <v>117</v>
      </c>
      <c r="N5" s="145">
        <v>1000</v>
      </c>
    </row>
    <row r="6" spans="1:34">
      <c r="A6" s="145">
        <v>3</v>
      </c>
      <c r="B6" s="145">
        <v>105</v>
      </c>
      <c r="C6" s="145" t="s">
        <v>133</v>
      </c>
      <c r="D6" s="145" t="s">
        <v>97</v>
      </c>
      <c r="E6" s="145" t="s">
        <v>117</v>
      </c>
      <c r="N6" s="145">
        <v>1000</v>
      </c>
    </row>
    <row r="7" spans="1:34">
      <c r="A7" s="145">
        <v>4</v>
      </c>
      <c r="B7" s="145">
        <v>106</v>
      </c>
      <c r="C7" s="145" t="s">
        <v>98</v>
      </c>
      <c r="D7" s="145" t="s">
        <v>99</v>
      </c>
      <c r="E7" s="145" t="s">
        <v>80</v>
      </c>
      <c r="N7" s="145">
        <v>0</v>
      </c>
    </row>
    <row r="8" spans="1:34">
      <c r="A8" s="145">
        <v>4</v>
      </c>
      <c r="B8" s="145">
        <v>107</v>
      </c>
      <c r="C8" s="145" t="s">
        <v>98</v>
      </c>
      <c r="D8" s="145" t="s">
        <v>100</v>
      </c>
      <c r="E8" s="145" t="s">
        <v>80</v>
      </c>
      <c r="N8" s="145">
        <v>0</v>
      </c>
    </row>
    <row r="9" spans="1:34">
      <c r="A9" s="145">
        <v>4</v>
      </c>
      <c r="B9" s="145">
        <v>109</v>
      </c>
      <c r="C9" s="145" t="s">
        <v>98</v>
      </c>
      <c r="D9" s="145" t="s">
        <v>129</v>
      </c>
      <c r="E9" s="145" t="s">
        <v>80</v>
      </c>
      <c r="N9" s="145">
        <v>0</v>
      </c>
    </row>
    <row r="10" spans="1:34">
      <c r="A10" s="145">
        <v>3</v>
      </c>
      <c r="B10" s="145">
        <v>110</v>
      </c>
      <c r="C10" s="145" t="s">
        <v>98</v>
      </c>
      <c r="D10" s="145" t="s">
        <v>201</v>
      </c>
      <c r="E10" s="145" t="s">
        <v>80</v>
      </c>
      <c r="N10" s="145">
        <v>0</v>
      </c>
    </row>
    <row r="11" spans="1:34" s="625" customFormat="1">
      <c r="A11" s="625">
        <v>4</v>
      </c>
      <c r="B11" s="625">
        <v>108</v>
      </c>
      <c r="C11" s="625" t="s">
        <v>98</v>
      </c>
      <c r="D11" s="625" t="s">
        <v>106</v>
      </c>
      <c r="E11" s="625" t="s">
        <v>80</v>
      </c>
      <c r="N11" s="625">
        <v>0</v>
      </c>
      <c r="O11" s="625">
        <v>1</v>
      </c>
      <c r="P11" s="625">
        <v>2</v>
      </c>
      <c r="Q11" s="625">
        <v>3</v>
      </c>
      <c r="R11" s="625">
        <v>4</v>
      </c>
      <c r="S11" s="625">
        <v>5</v>
      </c>
      <c r="T11" s="625">
        <v>6</v>
      </c>
      <c r="U11" s="625">
        <v>7</v>
      </c>
      <c r="V11" s="625">
        <v>8</v>
      </c>
      <c r="W11" s="625">
        <v>9</v>
      </c>
      <c r="X11" s="625">
        <v>10</v>
      </c>
      <c r="Y11" s="625">
        <v>11</v>
      </c>
      <c r="Z11" s="625">
        <v>12</v>
      </c>
      <c r="AA11" s="625">
        <v>13</v>
      </c>
      <c r="AB11" s="625">
        <v>14</v>
      </c>
      <c r="AC11" s="625">
        <v>15</v>
      </c>
      <c r="AD11" s="625">
        <v>16</v>
      </c>
      <c r="AE11" s="625">
        <v>17</v>
      </c>
      <c r="AF11" s="625">
        <v>18</v>
      </c>
      <c r="AG11" s="625">
        <v>19</v>
      </c>
      <c r="AH11" s="625">
        <v>20</v>
      </c>
    </row>
    <row r="12" spans="1:34">
      <c r="A12" s="145">
        <v>99</v>
      </c>
      <c r="B12" s="145">
        <v>1</v>
      </c>
      <c r="C12" s="145" t="str">
        <f>代価!$D$5</f>
        <v>未記入</v>
      </c>
      <c r="D12" s="145" t="str">
        <f>代価!$E$5</f>
        <v>未記入</v>
      </c>
      <c r="E12" s="145" t="str">
        <f>代価!$G$5</f>
        <v>未記入</v>
      </c>
      <c r="F12" s="145">
        <f>代価!$J$5</f>
        <v>0</v>
      </c>
      <c r="H12" s="145">
        <f>代価!$I24</f>
        <v>0</v>
      </c>
      <c r="I12" s="145" t="s">
        <v>2108</v>
      </c>
      <c r="J12" s="145" t="s">
        <v>2108</v>
      </c>
      <c r="K12" s="145" t="s">
        <v>2108</v>
      </c>
      <c r="L12" s="145" t="s">
        <v>2108</v>
      </c>
      <c r="M12" s="145" t="s">
        <v>2108</v>
      </c>
      <c r="N12" s="145">
        <f>代価!$O$24</f>
        <v>0</v>
      </c>
      <c r="O12" s="145">
        <f>代価!$P$24</f>
        <v>0</v>
      </c>
      <c r="P12" s="145">
        <f>代価!$Q$24</f>
        <v>0</v>
      </c>
      <c r="Q12" s="145">
        <f>代価!$R$24</f>
        <v>0</v>
      </c>
      <c r="R12" s="145">
        <f>代価!$S$24</f>
        <v>0</v>
      </c>
      <c r="S12" s="145">
        <f>代価!$T$24</f>
        <v>0</v>
      </c>
      <c r="T12" s="145">
        <f>代価!$U$24</f>
        <v>0</v>
      </c>
      <c r="U12" s="145">
        <f>代価!$V$24</f>
        <v>0</v>
      </c>
      <c r="V12" s="145">
        <f>代価!$W$24</f>
        <v>0</v>
      </c>
      <c r="W12" s="145">
        <f>代価!$X$24</f>
        <v>0</v>
      </c>
      <c r="X12" s="145">
        <f>代価!$Y$24</f>
        <v>0</v>
      </c>
      <c r="Y12" s="145">
        <f>代価!$Z$24</f>
        <v>0</v>
      </c>
      <c r="Z12" s="145">
        <f>代価!$AA$24</f>
        <v>0</v>
      </c>
      <c r="AA12" s="145">
        <f>代価!$AB$24</f>
        <v>0</v>
      </c>
      <c r="AB12" s="145">
        <f>代価!$AC$24</f>
        <v>0</v>
      </c>
      <c r="AC12" s="145">
        <f>代価!$AD$24</f>
        <v>0</v>
      </c>
      <c r="AD12" s="145">
        <f>代価!$AE$24</f>
        <v>0</v>
      </c>
      <c r="AE12" s="145">
        <f>代価!$AF$24</f>
        <v>0</v>
      </c>
      <c r="AF12" s="145">
        <f>代価!$AG$24</f>
        <v>0</v>
      </c>
    </row>
    <row r="13" spans="1:34">
      <c r="A13" s="145">
        <v>99</v>
      </c>
      <c r="B13" s="145">
        <v>2</v>
      </c>
      <c r="C13" s="145" t="str">
        <f>代価!$D$28</f>
        <v>会所４００角</v>
      </c>
      <c r="D13" s="145" t="str">
        <f>代価!$E$28</f>
        <v xml:space="preserve"> H=1200 根切共</v>
      </c>
      <c r="E13" s="145" t="str">
        <f>代価!$G$28</f>
        <v>ヵ所</v>
      </c>
      <c r="F13" s="145">
        <f>代価!$J$28</f>
        <v>0</v>
      </c>
      <c r="H13" s="145">
        <f>代価!$I47</f>
        <v>0</v>
      </c>
      <c r="I13" s="145" t="s">
        <v>2108</v>
      </c>
      <c r="J13" s="145" t="s">
        <v>2108</v>
      </c>
      <c r="K13" s="145" t="s">
        <v>2108</v>
      </c>
      <c r="L13" s="145" t="s">
        <v>2108</v>
      </c>
      <c r="M13" s="145" t="s">
        <v>2108</v>
      </c>
      <c r="N13" s="145">
        <f>代価!$O$47</f>
        <v>0</v>
      </c>
      <c r="O13" s="145">
        <f>代価!$P$47</f>
        <v>0</v>
      </c>
      <c r="P13" s="145">
        <f>代価!$Q$47</f>
        <v>0</v>
      </c>
      <c r="Q13" s="145">
        <f>代価!$R$47</f>
        <v>0</v>
      </c>
      <c r="R13" s="145">
        <f>代価!$S$47</f>
        <v>0</v>
      </c>
      <c r="S13" s="145">
        <f>代価!$T$47</f>
        <v>0</v>
      </c>
      <c r="T13" s="145">
        <f>代価!$U$47</f>
        <v>0</v>
      </c>
      <c r="U13" s="145">
        <f>代価!$V$47</f>
        <v>0</v>
      </c>
      <c r="V13" s="145">
        <f>代価!$W$47</f>
        <v>0</v>
      </c>
      <c r="W13" s="145">
        <f>代価!$X$47</f>
        <v>0</v>
      </c>
      <c r="X13" s="145">
        <f>代価!$Y$47</f>
        <v>0</v>
      </c>
      <c r="Y13" s="145">
        <f>代価!$Z$47</f>
        <v>0</v>
      </c>
      <c r="Z13" s="145">
        <f>代価!$AA$47</f>
        <v>0</v>
      </c>
      <c r="AA13" s="145">
        <f>代価!$AB$47</f>
        <v>0</v>
      </c>
      <c r="AB13" s="145">
        <f>代価!$AC$47</f>
        <v>0</v>
      </c>
      <c r="AC13" s="145">
        <f>代価!$AD$47</f>
        <v>0</v>
      </c>
      <c r="AD13" s="145">
        <f>代価!$AE$47</f>
        <v>0</v>
      </c>
      <c r="AE13" s="145">
        <f>代価!$AF$47</f>
        <v>0</v>
      </c>
      <c r="AF13" s="145">
        <f>代価!$AG$47</f>
        <v>0</v>
      </c>
    </row>
  </sheetData>
  <phoneticPr fontId="3"/>
  <pageMargins left="0.78740157480314965" right="0.78740157480314965" top="0.98425196850393704" bottom="0.98425196850393704" header="0.51181102362204722" footer="0.51181102362204722"/>
  <pageSetup paperSize="9" scale="57" orientation="landscape"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1687"/>
  <sheetViews>
    <sheetView workbookViewId="0"/>
  </sheetViews>
  <sheetFormatPr defaultRowHeight="13.5"/>
  <cols>
    <col min="1" max="1" width="9.5" bestFit="1" customWidth="1"/>
    <col min="2" max="2" width="93.875" bestFit="1" customWidth="1"/>
  </cols>
  <sheetData>
    <row r="1" spans="1:2">
      <c r="A1" t="s">
        <v>2421</v>
      </c>
      <c r="B1" t="s">
        <v>2422</v>
      </c>
    </row>
    <row r="2" spans="1:2">
      <c r="A2" s="769">
        <v>10100101</v>
      </c>
      <c r="B2" t="s">
        <v>349</v>
      </c>
    </row>
    <row r="3" spans="1:2">
      <c r="A3" s="769">
        <v>10100201</v>
      </c>
      <c r="B3" t="s">
        <v>350</v>
      </c>
    </row>
    <row r="4" spans="1:2">
      <c r="A4" s="769">
        <v>10100301</v>
      </c>
      <c r="B4" t="s">
        <v>351</v>
      </c>
    </row>
    <row r="5" spans="1:2">
      <c r="A5" s="769">
        <v>10100401</v>
      </c>
      <c r="B5" t="s">
        <v>352</v>
      </c>
    </row>
    <row r="6" spans="1:2">
      <c r="A6" s="769">
        <v>10100501</v>
      </c>
      <c r="B6" t="s">
        <v>353</v>
      </c>
    </row>
    <row r="7" spans="1:2">
      <c r="A7" s="769">
        <v>10100601</v>
      </c>
      <c r="B7" t="s">
        <v>354</v>
      </c>
    </row>
    <row r="8" spans="1:2">
      <c r="A8" s="769">
        <v>10199901</v>
      </c>
      <c r="B8" t="s">
        <v>355</v>
      </c>
    </row>
    <row r="9" spans="1:2">
      <c r="A9" s="769">
        <v>10500701</v>
      </c>
      <c r="B9" t="s">
        <v>356</v>
      </c>
    </row>
    <row r="10" spans="1:2">
      <c r="A10" s="769">
        <v>10500702</v>
      </c>
      <c r="B10" t="s">
        <v>357</v>
      </c>
    </row>
    <row r="11" spans="1:2">
      <c r="A11" s="769">
        <v>10500703</v>
      </c>
      <c r="B11" t="s">
        <v>358</v>
      </c>
    </row>
    <row r="12" spans="1:2">
      <c r="A12" s="769">
        <v>10500704</v>
      </c>
      <c r="B12" t="s">
        <v>359</v>
      </c>
    </row>
    <row r="13" spans="1:2">
      <c r="A13" s="769">
        <v>10500705</v>
      </c>
      <c r="B13" t="s">
        <v>360</v>
      </c>
    </row>
    <row r="14" spans="1:2">
      <c r="A14" s="769">
        <v>10500706</v>
      </c>
      <c r="B14" t="s">
        <v>361</v>
      </c>
    </row>
    <row r="15" spans="1:2">
      <c r="A15" s="769">
        <v>10500707</v>
      </c>
      <c r="B15" t="s">
        <v>362</v>
      </c>
    </row>
    <row r="16" spans="1:2">
      <c r="A16" s="769">
        <v>10500708</v>
      </c>
      <c r="B16" t="s">
        <v>363</v>
      </c>
    </row>
    <row r="17" spans="1:2">
      <c r="A17" s="769">
        <v>10500709</v>
      </c>
      <c r="B17" t="s">
        <v>364</v>
      </c>
    </row>
    <row r="18" spans="1:2">
      <c r="A18" s="769">
        <v>10500801</v>
      </c>
      <c r="B18" t="s">
        <v>381</v>
      </c>
    </row>
    <row r="19" spans="1:2">
      <c r="A19" s="769">
        <v>10500802</v>
      </c>
      <c r="B19" t="s">
        <v>382</v>
      </c>
    </row>
    <row r="20" spans="1:2">
      <c r="A20" s="769">
        <v>10500803</v>
      </c>
      <c r="B20" t="s">
        <v>383</v>
      </c>
    </row>
    <row r="21" spans="1:2">
      <c r="A21" s="769">
        <v>10500804</v>
      </c>
      <c r="B21" t="s">
        <v>384</v>
      </c>
    </row>
    <row r="22" spans="1:2">
      <c r="A22" s="769">
        <v>10500805</v>
      </c>
      <c r="B22" t="s">
        <v>385</v>
      </c>
    </row>
    <row r="23" spans="1:2">
      <c r="A23" s="769">
        <v>10500806</v>
      </c>
      <c r="B23" t="s">
        <v>386</v>
      </c>
    </row>
    <row r="24" spans="1:2">
      <c r="A24" s="769">
        <v>10500807</v>
      </c>
      <c r="B24" t="s">
        <v>387</v>
      </c>
    </row>
    <row r="25" spans="1:2">
      <c r="A25">
        <v>10500808</v>
      </c>
      <c r="B25" t="s">
        <v>388</v>
      </c>
    </row>
    <row r="26" spans="1:2">
      <c r="A26">
        <v>10500809</v>
      </c>
      <c r="B26" t="s">
        <v>389</v>
      </c>
    </row>
    <row r="27" spans="1:2">
      <c r="A27" s="769">
        <v>10500901</v>
      </c>
      <c r="B27" t="s">
        <v>406</v>
      </c>
    </row>
    <row r="28" spans="1:2">
      <c r="A28" s="769">
        <v>10500902</v>
      </c>
      <c r="B28" t="s">
        <v>407</v>
      </c>
    </row>
    <row r="29" spans="1:2">
      <c r="A29" s="769">
        <v>10500903</v>
      </c>
      <c r="B29" t="s">
        <v>408</v>
      </c>
    </row>
    <row r="30" spans="1:2">
      <c r="A30" s="769">
        <v>10500904</v>
      </c>
      <c r="B30" t="s">
        <v>409</v>
      </c>
    </row>
    <row r="31" spans="1:2">
      <c r="A31" s="769">
        <v>10500905</v>
      </c>
      <c r="B31" t="s">
        <v>410</v>
      </c>
    </row>
    <row r="32" spans="1:2">
      <c r="A32" s="769">
        <v>10500906</v>
      </c>
      <c r="B32" t="s">
        <v>411</v>
      </c>
    </row>
    <row r="33" spans="1:2">
      <c r="A33" s="769">
        <v>10500907</v>
      </c>
      <c r="B33" t="s">
        <v>412</v>
      </c>
    </row>
    <row r="34" spans="1:2">
      <c r="A34" s="769">
        <v>10500908</v>
      </c>
      <c r="B34" t="s">
        <v>413</v>
      </c>
    </row>
    <row r="35" spans="1:2">
      <c r="A35">
        <v>10500909</v>
      </c>
      <c r="B35" t="s">
        <v>414</v>
      </c>
    </row>
    <row r="36" spans="1:2">
      <c r="A36">
        <v>10501001</v>
      </c>
      <c r="B36" t="s">
        <v>431</v>
      </c>
    </row>
    <row r="37" spans="1:2">
      <c r="A37">
        <v>10501002</v>
      </c>
      <c r="B37" t="s">
        <v>432</v>
      </c>
    </row>
    <row r="38" spans="1:2">
      <c r="A38">
        <v>10501003</v>
      </c>
      <c r="B38" t="s">
        <v>433</v>
      </c>
    </row>
    <row r="39" spans="1:2">
      <c r="A39">
        <v>10501004</v>
      </c>
      <c r="B39" t="s">
        <v>434</v>
      </c>
    </row>
    <row r="40" spans="1:2">
      <c r="A40">
        <v>10501005</v>
      </c>
      <c r="B40" t="s">
        <v>435</v>
      </c>
    </row>
    <row r="41" spans="1:2">
      <c r="A41">
        <v>10501006</v>
      </c>
      <c r="B41" t="s">
        <v>436</v>
      </c>
    </row>
    <row r="42" spans="1:2">
      <c r="A42">
        <v>10501007</v>
      </c>
      <c r="B42" t="s">
        <v>437</v>
      </c>
    </row>
    <row r="43" spans="1:2">
      <c r="A43">
        <v>10501008</v>
      </c>
      <c r="B43" t="s">
        <v>438</v>
      </c>
    </row>
    <row r="44" spans="1:2">
      <c r="A44">
        <v>10501009</v>
      </c>
      <c r="B44" t="s">
        <v>439</v>
      </c>
    </row>
    <row r="45" spans="1:2">
      <c r="A45" s="769">
        <v>10501101</v>
      </c>
      <c r="B45" t="s">
        <v>456</v>
      </c>
    </row>
    <row r="46" spans="1:2">
      <c r="A46" s="769">
        <v>10501102</v>
      </c>
      <c r="B46" t="s">
        <v>457</v>
      </c>
    </row>
    <row r="47" spans="1:2">
      <c r="A47" s="769">
        <v>10501103</v>
      </c>
      <c r="B47" t="s">
        <v>458</v>
      </c>
    </row>
    <row r="48" spans="1:2">
      <c r="A48" s="769">
        <v>10501104</v>
      </c>
      <c r="B48" t="s">
        <v>459</v>
      </c>
    </row>
    <row r="49" spans="1:2">
      <c r="A49" s="769">
        <v>10501105</v>
      </c>
      <c r="B49" t="s">
        <v>460</v>
      </c>
    </row>
    <row r="50" spans="1:2">
      <c r="A50" s="769">
        <v>10501106</v>
      </c>
      <c r="B50" t="s">
        <v>461</v>
      </c>
    </row>
    <row r="51" spans="1:2">
      <c r="A51" s="769">
        <v>10501107</v>
      </c>
      <c r="B51" t="s">
        <v>462</v>
      </c>
    </row>
    <row r="52" spans="1:2">
      <c r="A52">
        <v>10501108</v>
      </c>
      <c r="B52" t="s">
        <v>463</v>
      </c>
    </row>
    <row r="53" spans="1:2">
      <c r="A53">
        <v>10501109</v>
      </c>
      <c r="B53" t="s">
        <v>464</v>
      </c>
    </row>
    <row r="54" spans="1:2">
      <c r="A54">
        <v>10501201</v>
      </c>
      <c r="B54" t="s">
        <v>481</v>
      </c>
    </row>
    <row r="55" spans="1:2">
      <c r="A55">
        <v>10501202</v>
      </c>
      <c r="B55" t="s">
        <v>482</v>
      </c>
    </row>
    <row r="56" spans="1:2">
      <c r="A56">
        <v>10501203</v>
      </c>
      <c r="B56" t="s">
        <v>483</v>
      </c>
    </row>
    <row r="57" spans="1:2">
      <c r="A57">
        <v>10501204</v>
      </c>
      <c r="B57" t="s">
        <v>484</v>
      </c>
    </row>
    <row r="58" spans="1:2">
      <c r="A58">
        <v>10501205</v>
      </c>
      <c r="B58" t="s">
        <v>485</v>
      </c>
    </row>
    <row r="59" spans="1:2">
      <c r="A59">
        <v>10501206</v>
      </c>
      <c r="B59" t="s">
        <v>486</v>
      </c>
    </row>
    <row r="60" spans="1:2">
      <c r="A60">
        <v>10501207</v>
      </c>
      <c r="B60" t="s">
        <v>487</v>
      </c>
    </row>
    <row r="61" spans="1:2">
      <c r="A61">
        <v>10501208</v>
      </c>
      <c r="B61" t="s">
        <v>488</v>
      </c>
    </row>
    <row r="62" spans="1:2">
      <c r="A62">
        <v>10501209</v>
      </c>
      <c r="B62" t="s">
        <v>489</v>
      </c>
    </row>
    <row r="63" spans="1:2">
      <c r="A63">
        <v>10501301</v>
      </c>
      <c r="B63" t="s">
        <v>506</v>
      </c>
    </row>
    <row r="64" spans="1:2">
      <c r="A64">
        <v>10501302</v>
      </c>
      <c r="B64" t="s">
        <v>507</v>
      </c>
    </row>
    <row r="65" spans="1:2">
      <c r="A65">
        <v>10501303</v>
      </c>
      <c r="B65" t="s">
        <v>508</v>
      </c>
    </row>
    <row r="66" spans="1:2">
      <c r="A66">
        <v>10501304</v>
      </c>
      <c r="B66" t="s">
        <v>509</v>
      </c>
    </row>
    <row r="67" spans="1:2">
      <c r="A67">
        <v>10501305</v>
      </c>
      <c r="B67" t="s">
        <v>510</v>
      </c>
    </row>
    <row r="68" spans="1:2">
      <c r="A68">
        <v>10501306</v>
      </c>
      <c r="B68" t="s">
        <v>511</v>
      </c>
    </row>
    <row r="69" spans="1:2">
      <c r="A69">
        <v>10501307</v>
      </c>
      <c r="B69" t="s">
        <v>512</v>
      </c>
    </row>
    <row r="70" spans="1:2">
      <c r="A70">
        <v>10501308</v>
      </c>
      <c r="B70" t="s">
        <v>513</v>
      </c>
    </row>
    <row r="71" spans="1:2">
      <c r="A71">
        <v>10501309</v>
      </c>
      <c r="B71" t="s">
        <v>514</v>
      </c>
    </row>
    <row r="72" spans="1:2">
      <c r="A72">
        <v>10599901</v>
      </c>
      <c r="B72" t="s">
        <v>531</v>
      </c>
    </row>
    <row r="73" spans="1:2">
      <c r="A73">
        <v>10599902</v>
      </c>
      <c r="B73" t="s">
        <v>532</v>
      </c>
    </row>
    <row r="74" spans="1:2">
      <c r="A74">
        <v>10599903</v>
      </c>
      <c r="B74" t="s">
        <v>533</v>
      </c>
    </row>
    <row r="75" spans="1:2">
      <c r="A75">
        <v>10599904</v>
      </c>
      <c r="B75" t="s">
        <v>534</v>
      </c>
    </row>
    <row r="76" spans="1:2">
      <c r="A76">
        <v>10599905</v>
      </c>
      <c r="B76" t="s">
        <v>535</v>
      </c>
    </row>
    <row r="77" spans="1:2">
      <c r="A77">
        <v>10599906</v>
      </c>
      <c r="B77" t="s">
        <v>536</v>
      </c>
    </row>
    <row r="78" spans="1:2">
      <c r="A78">
        <v>10599907</v>
      </c>
      <c r="B78" t="s">
        <v>537</v>
      </c>
    </row>
    <row r="79" spans="1:2">
      <c r="A79">
        <v>10599908</v>
      </c>
      <c r="B79" t="s">
        <v>538</v>
      </c>
    </row>
    <row r="80" spans="1:2">
      <c r="A80">
        <v>10599909</v>
      </c>
      <c r="B80" t="s">
        <v>539</v>
      </c>
    </row>
    <row r="81" spans="1:2">
      <c r="A81">
        <v>10599910</v>
      </c>
      <c r="B81" t="s">
        <v>540</v>
      </c>
    </row>
    <row r="82" spans="1:2">
      <c r="A82">
        <v>10599911</v>
      </c>
      <c r="B82" t="s">
        <v>541</v>
      </c>
    </row>
    <row r="83" spans="1:2">
      <c r="A83">
        <v>10599912</v>
      </c>
      <c r="B83" t="s">
        <v>542</v>
      </c>
    </row>
    <row r="84" spans="1:2">
      <c r="A84">
        <v>10599913</v>
      </c>
      <c r="B84" t="s">
        <v>543</v>
      </c>
    </row>
    <row r="85" spans="1:2">
      <c r="A85">
        <v>10599914</v>
      </c>
      <c r="B85" t="s">
        <v>544</v>
      </c>
    </row>
    <row r="86" spans="1:2">
      <c r="A86">
        <v>10599915</v>
      </c>
      <c r="B86" t="s">
        <v>545</v>
      </c>
    </row>
    <row r="87" spans="1:2">
      <c r="A87">
        <v>10599916</v>
      </c>
      <c r="B87" t="s">
        <v>546</v>
      </c>
    </row>
    <row r="88" spans="1:2">
      <c r="A88">
        <v>10599917</v>
      </c>
      <c r="B88" t="s">
        <v>547</v>
      </c>
    </row>
    <row r="89" spans="1:2">
      <c r="A89">
        <v>10599918</v>
      </c>
      <c r="B89" t="s">
        <v>548</v>
      </c>
    </row>
    <row r="90" spans="1:2">
      <c r="A90">
        <v>10599919</v>
      </c>
      <c r="B90" t="s">
        <v>549</v>
      </c>
    </row>
    <row r="91" spans="1:2">
      <c r="A91">
        <v>10599920</v>
      </c>
      <c r="B91" t="s">
        <v>550</v>
      </c>
    </row>
    <row r="92" spans="1:2">
      <c r="A92">
        <v>10599921</v>
      </c>
      <c r="B92" t="s">
        <v>551</v>
      </c>
    </row>
    <row r="93" spans="1:2">
      <c r="A93">
        <v>10599922</v>
      </c>
      <c r="B93" t="s">
        <v>552</v>
      </c>
    </row>
    <row r="94" spans="1:2">
      <c r="A94">
        <v>10599923</v>
      </c>
      <c r="B94" t="s">
        <v>553</v>
      </c>
    </row>
    <row r="95" spans="1:2">
      <c r="A95">
        <v>10599924</v>
      </c>
      <c r="B95" t="s">
        <v>554</v>
      </c>
    </row>
    <row r="96" spans="1:2">
      <c r="A96">
        <v>10599925</v>
      </c>
      <c r="B96" t="s">
        <v>555</v>
      </c>
    </row>
    <row r="97" spans="1:2">
      <c r="A97">
        <v>10599926</v>
      </c>
      <c r="B97" t="s">
        <v>556</v>
      </c>
    </row>
    <row r="98" spans="1:2">
      <c r="A98">
        <v>10599927</v>
      </c>
      <c r="B98" t="s">
        <v>557</v>
      </c>
    </row>
    <row r="99" spans="1:2">
      <c r="A99">
        <v>10500710</v>
      </c>
      <c r="B99" t="s">
        <v>365</v>
      </c>
    </row>
    <row r="100" spans="1:2">
      <c r="A100">
        <v>10500711</v>
      </c>
      <c r="B100" t="s">
        <v>366</v>
      </c>
    </row>
    <row r="101" spans="1:2">
      <c r="A101">
        <v>10500712</v>
      </c>
      <c r="B101" t="s">
        <v>367</v>
      </c>
    </row>
    <row r="102" spans="1:2">
      <c r="A102">
        <v>10500713</v>
      </c>
      <c r="B102" t="s">
        <v>368</v>
      </c>
    </row>
    <row r="103" spans="1:2">
      <c r="A103">
        <v>10500714</v>
      </c>
      <c r="B103" t="s">
        <v>369</v>
      </c>
    </row>
    <row r="104" spans="1:2">
      <c r="A104">
        <v>10500715</v>
      </c>
      <c r="B104" t="s">
        <v>370</v>
      </c>
    </row>
    <row r="105" spans="1:2">
      <c r="A105">
        <v>10500716</v>
      </c>
      <c r="B105" t="s">
        <v>371</v>
      </c>
    </row>
    <row r="106" spans="1:2">
      <c r="A106">
        <v>10500717</v>
      </c>
      <c r="B106" t="s">
        <v>372</v>
      </c>
    </row>
    <row r="107" spans="1:2">
      <c r="A107">
        <v>10500718</v>
      </c>
      <c r="B107" t="s">
        <v>373</v>
      </c>
    </row>
    <row r="108" spans="1:2">
      <c r="A108">
        <v>10500719</v>
      </c>
      <c r="B108" t="s">
        <v>374</v>
      </c>
    </row>
    <row r="109" spans="1:2">
      <c r="A109">
        <v>10500720</v>
      </c>
      <c r="B109" t="s">
        <v>375</v>
      </c>
    </row>
    <row r="110" spans="1:2">
      <c r="A110">
        <v>10500721</v>
      </c>
      <c r="B110" t="s">
        <v>376</v>
      </c>
    </row>
    <row r="111" spans="1:2">
      <c r="A111">
        <v>10500722</v>
      </c>
      <c r="B111" t="s">
        <v>377</v>
      </c>
    </row>
    <row r="112" spans="1:2">
      <c r="A112">
        <v>10500723</v>
      </c>
      <c r="B112" t="s">
        <v>378</v>
      </c>
    </row>
    <row r="113" spans="1:2">
      <c r="A113">
        <v>10500724</v>
      </c>
      <c r="B113" t="s">
        <v>379</v>
      </c>
    </row>
    <row r="114" spans="1:2">
      <c r="A114">
        <v>10500725</v>
      </c>
      <c r="B114" t="s">
        <v>380</v>
      </c>
    </row>
    <row r="115" spans="1:2">
      <c r="A115">
        <v>10500810</v>
      </c>
      <c r="B115" t="s">
        <v>390</v>
      </c>
    </row>
    <row r="116" spans="1:2">
      <c r="A116">
        <v>10500811</v>
      </c>
      <c r="B116" t="s">
        <v>391</v>
      </c>
    </row>
    <row r="117" spans="1:2">
      <c r="A117">
        <v>10500812</v>
      </c>
      <c r="B117" t="s">
        <v>392</v>
      </c>
    </row>
    <row r="118" spans="1:2">
      <c r="A118">
        <v>10500813</v>
      </c>
      <c r="B118" t="s">
        <v>393</v>
      </c>
    </row>
    <row r="119" spans="1:2">
      <c r="A119">
        <v>10500814</v>
      </c>
      <c r="B119" t="s">
        <v>394</v>
      </c>
    </row>
    <row r="120" spans="1:2">
      <c r="A120">
        <v>10500815</v>
      </c>
      <c r="B120" t="s">
        <v>395</v>
      </c>
    </row>
    <row r="121" spans="1:2">
      <c r="A121">
        <v>10500816</v>
      </c>
      <c r="B121" t="s">
        <v>396</v>
      </c>
    </row>
    <row r="122" spans="1:2">
      <c r="A122">
        <v>10500817</v>
      </c>
      <c r="B122" t="s">
        <v>397</v>
      </c>
    </row>
    <row r="123" spans="1:2">
      <c r="A123">
        <v>10500818</v>
      </c>
      <c r="B123" t="s">
        <v>398</v>
      </c>
    </row>
    <row r="124" spans="1:2">
      <c r="A124">
        <v>10500819</v>
      </c>
      <c r="B124" t="s">
        <v>399</v>
      </c>
    </row>
    <row r="125" spans="1:2">
      <c r="A125">
        <v>10500820</v>
      </c>
      <c r="B125" t="s">
        <v>400</v>
      </c>
    </row>
    <row r="126" spans="1:2">
      <c r="A126">
        <v>10500821</v>
      </c>
      <c r="B126" t="s">
        <v>401</v>
      </c>
    </row>
    <row r="127" spans="1:2">
      <c r="A127">
        <v>10500822</v>
      </c>
      <c r="B127" t="s">
        <v>402</v>
      </c>
    </row>
    <row r="128" spans="1:2">
      <c r="A128">
        <v>10500823</v>
      </c>
      <c r="B128" t="s">
        <v>403</v>
      </c>
    </row>
    <row r="129" spans="1:2">
      <c r="A129">
        <v>10500824</v>
      </c>
      <c r="B129" t="s">
        <v>404</v>
      </c>
    </row>
    <row r="130" spans="1:2">
      <c r="A130">
        <v>10500825</v>
      </c>
      <c r="B130" t="s">
        <v>405</v>
      </c>
    </row>
    <row r="131" spans="1:2">
      <c r="A131">
        <v>10500910</v>
      </c>
      <c r="B131" t="s">
        <v>415</v>
      </c>
    </row>
    <row r="132" spans="1:2">
      <c r="A132">
        <v>10500911</v>
      </c>
      <c r="B132" t="s">
        <v>416</v>
      </c>
    </row>
    <row r="133" spans="1:2">
      <c r="A133">
        <v>10500912</v>
      </c>
      <c r="B133" t="s">
        <v>417</v>
      </c>
    </row>
    <row r="134" spans="1:2">
      <c r="A134">
        <v>10500913</v>
      </c>
      <c r="B134" t="s">
        <v>418</v>
      </c>
    </row>
    <row r="135" spans="1:2">
      <c r="A135">
        <v>10500914</v>
      </c>
      <c r="B135" t="s">
        <v>419</v>
      </c>
    </row>
    <row r="136" spans="1:2">
      <c r="A136">
        <v>10500915</v>
      </c>
      <c r="B136" t="s">
        <v>420</v>
      </c>
    </row>
    <row r="137" spans="1:2">
      <c r="A137">
        <v>10500916</v>
      </c>
      <c r="B137" t="s">
        <v>421</v>
      </c>
    </row>
    <row r="138" spans="1:2">
      <c r="A138">
        <v>10500917</v>
      </c>
      <c r="B138" t="s">
        <v>422</v>
      </c>
    </row>
    <row r="139" spans="1:2">
      <c r="A139">
        <v>10500918</v>
      </c>
      <c r="B139" t="s">
        <v>423</v>
      </c>
    </row>
    <row r="140" spans="1:2">
      <c r="A140">
        <v>10500919</v>
      </c>
      <c r="B140" t="s">
        <v>424</v>
      </c>
    </row>
    <row r="141" spans="1:2">
      <c r="A141">
        <v>10500920</v>
      </c>
      <c r="B141" t="s">
        <v>425</v>
      </c>
    </row>
    <row r="142" spans="1:2">
      <c r="A142">
        <v>10500921</v>
      </c>
      <c r="B142" t="s">
        <v>426</v>
      </c>
    </row>
    <row r="143" spans="1:2">
      <c r="A143">
        <v>10500922</v>
      </c>
      <c r="B143" t="s">
        <v>427</v>
      </c>
    </row>
    <row r="144" spans="1:2">
      <c r="A144">
        <v>10500923</v>
      </c>
      <c r="B144" t="s">
        <v>428</v>
      </c>
    </row>
    <row r="145" spans="1:2">
      <c r="A145">
        <v>10500924</v>
      </c>
      <c r="B145" t="s">
        <v>429</v>
      </c>
    </row>
    <row r="146" spans="1:2">
      <c r="A146">
        <v>10500925</v>
      </c>
      <c r="B146" t="s">
        <v>430</v>
      </c>
    </row>
    <row r="147" spans="1:2">
      <c r="A147">
        <v>10501010</v>
      </c>
      <c r="B147" t="s">
        <v>440</v>
      </c>
    </row>
    <row r="148" spans="1:2">
      <c r="A148">
        <v>10501011</v>
      </c>
      <c r="B148" t="s">
        <v>441</v>
      </c>
    </row>
    <row r="149" spans="1:2">
      <c r="A149">
        <v>10501012</v>
      </c>
      <c r="B149" t="s">
        <v>442</v>
      </c>
    </row>
    <row r="150" spans="1:2">
      <c r="A150">
        <v>10501013</v>
      </c>
      <c r="B150" t="s">
        <v>443</v>
      </c>
    </row>
    <row r="151" spans="1:2">
      <c r="A151">
        <v>10501014</v>
      </c>
      <c r="B151" t="s">
        <v>444</v>
      </c>
    </row>
    <row r="152" spans="1:2">
      <c r="A152">
        <v>10501015</v>
      </c>
      <c r="B152" t="s">
        <v>445</v>
      </c>
    </row>
    <row r="153" spans="1:2">
      <c r="A153">
        <v>10501016</v>
      </c>
      <c r="B153" t="s">
        <v>446</v>
      </c>
    </row>
    <row r="154" spans="1:2">
      <c r="A154">
        <v>10501017</v>
      </c>
      <c r="B154" t="s">
        <v>447</v>
      </c>
    </row>
    <row r="155" spans="1:2">
      <c r="A155">
        <v>10501018</v>
      </c>
      <c r="B155" t="s">
        <v>448</v>
      </c>
    </row>
    <row r="156" spans="1:2">
      <c r="A156">
        <v>10501019</v>
      </c>
      <c r="B156" t="s">
        <v>449</v>
      </c>
    </row>
    <row r="157" spans="1:2">
      <c r="A157">
        <v>10501020</v>
      </c>
      <c r="B157" t="s">
        <v>450</v>
      </c>
    </row>
    <row r="158" spans="1:2">
      <c r="A158">
        <v>10501021</v>
      </c>
      <c r="B158" t="s">
        <v>451</v>
      </c>
    </row>
    <row r="159" spans="1:2">
      <c r="A159">
        <v>10501022</v>
      </c>
      <c r="B159" t="s">
        <v>452</v>
      </c>
    </row>
    <row r="160" spans="1:2">
      <c r="A160">
        <v>10501023</v>
      </c>
      <c r="B160" t="s">
        <v>453</v>
      </c>
    </row>
    <row r="161" spans="1:2">
      <c r="A161">
        <v>10501024</v>
      </c>
      <c r="B161" t="s">
        <v>454</v>
      </c>
    </row>
    <row r="162" spans="1:2">
      <c r="A162">
        <v>10501025</v>
      </c>
      <c r="B162" t="s">
        <v>455</v>
      </c>
    </row>
    <row r="163" spans="1:2">
      <c r="A163">
        <v>10501110</v>
      </c>
      <c r="B163" t="s">
        <v>465</v>
      </c>
    </row>
    <row r="164" spans="1:2">
      <c r="A164">
        <v>10501111</v>
      </c>
      <c r="B164" t="s">
        <v>466</v>
      </c>
    </row>
    <row r="165" spans="1:2">
      <c r="A165">
        <v>10501112</v>
      </c>
      <c r="B165" t="s">
        <v>467</v>
      </c>
    </row>
    <row r="166" spans="1:2">
      <c r="A166">
        <v>10501113</v>
      </c>
      <c r="B166" t="s">
        <v>468</v>
      </c>
    </row>
    <row r="167" spans="1:2">
      <c r="A167">
        <v>10501114</v>
      </c>
      <c r="B167" t="s">
        <v>469</v>
      </c>
    </row>
    <row r="168" spans="1:2">
      <c r="A168">
        <v>10501115</v>
      </c>
      <c r="B168" t="s">
        <v>470</v>
      </c>
    </row>
    <row r="169" spans="1:2">
      <c r="A169">
        <v>10501116</v>
      </c>
      <c r="B169" t="s">
        <v>471</v>
      </c>
    </row>
    <row r="170" spans="1:2">
      <c r="A170">
        <v>10501117</v>
      </c>
      <c r="B170" t="s">
        <v>472</v>
      </c>
    </row>
    <row r="171" spans="1:2">
      <c r="A171">
        <v>10501118</v>
      </c>
      <c r="B171" t="s">
        <v>473</v>
      </c>
    </row>
    <row r="172" spans="1:2">
      <c r="A172">
        <v>10501119</v>
      </c>
      <c r="B172" t="s">
        <v>474</v>
      </c>
    </row>
    <row r="173" spans="1:2">
      <c r="A173">
        <v>10501120</v>
      </c>
      <c r="B173" t="s">
        <v>475</v>
      </c>
    </row>
    <row r="174" spans="1:2">
      <c r="A174">
        <v>10501121</v>
      </c>
      <c r="B174" t="s">
        <v>476</v>
      </c>
    </row>
    <row r="175" spans="1:2">
      <c r="A175">
        <v>10501122</v>
      </c>
      <c r="B175" t="s">
        <v>477</v>
      </c>
    </row>
    <row r="176" spans="1:2">
      <c r="A176">
        <v>10501123</v>
      </c>
      <c r="B176" t="s">
        <v>478</v>
      </c>
    </row>
    <row r="177" spans="1:2">
      <c r="A177">
        <v>10501124</v>
      </c>
      <c r="B177" t="s">
        <v>479</v>
      </c>
    </row>
    <row r="178" spans="1:2">
      <c r="A178">
        <v>10501125</v>
      </c>
      <c r="B178" t="s">
        <v>480</v>
      </c>
    </row>
    <row r="179" spans="1:2">
      <c r="A179">
        <v>10501210</v>
      </c>
      <c r="B179" t="s">
        <v>490</v>
      </c>
    </row>
    <row r="180" spans="1:2">
      <c r="A180">
        <v>10501211</v>
      </c>
      <c r="B180" t="s">
        <v>491</v>
      </c>
    </row>
    <row r="181" spans="1:2">
      <c r="A181">
        <v>10501212</v>
      </c>
      <c r="B181" t="s">
        <v>492</v>
      </c>
    </row>
    <row r="182" spans="1:2">
      <c r="A182">
        <v>10501213</v>
      </c>
      <c r="B182" t="s">
        <v>493</v>
      </c>
    </row>
    <row r="183" spans="1:2">
      <c r="A183">
        <v>10501214</v>
      </c>
      <c r="B183" t="s">
        <v>494</v>
      </c>
    </row>
    <row r="184" spans="1:2">
      <c r="A184">
        <v>10501215</v>
      </c>
      <c r="B184" t="s">
        <v>495</v>
      </c>
    </row>
    <row r="185" spans="1:2">
      <c r="A185">
        <v>10501216</v>
      </c>
      <c r="B185" t="s">
        <v>496</v>
      </c>
    </row>
    <row r="186" spans="1:2">
      <c r="A186">
        <v>10501217</v>
      </c>
      <c r="B186" t="s">
        <v>497</v>
      </c>
    </row>
    <row r="187" spans="1:2">
      <c r="A187">
        <v>10501218</v>
      </c>
      <c r="B187" t="s">
        <v>498</v>
      </c>
    </row>
    <row r="188" spans="1:2">
      <c r="A188">
        <v>10501219</v>
      </c>
      <c r="B188" t="s">
        <v>499</v>
      </c>
    </row>
    <row r="189" spans="1:2">
      <c r="A189">
        <v>10501220</v>
      </c>
      <c r="B189" t="s">
        <v>500</v>
      </c>
    </row>
    <row r="190" spans="1:2">
      <c r="A190">
        <v>10501221</v>
      </c>
      <c r="B190" t="s">
        <v>501</v>
      </c>
    </row>
    <row r="191" spans="1:2">
      <c r="A191">
        <v>10501222</v>
      </c>
      <c r="B191" t="s">
        <v>502</v>
      </c>
    </row>
    <row r="192" spans="1:2">
      <c r="A192">
        <v>10501223</v>
      </c>
      <c r="B192" t="s">
        <v>503</v>
      </c>
    </row>
    <row r="193" spans="1:2">
      <c r="A193">
        <v>10501224</v>
      </c>
      <c r="B193" t="s">
        <v>504</v>
      </c>
    </row>
    <row r="194" spans="1:2">
      <c r="A194">
        <v>10501225</v>
      </c>
      <c r="B194" t="s">
        <v>505</v>
      </c>
    </row>
    <row r="195" spans="1:2">
      <c r="A195">
        <v>10501310</v>
      </c>
      <c r="B195" t="s">
        <v>515</v>
      </c>
    </row>
    <row r="196" spans="1:2">
      <c r="A196">
        <v>10501311</v>
      </c>
      <c r="B196" t="s">
        <v>516</v>
      </c>
    </row>
    <row r="197" spans="1:2">
      <c r="A197">
        <v>10501312</v>
      </c>
      <c r="B197" t="s">
        <v>517</v>
      </c>
    </row>
    <row r="198" spans="1:2">
      <c r="A198">
        <v>10501313</v>
      </c>
      <c r="B198" t="s">
        <v>518</v>
      </c>
    </row>
    <row r="199" spans="1:2">
      <c r="A199">
        <v>10501314</v>
      </c>
      <c r="B199" t="s">
        <v>519</v>
      </c>
    </row>
    <row r="200" spans="1:2">
      <c r="A200">
        <v>10501315</v>
      </c>
      <c r="B200" t="s">
        <v>520</v>
      </c>
    </row>
    <row r="201" spans="1:2">
      <c r="A201">
        <v>10501316</v>
      </c>
      <c r="B201" t="s">
        <v>521</v>
      </c>
    </row>
    <row r="202" spans="1:2">
      <c r="A202">
        <v>10501317</v>
      </c>
      <c r="B202" t="s">
        <v>522</v>
      </c>
    </row>
    <row r="203" spans="1:2">
      <c r="A203">
        <v>10501318</v>
      </c>
      <c r="B203" t="s">
        <v>523</v>
      </c>
    </row>
    <row r="204" spans="1:2">
      <c r="A204">
        <v>10501319</v>
      </c>
      <c r="B204" t="s">
        <v>524</v>
      </c>
    </row>
    <row r="205" spans="1:2">
      <c r="A205">
        <v>10501320</v>
      </c>
      <c r="B205" t="s">
        <v>525</v>
      </c>
    </row>
    <row r="206" spans="1:2">
      <c r="A206">
        <v>10501321</v>
      </c>
      <c r="B206" t="s">
        <v>526</v>
      </c>
    </row>
    <row r="207" spans="1:2">
      <c r="A207">
        <v>10501322</v>
      </c>
      <c r="B207" t="s">
        <v>527</v>
      </c>
    </row>
    <row r="208" spans="1:2">
      <c r="A208">
        <v>10501323</v>
      </c>
      <c r="B208" t="s">
        <v>528</v>
      </c>
    </row>
    <row r="209" spans="1:2">
      <c r="A209">
        <v>10501324</v>
      </c>
      <c r="B209" t="s">
        <v>529</v>
      </c>
    </row>
    <row r="210" spans="1:2">
      <c r="A210">
        <v>10501325</v>
      </c>
      <c r="B210" t="s">
        <v>530</v>
      </c>
    </row>
    <row r="211" spans="1:2">
      <c r="A211">
        <v>10599928</v>
      </c>
      <c r="B211" t="s">
        <v>558</v>
      </c>
    </row>
    <row r="212" spans="1:2">
      <c r="A212">
        <v>10599929</v>
      </c>
      <c r="B212" t="s">
        <v>559</v>
      </c>
    </row>
    <row r="213" spans="1:2">
      <c r="A213">
        <v>10599930</v>
      </c>
      <c r="B213" t="s">
        <v>560</v>
      </c>
    </row>
    <row r="214" spans="1:2">
      <c r="A214">
        <v>10599931</v>
      </c>
      <c r="B214" t="s">
        <v>561</v>
      </c>
    </row>
    <row r="215" spans="1:2">
      <c r="A215">
        <v>10599932</v>
      </c>
      <c r="B215" t="s">
        <v>562</v>
      </c>
    </row>
    <row r="216" spans="1:2">
      <c r="A216">
        <v>10599933</v>
      </c>
      <c r="B216" t="s">
        <v>563</v>
      </c>
    </row>
    <row r="217" spans="1:2">
      <c r="A217">
        <v>10599934</v>
      </c>
      <c r="B217" t="s">
        <v>564</v>
      </c>
    </row>
    <row r="218" spans="1:2">
      <c r="A218">
        <v>10599935</v>
      </c>
      <c r="B218" t="s">
        <v>565</v>
      </c>
    </row>
    <row r="219" spans="1:2">
      <c r="A219">
        <v>10599936</v>
      </c>
      <c r="B219" t="s">
        <v>566</v>
      </c>
    </row>
    <row r="220" spans="1:2">
      <c r="A220">
        <v>10599937</v>
      </c>
      <c r="B220" t="s">
        <v>567</v>
      </c>
    </row>
    <row r="221" spans="1:2">
      <c r="A221">
        <v>10599938</v>
      </c>
      <c r="B221" t="s">
        <v>568</v>
      </c>
    </row>
    <row r="222" spans="1:2">
      <c r="A222">
        <v>10599939</v>
      </c>
      <c r="B222" t="s">
        <v>569</v>
      </c>
    </row>
    <row r="223" spans="1:2">
      <c r="A223">
        <v>10599940</v>
      </c>
      <c r="B223" t="s">
        <v>570</v>
      </c>
    </row>
    <row r="224" spans="1:2">
      <c r="A224">
        <v>10599941</v>
      </c>
      <c r="B224" t="s">
        <v>571</v>
      </c>
    </row>
    <row r="225" spans="1:2">
      <c r="A225">
        <v>10599942</v>
      </c>
      <c r="B225" t="s">
        <v>572</v>
      </c>
    </row>
    <row r="226" spans="1:2">
      <c r="A226">
        <v>10599943</v>
      </c>
      <c r="B226" t="s">
        <v>573</v>
      </c>
    </row>
    <row r="227" spans="1:2">
      <c r="A227">
        <v>11001401</v>
      </c>
      <c r="B227" t="s">
        <v>574</v>
      </c>
    </row>
    <row r="228" spans="1:2">
      <c r="A228">
        <v>11001402</v>
      </c>
      <c r="B228" t="s">
        <v>575</v>
      </c>
    </row>
    <row r="229" spans="1:2">
      <c r="A229">
        <v>11001403</v>
      </c>
      <c r="B229" t="s">
        <v>576</v>
      </c>
    </row>
    <row r="230" spans="1:2">
      <c r="A230">
        <v>11001404</v>
      </c>
      <c r="B230" t="s">
        <v>577</v>
      </c>
    </row>
    <row r="231" spans="1:2">
      <c r="A231">
        <v>11001405</v>
      </c>
      <c r="B231" t="s">
        <v>578</v>
      </c>
    </row>
    <row r="232" spans="1:2">
      <c r="A232">
        <v>11001406</v>
      </c>
      <c r="B232" t="s">
        <v>579</v>
      </c>
    </row>
    <row r="233" spans="1:2">
      <c r="A233">
        <v>11001407</v>
      </c>
      <c r="B233" t="s">
        <v>580</v>
      </c>
    </row>
    <row r="234" spans="1:2">
      <c r="A234">
        <v>11001408</v>
      </c>
      <c r="B234" t="s">
        <v>581</v>
      </c>
    </row>
    <row r="235" spans="1:2">
      <c r="A235">
        <v>11001501</v>
      </c>
      <c r="B235" t="s">
        <v>582</v>
      </c>
    </row>
    <row r="236" spans="1:2">
      <c r="A236">
        <v>11001502</v>
      </c>
      <c r="B236" t="s">
        <v>583</v>
      </c>
    </row>
    <row r="237" spans="1:2">
      <c r="A237">
        <v>11001503</v>
      </c>
      <c r="B237" t="s">
        <v>584</v>
      </c>
    </row>
    <row r="238" spans="1:2">
      <c r="A238">
        <v>11001504</v>
      </c>
      <c r="B238" t="s">
        <v>585</v>
      </c>
    </row>
    <row r="239" spans="1:2">
      <c r="A239">
        <v>11001601</v>
      </c>
      <c r="B239" t="s">
        <v>586</v>
      </c>
    </row>
    <row r="240" spans="1:2">
      <c r="A240">
        <v>11001602</v>
      </c>
      <c r="B240" t="s">
        <v>587</v>
      </c>
    </row>
    <row r="241" spans="1:2">
      <c r="A241">
        <v>11001603</v>
      </c>
      <c r="B241" t="s">
        <v>2423</v>
      </c>
    </row>
    <row r="242" spans="1:2">
      <c r="A242">
        <v>11001701</v>
      </c>
      <c r="B242" t="s">
        <v>588</v>
      </c>
    </row>
    <row r="243" spans="1:2">
      <c r="A243">
        <v>11001702</v>
      </c>
      <c r="B243" t="s">
        <v>2424</v>
      </c>
    </row>
    <row r="244" spans="1:2">
      <c r="A244">
        <v>11001703</v>
      </c>
      <c r="B244" t="s">
        <v>2425</v>
      </c>
    </row>
    <row r="245" spans="1:2">
      <c r="A245">
        <v>11001801</v>
      </c>
      <c r="B245" t="s">
        <v>589</v>
      </c>
    </row>
    <row r="246" spans="1:2">
      <c r="A246">
        <v>11001802</v>
      </c>
      <c r="B246" t="s">
        <v>2426</v>
      </c>
    </row>
    <row r="247" spans="1:2">
      <c r="A247">
        <v>11001901</v>
      </c>
      <c r="B247" t="s">
        <v>590</v>
      </c>
    </row>
    <row r="248" spans="1:2">
      <c r="A248">
        <v>11002001</v>
      </c>
      <c r="B248" t="s">
        <v>591</v>
      </c>
    </row>
    <row r="249" spans="1:2">
      <c r="A249">
        <v>11002002</v>
      </c>
      <c r="B249" t="s">
        <v>592</v>
      </c>
    </row>
    <row r="250" spans="1:2">
      <c r="A250">
        <v>11002101</v>
      </c>
      <c r="B250" t="s">
        <v>2427</v>
      </c>
    </row>
    <row r="251" spans="1:2">
      <c r="A251">
        <v>11002102</v>
      </c>
      <c r="B251" t="s">
        <v>2428</v>
      </c>
    </row>
    <row r="252" spans="1:2">
      <c r="A252">
        <v>11002103</v>
      </c>
      <c r="B252" t="s">
        <v>2429</v>
      </c>
    </row>
    <row r="253" spans="1:2">
      <c r="A253">
        <v>11007701</v>
      </c>
      <c r="B253" t="s">
        <v>624</v>
      </c>
    </row>
    <row r="254" spans="1:2">
      <c r="A254">
        <v>11007801</v>
      </c>
      <c r="B254" t="s">
        <v>625</v>
      </c>
    </row>
    <row r="255" spans="1:2">
      <c r="A255">
        <v>11007901</v>
      </c>
      <c r="B255" t="s">
        <v>626</v>
      </c>
    </row>
    <row r="256" spans="1:2">
      <c r="A256">
        <v>11002201</v>
      </c>
      <c r="B256" t="s">
        <v>593</v>
      </c>
    </row>
    <row r="257" spans="1:2">
      <c r="A257">
        <v>11002301</v>
      </c>
      <c r="B257" t="s">
        <v>594</v>
      </c>
    </row>
    <row r="258" spans="1:2">
      <c r="A258">
        <v>11002401</v>
      </c>
      <c r="B258" t="s">
        <v>2430</v>
      </c>
    </row>
    <row r="259" spans="1:2">
      <c r="A259">
        <v>11002501</v>
      </c>
      <c r="B259" t="s">
        <v>595</v>
      </c>
    </row>
    <row r="260" spans="1:2">
      <c r="A260">
        <v>11002601</v>
      </c>
      <c r="B260" t="s">
        <v>596</v>
      </c>
    </row>
    <row r="261" spans="1:2">
      <c r="A261">
        <v>11002701</v>
      </c>
      <c r="B261" t="s">
        <v>597</v>
      </c>
    </row>
    <row r="262" spans="1:2">
      <c r="A262">
        <v>11002801</v>
      </c>
      <c r="B262" t="s">
        <v>598</v>
      </c>
    </row>
    <row r="263" spans="1:2">
      <c r="A263">
        <v>11002901</v>
      </c>
      <c r="B263" t="s">
        <v>599</v>
      </c>
    </row>
    <row r="264" spans="1:2">
      <c r="A264">
        <v>11003001</v>
      </c>
      <c r="B264" t="s">
        <v>600</v>
      </c>
    </row>
    <row r="265" spans="1:2">
      <c r="A265">
        <v>11003101</v>
      </c>
      <c r="B265" t="s">
        <v>601</v>
      </c>
    </row>
    <row r="266" spans="1:2">
      <c r="A266">
        <v>11003201</v>
      </c>
      <c r="B266" t="s">
        <v>602</v>
      </c>
    </row>
    <row r="267" spans="1:2">
      <c r="A267">
        <v>11003301</v>
      </c>
      <c r="B267" t="s">
        <v>603</v>
      </c>
    </row>
    <row r="268" spans="1:2">
      <c r="A268">
        <v>11003401</v>
      </c>
      <c r="B268" t="s">
        <v>604</v>
      </c>
    </row>
    <row r="269" spans="1:2">
      <c r="A269">
        <v>11003501</v>
      </c>
      <c r="B269" t="s">
        <v>605</v>
      </c>
    </row>
    <row r="270" spans="1:2">
      <c r="A270">
        <v>11003601</v>
      </c>
      <c r="B270" t="s">
        <v>606</v>
      </c>
    </row>
    <row r="271" spans="1:2">
      <c r="A271">
        <v>11003701</v>
      </c>
      <c r="B271" t="s">
        <v>607</v>
      </c>
    </row>
    <row r="272" spans="1:2">
      <c r="A272">
        <v>11003801</v>
      </c>
      <c r="B272" t="s">
        <v>608</v>
      </c>
    </row>
    <row r="273" spans="1:2">
      <c r="A273">
        <v>11003901</v>
      </c>
      <c r="B273" t="s">
        <v>609</v>
      </c>
    </row>
    <row r="274" spans="1:2">
      <c r="A274">
        <v>11004001</v>
      </c>
      <c r="B274" t="s">
        <v>610</v>
      </c>
    </row>
    <row r="275" spans="1:2">
      <c r="A275">
        <v>11004101</v>
      </c>
      <c r="B275" t="s">
        <v>611</v>
      </c>
    </row>
    <row r="276" spans="1:2">
      <c r="A276">
        <v>11004201</v>
      </c>
      <c r="B276" t="s">
        <v>612</v>
      </c>
    </row>
    <row r="277" spans="1:2">
      <c r="A277">
        <v>11004301</v>
      </c>
      <c r="B277" t="s">
        <v>613</v>
      </c>
    </row>
    <row r="278" spans="1:2">
      <c r="A278">
        <v>11004401</v>
      </c>
      <c r="B278" t="s">
        <v>614</v>
      </c>
    </row>
    <row r="279" spans="1:2">
      <c r="A279">
        <v>11004501</v>
      </c>
      <c r="B279" t="s">
        <v>615</v>
      </c>
    </row>
    <row r="280" spans="1:2">
      <c r="A280">
        <v>11004601</v>
      </c>
      <c r="B280" t="s">
        <v>616</v>
      </c>
    </row>
    <row r="281" spans="1:2">
      <c r="A281">
        <v>11004701</v>
      </c>
      <c r="B281" t="s">
        <v>617</v>
      </c>
    </row>
    <row r="282" spans="1:2">
      <c r="A282">
        <v>11004801</v>
      </c>
      <c r="B282" t="s">
        <v>618</v>
      </c>
    </row>
    <row r="283" spans="1:2">
      <c r="A283">
        <v>11004802</v>
      </c>
      <c r="B283" t="s">
        <v>619</v>
      </c>
    </row>
    <row r="284" spans="1:2">
      <c r="A284">
        <v>11004803</v>
      </c>
      <c r="B284" t="s">
        <v>620</v>
      </c>
    </row>
    <row r="285" spans="1:2">
      <c r="A285">
        <v>11004804</v>
      </c>
      <c r="B285" t="s">
        <v>621</v>
      </c>
    </row>
    <row r="286" spans="1:2">
      <c r="A286">
        <v>11004901</v>
      </c>
      <c r="B286" t="s">
        <v>622</v>
      </c>
    </row>
    <row r="287" spans="1:2">
      <c r="A287">
        <v>11005001</v>
      </c>
      <c r="B287" t="s">
        <v>623</v>
      </c>
    </row>
    <row r="288" spans="1:2">
      <c r="A288">
        <v>11099901</v>
      </c>
      <c r="B288" t="s">
        <v>627</v>
      </c>
    </row>
    <row r="289" spans="1:2">
      <c r="A289">
        <v>11004901</v>
      </c>
      <c r="B289" t="s">
        <v>2431</v>
      </c>
    </row>
    <row r="290" spans="1:2">
      <c r="A290">
        <v>11004902</v>
      </c>
      <c r="B290" t="s">
        <v>2432</v>
      </c>
    </row>
    <row r="291" spans="1:2">
      <c r="A291">
        <v>11004903</v>
      </c>
      <c r="B291" t="s">
        <v>2433</v>
      </c>
    </row>
    <row r="292" spans="1:2">
      <c r="A292">
        <v>11004904</v>
      </c>
      <c r="B292" t="s">
        <v>2434</v>
      </c>
    </row>
    <row r="293" spans="1:2">
      <c r="A293">
        <v>11004905</v>
      </c>
      <c r="B293" t="s">
        <v>2435</v>
      </c>
    </row>
    <row r="294" spans="1:2">
      <c r="A294">
        <v>11004906</v>
      </c>
      <c r="B294" t="s">
        <v>2436</v>
      </c>
    </row>
    <row r="295" spans="1:2">
      <c r="A295">
        <v>11004907</v>
      </c>
      <c r="B295" t="s">
        <v>2437</v>
      </c>
    </row>
    <row r="296" spans="1:2">
      <c r="A296">
        <v>11004908</v>
      </c>
      <c r="B296" t="s">
        <v>2438</v>
      </c>
    </row>
    <row r="297" spans="1:2">
      <c r="A297">
        <v>11004909</v>
      </c>
      <c r="B297" t="s">
        <v>2439</v>
      </c>
    </row>
    <row r="298" spans="1:2">
      <c r="A298">
        <v>11004910</v>
      </c>
      <c r="B298" t="s">
        <v>2440</v>
      </c>
    </row>
    <row r="299" spans="1:2">
      <c r="A299">
        <v>11004911</v>
      </c>
      <c r="B299" t="s">
        <v>2441</v>
      </c>
    </row>
    <row r="300" spans="1:2">
      <c r="A300">
        <v>11005001</v>
      </c>
      <c r="B300" t="s">
        <v>2442</v>
      </c>
    </row>
    <row r="301" spans="1:2">
      <c r="A301">
        <v>11005002</v>
      </c>
      <c r="B301" t="s">
        <v>2443</v>
      </c>
    </row>
    <row r="302" spans="1:2">
      <c r="A302">
        <v>11005003</v>
      </c>
      <c r="B302" t="s">
        <v>2444</v>
      </c>
    </row>
    <row r="303" spans="1:2">
      <c r="A303">
        <v>11005004</v>
      </c>
      <c r="B303" t="s">
        <v>2445</v>
      </c>
    </row>
    <row r="304" spans="1:2">
      <c r="A304">
        <v>11005005</v>
      </c>
      <c r="B304" t="s">
        <v>2446</v>
      </c>
    </row>
    <row r="305" spans="1:2">
      <c r="A305">
        <v>11005006</v>
      </c>
      <c r="B305" t="s">
        <v>2447</v>
      </c>
    </row>
    <row r="306" spans="1:2">
      <c r="A306">
        <v>11005007</v>
      </c>
      <c r="B306" t="s">
        <v>2448</v>
      </c>
    </row>
    <row r="307" spans="1:2">
      <c r="A307">
        <v>11005008</v>
      </c>
      <c r="B307" t="s">
        <v>2449</v>
      </c>
    </row>
    <row r="308" spans="1:2">
      <c r="A308">
        <v>11005009</v>
      </c>
      <c r="B308" t="s">
        <v>2450</v>
      </c>
    </row>
    <row r="309" spans="1:2">
      <c r="A309">
        <v>11005010</v>
      </c>
      <c r="B309" t="s">
        <v>2451</v>
      </c>
    </row>
    <row r="310" spans="1:2">
      <c r="A310">
        <v>11005011</v>
      </c>
      <c r="B310" t="s">
        <v>2452</v>
      </c>
    </row>
    <row r="311" spans="1:2">
      <c r="A311">
        <v>11099901</v>
      </c>
      <c r="B311" t="s">
        <v>2453</v>
      </c>
    </row>
    <row r="312" spans="1:2">
      <c r="A312">
        <v>11099902</v>
      </c>
      <c r="B312" t="s">
        <v>2454</v>
      </c>
    </row>
    <row r="313" spans="1:2">
      <c r="A313">
        <v>11099903</v>
      </c>
      <c r="B313" t="s">
        <v>2455</v>
      </c>
    </row>
    <row r="314" spans="1:2">
      <c r="A314">
        <v>11099904</v>
      </c>
      <c r="B314" t="s">
        <v>2456</v>
      </c>
    </row>
    <row r="315" spans="1:2">
      <c r="A315">
        <v>11099905</v>
      </c>
      <c r="B315" t="s">
        <v>2457</v>
      </c>
    </row>
    <row r="316" spans="1:2">
      <c r="A316">
        <v>11099912</v>
      </c>
      <c r="B316" t="s">
        <v>2458</v>
      </c>
    </row>
    <row r="317" spans="1:2">
      <c r="A317">
        <v>11099906</v>
      </c>
      <c r="B317" t="s">
        <v>2459</v>
      </c>
    </row>
    <row r="318" spans="1:2">
      <c r="A318">
        <v>11099907</v>
      </c>
      <c r="B318" t="s">
        <v>2460</v>
      </c>
    </row>
    <row r="319" spans="1:2">
      <c r="A319">
        <v>11099908</v>
      </c>
      <c r="B319" t="s">
        <v>2461</v>
      </c>
    </row>
    <row r="320" spans="1:2">
      <c r="A320">
        <v>11099909</v>
      </c>
      <c r="B320" t="s">
        <v>2462</v>
      </c>
    </row>
    <row r="321" spans="1:2">
      <c r="A321">
        <v>11099913</v>
      </c>
      <c r="B321" t="s">
        <v>2463</v>
      </c>
    </row>
    <row r="322" spans="1:2">
      <c r="A322">
        <v>11099914</v>
      </c>
      <c r="B322" t="s">
        <v>2464</v>
      </c>
    </row>
    <row r="323" spans="1:2">
      <c r="A323">
        <v>11099915</v>
      </c>
      <c r="B323" t="s">
        <v>2465</v>
      </c>
    </row>
    <row r="324" spans="1:2">
      <c r="A324">
        <v>11099910</v>
      </c>
      <c r="B324" t="s">
        <v>2466</v>
      </c>
    </row>
    <row r="325" spans="1:2">
      <c r="A325">
        <v>11099911</v>
      </c>
      <c r="B325" t="s">
        <v>2467</v>
      </c>
    </row>
    <row r="326" spans="1:2">
      <c r="A326">
        <v>11099916</v>
      </c>
      <c r="B326" t="s">
        <v>2468</v>
      </c>
    </row>
    <row r="327" spans="1:2">
      <c r="A327">
        <v>11099917</v>
      </c>
      <c r="B327" t="s">
        <v>2469</v>
      </c>
    </row>
    <row r="328" spans="1:2">
      <c r="A328">
        <v>11099918</v>
      </c>
      <c r="B328" t="s">
        <v>2470</v>
      </c>
    </row>
    <row r="329" spans="1:2">
      <c r="A329">
        <v>11505101</v>
      </c>
      <c r="B329" t="s">
        <v>628</v>
      </c>
    </row>
    <row r="330" spans="1:2">
      <c r="A330">
        <v>11505201</v>
      </c>
      <c r="B330" t="s">
        <v>629</v>
      </c>
    </row>
    <row r="331" spans="1:2">
      <c r="A331">
        <v>11505301</v>
      </c>
      <c r="B331" t="s">
        <v>630</v>
      </c>
    </row>
    <row r="332" spans="1:2">
      <c r="A332">
        <v>11505401</v>
      </c>
      <c r="B332" t="s">
        <v>631</v>
      </c>
    </row>
    <row r="333" spans="1:2">
      <c r="A333">
        <v>11508001</v>
      </c>
      <c r="B333" t="s">
        <v>2471</v>
      </c>
    </row>
    <row r="334" spans="1:2">
      <c r="A334">
        <v>12005501</v>
      </c>
      <c r="B334" t="s">
        <v>632</v>
      </c>
    </row>
    <row r="335" spans="1:2">
      <c r="A335">
        <v>12005601</v>
      </c>
      <c r="B335" t="s">
        <v>633</v>
      </c>
    </row>
    <row r="336" spans="1:2">
      <c r="A336">
        <v>12005602</v>
      </c>
      <c r="B336" t="s">
        <v>634</v>
      </c>
    </row>
    <row r="337" spans="1:2">
      <c r="A337">
        <v>12005603</v>
      </c>
      <c r="B337" t="s">
        <v>635</v>
      </c>
    </row>
    <row r="338" spans="1:2">
      <c r="A338">
        <v>12005604</v>
      </c>
      <c r="B338" t="s">
        <v>636</v>
      </c>
    </row>
    <row r="339" spans="1:2">
      <c r="A339">
        <v>12005701</v>
      </c>
      <c r="B339" t="s">
        <v>637</v>
      </c>
    </row>
    <row r="340" spans="1:2">
      <c r="A340">
        <v>12005702</v>
      </c>
      <c r="B340" t="s">
        <v>638</v>
      </c>
    </row>
    <row r="341" spans="1:2">
      <c r="A341">
        <v>12005703</v>
      </c>
      <c r="B341" t="s">
        <v>639</v>
      </c>
    </row>
    <row r="342" spans="1:2">
      <c r="A342">
        <v>12005801</v>
      </c>
      <c r="B342" t="s">
        <v>640</v>
      </c>
    </row>
    <row r="343" spans="1:2">
      <c r="A343">
        <v>12099901</v>
      </c>
      <c r="B343" t="s">
        <v>641</v>
      </c>
    </row>
    <row r="344" spans="1:2">
      <c r="A344">
        <v>12099902</v>
      </c>
      <c r="B344" t="s">
        <v>642</v>
      </c>
    </row>
    <row r="345" spans="1:2">
      <c r="A345">
        <v>12505901</v>
      </c>
      <c r="B345" t="s">
        <v>643</v>
      </c>
    </row>
    <row r="346" spans="1:2">
      <c r="A346">
        <v>12505902</v>
      </c>
      <c r="B346" t="s">
        <v>644</v>
      </c>
    </row>
    <row r="347" spans="1:2">
      <c r="A347">
        <v>12505903</v>
      </c>
      <c r="B347" t="s">
        <v>645</v>
      </c>
    </row>
    <row r="348" spans="1:2">
      <c r="A348">
        <v>12505904</v>
      </c>
      <c r="B348" t="s">
        <v>646</v>
      </c>
    </row>
    <row r="349" spans="1:2">
      <c r="A349">
        <v>12505905</v>
      </c>
      <c r="B349" t="s">
        <v>647</v>
      </c>
    </row>
    <row r="350" spans="1:2">
      <c r="A350">
        <v>12505906</v>
      </c>
      <c r="B350" t="s">
        <v>648</v>
      </c>
    </row>
    <row r="351" spans="1:2">
      <c r="A351">
        <v>12505907</v>
      </c>
      <c r="B351" t="s">
        <v>649</v>
      </c>
    </row>
    <row r="352" spans="1:2">
      <c r="A352">
        <v>12505908</v>
      </c>
      <c r="B352" t="s">
        <v>650</v>
      </c>
    </row>
    <row r="353" spans="1:2">
      <c r="A353">
        <v>12505909</v>
      </c>
      <c r="B353" t="s">
        <v>651</v>
      </c>
    </row>
    <row r="354" spans="1:2">
      <c r="A354">
        <v>12505910</v>
      </c>
      <c r="B354" t="s">
        <v>652</v>
      </c>
    </row>
    <row r="355" spans="1:2">
      <c r="A355">
        <v>12505911</v>
      </c>
      <c r="B355" t="s">
        <v>653</v>
      </c>
    </row>
    <row r="356" spans="1:2">
      <c r="A356">
        <v>12505912</v>
      </c>
      <c r="B356" t="s">
        <v>654</v>
      </c>
    </row>
    <row r="357" spans="1:2">
      <c r="A357">
        <v>12505913</v>
      </c>
      <c r="B357" t="s">
        <v>655</v>
      </c>
    </row>
    <row r="358" spans="1:2">
      <c r="A358">
        <v>12505914</v>
      </c>
      <c r="B358" t="s">
        <v>656</v>
      </c>
    </row>
    <row r="359" spans="1:2">
      <c r="A359">
        <v>12505915</v>
      </c>
      <c r="B359" t="s">
        <v>657</v>
      </c>
    </row>
    <row r="360" spans="1:2">
      <c r="A360">
        <v>12505916</v>
      </c>
      <c r="B360" t="s">
        <v>658</v>
      </c>
    </row>
    <row r="361" spans="1:2">
      <c r="A361">
        <v>12505917</v>
      </c>
      <c r="B361" t="s">
        <v>659</v>
      </c>
    </row>
    <row r="362" spans="1:2">
      <c r="A362">
        <v>12505918</v>
      </c>
      <c r="B362" t="s">
        <v>660</v>
      </c>
    </row>
    <row r="363" spans="1:2">
      <c r="A363">
        <v>12505919</v>
      </c>
      <c r="B363" t="s">
        <v>661</v>
      </c>
    </row>
    <row r="364" spans="1:2">
      <c r="A364">
        <v>12505920</v>
      </c>
      <c r="B364" t="s">
        <v>662</v>
      </c>
    </row>
    <row r="365" spans="1:2">
      <c r="A365">
        <v>12505921</v>
      </c>
      <c r="B365" t="s">
        <v>663</v>
      </c>
    </row>
    <row r="366" spans="1:2">
      <c r="A366">
        <v>12505922</v>
      </c>
      <c r="B366" t="s">
        <v>664</v>
      </c>
    </row>
    <row r="367" spans="1:2">
      <c r="A367">
        <v>12505923</v>
      </c>
      <c r="B367" t="s">
        <v>665</v>
      </c>
    </row>
    <row r="368" spans="1:2">
      <c r="A368">
        <v>12505924</v>
      </c>
      <c r="B368" t="s">
        <v>666</v>
      </c>
    </row>
    <row r="369" spans="1:2">
      <c r="A369">
        <v>12505925</v>
      </c>
      <c r="B369" t="s">
        <v>667</v>
      </c>
    </row>
    <row r="370" spans="1:2">
      <c r="A370">
        <v>12505926</v>
      </c>
      <c r="B370" t="s">
        <v>668</v>
      </c>
    </row>
    <row r="371" spans="1:2">
      <c r="A371">
        <v>12505927</v>
      </c>
      <c r="B371" t="s">
        <v>669</v>
      </c>
    </row>
    <row r="372" spans="1:2">
      <c r="A372">
        <v>12505928</v>
      </c>
      <c r="B372" t="s">
        <v>670</v>
      </c>
    </row>
    <row r="373" spans="1:2">
      <c r="A373">
        <v>12505929</v>
      </c>
      <c r="B373" t="s">
        <v>671</v>
      </c>
    </row>
    <row r="374" spans="1:2">
      <c r="A374">
        <v>12505930</v>
      </c>
      <c r="B374" t="s">
        <v>672</v>
      </c>
    </row>
    <row r="375" spans="1:2">
      <c r="A375">
        <v>12505931</v>
      </c>
      <c r="B375" t="s">
        <v>673</v>
      </c>
    </row>
    <row r="376" spans="1:2">
      <c r="A376">
        <v>12505932</v>
      </c>
      <c r="B376" t="s">
        <v>674</v>
      </c>
    </row>
    <row r="377" spans="1:2">
      <c r="A377">
        <v>12505933</v>
      </c>
      <c r="B377" t="s">
        <v>675</v>
      </c>
    </row>
    <row r="378" spans="1:2">
      <c r="A378">
        <v>12505934</v>
      </c>
      <c r="B378" t="s">
        <v>676</v>
      </c>
    </row>
    <row r="379" spans="1:2">
      <c r="A379">
        <v>12505935</v>
      </c>
      <c r="B379" t="s">
        <v>677</v>
      </c>
    </row>
    <row r="380" spans="1:2">
      <c r="A380">
        <v>12505936</v>
      </c>
      <c r="B380" t="s">
        <v>678</v>
      </c>
    </row>
    <row r="381" spans="1:2">
      <c r="A381">
        <v>12505937</v>
      </c>
      <c r="B381" t="s">
        <v>679</v>
      </c>
    </row>
    <row r="382" spans="1:2">
      <c r="A382">
        <v>12505938</v>
      </c>
      <c r="B382" t="s">
        <v>680</v>
      </c>
    </row>
    <row r="383" spans="1:2">
      <c r="A383">
        <v>12505939</v>
      </c>
      <c r="B383" t="s">
        <v>681</v>
      </c>
    </row>
    <row r="384" spans="1:2">
      <c r="A384">
        <v>12505940</v>
      </c>
      <c r="B384" t="s">
        <v>682</v>
      </c>
    </row>
    <row r="385" spans="1:2">
      <c r="A385">
        <v>12505941</v>
      </c>
      <c r="B385" t="s">
        <v>683</v>
      </c>
    </row>
    <row r="386" spans="1:2">
      <c r="A386">
        <v>12505942</v>
      </c>
      <c r="B386" t="s">
        <v>684</v>
      </c>
    </row>
    <row r="387" spans="1:2">
      <c r="A387">
        <v>12505943</v>
      </c>
      <c r="B387" t="s">
        <v>685</v>
      </c>
    </row>
    <row r="388" spans="1:2">
      <c r="A388">
        <v>12505944</v>
      </c>
      <c r="B388" t="s">
        <v>686</v>
      </c>
    </row>
    <row r="389" spans="1:2">
      <c r="A389">
        <v>12505945</v>
      </c>
      <c r="B389" t="s">
        <v>687</v>
      </c>
    </row>
    <row r="390" spans="1:2">
      <c r="A390">
        <v>12505946</v>
      </c>
      <c r="B390" t="s">
        <v>688</v>
      </c>
    </row>
    <row r="391" spans="1:2">
      <c r="A391">
        <v>12505947</v>
      </c>
      <c r="B391" t="s">
        <v>689</v>
      </c>
    </row>
    <row r="392" spans="1:2">
      <c r="A392">
        <v>12505948</v>
      </c>
      <c r="B392" t="s">
        <v>690</v>
      </c>
    </row>
    <row r="393" spans="1:2">
      <c r="A393">
        <v>12505949</v>
      </c>
      <c r="B393" t="s">
        <v>691</v>
      </c>
    </row>
    <row r="394" spans="1:2">
      <c r="A394">
        <v>12505950</v>
      </c>
      <c r="B394" t="s">
        <v>692</v>
      </c>
    </row>
    <row r="395" spans="1:2">
      <c r="A395">
        <v>12505951</v>
      </c>
      <c r="B395" t="s">
        <v>693</v>
      </c>
    </row>
    <row r="396" spans="1:2">
      <c r="A396">
        <v>12505952</v>
      </c>
      <c r="B396" t="s">
        <v>694</v>
      </c>
    </row>
    <row r="397" spans="1:2">
      <c r="A397">
        <v>12505953</v>
      </c>
      <c r="B397" t="s">
        <v>695</v>
      </c>
    </row>
    <row r="398" spans="1:2">
      <c r="A398">
        <v>12505954</v>
      </c>
      <c r="B398" t="s">
        <v>696</v>
      </c>
    </row>
    <row r="399" spans="1:2">
      <c r="A399">
        <v>12505955</v>
      </c>
      <c r="B399" t="s">
        <v>697</v>
      </c>
    </row>
    <row r="400" spans="1:2">
      <c r="A400">
        <v>12505956</v>
      </c>
      <c r="B400" t="s">
        <v>698</v>
      </c>
    </row>
    <row r="401" spans="1:2">
      <c r="A401">
        <v>12505957</v>
      </c>
      <c r="B401" t="s">
        <v>699</v>
      </c>
    </row>
    <row r="402" spans="1:2">
      <c r="A402">
        <v>12505958</v>
      </c>
      <c r="B402" t="s">
        <v>701</v>
      </c>
    </row>
    <row r="403" spans="1:2">
      <c r="A403">
        <v>12505959</v>
      </c>
      <c r="B403" t="s">
        <v>703</v>
      </c>
    </row>
    <row r="404" spans="1:2">
      <c r="A404">
        <v>12505960</v>
      </c>
      <c r="B404" t="s">
        <v>704</v>
      </c>
    </row>
    <row r="405" spans="1:2">
      <c r="A405">
        <v>12505961</v>
      </c>
      <c r="B405" t="s">
        <v>705</v>
      </c>
    </row>
    <row r="406" spans="1:2">
      <c r="A406">
        <v>12505962</v>
      </c>
      <c r="B406" t="s">
        <v>706</v>
      </c>
    </row>
    <row r="407" spans="1:2">
      <c r="A407">
        <v>12505963</v>
      </c>
      <c r="B407" t="s">
        <v>707</v>
      </c>
    </row>
    <row r="408" spans="1:2">
      <c r="A408">
        <v>12505964</v>
      </c>
      <c r="B408" t="s">
        <v>708</v>
      </c>
    </row>
    <row r="409" spans="1:2">
      <c r="A409">
        <v>12505965</v>
      </c>
      <c r="B409" t="s">
        <v>709</v>
      </c>
    </row>
    <row r="410" spans="1:2">
      <c r="A410">
        <v>12505966</v>
      </c>
      <c r="B410" t="s">
        <v>710</v>
      </c>
    </row>
    <row r="411" spans="1:2">
      <c r="A411">
        <v>12505967</v>
      </c>
      <c r="B411" t="s">
        <v>711</v>
      </c>
    </row>
    <row r="412" spans="1:2">
      <c r="A412">
        <v>12505968</v>
      </c>
      <c r="B412" t="s">
        <v>712</v>
      </c>
    </row>
    <row r="413" spans="1:2">
      <c r="A413">
        <v>12505969</v>
      </c>
      <c r="B413" t="s">
        <v>713</v>
      </c>
    </row>
    <row r="414" spans="1:2">
      <c r="A414">
        <v>12505970</v>
      </c>
      <c r="B414" t="s">
        <v>714</v>
      </c>
    </row>
    <row r="415" spans="1:2">
      <c r="A415">
        <v>12505971</v>
      </c>
      <c r="B415" t="s">
        <v>715</v>
      </c>
    </row>
    <row r="416" spans="1:2">
      <c r="A416">
        <v>12505972</v>
      </c>
      <c r="B416" t="s">
        <v>716</v>
      </c>
    </row>
    <row r="417" spans="1:2">
      <c r="A417">
        <v>12505973</v>
      </c>
      <c r="B417" t="s">
        <v>717</v>
      </c>
    </row>
    <row r="418" spans="1:2">
      <c r="A418">
        <v>12505974</v>
      </c>
      <c r="B418" t="s">
        <v>718</v>
      </c>
    </row>
    <row r="419" spans="1:2">
      <c r="A419">
        <v>12505975</v>
      </c>
      <c r="B419" t="s">
        <v>719</v>
      </c>
    </row>
    <row r="420" spans="1:2">
      <c r="A420">
        <v>12505976</v>
      </c>
      <c r="B420" t="s">
        <v>720</v>
      </c>
    </row>
    <row r="421" spans="1:2">
      <c r="A421">
        <v>12505977</v>
      </c>
      <c r="B421" t="s">
        <v>721</v>
      </c>
    </row>
    <row r="422" spans="1:2">
      <c r="A422">
        <v>12505978</v>
      </c>
      <c r="B422" t="s">
        <v>722</v>
      </c>
    </row>
    <row r="423" spans="1:2">
      <c r="A423">
        <v>12505979</v>
      </c>
      <c r="B423" t="s">
        <v>723</v>
      </c>
    </row>
    <row r="424" spans="1:2">
      <c r="A424">
        <v>12505980</v>
      </c>
      <c r="B424" t="s">
        <v>724</v>
      </c>
    </row>
    <row r="425" spans="1:2">
      <c r="A425">
        <v>12505981</v>
      </c>
      <c r="B425" t="s">
        <v>725</v>
      </c>
    </row>
    <row r="426" spans="1:2">
      <c r="A426">
        <v>12505982</v>
      </c>
      <c r="B426" t="s">
        <v>726</v>
      </c>
    </row>
    <row r="427" spans="1:2">
      <c r="A427">
        <v>12505983</v>
      </c>
      <c r="B427" t="s">
        <v>727</v>
      </c>
    </row>
    <row r="428" spans="1:2">
      <c r="A428">
        <v>12505984</v>
      </c>
      <c r="B428" t="s">
        <v>728</v>
      </c>
    </row>
    <row r="429" spans="1:2">
      <c r="A429">
        <v>12505985</v>
      </c>
      <c r="B429" t="s">
        <v>729</v>
      </c>
    </row>
    <row r="430" spans="1:2">
      <c r="A430">
        <v>12505986</v>
      </c>
      <c r="B430" t="s">
        <v>730</v>
      </c>
    </row>
    <row r="431" spans="1:2">
      <c r="A431">
        <v>12505987</v>
      </c>
      <c r="B431" t="s">
        <v>731</v>
      </c>
    </row>
    <row r="432" spans="1:2">
      <c r="A432">
        <v>12505988</v>
      </c>
      <c r="B432" t="s">
        <v>732</v>
      </c>
    </row>
    <row r="433" spans="1:2">
      <c r="A433">
        <v>12505989</v>
      </c>
      <c r="B433" t="s">
        <v>733</v>
      </c>
    </row>
    <row r="434" spans="1:2">
      <c r="A434">
        <v>12505990</v>
      </c>
      <c r="B434" t="s">
        <v>734</v>
      </c>
    </row>
    <row r="435" spans="1:2">
      <c r="A435">
        <v>12505991</v>
      </c>
      <c r="B435" t="s">
        <v>735</v>
      </c>
    </row>
    <row r="436" spans="1:2">
      <c r="A436">
        <v>12505992</v>
      </c>
      <c r="B436" t="s">
        <v>2472</v>
      </c>
    </row>
    <row r="437" spans="1:2">
      <c r="A437">
        <v>12505993</v>
      </c>
      <c r="B437" t="s">
        <v>2473</v>
      </c>
    </row>
    <row r="438" spans="1:2">
      <c r="A438">
        <v>12505994</v>
      </c>
      <c r="B438" t="s">
        <v>2474</v>
      </c>
    </row>
    <row r="439" spans="1:2">
      <c r="A439">
        <v>12506001</v>
      </c>
      <c r="B439" t="s">
        <v>736</v>
      </c>
    </row>
    <row r="440" spans="1:2">
      <c r="A440">
        <v>12506002</v>
      </c>
      <c r="B440" t="s">
        <v>737</v>
      </c>
    </row>
    <row r="441" spans="1:2">
      <c r="A441">
        <v>12506003</v>
      </c>
      <c r="B441" t="s">
        <v>738</v>
      </c>
    </row>
    <row r="442" spans="1:2">
      <c r="A442">
        <v>12506004</v>
      </c>
      <c r="B442" t="s">
        <v>739</v>
      </c>
    </row>
    <row r="443" spans="1:2">
      <c r="A443">
        <v>12506005</v>
      </c>
      <c r="B443" t="s">
        <v>740</v>
      </c>
    </row>
    <row r="444" spans="1:2">
      <c r="A444">
        <v>12506006</v>
      </c>
      <c r="B444" t="s">
        <v>741</v>
      </c>
    </row>
    <row r="445" spans="1:2">
      <c r="A445">
        <v>12506007</v>
      </c>
      <c r="B445" t="s">
        <v>742</v>
      </c>
    </row>
    <row r="446" spans="1:2">
      <c r="A446">
        <v>12506008</v>
      </c>
      <c r="B446" t="s">
        <v>743</v>
      </c>
    </row>
    <row r="447" spans="1:2">
      <c r="A447">
        <v>12506009</v>
      </c>
      <c r="B447" t="s">
        <v>744</v>
      </c>
    </row>
    <row r="448" spans="1:2">
      <c r="A448">
        <v>12506010</v>
      </c>
      <c r="B448" t="s">
        <v>745</v>
      </c>
    </row>
    <row r="449" spans="1:2">
      <c r="A449">
        <v>12506011</v>
      </c>
      <c r="B449" t="s">
        <v>746</v>
      </c>
    </row>
    <row r="450" spans="1:2">
      <c r="A450">
        <v>12506012</v>
      </c>
      <c r="B450" t="s">
        <v>747</v>
      </c>
    </row>
    <row r="451" spans="1:2">
      <c r="A451">
        <v>12506013</v>
      </c>
      <c r="B451" t="s">
        <v>748</v>
      </c>
    </row>
    <row r="452" spans="1:2">
      <c r="A452">
        <v>12506014</v>
      </c>
      <c r="B452" t="s">
        <v>749</v>
      </c>
    </row>
    <row r="453" spans="1:2">
      <c r="A453">
        <v>12506015</v>
      </c>
      <c r="B453" t="s">
        <v>2475</v>
      </c>
    </row>
    <row r="454" spans="1:2">
      <c r="A454">
        <v>13006101</v>
      </c>
      <c r="B454" t="s">
        <v>750</v>
      </c>
    </row>
    <row r="455" spans="1:2">
      <c r="A455">
        <v>13006102</v>
      </c>
      <c r="B455" t="s">
        <v>751</v>
      </c>
    </row>
    <row r="456" spans="1:2">
      <c r="A456">
        <v>13006103</v>
      </c>
      <c r="B456" t="s">
        <v>752</v>
      </c>
    </row>
    <row r="457" spans="1:2">
      <c r="A457">
        <v>13006104</v>
      </c>
      <c r="B457" t="s">
        <v>753</v>
      </c>
    </row>
    <row r="458" spans="1:2">
      <c r="A458">
        <v>13006105</v>
      </c>
      <c r="B458" t="s">
        <v>754</v>
      </c>
    </row>
    <row r="459" spans="1:2">
      <c r="A459">
        <v>13006106</v>
      </c>
      <c r="B459" t="s">
        <v>755</v>
      </c>
    </row>
    <row r="460" spans="1:2">
      <c r="A460">
        <v>13506201</v>
      </c>
      <c r="B460" t="s">
        <v>756</v>
      </c>
    </row>
    <row r="461" spans="1:2">
      <c r="A461">
        <v>14006301</v>
      </c>
      <c r="B461" t="s">
        <v>757</v>
      </c>
    </row>
    <row r="462" spans="1:2">
      <c r="A462">
        <v>14006401</v>
      </c>
      <c r="B462" t="s">
        <v>758</v>
      </c>
    </row>
    <row r="463" spans="1:2">
      <c r="A463">
        <v>14006501</v>
      </c>
      <c r="B463" t="s">
        <v>759</v>
      </c>
    </row>
    <row r="464" spans="1:2">
      <c r="A464">
        <v>14006601</v>
      </c>
      <c r="B464" t="s">
        <v>760</v>
      </c>
    </row>
    <row r="465" spans="1:2">
      <c r="A465">
        <v>14006701</v>
      </c>
      <c r="B465" t="s">
        <v>761</v>
      </c>
    </row>
    <row r="466" spans="1:2">
      <c r="A466">
        <v>14006801</v>
      </c>
      <c r="B466" t="s">
        <v>762</v>
      </c>
    </row>
    <row r="467" spans="1:2">
      <c r="A467">
        <v>14099901</v>
      </c>
      <c r="B467" t="s">
        <v>763</v>
      </c>
    </row>
    <row r="468" spans="1:2">
      <c r="A468">
        <v>14506901</v>
      </c>
      <c r="B468" t="s">
        <v>764</v>
      </c>
    </row>
    <row r="469" spans="1:2">
      <c r="A469">
        <v>14506902</v>
      </c>
      <c r="B469" t="s">
        <v>765</v>
      </c>
    </row>
    <row r="470" spans="1:2">
      <c r="A470">
        <v>14506903</v>
      </c>
      <c r="B470" t="s">
        <v>766</v>
      </c>
    </row>
    <row r="471" spans="1:2">
      <c r="A471">
        <v>14506904</v>
      </c>
      <c r="B471" t="s">
        <v>767</v>
      </c>
    </row>
    <row r="472" spans="1:2">
      <c r="A472">
        <v>14506905</v>
      </c>
      <c r="B472" t="s">
        <v>768</v>
      </c>
    </row>
    <row r="473" spans="1:2">
      <c r="A473">
        <v>14506906</v>
      </c>
      <c r="B473" t="s">
        <v>769</v>
      </c>
    </row>
    <row r="474" spans="1:2">
      <c r="A474">
        <v>14506907</v>
      </c>
      <c r="B474" t="s">
        <v>770</v>
      </c>
    </row>
    <row r="475" spans="1:2">
      <c r="A475">
        <v>14506908</v>
      </c>
      <c r="B475" t="s">
        <v>771</v>
      </c>
    </row>
    <row r="476" spans="1:2">
      <c r="A476">
        <v>14506909</v>
      </c>
      <c r="B476" t="s">
        <v>772</v>
      </c>
    </row>
    <row r="477" spans="1:2">
      <c r="A477">
        <v>14507001</v>
      </c>
      <c r="B477" t="s">
        <v>789</v>
      </c>
    </row>
    <row r="478" spans="1:2">
      <c r="A478">
        <v>14507002</v>
      </c>
      <c r="B478" t="s">
        <v>790</v>
      </c>
    </row>
    <row r="479" spans="1:2">
      <c r="A479">
        <v>14507003</v>
      </c>
      <c r="B479" t="s">
        <v>791</v>
      </c>
    </row>
    <row r="480" spans="1:2">
      <c r="A480">
        <v>14507004</v>
      </c>
      <c r="B480" t="s">
        <v>792</v>
      </c>
    </row>
    <row r="481" spans="1:2">
      <c r="A481">
        <v>14507005</v>
      </c>
      <c r="B481" t="s">
        <v>793</v>
      </c>
    </row>
    <row r="482" spans="1:2">
      <c r="A482">
        <v>14507006</v>
      </c>
      <c r="B482" t="s">
        <v>794</v>
      </c>
    </row>
    <row r="483" spans="1:2">
      <c r="A483">
        <v>14507007</v>
      </c>
      <c r="B483" t="s">
        <v>795</v>
      </c>
    </row>
    <row r="484" spans="1:2">
      <c r="A484">
        <v>14507008</v>
      </c>
      <c r="B484" t="s">
        <v>796</v>
      </c>
    </row>
    <row r="485" spans="1:2">
      <c r="A485">
        <v>14507009</v>
      </c>
      <c r="B485" t="s">
        <v>797</v>
      </c>
    </row>
    <row r="486" spans="1:2">
      <c r="A486">
        <v>14507101</v>
      </c>
      <c r="B486" t="s">
        <v>814</v>
      </c>
    </row>
    <row r="487" spans="1:2">
      <c r="A487">
        <v>14507102</v>
      </c>
      <c r="B487" t="s">
        <v>815</v>
      </c>
    </row>
    <row r="488" spans="1:2">
      <c r="A488">
        <v>14507103</v>
      </c>
      <c r="B488" t="s">
        <v>816</v>
      </c>
    </row>
    <row r="489" spans="1:2">
      <c r="A489">
        <v>14507104</v>
      </c>
      <c r="B489" t="s">
        <v>817</v>
      </c>
    </row>
    <row r="490" spans="1:2">
      <c r="A490">
        <v>14507105</v>
      </c>
      <c r="B490" t="s">
        <v>818</v>
      </c>
    </row>
    <row r="491" spans="1:2">
      <c r="A491">
        <v>14507106</v>
      </c>
      <c r="B491" t="s">
        <v>819</v>
      </c>
    </row>
    <row r="492" spans="1:2">
      <c r="A492">
        <v>14507107</v>
      </c>
      <c r="B492" t="s">
        <v>820</v>
      </c>
    </row>
    <row r="493" spans="1:2">
      <c r="A493">
        <v>14507108</v>
      </c>
      <c r="B493" t="s">
        <v>821</v>
      </c>
    </row>
    <row r="494" spans="1:2">
      <c r="A494">
        <v>14507109</v>
      </c>
      <c r="B494" t="s">
        <v>822</v>
      </c>
    </row>
    <row r="495" spans="1:2">
      <c r="A495">
        <v>14507201</v>
      </c>
      <c r="B495" t="s">
        <v>839</v>
      </c>
    </row>
    <row r="496" spans="1:2">
      <c r="A496">
        <v>14507202</v>
      </c>
      <c r="B496" t="s">
        <v>840</v>
      </c>
    </row>
    <row r="497" spans="1:2">
      <c r="A497">
        <v>14507203</v>
      </c>
      <c r="B497" t="s">
        <v>841</v>
      </c>
    </row>
    <row r="498" spans="1:2">
      <c r="A498">
        <v>14507204</v>
      </c>
      <c r="B498" t="s">
        <v>842</v>
      </c>
    </row>
    <row r="499" spans="1:2">
      <c r="A499">
        <v>14507205</v>
      </c>
      <c r="B499" t="s">
        <v>843</v>
      </c>
    </row>
    <row r="500" spans="1:2">
      <c r="A500">
        <v>14507206</v>
      </c>
      <c r="B500" t="s">
        <v>844</v>
      </c>
    </row>
    <row r="501" spans="1:2">
      <c r="A501">
        <v>14507207</v>
      </c>
      <c r="B501" t="s">
        <v>845</v>
      </c>
    </row>
    <row r="502" spans="1:2">
      <c r="A502">
        <v>14507208</v>
      </c>
      <c r="B502" t="s">
        <v>846</v>
      </c>
    </row>
    <row r="503" spans="1:2">
      <c r="A503">
        <v>14507209</v>
      </c>
      <c r="B503" t="s">
        <v>847</v>
      </c>
    </row>
    <row r="504" spans="1:2">
      <c r="A504">
        <v>14507301</v>
      </c>
      <c r="B504" t="s">
        <v>864</v>
      </c>
    </row>
    <row r="505" spans="1:2">
      <c r="A505">
        <v>14507302</v>
      </c>
      <c r="B505" t="s">
        <v>865</v>
      </c>
    </row>
    <row r="506" spans="1:2">
      <c r="A506">
        <v>14507303</v>
      </c>
      <c r="B506" t="s">
        <v>866</v>
      </c>
    </row>
    <row r="507" spans="1:2">
      <c r="A507">
        <v>14507304</v>
      </c>
      <c r="B507" t="s">
        <v>867</v>
      </c>
    </row>
    <row r="508" spans="1:2">
      <c r="A508">
        <v>14507305</v>
      </c>
      <c r="B508" t="s">
        <v>868</v>
      </c>
    </row>
    <row r="509" spans="1:2">
      <c r="A509">
        <v>14507306</v>
      </c>
      <c r="B509" t="s">
        <v>869</v>
      </c>
    </row>
    <row r="510" spans="1:2">
      <c r="A510">
        <v>14507307</v>
      </c>
      <c r="B510" t="s">
        <v>870</v>
      </c>
    </row>
    <row r="511" spans="1:2">
      <c r="A511">
        <v>14507308</v>
      </c>
      <c r="B511" t="s">
        <v>871</v>
      </c>
    </row>
    <row r="512" spans="1:2">
      <c r="A512">
        <v>14507309</v>
      </c>
      <c r="B512" t="s">
        <v>872</v>
      </c>
    </row>
    <row r="513" spans="1:2">
      <c r="A513">
        <v>14507401</v>
      </c>
      <c r="B513" t="s">
        <v>889</v>
      </c>
    </row>
    <row r="514" spans="1:2">
      <c r="A514">
        <v>14507402</v>
      </c>
      <c r="B514" t="s">
        <v>890</v>
      </c>
    </row>
    <row r="515" spans="1:2">
      <c r="A515">
        <v>14507403</v>
      </c>
      <c r="B515" t="s">
        <v>891</v>
      </c>
    </row>
    <row r="516" spans="1:2">
      <c r="A516">
        <v>14507404</v>
      </c>
      <c r="B516" t="s">
        <v>892</v>
      </c>
    </row>
    <row r="517" spans="1:2">
      <c r="A517">
        <v>14507405</v>
      </c>
      <c r="B517" t="s">
        <v>893</v>
      </c>
    </row>
    <row r="518" spans="1:2">
      <c r="A518">
        <v>14507406</v>
      </c>
      <c r="B518" t="s">
        <v>894</v>
      </c>
    </row>
    <row r="519" spans="1:2">
      <c r="A519">
        <v>14507407</v>
      </c>
      <c r="B519" t="s">
        <v>895</v>
      </c>
    </row>
    <row r="520" spans="1:2">
      <c r="A520">
        <v>14507408</v>
      </c>
      <c r="B520" t="s">
        <v>896</v>
      </c>
    </row>
    <row r="521" spans="1:2">
      <c r="A521">
        <v>14507409</v>
      </c>
      <c r="B521" t="s">
        <v>897</v>
      </c>
    </row>
    <row r="522" spans="1:2">
      <c r="A522">
        <v>14507501</v>
      </c>
      <c r="B522" t="s">
        <v>914</v>
      </c>
    </row>
    <row r="523" spans="1:2">
      <c r="A523">
        <v>14507502</v>
      </c>
      <c r="B523" t="s">
        <v>915</v>
      </c>
    </row>
    <row r="524" spans="1:2">
      <c r="A524">
        <v>14507503</v>
      </c>
      <c r="B524" t="s">
        <v>916</v>
      </c>
    </row>
    <row r="525" spans="1:2">
      <c r="A525">
        <v>14507504</v>
      </c>
      <c r="B525" t="s">
        <v>917</v>
      </c>
    </row>
    <row r="526" spans="1:2">
      <c r="A526">
        <v>14507505</v>
      </c>
      <c r="B526" t="s">
        <v>918</v>
      </c>
    </row>
    <row r="527" spans="1:2">
      <c r="A527">
        <v>14507506</v>
      </c>
      <c r="B527" t="s">
        <v>919</v>
      </c>
    </row>
    <row r="528" spans="1:2">
      <c r="A528">
        <v>14507507</v>
      </c>
      <c r="B528" t="s">
        <v>920</v>
      </c>
    </row>
    <row r="529" spans="1:2">
      <c r="A529">
        <v>14507508</v>
      </c>
      <c r="B529" t="s">
        <v>2476</v>
      </c>
    </row>
    <row r="530" spans="1:2">
      <c r="A530">
        <v>14507509</v>
      </c>
      <c r="B530" t="s">
        <v>921</v>
      </c>
    </row>
    <row r="531" spans="1:2">
      <c r="A531">
        <v>14599901</v>
      </c>
      <c r="B531" t="s">
        <v>938</v>
      </c>
    </row>
    <row r="532" spans="1:2">
      <c r="A532">
        <v>14599902</v>
      </c>
      <c r="B532" t="s">
        <v>939</v>
      </c>
    </row>
    <row r="533" spans="1:2">
      <c r="A533">
        <v>14599903</v>
      </c>
      <c r="B533" t="s">
        <v>940</v>
      </c>
    </row>
    <row r="534" spans="1:2">
      <c r="A534">
        <v>14599904</v>
      </c>
      <c r="B534" t="s">
        <v>941</v>
      </c>
    </row>
    <row r="535" spans="1:2">
      <c r="A535">
        <v>14599905</v>
      </c>
      <c r="B535" t="s">
        <v>942</v>
      </c>
    </row>
    <row r="536" spans="1:2">
      <c r="A536">
        <v>14599906</v>
      </c>
      <c r="B536" t="s">
        <v>943</v>
      </c>
    </row>
    <row r="537" spans="1:2">
      <c r="A537">
        <v>14599907</v>
      </c>
      <c r="B537" t="s">
        <v>944</v>
      </c>
    </row>
    <row r="538" spans="1:2">
      <c r="A538">
        <v>14599908</v>
      </c>
      <c r="B538" t="s">
        <v>945</v>
      </c>
    </row>
    <row r="539" spans="1:2">
      <c r="A539">
        <v>14599909</v>
      </c>
      <c r="B539" t="s">
        <v>946</v>
      </c>
    </row>
    <row r="540" spans="1:2">
      <c r="A540">
        <v>14599910</v>
      </c>
      <c r="B540" t="s">
        <v>947</v>
      </c>
    </row>
    <row r="541" spans="1:2">
      <c r="A541">
        <v>14599911</v>
      </c>
      <c r="B541" t="s">
        <v>948</v>
      </c>
    </row>
    <row r="542" spans="1:2">
      <c r="A542">
        <v>14599912</v>
      </c>
      <c r="B542" t="s">
        <v>949</v>
      </c>
    </row>
    <row r="543" spans="1:2">
      <c r="A543">
        <v>14599913</v>
      </c>
      <c r="B543" t="s">
        <v>950</v>
      </c>
    </row>
    <row r="544" spans="1:2">
      <c r="A544">
        <v>14599914</v>
      </c>
      <c r="B544" t="s">
        <v>951</v>
      </c>
    </row>
    <row r="545" spans="1:2">
      <c r="A545">
        <v>14599915</v>
      </c>
      <c r="B545" t="s">
        <v>952</v>
      </c>
    </row>
    <row r="546" spans="1:2">
      <c r="A546">
        <v>14599916</v>
      </c>
      <c r="B546" t="s">
        <v>953</v>
      </c>
    </row>
    <row r="547" spans="1:2">
      <c r="A547">
        <v>14599917</v>
      </c>
      <c r="B547" t="s">
        <v>954</v>
      </c>
    </row>
    <row r="548" spans="1:2">
      <c r="A548">
        <v>14599918</v>
      </c>
      <c r="B548" t="s">
        <v>955</v>
      </c>
    </row>
    <row r="549" spans="1:2">
      <c r="A549">
        <v>14599919</v>
      </c>
      <c r="B549" t="s">
        <v>956</v>
      </c>
    </row>
    <row r="550" spans="1:2">
      <c r="A550">
        <v>14599920</v>
      </c>
      <c r="B550" t="s">
        <v>957</v>
      </c>
    </row>
    <row r="551" spans="1:2">
      <c r="A551">
        <v>14599921</v>
      </c>
      <c r="B551" t="s">
        <v>958</v>
      </c>
    </row>
    <row r="552" spans="1:2">
      <c r="A552">
        <v>14599922</v>
      </c>
      <c r="B552" t="s">
        <v>959</v>
      </c>
    </row>
    <row r="553" spans="1:2">
      <c r="A553">
        <v>14599923</v>
      </c>
      <c r="B553" t="s">
        <v>960</v>
      </c>
    </row>
    <row r="554" spans="1:2">
      <c r="A554">
        <v>14599924</v>
      </c>
      <c r="B554" t="s">
        <v>961</v>
      </c>
    </row>
    <row r="555" spans="1:2">
      <c r="A555">
        <v>14599925</v>
      </c>
      <c r="B555" t="s">
        <v>962</v>
      </c>
    </row>
    <row r="556" spans="1:2">
      <c r="A556">
        <v>14599926</v>
      </c>
      <c r="B556" t="s">
        <v>963</v>
      </c>
    </row>
    <row r="557" spans="1:2">
      <c r="A557">
        <v>14599927</v>
      </c>
      <c r="B557" t="s">
        <v>964</v>
      </c>
    </row>
    <row r="558" spans="1:2">
      <c r="A558">
        <v>14506910</v>
      </c>
      <c r="B558" t="s">
        <v>773</v>
      </c>
    </row>
    <row r="559" spans="1:2">
      <c r="A559">
        <v>14506911</v>
      </c>
      <c r="B559" t="s">
        <v>774</v>
      </c>
    </row>
    <row r="560" spans="1:2">
      <c r="A560">
        <v>14506912</v>
      </c>
      <c r="B560" t="s">
        <v>775</v>
      </c>
    </row>
    <row r="561" spans="1:2">
      <c r="A561">
        <v>14506913</v>
      </c>
      <c r="B561" t="s">
        <v>776</v>
      </c>
    </row>
    <row r="562" spans="1:2">
      <c r="A562">
        <v>14506914</v>
      </c>
      <c r="B562" t="s">
        <v>777</v>
      </c>
    </row>
    <row r="563" spans="1:2">
      <c r="A563">
        <v>14506915</v>
      </c>
      <c r="B563" t="s">
        <v>778</v>
      </c>
    </row>
    <row r="564" spans="1:2">
      <c r="A564">
        <v>14506916</v>
      </c>
      <c r="B564" t="s">
        <v>779</v>
      </c>
    </row>
    <row r="565" spans="1:2">
      <c r="A565">
        <v>14506917</v>
      </c>
      <c r="B565" t="s">
        <v>780</v>
      </c>
    </row>
    <row r="566" spans="1:2">
      <c r="A566">
        <v>14506918</v>
      </c>
      <c r="B566" t="s">
        <v>781</v>
      </c>
    </row>
    <row r="567" spans="1:2">
      <c r="A567">
        <v>14506919</v>
      </c>
      <c r="B567" t="s">
        <v>782</v>
      </c>
    </row>
    <row r="568" spans="1:2">
      <c r="A568">
        <v>14506920</v>
      </c>
      <c r="B568" t="s">
        <v>783</v>
      </c>
    </row>
    <row r="569" spans="1:2">
      <c r="A569">
        <v>14506921</v>
      </c>
      <c r="B569" t="s">
        <v>784</v>
      </c>
    </row>
    <row r="570" spans="1:2">
      <c r="A570">
        <v>14506922</v>
      </c>
      <c r="B570" t="s">
        <v>785</v>
      </c>
    </row>
    <row r="571" spans="1:2">
      <c r="A571">
        <v>14506923</v>
      </c>
      <c r="B571" t="s">
        <v>786</v>
      </c>
    </row>
    <row r="572" spans="1:2">
      <c r="A572">
        <v>14506924</v>
      </c>
      <c r="B572" t="s">
        <v>787</v>
      </c>
    </row>
    <row r="573" spans="1:2">
      <c r="A573">
        <v>14506925</v>
      </c>
      <c r="B573" t="s">
        <v>788</v>
      </c>
    </row>
    <row r="574" spans="1:2">
      <c r="A574">
        <v>14507010</v>
      </c>
      <c r="B574" t="s">
        <v>798</v>
      </c>
    </row>
    <row r="575" spans="1:2">
      <c r="A575">
        <v>14507011</v>
      </c>
      <c r="B575" t="s">
        <v>799</v>
      </c>
    </row>
    <row r="576" spans="1:2">
      <c r="A576">
        <v>14507012</v>
      </c>
      <c r="B576" t="s">
        <v>800</v>
      </c>
    </row>
    <row r="577" spans="1:2">
      <c r="A577">
        <v>14507013</v>
      </c>
      <c r="B577" t="s">
        <v>801</v>
      </c>
    </row>
    <row r="578" spans="1:2">
      <c r="A578">
        <v>14507014</v>
      </c>
      <c r="B578" t="s">
        <v>802</v>
      </c>
    </row>
    <row r="579" spans="1:2">
      <c r="A579">
        <v>14507015</v>
      </c>
      <c r="B579" t="s">
        <v>803</v>
      </c>
    </row>
    <row r="580" spans="1:2">
      <c r="A580">
        <v>14507016</v>
      </c>
      <c r="B580" t="s">
        <v>804</v>
      </c>
    </row>
    <row r="581" spans="1:2">
      <c r="A581">
        <v>14507017</v>
      </c>
      <c r="B581" t="s">
        <v>805</v>
      </c>
    </row>
    <row r="582" spans="1:2">
      <c r="A582">
        <v>14507018</v>
      </c>
      <c r="B582" t="s">
        <v>806</v>
      </c>
    </row>
    <row r="583" spans="1:2">
      <c r="A583">
        <v>14507019</v>
      </c>
      <c r="B583" t="s">
        <v>807</v>
      </c>
    </row>
    <row r="584" spans="1:2">
      <c r="A584">
        <v>14507020</v>
      </c>
      <c r="B584" t="s">
        <v>808</v>
      </c>
    </row>
    <row r="585" spans="1:2">
      <c r="A585">
        <v>14507021</v>
      </c>
      <c r="B585" t="s">
        <v>809</v>
      </c>
    </row>
    <row r="586" spans="1:2">
      <c r="A586">
        <v>14507022</v>
      </c>
      <c r="B586" t="s">
        <v>810</v>
      </c>
    </row>
    <row r="587" spans="1:2">
      <c r="A587">
        <v>14507023</v>
      </c>
      <c r="B587" t="s">
        <v>811</v>
      </c>
    </row>
    <row r="588" spans="1:2">
      <c r="A588">
        <v>14507024</v>
      </c>
      <c r="B588" t="s">
        <v>812</v>
      </c>
    </row>
    <row r="589" spans="1:2">
      <c r="A589">
        <v>14507025</v>
      </c>
      <c r="B589" t="s">
        <v>813</v>
      </c>
    </row>
    <row r="590" spans="1:2">
      <c r="A590">
        <v>14507110</v>
      </c>
      <c r="B590" t="s">
        <v>823</v>
      </c>
    </row>
    <row r="591" spans="1:2">
      <c r="A591">
        <v>14507111</v>
      </c>
      <c r="B591" t="s">
        <v>824</v>
      </c>
    </row>
    <row r="592" spans="1:2">
      <c r="A592">
        <v>14507112</v>
      </c>
      <c r="B592" t="s">
        <v>825</v>
      </c>
    </row>
    <row r="593" spans="1:2">
      <c r="A593">
        <v>14507113</v>
      </c>
      <c r="B593" t="s">
        <v>826</v>
      </c>
    </row>
    <row r="594" spans="1:2">
      <c r="A594">
        <v>14507114</v>
      </c>
      <c r="B594" t="s">
        <v>827</v>
      </c>
    </row>
    <row r="595" spans="1:2">
      <c r="A595">
        <v>14507115</v>
      </c>
      <c r="B595" t="s">
        <v>828</v>
      </c>
    </row>
    <row r="596" spans="1:2">
      <c r="A596">
        <v>14507116</v>
      </c>
      <c r="B596" t="s">
        <v>829</v>
      </c>
    </row>
    <row r="597" spans="1:2">
      <c r="A597">
        <v>14507117</v>
      </c>
      <c r="B597" t="s">
        <v>830</v>
      </c>
    </row>
    <row r="598" spans="1:2">
      <c r="A598">
        <v>14507118</v>
      </c>
      <c r="B598" t="s">
        <v>831</v>
      </c>
    </row>
    <row r="599" spans="1:2">
      <c r="A599">
        <v>14507119</v>
      </c>
      <c r="B599" t="s">
        <v>832</v>
      </c>
    </row>
    <row r="600" spans="1:2">
      <c r="A600">
        <v>14507120</v>
      </c>
      <c r="B600" t="s">
        <v>833</v>
      </c>
    </row>
    <row r="601" spans="1:2">
      <c r="A601">
        <v>14507121</v>
      </c>
      <c r="B601" t="s">
        <v>834</v>
      </c>
    </row>
    <row r="602" spans="1:2">
      <c r="A602">
        <v>14507122</v>
      </c>
      <c r="B602" t="s">
        <v>835</v>
      </c>
    </row>
    <row r="603" spans="1:2">
      <c r="A603">
        <v>14507123</v>
      </c>
      <c r="B603" t="s">
        <v>836</v>
      </c>
    </row>
    <row r="604" spans="1:2">
      <c r="A604">
        <v>14507124</v>
      </c>
      <c r="B604" t="s">
        <v>837</v>
      </c>
    </row>
    <row r="605" spans="1:2">
      <c r="A605">
        <v>14507125</v>
      </c>
      <c r="B605" t="s">
        <v>838</v>
      </c>
    </row>
    <row r="606" spans="1:2">
      <c r="A606">
        <v>14507210</v>
      </c>
      <c r="B606" t="s">
        <v>848</v>
      </c>
    </row>
    <row r="607" spans="1:2">
      <c r="A607">
        <v>14507211</v>
      </c>
      <c r="B607" t="s">
        <v>849</v>
      </c>
    </row>
    <row r="608" spans="1:2">
      <c r="A608">
        <v>14507212</v>
      </c>
      <c r="B608" t="s">
        <v>850</v>
      </c>
    </row>
    <row r="609" spans="1:2">
      <c r="A609">
        <v>14507213</v>
      </c>
      <c r="B609" t="s">
        <v>851</v>
      </c>
    </row>
    <row r="610" spans="1:2">
      <c r="A610">
        <v>14507214</v>
      </c>
      <c r="B610" t="s">
        <v>852</v>
      </c>
    </row>
    <row r="611" spans="1:2">
      <c r="A611">
        <v>14507215</v>
      </c>
      <c r="B611" t="s">
        <v>853</v>
      </c>
    </row>
    <row r="612" spans="1:2">
      <c r="A612">
        <v>14507216</v>
      </c>
      <c r="B612" t="s">
        <v>854</v>
      </c>
    </row>
    <row r="613" spans="1:2">
      <c r="A613">
        <v>14507217</v>
      </c>
      <c r="B613" t="s">
        <v>855</v>
      </c>
    </row>
    <row r="614" spans="1:2">
      <c r="A614">
        <v>14507218</v>
      </c>
      <c r="B614" t="s">
        <v>856</v>
      </c>
    </row>
    <row r="615" spans="1:2">
      <c r="A615">
        <v>14507219</v>
      </c>
      <c r="B615" t="s">
        <v>857</v>
      </c>
    </row>
    <row r="616" spans="1:2">
      <c r="A616">
        <v>14507220</v>
      </c>
      <c r="B616" t="s">
        <v>858</v>
      </c>
    </row>
    <row r="617" spans="1:2">
      <c r="A617">
        <v>14507221</v>
      </c>
      <c r="B617" t="s">
        <v>859</v>
      </c>
    </row>
    <row r="618" spans="1:2">
      <c r="A618">
        <v>14507222</v>
      </c>
      <c r="B618" t="s">
        <v>860</v>
      </c>
    </row>
    <row r="619" spans="1:2">
      <c r="A619">
        <v>14507223</v>
      </c>
      <c r="B619" t="s">
        <v>861</v>
      </c>
    </row>
    <row r="620" spans="1:2">
      <c r="A620">
        <v>14507224</v>
      </c>
      <c r="B620" t="s">
        <v>862</v>
      </c>
    </row>
    <row r="621" spans="1:2">
      <c r="A621">
        <v>14507225</v>
      </c>
      <c r="B621" t="s">
        <v>863</v>
      </c>
    </row>
    <row r="622" spans="1:2">
      <c r="A622">
        <v>14507310</v>
      </c>
      <c r="B622" t="s">
        <v>873</v>
      </c>
    </row>
    <row r="623" spans="1:2">
      <c r="A623">
        <v>14507311</v>
      </c>
      <c r="B623" t="s">
        <v>874</v>
      </c>
    </row>
    <row r="624" spans="1:2">
      <c r="A624">
        <v>14507312</v>
      </c>
      <c r="B624" t="s">
        <v>875</v>
      </c>
    </row>
    <row r="625" spans="1:2">
      <c r="A625">
        <v>14507313</v>
      </c>
      <c r="B625" t="s">
        <v>876</v>
      </c>
    </row>
    <row r="626" spans="1:2">
      <c r="A626">
        <v>14507314</v>
      </c>
      <c r="B626" t="s">
        <v>877</v>
      </c>
    </row>
    <row r="627" spans="1:2">
      <c r="A627">
        <v>14507315</v>
      </c>
      <c r="B627" t="s">
        <v>878</v>
      </c>
    </row>
    <row r="628" spans="1:2">
      <c r="A628">
        <v>14507316</v>
      </c>
      <c r="B628" t="s">
        <v>879</v>
      </c>
    </row>
    <row r="629" spans="1:2">
      <c r="A629">
        <v>14507317</v>
      </c>
      <c r="B629" t="s">
        <v>880</v>
      </c>
    </row>
    <row r="630" spans="1:2">
      <c r="A630">
        <v>14507318</v>
      </c>
      <c r="B630" t="s">
        <v>881</v>
      </c>
    </row>
    <row r="631" spans="1:2">
      <c r="A631">
        <v>14507319</v>
      </c>
      <c r="B631" t="s">
        <v>882</v>
      </c>
    </row>
    <row r="632" spans="1:2">
      <c r="A632">
        <v>14507320</v>
      </c>
      <c r="B632" t="s">
        <v>883</v>
      </c>
    </row>
    <row r="633" spans="1:2">
      <c r="A633">
        <v>14507321</v>
      </c>
      <c r="B633" t="s">
        <v>884</v>
      </c>
    </row>
    <row r="634" spans="1:2">
      <c r="A634">
        <v>14507322</v>
      </c>
      <c r="B634" t="s">
        <v>885</v>
      </c>
    </row>
    <row r="635" spans="1:2">
      <c r="A635">
        <v>14507323</v>
      </c>
      <c r="B635" t="s">
        <v>886</v>
      </c>
    </row>
    <row r="636" spans="1:2">
      <c r="A636">
        <v>14507324</v>
      </c>
      <c r="B636" t="s">
        <v>887</v>
      </c>
    </row>
    <row r="637" spans="1:2">
      <c r="A637">
        <v>14507325</v>
      </c>
      <c r="B637" t="s">
        <v>888</v>
      </c>
    </row>
    <row r="638" spans="1:2">
      <c r="A638">
        <v>14507410</v>
      </c>
      <c r="B638" t="s">
        <v>898</v>
      </c>
    </row>
    <row r="639" spans="1:2">
      <c r="A639">
        <v>14507411</v>
      </c>
      <c r="B639" t="s">
        <v>899</v>
      </c>
    </row>
    <row r="640" spans="1:2">
      <c r="A640">
        <v>14507412</v>
      </c>
      <c r="B640" t="s">
        <v>900</v>
      </c>
    </row>
    <row r="641" spans="1:2">
      <c r="A641">
        <v>14507413</v>
      </c>
      <c r="B641" t="s">
        <v>901</v>
      </c>
    </row>
    <row r="642" spans="1:2">
      <c r="A642">
        <v>14507414</v>
      </c>
      <c r="B642" t="s">
        <v>902</v>
      </c>
    </row>
    <row r="643" spans="1:2">
      <c r="A643">
        <v>14507415</v>
      </c>
      <c r="B643" t="s">
        <v>903</v>
      </c>
    </row>
    <row r="644" spans="1:2">
      <c r="A644">
        <v>14507416</v>
      </c>
      <c r="B644" t="s">
        <v>904</v>
      </c>
    </row>
    <row r="645" spans="1:2">
      <c r="A645">
        <v>14507417</v>
      </c>
      <c r="B645" t="s">
        <v>905</v>
      </c>
    </row>
    <row r="646" spans="1:2">
      <c r="A646">
        <v>14507418</v>
      </c>
      <c r="B646" t="s">
        <v>906</v>
      </c>
    </row>
    <row r="647" spans="1:2">
      <c r="A647">
        <v>14507419</v>
      </c>
      <c r="B647" t="s">
        <v>907</v>
      </c>
    </row>
    <row r="648" spans="1:2">
      <c r="A648">
        <v>14507420</v>
      </c>
      <c r="B648" t="s">
        <v>908</v>
      </c>
    </row>
    <row r="649" spans="1:2">
      <c r="A649">
        <v>14507421</v>
      </c>
      <c r="B649" t="s">
        <v>909</v>
      </c>
    </row>
    <row r="650" spans="1:2">
      <c r="A650">
        <v>14507422</v>
      </c>
      <c r="B650" t="s">
        <v>910</v>
      </c>
    </row>
    <row r="651" spans="1:2">
      <c r="A651">
        <v>14507423</v>
      </c>
      <c r="B651" t="s">
        <v>911</v>
      </c>
    </row>
    <row r="652" spans="1:2">
      <c r="A652">
        <v>14507424</v>
      </c>
      <c r="B652" t="s">
        <v>912</v>
      </c>
    </row>
    <row r="653" spans="1:2">
      <c r="A653">
        <v>14507425</v>
      </c>
      <c r="B653" t="s">
        <v>913</v>
      </c>
    </row>
    <row r="654" spans="1:2">
      <c r="A654">
        <v>14507510</v>
      </c>
      <c r="B654" t="s">
        <v>922</v>
      </c>
    </row>
    <row r="655" spans="1:2">
      <c r="A655">
        <v>14507511</v>
      </c>
      <c r="B655" t="s">
        <v>923</v>
      </c>
    </row>
    <row r="656" spans="1:2">
      <c r="A656">
        <v>14507512</v>
      </c>
      <c r="B656" t="s">
        <v>924</v>
      </c>
    </row>
    <row r="657" spans="1:2">
      <c r="A657">
        <v>14507513</v>
      </c>
      <c r="B657" t="s">
        <v>925</v>
      </c>
    </row>
    <row r="658" spans="1:2">
      <c r="A658">
        <v>14507514</v>
      </c>
      <c r="B658" t="s">
        <v>926</v>
      </c>
    </row>
    <row r="659" spans="1:2">
      <c r="A659">
        <v>14507515</v>
      </c>
      <c r="B659" t="s">
        <v>927</v>
      </c>
    </row>
    <row r="660" spans="1:2">
      <c r="A660">
        <v>14507516</v>
      </c>
      <c r="B660" t="s">
        <v>928</v>
      </c>
    </row>
    <row r="661" spans="1:2">
      <c r="A661">
        <v>14507517</v>
      </c>
      <c r="B661" t="s">
        <v>929</v>
      </c>
    </row>
    <row r="662" spans="1:2">
      <c r="A662">
        <v>14507518</v>
      </c>
      <c r="B662" t="s">
        <v>930</v>
      </c>
    </row>
    <row r="663" spans="1:2">
      <c r="A663">
        <v>14507519</v>
      </c>
      <c r="B663" t="s">
        <v>931</v>
      </c>
    </row>
    <row r="664" spans="1:2">
      <c r="A664">
        <v>14507520</v>
      </c>
      <c r="B664" t="s">
        <v>932</v>
      </c>
    </row>
    <row r="665" spans="1:2">
      <c r="A665">
        <v>14507521</v>
      </c>
      <c r="B665" t="s">
        <v>933</v>
      </c>
    </row>
    <row r="666" spans="1:2">
      <c r="A666">
        <v>14507522</v>
      </c>
      <c r="B666" t="s">
        <v>934</v>
      </c>
    </row>
    <row r="667" spans="1:2">
      <c r="A667">
        <v>14507523</v>
      </c>
      <c r="B667" t="s">
        <v>935</v>
      </c>
    </row>
    <row r="668" spans="1:2">
      <c r="A668">
        <v>14507524</v>
      </c>
      <c r="B668" t="s">
        <v>936</v>
      </c>
    </row>
    <row r="669" spans="1:2">
      <c r="A669">
        <v>14507525</v>
      </c>
      <c r="B669" t="s">
        <v>937</v>
      </c>
    </row>
    <row r="670" spans="1:2">
      <c r="A670">
        <v>14599928</v>
      </c>
      <c r="B670" t="s">
        <v>965</v>
      </c>
    </row>
    <row r="671" spans="1:2">
      <c r="A671">
        <v>14599929</v>
      </c>
      <c r="B671" t="s">
        <v>966</v>
      </c>
    </row>
    <row r="672" spans="1:2">
      <c r="A672">
        <v>14599930</v>
      </c>
      <c r="B672" t="s">
        <v>967</v>
      </c>
    </row>
    <row r="673" spans="1:2">
      <c r="A673">
        <v>14599931</v>
      </c>
      <c r="B673" t="s">
        <v>968</v>
      </c>
    </row>
    <row r="674" spans="1:2">
      <c r="A674">
        <v>14599932</v>
      </c>
      <c r="B674" t="s">
        <v>969</v>
      </c>
    </row>
    <row r="675" spans="1:2">
      <c r="A675">
        <v>14599933</v>
      </c>
      <c r="B675" t="s">
        <v>970</v>
      </c>
    </row>
    <row r="676" spans="1:2">
      <c r="A676">
        <v>14599934</v>
      </c>
      <c r="B676" t="s">
        <v>971</v>
      </c>
    </row>
    <row r="677" spans="1:2">
      <c r="A677">
        <v>14599935</v>
      </c>
      <c r="B677" t="s">
        <v>972</v>
      </c>
    </row>
    <row r="678" spans="1:2">
      <c r="A678">
        <v>14599936</v>
      </c>
      <c r="B678" t="s">
        <v>973</v>
      </c>
    </row>
    <row r="679" spans="1:2">
      <c r="A679">
        <v>14599937</v>
      </c>
      <c r="B679" t="s">
        <v>974</v>
      </c>
    </row>
    <row r="680" spans="1:2">
      <c r="A680">
        <v>14599938</v>
      </c>
      <c r="B680" t="s">
        <v>975</v>
      </c>
    </row>
    <row r="681" spans="1:2">
      <c r="A681">
        <v>14599939</v>
      </c>
      <c r="B681" t="s">
        <v>976</v>
      </c>
    </row>
    <row r="682" spans="1:2">
      <c r="A682">
        <v>14599940</v>
      </c>
      <c r="B682" t="s">
        <v>977</v>
      </c>
    </row>
    <row r="683" spans="1:2">
      <c r="A683">
        <v>14599941</v>
      </c>
      <c r="B683" t="s">
        <v>978</v>
      </c>
    </row>
    <row r="684" spans="1:2">
      <c r="A684">
        <v>14599942</v>
      </c>
      <c r="B684" t="s">
        <v>979</v>
      </c>
    </row>
    <row r="685" spans="1:2">
      <c r="A685">
        <v>14599943</v>
      </c>
      <c r="B685" t="s">
        <v>980</v>
      </c>
    </row>
    <row r="686" spans="1:2">
      <c r="A686">
        <v>15007601</v>
      </c>
      <c r="B686" t="s">
        <v>981</v>
      </c>
    </row>
    <row r="687" spans="1:2">
      <c r="A687" t="s">
        <v>1798</v>
      </c>
      <c r="B687" t="s">
        <v>1799</v>
      </c>
    </row>
    <row r="688" spans="1:2">
      <c r="A688" t="s">
        <v>1800</v>
      </c>
      <c r="B688" t="s">
        <v>1801</v>
      </c>
    </row>
    <row r="689" spans="1:2">
      <c r="A689" t="s">
        <v>1802</v>
      </c>
      <c r="B689" t="s">
        <v>1803</v>
      </c>
    </row>
    <row r="690" spans="1:2">
      <c r="A690" t="s">
        <v>1804</v>
      </c>
      <c r="B690" t="s">
        <v>1805</v>
      </c>
    </row>
    <row r="691" spans="1:2">
      <c r="A691" t="s">
        <v>1806</v>
      </c>
      <c r="B691" t="s">
        <v>1807</v>
      </c>
    </row>
    <row r="692" spans="1:2">
      <c r="A692" t="s">
        <v>1808</v>
      </c>
      <c r="B692" t="s">
        <v>1809</v>
      </c>
    </row>
    <row r="693" spans="1:2">
      <c r="A693" t="s">
        <v>1810</v>
      </c>
      <c r="B693" t="s">
        <v>1811</v>
      </c>
    </row>
    <row r="694" spans="1:2">
      <c r="A694" t="s">
        <v>1812</v>
      </c>
      <c r="B694" t="s">
        <v>1813</v>
      </c>
    </row>
    <row r="695" spans="1:2">
      <c r="A695" t="s">
        <v>1814</v>
      </c>
      <c r="B695" t="s">
        <v>1815</v>
      </c>
    </row>
    <row r="696" spans="1:2">
      <c r="A696" t="s">
        <v>1816</v>
      </c>
      <c r="B696" t="s">
        <v>1817</v>
      </c>
    </row>
    <row r="697" spans="1:2">
      <c r="A697" t="s">
        <v>1818</v>
      </c>
      <c r="B697" t="s">
        <v>1819</v>
      </c>
    </row>
    <row r="698" spans="1:2">
      <c r="A698" t="s">
        <v>1820</v>
      </c>
      <c r="B698" t="s">
        <v>1821</v>
      </c>
    </row>
    <row r="699" spans="1:2">
      <c r="A699" t="s">
        <v>1822</v>
      </c>
      <c r="B699" t="s">
        <v>1823</v>
      </c>
    </row>
    <row r="700" spans="1:2">
      <c r="A700" t="s">
        <v>1824</v>
      </c>
      <c r="B700" t="s">
        <v>1825</v>
      </c>
    </row>
    <row r="701" spans="1:2">
      <c r="A701" t="s">
        <v>1826</v>
      </c>
      <c r="B701" t="s">
        <v>1827</v>
      </c>
    </row>
    <row r="702" spans="1:2">
      <c r="A702" t="s">
        <v>1828</v>
      </c>
      <c r="B702" t="s">
        <v>1829</v>
      </c>
    </row>
    <row r="703" spans="1:2">
      <c r="A703" t="s">
        <v>1830</v>
      </c>
      <c r="B703" t="s">
        <v>1831</v>
      </c>
    </row>
    <row r="704" spans="1:2">
      <c r="A704" t="s">
        <v>1832</v>
      </c>
      <c r="B704" t="s">
        <v>1833</v>
      </c>
    </row>
    <row r="705" spans="1:2">
      <c r="A705">
        <v>20100101</v>
      </c>
      <c r="B705" t="s">
        <v>982</v>
      </c>
    </row>
    <row r="706" spans="1:2">
      <c r="A706">
        <v>20100201</v>
      </c>
      <c r="B706" t="s">
        <v>983</v>
      </c>
    </row>
    <row r="707" spans="1:2">
      <c r="A707">
        <v>20199901</v>
      </c>
      <c r="B707" t="s">
        <v>984</v>
      </c>
    </row>
    <row r="708" spans="1:2">
      <c r="A708">
        <v>20500301</v>
      </c>
      <c r="B708" t="s">
        <v>985</v>
      </c>
    </row>
    <row r="709" spans="1:2">
      <c r="A709">
        <v>20500302</v>
      </c>
      <c r="B709" t="s">
        <v>986</v>
      </c>
    </row>
    <row r="710" spans="1:2">
      <c r="A710">
        <v>20500303</v>
      </c>
      <c r="B710" t="s">
        <v>987</v>
      </c>
    </row>
    <row r="711" spans="1:2">
      <c r="A711">
        <v>20500304</v>
      </c>
      <c r="B711" t="s">
        <v>988</v>
      </c>
    </row>
    <row r="712" spans="1:2">
      <c r="A712">
        <v>20500305</v>
      </c>
      <c r="B712" t="s">
        <v>989</v>
      </c>
    </row>
    <row r="713" spans="1:2">
      <c r="A713">
        <v>20500306</v>
      </c>
      <c r="B713" t="s">
        <v>990</v>
      </c>
    </row>
    <row r="714" spans="1:2">
      <c r="A714">
        <v>20500307</v>
      </c>
      <c r="B714" t="s">
        <v>989</v>
      </c>
    </row>
    <row r="715" spans="1:2">
      <c r="A715">
        <v>20500308</v>
      </c>
      <c r="B715" t="s">
        <v>991</v>
      </c>
    </row>
    <row r="716" spans="1:2">
      <c r="A716">
        <v>20500309</v>
      </c>
      <c r="B716" t="s">
        <v>992</v>
      </c>
    </row>
    <row r="717" spans="1:2">
      <c r="A717">
        <v>20500401</v>
      </c>
      <c r="B717" t="s">
        <v>1001</v>
      </c>
    </row>
    <row r="718" spans="1:2">
      <c r="A718">
        <v>20500402</v>
      </c>
      <c r="B718" t="s">
        <v>1002</v>
      </c>
    </row>
    <row r="719" spans="1:2">
      <c r="A719">
        <v>20500403</v>
      </c>
      <c r="B719" t="s">
        <v>1003</v>
      </c>
    </row>
    <row r="720" spans="1:2">
      <c r="A720">
        <v>20500404</v>
      </c>
      <c r="B720" t="s">
        <v>1004</v>
      </c>
    </row>
    <row r="721" spans="1:2">
      <c r="A721">
        <v>20500405</v>
      </c>
      <c r="B721" t="s">
        <v>1005</v>
      </c>
    </row>
    <row r="722" spans="1:2">
      <c r="A722">
        <v>20500406</v>
      </c>
      <c r="B722" t="s">
        <v>1006</v>
      </c>
    </row>
    <row r="723" spans="1:2">
      <c r="A723">
        <v>20500407</v>
      </c>
      <c r="B723" t="s">
        <v>1007</v>
      </c>
    </row>
    <row r="724" spans="1:2">
      <c r="A724">
        <v>20500408</v>
      </c>
      <c r="B724" t="s">
        <v>1008</v>
      </c>
    </row>
    <row r="725" spans="1:2">
      <c r="A725">
        <v>20500409</v>
      </c>
      <c r="B725" t="s">
        <v>1009</v>
      </c>
    </row>
    <row r="726" spans="1:2">
      <c r="A726">
        <v>20599901</v>
      </c>
      <c r="B726" t="s">
        <v>1018</v>
      </c>
    </row>
    <row r="727" spans="1:2">
      <c r="A727">
        <v>20599902</v>
      </c>
      <c r="B727" t="s">
        <v>1019</v>
      </c>
    </row>
    <row r="728" spans="1:2">
      <c r="A728">
        <v>20599903</v>
      </c>
      <c r="B728" t="s">
        <v>1020</v>
      </c>
    </row>
    <row r="729" spans="1:2">
      <c r="A729">
        <v>20599904</v>
      </c>
      <c r="B729" t="s">
        <v>1021</v>
      </c>
    </row>
    <row r="730" spans="1:2">
      <c r="A730">
        <v>20599905</v>
      </c>
      <c r="B730" t="s">
        <v>1022</v>
      </c>
    </row>
    <row r="731" spans="1:2">
      <c r="A731">
        <v>20599906</v>
      </c>
      <c r="B731" t="s">
        <v>1023</v>
      </c>
    </row>
    <row r="732" spans="1:2">
      <c r="A732">
        <v>20599907</v>
      </c>
      <c r="B732" t="s">
        <v>1024</v>
      </c>
    </row>
    <row r="733" spans="1:2">
      <c r="A733">
        <v>20599908</v>
      </c>
      <c r="B733" t="s">
        <v>1025</v>
      </c>
    </row>
    <row r="734" spans="1:2">
      <c r="A734">
        <v>20599909</v>
      </c>
      <c r="B734" t="s">
        <v>1026</v>
      </c>
    </row>
    <row r="735" spans="1:2">
      <c r="A735">
        <v>20599910</v>
      </c>
      <c r="B735" t="s">
        <v>1027</v>
      </c>
    </row>
    <row r="736" spans="1:2">
      <c r="A736">
        <v>20599911</v>
      </c>
      <c r="B736" t="s">
        <v>1028</v>
      </c>
    </row>
    <row r="737" spans="1:2">
      <c r="A737">
        <v>20599912</v>
      </c>
      <c r="B737" t="s">
        <v>1029</v>
      </c>
    </row>
    <row r="738" spans="1:2">
      <c r="A738">
        <v>20599913</v>
      </c>
      <c r="B738" t="s">
        <v>1030</v>
      </c>
    </row>
    <row r="739" spans="1:2">
      <c r="A739">
        <v>20599914</v>
      </c>
      <c r="B739" t="s">
        <v>1031</v>
      </c>
    </row>
    <row r="740" spans="1:2">
      <c r="A740">
        <v>20599915</v>
      </c>
      <c r="B740" t="s">
        <v>1032</v>
      </c>
    </row>
    <row r="741" spans="1:2">
      <c r="A741">
        <v>20599916</v>
      </c>
      <c r="B741" t="s">
        <v>1033</v>
      </c>
    </row>
    <row r="742" spans="1:2">
      <c r="A742">
        <v>20599917</v>
      </c>
      <c r="B742" t="s">
        <v>1034</v>
      </c>
    </row>
    <row r="743" spans="1:2">
      <c r="A743">
        <v>20599918</v>
      </c>
      <c r="B743" t="s">
        <v>1035</v>
      </c>
    </row>
    <row r="744" spans="1:2">
      <c r="A744">
        <v>20599919</v>
      </c>
      <c r="B744" t="s">
        <v>1036</v>
      </c>
    </row>
    <row r="745" spans="1:2">
      <c r="A745">
        <v>20599920</v>
      </c>
      <c r="B745" t="s">
        <v>1037</v>
      </c>
    </row>
    <row r="746" spans="1:2">
      <c r="A746">
        <v>20599921</v>
      </c>
      <c r="B746" t="s">
        <v>1038</v>
      </c>
    </row>
    <row r="747" spans="1:2">
      <c r="A747">
        <v>20599922</v>
      </c>
      <c r="B747" t="s">
        <v>1039</v>
      </c>
    </row>
    <row r="748" spans="1:2">
      <c r="A748">
        <v>20599923</v>
      </c>
      <c r="B748" t="s">
        <v>1040</v>
      </c>
    </row>
    <row r="749" spans="1:2">
      <c r="A749">
        <v>20599924</v>
      </c>
      <c r="B749" t="s">
        <v>1041</v>
      </c>
    </row>
    <row r="750" spans="1:2">
      <c r="A750">
        <v>20599925</v>
      </c>
      <c r="B750" t="s">
        <v>1042</v>
      </c>
    </row>
    <row r="751" spans="1:2">
      <c r="A751">
        <v>20599926</v>
      </c>
      <c r="B751" t="s">
        <v>1043</v>
      </c>
    </row>
    <row r="752" spans="1:2">
      <c r="A752">
        <v>20599927</v>
      </c>
      <c r="B752" t="s">
        <v>1044</v>
      </c>
    </row>
    <row r="753" spans="1:2">
      <c r="A753">
        <v>20500310</v>
      </c>
      <c r="B753" t="s">
        <v>993</v>
      </c>
    </row>
    <row r="754" spans="1:2">
      <c r="A754">
        <v>20500311</v>
      </c>
      <c r="B754" t="s">
        <v>994</v>
      </c>
    </row>
    <row r="755" spans="1:2">
      <c r="A755">
        <v>20500312</v>
      </c>
      <c r="B755" t="s">
        <v>995</v>
      </c>
    </row>
    <row r="756" spans="1:2">
      <c r="A756">
        <v>20500313</v>
      </c>
      <c r="B756" t="s">
        <v>996</v>
      </c>
    </row>
    <row r="757" spans="1:2">
      <c r="A757">
        <v>20500314</v>
      </c>
      <c r="B757" t="s">
        <v>997</v>
      </c>
    </row>
    <row r="758" spans="1:2">
      <c r="A758">
        <v>20500315</v>
      </c>
      <c r="B758" t="s">
        <v>998</v>
      </c>
    </row>
    <row r="759" spans="1:2">
      <c r="A759">
        <v>20500316</v>
      </c>
      <c r="B759" t="s">
        <v>999</v>
      </c>
    </row>
    <row r="760" spans="1:2">
      <c r="A760">
        <v>20500317</v>
      </c>
      <c r="B760" t="s">
        <v>1000</v>
      </c>
    </row>
    <row r="761" spans="1:2">
      <c r="A761">
        <v>20500410</v>
      </c>
      <c r="B761" t="s">
        <v>1010</v>
      </c>
    </row>
    <row r="762" spans="1:2">
      <c r="A762">
        <v>20500411</v>
      </c>
      <c r="B762" t="s">
        <v>1011</v>
      </c>
    </row>
    <row r="763" spans="1:2">
      <c r="A763">
        <v>20500412</v>
      </c>
      <c r="B763" t="s">
        <v>1012</v>
      </c>
    </row>
    <row r="764" spans="1:2">
      <c r="A764">
        <v>20500413</v>
      </c>
      <c r="B764" t="s">
        <v>1013</v>
      </c>
    </row>
    <row r="765" spans="1:2">
      <c r="A765">
        <v>20500414</v>
      </c>
      <c r="B765" t="s">
        <v>1014</v>
      </c>
    </row>
    <row r="766" spans="1:2">
      <c r="A766">
        <v>20500415</v>
      </c>
      <c r="B766" t="s">
        <v>1015</v>
      </c>
    </row>
    <row r="767" spans="1:2">
      <c r="A767">
        <v>20500416</v>
      </c>
      <c r="B767" t="s">
        <v>1016</v>
      </c>
    </row>
    <row r="768" spans="1:2">
      <c r="A768">
        <v>20500417</v>
      </c>
      <c r="B768" t="s">
        <v>1017</v>
      </c>
    </row>
    <row r="769" spans="1:2">
      <c r="A769">
        <v>20599928</v>
      </c>
      <c r="B769" t="s">
        <v>1045</v>
      </c>
    </row>
    <row r="770" spans="1:2">
      <c r="A770">
        <v>20599929</v>
      </c>
      <c r="B770" t="s">
        <v>1046</v>
      </c>
    </row>
    <row r="771" spans="1:2">
      <c r="A771">
        <v>20599930</v>
      </c>
      <c r="B771" t="s">
        <v>1047</v>
      </c>
    </row>
    <row r="772" spans="1:2">
      <c r="A772">
        <v>20599931</v>
      </c>
      <c r="B772" t="s">
        <v>1048</v>
      </c>
    </row>
    <row r="773" spans="1:2">
      <c r="A773">
        <v>20599932</v>
      </c>
      <c r="B773" t="s">
        <v>1049</v>
      </c>
    </row>
    <row r="774" spans="1:2">
      <c r="A774">
        <v>20599933</v>
      </c>
      <c r="B774" t="s">
        <v>1050</v>
      </c>
    </row>
    <row r="775" spans="1:2">
      <c r="A775">
        <v>20599934</v>
      </c>
      <c r="B775" t="s">
        <v>1051</v>
      </c>
    </row>
    <row r="776" spans="1:2">
      <c r="A776">
        <v>20599935</v>
      </c>
      <c r="B776" t="s">
        <v>1052</v>
      </c>
    </row>
    <row r="777" spans="1:2">
      <c r="A777">
        <v>21000501</v>
      </c>
      <c r="B777" t="s">
        <v>1053</v>
      </c>
    </row>
    <row r="778" spans="1:2">
      <c r="A778">
        <v>21000502</v>
      </c>
      <c r="B778" t="s">
        <v>1054</v>
      </c>
    </row>
    <row r="779" spans="1:2">
      <c r="A779">
        <v>21000503</v>
      </c>
      <c r="B779" t="s">
        <v>1055</v>
      </c>
    </row>
    <row r="780" spans="1:2">
      <c r="A780">
        <v>21000504</v>
      </c>
      <c r="B780" t="s">
        <v>1056</v>
      </c>
    </row>
    <row r="781" spans="1:2">
      <c r="A781">
        <v>21000505</v>
      </c>
      <c r="B781" t="s">
        <v>1057</v>
      </c>
    </row>
    <row r="782" spans="1:2">
      <c r="A782">
        <v>21000506</v>
      </c>
      <c r="B782" t="s">
        <v>1058</v>
      </c>
    </row>
    <row r="783" spans="1:2">
      <c r="A783">
        <v>21000507</v>
      </c>
      <c r="B783" t="s">
        <v>1059</v>
      </c>
    </row>
    <row r="784" spans="1:2">
      <c r="A784">
        <v>21000508</v>
      </c>
      <c r="B784" t="s">
        <v>1060</v>
      </c>
    </row>
    <row r="785" spans="1:2">
      <c r="A785">
        <v>21000509</v>
      </c>
      <c r="B785" t="s">
        <v>1061</v>
      </c>
    </row>
    <row r="786" spans="1:2">
      <c r="A786">
        <v>21000510</v>
      </c>
      <c r="B786" t="s">
        <v>1062</v>
      </c>
    </row>
    <row r="787" spans="1:2">
      <c r="A787">
        <v>21000511</v>
      </c>
      <c r="B787" t="s">
        <v>1063</v>
      </c>
    </row>
    <row r="788" spans="1:2">
      <c r="A788">
        <v>21000512</v>
      </c>
      <c r="B788" t="s">
        <v>1064</v>
      </c>
    </row>
    <row r="789" spans="1:2">
      <c r="A789">
        <v>21000513</v>
      </c>
      <c r="B789" t="s">
        <v>1065</v>
      </c>
    </row>
    <row r="790" spans="1:2">
      <c r="A790">
        <v>21000514</v>
      </c>
      <c r="B790" t="s">
        <v>1066</v>
      </c>
    </row>
    <row r="791" spans="1:2">
      <c r="A791">
        <v>21000515</v>
      </c>
      <c r="B791" t="s">
        <v>1067</v>
      </c>
    </row>
    <row r="792" spans="1:2">
      <c r="A792">
        <v>21000516</v>
      </c>
      <c r="B792" t="s">
        <v>1068</v>
      </c>
    </row>
    <row r="793" spans="1:2">
      <c r="A793">
        <v>21000517</v>
      </c>
      <c r="B793" t="s">
        <v>1069</v>
      </c>
    </row>
    <row r="794" spans="1:2">
      <c r="A794">
        <v>21000518</v>
      </c>
      <c r="B794" t="s">
        <v>1070</v>
      </c>
    </row>
    <row r="795" spans="1:2">
      <c r="A795">
        <v>21000519</v>
      </c>
      <c r="B795" t="s">
        <v>1071</v>
      </c>
    </row>
    <row r="796" spans="1:2">
      <c r="A796">
        <v>21000520</v>
      </c>
      <c r="B796" t="s">
        <v>1072</v>
      </c>
    </row>
    <row r="797" spans="1:2">
      <c r="A797">
        <v>21000521</v>
      </c>
      <c r="B797" t="s">
        <v>1073</v>
      </c>
    </row>
    <row r="798" spans="1:2">
      <c r="A798">
        <v>21000522</v>
      </c>
      <c r="B798" t="s">
        <v>1074</v>
      </c>
    </row>
    <row r="799" spans="1:2">
      <c r="A799">
        <v>21000523</v>
      </c>
      <c r="B799" t="s">
        <v>1075</v>
      </c>
    </row>
    <row r="800" spans="1:2">
      <c r="A800">
        <v>21000524</v>
      </c>
      <c r="B800" t="s">
        <v>1076</v>
      </c>
    </row>
    <row r="801" spans="1:2">
      <c r="A801">
        <v>21000525</v>
      </c>
      <c r="B801" t="s">
        <v>1077</v>
      </c>
    </row>
    <row r="802" spans="1:2">
      <c r="A802">
        <v>21000526</v>
      </c>
      <c r="B802" t="s">
        <v>1078</v>
      </c>
    </row>
    <row r="803" spans="1:2">
      <c r="A803">
        <v>21000527</v>
      </c>
      <c r="B803" t="s">
        <v>1079</v>
      </c>
    </row>
    <row r="804" spans="1:2">
      <c r="A804">
        <v>21000528</v>
      </c>
      <c r="B804" t="s">
        <v>1080</v>
      </c>
    </row>
    <row r="805" spans="1:2">
      <c r="A805">
        <v>21000529</v>
      </c>
      <c r="B805" t="s">
        <v>1081</v>
      </c>
    </row>
    <row r="806" spans="1:2">
      <c r="A806">
        <v>21000530</v>
      </c>
      <c r="B806" t="s">
        <v>1082</v>
      </c>
    </row>
    <row r="807" spans="1:2">
      <c r="A807">
        <v>21000531</v>
      </c>
      <c r="B807" t="s">
        <v>1083</v>
      </c>
    </row>
    <row r="808" spans="1:2">
      <c r="A808">
        <v>21000532</v>
      </c>
      <c r="B808" t="s">
        <v>1084</v>
      </c>
    </row>
    <row r="809" spans="1:2">
      <c r="A809">
        <v>22000601</v>
      </c>
      <c r="B809" t="s">
        <v>1085</v>
      </c>
    </row>
    <row r="810" spans="1:2">
      <c r="A810">
        <v>22000602</v>
      </c>
      <c r="B810" t="s">
        <v>1086</v>
      </c>
    </row>
    <row r="811" spans="1:2">
      <c r="A811">
        <v>22000603</v>
      </c>
      <c r="B811" t="s">
        <v>1087</v>
      </c>
    </row>
    <row r="812" spans="1:2">
      <c r="A812">
        <v>22000604</v>
      </c>
      <c r="B812" t="s">
        <v>1088</v>
      </c>
    </row>
    <row r="813" spans="1:2">
      <c r="A813">
        <v>22000605</v>
      </c>
      <c r="B813" t="s">
        <v>1089</v>
      </c>
    </row>
    <row r="814" spans="1:2">
      <c r="A814">
        <v>22000606</v>
      </c>
      <c r="B814" t="s">
        <v>1090</v>
      </c>
    </row>
    <row r="815" spans="1:2">
      <c r="A815">
        <v>22000607</v>
      </c>
      <c r="B815" t="s">
        <v>1091</v>
      </c>
    </row>
    <row r="816" spans="1:2">
      <c r="A816">
        <v>22000608</v>
      </c>
      <c r="B816" t="s">
        <v>1092</v>
      </c>
    </row>
    <row r="817" spans="1:2">
      <c r="A817">
        <v>22000609</v>
      </c>
      <c r="B817" t="s">
        <v>1093</v>
      </c>
    </row>
    <row r="818" spans="1:2">
      <c r="A818">
        <v>22000610</v>
      </c>
      <c r="B818" t="s">
        <v>1094</v>
      </c>
    </row>
    <row r="819" spans="1:2">
      <c r="A819">
        <v>22000611</v>
      </c>
      <c r="B819" t="s">
        <v>1095</v>
      </c>
    </row>
    <row r="820" spans="1:2">
      <c r="A820">
        <v>22000612</v>
      </c>
      <c r="B820" t="s">
        <v>1096</v>
      </c>
    </row>
    <row r="821" spans="1:2">
      <c r="A821">
        <v>22000613</v>
      </c>
      <c r="B821" t="s">
        <v>1097</v>
      </c>
    </row>
    <row r="822" spans="1:2">
      <c r="A822">
        <v>22000614</v>
      </c>
      <c r="B822" t="s">
        <v>1098</v>
      </c>
    </row>
    <row r="823" spans="1:2">
      <c r="A823">
        <v>22000615</v>
      </c>
      <c r="B823" t="s">
        <v>1099</v>
      </c>
    </row>
    <row r="824" spans="1:2">
      <c r="A824">
        <v>22000616</v>
      </c>
      <c r="B824" t="s">
        <v>1100</v>
      </c>
    </row>
    <row r="825" spans="1:2">
      <c r="A825">
        <v>22000617</v>
      </c>
      <c r="B825" t="s">
        <v>1101</v>
      </c>
    </row>
    <row r="826" spans="1:2">
      <c r="A826">
        <v>22500701</v>
      </c>
      <c r="B826" t="s">
        <v>1102</v>
      </c>
    </row>
    <row r="827" spans="1:2">
      <c r="A827">
        <v>22500702</v>
      </c>
      <c r="B827" t="s">
        <v>1103</v>
      </c>
    </row>
    <row r="828" spans="1:2">
      <c r="A828">
        <v>22500703</v>
      </c>
      <c r="B828" t="s">
        <v>1104</v>
      </c>
    </row>
    <row r="829" spans="1:2">
      <c r="A829">
        <v>22500704</v>
      </c>
      <c r="B829" t="s">
        <v>1105</v>
      </c>
    </row>
    <row r="830" spans="1:2">
      <c r="A830">
        <v>22500705</v>
      </c>
      <c r="B830" t="s">
        <v>1106</v>
      </c>
    </row>
    <row r="831" spans="1:2">
      <c r="A831">
        <v>22500706</v>
      </c>
      <c r="B831" t="s">
        <v>1107</v>
      </c>
    </row>
    <row r="832" spans="1:2">
      <c r="A832">
        <v>22500707</v>
      </c>
      <c r="B832" t="s">
        <v>1108</v>
      </c>
    </row>
    <row r="833" spans="1:2">
      <c r="A833">
        <v>22500708</v>
      </c>
      <c r="B833" t="s">
        <v>1109</v>
      </c>
    </row>
    <row r="834" spans="1:2">
      <c r="A834">
        <v>22500709</v>
      </c>
      <c r="B834" t="s">
        <v>1110</v>
      </c>
    </row>
    <row r="835" spans="1:2">
      <c r="A835">
        <v>22500710</v>
      </c>
      <c r="B835" t="s">
        <v>1103</v>
      </c>
    </row>
    <row r="836" spans="1:2">
      <c r="A836">
        <v>22500711</v>
      </c>
      <c r="B836" t="s">
        <v>1111</v>
      </c>
    </row>
    <row r="837" spans="1:2">
      <c r="A837">
        <v>22500712</v>
      </c>
      <c r="B837" t="s">
        <v>1112</v>
      </c>
    </row>
    <row r="838" spans="1:2">
      <c r="A838">
        <v>22500713</v>
      </c>
      <c r="B838" t="s">
        <v>1104</v>
      </c>
    </row>
    <row r="839" spans="1:2">
      <c r="A839">
        <v>22500714</v>
      </c>
      <c r="B839" t="s">
        <v>1105</v>
      </c>
    </row>
    <row r="840" spans="1:2">
      <c r="A840">
        <v>22500715</v>
      </c>
      <c r="B840" t="s">
        <v>1106</v>
      </c>
    </row>
    <row r="841" spans="1:2">
      <c r="A841">
        <v>22500716</v>
      </c>
      <c r="B841" t="s">
        <v>1107</v>
      </c>
    </row>
    <row r="842" spans="1:2">
      <c r="A842">
        <v>22500801</v>
      </c>
      <c r="B842" t="s">
        <v>1113</v>
      </c>
    </row>
    <row r="843" spans="1:2">
      <c r="A843">
        <v>22500802</v>
      </c>
      <c r="B843" t="s">
        <v>1114</v>
      </c>
    </row>
    <row r="844" spans="1:2">
      <c r="A844">
        <v>22500803</v>
      </c>
      <c r="B844" t="s">
        <v>1115</v>
      </c>
    </row>
    <row r="845" spans="1:2">
      <c r="A845">
        <v>22500804</v>
      </c>
      <c r="B845" t="s">
        <v>1116</v>
      </c>
    </row>
    <row r="846" spans="1:2">
      <c r="A846">
        <v>22500805</v>
      </c>
      <c r="B846" t="s">
        <v>1117</v>
      </c>
    </row>
    <row r="847" spans="1:2">
      <c r="A847">
        <v>22500806</v>
      </c>
      <c r="B847" t="s">
        <v>1118</v>
      </c>
    </row>
    <row r="848" spans="1:2">
      <c r="A848">
        <v>23000901</v>
      </c>
      <c r="B848" t="s">
        <v>1119</v>
      </c>
    </row>
    <row r="849" spans="1:2">
      <c r="A849">
        <v>23000902</v>
      </c>
      <c r="B849" t="s">
        <v>1120</v>
      </c>
    </row>
    <row r="850" spans="1:2">
      <c r="A850">
        <v>23000903</v>
      </c>
      <c r="B850" t="s">
        <v>1121</v>
      </c>
    </row>
    <row r="851" spans="1:2">
      <c r="A851">
        <v>23000904</v>
      </c>
      <c r="B851" t="s">
        <v>1122</v>
      </c>
    </row>
    <row r="852" spans="1:2">
      <c r="A852">
        <v>23000905</v>
      </c>
      <c r="B852" t="s">
        <v>1123</v>
      </c>
    </row>
    <row r="853" spans="1:2">
      <c r="A853">
        <v>23000906</v>
      </c>
      <c r="B853" t="s">
        <v>1124</v>
      </c>
    </row>
    <row r="854" spans="1:2">
      <c r="A854">
        <v>29901001</v>
      </c>
      <c r="B854" t="s">
        <v>1125</v>
      </c>
    </row>
    <row r="855" spans="1:2">
      <c r="A855" t="s">
        <v>1834</v>
      </c>
      <c r="B855" t="s">
        <v>1835</v>
      </c>
    </row>
    <row r="856" spans="1:2">
      <c r="A856" t="s">
        <v>1836</v>
      </c>
      <c r="B856" t="s">
        <v>1837</v>
      </c>
    </row>
    <row r="857" spans="1:2">
      <c r="A857" t="s">
        <v>1838</v>
      </c>
      <c r="B857" t="s">
        <v>1839</v>
      </c>
    </row>
    <row r="858" spans="1:2">
      <c r="A858" t="s">
        <v>1840</v>
      </c>
      <c r="B858" t="s">
        <v>1841</v>
      </c>
    </row>
    <row r="859" spans="1:2">
      <c r="A859" t="s">
        <v>1842</v>
      </c>
      <c r="B859" t="s">
        <v>1843</v>
      </c>
    </row>
    <row r="860" spans="1:2">
      <c r="A860" t="s">
        <v>1844</v>
      </c>
      <c r="B860" t="s">
        <v>1845</v>
      </c>
    </row>
    <row r="861" spans="1:2">
      <c r="A861" t="s">
        <v>1846</v>
      </c>
      <c r="B861" t="s">
        <v>1847</v>
      </c>
    </row>
    <row r="862" spans="1:2">
      <c r="A862" t="s">
        <v>1848</v>
      </c>
      <c r="B862" t="s">
        <v>1849</v>
      </c>
    </row>
    <row r="863" spans="1:2">
      <c r="A863" t="s">
        <v>1850</v>
      </c>
      <c r="B863" t="s">
        <v>1851</v>
      </c>
    </row>
    <row r="864" spans="1:2">
      <c r="A864" t="s">
        <v>1852</v>
      </c>
      <c r="B864" t="s">
        <v>1853</v>
      </c>
    </row>
    <row r="865" spans="1:2">
      <c r="A865" t="s">
        <v>1854</v>
      </c>
      <c r="B865" t="s">
        <v>1855</v>
      </c>
    </row>
    <row r="866" spans="1:2">
      <c r="A866" t="s">
        <v>1856</v>
      </c>
      <c r="B866" t="s">
        <v>1857</v>
      </c>
    </row>
    <row r="867" spans="1:2">
      <c r="A867" t="s">
        <v>1858</v>
      </c>
      <c r="B867" t="s">
        <v>1859</v>
      </c>
    </row>
    <row r="868" spans="1:2">
      <c r="A868" t="s">
        <v>1860</v>
      </c>
      <c r="B868" t="s">
        <v>1861</v>
      </c>
    </row>
    <row r="869" spans="1:2">
      <c r="A869" t="s">
        <v>1862</v>
      </c>
      <c r="B869" t="s">
        <v>1863</v>
      </c>
    </row>
    <row r="870" spans="1:2">
      <c r="A870" t="s">
        <v>1864</v>
      </c>
      <c r="B870" t="s">
        <v>1865</v>
      </c>
    </row>
    <row r="871" spans="1:2">
      <c r="A871" t="s">
        <v>1866</v>
      </c>
      <c r="B871" t="s">
        <v>1867</v>
      </c>
    </row>
    <row r="872" spans="1:2">
      <c r="A872" t="s">
        <v>1868</v>
      </c>
      <c r="B872" t="s">
        <v>1869</v>
      </c>
    </row>
    <row r="873" spans="1:2">
      <c r="A873">
        <v>30100101</v>
      </c>
      <c r="B873" t="s">
        <v>1126</v>
      </c>
    </row>
    <row r="874" spans="1:2">
      <c r="A874">
        <v>30100201</v>
      </c>
      <c r="B874" t="s">
        <v>1127</v>
      </c>
    </row>
    <row r="875" spans="1:2">
      <c r="A875">
        <v>30199901</v>
      </c>
      <c r="B875" t="s">
        <v>1128</v>
      </c>
    </row>
    <row r="876" spans="1:2">
      <c r="A876">
        <v>30500301</v>
      </c>
      <c r="B876" t="s">
        <v>1129</v>
      </c>
    </row>
    <row r="877" spans="1:2">
      <c r="A877">
        <v>30500302</v>
      </c>
      <c r="B877" t="s">
        <v>1130</v>
      </c>
    </row>
    <row r="878" spans="1:2">
      <c r="A878">
        <v>30500303</v>
      </c>
      <c r="B878" t="s">
        <v>1131</v>
      </c>
    </row>
    <row r="879" spans="1:2">
      <c r="A879">
        <v>30500304</v>
      </c>
      <c r="B879" t="s">
        <v>1132</v>
      </c>
    </row>
    <row r="880" spans="1:2">
      <c r="A880">
        <v>30500305</v>
      </c>
      <c r="B880" t="s">
        <v>1133</v>
      </c>
    </row>
    <row r="881" spans="1:2">
      <c r="A881">
        <v>30500306</v>
      </c>
      <c r="B881" t="s">
        <v>1134</v>
      </c>
    </row>
    <row r="882" spans="1:2">
      <c r="A882">
        <v>30500307</v>
      </c>
      <c r="B882" t="s">
        <v>1133</v>
      </c>
    </row>
    <row r="883" spans="1:2">
      <c r="A883">
        <v>30500308</v>
      </c>
      <c r="B883" t="s">
        <v>1135</v>
      </c>
    </row>
    <row r="884" spans="1:2">
      <c r="A884">
        <v>30500309</v>
      </c>
      <c r="B884" t="s">
        <v>1136</v>
      </c>
    </row>
    <row r="885" spans="1:2">
      <c r="A885">
        <v>30500401</v>
      </c>
      <c r="B885" t="s">
        <v>1145</v>
      </c>
    </row>
    <row r="886" spans="1:2">
      <c r="A886">
        <v>30500402</v>
      </c>
      <c r="B886" t="s">
        <v>1146</v>
      </c>
    </row>
    <row r="887" spans="1:2">
      <c r="A887">
        <v>30500403</v>
      </c>
      <c r="B887" t="s">
        <v>1147</v>
      </c>
    </row>
    <row r="888" spans="1:2">
      <c r="A888">
        <v>30500404</v>
      </c>
      <c r="B888" t="s">
        <v>1148</v>
      </c>
    </row>
    <row r="889" spans="1:2">
      <c r="A889">
        <v>30500405</v>
      </c>
      <c r="B889" t="s">
        <v>1149</v>
      </c>
    </row>
    <row r="890" spans="1:2">
      <c r="A890">
        <v>30500406</v>
      </c>
      <c r="B890" t="s">
        <v>1150</v>
      </c>
    </row>
    <row r="891" spans="1:2">
      <c r="A891">
        <v>30500407</v>
      </c>
      <c r="B891" t="s">
        <v>1151</v>
      </c>
    </row>
    <row r="892" spans="1:2">
      <c r="A892">
        <v>30500408</v>
      </c>
      <c r="B892" t="s">
        <v>1152</v>
      </c>
    </row>
    <row r="893" spans="1:2">
      <c r="A893">
        <v>30500409</v>
      </c>
      <c r="B893" t="s">
        <v>1153</v>
      </c>
    </row>
    <row r="894" spans="1:2">
      <c r="A894">
        <v>30599901</v>
      </c>
      <c r="B894" t="s">
        <v>1162</v>
      </c>
    </row>
    <row r="895" spans="1:2">
      <c r="A895">
        <v>30599902</v>
      </c>
      <c r="B895" t="s">
        <v>1163</v>
      </c>
    </row>
    <row r="896" spans="1:2">
      <c r="A896">
        <v>30599903</v>
      </c>
      <c r="B896" t="s">
        <v>1164</v>
      </c>
    </row>
    <row r="897" spans="1:2">
      <c r="A897">
        <v>30599904</v>
      </c>
      <c r="B897" t="s">
        <v>1165</v>
      </c>
    </row>
    <row r="898" spans="1:2">
      <c r="A898">
        <v>30599905</v>
      </c>
      <c r="B898" t="s">
        <v>1166</v>
      </c>
    </row>
    <row r="899" spans="1:2">
      <c r="A899">
        <v>30599906</v>
      </c>
      <c r="B899" t="s">
        <v>1167</v>
      </c>
    </row>
    <row r="900" spans="1:2">
      <c r="A900">
        <v>30599907</v>
      </c>
      <c r="B900" t="s">
        <v>1168</v>
      </c>
    </row>
    <row r="901" spans="1:2">
      <c r="A901">
        <v>30599908</v>
      </c>
      <c r="B901" t="s">
        <v>1169</v>
      </c>
    </row>
    <row r="902" spans="1:2">
      <c r="A902">
        <v>30599909</v>
      </c>
      <c r="B902" t="s">
        <v>1170</v>
      </c>
    </row>
    <row r="903" spans="1:2">
      <c r="A903">
        <v>30599910</v>
      </c>
      <c r="B903" t="s">
        <v>1171</v>
      </c>
    </row>
    <row r="904" spans="1:2">
      <c r="A904">
        <v>30599911</v>
      </c>
      <c r="B904" t="s">
        <v>1172</v>
      </c>
    </row>
    <row r="905" spans="1:2">
      <c r="A905">
        <v>30599912</v>
      </c>
      <c r="B905" t="s">
        <v>1173</v>
      </c>
    </row>
    <row r="906" spans="1:2">
      <c r="A906">
        <v>30599913</v>
      </c>
      <c r="B906" t="s">
        <v>1174</v>
      </c>
    </row>
    <row r="907" spans="1:2">
      <c r="A907">
        <v>30599914</v>
      </c>
      <c r="B907" t="s">
        <v>1175</v>
      </c>
    </row>
    <row r="908" spans="1:2">
      <c r="A908">
        <v>30599915</v>
      </c>
      <c r="B908" t="s">
        <v>1176</v>
      </c>
    </row>
    <row r="909" spans="1:2">
      <c r="A909">
        <v>30599916</v>
      </c>
      <c r="B909" t="s">
        <v>1177</v>
      </c>
    </row>
    <row r="910" spans="1:2">
      <c r="A910">
        <v>30599917</v>
      </c>
      <c r="B910" t="s">
        <v>1178</v>
      </c>
    </row>
    <row r="911" spans="1:2">
      <c r="A911">
        <v>30599918</v>
      </c>
      <c r="B911" t="s">
        <v>1179</v>
      </c>
    </row>
    <row r="912" spans="1:2">
      <c r="A912">
        <v>30599919</v>
      </c>
      <c r="B912" t="s">
        <v>1180</v>
      </c>
    </row>
    <row r="913" spans="1:2">
      <c r="A913">
        <v>30599920</v>
      </c>
      <c r="B913" t="s">
        <v>1181</v>
      </c>
    </row>
    <row r="914" spans="1:2">
      <c r="A914">
        <v>30599921</v>
      </c>
      <c r="B914" t="s">
        <v>1182</v>
      </c>
    </row>
    <row r="915" spans="1:2">
      <c r="A915">
        <v>30599922</v>
      </c>
      <c r="B915" t="s">
        <v>1183</v>
      </c>
    </row>
    <row r="916" spans="1:2">
      <c r="A916">
        <v>30599923</v>
      </c>
      <c r="B916" t="s">
        <v>1184</v>
      </c>
    </row>
    <row r="917" spans="1:2">
      <c r="A917">
        <v>30599924</v>
      </c>
      <c r="B917" t="s">
        <v>1185</v>
      </c>
    </row>
    <row r="918" spans="1:2">
      <c r="A918">
        <v>30599925</v>
      </c>
      <c r="B918" t="s">
        <v>1186</v>
      </c>
    </row>
    <row r="919" spans="1:2">
      <c r="A919">
        <v>30599926</v>
      </c>
      <c r="B919" t="s">
        <v>1187</v>
      </c>
    </row>
    <row r="920" spans="1:2">
      <c r="A920">
        <v>30599927</v>
      </c>
      <c r="B920" t="s">
        <v>1188</v>
      </c>
    </row>
    <row r="921" spans="1:2">
      <c r="A921">
        <v>30500310</v>
      </c>
      <c r="B921" t="s">
        <v>1137</v>
      </c>
    </row>
    <row r="922" spans="1:2">
      <c r="A922">
        <v>30500311</v>
      </c>
      <c r="B922" t="s">
        <v>1138</v>
      </c>
    </row>
    <row r="923" spans="1:2">
      <c r="A923">
        <v>30500312</v>
      </c>
      <c r="B923" t="s">
        <v>1139</v>
      </c>
    </row>
    <row r="924" spans="1:2">
      <c r="A924">
        <v>30500313</v>
      </c>
      <c r="B924" t="s">
        <v>1140</v>
      </c>
    </row>
    <row r="925" spans="1:2">
      <c r="A925">
        <v>30500314</v>
      </c>
      <c r="B925" t="s">
        <v>1141</v>
      </c>
    </row>
    <row r="926" spans="1:2">
      <c r="A926">
        <v>30500315</v>
      </c>
      <c r="B926" t="s">
        <v>1142</v>
      </c>
    </row>
    <row r="927" spans="1:2">
      <c r="A927">
        <v>30500316</v>
      </c>
      <c r="B927" t="s">
        <v>1143</v>
      </c>
    </row>
    <row r="928" spans="1:2">
      <c r="A928">
        <v>30500317</v>
      </c>
      <c r="B928" t="s">
        <v>1144</v>
      </c>
    </row>
    <row r="929" spans="1:2">
      <c r="A929">
        <v>30500410</v>
      </c>
      <c r="B929" t="s">
        <v>1154</v>
      </c>
    </row>
    <row r="930" spans="1:2">
      <c r="A930">
        <v>30500411</v>
      </c>
      <c r="B930" t="s">
        <v>1155</v>
      </c>
    </row>
    <row r="931" spans="1:2">
      <c r="A931">
        <v>30500412</v>
      </c>
      <c r="B931" t="s">
        <v>1156</v>
      </c>
    </row>
    <row r="932" spans="1:2">
      <c r="A932">
        <v>30500413</v>
      </c>
      <c r="B932" t="s">
        <v>1157</v>
      </c>
    </row>
    <row r="933" spans="1:2">
      <c r="A933">
        <v>30500414</v>
      </c>
      <c r="B933" t="s">
        <v>1158</v>
      </c>
    </row>
    <row r="934" spans="1:2">
      <c r="A934">
        <v>30500415</v>
      </c>
      <c r="B934" t="s">
        <v>1159</v>
      </c>
    </row>
    <row r="935" spans="1:2">
      <c r="A935">
        <v>30500416</v>
      </c>
      <c r="B935" t="s">
        <v>1160</v>
      </c>
    </row>
    <row r="936" spans="1:2">
      <c r="A936">
        <v>30500417</v>
      </c>
      <c r="B936" t="s">
        <v>1161</v>
      </c>
    </row>
    <row r="937" spans="1:2">
      <c r="A937">
        <v>30599928</v>
      </c>
      <c r="B937" t="s">
        <v>1189</v>
      </c>
    </row>
    <row r="938" spans="1:2">
      <c r="A938">
        <v>30599929</v>
      </c>
      <c r="B938" t="s">
        <v>1190</v>
      </c>
    </row>
    <row r="939" spans="1:2">
      <c r="A939">
        <v>30599930</v>
      </c>
      <c r="B939" t="s">
        <v>1191</v>
      </c>
    </row>
    <row r="940" spans="1:2">
      <c r="A940">
        <v>30599931</v>
      </c>
      <c r="B940" t="s">
        <v>1192</v>
      </c>
    </row>
    <row r="941" spans="1:2">
      <c r="A941">
        <v>30599932</v>
      </c>
      <c r="B941" t="s">
        <v>1193</v>
      </c>
    </row>
    <row r="942" spans="1:2">
      <c r="A942">
        <v>30599933</v>
      </c>
      <c r="B942" t="s">
        <v>1194</v>
      </c>
    </row>
    <row r="943" spans="1:2">
      <c r="A943">
        <v>30599934</v>
      </c>
      <c r="B943" t="s">
        <v>1195</v>
      </c>
    </row>
    <row r="944" spans="1:2">
      <c r="A944">
        <v>30599935</v>
      </c>
      <c r="B944" t="s">
        <v>1196</v>
      </c>
    </row>
    <row r="945" spans="1:2">
      <c r="A945">
        <v>31000501</v>
      </c>
      <c r="B945" t="s">
        <v>1197</v>
      </c>
    </row>
    <row r="946" spans="1:2">
      <c r="A946">
        <v>31000502</v>
      </c>
      <c r="B946" t="s">
        <v>1198</v>
      </c>
    </row>
    <row r="947" spans="1:2">
      <c r="A947">
        <v>31000503</v>
      </c>
      <c r="B947" t="s">
        <v>1199</v>
      </c>
    </row>
    <row r="948" spans="1:2">
      <c r="A948">
        <v>31000504</v>
      </c>
      <c r="B948" t="s">
        <v>1200</v>
      </c>
    </row>
    <row r="949" spans="1:2">
      <c r="A949">
        <v>31000505</v>
      </c>
      <c r="B949" t="s">
        <v>1201</v>
      </c>
    </row>
    <row r="950" spans="1:2">
      <c r="A950">
        <v>31000506</v>
      </c>
      <c r="B950" t="s">
        <v>1202</v>
      </c>
    </row>
    <row r="951" spans="1:2">
      <c r="A951">
        <v>31000507</v>
      </c>
      <c r="B951" t="s">
        <v>1203</v>
      </c>
    </row>
    <row r="952" spans="1:2">
      <c r="A952">
        <v>31000508</v>
      </c>
      <c r="B952" t="s">
        <v>1204</v>
      </c>
    </row>
    <row r="953" spans="1:2">
      <c r="A953">
        <v>31000509</v>
      </c>
      <c r="B953" t="s">
        <v>1205</v>
      </c>
    </row>
    <row r="954" spans="1:2">
      <c r="A954">
        <v>31000510</v>
      </c>
      <c r="B954" t="s">
        <v>1206</v>
      </c>
    </row>
    <row r="955" spans="1:2">
      <c r="A955">
        <v>31000511</v>
      </c>
      <c r="B955" t="s">
        <v>1207</v>
      </c>
    </row>
    <row r="956" spans="1:2">
      <c r="A956">
        <v>31000512</v>
      </c>
      <c r="B956" t="s">
        <v>1208</v>
      </c>
    </row>
    <row r="957" spans="1:2">
      <c r="A957">
        <v>31000513</v>
      </c>
      <c r="B957" t="s">
        <v>1209</v>
      </c>
    </row>
    <row r="958" spans="1:2">
      <c r="A958">
        <v>31000514</v>
      </c>
      <c r="B958" t="s">
        <v>1210</v>
      </c>
    </row>
    <row r="959" spans="1:2">
      <c r="A959">
        <v>31000515</v>
      </c>
      <c r="B959" t="s">
        <v>1211</v>
      </c>
    </row>
    <row r="960" spans="1:2">
      <c r="A960">
        <v>31000516</v>
      </c>
      <c r="B960" t="s">
        <v>1212</v>
      </c>
    </row>
    <row r="961" spans="1:2">
      <c r="A961">
        <v>31000517</v>
      </c>
      <c r="B961" t="s">
        <v>1213</v>
      </c>
    </row>
    <row r="962" spans="1:2">
      <c r="A962">
        <v>31000518</v>
      </c>
      <c r="B962" t="s">
        <v>1214</v>
      </c>
    </row>
    <row r="963" spans="1:2">
      <c r="A963">
        <v>31000519</v>
      </c>
      <c r="B963" t="s">
        <v>1215</v>
      </c>
    </row>
    <row r="964" spans="1:2">
      <c r="A964">
        <v>31000520</v>
      </c>
      <c r="B964" t="s">
        <v>1216</v>
      </c>
    </row>
    <row r="965" spans="1:2">
      <c r="A965">
        <v>31000521</v>
      </c>
      <c r="B965" t="s">
        <v>1217</v>
      </c>
    </row>
    <row r="966" spans="1:2">
      <c r="A966">
        <v>31000522</v>
      </c>
      <c r="B966" t="s">
        <v>1218</v>
      </c>
    </row>
    <row r="967" spans="1:2">
      <c r="A967">
        <v>31000523</v>
      </c>
      <c r="B967" t="s">
        <v>1219</v>
      </c>
    </row>
    <row r="968" spans="1:2">
      <c r="A968">
        <v>31000524</v>
      </c>
      <c r="B968" t="s">
        <v>1220</v>
      </c>
    </row>
    <row r="969" spans="1:2">
      <c r="A969">
        <v>31000525</v>
      </c>
      <c r="B969" t="s">
        <v>1221</v>
      </c>
    </row>
    <row r="970" spans="1:2">
      <c r="A970">
        <v>31000526</v>
      </c>
      <c r="B970" t="s">
        <v>1222</v>
      </c>
    </row>
    <row r="971" spans="1:2">
      <c r="A971">
        <v>31000527</v>
      </c>
      <c r="B971" t="s">
        <v>1223</v>
      </c>
    </row>
    <row r="972" spans="1:2">
      <c r="A972">
        <v>31000528</v>
      </c>
      <c r="B972" t="s">
        <v>1224</v>
      </c>
    </row>
    <row r="973" spans="1:2">
      <c r="A973">
        <v>31000529</v>
      </c>
      <c r="B973" t="s">
        <v>1225</v>
      </c>
    </row>
    <row r="974" spans="1:2">
      <c r="A974">
        <v>31000530</v>
      </c>
      <c r="B974" t="s">
        <v>1226</v>
      </c>
    </row>
    <row r="975" spans="1:2">
      <c r="A975">
        <v>31000531</v>
      </c>
      <c r="B975" t="s">
        <v>1227</v>
      </c>
    </row>
    <row r="976" spans="1:2">
      <c r="A976">
        <v>31000532</v>
      </c>
      <c r="B976" t="s">
        <v>1228</v>
      </c>
    </row>
    <row r="977" spans="1:2">
      <c r="A977">
        <v>32000601</v>
      </c>
      <c r="B977" t="s">
        <v>1229</v>
      </c>
    </row>
    <row r="978" spans="1:2">
      <c r="A978">
        <v>32000602</v>
      </c>
      <c r="B978" t="s">
        <v>1230</v>
      </c>
    </row>
    <row r="979" spans="1:2">
      <c r="A979">
        <v>32000603</v>
      </c>
      <c r="B979" t="s">
        <v>1231</v>
      </c>
    </row>
    <row r="980" spans="1:2">
      <c r="A980">
        <v>32000604</v>
      </c>
      <c r="B980" t="s">
        <v>1232</v>
      </c>
    </row>
    <row r="981" spans="1:2">
      <c r="A981">
        <v>32000605</v>
      </c>
      <c r="B981" t="s">
        <v>1233</v>
      </c>
    </row>
    <row r="982" spans="1:2">
      <c r="A982">
        <v>32000606</v>
      </c>
      <c r="B982" t="s">
        <v>1234</v>
      </c>
    </row>
    <row r="983" spans="1:2">
      <c r="A983">
        <v>32000607</v>
      </c>
      <c r="B983" t="s">
        <v>1235</v>
      </c>
    </row>
    <row r="984" spans="1:2">
      <c r="A984">
        <v>32000608</v>
      </c>
      <c r="B984" t="s">
        <v>1236</v>
      </c>
    </row>
    <row r="985" spans="1:2">
      <c r="A985">
        <v>32000609</v>
      </c>
      <c r="B985" t="s">
        <v>1237</v>
      </c>
    </row>
    <row r="986" spans="1:2">
      <c r="A986">
        <v>32000610</v>
      </c>
      <c r="B986" t="s">
        <v>1238</v>
      </c>
    </row>
    <row r="987" spans="1:2">
      <c r="A987">
        <v>32000611</v>
      </c>
      <c r="B987" t="s">
        <v>1239</v>
      </c>
    </row>
    <row r="988" spans="1:2">
      <c r="A988">
        <v>32000612</v>
      </c>
      <c r="B988" t="s">
        <v>1240</v>
      </c>
    </row>
    <row r="989" spans="1:2">
      <c r="A989">
        <v>32000613</v>
      </c>
      <c r="B989" t="s">
        <v>1241</v>
      </c>
    </row>
    <row r="990" spans="1:2">
      <c r="A990">
        <v>32000614</v>
      </c>
      <c r="B990" t="s">
        <v>1242</v>
      </c>
    </row>
    <row r="991" spans="1:2">
      <c r="A991">
        <v>32000615</v>
      </c>
      <c r="B991" t="s">
        <v>1243</v>
      </c>
    </row>
    <row r="992" spans="1:2">
      <c r="A992">
        <v>32000616</v>
      </c>
      <c r="B992" t="s">
        <v>1244</v>
      </c>
    </row>
    <row r="993" spans="1:2">
      <c r="A993">
        <v>32000617</v>
      </c>
      <c r="B993" t="s">
        <v>1245</v>
      </c>
    </row>
    <row r="994" spans="1:2">
      <c r="A994">
        <v>32500701</v>
      </c>
      <c r="B994" t="s">
        <v>1246</v>
      </c>
    </row>
    <row r="995" spans="1:2">
      <c r="A995">
        <v>32500702</v>
      </c>
      <c r="B995" t="s">
        <v>1247</v>
      </c>
    </row>
    <row r="996" spans="1:2">
      <c r="A996">
        <v>32500703</v>
      </c>
      <c r="B996" t="s">
        <v>1248</v>
      </c>
    </row>
    <row r="997" spans="1:2">
      <c r="A997">
        <v>32500704</v>
      </c>
      <c r="B997" t="s">
        <v>1249</v>
      </c>
    </row>
    <row r="998" spans="1:2">
      <c r="A998">
        <v>32500705</v>
      </c>
      <c r="B998" t="s">
        <v>1250</v>
      </c>
    </row>
    <row r="999" spans="1:2">
      <c r="A999">
        <v>32500706</v>
      </c>
      <c r="B999" t="s">
        <v>1251</v>
      </c>
    </row>
    <row r="1000" spans="1:2">
      <c r="A1000">
        <v>32500707</v>
      </c>
      <c r="B1000" t="s">
        <v>1252</v>
      </c>
    </row>
    <row r="1001" spans="1:2">
      <c r="A1001">
        <v>32500708</v>
      </c>
      <c r="B1001" t="s">
        <v>1253</v>
      </c>
    </row>
    <row r="1002" spans="1:2">
      <c r="A1002">
        <v>32500709</v>
      </c>
      <c r="B1002" t="s">
        <v>1254</v>
      </c>
    </row>
    <row r="1003" spans="1:2">
      <c r="A1003">
        <v>32500710</v>
      </c>
      <c r="B1003" t="s">
        <v>1247</v>
      </c>
    </row>
    <row r="1004" spans="1:2">
      <c r="A1004">
        <v>32500711</v>
      </c>
      <c r="B1004" t="s">
        <v>1255</v>
      </c>
    </row>
    <row r="1005" spans="1:2">
      <c r="A1005">
        <v>32500712</v>
      </c>
      <c r="B1005" t="s">
        <v>1256</v>
      </c>
    </row>
    <row r="1006" spans="1:2">
      <c r="A1006">
        <v>32500713</v>
      </c>
      <c r="B1006" t="s">
        <v>1248</v>
      </c>
    </row>
    <row r="1007" spans="1:2">
      <c r="A1007">
        <v>32500714</v>
      </c>
      <c r="B1007" t="s">
        <v>1249</v>
      </c>
    </row>
    <row r="1008" spans="1:2">
      <c r="A1008">
        <v>32500715</v>
      </c>
      <c r="B1008" t="s">
        <v>1250</v>
      </c>
    </row>
    <row r="1009" spans="1:2">
      <c r="A1009">
        <v>32500716</v>
      </c>
      <c r="B1009" t="s">
        <v>1251</v>
      </c>
    </row>
    <row r="1010" spans="1:2">
      <c r="A1010">
        <v>32500801</v>
      </c>
      <c r="B1010" t="s">
        <v>1257</v>
      </c>
    </row>
    <row r="1011" spans="1:2">
      <c r="A1011">
        <v>32500802</v>
      </c>
      <c r="B1011" t="s">
        <v>1258</v>
      </c>
    </row>
    <row r="1012" spans="1:2">
      <c r="A1012">
        <v>32500803</v>
      </c>
      <c r="B1012" t="s">
        <v>1259</v>
      </c>
    </row>
    <row r="1013" spans="1:2">
      <c r="A1013">
        <v>32500804</v>
      </c>
      <c r="B1013" t="s">
        <v>1260</v>
      </c>
    </row>
    <row r="1014" spans="1:2">
      <c r="A1014">
        <v>32500805</v>
      </c>
      <c r="B1014" t="s">
        <v>1261</v>
      </c>
    </row>
    <row r="1015" spans="1:2">
      <c r="A1015">
        <v>32500806</v>
      </c>
      <c r="B1015" t="s">
        <v>1262</v>
      </c>
    </row>
    <row r="1016" spans="1:2">
      <c r="A1016">
        <v>33000901</v>
      </c>
      <c r="B1016" t="s">
        <v>1263</v>
      </c>
    </row>
    <row r="1017" spans="1:2">
      <c r="A1017">
        <v>33000902</v>
      </c>
      <c r="B1017" t="s">
        <v>1264</v>
      </c>
    </row>
    <row r="1018" spans="1:2">
      <c r="A1018">
        <v>33000903</v>
      </c>
      <c r="B1018" t="s">
        <v>1265</v>
      </c>
    </row>
    <row r="1019" spans="1:2">
      <c r="A1019">
        <v>33000904</v>
      </c>
      <c r="B1019" t="s">
        <v>1266</v>
      </c>
    </row>
    <row r="1020" spans="1:2">
      <c r="A1020">
        <v>33000905</v>
      </c>
      <c r="B1020" t="s">
        <v>1267</v>
      </c>
    </row>
    <row r="1021" spans="1:2">
      <c r="A1021">
        <v>33000906</v>
      </c>
      <c r="B1021" t="s">
        <v>1268</v>
      </c>
    </row>
    <row r="1022" spans="1:2">
      <c r="A1022">
        <v>39901001</v>
      </c>
      <c r="B1022" t="s">
        <v>1269</v>
      </c>
    </row>
    <row r="1023" spans="1:2">
      <c r="A1023" t="s">
        <v>1870</v>
      </c>
      <c r="B1023" t="s">
        <v>1871</v>
      </c>
    </row>
    <row r="1024" spans="1:2">
      <c r="A1024" t="s">
        <v>1872</v>
      </c>
      <c r="B1024" t="s">
        <v>1873</v>
      </c>
    </row>
    <row r="1025" spans="1:2">
      <c r="A1025" t="s">
        <v>1874</v>
      </c>
      <c r="B1025" t="s">
        <v>1875</v>
      </c>
    </row>
    <row r="1026" spans="1:2">
      <c r="A1026" t="s">
        <v>1876</v>
      </c>
      <c r="B1026" t="s">
        <v>1877</v>
      </c>
    </row>
    <row r="1027" spans="1:2">
      <c r="A1027" t="s">
        <v>1878</v>
      </c>
      <c r="B1027" t="s">
        <v>1879</v>
      </c>
    </row>
    <row r="1028" spans="1:2">
      <c r="A1028" t="s">
        <v>1880</v>
      </c>
      <c r="B1028" t="s">
        <v>1881</v>
      </c>
    </row>
    <row r="1029" spans="1:2">
      <c r="A1029" t="s">
        <v>1882</v>
      </c>
      <c r="B1029" t="s">
        <v>1883</v>
      </c>
    </row>
    <row r="1030" spans="1:2">
      <c r="A1030" t="s">
        <v>1884</v>
      </c>
      <c r="B1030" t="s">
        <v>1885</v>
      </c>
    </row>
    <row r="1031" spans="1:2">
      <c r="A1031" t="s">
        <v>1886</v>
      </c>
      <c r="B1031" t="s">
        <v>1887</v>
      </c>
    </row>
    <row r="1032" spans="1:2">
      <c r="A1032" t="s">
        <v>1888</v>
      </c>
      <c r="B1032" t="s">
        <v>1889</v>
      </c>
    </row>
    <row r="1033" spans="1:2">
      <c r="A1033" t="s">
        <v>1890</v>
      </c>
      <c r="B1033" t="s">
        <v>1891</v>
      </c>
    </row>
    <row r="1034" spans="1:2">
      <c r="A1034" t="s">
        <v>1892</v>
      </c>
      <c r="B1034" t="s">
        <v>1893</v>
      </c>
    </row>
    <row r="1035" spans="1:2">
      <c r="A1035" t="s">
        <v>1894</v>
      </c>
      <c r="B1035" t="s">
        <v>1895</v>
      </c>
    </row>
    <row r="1036" spans="1:2">
      <c r="A1036" t="s">
        <v>1896</v>
      </c>
      <c r="B1036" t="s">
        <v>1897</v>
      </c>
    </row>
    <row r="1037" spans="1:2">
      <c r="A1037" t="s">
        <v>1898</v>
      </c>
      <c r="B1037" t="s">
        <v>1899</v>
      </c>
    </row>
    <row r="1038" spans="1:2">
      <c r="A1038" t="s">
        <v>1900</v>
      </c>
      <c r="B1038" t="s">
        <v>1901</v>
      </c>
    </row>
    <row r="1039" spans="1:2">
      <c r="A1039" t="s">
        <v>1902</v>
      </c>
      <c r="B1039" t="s">
        <v>1903</v>
      </c>
    </row>
    <row r="1040" spans="1:2">
      <c r="A1040" t="s">
        <v>1904</v>
      </c>
      <c r="B1040" t="s">
        <v>1905</v>
      </c>
    </row>
    <row r="1041" spans="1:2">
      <c r="A1041">
        <v>40100101</v>
      </c>
      <c r="B1041" t="s">
        <v>1270</v>
      </c>
    </row>
    <row r="1042" spans="1:2">
      <c r="A1042">
        <v>40100201</v>
      </c>
      <c r="B1042" t="s">
        <v>1271</v>
      </c>
    </row>
    <row r="1043" spans="1:2">
      <c r="A1043">
        <v>40199901</v>
      </c>
      <c r="B1043" t="s">
        <v>1272</v>
      </c>
    </row>
    <row r="1044" spans="1:2">
      <c r="A1044">
        <v>40500301</v>
      </c>
      <c r="B1044" t="s">
        <v>1273</v>
      </c>
    </row>
    <row r="1045" spans="1:2">
      <c r="A1045">
        <v>40500302</v>
      </c>
      <c r="B1045" t="s">
        <v>1274</v>
      </c>
    </row>
    <row r="1046" spans="1:2">
      <c r="A1046">
        <v>40500303</v>
      </c>
      <c r="B1046" t="s">
        <v>1275</v>
      </c>
    </row>
    <row r="1047" spans="1:2">
      <c r="A1047">
        <v>40500304</v>
      </c>
      <c r="B1047" t="s">
        <v>1276</v>
      </c>
    </row>
    <row r="1048" spans="1:2">
      <c r="A1048">
        <v>40500305</v>
      </c>
      <c r="B1048" t="s">
        <v>1277</v>
      </c>
    </row>
    <row r="1049" spans="1:2">
      <c r="A1049">
        <v>40500306</v>
      </c>
      <c r="B1049" t="s">
        <v>1278</v>
      </c>
    </row>
    <row r="1050" spans="1:2">
      <c r="A1050">
        <v>40500307</v>
      </c>
      <c r="B1050" t="s">
        <v>1277</v>
      </c>
    </row>
    <row r="1051" spans="1:2">
      <c r="A1051">
        <v>40500308</v>
      </c>
      <c r="B1051" t="s">
        <v>1279</v>
      </c>
    </row>
    <row r="1052" spans="1:2">
      <c r="A1052">
        <v>40500309</v>
      </c>
      <c r="B1052" t="s">
        <v>1280</v>
      </c>
    </row>
    <row r="1053" spans="1:2">
      <c r="A1053">
        <v>40500401</v>
      </c>
      <c r="B1053" t="s">
        <v>1289</v>
      </c>
    </row>
    <row r="1054" spans="1:2">
      <c r="A1054">
        <v>40500402</v>
      </c>
      <c r="B1054" t="s">
        <v>1290</v>
      </c>
    </row>
    <row r="1055" spans="1:2">
      <c r="A1055">
        <v>40500403</v>
      </c>
      <c r="B1055" t="s">
        <v>1291</v>
      </c>
    </row>
    <row r="1056" spans="1:2">
      <c r="A1056">
        <v>40500404</v>
      </c>
      <c r="B1056" t="s">
        <v>1292</v>
      </c>
    </row>
    <row r="1057" spans="1:2">
      <c r="A1057">
        <v>40500405</v>
      </c>
      <c r="B1057" t="s">
        <v>1293</v>
      </c>
    </row>
    <row r="1058" spans="1:2">
      <c r="A1058">
        <v>40500406</v>
      </c>
      <c r="B1058" t="s">
        <v>1294</v>
      </c>
    </row>
    <row r="1059" spans="1:2">
      <c r="A1059">
        <v>40500407</v>
      </c>
      <c r="B1059" t="s">
        <v>1295</v>
      </c>
    </row>
    <row r="1060" spans="1:2">
      <c r="A1060">
        <v>40500408</v>
      </c>
      <c r="B1060" t="s">
        <v>1296</v>
      </c>
    </row>
    <row r="1061" spans="1:2">
      <c r="A1061">
        <v>40500409</v>
      </c>
      <c r="B1061" t="s">
        <v>1297</v>
      </c>
    </row>
    <row r="1062" spans="1:2">
      <c r="A1062">
        <v>40599901</v>
      </c>
      <c r="B1062" t="s">
        <v>1306</v>
      </c>
    </row>
    <row r="1063" spans="1:2">
      <c r="A1063">
        <v>40599902</v>
      </c>
      <c r="B1063" t="s">
        <v>1307</v>
      </c>
    </row>
    <row r="1064" spans="1:2">
      <c r="A1064">
        <v>40599903</v>
      </c>
      <c r="B1064" t="s">
        <v>1308</v>
      </c>
    </row>
    <row r="1065" spans="1:2">
      <c r="A1065">
        <v>40599904</v>
      </c>
      <c r="B1065" t="s">
        <v>1309</v>
      </c>
    </row>
    <row r="1066" spans="1:2">
      <c r="A1066">
        <v>40599905</v>
      </c>
      <c r="B1066" t="s">
        <v>1310</v>
      </c>
    </row>
    <row r="1067" spans="1:2">
      <c r="A1067">
        <v>40599906</v>
      </c>
      <c r="B1067" t="s">
        <v>1311</v>
      </c>
    </row>
    <row r="1068" spans="1:2">
      <c r="A1068">
        <v>40599907</v>
      </c>
      <c r="B1068" t="s">
        <v>1312</v>
      </c>
    </row>
    <row r="1069" spans="1:2">
      <c r="A1069">
        <v>40599908</v>
      </c>
      <c r="B1069" t="s">
        <v>1313</v>
      </c>
    </row>
    <row r="1070" spans="1:2">
      <c r="A1070">
        <v>40599909</v>
      </c>
      <c r="B1070" t="s">
        <v>1314</v>
      </c>
    </row>
    <row r="1071" spans="1:2">
      <c r="A1071">
        <v>40599910</v>
      </c>
      <c r="B1071" t="s">
        <v>1315</v>
      </c>
    </row>
    <row r="1072" spans="1:2">
      <c r="A1072">
        <v>40599911</v>
      </c>
      <c r="B1072" t="s">
        <v>1316</v>
      </c>
    </row>
    <row r="1073" spans="1:2">
      <c r="A1073">
        <v>40599912</v>
      </c>
      <c r="B1073" t="s">
        <v>1317</v>
      </c>
    </row>
    <row r="1074" spans="1:2">
      <c r="A1074">
        <v>40599913</v>
      </c>
      <c r="B1074" t="s">
        <v>1318</v>
      </c>
    </row>
    <row r="1075" spans="1:2">
      <c r="A1075">
        <v>40599914</v>
      </c>
      <c r="B1075" t="s">
        <v>1319</v>
      </c>
    </row>
    <row r="1076" spans="1:2">
      <c r="A1076">
        <v>40599915</v>
      </c>
      <c r="B1076" t="s">
        <v>1320</v>
      </c>
    </row>
    <row r="1077" spans="1:2">
      <c r="A1077">
        <v>40599916</v>
      </c>
      <c r="B1077" t="s">
        <v>1321</v>
      </c>
    </row>
    <row r="1078" spans="1:2">
      <c r="A1078">
        <v>40599917</v>
      </c>
      <c r="B1078" t="s">
        <v>1322</v>
      </c>
    </row>
    <row r="1079" spans="1:2">
      <c r="A1079">
        <v>40599918</v>
      </c>
      <c r="B1079" t="s">
        <v>1323</v>
      </c>
    </row>
    <row r="1080" spans="1:2">
      <c r="A1080">
        <v>40599919</v>
      </c>
      <c r="B1080" t="s">
        <v>1324</v>
      </c>
    </row>
    <row r="1081" spans="1:2">
      <c r="A1081">
        <v>40599920</v>
      </c>
      <c r="B1081" t="s">
        <v>1325</v>
      </c>
    </row>
    <row r="1082" spans="1:2">
      <c r="A1082">
        <v>40599921</v>
      </c>
      <c r="B1082" t="s">
        <v>1326</v>
      </c>
    </row>
    <row r="1083" spans="1:2">
      <c r="A1083">
        <v>40599922</v>
      </c>
      <c r="B1083" t="s">
        <v>1327</v>
      </c>
    </row>
    <row r="1084" spans="1:2">
      <c r="A1084">
        <v>40599923</v>
      </c>
      <c r="B1084" t="s">
        <v>1328</v>
      </c>
    </row>
    <row r="1085" spans="1:2">
      <c r="A1085">
        <v>40599924</v>
      </c>
      <c r="B1085" t="s">
        <v>1329</v>
      </c>
    </row>
    <row r="1086" spans="1:2">
      <c r="A1086">
        <v>40599925</v>
      </c>
      <c r="B1086" t="s">
        <v>1330</v>
      </c>
    </row>
    <row r="1087" spans="1:2">
      <c r="A1087">
        <v>40599926</v>
      </c>
      <c r="B1087" t="s">
        <v>1331</v>
      </c>
    </row>
    <row r="1088" spans="1:2">
      <c r="A1088">
        <v>40599927</v>
      </c>
      <c r="B1088" t="s">
        <v>1332</v>
      </c>
    </row>
    <row r="1089" spans="1:2">
      <c r="A1089">
        <v>40500310</v>
      </c>
      <c r="B1089" t="s">
        <v>1281</v>
      </c>
    </row>
    <row r="1090" spans="1:2">
      <c r="A1090">
        <v>40500311</v>
      </c>
      <c r="B1090" t="s">
        <v>1282</v>
      </c>
    </row>
    <row r="1091" spans="1:2">
      <c r="A1091">
        <v>40500312</v>
      </c>
      <c r="B1091" t="s">
        <v>1283</v>
      </c>
    </row>
    <row r="1092" spans="1:2">
      <c r="A1092">
        <v>40500313</v>
      </c>
      <c r="B1092" t="s">
        <v>1284</v>
      </c>
    </row>
    <row r="1093" spans="1:2">
      <c r="A1093">
        <v>40500314</v>
      </c>
      <c r="B1093" t="s">
        <v>1285</v>
      </c>
    </row>
    <row r="1094" spans="1:2">
      <c r="A1094">
        <v>40500315</v>
      </c>
      <c r="B1094" t="s">
        <v>1286</v>
      </c>
    </row>
    <row r="1095" spans="1:2">
      <c r="A1095">
        <v>40500316</v>
      </c>
      <c r="B1095" t="s">
        <v>1287</v>
      </c>
    </row>
    <row r="1096" spans="1:2">
      <c r="A1096">
        <v>40500317</v>
      </c>
      <c r="B1096" t="s">
        <v>1288</v>
      </c>
    </row>
    <row r="1097" spans="1:2">
      <c r="A1097">
        <v>40500410</v>
      </c>
      <c r="B1097" t="s">
        <v>1298</v>
      </c>
    </row>
    <row r="1098" spans="1:2">
      <c r="A1098">
        <v>40500411</v>
      </c>
      <c r="B1098" t="s">
        <v>1299</v>
      </c>
    </row>
    <row r="1099" spans="1:2">
      <c r="A1099">
        <v>40500412</v>
      </c>
      <c r="B1099" t="s">
        <v>1300</v>
      </c>
    </row>
    <row r="1100" spans="1:2">
      <c r="A1100">
        <v>40500413</v>
      </c>
      <c r="B1100" t="s">
        <v>1301</v>
      </c>
    </row>
    <row r="1101" spans="1:2">
      <c r="A1101">
        <v>40500414</v>
      </c>
      <c r="B1101" t="s">
        <v>1302</v>
      </c>
    </row>
    <row r="1102" spans="1:2">
      <c r="A1102">
        <v>40500415</v>
      </c>
      <c r="B1102" t="s">
        <v>1303</v>
      </c>
    </row>
    <row r="1103" spans="1:2">
      <c r="A1103">
        <v>40500416</v>
      </c>
      <c r="B1103" t="s">
        <v>1304</v>
      </c>
    </row>
    <row r="1104" spans="1:2">
      <c r="A1104">
        <v>40500417</v>
      </c>
      <c r="B1104" t="s">
        <v>1305</v>
      </c>
    </row>
    <row r="1105" spans="1:2">
      <c r="A1105">
        <v>40599928</v>
      </c>
      <c r="B1105" t="s">
        <v>1333</v>
      </c>
    </row>
    <row r="1106" spans="1:2">
      <c r="A1106">
        <v>40599929</v>
      </c>
      <c r="B1106" t="s">
        <v>1334</v>
      </c>
    </row>
    <row r="1107" spans="1:2">
      <c r="A1107">
        <v>40599930</v>
      </c>
      <c r="B1107" t="s">
        <v>1335</v>
      </c>
    </row>
    <row r="1108" spans="1:2">
      <c r="A1108">
        <v>40599931</v>
      </c>
      <c r="B1108" t="s">
        <v>1336</v>
      </c>
    </row>
    <row r="1109" spans="1:2">
      <c r="A1109">
        <v>40599932</v>
      </c>
      <c r="B1109" t="s">
        <v>1337</v>
      </c>
    </row>
    <row r="1110" spans="1:2">
      <c r="A1110">
        <v>40599933</v>
      </c>
      <c r="B1110" t="s">
        <v>1338</v>
      </c>
    </row>
    <row r="1111" spans="1:2">
      <c r="A1111">
        <v>40599934</v>
      </c>
      <c r="B1111" t="s">
        <v>1339</v>
      </c>
    </row>
    <row r="1112" spans="1:2">
      <c r="A1112">
        <v>40599935</v>
      </c>
      <c r="B1112" t="s">
        <v>1340</v>
      </c>
    </row>
    <row r="1113" spans="1:2">
      <c r="A1113">
        <v>41000501</v>
      </c>
      <c r="B1113" t="s">
        <v>1341</v>
      </c>
    </row>
    <row r="1114" spans="1:2">
      <c r="A1114">
        <v>41000502</v>
      </c>
      <c r="B1114" t="s">
        <v>1342</v>
      </c>
    </row>
    <row r="1115" spans="1:2">
      <c r="A1115">
        <v>41000503</v>
      </c>
      <c r="B1115" t="s">
        <v>1343</v>
      </c>
    </row>
    <row r="1116" spans="1:2">
      <c r="A1116">
        <v>41000504</v>
      </c>
      <c r="B1116" t="s">
        <v>1344</v>
      </c>
    </row>
    <row r="1117" spans="1:2">
      <c r="A1117">
        <v>41000505</v>
      </c>
      <c r="B1117" t="s">
        <v>1345</v>
      </c>
    </row>
    <row r="1118" spans="1:2">
      <c r="A1118">
        <v>41000506</v>
      </c>
      <c r="B1118" t="s">
        <v>1346</v>
      </c>
    </row>
    <row r="1119" spans="1:2">
      <c r="A1119">
        <v>41000507</v>
      </c>
      <c r="B1119" t="s">
        <v>1347</v>
      </c>
    </row>
    <row r="1120" spans="1:2">
      <c r="A1120">
        <v>41000508</v>
      </c>
      <c r="B1120" t="s">
        <v>1348</v>
      </c>
    </row>
    <row r="1121" spans="1:2">
      <c r="A1121">
        <v>41000509</v>
      </c>
      <c r="B1121" t="s">
        <v>1349</v>
      </c>
    </row>
    <row r="1122" spans="1:2">
      <c r="A1122">
        <v>41000510</v>
      </c>
      <c r="B1122" t="s">
        <v>1350</v>
      </c>
    </row>
    <row r="1123" spans="1:2">
      <c r="A1123">
        <v>41000511</v>
      </c>
      <c r="B1123" t="s">
        <v>1351</v>
      </c>
    </row>
    <row r="1124" spans="1:2">
      <c r="A1124">
        <v>41000512</v>
      </c>
      <c r="B1124" t="s">
        <v>1352</v>
      </c>
    </row>
    <row r="1125" spans="1:2">
      <c r="A1125">
        <v>41000513</v>
      </c>
      <c r="B1125" t="s">
        <v>1353</v>
      </c>
    </row>
    <row r="1126" spans="1:2">
      <c r="A1126">
        <v>41000514</v>
      </c>
      <c r="B1126" t="s">
        <v>1354</v>
      </c>
    </row>
    <row r="1127" spans="1:2">
      <c r="A1127">
        <v>41000515</v>
      </c>
      <c r="B1127" t="s">
        <v>1355</v>
      </c>
    </row>
    <row r="1128" spans="1:2">
      <c r="A1128">
        <v>41000516</v>
      </c>
      <c r="B1128" t="s">
        <v>1356</v>
      </c>
    </row>
    <row r="1129" spans="1:2">
      <c r="A1129">
        <v>41000517</v>
      </c>
      <c r="B1129" t="s">
        <v>1357</v>
      </c>
    </row>
    <row r="1130" spans="1:2">
      <c r="A1130">
        <v>41000518</v>
      </c>
      <c r="B1130" t="s">
        <v>1358</v>
      </c>
    </row>
    <row r="1131" spans="1:2">
      <c r="A1131">
        <v>41000519</v>
      </c>
      <c r="B1131" t="s">
        <v>1359</v>
      </c>
    </row>
    <row r="1132" spans="1:2">
      <c r="A1132">
        <v>41000520</v>
      </c>
      <c r="B1132" t="s">
        <v>1360</v>
      </c>
    </row>
    <row r="1133" spans="1:2">
      <c r="A1133">
        <v>41000521</v>
      </c>
      <c r="B1133" t="s">
        <v>1361</v>
      </c>
    </row>
    <row r="1134" spans="1:2">
      <c r="A1134">
        <v>41000522</v>
      </c>
      <c r="B1134" t="s">
        <v>1362</v>
      </c>
    </row>
    <row r="1135" spans="1:2">
      <c r="A1135">
        <v>41000523</v>
      </c>
      <c r="B1135" t="s">
        <v>1363</v>
      </c>
    </row>
    <row r="1136" spans="1:2">
      <c r="A1136">
        <v>41000524</v>
      </c>
      <c r="B1136" t="s">
        <v>1364</v>
      </c>
    </row>
    <row r="1137" spans="1:2">
      <c r="A1137">
        <v>41000525</v>
      </c>
      <c r="B1137" t="s">
        <v>1365</v>
      </c>
    </row>
    <row r="1138" spans="1:2">
      <c r="A1138">
        <v>41000526</v>
      </c>
      <c r="B1138" t="s">
        <v>1366</v>
      </c>
    </row>
    <row r="1139" spans="1:2">
      <c r="A1139">
        <v>41000527</v>
      </c>
      <c r="B1139" t="s">
        <v>1367</v>
      </c>
    </row>
    <row r="1140" spans="1:2">
      <c r="A1140">
        <v>41000528</v>
      </c>
      <c r="B1140" t="s">
        <v>1368</v>
      </c>
    </row>
    <row r="1141" spans="1:2">
      <c r="A1141">
        <v>41000529</v>
      </c>
      <c r="B1141" t="s">
        <v>1369</v>
      </c>
    </row>
    <row r="1142" spans="1:2">
      <c r="A1142">
        <v>41000530</v>
      </c>
      <c r="B1142" t="s">
        <v>1370</v>
      </c>
    </row>
    <row r="1143" spans="1:2">
      <c r="A1143">
        <v>41000531</v>
      </c>
      <c r="B1143" t="s">
        <v>1371</v>
      </c>
    </row>
    <row r="1144" spans="1:2">
      <c r="A1144">
        <v>41000532</v>
      </c>
      <c r="B1144" t="s">
        <v>1372</v>
      </c>
    </row>
    <row r="1145" spans="1:2">
      <c r="A1145">
        <v>42000601</v>
      </c>
      <c r="B1145" t="s">
        <v>1373</v>
      </c>
    </row>
    <row r="1146" spans="1:2">
      <c r="A1146">
        <v>42000602</v>
      </c>
      <c r="B1146" t="s">
        <v>1374</v>
      </c>
    </row>
    <row r="1147" spans="1:2">
      <c r="A1147">
        <v>42000603</v>
      </c>
      <c r="B1147" t="s">
        <v>1375</v>
      </c>
    </row>
    <row r="1148" spans="1:2">
      <c r="A1148">
        <v>42000604</v>
      </c>
      <c r="B1148" t="s">
        <v>1376</v>
      </c>
    </row>
    <row r="1149" spans="1:2">
      <c r="A1149">
        <v>42000605</v>
      </c>
      <c r="B1149" t="s">
        <v>1377</v>
      </c>
    </row>
    <row r="1150" spans="1:2">
      <c r="A1150">
        <v>42000606</v>
      </c>
      <c r="B1150" t="s">
        <v>1378</v>
      </c>
    </row>
    <row r="1151" spans="1:2">
      <c r="A1151">
        <v>42000607</v>
      </c>
      <c r="B1151" t="s">
        <v>1379</v>
      </c>
    </row>
    <row r="1152" spans="1:2">
      <c r="A1152">
        <v>42000608</v>
      </c>
      <c r="B1152" t="s">
        <v>1380</v>
      </c>
    </row>
    <row r="1153" spans="1:2">
      <c r="A1153">
        <v>42000609</v>
      </c>
      <c r="B1153" t="s">
        <v>1381</v>
      </c>
    </row>
    <row r="1154" spans="1:2">
      <c r="A1154">
        <v>42000610</v>
      </c>
      <c r="B1154" t="s">
        <v>1382</v>
      </c>
    </row>
    <row r="1155" spans="1:2">
      <c r="A1155">
        <v>42000611</v>
      </c>
      <c r="B1155" t="s">
        <v>1383</v>
      </c>
    </row>
    <row r="1156" spans="1:2">
      <c r="A1156">
        <v>42000612</v>
      </c>
      <c r="B1156" t="s">
        <v>1384</v>
      </c>
    </row>
    <row r="1157" spans="1:2">
      <c r="A1157">
        <v>42000613</v>
      </c>
      <c r="B1157" t="s">
        <v>1385</v>
      </c>
    </row>
    <row r="1158" spans="1:2">
      <c r="A1158">
        <v>42000614</v>
      </c>
      <c r="B1158" t="s">
        <v>1386</v>
      </c>
    </row>
    <row r="1159" spans="1:2">
      <c r="A1159">
        <v>42000615</v>
      </c>
      <c r="B1159" t="s">
        <v>1387</v>
      </c>
    </row>
    <row r="1160" spans="1:2">
      <c r="A1160">
        <v>42000616</v>
      </c>
      <c r="B1160" t="s">
        <v>1388</v>
      </c>
    </row>
    <row r="1161" spans="1:2">
      <c r="A1161">
        <v>42000617</v>
      </c>
      <c r="B1161" t="s">
        <v>1389</v>
      </c>
    </row>
    <row r="1162" spans="1:2">
      <c r="A1162">
        <v>42500701</v>
      </c>
      <c r="B1162" t="s">
        <v>1390</v>
      </c>
    </row>
    <row r="1163" spans="1:2">
      <c r="A1163">
        <v>42500702</v>
      </c>
      <c r="B1163" t="s">
        <v>1391</v>
      </c>
    </row>
    <row r="1164" spans="1:2">
      <c r="A1164">
        <v>42500703</v>
      </c>
      <c r="B1164" t="s">
        <v>1392</v>
      </c>
    </row>
    <row r="1165" spans="1:2">
      <c r="A1165">
        <v>42500704</v>
      </c>
      <c r="B1165" t="s">
        <v>1393</v>
      </c>
    </row>
    <row r="1166" spans="1:2">
      <c r="A1166">
        <v>42500705</v>
      </c>
      <c r="B1166" t="s">
        <v>1394</v>
      </c>
    </row>
    <row r="1167" spans="1:2">
      <c r="A1167">
        <v>42500706</v>
      </c>
      <c r="B1167" t="s">
        <v>1395</v>
      </c>
    </row>
    <row r="1168" spans="1:2">
      <c r="A1168">
        <v>42500707</v>
      </c>
      <c r="B1168" t="s">
        <v>1396</v>
      </c>
    </row>
    <row r="1169" spans="1:2">
      <c r="A1169">
        <v>42500708</v>
      </c>
      <c r="B1169" t="s">
        <v>1397</v>
      </c>
    </row>
    <row r="1170" spans="1:2">
      <c r="A1170">
        <v>42500709</v>
      </c>
      <c r="B1170" t="s">
        <v>1398</v>
      </c>
    </row>
    <row r="1171" spans="1:2">
      <c r="A1171">
        <v>42500710</v>
      </c>
      <c r="B1171" t="s">
        <v>1391</v>
      </c>
    </row>
    <row r="1172" spans="1:2">
      <c r="A1172">
        <v>42500711</v>
      </c>
      <c r="B1172" t="s">
        <v>1399</v>
      </c>
    </row>
    <row r="1173" spans="1:2">
      <c r="A1173">
        <v>42500712</v>
      </c>
      <c r="B1173" t="s">
        <v>1400</v>
      </c>
    </row>
    <row r="1174" spans="1:2">
      <c r="A1174">
        <v>42500713</v>
      </c>
      <c r="B1174" t="s">
        <v>1392</v>
      </c>
    </row>
    <row r="1175" spans="1:2">
      <c r="A1175">
        <v>42500714</v>
      </c>
      <c r="B1175" t="s">
        <v>1393</v>
      </c>
    </row>
    <row r="1176" spans="1:2">
      <c r="A1176">
        <v>42500715</v>
      </c>
      <c r="B1176" t="s">
        <v>1394</v>
      </c>
    </row>
    <row r="1177" spans="1:2">
      <c r="A1177">
        <v>42500716</v>
      </c>
      <c r="B1177" t="s">
        <v>1395</v>
      </c>
    </row>
    <row r="1178" spans="1:2">
      <c r="A1178">
        <v>42500801</v>
      </c>
      <c r="B1178" t="s">
        <v>1401</v>
      </c>
    </row>
    <row r="1179" spans="1:2">
      <c r="A1179">
        <v>42500802</v>
      </c>
      <c r="B1179" t="s">
        <v>1402</v>
      </c>
    </row>
    <row r="1180" spans="1:2">
      <c r="A1180">
        <v>42500803</v>
      </c>
      <c r="B1180" t="s">
        <v>1403</v>
      </c>
    </row>
    <row r="1181" spans="1:2">
      <c r="A1181">
        <v>42500804</v>
      </c>
      <c r="B1181" t="s">
        <v>1404</v>
      </c>
    </row>
    <row r="1182" spans="1:2">
      <c r="A1182">
        <v>42500805</v>
      </c>
      <c r="B1182" t="s">
        <v>1405</v>
      </c>
    </row>
    <row r="1183" spans="1:2">
      <c r="A1183">
        <v>42500806</v>
      </c>
      <c r="B1183" t="s">
        <v>1406</v>
      </c>
    </row>
    <row r="1184" spans="1:2">
      <c r="A1184">
        <v>43000901</v>
      </c>
      <c r="B1184" t="s">
        <v>1407</v>
      </c>
    </row>
    <row r="1185" spans="1:2">
      <c r="A1185">
        <v>43000902</v>
      </c>
      <c r="B1185" t="s">
        <v>1408</v>
      </c>
    </row>
    <row r="1186" spans="1:2">
      <c r="A1186">
        <v>43000903</v>
      </c>
      <c r="B1186" t="s">
        <v>1409</v>
      </c>
    </row>
    <row r="1187" spans="1:2">
      <c r="A1187">
        <v>43000904</v>
      </c>
      <c r="B1187" t="s">
        <v>1410</v>
      </c>
    </row>
    <row r="1188" spans="1:2">
      <c r="A1188">
        <v>43000905</v>
      </c>
      <c r="B1188" t="s">
        <v>1411</v>
      </c>
    </row>
    <row r="1189" spans="1:2">
      <c r="A1189">
        <v>43000906</v>
      </c>
      <c r="B1189" t="s">
        <v>1412</v>
      </c>
    </row>
    <row r="1190" spans="1:2">
      <c r="A1190">
        <v>49901001</v>
      </c>
      <c r="B1190" t="s">
        <v>1413</v>
      </c>
    </row>
    <row r="1191" spans="1:2">
      <c r="A1191" t="s">
        <v>1906</v>
      </c>
      <c r="B1191" t="s">
        <v>1907</v>
      </c>
    </row>
    <row r="1192" spans="1:2">
      <c r="A1192" t="s">
        <v>1908</v>
      </c>
      <c r="B1192" t="s">
        <v>1909</v>
      </c>
    </row>
    <row r="1193" spans="1:2">
      <c r="A1193" t="s">
        <v>1910</v>
      </c>
      <c r="B1193" t="s">
        <v>1911</v>
      </c>
    </row>
    <row r="1194" spans="1:2">
      <c r="A1194" t="s">
        <v>1912</v>
      </c>
      <c r="B1194" t="s">
        <v>1913</v>
      </c>
    </row>
    <row r="1195" spans="1:2">
      <c r="A1195" t="s">
        <v>1914</v>
      </c>
      <c r="B1195" t="s">
        <v>1915</v>
      </c>
    </row>
    <row r="1196" spans="1:2">
      <c r="A1196" t="s">
        <v>1916</v>
      </c>
      <c r="B1196" t="s">
        <v>1917</v>
      </c>
    </row>
    <row r="1197" spans="1:2">
      <c r="A1197" t="s">
        <v>1918</v>
      </c>
      <c r="B1197" t="s">
        <v>1919</v>
      </c>
    </row>
    <row r="1198" spans="1:2">
      <c r="A1198" t="s">
        <v>1920</v>
      </c>
      <c r="B1198" t="s">
        <v>1921</v>
      </c>
    </row>
    <row r="1199" spans="1:2">
      <c r="A1199" t="s">
        <v>1922</v>
      </c>
      <c r="B1199" t="s">
        <v>1923</v>
      </c>
    </row>
    <row r="1200" spans="1:2">
      <c r="A1200" t="s">
        <v>1924</v>
      </c>
      <c r="B1200" t="s">
        <v>1925</v>
      </c>
    </row>
    <row r="1201" spans="1:2">
      <c r="A1201" t="s">
        <v>1926</v>
      </c>
      <c r="B1201" t="s">
        <v>1927</v>
      </c>
    </row>
    <row r="1202" spans="1:2">
      <c r="A1202" t="s">
        <v>1928</v>
      </c>
      <c r="B1202" t="s">
        <v>1929</v>
      </c>
    </row>
    <row r="1203" spans="1:2">
      <c r="A1203" t="s">
        <v>1930</v>
      </c>
      <c r="B1203" t="s">
        <v>1931</v>
      </c>
    </row>
    <row r="1204" spans="1:2">
      <c r="A1204" t="s">
        <v>1932</v>
      </c>
      <c r="B1204" t="s">
        <v>1933</v>
      </c>
    </row>
    <row r="1205" spans="1:2">
      <c r="A1205" t="s">
        <v>1934</v>
      </c>
      <c r="B1205" t="s">
        <v>1935</v>
      </c>
    </row>
    <row r="1206" spans="1:2">
      <c r="A1206" t="s">
        <v>1936</v>
      </c>
      <c r="B1206" t="s">
        <v>1937</v>
      </c>
    </row>
    <row r="1207" spans="1:2">
      <c r="A1207" t="s">
        <v>1938</v>
      </c>
      <c r="B1207" t="s">
        <v>1939</v>
      </c>
    </row>
    <row r="1208" spans="1:2">
      <c r="A1208" t="s">
        <v>1940</v>
      </c>
      <c r="B1208" t="s">
        <v>1941</v>
      </c>
    </row>
    <row r="1209" spans="1:2">
      <c r="A1209">
        <v>50100101</v>
      </c>
      <c r="B1209" t="s">
        <v>1414</v>
      </c>
    </row>
    <row r="1210" spans="1:2">
      <c r="A1210">
        <v>50100201</v>
      </c>
      <c r="B1210" t="s">
        <v>1415</v>
      </c>
    </row>
    <row r="1211" spans="1:2">
      <c r="A1211">
        <v>50199901</v>
      </c>
      <c r="B1211" t="s">
        <v>1416</v>
      </c>
    </row>
    <row r="1212" spans="1:2">
      <c r="A1212">
        <v>50500301</v>
      </c>
      <c r="B1212" t="s">
        <v>1417</v>
      </c>
    </row>
    <row r="1213" spans="1:2">
      <c r="A1213">
        <v>50500302</v>
      </c>
      <c r="B1213" t="s">
        <v>1418</v>
      </c>
    </row>
    <row r="1214" spans="1:2">
      <c r="A1214">
        <v>50500303</v>
      </c>
      <c r="B1214" t="s">
        <v>1419</v>
      </c>
    </row>
    <row r="1215" spans="1:2">
      <c r="A1215">
        <v>50500304</v>
      </c>
      <c r="B1215" t="s">
        <v>1420</v>
      </c>
    </row>
    <row r="1216" spans="1:2">
      <c r="A1216">
        <v>50500305</v>
      </c>
      <c r="B1216" t="s">
        <v>1421</v>
      </c>
    </row>
    <row r="1217" spans="1:2">
      <c r="A1217">
        <v>50500306</v>
      </c>
      <c r="B1217" t="s">
        <v>1422</v>
      </c>
    </row>
    <row r="1218" spans="1:2">
      <c r="A1218">
        <v>50500307</v>
      </c>
      <c r="B1218" t="s">
        <v>1421</v>
      </c>
    </row>
    <row r="1219" spans="1:2">
      <c r="A1219">
        <v>50500308</v>
      </c>
      <c r="B1219" t="s">
        <v>1423</v>
      </c>
    </row>
    <row r="1220" spans="1:2">
      <c r="A1220">
        <v>50500309</v>
      </c>
      <c r="B1220" t="s">
        <v>1424</v>
      </c>
    </row>
    <row r="1221" spans="1:2">
      <c r="A1221">
        <v>50500401</v>
      </c>
      <c r="B1221" t="s">
        <v>1433</v>
      </c>
    </row>
    <row r="1222" spans="1:2">
      <c r="A1222">
        <v>50500402</v>
      </c>
      <c r="B1222" t="s">
        <v>1434</v>
      </c>
    </row>
    <row r="1223" spans="1:2">
      <c r="A1223">
        <v>50500403</v>
      </c>
      <c r="B1223" t="s">
        <v>1435</v>
      </c>
    </row>
    <row r="1224" spans="1:2">
      <c r="A1224">
        <v>50500404</v>
      </c>
      <c r="B1224" t="s">
        <v>1436</v>
      </c>
    </row>
    <row r="1225" spans="1:2">
      <c r="A1225">
        <v>50500405</v>
      </c>
      <c r="B1225" t="s">
        <v>1437</v>
      </c>
    </row>
    <row r="1226" spans="1:2">
      <c r="A1226">
        <v>50500406</v>
      </c>
      <c r="B1226" t="s">
        <v>1438</v>
      </c>
    </row>
    <row r="1227" spans="1:2">
      <c r="A1227">
        <v>50500407</v>
      </c>
      <c r="B1227" t="s">
        <v>1439</v>
      </c>
    </row>
    <row r="1228" spans="1:2">
      <c r="A1228">
        <v>50500408</v>
      </c>
      <c r="B1228" t="s">
        <v>1440</v>
      </c>
    </row>
    <row r="1229" spans="1:2">
      <c r="A1229">
        <v>50500409</v>
      </c>
      <c r="B1229" t="s">
        <v>1441</v>
      </c>
    </row>
    <row r="1230" spans="1:2">
      <c r="A1230">
        <v>50599901</v>
      </c>
      <c r="B1230" t="s">
        <v>1450</v>
      </c>
    </row>
    <row r="1231" spans="1:2">
      <c r="A1231">
        <v>50599902</v>
      </c>
      <c r="B1231" t="s">
        <v>1451</v>
      </c>
    </row>
    <row r="1232" spans="1:2">
      <c r="A1232">
        <v>50599903</v>
      </c>
      <c r="B1232" t="s">
        <v>1452</v>
      </c>
    </row>
    <row r="1233" spans="1:2">
      <c r="A1233">
        <v>50599904</v>
      </c>
      <c r="B1233" t="s">
        <v>1453</v>
      </c>
    </row>
    <row r="1234" spans="1:2">
      <c r="A1234">
        <v>50599905</v>
      </c>
      <c r="B1234" t="s">
        <v>1454</v>
      </c>
    </row>
    <row r="1235" spans="1:2">
      <c r="A1235">
        <v>50599906</v>
      </c>
      <c r="B1235" t="s">
        <v>1455</v>
      </c>
    </row>
    <row r="1236" spans="1:2">
      <c r="A1236">
        <v>50599907</v>
      </c>
      <c r="B1236" t="s">
        <v>1456</v>
      </c>
    </row>
    <row r="1237" spans="1:2">
      <c r="A1237">
        <v>50599908</v>
      </c>
      <c r="B1237" t="s">
        <v>1457</v>
      </c>
    </row>
    <row r="1238" spans="1:2">
      <c r="A1238">
        <v>50599909</v>
      </c>
      <c r="B1238" t="s">
        <v>1458</v>
      </c>
    </row>
    <row r="1239" spans="1:2">
      <c r="A1239">
        <v>50599910</v>
      </c>
      <c r="B1239" t="s">
        <v>1459</v>
      </c>
    </row>
    <row r="1240" spans="1:2">
      <c r="A1240">
        <v>50599911</v>
      </c>
      <c r="B1240" t="s">
        <v>1460</v>
      </c>
    </row>
    <row r="1241" spans="1:2">
      <c r="A1241">
        <v>50599912</v>
      </c>
      <c r="B1241" t="s">
        <v>1461</v>
      </c>
    </row>
    <row r="1242" spans="1:2">
      <c r="A1242">
        <v>50599913</v>
      </c>
      <c r="B1242" t="s">
        <v>1462</v>
      </c>
    </row>
    <row r="1243" spans="1:2">
      <c r="A1243">
        <v>50599914</v>
      </c>
      <c r="B1243" t="s">
        <v>1463</v>
      </c>
    </row>
    <row r="1244" spans="1:2">
      <c r="A1244">
        <v>50599915</v>
      </c>
      <c r="B1244" t="s">
        <v>1464</v>
      </c>
    </row>
    <row r="1245" spans="1:2">
      <c r="A1245">
        <v>50599916</v>
      </c>
      <c r="B1245" t="s">
        <v>1465</v>
      </c>
    </row>
    <row r="1246" spans="1:2">
      <c r="A1246">
        <v>50599917</v>
      </c>
      <c r="B1246" t="s">
        <v>1466</v>
      </c>
    </row>
    <row r="1247" spans="1:2">
      <c r="A1247">
        <v>50599918</v>
      </c>
      <c r="B1247" t="s">
        <v>1467</v>
      </c>
    </row>
    <row r="1248" spans="1:2">
      <c r="A1248">
        <v>50599919</v>
      </c>
      <c r="B1248" t="s">
        <v>1468</v>
      </c>
    </row>
    <row r="1249" spans="1:2">
      <c r="A1249">
        <v>50599920</v>
      </c>
      <c r="B1249" t="s">
        <v>1469</v>
      </c>
    </row>
    <row r="1250" spans="1:2">
      <c r="A1250">
        <v>50599921</v>
      </c>
      <c r="B1250" t="s">
        <v>1470</v>
      </c>
    </row>
    <row r="1251" spans="1:2">
      <c r="A1251">
        <v>50599922</v>
      </c>
      <c r="B1251" t="s">
        <v>1471</v>
      </c>
    </row>
    <row r="1252" spans="1:2">
      <c r="A1252">
        <v>50599923</v>
      </c>
      <c r="B1252" t="s">
        <v>1472</v>
      </c>
    </row>
    <row r="1253" spans="1:2">
      <c r="A1253">
        <v>50599924</v>
      </c>
      <c r="B1253" t="s">
        <v>1473</v>
      </c>
    </row>
    <row r="1254" spans="1:2">
      <c r="A1254">
        <v>50599925</v>
      </c>
      <c r="B1254" t="s">
        <v>1474</v>
      </c>
    </row>
    <row r="1255" spans="1:2">
      <c r="A1255">
        <v>50599926</v>
      </c>
      <c r="B1255" t="s">
        <v>1475</v>
      </c>
    </row>
    <row r="1256" spans="1:2">
      <c r="A1256">
        <v>50599927</v>
      </c>
      <c r="B1256" t="s">
        <v>1476</v>
      </c>
    </row>
    <row r="1257" spans="1:2">
      <c r="A1257">
        <v>50500310</v>
      </c>
      <c r="B1257" t="s">
        <v>1425</v>
      </c>
    </row>
    <row r="1258" spans="1:2">
      <c r="A1258">
        <v>50500311</v>
      </c>
      <c r="B1258" t="s">
        <v>1426</v>
      </c>
    </row>
    <row r="1259" spans="1:2">
      <c r="A1259">
        <v>50500312</v>
      </c>
      <c r="B1259" t="s">
        <v>1427</v>
      </c>
    </row>
    <row r="1260" spans="1:2">
      <c r="A1260">
        <v>50500313</v>
      </c>
      <c r="B1260" t="s">
        <v>1428</v>
      </c>
    </row>
    <row r="1261" spans="1:2">
      <c r="A1261">
        <v>50500314</v>
      </c>
      <c r="B1261" t="s">
        <v>1429</v>
      </c>
    </row>
    <row r="1262" spans="1:2">
      <c r="A1262">
        <v>50500315</v>
      </c>
      <c r="B1262" t="s">
        <v>1430</v>
      </c>
    </row>
    <row r="1263" spans="1:2">
      <c r="A1263">
        <v>50500316</v>
      </c>
      <c r="B1263" t="s">
        <v>1431</v>
      </c>
    </row>
    <row r="1264" spans="1:2">
      <c r="A1264">
        <v>50500317</v>
      </c>
      <c r="B1264" t="s">
        <v>1432</v>
      </c>
    </row>
    <row r="1265" spans="1:2">
      <c r="A1265">
        <v>50500410</v>
      </c>
      <c r="B1265" t="s">
        <v>1442</v>
      </c>
    </row>
    <row r="1266" spans="1:2">
      <c r="A1266">
        <v>50500411</v>
      </c>
      <c r="B1266" t="s">
        <v>1443</v>
      </c>
    </row>
    <row r="1267" spans="1:2">
      <c r="A1267">
        <v>50500412</v>
      </c>
      <c r="B1267" t="s">
        <v>1444</v>
      </c>
    </row>
    <row r="1268" spans="1:2">
      <c r="A1268">
        <v>50500413</v>
      </c>
      <c r="B1268" t="s">
        <v>1445</v>
      </c>
    </row>
    <row r="1269" spans="1:2">
      <c r="A1269">
        <v>50500414</v>
      </c>
      <c r="B1269" t="s">
        <v>1446</v>
      </c>
    </row>
    <row r="1270" spans="1:2">
      <c r="A1270">
        <v>50500415</v>
      </c>
      <c r="B1270" t="s">
        <v>1447</v>
      </c>
    </row>
    <row r="1271" spans="1:2">
      <c r="A1271">
        <v>50500416</v>
      </c>
      <c r="B1271" t="s">
        <v>1448</v>
      </c>
    </row>
    <row r="1272" spans="1:2">
      <c r="A1272">
        <v>50500417</v>
      </c>
      <c r="B1272" t="s">
        <v>1449</v>
      </c>
    </row>
    <row r="1273" spans="1:2">
      <c r="A1273">
        <v>50599928</v>
      </c>
      <c r="B1273" t="s">
        <v>1477</v>
      </c>
    </row>
    <row r="1274" spans="1:2">
      <c r="A1274">
        <v>50599929</v>
      </c>
      <c r="B1274" t="s">
        <v>1478</v>
      </c>
    </row>
    <row r="1275" spans="1:2">
      <c r="A1275">
        <v>50599930</v>
      </c>
      <c r="B1275" t="s">
        <v>1479</v>
      </c>
    </row>
    <row r="1276" spans="1:2">
      <c r="A1276">
        <v>50599931</v>
      </c>
      <c r="B1276" t="s">
        <v>1480</v>
      </c>
    </row>
    <row r="1277" spans="1:2">
      <c r="A1277">
        <v>50599932</v>
      </c>
      <c r="B1277" t="s">
        <v>1481</v>
      </c>
    </row>
    <row r="1278" spans="1:2">
      <c r="A1278">
        <v>50599933</v>
      </c>
      <c r="B1278" t="s">
        <v>1482</v>
      </c>
    </row>
    <row r="1279" spans="1:2">
      <c r="A1279">
        <v>50599934</v>
      </c>
      <c r="B1279" t="s">
        <v>1483</v>
      </c>
    </row>
    <row r="1280" spans="1:2">
      <c r="A1280">
        <v>50599935</v>
      </c>
      <c r="B1280" t="s">
        <v>1484</v>
      </c>
    </row>
    <row r="1281" spans="1:2">
      <c r="A1281">
        <v>51000501</v>
      </c>
      <c r="B1281" t="s">
        <v>1485</v>
      </c>
    </row>
    <row r="1282" spans="1:2">
      <c r="A1282">
        <v>51000502</v>
      </c>
      <c r="B1282" t="s">
        <v>1486</v>
      </c>
    </row>
    <row r="1283" spans="1:2">
      <c r="A1283">
        <v>51000503</v>
      </c>
      <c r="B1283" t="s">
        <v>1487</v>
      </c>
    </row>
    <row r="1284" spans="1:2">
      <c r="A1284">
        <v>51000504</v>
      </c>
      <c r="B1284" t="s">
        <v>1488</v>
      </c>
    </row>
    <row r="1285" spans="1:2">
      <c r="A1285">
        <v>51000505</v>
      </c>
      <c r="B1285" t="s">
        <v>1489</v>
      </c>
    </row>
    <row r="1286" spans="1:2">
      <c r="A1286">
        <v>51000506</v>
      </c>
      <c r="B1286" t="s">
        <v>1490</v>
      </c>
    </row>
    <row r="1287" spans="1:2">
      <c r="A1287">
        <v>51000507</v>
      </c>
      <c r="B1287" t="s">
        <v>1491</v>
      </c>
    </row>
    <row r="1288" spans="1:2">
      <c r="A1288">
        <v>51000508</v>
      </c>
      <c r="B1288" t="s">
        <v>1492</v>
      </c>
    </row>
    <row r="1289" spans="1:2">
      <c r="A1289">
        <v>51000509</v>
      </c>
      <c r="B1289" t="s">
        <v>1493</v>
      </c>
    </row>
    <row r="1290" spans="1:2">
      <c r="A1290">
        <v>51000510</v>
      </c>
      <c r="B1290" t="s">
        <v>1494</v>
      </c>
    </row>
    <row r="1291" spans="1:2">
      <c r="A1291">
        <v>51000511</v>
      </c>
      <c r="B1291" t="s">
        <v>1495</v>
      </c>
    </row>
    <row r="1292" spans="1:2">
      <c r="A1292">
        <v>51000512</v>
      </c>
      <c r="B1292" t="s">
        <v>1496</v>
      </c>
    </row>
    <row r="1293" spans="1:2">
      <c r="A1293">
        <v>51000513</v>
      </c>
      <c r="B1293" t="s">
        <v>1497</v>
      </c>
    </row>
    <row r="1294" spans="1:2">
      <c r="A1294">
        <v>51000514</v>
      </c>
      <c r="B1294" t="s">
        <v>1498</v>
      </c>
    </row>
    <row r="1295" spans="1:2">
      <c r="A1295">
        <v>51000515</v>
      </c>
      <c r="B1295" t="s">
        <v>1499</v>
      </c>
    </row>
    <row r="1296" spans="1:2">
      <c r="A1296">
        <v>51000516</v>
      </c>
      <c r="B1296" t="s">
        <v>1500</v>
      </c>
    </row>
    <row r="1297" spans="1:2">
      <c r="A1297">
        <v>51000517</v>
      </c>
      <c r="B1297" t="s">
        <v>1501</v>
      </c>
    </row>
    <row r="1298" spans="1:2">
      <c r="A1298">
        <v>51000518</v>
      </c>
      <c r="B1298" t="s">
        <v>1502</v>
      </c>
    </row>
    <row r="1299" spans="1:2">
      <c r="A1299">
        <v>51000519</v>
      </c>
      <c r="B1299" t="s">
        <v>1503</v>
      </c>
    </row>
    <row r="1300" spans="1:2">
      <c r="A1300">
        <v>51000520</v>
      </c>
      <c r="B1300" t="s">
        <v>1504</v>
      </c>
    </row>
    <row r="1301" spans="1:2">
      <c r="A1301">
        <v>51000521</v>
      </c>
      <c r="B1301" t="s">
        <v>1505</v>
      </c>
    </row>
    <row r="1302" spans="1:2">
      <c r="A1302">
        <v>51000522</v>
      </c>
      <c r="B1302" t="s">
        <v>1506</v>
      </c>
    </row>
    <row r="1303" spans="1:2">
      <c r="A1303">
        <v>51000523</v>
      </c>
      <c r="B1303" t="s">
        <v>1507</v>
      </c>
    </row>
    <row r="1304" spans="1:2">
      <c r="A1304">
        <v>51000524</v>
      </c>
      <c r="B1304" t="s">
        <v>1508</v>
      </c>
    </row>
    <row r="1305" spans="1:2">
      <c r="A1305">
        <v>51000525</v>
      </c>
      <c r="B1305" t="s">
        <v>1509</v>
      </c>
    </row>
    <row r="1306" spans="1:2">
      <c r="A1306">
        <v>51000526</v>
      </c>
      <c r="B1306" t="s">
        <v>1510</v>
      </c>
    </row>
    <row r="1307" spans="1:2">
      <c r="A1307">
        <v>51000527</v>
      </c>
      <c r="B1307" t="s">
        <v>1511</v>
      </c>
    </row>
    <row r="1308" spans="1:2">
      <c r="A1308">
        <v>51000528</v>
      </c>
      <c r="B1308" t="s">
        <v>1512</v>
      </c>
    </row>
    <row r="1309" spans="1:2">
      <c r="A1309">
        <v>51000529</v>
      </c>
      <c r="B1309" t="s">
        <v>1513</v>
      </c>
    </row>
    <row r="1310" spans="1:2">
      <c r="A1310">
        <v>51000530</v>
      </c>
      <c r="B1310" t="s">
        <v>1514</v>
      </c>
    </row>
    <row r="1311" spans="1:2">
      <c r="A1311">
        <v>51000531</v>
      </c>
      <c r="B1311" t="s">
        <v>1515</v>
      </c>
    </row>
    <row r="1312" spans="1:2">
      <c r="A1312">
        <v>51000532</v>
      </c>
      <c r="B1312" t="s">
        <v>1516</v>
      </c>
    </row>
    <row r="1313" spans="1:2">
      <c r="A1313">
        <v>52000601</v>
      </c>
      <c r="B1313" t="s">
        <v>1517</v>
      </c>
    </row>
    <row r="1314" spans="1:2">
      <c r="A1314">
        <v>52000602</v>
      </c>
      <c r="B1314" t="s">
        <v>1518</v>
      </c>
    </row>
    <row r="1315" spans="1:2">
      <c r="A1315">
        <v>52000603</v>
      </c>
      <c r="B1315" t="s">
        <v>1519</v>
      </c>
    </row>
    <row r="1316" spans="1:2">
      <c r="A1316">
        <v>52000604</v>
      </c>
      <c r="B1316" t="s">
        <v>1520</v>
      </c>
    </row>
    <row r="1317" spans="1:2">
      <c r="A1317">
        <v>52000605</v>
      </c>
      <c r="B1317" t="s">
        <v>1521</v>
      </c>
    </row>
    <row r="1318" spans="1:2">
      <c r="A1318">
        <v>52000606</v>
      </c>
      <c r="B1318" t="s">
        <v>1522</v>
      </c>
    </row>
    <row r="1319" spans="1:2">
      <c r="A1319">
        <v>52000607</v>
      </c>
      <c r="B1319" t="s">
        <v>1523</v>
      </c>
    </row>
    <row r="1320" spans="1:2">
      <c r="A1320">
        <v>52000608</v>
      </c>
      <c r="B1320" t="s">
        <v>1524</v>
      </c>
    </row>
    <row r="1321" spans="1:2">
      <c r="A1321">
        <v>52000609</v>
      </c>
      <c r="B1321" t="s">
        <v>1525</v>
      </c>
    </row>
    <row r="1322" spans="1:2">
      <c r="A1322">
        <v>52000610</v>
      </c>
      <c r="B1322" t="s">
        <v>1526</v>
      </c>
    </row>
    <row r="1323" spans="1:2">
      <c r="A1323">
        <v>52000611</v>
      </c>
      <c r="B1323" t="s">
        <v>1527</v>
      </c>
    </row>
    <row r="1324" spans="1:2">
      <c r="A1324">
        <v>52000612</v>
      </c>
      <c r="B1324" t="s">
        <v>1528</v>
      </c>
    </row>
    <row r="1325" spans="1:2">
      <c r="A1325">
        <v>52000613</v>
      </c>
      <c r="B1325" t="s">
        <v>1529</v>
      </c>
    </row>
    <row r="1326" spans="1:2">
      <c r="A1326">
        <v>52000614</v>
      </c>
      <c r="B1326" t="s">
        <v>1530</v>
      </c>
    </row>
    <row r="1327" spans="1:2">
      <c r="A1327">
        <v>52000615</v>
      </c>
      <c r="B1327" t="s">
        <v>1531</v>
      </c>
    </row>
    <row r="1328" spans="1:2">
      <c r="A1328">
        <v>52000616</v>
      </c>
      <c r="B1328" t="s">
        <v>1532</v>
      </c>
    </row>
    <row r="1329" spans="1:2">
      <c r="A1329">
        <v>52000617</v>
      </c>
      <c r="B1329" t="s">
        <v>1533</v>
      </c>
    </row>
    <row r="1330" spans="1:2">
      <c r="A1330">
        <v>52500701</v>
      </c>
      <c r="B1330" t="s">
        <v>1534</v>
      </c>
    </row>
    <row r="1331" spans="1:2">
      <c r="A1331">
        <v>52500702</v>
      </c>
      <c r="B1331" t="s">
        <v>1535</v>
      </c>
    </row>
    <row r="1332" spans="1:2">
      <c r="A1332">
        <v>52500703</v>
      </c>
      <c r="B1332" t="s">
        <v>1536</v>
      </c>
    </row>
    <row r="1333" spans="1:2">
      <c r="A1333">
        <v>52500704</v>
      </c>
      <c r="B1333" t="s">
        <v>1537</v>
      </c>
    </row>
    <row r="1334" spans="1:2">
      <c r="A1334">
        <v>52500705</v>
      </c>
      <c r="B1334" t="s">
        <v>1538</v>
      </c>
    </row>
    <row r="1335" spans="1:2">
      <c r="A1335">
        <v>52500706</v>
      </c>
      <c r="B1335" t="s">
        <v>1539</v>
      </c>
    </row>
    <row r="1336" spans="1:2">
      <c r="A1336">
        <v>52500707</v>
      </c>
      <c r="B1336" t="s">
        <v>1540</v>
      </c>
    </row>
    <row r="1337" spans="1:2">
      <c r="A1337">
        <v>52500708</v>
      </c>
      <c r="B1337" t="s">
        <v>1541</v>
      </c>
    </row>
    <row r="1338" spans="1:2">
      <c r="A1338">
        <v>52500709</v>
      </c>
      <c r="B1338" t="s">
        <v>1542</v>
      </c>
    </row>
    <row r="1339" spans="1:2">
      <c r="A1339">
        <v>52500710</v>
      </c>
      <c r="B1339" t="s">
        <v>1535</v>
      </c>
    </row>
    <row r="1340" spans="1:2">
      <c r="A1340">
        <v>52500711</v>
      </c>
      <c r="B1340" t="s">
        <v>1543</v>
      </c>
    </row>
    <row r="1341" spans="1:2">
      <c r="A1341">
        <v>52500712</v>
      </c>
      <c r="B1341" t="s">
        <v>1544</v>
      </c>
    </row>
    <row r="1342" spans="1:2">
      <c r="A1342">
        <v>52500713</v>
      </c>
      <c r="B1342" t="s">
        <v>1536</v>
      </c>
    </row>
    <row r="1343" spans="1:2">
      <c r="A1343">
        <v>52500714</v>
      </c>
      <c r="B1343" t="s">
        <v>1537</v>
      </c>
    </row>
    <row r="1344" spans="1:2">
      <c r="A1344">
        <v>52500715</v>
      </c>
      <c r="B1344" t="s">
        <v>1538</v>
      </c>
    </row>
    <row r="1345" spans="1:2">
      <c r="A1345">
        <v>52500716</v>
      </c>
      <c r="B1345" t="s">
        <v>1539</v>
      </c>
    </row>
    <row r="1346" spans="1:2">
      <c r="A1346">
        <v>52500801</v>
      </c>
      <c r="B1346" t="s">
        <v>1545</v>
      </c>
    </row>
    <row r="1347" spans="1:2">
      <c r="A1347">
        <v>52500802</v>
      </c>
      <c r="B1347" t="s">
        <v>1546</v>
      </c>
    </row>
    <row r="1348" spans="1:2">
      <c r="A1348">
        <v>52500803</v>
      </c>
      <c r="B1348" t="s">
        <v>1547</v>
      </c>
    </row>
    <row r="1349" spans="1:2">
      <c r="A1349">
        <v>52500804</v>
      </c>
      <c r="B1349" t="s">
        <v>1548</v>
      </c>
    </row>
    <row r="1350" spans="1:2">
      <c r="A1350">
        <v>52500805</v>
      </c>
      <c r="B1350" t="s">
        <v>1549</v>
      </c>
    </row>
    <row r="1351" spans="1:2">
      <c r="A1351">
        <v>52500806</v>
      </c>
      <c r="B1351" t="s">
        <v>1550</v>
      </c>
    </row>
    <row r="1352" spans="1:2">
      <c r="A1352">
        <v>53000901</v>
      </c>
      <c r="B1352" t="s">
        <v>1551</v>
      </c>
    </row>
    <row r="1353" spans="1:2">
      <c r="A1353">
        <v>53000902</v>
      </c>
      <c r="B1353" t="s">
        <v>1552</v>
      </c>
    </row>
    <row r="1354" spans="1:2">
      <c r="A1354">
        <v>53000903</v>
      </c>
      <c r="B1354" t="s">
        <v>1553</v>
      </c>
    </row>
    <row r="1355" spans="1:2">
      <c r="A1355">
        <v>53000904</v>
      </c>
      <c r="B1355" t="s">
        <v>1554</v>
      </c>
    </row>
    <row r="1356" spans="1:2">
      <c r="A1356">
        <v>53000905</v>
      </c>
      <c r="B1356" t="s">
        <v>1555</v>
      </c>
    </row>
    <row r="1357" spans="1:2">
      <c r="A1357">
        <v>53000906</v>
      </c>
      <c r="B1357" t="s">
        <v>1556</v>
      </c>
    </row>
    <row r="1358" spans="1:2">
      <c r="A1358">
        <v>59901001</v>
      </c>
      <c r="B1358" t="s">
        <v>1557</v>
      </c>
    </row>
    <row r="1359" spans="1:2">
      <c r="A1359" t="s">
        <v>1942</v>
      </c>
      <c r="B1359" t="s">
        <v>1943</v>
      </c>
    </row>
    <row r="1360" spans="1:2">
      <c r="A1360" t="s">
        <v>1944</v>
      </c>
      <c r="B1360" t="s">
        <v>1945</v>
      </c>
    </row>
    <row r="1361" spans="1:2">
      <c r="A1361" t="s">
        <v>1946</v>
      </c>
      <c r="B1361" t="s">
        <v>1947</v>
      </c>
    </row>
    <row r="1362" spans="1:2">
      <c r="A1362" t="s">
        <v>1948</v>
      </c>
      <c r="B1362" t="s">
        <v>1949</v>
      </c>
    </row>
    <row r="1363" spans="1:2">
      <c r="A1363" t="s">
        <v>1950</v>
      </c>
      <c r="B1363" t="s">
        <v>1951</v>
      </c>
    </row>
    <row r="1364" spans="1:2">
      <c r="A1364" t="s">
        <v>1952</v>
      </c>
      <c r="B1364" t="s">
        <v>1953</v>
      </c>
    </row>
    <row r="1365" spans="1:2">
      <c r="A1365" t="s">
        <v>1954</v>
      </c>
      <c r="B1365" t="s">
        <v>1955</v>
      </c>
    </row>
    <row r="1366" spans="1:2">
      <c r="A1366" t="s">
        <v>1956</v>
      </c>
      <c r="B1366" t="s">
        <v>1957</v>
      </c>
    </row>
    <row r="1367" spans="1:2">
      <c r="A1367" t="s">
        <v>1958</v>
      </c>
      <c r="B1367" t="s">
        <v>1959</v>
      </c>
    </row>
    <row r="1368" spans="1:2">
      <c r="A1368" t="s">
        <v>1960</v>
      </c>
      <c r="B1368" t="s">
        <v>1961</v>
      </c>
    </row>
    <row r="1369" spans="1:2">
      <c r="A1369" t="s">
        <v>1962</v>
      </c>
      <c r="B1369" t="s">
        <v>1963</v>
      </c>
    </row>
    <row r="1370" spans="1:2">
      <c r="A1370" t="s">
        <v>1964</v>
      </c>
      <c r="B1370" t="s">
        <v>1965</v>
      </c>
    </row>
    <row r="1371" spans="1:2">
      <c r="A1371" t="s">
        <v>1966</v>
      </c>
      <c r="B1371" t="s">
        <v>1967</v>
      </c>
    </row>
    <row r="1372" spans="1:2">
      <c r="A1372" t="s">
        <v>1968</v>
      </c>
      <c r="B1372" t="s">
        <v>1969</v>
      </c>
    </row>
    <row r="1373" spans="1:2">
      <c r="A1373" t="s">
        <v>1970</v>
      </c>
      <c r="B1373" t="s">
        <v>1971</v>
      </c>
    </row>
    <row r="1374" spans="1:2">
      <c r="A1374" t="s">
        <v>1972</v>
      </c>
      <c r="B1374" t="s">
        <v>1973</v>
      </c>
    </row>
    <row r="1375" spans="1:2">
      <c r="A1375" t="s">
        <v>1974</v>
      </c>
      <c r="B1375" t="s">
        <v>1975</v>
      </c>
    </row>
    <row r="1376" spans="1:2">
      <c r="A1376" t="s">
        <v>1976</v>
      </c>
      <c r="B1376" t="s">
        <v>1977</v>
      </c>
    </row>
    <row r="1377" spans="1:2">
      <c r="A1377">
        <v>60000001</v>
      </c>
      <c r="B1377" t="s">
        <v>1558</v>
      </c>
    </row>
    <row r="1378" spans="1:2">
      <c r="A1378">
        <v>70100101</v>
      </c>
      <c r="B1378" t="s">
        <v>1559</v>
      </c>
    </row>
    <row r="1379" spans="1:2">
      <c r="A1379">
        <v>70100201</v>
      </c>
      <c r="B1379" t="s">
        <v>1560</v>
      </c>
    </row>
    <row r="1380" spans="1:2">
      <c r="A1380">
        <v>70100301</v>
      </c>
      <c r="B1380" t="s">
        <v>1561</v>
      </c>
    </row>
    <row r="1381" spans="1:2">
      <c r="A1381">
        <v>70500101</v>
      </c>
      <c r="B1381" t="s">
        <v>1562</v>
      </c>
    </row>
    <row r="1382" spans="1:2">
      <c r="A1382">
        <v>70500201</v>
      </c>
      <c r="B1382" t="s">
        <v>1563</v>
      </c>
    </row>
    <row r="1383" spans="1:2">
      <c r="A1383">
        <v>70500301</v>
      </c>
      <c r="B1383" t="s">
        <v>2477</v>
      </c>
    </row>
    <row r="1384" spans="1:2">
      <c r="A1384">
        <v>71000101</v>
      </c>
      <c r="B1384" t="s">
        <v>1564</v>
      </c>
    </row>
    <row r="1385" spans="1:2">
      <c r="A1385">
        <v>71000201</v>
      </c>
      <c r="B1385" t="s">
        <v>1565</v>
      </c>
    </row>
    <row r="1386" spans="1:2">
      <c r="A1386">
        <v>71000301</v>
      </c>
      <c r="B1386" t="s">
        <v>1566</v>
      </c>
    </row>
    <row r="1387" spans="1:2">
      <c r="A1387">
        <v>71500101</v>
      </c>
      <c r="B1387" t="s">
        <v>1567</v>
      </c>
    </row>
    <row r="1388" spans="1:2">
      <c r="A1388">
        <v>71500201</v>
      </c>
      <c r="B1388" t="s">
        <v>1568</v>
      </c>
    </row>
    <row r="1389" spans="1:2">
      <c r="A1389">
        <v>71500301</v>
      </c>
      <c r="B1389" t="s">
        <v>1569</v>
      </c>
    </row>
    <row r="1390" spans="1:2">
      <c r="A1390">
        <v>72000101</v>
      </c>
      <c r="B1390" t="s">
        <v>1570</v>
      </c>
    </row>
    <row r="1391" spans="1:2">
      <c r="A1391">
        <v>72000201</v>
      </c>
      <c r="B1391" t="s">
        <v>1571</v>
      </c>
    </row>
    <row r="1392" spans="1:2">
      <c r="A1392">
        <v>72000301</v>
      </c>
      <c r="B1392" t="s">
        <v>1572</v>
      </c>
    </row>
    <row r="1393" spans="1:2">
      <c r="A1393">
        <v>72500101</v>
      </c>
      <c r="B1393" t="s">
        <v>2478</v>
      </c>
    </row>
    <row r="1394" spans="1:2">
      <c r="A1394">
        <v>72500201</v>
      </c>
      <c r="B1394" t="s">
        <v>2479</v>
      </c>
    </row>
    <row r="1395" spans="1:2">
      <c r="A1395">
        <v>72500301</v>
      </c>
      <c r="B1395" t="s">
        <v>1573</v>
      </c>
    </row>
    <row r="1396" spans="1:2">
      <c r="A1396">
        <v>90100401</v>
      </c>
      <c r="B1396" t="s">
        <v>1574</v>
      </c>
    </row>
    <row r="1397" spans="1:2">
      <c r="A1397">
        <v>90100501</v>
      </c>
      <c r="B1397" t="s">
        <v>1575</v>
      </c>
    </row>
    <row r="1398" spans="1:2">
      <c r="A1398">
        <v>90100601</v>
      </c>
      <c r="B1398" t="s">
        <v>1576</v>
      </c>
    </row>
    <row r="1399" spans="1:2">
      <c r="A1399">
        <v>90199901</v>
      </c>
      <c r="B1399" t="s">
        <v>1577</v>
      </c>
    </row>
    <row r="1400" spans="1:2">
      <c r="A1400">
        <v>90501001</v>
      </c>
      <c r="B1400" t="s">
        <v>1578</v>
      </c>
    </row>
    <row r="1401" spans="1:2">
      <c r="A1401">
        <v>90501002</v>
      </c>
      <c r="B1401" t="s">
        <v>1579</v>
      </c>
    </row>
    <row r="1402" spans="1:2">
      <c r="A1402">
        <v>90501003</v>
      </c>
      <c r="B1402" t="s">
        <v>1580</v>
      </c>
    </row>
    <row r="1403" spans="1:2">
      <c r="A1403">
        <v>90501004</v>
      </c>
      <c r="B1403" t="s">
        <v>1581</v>
      </c>
    </row>
    <row r="1404" spans="1:2">
      <c r="A1404">
        <v>90501005</v>
      </c>
      <c r="B1404" t="s">
        <v>1582</v>
      </c>
    </row>
    <row r="1405" spans="1:2">
      <c r="A1405">
        <v>90501006</v>
      </c>
      <c r="B1405" t="s">
        <v>1583</v>
      </c>
    </row>
    <row r="1406" spans="1:2">
      <c r="A1406">
        <v>90501007</v>
      </c>
      <c r="B1406" t="s">
        <v>1584</v>
      </c>
    </row>
    <row r="1407" spans="1:2">
      <c r="A1407">
        <v>90501008</v>
      </c>
      <c r="B1407" t="s">
        <v>1585</v>
      </c>
    </row>
    <row r="1408" spans="1:2">
      <c r="A1408">
        <v>90501009</v>
      </c>
      <c r="B1408" t="s">
        <v>1586</v>
      </c>
    </row>
    <row r="1409" spans="1:2">
      <c r="A1409">
        <v>90501101</v>
      </c>
      <c r="B1409" t="s">
        <v>1603</v>
      </c>
    </row>
    <row r="1410" spans="1:2">
      <c r="A1410">
        <v>90501102</v>
      </c>
      <c r="B1410" t="s">
        <v>1604</v>
      </c>
    </row>
    <row r="1411" spans="1:2">
      <c r="A1411">
        <v>90501103</v>
      </c>
      <c r="B1411" t="s">
        <v>1605</v>
      </c>
    </row>
    <row r="1412" spans="1:2">
      <c r="A1412">
        <v>90501104</v>
      </c>
      <c r="B1412" t="s">
        <v>1606</v>
      </c>
    </row>
    <row r="1413" spans="1:2">
      <c r="A1413">
        <v>90501105</v>
      </c>
      <c r="B1413" t="s">
        <v>1607</v>
      </c>
    </row>
    <row r="1414" spans="1:2">
      <c r="A1414">
        <v>90501106</v>
      </c>
      <c r="B1414" t="s">
        <v>1608</v>
      </c>
    </row>
    <row r="1415" spans="1:2">
      <c r="A1415">
        <v>90501107</v>
      </c>
      <c r="B1415" t="s">
        <v>1609</v>
      </c>
    </row>
    <row r="1416" spans="1:2">
      <c r="A1416">
        <v>90501108</v>
      </c>
      <c r="B1416" t="s">
        <v>1610</v>
      </c>
    </row>
    <row r="1417" spans="1:2">
      <c r="A1417">
        <v>90501109</v>
      </c>
      <c r="B1417" t="s">
        <v>1611</v>
      </c>
    </row>
    <row r="1418" spans="1:2">
      <c r="A1418">
        <v>90501201</v>
      </c>
      <c r="B1418" t="s">
        <v>1613</v>
      </c>
    </row>
    <row r="1419" spans="1:2">
      <c r="A1419">
        <v>90501202</v>
      </c>
      <c r="B1419" t="s">
        <v>1614</v>
      </c>
    </row>
    <row r="1420" spans="1:2">
      <c r="A1420">
        <v>90501203</v>
      </c>
      <c r="B1420" t="s">
        <v>1615</v>
      </c>
    </row>
    <row r="1421" spans="1:2">
      <c r="A1421">
        <v>90501204</v>
      </c>
      <c r="B1421" t="s">
        <v>1616</v>
      </c>
    </row>
    <row r="1422" spans="1:2">
      <c r="A1422">
        <v>90501205</v>
      </c>
      <c r="B1422" t="s">
        <v>1617</v>
      </c>
    </row>
    <row r="1423" spans="1:2">
      <c r="A1423">
        <v>90501206</v>
      </c>
      <c r="B1423" t="s">
        <v>1618</v>
      </c>
    </row>
    <row r="1424" spans="1:2">
      <c r="A1424">
        <v>90501207</v>
      </c>
      <c r="B1424" t="s">
        <v>1619</v>
      </c>
    </row>
    <row r="1425" spans="1:2">
      <c r="A1425">
        <v>90501208</v>
      </c>
      <c r="B1425" t="s">
        <v>1620</v>
      </c>
    </row>
    <row r="1426" spans="1:2">
      <c r="A1426">
        <v>90501209</v>
      </c>
      <c r="B1426" t="s">
        <v>1621</v>
      </c>
    </row>
    <row r="1427" spans="1:2">
      <c r="A1427">
        <v>90501301</v>
      </c>
      <c r="B1427" t="s">
        <v>1622</v>
      </c>
    </row>
    <row r="1428" spans="1:2">
      <c r="A1428">
        <v>90501302</v>
      </c>
      <c r="B1428" t="s">
        <v>1623</v>
      </c>
    </row>
    <row r="1429" spans="1:2">
      <c r="A1429">
        <v>90501303</v>
      </c>
      <c r="B1429" t="s">
        <v>1624</v>
      </c>
    </row>
    <row r="1430" spans="1:2">
      <c r="A1430">
        <v>90501304</v>
      </c>
      <c r="B1430" t="s">
        <v>1625</v>
      </c>
    </row>
    <row r="1431" spans="1:2">
      <c r="A1431">
        <v>90501305</v>
      </c>
      <c r="B1431" t="s">
        <v>1626</v>
      </c>
    </row>
    <row r="1432" spans="1:2">
      <c r="A1432">
        <v>90501306</v>
      </c>
      <c r="B1432" t="s">
        <v>1627</v>
      </c>
    </row>
    <row r="1433" spans="1:2">
      <c r="A1433">
        <v>90501307</v>
      </c>
      <c r="B1433" t="s">
        <v>1628</v>
      </c>
    </row>
    <row r="1434" spans="1:2">
      <c r="A1434">
        <v>90501308</v>
      </c>
      <c r="B1434" t="s">
        <v>1629</v>
      </c>
    </row>
    <row r="1435" spans="1:2">
      <c r="A1435">
        <v>90501309</v>
      </c>
      <c r="B1435" t="s">
        <v>1630</v>
      </c>
    </row>
    <row r="1436" spans="1:2">
      <c r="A1436">
        <v>90599901</v>
      </c>
      <c r="B1436" t="s">
        <v>1632</v>
      </c>
    </row>
    <row r="1437" spans="1:2">
      <c r="A1437">
        <v>90599902</v>
      </c>
      <c r="B1437" t="s">
        <v>1633</v>
      </c>
    </row>
    <row r="1438" spans="1:2">
      <c r="A1438">
        <v>90599903</v>
      </c>
      <c r="B1438" t="s">
        <v>1634</v>
      </c>
    </row>
    <row r="1439" spans="1:2">
      <c r="A1439">
        <v>90599904</v>
      </c>
      <c r="B1439" t="s">
        <v>1635</v>
      </c>
    </row>
    <row r="1440" spans="1:2">
      <c r="A1440">
        <v>90599905</v>
      </c>
      <c r="B1440" t="s">
        <v>1636</v>
      </c>
    </row>
    <row r="1441" spans="1:2">
      <c r="A1441">
        <v>90599906</v>
      </c>
      <c r="B1441" t="s">
        <v>1637</v>
      </c>
    </row>
    <row r="1442" spans="1:2">
      <c r="A1442">
        <v>90599907</v>
      </c>
      <c r="B1442" t="s">
        <v>1638</v>
      </c>
    </row>
    <row r="1443" spans="1:2">
      <c r="A1443">
        <v>90599908</v>
      </c>
      <c r="B1443" t="s">
        <v>1639</v>
      </c>
    </row>
    <row r="1444" spans="1:2">
      <c r="A1444">
        <v>90599909</v>
      </c>
      <c r="B1444" t="s">
        <v>1640</v>
      </c>
    </row>
    <row r="1445" spans="1:2">
      <c r="A1445">
        <v>90599910</v>
      </c>
      <c r="B1445" t="s">
        <v>1641</v>
      </c>
    </row>
    <row r="1446" spans="1:2">
      <c r="A1446">
        <v>90599911</v>
      </c>
      <c r="B1446" t="s">
        <v>1642</v>
      </c>
    </row>
    <row r="1447" spans="1:2">
      <c r="A1447">
        <v>90599912</v>
      </c>
      <c r="B1447" t="s">
        <v>1643</v>
      </c>
    </row>
    <row r="1448" spans="1:2">
      <c r="A1448">
        <v>90599913</v>
      </c>
      <c r="B1448" t="s">
        <v>1644</v>
      </c>
    </row>
    <row r="1449" spans="1:2">
      <c r="A1449">
        <v>90599914</v>
      </c>
      <c r="B1449" t="s">
        <v>1645</v>
      </c>
    </row>
    <row r="1450" spans="1:2">
      <c r="A1450">
        <v>90599915</v>
      </c>
      <c r="B1450" t="s">
        <v>1646</v>
      </c>
    </row>
    <row r="1451" spans="1:2">
      <c r="A1451">
        <v>90599916</v>
      </c>
      <c r="B1451" t="s">
        <v>1647</v>
      </c>
    </row>
    <row r="1452" spans="1:2">
      <c r="A1452">
        <v>90599917</v>
      </c>
      <c r="B1452" t="s">
        <v>1648</v>
      </c>
    </row>
    <row r="1453" spans="1:2">
      <c r="A1453">
        <v>90599918</v>
      </c>
      <c r="B1453" t="s">
        <v>1649</v>
      </c>
    </row>
    <row r="1454" spans="1:2">
      <c r="A1454">
        <v>90599919</v>
      </c>
      <c r="B1454" t="s">
        <v>1650</v>
      </c>
    </row>
    <row r="1455" spans="1:2">
      <c r="A1455">
        <v>90599920</v>
      </c>
      <c r="B1455" t="s">
        <v>1651</v>
      </c>
    </row>
    <row r="1456" spans="1:2">
      <c r="A1456">
        <v>90599921</v>
      </c>
      <c r="B1456" t="s">
        <v>1652</v>
      </c>
    </row>
    <row r="1457" spans="1:2">
      <c r="A1457">
        <v>90599922</v>
      </c>
      <c r="B1457" t="s">
        <v>1653</v>
      </c>
    </row>
    <row r="1458" spans="1:2">
      <c r="A1458">
        <v>90599923</v>
      </c>
      <c r="B1458" t="s">
        <v>1654</v>
      </c>
    </row>
    <row r="1459" spans="1:2">
      <c r="A1459">
        <v>90599924</v>
      </c>
      <c r="B1459" t="s">
        <v>1655</v>
      </c>
    </row>
    <row r="1460" spans="1:2">
      <c r="A1460">
        <v>90599925</v>
      </c>
      <c r="B1460" t="s">
        <v>1656</v>
      </c>
    </row>
    <row r="1461" spans="1:2">
      <c r="A1461">
        <v>90599926</v>
      </c>
      <c r="B1461" t="s">
        <v>1657</v>
      </c>
    </row>
    <row r="1462" spans="1:2">
      <c r="A1462">
        <v>90599927</v>
      </c>
      <c r="B1462" t="s">
        <v>1658</v>
      </c>
    </row>
    <row r="1463" spans="1:2">
      <c r="A1463">
        <v>90501010</v>
      </c>
      <c r="B1463" t="s">
        <v>1587</v>
      </c>
    </row>
    <row r="1464" spans="1:2">
      <c r="A1464">
        <v>90501011</v>
      </c>
      <c r="B1464" t="s">
        <v>1588</v>
      </c>
    </row>
    <row r="1465" spans="1:2">
      <c r="A1465">
        <v>90501012</v>
      </c>
      <c r="B1465" t="s">
        <v>1589</v>
      </c>
    </row>
    <row r="1466" spans="1:2">
      <c r="A1466">
        <v>90501013</v>
      </c>
      <c r="B1466" t="s">
        <v>1590</v>
      </c>
    </row>
    <row r="1467" spans="1:2">
      <c r="A1467">
        <v>90501014</v>
      </c>
      <c r="B1467" t="s">
        <v>1591</v>
      </c>
    </row>
    <row r="1468" spans="1:2">
      <c r="A1468">
        <v>90501015</v>
      </c>
      <c r="B1468" t="s">
        <v>1592</v>
      </c>
    </row>
    <row r="1469" spans="1:2">
      <c r="A1469">
        <v>90501016</v>
      </c>
      <c r="B1469" t="s">
        <v>1593</v>
      </c>
    </row>
    <row r="1470" spans="1:2">
      <c r="A1470">
        <v>90501017</v>
      </c>
      <c r="B1470" t="s">
        <v>1594</v>
      </c>
    </row>
    <row r="1471" spans="1:2">
      <c r="A1471">
        <v>90501018</v>
      </c>
      <c r="B1471" t="s">
        <v>1595</v>
      </c>
    </row>
    <row r="1472" spans="1:2">
      <c r="A1472">
        <v>90501019</v>
      </c>
      <c r="B1472" t="s">
        <v>1596</v>
      </c>
    </row>
    <row r="1473" spans="1:2">
      <c r="A1473">
        <v>90501020</v>
      </c>
      <c r="B1473" t="s">
        <v>1597</v>
      </c>
    </row>
    <row r="1474" spans="1:2">
      <c r="A1474">
        <v>90501021</v>
      </c>
      <c r="B1474" t="s">
        <v>1598</v>
      </c>
    </row>
    <row r="1475" spans="1:2">
      <c r="A1475">
        <v>90501022</v>
      </c>
      <c r="B1475" t="s">
        <v>1599</v>
      </c>
    </row>
    <row r="1476" spans="1:2">
      <c r="A1476">
        <v>90501023</v>
      </c>
      <c r="B1476" t="s">
        <v>1600</v>
      </c>
    </row>
    <row r="1477" spans="1:2">
      <c r="A1477">
        <v>90501024</v>
      </c>
      <c r="B1477" t="s">
        <v>1601</v>
      </c>
    </row>
    <row r="1478" spans="1:2">
      <c r="A1478">
        <v>90501025</v>
      </c>
      <c r="B1478" t="s">
        <v>1602</v>
      </c>
    </row>
    <row r="1479" spans="1:2">
      <c r="A1479">
        <v>90501110</v>
      </c>
      <c r="B1479" t="s">
        <v>1587</v>
      </c>
    </row>
    <row r="1480" spans="1:2">
      <c r="A1480">
        <v>90501111</v>
      </c>
      <c r="B1480" t="s">
        <v>1588</v>
      </c>
    </row>
    <row r="1481" spans="1:2">
      <c r="A1481">
        <v>90501112</v>
      </c>
      <c r="B1481" t="s">
        <v>1589</v>
      </c>
    </row>
    <row r="1482" spans="1:2">
      <c r="A1482">
        <v>90501113</v>
      </c>
      <c r="B1482" t="s">
        <v>1612</v>
      </c>
    </row>
    <row r="1483" spans="1:2">
      <c r="A1483">
        <v>90501114</v>
      </c>
      <c r="B1483" t="s">
        <v>1591</v>
      </c>
    </row>
    <row r="1484" spans="1:2">
      <c r="A1484">
        <v>90501115</v>
      </c>
      <c r="B1484" t="s">
        <v>1592</v>
      </c>
    </row>
    <row r="1485" spans="1:2">
      <c r="A1485">
        <v>90501116</v>
      </c>
      <c r="B1485" t="s">
        <v>1593</v>
      </c>
    </row>
    <row r="1486" spans="1:2">
      <c r="A1486">
        <v>90501117</v>
      </c>
      <c r="B1486" t="s">
        <v>1594</v>
      </c>
    </row>
    <row r="1487" spans="1:2">
      <c r="A1487">
        <v>90501118</v>
      </c>
      <c r="B1487" t="s">
        <v>1595</v>
      </c>
    </row>
    <row r="1488" spans="1:2">
      <c r="A1488">
        <v>90501119</v>
      </c>
      <c r="B1488" t="s">
        <v>1596</v>
      </c>
    </row>
    <row r="1489" spans="1:2">
      <c r="A1489">
        <v>90501120</v>
      </c>
      <c r="B1489" t="s">
        <v>1597</v>
      </c>
    </row>
    <row r="1490" spans="1:2">
      <c r="A1490">
        <v>90501121</v>
      </c>
      <c r="B1490" t="s">
        <v>1598</v>
      </c>
    </row>
    <row r="1491" spans="1:2">
      <c r="A1491">
        <v>90501122</v>
      </c>
      <c r="B1491" t="s">
        <v>1599</v>
      </c>
    </row>
    <row r="1492" spans="1:2">
      <c r="A1492">
        <v>90501123</v>
      </c>
      <c r="B1492" t="s">
        <v>1600</v>
      </c>
    </row>
    <row r="1493" spans="1:2">
      <c r="A1493">
        <v>90501124</v>
      </c>
      <c r="B1493" t="s">
        <v>1601</v>
      </c>
    </row>
    <row r="1494" spans="1:2">
      <c r="A1494">
        <v>90501125</v>
      </c>
      <c r="B1494" t="s">
        <v>1602</v>
      </c>
    </row>
    <row r="1495" spans="1:2">
      <c r="A1495">
        <v>90501210</v>
      </c>
      <c r="B1495" t="s">
        <v>1587</v>
      </c>
    </row>
    <row r="1496" spans="1:2">
      <c r="A1496">
        <v>90501211</v>
      </c>
      <c r="B1496" t="s">
        <v>1588</v>
      </c>
    </row>
    <row r="1497" spans="1:2">
      <c r="A1497">
        <v>90501212</v>
      </c>
      <c r="B1497" t="s">
        <v>1589</v>
      </c>
    </row>
    <row r="1498" spans="1:2">
      <c r="A1498">
        <v>90501213</v>
      </c>
      <c r="B1498" t="s">
        <v>1612</v>
      </c>
    </row>
    <row r="1499" spans="1:2">
      <c r="A1499">
        <v>90501214</v>
      </c>
      <c r="B1499" t="s">
        <v>1591</v>
      </c>
    </row>
    <row r="1500" spans="1:2">
      <c r="A1500">
        <v>90501215</v>
      </c>
      <c r="B1500" t="s">
        <v>1592</v>
      </c>
    </row>
    <row r="1501" spans="1:2">
      <c r="A1501">
        <v>90501216</v>
      </c>
      <c r="B1501" t="s">
        <v>1593</v>
      </c>
    </row>
    <row r="1502" spans="1:2">
      <c r="A1502">
        <v>90501217</v>
      </c>
      <c r="B1502" t="s">
        <v>1594</v>
      </c>
    </row>
    <row r="1503" spans="1:2">
      <c r="A1503">
        <v>90501218</v>
      </c>
      <c r="B1503" t="s">
        <v>1595</v>
      </c>
    </row>
    <row r="1504" spans="1:2">
      <c r="A1504">
        <v>90501219</v>
      </c>
      <c r="B1504" t="s">
        <v>1596</v>
      </c>
    </row>
    <row r="1505" spans="1:2">
      <c r="A1505">
        <v>90501220</v>
      </c>
      <c r="B1505" t="s">
        <v>1597</v>
      </c>
    </row>
    <row r="1506" spans="1:2">
      <c r="A1506">
        <v>90501221</v>
      </c>
      <c r="B1506" t="s">
        <v>1598</v>
      </c>
    </row>
    <row r="1507" spans="1:2">
      <c r="A1507">
        <v>90501222</v>
      </c>
      <c r="B1507" t="s">
        <v>1599</v>
      </c>
    </row>
    <row r="1508" spans="1:2">
      <c r="A1508">
        <v>90501223</v>
      </c>
      <c r="B1508" t="s">
        <v>1600</v>
      </c>
    </row>
    <row r="1509" spans="1:2">
      <c r="A1509">
        <v>90501224</v>
      </c>
      <c r="B1509" t="s">
        <v>1601</v>
      </c>
    </row>
    <row r="1510" spans="1:2">
      <c r="A1510">
        <v>90501225</v>
      </c>
      <c r="B1510" t="s">
        <v>1602</v>
      </c>
    </row>
    <row r="1511" spans="1:2">
      <c r="A1511">
        <v>90501310</v>
      </c>
      <c r="B1511" t="s">
        <v>1587</v>
      </c>
    </row>
    <row r="1512" spans="1:2">
      <c r="A1512">
        <v>90501311</v>
      </c>
      <c r="B1512" t="s">
        <v>1588</v>
      </c>
    </row>
    <row r="1513" spans="1:2">
      <c r="A1513">
        <v>90501312</v>
      </c>
      <c r="B1513" t="s">
        <v>1589</v>
      </c>
    </row>
    <row r="1514" spans="1:2">
      <c r="A1514">
        <v>90501313</v>
      </c>
      <c r="B1514" t="s">
        <v>1631</v>
      </c>
    </row>
    <row r="1515" spans="1:2">
      <c r="A1515">
        <v>90501314</v>
      </c>
      <c r="B1515" t="s">
        <v>1591</v>
      </c>
    </row>
    <row r="1516" spans="1:2">
      <c r="A1516">
        <v>90501315</v>
      </c>
      <c r="B1516" t="s">
        <v>1592</v>
      </c>
    </row>
    <row r="1517" spans="1:2">
      <c r="A1517">
        <v>90501316</v>
      </c>
      <c r="B1517" t="s">
        <v>1593</v>
      </c>
    </row>
    <row r="1518" spans="1:2">
      <c r="A1518">
        <v>90501317</v>
      </c>
      <c r="B1518" t="s">
        <v>1594</v>
      </c>
    </row>
    <row r="1519" spans="1:2">
      <c r="A1519">
        <v>90501318</v>
      </c>
      <c r="B1519" t="s">
        <v>1595</v>
      </c>
    </row>
    <row r="1520" spans="1:2">
      <c r="A1520">
        <v>90501319</v>
      </c>
      <c r="B1520" t="s">
        <v>1596</v>
      </c>
    </row>
    <row r="1521" spans="1:2">
      <c r="A1521">
        <v>90501320</v>
      </c>
      <c r="B1521" t="s">
        <v>1597</v>
      </c>
    </row>
    <row r="1522" spans="1:2">
      <c r="A1522">
        <v>90501321</v>
      </c>
      <c r="B1522" t="s">
        <v>1598</v>
      </c>
    </row>
    <row r="1523" spans="1:2">
      <c r="A1523">
        <v>90501322</v>
      </c>
      <c r="B1523" t="s">
        <v>1599</v>
      </c>
    </row>
    <row r="1524" spans="1:2">
      <c r="A1524">
        <v>90501323</v>
      </c>
      <c r="B1524" t="s">
        <v>1600</v>
      </c>
    </row>
    <row r="1525" spans="1:2">
      <c r="A1525">
        <v>90501324</v>
      </c>
      <c r="B1525" t="s">
        <v>1601</v>
      </c>
    </row>
    <row r="1526" spans="1:2">
      <c r="A1526">
        <v>90501325</v>
      </c>
      <c r="B1526" t="s">
        <v>1602</v>
      </c>
    </row>
    <row r="1527" spans="1:2">
      <c r="A1527">
        <v>90599928</v>
      </c>
      <c r="B1527" t="s">
        <v>2480</v>
      </c>
    </row>
    <row r="1528" spans="1:2">
      <c r="A1528">
        <v>90599929</v>
      </c>
      <c r="B1528" t="s">
        <v>1659</v>
      </c>
    </row>
    <row r="1529" spans="1:2">
      <c r="A1529">
        <v>90599930</v>
      </c>
      <c r="B1529" t="s">
        <v>1660</v>
      </c>
    </row>
    <row r="1530" spans="1:2">
      <c r="A1530">
        <v>90599931</v>
      </c>
      <c r="B1530" t="s">
        <v>1661</v>
      </c>
    </row>
    <row r="1531" spans="1:2">
      <c r="A1531">
        <v>90599932</v>
      </c>
      <c r="B1531" t="s">
        <v>1662</v>
      </c>
    </row>
    <row r="1532" spans="1:2">
      <c r="A1532">
        <v>90599933</v>
      </c>
      <c r="B1532" t="s">
        <v>1663</v>
      </c>
    </row>
    <row r="1533" spans="1:2">
      <c r="A1533">
        <v>90599934</v>
      </c>
      <c r="B1533" t="s">
        <v>1664</v>
      </c>
    </row>
    <row r="1534" spans="1:2">
      <c r="A1534">
        <v>90599935</v>
      </c>
      <c r="B1534" t="s">
        <v>1665</v>
      </c>
    </row>
    <row r="1535" spans="1:2">
      <c r="A1535">
        <v>90599936</v>
      </c>
      <c r="B1535" t="s">
        <v>1666</v>
      </c>
    </row>
    <row r="1536" spans="1:2">
      <c r="A1536">
        <v>90599937</v>
      </c>
      <c r="B1536" t="s">
        <v>1667</v>
      </c>
    </row>
    <row r="1537" spans="1:2">
      <c r="A1537">
        <v>90599938</v>
      </c>
      <c r="B1537" t="s">
        <v>1668</v>
      </c>
    </row>
    <row r="1538" spans="1:2">
      <c r="A1538">
        <v>90599939</v>
      </c>
      <c r="B1538" t="s">
        <v>1669</v>
      </c>
    </row>
    <row r="1539" spans="1:2">
      <c r="A1539">
        <v>90599940</v>
      </c>
      <c r="B1539" t="s">
        <v>1670</v>
      </c>
    </row>
    <row r="1540" spans="1:2">
      <c r="A1540">
        <v>90599941</v>
      </c>
      <c r="B1540" t="s">
        <v>1671</v>
      </c>
    </row>
    <row r="1541" spans="1:2">
      <c r="A1541">
        <v>90599942</v>
      </c>
      <c r="B1541" t="s">
        <v>1672</v>
      </c>
    </row>
    <row r="1542" spans="1:2">
      <c r="A1542">
        <v>90599943</v>
      </c>
      <c r="B1542" t="s">
        <v>1673</v>
      </c>
    </row>
    <row r="1543" spans="1:2">
      <c r="A1543">
        <v>91002501</v>
      </c>
      <c r="B1543" t="s">
        <v>1674</v>
      </c>
    </row>
    <row r="1544" spans="1:2">
      <c r="A1544">
        <v>91002601</v>
      </c>
      <c r="B1544" t="s">
        <v>1675</v>
      </c>
    </row>
    <row r="1545" spans="1:2">
      <c r="A1545">
        <v>91002701</v>
      </c>
      <c r="B1545" t="s">
        <v>1676</v>
      </c>
    </row>
    <row r="1546" spans="1:2">
      <c r="A1546">
        <v>91002801</v>
      </c>
      <c r="B1546" t="s">
        <v>1677</v>
      </c>
    </row>
    <row r="1547" spans="1:2">
      <c r="A1547">
        <v>91002901</v>
      </c>
      <c r="B1547" t="s">
        <v>1678</v>
      </c>
    </row>
    <row r="1548" spans="1:2">
      <c r="A1548">
        <v>91004101</v>
      </c>
      <c r="B1548" t="s">
        <v>1679</v>
      </c>
    </row>
    <row r="1549" spans="1:2">
      <c r="A1549">
        <v>91004601</v>
      </c>
      <c r="B1549" t="s">
        <v>1680</v>
      </c>
    </row>
    <row r="1550" spans="1:2">
      <c r="A1550">
        <v>91004803</v>
      </c>
      <c r="B1550" t="s">
        <v>1681</v>
      </c>
    </row>
    <row r="1551" spans="1:2">
      <c r="A1551">
        <v>91004804</v>
      </c>
      <c r="B1551" t="s">
        <v>1682</v>
      </c>
    </row>
    <row r="1552" spans="1:2">
      <c r="A1552">
        <v>92005601</v>
      </c>
      <c r="B1552" t="s">
        <v>1683</v>
      </c>
    </row>
    <row r="1553" spans="1:2">
      <c r="A1553">
        <v>92099901</v>
      </c>
      <c r="B1553" t="s">
        <v>1684</v>
      </c>
    </row>
    <row r="1554" spans="1:2">
      <c r="A1554">
        <v>92099902</v>
      </c>
      <c r="B1554" t="s">
        <v>1685</v>
      </c>
    </row>
    <row r="1555" spans="1:2">
      <c r="A1555">
        <v>92505901</v>
      </c>
      <c r="B1555" t="s">
        <v>1686</v>
      </c>
    </row>
    <row r="1556" spans="1:2">
      <c r="A1556">
        <v>92505902</v>
      </c>
      <c r="B1556" t="s">
        <v>1687</v>
      </c>
    </row>
    <row r="1557" spans="1:2">
      <c r="A1557">
        <v>92505903</v>
      </c>
      <c r="B1557" t="s">
        <v>1688</v>
      </c>
    </row>
    <row r="1558" spans="1:2">
      <c r="A1558">
        <v>92505904</v>
      </c>
      <c r="B1558" t="s">
        <v>1689</v>
      </c>
    </row>
    <row r="1559" spans="1:2">
      <c r="A1559">
        <v>92505905</v>
      </c>
      <c r="B1559" t="s">
        <v>1690</v>
      </c>
    </row>
    <row r="1560" spans="1:2">
      <c r="A1560">
        <v>92505906</v>
      </c>
      <c r="B1560" t="s">
        <v>1691</v>
      </c>
    </row>
    <row r="1561" spans="1:2">
      <c r="A1561">
        <v>92505907</v>
      </c>
      <c r="B1561" t="s">
        <v>1692</v>
      </c>
    </row>
    <row r="1562" spans="1:2">
      <c r="A1562">
        <v>92505908</v>
      </c>
      <c r="B1562" t="s">
        <v>1693</v>
      </c>
    </row>
    <row r="1563" spans="1:2">
      <c r="A1563">
        <v>92505909</v>
      </c>
      <c r="B1563" t="s">
        <v>1694</v>
      </c>
    </row>
    <row r="1564" spans="1:2">
      <c r="A1564">
        <v>92505910</v>
      </c>
      <c r="B1564" t="s">
        <v>1695</v>
      </c>
    </row>
    <row r="1565" spans="1:2">
      <c r="A1565">
        <v>92505911</v>
      </c>
      <c r="B1565" t="s">
        <v>1696</v>
      </c>
    </row>
    <row r="1566" spans="1:2">
      <c r="A1566">
        <v>92505912</v>
      </c>
      <c r="B1566" t="s">
        <v>1697</v>
      </c>
    </row>
    <row r="1567" spans="1:2">
      <c r="A1567">
        <v>92505913</v>
      </c>
      <c r="B1567" t="s">
        <v>1698</v>
      </c>
    </row>
    <row r="1568" spans="1:2">
      <c r="A1568">
        <v>92505914</v>
      </c>
      <c r="B1568" t="s">
        <v>1699</v>
      </c>
    </row>
    <row r="1569" spans="1:2">
      <c r="A1569">
        <v>92505915</v>
      </c>
      <c r="B1569" t="s">
        <v>1700</v>
      </c>
    </row>
    <row r="1570" spans="1:2">
      <c r="A1570">
        <v>92505916</v>
      </c>
      <c r="B1570" t="s">
        <v>1701</v>
      </c>
    </row>
    <row r="1571" spans="1:2">
      <c r="A1571">
        <v>92505917</v>
      </c>
      <c r="B1571" t="s">
        <v>1702</v>
      </c>
    </row>
    <row r="1572" spans="1:2">
      <c r="A1572">
        <v>92505918</v>
      </c>
      <c r="B1572" t="s">
        <v>1703</v>
      </c>
    </row>
    <row r="1573" spans="1:2">
      <c r="A1573">
        <v>92505919</v>
      </c>
      <c r="B1573" t="s">
        <v>1704</v>
      </c>
    </row>
    <row r="1574" spans="1:2">
      <c r="A1574">
        <v>92505920</v>
      </c>
      <c r="B1574" t="s">
        <v>1705</v>
      </c>
    </row>
    <row r="1575" spans="1:2">
      <c r="A1575">
        <v>92505921</v>
      </c>
      <c r="B1575" t="s">
        <v>1706</v>
      </c>
    </row>
    <row r="1576" spans="1:2">
      <c r="A1576">
        <v>92505922</v>
      </c>
      <c r="B1576" t="s">
        <v>1707</v>
      </c>
    </row>
    <row r="1577" spans="1:2">
      <c r="A1577">
        <v>92505923</v>
      </c>
      <c r="B1577" t="s">
        <v>1708</v>
      </c>
    </row>
    <row r="1578" spans="1:2">
      <c r="A1578">
        <v>92505924</v>
      </c>
      <c r="B1578" t="s">
        <v>1709</v>
      </c>
    </row>
    <row r="1579" spans="1:2">
      <c r="A1579">
        <v>92505925</v>
      </c>
      <c r="B1579" t="s">
        <v>1710</v>
      </c>
    </row>
    <row r="1580" spans="1:2">
      <c r="A1580">
        <v>92505926</v>
      </c>
      <c r="B1580" t="s">
        <v>1711</v>
      </c>
    </row>
    <row r="1581" spans="1:2">
      <c r="A1581">
        <v>92505927</v>
      </c>
      <c r="B1581" t="s">
        <v>1712</v>
      </c>
    </row>
    <row r="1582" spans="1:2">
      <c r="A1582">
        <v>92505928</v>
      </c>
      <c r="B1582" t="s">
        <v>1713</v>
      </c>
    </row>
    <row r="1583" spans="1:2">
      <c r="A1583">
        <v>92505929</v>
      </c>
      <c r="B1583" t="s">
        <v>1714</v>
      </c>
    </row>
    <row r="1584" spans="1:2">
      <c r="A1584">
        <v>92505930</v>
      </c>
      <c r="B1584" t="s">
        <v>1715</v>
      </c>
    </row>
    <row r="1585" spans="1:2">
      <c r="A1585">
        <v>92505931</v>
      </c>
      <c r="B1585" t="s">
        <v>1716</v>
      </c>
    </row>
    <row r="1586" spans="1:2">
      <c r="A1586">
        <v>92505932</v>
      </c>
      <c r="B1586" t="s">
        <v>1717</v>
      </c>
    </row>
    <row r="1587" spans="1:2">
      <c r="A1587">
        <v>92505933</v>
      </c>
      <c r="B1587" t="s">
        <v>1718</v>
      </c>
    </row>
    <row r="1588" spans="1:2">
      <c r="A1588">
        <v>92505934</v>
      </c>
      <c r="B1588" t="s">
        <v>1719</v>
      </c>
    </row>
    <row r="1589" spans="1:2">
      <c r="A1589">
        <v>92505935</v>
      </c>
      <c r="B1589" t="s">
        <v>1720</v>
      </c>
    </row>
    <row r="1590" spans="1:2">
      <c r="A1590">
        <v>92505936</v>
      </c>
      <c r="B1590" t="s">
        <v>1721</v>
      </c>
    </row>
    <row r="1591" spans="1:2">
      <c r="A1591">
        <v>92505937</v>
      </c>
      <c r="B1591" t="s">
        <v>1722</v>
      </c>
    </row>
    <row r="1592" spans="1:2">
      <c r="A1592">
        <v>92505938</v>
      </c>
      <c r="B1592" t="s">
        <v>1723</v>
      </c>
    </row>
    <row r="1593" spans="1:2">
      <c r="A1593">
        <v>92505939</v>
      </c>
      <c r="B1593" t="s">
        <v>1724</v>
      </c>
    </row>
    <row r="1594" spans="1:2">
      <c r="A1594">
        <v>92505940</v>
      </c>
      <c r="B1594" t="s">
        <v>1725</v>
      </c>
    </row>
    <row r="1595" spans="1:2">
      <c r="A1595">
        <v>92505941</v>
      </c>
      <c r="B1595" t="s">
        <v>1726</v>
      </c>
    </row>
    <row r="1596" spans="1:2">
      <c r="A1596">
        <v>92505942</v>
      </c>
      <c r="B1596" t="s">
        <v>1727</v>
      </c>
    </row>
    <row r="1597" spans="1:2">
      <c r="A1597">
        <v>92505943</v>
      </c>
      <c r="B1597" t="s">
        <v>1728</v>
      </c>
    </row>
    <row r="1598" spans="1:2">
      <c r="A1598">
        <v>92505944</v>
      </c>
      <c r="B1598" t="s">
        <v>1729</v>
      </c>
    </row>
    <row r="1599" spans="1:2">
      <c r="A1599">
        <v>92505945</v>
      </c>
      <c r="B1599" t="s">
        <v>1730</v>
      </c>
    </row>
    <row r="1600" spans="1:2">
      <c r="A1600">
        <v>92505946</v>
      </c>
      <c r="B1600" t="s">
        <v>1731</v>
      </c>
    </row>
    <row r="1601" spans="1:2">
      <c r="A1601">
        <v>92505947</v>
      </c>
      <c r="B1601" t="s">
        <v>1732</v>
      </c>
    </row>
    <row r="1602" spans="1:2">
      <c r="A1602">
        <v>92505948</v>
      </c>
      <c r="B1602" t="s">
        <v>1733</v>
      </c>
    </row>
    <row r="1603" spans="1:2">
      <c r="A1603">
        <v>92505949</v>
      </c>
      <c r="B1603" t="s">
        <v>1734</v>
      </c>
    </row>
    <row r="1604" spans="1:2">
      <c r="A1604">
        <v>92505950</v>
      </c>
      <c r="B1604" t="s">
        <v>1735</v>
      </c>
    </row>
    <row r="1605" spans="1:2">
      <c r="A1605">
        <v>92505951</v>
      </c>
      <c r="B1605" t="s">
        <v>1736</v>
      </c>
    </row>
    <row r="1606" spans="1:2">
      <c r="A1606">
        <v>92505952</v>
      </c>
      <c r="B1606" t="s">
        <v>1737</v>
      </c>
    </row>
    <row r="1607" spans="1:2">
      <c r="A1607">
        <v>92505953</v>
      </c>
      <c r="B1607" t="s">
        <v>1738</v>
      </c>
    </row>
    <row r="1608" spans="1:2">
      <c r="A1608">
        <v>92505954</v>
      </c>
      <c r="B1608" t="s">
        <v>1739</v>
      </c>
    </row>
    <row r="1609" spans="1:2">
      <c r="A1609">
        <v>92505955</v>
      </c>
      <c r="B1609" t="s">
        <v>1740</v>
      </c>
    </row>
    <row r="1610" spans="1:2">
      <c r="A1610">
        <v>92505956</v>
      </c>
      <c r="B1610" t="s">
        <v>1741</v>
      </c>
    </row>
    <row r="1611" spans="1:2">
      <c r="A1611">
        <v>92505957</v>
      </c>
      <c r="B1611" t="s">
        <v>1742</v>
      </c>
    </row>
    <row r="1612" spans="1:2">
      <c r="A1612">
        <v>92505958</v>
      </c>
      <c r="B1612" t="s">
        <v>1743</v>
      </c>
    </row>
    <row r="1613" spans="1:2">
      <c r="A1613">
        <v>92505959</v>
      </c>
      <c r="B1613" t="s">
        <v>1744</v>
      </c>
    </row>
    <row r="1614" spans="1:2">
      <c r="A1614">
        <v>92505960</v>
      </c>
      <c r="B1614" t="s">
        <v>1745</v>
      </c>
    </row>
    <row r="1615" spans="1:2">
      <c r="A1615">
        <v>92505961</v>
      </c>
      <c r="B1615" t="s">
        <v>1746</v>
      </c>
    </row>
    <row r="1616" spans="1:2">
      <c r="A1616">
        <v>92505962</v>
      </c>
      <c r="B1616" t="s">
        <v>1747</v>
      </c>
    </row>
    <row r="1617" spans="1:2">
      <c r="A1617">
        <v>92505963</v>
      </c>
      <c r="B1617" t="s">
        <v>1748</v>
      </c>
    </row>
    <row r="1618" spans="1:2">
      <c r="A1618">
        <v>92505964</v>
      </c>
      <c r="B1618" t="s">
        <v>1749</v>
      </c>
    </row>
    <row r="1619" spans="1:2">
      <c r="A1619">
        <v>92505965</v>
      </c>
      <c r="B1619" t="s">
        <v>1750</v>
      </c>
    </row>
    <row r="1620" spans="1:2">
      <c r="A1620">
        <v>92505966</v>
      </c>
      <c r="B1620" t="s">
        <v>1751</v>
      </c>
    </row>
    <row r="1621" spans="1:2">
      <c r="A1621">
        <v>92505967</v>
      </c>
      <c r="B1621" t="s">
        <v>1752</v>
      </c>
    </row>
    <row r="1622" spans="1:2">
      <c r="A1622">
        <v>92505968</v>
      </c>
      <c r="B1622" t="s">
        <v>1753</v>
      </c>
    </row>
    <row r="1623" spans="1:2">
      <c r="A1623">
        <v>92505969</v>
      </c>
      <c r="B1623" t="s">
        <v>1754</v>
      </c>
    </row>
    <row r="1624" spans="1:2">
      <c r="A1624">
        <v>92505970</v>
      </c>
      <c r="B1624" t="s">
        <v>1755</v>
      </c>
    </row>
    <row r="1625" spans="1:2">
      <c r="A1625">
        <v>92505971</v>
      </c>
      <c r="B1625" t="s">
        <v>1756</v>
      </c>
    </row>
    <row r="1626" spans="1:2">
      <c r="A1626">
        <v>92505972</v>
      </c>
      <c r="B1626" t="s">
        <v>1757</v>
      </c>
    </row>
    <row r="1627" spans="1:2">
      <c r="A1627">
        <v>92505973</v>
      </c>
      <c r="B1627" t="s">
        <v>1758</v>
      </c>
    </row>
    <row r="1628" spans="1:2">
      <c r="A1628">
        <v>92505974</v>
      </c>
      <c r="B1628" t="s">
        <v>1759</v>
      </c>
    </row>
    <row r="1629" spans="1:2">
      <c r="A1629">
        <v>92505975</v>
      </c>
      <c r="B1629" t="s">
        <v>1760</v>
      </c>
    </row>
    <row r="1630" spans="1:2">
      <c r="A1630">
        <v>92505976</v>
      </c>
      <c r="B1630" t="s">
        <v>1761</v>
      </c>
    </row>
    <row r="1631" spans="1:2">
      <c r="A1631">
        <v>92505977</v>
      </c>
      <c r="B1631" t="s">
        <v>1762</v>
      </c>
    </row>
    <row r="1632" spans="1:2">
      <c r="A1632">
        <v>92505978</v>
      </c>
      <c r="B1632" t="s">
        <v>1763</v>
      </c>
    </row>
    <row r="1633" spans="1:2">
      <c r="A1633">
        <v>92505979</v>
      </c>
      <c r="B1633" t="s">
        <v>1764</v>
      </c>
    </row>
    <row r="1634" spans="1:2">
      <c r="A1634">
        <v>92505980</v>
      </c>
      <c r="B1634" t="s">
        <v>1765</v>
      </c>
    </row>
    <row r="1635" spans="1:2">
      <c r="A1635">
        <v>92505981</v>
      </c>
      <c r="B1635" t="s">
        <v>1766</v>
      </c>
    </row>
    <row r="1636" spans="1:2">
      <c r="A1636">
        <v>92505982</v>
      </c>
      <c r="B1636" t="s">
        <v>1767</v>
      </c>
    </row>
    <row r="1637" spans="1:2">
      <c r="A1637">
        <v>92505983</v>
      </c>
      <c r="B1637" t="s">
        <v>1768</v>
      </c>
    </row>
    <row r="1638" spans="1:2">
      <c r="A1638">
        <v>92505984</v>
      </c>
      <c r="B1638" t="s">
        <v>1769</v>
      </c>
    </row>
    <row r="1639" spans="1:2">
      <c r="A1639">
        <v>92505985</v>
      </c>
      <c r="B1639" t="s">
        <v>1770</v>
      </c>
    </row>
    <row r="1640" spans="1:2">
      <c r="A1640">
        <v>92505986</v>
      </c>
      <c r="B1640" t="s">
        <v>1771</v>
      </c>
    </row>
    <row r="1641" spans="1:2">
      <c r="A1641">
        <v>92505987</v>
      </c>
      <c r="B1641" t="s">
        <v>1772</v>
      </c>
    </row>
    <row r="1642" spans="1:2">
      <c r="A1642">
        <v>92505988</v>
      </c>
      <c r="B1642" t="s">
        <v>1773</v>
      </c>
    </row>
    <row r="1643" spans="1:2">
      <c r="A1643">
        <v>92505989</v>
      </c>
      <c r="B1643" t="s">
        <v>1774</v>
      </c>
    </row>
    <row r="1644" spans="1:2">
      <c r="A1644">
        <v>92505990</v>
      </c>
      <c r="B1644" t="s">
        <v>1775</v>
      </c>
    </row>
    <row r="1645" spans="1:2">
      <c r="A1645">
        <v>92505991</v>
      </c>
      <c r="B1645" t="s">
        <v>1776</v>
      </c>
    </row>
    <row r="1646" spans="1:2">
      <c r="A1646">
        <v>92505992</v>
      </c>
      <c r="B1646" t="s">
        <v>2481</v>
      </c>
    </row>
    <row r="1647" spans="1:2">
      <c r="A1647">
        <v>92505993</v>
      </c>
      <c r="B1647" t="s">
        <v>2482</v>
      </c>
    </row>
    <row r="1648" spans="1:2">
      <c r="A1648">
        <v>92505994</v>
      </c>
      <c r="B1648" t="s">
        <v>2483</v>
      </c>
    </row>
    <row r="1649" spans="1:2">
      <c r="A1649">
        <v>92506001</v>
      </c>
      <c r="B1649" t="s">
        <v>1777</v>
      </c>
    </row>
    <row r="1650" spans="1:2">
      <c r="A1650">
        <v>92506002</v>
      </c>
      <c r="B1650" t="s">
        <v>1778</v>
      </c>
    </row>
    <row r="1651" spans="1:2">
      <c r="A1651">
        <v>92506003</v>
      </c>
      <c r="B1651" t="s">
        <v>1779</v>
      </c>
    </row>
    <row r="1652" spans="1:2">
      <c r="A1652">
        <v>92506004</v>
      </c>
      <c r="B1652" t="s">
        <v>1780</v>
      </c>
    </row>
    <row r="1653" spans="1:2">
      <c r="A1653">
        <v>92506005</v>
      </c>
      <c r="B1653" t="s">
        <v>1781</v>
      </c>
    </row>
    <row r="1654" spans="1:2">
      <c r="A1654">
        <v>92506006</v>
      </c>
      <c r="B1654" t="s">
        <v>1782</v>
      </c>
    </row>
    <row r="1655" spans="1:2">
      <c r="A1655">
        <v>92506007</v>
      </c>
      <c r="B1655" t="s">
        <v>1783</v>
      </c>
    </row>
    <row r="1656" spans="1:2">
      <c r="A1656">
        <v>92506008</v>
      </c>
      <c r="B1656" t="s">
        <v>1784</v>
      </c>
    </row>
    <row r="1657" spans="1:2">
      <c r="A1657">
        <v>92506009</v>
      </c>
      <c r="B1657" t="s">
        <v>1785</v>
      </c>
    </row>
    <row r="1658" spans="1:2">
      <c r="A1658">
        <v>92506010</v>
      </c>
      <c r="B1658" t="s">
        <v>1786</v>
      </c>
    </row>
    <row r="1659" spans="1:2">
      <c r="A1659">
        <v>92506011</v>
      </c>
      <c r="B1659" t="s">
        <v>1787</v>
      </c>
    </row>
    <row r="1660" spans="1:2">
      <c r="A1660">
        <v>92506012</v>
      </c>
      <c r="B1660" t="s">
        <v>1788</v>
      </c>
    </row>
    <row r="1661" spans="1:2">
      <c r="A1661">
        <v>92506013</v>
      </c>
      <c r="B1661" t="s">
        <v>1789</v>
      </c>
    </row>
    <row r="1662" spans="1:2">
      <c r="A1662">
        <v>92506014</v>
      </c>
      <c r="B1662" t="s">
        <v>1790</v>
      </c>
    </row>
    <row r="1663" spans="1:2">
      <c r="A1663">
        <v>93006101</v>
      </c>
      <c r="B1663" t="s">
        <v>1791</v>
      </c>
    </row>
    <row r="1664" spans="1:2">
      <c r="A1664">
        <v>93006102</v>
      </c>
      <c r="B1664" t="s">
        <v>1792</v>
      </c>
    </row>
    <row r="1665" spans="1:2">
      <c r="A1665">
        <v>93006103</v>
      </c>
      <c r="B1665" t="s">
        <v>1793</v>
      </c>
    </row>
    <row r="1666" spans="1:2">
      <c r="A1666">
        <v>93006104</v>
      </c>
      <c r="B1666" t="s">
        <v>1794</v>
      </c>
    </row>
    <row r="1667" spans="1:2">
      <c r="A1667">
        <v>93006105</v>
      </c>
      <c r="B1667" t="s">
        <v>1795</v>
      </c>
    </row>
    <row r="1668" spans="1:2">
      <c r="A1668">
        <v>93006106</v>
      </c>
      <c r="B1668" t="s">
        <v>1796</v>
      </c>
    </row>
    <row r="1669" spans="1:2">
      <c r="A1669">
        <v>99906201</v>
      </c>
      <c r="B1669" t="s">
        <v>1797</v>
      </c>
    </row>
    <row r="1670" spans="1:2">
      <c r="A1670" t="s">
        <v>1978</v>
      </c>
      <c r="B1670" t="s">
        <v>1979</v>
      </c>
    </row>
    <row r="1671" spans="1:2">
      <c r="A1671" t="s">
        <v>1980</v>
      </c>
      <c r="B1671" t="s">
        <v>2484</v>
      </c>
    </row>
    <row r="1672" spans="1:2">
      <c r="A1672" t="s">
        <v>1981</v>
      </c>
      <c r="B1672" t="s">
        <v>2485</v>
      </c>
    </row>
    <row r="1673" spans="1:2">
      <c r="A1673" t="s">
        <v>1982</v>
      </c>
      <c r="B1673" t="s">
        <v>2486</v>
      </c>
    </row>
    <row r="1674" spans="1:2">
      <c r="A1674" t="s">
        <v>1983</v>
      </c>
      <c r="B1674" t="s">
        <v>1984</v>
      </c>
    </row>
    <row r="1675" spans="1:2">
      <c r="A1675" t="s">
        <v>1985</v>
      </c>
      <c r="B1675" t="s">
        <v>1986</v>
      </c>
    </row>
    <row r="1676" spans="1:2">
      <c r="A1676" t="s">
        <v>1987</v>
      </c>
      <c r="B1676" t="s">
        <v>1988</v>
      </c>
    </row>
    <row r="1677" spans="1:2">
      <c r="A1677" t="s">
        <v>1989</v>
      </c>
      <c r="B1677" t="s">
        <v>1990</v>
      </c>
    </row>
    <row r="1678" spans="1:2">
      <c r="A1678" t="s">
        <v>1991</v>
      </c>
      <c r="B1678" t="s">
        <v>1992</v>
      </c>
    </row>
    <row r="1679" spans="1:2">
      <c r="A1679" t="s">
        <v>1993</v>
      </c>
      <c r="B1679" t="s">
        <v>1994</v>
      </c>
    </row>
    <row r="1680" spans="1:2">
      <c r="A1680" t="s">
        <v>1995</v>
      </c>
      <c r="B1680" t="s">
        <v>1996</v>
      </c>
    </row>
    <row r="1681" spans="1:2">
      <c r="A1681" t="s">
        <v>1997</v>
      </c>
      <c r="B1681" t="s">
        <v>1998</v>
      </c>
    </row>
    <row r="1682" spans="1:2">
      <c r="A1682" t="s">
        <v>1999</v>
      </c>
      <c r="B1682" t="s">
        <v>2000</v>
      </c>
    </row>
    <row r="1683" spans="1:2">
      <c r="A1683" t="s">
        <v>2001</v>
      </c>
      <c r="B1683" t="s">
        <v>2002</v>
      </c>
    </row>
    <row r="1684" spans="1:2">
      <c r="A1684" t="s">
        <v>2003</v>
      </c>
      <c r="B1684" t="s">
        <v>2004</v>
      </c>
    </row>
    <row r="1685" spans="1:2">
      <c r="A1685" t="s">
        <v>2005</v>
      </c>
      <c r="B1685" t="s">
        <v>2006</v>
      </c>
    </row>
    <row r="1686" spans="1:2">
      <c r="A1686" t="s">
        <v>2007</v>
      </c>
      <c r="B1686" t="s">
        <v>2008</v>
      </c>
    </row>
    <row r="1687" spans="1:2">
      <c r="A1687" t="s">
        <v>2009</v>
      </c>
      <c r="B1687" t="s">
        <v>2010</v>
      </c>
    </row>
  </sheetData>
  <phoneticPr fontId="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202"/>
  <sheetViews>
    <sheetView view="pageBreakPreview" zoomScale="115" zoomScaleNormal="100" zoomScaleSheetLayoutView="115" workbookViewId="0">
      <selection activeCell="K2" sqref="K2"/>
    </sheetView>
  </sheetViews>
  <sheetFormatPr defaultColWidth="9" defaultRowHeight="15.75"/>
  <cols>
    <col min="1" max="1" width="9" style="825"/>
    <col min="2" max="2" width="1.875" style="825" customWidth="1"/>
    <col min="3" max="3" width="9" style="825"/>
    <col min="4" max="4" width="32.125" style="825" bestFit="1" customWidth="1"/>
    <col min="5" max="5" width="22.125" style="825" bestFit="1" customWidth="1"/>
    <col min="6" max="6" width="9" style="825"/>
    <col min="7" max="7" width="16.75" style="825" bestFit="1" customWidth="1"/>
    <col min="8" max="8" width="31.5" style="825" bestFit="1" customWidth="1"/>
    <col min="9" max="9" width="9.5" style="825" bestFit="1" customWidth="1"/>
    <col min="10" max="16384" width="9" style="825"/>
  </cols>
  <sheetData>
    <row r="1" spans="1:11">
      <c r="A1" s="829" t="s">
        <v>2765</v>
      </c>
      <c r="C1" s="832" t="s">
        <v>2761</v>
      </c>
      <c r="D1" s="832"/>
      <c r="E1" s="832"/>
      <c r="G1" s="828" t="s">
        <v>2763</v>
      </c>
      <c r="H1" s="828"/>
      <c r="I1" s="828"/>
    </row>
    <row r="2" spans="1:11" ht="16.5">
      <c r="A2" s="827" t="s">
        <v>2766</v>
      </c>
      <c r="C2" s="831" t="s">
        <v>2767</v>
      </c>
      <c r="D2" s="830" t="s">
        <v>2528</v>
      </c>
      <c r="E2" s="830" t="s">
        <v>2764</v>
      </c>
      <c r="G2" s="827" t="s">
        <v>2762</v>
      </c>
      <c r="H2" s="824" t="s">
        <v>2528</v>
      </c>
      <c r="I2" s="824" t="s">
        <v>2764</v>
      </c>
      <c r="K2" s="825">
        <f>COUNTA(I:I)</f>
        <v>27</v>
      </c>
    </row>
    <row r="3" spans="1:11">
      <c r="A3" s="825" t="s">
        <v>2561</v>
      </c>
      <c r="C3" s="789" t="s">
        <v>2768</v>
      </c>
      <c r="D3" s="790" t="s">
        <v>2769</v>
      </c>
      <c r="E3" s="825" t="str">
        <f>C3&amp;"_"&amp;D3</f>
        <v>1_資産【自己調達資金】</v>
      </c>
      <c r="G3" s="826" t="s">
        <v>2493</v>
      </c>
      <c r="H3" s="825" t="s">
        <v>2529</v>
      </c>
      <c r="I3" s="825" t="str">
        <f>G3&amp;"_"&amp;H3</f>
        <v>1_経営戦略部</v>
      </c>
    </row>
    <row r="4" spans="1:11">
      <c r="A4" s="825" t="s">
        <v>2562</v>
      </c>
      <c r="C4" s="789" t="s">
        <v>2770</v>
      </c>
      <c r="D4" s="790" t="s">
        <v>2771</v>
      </c>
      <c r="E4" s="825" t="str">
        <f t="shared" ref="E4:E19" si="0">C4&amp;"_"&amp;D4</f>
        <v>2_費用（撤去費)【自己調達資金】</v>
      </c>
      <c r="G4" s="826" t="s">
        <v>2494</v>
      </c>
      <c r="H4" s="825" t="s">
        <v>2530</v>
      </c>
      <c r="I4" s="825" t="str">
        <f t="shared" ref="I4:I28" si="1">G4&amp;"_"&amp;H4</f>
        <v>2_都市開発事業部</v>
      </c>
    </row>
    <row r="5" spans="1:11">
      <c r="A5" s="825" t="s">
        <v>2563</v>
      </c>
      <c r="C5" s="789" t="s">
        <v>2495</v>
      </c>
      <c r="D5" s="790" t="s">
        <v>2772</v>
      </c>
      <c r="E5" s="825" t="str">
        <f t="shared" si="0"/>
        <v>3_費用（修繕費)【自己調達資金】</v>
      </c>
      <c r="G5" s="826" t="s">
        <v>2495</v>
      </c>
      <c r="H5" s="825" t="s">
        <v>2531</v>
      </c>
      <c r="I5" s="825" t="str">
        <f t="shared" si="1"/>
        <v>3_法務・総務部</v>
      </c>
    </row>
    <row r="6" spans="1:11">
      <c r="A6" s="825" t="s">
        <v>2564</v>
      </c>
      <c r="C6" s="789" t="s">
        <v>2496</v>
      </c>
      <c r="D6" s="790" t="s">
        <v>2773</v>
      </c>
      <c r="E6" s="825" t="str">
        <f t="shared" si="0"/>
        <v>4_費用（保守費)【自己調達資金】</v>
      </c>
      <c r="G6" s="826" t="s">
        <v>2496</v>
      </c>
      <c r="H6" s="825" t="s">
        <v>2532</v>
      </c>
      <c r="I6" s="825" t="str">
        <f t="shared" si="1"/>
        <v>4_経理部</v>
      </c>
    </row>
    <row r="7" spans="1:11">
      <c r="A7" s="825" t="s">
        <v>2565</v>
      </c>
      <c r="C7" s="789" t="s">
        <v>2499</v>
      </c>
      <c r="D7" s="790" t="s">
        <v>2774</v>
      </c>
      <c r="E7" s="825" t="str">
        <f t="shared" si="0"/>
        <v>6_資産【その他調達資金】</v>
      </c>
      <c r="G7" s="826" t="s">
        <v>2497</v>
      </c>
      <c r="H7" s="825" t="s">
        <v>2498</v>
      </c>
      <c r="I7" s="825" t="str">
        <f t="shared" si="1"/>
        <v>5_調達部</v>
      </c>
    </row>
    <row r="8" spans="1:11">
      <c r="A8" s="825" t="s">
        <v>2566</v>
      </c>
      <c r="C8" s="789" t="s">
        <v>2500</v>
      </c>
      <c r="D8" s="790" t="s">
        <v>2775</v>
      </c>
      <c r="E8" s="825" t="str">
        <f t="shared" si="0"/>
        <v>7_費用（撤去費)【その他調達資金】</v>
      </c>
      <c r="G8" s="826" t="s">
        <v>2499</v>
      </c>
      <c r="H8" s="825" t="s">
        <v>2533</v>
      </c>
      <c r="I8" s="825" t="str">
        <f t="shared" si="1"/>
        <v>6_統括部</v>
      </c>
    </row>
    <row r="9" spans="1:11">
      <c r="A9" s="825" t="s">
        <v>2567</v>
      </c>
      <c r="C9" s="789" t="s">
        <v>2501</v>
      </c>
      <c r="D9" s="790" t="s">
        <v>2776</v>
      </c>
      <c r="E9" s="825" t="str">
        <f t="shared" si="0"/>
        <v>8_費用（修繕費)【その他調達資金】</v>
      </c>
      <c r="G9" s="826" t="s">
        <v>2500</v>
      </c>
      <c r="H9" s="825" t="s">
        <v>2534</v>
      </c>
      <c r="I9" s="825" t="str">
        <f t="shared" si="1"/>
        <v>7_駅務部</v>
      </c>
    </row>
    <row r="10" spans="1:11">
      <c r="A10" s="825" t="s">
        <v>2568</v>
      </c>
      <c r="C10" s="789" t="s">
        <v>2503</v>
      </c>
      <c r="D10" s="790" t="s">
        <v>2777</v>
      </c>
      <c r="E10" s="825" t="str">
        <f t="shared" si="0"/>
        <v>9_費用（保守費)【その他調達資金】</v>
      </c>
      <c r="G10" s="826" t="s">
        <v>2501</v>
      </c>
      <c r="H10" s="825" t="s">
        <v>2502</v>
      </c>
      <c r="I10" s="825" t="str">
        <f t="shared" si="1"/>
        <v>8_運転部</v>
      </c>
    </row>
    <row r="11" spans="1:11">
      <c r="A11" s="825" t="s">
        <v>2569</v>
      </c>
      <c r="C11" s="789" t="s">
        <v>2505</v>
      </c>
      <c r="D11" s="790" t="s">
        <v>2778</v>
      </c>
      <c r="E11" s="825" t="str">
        <f t="shared" si="0"/>
        <v>A_他流動資産（受託工事）</v>
      </c>
      <c r="G11" s="826" t="s">
        <v>2503</v>
      </c>
      <c r="H11" s="825" t="s">
        <v>2504</v>
      </c>
      <c r="I11" s="825" t="str">
        <f t="shared" si="1"/>
        <v>9_営業部</v>
      </c>
    </row>
    <row r="12" spans="1:11">
      <c r="A12" s="825" t="s">
        <v>2570</v>
      </c>
      <c r="C12" s="789" t="s">
        <v>2506</v>
      </c>
      <c r="D12" s="790" t="s">
        <v>2779</v>
      </c>
      <c r="E12" s="825" t="str">
        <f t="shared" si="0"/>
        <v xml:space="preserve">B_資産【補助金対象】 </v>
      </c>
      <c r="G12" s="826" t="s">
        <v>2505</v>
      </c>
      <c r="H12" s="825" t="s">
        <v>2535</v>
      </c>
      <c r="I12" s="825" t="str">
        <f t="shared" si="1"/>
        <v>A_電気部</v>
      </c>
    </row>
    <row r="13" spans="1:11">
      <c r="A13" s="825" t="s">
        <v>2571</v>
      </c>
      <c r="C13" s="789" t="s">
        <v>2507</v>
      </c>
      <c r="D13" s="790" t="s">
        <v>2780</v>
      </c>
      <c r="E13" s="825" t="str">
        <f t="shared" si="0"/>
        <v xml:space="preserve">C_費用（撤去費） 【補助金対象】 </v>
      </c>
      <c r="G13" s="826" t="s">
        <v>2506</v>
      </c>
      <c r="H13" s="825" t="s">
        <v>2536</v>
      </c>
      <c r="I13" s="825" t="str">
        <f t="shared" si="1"/>
        <v>B_車両部</v>
      </c>
    </row>
    <row r="14" spans="1:11">
      <c r="A14" s="825" t="s">
        <v>2572</v>
      </c>
      <c r="C14" s="789" t="s">
        <v>2508</v>
      </c>
      <c r="D14" s="790" t="s">
        <v>2781</v>
      </c>
      <c r="E14" s="825" t="str">
        <f t="shared" si="0"/>
        <v xml:space="preserve">D_費用（修繕費） 【補助金対象】 </v>
      </c>
      <c r="G14" s="826" t="s">
        <v>2507</v>
      </c>
      <c r="H14" s="825" t="s">
        <v>2537</v>
      </c>
      <c r="I14" s="825" t="str">
        <f t="shared" si="1"/>
        <v>C_工務部</v>
      </c>
    </row>
    <row r="15" spans="1:11">
      <c r="A15" s="825" t="s">
        <v>2573</v>
      </c>
      <c r="C15" s="789" t="s">
        <v>2509</v>
      </c>
      <c r="D15" s="790" t="s">
        <v>2782</v>
      </c>
      <c r="E15" s="825" t="str">
        <f t="shared" si="0"/>
        <v xml:space="preserve">E_費用（保守費） 【補助金対象】 </v>
      </c>
      <c r="G15" s="826" t="s">
        <v>2508</v>
      </c>
      <c r="H15" s="825" t="s">
        <v>2538</v>
      </c>
      <c r="I15" s="825" t="str">
        <f t="shared" si="1"/>
        <v>D_建築部</v>
      </c>
    </row>
    <row r="16" spans="1:11">
      <c r="A16" s="825" t="s">
        <v>2574</v>
      </c>
      <c r="C16" s="789" t="s">
        <v>2783</v>
      </c>
      <c r="D16" s="790" t="s">
        <v>2784</v>
      </c>
      <c r="E16" s="825" t="str">
        <f t="shared" si="0"/>
        <v>W_費用（原価企画）【自己調達資金】</v>
      </c>
      <c r="G16" s="826" t="s">
        <v>2509</v>
      </c>
      <c r="H16" s="825" t="s">
        <v>2539</v>
      </c>
      <c r="I16" s="825" t="str">
        <f t="shared" si="1"/>
        <v>E_安全監理部</v>
      </c>
    </row>
    <row r="17" spans="1:9">
      <c r="A17" s="825" t="s">
        <v>2575</v>
      </c>
      <c r="C17" s="789" t="s">
        <v>2785</v>
      </c>
      <c r="D17" s="790" t="s">
        <v>2786</v>
      </c>
      <c r="E17" s="825" t="str">
        <f t="shared" si="0"/>
        <v>X_費用【その他調達資金】</v>
      </c>
      <c r="G17" s="826" t="s">
        <v>2510</v>
      </c>
      <c r="H17" s="825" t="s">
        <v>2540</v>
      </c>
      <c r="I17" s="825" t="str">
        <f t="shared" si="1"/>
        <v>F_グループ監査部</v>
      </c>
    </row>
    <row r="18" spans="1:9">
      <c r="A18" s="825" t="s">
        <v>2576</v>
      </c>
      <c r="C18" s="789" t="s">
        <v>2787</v>
      </c>
      <c r="D18" s="790" t="s">
        <v>2788</v>
      </c>
      <c r="E18" s="825" t="str">
        <f t="shared" si="0"/>
        <v>Y_収入（その他収入）</v>
      </c>
      <c r="G18" s="826" t="s">
        <v>2511</v>
      </c>
      <c r="H18" s="825" t="s">
        <v>2541</v>
      </c>
      <c r="I18" s="825" t="str">
        <f t="shared" si="1"/>
        <v>G_人事部</v>
      </c>
    </row>
    <row r="19" spans="1:9">
      <c r="A19" s="825" t="s">
        <v>2577</v>
      </c>
      <c r="C19" s="789" t="s">
        <v>2789</v>
      </c>
      <c r="D19" s="790" t="s">
        <v>2790</v>
      </c>
      <c r="E19" s="825" t="str">
        <f t="shared" si="0"/>
        <v>Z_収入（運輸収入）</v>
      </c>
      <c r="G19" s="826" t="s">
        <v>2512</v>
      </c>
      <c r="H19" s="825" t="s">
        <v>2542</v>
      </c>
      <c r="I19" s="825" t="str">
        <f t="shared" si="1"/>
        <v>H_監査役</v>
      </c>
    </row>
    <row r="20" spans="1:9">
      <c r="A20" s="825" t="s">
        <v>2578</v>
      </c>
      <c r="G20" s="825" t="s">
        <v>2543</v>
      </c>
      <c r="H20" s="825" t="s">
        <v>2544</v>
      </c>
      <c r="I20" s="825" t="str">
        <f t="shared" si="1"/>
        <v>I_リテール事業部</v>
      </c>
    </row>
    <row r="21" spans="1:9">
      <c r="A21" s="825" t="s">
        <v>2579</v>
      </c>
      <c r="G21" s="825" t="s">
        <v>2545</v>
      </c>
      <c r="H21" s="825" t="s">
        <v>2546</v>
      </c>
      <c r="I21" s="825" t="str">
        <f t="shared" si="1"/>
        <v>J_先端技術研究所</v>
      </c>
    </row>
    <row r="22" spans="1:9">
      <c r="A22" s="825" t="s">
        <v>2580</v>
      </c>
      <c r="G22" s="825" t="s">
        <v>2547</v>
      </c>
      <c r="H22" s="825" t="s">
        <v>2548</v>
      </c>
      <c r="I22" s="825" t="str">
        <f t="shared" si="1"/>
        <v>K_計画部</v>
      </c>
    </row>
    <row r="23" spans="1:9">
      <c r="A23" s="825" t="s">
        <v>2581</v>
      </c>
      <c r="G23" s="825" t="s">
        <v>2549</v>
      </c>
      <c r="H23" s="825" t="s">
        <v>2550</v>
      </c>
      <c r="I23" s="825" t="str">
        <f t="shared" si="1"/>
        <v>L_経営管理部</v>
      </c>
    </row>
    <row r="24" spans="1:9">
      <c r="A24" s="825" t="s">
        <v>2582</v>
      </c>
      <c r="G24" s="825" t="s">
        <v>2551</v>
      </c>
      <c r="H24" s="825" t="s">
        <v>2552</v>
      </c>
      <c r="I24" s="825" t="str">
        <f t="shared" si="1"/>
        <v>M_活力インフラ部</v>
      </c>
    </row>
    <row r="25" spans="1:9">
      <c r="A25" s="825" t="s">
        <v>2583</v>
      </c>
      <c r="G25" s="825" t="s">
        <v>2553</v>
      </c>
      <c r="H25" s="825" t="s">
        <v>2554</v>
      </c>
      <c r="I25" s="825" t="str">
        <f t="shared" si="1"/>
        <v>N_新規事業部</v>
      </c>
    </row>
    <row r="26" spans="1:9">
      <c r="A26" s="825" t="s">
        <v>2584</v>
      </c>
      <c r="G26" s="825" t="s">
        <v>2555</v>
      </c>
      <c r="H26" s="825" t="s">
        <v>2556</v>
      </c>
      <c r="I26" s="825" t="str">
        <f t="shared" si="1"/>
        <v>P_デジタルマーケティング部</v>
      </c>
    </row>
    <row r="27" spans="1:9">
      <c r="A27" s="825" t="s">
        <v>2585</v>
      </c>
      <c r="G27" s="825" t="s">
        <v>2557</v>
      </c>
      <c r="H27" s="825" t="s">
        <v>2558</v>
      </c>
      <c r="I27" s="825" t="str">
        <f t="shared" si="1"/>
        <v>Q_ＩＣＴ戦略部</v>
      </c>
    </row>
    <row r="28" spans="1:9">
      <c r="A28" s="825" t="s">
        <v>2586</v>
      </c>
      <c r="G28" s="825" t="s">
        <v>2559</v>
      </c>
      <c r="H28" s="825" t="s">
        <v>2560</v>
      </c>
      <c r="I28" s="825" t="str">
        <f t="shared" si="1"/>
        <v>R_広報戦略部</v>
      </c>
    </row>
    <row r="29" spans="1:9">
      <c r="A29" s="825" t="s">
        <v>2587</v>
      </c>
    </row>
    <row r="30" spans="1:9">
      <c r="A30" s="825" t="s">
        <v>2588</v>
      </c>
    </row>
    <row r="31" spans="1:9">
      <c r="A31" s="825" t="s">
        <v>2589</v>
      </c>
    </row>
    <row r="32" spans="1:9">
      <c r="A32" s="825" t="s">
        <v>2590</v>
      </c>
    </row>
    <row r="33" spans="1:1">
      <c r="A33" s="825" t="s">
        <v>2591</v>
      </c>
    </row>
    <row r="34" spans="1:1">
      <c r="A34" s="825" t="s">
        <v>2592</v>
      </c>
    </row>
    <row r="35" spans="1:1">
      <c r="A35" s="825" t="s">
        <v>2593</v>
      </c>
    </row>
    <row r="36" spans="1:1">
      <c r="A36" s="825" t="s">
        <v>2594</v>
      </c>
    </row>
    <row r="37" spans="1:1">
      <c r="A37" s="825" t="s">
        <v>2595</v>
      </c>
    </row>
    <row r="38" spans="1:1">
      <c r="A38" s="825" t="s">
        <v>2596</v>
      </c>
    </row>
    <row r="39" spans="1:1">
      <c r="A39" s="825" t="s">
        <v>2597</v>
      </c>
    </row>
    <row r="40" spans="1:1">
      <c r="A40" s="825" t="s">
        <v>2598</v>
      </c>
    </row>
    <row r="41" spans="1:1">
      <c r="A41" s="825" t="s">
        <v>2599</v>
      </c>
    </row>
    <row r="42" spans="1:1">
      <c r="A42" s="825" t="s">
        <v>2600</v>
      </c>
    </row>
    <row r="43" spans="1:1">
      <c r="A43" s="825" t="s">
        <v>2601</v>
      </c>
    </row>
    <row r="44" spans="1:1">
      <c r="A44" s="825" t="s">
        <v>2602</v>
      </c>
    </row>
    <row r="45" spans="1:1">
      <c r="A45" s="825" t="s">
        <v>2603</v>
      </c>
    </row>
    <row r="46" spans="1:1">
      <c r="A46" s="825" t="s">
        <v>2604</v>
      </c>
    </row>
    <row r="47" spans="1:1">
      <c r="A47" s="825" t="s">
        <v>2605</v>
      </c>
    </row>
    <row r="48" spans="1:1">
      <c r="A48" s="825" t="s">
        <v>2606</v>
      </c>
    </row>
    <row r="49" spans="1:1">
      <c r="A49" s="825" t="s">
        <v>2607</v>
      </c>
    </row>
    <row r="50" spans="1:1">
      <c r="A50" s="825" t="s">
        <v>2608</v>
      </c>
    </row>
    <row r="51" spans="1:1">
      <c r="A51" s="825" t="s">
        <v>2609</v>
      </c>
    </row>
    <row r="52" spans="1:1">
      <c r="A52" s="825" t="s">
        <v>2610</v>
      </c>
    </row>
    <row r="53" spans="1:1">
      <c r="A53" s="825" t="s">
        <v>2611</v>
      </c>
    </row>
    <row r="54" spans="1:1">
      <c r="A54" s="825" t="s">
        <v>2612</v>
      </c>
    </row>
    <row r="55" spans="1:1">
      <c r="A55" s="825" t="s">
        <v>2613</v>
      </c>
    </row>
    <row r="56" spans="1:1">
      <c r="A56" s="825" t="s">
        <v>2614</v>
      </c>
    </row>
    <row r="57" spans="1:1">
      <c r="A57" s="825" t="s">
        <v>2615</v>
      </c>
    </row>
    <row r="58" spans="1:1">
      <c r="A58" s="825" t="s">
        <v>2616</v>
      </c>
    </row>
    <row r="59" spans="1:1">
      <c r="A59" s="825" t="s">
        <v>2617</v>
      </c>
    </row>
    <row r="60" spans="1:1">
      <c r="A60" s="825" t="s">
        <v>2618</v>
      </c>
    </row>
    <row r="61" spans="1:1">
      <c r="A61" s="825" t="s">
        <v>2619</v>
      </c>
    </row>
    <row r="62" spans="1:1">
      <c r="A62" s="825" t="s">
        <v>2620</v>
      </c>
    </row>
    <row r="63" spans="1:1">
      <c r="A63" s="825" t="s">
        <v>2621</v>
      </c>
    </row>
    <row r="64" spans="1:1">
      <c r="A64" s="825" t="s">
        <v>2622</v>
      </c>
    </row>
    <row r="65" spans="1:1">
      <c r="A65" s="825" t="s">
        <v>2623</v>
      </c>
    </row>
    <row r="66" spans="1:1">
      <c r="A66" s="825" t="s">
        <v>2624</v>
      </c>
    </row>
    <row r="67" spans="1:1">
      <c r="A67" s="825" t="s">
        <v>2625</v>
      </c>
    </row>
    <row r="68" spans="1:1">
      <c r="A68" s="825" t="s">
        <v>2626</v>
      </c>
    </row>
    <row r="69" spans="1:1">
      <c r="A69" s="825" t="s">
        <v>2627</v>
      </c>
    </row>
    <row r="70" spans="1:1">
      <c r="A70" s="825" t="s">
        <v>2628</v>
      </c>
    </row>
    <row r="71" spans="1:1">
      <c r="A71" s="825" t="s">
        <v>2629</v>
      </c>
    </row>
    <row r="72" spans="1:1">
      <c r="A72" s="825" t="s">
        <v>2630</v>
      </c>
    </row>
    <row r="73" spans="1:1">
      <c r="A73" s="825" t="s">
        <v>2631</v>
      </c>
    </row>
    <row r="74" spans="1:1">
      <c r="A74" s="825" t="s">
        <v>2632</v>
      </c>
    </row>
    <row r="75" spans="1:1">
      <c r="A75" s="825" t="s">
        <v>2633</v>
      </c>
    </row>
    <row r="76" spans="1:1">
      <c r="A76" s="825" t="s">
        <v>2634</v>
      </c>
    </row>
    <row r="77" spans="1:1">
      <c r="A77" s="825" t="s">
        <v>2635</v>
      </c>
    </row>
    <row r="78" spans="1:1">
      <c r="A78" s="825" t="s">
        <v>2636</v>
      </c>
    </row>
    <row r="79" spans="1:1">
      <c r="A79" s="825" t="s">
        <v>2637</v>
      </c>
    </row>
    <row r="80" spans="1:1">
      <c r="A80" s="825" t="s">
        <v>2638</v>
      </c>
    </row>
    <row r="81" spans="1:1">
      <c r="A81" s="825" t="s">
        <v>2639</v>
      </c>
    </row>
    <row r="82" spans="1:1">
      <c r="A82" s="825" t="s">
        <v>2640</v>
      </c>
    </row>
    <row r="83" spans="1:1">
      <c r="A83" s="825" t="s">
        <v>2641</v>
      </c>
    </row>
    <row r="84" spans="1:1">
      <c r="A84" s="825" t="s">
        <v>2642</v>
      </c>
    </row>
    <row r="85" spans="1:1">
      <c r="A85" s="825" t="s">
        <v>2643</v>
      </c>
    </row>
    <row r="86" spans="1:1">
      <c r="A86" s="825" t="s">
        <v>2644</v>
      </c>
    </row>
    <row r="87" spans="1:1">
      <c r="A87" s="825" t="s">
        <v>2645</v>
      </c>
    </row>
    <row r="88" spans="1:1">
      <c r="A88" s="825" t="s">
        <v>2646</v>
      </c>
    </row>
    <row r="89" spans="1:1">
      <c r="A89" s="825" t="s">
        <v>2647</v>
      </c>
    </row>
    <row r="90" spans="1:1">
      <c r="A90" s="825" t="s">
        <v>2648</v>
      </c>
    </row>
    <row r="91" spans="1:1">
      <c r="A91" s="825" t="s">
        <v>2649</v>
      </c>
    </row>
    <row r="92" spans="1:1">
      <c r="A92" s="825" t="s">
        <v>2650</v>
      </c>
    </row>
    <row r="93" spans="1:1">
      <c r="A93" s="825" t="s">
        <v>2651</v>
      </c>
    </row>
    <row r="94" spans="1:1">
      <c r="A94" s="825" t="s">
        <v>2652</v>
      </c>
    </row>
    <row r="95" spans="1:1">
      <c r="A95" s="825" t="s">
        <v>2653</v>
      </c>
    </row>
    <row r="96" spans="1:1">
      <c r="A96" s="825" t="s">
        <v>2654</v>
      </c>
    </row>
    <row r="97" spans="1:1">
      <c r="A97" s="825" t="s">
        <v>2655</v>
      </c>
    </row>
    <row r="98" spans="1:1">
      <c r="A98" s="825" t="s">
        <v>2656</v>
      </c>
    </row>
    <row r="99" spans="1:1">
      <c r="A99" s="825" t="s">
        <v>2657</v>
      </c>
    </row>
    <row r="100" spans="1:1">
      <c r="A100" s="825" t="s">
        <v>2658</v>
      </c>
    </row>
    <row r="101" spans="1:1">
      <c r="A101" s="825" t="s">
        <v>2659</v>
      </c>
    </row>
    <row r="102" spans="1:1">
      <c r="A102" s="825" t="s">
        <v>2660</v>
      </c>
    </row>
    <row r="103" spans="1:1">
      <c r="A103" s="825" t="s">
        <v>2661</v>
      </c>
    </row>
    <row r="104" spans="1:1">
      <c r="A104" s="825" t="s">
        <v>2662</v>
      </c>
    </row>
    <row r="105" spans="1:1">
      <c r="A105" s="825" t="s">
        <v>2663</v>
      </c>
    </row>
    <row r="106" spans="1:1">
      <c r="A106" s="825" t="s">
        <v>2664</v>
      </c>
    </row>
    <row r="107" spans="1:1">
      <c r="A107" s="825" t="s">
        <v>2665</v>
      </c>
    </row>
    <row r="108" spans="1:1">
      <c r="A108" s="825" t="s">
        <v>2666</v>
      </c>
    </row>
    <row r="109" spans="1:1">
      <c r="A109" s="825" t="s">
        <v>2667</v>
      </c>
    </row>
    <row r="110" spans="1:1">
      <c r="A110" s="825" t="s">
        <v>2668</v>
      </c>
    </row>
    <row r="111" spans="1:1">
      <c r="A111" s="825" t="s">
        <v>2669</v>
      </c>
    </row>
    <row r="112" spans="1:1">
      <c r="A112" s="825" t="s">
        <v>2670</v>
      </c>
    </row>
    <row r="113" spans="1:1">
      <c r="A113" s="825" t="s">
        <v>2671</v>
      </c>
    </row>
    <row r="114" spans="1:1">
      <c r="A114" s="825" t="s">
        <v>2672</v>
      </c>
    </row>
    <row r="115" spans="1:1">
      <c r="A115" s="825" t="s">
        <v>2673</v>
      </c>
    </row>
    <row r="116" spans="1:1">
      <c r="A116" s="825" t="s">
        <v>2674</v>
      </c>
    </row>
    <row r="117" spans="1:1">
      <c r="A117" s="825" t="s">
        <v>2675</v>
      </c>
    </row>
    <row r="118" spans="1:1">
      <c r="A118" s="825" t="s">
        <v>2676</v>
      </c>
    </row>
    <row r="119" spans="1:1">
      <c r="A119" s="825" t="s">
        <v>2677</v>
      </c>
    </row>
    <row r="120" spans="1:1">
      <c r="A120" s="825" t="s">
        <v>2678</v>
      </c>
    </row>
    <row r="121" spans="1:1">
      <c r="A121" s="825" t="s">
        <v>2679</v>
      </c>
    </row>
    <row r="122" spans="1:1">
      <c r="A122" s="825" t="s">
        <v>2680</v>
      </c>
    </row>
    <row r="123" spans="1:1">
      <c r="A123" s="825" t="s">
        <v>2681</v>
      </c>
    </row>
    <row r="124" spans="1:1">
      <c r="A124" s="825" t="s">
        <v>2682</v>
      </c>
    </row>
    <row r="125" spans="1:1">
      <c r="A125" s="825" t="s">
        <v>2683</v>
      </c>
    </row>
    <row r="126" spans="1:1">
      <c r="A126" s="825" t="s">
        <v>2684</v>
      </c>
    </row>
    <row r="127" spans="1:1">
      <c r="A127" s="825" t="s">
        <v>2685</v>
      </c>
    </row>
    <row r="128" spans="1:1">
      <c r="A128" s="825" t="s">
        <v>2686</v>
      </c>
    </row>
    <row r="129" spans="1:1">
      <c r="A129" s="825" t="s">
        <v>2687</v>
      </c>
    </row>
    <row r="130" spans="1:1">
      <c r="A130" s="825" t="s">
        <v>2688</v>
      </c>
    </row>
    <row r="131" spans="1:1">
      <c r="A131" s="825" t="s">
        <v>2689</v>
      </c>
    </row>
    <row r="132" spans="1:1">
      <c r="A132" s="825" t="s">
        <v>2690</v>
      </c>
    </row>
    <row r="133" spans="1:1">
      <c r="A133" s="825" t="s">
        <v>2691</v>
      </c>
    </row>
    <row r="134" spans="1:1">
      <c r="A134" s="825" t="s">
        <v>2692</v>
      </c>
    </row>
    <row r="135" spans="1:1">
      <c r="A135" s="825" t="s">
        <v>2693</v>
      </c>
    </row>
    <row r="136" spans="1:1">
      <c r="A136" s="825" t="s">
        <v>2694</v>
      </c>
    </row>
    <row r="137" spans="1:1">
      <c r="A137" s="825" t="s">
        <v>2695</v>
      </c>
    </row>
    <row r="138" spans="1:1">
      <c r="A138" s="825" t="s">
        <v>2696</v>
      </c>
    </row>
    <row r="139" spans="1:1">
      <c r="A139" s="825" t="s">
        <v>2697</v>
      </c>
    </row>
    <row r="140" spans="1:1">
      <c r="A140" s="825" t="s">
        <v>2698</v>
      </c>
    </row>
    <row r="141" spans="1:1">
      <c r="A141" s="825" t="s">
        <v>2699</v>
      </c>
    </row>
    <row r="142" spans="1:1">
      <c r="A142" s="825" t="s">
        <v>2700</v>
      </c>
    </row>
    <row r="143" spans="1:1">
      <c r="A143" s="825" t="s">
        <v>2701</v>
      </c>
    </row>
    <row r="144" spans="1:1">
      <c r="A144" s="825" t="s">
        <v>2702</v>
      </c>
    </row>
    <row r="145" spans="1:1">
      <c r="A145" s="825" t="s">
        <v>2703</v>
      </c>
    </row>
    <row r="146" spans="1:1">
      <c r="A146" s="825" t="s">
        <v>2704</v>
      </c>
    </row>
    <row r="147" spans="1:1">
      <c r="A147" s="825" t="s">
        <v>2705</v>
      </c>
    </row>
    <row r="148" spans="1:1">
      <c r="A148" s="825" t="s">
        <v>2706</v>
      </c>
    </row>
    <row r="149" spans="1:1">
      <c r="A149" s="825" t="s">
        <v>2707</v>
      </c>
    </row>
    <row r="150" spans="1:1">
      <c r="A150" s="825" t="s">
        <v>2708</v>
      </c>
    </row>
    <row r="151" spans="1:1">
      <c r="A151" s="825" t="s">
        <v>2709</v>
      </c>
    </row>
    <row r="152" spans="1:1">
      <c r="A152" s="825" t="s">
        <v>2710</v>
      </c>
    </row>
    <row r="153" spans="1:1">
      <c r="A153" s="825" t="s">
        <v>2711</v>
      </c>
    </row>
    <row r="154" spans="1:1">
      <c r="A154" s="825" t="s">
        <v>2712</v>
      </c>
    </row>
    <row r="155" spans="1:1">
      <c r="A155" s="825" t="s">
        <v>2713</v>
      </c>
    </row>
    <row r="156" spans="1:1">
      <c r="A156" s="825" t="s">
        <v>2714</v>
      </c>
    </row>
    <row r="157" spans="1:1">
      <c r="A157" s="825" t="s">
        <v>2715</v>
      </c>
    </row>
    <row r="158" spans="1:1">
      <c r="A158" s="825" t="s">
        <v>2716</v>
      </c>
    </row>
    <row r="159" spans="1:1">
      <c r="A159" s="825" t="s">
        <v>2717</v>
      </c>
    </row>
    <row r="160" spans="1:1">
      <c r="A160" s="825" t="s">
        <v>2718</v>
      </c>
    </row>
    <row r="161" spans="1:1">
      <c r="A161" s="825" t="s">
        <v>2719</v>
      </c>
    </row>
    <row r="162" spans="1:1">
      <c r="A162" s="825" t="s">
        <v>2720</v>
      </c>
    </row>
    <row r="163" spans="1:1">
      <c r="A163" s="825" t="s">
        <v>2721</v>
      </c>
    </row>
    <row r="164" spans="1:1">
      <c r="A164" s="825" t="s">
        <v>2722</v>
      </c>
    </row>
    <row r="165" spans="1:1">
      <c r="A165" s="825" t="s">
        <v>2723</v>
      </c>
    </row>
    <row r="166" spans="1:1">
      <c r="A166" s="825" t="s">
        <v>2724</v>
      </c>
    </row>
    <row r="167" spans="1:1">
      <c r="A167" s="825" t="s">
        <v>2725</v>
      </c>
    </row>
    <row r="168" spans="1:1">
      <c r="A168" s="825" t="s">
        <v>2726</v>
      </c>
    </row>
    <row r="169" spans="1:1">
      <c r="A169" s="825" t="s">
        <v>2727</v>
      </c>
    </row>
    <row r="170" spans="1:1">
      <c r="A170" s="825" t="s">
        <v>2728</v>
      </c>
    </row>
    <row r="171" spans="1:1">
      <c r="A171" s="825" t="s">
        <v>2729</v>
      </c>
    </row>
    <row r="172" spans="1:1">
      <c r="A172" s="825" t="s">
        <v>2730</v>
      </c>
    </row>
    <row r="173" spans="1:1">
      <c r="A173" s="825" t="s">
        <v>2731</v>
      </c>
    </row>
    <row r="174" spans="1:1">
      <c r="A174" s="825" t="s">
        <v>2732</v>
      </c>
    </row>
    <row r="175" spans="1:1">
      <c r="A175" s="825" t="s">
        <v>2733</v>
      </c>
    </row>
    <row r="176" spans="1:1">
      <c r="A176" s="825" t="s">
        <v>2734</v>
      </c>
    </row>
    <row r="177" spans="1:1">
      <c r="A177" s="825" t="s">
        <v>2735</v>
      </c>
    </row>
    <row r="178" spans="1:1">
      <c r="A178" s="825" t="s">
        <v>2736</v>
      </c>
    </row>
    <row r="179" spans="1:1">
      <c r="A179" s="825" t="s">
        <v>2737</v>
      </c>
    </row>
    <row r="180" spans="1:1">
      <c r="A180" s="825" t="s">
        <v>2738</v>
      </c>
    </row>
    <row r="181" spans="1:1">
      <c r="A181" s="825" t="s">
        <v>2739</v>
      </c>
    </row>
    <row r="182" spans="1:1">
      <c r="A182" s="825" t="s">
        <v>2740</v>
      </c>
    </row>
    <row r="183" spans="1:1">
      <c r="A183" s="825" t="s">
        <v>2741</v>
      </c>
    </row>
    <row r="184" spans="1:1">
      <c r="A184" s="825" t="s">
        <v>2742</v>
      </c>
    </row>
    <row r="185" spans="1:1">
      <c r="A185" s="825" t="s">
        <v>2743</v>
      </c>
    </row>
    <row r="186" spans="1:1">
      <c r="A186" s="825" t="s">
        <v>2744</v>
      </c>
    </row>
    <row r="187" spans="1:1">
      <c r="A187" s="825" t="s">
        <v>2745</v>
      </c>
    </row>
    <row r="188" spans="1:1">
      <c r="A188" s="825" t="s">
        <v>2746</v>
      </c>
    </row>
    <row r="189" spans="1:1">
      <c r="A189" s="825" t="s">
        <v>2747</v>
      </c>
    </row>
    <row r="190" spans="1:1">
      <c r="A190" s="825" t="s">
        <v>2748</v>
      </c>
    </row>
    <row r="191" spans="1:1">
      <c r="A191" s="825" t="s">
        <v>2749</v>
      </c>
    </row>
    <row r="192" spans="1:1">
      <c r="A192" s="825" t="s">
        <v>2750</v>
      </c>
    </row>
    <row r="193" spans="1:1">
      <c r="A193" s="825" t="s">
        <v>2751</v>
      </c>
    </row>
    <row r="194" spans="1:1">
      <c r="A194" s="825" t="s">
        <v>2752</v>
      </c>
    </row>
    <row r="195" spans="1:1">
      <c r="A195" s="825" t="s">
        <v>2753</v>
      </c>
    </row>
    <row r="196" spans="1:1">
      <c r="A196" s="825" t="s">
        <v>2754</v>
      </c>
    </row>
    <row r="197" spans="1:1">
      <c r="A197" s="825" t="s">
        <v>2755</v>
      </c>
    </row>
    <row r="198" spans="1:1">
      <c r="A198" s="825" t="s">
        <v>2756</v>
      </c>
    </row>
    <row r="199" spans="1:1">
      <c r="A199" s="825" t="s">
        <v>2757</v>
      </c>
    </row>
    <row r="200" spans="1:1">
      <c r="A200" s="825" t="s">
        <v>2758</v>
      </c>
    </row>
    <row r="201" spans="1:1">
      <c r="A201" s="825" t="s">
        <v>2759</v>
      </c>
    </row>
    <row r="202" spans="1:1">
      <c r="A202" s="825" t="s">
        <v>2760</v>
      </c>
    </row>
  </sheetData>
  <phoneticPr fontId="3"/>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214"/>
  <sheetViews>
    <sheetView view="pageBreakPreview" topLeftCell="A13" zoomScale="85" zoomScaleNormal="40" zoomScaleSheetLayoutView="85" workbookViewId="0">
      <selection activeCell="F32" sqref="F32"/>
    </sheetView>
  </sheetViews>
  <sheetFormatPr defaultColWidth="9" defaultRowHeight="13.5" customHeight="1"/>
  <cols>
    <col min="1" max="1" width="2.5" style="845" customWidth="1"/>
    <col min="2" max="2" width="3.5" style="845" customWidth="1"/>
    <col min="3" max="3" width="21.5" style="845" customWidth="1"/>
    <col min="4" max="4" width="4" style="845" customWidth="1"/>
    <col min="5" max="5" width="5.375" style="845" customWidth="1"/>
    <col min="6" max="6" width="17.625" style="845" customWidth="1"/>
    <col min="7" max="14" width="14.25" style="1238" customWidth="1"/>
    <col min="15" max="16384" width="9" style="845"/>
  </cols>
  <sheetData>
    <row r="1" spans="1:15" ht="13.5" customHeight="1">
      <c r="A1" s="836"/>
      <c r="B1" s="836"/>
      <c r="C1" s="837"/>
      <c r="D1" s="837"/>
      <c r="E1" s="838" t="s">
        <v>346</v>
      </c>
      <c r="F1" s="839" t="str">
        <f>表紙!D12</f>
        <v>大阪ビジネスパーク駅中階天井改良工事</v>
      </c>
      <c r="G1" s="840"/>
      <c r="H1" s="841"/>
      <c r="I1" s="842"/>
      <c r="J1" s="842"/>
      <c r="K1" s="842"/>
      <c r="L1" s="842"/>
      <c r="M1" s="843" t="s">
        <v>2794</v>
      </c>
      <c r="N1" s="844" t="s">
        <v>2795</v>
      </c>
    </row>
    <row r="2" spans="1:15" ht="13.5" customHeight="1">
      <c r="A2" s="846"/>
      <c r="B2" s="846"/>
      <c r="C2" s="847" t="s">
        <v>2796</v>
      </c>
      <c r="D2" s="848"/>
      <c r="E2" s="837"/>
      <c r="F2" s="836"/>
      <c r="G2" s="849"/>
      <c r="H2" s="842"/>
      <c r="I2" s="845"/>
      <c r="J2" s="842"/>
      <c r="K2" s="842"/>
      <c r="L2" s="842"/>
      <c r="M2" s="836"/>
      <c r="N2" s="850"/>
    </row>
    <row r="3" spans="1:15" s="859" customFormat="1" ht="13.5" customHeight="1">
      <c r="A3" s="851"/>
      <c r="B3" s="852"/>
      <c r="C3" s="853" t="s">
        <v>2797</v>
      </c>
      <c r="D3" s="854"/>
      <c r="E3" s="855"/>
      <c r="F3" s="856" t="s">
        <v>2798</v>
      </c>
      <c r="G3" s="857">
        <f>+表紙!R13</f>
        <v>3.3</v>
      </c>
      <c r="H3" s="857"/>
      <c r="I3" s="857"/>
      <c r="J3" s="857"/>
      <c r="K3" s="857"/>
      <c r="L3" s="857"/>
      <c r="M3" s="857"/>
      <c r="N3" s="858"/>
    </row>
    <row r="4" spans="1:15" s="859" customFormat="1" ht="13.5" customHeight="1">
      <c r="A4" s="860"/>
      <c r="B4" s="861"/>
      <c r="C4" s="862" t="s">
        <v>2799</v>
      </c>
      <c r="D4" s="863"/>
      <c r="E4" s="864"/>
      <c r="F4" s="865" t="s">
        <v>2800</v>
      </c>
      <c r="G4" s="866" t="s">
        <v>2954</v>
      </c>
      <c r="H4" s="866"/>
      <c r="I4" s="866"/>
      <c r="J4" s="866"/>
      <c r="K4" s="866"/>
      <c r="L4" s="866"/>
      <c r="M4" s="866"/>
      <c r="N4" s="867"/>
    </row>
    <row r="5" spans="1:15" ht="13.5" customHeight="1">
      <c r="A5" s="860"/>
      <c r="B5" s="861"/>
      <c r="C5" s="861" t="s">
        <v>2801</v>
      </c>
      <c r="D5" s="861"/>
      <c r="E5" s="868" t="s">
        <v>2802</v>
      </c>
      <c r="F5" s="869" t="s">
        <v>2803</v>
      </c>
      <c r="G5" s="870" t="s">
        <v>2561</v>
      </c>
      <c r="H5" s="870" t="s">
        <v>2562</v>
      </c>
      <c r="I5" s="870" t="s">
        <v>2563</v>
      </c>
      <c r="J5" s="870" t="s">
        <v>2564</v>
      </c>
      <c r="K5" s="870" t="s">
        <v>2565</v>
      </c>
      <c r="L5" s="870" t="s">
        <v>2566</v>
      </c>
      <c r="M5" s="870" t="s">
        <v>2567</v>
      </c>
      <c r="N5" s="871" t="s">
        <v>2568</v>
      </c>
    </row>
    <row r="6" spans="1:15" ht="13.5" customHeight="1">
      <c r="A6" s="860"/>
      <c r="B6" s="861"/>
      <c r="C6" s="861" t="s">
        <v>2804</v>
      </c>
      <c r="D6" s="861"/>
      <c r="E6" s="868" t="s">
        <v>2802</v>
      </c>
      <c r="F6" s="872" t="s">
        <v>2806</v>
      </c>
      <c r="G6" s="873" t="s">
        <v>3273</v>
      </c>
      <c r="H6" s="874"/>
      <c r="I6" s="874"/>
      <c r="J6" s="874"/>
      <c r="K6" s="874"/>
      <c r="L6" s="874"/>
      <c r="M6" s="874"/>
      <c r="N6" s="875"/>
    </row>
    <row r="7" spans="1:15" s="880" customFormat="1" ht="13.5" customHeight="1">
      <c r="A7" s="876"/>
      <c r="B7" s="877"/>
      <c r="C7" s="2352" t="s">
        <v>2807</v>
      </c>
      <c r="D7" s="2352"/>
      <c r="E7" s="2352"/>
      <c r="F7" s="2353"/>
      <c r="G7" s="878" t="s">
        <v>2808</v>
      </c>
      <c r="H7" s="878" t="s">
        <v>2808</v>
      </c>
      <c r="I7" s="878" t="s">
        <v>2808</v>
      </c>
      <c r="J7" s="878" t="s">
        <v>2808</v>
      </c>
      <c r="K7" s="878" t="s">
        <v>2808</v>
      </c>
      <c r="L7" s="878" t="s">
        <v>2808</v>
      </c>
      <c r="M7" s="878" t="s">
        <v>2808</v>
      </c>
      <c r="N7" s="879" t="s">
        <v>2808</v>
      </c>
    </row>
    <row r="8" spans="1:15" s="880" customFormat="1" ht="30" customHeight="1">
      <c r="A8" s="2354" t="s">
        <v>2809</v>
      </c>
      <c r="B8" s="2355"/>
      <c r="C8" s="2355"/>
      <c r="D8" s="2355"/>
      <c r="E8" s="2355"/>
      <c r="F8" s="2356"/>
      <c r="G8" s="881" t="s">
        <v>2810</v>
      </c>
      <c r="H8" s="881" t="s">
        <v>2810</v>
      </c>
      <c r="I8" s="881" t="s">
        <v>2810</v>
      </c>
      <c r="J8" s="881" t="s">
        <v>2810</v>
      </c>
      <c r="K8" s="881" t="s">
        <v>2810</v>
      </c>
      <c r="L8" s="881" t="s">
        <v>2810</v>
      </c>
      <c r="M8" s="881" t="s">
        <v>2810</v>
      </c>
      <c r="N8" s="882" t="s">
        <v>2810</v>
      </c>
      <c r="O8" s="880">
        <f>IF(AND(G8="有り",G9="無し"),0.72,IF(AND(G8="有り",G9="有り"),0.8,IF(AND(G8="無し",G9="無し"),0.9,IF(AND(G8="無し",G9="有り"),1,0))))</f>
        <v>0</v>
      </c>
    </row>
    <row r="9" spans="1:15" s="880" customFormat="1" ht="30" customHeight="1">
      <c r="A9" s="2357" t="s">
        <v>2811</v>
      </c>
      <c r="B9" s="2358"/>
      <c r="C9" s="2358"/>
      <c r="D9" s="2358"/>
      <c r="E9" s="2358"/>
      <c r="F9" s="2359"/>
      <c r="G9" s="883" t="s">
        <v>2805</v>
      </c>
      <c r="H9" s="883" t="s">
        <v>2805</v>
      </c>
      <c r="I9" s="883" t="s">
        <v>2805</v>
      </c>
      <c r="J9" s="883" t="s">
        <v>2805</v>
      </c>
      <c r="K9" s="883" t="s">
        <v>2805</v>
      </c>
      <c r="L9" s="883" t="s">
        <v>2805</v>
      </c>
      <c r="M9" s="883" t="s">
        <v>2805</v>
      </c>
      <c r="N9" s="884" t="s">
        <v>2805</v>
      </c>
    </row>
    <row r="10" spans="1:15" ht="13.5" customHeight="1">
      <c r="A10" s="851"/>
      <c r="B10" s="885" t="s">
        <v>2812</v>
      </c>
      <c r="C10" s="886"/>
      <c r="D10" s="886"/>
      <c r="E10" s="887"/>
      <c r="F10" s="888">
        <f>SUM(G10:N10)</f>
        <v>8530401</v>
      </c>
      <c r="G10" s="889">
        <f>+G11+G15</f>
        <v>8530401</v>
      </c>
      <c r="H10" s="889">
        <f t="shared" ref="H10:N10" si="0">+H11+H15</f>
        <v>0</v>
      </c>
      <c r="I10" s="889">
        <f t="shared" si="0"/>
        <v>0</v>
      </c>
      <c r="J10" s="889">
        <f>+J11+J15</f>
        <v>0</v>
      </c>
      <c r="K10" s="889">
        <f>+K11+K15</f>
        <v>0</v>
      </c>
      <c r="L10" s="889">
        <f t="shared" si="0"/>
        <v>0</v>
      </c>
      <c r="M10" s="889">
        <f t="shared" si="0"/>
        <v>0</v>
      </c>
      <c r="N10" s="890">
        <f t="shared" si="0"/>
        <v>0</v>
      </c>
    </row>
    <row r="11" spans="1:15" ht="13.5" customHeight="1">
      <c r="A11" s="860"/>
      <c r="B11" s="861"/>
      <c r="C11" s="891" t="s">
        <v>2813</v>
      </c>
      <c r="D11" s="892"/>
      <c r="E11" s="893"/>
      <c r="F11" s="894">
        <f>SUM(G11:N11)</f>
        <v>7963823</v>
      </c>
      <c r="G11" s="895">
        <f>+工事1!I16</f>
        <v>7963823</v>
      </c>
      <c r="H11" s="895"/>
      <c r="I11" s="895"/>
      <c r="J11" s="895"/>
      <c r="K11" s="895"/>
      <c r="L11" s="895"/>
      <c r="M11" s="895"/>
      <c r="N11" s="896"/>
    </row>
    <row r="12" spans="1:15" ht="13.5" customHeight="1">
      <c r="A12" s="860"/>
      <c r="B12" s="861"/>
      <c r="C12" s="897"/>
      <c r="D12" s="897"/>
      <c r="E12" s="898"/>
      <c r="F12" s="899" t="s">
        <v>2814</v>
      </c>
      <c r="G12" s="900">
        <f>SUM(G104:G113)</f>
        <v>34180</v>
      </c>
      <c r="H12" s="900">
        <f t="shared" ref="H12:N12" si="1">SUM(H104:H113)</f>
        <v>0</v>
      </c>
      <c r="I12" s="900">
        <f t="shared" si="1"/>
        <v>0</v>
      </c>
      <c r="J12" s="900">
        <f>SUM(J104:J113)</f>
        <v>0</v>
      </c>
      <c r="K12" s="900">
        <f>SUM(K104:K113)</f>
        <v>0</v>
      </c>
      <c r="L12" s="900">
        <f t="shared" si="1"/>
        <v>0</v>
      </c>
      <c r="M12" s="900">
        <f t="shared" si="1"/>
        <v>0</v>
      </c>
      <c r="N12" s="901">
        <f t="shared" si="1"/>
        <v>0</v>
      </c>
    </row>
    <row r="13" spans="1:15" ht="13.5" customHeight="1">
      <c r="A13" s="860"/>
      <c r="B13" s="861"/>
      <c r="C13" s="897"/>
      <c r="D13" s="897"/>
      <c r="E13" s="898"/>
      <c r="F13" s="899" t="s">
        <v>2815</v>
      </c>
      <c r="G13" s="900">
        <f>SUM(G150:G152)</f>
        <v>0</v>
      </c>
      <c r="H13" s="900">
        <f t="shared" ref="H13:N13" si="2">SUM(H150:H152)</f>
        <v>0</v>
      </c>
      <c r="I13" s="900">
        <f t="shared" si="2"/>
        <v>0</v>
      </c>
      <c r="J13" s="900">
        <f>SUM(J150:J152)</f>
        <v>0</v>
      </c>
      <c r="K13" s="900">
        <f>SUM(K150:K152)</f>
        <v>0</v>
      </c>
      <c r="L13" s="900">
        <f t="shared" si="2"/>
        <v>0</v>
      </c>
      <c r="M13" s="900">
        <f t="shared" si="2"/>
        <v>0</v>
      </c>
      <c r="N13" s="901">
        <f t="shared" si="2"/>
        <v>0</v>
      </c>
    </row>
    <row r="14" spans="1:15" ht="13.5" customHeight="1">
      <c r="A14" s="860"/>
      <c r="B14" s="861"/>
      <c r="C14" s="897"/>
      <c r="D14" s="897"/>
      <c r="E14" s="898"/>
      <c r="F14" s="902" t="s">
        <v>2816</v>
      </c>
      <c r="G14" s="900">
        <f>+G53</f>
        <v>0</v>
      </c>
      <c r="H14" s="900">
        <f t="shared" ref="H14:N14" si="3">+H53</f>
        <v>0</v>
      </c>
      <c r="I14" s="900">
        <f t="shared" si="3"/>
        <v>0</v>
      </c>
      <c r="J14" s="900">
        <f t="shared" si="3"/>
        <v>0</v>
      </c>
      <c r="K14" s="900">
        <f>+K53</f>
        <v>0</v>
      </c>
      <c r="L14" s="900">
        <f t="shared" si="3"/>
        <v>0</v>
      </c>
      <c r="M14" s="900">
        <f t="shared" si="3"/>
        <v>0</v>
      </c>
      <c r="N14" s="901">
        <f t="shared" si="3"/>
        <v>0</v>
      </c>
    </row>
    <row r="15" spans="1:15" s="910" customFormat="1" ht="13.5" customHeight="1">
      <c r="A15" s="903"/>
      <c r="B15" s="904"/>
      <c r="C15" s="905" t="s">
        <v>2817</v>
      </c>
      <c r="D15" s="905"/>
      <c r="E15" s="906"/>
      <c r="F15" s="907">
        <f t="shared" ref="F15:F32" si="4">SUM(G15:N15)</f>
        <v>566578</v>
      </c>
      <c r="G15" s="908">
        <f>G16+G17</f>
        <v>566578</v>
      </c>
      <c r="H15" s="908">
        <f t="shared" ref="H15:N15" si="5">H16+H17</f>
        <v>0</v>
      </c>
      <c r="I15" s="908">
        <f t="shared" si="5"/>
        <v>0</v>
      </c>
      <c r="J15" s="908">
        <f t="shared" si="5"/>
        <v>0</v>
      </c>
      <c r="K15" s="908">
        <f>K16+K17</f>
        <v>0</v>
      </c>
      <c r="L15" s="908">
        <f t="shared" si="5"/>
        <v>0</v>
      </c>
      <c r="M15" s="908">
        <f t="shared" si="5"/>
        <v>0</v>
      </c>
      <c r="N15" s="909">
        <f t="shared" si="5"/>
        <v>0</v>
      </c>
    </row>
    <row r="16" spans="1:15" s="910" customFormat="1" ht="13.5" customHeight="1">
      <c r="A16" s="903"/>
      <c r="B16" s="904"/>
      <c r="C16" s="911" t="s">
        <v>2818</v>
      </c>
      <c r="D16" s="905"/>
      <c r="E16" s="906"/>
      <c r="F16" s="899">
        <f t="shared" si="4"/>
        <v>261678</v>
      </c>
      <c r="G16" s="908">
        <f t="shared" ref="G16:N16" si="6">IF(G7="積上げ",0,G93)</f>
        <v>261678</v>
      </c>
      <c r="H16" s="908">
        <f t="shared" si="6"/>
        <v>0</v>
      </c>
      <c r="I16" s="908">
        <f t="shared" si="6"/>
        <v>0</v>
      </c>
      <c r="J16" s="908">
        <f t="shared" si="6"/>
        <v>0</v>
      </c>
      <c r="K16" s="908">
        <f>IF(K7="積上げ",0,K93)</f>
        <v>0</v>
      </c>
      <c r="L16" s="908">
        <f t="shared" si="6"/>
        <v>0</v>
      </c>
      <c r="M16" s="908">
        <f t="shared" si="6"/>
        <v>0</v>
      </c>
      <c r="N16" s="909">
        <f t="shared" si="6"/>
        <v>0</v>
      </c>
    </row>
    <row r="17" spans="1:14" ht="13.5" customHeight="1">
      <c r="A17" s="860"/>
      <c r="B17" s="861"/>
      <c r="C17" s="911" t="s">
        <v>2819</v>
      </c>
      <c r="D17" s="905"/>
      <c r="E17" s="898"/>
      <c r="F17" s="899">
        <f t="shared" si="4"/>
        <v>304900</v>
      </c>
      <c r="G17" s="912">
        <f>+工事1!I45</f>
        <v>304900</v>
      </c>
      <c r="H17" s="912"/>
      <c r="I17" s="912"/>
      <c r="J17" s="912"/>
      <c r="K17" s="912"/>
      <c r="L17" s="912"/>
      <c r="M17" s="912"/>
      <c r="N17" s="913"/>
    </row>
    <row r="18" spans="1:14" ht="13.5" customHeight="1">
      <c r="A18" s="860"/>
      <c r="B18" s="861"/>
      <c r="C18" s="914" t="s">
        <v>2820</v>
      </c>
      <c r="D18" s="905"/>
      <c r="E18" s="898"/>
      <c r="F18" s="899">
        <f t="shared" si="4"/>
        <v>0</v>
      </c>
      <c r="G18" s="912"/>
      <c r="H18" s="912"/>
      <c r="I18" s="912"/>
      <c r="J18" s="912"/>
      <c r="K18" s="912"/>
      <c r="L18" s="912"/>
      <c r="M18" s="912"/>
      <c r="N18" s="913"/>
    </row>
    <row r="19" spans="1:14" ht="13.5" customHeight="1">
      <c r="A19" s="860"/>
      <c r="B19" s="861"/>
      <c r="C19" s="915" t="s">
        <v>2821</v>
      </c>
      <c r="D19" s="916"/>
      <c r="E19" s="917"/>
      <c r="F19" s="918">
        <f t="shared" si="4"/>
        <v>0</v>
      </c>
      <c r="G19" s="919"/>
      <c r="H19" s="919"/>
      <c r="I19" s="919"/>
      <c r="J19" s="919"/>
      <c r="K19" s="919"/>
      <c r="L19" s="919"/>
      <c r="M19" s="919"/>
      <c r="N19" s="920"/>
    </row>
    <row r="20" spans="1:14" ht="13.5" customHeight="1">
      <c r="A20" s="921"/>
      <c r="B20" s="922"/>
      <c r="C20" s="923" t="s">
        <v>2822</v>
      </c>
      <c r="D20" s="924"/>
      <c r="E20" s="925"/>
      <c r="F20" s="926">
        <f t="shared" si="4"/>
        <v>0</v>
      </c>
      <c r="G20" s="927">
        <f>+G54</f>
        <v>0</v>
      </c>
      <c r="H20" s="927">
        <f t="shared" ref="H20:N20" si="7">+H54</f>
        <v>0</v>
      </c>
      <c r="I20" s="927">
        <f t="shared" si="7"/>
        <v>0</v>
      </c>
      <c r="J20" s="927">
        <f t="shared" si="7"/>
        <v>0</v>
      </c>
      <c r="K20" s="927">
        <f>+K54</f>
        <v>0</v>
      </c>
      <c r="L20" s="927">
        <f t="shared" si="7"/>
        <v>0</v>
      </c>
      <c r="M20" s="927">
        <f t="shared" si="7"/>
        <v>0</v>
      </c>
      <c r="N20" s="928">
        <f t="shared" si="7"/>
        <v>0</v>
      </c>
    </row>
    <row r="21" spans="1:14" ht="13.5" customHeight="1">
      <c r="A21" s="860"/>
      <c r="B21" s="916" t="s">
        <v>2823</v>
      </c>
      <c r="C21" s="916"/>
      <c r="D21" s="916"/>
      <c r="E21" s="917"/>
      <c r="F21" s="918">
        <f t="shared" si="4"/>
        <v>3129599</v>
      </c>
      <c r="G21" s="929">
        <f>G22+G27</f>
        <v>3129599</v>
      </c>
      <c r="H21" s="930">
        <f t="shared" ref="H21:N21" si="8">H22+H27</f>
        <v>0</v>
      </c>
      <c r="I21" s="930">
        <f t="shared" si="8"/>
        <v>0</v>
      </c>
      <c r="J21" s="930">
        <f t="shared" si="8"/>
        <v>0</v>
      </c>
      <c r="K21" s="930">
        <f>K22+K27</f>
        <v>0</v>
      </c>
      <c r="L21" s="930">
        <f t="shared" si="8"/>
        <v>0</v>
      </c>
      <c r="M21" s="930">
        <f t="shared" si="8"/>
        <v>0</v>
      </c>
      <c r="N21" s="931">
        <f t="shared" si="8"/>
        <v>0</v>
      </c>
    </row>
    <row r="22" spans="1:14" s="910" customFormat="1" ht="13.5" customHeight="1">
      <c r="A22" s="903"/>
      <c r="B22" s="904"/>
      <c r="C22" s="932" t="s">
        <v>2824</v>
      </c>
      <c r="D22" s="932"/>
      <c r="E22" s="933"/>
      <c r="F22" s="934">
        <f t="shared" si="4"/>
        <v>1495334</v>
      </c>
      <c r="G22" s="935">
        <f>G23+G26</f>
        <v>1495334</v>
      </c>
      <c r="H22" s="936">
        <f t="shared" ref="H22:N22" si="9">H23+H26</f>
        <v>0</v>
      </c>
      <c r="I22" s="936">
        <f t="shared" si="9"/>
        <v>0</v>
      </c>
      <c r="J22" s="936">
        <f t="shared" si="9"/>
        <v>0</v>
      </c>
      <c r="K22" s="936">
        <f>K23+K26</f>
        <v>0</v>
      </c>
      <c r="L22" s="936">
        <f t="shared" si="9"/>
        <v>0</v>
      </c>
      <c r="M22" s="936">
        <f t="shared" si="9"/>
        <v>0</v>
      </c>
      <c r="N22" s="937">
        <f t="shared" si="9"/>
        <v>0</v>
      </c>
    </row>
    <row r="23" spans="1:14" s="910" customFormat="1" ht="13.5" customHeight="1">
      <c r="A23" s="903"/>
      <c r="B23" s="904"/>
      <c r="C23" s="938" t="s">
        <v>2825</v>
      </c>
      <c r="D23" s="938"/>
      <c r="E23" s="939"/>
      <c r="F23" s="907">
        <f t="shared" si="4"/>
        <v>1495334</v>
      </c>
      <c r="G23" s="940">
        <f>SUM(G24:G25)-G26</f>
        <v>1495334</v>
      </c>
      <c r="H23" s="941">
        <f t="shared" ref="H23:N23" si="10">SUM(H24:H25)-H26</f>
        <v>0</v>
      </c>
      <c r="I23" s="941">
        <f t="shared" si="10"/>
        <v>0</v>
      </c>
      <c r="J23" s="941">
        <f t="shared" si="10"/>
        <v>0</v>
      </c>
      <c r="K23" s="941">
        <f>SUM(K24:K25)-K26</f>
        <v>0</v>
      </c>
      <c r="L23" s="941">
        <f t="shared" si="10"/>
        <v>0</v>
      </c>
      <c r="M23" s="941">
        <f t="shared" si="10"/>
        <v>0</v>
      </c>
      <c r="N23" s="942">
        <f t="shared" si="10"/>
        <v>0</v>
      </c>
    </row>
    <row r="24" spans="1:14" s="910" customFormat="1" ht="12.75" customHeight="1">
      <c r="A24" s="903"/>
      <c r="B24" s="904"/>
      <c r="C24" s="943" t="s">
        <v>2826</v>
      </c>
      <c r="D24" s="943"/>
      <c r="E24" s="906"/>
      <c r="F24" s="907">
        <f t="shared" si="4"/>
        <v>1495334</v>
      </c>
      <c r="G24" s="944">
        <f>SUM(G119:G121)+G117</f>
        <v>1495334</v>
      </c>
      <c r="H24" s="908">
        <f t="shared" ref="H24:N24" si="11">SUM(H119:H121)+H117</f>
        <v>0</v>
      </c>
      <c r="I24" s="908">
        <f t="shared" si="11"/>
        <v>0</v>
      </c>
      <c r="J24" s="908">
        <f t="shared" si="11"/>
        <v>0</v>
      </c>
      <c r="K24" s="908">
        <f>SUM(K119:K121)+K117</f>
        <v>0</v>
      </c>
      <c r="L24" s="908">
        <f t="shared" si="11"/>
        <v>0</v>
      </c>
      <c r="M24" s="908">
        <f t="shared" si="11"/>
        <v>0</v>
      </c>
      <c r="N24" s="909">
        <f t="shared" si="11"/>
        <v>0</v>
      </c>
    </row>
    <row r="25" spans="1:14" s="910" customFormat="1" ht="13.5" customHeight="1">
      <c r="A25" s="903"/>
      <c r="B25" s="904"/>
      <c r="C25" s="943" t="s">
        <v>2827</v>
      </c>
      <c r="D25" s="943"/>
      <c r="E25" s="906"/>
      <c r="F25" s="907">
        <f t="shared" si="4"/>
        <v>0</v>
      </c>
      <c r="G25" s="944">
        <f>SUM(G122:G133)</f>
        <v>0</v>
      </c>
      <c r="H25" s="908">
        <f t="shared" ref="H25:N25" si="12">SUM(H122:H133)</f>
        <v>0</v>
      </c>
      <c r="I25" s="908">
        <f t="shared" si="12"/>
        <v>0</v>
      </c>
      <c r="J25" s="908">
        <f>SUM(J122:J133)</f>
        <v>0</v>
      </c>
      <c r="K25" s="908">
        <f>SUM(K122:K133)</f>
        <v>0</v>
      </c>
      <c r="L25" s="908">
        <f t="shared" si="12"/>
        <v>0</v>
      </c>
      <c r="M25" s="908">
        <f t="shared" si="12"/>
        <v>0</v>
      </c>
      <c r="N25" s="909">
        <f t="shared" si="12"/>
        <v>0</v>
      </c>
    </row>
    <row r="26" spans="1:14" ht="13.5" customHeight="1">
      <c r="A26" s="860"/>
      <c r="B26" s="861"/>
      <c r="C26" s="943" t="s">
        <v>2828</v>
      </c>
      <c r="D26" s="943"/>
      <c r="E26" s="898"/>
      <c r="F26" s="907">
        <f t="shared" si="4"/>
        <v>0</v>
      </c>
      <c r="G26" s="944">
        <f>+G131</f>
        <v>0</v>
      </c>
      <c r="H26" s="908">
        <f t="shared" ref="H26:N26" si="13">+H131</f>
        <v>0</v>
      </c>
      <c r="I26" s="908">
        <f t="shared" si="13"/>
        <v>0</v>
      </c>
      <c r="J26" s="908">
        <f t="shared" si="13"/>
        <v>0</v>
      </c>
      <c r="K26" s="908">
        <f>+K131</f>
        <v>0</v>
      </c>
      <c r="L26" s="908">
        <f t="shared" si="13"/>
        <v>0</v>
      </c>
      <c r="M26" s="908">
        <f t="shared" si="13"/>
        <v>0</v>
      </c>
      <c r="N26" s="909">
        <f t="shared" si="13"/>
        <v>0</v>
      </c>
    </row>
    <row r="27" spans="1:14" s="951" customFormat="1" ht="13.5" customHeight="1">
      <c r="A27" s="945"/>
      <c r="B27" s="946"/>
      <c r="C27" s="947" t="s">
        <v>2829</v>
      </c>
      <c r="D27" s="947"/>
      <c r="E27" s="948"/>
      <c r="F27" s="949">
        <f t="shared" si="4"/>
        <v>1634265</v>
      </c>
      <c r="G27" s="944">
        <f>SUM(G28:G31)</f>
        <v>1634265</v>
      </c>
      <c r="H27" s="944">
        <f t="shared" ref="H27:N27" si="14">SUM(H28:H31)</f>
        <v>0</v>
      </c>
      <c r="I27" s="944">
        <f t="shared" si="14"/>
        <v>0</v>
      </c>
      <c r="J27" s="944">
        <f t="shared" si="14"/>
        <v>0</v>
      </c>
      <c r="K27" s="944">
        <f t="shared" si="14"/>
        <v>0</v>
      </c>
      <c r="L27" s="944">
        <f t="shared" si="14"/>
        <v>0</v>
      </c>
      <c r="M27" s="944">
        <f t="shared" si="14"/>
        <v>0</v>
      </c>
      <c r="N27" s="950">
        <f t="shared" si="14"/>
        <v>0</v>
      </c>
    </row>
    <row r="28" spans="1:14" s="951" customFormat="1" ht="13.5" customHeight="1">
      <c r="A28" s="945"/>
      <c r="B28" s="946"/>
      <c r="C28" s="952" t="s">
        <v>2826</v>
      </c>
      <c r="D28" s="952"/>
      <c r="E28" s="948"/>
      <c r="F28" s="953">
        <f t="shared" si="4"/>
        <v>1630255</v>
      </c>
      <c r="G28" s="944">
        <f>IF(G155=0,0,+G155-G172)</f>
        <v>1630255</v>
      </c>
      <c r="H28" s="944">
        <f t="shared" ref="H28:N28" si="15">IF(H155=0,0,+H155-H172)</f>
        <v>0</v>
      </c>
      <c r="I28" s="944">
        <f t="shared" si="15"/>
        <v>0</v>
      </c>
      <c r="J28" s="944">
        <f t="shared" si="15"/>
        <v>0</v>
      </c>
      <c r="K28" s="944">
        <f t="shared" si="15"/>
        <v>0</v>
      </c>
      <c r="L28" s="944">
        <f t="shared" si="15"/>
        <v>0</v>
      </c>
      <c r="M28" s="944">
        <f t="shared" si="15"/>
        <v>0</v>
      </c>
      <c r="N28" s="950">
        <f t="shared" si="15"/>
        <v>0</v>
      </c>
    </row>
    <row r="29" spans="1:14" ht="13.5" customHeight="1">
      <c r="A29" s="860"/>
      <c r="B29" s="861"/>
      <c r="C29" s="943" t="s">
        <v>2830</v>
      </c>
      <c r="D29" s="943"/>
      <c r="E29" s="898"/>
      <c r="F29" s="899">
        <f t="shared" si="4"/>
        <v>4010</v>
      </c>
      <c r="G29" s="944">
        <f>+G156+G157</f>
        <v>4010</v>
      </c>
      <c r="H29" s="900">
        <f t="shared" ref="H29:N29" si="16">+H156+H157</f>
        <v>0</v>
      </c>
      <c r="I29" s="900">
        <f t="shared" si="16"/>
        <v>0</v>
      </c>
      <c r="J29" s="900">
        <f>+J156+J157</f>
        <v>0</v>
      </c>
      <c r="K29" s="900">
        <f>+K156+K157</f>
        <v>0</v>
      </c>
      <c r="L29" s="900">
        <f t="shared" si="16"/>
        <v>0</v>
      </c>
      <c r="M29" s="900">
        <f t="shared" si="16"/>
        <v>0</v>
      </c>
      <c r="N29" s="901">
        <f t="shared" si="16"/>
        <v>0</v>
      </c>
    </row>
    <row r="30" spans="1:14" ht="13.5" customHeight="1">
      <c r="A30" s="860"/>
      <c r="B30" s="861"/>
      <c r="C30" s="943" t="s">
        <v>2831</v>
      </c>
      <c r="D30" s="943"/>
      <c r="E30" s="898"/>
      <c r="F30" s="899">
        <f t="shared" si="4"/>
        <v>0</v>
      </c>
      <c r="G30" s="944">
        <f>SUM(G158:G162)</f>
        <v>0</v>
      </c>
      <c r="H30" s="900">
        <f t="shared" ref="H30:N30" si="17">SUM(H158:H162)</f>
        <v>0</v>
      </c>
      <c r="I30" s="900">
        <f t="shared" si="17"/>
        <v>0</v>
      </c>
      <c r="J30" s="900">
        <f>SUM(J158:J162)</f>
        <v>0</v>
      </c>
      <c r="K30" s="900">
        <f>SUM(K158:K162)</f>
        <v>0</v>
      </c>
      <c r="L30" s="900">
        <f t="shared" si="17"/>
        <v>0</v>
      </c>
      <c r="M30" s="900">
        <f t="shared" si="17"/>
        <v>0</v>
      </c>
      <c r="N30" s="901">
        <f t="shared" si="17"/>
        <v>0</v>
      </c>
    </row>
    <row r="31" spans="1:14" s="951" customFormat="1" ht="13.5" customHeight="1">
      <c r="A31" s="945"/>
      <c r="B31" s="946"/>
      <c r="C31" s="954" t="s">
        <v>2832</v>
      </c>
      <c r="D31" s="946"/>
      <c r="E31" s="955"/>
      <c r="F31" s="956">
        <f t="shared" si="4"/>
        <v>0</v>
      </c>
      <c r="G31" s="929">
        <f>IF(G163=0,0,+G163-G172)</f>
        <v>0</v>
      </c>
      <c r="H31" s="929">
        <f t="shared" ref="H31:N31" si="18">IF(H163=0,0,+H163-H172)</f>
        <v>0</v>
      </c>
      <c r="I31" s="929">
        <f t="shared" si="18"/>
        <v>0</v>
      </c>
      <c r="J31" s="929">
        <f t="shared" si="18"/>
        <v>0</v>
      </c>
      <c r="K31" s="929">
        <f t="shared" si="18"/>
        <v>0</v>
      </c>
      <c r="L31" s="929">
        <f t="shared" si="18"/>
        <v>0</v>
      </c>
      <c r="M31" s="929">
        <f t="shared" si="18"/>
        <v>0</v>
      </c>
      <c r="N31" s="957">
        <f t="shared" si="18"/>
        <v>0</v>
      </c>
    </row>
    <row r="32" spans="1:14" ht="13.5" customHeight="1">
      <c r="A32" s="958"/>
      <c r="B32" s="886" t="s">
        <v>2833</v>
      </c>
      <c r="C32" s="886"/>
      <c r="D32" s="886"/>
      <c r="E32" s="959"/>
      <c r="F32" s="888">
        <f t="shared" si="4"/>
        <v>11660000</v>
      </c>
      <c r="G32" s="889">
        <f>G10+G21</f>
        <v>11660000</v>
      </c>
      <c r="H32" s="960">
        <f t="shared" ref="H32:N32" si="19">H10+H21</f>
        <v>0</v>
      </c>
      <c r="I32" s="960">
        <f t="shared" si="19"/>
        <v>0</v>
      </c>
      <c r="J32" s="960">
        <f t="shared" si="19"/>
        <v>0</v>
      </c>
      <c r="K32" s="960">
        <f>K10+K21</f>
        <v>0</v>
      </c>
      <c r="L32" s="960">
        <f t="shared" si="19"/>
        <v>0</v>
      </c>
      <c r="M32" s="960">
        <f t="shared" si="19"/>
        <v>0</v>
      </c>
      <c r="N32" s="961">
        <f t="shared" si="19"/>
        <v>0</v>
      </c>
    </row>
    <row r="33" spans="1:14" ht="13.5" customHeight="1">
      <c r="A33" s="962"/>
      <c r="B33" s="861"/>
      <c r="C33" s="963" t="s">
        <v>2834</v>
      </c>
      <c r="D33" s="963"/>
      <c r="E33" s="964"/>
      <c r="F33" s="965"/>
      <c r="G33" s="966" t="s">
        <v>2835</v>
      </c>
      <c r="H33" s="910"/>
      <c r="I33" s="967"/>
      <c r="J33" s="967"/>
      <c r="K33" s="967"/>
      <c r="L33" s="967"/>
      <c r="M33" s="967"/>
      <c r="N33" s="968"/>
    </row>
    <row r="34" spans="1:14" ht="13.5" customHeight="1">
      <c r="A34" s="851"/>
      <c r="B34" s="852"/>
      <c r="C34" s="852"/>
      <c r="D34" s="852"/>
      <c r="E34" s="969"/>
      <c r="F34" s="970" t="s">
        <v>2836</v>
      </c>
      <c r="G34" s="971" t="str">
        <f t="shared" ref="G34:N34" si="20">+G5</f>
        <v>工事1</v>
      </c>
      <c r="H34" s="971" t="str">
        <f t="shared" si="20"/>
        <v>工事2</v>
      </c>
      <c r="I34" s="971" t="str">
        <f t="shared" si="20"/>
        <v>工事3</v>
      </c>
      <c r="J34" s="971" t="str">
        <f t="shared" si="20"/>
        <v>工事4</v>
      </c>
      <c r="K34" s="971" t="str">
        <f>+K5</f>
        <v>工事5</v>
      </c>
      <c r="L34" s="971" t="str">
        <f t="shared" si="20"/>
        <v>工事6</v>
      </c>
      <c r="M34" s="971" t="str">
        <f t="shared" si="20"/>
        <v>工事7</v>
      </c>
      <c r="N34" s="972" t="str">
        <f t="shared" si="20"/>
        <v>工事8</v>
      </c>
    </row>
    <row r="35" spans="1:14" ht="13.5" customHeight="1">
      <c r="A35" s="973" t="s">
        <v>2837</v>
      </c>
      <c r="B35" s="974"/>
      <c r="C35" s="975"/>
      <c r="D35" s="975"/>
      <c r="E35" s="976"/>
      <c r="F35" s="977"/>
      <c r="G35" s="978"/>
      <c r="H35" s="978"/>
      <c r="I35" s="978"/>
      <c r="J35" s="978"/>
      <c r="K35" s="978"/>
      <c r="L35" s="978"/>
      <c r="M35" s="978"/>
      <c r="N35" s="979"/>
    </row>
    <row r="36" spans="1:14" ht="13.5" customHeight="1">
      <c r="A36" s="2360"/>
      <c r="B36" s="2362" t="s">
        <v>2107</v>
      </c>
      <c r="C36" s="892" t="s">
        <v>2838</v>
      </c>
      <c r="D36" s="892"/>
      <c r="E36" s="933"/>
      <c r="F36" s="894">
        <f t="shared" ref="F36:F42" si="21">SUM(G36:N36)</f>
        <v>0</v>
      </c>
      <c r="G36" s="935">
        <f>IF(G$4="新営",(G11-SUM(G38:G49)-G53-G52),0)</f>
        <v>0</v>
      </c>
      <c r="H36" s="935">
        <f t="shared" ref="H36:N36" si="22">IF(H$4="新営",(H11-SUM(H38:H49)-H53-H52),0)</f>
        <v>0</v>
      </c>
      <c r="I36" s="935">
        <f t="shared" si="22"/>
        <v>0</v>
      </c>
      <c r="J36" s="935">
        <f t="shared" si="22"/>
        <v>0</v>
      </c>
      <c r="K36" s="935">
        <f t="shared" si="22"/>
        <v>0</v>
      </c>
      <c r="L36" s="935">
        <f t="shared" si="22"/>
        <v>0</v>
      </c>
      <c r="M36" s="935">
        <f t="shared" si="22"/>
        <v>0</v>
      </c>
      <c r="N36" s="980">
        <f t="shared" si="22"/>
        <v>0</v>
      </c>
    </row>
    <row r="37" spans="1:14" ht="13.5" customHeight="1">
      <c r="A37" s="2360"/>
      <c r="B37" s="2363"/>
      <c r="C37" s="981" t="s">
        <v>2839</v>
      </c>
      <c r="D37" s="981"/>
      <c r="E37" s="898"/>
      <c r="F37" s="899">
        <f t="shared" si="21"/>
        <v>7929643</v>
      </c>
      <c r="G37" s="944">
        <f>IF(G$4="改修",(G11-SUM(G38:G49)-G53-G52),0)</f>
        <v>7929643</v>
      </c>
      <c r="H37" s="944">
        <f t="shared" ref="H37:N37" si="23">IF(H$4="改修",(H11-SUM(H38:H49)-H53-H52),0)</f>
        <v>0</v>
      </c>
      <c r="I37" s="944">
        <f t="shared" si="23"/>
        <v>0</v>
      </c>
      <c r="J37" s="944">
        <f t="shared" si="23"/>
        <v>0</v>
      </c>
      <c r="K37" s="944">
        <f t="shared" si="23"/>
        <v>0</v>
      </c>
      <c r="L37" s="944">
        <f t="shared" si="23"/>
        <v>0</v>
      </c>
      <c r="M37" s="944">
        <f t="shared" si="23"/>
        <v>0</v>
      </c>
      <c r="N37" s="950">
        <f t="shared" si="23"/>
        <v>0</v>
      </c>
    </row>
    <row r="38" spans="1:14" ht="13.5" customHeight="1">
      <c r="A38" s="2360"/>
      <c r="B38" s="2363"/>
      <c r="C38" s="982" t="s">
        <v>2840</v>
      </c>
      <c r="D38" s="981"/>
      <c r="E38" s="898"/>
      <c r="F38" s="899">
        <f t="shared" si="21"/>
        <v>0</v>
      </c>
      <c r="G38" s="983"/>
      <c r="H38" s="983"/>
      <c r="I38" s="983"/>
      <c r="J38" s="983"/>
      <c r="K38" s="983"/>
      <c r="L38" s="983"/>
      <c r="M38" s="983"/>
      <c r="N38" s="984"/>
    </row>
    <row r="39" spans="1:14" ht="13.5" customHeight="1">
      <c r="A39" s="2360"/>
      <c r="B39" s="2363"/>
      <c r="C39" s="982" t="s">
        <v>2841</v>
      </c>
      <c r="D39" s="981"/>
      <c r="E39" s="898"/>
      <c r="F39" s="899">
        <f t="shared" si="21"/>
        <v>0</v>
      </c>
      <c r="G39" s="983"/>
      <c r="H39" s="983"/>
      <c r="I39" s="983"/>
      <c r="J39" s="983"/>
      <c r="K39" s="983"/>
      <c r="L39" s="983"/>
      <c r="M39" s="983"/>
      <c r="N39" s="984"/>
    </row>
    <row r="40" spans="1:14" ht="13.5" customHeight="1">
      <c r="A40" s="2360"/>
      <c r="B40" s="2363" t="s">
        <v>2842</v>
      </c>
      <c r="C40" s="905" t="s">
        <v>2843</v>
      </c>
      <c r="D40" s="981"/>
      <c r="E40" s="898"/>
      <c r="F40" s="899">
        <f t="shared" si="21"/>
        <v>0</v>
      </c>
      <c r="G40" s="983"/>
      <c r="H40" s="983"/>
      <c r="I40" s="983"/>
      <c r="J40" s="983"/>
      <c r="K40" s="983"/>
      <c r="L40" s="983"/>
      <c r="M40" s="983"/>
      <c r="N40" s="984"/>
    </row>
    <row r="41" spans="1:14" ht="13.5" customHeight="1">
      <c r="A41" s="2360"/>
      <c r="B41" s="2363"/>
      <c r="C41" s="905" t="s">
        <v>2844</v>
      </c>
      <c r="D41" s="981"/>
      <c r="E41" s="898"/>
      <c r="F41" s="899">
        <f t="shared" si="21"/>
        <v>0</v>
      </c>
      <c r="G41" s="983"/>
      <c r="H41" s="983"/>
      <c r="I41" s="983"/>
      <c r="J41" s="983"/>
      <c r="K41" s="983"/>
      <c r="L41" s="983"/>
      <c r="M41" s="983"/>
      <c r="N41" s="984"/>
    </row>
    <row r="42" spans="1:14" ht="13.5" customHeight="1">
      <c r="A42" s="2360"/>
      <c r="B42" s="2363"/>
      <c r="C42" s="981" t="s">
        <v>2845</v>
      </c>
      <c r="D42" s="981"/>
      <c r="E42" s="898"/>
      <c r="F42" s="899">
        <f t="shared" si="21"/>
        <v>0</v>
      </c>
      <c r="G42" s="983"/>
      <c r="H42" s="983"/>
      <c r="I42" s="983"/>
      <c r="J42" s="983"/>
      <c r="K42" s="983"/>
      <c r="L42" s="983"/>
      <c r="M42" s="983"/>
      <c r="N42" s="984"/>
    </row>
    <row r="43" spans="1:14" ht="13.5" customHeight="1">
      <c r="A43" s="2360"/>
      <c r="B43" s="2363"/>
      <c r="C43" s="981" t="s">
        <v>2846</v>
      </c>
      <c r="D43" s="981"/>
      <c r="E43" s="898"/>
      <c r="F43" s="899"/>
      <c r="G43" s="985"/>
      <c r="H43" s="985"/>
      <c r="I43" s="985"/>
      <c r="J43" s="985"/>
      <c r="K43" s="985"/>
      <c r="L43" s="985"/>
      <c r="M43" s="985"/>
      <c r="N43" s="986"/>
    </row>
    <row r="44" spans="1:14" ht="13.5" customHeight="1">
      <c r="A44" s="2360"/>
      <c r="B44" s="2363"/>
      <c r="C44" s="981" t="s">
        <v>2847</v>
      </c>
      <c r="D44" s="981"/>
      <c r="E44" s="898"/>
      <c r="F44" s="899"/>
      <c r="G44" s="985"/>
      <c r="H44" s="985"/>
      <c r="I44" s="985"/>
      <c r="J44" s="985"/>
      <c r="K44" s="985"/>
      <c r="L44" s="985"/>
      <c r="M44" s="985"/>
      <c r="N44" s="986"/>
    </row>
    <row r="45" spans="1:14" ht="13.5" customHeight="1">
      <c r="A45" s="2360"/>
      <c r="B45" s="2363"/>
      <c r="C45" s="981" t="s">
        <v>2848</v>
      </c>
      <c r="D45" s="981"/>
      <c r="E45" s="898"/>
      <c r="F45" s="899">
        <f t="shared" ref="F45:F55" si="24">SUM(G45:N45)</f>
        <v>0</v>
      </c>
      <c r="G45" s="983"/>
      <c r="H45" s="983"/>
      <c r="I45" s="983"/>
      <c r="J45" s="983"/>
      <c r="K45" s="983"/>
      <c r="L45" s="983"/>
      <c r="M45" s="983"/>
      <c r="N45" s="984"/>
    </row>
    <row r="46" spans="1:14" ht="13.5" customHeight="1">
      <c r="A46" s="2360"/>
      <c r="B46" s="2363"/>
      <c r="C46" s="987" t="s">
        <v>2849</v>
      </c>
      <c r="D46" s="981"/>
      <c r="E46" s="898"/>
      <c r="F46" s="899">
        <f t="shared" si="24"/>
        <v>0</v>
      </c>
      <c r="G46" s="983"/>
      <c r="H46" s="983"/>
      <c r="I46" s="983"/>
      <c r="J46" s="983"/>
      <c r="K46" s="983"/>
      <c r="L46" s="983"/>
      <c r="M46" s="983"/>
      <c r="N46" s="984"/>
    </row>
    <row r="47" spans="1:14" ht="13.5" customHeight="1">
      <c r="A47" s="2360"/>
      <c r="B47" s="2363"/>
      <c r="C47" s="988" t="s">
        <v>2850</v>
      </c>
      <c r="D47" s="981"/>
      <c r="E47" s="898"/>
      <c r="F47" s="899">
        <f t="shared" si="24"/>
        <v>0</v>
      </c>
      <c r="G47" s="983"/>
      <c r="H47" s="983"/>
      <c r="I47" s="983"/>
      <c r="J47" s="983"/>
      <c r="K47" s="983"/>
      <c r="L47" s="983"/>
      <c r="M47" s="983"/>
      <c r="N47" s="984"/>
    </row>
    <row r="48" spans="1:14" ht="13.5" customHeight="1">
      <c r="A48" s="2360"/>
      <c r="B48" s="2363"/>
      <c r="C48" s="981" t="s">
        <v>2851</v>
      </c>
      <c r="D48" s="981"/>
      <c r="E48" s="898"/>
      <c r="F48" s="899">
        <f t="shared" si="24"/>
        <v>0</v>
      </c>
      <c r="G48" s="983"/>
      <c r="H48" s="983"/>
      <c r="I48" s="983"/>
      <c r="J48" s="983"/>
      <c r="K48" s="983"/>
      <c r="L48" s="983"/>
      <c r="M48" s="983"/>
      <c r="N48" s="984"/>
    </row>
    <row r="49" spans="1:14" ht="13.5" customHeight="1">
      <c r="A49" s="2360"/>
      <c r="B49" s="2363" t="s">
        <v>2852</v>
      </c>
      <c r="C49" s="982" t="s">
        <v>2853</v>
      </c>
      <c r="D49" s="981"/>
      <c r="E49" s="898"/>
      <c r="F49" s="899">
        <f t="shared" si="24"/>
        <v>34180</v>
      </c>
      <c r="G49" s="983">
        <f>SUM(工事1!I153:I156)</f>
        <v>34180</v>
      </c>
      <c r="H49" s="983"/>
      <c r="I49" s="983"/>
      <c r="J49" s="983"/>
      <c r="K49" s="983"/>
      <c r="L49" s="983"/>
      <c r="M49" s="983"/>
      <c r="N49" s="984"/>
    </row>
    <row r="50" spans="1:14" ht="13.5" customHeight="1">
      <c r="A50" s="2360"/>
      <c r="B50" s="2363"/>
      <c r="C50" s="982" t="s">
        <v>2854</v>
      </c>
      <c r="D50" s="981"/>
      <c r="E50" s="898"/>
      <c r="F50" s="899">
        <f t="shared" si="24"/>
        <v>0</v>
      </c>
      <c r="G50" s="985">
        <f t="shared" ref="G50:N50" si="25">+G19</f>
        <v>0</v>
      </c>
      <c r="H50" s="985">
        <f t="shared" si="25"/>
        <v>0</v>
      </c>
      <c r="I50" s="985">
        <f t="shared" si="25"/>
        <v>0</v>
      </c>
      <c r="J50" s="985">
        <f>+J19</f>
        <v>0</v>
      </c>
      <c r="K50" s="985">
        <f>+K19</f>
        <v>0</v>
      </c>
      <c r="L50" s="985">
        <f t="shared" si="25"/>
        <v>0</v>
      </c>
      <c r="M50" s="985">
        <f t="shared" si="25"/>
        <v>0</v>
      </c>
      <c r="N50" s="986">
        <f t="shared" si="25"/>
        <v>0</v>
      </c>
    </row>
    <row r="51" spans="1:14" ht="13.5" customHeight="1">
      <c r="A51" s="2360"/>
      <c r="B51" s="2363"/>
      <c r="C51" s="947" t="s">
        <v>2855</v>
      </c>
      <c r="D51" s="989"/>
      <c r="E51" s="898"/>
      <c r="F51" s="899">
        <f t="shared" si="24"/>
        <v>0</v>
      </c>
      <c r="G51" s="985">
        <f t="shared" ref="G51:N51" si="26">+G18</f>
        <v>0</v>
      </c>
      <c r="H51" s="985">
        <f t="shared" si="26"/>
        <v>0</v>
      </c>
      <c r="I51" s="985">
        <f t="shared" si="26"/>
        <v>0</v>
      </c>
      <c r="J51" s="985">
        <f>+J18</f>
        <v>0</v>
      </c>
      <c r="K51" s="985">
        <f>+K18</f>
        <v>0</v>
      </c>
      <c r="L51" s="985">
        <f t="shared" si="26"/>
        <v>0</v>
      </c>
      <c r="M51" s="985">
        <f t="shared" si="26"/>
        <v>0</v>
      </c>
      <c r="N51" s="986">
        <f t="shared" si="26"/>
        <v>0</v>
      </c>
    </row>
    <row r="52" spans="1:14" ht="13.5" customHeight="1">
      <c r="A52" s="2360"/>
      <c r="B52" s="2363"/>
      <c r="C52" s="947" t="s">
        <v>2856</v>
      </c>
      <c r="D52" s="989"/>
      <c r="E52" s="898"/>
      <c r="F52" s="899">
        <f t="shared" si="24"/>
        <v>0</v>
      </c>
      <c r="G52" s="983"/>
      <c r="H52" s="983"/>
      <c r="I52" s="983"/>
      <c r="J52" s="983"/>
      <c r="K52" s="983"/>
      <c r="L52" s="983"/>
      <c r="M52" s="983"/>
      <c r="N52" s="984"/>
    </row>
    <row r="53" spans="1:14" ht="13.5" customHeight="1">
      <c r="A53" s="2360"/>
      <c r="B53" s="2364"/>
      <c r="C53" s="990" t="s">
        <v>2857</v>
      </c>
      <c r="D53" s="990"/>
      <c r="E53" s="991"/>
      <c r="F53" s="899">
        <f t="shared" si="24"/>
        <v>0</v>
      </c>
      <c r="G53" s="992"/>
      <c r="H53" s="992"/>
      <c r="I53" s="992"/>
      <c r="J53" s="992"/>
      <c r="K53" s="992"/>
      <c r="L53" s="992"/>
      <c r="M53" s="992"/>
      <c r="N53" s="993"/>
    </row>
    <row r="54" spans="1:14" ht="13.5" customHeight="1">
      <c r="A54" s="2360"/>
      <c r="B54" s="2364"/>
      <c r="C54" s="990" t="s">
        <v>2858</v>
      </c>
      <c r="D54" s="990"/>
      <c r="E54" s="991"/>
      <c r="F54" s="899">
        <f t="shared" si="24"/>
        <v>0</v>
      </c>
      <c r="G54" s="992"/>
      <c r="H54" s="992"/>
      <c r="I54" s="992"/>
      <c r="J54" s="992"/>
      <c r="K54" s="992"/>
      <c r="L54" s="992"/>
      <c r="M54" s="992"/>
      <c r="N54" s="993"/>
    </row>
    <row r="55" spans="1:14" ht="13.5" customHeight="1">
      <c r="A55" s="2361"/>
      <c r="B55" s="2365"/>
      <c r="C55" s="994" t="s">
        <v>2859</v>
      </c>
      <c r="D55" s="994"/>
      <c r="E55" s="925"/>
      <c r="F55" s="926">
        <f t="shared" si="24"/>
        <v>0</v>
      </c>
      <c r="G55" s="995"/>
      <c r="H55" s="995"/>
      <c r="I55" s="995"/>
      <c r="J55" s="995"/>
      <c r="K55" s="995"/>
      <c r="L55" s="995"/>
      <c r="M55" s="995"/>
      <c r="N55" s="996"/>
    </row>
    <row r="56" spans="1:14" s="1002" customFormat="1" ht="14.25" customHeight="1">
      <c r="A56" s="997"/>
      <c r="B56" s="997"/>
      <c r="C56" s="998" t="s">
        <v>2860</v>
      </c>
      <c r="D56" s="998"/>
      <c r="E56" s="999"/>
      <c r="F56" s="999"/>
      <c r="G56" s="1000"/>
      <c r="H56" s="1000"/>
      <c r="I56" s="1000"/>
      <c r="J56" s="1000"/>
      <c r="K56" s="1000"/>
      <c r="L56" s="1000"/>
      <c r="M56" s="1000"/>
      <c r="N56" s="1001" t="s">
        <v>2861</v>
      </c>
    </row>
    <row r="57" spans="1:14" s="1002" customFormat="1" ht="14.25" customHeight="1">
      <c r="A57" s="997"/>
      <c r="B57" s="997"/>
      <c r="C57" s="1003" t="s">
        <v>2862</v>
      </c>
      <c r="D57" s="1003"/>
      <c r="E57" s="999"/>
      <c r="F57" s="999"/>
      <c r="G57" s="1000"/>
      <c r="H57" s="1000"/>
      <c r="I57" s="1000"/>
      <c r="J57" s="1000"/>
      <c r="K57" s="1000"/>
      <c r="L57" s="1000"/>
      <c r="M57" s="1000"/>
      <c r="N57" s="1001"/>
    </row>
    <row r="58" spans="1:14" s="1002" customFormat="1" ht="14.25" customHeight="1">
      <c r="A58" s="1004"/>
      <c r="B58" s="1005"/>
      <c r="C58" s="1005"/>
      <c r="D58" s="2348" t="s">
        <v>2863</v>
      </c>
      <c r="E58" s="2348" t="s">
        <v>2864</v>
      </c>
      <c r="F58" s="1006" t="s">
        <v>2836</v>
      </c>
      <c r="G58" s="1007" t="str">
        <f t="shared" ref="G58:N58" si="27">+G5</f>
        <v>工事1</v>
      </c>
      <c r="H58" s="1007" t="str">
        <f t="shared" si="27"/>
        <v>工事2</v>
      </c>
      <c r="I58" s="1007" t="str">
        <f t="shared" si="27"/>
        <v>工事3</v>
      </c>
      <c r="J58" s="1007" t="str">
        <f t="shared" si="27"/>
        <v>工事4</v>
      </c>
      <c r="K58" s="1007" t="str">
        <f>+K5</f>
        <v>工事5</v>
      </c>
      <c r="L58" s="1007" t="str">
        <f t="shared" si="27"/>
        <v>工事6</v>
      </c>
      <c r="M58" s="1007" t="str">
        <f t="shared" si="27"/>
        <v>工事7</v>
      </c>
      <c r="N58" s="1008" t="str">
        <f t="shared" si="27"/>
        <v>工事8</v>
      </c>
    </row>
    <row r="59" spans="1:14" s="1002" customFormat="1" ht="14.25" customHeight="1">
      <c r="A59" s="2341" t="s">
        <v>2865</v>
      </c>
      <c r="B59" s="2350"/>
      <c r="C59" s="2350"/>
      <c r="D59" s="2349"/>
      <c r="E59" s="2349"/>
      <c r="F59" s="1009"/>
      <c r="G59" s="1010"/>
      <c r="H59" s="1010"/>
      <c r="I59" s="1010"/>
      <c r="J59" s="1010"/>
      <c r="K59" s="1010"/>
      <c r="L59" s="1010"/>
      <c r="M59" s="1010"/>
      <c r="N59" s="1011"/>
    </row>
    <row r="60" spans="1:14" s="1002" customFormat="1" ht="14.25" customHeight="1">
      <c r="A60" s="2342"/>
      <c r="B60" s="1012" t="s">
        <v>2866</v>
      </c>
      <c r="C60" s="1013"/>
      <c r="D60" s="1013"/>
      <c r="E60" s="1014"/>
      <c r="F60" s="1015">
        <f t="shared" ref="F60:F67" si="28">SUM(G60:N60)</f>
        <v>7929643</v>
      </c>
      <c r="G60" s="1016">
        <f>SUM(G36:G48)+SUM(G52)</f>
        <v>7929643</v>
      </c>
      <c r="H60" s="1016">
        <f t="shared" ref="H60:N60" si="29">SUM(H36:H48)+SUM(H52)</f>
        <v>0</v>
      </c>
      <c r="I60" s="1016">
        <f t="shared" si="29"/>
        <v>0</v>
      </c>
      <c r="J60" s="1016">
        <f t="shared" si="29"/>
        <v>0</v>
      </c>
      <c r="K60" s="1016">
        <f t="shared" si="29"/>
        <v>0</v>
      </c>
      <c r="L60" s="1016">
        <f t="shared" si="29"/>
        <v>0</v>
      </c>
      <c r="M60" s="1016">
        <f t="shared" si="29"/>
        <v>0</v>
      </c>
      <c r="N60" s="1017">
        <f t="shared" si="29"/>
        <v>0</v>
      </c>
    </row>
    <row r="61" spans="1:14" s="1002" customFormat="1" ht="14.25" customHeight="1">
      <c r="A61" s="2343"/>
      <c r="B61" s="2347" t="s">
        <v>2107</v>
      </c>
      <c r="C61" s="1018" t="s">
        <v>2838</v>
      </c>
      <c r="D61" s="1019">
        <v>1</v>
      </c>
      <c r="E61" s="1020" t="s">
        <v>2867</v>
      </c>
      <c r="F61" s="1021">
        <f t="shared" si="28"/>
        <v>0</v>
      </c>
      <c r="G61" s="1022">
        <f>IF(G7="積上げ",0,+G36)</f>
        <v>0</v>
      </c>
      <c r="H61" s="1022">
        <f t="shared" ref="H61:N61" si="30">IF(H7="積上げ",0,+H36)</f>
        <v>0</v>
      </c>
      <c r="I61" s="1022">
        <f t="shared" si="30"/>
        <v>0</v>
      </c>
      <c r="J61" s="1022">
        <f t="shared" si="30"/>
        <v>0</v>
      </c>
      <c r="K61" s="1022">
        <f t="shared" si="30"/>
        <v>0</v>
      </c>
      <c r="L61" s="1022">
        <f t="shared" si="30"/>
        <v>0</v>
      </c>
      <c r="M61" s="1022">
        <f t="shared" si="30"/>
        <v>0</v>
      </c>
      <c r="N61" s="1023">
        <f t="shared" si="30"/>
        <v>0</v>
      </c>
    </row>
    <row r="62" spans="1:14" s="1002" customFormat="1" ht="14.25" customHeight="1">
      <c r="A62" s="2343"/>
      <c r="B62" s="2347"/>
      <c r="C62" s="1018" t="s">
        <v>2839</v>
      </c>
      <c r="D62" s="1019">
        <v>1</v>
      </c>
      <c r="E62" s="1020" t="s">
        <v>2867</v>
      </c>
      <c r="F62" s="1021">
        <f t="shared" si="28"/>
        <v>7929643</v>
      </c>
      <c r="G62" s="1022">
        <f>IF(G7="積上げ",0,+G37)</f>
        <v>7929643</v>
      </c>
      <c r="H62" s="1022">
        <f t="shared" ref="H62:N62" si="31">IF(H7="積上げ",0,+H37)</f>
        <v>0</v>
      </c>
      <c r="I62" s="1022">
        <f t="shared" si="31"/>
        <v>0</v>
      </c>
      <c r="J62" s="1022">
        <f t="shared" si="31"/>
        <v>0</v>
      </c>
      <c r="K62" s="1022">
        <f t="shared" si="31"/>
        <v>0</v>
      </c>
      <c r="L62" s="1022">
        <f t="shared" si="31"/>
        <v>0</v>
      </c>
      <c r="M62" s="1022">
        <f t="shared" si="31"/>
        <v>0</v>
      </c>
      <c r="N62" s="1023">
        <f t="shared" si="31"/>
        <v>0</v>
      </c>
    </row>
    <row r="63" spans="1:14" s="1002" customFormat="1" ht="14.25" customHeight="1">
      <c r="A63" s="2343"/>
      <c r="B63" s="2347"/>
      <c r="C63" s="1018" t="s">
        <v>2868</v>
      </c>
      <c r="D63" s="1019">
        <v>0.9</v>
      </c>
      <c r="E63" s="1020" t="s">
        <v>2867</v>
      </c>
      <c r="F63" s="1021">
        <f t="shared" si="28"/>
        <v>0</v>
      </c>
      <c r="G63" s="1022">
        <f>IF(G7="積上げ",0,+G38)</f>
        <v>0</v>
      </c>
      <c r="H63" s="1022">
        <f t="shared" ref="H63:N63" si="32">IF(H7="積上げ",0,+H38)</f>
        <v>0</v>
      </c>
      <c r="I63" s="1022">
        <f t="shared" si="32"/>
        <v>0</v>
      </c>
      <c r="J63" s="1022">
        <f t="shared" si="32"/>
        <v>0</v>
      </c>
      <c r="K63" s="1022">
        <f>IF(K7="積上げ",0,+K38)</f>
        <v>0</v>
      </c>
      <c r="L63" s="1022">
        <f t="shared" si="32"/>
        <v>0</v>
      </c>
      <c r="M63" s="1022">
        <f t="shared" si="32"/>
        <v>0</v>
      </c>
      <c r="N63" s="1023">
        <f t="shared" si="32"/>
        <v>0</v>
      </c>
    </row>
    <row r="64" spans="1:14" s="1002" customFormat="1" ht="14.25" customHeight="1">
      <c r="A64" s="2343"/>
      <c r="B64" s="2347"/>
      <c r="C64" s="1018" t="s">
        <v>2869</v>
      </c>
      <c r="D64" s="1019">
        <v>0.9</v>
      </c>
      <c r="E64" s="1020" t="s">
        <v>2867</v>
      </c>
      <c r="F64" s="1021">
        <f t="shared" si="28"/>
        <v>0</v>
      </c>
      <c r="G64" s="1022">
        <f>IF(G7="積上げ",0,+G39)</f>
        <v>0</v>
      </c>
      <c r="H64" s="1022">
        <f t="shared" ref="H64:N64" si="33">IF(H7="積上げ",0,+H39)</f>
        <v>0</v>
      </c>
      <c r="I64" s="1022">
        <f t="shared" si="33"/>
        <v>0</v>
      </c>
      <c r="J64" s="1022">
        <f t="shared" si="33"/>
        <v>0</v>
      </c>
      <c r="K64" s="1022">
        <f>IF(K7="積上げ",0,+K39)</f>
        <v>0</v>
      </c>
      <c r="L64" s="1022">
        <f t="shared" si="33"/>
        <v>0</v>
      </c>
      <c r="M64" s="1022">
        <f t="shared" si="33"/>
        <v>0</v>
      </c>
      <c r="N64" s="1023">
        <f t="shared" si="33"/>
        <v>0</v>
      </c>
    </row>
    <row r="65" spans="1:14" s="1002" customFormat="1" ht="14.25" customHeight="1">
      <c r="A65" s="2343"/>
      <c r="B65" s="2347" t="s">
        <v>2842</v>
      </c>
      <c r="C65" s="1024" t="s">
        <v>2870</v>
      </c>
      <c r="D65" s="1019">
        <v>1</v>
      </c>
      <c r="E65" s="1025">
        <v>0.01</v>
      </c>
      <c r="F65" s="1021">
        <f t="shared" si="28"/>
        <v>0</v>
      </c>
      <c r="G65" s="1022">
        <f>IF(G7="積上げ",0,+G40)</f>
        <v>0</v>
      </c>
      <c r="H65" s="1022">
        <f t="shared" ref="H65:N65" si="34">IF(H7="積上げ",0,+H40)</f>
        <v>0</v>
      </c>
      <c r="I65" s="1022">
        <f t="shared" si="34"/>
        <v>0</v>
      </c>
      <c r="J65" s="1022">
        <f t="shared" si="34"/>
        <v>0</v>
      </c>
      <c r="K65" s="1022">
        <f>IF(K7="積上げ",0,+K40)</f>
        <v>0</v>
      </c>
      <c r="L65" s="1022">
        <f t="shared" si="34"/>
        <v>0</v>
      </c>
      <c r="M65" s="1022">
        <f t="shared" si="34"/>
        <v>0</v>
      </c>
      <c r="N65" s="1023">
        <f t="shared" si="34"/>
        <v>0</v>
      </c>
    </row>
    <row r="66" spans="1:14" s="1002" customFormat="1" ht="14.25" customHeight="1">
      <c r="A66" s="2343"/>
      <c r="B66" s="2347"/>
      <c r="C66" s="1024" t="s">
        <v>2871</v>
      </c>
      <c r="D66" s="1019">
        <v>1</v>
      </c>
      <c r="E66" s="1025">
        <v>0.01</v>
      </c>
      <c r="F66" s="1021">
        <f t="shared" si="28"/>
        <v>0</v>
      </c>
      <c r="G66" s="1022">
        <f>IF(G7="積上げ",0,G41)</f>
        <v>0</v>
      </c>
      <c r="H66" s="1022">
        <f t="shared" ref="H66:N66" si="35">IF(H7="積上げ",0,H41)</f>
        <v>0</v>
      </c>
      <c r="I66" s="1022">
        <f t="shared" si="35"/>
        <v>0</v>
      </c>
      <c r="J66" s="1022">
        <f t="shared" si="35"/>
        <v>0</v>
      </c>
      <c r="K66" s="1022">
        <f>IF(K7="積上げ",0,K41)</f>
        <v>0</v>
      </c>
      <c r="L66" s="1022">
        <f t="shared" si="35"/>
        <v>0</v>
      </c>
      <c r="M66" s="1022">
        <f t="shared" si="35"/>
        <v>0</v>
      </c>
      <c r="N66" s="1023">
        <f t="shared" si="35"/>
        <v>0</v>
      </c>
    </row>
    <row r="67" spans="1:14" s="1002" customFormat="1" ht="14.25" customHeight="1">
      <c r="A67" s="2343"/>
      <c r="B67" s="2347"/>
      <c r="C67" s="1024" t="s">
        <v>2845</v>
      </c>
      <c r="D67" s="1019">
        <v>1</v>
      </c>
      <c r="E67" s="1025">
        <v>0.01</v>
      </c>
      <c r="F67" s="1021">
        <f t="shared" si="28"/>
        <v>0</v>
      </c>
      <c r="G67" s="1022">
        <f>IF(G7="積上げ",0,G42)</f>
        <v>0</v>
      </c>
      <c r="H67" s="1022">
        <f t="shared" ref="H67:N67" si="36">IF(H7="積上げ",0,H42)</f>
        <v>0</v>
      </c>
      <c r="I67" s="1022">
        <f t="shared" si="36"/>
        <v>0</v>
      </c>
      <c r="J67" s="1022">
        <f t="shared" si="36"/>
        <v>0</v>
      </c>
      <c r="K67" s="1022">
        <f>IF(K7="積上げ",0,K42)</f>
        <v>0</v>
      </c>
      <c r="L67" s="1022">
        <f t="shared" si="36"/>
        <v>0</v>
      </c>
      <c r="M67" s="1022">
        <f t="shared" si="36"/>
        <v>0</v>
      </c>
      <c r="N67" s="1023">
        <f t="shared" si="36"/>
        <v>0</v>
      </c>
    </row>
    <row r="68" spans="1:14" s="1002" customFormat="1" ht="14.25" customHeight="1">
      <c r="A68" s="2343"/>
      <c r="B68" s="2347"/>
      <c r="C68" s="1024" t="s">
        <v>2846</v>
      </c>
      <c r="D68" s="1019"/>
      <c r="E68" s="1025"/>
      <c r="F68" s="1021"/>
      <c r="G68" s="1022"/>
      <c r="H68" s="1022"/>
      <c r="I68" s="1022"/>
      <c r="J68" s="1022"/>
      <c r="K68" s="1022"/>
      <c r="L68" s="1022"/>
      <c r="M68" s="1022"/>
      <c r="N68" s="1023"/>
    </row>
    <row r="69" spans="1:14" s="1002" customFormat="1" ht="14.25" customHeight="1">
      <c r="A69" s="2343"/>
      <c r="B69" s="2347"/>
      <c r="C69" s="1024" t="s">
        <v>2847</v>
      </c>
      <c r="D69" s="1019"/>
      <c r="E69" s="1025"/>
      <c r="F69" s="1021"/>
      <c r="G69" s="1022"/>
      <c r="H69" s="1022"/>
      <c r="I69" s="1022"/>
      <c r="J69" s="1022"/>
      <c r="K69" s="1022"/>
      <c r="L69" s="1022"/>
      <c r="M69" s="1022"/>
      <c r="N69" s="1023"/>
    </row>
    <row r="70" spans="1:14" s="1002" customFormat="1" ht="14.25" customHeight="1">
      <c r="A70" s="2343"/>
      <c r="B70" s="2347"/>
      <c r="C70" s="1024" t="s">
        <v>2848</v>
      </c>
      <c r="D70" s="1019">
        <v>1</v>
      </c>
      <c r="E70" s="1025">
        <v>0.01</v>
      </c>
      <c r="F70" s="1021">
        <f>SUM(G70:N70)</f>
        <v>0</v>
      </c>
      <c r="G70" s="1022">
        <f>IF(G7="積上げ",0,+G45)</f>
        <v>0</v>
      </c>
      <c r="H70" s="1022">
        <f t="shared" ref="H70:N70" si="37">IF(H7="積上げ",0,+H45)</f>
        <v>0</v>
      </c>
      <c r="I70" s="1022">
        <f t="shared" si="37"/>
        <v>0</v>
      </c>
      <c r="J70" s="1022">
        <f t="shared" si="37"/>
        <v>0</v>
      </c>
      <c r="K70" s="1022">
        <f>IF(K7="積上げ",0,+K45)</f>
        <v>0</v>
      </c>
      <c r="L70" s="1022">
        <f t="shared" si="37"/>
        <v>0</v>
      </c>
      <c r="M70" s="1022">
        <f t="shared" si="37"/>
        <v>0</v>
      </c>
      <c r="N70" s="1023">
        <f t="shared" si="37"/>
        <v>0</v>
      </c>
    </row>
    <row r="71" spans="1:14" s="1002" customFormat="1" ht="14.25" customHeight="1">
      <c r="A71" s="2343"/>
      <c r="B71" s="2347"/>
      <c r="C71" s="1026" t="s">
        <v>2849</v>
      </c>
      <c r="D71" s="1019">
        <v>1</v>
      </c>
      <c r="E71" s="1025">
        <v>0.01</v>
      </c>
      <c r="F71" s="1021">
        <f>SUM(G71:N71)</f>
        <v>0</v>
      </c>
      <c r="G71" s="1022">
        <f>IF(G7="積上げ",0,+G46)</f>
        <v>0</v>
      </c>
      <c r="H71" s="1022">
        <f t="shared" ref="H71:N71" si="38">IF(H7="積上げ",0,+H46)</f>
        <v>0</v>
      </c>
      <c r="I71" s="1022">
        <f t="shared" si="38"/>
        <v>0</v>
      </c>
      <c r="J71" s="1022">
        <f t="shared" si="38"/>
        <v>0</v>
      </c>
      <c r="K71" s="1022">
        <f>IF(K7="積上げ",0,+K46)</f>
        <v>0</v>
      </c>
      <c r="L71" s="1022">
        <f t="shared" si="38"/>
        <v>0</v>
      </c>
      <c r="M71" s="1022">
        <f t="shared" si="38"/>
        <v>0</v>
      </c>
      <c r="N71" s="1023">
        <f t="shared" si="38"/>
        <v>0</v>
      </c>
    </row>
    <row r="72" spans="1:14" s="1002" customFormat="1" ht="14.25" customHeight="1">
      <c r="A72" s="2343"/>
      <c r="B72" s="2347"/>
      <c r="C72" s="1026" t="s">
        <v>2850</v>
      </c>
      <c r="D72" s="1019">
        <v>1</v>
      </c>
      <c r="E72" s="1025">
        <v>0.01</v>
      </c>
      <c r="F72" s="1021">
        <f>SUM(G72:N72)</f>
        <v>0</v>
      </c>
      <c r="G72" s="1022">
        <f>IF(G7="積上げ",0,+G47)</f>
        <v>0</v>
      </c>
      <c r="H72" s="1022">
        <f t="shared" ref="H72:N72" si="39">IF(H7="積上げ",0,+H47)</f>
        <v>0</v>
      </c>
      <c r="I72" s="1022">
        <f t="shared" si="39"/>
        <v>0</v>
      </c>
      <c r="J72" s="1022">
        <f t="shared" si="39"/>
        <v>0</v>
      </c>
      <c r="K72" s="1022">
        <f>IF(K7="積上げ",0,+K47)</f>
        <v>0</v>
      </c>
      <c r="L72" s="1022">
        <f t="shared" si="39"/>
        <v>0</v>
      </c>
      <c r="M72" s="1022">
        <f t="shared" si="39"/>
        <v>0</v>
      </c>
      <c r="N72" s="1023">
        <f t="shared" si="39"/>
        <v>0</v>
      </c>
    </row>
    <row r="73" spans="1:14" s="1002" customFormat="1" ht="14.25" customHeight="1">
      <c r="A73" s="2343"/>
      <c r="B73" s="2347"/>
      <c r="C73" s="1024" t="s">
        <v>2851</v>
      </c>
      <c r="D73" s="1019">
        <v>1</v>
      </c>
      <c r="E73" s="1025">
        <v>0.01</v>
      </c>
      <c r="F73" s="1021">
        <f>SUM(G73:N73)</f>
        <v>0</v>
      </c>
      <c r="G73" s="1022">
        <f>IF(G7="積上げ",0,+G48)</f>
        <v>0</v>
      </c>
      <c r="H73" s="1022">
        <f t="shared" ref="H73:N73" si="40">IF(H7="積上げ",0,+H48)</f>
        <v>0</v>
      </c>
      <c r="I73" s="1022">
        <f t="shared" si="40"/>
        <v>0</v>
      </c>
      <c r="J73" s="1022">
        <f t="shared" si="40"/>
        <v>0</v>
      </c>
      <c r="K73" s="1022">
        <f>IF(K7="積上げ",0,+K48)</f>
        <v>0</v>
      </c>
      <c r="L73" s="1022">
        <f t="shared" si="40"/>
        <v>0</v>
      </c>
      <c r="M73" s="1022">
        <f t="shared" si="40"/>
        <v>0</v>
      </c>
      <c r="N73" s="1023">
        <f t="shared" si="40"/>
        <v>0</v>
      </c>
    </row>
    <row r="74" spans="1:14" s="1002" customFormat="1" ht="14.25" customHeight="1">
      <c r="A74" s="2351"/>
      <c r="B74" s="1027" t="s">
        <v>2872</v>
      </c>
      <c r="C74" s="1028" t="s">
        <v>2873</v>
      </c>
      <c r="D74" s="1029">
        <v>1</v>
      </c>
      <c r="E74" s="1030">
        <v>0</v>
      </c>
      <c r="F74" s="1031">
        <f>SUM(G74:N74)</f>
        <v>34180</v>
      </c>
      <c r="G74" s="1032">
        <f>IF(G7="積上げ",0,(SUM(G52:G55)+G49))</f>
        <v>34180</v>
      </c>
      <c r="H74" s="1032">
        <f t="shared" ref="H74:N74" si="41">IF(H7="積上げ",0,(SUM(H52:H55)+H49))</f>
        <v>0</v>
      </c>
      <c r="I74" s="1032">
        <f t="shared" si="41"/>
        <v>0</v>
      </c>
      <c r="J74" s="1032">
        <f t="shared" si="41"/>
        <v>0</v>
      </c>
      <c r="K74" s="1032">
        <f t="shared" si="41"/>
        <v>0</v>
      </c>
      <c r="L74" s="1032">
        <f t="shared" si="41"/>
        <v>0</v>
      </c>
      <c r="M74" s="1032">
        <f t="shared" si="41"/>
        <v>0</v>
      </c>
      <c r="N74" s="1033">
        <f t="shared" si="41"/>
        <v>0</v>
      </c>
    </row>
    <row r="75" spans="1:14" s="1002" customFormat="1" ht="14.25" customHeight="1">
      <c r="A75" s="1034"/>
      <c r="B75" s="1035"/>
      <c r="C75" s="1036"/>
      <c r="D75" s="2338"/>
      <c r="E75" s="2338"/>
      <c r="F75" s="1015"/>
      <c r="G75" s="1037"/>
      <c r="H75" s="1037"/>
      <c r="I75" s="1037"/>
      <c r="J75" s="1037"/>
      <c r="K75" s="1037"/>
      <c r="L75" s="1037"/>
      <c r="M75" s="1037"/>
      <c r="N75" s="1038"/>
    </row>
    <row r="76" spans="1:14" s="1002" customFormat="1" ht="14.25" customHeight="1">
      <c r="A76" s="2340" t="s">
        <v>2874</v>
      </c>
      <c r="B76" s="2340"/>
      <c r="C76" s="2341"/>
      <c r="D76" s="2339"/>
      <c r="E76" s="2339"/>
      <c r="F76" s="1009"/>
      <c r="G76" s="1010"/>
      <c r="H76" s="1010"/>
      <c r="I76" s="1010"/>
      <c r="J76" s="1010"/>
      <c r="K76" s="1010"/>
      <c r="L76" s="1010"/>
      <c r="M76" s="1010"/>
      <c r="N76" s="1011"/>
    </row>
    <row r="77" spans="1:14" s="1002" customFormat="1" ht="14.25" customHeight="1">
      <c r="A77" s="2342"/>
      <c r="B77" s="2345" t="s">
        <v>2107</v>
      </c>
      <c r="C77" s="1039" t="s">
        <v>2838</v>
      </c>
      <c r="D77" s="1040"/>
      <c r="E77" s="1041" t="s">
        <v>2867</v>
      </c>
      <c r="F77" s="1042" t="s">
        <v>2875</v>
      </c>
      <c r="G77" s="1043">
        <f>IF(G61=0,0,G183/100)</f>
        <v>0</v>
      </c>
      <c r="H77" s="1043">
        <f t="shared" ref="H77:N77" si="42">IF(H61=0,0,H183/100)</f>
        <v>0</v>
      </c>
      <c r="I77" s="1043">
        <f t="shared" si="42"/>
        <v>0</v>
      </c>
      <c r="J77" s="1043">
        <f t="shared" si="42"/>
        <v>0</v>
      </c>
      <c r="K77" s="1043">
        <f t="shared" si="42"/>
        <v>0</v>
      </c>
      <c r="L77" s="1043">
        <f t="shared" si="42"/>
        <v>0</v>
      </c>
      <c r="M77" s="1043">
        <f t="shared" si="42"/>
        <v>0</v>
      </c>
      <c r="N77" s="1044">
        <f t="shared" si="42"/>
        <v>0</v>
      </c>
    </row>
    <row r="78" spans="1:14" s="1002" customFormat="1" ht="14.25" customHeight="1">
      <c r="A78" s="2343"/>
      <c r="B78" s="2346"/>
      <c r="C78" s="1045"/>
      <c r="D78" s="1046">
        <f>+D61</f>
        <v>1</v>
      </c>
      <c r="E78" s="1047" t="s">
        <v>2867</v>
      </c>
      <c r="F78" s="1021">
        <f>SUM(G78:N78)</f>
        <v>0</v>
      </c>
      <c r="G78" s="1048">
        <f>ROUNDDOWN(G61*G77*$D78,0)</f>
        <v>0</v>
      </c>
      <c r="H78" s="1048">
        <f t="shared" ref="H78:N78" si="43">ROUNDDOWN(H61*H77*$D78,0)</f>
        <v>0</v>
      </c>
      <c r="I78" s="1048">
        <f t="shared" si="43"/>
        <v>0</v>
      </c>
      <c r="J78" s="1048">
        <f t="shared" si="43"/>
        <v>0</v>
      </c>
      <c r="K78" s="1048">
        <f>ROUNDDOWN(K61*K77*$D78,0)</f>
        <v>0</v>
      </c>
      <c r="L78" s="1048">
        <f t="shared" si="43"/>
        <v>0</v>
      </c>
      <c r="M78" s="1048">
        <f t="shared" si="43"/>
        <v>0</v>
      </c>
      <c r="N78" s="1049">
        <f t="shared" si="43"/>
        <v>0</v>
      </c>
    </row>
    <row r="79" spans="1:14" s="1002" customFormat="1" ht="14.25" customHeight="1">
      <c r="A79" s="2343"/>
      <c r="B79" s="2347"/>
      <c r="C79" s="1050" t="s">
        <v>2839</v>
      </c>
      <c r="D79" s="1051"/>
      <c r="E79" s="1047" t="s">
        <v>2867</v>
      </c>
      <c r="F79" s="1052" t="s">
        <v>2875</v>
      </c>
      <c r="G79" s="1053">
        <f>IF(G62=0,0,G192/100)</f>
        <v>3.3000000000000002E-2</v>
      </c>
      <c r="H79" s="1053">
        <f t="shared" ref="H79:N79" si="44">IF(H62=0,0,H192/100)</f>
        <v>0</v>
      </c>
      <c r="I79" s="1053">
        <f t="shared" si="44"/>
        <v>0</v>
      </c>
      <c r="J79" s="1053">
        <f t="shared" si="44"/>
        <v>0</v>
      </c>
      <c r="K79" s="1053">
        <f t="shared" si="44"/>
        <v>0</v>
      </c>
      <c r="L79" s="1053">
        <f t="shared" si="44"/>
        <v>0</v>
      </c>
      <c r="M79" s="1053">
        <f t="shared" si="44"/>
        <v>0</v>
      </c>
      <c r="N79" s="1054">
        <f t="shared" si="44"/>
        <v>0</v>
      </c>
    </row>
    <row r="80" spans="1:14" s="1002" customFormat="1" ht="14.25" customHeight="1">
      <c r="A80" s="2343"/>
      <c r="B80" s="2347"/>
      <c r="C80" s="1045"/>
      <c r="D80" s="1055">
        <f t="shared" ref="D80:D85" si="45">+D62</f>
        <v>1</v>
      </c>
      <c r="E80" s="1047" t="s">
        <v>2867</v>
      </c>
      <c r="F80" s="1021">
        <f>SUM(G80:N80)</f>
        <v>261678</v>
      </c>
      <c r="G80" s="1048">
        <f>ROUNDDOWN(G62*G79*$D80,0)</f>
        <v>261678</v>
      </c>
      <c r="H80" s="1048">
        <f t="shared" ref="H80:N80" si="46">ROUNDDOWN(H62*H79*$D80,0)</f>
        <v>0</v>
      </c>
      <c r="I80" s="1048">
        <f t="shared" si="46"/>
        <v>0</v>
      </c>
      <c r="J80" s="1048">
        <f t="shared" si="46"/>
        <v>0</v>
      </c>
      <c r="K80" s="1048">
        <f>ROUNDDOWN(K62*K79*$D80,0)</f>
        <v>0</v>
      </c>
      <c r="L80" s="1048">
        <f t="shared" si="46"/>
        <v>0</v>
      </c>
      <c r="M80" s="1048">
        <f t="shared" si="46"/>
        <v>0</v>
      </c>
      <c r="N80" s="1049">
        <f t="shared" si="46"/>
        <v>0</v>
      </c>
    </row>
    <row r="81" spans="1:14" s="1002" customFormat="1" ht="14.25" customHeight="1">
      <c r="A81" s="2343"/>
      <c r="B81" s="2347"/>
      <c r="C81" s="1018" t="s">
        <v>2876</v>
      </c>
      <c r="D81" s="1056">
        <v>0.9</v>
      </c>
      <c r="E81" s="1047" t="s">
        <v>2867</v>
      </c>
      <c r="F81" s="1021">
        <f>SUM(G81:N81)</f>
        <v>0</v>
      </c>
      <c r="G81" s="1048">
        <f>ROUNDDOWN(G63*G77*$D81,0)</f>
        <v>0</v>
      </c>
      <c r="H81" s="1048">
        <f t="shared" ref="H81:N81" si="47">ROUNDDOWN(H63*H77*$D81,0)</f>
        <v>0</v>
      </c>
      <c r="I81" s="1048">
        <f t="shared" si="47"/>
        <v>0</v>
      </c>
      <c r="J81" s="1048">
        <f t="shared" si="47"/>
        <v>0</v>
      </c>
      <c r="K81" s="1048">
        <f>ROUNDDOWN(K63*K77*$D81,0)</f>
        <v>0</v>
      </c>
      <c r="L81" s="1048">
        <f t="shared" si="47"/>
        <v>0</v>
      </c>
      <c r="M81" s="1048">
        <f t="shared" si="47"/>
        <v>0</v>
      </c>
      <c r="N81" s="1049">
        <f t="shared" si="47"/>
        <v>0</v>
      </c>
    </row>
    <row r="82" spans="1:14" s="1002" customFormat="1" ht="14.25" customHeight="1">
      <c r="A82" s="2343"/>
      <c r="B82" s="2347"/>
      <c r="C82" s="1018" t="s">
        <v>2877</v>
      </c>
      <c r="D82" s="1056">
        <v>0.9</v>
      </c>
      <c r="E82" s="1047" t="s">
        <v>2867</v>
      </c>
      <c r="F82" s="1021">
        <f>SUM(G82:N82)</f>
        <v>0</v>
      </c>
      <c r="G82" s="1048">
        <f>ROUNDDOWN(G64*G79*$D82,0)</f>
        <v>0</v>
      </c>
      <c r="H82" s="1048">
        <f t="shared" ref="H82:N82" si="48">ROUNDDOWN(H64*H79*$D82,0)</f>
        <v>0</v>
      </c>
      <c r="I82" s="1048">
        <f t="shared" si="48"/>
        <v>0</v>
      </c>
      <c r="J82" s="1048">
        <f t="shared" si="48"/>
        <v>0</v>
      </c>
      <c r="K82" s="1048">
        <f>ROUNDDOWN(K64*K79*$D82,0)</f>
        <v>0</v>
      </c>
      <c r="L82" s="1048">
        <f t="shared" si="48"/>
        <v>0</v>
      </c>
      <c r="M82" s="1048">
        <f t="shared" si="48"/>
        <v>0</v>
      </c>
      <c r="N82" s="1049">
        <f t="shared" si="48"/>
        <v>0</v>
      </c>
    </row>
    <row r="83" spans="1:14" s="1002" customFormat="1" ht="14.25" customHeight="1">
      <c r="A83" s="2343"/>
      <c r="B83" s="2347" t="s">
        <v>2842</v>
      </c>
      <c r="C83" s="1024" t="s">
        <v>2870</v>
      </c>
      <c r="D83" s="1056">
        <f>+D65</f>
        <v>1</v>
      </c>
      <c r="E83" s="1025">
        <f>+E65</f>
        <v>0.01</v>
      </c>
      <c r="F83" s="1021">
        <f>IF(諸経費表!$C$2="共通費集計表",ROUNDDOWN(D83*E83*F65,0),#REF!)</f>
        <v>0</v>
      </c>
      <c r="G83" s="1048">
        <f t="shared" ref="G83:N92" si="49">ROUNDDOWN(G65*$E83*$D83,0)</f>
        <v>0</v>
      </c>
      <c r="H83" s="1048">
        <f t="shared" si="49"/>
        <v>0</v>
      </c>
      <c r="I83" s="1048">
        <f t="shared" si="49"/>
        <v>0</v>
      </c>
      <c r="J83" s="1048">
        <f t="shared" si="49"/>
        <v>0</v>
      </c>
      <c r="K83" s="1048">
        <f t="shared" si="49"/>
        <v>0</v>
      </c>
      <c r="L83" s="1048">
        <f t="shared" si="49"/>
        <v>0</v>
      </c>
      <c r="M83" s="1048">
        <f t="shared" si="49"/>
        <v>0</v>
      </c>
      <c r="N83" s="1049">
        <f t="shared" si="49"/>
        <v>0</v>
      </c>
    </row>
    <row r="84" spans="1:14" s="1002" customFormat="1" ht="14.25" customHeight="1">
      <c r="A84" s="2343"/>
      <c r="B84" s="2347"/>
      <c r="C84" s="1024" t="s">
        <v>2878</v>
      </c>
      <c r="D84" s="1056">
        <f t="shared" si="45"/>
        <v>1</v>
      </c>
      <c r="E84" s="1025">
        <f>+E66</f>
        <v>0.01</v>
      </c>
      <c r="F84" s="1021">
        <f>IF(諸経費表!$C$2="共通費集計表",ROUNDDOWN(D84*E84*F66,0),#REF!)</f>
        <v>0</v>
      </c>
      <c r="G84" s="1048">
        <f t="shared" si="49"/>
        <v>0</v>
      </c>
      <c r="H84" s="1048">
        <f t="shared" si="49"/>
        <v>0</v>
      </c>
      <c r="I84" s="1048">
        <f t="shared" si="49"/>
        <v>0</v>
      </c>
      <c r="J84" s="1048">
        <f t="shared" si="49"/>
        <v>0</v>
      </c>
      <c r="K84" s="1048">
        <f t="shared" si="49"/>
        <v>0</v>
      </c>
      <c r="L84" s="1048">
        <f t="shared" si="49"/>
        <v>0</v>
      </c>
      <c r="M84" s="1048">
        <f t="shared" si="49"/>
        <v>0</v>
      </c>
      <c r="N84" s="1049">
        <f t="shared" si="49"/>
        <v>0</v>
      </c>
    </row>
    <row r="85" spans="1:14" s="1002" customFormat="1" ht="14.25" customHeight="1">
      <c r="A85" s="2343"/>
      <c r="B85" s="2347"/>
      <c r="C85" s="1024" t="s">
        <v>2845</v>
      </c>
      <c r="D85" s="1056">
        <f t="shared" si="45"/>
        <v>1</v>
      </c>
      <c r="E85" s="1025">
        <f>+E67</f>
        <v>0.01</v>
      </c>
      <c r="F85" s="1021">
        <f>IF(諸経費表!$C$2="共通費集計表",ROUNDDOWN(D85*E85*F67,0),#REF!)</f>
        <v>0</v>
      </c>
      <c r="G85" s="1048">
        <f t="shared" si="49"/>
        <v>0</v>
      </c>
      <c r="H85" s="1048">
        <f t="shared" si="49"/>
        <v>0</v>
      </c>
      <c r="I85" s="1048">
        <f t="shared" si="49"/>
        <v>0</v>
      </c>
      <c r="J85" s="1048">
        <f t="shared" si="49"/>
        <v>0</v>
      </c>
      <c r="K85" s="1048">
        <f t="shared" si="49"/>
        <v>0</v>
      </c>
      <c r="L85" s="1048">
        <f t="shared" si="49"/>
        <v>0</v>
      </c>
      <c r="M85" s="1048">
        <f t="shared" si="49"/>
        <v>0</v>
      </c>
      <c r="N85" s="1049">
        <f t="shared" si="49"/>
        <v>0</v>
      </c>
    </row>
    <row r="86" spans="1:14" s="1002" customFormat="1" ht="14.25" customHeight="1">
      <c r="A86" s="2343"/>
      <c r="B86" s="2347"/>
      <c r="C86" s="1024" t="s">
        <v>2879</v>
      </c>
      <c r="D86" s="1056"/>
      <c r="E86" s="1025"/>
      <c r="F86" s="1021"/>
      <c r="G86" s="1048"/>
      <c r="H86" s="1048"/>
      <c r="I86" s="1048"/>
      <c r="J86" s="1048"/>
      <c r="K86" s="1048"/>
      <c r="L86" s="1048"/>
      <c r="M86" s="1048"/>
      <c r="N86" s="1049"/>
    </row>
    <row r="87" spans="1:14" s="1002" customFormat="1" ht="14.25" customHeight="1">
      <c r="A87" s="2343"/>
      <c r="B87" s="2347"/>
      <c r="C87" s="1057" t="s">
        <v>2847</v>
      </c>
      <c r="D87" s="1056"/>
      <c r="E87" s="1025"/>
      <c r="F87" s="1021"/>
      <c r="G87" s="1048"/>
      <c r="H87" s="1048"/>
      <c r="I87" s="1048"/>
      <c r="J87" s="1048"/>
      <c r="K87" s="1048"/>
      <c r="L87" s="1048"/>
      <c r="M87" s="1048"/>
      <c r="N87" s="1049"/>
    </row>
    <row r="88" spans="1:14" s="1002" customFormat="1" ht="14.25" customHeight="1">
      <c r="A88" s="2343"/>
      <c r="B88" s="2347"/>
      <c r="C88" s="1024" t="s">
        <v>2848</v>
      </c>
      <c r="D88" s="1056">
        <f t="shared" ref="D88:E92" si="50">+D70</f>
        <v>1</v>
      </c>
      <c r="E88" s="1025">
        <f t="shared" si="50"/>
        <v>0.01</v>
      </c>
      <c r="F88" s="1021">
        <f>IF(諸経費表!$C$2="共通費集計表",ROUNDDOWN(D88*E88*F70,0),#REF!)</f>
        <v>0</v>
      </c>
      <c r="G88" s="1048">
        <f t="shared" si="49"/>
        <v>0</v>
      </c>
      <c r="H88" s="1048">
        <f t="shared" si="49"/>
        <v>0</v>
      </c>
      <c r="I88" s="1048">
        <f t="shared" si="49"/>
        <v>0</v>
      </c>
      <c r="J88" s="1048">
        <f t="shared" si="49"/>
        <v>0</v>
      </c>
      <c r="K88" s="1048">
        <f t="shared" si="49"/>
        <v>0</v>
      </c>
      <c r="L88" s="1048">
        <f t="shared" si="49"/>
        <v>0</v>
      </c>
      <c r="M88" s="1048">
        <f t="shared" si="49"/>
        <v>0</v>
      </c>
      <c r="N88" s="1049">
        <f t="shared" si="49"/>
        <v>0</v>
      </c>
    </row>
    <row r="89" spans="1:14" s="1002" customFormat="1" ht="14.25" customHeight="1">
      <c r="A89" s="2343"/>
      <c r="B89" s="2347"/>
      <c r="C89" s="1026" t="s">
        <v>2880</v>
      </c>
      <c r="D89" s="1056">
        <f t="shared" si="50"/>
        <v>1</v>
      </c>
      <c r="E89" s="1025">
        <f t="shared" si="50"/>
        <v>0.01</v>
      </c>
      <c r="F89" s="1021">
        <f>IF(諸経費表!$C$2="共通費集計表",ROUNDDOWN(D89*E89*F71,0),#REF!)</f>
        <v>0</v>
      </c>
      <c r="G89" s="1048">
        <f t="shared" si="49"/>
        <v>0</v>
      </c>
      <c r="H89" s="1048">
        <f t="shared" si="49"/>
        <v>0</v>
      </c>
      <c r="I89" s="1048">
        <f t="shared" si="49"/>
        <v>0</v>
      </c>
      <c r="J89" s="1048">
        <f t="shared" si="49"/>
        <v>0</v>
      </c>
      <c r="K89" s="1048">
        <f t="shared" si="49"/>
        <v>0</v>
      </c>
      <c r="L89" s="1048">
        <f t="shared" si="49"/>
        <v>0</v>
      </c>
      <c r="M89" s="1048">
        <f t="shared" si="49"/>
        <v>0</v>
      </c>
      <c r="N89" s="1048">
        <f t="shared" si="49"/>
        <v>0</v>
      </c>
    </row>
    <row r="90" spans="1:14" s="1002" customFormat="1" ht="14.25" customHeight="1">
      <c r="A90" s="2343"/>
      <c r="B90" s="2347"/>
      <c r="C90" s="1026" t="s">
        <v>2881</v>
      </c>
      <c r="D90" s="1056">
        <f t="shared" si="50"/>
        <v>1</v>
      </c>
      <c r="E90" s="1025">
        <f t="shared" si="50"/>
        <v>0.01</v>
      </c>
      <c r="F90" s="1021">
        <f>IF(諸経費表!$C$2="共通費集計表",ROUNDDOWN(D90*E90*F72,0),#REF!)</f>
        <v>0</v>
      </c>
      <c r="G90" s="1048">
        <f t="shared" si="49"/>
        <v>0</v>
      </c>
      <c r="H90" s="1048">
        <f t="shared" si="49"/>
        <v>0</v>
      </c>
      <c r="I90" s="1048">
        <f t="shared" si="49"/>
        <v>0</v>
      </c>
      <c r="J90" s="1048">
        <f t="shared" si="49"/>
        <v>0</v>
      </c>
      <c r="K90" s="1048">
        <f t="shared" si="49"/>
        <v>0</v>
      </c>
      <c r="L90" s="1048">
        <f t="shared" si="49"/>
        <v>0</v>
      </c>
      <c r="M90" s="1048">
        <f t="shared" si="49"/>
        <v>0</v>
      </c>
      <c r="N90" s="1048">
        <f t="shared" si="49"/>
        <v>0</v>
      </c>
    </row>
    <row r="91" spans="1:14" s="1002" customFormat="1" ht="14.25" customHeight="1">
      <c r="A91" s="2343"/>
      <c r="B91" s="2347"/>
      <c r="C91" s="1024" t="s">
        <v>2851</v>
      </c>
      <c r="D91" s="1056">
        <f t="shared" si="50"/>
        <v>1</v>
      </c>
      <c r="E91" s="1025">
        <f t="shared" si="50"/>
        <v>0.01</v>
      </c>
      <c r="F91" s="1021">
        <f>IF(諸経費表!$C$2="共通費集計表",ROUNDDOWN(D91*E91*F73,0),#REF!)</f>
        <v>0</v>
      </c>
      <c r="G91" s="1048">
        <f t="shared" si="49"/>
        <v>0</v>
      </c>
      <c r="H91" s="1048">
        <f t="shared" si="49"/>
        <v>0</v>
      </c>
      <c r="I91" s="1048">
        <f t="shared" si="49"/>
        <v>0</v>
      </c>
      <c r="J91" s="1048">
        <f t="shared" si="49"/>
        <v>0</v>
      </c>
      <c r="K91" s="1048">
        <f t="shared" si="49"/>
        <v>0</v>
      </c>
      <c r="L91" s="1048">
        <f t="shared" si="49"/>
        <v>0</v>
      </c>
      <c r="M91" s="1048">
        <f t="shared" si="49"/>
        <v>0</v>
      </c>
      <c r="N91" s="1048">
        <f t="shared" si="49"/>
        <v>0</v>
      </c>
    </row>
    <row r="92" spans="1:14" s="1002" customFormat="1" ht="14.25" customHeight="1" thickBot="1">
      <c r="A92" s="2344"/>
      <c r="B92" s="1058" t="s">
        <v>2872</v>
      </c>
      <c r="C92" s="1059" t="s">
        <v>2882</v>
      </c>
      <c r="D92" s="1060">
        <f t="shared" si="50"/>
        <v>1</v>
      </c>
      <c r="E92" s="1061">
        <f t="shared" si="50"/>
        <v>0</v>
      </c>
      <c r="F92" s="1062">
        <f>ROUNDDOWN(D92*E92*F74,0)</f>
        <v>0</v>
      </c>
      <c r="G92" s="1048">
        <f>ROUNDDOWN(G74*$E92*$D92,0)</f>
        <v>0</v>
      </c>
      <c r="H92" s="1048">
        <f>ROUNDDOWN(H74*$E92*$D92,0)</f>
        <v>0</v>
      </c>
      <c r="I92" s="1048">
        <f t="shared" si="49"/>
        <v>0</v>
      </c>
      <c r="J92" s="1048">
        <f t="shared" si="49"/>
        <v>0</v>
      </c>
      <c r="K92" s="1048">
        <f t="shared" si="49"/>
        <v>0</v>
      </c>
      <c r="L92" s="1048">
        <f t="shared" si="49"/>
        <v>0</v>
      </c>
      <c r="M92" s="1048">
        <f t="shared" si="49"/>
        <v>0</v>
      </c>
      <c r="N92" s="1048">
        <f t="shared" si="49"/>
        <v>0</v>
      </c>
    </row>
    <row r="93" spans="1:14" s="1002" customFormat="1" ht="14.25" customHeight="1" thickTop="1">
      <c r="A93" s="1063"/>
      <c r="B93" s="1064"/>
      <c r="C93" s="1065" t="s">
        <v>2883</v>
      </c>
      <c r="D93" s="1066"/>
      <c r="E93" s="1067"/>
      <c r="F93" s="1068">
        <f>SUM(G93:N93)</f>
        <v>261678</v>
      </c>
      <c r="G93" s="1069">
        <f>SUM(G80:G92)+G78</f>
        <v>261678</v>
      </c>
      <c r="H93" s="1069">
        <f t="shared" ref="H93:N93" si="51">SUM(H80:H92)+H78</f>
        <v>0</v>
      </c>
      <c r="I93" s="1069">
        <f t="shared" si="51"/>
        <v>0</v>
      </c>
      <c r="J93" s="1069">
        <f t="shared" si="51"/>
        <v>0</v>
      </c>
      <c r="K93" s="1069">
        <f>SUM(K80:K92)+K78</f>
        <v>0</v>
      </c>
      <c r="L93" s="1069">
        <f t="shared" si="51"/>
        <v>0</v>
      </c>
      <c r="M93" s="1069">
        <f t="shared" si="51"/>
        <v>0</v>
      </c>
      <c r="N93" s="1070">
        <f t="shared" si="51"/>
        <v>0</v>
      </c>
    </row>
    <row r="94" spans="1:14" s="951" customFormat="1" ht="14.25" customHeight="1">
      <c r="A94" s="946"/>
      <c r="B94" s="946"/>
      <c r="C94" s="954"/>
      <c r="D94" s="954"/>
      <c r="E94" s="946"/>
      <c r="F94" s="1071"/>
      <c r="G94" s="1072"/>
      <c r="H94" s="1072"/>
      <c r="I94" s="1072"/>
      <c r="J94" s="1072"/>
      <c r="K94" s="1072"/>
      <c r="L94" s="1072"/>
      <c r="M94" s="1072"/>
      <c r="N94" s="1072"/>
    </row>
    <row r="95" spans="1:14" s="951" customFormat="1" ht="14.25" customHeight="1">
      <c r="A95" s="946"/>
      <c r="B95" s="946"/>
      <c r="C95" s="1073" t="s">
        <v>2884</v>
      </c>
      <c r="D95" s="1073"/>
      <c r="E95" s="1074"/>
      <c r="F95" s="837"/>
      <c r="G95" s="842"/>
      <c r="H95" s="842"/>
      <c r="I95" s="842"/>
      <c r="J95" s="842"/>
      <c r="K95" s="842"/>
      <c r="L95" s="842"/>
      <c r="M95" s="842"/>
      <c r="N95" s="844" t="s">
        <v>2885</v>
      </c>
    </row>
    <row r="96" spans="1:14" s="951" customFormat="1" ht="14.25" customHeight="1">
      <c r="A96" s="946"/>
      <c r="B96" s="946"/>
      <c r="C96" s="1075" t="s">
        <v>2886</v>
      </c>
      <c r="D96" s="1075"/>
      <c r="E96" s="1074"/>
      <c r="F96" s="837"/>
      <c r="G96" s="842"/>
      <c r="H96" s="842"/>
      <c r="I96" s="842"/>
      <c r="J96" s="842"/>
      <c r="K96" s="842"/>
      <c r="L96" s="842"/>
      <c r="M96" s="842"/>
      <c r="N96" s="844"/>
    </row>
    <row r="97" spans="1:14" s="951" customFormat="1" ht="14.25" customHeight="1">
      <c r="A97" s="1076"/>
      <c r="B97" s="1077"/>
      <c r="C97" s="1077"/>
      <c r="D97" s="2324" t="s">
        <v>2863</v>
      </c>
      <c r="E97" s="2324" t="s">
        <v>2864</v>
      </c>
      <c r="F97" s="1078" t="s">
        <v>2836</v>
      </c>
      <c r="G97" s="1079" t="str">
        <f t="shared" ref="G97:N97" si="52">+G5</f>
        <v>工事1</v>
      </c>
      <c r="H97" s="1079" t="str">
        <f t="shared" si="52"/>
        <v>工事2</v>
      </c>
      <c r="I97" s="1079" t="str">
        <f t="shared" si="52"/>
        <v>工事3</v>
      </c>
      <c r="J97" s="1079" t="str">
        <f t="shared" si="52"/>
        <v>工事4</v>
      </c>
      <c r="K97" s="1079" t="str">
        <f>+K5</f>
        <v>工事5</v>
      </c>
      <c r="L97" s="1079" t="str">
        <f t="shared" si="52"/>
        <v>工事6</v>
      </c>
      <c r="M97" s="1079" t="str">
        <f t="shared" si="52"/>
        <v>工事7</v>
      </c>
      <c r="N97" s="1080" t="str">
        <f t="shared" si="52"/>
        <v>工事8</v>
      </c>
    </row>
    <row r="98" spans="1:14" s="951" customFormat="1" ht="14.25" customHeight="1">
      <c r="A98" s="2326" t="s">
        <v>2887</v>
      </c>
      <c r="B98" s="2327"/>
      <c r="C98" s="2327"/>
      <c r="D98" s="2325"/>
      <c r="E98" s="2325"/>
      <c r="F98" s="1081"/>
      <c r="G98" s="1082"/>
      <c r="H98" s="1082"/>
      <c r="I98" s="1082"/>
      <c r="J98" s="1082"/>
      <c r="K98" s="1082"/>
      <c r="L98" s="1082"/>
      <c r="M98" s="1082"/>
      <c r="N98" s="1083"/>
    </row>
    <row r="99" spans="1:14" s="951" customFormat="1" ht="14.25" customHeight="1">
      <c r="A99" s="2328"/>
      <c r="B99" s="1084" t="s">
        <v>2888</v>
      </c>
      <c r="C99" s="1085"/>
      <c r="D99" s="1086"/>
      <c r="E99" s="1087"/>
      <c r="F99" s="1088">
        <f t="shared" ref="F99:F106" si="53">SUM(G99:N99)</f>
        <v>8496221</v>
      </c>
      <c r="G99" s="1089">
        <f>+G10-G54-G53-G49-G50</f>
        <v>8496221</v>
      </c>
      <c r="H99" s="1089">
        <f t="shared" ref="H99:N99" si="54">+H10-H54-H53-H49-H50</f>
        <v>0</v>
      </c>
      <c r="I99" s="1090">
        <f t="shared" si="54"/>
        <v>0</v>
      </c>
      <c r="J99" s="1090">
        <f t="shared" si="54"/>
        <v>0</v>
      </c>
      <c r="K99" s="1090">
        <f>+K10-K54-K53-K49-K50</f>
        <v>0</v>
      </c>
      <c r="L99" s="1090">
        <f t="shared" si="54"/>
        <v>0</v>
      </c>
      <c r="M99" s="1090">
        <f t="shared" si="54"/>
        <v>0</v>
      </c>
      <c r="N99" s="1091">
        <f t="shared" si="54"/>
        <v>0</v>
      </c>
    </row>
    <row r="100" spans="1:14" s="951" customFormat="1" ht="14.25" customHeight="1">
      <c r="A100" s="2329"/>
      <c r="B100" s="2331" t="s">
        <v>2107</v>
      </c>
      <c r="C100" s="1092" t="s">
        <v>2838</v>
      </c>
      <c r="D100" s="1093">
        <v>1</v>
      </c>
      <c r="E100" s="1094" t="s">
        <v>2867</v>
      </c>
      <c r="F100" s="949">
        <f t="shared" si="53"/>
        <v>0</v>
      </c>
      <c r="G100" s="985">
        <f>IF(G36&gt;G37,+G36+G78+G17-G18-G19-G54,G36+G78)</f>
        <v>0</v>
      </c>
      <c r="H100" s="985">
        <f t="shared" ref="H100:N100" si="55">IF(H36&gt;H37,+H36+H78+H17-H18-H19-H54,H36+H78)</f>
        <v>0</v>
      </c>
      <c r="I100" s="985">
        <f t="shared" si="55"/>
        <v>0</v>
      </c>
      <c r="J100" s="985">
        <f t="shared" si="55"/>
        <v>0</v>
      </c>
      <c r="K100" s="985">
        <f t="shared" si="55"/>
        <v>0</v>
      </c>
      <c r="L100" s="985">
        <f t="shared" si="55"/>
        <v>0</v>
      </c>
      <c r="M100" s="985">
        <f t="shared" si="55"/>
        <v>0</v>
      </c>
      <c r="N100" s="986">
        <f t="shared" si="55"/>
        <v>0</v>
      </c>
    </row>
    <row r="101" spans="1:14" s="910" customFormat="1" ht="14.25" customHeight="1">
      <c r="A101" s="2329"/>
      <c r="B101" s="2331"/>
      <c r="C101" s="1095" t="s">
        <v>2839</v>
      </c>
      <c r="D101" s="1096">
        <v>1</v>
      </c>
      <c r="E101" s="1097" t="s">
        <v>2867</v>
      </c>
      <c r="F101" s="949">
        <f t="shared" si="53"/>
        <v>8496221</v>
      </c>
      <c r="G101" s="985">
        <f>IF(G36&gt;G37,+G37+G80,G37+G80+G17-G18-G19-G54)</f>
        <v>8496221</v>
      </c>
      <c r="H101" s="985">
        <f t="shared" ref="H101:N101" si="56">IF(H36&gt;H37,+H37+H80,H37+H80+H17-H18-H19-H54)</f>
        <v>0</v>
      </c>
      <c r="I101" s="985">
        <f t="shared" si="56"/>
        <v>0</v>
      </c>
      <c r="J101" s="985">
        <f t="shared" si="56"/>
        <v>0</v>
      </c>
      <c r="K101" s="985">
        <f t="shared" si="56"/>
        <v>0</v>
      </c>
      <c r="L101" s="985">
        <f t="shared" si="56"/>
        <v>0</v>
      </c>
      <c r="M101" s="985">
        <f t="shared" si="56"/>
        <v>0</v>
      </c>
      <c r="N101" s="986">
        <f t="shared" si="56"/>
        <v>0</v>
      </c>
    </row>
    <row r="102" spans="1:14" s="951" customFormat="1" ht="14.25" customHeight="1">
      <c r="A102" s="2329"/>
      <c r="B102" s="2331"/>
      <c r="C102" s="1092" t="s">
        <v>2868</v>
      </c>
      <c r="D102" s="1093">
        <v>1</v>
      </c>
      <c r="E102" s="1094" t="s">
        <v>2867</v>
      </c>
      <c r="F102" s="949">
        <f t="shared" si="53"/>
        <v>0</v>
      </c>
      <c r="G102" s="985">
        <f>+G38+G81</f>
        <v>0</v>
      </c>
      <c r="H102" s="985">
        <f t="shared" ref="H102:N106" si="57">+H38+H81</f>
        <v>0</v>
      </c>
      <c r="I102" s="1098">
        <f t="shared" si="57"/>
        <v>0</v>
      </c>
      <c r="J102" s="1098">
        <f t="shared" si="57"/>
        <v>0</v>
      </c>
      <c r="K102" s="1098">
        <f t="shared" si="57"/>
        <v>0</v>
      </c>
      <c r="L102" s="1098">
        <f t="shared" si="57"/>
        <v>0</v>
      </c>
      <c r="M102" s="1098">
        <f t="shared" si="57"/>
        <v>0</v>
      </c>
      <c r="N102" s="1099">
        <f t="shared" si="57"/>
        <v>0</v>
      </c>
    </row>
    <row r="103" spans="1:14" s="951" customFormat="1" ht="14.25" customHeight="1">
      <c r="A103" s="2329"/>
      <c r="B103" s="2331"/>
      <c r="C103" s="1092" t="s">
        <v>2869</v>
      </c>
      <c r="D103" s="1093">
        <v>1</v>
      </c>
      <c r="E103" s="1094" t="s">
        <v>2867</v>
      </c>
      <c r="F103" s="949">
        <f t="shared" si="53"/>
        <v>0</v>
      </c>
      <c r="G103" s="1098">
        <f>+G39+G82</f>
        <v>0</v>
      </c>
      <c r="H103" s="1098">
        <f t="shared" si="57"/>
        <v>0</v>
      </c>
      <c r="I103" s="1098">
        <f t="shared" si="57"/>
        <v>0</v>
      </c>
      <c r="J103" s="1098">
        <f t="shared" si="57"/>
        <v>0</v>
      </c>
      <c r="K103" s="1098">
        <f t="shared" si="57"/>
        <v>0</v>
      </c>
      <c r="L103" s="1098">
        <f t="shared" si="57"/>
        <v>0</v>
      </c>
      <c r="M103" s="1098">
        <f t="shared" si="57"/>
        <v>0</v>
      </c>
      <c r="N103" s="1099">
        <f t="shared" si="57"/>
        <v>0</v>
      </c>
    </row>
    <row r="104" spans="1:14" s="951" customFormat="1" ht="14.25" customHeight="1">
      <c r="A104" s="2329"/>
      <c r="B104" s="2331" t="s">
        <v>2842</v>
      </c>
      <c r="C104" s="1100" t="s">
        <v>2870</v>
      </c>
      <c r="D104" s="1093">
        <v>1</v>
      </c>
      <c r="E104" s="1101">
        <v>0.02</v>
      </c>
      <c r="F104" s="949">
        <f t="shared" si="53"/>
        <v>0</v>
      </c>
      <c r="G104" s="1098">
        <f>+G40+G83</f>
        <v>0</v>
      </c>
      <c r="H104" s="1098">
        <f t="shared" si="57"/>
        <v>0</v>
      </c>
      <c r="I104" s="1098">
        <f t="shared" si="57"/>
        <v>0</v>
      </c>
      <c r="J104" s="1098">
        <f t="shared" si="57"/>
        <v>0</v>
      </c>
      <c r="K104" s="1098">
        <f t="shared" si="57"/>
        <v>0</v>
      </c>
      <c r="L104" s="1098">
        <f t="shared" si="57"/>
        <v>0</v>
      </c>
      <c r="M104" s="1098">
        <f t="shared" si="57"/>
        <v>0</v>
      </c>
      <c r="N104" s="1099">
        <f t="shared" si="57"/>
        <v>0</v>
      </c>
    </row>
    <row r="105" spans="1:14" s="951" customFormat="1" ht="14.25" customHeight="1">
      <c r="A105" s="2329"/>
      <c r="B105" s="2331"/>
      <c r="C105" s="1100" t="s">
        <v>2871</v>
      </c>
      <c r="D105" s="1093">
        <v>1</v>
      </c>
      <c r="E105" s="1101">
        <v>0.02</v>
      </c>
      <c r="F105" s="949">
        <f t="shared" si="53"/>
        <v>0</v>
      </c>
      <c r="G105" s="1098">
        <f>+G41+G84</f>
        <v>0</v>
      </c>
      <c r="H105" s="1098">
        <f t="shared" si="57"/>
        <v>0</v>
      </c>
      <c r="I105" s="1098">
        <f t="shared" si="57"/>
        <v>0</v>
      </c>
      <c r="J105" s="1098">
        <f t="shared" si="57"/>
        <v>0</v>
      </c>
      <c r="K105" s="1098">
        <f t="shared" si="57"/>
        <v>0</v>
      </c>
      <c r="L105" s="1098">
        <f t="shared" si="57"/>
        <v>0</v>
      </c>
      <c r="M105" s="1098">
        <f t="shared" si="57"/>
        <v>0</v>
      </c>
      <c r="N105" s="1099">
        <f t="shared" si="57"/>
        <v>0</v>
      </c>
    </row>
    <row r="106" spans="1:14" s="951" customFormat="1" ht="14.25" customHeight="1">
      <c r="A106" s="2329"/>
      <c r="B106" s="2331"/>
      <c r="C106" s="1100" t="s">
        <v>2845</v>
      </c>
      <c r="D106" s="1093">
        <v>1</v>
      </c>
      <c r="E106" s="1101">
        <v>0.02</v>
      </c>
      <c r="F106" s="949">
        <f t="shared" si="53"/>
        <v>0</v>
      </c>
      <c r="G106" s="1098">
        <f>+G42+G85</f>
        <v>0</v>
      </c>
      <c r="H106" s="1098">
        <f t="shared" si="57"/>
        <v>0</v>
      </c>
      <c r="I106" s="1098">
        <f t="shared" si="57"/>
        <v>0</v>
      </c>
      <c r="J106" s="1098">
        <f t="shared" si="57"/>
        <v>0</v>
      </c>
      <c r="K106" s="1098">
        <f t="shared" si="57"/>
        <v>0</v>
      </c>
      <c r="L106" s="1098">
        <f t="shared" si="57"/>
        <v>0</v>
      </c>
      <c r="M106" s="1098">
        <f t="shared" si="57"/>
        <v>0</v>
      </c>
      <c r="N106" s="1099">
        <f t="shared" si="57"/>
        <v>0</v>
      </c>
    </row>
    <row r="107" spans="1:14" s="951" customFormat="1" ht="14.25" customHeight="1">
      <c r="A107" s="2329"/>
      <c r="B107" s="2331"/>
      <c r="C107" s="1100" t="s">
        <v>2846</v>
      </c>
      <c r="D107" s="1093"/>
      <c r="E107" s="1101"/>
      <c r="F107" s="949"/>
      <c r="G107" s="1098"/>
      <c r="H107" s="1098"/>
      <c r="I107" s="1098"/>
      <c r="J107" s="1098"/>
      <c r="K107" s="1098"/>
      <c r="L107" s="1098"/>
      <c r="M107" s="1098"/>
      <c r="N107" s="1099"/>
    </row>
    <row r="108" spans="1:14" s="951" customFormat="1" ht="14.25" customHeight="1">
      <c r="A108" s="2329"/>
      <c r="B108" s="2331"/>
      <c r="C108" s="1100" t="s">
        <v>2847</v>
      </c>
      <c r="D108" s="1093"/>
      <c r="E108" s="1101"/>
      <c r="F108" s="949"/>
      <c r="G108" s="1098"/>
      <c r="H108" s="1098"/>
      <c r="I108" s="1098"/>
      <c r="J108" s="1098"/>
      <c r="K108" s="1098"/>
      <c r="L108" s="1098"/>
      <c r="M108" s="1098"/>
      <c r="N108" s="1099"/>
    </row>
    <row r="109" spans="1:14" s="951" customFormat="1" ht="14.25" customHeight="1">
      <c r="A109" s="2329"/>
      <c r="B109" s="2331"/>
      <c r="C109" s="1100" t="s">
        <v>2848</v>
      </c>
      <c r="D109" s="1093">
        <v>1</v>
      </c>
      <c r="E109" s="1101">
        <v>0.02</v>
      </c>
      <c r="F109" s="949">
        <f>SUM(G109:N109)</f>
        <v>0</v>
      </c>
      <c r="G109" s="1098">
        <f t="shared" ref="G109:N112" si="58">+G45+G88</f>
        <v>0</v>
      </c>
      <c r="H109" s="1098">
        <f t="shared" si="58"/>
        <v>0</v>
      </c>
      <c r="I109" s="1098">
        <f t="shared" si="58"/>
        <v>0</v>
      </c>
      <c r="J109" s="1098">
        <f t="shared" si="58"/>
        <v>0</v>
      </c>
      <c r="K109" s="1098">
        <f t="shared" si="58"/>
        <v>0</v>
      </c>
      <c r="L109" s="1098">
        <f t="shared" si="58"/>
        <v>0</v>
      </c>
      <c r="M109" s="1098">
        <f t="shared" si="58"/>
        <v>0</v>
      </c>
      <c r="N109" s="1099">
        <f t="shared" si="58"/>
        <v>0</v>
      </c>
    </row>
    <row r="110" spans="1:14" s="951" customFormat="1" ht="14.25" customHeight="1">
      <c r="A110" s="2329"/>
      <c r="B110" s="2331"/>
      <c r="C110" s="1102" t="s">
        <v>2849</v>
      </c>
      <c r="D110" s="1093">
        <v>1</v>
      </c>
      <c r="E110" s="1101">
        <v>0.02</v>
      </c>
      <c r="F110" s="949">
        <f>SUM(G110:N110)</f>
        <v>0</v>
      </c>
      <c r="G110" s="1098">
        <f t="shared" si="58"/>
        <v>0</v>
      </c>
      <c r="H110" s="1098">
        <f t="shared" si="58"/>
        <v>0</v>
      </c>
      <c r="I110" s="1098">
        <f t="shared" si="58"/>
        <v>0</v>
      </c>
      <c r="J110" s="1098">
        <f t="shared" si="58"/>
        <v>0</v>
      </c>
      <c r="K110" s="1098">
        <f t="shared" si="58"/>
        <v>0</v>
      </c>
      <c r="L110" s="1098">
        <f t="shared" si="58"/>
        <v>0</v>
      </c>
      <c r="M110" s="1098">
        <f t="shared" si="58"/>
        <v>0</v>
      </c>
      <c r="N110" s="1099">
        <f t="shared" si="58"/>
        <v>0</v>
      </c>
    </row>
    <row r="111" spans="1:14" s="951" customFormat="1" ht="14.25" customHeight="1">
      <c r="A111" s="2329"/>
      <c r="B111" s="2331"/>
      <c r="C111" s="1102" t="s">
        <v>2850</v>
      </c>
      <c r="D111" s="1093">
        <v>1</v>
      </c>
      <c r="E111" s="1101">
        <v>0.02</v>
      </c>
      <c r="F111" s="949">
        <f>SUM(G111:N111)</f>
        <v>0</v>
      </c>
      <c r="G111" s="1098">
        <f t="shared" si="58"/>
        <v>0</v>
      </c>
      <c r="H111" s="1098">
        <f t="shared" si="58"/>
        <v>0</v>
      </c>
      <c r="I111" s="1098">
        <f t="shared" si="58"/>
        <v>0</v>
      </c>
      <c r="J111" s="1098">
        <f t="shared" si="58"/>
        <v>0</v>
      </c>
      <c r="K111" s="1098">
        <f t="shared" si="58"/>
        <v>0</v>
      </c>
      <c r="L111" s="1098">
        <f t="shared" si="58"/>
        <v>0</v>
      </c>
      <c r="M111" s="1098">
        <f t="shared" si="58"/>
        <v>0</v>
      </c>
      <c r="N111" s="1099">
        <f t="shared" si="58"/>
        <v>0</v>
      </c>
    </row>
    <row r="112" spans="1:14" s="951" customFormat="1" ht="14.25" customHeight="1">
      <c r="A112" s="2329"/>
      <c r="B112" s="2331"/>
      <c r="C112" s="1100" t="s">
        <v>2851</v>
      </c>
      <c r="D112" s="1093">
        <v>1</v>
      </c>
      <c r="E112" s="1101">
        <v>0.02</v>
      </c>
      <c r="F112" s="949">
        <f>SUM(G112:N112)</f>
        <v>0</v>
      </c>
      <c r="G112" s="1098">
        <f t="shared" si="58"/>
        <v>0</v>
      </c>
      <c r="H112" s="1098">
        <f t="shared" si="58"/>
        <v>0</v>
      </c>
      <c r="I112" s="1098">
        <f t="shared" si="58"/>
        <v>0</v>
      </c>
      <c r="J112" s="1098">
        <f t="shared" si="58"/>
        <v>0</v>
      </c>
      <c r="K112" s="1098">
        <f t="shared" si="58"/>
        <v>0</v>
      </c>
      <c r="L112" s="1098">
        <f t="shared" si="58"/>
        <v>0</v>
      </c>
      <c r="M112" s="1098">
        <f t="shared" si="58"/>
        <v>0</v>
      </c>
      <c r="N112" s="1099">
        <f t="shared" si="58"/>
        <v>0</v>
      </c>
    </row>
    <row r="113" spans="1:14" s="951" customFormat="1" ht="14.25" customHeight="1">
      <c r="A113" s="2330"/>
      <c r="B113" s="1103" t="s">
        <v>2872</v>
      </c>
      <c r="C113" s="1104" t="s">
        <v>2889</v>
      </c>
      <c r="D113" s="1105">
        <v>1</v>
      </c>
      <c r="E113" s="1106">
        <v>0</v>
      </c>
      <c r="F113" s="1107">
        <f>SUM(G113:N113)</f>
        <v>34180</v>
      </c>
      <c r="G113" s="1108">
        <f>SUM(G49:G55)</f>
        <v>34180</v>
      </c>
      <c r="H113" s="1108">
        <f t="shared" ref="H113:N113" si="59">SUM(H49:H55)</f>
        <v>0</v>
      </c>
      <c r="I113" s="1108">
        <f t="shared" si="59"/>
        <v>0</v>
      </c>
      <c r="J113" s="1108">
        <f t="shared" si="59"/>
        <v>0</v>
      </c>
      <c r="K113" s="1108">
        <f>SUM(K49:K55)</f>
        <v>0</v>
      </c>
      <c r="L113" s="1108">
        <f t="shared" si="59"/>
        <v>0</v>
      </c>
      <c r="M113" s="1108">
        <f t="shared" si="59"/>
        <v>0</v>
      </c>
      <c r="N113" s="1109">
        <f t="shared" si="59"/>
        <v>0</v>
      </c>
    </row>
    <row r="114" spans="1:14" s="951" customFormat="1" ht="14.25" customHeight="1">
      <c r="A114" s="1110"/>
      <c r="B114" s="1111"/>
      <c r="C114" s="1112"/>
      <c r="D114" s="2332"/>
      <c r="E114" s="2332"/>
      <c r="F114" s="1088"/>
      <c r="G114" s="1089"/>
      <c r="H114" s="1089"/>
      <c r="I114" s="1089"/>
      <c r="J114" s="1089"/>
      <c r="K114" s="1089"/>
      <c r="L114" s="1089"/>
      <c r="M114" s="1089"/>
      <c r="N114" s="1113"/>
    </row>
    <row r="115" spans="1:14" s="951" customFormat="1" ht="14.25" customHeight="1">
      <c r="A115" s="2334" t="s">
        <v>2890</v>
      </c>
      <c r="B115" s="2334"/>
      <c r="C115" s="2326"/>
      <c r="D115" s="2333"/>
      <c r="E115" s="2333"/>
      <c r="F115" s="1081"/>
      <c r="G115" s="1082"/>
      <c r="H115" s="1082"/>
      <c r="I115" s="1082"/>
      <c r="J115" s="1082"/>
      <c r="K115" s="1082"/>
      <c r="L115" s="1082"/>
      <c r="M115" s="1082"/>
      <c r="N115" s="1083"/>
    </row>
    <row r="116" spans="1:14" s="951" customFormat="1" ht="14.25" customHeight="1">
      <c r="A116" s="2328"/>
      <c r="B116" s="2335" t="s">
        <v>2107</v>
      </c>
      <c r="C116" s="1114" t="s">
        <v>2838</v>
      </c>
      <c r="D116" s="1115"/>
      <c r="E116" s="1116" t="s">
        <v>2867</v>
      </c>
      <c r="F116" s="1117" t="s">
        <v>2875</v>
      </c>
      <c r="G116" s="1118">
        <f>IF(G100=0,0,+G200/100)</f>
        <v>0</v>
      </c>
      <c r="H116" s="1118">
        <f t="shared" ref="H116:N116" si="60">IF(H100=0,0,+H200/100)</f>
        <v>0</v>
      </c>
      <c r="I116" s="1118">
        <f t="shared" si="60"/>
        <v>0</v>
      </c>
      <c r="J116" s="1118">
        <f t="shared" si="60"/>
        <v>0</v>
      </c>
      <c r="K116" s="1118">
        <f>IF(K100=0,0,+K200/100)</f>
        <v>0</v>
      </c>
      <c r="L116" s="1118">
        <f t="shared" si="60"/>
        <v>0</v>
      </c>
      <c r="M116" s="1118">
        <f t="shared" si="60"/>
        <v>0</v>
      </c>
      <c r="N116" s="1119">
        <f t="shared" si="60"/>
        <v>0</v>
      </c>
    </row>
    <row r="117" spans="1:14" s="951" customFormat="1" ht="14.25" customHeight="1">
      <c r="A117" s="2329"/>
      <c r="B117" s="2336"/>
      <c r="C117" s="1120"/>
      <c r="D117" s="1121">
        <f>+D100</f>
        <v>1</v>
      </c>
      <c r="E117" s="1122" t="s">
        <v>2867</v>
      </c>
      <c r="F117" s="1123">
        <f>SUM(G117:N117)</f>
        <v>0</v>
      </c>
      <c r="G117" s="940">
        <f>ROUNDDOWN(G100*G116*$D117,0)</f>
        <v>0</v>
      </c>
      <c r="H117" s="940">
        <f t="shared" ref="H117:N117" si="61">ROUNDDOWN(H100*H116*$D117,0)</f>
        <v>0</v>
      </c>
      <c r="I117" s="940">
        <f t="shared" si="61"/>
        <v>0</v>
      </c>
      <c r="J117" s="940">
        <f t="shared" si="61"/>
        <v>0</v>
      </c>
      <c r="K117" s="940">
        <f>ROUNDDOWN(K100*K116*$D117,0)</f>
        <v>0</v>
      </c>
      <c r="L117" s="940">
        <f t="shared" si="61"/>
        <v>0</v>
      </c>
      <c r="M117" s="940">
        <f t="shared" si="61"/>
        <v>0</v>
      </c>
      <c r="N117" s="1124">
        <f t="shared" si="61"/>
        <v>0</v>
      </c>
    </row>
    <row r="118" spans="1:14" s="951" customFormat="1" ht="14.25" customHeight="1">
      <c r="A118" s="2329"/>
      <c r="B118" s="2331"/>
      <c r="C118" s="1125" t="s">
        <v>2839</v>
      </c>
      <c r="D118" s="1126"/>
      <c r="E118" s="1122" t="s">
        <v>2867</v>
      </c>
      <c r="F118" s="1127" t="s">
        <v>2875</v>
      </c>
      <c r="G118" s="1128">
        <f>IF(G101=0,0,+G208/100)</f>
        <v>0.17600000000000002</v>
      </c>
      <c r="H118" s="1129">
        <f t="shared" ref="H118:N118" si="62">IF(H101=0,0,+H208/100)</f>
        <v>0</v>
      </c>
      <c r="I118" s="1129">
        <f t="shared" si="62"/>
        <v>0</v>
      </c>
      <c r="J118" s="1129">
        <f t="shared" si="62"/>
        <v>0</v>
      </c>
      <c r="K118" s="1129">
        <f>IF(K101=0,0,+K208/100)</f>
        <v>0</v>
      </c>
      <c r="L118" s="1129">
        <f t="shared" si="62"/>
        <v>0</v>
      </c>
      <c r="M118" s="1129">
        <f t="shared" si="62"/>
        <v>0</v>
      </c>
      <c r="N118" s="1130">
        <f t="shared" si="62"/>
        <v>0</v>
      </c>
    </row>
    <row r="119" spans="1:14" s="951" customFormat="1" ht="14.25" customHeight="1">
      <c r="A119" s="2329"/>
      <c r="B119" s="2331"/>
      <c r="C119" s="1120"/>
      <c r="D119" s="1131">
        <f t="shared" ref="D119:D124" si="63">+D101</f>
        <v>1</v>
      </c>
      <c r="E119" s="1122" t="s">
        <v>2867</v>
      </c>
      <c r="F119" s="1123">
        <f t="shared" ref="F119:F124" si="64">SUM(G119:N119)</f>
        <v>1495334</v>
      </c>
      <c r="G119" s="940">
        <f>ROUNDDOWN(G101*G118*$D119,0)</f>
        <v>1495334</v>
      </c>
      <c r="H119" s="940">
        <f t="shared" ref="H119:N119" si="65">ROUNDDOWN(H101*H118*$D119,0)</f>
        <v>0</v>
      </c>
      <c r="I119" s="940">
        <f t="shared" si="65"/>
        <v>0</v>
      </c>
      <c r="J119" s="940">
        <f t="shared" si="65"/>
        <v>0</v>
      </c>
      <c r="K119" s="940">
        <f>ROUNDDOWN(K101*K118*$D119,0)</f>
        <v>0</v>
      </c>
      <c r="L119" s="940">
        <f t="shared" si="65"/>
        <v>0</v>
      </c>
      <c r="M119" s="940">
        <f t="shared" si="65"/>
        <v>0</v>
      </c>
      <c r="N119" s="1124">
        <f t="shared" si="65"/>
        <v>0</v>
      </c>
    </row>
    <row r="120" spans="1:14" s="951" customFormat="1" ht="14.25" customHeight="1">
      <c r="A120" s="2329"/>
      <c r="B120" s="2331"/>
      <c r="C120" s="1092" t="s">
        <v>2876</v>
      </c>
      <c r="D120" s="1132">
        <f t="shared" si="63"/>
        <v>1</v>
      </c>
      <c r="E120" s="1122" t="s">
        <v>2867</v>
      </c>
      <c r="F120" s="1123">
        <f t="shared" si="64"/>
        <v>0</v>
      </c>
      <c r="G120" s="940">
        <f t="shared" ref="G120:N120" si="66">ROUNDDOWN(G102*G116*$D120,0)</f>
        <v>0</v>
      </c>
      <c r="H120" s="940">
        <f t="shared" si="66"/>
        <v>0</v>
      </c>
      <c r="I120" s="940">
        <f t="shared" si="66"/>
        <v>0</v>
      </c>
      <c r="J120" s="940">
        <f t="shared" si="66"/>
        <v>0</v>
      </c>
      <c r="K120" s="940">
        <f>ROUNDDOWN(K102*K116*$D120,0)</f>
        <v>0</v>
      </c>
      <c r="L120" s="940">
        <f t="shared" si="66"/>
        <v>0</v>
      </c>
      <c r="M120" s="940">
        <f t="shared" si="66"/>
        <v>0</v>
      </c>
      <c r="N120" s="1124">
        <f t="shared" si="66"/>
        <v>0</v>
      </c>
    </row>
    <row r="121" spans="1:14" s="951" customFormat="1" ht="14.25" customHeight="1">
      <c r="A121" s="2329"/>
      <c r="B121" s="2331"/>
      <c r="C121" s="1092" t="s">
        <v>2877</v>
      </c>
      <c r="D121" s="1132">
        <f t="shared" si="63"/>
        <v>1</v>
      </c>
      <c r="E121" s="1122" t="s">
        <v>2867</v>
      </c>
      <c r="F121" s="1123">
        <f t="shared" si="64"/>
        <v>0</v>
      </c>
      <c r="G121" s="940">
        <f>ROUNDDOWN(G103*G118*$D121,0)</f>
        <v>0</v>
      </c>
      <c r="H121" s="940">
        <f t="shared" ref="H121:N121" si="67">ROUNDDOWN(H103*H118*$D121,0)</f>
        <v>0</v>
      </c>
      <c r="I121" s="940">
        <f t="shared" si="67"/>
        <v>0</v>
      </c>
      <c r="J121" s="940">
        <f t="shared" si="67"/>
        <v>0</v>
      </c>
      <c r="K121" s="940">
        <f>ROUNDDOWN(K103*K118*$D121,0)</f>
        <v>0</v>
      </c>
      <c r="L121" s="940">
        <f t="shared" si="67"/>
        <v>0</v>
      </c>
      <c r="M121" s="940">
        <f t="shared" si="67"/>
        <v>0</v>
      </c>
      <c r="N121" s="1124">
        <f t="shared" si="67"/>
        <v>0</v>
      </c>
    </row>
    <row r="122" spans="1:14" s="951" customFormat="1" ht="14.25" customHeight="1">
      <c r="A122" s="2329"/>
      <c r="B122" s="2331" t="s">
        <v>2842</v>
      </c>
      <c r="C122" s="1100" t="s">
        <v>2870</v>
      </c>
      <c r="D122" s="1132">
        <f t="shared" si="63"/>
        <v>1</v>
      </c>
      <c r="E122" s="1101">
        <f>+E104</f>
        <v>0.02</v>
      </c>
      <c r="F122" s="1123">
        <f t="shared" si="64"/>
        <v>0</v>
      </c>
      <c r="G122" s="940">
        <f t="shared" ref="G122:N124" si="68">ROUNDDOWN(G104*$E122*$D122,0)</f>
        <v>0</v>
      </c>
      <c r="H122" s="940">
        <f t="shared" si="68"/>
        <v>0</v>
      </c>
      <c r="I122" s="940">
        <f t="shared" si="68"/>
        <v>0</v>
      </c>
      <c r="J122" s="940">
        <f t="shared" si="68"/>
        <v>0</v>
      </c>
      <c r="K122" s="940">
        <f t="shared" si="68"/>
        <v>0</v>
      </c>
      <c r="L122" s="940">
        <f t="shared" si="68"/>
        <v>0</v>
      </c>
      <c r="M122" s="940">
        <f t="shared" si="68"/>
        <v>0</v>
      </c>
      <c r="N122" s="1124">
        <f t="shared" si="68"/>
        <v>0</v>
      </c>
    </row>
    <row r="123" spans="1:14" s="951" customFormat="1" ht="14.25" customHeight="1">
      <c r="A123" s="2329"/>
      <c r="B123" s="2331"/>
      <c r="C123" s="1100" t="s">
        <v>2878</v>
      </c>
      <c r="D123" s="1132">
        <f t="shared" si="63"/>
        <v>1</v>
      </c>
      <c r="E123" s="1101">
        <f>+E105</f>
        <v>0.02</v>
      </c>
      <c r="F123" s="1123">
        <f t="shared" si="64"/>
        <v>0</v>
      </c>
      <c r="G123" s="940">
        <f t="shared" si="68"/>
        <v>0</v>
      </c>
      <c r="H123" s="940">
        <f t="shared" si="68"/>
        <v>0</v>
      </c>
      <c r="I123" s="940">
        <f t="shared" si="68"/>
        <v>0</v>
      </c>
      <c r="J123" s="940">
        <f t="shared" si="68"/>
        <v>0</v>
      </c>
      <c r="K123" s="940">
        <f>ROUNDDOWN(K105*$E123*$D123,0)</f>
        <v>0</v>
      </c>
      <c r="L123" s="940">
        <f t="shared" si="68"/>
        <v>0</v>
      </c>
      <c r="M123" s="940">
        <f t="shared" si="68"/>
        <v>0</v>
      </c>
      <c r="N123" s="1124">
        <f t="shared" si="68"/>
        <v>0</v>
      </c>
    </row>
    <row r="124" spans="1:14" s="951" customFormat="1" ht="14.25" customHeight="1">
      <c r="A124" s="2329"/>
      <c r="B124" s="2331"/>
      <c r="C124" s="1100" t="s">
        <v>2845</v>
      </c>
      <c r="D124" s="1132">
        <f t="shared" si="63"/>
        <v>1</v>
      </c>
      <c r="E124" s="1101">
        <f>+E106</f>
        <v>0.02</v>
      </c>
      <c r="F124" s="1123">
        <f t="shared" si="64"/>
        <v>0</v>
      </c>
      <c r="G124" s="940">
        <f>ROUNDDOWN(G106*$E124*$D124,0)</f>
        <v>0</v>
      </c>
      <c r="H124" s="940">
        <f t="shared" si="68"/>
        <v>0</v>
      </c>
      <c r="I124" s="940">
        <f t="shared" si="68"/>
        <v>0</v>
      </c>
      <c r="J124" s="940">
        <f t="shared" si="68"/>
        <v>0</v>
      </c>
      <c r="K124" s="940">
        <f>ROUNDDOWN(K106*$E124*$D124,0)</f>
        <v>0</v>
      </c>
      <c r="L124" s="940">
        <f t="shared" si="68"/>
        <v>0</v>
      </c>
      <c r="M124" s="940">
        <f t="shared" si="68"/>
        <v>0</v>
      </c>
      <c r="N124" s="1124">
        <f t="shared" si="68"/>
        <v>0</v>
      </c>
    </row>
    <row r="125" spans="1:14" s="951" customFormat="1" ht="14.25" customHeight="1">
      <c r="A125" s="2329"/>
      <c r="B125" s="2331"/>
      <c r="C125" s="1100" t="s">
        <v>2846</v>
      </c>
      <c r="D125" s="1132"/>
      <c r="E125" s="1101"/>
      <c r="F125" s="1123"/>
      <c r="G125" s="940"/>
      <c r="H125" s="940"/>
      <c r="I125" s="940"/>
      <c r="J125" s="940"/>
      <c r="K125" s="940"/>
      <c r="L125" s="940"/>
      <c r="M125" s="940"/>
      <c r="N125" s="1124"/>
    </row>
    <row r="126" spans="1:14" s="951" customFormat="1" ht="14.25" customHeight="1">
      <c r="A126" s="2329"/>
      <c r="B126" s="2331"/>
      <c r="C126" s="1133"/>
      <c r="D126" s="1132"/>
      <c r="E126" s="1101"/>
      <c r="F126" s="1123"/>
      <c r="G126" s="940"/>
      <c r="H126" s="940"/>
      <c r="I126" s="940"/>
      <c r="J126" s="940"/>
      <c r="K126" s="940"/>
      <c r="L126" s="940"/>
      <c r="M126" s="940"/>
      <c r="N126" s="1124"/>
    </row>
    <row r="127" spans="1:14" s="951" customFormat="1" ht="14.25" customHeight="1">
      <c r="A127" s="2329"/>
      <c r="B127" s="2331"/>
      <c r="C127" s="1100" t="s">
        <v>2848</v>
      </c>
      <c r="D127" s="1132">
        <f t="shared" ref="D127:E130" si="69">+D109</f>
        <v>1</v>
      </c>
      <c r="E127" s="1101">
        <f t="shared" si="69"/>
        <v>0.02</v>
      </c>
      <c r="F127" s="1123">
        <f t="shared" ref="F127:F135" si="70">SUM(G127:N127)</f>
        <v>0</v>
      </c>
      <c r="G127" s="940">
        <f t="shared" ref="G127:N130" si="71">ROUNDDOWN(G109*$E127*$D127,0)</f>
        <v>0</v>
      </c>
      <c r="H127" s="940">
        <f t="shared" si="71"/>
        <v>0</v>
      </c>
      <c r="I127" s="940">
        <f t="shared" si="71"/>
        <v>0</v>
      </c>
      <c r="J127" s="940">
        <f t="shared" si="71"/>
        <v>0</v>
      </c>
      <c r="K127" s="940">
        <f>ROUNDDOWN(K109*$E127*$D127,0)</f>
        <v>0</v>
      </c>
      <c r="L127" s="940">
        <f t="shared" si="71"/>
        <v>0</v>
      </c>
      <c r="M127" s="940">
        <f t="shared" si="71"/>
        <v>0</v>
      </c>
      <c r="N127" s="1124">
        <f t="shared" si="71"/>
        <v>0</v>
      </c>
    </row>
    <row r="128" spans="1:14" s="951" customFormat="1" ht="14.25" customHeight="1">
      <c r="A128" s="2329"/>
      <c r="B128" s="2331"/>
      <c r="C128" s="1102" t="s">
        <v>2849</v>
      </c>
      <c r="D128" s="1132">
        <f t="shared" si="69"/>
        <v>1</v>
      </c>
      <c r="E128" s="1101">
        <f t="shared" si="69"/>
        <v>0.02</v>
      </c>
      <c r="F128" s="1123">
        <f t="shared" si="70"/>
        <v>0</v>
      </c>
      <c r="G128" s="940">
        <f t="shared" si="71"/>
        <v>0</v>
      </c>
      <c r="H128" s="940">
        <f t="shared" si="71"/>
        <v>0</v>
      </c>
      <c r="I128" s="940">
        <f t="shared" si="71"/>
        <v>0</v>
      </c>
      <c r="J128" s="940">
        <f t="shared" si="71"/>
        <v>0</v>
      </c>
      <c r="K128" s="940">
        <f>ROUNDDOWN(K110*$E128*$D128,0)</f>
        <v>0</v>
      </c>
      <c r="L128" s="940">
        <f t="shared" si="71"/>
        <v>0</v>
      </c>
      <c r="M128" s="940">
        <f t="shared" si="71"/>
        <v>0</v>
      </c>
      <c r="N128" s="1124">
        <f t="shared" si="71"/>
        <v>0</v>
      </c>
    </row>
    <row r="129" spans="1:14" s="951" customFormat="1" ht="14.25" customHeight="1">
      <c r="A129" s="2329"/>
      <c r="B129" s="2331"/>
      <c r="C129" s="1102" t="s">
        <v>2850</v>
      </c>
      <c r="D129" s="1132">
        <f t="shared" si="69"/>
        <v>1</v>
      </c>
      <c r="E129" s="1101">
        <f t="shared" si="69"/>
        <v>0.02</v>
      </c>
      <c r="F129" s="1123">
        <f t="shared" si="70"/>
        <v>0</v>
      </c>
      <c r="G129" s="940">
        <f t="shared" si="71"/>
        <v>0</v>
      </c>
      <c r="H129" s="940">
        <f t="shared" si="71"/>
        <v>0</v>
      </c>
      <c r="I129" s="940">
        <f t="shared" si="71"/>
        <v>0</v>
      </c>
      <c r="J129" s="940">
        <f t="shared" si="71"/>
        <v>0</v>
      </c>
      <c r="K129" s="940">
        <f>ROUNDDOWN(K111*$E129*$D129,0)</f>
        <v>0</v>
      </c>
      <c r="L129" s="940">
        <f t="shared" si="71"/>
        <v>0</v>
      </c>
      <c r="M129" s="940">
        <f t="shared" si="71"/>
        <v>0</v>
      </c>
      <c r="N129" s="1124">
        <f t="shared" si="71"/>
        <v>0</v>
      </c>
    </row>
    <row r="130" spans="1:14" s="951" customFormat="1" ht="14.25" customHeight="1">
      <c r="A130" s="2329"/>
      <c r="B130" s="2331"/>
      <c r="C130" s="1100" t="s">
        <v>2891</v>
      </c>
      <c r="D130" s="1132">
        <f t="shared" si="69"/>
        <v>1</v>
      </c>
      <c r="E130" s="1101">
        <f t="shared" si="69"/>
        <v>0.02</v>
      </c>
      <c r="F130" s="1123">
        <f t="shared" si="70"/>
        <v>0</v>
      </c>
      <c r="G130" s="940">
        <f>ROUNDDOWN(G112*$E130*$D130,0)</f>
        <v>0</v>
      </c>
      <c r="H130" s="940">
        <f t="shared" si="71"/>
        <v>0</v>
      </c>
      <c r="I130" s="940">
        <f t="shared" si="71"/>
        <v>0</v>
      </c>
      <c r="J130" s="940">
        <f t="shared" si="71"/>
        <v>0</v>
      </c>
      <c r="K130" s="940">
        <f>ROUNDDOWN(K112*$E130*$D130,0)</f>
        <v>0</v>
      </c>
      <c r="L130" s="940">
        <f t="shared" si="71"/>
        <v>0</v>
      </c>
      <c r="M130" s="940">
        <f t="shared" si="71"/>
        <v>0</v>
      </c>
      <c r="N130" s="1124">
        <f t="shared" si="71"/>
        <v>0</v>
      </c>
    </row>
    <row r="131" spans="1:14" s="951" customFormat="1" ht="14.25" customHeight="1">
      <c r="A131" s="2329"/>
      <c r="B131" s="2337" t="s">
        <v>2892</v>
      </c>
      <c r="C131" s="1134" t="s">
        <v>2893</v>
      </c>
      <c r="D131" s="1135"/>
      <c r="E131" s="1136"/>
      <c r="F131" s="1123">
        <f t="shared" si="70"/>
        <v>0</v>
      </c>
      <c r="G131" s="992"/>
      <c r="H131" s="992"/>
      <c r="I131" s="992"/>
      <c r="J131" s="992"/>
      <c r="K131" s="992"/>
      <c r="L131" s="992"/>
      <c r="M131" s="992"/>
      <c r="N131" s="993"/>
    </row>
    <row r="132" spans="1:14" s="951" customFormat="1" ht="14.25" customHeight="1">
      <c r="A132" s="2329"/>
      <c r="B132" s="2300"/>
      <c r="C132" s="1137" t="s">
        <v>2894</v>
      </c>
      <c r="D132" s="1135"/>
      <c r="E132" s="1136"/>
      <c r="F132" s="1123">
        <f t="shared" si="70"/>
        <v>0</v>
      </c>
      <c r="G132" s="985"/>
      <c r="H132" s="985"/>
      <c r="I132" s="985"/>
      <c r="J132" s="985"/>
      <c r="K132" s="985"/>
      <c r="L132" s="985"/>
      <c r="M132" s="985"/>
      <c r="N132" s="986"/>
    </row>
    <row r="133" spans="1:14" s="951" customFormat="1" ht="14.25" customHeight="1" thickBot="1">
      <c r="A133" s="2329"/>
      <c r="B133" s="1138" t="s">
        <v>2872</v>
      </c>
      <c r="C133" s="1104" t="s">
        <v>2889</v>
      </c>
      <c r="D133" s="1135">
        <f>+D113</f>
        <v>1</v>
      </c>
      <c r="E133" s="1136">
        <f>+E113</f>
        <v>0</v>
      </c>
      <c r="F133" s="1123">
        <f t="shared" si="70"/>
        <v>0</v>
      </c>
      <c r="G133" s="940">
        <f>ROUNDDOWN(G113*$E133*$D133,0)</f>
        <v>0</v>
      </c>
      <c r="H133" s="940">
        <f t="shared" ref="H133:N133" si="72">ROUNDDOWN(H113*$E133*$D133,0)</f>
        <v>0</v>
      </c>
      <c r="I133" s="940">
        <f t="shared" si="72"/>
        <v>0</v>
      </c>
      <c r="J133" s="940">
        <f t="shared" si="72"/>
        <v>0</v>
      </c>
      <c r="K133" s="940">
        <f>ROUNDDOWN(K113*$E133*$D133,0)</f>
        <v>0</v>
      </c>
      <c r="L133" s="940">
        <f t="shared" si="72"/>
        <v>0</v>
      </c>
      <c r="M133" s="940">
        <f t="shared" si="72"/>
        <v>0</v>
      </c>
      <c r="N133" s="1139">
        <f t="shared" si="72"/>
        <v>0</v>
      </c>
    </row>
    <row r="134" spans="1:14" s="951" customFormat="1" ht="14.25" customHeight="1" thickTop="1">
      <c r="A134" s="1140"/>
      <c r="B134" s="1141"/>
      <c r="C134" s="1142" t="s">
        <v>2895</v>
      </c>
      <c r="D134" s="1143"/>
      <c r="E134" s="1144"/>
      <c r="F134" s="1145">
        <f t="shared" si="70"/>
        <v>1495334</v>
      </c>
      <c r="G134" s="1146">
        <f t="shared" ref="G134:N134" si="73">SUM(G119:G133)+G117</f>
        <v>1495334</v>
      </c>
      <c r="H134" s="1146">
        <f t="shared" si="73"/>
        <v>0</v>
      </c>
      <c r="I134" s="1146">
        <f t="shared" si="73"/>
        <v>0</v>
      </c>
      <c r="J134" s="1146">
        <f t="shared" si="73"/>
        <v>0</v>
      </c>
      <c r="K134" s="1146">
        <f t="shared" si="73"/>
        <v>0</v>
      </c>
      <c r="L134" s="1146">
        <f t="shared" si="73"/>
        <v>0</v>
      </c>
      <c r="M134" s="1146">
        <f t="shared" si="73"/>
        <v>0</v>
      </c>
      <c r="N134" s="1147">
        <f t="shared" si="73"/>
        <v>0</v>
      </c>
    </row>
    <row r="135" spans="1:14" s="951" customFormat="1" ht="14.25" customHeight="1">
      <c r="A135" s="1148"/>
      <c r="B135" s="1149"/>
      <c r="C135" s="1150" t="s">
        <v>2896</v>
      </c>
      <c r="D135" s="1151"/>
      <c r="E135" s="1152"/>
      <c r="F135" s="1107">
        <f t="shared" si="70"/>
        <v>10025735</v>
      </c>
      <c r="G135" s="1108">
        <f>+G10+G134</f>
        <v>10025735</v>
      </c>
      <c r="H135" s="1108">
        <f>+H10+H134</f>
        <v>0</v>
      </c>
      <c r="I135" s="1108">
        <f t="shared" ref="I135:N135" si="74">+I10+I134</f>
        <v>0</v>
      </c>
      <c r="J135" s="1108">
        <f t="shared" si="74"/>
        <v>0</v>
      </c>
      <c r="K135" s="1108">
        <f>+K10+K134</f>
        <v>0</v>
      </c>
      <c r="L135" s="1108">
        <f t="shared" si="74"/>
        <v>0</v>
      </c>
      <c r="M135" s="1108">
        <f t="shared" si="74"/>
        <v>0</v>
      </c>
      <c r="N135" s="1109">
        <f t="shared" si="74"/>
        <v>0</v>
      </c>
    </row>
    <row r="136" spans="1:14" s="951" customFormat="1" ht="14.25" customHeight="1">
      <c r="A136" s="1076"/>
      <c r="B136" s="1077"/>
      <c r="C136" s="1153" t="s">
        <v>2897</v>
      </c>
      <c r="D136" s="1153"/>
      <c r="E136" s="1154"/>
      <c r="F136" s="1155"/>
      <c r="G136" s="1156"/>
      <c r="H136" s="1157"/>
      <c r="I136" s="1157"/>
      <c r="J136" s="1157"/>
      <c r="K136" s="1157"/>
      <c r="L136" s="1157"/>
      <c r="M136" s="1157"/>
      <c r="N136" s="1158" t="s">
        <v>2898</v>
      </c>
    </row>
    <row r="137" spans="1:14" s="951" customFormat="1" ht="14.25" customHeight="1">
      <c r="A137" s="945"/>
      <c r="B137" s="946"/>
      <c r="C137" s="946"/>
      <c r="D137" s="946"/>
      <c r="E137" s="946"/>
      <c r="F137" s="836"/>
      <c r="G137" s="842"/>
      <c r="H137" s="842"/>
      <c r="I137" s="842"/>
      <c r="J137" s="842"/>
      <c r="K137" s="842"/>
      <c r="L137" s="842"/>
      <c r="M137" s="842"/>
      <c r="N137" s="1159"/>
    </row>
    <row r="138" spans="1:14" s="951" customFormat="1" ht="14.25" customHeight="1">
      <c r="A138" s="2317"/>
      <c r="B138" s="2318"/>
      <c r="C138" s="2318"/>
      <c r="D138" s="1160"/>
      <c r="E138" s="1161" t="s">
        <v>2899</v>
      </c>
      <c r="F138" s="1078" t="s">
        <v>2836</v>
      </c>
      <c r="G138" s="1079" t="str">
        <f>+G5</f>
        <v>工事1</v>
      </c>
      <c r="H138" s="1079" t="str">
        <f t="shared" ref="H138:N138" si="75">+H5</f>
        <v>工事2</v>
      </c>
      <c r="I138" s="1079" t="str">
        <f t="shared" si="75"/>
        <v>工事3</v>
      </c>
      <c r="J138" s="1079" t="str">
        <f t="shared" si="75"/>
        <v>工事4</v>
      </c>
      <c r="K138" s="1079" t="str">
        <f>+K5</f>
        <v>工事5</v>
      </c>
      <c r="L138" s="1079" t="str">
        <f t="shared" si="75"/>
        <v>工事6</v>
      </c>
      <c r="M138" s="1079" t="str">
        <f t="shared" si="75"/>
        <v>工事7</v>
      </c>
      <c r="N138" s="1080" t="str">
        <f t="shared" si="75"/>
        <v>工事8</v>
      </c>
    </row>
    <row r="139" spans="1:14" s="951" customFormat="1" ht="14.25" customHeight="1" thickBot="1">
      <c r="A139" s="2319"/>
      <c r="B139" s="2320"/>
      <c r="C139" s="2320"/>
      <c r="D139" s="1162"/>
      <c r="E139" s="1163"/>
      <c r="F139" s="1164"/>
      <c r="G139" s="1165"/>
      <c r="H139" s="1165"/>
      <c r="I139" s="1165"/>
      <c r="J139" s="1165"/>
      <c r="K139" s="1165"/>
      <c r="L139" s="1165"/>
      <c r="M139" s="1165"/>
      <c r="N139" s="1166"/>
    </row>
    <row r="140" spans="1:14" s="951" customFormat="1" ht="14.25" customHeight="1" thickBot="1">
      <c r="A140" s="1167"/>
      <c r="B140" s="1168"/>
      <c r="C140" s="1169" t="s">
        <v>2900</v>
      </c>
      <c r="D140" s="1170"/>
      <c r="E140" s="1171"/>
      <c r="F140" s="1172">
        <f>SUM(G140:N140)</f>
        <v>10025735</v>
      </c>
      <c r="G140" s="1173">
        <f t="shared" ref="G140:N140" si="76">IF(G141="",+G135,0)</f>
        <v>10025735</v>
      </c>
      <c r="H140" s="1173">
        <f t="shared" si="76"/>
        <v>0</v>
      </c>
      <c r="I140" s="1173">
        <f t="shared" si="76"/>
        <v>0</v>
      </c>
      <c r="J140" s="1173">
        <f t="shared" si="76"/>
        <v>0</v>
      </c>
      <c r="K140" s="1173">
        <f t="shared" si="76"/>
        <v>0</v>
      </c>
      <c r="L140" s="1173">
        <f t="shared" si="76"/>
        <v>0</v>
      </c>
      <c r="M140" s="1173">
        <f t="shared" si="76"/>
        <v>0</v>
      </c>
      <c r="N140" s="1174">
        <f t="shared" si="76"/>
        <v>0</v>
      </c>
    </row>
    <row r="141" spans="1:14" s="951" customFormat="1" ht="14.25" customHeight="1">
      <c r="A141" s="945"/>
      <c r="B141" s="946"/>
      <c r="C141" s="1175" t="s">
        <v>2901</v>
      </c>
      <c r="D141" s="1176"/>
      <c r="E141" s="1177"/>
      <c r="F141" s="956">
        <f>SUM(G141:N141)</f>
        <v>0</v>
      </c>
      <c r="G141" s="956" t="str">
        <f>IF(G163="","",G135)</f>
        <v/>
      </c>
      <c r="H141" s="956" t="str">
        <f t="shared" ref="H141:N141" si="77">IF(H163="","",H135)</f>
        <v/>
      </c>
      <c r="I141" s="956" t="str">
        <f>IF(I163="","",I135)</f>
        <v/>
      </c>
      <c r="J141" s="956" t="str">
        <f t="shared" si="77"/>
        <v/>
      </c>
      <c r="K141" s="956" t="str">
        <f t="shared" si="77"/>
        <v/>
      </c>
      <c r="L141" s="956" t="str">
        <f t="shared" si="77"/>
        <v/>
      </c>
      <c r="M141" s="956" t="str">
        <f t="shared" si="77"/>
        <v/>
      </c>
      <c r="N141" s="956" t="str">
        <f t="shared" si="77"/>
        <v/>
      </c>
    </row>
    <row r="142" spans="1:14" s="951" customFormat="1" ht="14.25" customHeight="1">
      <c r="A142" s="1148"/>
      <c r="B142" s="1149"/>
      <c r="C142" s="2321" t="s">
        <v>2902</v>
      </c>
      <c r="D142" s="2322"/>
      <c r="E142" s="2323"/>
      <c r="F142" s="1107">
        <f>F140+F141-F150</f>
        <v>10025735</v>
      </c>
      <c r="G142" s="1108"/>
      <c r="H142" s="1108"/>
      <c r="I142" s="1108"/>
      <c r="J142" s="1108"/>
      <c r="K142" s="1108"/>
      <c r="L142" s="1108"/>
      <c r="M142" s="1108"/>
      <c r="N142" s="1109"/>
    </row>
    <row r="143" spans="1:14" s="951" customFormat="1" ht="14.25" customHeight="1">
      <c r="A143" s="1076"/>
      <c r="B143" s="1077"/>
      <c r="C143" s="1077"/>
      <c r="D143" s="1178"/>
      <c r="E143" s="855" t="str">
        <f>E5</f>
        <v>有り</v>
      </c>
      <c r="F143" s="2309" t="s">
        <v>2903</v>
      </c>
      <c r="G143" s="2309"/>
      <c r="H143" s="1179"/>
      <c r="I143" s="1179"/>
      <c r="J143" s="1179"/>
      <c r="K143" s="1179"/>
      <c r="L143" s="1179"/>
      <c r="M143" s="1179"/>
      <c r="N143" s="1180"/>
    </row>
    <row r="144" spans="1:14" s="951" customFormat="1" ht="14.25" customHeight="1">
      <c r="A144" s="2310" t="s">
        <v>2904</v>
      </c>
      <c r="B144" s="2310"/>
      <c r="C144" s="2311"/>
      <c r="D144" s="1181"/>
      <c r="E144" s="1182" t="str">
        <f>+E6</f>
        <v>有り</v>
      </c>
      <c r="F144" s="2312" t="s">
        <v>2905</v>
      </c>
      <c r="G144" s="2312"/>
      <c r="H144" s="1108"/>
      <c r="I144" s="1108"/>
      <c r="J144" s="1108"/>
      <c r="K144" s="1108"/>
      <c r="L144" s="1108"/>
      <c r="M144" s="1108"/>
      <c r="N144" s="1109"/>
    </row>
    <row r="145" spans="1:14" s="951" customFormat="1" ht="14.25" customHeight="1">
      <c r="A145" s="2314"/>
      <c r="B145" s="1183" t="s">
        <v>2906</v>
      </c>
      <c r="C145" s="1184" t="s">
        <v>2907</v>
      </c>
      <c r="D145" s="1185">
        <v>1</v>
      </c>
      <c r="E145" s="1186">
        <f>+G214/100</f>
        <v>0.1628</v>
      </c>
      <c r="F145" s="1187">
        <f>SUM(G145:N145)</f>
        <v>10025735</v>
      </c>
      <c r="G145" s="1179">
        <f>+G140-G150</f>
        <v>10025735</v>
      </c>
      <c r="H145" s="1179">
        <f t="shared" ref="H145:N145" si="78">+H140-H150</f>
        <v>0</v>
      </c>
      <c r="I145" s="1179">
        <f>+I140-I150</f>
        <v>0</v>
      </c>
      <c r="J145" s="1179">
        <f t="shared" si="78"/>
        <v>0</v>
      </c>
      <c r="K145" s="1179">
        <f t="shared" si="78"/>
        <v>0</v>
      </c>
      <c r="L145" s="1179">
        <f t="shared" si="78"/>
        <v>0</v>
      </c>
      <c r="M145" s="1179">
        <f t="shared" si="78"/>
        <v>0</v>
      </c>
      <c r="N145" s="1180">
        <f t="shared" si="78"/>
        <v>0</v>
      </c>
    </row>
    <row r="146" spans="1:14" s="951" customFormat="1" ht="14.25" customHeight="1">
      <c r="A146" s="2315"/>
      <c r="B146" s="2298" t="s">
        <v>2908</v>
      </c>
      <c r="C146" s="948" t="s">
        <v>2909</v>
      </c>
      <c r="D146" s="1132">
        <v>0.05</v>
      </c>
      <c r="E146" s="1101">
        <f>IF(E143="無し",E145,0)</f>
        <v>0</v>
      </c>
      <c r="F146" s="949">
        <f>SUM(G146:N146)</f>
        <v>10025735</v>
      </c>
      <c r="G146" s="985">
        <f>IF(G163=0,+G145,0)</f>
        <v>10025735</v>
      </c>
      <c r="H146" s="985">
        <f>IF(H163=0,+H145,0)</f>
        <v>0</v>
      </c>
      <c r="I146" s="985">
        <f t="shared" ref="I146:N146" si="79">IF(I163=0,+I145,0)</f>
        <v>0</v>
      </c>
      <c r="J146" s="985">
        <f t="shared" si="79"/>
        <v>0</v>
      </c>
      <c r="K146" s="985">
        <f t="shared" si="79"/>
        <v>0</v>
      </c>
      <c r="L146" s="985">
        <f t="shared" si="79"/>
        <v>0</v>
      </c>
      <c r="M146" s="985">
        <f t="shared" si="79"/>
        <v>0</v>
      </c>
      <c r="N146" s="986">
        <f t="shared" si="79"/>
        <v>0</v>
      </c>
    </row>
    <row r="147" spans="1:14" s="951" customFormat="1" ht="14.25" customHeight="1">
      <c r="A147" s="2315"/>
      <c r="B147" s="2298"/>
      <c r="C147" s="948" t="s">
        <v>2910</v>
      </c>
      <c r="D147" s="1188">
        <v>1</v>
      </c>
      <c r="E147" s="1101">
        <f>IF(OR(E144="無し",E144="なし"),0,0.0004)</f>
        <v>4.0000000000000002E-4</v>
      </c>
      <c r="F147" s="949">
        <f>SUM(G147:N147)</f>
        <v>10025735</v>
      </c>
      <c r="G147" s="985">
        <f>IF(G163=0,+G145,0)</f>
        <v>10025735</v>
      </c>
      <c r="H147" s="985">
        <f t="shared" ref="H147:N147" si="80">IF(H163=0,+H145,0)</f>
        <v>0</v>
      </c>
      <c r="I147" s="985">
        <f t="shared" si="80"/>
        <v>0</v>
      </c>
      <c r="J147" s="985">
        <f t="shared" si="80"/>
        <v>0</v>
      </c>
      <c r="K147" s="985">
        <f t="shared" si="80"/>
        <v>0</v>
      </c>
      <c r="L147" s="985">
        <f t="shared" si="80"/>
        <v>0</v>
      </c>
      <c r="M147" s="985">
        <f t="shared" si="80"/>
        <v>0</v>
      </c>
      <c r="N147" s="986">
        <f t="shared" si="80"/>
        <v>0</v>
      </c>
    </row>
    <row r="148" spans="1:14" s="951" customFormat="1" ht="14.25" customHeight="1">
      <c r="A148" s="2315"/>
      <c r="B148" s="864"/>
      <c r="C148" s="948"/>
      <c r="D148" s="1189"/>
      <c r="E148" s="1189"/>
      <c r="F148" s="949"/>
      <c r="G148" s="985"/>
      <c r="H148" s="985"/>
      <c r="I148" s="985"/>
      <c r="J148" s="985"/>
      <c r="K148" s="985"/>
      <c r="L148" s="985"/>
      <c r="M148" s="985"/>
      <c r="N148" s="986"/>
    </row>
    <row r="149" spans="1:14" s="951" customFormat="1" ht="14.25" customHeight="1">
      <c r="A149" s="2315"/>
      <c r="B149" s="864"/>
      <c r="C149" s="948"/>
      <c r="D149" s="1189"/>
      <c r="E149" s="1189"/>
      <c r="F149" s="949"/>
      <c r="G149" s="985"/>
      <c r="H149" s="985"/>
      <c r="I149" s="985"/>
      <c r="J149" s="985"/>
      <c r="K149" s="985"/>
      <c r="L149" s="985"/>
      <c r="M149" s="985"/>
      <c r="N149" s="986"/>
    </row>
    <row r="150" spans="1:14" s="951" customFormat="1" ht="14.25" customHeight="1">
      <c r="A150" s="2315"/>
      <c r="B150" s="2298" t="s">
        <v>2911</v>
      </c>
      <c r="C150" s="1092" t="str">
        <f>+C55</f>
        <v>(17)下水道使用料、各種負担金（共通仮設）</v>
      </c>
      <c r="D150" s="1190">
        <v>1</v>
      </c>
      <c r="E150" s="1191">
        <v>0</v>
      </c>
      <c r="F150" s="949">
        <f>SUM(G150:N150)</f>
        <v>0</v>
      </c>
      <c r="G150" s="985">
        <f>+G55</f>
        <v>0</v>
      </c>
      <c r="H150" s="985">
        <f t="shared" ref="H150:N150" si="81">+H55</f>
        <v>0</v>
      </c>
      <c r="I150" s="985">
        <f t="shared" si="81"/>
        <v>0</v>
      </c>
      <c r="J150" s="985">
        <f t="shared" si="81"/>
        <v>0</v>
      </c>
      <c r="K150" s="985">
        <f>+K55</f>
        <v>0</v>
      </c>
      <c r="L150" s="985">
        <f t="shared" si="81"/>
        <v>0</v>
      </c>
      <c r="M150" s="985">
        <f t="shared" si="81"/>
        <v>0</v>
      </c>
      <c r="N150" s="986">
        <f t="shared" si="81"/>
        <v>0</v>
      </c>
    </row>
    <row r="151" spans="1:14" s="951" customFormat="1" ht="14.25" customHeight="1">
      <c r="A151" s="2315"/>
      <c r="B151" s="2298"/>
      <c r="C151" s="1192"/>
      <c r="D151" s="1092"/>
      <c r="E151" s="1191"/>
      <c r="F151" s="949"/>
      <c r="G151" s="985"/>
      <c r="H151" s="985"/>
      <c r="I151" s="985"/>
      <c r="J151" s="985"/>
      <c r="K151" s="985"/>
      <c r="L151" s="985"/>
      <c r="M151" s="985"/>
      <c r="N151" s="986"/>
    </row>
    <row r="152" spans="1:14" s="951" customFormat="1" ht="14.25" customHeight="1">
      <c r="A152" s="2315"/>
      <c r="B152" s="2316"/>
      <c r="C152" s="1193"/>
      <c r="D152" s="1194"/>
      <c r="E152" s="1195"/>
      <c r="F152" s="1107"/>
      <c r="G152" s="1108"/>
      <c r="H152" s="1108"/>
      <c r="I152" s="1108"/>
      <c r="J152" s="1108"/>
      <c r="K152" s="1108"/>
      <c r="L152" s="1108"/>
      <c r="M152" s="1108"/>
      <c r="N152" s="1109"/>
    </row>
    <row r="153" spans="1:14" s="951" customFormat="1" ht="14.25" customHeight="1">
      <c r="A153" s="1076"/>
      <c r="B153" s="1077"/>
      <c r="C153" s="1196"/>
      <c r="D153" s="1197"/>
      <c r="E153" s="1198"/>
      <c r="F153" s="1187"/>
      <c r="G153" s="1179"/>
      <c r="H153" s="1179"/>
      <c r="I153" s="1179"/>
      <c r="J153" s="1179"/>
      <c r="K153" s="1179"/>
      <c r="L153" s="1179"/>
      <c r="M153" s="1179"/>
      <c r="N153" s="1180"/>
    </row>
    <row r="154" spans="1:14" s="951" customFormat="1" ht="14.25" customHeight="1">
      <c r="A154" s="2310" t="s">
        <v>2912</v>
      </c>
      <c r="B154" s="2310"/>
      <c r="C154" s="2313"/>
      <c r="D154" s="1199"/>
      <c r="E154" s="1200"/>
      <c r="F154" s="1201"/>
      <c r="G154" s="1108"/>
      <c r="H154" s="1108"/>
      <c r="I154" s="1108"/>
      <c r="J154" s="1108"/>
      <c r="K154" s="1108"/>
      <c r="L154" s="1108"/>
      <c r="M154" s="1108"/>
      <c r="N154" s="1109"/>
    </row>
    <row r="155" spans="1:14" s="951" customFormat="1" ht="14.25" customHeight="1">
      <c r="A155" s="945"/>
      <c r="B155" s="1202" t="s">
        <v>2906</v>
      </c>
      <c r="C155" s="1184" t="s">
        <v>2907</v>
      </c>
      <c r="D155" s="1185">
        <f t="shared" ref="D155:E157" si="82">+D145</f>
        <v>1</v>
      </c>
      <c r="E155" s="1203">
        <f>+E145</f>
        <v>0.1628</v>
      </c>
      <c r="F155" s="949">
        <f>INT(D155*E155*F145)</f>
        <v>1632189</v>
      </c>
      <c r="G155" s="1179">
        <f>F155-SUM(H155:N155)</f>
        <v>1632189</v>
      </c>
      <c r="H155" s="1179">
        <f t="shared" ref="H155:N157" si="83">IF(H145=0,0,ROUND($F155/$F145*H145,0))</f>
        <v>0</v>
      </c>
      <c r="I155" s="1179">
        <f t="shared" si="83"/>
        <v>0</v>
      </c>
      <c r="J155" s="1179">
        <f t="shared" si="83"/>
        <v>0</v>
      </c>
      <c r="K155" s="1179">
        <f t="shared" si="83"/>
        <v>0</v>
      </c>
      <c r="L155" s="1179">
        <f t="shared" si="83"/>
        <v>0</v>
      </c>
      <c r="M155" s="1179">
        <f t="shared" si="83"/>
        <v>0</v>
      </c>
      <c r="N155" s="1180">
        <f t="shared" si="83"/>
        <v>0</v>
      </c>
    </row>
    <row r="156" spans="1:14" s="951" customFormat="1" ht="14.25" customHeight="1">
      <c r="A156" s="945"/>
      <c r="B156" s="2298" t="s">
        <v>2908</v>
      </c>
      <c r="C156" s="948" t="s">
        <v>2909</v>
      </c>
      <c r="D156" s="1190">
        <f t="shared" si="82"/>
        <v>0.05</v>
      </c>
      <c r="E156" s="1101">
        <f t="shared" si="82"/>
        <v>0</v>
      </c>
      <c r="F156" s="949">
        <f>INT(D156*E156*F146)</f>
        <v>0</v>
      </c>
      <c r="G156" s="985">
        <f>F156-SUM(H156:N156)</f>
        <v>0</v>
      </c>
      <c r="H156" s="985">
        <f t="shared" si="83"/>
        <v>0</v>
      </c>
      <c r="I156" s="985">
        <f t="shared" si="83"/>
        <v>0</v>
      </c>
      <c r="J156" s="985">
        <f t="shared" si="83"/>
        <v>0</v>
      </c>
      <c r="K156" s="985">
        <f t="shared" si="83"/>
        <v>0</v>
      </c>
      <c r="L156" s="985">
        <f t="shared" si="83"/>
        <v>0</v>
      </c>
      <c r="M156" s="985">
        <f t="shared" si="83"/>
        <v>0</v>
      </c>
      <c r="N156" s="986">
        <f t="shared" si="83"/>
        <v>0</v>
      </c>
    </row>
    <row r="157" spans="1:14" s="951" customFormat="1" ht="14.25" customHeight="1">
      <c r="A157" s="945"/>
      <c r="B157" s="2298"/>
      <c r="C157" s="948" t="s">
        <v>2910</v>
      </c>
      <c r="D157" s="1190">
        <f t="shared" si="82"/>
        <v>1</v>
      </c>
      <c r="E157" s="1101">
        <f t="shared" si="82"/>
        <v>4.0000000000000002E-4</v>
      </c>
      <c r="F157" s="949">
        <f>INT(D157*E157*F147)</f>
        <v>4010</v>
      </c>
      <c r="G157" s="985">
        <f>F157-SUM(H157:N157)</f>
        <v>4010</v>
      </c>
      <c r="H157" s="985">
        <f>IF(H147=0,0,ROUND($F157/$F147*H147,0))</f>
        <v>0</v>
      </c>
      <c r="I157" s="985">
        <f t="shared" si="83"/>
        <v>0</v>
      </c>
      <c r="J157" s="985">
        <f t="shared" si="83"/>
        <v>0</v>
      </c>
      <c r="K157" s="985">
        <f t="shared" si="83"/>
        <v>0</v>
      </c>
      <c r="L157" s="985">
        <f t="shared" si="83"/>
        <v>0</v>
      </c>
      <c r="M157" s="985">
        <f t="shared" si="83"/>
        <v>0</v>
      </c>
      <c r="N157" s="986">
        <f t="shared" si="83"/>
        <v>0</v>
      </c>
    </row>
    <row r="158" spans="1:14" s="951" customFormat="1" ht="14.25" customHeight="1">
      <c r="A158" s="945"/>
      <c r="B158" s="864"/>
      <c r="C158" s="948"/>
      <c r="D158" s="1189"/>
      <c r="E158" s="1189"/>
      <c r="F158" s="949"/>
      <c r="G158" s="985"/>
      <c r="H158" s="985"/>
      <c r="I158" s="985"/>
      <c r="J158" s="985"/>
      <c r="K158" s="985"/>
      <c r="L158" s="985"/>
      <c r="M158" s="985"/>
      <c r="N158" s="986"/>
    </row>
    <row r="159" spans="1:14" s="951" customFormat="1" ht="14.25" customHeight="1">
      <c r="A159" s="945"/>
      <c r="B159" s="864"/>
      <c r="C159" s="948"/>
      <c r="D159" s="1189"/>
      <c r="E159" s="1189"/>
      <c r="F159" s="949"/>
      <c r="G159" s="985"/>
      <c r="H159" s="985"/>
      <c r="I159" s="985"/>
      <c r="J159" s="985"/>
      <c r="K159" s="985"/>
      <c r="L159" s="985"/>
      <c r="M159" s="985"/>
      <c r="N159" s="986"/>
    </row>
    <row r="160" spans="1:14" s="951" customFormat="1" ht="14.25" customHeight="1">
      <c r="A160" s="945"/>
      <c r="B160" s="2298" t="s">
        <v>2911</v>
      </c>
      <c r="C160" s="1092" t="str">
        <f>+C55</f>
        <v>(17)下水道使用料、各種負担金（共通仮設）</v>
      </c>
      <c r="D160" s="1190">
        <f>+D150</f>
        <v>1</v>
      </c>
      <c r="E160" s="1101">
        <f>+E150</f>
        <v>0</v>
      </c>
      <c r="F160" s="949">
        <f>INT(D160*E160*F150)</f>
        <v>0</v>
      </c>
      <c r="G160" s="985">
        <f>F160-SUM(H160:N160)</f>
        <v>0</v>
      </c>
      <c r="H160" s="985">
        <f t="shared" ref="H160:N160" si="84">IF(H150=0,0,ROUND($F160/$F150*H150,0))</f>
        <v>0</v>
      </c>
      <c r="I160" s="985">
        <f t="shared" si="84"/>
        <v>0</v>
      </c>
      <c r="J160" s="985">
        <f t="shared" si="84"/>
        <v>0</v>
      </c>
      <c r="K160" s="985">
        <f>IF(K150=0,0,ROUND($F160/$F150*K150,0))</f>
        <v>0</v>
      </c>
      <c r="L160" s="985">
        <f t="shared" si="84"/>
        <v>0</v>
      </c>
      <c r="M160" s="985">
        <f t="shared" si="84"/>
        <v>0</v>
      </c>
      <c r="N160" s="986">
        <f t="shared" si="84"/>
        <v>0</v>
      </c>
    </row>
    <row r="161" spans="1:14" s="951" customFormat="1" ht="14.25" customHeight="1">
      <c r="A161" s="945"/>
      <c r="B161" s="2298"/>
      <c r="C161" s="1192"/>
      <c r="D161" s="1092"/>
      <c r="E161" s="1189">
        <f>+G152</f>
        <v>0</v>
      </c>
      <c r="F161" s="949"/>
      <c r="G161" s="985"/>
      <c r="H161" s="985"/>
      <c r="I161" s="985"/>
      <c r="J161" s="985"/>
      <c r="K161" s="985"/>
      <c r="L161" s="985"/>
      <c r="M161" s="985"/>
      <c r="N161" s="986"/>
    </row>
    <row r="162" spans="1:14" s="951" customFormat="1" ht="14.25" customHeight="1">
      <c r="A162" s="1204"/>
      <c r="B162" s="2298"/>
      <c r="C162" s="1192"/>
      <c r="D162" s="1092"/>
      <c r="E162" s="1189">
        <f>+G153</f>
        <v>0</v>
      </c>
      <c r="F162" s="949"/>
      <c r="G162" s="985"/>
      <c r="H162" s="985"/>
      <c r="I162" s="985"/>
      <c r="J162" s="985"/>
      <c r="K162" s="985"/>
      <c r="L162" s="985"/>
      <c r="M162" s="985"/>
      <c r="N162" s="986"/>
    </row>
    <row r="163" spans="1:14" s="951" customFormat="1" ht="14.25" customHeight="1">
      <c r="A163" s="1204"/>
      <c r="B163" s="2299" t="s">
        <v>2892</v>
      </c>
      <c r="C163" s="1205" t="s">
        <v>2913</v>
      </c>
      <c r="D163" s="1206"/>
      <c r="E163" s="1207"/>
      <c r="F163" s="1208">
        <f>SUM(G163:N163)</f>
        <v>0</v>
      </c>
      <c r="G163" s="1209"/>
      <c r="H163" s="1209"/>
      <c r="I163" s="1209"/>
      <c r="J163" s="1209"/>
      <c r="K163" s="1209"/>
      <c r="L163" s="1209"/>
      <c r="M163" s="1209"/>
      <c r="N163" s="1210"/>
    </row>
    <row r="164" spans="1:14" s="951" customFormat="1" ht="14.25" customHeight="1">
      <c r="A164" s="945"/>
      <c r="B164" s="2300"/>
      <c r="C164" s="1211" t="s">
        <v>2914</v>
      </c>
      <c r="D164" s="1135"/>
      <c r="E164" s="1136"/>
      <c r="F164" s="1123"/>
      <c r="G164" s="985"/>
      <c r="H164" s="985"/>
      <c r="I164" s="985"/>
      <c r="J164" s="985"/>
      <c r="K164" s="985"/>
      <c r="L164" s="985"/>
      <c r="M164" s="985"/>
      <c r="N164" s="986"/>
    </row>
    <row r="165" spans="1:14" s="951" customFormat="1" ht="14.25" customHeight="1">
      <c r="A165" s="1167"/>
      <c r="B165" s="1168"/>
      <c r="C165" s="1168"/>
      <c r="D165" s="856"/>
      <c r="E165" s="856"/>
      <c r="F165" s="1187"/>
      <c r="G165" s="1179"/>
      <c r="H165" s="1179"/>
      <c r="I165" s="1179"/>
      <c r="J165" s="1179"/>
      <c r="K165" s="1179"/>
      <c r="L165" s="1179"/>
      <c r="M165" s="1179"/>
      <c r="N165" s="1180"/>
    </row>
    <row r="166" spans="1:14" s="951" customFormat="1" ht="14.25" customHeight="1">
      <c r="A166" s="1212"/>
      <c r="B166" s="952"/>
      <c r="C166" s="947" t="s">
        <v>2915</v>
      </c>
      <c r="D166" s="1192"/>
      <c r="E166" s="948"/>
      <c r="F166" s="949">
        <f>SUM(G166:N166)</f>
        <v>1636199</v>
      </c>
      <c r="G166" s="985">
        <f t="shared" ref="G166:N166" si="85">SUM(G155:G164)</f>
        <v>1636199</v>
      </c>
      <c r="H166" s="985">
        <f t="shared" si="85"/>
        <v>0</v>
      </c>
      <c r="I166" s="985">
        <f t="shared" si="85"/>
        <v>0</v>
      </c>
      <c r="J166" s="985">
        <f t="shared" si="85"/>
        <v>0</v>
      </c>
      <c r="K166" s="985">
        <f t="shared" si="85"/>
        <v>0</v>
      </c>
      <c r="L166" s="985">
        <f t="shared" si="85"/>
        <v>0</v>
      </c>
      <c r="M166" s="985">
        <f t="shared" si="85"/>
        <v>0</v>
      </c>
      <c r="N166" s="986">
        <f t="shared" si="85"/>
        <v>0</v>
      </c>
    </row>
    <row r="167" spans="1:14" s="951" customFormat="1" ht="14.25" customHeight="1">
      <c r="A167" s="1212"/>
      <c r="B167" s="952"/>
      <c r="C167" s="947" t="s">
        <v>2896</v>
      </c>
      <c r="D167" s="1192"/>
      <c r="E167" s="948"/>
      <c r="F167" s="949">
        <f>SUM(G167:N167)</f>
        <v>10025735</v>
      </c>
      <c r="G167" s="985">
        <f>+G135</f>
        <v>10025735</v>
      </c>
      <c r="H167" s="985">
        <f t="shared" ref="H167:N167" si="86">+H135</f>
        <v>0</v>
      </c>
      <c r="I167" s="985">
        <f t="shared" si="86"/>
        <v>0</v>
      </c>
      <c r="J167" s="985">
        <f t="shared" si="86"/>
        <v>0</v>
      </c>
      <c r="K167" s="985">
        <f t="shared" si="86"/>
        <v>0</v>
      </c>
      <c r="L167" s="985">
        <f t="shared" si="86"/>
        <v>0</v>
      </c>
      <c r="M167" s="985">
        <f t="shared" si="86"/>
        <v>0</v>
      </c>
      <c r="N167" s="985">
        <f t="shared" si="86"/>
        <v>0</v>
      </c>
    </row>
    <row r="168" spans="1:14" s="951" customFormat="1" ht="14.25" customHeight="1" thickBot="1">
      <c r="A168" s="1213"/>
      <c r="B168" s="1214"/>
      <c r="C168" s="1215" t="s">
        <v>2916</v>
      </c>
      <c r="D168" s="1216"/>
      <c r="E168" s="1217"/>
      <c r="F168" s="1218">
        <f>SUM(G168:N168)</f>
        <v>11661934</v>
      </c>
      <c r="G168" s="1219">
        <f t="shared" ref="G168:N168" si="87">SUM(G166:G167)</f>
        <v>11661934</v>
      </c>
      <c r="H168" s="1219">
        <f t="shared" si="87"/>
        <v>0</v>
      </c>
      <c r="I168" s="1219">
        <f t="shared" si="87"/>
        <v>0</v>
      </c>
      <c r="J168" s="1219">
        <f t="shared" si="87"/>
        <v>0</v>
      </c>
      <c r="K168" s="1219">
        <f>SUM(K166:K167)</f>
        <v>0</v>
      </c>
      <c r="L168" s="1219">
        <f t="shared" si="87"/>
        <v>0</v>
      </c>
      <c r="M168" s="1219">
        <f t="shared" si="87"/>
        <v>0</v>
      </c>
      <c r="N168" s="1220">
        <f t="shared" si="87"/>
        <v>0</v>
      </c>
    </row>
    <row r="169" spans="1:14" s="951" customFormat="1" ht="14.25" customHeight="1" thickTop="1">
      <c r="A169" s="945"/>
      <c r="B169" s="946"/>
      <c r="C169" s="946"/>
      <c r="D169" s="955"/>
      <c r="E169" s="955"/>
      <c r="F169" s="956"/>
      <c r="G169" s="1221">
        <f>ROUNDDOWN(G168,-3)</f>
        <v>11661000</v>
      </c>
      <c r="H169" s="1221">
        <f t="shared" ref="H169:N169" si="88">ROUNDDOWN(H168,-3)</f>
        <v>0</v>
      </c>
      <c r="I169" s="1221">
        <f>ROUNDDOWN(I168,-3)</f>
        <v>0</v>
      </c>
      <c r="J169" s="1221">
        <f t="shared" si="88"/>
        <v>0</v>
      </c>
      <c r="K169" s="1221">
        <f>ROUNDDOWN(K168,-3)</f>
        <v>0</v>
      </c>
      <c r="L169" s="1221">
        <f t="shared" si="88"/>
        <v>0</v>
      </c>
      <c r="M169" s="1221">
        <f t="shared" si="88"/>
        <v>0</v>
      </c>
      <c r="N169" s="1222">
        <f t="shared" si="88"/>
        <v>0</v>
      </c>
    </row>
    <row r="170" spans="1:14" s="951" customFormat="1" ht="14.25" customHeight="1">
      <c r="A170" s="1212"/>
      <c r="B170" s="952"/>
      <c r="C170" s="947" t="s">
        <v>2896</v>
      </c>
      <c r="D170" s="1192"/>
      <c r="E170" s="948"/>
      <c r="F170" s="949">
        <f>SUM(G170:N170)</f>
        <v>10025735</v>
      </c>
      <c r="G170" s="985">
        <f t="shared" ref="G170:N170" si="89">+G167</f>
        <v>10025735</v>
      </c>
      <c r="H170" s="985">
        <f t="shared" si="89"/>
        <v>0</v>
      </c>
      <c r="I170" s="985">
        <f>+I167</f>
        <v>0</v>
      </c>
      <c r="J170" s="985">
        <f>+J167</f>
        <v>0</v>
      </c>
      <c r="K170" s="985">
        <f>+K167</f>
        <v>0</v>
      </c>
      <c r="L170" s="985">
        <f t="shared" si="89"/>
        <v>0</v>
      </c>
      <c r="M170" s="985">
        <f t="shared" si="89"/>
        <v>0</v>
      </c>
      <c r="N170" s="986">
        <f t="shared" si="89"/>
        <v>0</v>
      </c>
    </row>
    <row r="171" spans="1:14" s="951" customFormat="1" ht="14.25" customHeight="1">
      <c r="A171" s="1212"/>
      <c r="B171" s="952"/>
      <c r="C171" s="947" t="s">
        <v>2917</v>
      </c>
      <c r="D171" s="1192"/>
      <c r="E171" s="1189"/>
      <c r="F171" s="949">
        <f>SUM(G171:N171)</f>
        <v>1634265</v>
      </c>
      <c r="G171" s="985">
        <f t="shared" ref="G171:N171" si="90">+G166-(G168-G173)</f>
        <v>1634265</v>
      </c>
      <c r="H171" s="985">
        <f t="shared" si="90"/>
        <v>0</v>
      </c>
      <c r="I171" s="985">
        <f t="shared" si="90"/>
        <v>0</v>
      </c>
      <c r="J171" s="985">
        <f t="shared" si="90"/>
        <v>0</v>
      </c>
      <c r="K171" s="985">
        <f t="shared" si="90"/>
        <v>0</v>
      </c>
      <c r="L171" s="985">
        <f t="shared" si="90"/>
        <v>0</v>
      </c>
      <c r="M171" s="985">
        <f t="shared" si="90"/>
        <v>0</v>
      </c>
      <c r="N171" s="986">
        <f t="shared" si="90"/>
        <v>0</v>
      </c>
    </row>
    <row r="172" spans="1:14" s="951" customFormat="1" ht="14.25" customHeight="1">
      <c r="A172" s="1212"/>
      <c r="B172" s="952"/>
      <c r="C172" s="952"/>
      <c r="D172" s="948"/>
      <c r="E172" s="1223">
        <f>SUM(G169:O169)</f>
        <v>11661000</v>
      </c>
      <c r="F172" s="949" t="s">
        <v>2918</v>
      </c>
      <c r="G172" s="985">
        <f>+G166-G171</f>
        <v>1934</v>
      </c>
      <c r="H172" s="985">
        <f t="shared" ref="H172:N172" si="91">+H166-H171</f>
        <v>0</v>
      </c>
      <c r="I172" s="985">
        <f>+I166-I171</f>
        <v>0</v>
      </c>
      <c r="J172" s="985">
        <f t="shared" si="91"/>
        <v>0</v>
      </c>
      <c r="K172" s="985">
        <f>+K166-K171</f>
        <v>0</v>
      </c>
      <c r="L172" s="985">
        <f t="shared" si="91"/>
        <v>0</v>
      </c>
      <c r="M172" s="1224">
        <f t="shared" si="91"/>
        <v>0</v>
      </c>
      <c r="N172" s="1225">
        <f t="shared" si="91"/>
        <v>0</v>
      </c>
    </row>
    <row r="173" spans="1:14" s="951" customFormat="1" ht="14.25" customHeight="1">
      <c r="A173" s="2116"/>
      <c r="B173" s="2117"/>
      <c r="C173" s="2117" t="s">
        <v>2919</v>
      </c>
      <c r="D173" s="2118"/>
      <c r="E173" s="2119">
        <f>ROUNDDOWN(E172,4-LEN(E172))</f>
        <v>11660000</v>
      </c>
      <c r="F173" s="2120">
        <f>+E173</f>
        <v>11660000</v>
      </c>
      <c r="G173" s="2121">
        <f>IF(F174+SUM(H173:O173)=F173,F174,F173-SUM(H173:O173))</f>
        <v>11660000</v>
      </c>
      <c r="H173" s="2121">
        <f>IF(H163="",+H169-ROUND($E$174*H168/$F$168,-3),H168)</f>
        <v>0</v>
      </c>
      <c r="I173" s="2121">
        <f t="shared" ref="I173:N173" si="92">IF(I163="",+I169-ROUND($E$174*I168/$F$168,-3),I168)</f>
        <v>0</v>
      </c>
      <c r="J173" s="2121">
        <f t="shared" si="92"/>
        <v>0</v>
      </c>
      <c r="K173" s="2121">
        <f t="shared" si="92"/>
        <v>0</v>
      </c>
      <c r="L173" s="2121">
        <f>IF(L163="",+L169-ROUND($E$174*L168/$F$168,-3),L168)</f>
        <v>0</v>
      </c>
      <c r="M173" s="2121">
        <f t="shared" si="92"/>
        <v>0</v>
      </c>
      <c r="N173" s="2121">
        <f t="shared" si="92"/>
        <v>0</v>
      </c>
    </row>
    <row r="174" spans="1:14" s="951" customFormat="1" ht="14.25" customHeight="1">
      <c r="A174" s="1230"/>
      <c r="B174" s="1231"/>
      <c r="C174" s="1231"/>
      <c r="D174" s="1232"/>
      <c r="E174" s="1233">
        <f>E172-E173</f>
        <v>1000</v>
      </c>
      <c r="F174" s="1234">
        <f>+G169-ROUND($E$174*G168/$F$168,-3)</f>
        <v>11660000</v>
      </c>
      <c r="G174" s="1233">
        <f t="shared" ref="G174:N174" si="93">IF(LEN(G168)&lt;=7,-3,IF(LEN(G168)=8,-4,IF(LEN(G168)&gt;=9,-5,-6)))</f>
        <v>-4</v>
      </c>
      <c r="H174" s="1233">
        <f t="shared" si="93"/>
        <v>-3</v>
      </c>
      <c r="I174" s="1233">
        <f t="shared" si="93"/>
        <v>-3</v>
      </c>
      <c r="J174" s="1233">
        <f>IF(LEN(J168)&lt;=7,-3,IF(LEN(J168)=8,-4,IF(LEN(J168)&gt;=9,-5,-6)))</f>
        <v>-3</v>
      </c>
      <c r="K174" s="1233">
        <f>IF(LEN(K168)&lt;=7,-3,IF(LEN(K168)=8,-4,IF(LEN(K168)&gt;=9,-5,-6)))</f>
        <v>-3</v>
      </c>
      <c r="L174" s="1233">
        <f t="shared" si="93"/>
        <v>-3</v>
      </c>
      <c r="M174" s="1233">
        <f t="shared" si="93"/>
        <v>-3</v>
      </c>
      <c r="N174" s="1235">
        <f t="shared" si="93"/>
        <v>-3</v>
      </c>
    </row>
    <row r="175" spans="1:14" ht="13.5" customHeight="1" thickBot="1">
      <c r="F175" s="1236"/>
      <c r="G175" s="1237"/>
    </row>
    <row r="176" spans="1:14" ht="13.5" customHeight="1">
      <c r="A176" s="1239"/>
      <c r="B176" s="1240"/>
      <c r="C176" s="1241" t="s">
        <v>2920</v>
      </c>
      <c r="D176" s="1242"/>
      <c r="E176" s="1240"/>
      <c r="F176" s="1243" t="s">
        <v>2921</v>
      </c>
      <c r="G176" s="1244">
        <f t="shared" ref="G176:N176" si="94">+G3</f>
        <v>3.3</v>
      </c>
      <c r="H176" s="1244">
        <f t="shared" si="94"/>
        <v>0</v>
      </c>
      <c r="I176" s="1244">
        <f t="shared" si="94"/>
        <v>0</v>
      </c>
      <c r="J176" s="1244">
        <f t="shared" si="94"/>
        <v>0</v>
      </c>
      <c r="K176" s="1244">
        <f>+K3</f>
        <v>0</v>
      </c>
      <c r="L176" s="1244">
        <f t="shared" si="94"/>
        <v>0</v>
      </c>
      <c r="M176" s="1244">
        <f t="shared" si="94"/>
        <v>0</v>
      </c>
      <c r="N176" s="1245">
        <f t="shared" si="94"/>
        <v>0</v>
      </c>
    </row>
    <row r="177" spans="1:14" ht="13.5" customHeight="1">
      <c r="A177" s="2301"/>
      <c r="B177" s="2304" t="s">
        <v>2922</v>
      </c>
      <c r="C177" s="1246" t="s">
        <v>2923</v>
      </c>
      <c r="D177" s="897"/>
      <c r="E177" s="1247"/>
      <c r="F177" s="1248" t="s">
        <v>2924</v>
      </c>
      <c r="G177" s="1249">
        <f>IF($F$60&lt;=10000000,ROUND(7.56*(10000^-0.1105)*(G176^0.2389),2),ROUND(7.56*(($F$60/1000)^-0.1105)*(G176^0.2389),2))</f>
        <v>3.63</v>
      </c>
      <c r="H177" s="1249">
        <f t="shared" ref="H177:N177" si="95">IF($F$60&lt;=10000000,ROUND(7.56*(10000^-0.1105)*(H176^0.2389),2),ROUND(7.56*(($F$60/1000)^-0.1105)*(H176^0.2389),2))</f>
        <v>0</v>
      </c>
      <c r="I177" s="1249">
        <f t="shared" si="95"/>
        <v>0</v>
      </c>
      <c r="J177" s="1249">
        <f t="shared" si="95"/>
        <v>0</v>
      </c>
      <c r="K177" s="1249">
        <f t="shared" si="95"/>
        <v>0</v>
      </c>
      <c r="L177" s="1249">
        <f t="shared" si="95"/>
        <v>0</v>
      </c>
      <c r="M177" s="1249">
        <f t="shared" si="95"/>
        <v>0</v>
      </c>
      <c r="N177" s="1250">
        <f t="shared" si="95"/>
        <v>0</v>
      </c>
    </row>
    <row r="178" spans="1:14" ht="13.5" customHeight="1">
      <c r="A178" s="2302"/>
      <c r="B178" s="2305"/>
      <c r="C178" s="2307" t="s">
        <v>2925</v>
      </c>
      <c r="D178" s="1251"/>
      <c r="E178" s="1252"/>
      <c r="F178" s="1248" t="s">
        <v>2926</v>
      </c>
      <c r="G178" s="1253">
        <f>IF($F$60&lt;=10000000,ROUND(4.33,2),0)</f>
        <v>4.33</v>
      </c>
      <c r="H178" s="1253">
        <f t="shared" ref="H178:N178" si="96">IF($F$60&lt;=10000000,ROUND(4.33,2),0)</f>
        <v>4.33</v>
      </c>
      <c r="I178" s="1253">
        <f t="shared" si="96"/>
        <v>4.33</v>
      </c>
      <c r="J178" s="1253">
        <f t="shared" si="96"/>
        <v>4.33</v>
      </c>
      <c r="K178" s="1253">
        <f t="shared" si="96"/>
        <v>4.33</v>
      </c>
      <c r="L178" s="1253">
        <f t="shared" si="96"/>
        <v>4.33</v>
      </c>
      <c r="M178" s="1253">
        <f t="shared" si="96"/>
        <v>4.33</v>
      </c>
      <c r="N178" s="1254">
        <f t="shared" si="96"/>
        <v>4.33</v>
      </c>
    </row>
    <row r="179" spans="1:14" ht="13.5" customHeight="1">
      <c r="A179" s="2302"/>
      <c r="B179" s="2305"/>
      <c r="C179" s="2308"/>
      <c r="D179" s="1255"/>
      <c r="E179" s="1256"/>
      <c r="F179" s="1248" t="s">
        <v>2927</v>
      </c>
      <c r="G179" s="1253">
        <f>IF($F$60&lt;=10000000,ROUND(3.25,2),0)</f>
        <v>3.25</v>
      </c>
      <c r="H179" s="1253">
        <f t="shared" ref="H179:N179" si="97">IF($F$60&lt;=10000000,ROUND(3.25,2),0)</f>
        <v>3.25</v>
      </c>
      <c r="I179" s="1253">
        <f t="shared" si="97"/>
        <v>3.25</v>
      </c>
      <c r="J179" s="1253">
        <f t="shared" si="97"/>
        <v>3.25</v>
      </c>
      <c r="K179" s="1253">
        <f t="shared" si="97"/>
        <v>3.25</v>
      </c>
      <c r="L179" s="1253">
        <f t="shared" si="97"/>
        <v>3.25</v>
      </c>
      <c r="M179" s="1253">
        <f t="shared" si="97"/>
        <v>3.25</v>
      </c>
      <c r="N179" s="1254">
        <f t="shared" si="97"/>
        <v>3.25</v>
      </c>
    </row>
    <row r="180" spans="1:14" ht="13.5" customHeight="1">
      <c r="A180" s="2302"/>
      <c r="B180" s="2305"/>
      <c r="C180" s="2307" t="s">
        <v>2928</v>
      </c>
      <c r="D180" s="1251"/>
      <c r="E180" s="1252"/>
      <c r="F180" s="1248" t="s">
        <v>2926</v>
      </c>
      <c r="G180" s="1257">
        <f>IF($F$60&gt;10000000,ROUND(5.78*($F$60/1000)^-0.0313,2),0)</f>
        <v>0</v>
      </c>
      <c r="H180" s="1257">
        <f t="shared" ref="H180:N180" si="98">IF($F$60&gt;10000000,ROUND(5.78*($F$60/1000)^-0.0313,2),0)</f>
        <v>0</v>
      </c>
      <c r="I180" s="1257">
        <f t="shared" si="98"/>
        <v>0</v>
      </c>
      <c r="J180" s="1257">
        <f t="shared" si="98"/>
        <v>0</v>
      </c>
      <c r="K180" s="1257">
        <f t="shared" si="98"/>
        <v>0</v>
      </c>
      <c r="L180" s="1257">
        <f t="shared" si="98"/>
        <v>0</v>
      </c>
      <c r="M180" s="1257">
        <f t="shared" si="98"/>
        <v>0</v>
      </c>
      <c r="N180" s="1258">
        <f t="shared" si="98"/>
        <v>0</v>
      </c>
    </row>
    <row r="181" spans="1:14" ht="13.5" customHeight="1">
      <c r="A181" s="2303"/>
      <c r="B181" s="2306"/>
      <c r="C181" s="2308"/>
      <c r="D181" s="1255"/>
      <c r="E181" s="1256"/>
      <c r="F181" s="1248" t="s">
        <v>2927</v>
      </c>
      <c r="G181" s="1257">
        <f>IF($F$60&gt;10000000,ROUND(4.34*($F$60/1000)^-0.0313,2),0)</f>
        <v>0</v>
      </c>
      <c r="H181" s="1257">
        <f t="shared" ref="H181:N181" si="99">IF($F$60&gt;10000000,ROUND(4.34*($F$60/1000)^-0.0313,2),0)</f>
        <v>0</v>
      </c>
      <c r="I181" s="1257">
        <f t="shared" si="99"/>
        <v>0</v>
      </c>
      <c r="J181" s="1257">
        <f t="shared" si="99"/>
        <v>0</v>
      </c>
      <c r="K181" s="1257">
        <f t="shared" si="99"/>
        <v>0</v>
      </c>
      <c r="L181" s="1257">
        <f t="shared" si="99"/>
        <v>0</v>
      </c>
      <c r="M181" s="1257">
        <f t="shared" si="99"/>
        <v>0</v>
      </c>
      <c r="N181" s="1258">
        <f t="shared" si="99"/>
        <v>0</v>
      </c>
    </row>
    <row r="182" spans="1:14" s="1261" customFormat="1" ht="13.5" customHeight="1">
      <c r="A182" s="2290" t="s">
        <v>2929</v>
      </c>
      <c r="B182" s="2291"/>
      <c r="C182" s="2291"/>
      <c r="D182" s="2291"/>
      <c r="E182" s="2292"/>
      <c r="F182" s="2293"/>
      <c r="G182" s="1259">
        <f t="shared" ref="G182:N182" si="100">IF($F$60&lt;=10000000,IF(G$177&gt;G$178,G$178,IF(G$177&lt;G$179,G$179,G$177)),IF(G$177&gt;G$180,G$180,IF(G$177&lt;G$181,G$181,G$177)))</f>
        <v>3.63</v>
      </c>
      <c r="H182" s="1259">
        <f>IF($F$60&lt;=10000000,IF(H$177&gt;H$178,H$178,IF(H$177&lt;H$179,H$179,H$177)),IF(H$177&gt;H$180,H$180,IF(H$177&lt;H$181,H$181,H$177)))</f>
        <v>3.25</v>
      </c>
      <c r="I182" s="1259">
        <f t="shared" si="100"/>
        <v>3.25</v>
      </c>
      <c r="J182" s="1259">
        <f t="shared" si="100"/>
        <v>3.25</v>
      </c>
      <c r="K182" s="1259">
        <f t="shared" si="100"/>
        <v>3.25</v>
      </c>
      <c r="L182" s="1259">
        <f t="shared" si="100"/>
        <v>3.25</v>
      </c>
      <c r="M182" s="1259">
        <f t="shared" si="100"/>
        <v>3.25</v>
      </c>
      <c r="N182" s="1260">
        <f t="shared" si="100"/>
        <v>3.25</v>
      </c>
    </row>
    <row r="183" spans="1:14" s="1261" customFormat="1" ht="13.5" customHeight="1" thickBot="1">
      <c r="A183" s="2294" t="s">
        <v>2930</v>
      </c>
      <c r="B183" s="2295"/>
      <c r="C183" s="2295"/>
      <c r="D183" s="2295"/>
      <c r="E183" s="2296"/>
      <c r="F183" s="2297"/>
      <c r="G183" s="1262">
        <f>ROUND(G182*IF(AND(G8="駅施設",G9="無し"),0.7,IF(AND(G8="駅施設",G9="有り"),0.7,IF(AND(G8="地上建物",G9="無し"),0.9,IF(AND(G8="地上建物",G9="有り"),1,0)))),2)</f>
        <v>2.54</v>
      </c>
      <c r="H183" s="1262">
        <f t="shared" ref="H183:N183" si="101">ROUND(H182*IF(AND(H8="駅施設",H9="無し"),0.7,IF(AND(H8="駅施設",H9="有り"),0.7,IF(AND(H8="地上建物",H9="無し"),0.9,IF(AND(H8="地上建物",H9="有り"),1,0)))),2)</f>
        <v>2.2799999999999998</v>
      </c>
      <c r="I183" s="1262">
        <f t="shared" si="101"/>
        <v>2.2799999999999998</v>
      </c>
      <c r="J183" s="1262">
        <f t="shared" si="101"/>
        <v>2.2799999999999998</v>
      </c>
      <c r="K183" s="1262">
        <f t="shared" si="101"/>
        <v>2.2799999999999998</v>
      </c>
      <c r="L183" s="1262">
        <f t="shared" si="101"/>
        <v>2.2799999999999998</v>
      </c>
      <c r="M183" s="1262">
        <f t="shared" si="101"/>
        <v>2.2799999999999998</v>
      </c>
      <c r="N183" s="1263">
        <f t="shared" si="101"/>
        <v>2.2799999999999998</v>
      </c>
    </row>
    <row r="184" spans="1:14" s="951" customFormat="1" ht="13.5" customHeight="1" thickBot="1">
      <c r="G184" s="1264"/>
      <c r="H184" s="1264"/>
      <c r="I184" s="1264"/>
      <c r="J184" s="1264"/>
      <c r="K184" s="1264"/>
      <c r="L184" s="1264"/>
      <c r="M184" s="1264"/>
      <c r="N184" s="1264"/>
    </row>
    <row r="185" spans="1:14" s="951" customFormat="1" ht="13.5" customHeight="1">
      <c r="A185" s="1265"/>
      <c r="B185" s="1266"/>
      <c r="C185" s="1267" t="s">
        <v>2920</v>
      </c>
      <c r="D185" s="1268"/>
      <c r="E185" s="1266"/>
      <c r="F185" s="1269" t="s">
        <v>2921</v>
      </c>
      <c r="G185" s="1244">
        <f t="shared" ref="G185:N185" si="102">+G3</f>
        <v>3.3</v>
      </c>
      <c r="H185" s="1244">
        <f t="shared" si="102"/>
        <v>0</v>
      </c>
      <c r="I185" s="1244">
        <f t="shared" si="102"/>
        <v>0</v>
      </c>
      <c r="J185" s="1244">
        <f t="shared" si="102"/>
        <v>0</v>
      </c>
      <c r="K185" s="1244">
        <f>+K3</f>
        <v>0</v>
      </c>
      <c r="L185" s="1244">
        <f t="shared" si="102"/>
        <v>0</v>
      </c>
      <c r="M185" s="1244">
        <f t="shared" si="102"/>
        <v>0</v>
      </c>
      <c r="N185" s="1245">
        <f t="shared" si="102"/>
        <v>0</v>
      </c>
    </row>
    <row r="186" spans="1:14" s="951" customFormat="1" ht="13.5" customHeight="1">
      <c r="A186" s="2277"/>
      <c r="B186" s="2279" t="s">
        <v>2931</v>
      </c>
      <c r="C186" s="1270" t="s">
        <v>2923</v>
      </c>
      <c r="D186" s="1227"/>
      <c r="E186" s="1271"/>
      <c r="F186" s="1272" t="s">
        <v>2932</v>
      </c>
      <c r="G186" s="1249">
        <f>IF($F$60&lt;=5000000,ROUND(18.03*(5000^-0.2027)*(G185^0.4017),2),ROUND(18.03*(($F$60/1000)^-0.2027)*(G185^0.4017),2))</f>
        <v>4.72</v>
      </c>
      <c r="H186" s="1249">
        <f t="shared" ref="H186:N186" si="103">IF($F$60&lt;=5000000,ROUND(18.03*(5000^-0.2027)*(H185^0.4017),2),ROUND(18.03*(($F$60/1000)^-0.2027)*(H185^0.4017),2))</f>
        <v>0</v>
      </c>
      <c r="I186" s="1249">
        <f t="shared" si="103"/>
        <v>0</v>
      </c>
      <c r="J186" s="1249">
        <f t="shared" si="103"/>
        <v>0</v>
      </c>
      <c r="K186" s="1249">
        <f t="shared" si="103"/>
        <v>0</v>
      </c>
      <c r="L186" s="1249">
        <f t="shared" si="103"/>
        <v>0</v>
      </c>
      <c r="M186" s="1249">
        <f t="shared" si="103"/>
        <v>0</v>
      </c>
      <c r="N186" s="1250">
        <f t="shared" si="103"/>
        <v>0</v>
      </c>
    </row>
    <row r="187" spans="1:14" s="951" customFormat="1" ht="13.5" customHeight="1">
      <c r="A187" s="2278"/>
      <c r="B187" s="2280"/>
      <c r="C187" s="2288" t="s">
        <v>2933</v>
      </c>
      <c r="D187" s="1126"/>
      <c r="E187" s="1273"/>
      <c r="F187" s="1272" t="s">
        <v>2926</v>
      </c>
      <c r="G187" s="1274">
        <f>IF($F$60&lt;=5000000,ROUND(6.07,2),0)</f>
        <v>0</v>
      </c>
      <c r="H187" s="1274">
        <f t="shared" ref="H187:N187" si="104">IF($F$60&lt;=5000000,ROUND(6.07,2),0)</f>
        <v>0</v>
      </c>
      <c r="I187" s="1274">
        <f t="shared" si="104"/>
        <v>0</v>
      </c>
      <c r="J187" s="1274">
        <f t="shared" si="104"/>
        <v>0</v>
      </c>
      <c r="K187" s="1274">
        <f t="shared" si="104"/>
        <v>0</v>
      </c>
      <c r="L187" s="1274">
        <f t="shared" si="104"/>
        <v>0</v>
      </c>
      <c r="M187" s="1274">
        <f t="shared" si="104"/>
        <v>0</v>
      </c>
      <c r="N187" s="1275">
        <f t="shared" si="104"/>
        <v>0</v>
      </c>
    </row>
    <row r="188" spans="1:14" s="951" customFormat="1" ht="13.5" customHeight="1">
      <c r="A188" s="2278"/>
      <c r="B188" s="2280"/>
      <c r="C188" s="2289"/>
      <c r="D188" s="1276"/>
      <c r="E188" s="1277"/>
      <c r="F188" s="1272" t="s">
        <v>2927</v>
      </c>
      <c r="G188" s="1274">
        <f>IF($F$60&lt;=5000000,ROUND(3.59,2),0)</f>
        <v>0</v>
      </c>
      <c r="H188" s="1274">
        <f t="shared" ref="H188:N188" si="105">IF($F$60&lt;=5000000,ROUND(3.59,2),0)</f>
        <v>0</v>
      </c>
      <c r="I188" s="1274">
        <f t="shared" si="105"/>
        <v>0</v>
      </c>
      <c r="J188" s="1274">
        <f t="shared" si="105"/>
        <v>0</v>
      </c>
      <c r="K188" s="1274">
        <f t="shared" si="105"/>
        <v>0</v>
      </c>
      <c r="L188" s="1274">
        <f t="shared" si="105"/>
        <v>0</v>
      </c>
      <c r="M188" s="1274">
        <f t="shared" si="105"/>
        <v>0</v>
      </c>
      <c r="N188" s="1275">
        <f t="shared" si="105"/>
        <v>0</v>
      </c>
    </row>
    <row r="189" spans="1:14" s="951" customFormat="1" ht="13.5" customHeight="1">
      <c r="A189" s="2278"/>
      <c r="B189" s="2280"/>
      <c r="C189" s="2288" t="s">
        <v>2934</v>
      </c>
      <c r="D189" s="1126"/>
      <c r="E189" s="1273"/>
      <c r="F189" s="1272" t="s">
        <v>2926</v>
      </c>
      <c r="G189" s="1278">
        <f>IF($F$60&gt;5000000,ROUND(11.74*($F$60/1000)^-0.0774,2),0)</f>
        <v>5.86</v>
      </c>
      <c r="H189" s="1278">
        <f t="shared" ref="H189:N189" si="106">IF($F$60&gt;5000000,ROUND(11.74*($F$60/1000)^-0.0774,2),0)</f>
        <v>5.86</v>
      </c>
      <c r="I189" s="1278">
        <f t="shared" si="106"/>
        <v>5.86</v>
      </c>
      <c r="J189" s="1278">
        <f t="shared" si="106"/>
        <v>5.86</v>
      </c>
      <c r="K189" s="1278">
        <f t="shared" si="106"/>
        <v>5.86</v>
      </c>
      <c r="L189" s="1278">
        <f t="shared" si="106"/>
        <v>5.86</v>
      </c>
      <c r="M189" s="1278">
        <f t="shared" si="106"/>
        <v>5.86</v>
      </c>
      <c r="N189" s="1279">
        <f t="shared" si="106"/>
        <v>5.86</v>
      </c>
    </row>
    <row r="190" spans="1:14" s="951" customFormat="1" ht="13.5" customHeight="1">
      <c r="A190" s="2286"/>
      <c r="B190" s="2287"/>
      <c r="C190" s="2289"/>
      <c r="D190" s="1276"/>
      <c r="E190" s="1277"/>
      <c r="F190" s="1272" t="s">
        <v>2927</v>
      </c>
      <c r="G190" s="1278">
        <f>IF($F$60&gt;5000000,ROUND(6.94*($F$60/1000)^-0.0774,2),0)</f>
        <v>3.46</v>
      </c>
      <c r="H190" s="1278">
        <f t="shared" ref="H190:N190" si="107">IF($F$60&gt;5000000,ROUND(6.94*($F$60/1000)^-0.0774,2),0)</f>
        <v>3.46</v>
      </c>
      <c r="I190" s="1278">
        <f t="shared" si="107"/>
        <v>3.46</v>
      </c>
      <c r="J190" s="1278">
        <f t="shared" si="107"/>
        <v>3.46</v>
      </c>
      <c r="K190" s="1278">
        <f t="shared" si="107"/>
        <v>3.46</v>
      </c>
      <c r="L190" s="1278">
        <f t="shared" si="107"/>
        <v>3.46</v>
      </c>
      <c r="M190" s="1278">
        <f t="shared" si="107"/>
        <v>3.46</v>
      </c>
      <c r="N190" s="1279">
        <f t="shared" si="107"/>
        <v>3.46</v>
      </c>
    </row>
    <row r="191" spans="1:14" s="1261" customFormat="1" ht="13.5" customHeight="1">
      <c r="A191" s="2290" t="s">
        <v>2929</v>
      </c>
      <c r="B191" s="2291"/>
      <c r="C191" s="2291"/>
      <c r="D191" s="2291"/>
      <c r="E191" s="2292"/>
      <c r="F191" s="2293"/>
      <c r="G191" s="1280">
        <f>IF($F$60&lt;=5000000,IF(G$186&gt;G$187,G$187,IF(G$186&lt;G$188,G$188,G$186)),IF(G$186&gt;G$189,G$189,IF(G$186&lt;G$190,G$190,G$186)))</f>
        <v>4.72</v>
      </c>
      <c r="H191" s="1280">
        <f t="shared" ref="H191:N191" si="108">IF($F$60&lt;=5000000,IF(H$186&gt;H$187,H$187,IF(H$186&lt;H$188,H$188,H$186)),IF(H$186&gt;H$189,H$189,IF(H$186&lt;H$190,H$190,H$186)))</f>
        <v>3.46</v>
      </c>
      <c r="I191" s="1280">
        <f t="shared" si="108"/>
        <v>3.46</v>
      </c>
      <c r="J191" s="1280">
        <f t="shared" si="108"/>
        <v>3.46</v>
      </c>
      <c r="K191" s="1280">
        <f t="shared" si="108"/>
        <v>3.46</v>
      </c>
      <c r="L191" s="1280">
        <f t="shared" si="108"/>
        <v>3.46</v>
      </c>
      <c r="M191" s="1280">
        <f t="shared" si="108"/>
        <v>3.46</v>
      </c>
      <c r="N191" s="1281">
        <f t="shared" si="108"/>
        <v>3.46</v>
      </c>
    </row>
    <row r="192" spans="1:14" s="1261" customFormat="1" ht="13.5" customHeight="1" thickBot="1">
      <c r="A192" s="2294" t="s">
        <v>2930</v>
      </c>
      <c r="B192" s="2295"/>
      <c r="C192" s="2295"/>
      <c r="D192" s="2295"/>
      <c r="E192" s="2296"/>
      <c r="F192" s="2297"/>
      <c r="G192" s="1262">
        <f>ROUND(G191*IF(AND(G8="駅施設",G9="無し"),0.7,IF(AND(G8="駅施設",G9="有り"),0.7,IF(AND(G8="地上建物",G9="無し"),0.9,IF(AND(G8="地上建物",G9="有り"),1,0)))),2)</f>
        <v>3.3</v>
      </c>
      <c r="H192" s="1262">
        <f t="shared" ref="H192:N192" si="109">ROUND(H191*IF(AND(H8="駅施設",H9="無し"),0.7,IF(AND(H8="駅施設",H9="有り"),0.7,IF(AND(H8="地上建物",H9="無し"),0.9,IF(AND(H8="地上建物",H9="有り"),1,0)))),2)</f>
        <v>2.42</v>
      </c>
      <c r="I192" s="1262">
        <f t="shared" si="109"/>
        <v>2.42</v>
      </c>
      <c r="J192" s="1262">
        <f t="shared" si="109"/>
        <v>2.42</v>
      </c>
      <c r="K192" s="1262">
        <f t="shared" si="109"/>
        <v>2.42</v>
      </c>
      <c r="L192" s="1262">
        <f t="shared" si="109"/>
        <v>2.42</v>
      </c>
      <c r="M192" s="1262">
        <f t="shared" si="109"/>
        <v>2.42</v>
      </c>
      <c r="N192" s="1263">
        <f t="shared" si="109"/>
        <v>2.42</v>
      </c>
    </row>
    <row r="193" spans="1:14" s="951" customFormat="1" ht="13.5" customHeight="1" thickBot="1">
      <c r="G193" s="1282"/>
      <c r="H193" s="1282"/>
      <c r="I193" s="1282"/>
      <c r="J193" s="1282"/>
      <c r="K193" s="1282"/>
      <c r="L193" s="1282"/>
      <c r="M193" s="1282"/>
      <c r="N193" s="1282"/>
    </row>
    <row r="194" spans="1:14" s="951" customFormat="1" ht="13.5" customHeight="1">
      <c r="A194" s="1265"/>
      <c r="B194" s="1266"/>
      <c r="C194" s="1267" t="s">
        <v>2935</v>
      </c>
      <c r="D194" s="1268"/>
      <c r="E194" s="1266"/>
      <c r="F194" s="1269" t="s">
        <v>2921</v>
      </c>
      <c r="G194" s="1244">
        <f>+G202</f>
        <v>3.3</v>
      </c>
      <c r="H194" s="1244">
        <f t="shared" ref="H194:N194" si="110">+H202</f>
        <v>0</v>
      </c>
      <c r="I194" s="1244">
        <f t="shared" si="110"/>
        <v>0</v>
      </c>
      <c r="J194" s="1244">
        <f t="shared" si="110"/>
        <v>0</v>
      </c>
      <c r="K194" s="1244">
        <f>+K202</f>
        <v>0</v>
      </c>
      <c r="L194" s="1244">
        <f t="shared" si="110"/>
        <v>0</v>
      </c>
      <c r="M194" s="1244">
        <f t="shared" si="110"/>
        <v>0</v>
      </c>
      <c r="N194" s="1245">
        <f t="shared" si="110"/>
        <v>0</v>
      </c>
    </row>
    <row r="195" spans="1:14" s="951" customFormat="1" ht="13.5" customHeight="1">
      <c r="A195" s="2277"/>
      <c r="B195" s="2279" t="s">
        <v>2922</v>
      </c>
      <c r="C195" s="1270" t="s">
        <v>2936</v>
      </c>
      <c r="D195" s="1227"/>
      <c r="E195" s="1271"/>
      <c r="F195" s="1272" t="s">
        <v>2937</v>
      </c>
      <c r="G195" s="1249">
        <f>IF($F$99&lt;=10000000,ROUND(151.08*((10000)^-0.3396)*(G194^0.586),2),ROUND(151.08*(($F$99/1000)^-0.3396)*(G194^0.586),2))</f>
        <v>13.32</v>
      </c>
      <c r="H195" s="1249">
        <f t="shared" ref="H195:N195" si="111">IF($F$99&lt;=10000000,ROUND(151.08*((10000)^-0.3396)*(H194^0.586),2),ROUND(151.08*(($F$99/1000)^-0.3396)*(H194^0.586),2))</f>
        <v>0</v>
      </c>
      <c r="I195" s="1249">
        <f t="shared" si="111"/>
        <v>0</v>
      </c>
      <c r="J195" s="1249">
        <f t="shared" si="111"/>
        <v>0</v>
      </c>
      <c r="K195" s="1249">
        <f t="shared" si="111"/>
        <v>0</v>
      </c>
      <c r="L195" s="1249">
        <f t="shared" si="111"/>
        <v>0</v>
      </c>
      <c r="M195" s="1249">
        <f t="shared" si="111"/>
        <v>0</v>
      </c>
      <c r="N195" s="1250">
        <f t="shared" si="111"/>
        <v>0</v>
      </c>
    </row>
    <row r="196" spans="1:14" s="951" customFormat="1" ht="13.5" customHeight="1">
      <c r="A196" s="2278"/>
      <c r="B196" s="2280"/>
      <c r="C196" s="2288" t="s">
        <v>2938</v>
      </c>
      <c r="D196" s="1126"/>
      <c r="E196" s="1273"/>
      <c r="F196" s="1272" t="s">
        <v>2926</v>
      </c>
      <c r="G196" s="1274">
        <f>IF($F$99&lt;=10000000,ROUND(20.13,2),0)</f>
        <v>20.13</v>
      </c>
      <c r="H196" s="1274">
        <f t="shared" ref="H196:N196" si="112">IF($F$99&lt;=10000000,ROUND(20.13,2),0)</f>
        <v>20.13</v>
      </c>
      <c r="I196" s="1274">
        <f t="shared" si="112"/>
        <v>20.13</v>
      </c>
      <c r="J196" s="1274">
        <f t="shared" si="112"/>
        <v>20.13</v>
      </c>
      <c r="K196" s="1274">
        <f t="shared" si="112"/>
        <v>20.13</v>
      </c>
      <c r="L196" s="1274">
        <f t="shared" si="112"/>
        <v>20.13</v>
      </c>
      <c r="M196" s="1274">
        <f t="shared" si="112"/>
        <v>20.13</v>
      </c>
      <c r="N196" s="1275">
        <f t="shared" si="112"/>
        <v>20.13</v>
      </c>
    </row>
    <row r="197" spans="1:14" s="951" customFormat="1" ht="13.5" customHeight="1">
      <c r="A197" s="2278"/>
      <c r="B197" s="2280"/>
      <c r="C197" s="2289"/>
      <c r="D197" s="1276"/>
      <c r="E197" s="1277"/>
      <c r="F197" s="1272" t="s">
        <v>2927</v>
      </c>
      <c r="G197" s="1274">
        <f>IF($F$99&lt;=10000000,ROUND(10.01,2),0)</f>
        <v>10.01</v>
      </c>
      <c r="H197" s="1274">
        <f t="shared" ref="H197:N197" si="113">IF($F$99&lt;=10000000,ROUND(10.01,2),0)</f>
        <v>10.01</v>
      </c>
      <c r="I197" s="1274">
        <f t="shared" si="113"/>
        <v>10.01</v>
      </c>
      <c r="J197" s="1274">
        <f t="shared" si="113"/>
        <v>10.01</v>
      </c>
      <c r="K197" s="1274">
        <f t="shared" si="113"/>
        <v>10.01</v>
      </c>
      <c r="L197" s="1274">
        <f t="shared" si="113"/>
        <v>10.01</v>
      </c>
      <c r="M197" s="1274">
        <f t="shared" si="113"/>
        <v>10.01</v>
      </c>
      <c r="N197" s="1275">
        <f t="shared" si="113"/>
        <v>10.01</v>
      </c>
    </row>
    <row r="198" spans="1:14" s="951" customFormat="1" ht="13.5" customHeight="1">
      <c r="A198" s="2278"/>
      <c r="B198" s="2280"/>
      <c r="C198" s="2288" t="s">
        <v>2939</v>
      </c>
      <c r="D198" s="1126"/>
      <c r="E198" s="1273"/>
      <c r="F198" s="1272" t="s">
        <v>2926</v>
      </c>
      <c r="G198" s="1278">
        <f>IF($F$99&gt;10000000,ROUND(75.97*($F$99/1000)^-0.1442,2),0)</f>
        <v>0</v>
      </c>
      <c r="H198" s="1278">
        <f t="shared" ref="H198:N198" si="114">IF($F$99&gt;10000000,ROUND(75.97*($F$99/1000)^-0.1442*0.95,2),0)</f>
        <v>0</v>
      </c>
      <c r="I198" s="1278">
        <f t="shared" si="114"/>
        <v>0</v>
      </c>
      <c r="J198" s="1278">
        <f t="shared" si="114"/>
        <v>0</v>
      </c>
      <c r="K198" s="1278">
        <f t="shared" si="114"/>
        <v>0</v>
      </c>
      <c r="L198" s="1278">
        <f t="shared" si="114"/>
        <v>0</v>
      </c>
      <c r="M198" s="1278">
        <f t="shared" si="114"/>
        <v>0</v>
      </c>
      <c r="N198" s="1279">
        <f t="shared" si="114"/>
        <v>0</v>
      </c>
    </row>
    <row r="199" spans="1:14" s="951" customFormat="1" ht="13.5" customHeight="1">
      <c r="A199" s="2286"/>
      <c r="B199" s="2287"/>
      <c r="C199" s="2289"/>
      <c r="D199" s="1276"/>
      <c r="E199" s="1277"/>
      <c r="F199" s="1272" t="s">
        <v>2927</v>
      </c>
      <c r="G199" s="1278">
        <f>IF($F$99&gt;10000000,ROUND(37.76*($F$99/1000)^-0.1442,2),0)</f>
        <v>0</v>
      </c>
      <c r="H199" s="1278">
        <f t="shared" ref="H199:N199" si="115">IF($F$99&gt;10000000,ROUND(37.76*($F$99/1000)^-0.1442,2),0)</f>
        <v>0</v>
      </c>
      <c r="I199" s="1278">
        <f t="shared" si="115"/>
        <v>0</v>
      </c>
      <c r="J199" s="1278">
        <f t="shared" si="115"/>
        <v>0</v>
      </c>
      <c r="K199" s="1278">
        <f t="shared" si="115"/>
        <v>0</v>
      </c>
      <c r="L199" s="1278">
        <f t="shared" si="115"/>
        <v>0</v>
      </c>
      <c r="M199" s="1278">
        <f t="shared" si="115"/>
        <v>0</v>
      </c>
      <c r="N199" s="1279">
        <f t="shared" si="115"/>
        <v>0</v>
      </c>
    </row>
    <row r="200" spans="1:14" s="1288" customFormat="1" ht="13.5" customHeight="1" thickBot="1">
      <c r="A200" s="2283" t="s">
        <v>2940</v>
      </c>
      <c r="B200" s="2284"/>
      <c r="C200" s="2284"/>
      <c r="D200" s="2285"/>
      <c r="E200" s="1283"/>
      <c r="F200" s="1284"/>
      <c r="G200" s="1285">
        <f>IF($F$99&lt;=10000000,IF(G$195&gt;G$196,G$196,IF(G$195&lt;G$197,G$197,G$195)),IF(G$195&gt;G$198,G$198,IF(G$195&lt;G$199,G$199,G$195)))</f>
        <v>13.32</v>
      </c>
      <c r="H200" s="1286">
        <f t="shared" ref="H200:N200" si="116">IF($F$99&lt;=10000000,IF(H$195&gt;H$196,H$196,IF(H$195&lt;H$197,H$197,H$195)),IF(H$195&gt;H$198,H$198,IF(H$195&lt;H$199,H$199,H$195)))</f>
        <v>10.01</v>
      </c>
      <c r="I200" s="1286">
        <f t="shared" si="116"/>
        <v>10.01</v>
      </c>
      <c r="J200" s="1286">
        <f t="shared" si="116"/>
        <v>10.01</v>
      </c>
      <c r="K200" s="1286">
        <f t="shared" si="116"/>
        <v>10.01</v>
      </c>
      <c r="L200" s="1286">
        <f t="shared" si="116"/>
        <v>10.01</v>
      </c>
      <c r="M200" s="1286">
        <f t="shared" si="116"/>
        <v>10.01</v>
      </c>
      <c r="N200" s="1287">
        <f t="shared" si="116"/>
        <v>10.01</v>
      </c>
    </row>
    <row r="201" spans="1:14" s="951" customFormat="1" ht="13.5" customHeight="1" thickBot="1">
      <c r="G201" s="1264"/>
      <c r="H201" s="1264"/>
      <c r="I201" s="1264"/>
      <c r="J201" s="1264"/>
      <c r="K201" s="1264"/>
      <c r="L201" s="1264"/>
      <c r="M201" s="1264"/>
      <c r="N201" s="1264"/>
    </row>
    <row r="202" spans="1:14" s="951" customFormat="1" ht="13.5" customHeight="1">
      <c r="A202" s="1265"/>
      <c r="B202" s="1266"/>
      <c r="C202" s="1267" t="s">
        <v>2935</v>
      </c>
      <c r="D202" s="1268"/>
      <c r="E202" s="1266"/>
      <c r="F202" s="1269" t="s">
        <v>2921</v>
      </c>
      <c r="G202" s="1244">
        <f>+G3</f>
        <v>3.3</v>
      </c>
      <c r="H202" s="1244">
        <f>+H3</f>
        <v>0</v>
      </c>
      <c r="I202" s="1244">
        <f t="shared" ref="I202:N202" si="117">+I3</f>
        <v>0</v>
      </c>
      <c r="J202" s="1244">
        <f t="shared" si="117"/>
        <v>0</v>
      </c>
      <c r="K202" s="1244">
        <f>+K3</f>
        <v>0</v>
      </c>
      <c r="L202" s="1244">
        <f t="shared" si="117"/>
        <v>0</v>
      </c>
      <c r="M202" s="1244">
        <f t="shared" si="117"/>
        <v>0</v>
      </c>
      <c r="N202" s="1245">
        <f t="shared" si="117"/>
        <v>0</v>
      </c>
    </row>
    <row r="203" spans="1:14" s="951" customFormat="1" ht="13.5" customHeight="1">
      <c r="A203" s="2277"/>
      <c r="B203" s="2279" t="s">
        <v>2931</v>
      </c>
      <c r="C203" s="1270" t="s">
        <v>2936</v>
      </c>
      <c r="D203" s="1227"/>
      <c r="E203" s="1271"/>
      <c r="F203" s="1272" t="s">
        <v>2937</v>
      </c>
      <c r="G203" s="1249">
        <f>IF($F$99&lt;=5000000,ROUND(356.2*((5000)^-0.4085)*(G202^0.5766),2),ROUND(356.2*(($F$99/1000)^-0.4085)*(G202^0.5766),2))</f>
        <v>17.600000000000001</v>
      </c>
      <c r="H203" s="1249">
        <f t="shared" ref="H203:N203" si="118">IF($F$99&lt;=5000000,ROUND(356.2*((5000)^-0.4085)*(H202^0.5766),2),ROUND(356.2*(($F$99/1000)^-0.4085)*(H202^0.5766),2))</f>
        <v>0</v>
      </c>
      <c r="I203" s="1249">
        <f t="shared" si="118"/>
        <v>0</v>
      </c>
      <c r="J203" s="1249">
        <f t="shared" si="118"/>
        <v>0</v>
      </c>
      <c r="K203" s="1249">
        <f t="shared" si="118"/>
        <v>0</v>
      </c>
      <c r="L203" s="1249">
        <f t="shared" si="118"/>
        <v>0</v>
      </c>
      <c r="M203" s="1249">
        <f t="shared" si="118"/>
        <v>0</v>
      </c>
      <c r="N203" s="1250">
        <f t="shared" si="118"/>
        <v>0</v>
      </c>
    </row>
    <row r="204" spans="1:14" s="951" customFormat="1" ht="13.5" customHeight="1">
      <c r="A204" s="2278"/>
      <c r="B204" s="2280"/>
      <c r="C204" s="2288" t="s">
        <v>2941</v>
      </c>
      <c r="D204" s="1126"/>
      <c r="E204" s="1273"/>
      <c r="F204" s="1272" t="s">
        <v>2926</v>
      </c>
      <c r="G204" s="1274">
        <f>IF($F$99&lt;=5000000,ROUND(26.86,2),0)</f>
        <v>0</v>
      </c>
      <c r="H204" s="1274">
        <f t="shared" ref="H204:N204" si="119">IF($F$99&lt;=5000000,ROUND(26.86,2),0)</f>
        <v>0</v>
      </c>
      <c r="I204" s="1274">
        <f t="shared" si="119"/>
        <v>0</v>
      </c>
      <c r="J204" s="1274">
        <f t="shared" si="119"/>
        <v>0</v>
      </c>
      <c r="K204" s="1274">
        <f t="shared" si="119"/>
        <v>0</v>
      </c>
      <c r="L204" s="1274">
        <f t="shared" si="119"/>
        <v>0</v>
      </c>
      <c r="M204" s="1274">
        <f t="shared" si="119"/>
        <v>0</v>
      </c>
      <c r="N204" s="1275">
        <f t="shared" si="119"/>
        <v>0</v>
      </c>
    </row>
    <row r="205" spans="1:14" s="951" customFormat="1" ht="13.5" customHeight="1">
      <c r="A205" s="2278"/>
      <c r="B205" s="2280"/>
      <c r="C205" s="2289"/>
      <c r="D205" s="1276"/>
      <c r="E205" s="1277"/>
      <c r="F205" s="1272" t="s">
        <v>2927</v>
      </c>
      <c r="G205" s="1274">
        <f>IF($F$99&lt;=5000000,ROUND(12.7,2),0)</f>
        <v>0</v>
      </c>
      <c r="H205" s="1274">
        <f t="shared" ref="H205:N205" si="120">IF($F$99&lt;=5000000,ROUND(12.7,2),0)</f>
        <v>0</v>
      </c>
      <c r="I205" s="1274">
        <f t="shared" si="120"/>
        <v>0</v>
      </c>
      <c r="J205" s="1274">
        <f t="shared" si="120"/>
        <v>0</v>
      </c>
      <c r="K205" s="1274">
        <f t="shared" si="120"/>
        <v>0</v>
      </c>
      <c r="L205" s="1274">
        <f t="shared" si="120"/>
        <v>0</v>
      </c>
      <c r="M205" s="1274">
        <f t="shared" si="120"/>
        <v>0</v>
      </c>
      <c r="N205" s="1275">
        <f t="shared" si="120"/>
        <v>0</v>
      </c>
    </row>
    <row r="206" spans="1:14" s="951" customFormat="1" ht="13.5" customHeight="1">
      <c r="A206" s="2278"/>
      <c r="B206" s="2280"/>
      <c r="C206" s="2288" t="s">
        <v>2942</v>
      </c>
      <c r="D206" s="1126"/>
      <c r="E206" s="1273"/>
      <c r="F206" s="1272" t="s">
        <v>2926</v>
      </c>
      <c r="G206" s="1278">
        <f>IF($F$99&gt;5000000,ROUND(184.58*($F$99/1000)^-0.2263,2),0)</f>
        <v>23.82</v>
      </c>
      <c r="H206" s="1278">
        <f t="shared" ref="H206:N206" si="121">IF($F$99&gt;5000000,ROUND(184.58*($F$99/1000)^-0.2263,2),0)</f>
        <v>23.82</v>
      </c>
      <c r="I206" s="1278">
        <f t="shared" si="121"/>
        <v>23.82</v>
      </c>
      <c r="J206" s="1278">
        <f t="shared" si="121"/>
        <v>23.82</v>
      </c>
      <c r="K206" s="1278">
        <f t="shared" si="121"/>
        <v>23.82</v>
      </c>
      <c r="L206" s="1278">
        <f t="shared" si="121"/>
        <v>23.82</v>
      </c>
      <c r="M206" s="1278">
        <f t="shared" si="121"/>
        <v>23.82</v>
      </c>
      <c r="N206" s="1279">
        <f t="shared" si="121"/>
        <v>23.82</v>
      </c>
    </row>
    <row r="207" spans="1:14" s="951" customFormat="1" ht="13.5" customHeight="1">
      <c r="A207" s="2286"/>
      <c r="B207" s="2287"/>
      <c r="C207" s="2289"/>
      <c r="D207" s="1276"/>
      <c r="E207" s="1277"/>
      <c r="F207" s="1272" t="s">
        <v>2927</v>
      </c>
      <c r="G207" s="1278">
        <f>IF($F$99&gt;5000000,ROUND(87.29*($F$99/1000)^-0.2263,2),0)</f>
        <v>11.27</v>
      </c>
      <c r="H207" s="1278">
        <f t="shared" ref="H207:N207" si="122">IF($F$99&gt;5000000,ROUND(87.29*($F$99/1000)^-0.2263,2),0)</f>
        <v>11.27</v>
      </c>
      <c r="I207" s="1278">
        <f t="shared" si="122"/>
        <v>11.27</v>
      </c>
      <c r="J207" s="1278">
        <f t="shared" si="122"/>
        <v>11.27</v>
      </c>
      <c r="K207" s="1278">
        <f t="shared" si="122"/>
        <v>11.27</v>
      </c>
      <c r="L207" s="1278">
        <f t="shared" si="122"/>
        <v>11.27</v>
      </c>
      <c r="M207" s="1278">
        <f t="shared" si="122"/>
        <v>11.27</v>
      </c>
      <c r="N207" s="1279">
        <f t="shared" si="122"/>
        <v>11.27</v>
      </c>
    </row>
    <row r="208" spans="1:14" s="1288" customFormat="1" ht="13.5" customHeight="1" thickBot="1">
      <c r="A208" s="2283" t="s">
        <v>2940</v>
      </c>
      <c r="B208" s="2284"/>
      <c r="C208" s="2284"/>
      <c r="D208" s="2284"/>
      <c r="E208" s="1289"/>
      <c r="F208" s="1284"/>
      <c r="G208" s="1286">
        <f>IF($F$99&lt;=5000000,IF(G$203&gt;G$204,G$204,IF(G$203&lt;G$205,G$205,G$203)),IF(G$203&gt;G$206,G$206,IF(G$203&lt;G$207,G$207,G$203)))</f>
        <v>17.600000000000001</v>
      </c>
      <c r="H208" s="1286">
        <f t="shared" ref="H208:N208" si="123">IF($F$99&lt;=5000000,IF(H$203&gt;H$204,H$204,IF(H$203&lt;H$205,H$205,H$203)),IF(H$203&gt;H$206,H$206,IF(H$203&lt;H$207,H$207,H$203)))</f>
        <v>11.27</v>
      </c>
      <c r="I208" s="1286">
        <f t="shared" si="123"/>
        <v>11.27</v>
      </c>
      <c r="J208" s="1286">
        <f t="shared" si="123"/>
        <v>11.27</v>
      </c>
      <c r="K208" s="1286">
        <f t="shared" si="123"/>
        <v>11.27</v>
      </c>
      <c r="L208" s="1286">
        <f t="shared" si="123"/>
        <v>11.27</v>
      </c>
      <c r="M208" s="1286">
        <f t="shared" si="123"/>
        <v>11.27</v>
      </c>
      <c r="N208" s="1287">
        <f t="shared" si="123"/>
        <v>11.27</v>
      </c>
    </row>
    <row r="209" spans="1:14" s="951" customFormat="1" ht="13.5" customHeight="1" thickBot="1">
      <c r="G209" s="1282"/>
      <c r="H209" s="1282"/>
      <c r="I209" s="1282"/>
      <c r="J209" s="1282"/>
      <c r="K209" s="1282"/>
      <c r="L209" s="1282"/>
      <c r="M209" s="1282"/>
      <c r="N209" s="1282"/>
    </row>
    <row r="210" spans="1:14" s="951" customFormat="1" ht="13.5" customHeight="1">
      <c r="A210" s="1265"/>
      <c r="B210" s="1266"/>
      <c r="C210" s="1267" t="s">
        <v>2943</v>
      </c>
      <c r="D210" s="1268"/>
      <c r="E210" s="1266"/>
      <c r="F210" s="1269"/>
      <c r="G210" s="1290"/>
      <c r="H210" s="1291"/>
      <c r="I210" s="1292"/>
      <c r="J210" s="1292"/>
      <c r="K210" s="1292"/>
      <c r="L210" s="1292"/>
      <c r="M210" s="1292"/>
      <c r="N210" s="1292"/>
    </row>
    <row r="211" spans="1:14" s="951" customFormat="1" ht="13.5" customHeight="1">
      <c r="A211" s="2277"/>
      <c r="B211" s="2279" t="s">
        <v>101</v>
      </c>
      <c r="C211" s="1270" t="s">
        <v>2944</v>
      </c>
      <c r="D211" s="1227"/>
      <c r="E211" s="1271"/>
      <c r="F211" s="1272" t="s">
        <v>2945</v>
      </c>
      <c r="G211" s="1293">
        <f>ROUND(28.978-3.173*LOG($F$142/1000),2)</f>
        <v>16.28</v>
      </c>
      <c r="H211" s="1294"/>
      <c r="I211" s="1295"/>
      <c r="J211" s="1295"/>
      <c r="K211" s="1295"/>
      <c r="L211" s="1295"/>
      <c r="M211" s="1295"/>
      <c r="N211" s="1295"/>
    </row>
    <row r="212" spans="1:14" s="951" customFormat="1" ht="13.5" customHeight="1">
      <c r="A212" s="2278"/>
      <c r="B212" s="2280"/>
      <c r="C212" s="1296" t="s">
        <v>2946</v>
      </c>
      <c r="D212" s="1126"/>
      <c r="E212" s="1126"/>
      <c r="F212" s="1297"/>
      <c r="G212" s="1298">
        <f>IF($F$142&lt;=5000000,17.24,0)</f>
        <v>0</v>
      </c>
      <c r="H212" s="1299"/>
      <c r="I212" s="1300"/>
      <c r="J212" s="157"/>
      <c r="K212" s="1300"/>
      <c r="L212" s="1300"/>
      <c r="M212" s="1300"/>
      <c r="N212" s="1300"/>
    </row>
    <row r="213" spans="1:14" s="951" customFormat="1" ht="13.5" customHeight="1">
      <c r="A213" s="2278"/>
      <c r="B213" s="2280"/>
      <c r="C213" s="1296" t="s">
        <v>2947</v>
      </c>
      <c r="D213" s="1126"/>
      <c r="E213" s="1227"/>
      <c r="F213" s="1297"/>
      <c r="G213" s="1298">
        <f>IF($F$142&gt;3000000000,8.43,0)</f>
        <v>0</v>
      </c>
      <c r="H213" s="1301"/>
      <c r="I213" s="1302"/>
      <c r="J213" s="1302"/>
      <c r="K213" s="1302"/>
      <c r="L213" s="1302"/>
      <c r="M213" s="1302"/>
      <c r="N213" s="1302"/>
    </row>
    <row r="214" spans="1:14" s="1308" customFormat="1" ht="13.5" customHeight="1" thickBot="1">
      <c r="A214" s="2281" t="s">
        <v>2948</v>
      </c>
      <c r="B214" s="2282"/>
      <c r="C214" s="2282"/>
      <c r="D214" s="2282"/>
      <c r="E214" s="1303"/>
      <c r="F214" s="1304"/>
      <c r="G214" s="1305">
        <f>IF($F$142&lt;=5000000,G212,IF($F$142&gt;3000000000,G213,G211))</f>
        <v>16.28</v>
      </c>
      <c r="H214" s="1306"/>
      <c r="I214" s="1307"/>
      <c r="J214" s="1307"/>
      <c r="K214" s="1307"/>
      <c r="L214" s="1307"/>
      <c r="M214" s="1307"/>
      <c r="N214" s="1307"/>
    </row>
  </sheetData>
  <sheetProtection selectLockedCells="1" selectUnlockedCells="1"/>
  <mergeCells count="69">
    <mergeCell ref="C7:F7"/>
    <mergeCell ref="A8:F8"/>
    <mergeCell ref="A9:F9"/>
    <mergeCell ref="A36:A55"/>
    <mergeCell ref="B36:B39"/>
    <mergeCell ref="B40:B48"/>
    <mergeCell ref="B49:B55"/>
    <mergeCell ref="D58:D59"/>
    <mergeCell ref="E58:E59"/>
    <mergeCell ref="A59:C59"/>
    <mergeCell ref="A60:A74"/>
    <mergeCell ref="B61:B64"/>
    <mergeCell ref="B65:B73"/>
    <mergeCell ref="D75:D76"/>
    <mergeCell ref="E75:E76"/>
    <mergeCell ref="A76:C76"/>
    <mergeCell ref="A77:A92"/>
    <mergeCell ref="B77:B82"/>
    <mergeCell ref="B83:B91"/>
    <mergeCell ref="A138:C139"/>
    <mergeCell ref="C142:E142"/>
    <mergeCell ref="D97:D98"/>
    <mergeCell ref="E97:E98"/>
    <mergeCell ref="A98:C98"/>
    <mergeCell ref="A99:A113"/>
    <mergeCell ref="B100:B103"/>
    <mergeCell ref="B104:B112"/>
    <mergeCell ref="D114:D115"/>
    <mergeCell ref="E114:E115"/>
    <mergeCell ref="A115:C115"/>
    <mergeCell ref="A116:A133"/>
    <mergeCell ref="B116:B121"/>
    <mergeCell ref="B122:B130"/>
    <mergeCell ref="B131:B132"/>
    <mergeCell ref="F143:G143"/>
    <mergeCell ref="A144:C144"/>
    <mergeCell ref="F144:G144"/>
    <mergeCell ref="A154:C154"/>
    <mergeCell ref="B156:B157"/>
    <mergeCell ref="A145:A152"/>
    <mergeCell ref="B146:B147"/>
    <mergeCell ref="B150:B152"/>
    <mergeCell ref="B160:B162"/>
    <mergeCell ref="B163:B164"/>
    <mergeCell ref="A177:A181"/>
    <mergeCell ref="B177:B181"/>
    <mergeCell ref="C178:C179"/>
    <mergeCell ref="C180:C181"/>
    <mergeCell ref="A182:F182"/>
    <mergeCell ref="A183:F183"/>
    <mergeCell ref="A186:A190"/>
    <mergeCell ref="B186:B190"/>
    <mergeCell ref="C187:C188"/>
    <mergeCell ref="C189:C190"/>
    <mergeCell ref="A191:F191"/>
    <mergeCell ref="A192:F192"/>
    <mergeCell ref="A195:A199"/>
    <mergeCell ref="B195:B199"/>
    <mergeCell ref="C196:C197"/>
    <mergeCell ref="C198:C199"/>
    <mergeCell ref="A211:A213"/>
    <mergeCell ref="B211:B213"/>
    <mergeCell ref="A214:D214"/>
    <mergeCell ref="A200:D200"/>
    <mergeCell ref="A203:A207"/>
    <mergeCell ref="B203:B207"/>
    <mergeCell ref="C204:C205"/>
    <mergeCell ref="C206:C207"/>
    <mergeCell ref="A208:D208"/>
  </mergeCells>
  <phoneticPr fontId="3"/>
  <conditionalFormatting sqref="F6">
    <cfRule type="expression" dxfId="3" priority="1" stopIfTrue="1">
      <formula>AND($F$32&gt;5000000,OR($E$6="無し",$E$6="なし"))</formula>
    </cfRule>
  </conditionalFormatting>
  <dataValidations count="4">
    <dataValidation type="list" allowBlank="1" showInputMessage="1" showErrorMessage="1" sqref="G8:N8">
      <formula1>"駅施設,地上建物"</formula1>
    </dataValidation>
    <dataValidation type="list" allowBlank="1" showInputMessage="1" showErrorMessage="1" sqref="G4:N4">
      <formula1>"改修,新営"</formula1>
    </dataValidation>
    <dataValidation type="list" allowBlank="1" showInputMessage="1" showErrorMessage="1" sqref="G7:N7">
      <formula1>"積上げ,積上げ・率処理併用"</formula1>
    </dataValidation>
    <dataValidation type="list" allowBlank="1" showInputMessage="1" showErrorMessage="1" sqref="E5:E6 G9:N9">
      <formula1>"有り,無し"</formula1>
    </dataValidation>
  </dataValidations>
  <printOptions horizontalCentered="1"/>
  <pageMargins left="0.19685039370078741" right="0.19685039370078741" top="0.6692913385826772" bottom="0.19685039370078741" header="0.51181102362204722" footer="0.51181102362204722"/>
  <pageSetup paperSize="9" scale="73" fitToHeight="3" orientation="landscape" cellComments="asDisplayed" horizontalDpi="300" verticalDpi="300" r:id="rId1"/>
  <headerFooter alignWithMargins="0"/>
  <rowBreaks count="4" manualBreakCount="4">
    <brk id="55" max="13" man="1"/>
    <brk id="94" max="13" man="1"/>
    <brk id="135" max="13" man="1"/>
    <brk id="174" max="13"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IV212"/>
  <sheetViews>
    <sheetView view="pageBreakPreview" zoomScale="85" zoomScaleNormal="100" zoomScaleSheetLayoutView="85" workbookViewId="0"/>
  </sheetViews>
  <sheetFormatPr defaultRowHeight="13.5" customHeight="1"/>
  <cols>
    <col min="1" max="1" width="2.5" style="1317" customWidth="1"/>
    <col min="2" max="2" width="2.875" style="1317" customWidth="1"/>
    <col min="3" max="3" width="21.625" style="1317" customWidth="1"/>
    <col min="4" max="4" width="3.5" style="1317" customWidth="1"/>
    <col min="5" max="5" width="5.625" style="1317" customWidth="1"/>
    <col min="6" max="6" width="15.25" style="1317" customWidth="1"/>
    <col min="7" max="12" width="14.375" style="1809" customWidth="1"/>
    <col min="13" max="256" width="9" style="1317"/>
    <col min="257" max="257" width="2.5" style="1317" customWidth="1"/>
    <col min="258" max="258" width="2.875" style="1317" customWidth="1"/>
    <col min="259" max="259" width="21.625" style="1317" customWidth="1"/>
    <col min="260" max="260" width="3.5" style="1317" customWidth="1"/>
    <col min="261" max="261" width="5.625" style="1317" customWidth="1"/>
    <col min="262" max="262" width="15.25" style="1317" customWidth="1"/>
    <col min="263" max="268" width="14.375" style="1317" customWidth="1"/>
    <col min="269" max="512" width="9" style="1317"/>
    <col min="513" max="513" width="2.5" style="1317" customWidth="1"/>
    <col min="514" max="514" width="2.875" style="1317" customWidth="1"/>
    <col min="515" max="515" width="21.625" style="1317" customWidth="1"/>
    <col min="516" max="516" width="3.5" style="1317" customWidth="1"/>
    <col min="517" max="517" width="5.625" style="1317" customWidth="1"/>
    <col min="518" max="518" width="15.25" style="1317" customWidth="1"/>
    <col min="519" max="524" width="14.375" style="1317" customWidth="1"/>
    <col min="525" max="768" width="9" style="1317"/>
    <col min="769" max="769" width="2.5" style="1317" customWidth="1"/>
    <col min="770" max="770" width="2.875" style="1317" customWidth="1"/>
    <col min="771" max="771" width="21.625" style="1317" customWidth="1"/>
    <col min="772" max="772" width="3.5" style="1317" customWidth="1"/>
    <col min="773" max="773" width="5.625" style="1317" customWidth="1"/>
    <col min="774" max="774" width="15.25" style="1317" customWidth="1"/>
    <col min="775" max="780" width="14.375" style="1317" customWidth="1"/>
    <col min="781" max="1024" width="9" style="1317"/>
    <col min="1025" max="1025" width="2.5" style="1317" customWidth="1"/>
    <col min="1026" max="1026" width="2.875" style="1317" customWidth="1"/>
    <col min="1027" max="1027" width="21.625" style="1317" customWidth="1"/>
    <col min="1028" max="1028" width="3.5" style="1317" customWidth="1"/>
    <col min="1029" max="1029" width="5.625" style="1317" customWidth="1"/>
    <col min="1030" max="1030" width="15.25" style="1317" customWidth="1"/>
    <col min="1031" max="1036" width="14.375" style="1317" customWidth="1"/>
    <col min="1037" max="1280" width="9" style="1317"/>
    <col min="1281" max="1281" width="2.5" style="1317" customWidth="1"/>
    <col min="1282" max="1282" width="2.875" style="1317" customWidth="1"/>
    <col min="1283" max="1283" width="21.625" style="1317" customWidth="1"/>
    <col min="1284" max="1284" width="3.5" style="1317" customWidth="1"/>
    <col min="1285" max="1285" width="5.625" style="1317" customWidth="1"/>
    <col min="1286" max="1286" width="15.25" style="1317" customWidth="1"/>
    <col min="1287" max="1292" width="14.375" style="1317" customWidth="1"/>
    <col min="1293" max="1536" width="9" style="1317"/>
    <col min="1537" max="1537" width="2.5" style="1317" customWidth="1"/>
    <col min="1538" max="1538" width="2.875" style="1317" customWidth="1"/>
    <col min="1539" max="1539" width="21.625" style="1317" customWidth="1"/>
    <col min="1540" max="1540" width="3.5" style="1317" customWidth="1"/>
    <col min="1541" max="1541" width="5.625" style="1317" customWidth="1"/>
    <col min="1542" max="1542" width="15.25" style="1317" customWidth="1"/>
    <col min="1543" max="1548" width="14.375" style="1317" customWidth="1"/>
    <col min="1549" max="1792" width="9" style="1317"/>
    <col min="1793" max="1793" width="2.5" style="1317" customWidth="1"/>
    <col min="1794" max="1794" width="2.875" style="1317" customWidth="1"/>
    <col min="1795" max="1795" width="21.625" style="1317" customWidth="1"/>
    <col min="1796" max="1796" width="3.5" style="1317" customWidth="1"/>
    <col min="1797" max="1797" width="5.625" style="1317" customWidth="1"/>
    <col min="1798" max="1798" width="15.25" style="1317" customWidth="1"/>
    <col min="1799" max="1804" width="14.375" style="1317" customWidth="1"/>
    <col min="1805" max="2048" width="9" style="1317"/>
    <col min="2049" max="2049" width="2.5" style="1317" customWidth="1"/>
    <col min="2050" max="2050" width="2.875" style="1317" customWidth="1"/>
    <col min="2051" max="2051" width="21.625" style="1317" customWidth="1"/>
    <col min="2052" max="2052" width="3.5" style="1317" customWidth="1"/>
    <col min="2053" max="2053" width="5.625" style="1317" customWidth="1"/>
    <col min="2054" max="2054" width="15.25" style="1317" customWidth="1"/>
    <col min="2055" max="2060" width="14.375" style="1317" customWidth="1"/>
    <col min="2061" max="2304" width="9" style="1317"/>
    <col min="2305" max="2305" width="2.5" style="1317" customWidth="1"/>
    <col min="2306" max="2306" width="2.875" style="1317" customWidth="1"/>
    <col min="2307" max="2307" width="21.625" style="1317" customWidth="1"/>
    <col min="2308" max="2308" width="3.5" style="1317" customWidth="1"/>
    <col min="2309" max="2309" width="5.625" style="1317" customWidth="1"/>
    <col min="2310" max="2310" width="15.25" style="1317" customWidth="1"/>
    <col min="2311" max="2316" width="14.375" style="1317" customWidth="1"/>
    <col min="2317" max="2560" width="9" style="1317"/>
    <col min="2561" max="2561" width="2.5" style="1317" customWidth="1"/>
    <col min="2562" max="2562" width="2.875" style="1317" customWidth="1"/>
    <col min="2563" max="2563" width="21.625" style="1317" customWidth="1"/>
    <col min="2564" max="2564" width="3.5" style="1317" customWidth="1"/>
    <col min="2565" max="2565" width="5.625" style="1317" customWidth="1"/>
    <col min="2566" max="2566" width="15.25" style="1317" customWidth="1"/>
    <col min="2567" max="2572" width="14.375" style="1317" customWidth="1"/>
    <col min="2573" max="2816" width="9" style="1317"/>
    <col min="2817" max="2817" width="2.5" style="1317" customWidth="1"/>
    <col min="2818" max="2818" width="2.875" style="1317" customWidth="1"/>
    <col min="2819" max="2819" width="21.625" style="1317" customWidth="1"/>
    <col min="2820" max="2820" width="3.5" style="1317" customWidth="1"/>
    <col min="2821" max="2821" width="5.625" style="1317" customWidth="1"/>
    <col min="2822" max="2822" width="15.25" style="1317" customWidth="1"/>
    <col min="2823" max="2828" width="14.375" style="1317" customWidth="1"/>
    <col min="2829" max="3072" width="9" style="1317"/>
    <col min="3073" max="3073" width="2.5" style="1317" customWidth="1"/>
    <col min="3074" max="3074" width="2.875" style="1317" customWidth="1"/>
    <col min="3075" max="3075" width="21.625" style="1317" customWidth="1"/>
    <col min="3076" max="3076" width="3.5" style="1317" customWidth="1"/>
    <col min="3077" max="3077" width="5.625" style="1317" customWidth="1"/>
    <col min="3078" max="3078" width="15.25" style="1317" customWidth="1"/>
    <col min="3079" max="3084" width="14.375" style="1317" customWidth="1"/>
    <col min="3085" max="3328" width="9" style="1317"/>
    <col min="3329" max="3329" width="2.5" style="1317" customWidth="1"/>
    <col min="3330" max="3330" width="2.875" style="1317" customWidth="1"/>
    <col min="3331" max="3331" width="21.625" style="1317" customWidth="1"/>
    <col min="3332" max="3332" width="3.5" style="1317" customWidth="1"/>
    <col min="3333" max="3333" width="5.625" style="1317" customWidth="1"/>
    <col min="3334" max="3334" width="15.25" style="1317" customWidth="1"/>
    <col min="3335" max="3340" width="14.375" style="1317" customWidth="1"/>
    <col min="3341" max="3584" width="9" style="1317"/>
    <col min="3585" max="3585" width="2.5" style="1317" customWidth="1"/>
    <col min="3586" max="3586" width="2.875" style="1317" customWidth="1"/>
    <col min="3587" max="3587" width="21.625" style="1317" customWidth="1"/>
    <col min="3588" max="3588" width="3.5" style="1317" customWidth="1"/>
    <col min="3589" max="3589" width="5.625" style="1317" customWidth="1"/>
    <col min="3590" max="3590" width="15.25" style="1317" customWidth="1"/>
    <col min="3591" max="3596" width="14.375" style="1317" customWidth="1"/>
    <col min="3597" max="3840" width="9" style="1317"/>
    <col min="3841" max="3841" width="2.5" style="1317" customWidth="1"/>
    <col min="3842" max="3842" width="2.875" style="1317" customWidth="1"/>
    <col min="3843" max="3843" width="21.625" style="1317" customWidth="1"/>
    <col min="3844" max="3844" width="3.5" style="1317" customWidth="1"/>
    <col min="3845" max="3845" width="5.625" style="1317" customWidth="1"/>
    <col min="3846" max="3846" width="15.25" style="1317" customWidth="1"/>
    <col min="3847" max="3852" width="14.375" style="1317" customWidth="1"/>
    <col min="3853" max="4096" width="9" style="1317"/>
    <col min="4097" max="4097" width="2.5" style="1317" customWidth="1"/>
    <col min="4098" max="4098" width="2.875" style="1317" customWidth="1"/>
    <col min="4099" max="4099" width="21.625" style="1317" customWidth="1"/>
    <col min="4100" max="4100" width="3.5" style="1317" customWidth="1"/>
    <col min="4101" max="4101" width="5.625" style="1317" customWidth="1"/>
    <col min="4102" max="4102" width="15.25" style="1317" customWidth="1"/>
    <col min="4103" max="4108" width="14.375" style="1317" customWidth="1"/>
    <col min="4109" max="4352" width="9" style="1317"/>
    <col min="4353" max="4353" width="2.5" style="1317" customWidth="1"/>
    <col min="4354" max="4354" width="2.875" style="1317" customWidth="1"/>
    <col min="4355" max="4355" width="21.625" style="1317" customWidth="1"/>
    <col min="4356" max="4356" width="3.5" style="1317" customWidth="1"/>
    <col min="4357" max="4357" width="5.625" style="1317" customWidth="1"/>
    <col min="4358" max="4358" width="15.25" style="1317" customWidth="1"/>
    <col min="4359" max="4364" width="14.375" style="1317" customWidth="1"/>
    <col min="4365" max="4608" width="9" style="1317"/>
    <col min="4609" max="4609" width="2.5" style="1317" customWidth="1"/>
    <col min="4610" max="4610" width="2.875" style="1317" customWidth="1"/>
    <col min="4611" max="4611" width="21.625" style="1317" customWidth="1"/>
    <col min="4612" max="4612" width="3.5" style="1317" customWidth="1"/>
    <col min="4613" max="4613" width="5.625" style="1317" customWidth="1"/>
    <col min="4614" max="4614" width="15.25" style="1317" customWidth="1"/>
    <col min="4615" max="4620" width="14.375" style="1317" customWidth="1"/>
    <col min="4621" max="4864" width="9" style="1317"/>
    <col min="4865" max="4865" width="2.5" style="1317" customWidth="1"/>
    <col min="4866" max="4866" width="2.875" style="1317" customWidth="1"/>
    <col min="4867" max="4867" width="21.625" style="1317" customWidth="1"/>
    <col min="4868" max="4868" width="3.5" style="1317" customWidth="1"/>
    <col min="4869" max="4869" width="5.625" style="1317" customWidth="1"/>
    <col min="4870" max="4870" width="15.25" style="1317" customWidth="1"/>
    <col min="4871" max="4876" width="14.375" style="1317" customWidth="1"/>
    <col min="4877" max="5120" width="9" style="1317"/>
    <col min="5121" max="5121" width="2.5" style="1317" customWidth="1"/>
    <col min="5122" max="5122" width="2.875" style="1317" customWidth="1"/>
    <col min="5123" max="5123" width="21.625" style="1317" customWidth="1"/>
    <col min="5124" max="5124" width="3.5" style="1317" customWidth="1"/>
    <col min="5125" max="5125" width="5.625" style="1317" customWidth="1"/>
    <col min="5126" max="5126" width="15.25" style="1317" customWidth="1"/>
    <col min="5127" max="5132" width="14.375" style="1317" customWidth="1"/>
    <col min="5133" max="5376" width="9" style="1317"/>
    <col min="5377" max="5377" width="2.5" style="1317" customWidth="1"/>
    <col min="5378" max="5378" width="2.875" style="1317" customWidth="1"/>
    <col min="5379" max="5379" width="21.625" style="1317" customWidth="1"/>
    <col min="5380" max="5380" width="3.5" style="1317" customWidth="1"/>
    <col min="5381" max="5381" width="5.625" style="1317" customWidth="1"/>
    <col min="5382" max="5382" width="15.25" style="1317" customWidth="1"/>
    <col min="5383" max="5388" width="14.375" style="1317" customWidth="1"/>
    <col min="5389" max="5632" width="9" style="1317"/>
    <col min="5633" max="5633" width="2.5" style="1317" customWidth="1"/>
    <col min="5634" max="5634" width="2.875" style="1317" customWidth="1"/>
    <col min="5635" max="5635" width="21.625" style="1317" customWidth="1"/>
    <col min="5636" max="5636" width="3.5" style="1317" customWidth="1"/>
    <col min="5637" max="5637" width="5.625" style="1317" customWidth="1"/>
    <col min="5638" max="5638" width="15.25" style="1317" customWidth="1"/>
    <col min="5639" max="5644" width="14.375" style="1317" customWidth="1"/>
    <col min="5645" max="5888" width="9" style="1317"/>
    <col min="5889" max="5889" width="2.5" style="1317" customWidth="1"/>
    <col min="5890" max="5890" width="2.875" style="1317" customWidth="1"/>
    <col min="5891" max="5891" width="21.625" style="1317" customWidth="1"/>
    <col min="5892" max="5892" width="3.5" style="1317" customWidth="1"/>
    <col min="5893" max="5893" width="5.625" style="1317" customWidth="1"/>
    <col min="5894" max="5894" width="15.25" style="1317" customWidth="1"/>
    <col min="5895" max="5900" width="14.375" style="1317" customWidth="1"/>
    <col min="5901" max="6144" width="9" style="1317"/>
    <col min="6145" max="6145" width="2.5" style="1317" customWidth="1"/>
    <col min="6146" max="6146" width="2.875" style="1317" customWidth="1"/>
    <col min="6147" max="6147" width="21.625" style="1317" customWidth="1"/>
    <col min="6148" max="6148" width="3.5" style="1317" customWidth="1"/>
    <col min="6149" max="6149" width="5.625" style="1317" customWidth="1"/>
    <col min="6150" max="6150" width="15.25" style="1317" customWidth="1"/>
    <col min="6151" max="6156" width="14.375" style="1317" customWidth="1"/>
    <col min="6157" max="6400" width="9" style="1317"/>
    <col min="6401" max="6401" width="2.5" style="1317" customWidth="1"/>
    <col min="6402" max="6402" width="2.875" style="1317" customWidth="1"/>
    <col min="6403" max="6403" width="21.625" style="1317" customWidth="1"/>
    <col min="6404" max="6404" width="3.5" style="1317" customWidth="1"/>
    <col min="6405" max="6405" width="5.625" style="1317" customWidth="1"/>
    <col min="6406" max="6406" width="15.25" style="1317" customWidth="1"/>
    <col min="6407" max="6412" width="14.375" style="1317" customWidth="1"/>
    <col min="6413" max="6656" width="9" style="1317"/>
    <col min="6657" max="6657" width="2.5" style="1317" customWidth="1"/>
    <col min="6658" max="6658" width="2.875" style="1317" customWidth="1"/>
    <col min="6659" max="6659" width="21.625" style="1317" customWidth="1"/>
    <col min="6660" max="6660" width="3.5" style="1317" customWidth="1"/>
    <col min="6661" max="6661" width="5.625" style="1317" customWidth="1"/>
    <col min="6662" max="6662" width="15.25" style="1317" customWidth="1"/>
    <col min="6663" max="6668" width="14.375" style="1317" customWidth="1"/>
    <col min="6669" max="6912" width="9" style="1317"/>
    <col min="6913" max="6913" width="2.5" style="1317" customWidth="1"/>
    <col min="6914" max="6914" width="2.875" style="1317" customWidth="1"/>
    <col min="6915" max="6915" width="21.625" style="1317" customWidth="1"/>
    <col min="6916" max="6916" width="3.5" style="1317" customWidth="1"/>
    <col min="6917" max="6917" width="5.625" style="1317" customWidth="1"/>
    <col min="6918" max="6918" width="15.25" style="1317" customWidth="1"/>
    <col min="6919" max="6924" width="14.375" style="1317" customWidth="1"/>
    <col min="6925" max="7168" width="9" style="1317"/>
    <col min="7169" max="7169" width="2.5" style="1317" customWidth="1"/>
    <col min="7170" max="7170" width="2.875" style="1317" customWidth="1"/>
    <col min="7171" max="7171" width="21.625" style="1317" customWidth="1"/>
    <col min="7172" max="7172" width="3.5" style="1317" customWidth="1"/>
    <col min="7173" max="7173" width="5.625" style="1317" customWidth="1"/>
    <col min="7174" max="7174" width="15.25" style="1317" customWidth="1"/>
    <col min="7175" max="7180" width="14.375" style="1317" customWidth="1"/>
    <col min="7181" max="7424" width="9" style="1317"/>
    <col min="7425" max="7425" width="2.5" style="1317" customWidth="1"/>
    <col min="7426" max="7426" width="2.875" style="1317" customWidth="1"/>
    <col min="7427" max="7427" width="21.625" style="1317" customWidth="1"/>
    <col min="7428" max="7428" width="3.5" style="1317" customWidth="1"/>
    <col min="7429" max="7429" width="5.625" style="1317" customWidth="1"/>
    <col min="7430" max="7430" width="15.25" style="1317" customWidth="1"/>
    <col min="7431" max="7436" width="14.375" style="1317" customWidth="1"/>
    <col min="7437" max="7680" width="9" style="1317"/>
    <col min="7681" max="7681" width="2.5" style="1317" customWidth="1"/>
    <col min="7682" max="7682" width="2.875" style="1317" customWidth="1"/>
    <col min="7683" max="7683" width="21.625" style="1317" customWidth="1"/>
    <col min="7684" max="7684" width="3.5" style="1317" customWidth="1"/>
    <col min="7685" max="7685" width="5.625" style="1317" customWidth="1"/>
    <col min="7686" max="7686" width="15.25" style="1317" customWidth="1"/>
    <col min="7687" max="7692" width="14.375" style="1317" customWidth="1"/>
    <col min="7693" max="7936" width="9" style="1317"/>
    <col min="7937" max="7937" width="2.5" style="1317" customWidth="1"/>
    <col min="7938" max="7938" width="2.875" style="1317" customWidth="1"/>
    <col min="7939" max="7939" width="21.625" style="1317" customWidth="1"/>
    <col min="7940" max="7940" width="3.5" style="1317" customWidth="1"/>
    <col min="7941" max="7941" width="5.625" style="1317" customWidth="1"/>
    <col min="7942" max="7942" width="15.25" style="1317" customWidth="1"/>
    <col min="7943" max="7948" width="14.375" style="1317" customWidth="1"/>
    <col min="7949" max="8192" width="9" style="1317"/>
    <col min="8193" max="8193" width="2.5" style="1317" customWidth="1"/>
    <col min="8194" max="8194" width="2.875" style="1317" customWidth="1"/>
    <col min="8195" max="8195" width="21.625" style="1317" customWidth="1"/>
    <col min="8196" max="8196" width="3.5" style="1317" customWidth="1"/>
    <col min="8197" max="8197" width="5.625" style="1317" customWidth="1"/>
    <col min="8198" max="8198" width="15.25" style="1317" customWidth="1"/>
    <col min="8199" max="8204" width="14.375" style="1317" customWidth="1"/>
    <col min="8205" max="8448" width="9" style="1317"/>
    <col min="8449" max="8449" width="2.5" style="1317" customWidth="1"/>
    <col min="8450" max="8450" width="2.875" style="1317" customWidth="1"/>
    <col min="8451" max="8451" width="21.625" style="1317" customWidth="1"/>
    <col min="8452" max="8452" width="3.5" style="1317" customWidth="1"/>
    <col min="8453" max="8453" width="5.625" style="1317" customWidth="1"/>
    <col min="8454" max="8454" width="15.25" style="1317" customWidth="1"/>
    <col min="8455" max="8460" width="14.375" style="1317" customWidth="1"/>
    <col min="8461" max="8704" width="9" style="1317"/>
    <col min="8705" max="8705" width="2.5" style="1317" customWidth="1"/>
    <col min="8706" max="8706" width="2.875" style="1317" customWidth="1"/>
    <col min="8707" max="8707" width="21.625" style="1317" customWidth="1"/>
    <col min="8708" max="8708" width="3.5" style="1317" customWidth="1"/>
    <col min="8709" max="8709" width="5.625" style="1317" customWidth="1"/>
    <col min="8710" max="8710" width="15.25" style="1317" customWidth="1"/>
    <col min="8711" max="8716" width="14.375" style="1317" customWidth="1"/>
    <col min="8717" max="8960" width="9" style="1317"/>
    <col min="8961" max="8961" width="2.5" style="1317" customWidth="1"/>
    <col min="8962" max="8962" width="2.875" style="1317" customWidth="1"/>
    <col min="8963" max="8963" width="21.625" style="1317" customWidth="1"/>
    <col min="8964" max="8964" width="3.5" style="1317" customWidth="1"/>
    <col min="8965" max="8965" width="5.625" style="1317" customWidth="1"/>
    <col min="8966" max="8966" width="15.25" style="1317" customWidth="1"/>
    <col min="8967" max="8972" width="14.375" style="1317" customWidth="1"/>
    <col min="8973" max="9216" width="9" style="1317"/>
    <col min="9217" max="9217" width="2.5" style="1317" customWidth="1"/>
    <col min="9218" max="9218" width="2.875" style="1317" customWidth="1"/>
    <col min="9219" max="9219" width="21.625" style="1317" customWidth="1"/>
    <col min="9220" max="9220" width="3.5" style="1317" customWidth="1"/>
    <col min="9221" max="9221" width="5.625" style="1317" customWidth="1"/>
    <col min="9222" max="9222" width="15.25" style="1317" customWidth="1"/>
    <col min="9223" max="9228" width="14.375" style="1317" customWidth="1"/>
    <col min="9229" max="9472" width="9" style="1317"/>
    <col min="9473" max="9473" width="2.5" style="1317" customWidth="1"/>
    <col min="9474" max="9474" width="2.875" style="1317" customWidth="1"/>
    <col min="9475" max="9475" width="21.625" style="1317" customWidth="1"/>
    <col min="9476" max="9476" width="3.5" style="1317" customWidth="1"/>
    <col min="9477" max="9477" width="5.625" style="1317" customWidth="1"/>
    <col min="9478" max="9478" width="15.25" style="1317" customWidth="1"/>
    <col min="9479" max="9484" width="14.375" style="1317" customWidth="1"/>
    <col min="9485" max="9728" width="9" style="1317"/>
    <col min="9729" max="9729" width="2.5" style="1317" customWidth="1"/>
    <col min="9730" max="9730" width="2.875" style="1317" customWidth="1"/>
    <col min="9731" max="9731" width="21.625" style="1317" customWidth="1"/>
    <col min="9732" max="9732" width="3.5" style="1317" customWidth="1"/>
    <col min="9733" max="9733" width="5.625" style="1317" customWidth="1"/>
    <col min="9734" max="9734" width="15.25" style="1317" customWidth="1"/>
    <col min="9735" max="9740" width="14.375" style="1317" customWidth="1"/>
    <col min="9741" max="9984" width="9" style="1317"/>
    <col min="9985" max="9985" width="2.5" style="1317" customWidth="1"/>
    <col min="9986" max="9986" width="2.875" style="1317" customWidth="1"/>
    <col min="9987" max="9987" width="21.625" style="1317" customWidth="1"/>
    <col min="9988" max="9988" width="3.5" style="1317" customWidth="1"/>
    <col min="9989" max="9989" width="5.625" style="1317" customWidth="1"/>
    <col min="9990" max="9990" width="15.25" style="1317" customWidth="1"/>
    <col min="9991" max="9996" width="14.375" style="1317" customWidth="1"/>
    <col min="9997" max="10240" width="9" style="1317"/>
    <col min="10241" max="10241" width="2.5" style="1317" customWidth="1"/>
    <col min="10242" max="10242" width="2.875" style="1317" customWidth="1"/>
    <col min="10243" max="10243" width="21.625" style="1317" customWidth="1"/>
    <col min="10244" max="10244" width="3.5" style="1317" customWidth="1"/>
    <col min="10245" max="10245" width="5.625" style="1317" customWidth="1"/>
    <col min="10246" max="10246" width="15.25" style="1317" customWidth="1"/>
    <col min="10247" max="10252" width="14.375" style="1317" customWidth="1"/>
    <col min="10253" max="10496" width="9" style="1317"/>
    <col min="10497" max="10497" width="2.5" style="1317" customWidth="1"/>
    <col min="10498" max="10498" width="2.875" style="1317" customWidth="1"/>
    <col min="10499" max="10499" width="21.625" style="1317" customWidth="1"/>
    <col min="10500" max="10500" width="3.5" style="1317" customWidth="1"/>
    <col min="10501" max="10501" width="5.625" style="1317" customWidth="1"/>
    <col min="10502" max="10502" width="15.25" style="1317" customWidth="1"/>
    <col min="10503" max="10508" width="14.375" style="1317" customWidth="1"/>
    <col min="10509" max="10752" width="9" style="1317"/>
    <col min="10753" max="10753" width="2.5" style="1317" customWidth="1"/>
    <col min="10754" max="10754" width="2.875" style="1317" customWidth="1"/>
    <col min="10755" max="10755" width="21.625" style="1317" customWidth="1"/>
    <col min="10756" max="10756" width="3.5" style="1317" customWidth="1"/>
    <col min="10757" max="10757" width="5.625" style="1317" customWidth="1"/>
    <col min="10758" max="10758" width="15.25" style="1317" customWidth="1"/>
    <col min="10759" max="10764" width="14.375" style="1317" customWidth="1"/>
    <col min="10765" max="11008" width="9" style="1317"/>
    <col min="11009" max="11009" width="2.5" style="1317" customWidth="1"/>
    <col min="11010" max="11010" width="2.875" style="1317" customWidth="1"/>
    <col min="11011" max="11011" width="21.625" style="1317" customWidth="1"/>
    <col min="11012" max="11012" width="3.5" style="1317" customWidth="1"/>
    <col min="11013" max="11013" width="5.625" style="1317" customWidth="1"/>
    <col min="11014" max="11014" width="15.25" style="1317" customWidth="1"/>
    <col min="11015" max="11020" width="14.375" style="1317" customWidth="1"/>
    <col min="11021" max="11264" width="9" style="1317"/>
    <col min="11265" max="11265" width="2.5" style="1317" customWidth="1"/>
    <col min="11266" max="11266" width="2.875" style="1317" customWidth="1"/>
    <col min="11267" max="11267" width="21.625" style="1317" customWidth="1"/>
    <col min="11268" max="11268" width="3.5" style="1317" customWidth="1"/>
    <col min="11269" max="11269" width="5.625" style="1317" customWidth="1"/>
    <col min="11270" max="11270" width="15.25" style="1317" customWidth="1"/>
    <col min="11271" max="11276" width="14.375" style="1317" customWidth="1"/>
    <col min="11277" max="11520" width="9" style="1317"/>
    <col min="11521" max="11521" width="2.5" style="1317" customWidth="1"/>
    <col min="11522" max="11522" width="2.875" style="1317" customWidth="1"/>
    <col min="11523" max="11523" width="21.625" style="1317" customWidth="1"/>
    <col min="11524" max="11524" width="3.5" style="1317" customWidth="1"/>
    <col min="11525" max="11525" width="5.625" style="1317" customWidth="1"/>
    <col min="11526" max="11526" width="15.25" style="1317" customWidth="1"/>
    <col min="11527" max="11532" width="14.375" style="1317" customWidth="1"/>
    <col min="11533" max="11776" width="9" style="1317"/>
    <col min="11777" max="11777" width="2.5" style="1317" customWidth="1"/>
    <col min="11778" max="11778" width="2.875" style="1317" customWidth="1"/>
    <col min="11779" max="11779" width="21.625" style="1317" customWidth="1"/>
    <col min="11780" max="11780" width="3.5" style="1317" customWidth="1"/>
    <col min="11781" max="11781" width="5.625" style="1317" customWidth="1"/>
    <col min="11782" max="11782" width="15.25" style="1317" customWidth="1"/>
    <col min="11783" max="11788" width="14.375" style="1317" customWidth="1"/>
    <col min="11789" max="12032" width="9" style="1317"/>
    <col min="12033" max="12033" width="2.5" style="1317" customWidth="1"/>
    <col min="12034" max="12034" width="2.875" style="1317" customWidth="1"/>
    <col min="12035" max="12035" width="21.625" style="1317" customWidth="1"/>
    <col min="12036" max="12036" width="3.5" style="1317" customWidth="1"/>
    <col min="12037" max="12037" width="5.625" style="1317" customWidth="1"/>
    <col min="12038" max="12038" width="15.25" style="1317" customWidth="1"/>
    <col min="12039" max="12044" width="14.375" style="1317" customWidth="1"/>
    <col min="12045" max="12288" width="9" style="1317"/>
    <col min="12289" max="12289" width="2.5" style="1317" customWidth="1"/>
    <col min="12290" max="12290" width="2.875" style="1317" customWidth="1"/>
    <col min="12291" max="12291" width="21.625" style="1317" customWidth="1"/>
    <col min="12292" max="12292" width="3.5" style="1317" customWidth="1"/>
    <col min="12293" max="12293" width="5.625" style="1317" customWidth="1"/>
    <col min="12294" max="12294" width="15.25" style="1317" customWidth="1"/>
    <col min="12295" max="12300" width="14.375" style="1317" customWidth="1"/>
    <col min="12301" max="12544" width="9" style="1317"/>
    <col min="12545" max="12545" width="2.5" style="1317" customWidth="1"/>
    <col min="12546" max="12546" width="2.875" style="1317" customWidth="1"/>
    <col min="12547" max="12547" width="21.625" style="1317" customWidth="1"/>
    <col min="12548" max="12548" width="3.5" style="1317" customWidth="1"/>
    <col min="12549" max="12549" width="5.625" style="1317" customWidth="1"/>
    <col min="12550" max="12550" width="15.25" style="1317" customWidth="1"/>
    <col min="12551" max="12556" width="14.375" style="1317" customWidth="1"/>
    <col min="12557" max="12800" width="9" style="1317"/>
    <col min="12801" max="12801" width="2.5" style="1317" customWidth="1"/>
    <col min="12802" max="12802" width="2.875" style="1317" customWidth="1"/>
    <col min="12803" max="12803" width="21.625" style="1317" customWidth="1"/>
    <col min="12804" max="12804" width="3.5" style="1317" customWidth="1"/>
    <col min="12805" max="12805" width="5.625" style="1317" customWidth="1"/>
    <col min="12806" max="12806" width="15.25" style="1317" customWidth="1"/>
    <col min="12807" max="12812" width="14.375" style="1317" customWidth="1"/>
    <col min="12813" max="13056" width="9" style="1317"/>
    <col min="13057" max="13057" width="2.5" style="1317" customWidth="1"/>
    <col min="13058" max="13058" width="2.875" style="1317" customWidth="1"/>
    <col min="13059" max="13059" width="21.625" style="1317" customWidth="1"/>
    <col min="13060" max="13060" width="3.5" style="1317" customWidth="1"/>
    <col min="13061" max="13061" width="5.625" style="1317" customWidth="1"/>
    <col min="13062" max="13062" width="15.25" style="1317" customWidth="1"/>
    <col min="13063" max="13068" width="14.375" style="1317" customWidth="1"/>
    <col min="13069" max="13312" width="9" style="1317"/>
    <col min="13313" max="13313" width="2.5" style="1317" customWidth="1"/>
    <col min="13314" max="13314" width="2.875" style="1317" customWidth="1"/>
    <col min="13315" max="13315" width="21.625" style="1317" customWidth="1"/>
    <col min="13316" max="13316" width="3.5" style="1317" customWidth="1"/>
    <col min="13317" max="13317" width="5.625" style="1317" customWidth="1"/>
    <col min="13318" max="13318" width="15.25" style="1317" customWidth="1"/>
    <col min="13319" max="13324" width="14.375" style="1317" customWidth="1"/>
    <col min="13325" max="13568" width="9" style="1317"/>
    <col min="13569" max="13569" width="2.5" style="1317" customWidth="1"/>
    <col min="13570" max="13570" width="2.875" style="1317" customWidth="1"/>
    <col min="13571" max="13571" width="21.625" style="1317" customWidth="1"/>
    <col min="13572" max="13572" width="3.5" style="1317" customWidth="1"/>
    <col min="13573" max="13573" width="5.625" style="1317" customWidth="1"/>
    <col min="13574" max="13574" width="15.25" style="1317" customWidth="1"/>
    <col min="13575" max="13580" width="14.375" style="1317" customWidth="1"/>
    <col min="13581" max="13824" width="9" style="1317"/>
    <col min="13825" max="13825" width="2.5" style="1317" customWidth="1"/>
    <col min="13826" max="13826" width="2.875" style="1317" customWidth="1"/>
    <col min="13827" max="13827" width="21.625" style="1317" customWidth="1"/>
    <col min="13828" max="13828" width="3.5" style="1317" customWidth="1"/>
    <col min="13829" max="13829" width="5.625" style="1317" customWidth="1"/>
    <col min="13830" max="13830" width="15.25" style="1317" customWidth="1"/>
    <col min="13831" max="13836" width="14.375" style="1317" customWidth="1"/>
    <col min="13837" max="14080" width="9" style="1317"/>
    <col min="14081" max="14081" width="2.5" style="1317" customWidth="1"/>
    <col min="14082" max="14082" width="2.875" style="1317" customWidth="1"/>
    <col min="14083" max="14083" width="21.625" style="1317" customWidth="1"/>
    <col min="14084" max="14084" width="3.5" style="1317" customWidth="1"/>
    <col min="14085" max="14085" width="5.625" style="1317" customWidth="1"/>
    <col min="14086" max="14086" width="15.25" style="1317" customWidth="1"/>
    <col min="14087" max="14092" width="14.375" style="1317" customWidth="1"/>
    <col min="14093" max="14336" width="9" style="1317"/>
    <col min="14337" max="14337" width="2.5" style="1317" customWidth="1"/>
    <col min="14338" max="14338" width="2.875" style="1317" customWidth="1"/>
    <col min="14339" max="14339" width="21.625" style="1317" customWidth="1"/>
    <col min="14340" max="14340" width="3.5" style="1317" customWidth="1"/>
    <col min="14341" max="14341" width="5.625" style="1317" customWidth="1"/>
    <col min="14342" max="14342" width="15.25" style="1317" customWidth="1"/>
    <col min="14343" max="14348" width="14.375" style="1317" customWidth="1"/>
    <col min="14349" max="14592" width="9" style="1317"/>
    <col min="14593" max="14593" width="2.5" style="1317" customWidth="1"/>
    <col min="14594" max="14594" width="2.875" style="1317" customWidth="1"/>
    <col min="14595" max="14595" width="21.625" style="1317" customWidth="1"/>
    <col min="14596" max="14596" width="3.5" style="1317" customWidth="1"/>
    <col min="14597" max="14597" width="5.625" style="1317" customWidth="1"/>
    <col min="14598" max="14598" width="15.25" style="1317" customWidth="1"/>
    <col min="14599" max="14604" width="14.375" style="1317" customWidth="1"/>
    <col min="14605" max="14848" width="9" style="1317"/>
    <col min="14849" max="14849" width="2.5" style="1317" customWidth="1"/>
    <col min="14850" max="14850" width="2.875" style="1317" customWidth="1"/>
    <col min="14851" max="14851" width="21.625" style="1317" customWidth="1"/>
    <col min="14852" max="14852" width="3.5" style="1317" customWidth="1"/>
    <col min="14853" max="14853" width="5.625" style="1317" customWidth="1"/>
    <col min="14854" max="14854" width="15.25" style="1317" customWidth="1"/>
    <col min="14855" max="14860" width="14.375" style="1317" customWidth="1"/>
    <col min="14861" max="15104" width="9" style="1317"/>
    <col min="15105" max="15105" width="2.5" style="1317" customWidth="1"/>
    <col min="15106" max="15106" width="2.875" style="1317" customWidth="1"/>
    <col min="15107" max="15107" width="21.625" style="1317" customWidth="1"/>
    <col min="15108" max="15108" width="3.5" style="1317" customWidth="1"/>
    <col min="15109" max="15109" width="5.625" style="1317" customWidth="1"/>
    <col min="15110" max="15110" width="15.25" style="1317" customWidth="1"/>
    <col min="15111" max="15116" width="14.375" style="1317" customWidth="1"/>
    <col min="15117" max="15360" width="9" style="1317"/>
    <col min="15361" max="15361" width="2.5" style="1317" customWidth="1"/>
    <col min="15362" max="15362" width="2.875" style="1317" customWidth="1"/>
    <col min="15363" max="15363" width="21.625" style="1317" customWidth="1"/>
    <col min="15364" max="15364" width="3.5" style="1317" customWidth="1"/>
    <col min="15365" max="15365" width="5.625" style="1317" customWidth="1"/>
    <col min="15366" max="15366" width="15.25" style="1317" customWidth="1"/>
    <col min="15367" max="15372" width="14.375" style="1317" customWidth="1"/>
    <col min="15373" max="15616" width="9" style="1317"/>
    <col min="15617" max="15617" width="2.5" style="1317" customWidth="1"/>
    <col min="15618" max="15618" width="2.875" style="1317" customWidth="1"/>
    <col min="15619" max="15619" width="21.625" style="1317" customWidth="1"/>
    <col min="15620" max="15620" width="3.5" style="1317" customWidth="1"/>
    <col min="15621" max="15621" width="5.625" style="1317" customWidth="1"/>
    <col min="15622" max="15622" width="15.25" style="1317" customWidth="1"/>
    <col min="15623" max="15628" width="14.375" style="1317" customWidth="1"/>
    <col min="15629" max="15872" width="9" style="1317"/>
    <col min="15873" max="15873" width="2.5" style="1317" customWidth="1"/>
    <col min="15874" max="15874" width="2.875" style="1317" customWidth="1"/>
    <col min="15875" max="15875" width="21.625" style="1317" customWidth="1"/>
    <col min="15876" max="15876" width="3.5" style="1317" customWidth="1"/>
    <col min="15877" max="15877" width="5.625" style="1317" customWidth="1"/>
    <col min="15878" max="15878" width="15.25" style="1317" customWidth="1"/>
    <col min="15879" max="15884" width="14.375" style="1317" customWidth="1"/>
    <col min="15885" max="16128" width="9" style="1317"/>
    <col min="16129" max="16129" width="2.5" style="1317" customWidth="1"/>
    <col min="16130" max="16130" width="2.875" style="1317" customWidth="1"/>
    <col min="16131" max="16131" width="21.625" style="1317" customWidth="1"/>
    <col min="16132" max="16132" width="3.5" style="1317" customWidth="1"/>
    <col min="16133" max="16133" width="5.625" style="1317" customWidth="1"/>
    <col min="16134" max="16134" width="15.25" style="1317" customWidth="1"/>
    <col min="16135" max="16140" width="14.375" style="1317" customWidth="1"/>
    <col min="16141" max="16384" width="9" style="1317"/>
  </cols>
  <sheetData>
    <row r="1" spans="1:12" ht="13.5" customHeight="1">
      <c r="A1" s="1309"/>
      <c r="B1" s="1309"/>
      <c r="C1" s="1310"/>
      <c r="D1" s="1310"/>
      <c r="E1" s="1311" t="s">
        <v>346</v>
      </c>
      <c r="F1" s="1312" t="s">
        <v>2949</v>
      </c>
      <c r="G1" s="1313"/>
      <c r="H1" s="1313"/>
      <c r="I1" s="1314"/>
      <c r="J1" s="1314"/>
      <c r="K1" s="1315" t="s">
        <v>2950</v>
      </c>
      <c r="L1" s="1316" t="s">
        <v>2795</v>
      </c>
    </row>
    <row r="2" spans="1:12" ht="13.5" customHeight="1">
      <c r="A2" s="1309"/>
      <c r="B2" s="1309"/>
      <c r="C2" s="1318" t="s">
        <v>2951</v>
      </c>
      <c r="D2" s="1319"/>
      <c r="E2" s="1310"/>
      <c r="F2" s="1310"/>
      <c r="G2" s="1316"/>
      <c r="H2" s="1314"/>
      <c r="I2" s="1314"/>
      <c r="J2" s="1314"/>
      <c r="K2" s="1309"/>
      <c r="L2" s="1320" t="s">
        <v>2952</v>
      </c>
    </row>
    <row r="3" spans="1:12" ht="13.5" customHeight="1">
      <c r="A3" s="1321"/>
      <c r="B3" s="1322"/>
      <c r="C3" s="1323" t="s">
        <v>2797</v>
      </c>
      <c r="D3" s="1324"/>
      <c r="E3" s="1325"/>
      <c r="F3" s="1326" t="s">
        <v>2798</v>
      </c>
      <c r="G3" s="1327"/>
      <c r="H3" s="1327"/>
      <c r="I3" s="1327"/>
      <c r="J3" s="1328"/>
      <c r="K3" s="1328"/>
      <c r="L3" s="1329"/>
    </row>
    <row r="4" spans="1:12" ht="13.5" customHeight="1">
      <c r="A4" s="1330"/>
      <c r="B4" s="1331"/>
      <c r="C4" s="1332" t="s">
        <v>2799</v>
      </c>
      <c r="D4" s="1333"/>
      <c r="E4" s="1272"/>
      <c r="F4" s="1334" t="s">
        <v>2953</v>
      </c>
      <c r="G4" s="1335" t="s">
        <v>2954</v>
      </c>
      <c r="H4" s="1335" t="s">
        <v>2954</v>
      </c>
      <c r="I4" s="1335" t="s">
        <v>2954</v>
      </c>
      <c r="J4" s="1335" t="s">
        <v>2954</v>
      </c>
      <c r="K4" s="1335" t="s">
        <v>2954</v>
      </c>
      <c r="L4" s="1336" t="s">
        <v>2954</v>
      </c>
    </row>
    <row r="5" spans="1:12" ht="13.5" customHeight="1">
      <c r="A5" s="1337"/>
      <c r="B5" s="1338"/>
      <c r="C5" s="1338" t="s">
        <v>2955</v>
      </c>
      <c r="D5" s="1338"/>
      <c r="E5" s="1339" t="s">
        <v>2802</v>
      </c>
      <c r="F5" s="1340" t="s">
        <v>2836</v>
      </c>
      <c r="G5" s="1341" t="s">
        <v>2956</v>
      </c>
      <c r="H5" s="1341" t="s">
        <v>2957</v>
      </c>
      <c r="I5" s="1341" t="s">
        <v>2958</v>
      </c>
      <c r="J5" s="1342" t="s">
        <v>2959</v>
      </c>
      <c r="K5" s="1342" t="s">
        <v>2960</v>
      </c>
      <c r="L5" s="1343" t="s">
        <v>2961</v>
      </c>
    </row>
    <row r="6" spans="1:12" ht="13.5" customHeight="1">
      <c r="A6" s="1344"/>
      <c r="B6" s="1345"/>
      <c r="C6" s="1346" t="s">
        <v>2804</v>
      </c>
      <c r="D6" s="1346"/>
      <c r="E6" s="1347" t="s">
        <v>2802</v>
      </c>
      <c r="F6" s="1348" t="s">
        <v>2806</v>
      </c>
      <c r="G6" s="1349"/>
      <c r="H6" s="1349"/>
      <c r="I6" s="1349"/>
      <c r="J6" s="1349"/>
      <c r="K6" s="1349"/>
      <c r="L6" s="1350"/>
    </row>
    <row r="7" spans="1:12" ht="13.5" customHeight="1">
      <c r="A7" s="1344"/>
      <c r="B7" s="1345"/>
      <c r="C7" s="2403" t="s">
        <v>2807</v>
      </c>
      <c r="D7" s="2403"/>
      <c r="E7" s="2403"/>
      <c r="F7" s="2404"/>
      <c r="G7" s="1351" t="s">
        <v>2808</v>
      </c>
      <c r="H7" s="1351" t="s">
        <v>2808</v>
      </c>
      <c r="I7" s="1351" t="s">
        <v>2808</v>
      </c>
      <c r="J7" s="1351" t="s">
        <v>2808</v>
      </c>
      <c r="K7" s="1351" t="s">
        <v>2808</v>
      </c>
      <c r="L7" s="1352" t="s">
        <v>2808</v>
      </c>
    </row>
    <row r="8" spans="1:12" ht="30" customHeight="1">
      <c r="A8" s="2354" t="s">
        <v>2809</v>
      </c>
      <c r="B8" s="2355"/>
      <c r="C8" s="2355"/>
      <c r="D8" s="2355"/>
      <c r="E8" s="2355"/>
      <c r="F8" s="2356"/>
      <c r="G8" s="881" t="s">
        <v>2810</v>
      </c>
      <c r="H8" s="881" t="s">
        <v>2810</v>
      </c>
      <c r="I8" s="881" t="s">
        <v>2810</v>
      </c>
      <c r="J8" s="881" t="s">
        <v>2810</v>
      </c>
      <c r="K8" s="881" t="s">
        <v>2810</v>
      </c>
      <c r="L8" s="1353" t="s">
        <v>2810</v>
      </c>
    </row>
    <row r="9" spans="1:12" ht="30" customHeight="1">
      <c r="A9" s="2357" t="s">
        <v>2811</v>
      </c>
      <c r="B9" s="2358"/>
      <c r="C9" s="2358"/>
      <c r="D9" s="2358"/>
      <c r="E9" s="2358"/>
      <c r="F9" s="2359"/>
      <c r="G9" s="883" t="s">
        <v>2805</v>
      </c>
      <c r="H9" s="883" t="s">
        <v>2805</v>
      </c>
      <c r="I9" s="883" t="s">
        <v>2805</v>
      </c>
      <c r="J9" s="883" t="s">
        <v>2805</v>
      </c>
      <c r="K9" s="883" t="s">
        <v>2805</v>
      </c>
      <c r="L9" s="884" t="s">
        <v>2805</v>
      </c>
    </row>
    <row r="10" spans="1:12" ht="13.5" customHeight="1">
      <c r="A10" s="1337"/>
      <c r="B10" s="1354" t="s">
        <v>2962</v>
      </c>
      <c r="C10" s="1355"/>
      <c r="D10" s="1355"/>
      <c r="E10" s="1356"/>
      <c r="F10" s="1357">
        <f t="shared" ref="F10:F21" si="0">SUM(G10:L10)</f>
        <v>0</v>
      </c>
      <c r="G10" s="1358"/>
      <c r="H10" s="1358"/>
      <c r="I10" s="1358"/>
      <c r="J10" s="1359"/>
      <c r="K10" s="1359"/>
      <c r="L10" s="1360"/>
    </row>
    <row r="11" spans="1:12" ht="13.5" customHeight="1">
      <c r="A11" s="1344"/>
      <c r="B11" s="1361" t="s">
        <v>2817</v>
      </c>
      <c r="C11" s="1362"/>
      <c r="D11" s="1363"/>
      <c r="E11" s="1364"/>
      <c r="F11" s="1365">
        <f t="shared" si="0"/>
        <v>0</v>
      </c>
      <c r="G11" s="1366">
        <f t="shared" ref="G11:L11" si="1">SUM(G12:G13)</f>
        <v>0</v>
      </c>
      <c r="H11" s="1366">
        <f t="shared" si="1"/>
        <v>0</v>
      </c>
      <c r="I11" s="1366">
        <f t="shared" si="1"/>
        <v>0</v>
      </c>
      <c r="J11" s="1366">
        <f t="shared" si="1"/>
        <v>0</v>
      </c>
      <c r="K11" s="1366">
        <f t="shared" si="1"/>
        <v>0</v>
      </c>
      <c r="L11" s="1367">
        <f t="shared" si="1"/>
        <v>0</v>
      </c>
    </row>
    <row r="12" spans="1:12" ht="13.5" customHeight="1">
      <c r="A12" s="1344"/>
      <c r="B12" s="1368" t="s">
        <v>2818</v>
      </c>
      <c r="C12" s="1346"/>
      <c r="D12" s="1346"/>
      <c r="E12" s="1369"/>
      <c r="F12" s="1370">
        <f t="shared" si="0"/>
        <v>0</v>
      </c>
      <c r="G12" s="1371">
        <f t="shared" ref="G12:L12" si="2">G88</f>
        <v>0</v>
      </c>
      <c r="H12" s="1371">
        <f t="shared" si="2"/>
        <v>0</v>
      </c>
      <c r="I12" s="1371">
        <f t="shared" si="2"/>
        <v>0</v>
      </c>
      <c r="J12" s="1371">
        <f t="shared" si="2"/>
        <v>0</v>
      </c>
      <c r="K12" s="1371">
        <f t="shared" si="2"/>
        <v>0</v>
      </c>
      <c r="L12" s="1372">
        <f t="shared" si="2"/>
        <v>0</v>
      </c>
    </row>
    <row r="13" spans="1:12" ht="13.5" customHeight="1">
      <c r="A13" s="1344"/>
      <c r="B13" s="1368" t="s">
        <v>2819</v>
      </c>
      <c r="C13" s="1346"/>
      <c r="D13" s="1346"/>
      <c r="E13" s="1369"/>
      <c r="F13" s="1373">
        <f t="shared" si="0"/>
        <v>0</v>
      </c>
      <c r="G13" s="1374"/>
      <c r="H13" s="1374"/>
      <c r="I13" s="1374"/>
      <c r="J13" s="1375"/>
      <c r="K13" s="1375"/>
      <c r="L13" s="1376"/>
    </row>
    <row r="14" spans="1:12" ht="13.5" customHeight="1">
      <c r="A14" s="1344"/>
      <c r="C14" s="1377" t="s">
        <v>2963</v>
      </c>
      <c r="D14" s="1378"/>
      <c r="E14" s="1379"/>
      <c r="F14" s="1380">
        <f t="shared" si="0"/>
        <v>0</v>
      </c>
      <c r="G14" s="1381"/>
      <c r="H14" s="1381"/>
      <c r="I14" s="1381"/>
      <c r="J14" s="1382"/>
      <c r="K14" s="1382"/>
      <c r="L14" s="1383"/>
    </row>
    <row r="15" spans="1:12" ht="13.5" hidden="1" customHeight="1">
      <c r="A15" s="1384"/>
      <c r="B15" s="1385"/>
      <c r="C15" s="1386" t="s">
        <v>2964</v>
      </c>
      <c r="D15" s="1387"/>
      <c r="E15" s="1388"/>
      <c r="F15" s="1389">
        <f>SUM(G15:L15)</f>
        <v>0</v>
      </c>
      <c r="G15" s="1390"/>
      <c r="H15" s="1390"/>
      <c r="I15" s="1390"/>
      <c r="J15" s="1391"/>
      <c r="K15" s="1391"/>
      <c r="L15" s="1392"/>
    </row>
    <row r="16" spans="1:12" ht="13.5" hidden="1" customHeight="1">
      <c r="A16" s="1384"/>
      <c r="B16" s="1385"/>
      <c r="C16" s="1386" t="s">
        <v>2965</v>
      </c>
      <c r="D16" s="1387"/>
      <c r="E16" s="1388"/>
      <c r="F16" s="1389">
        <f t="shared" si="0"/>
        <v>0</v>
      </c>
      <c r="G16" s="1390"/>
      <c r="H16" s="1390"/>
      <c r="I16" s="1390"/>
      <c r="J16" s="1391"/>
      <c r="K16" s="1391"/>
      <c r="L16" s="1392"/>
    </row>
    <row r="17" spans="1:256" ht="13.5" hidden="1" customHeight="1">
      <c r="A17" s="1384"/>
      <c r="B17" s="1385"/>
      <c r="C17" s="1386" t="s">
        <v>2821</v>
      </c>
      <c r="D17" s="1387"/>
      <c r="E17" s="1388"/>
      <c r="F17" s="1389">
        <f t="shared" si="0"/>
        <v>0</v>
      </c>
      <c r="G17" s="1390"/>
      <c r="H17" s="1390"/>
      <c r="I17" s="1390"/>
      <c r="J17" s="1391"/>
      <c r="K17" s="1391"/>
      <c r="L17" s="1392"/>
    </row>
    <row r="18" spans="1:256" ht="13.5" hidden="1" customHeight="1">
      <c r="A18" s="1393"/>
      <c r="B18" s="1394"/>
      <c r="C18" s="1395" t="s">
        <v>2966</v>
      </c>
      <c r="D18" s="1396"/>
      <c r="E18" s="1379"/>
      <c r="F18" s="1397">
        <f t="shared" si="0"/>
        <v>0</v>
      </c>
      <c r="G18" s="1381"/>
      <c r="H18" s="1381"/>
      <c r="I18" s="1381"/>
      <c r="J18" s="1382"/>
      <c r="K18" s="1382"/>
      <c r="L18" s="1383"/>
    </row>
    <row r="19" spans="1:256" ht="13.5" hidden="1" customHeight="1">
      <c r="A19" s="1398"/>
      <c r="B19" s="1399"/>
      <c r="C19" s="1400" t="s">
        <v>2822</v>
      </c>
      <c r="D19" s="1401"/>
      <c r="E19" s="1402"/>
      <c r="F19" s="1403">
        <f t="shared" si="0"/>
        <v>0</v>
      </c>
      <c r="G19" s="1404"/>
      <c r="H19" s="1404"/>
      <c r="I19" s="1404"/>
      <c r="J19" s="1405"/>
      <c r="K19" s="1405"/>
      <c r="L19" s="1406"/>
    </row>
    <row r="20" spans="1:256" ht="13.5" customHeight="1">
      <c r="A20" s="1337"/>
      <c r="B20" s="1407" t="s">
        <v>2967</v>
      </c>
      <c r="C20" s="1408"/>
      <c r="D20" s="1408"/>
      <c r="E20" s="1409"/>
      <c r="F20" s="1357">
        <f t="shared" si="0"/>
        <v>0</v>
      </c>
      <c r="G20" s="1410">
        <f t="shared" ref="G20:L20" si="3">SUM(G95:G110)</f>
        <v>0</v>
      </c>
      <c r="H20" s="1410">
        <f t="shared" si="3"/>
        <v>0</v>
      </c>
      <c r="I20" s="1410">
        <f t="shared" si="3"/>
        <v>0</v>
      </c>
      <c r="J20" s="1410">
        <f t="shared" si="3"/>
        <v>0</v>
      </c>
      <c r="K20" s="1410">
        <f t="shared" si="3"/>
        <v>0</v>
      </c>
      <c r="L20" s="1410">
        <f t="shared" si="3"/>
        <v>0</v>
      </c>
    </row>
    <row r="21" spans="1:256" ht="13.5" customHeight="1">
      <c r="A21" s="1344"/>
      <c r="B21" s="1345"/>
      <c r="C21" s="1411" t="s">
        <v>2968</v>
      </c>
      <c r="D21" s="1412"/>
      <c r="E21" s="1413"/>
      <c r="F21" s="1365">
        <f t="shared" si="0"/>
        <v>0</v>
      </c>
      <c r="G21" s="1414">
        <f t="shared" ref="G21:L21" si="4">G20-G24</f>
        <v>0</v>
      </c>
      <c r="H21" s="1414">
        <f t="shared" si="4"/>
        <v>0</v>
      </c>
      <c r="I21" s="1414">
        <f t="shared" si="4"/>
        <v>0</v>
      </c>
      <c r="J21" s="1414">
        <f t="shared" si="4"/>
        <v>0</v>
      </c>
      <c r="K21" s="1414">
        <f t="shared" si="4"/>
        <v>0</v>
      </c>
      <c r="L21" s="1414">
        <f t="shared" si="4"/>
        <v>0</v>
      </c>
    </row>
    <row r="22" spans="1:256" ht="13.5" customHeight="1">
      <c r="A22" s="1344"/>
      <c r="B22" s="1345"/>
      <c r="C22" s="1415"/>
      <c r="D22" s="1415"/>
      <c r="E22" s="1416"/>
      <c r="F22" s="1417" t="s">
        <v>2969</v>
      </c>
      <c r="G22" s="1418">
        <f t="shared" ref="G22:L22" si="5">SUM(G99:G110)</f>
        <v>0</v>
      </c>
      <c r="H22" s="1418">
        <f t="shared" si="5"/>
        <v>0</v>
      </c>
      <c r="I22" s="1418">
        <f t="shared" si="5"/>
        <v>0</v>
      </c>
      <c r="J22" s="1418">
        <f t="shared" si="5"/>
        <v>0</v>
      </c>
      <c r="K22" s="1418">
        <f t="shared" si="5"/>
        <v>0</v>
      </c>
      <c r="L22" s="1419">
        <f t="shared" si="5"/>
        <v>0</v>
      </c>
    </row>
    <row r="23" spans="1:256" ht="13.5" customHeight="1">
      <c r="A23" s="1344"/>
      <c r="B23" s="1345"/>
      <c r="C23" s="1415"/>
      <c r="D23" s="1415"/>
      <c r="E23" s="1416"/>
      <c r="F23" s="1417" t="s">
        <v>2815</v>
      </c>
      <c r="G23" s="1418">
        <f t="shared" ref="G23:L23" si="6">SUM(G99:G106,G58)</f>
        <v>0</v>
      </c>
      <c r="H23" s="1418">
        <f t="shared" si="6"/>
        <v>0</v>
      </c>
      <c r="I23" s="1418">
        <f t="shared" si="6"/>
        <v>0</v>
      </c>
      <c r="J23" s="1418">
        <f t="shared" si="6"/>
        <v>0</v>
      </c>
      <c r="K23" s="1418">
        <f t="shared" si="6"/>
        <v>0</v>
      </c>
      <c r="L23" s="1419">
        <f t="shared" si="6"/>
        <v>0</v>
      </c>
    </row>
    <row r="24" spans="1:256" ht="13.5" customHeight="1">
      <c r="A24" s="1420"/>
      <c r="B24" s="1421"/>
      <c r="C24" s="1422" t="s">
        <v>2970</v>
      </c>
      <c r="D24" s="1422"/>
      <c r="E24" s="1423"/>
      <c r="F24" s="1424">
        <f>SUM(G24:L24)</f>
        <v>0</v>
      </c>
      <c r="G24" s="1425">
        <f t="shared" ref="G24:L24" si="7">G14+G53+G54+G55+G58+G57+G98+G99</f>
        <v>0</v>
      </c>
      <c r="H24" s="1425">
        <f t="shared" si="7"/>
        <v>0</v>
      </c>
      <c r="I24" s="1425">
        <f t="shared" si="7"/>
        <v>0</v>
      </c>
      <c r="J24" s="1425">
        <f t="shared" si="7"/>
        <v>0</v>
      </c>
      <c r="K24" s="1425">
        <f t="shared" si="7"/>
        <v>0</v>
      </c>
      <c r="L24" s="1426">
        <f t="shared" si="7"/>
        <v>0</v>
      </c>
    </row>
    <row r="25" spans="1:256" ht="13.5" customHeight="1">
      <c r="A25" s="1344"/>
      <c r="B25" s="1427" t="s">
        <v>2971</v>
      </c>
      <c r="C25" s="1427"/>
      <c r="D25" s="1427"/>
      <c r="E25" s="1428"/>
      <c r="F25" s="1429">
        <f t="shared" ref="F25:F31" si="8">SUM(G25:L25)</f>
        <v>0</v>
      </c>
      <c r="G25" s="1430">
        <f t="shared" ref="G25:L25" si="9">G26+G29</f>
        <v>0</v>
      </c>
      <c r="H25" s="1430">
        <f t="shared" si="9"/>
        <v>0</v>
      </c>
      <c r="I25" s="1430">
        <f t="shared" si="9"/>
        <v>0</v>
      </c>
      <c r="J25" s="1430">
        <f t="shared" si="9"/>
        <v>0</v>
      </c>
      <c r="K25" s="1430">
        <f t="shared" si="9"/>
        <v>0</v>
      </c>
      <c r="L25" s="1430">
        <f t="shared" si="9"/>
        <v>0</v>
      </c>
    </row>
    <row r="26" spans="1:256" ht="13.5" customHeight="1">
      <c r="A26" s="1344"/>
      <c r="B26" s="1345"/>
      <c r="C26" s="1431" t="s">
        <v>2824</v>
      </c>
      <c r="D26" s="1431"/>
      <c r="E26" s="1432"/>
      <c r="F26" s="1365">
        <f>SUM(G26:L26)</f>
        <v>0</v>
      </c>
      <c r="G26" s="1414">
        <f t="shared" ref="G26:L26" si="10">SUM(G27:G28)</f>
        <v>0</v>
      </c>
      <c r="H26" s="1414">
        <f t="shared" si="10"/>
        <v>0</v>
      </c>
      <c r="I26" s="1414">
        <f t="shared" si="10"/>
        <v>0</v>
      </c>
      <c r="J26" s="1414">
        <f t="shared" si="10"/>
        <v>0</v>
      </c>
      <c r="K26" s="1414">
        <f t="shared" si="10"/>
        <v>0</v>
      </c>
      <c r="L26" s="1414">
        <f t="shared" si="10"/>
        <v>0</v>
      </c>
    </row>
    <row r="27" spans="1:256" ht="13.5" customHeight="1">
      <c r="A27" s="1344"/>
      <c r="B27" s="1345"/>
      <c r="C27" s="1433" t="s">
        <v>2826</v>
      </c>
      <c r="D27" s="1433"/>
      <c r="E27" s="1416"/>
      <c r="F27" s="1434">
        <f t="shared" si="8"/>
        <v>0</v>
      </c>
      <c r="G27" s="1418">
        <f t="shared" ref="G27:L27" si="11">+G113+G115+G117+G118</f>
        <v>0</v>
      </c>
      <c r="H27" s="1418">
        <f t="shared" si="11"/>
        <v>0</v>
      </c>
      <c r="I27" s="1418">
        <f t="shared" si="11"/>
        <v>0</v>
      </c>
      <c r="J27" s="1418">
        <f t="shared" si="11"/>
        <v>0</v>
      </c>
      <c r="K27" s="1418">
        <f t="shared" si="11"/>
        <v>0</v>
      </c>
      <c r="L27" s="1419">
        <f t="shared" si="11"/>
        <v>0</v>
      </c>
    </row>
    <row r="28" spans="1:256" s="1435" customFormat="1" ht="13.5" customHeight="1">
      <c r="A28" s="1344"/>
      <c r="B28" s="1345"/>
      <c r="C28" s="1433" t="s">
        <v>2831</v>
      </c>
      <c r="D28" s="1433"/>
      <c r="E28" s="1416"/>
      <c r="F28" s="1434">
        <f t="shared" si="8"/>
        <v>0</v>
      </c>
      <c r="G28" s="1418">
        <f t="shared" ref="G28:L28" si="12">SUM(G119:G132)</f>
        <v>0</v>
      </c>
      <c r="H28" s="1418">
        <f t="shared" si="12"/>
        <v>0</v>
      </c>
      <c r="I28" s="1418">
        <f t="shared" si="12"/>
        <v>0</v>
      </c>
      <c r="J28" s="1418">
        <f t="shared" si="12"/>
        <v>0</v>
      </c>
      <c r="K28" s="1418">
        <f t="shared" si="12"/>
        <v>0</v>
      </c>
      <c r="L28" s="1419">
        <f t="shared" si="12"/>
        <v>0</v>
      </c>
      <c r="M28" s="1317"/>
      <c r="N28" s="1317"/>
      <c r="O28" s="1317"/>
      <c r="P28" s="1317"/>
      <c r="Q28" s="1317"/>
      <c r="R28" s="1317"/>
      <c r="S28" s="1317"/>
      <c r="T28" s="1317"/>
      <c r="U28" s="1317"/>
      <c r="V28" s="1317"/>
      <c r="W28" s="1317"/>
      <c r="X28" s="1317"/>
      <c r="Y28" s="1317"/>
      <c r="Z28" s="1317"/>
      <c r="AA28" s="1317"/>
      <c r="AB28" s="1317"/>
      <c r="AC28" s="1317"/>
      <c r="AD28" s="1317"/>
      <c r="AE28" s="1317"/>
      <c r="AF28" s="1317"/>
      <c r="AG28" s="1317"/>
      <c r="AH28" s="1317"/>
      <c r="AI28" s="1317"/>
      <c r="AJ28" s="1317"/>
      <c r="AK28" s="1317"/>
      <c r="AL28" s="1317"/>
      <c r="AM28" s="1317"/>
      <c r="AN28" s="1317"/>
      <c r="AO28" s="1317"/>
      <c r="AP28" s="1317"/>
      <c r="AQ28" s="1317"/>
      <c r="AR28" s="1317"/>
      <c r="AS28" s="1317"/>
      <c r="AT28" s="1317"/>
      <c r="AU28" s="1317"/>
      <c r="AV28" s="1317"/>
      <c r="AW28" s="1317"/>
      <c r="AX28" s="1317"/>
      <c r="AY28" s="1317"/>
      <c r="AZ28" s="1317"/>
      <c r="BA28" s="1317"/>
      <c r="BB28" s="1317"/>
      <c r="BC28" s="1317"/>
      <c r="BD28" s="1317"/>
      <c r="BE28" s="1317"/>
      <c r="BF28" s="1317"/>
      <c r="BG28" s="1317"/>
      <c r="BH28" s="1317"/>
      <c r="BI28" s="1317"/>
      <c r="BJ28" s="1317"/>
      <c r="BK28" s="1317"/>
      <c r="BL28" s="1317"/>
      <c r="BM28" s="1317"/>
      <c r="BN28" s="1317"/>
      <c r="BO28" s="1317"/>
      <c r="BP28" s="1317"/>
      <c r="BQ28" s="1317"/>
      <c r="BR28" s="1317"/>
      <c r="BS28" s="1317"/>
      <c r="BT28" s="1317"/>
      <c r="BU28" s="1317"/>
      <c r="BV28" s="1317"/>
      <c r="BW28" s="1317"/>
      <c r="BX28" s="1317"/>
      <c r="BY28" s="1317"/>
      <c r="BZ28" s="1317"/>
      <c r="CA28" s="1317"/>
      <c r="CB28" s="1317"/>
      <c r="CC28" s="1317"/>
      <c r="CD28" s="1317"/>
      <c r="CE28" s="1317"/>
      <c r="CF28" s="1317"/>
      <c r="CG28" s="1317"/>
      <c r="CH28" s="1317"/>
      <c r="CI28" s="1317"/>
      <c r="CJ28" s="1317"/>
      <c r="CK28" s="1317"/>
      <c r="CL28" s="1317"/>
      <c r="CM28" s="1317"/>
      <c r="CN28" s="1317"/>
      <c r="CO28" s="1317"/>
      <c r="CP28" s="1317"/>
      <c r="CQ28" s="1317"/>
      <c r="CR28" s="1317"/>
      <c r="CS28" s="1317"/>
      <c r="CT28" s="1317"/>
      <c r="CU28" s="1317"/>
      <c r="CV28" s="1317"/>
      <c r="CW28" s="1317"/>
      <c r="CX28" s="1317"/>
      <c r="CY28" s="1317"/>
      <c r="CZ28" s="1317"/>
      <c r="DA28" s="1317"/>
      <c r="DB28" s="1317"/>
      <c r="DC28" s="1317"/>
      <c r="DD28" s="1317"/>
      <c r="DE28" s="1317"/>
      <c r="DF28" s="1317"/>
      <c r="DG28" s="1317"/>
      <c r="DH28" s="1317"/>
      <c r="DI28" s="1317"/>
      <c r="DJ28" s="1317"/>
      <c r="DK28" s="1317"/>
      <c r="DL28" s="1317"/>
      <c r="DM28" s="1317"/>
      <c r="DN28" s="1317"/>
      <c r="DO28" s="1317"/>
      <c r="DP28" s="1317"/>
      <c r="DQ28" s="1317"/>
      <c r="DR28" s="1317"/>
      <c r="DS28" s="1317"/>
      <c r="DT28" s="1317"/>
      <c r="DU28" s="1317"/>
      <c r="DV28" s="1317"/>
      <c r="DW28" s="1317"/>
      <c r="DX28" s="1317"/>
      <c r="DY28" s="1317"/>
      <c r="DZ28" s="1317"/>
      <c r="EA28" s="1317"/>
      <c r="EB28" s="1317"/>
      <c r="EC28" s="1317"/>
      <c r="ED28" s="1317"/>
      <c r="EE28" s="1317"/>
      <c r="EF28" s="1317"/>
      <c r="EG28" s="1317"/>
      <c r="EH28" s="1317"/>
      <c r="EI28" s="1317"/>
      <c r="EJ28" s="1317"/>
      <c r="EK28" s="1317"/>
      <c r="EL28" s="1317"/>
      <c r="EM28" s="1317"/>
      <c r="EN28" s="1317"/>
      <c r="EO28" s="1317"/>
      <c r="EP28" s="1317"/>
      <c r="EQ28" s="1317"/>
      <c r="ER28" s="1317"/>
      <c r="ES28" s="1317"/>
      <c r="ET28" s="1317"/>
      <c r="EU28" s="1317"/>
      <c r="EV28" s="1317"/>
      <c r="EW28" s="1317"/>
      <c r="EX28" s="1317"/>
      <c r="EY28" s="1317"/>
      <c r="EZ28" s="1317"/>
      <c r="FA28" s="1317"/>
      <c r="FB28" s="1317"/>
      <c r="FC28" s="1317"/>
      <c r="FD28" s="1317"/>
      <c r="FE28" s="1317"/>
      <c r="FF28" s="1317"/>
      <c r="FG28" s="1317"/>
      <c r="FH28" s="1317"/>
      <c r="FI28" s="1317"/>
      <c r="FJ28" s="1317"/>
      <c r="FK28" s="1317"/>
      <c r="FL28" s="1317"/>
      <c r="FM28" s="1317"/>
      <c r="FN28" s="1317"/>
      <c r="FO28" s="1317"/>
      <c r="FP28" s="1317"/>
      <c r="FQ28" s="1317"/>
      <c r="FR28" s="1317"/>
      <c r="FS28" s="1317"/>
      <c r="FT28" s="1317"/>
      <c r="FU28" s="1317"/>
      <c r="FV28" s="1317"/>
      <c r="FW28" s="1317"/>
      <c r="FX28" s="1317"/>
      <c r="FY28" s="1317"/>
      <c r="FZ28" s="1317"/>
      <c r="GA28" s="1317"/>
      <c r="GB28" s="1317"/>
      <c r="GC28" s="1317"/>
      <c r="GD28" s="1317"/>
      <c r="GE28" s="1317"/>
      <c r="GF28" s="1317"/>
      <c r="GG28" s="1317"/>
      <c r="GH28" s="1317"/>
      <c r="GI28" s="1317"/>
      <c r="GJ28" s="1317"/>
      <c r="GK28" s="1317"/>
      <c r="GL28" s="1317"/>
      <c r="GM28" s="1317"/>
      <c r="GN28" s="1317"/>
      <c r="GO28" s="1317"/>
      <c r="GP28" s="1317"/>
      <c r="GQ28" s="1317"/>
      <c r="GR28" s="1317"/>
      <c r="GS28" s="1317"/>
      <c r="GT28" s="1317"/>
      <c r="GU28" s="1317"/>
      <c r="GV28" s="1317"/>
      <c r="GW28" s="1317"/>
      <c r="GX28" s="1317"/>
      <c r="GY28" s="1317"/>
      <c r="GZ28" s="1317"/>
      <c r="HA28" s="1317"/>
      <c r="HB28" s="1317"/>
      <c r="HC28" s="1317"/>
      <c r="HD28" s="1317"/>
      <c r="HE28" s="1317"/>
      <c r="HF28" s="1317"/>
      <c r="HG28" s="1317"/>
      <c r="HH28" s="1317"/>
      <c r="HI28" s="1317"/>
      <c r="HJ28" s="1317"/>
      <c r="HK28" s="1317"/>
      <c r="HL28" s="1317"/>
      <c r="HM28" s="1317"/>
      <c r="HN28" s="1317"/>
      <c r="HO28" s="1317"/>
      <c r="HP28" s="1317"/>
      <c r="HQ28" s="1317"/>
      <c r="HR28" s="1317"/>
      <c r="HS28" s="1317"/>
      <c r="HT28" s="1317"/>
      <c r="HU28" s="1317"/>
      <c r="HV28" s="1317"/>
      <c r="HW28" s="1317"/>
      <c r="HX28" s="1317"/>
      <c r="HY28" s="1317"/>
      <c r="HZ28" s="1317"/>
      <c r="IA28" s="1317"/>
      <c r="IB28" s="1317"/>
      <c r="IC28" s="1317"/>
      <c r="ID28" s="1317"/>
      <c r="IE28" s="1317"/>
      <c r="IF28" s="1317"/>
      <c r="IG28" s="1317"/>
      <c r="IH28" s="1317"/>
      <c r="II28" s="1317"/>
      <c r="IJ28" s="1317"/>
      <c r="IK28" s="1317"/>
      <c r="IL28" s="1317"/>
      <c r="IM28" s="1317"/>
      <c r="IN28" s="1317"/>
      <c r="IO28" s="1317"/>
      <c r="IP28" s="1317"/>
      <c r="IQ28" s="1317"/>
      <c r="IR28" s="1317"/>
      <c r="IS28" s="1317"/>
      <c r="IT28" s="1317"/>
      <c r="IU28" s="1317"/>
      <c r="IV28" s="1317"/>
    </row>
    <row r="29" spans="1:256" s="1435" customFormat="1" ht="13.5" customHeight="1">
      <c r="A29" s="1436"/>
      <c r="B29" s="1437"/>
      <c r="C29" s="1438" t="s">
        <v>2829</v>
      </c>
      <c r="D29" s="1438"/>
      <c r="E29" s="1439"/>
      <c r="F29" s="1440">
        <f>SUM(G29:L29)</f>
        <v>0</v>
      </c>
      <c r="G29" s="1441">
        <f t="shared" ref="G29:L29" si="13">SUM(G30:G32)</f>
        <v>0</v>
      </c>
      <c r="H29" s="1441">
        <f t="shared" si="13"/>
        <v>0</v>
      </c>
      <c r="I29" s="1441">
        <f t="shared" si="13"/>
        <v>0</v>
      </c>
      <c r="J29" s="1441">
        <f t="shared" si="13"/>
        <v>0</v>
      </c>
      <c r="K29" s="1441">
        <f t="shared" si="13"/>
        <v>0</v>
      </c>
      <c r="L29" s="1441">
        <f t="shared" si="13"/>
        <v>0</v>
      </c>
    </row>
    <row r="30" spans="1:256" s="1435" customFormat="1" ht="13.5" customHeight="1">
      <c r="A30" s="1436"/>
      <c r="B30" s="1437"/>
      <c r="C30" s="1442" t="s">
        <v>2826</v>
      </c>
      <c r="D30" s="1442"/>
      <c r="E30" s="1439"/>
      <c r="F30" s="1440">
        <f t="shared" si="8"/>
        <v>0</v>
      </c>
      <c r="G30" s="1441">
        <f t="shared" ref="G30:L30" si="14">+G155-G170</f>
        <v>0</v>
      </c>
      <c r="H30" s="1441">
        <f t="shared" si="14"/>
        <v>0</v>
      </c>
      <c r="I30" s="1441">
        <f t="shared" si="14"/>
        <v>0</v>
      </c>
      <c r="J30" s="1441">
        <f t="shared" si="14"/>
        <v>0</v>
      </c>
      <c r="K30" s="1441">
        <f t="shared" si="14"/>
        <v>0</v>
      </c>
      <c r="L30" s="1441">
        <f t="shared" si="14"/>
        <v>0</v>
      </c>
    </row>
    <row r="31" spans="1:256" s="1435" customFormat="1" ht="13.5" customHeight="1">
      <c r="A31" s="1436"/>
      <c r="B31" s="1437"/>
      <c r="C31" s="1442" t="s">
        <v>2830</v>
      </c>
      <c r="D31" s="1442"/>
      <c r="E31" s="1439"/>
      <c r="F31" s="1440">
        <f t="shared" si="8"/>
        <v>0</v>
      </c>
      <c r="G31" s="1441">
        <f t="shared" ref="G31:L31" si="15">+G156+G157</f>
        <v>0</v>
      </c>
      <c r="H31" s="1441">
        <f t="shared" si="15"/>
        <v>0</v>
      </c>
      <c r="I31" s="1441">
        <f t="shared" si="15"/>
        <v>0</v>
      </c>
      <c r="J31" s="1441">
        <f t="shared" si="15"/>
        <v>0</v>
      </c>
      <c r="K31" s="1441">
        <f t="shared" si="15"/>
        <v>0</v>
      </c>
      <c r="L31" s="1441">
        <f t="shared" si="15"/>
        <v>0</v>
      </c>
    </row>
    <row r="32" spans="1:256" ht="13.5" customHeight="1">
      <c r="A32" s="1436"/>
      <c r="B32" s="1443"/>
      <c r="C32" s="1378" t="s">
        <v>2831</v>
      </c>
      <c r="D32" s="1378"/>
      <c r="E32" s="1444"/>
      <c r="F32" s="1445">
        <f>SUM(G32:L32)</f>
        <v>0</v>
      </c>
      <c r="G32" s="1446">
        <f t="shared" ref="G32:L32" si="16">SUM(G158:G162)</f>
        <v>0</v>
      </c>
      <c r="H32" s="1446">
        <f t="shared" si="16"/>
        <v>0</v>
      </c>
      <c r="I32" s="1446">
        <f t="shared" si="16"/>
        <v>0</v>
      </c>
      <c r="J32" s="1446">
        <f t="shared" si="16"/>
        <v>0</v>
      </c>
      <c r="K32" s="1446">
        <f t="shared" si="16"/>
        <v>0</v>
      </c>
      <c r="L32" s="1446">
        <f t="shared" si="16"/>
        <v>0</v>
      </c>
      <c r="M32" s="1435"/>
      <c r="N32" s="1435"/>
      <c r="O32" s="1435"/>
      <c r="P32" s="1435"/>
      <c r="Q32" s="1435"/>
      <c r="R32" s="1435"/>
      <c r="S32" s="1435"/>
      <c r="T32" s="1435"/>
      <c r="U32" s="1435"/>
      <c r="V32" s="1435"/>
      <c r="W32" s="1435"/>
      <c r="X32" s="1435"/>
      <c r="Y32" s="1435"/>
      <c r="Z32" s="1435"/>
      <c r="AA32" s="1435"/>
      <c r="AB32" s="1435"/>
      <c r="AC32" s="1435"/>
      <c r="AD32" s="1435"/>
      <c r="AE32" s="1435"/>
      <c r="AF32" s="1435"/>
      <c r="AG32" s="1435"/>
      <c r="AH32" s="1435"/>
      <c r="AI32" s="1435"/>
      <c r="AJ32" s="1435"/>
      <c r="AK32" s="1435"/>
      <c r="AL32" s="1435"/>
      <c r="AM32" s="1435"/>
      <c r="AN32" s="1435"/>
      <c r="AO32" s="1435"/>
      <c r="AP32" s="1435"/>
      <c r="AQ32" s="1435"/>
      <c r="AR32" s="1435"/>
      <c r="AS32" s="1435"/>
      <c r="AT32" s="1435"/>
      <c r="AU32" s="1435"/>
      <c r="AV32" s="1435"/>
      <c r="AW32" s="1435"/>
      <c r="AX32" s="1435"/>
      <c r="AY32" s="1435"/>
      <c r="AZ32" s="1435"/>
      <c r="BA32" s="1435"/>
      <c r="BB32" s="1435"/>
      <c r="BC32" s="1435"/>
      <c r="BD32" s="1435"/>
      <c r="BE32" s="1435"/>
      <c r="BF32" s="1435"/>
      <c r="BG32" s="1435"/>
      <c r="BH32" s="1435"/>
      <c r="BI32" s="1435"/>
      <c r="BJ32" s="1435"/>
      <c r="BK32" s="1435"/>
      <c r="BL32" s="1435"/>
      <c r="BM32" s="1435"/>
      <c r="BN32" s="1435"/>
      <c r="BO32" s="1435"/>
      <c r="BP32" s="1435"/>
      <c r="BQ32" s="1435"/>
      <c r="BR32" s="1435"/>
      <c r="BS32" s="1435"/>
      <c r="BT32" s="1435"/>
      <c r="BU32" s="1435"/>
      <c r="BV32" s="1435"/>
      <c r="BW32" s="1435"/>
      <c r="BX32" s="1435"/>
      <c r="BY32" s="1435"/>
      <c r="BZ32" s="1435"/>
      <c r="CA32" s="1435"/>
      <c r="CB32" s="1435"/>
      <c r="CC32" s="1435"/>
      <c r="CD32" s="1435"/>
      <c r="CE32" s="1435"/>
      <c r="CF32" s="1435"/>
      <c r="CG32" s="1435"/>
      <c r="CH32" s="1435"/>
      <c r="CI32" s="1435"/>
      <c r="CJ32" s="1435"/>
      <c r="CK32" s="1435"/>
      <c r="CL32" s="1435"/>
      <c r="CM32" s="1435"/>
      <c r="CN32" s="1435"/>
      <c r="CO32" s="1435"/>
      <c r="CP32" s="1435"/>
      <c r="CQ32" s="1435"/>
      <c r="CR32" s="1435"/>
      <c r="CS32" s="1435"/>
      <c r="CT32" s="1435"/>
      <c r="CU32" s="1435"/>
      <c r="CV32" s="1435"/>
      <c r="CW32" s="1435"/>
      <c r="CX32" s="1435"/>
      <c r="CY32" s="1435"/>
      <c r="CZ32" s="1435"/>
      <c r="DA32" s="1435"/>
      <c r="DB32" s="1435"/>
      <c r="DC32" s="1435"/>
      <c r="DD32" s="1435"/>
      <c r="DE32" s="1435"/>
      <c r="DF32" s="1435"/>
      <c r="DG32" s="1435"/>
      <c r="DH32" s="1435"/>
      <c r="DI32" s="1435"/>
      <c r="DJ32" s="1435"/>
      <c r="DK32" s="1435"/>
      <c r="DL32" s="1435"/>
      <c r="DM32" s="1435"/>
      <c r="DN32" s="1435"/>
      <c r="DO32" s="1435"/>
      <c r="DP32" s="1435"/>
      <c r="DQ32" s="1435"/>
      <c r="DR32" s="1435"/>
      <c r="DS32" s="1435"/>
      <c r="DT32" s="1435"/>
      <c r="DU32" s="1435"/>
      <c r="DV32" s="1435"/>
      <c r="DW32" s="1435"/>
      <c r="DX32" s="1435"/>
      <c r="DY32" s="1435"/>
      <c r="DZ32" s="1435"/>
      <c r="EA32" s="1435"/>
      <c r="EB32" s="1435"/>
      <c r="EC32" s="1435"/>
      <c r="ED32" s="1435"/>
      <c r="EE32" s="1435"/>
      <c r="EF32" s="1435"/>
      <c r="EG32" s="1435"/>
      <c r="EH32" s="1435"/>
      <c r="EI32" s="1435"/>
      <c r="EJ32" s="1435"/>
      <c r="EK32" s="1435"/>
      <c r="EL32" s="1435"/>
      <c r="EM32" s="1435"/>
      <c r="EN32" s="1435"/>
      <c r="EO32" s="1435"/>
      <c r="EP32" s="1435"/>
      <c r="EQ32" s="1435"/>
      <c r="ER32" s="1435"/>
      <c r="ES32" s="1435"/>
      <c r="ET32" s="1435"/>
      <c r="EU32" s="1435"/>
      <c r="EV32" s="1435"/>
      <c r="EW32" s="1435"/>
      <c r="EX32" s="1435"/>
      <c r="EY32" s="1435"/>
      <c r="EZ32" s="1435"/>
      <c r="FA32" s="1435"/>
      <c r="FB32" s="1435"/>
      <c r="FC32" s="1435"/>
      <c r="FD32" s="1435"/>
      <c r="FE32" s="1435"/>
      <c r="FF32" s="1435"/>
      <c r="FG32" s="1435"/>
      <c r="FH32" s="1435"/>
      <c r="FI32" s="1435"/>
      <c r="FJ32" s="1435"/>
      <c r="FK32" s="1435"/>
      <c r="FL32" s="1435"/>
      <c r="FM32" s="1435"/>
      <c r="FN32" s="1435"/>
      <c r="FO32" s="1435"/>
      <c r="FP32" s="1435"/>
      <c r="FQ32" s="1435"/>
      <c r="FR32" s="1435"/>
      <c r="FS32" s="1435"/>
      <c r="FT32" s="1435"/>
      <c r="FU32" s="1435"/>
      <c r="FV32" s="1435"/>
      <c r="FW32" s="1435"/>
      <c r="FX32" s="1435"/>
      <c r="FY32" s="1435"/>
      <c r="FZ32" s="1435"/>
      <c r="GA32" s="1435"/>
      <c r="GB32" s="1435"/>
      <c r="GC32" s="1435"/>
      <c r="GD32" s="1435"/>
      <c r="GE32" s="1435"/>
      <c r="GF32" s="1435"/>
      <c r="GG32" s="1435"/>
      <c r="GH32" s="1435"/>
      <c r="GI32" s="1435"/>
      <c r="GJ32" s="1435"/>
      <c r="GK32" s="1435"/>
      <c r="GL32" s="1435"/>
      <c r="GM32" s="1435"/>
      <c r="GN32" s="1435"/>
      <c r="GO32" s="1435"/>
      <c r="GP32" s="1435"/>
      <c r="GQ32" s="1435"/>
      <c r="GR32" s="1435"/>
      <c r="GS32" s="1435"/>
      <c r="GT32" s="1435"/>
      <c r="GU32" s="1435"/>
      <c r="GV32" s="1435"/>
      <c r="GW32" s="1435"/>
      <c r="GX32" s="1435"/>
      <c r="GY32" s="1435"/>
      <c r="GZ32" s="1435"/>
      <c r="HA32" s="1435"/>
      <c r="HB32" s="1435"/>
      <c r="HC32" s="1435"/>
      <c r="HD32" s="1435"/>
      <c r="HE32" s="1435"/>
      <c r="HF32" s="1435"/>
      <c r="HG32" s="1435"/>
      <c r="HH32" s="1435"/>
      <c r="HI32" s="1435"/>
      <c r="HJ32" s="1435"/>
      <c r="HK32" s="1435"/>
      <c r="HL32" s="1435"/>
      <c r="HM32" s="1435"/>
      <c r="HN32" s="1435"/>
      <c r="HO32" s="1435"/>
      <c r="HP32" s="1435"/>
      <c r="HQ32" s="1435"/>
      <c r="HR32" s="1435"/>
      <c r="HS32" s="1435"/>
      <c r="HT32" s="1435"/>
      <c r="HU32" s="1435"/>
      <c r="HV32" s="1435"/>
      <c r="HW32" s="1435"/>
      <c r="HX32" s="1435"/>
      <c r="HY32" s="1435"/>
      <c r="HZ32" s="1435"/>
      <c r="IA32" s="1435"/>
      <c r="IB32" s="1435"/>
      <c r="IC32" s="1435"/>
      <c r="ID32" s="1435"/>
      <c r="IE32" s="1435"/>
      <c r="IF32" s="1435"/>
      <c r="IG32" s="1435"/>
      <c r="IH32" s="1435"/>
      <c r="II32" s="1435"/>
      <c r="IJ32" s="1435"/>
      <c r="IK32" s="1435"/>
      <c r="IL32" s="1435"/>
      <c r="IM32" s="1435"/>
      <c r="IN32" s="1435"/>
      <c r="IO32" s="1435"/>
      <c r="IP32" s="1435"/>
      <c r="IQ32" s="1435"/>
      <c r="IR32" s="1435"/>
      <c r="IS32" s="1435"/>
      <c r="IT32" s="1435"/>
      <c r="IU32" s="1435"/>
      <c r="IV32" s="1435"/>
    </row>
    <row r="33" spans="1:12" ht="13.5" customHeight="1">
      <c r="A33" s="1447"/>
      <c r="B33" s="1408" t="s">
        <v>2972</v>
      </c>
      <c r="C33" s="1448"/>
      <c r="D33" s="1408"/>
      <c r="E33" s="1449"/>
      <c r="F33" s="1357">
        <f>SUM(G33:L33)</f>
        <v>0</v>
      </c>
      <c r="G33" s="1450">
        <f t="shared" ref="G33:L33" si="17">G20+G25</f>
        <v>0</v>
      </c>
      <c r="H33" s="1450">
        <f t="shared" si="17"/>
        <v>0</v>
      </c>
      <c r="I33" s="1450">
        <f t="shared" si="17"/>
        <v>0</v>
      </c>
      <c r="J33" s="1450">
        <f t="shared" si="17"/>
        <v>0</v>
      </c>
      <c r="K33" s="1450">
        <f t="shared" si="17"/>
        <v>0</v>
      </c>
      <c r="L33" s="1451">
        <f t="shared" si="17"/>
        <v>0</v>
      </c>
    </row>
    <row r="34" spans="1:12" ht="13.5" customHeight="1">
      <c r="A34" s="1344"/>
      <c r="B34" s="1345"/>
      <c r="C34" s="1452" t="s">
        <v>2973</v>
      </c>
      <c r="D34" s="1452"/>
      <c r="E34" s="1453"/>
      <c r="F34" s="1454"/>
      <c r="G34" s="1455" t="s">
        <v>2835</v>
      </c>
      <c r="H34" s="1456"/>
      <c r="I34" s="1456"/>
      <c r="J34" s="1456"/>
      <c r="K34" s="1456"/>
      <c r="L34" s="1457"/>
    </row>
    <row r="35" spans="1:12" ht="13.5" customHeight="1">
      <c r="A35" s="1337"/>
      <c r="B35" s="1338"/>
      <c r="C35" s="1338"/>
      <c r="D35" s="1338"/>
      <c r="E35" s="1340"/>
      <c r="F35" s="1340" t="s">
        <v>2836</v>
      </c>
      <c r="G35" s="1342" t="str">
        <f t="shared" ref="G35:L35" si="18">+G5</f>
        <v>工事１</v>
      </c>
      <c r="H35" s="1342" t="str">
        <f t="shared" si="18"/>
        <v>工事２</v>
      </c>
      <c r="I35" s="1342" t="str">
        <f t="shared" si="18"/>
        <v>工事３</v>
      </c>
      <c r="J35" s="1342" t="str">
        <f t="shared" si="18"/>
        <v>工事４</v>
      </c>
      <c r="K35" s="1342" t="str">
        <f t="shared" si="18"/>
        <v>工事５</v>
      </c>
      <c r="L35" s="1343" t="str">
        <f t="shared" si="18"/>
        <v>工事６</v>
      </c>
    </row>
    <row r="36" spans="1:12" ht="13.5" customHeight="1">
      <c r="A36" s="1458" t="s">
        <v>2974</v>
      </c>
      <c r="B36" s="1459"/>
      <c r="C36" s="1460"/>
      <c r="D36" s="1460"/>
      <c r="E36" s="1461"/>
      <c r="F36" s="1462"/>
      <c r="G36" s="1463"/>
      <c r="H36" s="1463"/>
      <c r="I36" s="1463"/>
      <c r="J36" s="1463"/>
      <c r="K36" s="1463"/>
      <c r="L36" s="1464"/>
    </row>
    <row r="37" spans="1:12" ht="13.5" customHeight="1">
      <c r="A37" s="2405"/>
      <c r="B37" s="2370" t="s">
        <v>2975</v>
      </c>
      <c r="C37" s="1412" t="s">
        <v>2838</v>
      </c>
      <c r="D37" s="1412"/>
      <c r="E37" s="1432"/>
      <c r="F37" s="1365">
        <f t="shared" ref="F37:F58" si="19">SUM(G37:L37)</f>
        <v>0</v>
      </c>
      <c r="G37" s="1465">
        <f>IF(G4="新営",G10-SUM(G42:G48)-G52-G56,0)</f>
        <v>0</v>
      </c>
      <c r="H37" s="1465">
        <f t="shared" ref="H37:L37" si="20">IF(H4="新営",H10-SUM(H42:H48)-H52-H56,0)</f>
        <v>0</v>
      </c>
      <c r="I37" s="1465">
        <f t="shared" si="20"/>
        <v>0</v>
      </c>
      <c r="J37" s="1465">
        <f t="shared" si="20"/>
        <v>0</v>
      </c>
      <c r="K37" s="1465">
        <f t="shared" si="20"/>
        <v>0</v>
      </c>
      <c r="L37" s="1466">
        <f t="shared" si="20"/>
        <v>0</v>
      </c>
    </row>
    <row r="38" spans="1:12" ht="13.5" customHeight="1">
      <c r="A38" s="2406"/>
      <c r="B38" s="2371"/>
      <c r="C38" s="1467" t="s">
        <v>2976</v>
      </c>
      <c r="D38" s="1467"/>
      <c r="E38" s="1468"/>
      <c r="F38" s="1469">
        <f>SUM(G38:L38)</f>
        <v>0</v>
      </c>
      <c r="G38" s="1470">
        <f>IF(G4="改修",G10-SUM(G42:G48)-G52-G56,0)</f>
        <v>0</v>
      </c>
      <c r="H38" s="1470">
        <f t="shared" ref="H38:L38" si="21">IF(H4="改修",H10-SUM(H42:H48)-H52-H56,0)</f>
        <v>0</v>
      </c>
      <c r="I38" s="1470">
        <f t="shared" si="21"/>
        <v>0</v>
      </c>
      <c r="J38" s="1470">
        <f t="shared" si="21"/>
        <v>0</v>
      </c>
      <c r="K38" s="1470">
        <f t="shared" si="21"/>
        <v>0</v>
      </c>
      <c r="L38" s="1471">
        <f t="shared" si="21"/>
        <v>0</v>
      </c>
    </row>
    <row r="39" spans="1:12" ht="13.5" customHeight="1">
      <c r="A39" s="2406"/>
      <c r="B39" s="2371"/>
      <c r="C39" s="1472" t="s">
        <v>2977</v>
      </c>
      <c r="D39" s="1472"/>
      <c r="E39" s="1473"/>
      <c r="F39" s="1434">
        <f>SUM(G39:L39)</f>
        <v>0</v>
      </c>
      <c r="G39" s="1418">
        <f t="shared" ref="G39:L39" si="22">G14</f>
        <v>0</v>
      </c>
      <c r="H39" s="1418">
        <f t="shared" si="22"/>
        <v>0</v>
      </c>
      <c r="I39" s="1418">
        <f t="shared" si="22"/>
        <v>0</v>
      </c>
      <c r="J39" s="1418">
        <f t="shared" si="22"/>
        <v>0</v>
      </c>
      <c r="K39" s="1418">
        <f t="shared" si="22"/>
        <v>0</v>
      </c>
      <c r="L39" s="1419">
        <f t="shared" si="22"/>
        <v>0</v>
      </c>
    </row>
    <row r="40" spans="1:12" ht="13.5" customHeight="1">
      <c r="A40" s="2406"/>
      <c r="B40" s="2376"/>
      <c r="C40" s="1474" t="s">
        <v>2978</v>
      </c>
      <c r="D40" s="1475"/>
      <c r="E40" s="1416"/>
      <c r="F40" s="1417">
        <f t="shared" si="19"/>
        <v>0</v>
      </c>
      <c r="G40" s="1476">
        <f t="shared" ref="G40:L40" si="23">IF(G$7="積上げ",0,G88)</f>
        <v>0</v>
      </c>
      <c r="H40" s="1476">
        <f t="shared" si="23"/>
        <v>0</v>
      </c>
      <c r="I40" s="1476">
        <f t="shared" si="23"/>
        <v>0</v>
      </c>
      <c r="J40" s="1476">
        <f t="shared" si="23"/>
        <v>0</v>
      </c>
      <c r="K40" s="1476">
        <f t="shared" si="23"/>
        <v>0</v>
      </c>
      <c r="L40" s="1477">
        <f t="shared" si="23"/>
        <v>0</v>
      </c>
    </row>
    <row r="41" spans="1:12" ht="13.5" customHeight="1">
      <c r="A41" s="2406"/>
      <c r="B41" s="2374" t="s">
        <v>2979</v>
      </c>
      <c r="C41" s="2408" t="s">
        <v>2980</v>
      </c>
      <c r="D41" s="2409"/>
      <c r="E41" s="2410"/>
      <c r="F41" s="1434">
        <f>SUM(G41:L41)</f>
        <v>0</v>
      </c>
      <c r="G41" s="1478">
        <f t="shared" ref="G41:L41" si="24">G13-G14-G53-G54-G55-G57-G58</f>
        <v>0</v>
      </c>
      <c r="H41" s="1478">
        <f t="shared" si="24"/>
        <v>0</v>
      </c>
      <c r="I41" s="1478">
        <f t="shared" si="24"/>
        <v>0</v>
      </c>
      <c r="J41" s="1478">
        <f t="shared" si="24"/>
        <v>0</v>
      </c>
      <c r="K41" s="1478">
        <f t="shared" si="24"/>
        <v>0</v>
      </c>
      <c r="L41" s="1479">
        <f t="shared" si="24"/>
        <v>0</v>
      </c>
    </row>
    <row r="42" spans="1:12" ht="13.5" customHeight="1">
      <c r="A42" s="2406"/>
      <c r="B42" s="2371"/>
      <c r="C42" s="1475" t="s">
        <v>2981</v>
      </c>
      <c r="D42" s="1475"/>
      <c r="E42" s="1416"/>
      <c r="F42" s="1417">
        <f t="shared" si="19"/>
        <v>0</v>
      </c>
      <c r="G42" s="983"/>
      <c r="H42" s="983"/>
      <c r="I42" s="983"/>
      <c r="J42" s="1480"/>
      <c r="K42" s="1480"/>
      <c r="L42" s="1481"/>
    </row>
    <row r="43" spans="1:12" ht="13.5" customHeight="1">
      <c r="A43" s="2406"/>
      <c r="B43" s="2371"/>
      <c r="C43" s="1482" t="s">
        <v>2982</v>
      </c>
      <c r="D43" s="1475"/>
      <c r="E43" s="1416"/>
      <c r="F43" s="1417">
        <f t="shared" si="19"/>
        <v>0</v>
      </c>
      <c r="G43" s="983"/>
      <c r="H43" s="983"/>
      <c r="I43" s="983"/>
      <c r="J43" s="1480"/>
      <c r="K43" s="1480"/>
      <c r="L43" s="1481"/>
    </row>
    <row r="44" spans="1:12" ht="13.5" customHeight="1">
      <c r="A44" s="2406"/>
      <c r="B44" s="2371"/>
      <c r="C44" s="1475" t="s">
        <v>2983</v>
      </c>
      <c r="D44" s="1475"/>
      <c r="E44" s="1416"/>
      <c r="F44" s="1417">
        <f t="shared" si="19"/>
        <v>0</v>
      </c>
      <c r="G44" s="983"/>
      <c r="H44" s="983"/>
      <c r="I44" s="983"/>
      <c r="J44" s="1480"/>
      <c r="K44" s="1480"/>
      <c r="L44" s="1481"/>
    </row>
    <row r="45" spans="1:12" ht="13.5" customHeight="1">
      <c r="A45" s="2406"/>
      <c r="B45" s="2371"/>
      <c r="C45" s="1475" t="s">
        <v>2984</v>
      </c>
      <c r="D45" s="1475"/>
      <c r="E45" s="1416"/>
      <c r="F45" s="1417">
        <f t="shared" si="19"/>
        <v>0</v>
      </c>
      <c r="G45" s="983"/>
      <c r="H45" s="983"/>
      <c r="I45" s="983"/>
      <c r="J45" s="1480"/>
      <c r="K45" s="1480"/>
      <c r="L45" s="1481"/>
    </row>
    <row r="46" spans="1:12" ht="13.5" customHeight="1">
      <c r="A46" s="2406"/>
      <c r="B46" s="2371"/>
      <c r="C46" s="1483" t="s">
        <v>2985</v>
      </c>
      <c r="D46" s="1475"/>
      <c r="E46" s="1416"/>
      <c r="F46" s="1417">
        <f t="shared" si="19"/>
        <v>0</v>
      </c>
      <c r="G46" s="983"/>
      <c r="H46" s="983"/>
      <c r="I46" s="983"/>
      <c r="J46" s="1480"/>
      <c r="K46" s="1480"/>
      <c r="L46" s="1481"/>
    </row>
    <row r="47" spans="1:12" ht="13.5" customHeight="1">
      <c r="A47" s="2406"/>
      <c r="B47" s="2371"/>
      <c r="C47" s="1475"/>
      <c r="D47" s="1475"/>
      <c r="E47" s="1416"/>
      <c r="F47" s="1417">
        <f t="shared" si="19"/>
        <v>0</v>
      </c>
      <c r="G47" s="985"/>
      <c r="H47" s="985"/>
      <c r="I47" s="985"/>
      <c r="J47" s="1484"/>
      <c r="K47" s="1484"/>
      <c r="L47" s="1485"/>
    </row>
    <row r="48" spans="1:12" ht="13.5" customHeight="1">
      <c r="A48" s="2406"/>
      <c r="B48" s="2376"/>
      <c r="C48" s="1486"/>
      <c r="D48" s="1487"/>
      <c r="E48" s="1488"/>
      <c r="F48" s="1417">
        <f t="shared" si="19"/>
        <v>0</v>
      </c>
      <c r="G48" s="985"/>
      <c r="H48" s="985"/>
      <c r="I48" s="985"/>
      <c r="J48" s="1484"/>
      <c r="K48" s="1484"/>
      <c r="L48" s="1485"/>
    </row>
    <row r="49" spans="1:256" ht="13.5" customHeight="1">
      <c r="A49" s="2406"/>
      <c r="B49" s="2374" t="s">
        <v>2038</v>
      </c>
      <c r="C49" s="1489" t="s">
        <v>2986</v>
      </c>
      <c r="D49" s="1475"/>
      <c r="E49" s="1416"/>
      <c r="F49" s="1417">
        <f t="shared" si="19"/>
        <v>0</v>
      </c>
      <c r="G49" s="983"/>
      <c r="H49" s="983"/>
      <c r="I49" s="983"/>
      <c r="J49" s="1480"/>
      <c r="K49" s="1480"/>
      <c r="L49" s="1481"/>
    </row>
    <row r="50" spans="1:256" ht="13.5" customHeight="1">
      <c r="A50" s="2406"/>
      <c r="B50" s="2371"/>
      <c r="C50" s="1490" t="s">
        <v>2987</v>
      </c>
      <c r="D50" s="1475"/>
      <c r="E50" s="1416"/>
      <c r="F50" s="1417">
        <f t="shared" si="19"/>
        <v>0</v>
      </c>
      <c r="G50" s="983"/>
      <c r="H50" s="983"/>
      <c r="I50" s="983"/>
      <c r="J50" s="1480"/>
      <c r="K50" s="1480"/>
      <c r="L50" s="1481"/>
    </row>
    <row r="51" spans="1:256" ht="13.5" customHeight="1">
      <c r="A51" s="2406"/>
      <c r="B51" s="2376"/>
      <c r="C51" s="1490" t="s">
        <v>2988</v>
      </c>
      <c r="D51" s="1475"/>
      <c r="E51" s="1416"/>
      <c r="F51" s="1417">
        <f t="shared" si="19"/>
        <v>0</v>
      </c>
      <c r="G51" s="983"/>
      <c r="H51" s="983"/>
      <c r="I51" s="983"/>
      <c r="J51" s="1480"/>
      <c r="K51" s="1480"/>
      <c r="L51" s="1481"/>
    </row>
    <row r="52" spans="1:256" ht="13.5" customHeight="1">
      <c r="A52" s="2406"/>
      <c r="B52" s="2411" t="s">
        <v>2852</v>
      </c>
      <c r="C52" s="1491" t="s">
        <v>2989</v>
      </c>
      <c r="D52" s="1475"/>
      <c r="E52" s="1416"/>
      <c r="F52" s="1417">
        <f t="shared" si="19"/>
        <v>0</v>
      </c>
      <c r="G52" s="983"/>
      <c r="H52" s="983"/>
      <c r="I52" s="983"/>
      <c r="J52" s="1480"/>
      <c r="K52" s="1480"/>
      <c r="L52" s="1481"/>
    </row>
    <row r="53" spans="1:256" ht="13.5" customHeight="1">
      <c r="A53" s="2406"/>
      <c r="B53" s="2411"/>
      <c r="C53" s="1492" t="s">
        <v>2990</v>
      </c>
      <c r="D53" s="1475"/>
      <c r="E53" s="1416"/>
      <c r="F53" s="1417">
        <f t="shared" si="19"/>
        <v>0</v>
      </c>
      <c r="G53" s="1493">
        <f t="shared" ref="G53:L53" si="25">G17</f>
        <v>0</v>
      </c>
      <c r="H53" s="1493">
        <f t="shared" si="25"/>
        <v>0</v>
      </c>
      <c r="I53" s="1493">
        <f t="shared" si="25"/>
        <v>0</v>
      </c>
      <c r="J53" s="1493">
        <f t="shared" si="25"/>
        <v>0</v>
      </c>
      <c r="K53" s="1493">
        <f t="shared" si="25"/>
        <v>0</v>
      </c>
      <c r="L53" s="1494">
        <f t="shared" si="25"/>
        <v>0</v>
      </c>
    </row>
    <row r="54" spans="1:256" ht="13.5" customHeight="1">
      <c r="A54" s="2406"/>
      <c r="B54" s="2411"/>
      <c r="C54" s="1489" t="s">
        <v>2991</v>
      </c>
      <c r="D54" s="1475"/>
      <c r="E54" s="1416"/>
      <c r="F54" s="1417">
        <f t="shared" si="19"/>
        <v>0</v>
      </c>
      <c r="G54" s="1493">
        <f t="shared" ref="G54:L55" si="26">G15</f>
        <v>0</v>
      </c>
      <c r="H54" s="1493">
        <f t="shared" si="26"/>
        <v>0</v>
      </c>
      <c r="I54" s="1493">
        <f t="shared" si="26"/>
        <v>0</v>
      </c>
      <c r="J54" s="1493">
        <f t="shared" si="26"/>
        <v>0</v>
      </c>
      <c r="K54" s="1493">
        <f t="shared" si="26"/>
        <v>0</v>
      </c>
      <c r="L54" s="1494">
        <f t="shared" si="26"/>
        <v>0</v>
      </c>
    </row>
    <row r="55" spans="1:256" ht="13.5" customHeight="1">
      <c r="A55" s="2406"/>
      <c r="B55" s="2411"/>
      <c r="C55" s="1489" t="s">
        <v>2992</v>
      </c>
      <c r="D55" s="1475"/>
      <c r="E55" s="1416"/>
      <c r="F55" s="1417">
        <f t="shared" si="19"/>
        <v>0</v>
      </c>
      <c r="G55" s="1493">
        <f t="shared" si="26"/>
        <v>0</v>
      </c>
      <c r="H55" s="1493">
        <f t="shared" si="26"/>
        <v>0</v>
      </c>
      <c r="I55" s="1493">
        <f t="shared" si="26"/>
        <v>0</v>
      </c>
      <c r="J55" s="1493">
        <f t="shared" si="26"/>
        <v>0</v>
      </c>
      <c r="K55" s="1493">
        <f t="shared" si="26"/>
        <v>0</v>
      </c>
      <c r="L55" s="1494">
        <f t="shared" si="26"/>
        <v>0</v>
      </c>
    </row>
    <row r="56" spans="1:256" ht="13.5" customHeight="1">
      <c r="A56" s="2406"/>
      <c r="B56" s="2374"/>
      <c r="C56" s="1495" t="s">
        <v>2993</v>
      </c>
      <c r="D56" s="1495"/>
      <c r="E56" s="1496"/>
      <c r="F56" s="1389">
        <f>SUM(G56:L56)</f>
        <v>0</v>
      </c>
      <c r="G56" s="1497"/>
      <c r="H56" s="1497"/>
      <c r="I56" s="1497"/>
      <c r="J56" s="1497"/>
      <c r="K56" s="1497"/>
      <c r="L56" s="1498"/>
    </row>
    <row r="57" spans="1:256" ht="13.5" customHeight="1">
      <c r="A57" s="2406"/>
      <c r="B57" s="2374"/>
      <c r="C57" s="1499" t="s">
        <v>2994</v>
      </c>
      <c r="D57" s="1495"/>
      <c r="E57" s="1496"/>
      <c r="F57" s="1389">
        <f>SUM(G57:L57)</f>
        <v>0</v>
      </c>
      <c r="G57" s="1493">
        <f t="shared" ref="G57:L57" si="27">G19</f>
        <v>0</v>
      </c>
      <c r="H57" s="1493">
        <f t="shared" si="27"/>
        <v>0</v>
      </c>
      <c r="I57" s="1493">
        <f t="shared" si="27"/>
        <v>0</v>
      </c>
      <c r="J57" s="1493">
        <f t="shared" si="27"/>
        <v>0</v>
      </c>
      <c r="K57" s="1493">
        <f t="shared" si="27"/>
        <v>0</v>
      </c>
      <c r="L57" s="1494">
        <f t="shared" si="27"/>
        <v>0</v>
      </c>
    </row>
    <row r="58" spans="1:256" s="1504" customFormat="1" ht="15" customHeight="1">
      <c r="A58" s="2407"/>
      <c r="B58" s="2412"/>
      <c r="C58" s="1500" t="s">
        <v>2995</v>
      </c>
      <c r="D58" s="1501"/>
      <c r="E58" s="1423"/>
      <c r="F58" s="1502">
        <f t="shared" si="19"/>
        <v>0</v>
      </c>
      <c r="G58" s="1503">
        <f t="shared" ref="G58:L58" si="28">G18</f>
        <v>0</v>
      </c>
      <c r="H58" s="1503">
        <f t="shared" si="28"/>
        <v>0</v>
      </c>
      <c r="I58" s="1503">
        <f t="shared" si="28"/>
        <v>0</v>
      </c>
      <c r="J58" s="1503">
        <f t="shared" si="28"/>
        <v>0</v>
      </c>
      <c r="K58" s="1503">
        <f t="shared" si="28"/>
        <v>0</v>
      </c>
      <c r="L58" s="1503">
        <f t="shared" si="28"/>
        <v>0</v>
      </c>
      <c r="M58" s="1317"/>
      <c r="N58" s="1317"/>
      <c r="O58" s="1317"/>
      <c r="P58" s="1317"/>
      <c r="Q58" s="1317"/>
      <c r="R58" s="1317"/>
      <c r="S58" s="1317"/>
      <c r="T58" s="1317"/>
      <c r="U58" s="1317"/>
      <c r="V58" s="1317"/>
      <c r="W58" s="1317"/>
      <c r="X58" s="1317"/>
      <c r="Y58" s="1317"/>
      <c r="Z58" s="1317"/>
      <c r="AA58" s="1317"/>
      <c r="AB58" s="1317"/>
      <c r="AC58" s="1317"/>
      <c r="AD58" s="1317"/>
      <c r="AE58" s="1317"/>
      <c r="AF58" s="1317"/>
      <c r="AG58" s="1317"/>
      <c r="AH58" s="1317"/>
      <c r="AI58" s="1317"/>
      <c r="AJ58" s="1317"/>
      <c r="AK58" s="1317"/>
      <c r="AL58" s="1317"/>
      <c r="AM58" s="1317"/>
      <c r="AN58" s="1317"/>
      <c r="AO58" s="1317"/>
      <c r="AP58" s="1317"/>
      <c r="AQ58" s="1317"/>
      <c r="AR58" s="1317"/>
      <c r="AS58" s="1317"/>
      <c r="AT58" s="1317"/>
      <c r="AU58" s="1317"/>
      <c r="AV58" s="1317"/>
      <c r="AW58" s="1317"/>
      <c r="AX58" s="1317"/>
      <c r="AY58" s="1317"/>
      <c r="AZ58" s="1317"/>
      <c r="BA58" s="1317"/>
      <c r="BB58" s="1317"/>
      <c r="BC58" s="1317"/>
      <c r="BD58" s="1317"/>
      <c r="BE58" s="1317"/>
      <c r="BF58" s="1317"/>
      <c r="BG58" s="1317"/>
      <c r="BH58" s="1317"/>
      <c r="BI58" s="1317"/>
      <c r="BJ58" s="1317"/>
      <c r="BK58" s="1317"/>
      <c r="BL58" s="1317"/>
      <c r="BM58" s="1317"/>
      <c r="BN58" s="1317"/>
      <c r="BO58" s="1317"/>
      <c r="BP58" s="1317"/>
      <c r="BQ58" s="1317"/>
      <c r="BR58" s="1317"/>
      <c r="BS58" s="1317"/>
      <c r="BT58" s="1317"/>
      <c r="BU58" s="1317"/>
      <c r="BV58" s="1317"/>
      <c r="BW58" s="1317"/>
      <c r="BX58" s="1317"/>
      <c r="BY58" s="1317"/>
      <c r="BZ58" s="1317"/>
      <c r="CA58" s="1317"/>
      <c r="CB58" s="1317"/>
      <c r="CC58" s="1317"/>
      <c r="CD58" s="1317"/>
      <c r="CE58" s="1317"/>
      <c r="CF58" s="1317"/>
      <c r="CG58" s="1317"/>
      <c r="CH58" s="1317"/>
      <c r="CI58" s="1317"/>
      <c r="CJ58" s="1317"/>
      <c r="CK58" s="1317"/>
      <c r="CL58" s="1317"/>
      <c r="CM58" s="1317"/>
      <c r="CN58" s="1317"/>
      <c r="CO58" s="1317"/>
      <c r="CP58" s="1317"/>
      <c r="CQ58" s="1317"/>
      <c r="CR58" s="1317"/>
      <c r="CS58" s="1317"/>
      <c r="CT58" s="1317"/>
      <c r="CU58" s="1317"/>
      <c r="CV58" s="1317"/>
      <c r="CW58" s="1317"/>
      <c r="CX58" s="1317"/>
      <c r="CY58" s="1317"/>
      <c r="CZ58" s="1317"/>
      <c r="DA58" s="1317"/>
      <c r="DB58" s="1317"/>
      <c r="DC58" s="1317"/>
      <c r="DD58" s="1317"/>
      <c r="DE58" s="1317"/>
      <c r="DF58" s="1317"/>
      <c r="DG58" s="1317"/>
      <c r="DH58" s="1317"/>
      <c r="DI58" s="1317"/>
      <c r="DJ58" s="1317"/>
      <c r="DK58" s="1317"/>
      <c r="DL58" s="1317"/>
      <c r="DM58" s="1317"/>
      <c r="DN58" s="1317"/>
      <c r="DO58" s="1317"/>
      <c r="DP58" s="1317"/>
      <c r="DQ58" s="1317"/>
      <c r="DR58" s="1317"/>
      <c r="DS58" s="1317"/>
      <c r="DT58" s="1317"/>
      <c r="DU58" s="1317"/>
      <c r="DV58" s="1317"/>
      <c r="DW58" s="1317"/>
      <c r="DX58" s="1317"/>
      <c r="DY58" s="1317"/>
      <c r="DZ58" s="1317"/>
      <c r="EA58" s="1317"/>
      <c r="EB58" s="1317"/>
      <c r="EC58" s="1317"/>
      <c r="ED58" s="1317"/>
      <c r="EE58" s="1317"/>
      <c r="EF58" s="1317"/>
      <c r="EG58" s="1317"/>
      <c r="EH58" s="1317"/>
      <c r="EI58" s="1317"/>
      <c r="EJ58" s="1317"/>
      <c r="EK58" s="1317"/>
      <c r="EL58" s="1317"/>
      <c r="EM58" s="1317"/>
      <c r="EN58" s="1317"/>
      <c r="EO58" s="1317"/>
      <c r="EP58" s="1317"/>
      <c r="EQ58" s="1317"/>
      <c r="ER58" s="1317"/>
      <c r="ES58" s="1317"/>
      <c r="ET58" s="1317"/>
      <c r="EU58" s="1317"/>
      <c r="EV58" s="1317"/>
      <c r="EW58" s="1317"/>
      <c r="EX58" s="1317"/>
      <c r="EY58" s="1317"/>
      <c r="EZ58" s="1317"/>
      <c r="FA58" s="1317"/>
      <c r="FB58" s="1317"/>
      <c r="FC58" s="1317"/>
      <c r="FD58" s="1317"/>
      <c r="FE58" s="1317"/>
      <c r="FF58" s="1317"/>
      <c r="FG58" s="1317"/>
      <c r="FH58" s="1317"/>
      <c r="FI58" s="1317"/>
      <c r="FJ58" s="1317"/>
      <c r="FK58" s="1317"/>
      <c r="FL58" s="1317"/>
      <c r="FM58" s="1317"/>
      <c r="FN58" s="1317"/>
      <c r="FO58" s="1317"/>
      <c r="FP58" s="1317"/>
      <c r="FQ58" s="1317"/>
      <c r="FR58" s="1317"/>
      <c r="FS58" s="1317"/>
      <c r="FT58" s="1317"/>
      <c r="FU58" s="1317"/>
      <c r="FV58" s="1317"/>
      <c r="FW58" s="1317"/>
      <c r="FX58" s="1317"/>
      <c r="FY58" s="1317"/>
      <c r="FZ58" s="1317"/>
      <c r="GA58" s="1317"/>
      <c r="GB58" s="1317"/>
      <c r="GC58" s="1317"/>
      <c r="GD58" s="1317"/>
      <c r="GE58" s="1317"/>
      <c r="GF58" s="1317"/>
      <c r="GG58" s="1317"/>
      <c r="GH58" s="1317"/>
      <c r="GI58" s="1317"/>
      <c r="GJ58" s="1317"/>
      <c r="GK58" s="1317"/>
      <c r="GL58" s="1317"/>
      <c r="GM58" s="1317"/>
      <c r="GN58" s="1317"/>
      <c r="GO58" s="1317"/>
      <c r="GP58" s="1317"/>
      <c r="GQ58" s="1317"/>
      <c r="GR58" s="1317"/>
      <c r="GS58" s="1317"/>
      <c r="GT58" s="1317"/>
      <c r="GU58" s="1317"/>
      <c r="GV58" s="1317"/>
      <c r="GW58" s="1317"/>
      <c r="GX58" s="1317"/>
      <c r="GY58" s="1317"/>
      <c r="GZ58" s="1317"/>
      <c r="HA58" s="1317"/>
      <c r="HB58" s="1317"/>
      <c r="HC58" s="1317"/>
      <c r="HD58" s="1317"/>
      <c r="HE58" s="1317"/>
      <c r="HF58" s="1317"/>
      <c r="HG58" s="1317"/>
      <c r="HH58" s="1317"/>
      <c r="HI58" s="1317"/>
      <c r="HJ58" s="1317"/>
      <c r="HK58" s="1317"/>
      <c r="HL58" s="1317"/>
      <c r="HM58" s="1317"/>
      <c r="HN58" s="1317"/>
      <c r="HO58" s="1317"/>
      <c r="HP58" s="1317"/>
      <c r="HQ58" s="1317"/>
      <c r="HR58" s="1317"/>
      <c r="HS58" s="1317"/>
      <c r="HT58" s="1317"/>
      <c r="HU58" s="1317"/>
      <c r="HV58" s="1317"/>
      <c r="HW58" s="1317"/>
      <c r="HX58" s="1317"/>
      <c r="HY58" s="1317"/>
      <c r="HZ58" s="1317"/>
      <c r="IA58" s="1317"/>
      <c r="IB58" s="1317"/>
      <c r="IC58" s="1317"/>
      <c r="ID58" s="1317"/>
      <c r="IE58" s="1317"/>
      <c r="IF58" s="1317"/>
      <c r="IG58" s="1317"/>
      <c r="IH58" s="1317"/>
      <c r="II58" s="1317"/>
      <c r="IJ58" s="1317"/>
      <c r="IK58" s="1317"/>
      <c r="IL58" s="1317"/>
      <c r="IM58" s="1317"/>
      <c r="IN58" s="1317"/>
      <c r="IO58" s="1317"/>
      <c r="IP58" s="1317"/>
      <c r="IQ58" s="1317"/>
      <c r="IR58" s="1317"/>
      <c r="IS58" s="1317"/>
      <c r="IT58" s="1317"/>
      <c r="IU58" s="1317"/>
      <c r="IV58" s="1317"/>
    </row>
    <row r="59" spans="1:256" s="1511" customFormat="1" ht="14.25" customHeight="1">
      <c r="A59" s="1505"/>
      <c r="B59" s="1505"/>
      <c r="C59" s="1506" t="s">
        <v>2860</v>
      </c>
      <c r="D59" s="1506"/>
      <c r="E59" s="1507"/>
      <c r="F59" s="1507"/>
      <c r="G59" s="1508"/>
      <c r="H59" s="1508"/>
      <c r="I59" s="1508"/>
      <c r="J59" s="1508"/>
      <c r="K59" s="1508"/>
      <c r="L59" s="1509" t="s">
        <v>2996</v>
      </c>
      <c r="M59" s="1508"/>
      <c r="N59" s="1510"/>
    </row>
    <row r="60" spans="1:256" s="1511" customFormat="1" ht="14.25" customHeight="1">
      <c r="A60" s="1505"/>
      <c r="B60" s="1505"/>
      <c r="C60" s="1512" t="s">
        <v>2862</v>
      </c>
      <c r="D60" s="1512"/>
      <c r="E60" s="1507"/>
      <c r="F60" s="1507"/>
      <c r="G60" s="1508"/>
      <c r="H60" s="1508"/>
      <c r="I60" s="1508"/>
      <c r="J60" s="1508"/>
      <c r="K60" s="1508"/>
      <c r="L60" s="1513"/>
      <c r="M60" s="1508"/>
      <c r="N60" s="1510"/>
    </row>
    <row r="61" spans="1:256" s="1511" customFormat="1" ht="14.25" customHeight="1">
      <c r="A61" s="1514"/>
      <c r="B61" s="1515"/>
      <c r="C61" s="1515"/>
      <c r="D61" s="2348" t="s">
        <v>2863</v>
      </c>
      <c r="E61" s="2348" t="s">
        <v>2997</v>
      </c>
      <c r="F61" s="1516" t="s">
        <v>2836</v>
      </c>
      <c r="G61" s="1517" t="str">
        <f t="shared" ref="G61:L61" si="29">G5</f>
        <v>工事１</v>
      </c>
      <c r="H61" s="1517" t="str">
        <f t="shared" si="29"/>
        <v>工事２</v>
      </c>
      <c r="I61" s="1517" t="str">
        <f t="shared" si="29"/>
        <v>工事３</v>
      </c>
      <c r="J61" s="1517" t="str">
        <f t="shared" si="29"/>
        <v>工事４</v>
      </c>
      <c r="K61" s="1517" t="str">
        <f t="shared" si="29"/>
        <v>工事５</v>
      </c>
      <c r="L61" s="1518" t="str">
        <f t="shared" si="29"/>
        <v>工事６</v>
      </c>
      <c r="M61" s="1510"/>
      <c r="N61" s="1510"/>
    </row>
    <row r="62" spans="1:256" s="1511" customFormat="1" ht="14.25" customHeight="1">
      <c r="A62" s="2393" t="s">
        <v>2865</v>
      </c>
      <c r="B62" s="2401"/>
      <c r="C62" s="2401"/>
      <c r="D62" s="2349"/>
      <c r="E62" s="2349"/>
      <c r="F62" s="1519"/>
      <c r="G62" s="1520"/>
      <c r="H62" s="1520"/>
      <c r="I62" s="1520"/>
      <c r="J62" s="1520"/>
      <c r="K62" s="1520"/>
      <c r="L62" s="1521"/>
      <c r="M62" s="1522"/>
      <c r="N62" s="1522"/>
    </row>
    <row r="63" spans="1:256" s="1511" customFormat="1" ht="14.25" customHeight="1">
      <c r="A63" s="2394"/>
      <c r="B63" s="1523" t="s">
        <v>2998</v>
      </c>
      <c r="C63" s="1524"/>
      <c r="D63" s="1524"/>
      <c r="E63" s="1525"/>
      <c r="F63" s="1526">
        <f>SUM(G63:L63)</f>
        <v>0</v>
      </c>
      <c r="G63" s="1527">
        <f t="shared" ref="G63:L63" si="30">SUM(G64:G70)+G54</f>
        <v>0</v>
      </c>
      <c r="H63" s="1527">
        <f t="shared" si="30"/>
        <v>0</v>
      </c>
      <c r="I63" s="1527">
        <f t="shared" si="30"/>
        <v>0</v>
      </c>
      <c r="J63" s="1527">
        <f t="shared" si="30"/>
        <v>0</v>
      </c>
      <c r="K63" s="1527">
        <f t="shared" si="30"/>
        <v>0</v>
      </c>
      <c r="L63" s="1528">
        <f t="shared" si="30"/>
        <v>0</v>
      </c>
      <c r="M63" s="1529"/>
      <c r="N63" s="1529"/>
    </row>
    <row r="64" spans="1:256" s="1511" customFormat="1" ht="14.25" customHeight="1">
      <c r="A64" s="2395"/>
      <c r="B64" s="2347" t="s">
        <v>2975</v>
      </c>
      <c r="C64" s="1530" t="s">
        <v>2838</v>
      </c>
      <c r="D64" s="1531">
        <v>1</v>
      </c>
      <c r="E64" s="1532" t="s">
        <v>2999</v>
      </c>
      <c r="F64" s="1533">
        <f>SUM(G64:L64)</f>
        <v>0</v>
      </c>
      <c r="G64" s="1534">
        <f>IF(G$7="積上げ",0,G37)</f>
        <v>0</v>
      </c>
      <c r="H64" s="1534">
        <f t="shared" ref="H64:L65" si="31">IF(H$7="積上げ",0,H37)</f>
        <v>0</v>
      </c>
      <c r="I64" s="1534">
        <f t="shared" si="31"/>
        <v>0</v>
      </c>
      <c r="J64" s="1534">
        <f t="shared" si="31"/>
        <v>0</v>
      </c>
      <c r="K64" s="1534">
        <f t="shared" si="31"/>
        <v>0</v>
      </c>
      <c r="L64" s="1535">
        <f t="shared" si="31"/>
        <v>0</v>
      </c>
      <c r="M64" s="1522"/>
      <c r="N64" s="1522"/>
    </row>
    <row r="65" spans="1:14" s="1511" customFormat="1" ht="14.25" customHeight="1">
      <c r="A65" s="2395"/>
      <c r="B65" s="2347"/>
      <c r="C65" s="1530" t="s">
        <v>2839</v>
      </c>
      <c r="D65" s="1531">
        <v>1</v>
      </c>
      <c r="E65" s="1532" t="s">
        <v>3000</v>
      </c>
      <c r="F65" s="1533">
        <f>SUM(G65:L65)</f>
        <v>0</v>
      </c>
      <c r="G65" s="1534">
        <f>IF(G$7="積上げ",0,G38)</f>
        <v>0</v>
      </c>
      <c r="H65" s="1534">
        <f t="shared" si="31"/>
        <v>0</v>
      </c>
      <c r="I65" s="1534">
        <f t="shared" si="31"/>
        <v>0</v>
      </c>
      <c r="J65" s="1534">
        <f t="shared" si="31"/>
        <v>0</v>
      </c>
      <c r="K65" s="1534">
        <f t="shared" si="31"/>
        <v>0</v>
      </c>
      <c r="L65" s="1535">
        <f t="shared" si="31"/>
        <v>0</v>
      </c>
      <c r="M65" s="1522"/>
      <c r="N65" s="1522"/>
    </row>
    <row r="66" spans="1:14" s="1511" customFormat="1" ht="14.25" customHeight="1">
      <c r="A66" s="2395"/>
      <c r="B66" s="2400" t="s">
        <v>2979</v>
      </c>
      <c r="C66" s="1475" t="s">
        <v>3001</v>
      </c>
      <c r="D66" s="1531">
        <v>1</v>
      </c>
      <c r="E66" s="1536">
        <v>0.2</v>
      </c>
      <c r="F66" s="1534">
        <f>INT(F42/(1+$E66))</f>
        <v>0</v>
      </c>
      <c r="G66" s="1534">
        <f t="shared" ref="G66:L70" si="32">IF(G$7="積上げ",0,G100)</f>
        <v>0</v>
      </c>
      <c r="H66" s="1534">
        <f t="shared" si="32"/>
        <v>0</v>
      </c>
      <c r="I66" s="1534">
        <f t="shared" si="32"/>
        <v>0</v>
      </c>
      <c r="J66" s="1534">
        <f t="shared" si="32"/>
        <v>0</v>
      </c>
      <c r="K66" s="1534">
        <f t="shared" si="32"/>
        <v>0</v>
      </c>
      <c r="L66" s="1535">
        <f t="shared" si="32"/>
        <v>0</v>
      </c>
      <c r="M66" s="1522"/>
      <c r="N66" s="1522"/>
    </row>
    <row r="67" spans="1:14" s="1511" customFormat="1" ht="14.25" customHeight="1">
      <c r="A67" s="2395"/>
      <c r="B67" s="2398"/>
      <c r="C67" s="1482" t="s">
        <v>3002</v>
      </c>
      <c r="D67" s="1531">
        <v>1</v>
      </c>
      <c r="E67" s="1537">
        <v>0.15</v>
      </c>
      <c r="F67" s="1534">
        <f>INT(F43/(1+$E67))</f>
        <v>0</v>
      </c>
      <c r="G67" s="1534">
        <f t="shared" si="32"/>
        <v>0</v>
      </c>
      <c r="H67" s="1534">
        <f t="shared" si="32"/>
        <v>0</v>
      </c>
      <c r="I67" s="1534">
        <f t="shared" si="32"/>
        <v>0</v>
      </c>
      <c r="J67" s="1534">
        <f t="shared" si="32"/>
        <v>0</v>
      </c>
      <c r="K67" s="1534">
        <f t="shared" si="32"/>
        <v>0</v>
      </c>
      <c r="L67" s="1535">
        <f t="shared" si="32"/>
        <v>0</v>
      </c>
      <c r="M67" s="1522"/>
      <c r="N67" s="1522"/>
    </row>
    <row r="68" spans="1:14" s="1511" customFormat="1" ht="14.25" customHeight="1">
      <c r="A68" s="2395"/>
      <c r="B68" s="2398"/>
      <c r="C68" s="1475" t="s">
        <v>3003</v>
      </c>
      <c r="D68" s="1531">
        <v>1</v>
      </c>
      <c r="E68" s="1536">
        <v>0.2</v>
      </c>
      <c r="F68" s="1534">
        <f>INT(F44/(1+$E68))</f>
        <v>0</v>
      </c>
      <c r="G68" s="1534">
        <f t="shared" si="32"/>
        <v>0</v>
      </c>
      <c r="H68" s="1534">
        <f t="shared" si="32"/>
        <v>0</v>
      </c>
      <c r="I68" s="1534">
        <f t="shared" si="32"/>
        <v>0</v>
      </c>
      <c r="J68" s="1534">
        <f t="shared" si="32"/>
        <v>0</v>
      </c>
      <c r="K68" s="1534">
        <f t="shared" si="32"/>
        <v>0</v>
      </c>
      <c r="L68" s="1535">
        <f t="shared" si="32"/>
        <v>0</v>
      </c>
      <c r="M68" s="1522"/>
      <c r="N68" s="1522"/>
    </row>
    <row r="69" spans="1:14" s="1511" customFormat="1" ht="14.25" customHeight="1">
      <c r="A69" s="2395"/>
      <c r="B69" s="2398"/>
      <c r="C69" s="1475" t="s">
        <v>3004</v>
      </c>
      <c r="D69" s="1531">
        <v>1</v>
      </c>
      <c r="E69" s="1536">
        <v>0.2</v>
      </c>
      <c r="F69" s="1534">
        <f>INT(F45/(1+$E69))</f>
        <v>0</v>
      </c>
      <c r="G69" s="1534">
        <f t="shared" si="32"/>
        <v>0</v>
      </c>
      <c r="H69" s="1534">
        <f t="shared" si="32"/>
        <v>0</v>
      </c>
      <c r="I69" s="1534">
        <f t="shared" si="32"/>
        <v>0</v>
      </c>
      <c r="J69" s="1534">
        <f t="shared" si="32"/>
        <v>0</v>
      </c>
      <c r="K69" s="1534">
        <f t="shared" si="32"/>
        <v>0</v>
      </c>
      <c r="L69" s="1535">
        <f t="shared" si="32"/>
        <v>0</v>
      </c>
      <c r="M69" s="1522"/>
      <c r="N69" s="1522"/>
    </row>
    <row r="70" spans="1:14" s="1511" customFormat="1" ht="14.25" customHeight="1">
      <c r="A70" s="2395"/>
      <c r="B70" s="2375"/>
      <c r="C70" s="1483" t="s">
        <v>2985</v>
      </c>
      <c r="D70" s="1538">
        <v>1</v>
      </c>
      <c r="E70" s="1536">
        <v>0.2</v>
      </c>
      <c r="F70" s="1534">
        <f>INT(F46/(1+$E70))</f>
        <v>0</v>
      </c>
      <c r="G70" s="1534">
        <f t="shared" si="32"/>
        <v>0</v>
      </c>
      <c r="H70" s="1534">
        <f t="shared" si="32"/>
        <v>0</v>
      </c>
      <c r="I70" s="1534">
        <f t="shared" si="32"/>
        <v>0</v>
      </c>
      <c r="J70" s="1534">
        <f t="shared" si="32"/>
        <v>0</v>
      </c>
      <c r="K70" s="1534">
        <f t="shared" si="32"/>
        <v>0</v>
      </c>
      <c r="L70" s="1535">
        <f t="shared" si="32"/>
        <v>0</v>
      </c>
      <c r="M70" s="1522"/>
      <c r="N70" s="1522"/>
    </row>
    <row r="71" spans="1:14" s="1511" customFormat="1" ht="14.25" customHeight="1">
      <c r="A71" s="2395"/>
      <c r="B71" s="2347"/>
      <c r="C71" s="1539" t="s">
        <v>3005</v>
      </c>
      <c r="D71" s="1531">
        <v>1</v>
      </c>
      <c r="E71" s="1540"/>
      <c r="F71" s="1534"/>
      <c r="G71" s="1534"/>
      <c r="H71" s="1534"/>
      <c r="I71" s="1541"/>
      <c r="J71" s="1541"/>
      <c r="K71" s="1541"/>
      <c r="L71" s="1542"/>
      <c r="M71" s="1522"/>
      <c r="N71" s="1522"/>
    </row>
    <row r="72" spans="1:14" s="1511" customFormat="1" ht="14.25" customHeight="1">
      <c r="A72" s="2395"/>
      <c r="B72" s="2347"/>
      <c r="C72" s="1539" t="s">
        <v>3006</v>
      </c>
      <c r="D72" s="1531">
        <v>1</v>
      </c>
      <c r="E72" s="1540"/>
      <c r="F72" s="1534"/>
      <c r="G72" s="1534"/>
      <c r="H72" s="1534"/>
      <c r="I72" s="1541"/>
      <c r="J72" s="1541"/>
      <c r="K72" s="1541"/>
      <c r="L72" s="1542"/>
      <c r="M72" s="1522"/>
      <c r="N72" s="1522"/>
    </row>
    <row r="73" spans="1:14" s="1511" customFormat="1" ht="14.25" customHeight="1">
      <c r="A73" s="2402"/>
      <c r="B73" s="1027" t="s">
        <v>2872</v>
      </c>
      <c r="C73" s="1543" t="s">
        <v>3007</v>
      </c>
      <c r="D73" s="1544">
        <v>1</v>
      </c>
      <c r="E73" s="1545">
        <v>0</v>
      </c>
      <c r="F73" s="1546">
        <f>SUM(G73:L73)</f>
        <v>0</v>
      </c>
      <c r="G73" s="1547">
        <f>IF(G7="積上げ",0,SUM(G52:G54)+G56)</f>
        <v>0</v>
      </c>
      <c r="H73" s="1547">
        <f t="shared" ref="H73:L73" si="33">IF(H7="積上げ",0,SUM(H52:H54)+H56)</f>
        <v>0</v>
      </c>
      <c r="I73" s="1547">
        <f t="shared" si="33"/>
        <v>0</v>
      </c>
      <c r="J73" s="1547">
        <f t="shared" si="33"/>
        <v>0</v>
      </c>
      <c r="K73" s="1547">
        <f t="shared" si="33"/>
        <v>0</v>
      </c>
      <c r="L73" s="1548">
        <f t="shared" si="33"/>
        <v>0</v>
      </c>
      <c r="M73" s="1522"/>
      <c r="N73" s="1522"/>
    </row>
    <row r="74" spans="1:14" s="1511" customFormat="1" ht="14.25" customHeight="1">
      <c r="A74" s="1549"/>
      <c r="B74" s="1035"/>
      <c r="C74" s="1550"/>
      <c r="D74" s="2338"/>
      <c r="E74" s="2338"/>
      <c r="F74" s="1551"/>
      <c r="G74" s="1552"/>
      <c r="H74" s="1552"/>
      <c r="I74" s="1552"/>
      <c r="J74" s="1552"/>
      <c r="K74" s="1552"/>
      <c r="L74" s="1553"/>
      <c r="M74" s="1522"/>
      <c r="N74" s="1522"/>
    </row>
    <row r="75" spans="1:14" s="1511" customFormat="1" ht="14.25" customHeight="1">
      <c r="A75" s="2392" t="s">
        <v>2874</v>
      </c>
      <c r="B75" s="2392"/>
      <c r="C75" s="2393"/>
      <c r="D75" s="2339"/>
      <c r="E75" s="2339"/>
      <c r="F75" s="1519"/>
      <c r="G75" s="1520"/>
      <c r="H75" s="1520"/>
      <c r="I75" s="1520"/>
      <c r="J75" s="1520"/>
      <c r="K75" s="1520"/>
      <c r="L75" s="1521"/>
      <c r="M75" s="1522"/>
      <c r="N75" s="1522"/>
    </row>
    <row r="76" spans="1:14" s="1511" customFormat="1" ht="14.25" customHeight="1">
      <c r="A76" s="2394"/>
      <c r="B76" s="2397" t="s">
        <v>3008</v>
      </c>
      <c r="C76" s="1554" t="s">
        <v>2838</v>
      </c>
      <c r="D76" s="1040"/>
      <c r="E76" s="1041" t="s">
        <v>2867</v>
      </c>
      <c r="F76" s="1555" t="s">
        <v>3009</v>
      </c>
      <c r="G76" s="1043">
        <f>IF(G4="新営",IF(G9="有り",+G180/100,G181/100),0)</f>
        <v>0</v>
      </c>
      <c r="H76" s="1043">
        <f t="shared" ref="H76:L76" si="34">IF(H4="新営",IF(H9="有り",+H180/100,H181/100),0)</f>
        <v>0</v>
      </c>
      <c r="I76" s="1043">
        <f t="shared" si="34"/>
        <v>0</v>
      </c>
      <c r="J76" s="1043">
        <f t="shared" si="34"/>
        <v>0</v>
      </c>
      <c r="K76" s="1043">
        <f t="shared" si="34"/>
        <v>0</v>
      </c>
      <c r="L76" s="1044">
        <f t="shared" si="34"/>
        <v>0</v>
      </c>
      <c r="M76" s="1556"/>
      <c r="N76" s="1556"/>
    </row>
    <row r="77" spans="1:14" s="1511" customFormat="1" ht="14.25" customHeight="1">
      <c r="A77" s="2395"/>
      <c r="B77" s="2398"/>
      <c r="C77" s="1557"/>
      <c r="D77" s="1558">
        <f>+D64</f>
        <v>1</v>
      </c>
      <c r="E77" s="1047" t="s">
        <v>2867</v>
      </c>
      <c r="F77" s="1559">
        <f>SUM(G77:L77)</f>
        <v>0</v>
      </c>
      <c r="G77" s="1560">
        <f t="shared" ref="G77:L77" si="35">ROUNDDOWN(G64*G76*$D77,0)</f>
        <v>0</v>
      </c>
      <c r="H77" s="1560">
        <f t="shared" si="35"/>
        <v>0</v>
      </c>
      <c r="I77" s="1560">
        <f t="shared" si="35"/>
        <v>0</v>
      </c>
      <c r="J77" s="1560">
        <f t="shared" si="35"/>
        <v>0</v>
      </c>
      <c r="K77" s="1560">
        <f t="shared" si="35"/>
        <v>0</v>
      </c>
      <c r="L77" s="1542">
        <f t="shared" si="35"/>
        <v>0</v>
      </c>
      <c r="M77" s="1522"/>
      <c r="N77" s="1522"/>
    </row>
    <row r="78" spans="1:14" s="1511" customFormat="1" ht="14.25" customHeight="1">
      <c r="A78" s="2395"/>
      <c r="B78" s="2398"/>
      <c r="C78" s="1561" t="s">
        <v>2839</v>
      </c>
      <c r="D78" s="1562"/>
      <c r="E78" s="1047" t="s">
        <v>3000</v>
      </c>
      <c r="F78" s="1563" t="s">
        <v>3010</v>
      </c>
      <c r="G78" s="1564">
        <f>IF(G4="改修",IF(G9="有り",+G189/100,G190/100),0)</f>
        <v>2.5099999999999997E-2</v>
      </c>
      <c r="H78" s="1564">
        <f t="shared" ref="H78:L78" si="36">IF(H4="改修",IF(H9="有り",+H189/100,H190/100),0)</f>
        <v>2.5099999999999997E-2</v>
      </c>
      <c r="I78" s="1564">
        <f t="shared" si="36"/>
        <v>2.5099999999999997E-2</v>
      </c>
      <c r="J78" s="1564">
        <f t="shared" si="36"/>
        <v>2.5099999999999997E-2</v>
      </c>
      <c r="K78" s="1564">
        <f t="shared" si="36"/>
        <v>2.5099999999999997E-2</v>
      </c>
      <c r="L78" s="1565">
        <f t="shared" si="36"/>
        <v>2.5099999999999997E-2</v>
      </c>
      <c r="M78" s="1556"/>
      <c r="N78" s="1556"/>
    </row>
    <row r="79" spans="1:14" s="1511" customFormat="1" ht="14.25" customHeight="1">
      <c r="A79" s="2395"/>
      <c r="B79" s="2399"/>
      <c r="C79" s="1557"/>
      <c r="D79" s="1558">
        <f>+D65</f>
        <v>1</v>
      </c>
      <c r="E79" s="1047" t="s">
        <v>3011</v>
      </c>
      <c r="F79" s="1559">
        <f t="shared" ref="F79:F87" si="37">SUM(G79:L79)</f>
        <v>0</v>
      </c>
      <c r="G79" s="1560">
        <f t="shared" ref="G79:L79" si="38">ROUNDDOWN(G65*G78*$D79,0)</f>
        <v>0</v>
      </c>
      <c r="H79" s="1560">
        <f t="shared" si="38"/>
        <v>0</v>
      </c>
      <c r="I79" s="1560">
        <f t="shared" si="38"/>
        <v>0</v>
      </c>
      <c r="J79" s="1560">
        <f t="shared" si="38"/>
        <v>0</v>
      </c>
      <c r="K79" s="1560">
        <f t="shared" si="38"/>
        <v>0</v>
      </c>
      <c r="L79" s="1566">
        <f t="shared" si="38"/>
        <v>0</v>
      </c>
      <c r="M79" s="1522"/>
      <c r="N79" s="1522"/>
    </row>
    <row r="80" spans="1:14" s="1511" customFormat="1" ht="14.25" customHeight="1">
      <c r="A80" s="2395"/>
      <c r="B80" s="2400" t="s">
        <v>2979</v>
      </c>
      <c r="C80" s="1475" t="s">
        <v>3001</v>
      </c>
      <c r="D80" s="1558">
        <v>1</v>
      </c>
      <c r="E80" s="1567"/>
      <c r="F80" s="1559">
        <f t="shared" si="37"/>
        <v>0</v>
      </c>
      <c r="G80" s="1560">
        <f t="shared" ref="G80:L80" si="39">IF(G$4="改修",ROUNDDOWN(G66*G$78*$D80,0),ROUNDDOWN(G66*G$76*$D80,0))</f>
        <v>0</v>
      </c>
      <c r="H80" s="1560">
        <f t="shared" si="39"/>
        <v>0</v>
      </c>
      <c r="I80" s="1560">
        <f t="shared" si="39"/>
        <v>0</v>
      </c>
      <c r="J80" s="1560">
        <f t="shared" si="39"/>
        <v>0</v>
      </c>
      <c r="K80" s="1560">
        <f t="shared" si="39"/>
        <v>0</v>
      </c>
      <c r="L80" s="1566">
        <f t="shared" si="39"/>
        <v>0</v>
      </c>
      <c r="M80" s="1522"/>
      <c r="N80" s="1522"/>
    </row>
    <row r="81" spans="1:256" s="1511" customFormat="1" ht="14.25" customHeight="1">
      <c r="A81" s="2395"/>
      <c r="B81" s="2398"/>
      <c r="C81" s="1482" t="s">
        <v>3002</v>
      </c>
      <c r="D81" s="1558">
        <v>1</v>
      </c>
      <c r="E81" s="1047"/>
      <c r="F81" s="1559">
        <f t="shared" si="37"/>
        <v>0</v>
      </c>
      <c r="G81" s="1560">
        <f t="shared" ref="G81:L81" si="40">IF(G$4="改修",ROUNDDOWN(G67*G$78*$D81,0),IF(G4="新営",ROUNDDOWN(G67*G$76*$D81,0),0))</f>
        <v>0</v>
      </c>
      <c r="H81" s="1560">
        <f t="shared" si="40"/>
        <v>0</v>
      </c>
      <c r="I81" s="1560">
        <f t="shared" si="40"/>
        <v>0</v>
      </c>
      <c r="J81" s="1560">
        <f t="shared" si="40"/>
        <v>0</v>
      </c>
      <c r="K81" s="1560">
        <f t="shared" si="40"/>
        <v>0</v>
      </c>
      <c r="L81" s="1560">
        <f t="shared" si="40"/>
        <v>0</v>
      </c>
      <c r="M81" s="1522"/>
      <c r="N81" s="1522"/>
    </row>
    <row r="82" spans="1:256" s="1511" customFormat="1" ht="14.25" customHeight="1">
      <c r="A82" s="2395"/>
      <c r="B82" s="2398"/>
      <c r="C82" s="1475" t="s">
        <v>3012</v>
      </c>
      <c r="D82" s="1558">
        <v>1</v>
      </c>
      <c r="E82" s="1047"/>
      <c r="F82" s="1559">
        <f t="shared" si="37"/>
        <v>0</v>
      </c>
      <c r="G82" s="1560">
        <f t="shared" ref="G82:L82" si="41">IF(G$4="改修",ROUNDDOWN(G68*G$78*$D82,0),IF(G4="新営",ROUNDDOWN(G68*G$76*$D82,0),0))</f>
        <v>0</v>
      </c>
      <c r="H82" s="1560">
        <f t="shared" si="41"/>
        <v>0</v>
      </c>
      <c r="I82" s="1560">
        <f t="shared" si="41"/>
        <v>0</v>
      </c>
      <c r="J82" s="1560">
        <f t="shared" si="41"/>
        <v>0</v>
      </c>
      <c r="K82" s="1560">
        <f t="shared" si="41"/>
        <v>0</v>
      </c>
      <c r="L82" s="1560">
        <f t="shared" si="41"/>
        <v>0</v>
      </c>
      <c r="M82" s="1522"/>
      <c r="N82" s="1522"/>
    </row>
    <row r="83" spans="1:256" s="1511" customFormat="1" ht="14.25" customHeight="1">
      <c r="A83" s="2395"/>
      <c r="B83" s="2398"/>
      <c r="C83" s="1475" t="s">
        <v>3013</v>
      </c>
      <c r="D83" s="1558">
        <v>1</v>
      </c>
      <c r="E83" s="1047"/>
      <c r="F83" s="1559">
        <f t="shared" si="37"/>
        <v>0</v>
      </c>
      <c r="G83" s="1560">
        <f t="shared" ref="G83:L84" si="42">IF(G$4="改修",ROUNDDOWN(G69*G$78*$D83,0),IF(G4="新営",ROUNDDOWN(G69*G$76*$D83,0),0))</f>
        <v>0</v>
      </c>
      <c r="H83" s="1560">
        <f t="shared" si="42"/>
        <v>0</v>
      </c>
      <c r="I83" s="1560">
        <f t="shared" si="42"/>
        <v>0</v>
      </c>
      <c r="J83" s="1560">
        <f t="shared" si="42"/>
        <v>0</v>
      </c>
      <c r="K83" s="1560">
        <f t="shared" si="42"/>
        <v>0</v>
      </c>
      <c r="L83" s="1560">
        <f t="shared" si="42"/>
        <v>0</v>
      </c>
      <c r="M83" s="1522"/>
      <c r="N83" s="1522"/>
    </row>
    <row r="84" spans="1:256" s="1511" customFormat="1" ht="14.25" customHeight="1">
      <c r="A84" s="2395"/>
      <c r="B84" s="1568"/>
      <c r="C84" s="1483" t="s">
        <v>2985</v>
      </c>
      <c r="D84" s="1538">
        <v>1</v>
      </c>
      <c r="E84" s="1047"/>
      <c r="F84" s="1533">
        <f>SUM(G84:L84)</f>
        <v>0</v>
      </c>
      <c r="G84" s="1569">
        <f t="shared" si="42"/>
        <v>0</v>
      </c>
      <c r="H84" s="1569">
        <f t="shared" si="42"/>
        <v>0</v>
      </c>
      <c r="I84" s="1569">
        <f t="shared" si="42"/>
        <v>0</v>
      </c>
      <c r="J84" s="1569">
        <f t="shared" si="42"/>
        <v>0</v>
      </c>
      <c r="K84" s="1569">
        <f t="shared" si="42"/>
        <v>0</v>
      </c>
      <c r="L84" s="1569">
        <f t="shared" si="42"/>
        <v>0</v>
      </c>
      <c r="M84" s="1522"/>
      <c r="N84" s="1522"/>
    </row>
    <row r="85" spans="1:256" s="1511" customFormat="1" ht="14.25" customHeight="1">
      <c r="A85" s="2395"/>
      <c r="B85" s="2347"/>
      <c r="C85" s="1539" t="s">
        <v>2881</v>
      </c>
      <c r="D85" s="1570">
        <f t="shared" ref="D85:E87" si="43">+D71</f>
        <v>1</v>
      </c>
      <c r="E85" s="1540">
        <f t="shared" si="43"/>
        <v>0</v>
      </c>
      <c r="F85" s="1559">
        <f t="shared" si="37"/>
        <v>0</v>
      </c>
      <c r="G85" s="1560">
        <f>ROUNDDOWN(G71*$E85*$D85,0)</f>
        <v>0</v>
      </c>
      <c r="H85" s="1560">
        <f t="shared" ref="H85:L87" si="44">ROUNDDOWN(H71*$E85*$D85,0)</f>
        <v>0</v>
      </c>
      <c r="I85" s="1560">
        <f t="shared" si="44"/>
        <v>0</v>
      </c>
      <c r="J85" s="1560">
        <f t="shared" si="44"/>
        <v>0</v>
      </c>
      <c r="K85" s="1560">
        <f t="shared" si="44"/>
        <v>0</v>
      </c>
      <c r="L85" s="1560">
        <f t="shared" si="44"/>
        <v>0</v>
      </c>
      <c r="M85" s="1522"/>
      <c r="N85" s="1522"/>
    </row>
    <row r="86" spans="1:256" s="1511" customFormat="1" ht="14.25" customHeight="1">
      <c r="A86" s="2395"/>
      <c r="B86" s="2347"/>
      <c r="C86" s="1539" t="s">
        <v>3006</v>
      </c>
      <c r="D86" s="1570">
        <f t="shared" si="43"/>
        <v>1</v>
      </c>
      <c r="E86" s="1540">
        <f t="shared" si="43"/>
        <v>0</v>
      </c>
      <c r="F86" s="1559">
        <f t="shared" si="37"/>
        <v>0</v>
      </c>
      <c r="G86" s="1560">
        <f>ROUNDDOWN(G72*$E86*$D86,0)</f>
        <v>0</v>
      </c>
      <c r="H86" s="1560">
        <f t="shared" si="44"/>
        <v>0</v>
      </c>
      <c r="I86" s="1560">
        <f t="shared" si="44"/>
        <v>0</v>
      </c>
      <c r="J86" s="1560">
        <f t="shared" si="44"/>
        <v>0</v>
      </c>
      <c r="K86" s="1560">
        <f t="shared" si="44"/>
        <v>0</v>
      </c>
      <c r="L86" s="1560">
        <f t="shared" si="44"/>
        <v>0</v>
      </c>
      <c r="M86" s="1522"/>
      <c r="N86" s="1522"/>
    </row>
    <row r="87" spans="1:256" s="1511" customFormat="1" ht="14.25" customHeight="1" thickBot="1">
      <c r="A87" s="2396"/>
      <c r="B87" s="1058" t="s">
        <v>2872</v>
      </c>
      <c r="C87" s="1543" t="s">
        <v>3014</v>
      </c>
      <c r="D87" s="1571">
        <f t="shared" si="43"/>
        <v>1</v>
      </c>
      <c r="E87" s="1572">
        <f t="shared" si="43"/>
        <v>0</v>
      </c>
      <c r="F87" s="1559">
        <f t="shared" si="37"/>
        <v>0</v>
      </c>
      <c r="G87" s="1560">
        <f>ROUNDDOWN(G73*$E87*$D87,0)</f>
        <v>0</v>
      </c>
      <c r="H87" s="1560">
        <f t="shared" si="44"/>
        <v>0</v>
      </c>
      <c r="I87" s="1560">
        <f t="shared" si="44"/>
        <v>0</v>
      </c>
      <c r="J87" s="1560">
        <f t="shared" si="44"/>
        <v>0</v>
      </c>
      <c r="K87" s="1560">
        <f t="shared" si="44"/>
        <v>0</v>
      </c>
      <c r="L87" s="1560">
        <f t="shared" si="44"/>
        <v>0</v>
      </c>
      <c r="M87" s="1522"/>
      <c r="N87" s="1522"/>
    </row>
    <row r="88" spans="1:256" s="1511" customFormat="1" ht="14.25" customHeight="1" thickTop="1">
      <c r="A88" s="1573"/>
      <c r="B88" s="1574"/>
      <c r="C88" s="1575" t="s">
        <v>2883</v>
      </c>
      <c r="D88" s="1576"/>
      <c r="E88" s="1577"/>
      <c r="F88" s="1578">
        <f>SUM(G88:L88)</f>
        <v>0</v>
      </c>
      <c r="G88" s="1579">
        <f t="shared" ref="G88:L88" si="45">SUM(G79:G87)+G77</f>
        <v>0</v>
      </c>
      <c r="H88" s="1579">
        <f t="shared" si="45"/>
        <v>0</v>
      </c>
      <c r="I88" s="1579">
        <f t="shared" si="45"/>
        <v>0</v>
      </c>
      <c r="J88" s="1579">
        <f t="shared" si="45"/>
        <v>0</v>
      </c>
      <c r="K88" s="1579">
        <f t="shared" si="45"/>
        <v>0</v>
      </c>
      <c r="L88" s="1579">
        <f t="shared" si="45"/>
        <v>0</v>
      </c>
      <c r="M88" s="1522"/>
      <c r="N88" s="1522"/>
    </row>
    <row r="89" spans="1:256" s="1504" customFormat="1" ht="15" customHeight="1">
      <c r="A89" s="1454"/>
      <c r="B89" s="1580"/>
      <c r="C89" s="1581"/>
      <c r="D89" s="1455"/>
      <c r="E89" s="1345"/>
      <c r="F89" s="1582"/>
      <c r="G89" s="1583"/>
      <c r="H89" s="1583"/>
      <c r="I89" s="1583"/>
      <c r="J89" s="1583"/>
      <c r="K89" s="1583"/>
      <c r="L89" s="1583"/>
      <c r="M89" s="1317"/>
      <c r="N89" s="1317"/>
      <c r="O89" s="1317"/>
      <c r="P89" s="1317"/>
      <c r="Q89" s="1317"/>
      <c r="R89" s="1317"/>
      <c r="S89" s="1317"/>
      <c r="T89" s="1317"/>
      <c r="U89" s="1317"/>
      <c r="V89" s="1317"/>
      <c r="W89" s="1317"/>
      <c r="X89" s="1317"/>
      <c r="Y89" s="1317"/>
      <c r="Z89" s="1317"/>
      <c r="AA89" s="1317"/>
      <c r="AB89" s="1317"/>
      <c r="AC89" s="1317"/>
      <c r="AD89" s="1317"/>
      <c r="AE89" s="1317"/>
      <c r="AF89" s="1317"/>
      <c r="AG89" s="1317"/>
      <c r="AH89" s="1317"/>
      <c r="AI89" s="1317"/>
      <c r="AJ89" s="1317"/>
      <c r="AK89" s="1317"/>
      <c r="AL89" s="1317"/>
      <c r="AM89" s="1317"/>
      <c r="AN89" s="1317"/>
      <c r="AO89" s="1317"/>
      <c r="AP89" s="1317"/>
      <c r="AQ89" s="1317"/>
      <c r="AR89" s="1317"/>
      <c r="AS89" s="1317"/>
      <c r="AT89" s="1317"/>
      <c r="AU89" s="1317"/>
      <c r="AV89" s="1317"/>
      <c r="AW89" s="1317"/>
      <c r="AX89" s="1317"/>
      <c r="AY89" s="1317"/>
      <c r="AZ89" s="1317"/>
      <c r="BA89" s="1317"/>
      <c r="BB89" s="1317"/>
      <c r="BC89" s="1317"/>
      <c r="BD89" s="1317"/>
      <c r="BE89" s="1317"/>
      <c r="BF89" s="1317"/>
      <c r="BG89" s="1317"/>
      <c r="BH89" s="1317"/>
      <c r="BI89" s="1317"/>
      <c r="BJ89" s="1317"/>
      <c r="BK89" s="1317"/>
      <c r="BL89" s="1317"/>
      <c r="BM89" s="1317"/>
      <c r="BN89" s="1317"/>
      <c r="BO89" s="1317"/>
      <c r="BP89" s="1317"/>
      <c r="BQ89" s="1317"/>
      <c r="BR89" s="1317"/>
      <c r="BS89" s="1317"/>
      <c r="BT89" s="1317"/>
      <c r="BU89" s="1317"/>
      <c r="BV89" s="1317"/>
      <c r="BW89" s="1317"/>
      <c r="BX89" s="1317"/>
      <c r="BY89" s="1317"/>
      <c r="BZ89" s="1317"/>
      <c r="CA89" s="1317"/>
      <c r="CB89" s="1317"/>
      <c r="CC89" s="1317"/>
      <c r="CD89" s="1317"/>
      <c r="CE89" s="1317"/>
      <c r="CF89" s="1317"/>
      <c r="CG89" s="1317"/>
      <c r="CH89" s="1317"/>
      <c r="CI89" s="1317"/>
      <c r="CJ89" s="1317"/>
      <c r="CK89" s="1317"/>
      <c r="CL89" s="1317"/>
      <c r="CM89" s="1317"/>
      <c r="CN89" s="1317"/>
      <c r="CO89" s="1317"/>
      <c r="CP89" s="1317"/>
      <c r="CQ89" s="1317"/>
      <c r="CR89" s="1317"/>
      <c r="CS89" s="1317"/>
      <c r="CT89" s="1317"/>
      <c r="CU89" s="1317"/>
      <c r="CV89" s="1317"/>
      <c r="CW89" s="1317"/>
      <c r="CX89" s="1317"/>
      <c r="CY89" s="1317"/>
      <c r="CZ89" s="1317"/>
      <c r="DA89" s="1317"/>
      <c r="DB89" s="1317"/>
      <c r="DC89" s="1317"/>
      <c r="DD89" s="1317"/>
      <c r="DE89" s="1317"/>
      <c r="DF89" s="1317"/>
      <c r="DG89" s="1317"/>
      <c r="DH89" s="1317"/>
      <c r="DI89" s="1317"/>
      <c r="DJ89" s="1317"/>
      <c r="DK89" s="1317"/>
      <c r="DL89" s="1317"/>
      <c r="DM89" s="1317"/>
      <c r="DN89" s="1317"/>
      <c r="DO89" s="1317"/>
      <c r="DP89" s="1317"/>
      <c r="DQ89" s="1317"/>
      <c r="DR89" s="1317"/>
      <c r="DS89" s="1317"/>
      <c r="DT89" s="1317"/>
      <c r="DU89" s="1317"/>
      <c r="DV89" s="1317"/>
      <c r="DW89" s="1317"/>
      <c r="DX89" s="1317"/>
      <c r="DY89" s="1317"/>
      <c r="DZ89" s="1317"/>
      <c r="EA89" s="1317"/>
      <c r="EB89" s="1317"/>
      <c r="EC89" s="1317"/>
      <c r="ED89" s="1317"/>
      <c r="EE89" s="1317"/>
      <c r="EF89" s="1317"/>
      <c r="EG89" s="1317"/>
      <c r="EH89" s="1317"/>
      <c r="EI89" s="1317"/>
      <c r="EJ89" s="1317"/>
      <c r="EK89" s="1317"/>
      <c r="EL89" s="1317"/>
      <c r="EM89" s="1317"/>
      <c r="EN89" s="1317"/>
      <c r="EO89" s="1317"/>
      <c r="EP89" s="1317"/>
      <c r="EQ89" s="1317"/>
      <c r="ER89" s="1317"/>
      <c r="ES89" s="1317"/>
      <c r="ET89" s="1317"/>
      <c r="EU89" s="1317"/>
      <c r="EV89" s="1317"/>
      <c r="EW89" s="1317"/>
      <c r="EX89" s="1317"/>
      <c r="EY89" s="1317"/>
      <c r="EZ89" s="1317"/>
      <c r="FA89" s="1317"/>
      <c r="FB89" s="1317"/>
      <c r="FC89" s="1317"/>
      <c r="FD89" s="1317"/>
      <c r="FE89" s="1317"/>
      <c r="FF89" s="1317"/>
      <c r="FG89" s="1317"/>
      <c r="FH89" s="1317"/>
      <c r="FI89" s="1317"/>
      <c r="FJ89" s="1317"/>
      <c r="FK89" s="1317"/>
      <c r="FL89" s="1317"/>
      <c r="FM89" s="1317"/>
      <c r="FN89" s="1317"/>
      <c r="FO89" s="1317"/>
      <c r="FP89" s="1317"/>
      <c r="FQ89" s="1317"/>
      <c r="FR89" s="1317"/>
      <c r="FS89" s="1317"/>
      <c r="FT89" s="1317"/>
      <c r="FU89" s="1317"/>
      <c r="FV89" s="1317"/>
      <c r="FW89" s="1317"/>
      <c r="FX89" s="1317"/>
      <c r="FY89" s="1317"/>
      <c r="FZ89" s="1317"/>
      <c r="GA89" s="1317"/>
      <c r="GB89" s="1317"/>
      <c r="GC89" s="1317"/>
      <c r="GD89" s="1317"/>
      <c r="GE89" s="1317"/>
      <c r="GF89" s="1317"/>
      <c r="GG89" s="1317"/>
      <c r="GH89" s="1317"/>
      <c r="GI89" s="1317"/>
      <c r="GJ89" s="1317"/>
      <c r="GK89" s="1317"/>
      <c r="GL89" s="1317"/>
      <c r="GM89" s="1317"/>
      <c r="GN89" s="1317"/>
      <c r="GO89" s="1317"/>
      <c r="GP89" s="1317"/>
      <c r="GQ89" s="1317"/>
      <c r="GR89" s="1317"/>
      <c r="GS89" s="1317"/>
      <c r="GT89" s="1317"/>
      <c r="GU89" s="1317"/>
      <c r="GV89" s="1317"/>
      <c r="GW89" s="1317"/>
      <c r="GX89" s="1317"/>
      <c r="GY89" s="1317"/>
      <c r="GZ89" s="1317"/>
      <c r="HA89" s="1317"/>
      <c r="HB89" s="1317"/>
      <c r="HC89" s="1317"/>
      <c r="HD89" s="1317"/>
      <c r="HE89" s="1317"/>
      <c r="HF89" s="1317"/>
      <c r="HG89" s="1317"/>
      <c r="HH89" s="1317"/>
      <c r="HI89" s="1317"/>
      <c r="HJ89" s="1317"/>
      <c r="HK89" s="1317"/>
      <c r="HL89" s="1317"/>
      <c r="HM89" s="1317"/>
      <c r="HN89" s="1317"/>
      <c r="HO89" s="1317"/>
      <c r="HP89" s="1317"/>
      <c r="HQ89" s="1317"/>
      <c r="HR89" s="1317"/>
      <c r="HS89" s="1317"/>
      <c r="HT89" s="1317"/>
      <c r="HU89" s="1317"/>
      <c r="HV89" s="1317"/>
      <c r="HW89" s="1317"/>
      <c r="HX89" s="1317"/>
      <c r="HY89" s="1317"/>
      <c r="HZ89" s="1317"/>
      <c r="IA89" s="1317"/>
      <c r="IB89" s="1317"/>
      <c r="IC89" s="1317"/>
      <c r="ID89" s="1317"/>
      <c r="IE89" s="1317"/>
      <c r="IF89" s="1317"/>
      <c r="IG89" s="1317"/>
      <c r="IH89" s="1317"/>
      <c r="II89" s="1317"/>
      <c r="IJ89" s="1317"/>
      <c r="IK89" s="1317"/>
      <c r="IL89" s="1317"/>
      <c r="IM89" s="1317"/>
      <c r="IN89" s="1317"/>
      <c r="IO89" s="1317"/>
      <c r="IP89" s="1317"/>
      <c r="IQ89" s="1317"/>
      <c r="IR89" s="1317"/>
      <c r="IS89" s="1317"/>
      <c r="IT89" s="1317"/>
      <c r="IU89" s="1317"/>
      <c r="IV89" s="1317"/>
    </row>
    <row r="90" spans="1:256" s="1504" customFormat="1" ht="15" customHeight="1">
      <c r="A90" s="1309"/>
      <c r="B90" s="1309"/>
      <c r="C90" s="1319" t="s">
        <v>3015</v>
      </c>
      <c r="D90" s="1319"/>
      <c r="E90" s="1310"/>
      <c r="F90" s="1310"/>
      <c r="G90" s="1314"/>
      <c r="H90" s="1314"/>
      <c r="I90" s="1314"/>
      <c r="J90" s="1314"/>
      <c r="K90" s="1314"/>
      <c r="L90" s="1584" t="s">
        <v>3016</v>
      </c>
    </row>
    <row r="91" spans="1:256" s="1504" customFormat="1" ht="15" customHeight="1">
      <c r="A91" s="1309"/>
      <c r="B91" s="1309"/>
      <c r="C91" s="1585" t="s">
        <v>3017</v>
      </c>
      <c r="D91" s="1585"/>
      <c r="E91" s="1310"/>
      <c r="F91" s="1310"/>
      <c r="G91" s="1314"/>
      <c r="H91" s="1314"/>
      <c r="I91" s="1314"/>
      <c r="J91" s="1314"/>
      <c r="K91" s="1314"/>
      <c r="L91" s="1316"/>
    </row>
    <row r="92" spans="1:256" s="1504" customFormat="1" ht="15" customHeight="1">
      <c r="A92" s="1586"/>
      <c r="B92" s="1587"/>
      <c r="C92" s="1587"/>
      <c r="D92" s="2388"/>
      <c r="E92" s="2388" t="s">
        <v>2899</v>
      </c>
      <c r="F92" s="1588" t="s">
        <v>2836</v>
      </c>
      <c r="G92" s="1589" t="str">
        <f t="shared" ref="G92:L92" si="46">+G5</f>
        <v>工事１</v>
      </c>
      <c r="H92" s="1589" t="str">
        <f t="shared" si="46"/>
        <v>工事２</v>
      </c>
      <c r="I92" s="1589" t="str">
        <f t="shared" si="46"/>
        <v>工事３</v>
      </c>
      <c r="J92" s="1589" t="str">
        <f t="shared" si="46"/>
        <v>工事４</v>
      </c>
      <c r="K92" s="1589" t="str">
        <f t="shared" si="46"/>
        <v>工事５</v>
      </c>
      <c r="L92" s="1590" t="str">
        <f t="shared" si="46"/>
        <v>工事６</v>
      </c>
    </row>
    <row r="93" spans="1:256" s="1504" customFormat="1" ht="14.25" customHeight="1">
      <c r="A93" s="2390" t="s">
        <v>2887</v>
      </c>
      <c r="B93" s="2391"/>
      <c r="C93" s="2391"/>
      <c r="D93" s="2389"/>
      <c r="E93" s="2389"/>
      <c r="F93" s="1591"/>
      <c r="G93" s="1592"/>
      <c r="H93" s="1592"/>
      <c r="I93" s="1592"/>
      <c r="J93" s="1592"/>
      <c r="K93" s="1592"/>
      <c r="L93" s="1593"/>
    </row>
    <row r="94" spans="1:256" s="1504" customFormat="1" ht="15" customHeight="1">
      <c r="A94" s="1594"/>
      <c r="B94" s="1595" t="s">
        <v>3018</v>
      </c>
      <c r="C94" s="1596"/>
      <c r="D94" s="1589"/>
      <c r="E94" s="1597"/>
      <c r="F94" s="1598">
        <f>SUM(G94:L94)</f>
        <v>0</v>
      </c>
      <c r="G94" s="1599">
        <f t="shared" ref="G94:L94" si="47">SUM(G37:G40)</f>
        <v>0</v>
      </c>
      <c r="H94" s="1599">
        <f t="shared" si="47"/>
        <v>0</v>
      </c>
      <c r="I94" s="1599">
        <f t="shared" si="47"/>
        <v>0</v>
      </c>
      <c r="J94" s="1599">
        <f t="shared" si="47"/>
        <v>0</v>
      </c>
      <c r="K94" s="1599">
        <f t="shared" si="47"/>
        <v>0</v>
      </c>
      <c r="L94" s="1599">
        <f t="shared" si="47"/>
        <v>0</v>
      </c>
    </row>
    <row r="95" spans="1:256" s="1504" customFormat="1" ht="15" customHeight="1">
      <c r="A95" s="1600"/>
      <c r="B95" s="2370" t="s">
        <v>3019</v>
      </c>
      <c r="C95" s="1412" t="s">
        <v>2838</v>
      </c>
      <c r="D95" s="1589"/>
      <c r="E95" s="1601" t="s">
        <v>3020</v>
      </c>
      <c r="F95" s="1598">
        <f>SUM(G95:L95)</f>
        <v>0</v>
      </c>
      <c r="G95" s="1602">
        <f t="shared" ref="G95:L95" si="48">+G37</f>
        <v>0</v>
      </c>
      <c r="H95" s="1602">
        <f t="shared" si="48"/>
        <v>0</v>
      </c>
      <c r="I95" s="1602">
        <f t="shared" si="48"/>
        <v>0</v>
      </c>
      <c r="J95" s="1602">
        <f t="shared" si="48"/>
        <v>0</v>
      </c>
      <c r="K95" s="1602">
        <f t="shared" si="48"/>
        <v>0</v>
      </c>
      <c r="L95" s="1603">
        <f t="shared" si="48"/>
        <v>0</v>
      </c>
    </row>
    <row r="96" spans="1:256" s="1504" customFormat="1" ht="15" customHeight="1">
      <c r="A96" s="1604"/>
      <c r="B96" s="2371"/>
      <c r="C96" s="1475" t="s">
        <v>2839</v>
      </c>
      <c r="D96" s="1605"/>
      <c r="E96" s="1606" t="s">
        <v>3020</v>
      </c>
      <c r="F96" s="1607">
        <f>SUM(G96:L96)</f>
        <v>0</v>
      </c>
      <c r="G96" s="1484">
        <f t="shared" ref="G96:L97" si="49">G38</f>
        <v>0</v>
      </c>
      <c r="H96" s="1484">
        <f t="shared" si="49"/>
        <v>0</v>
      </c>
      <c r="I96" s="1484">
        <f t="shared" si="49"/>
        <v>0</v>
      </c>
      <c r="J96" s="1484">
        <f t="shared" si="49"/>
        <v>0</v>
      </c>
      <c r="K96" s="1484">
        <f t="shared" si="49"/>
        <v>0</v>
      </c>
      <c r="L96" s="1485">
        <f t="shared" si="49"/>
        <v>0</v>
      </c>
    </row>
    <row r="97" spans="1:12" s="1504" customFormat="1" ht="15" customHeight="1">
      <c r="A97" s="1604"/>
      <c r="B97" s="2371"/>
      <c r="C97" s="1475" t="s">
        <v>3021</v>
      </c>
      <c r="D97" s="1605"/>
      <c r="E97" s="1606" t="s">
        <v>3020</v>
      </c>
      <c r="F97" s="1607">
        <f>SUM(G97:L97)</f>
        <v>0</v>
      </c>
      <c r="G97" s="1484">
        <f t="shared" si="49"/>
        <v>0</v>
      </c>
      <c r="H97" s="1484">
        <f t="shared" si="49"/>
        <v>0</v>
      </c>
      <c r="I97" s="1484">
        <f t="shared" si="49"/>
        <v>0</v>
      </c>
      <c r="J97" s="1484">
        <f t="shared" si="49"/>
        <v>0</v>
      </c>
      <c r="K97" s="1484">
        <f t="shared" si="49"/>
        <v>0</v>
      </c>
      <c r="L97" s="1485">
        <f t="shared" si="49"/>
        <v>0</v>
      </c>
    </row>
    <row r="98" spans="1:12" s="1504" customFormat="1" ht="15" customHeight="1">
      <c r="A98" s="1604"/>
      <c r="B98" s="2376"/>
      <c r="C98" s="1608" t="s">
        <v>2978</v>
      </c>
      <c r="D98" s="1605"/>
      <c r="E98" s="1606" t="s">
        <v>3020</v>
      </c>
      <c r="F98" s="1476">
        <f>F88</f>
        <v>0</v>
      </c>
      <c r="G98" s="1476">
        <f t="shared" ref="G98:L98" si="50">G88</f>
        <v>0</v>
      </c>
      <c r="H98" s="1476">
        <f t="shared" si="50"/>
        <v>0</v>
      </c>
      <c r="I98" s="1476">
        <f t="shared" si="50"/>
        <v>0</v>
      </c>
      <c r="J98" s="1476">
        <f t="shared" si="50"/>
        <v>0</v>
      </c>
      <c r="K98" s="1476">
        <f t="shared" si="50"/>
        <v>0</v>
      </c>
      <c r="L98" s="1477">
        <f t="shared" si="50"/>
        <v>0</v>
      </c>
    </row>
    <row r="99" spans="1:12" s="1504" customFormat="1" ht="15" customHeight="1">
      <c r="A99" s="1604"/>
      <c r="B99" s="2374" t="s">
        <v>2979</v>
      </c>
      <c r="C99" s="1609" t="s">
        <v>2980</v>
      </c>
      <c r="D99" s="1605"/>
      <c r="E99" s="1488">
        <v>0.2</v>
      </c>
      <c r="F99" s="1484">
        <f t="shared" ref="F99:F104" si="51">INT(F41/(1+$E99))</f>
        <v>0</v>
      </c>
      <c r="G99" s="1484">
        <f t="shared" ref="G99:G104" si="52">F99-SUM(H99:L99)</f>
        <v>0</v>
      </c>
      <c r="H99" s="1484">
        <f>INT(H41/(1+$E99))</f>
        <v>0</v>
      </c>
      <c r="I99" s="1484">
        <f>INT(I41/(1+$E99))</f>
        <v>0</v>
      </c>
      <c r="J99" s="1484">
        <f>INT(J41/(1+$E99))</f>
        <v>0</v>
      </c>
      <c r="K99" s="1484">
        <f>INT(K41/(1+$E99))</f>
        <v>0</v>
      </c>
      <c r="L99" s="1485">
        <f>INT(L41/(1+$E99))</f>
        <v>0</v>
      </c>
    </row>
    <row r="100" spans="1:12" s="1504" customFormat="1" ht="15" customHeight="1">
      <c r="A100" s="1604"/>
      <c r="B100" s="2372"/>
      <c r="C100" s="1475" t="s">
        <v>3022</v>
      </c>
      <c r="D100" s="1605"/>
      <c r="E100" s="1488">
        <v>0.2</v>
      </c>
      <c r="F100" s="1484">
        <f t="shared" si="51"/>
        <v>0</v>
      </c>
      <c r="G100" s="1484">
        <f t="shared" si="52"/>
        <v>0</v>
      </c>
      <c r="H100" s="1484">
        <f t="shared" ref="H100:L104" si="53">IF(H42=0,0,ROUND($F100/$F42*H42,0))</f>
        <v>0</v>
      </c>
      <c r="I100" s="1484">
        <f t="shared" si="53"/>
        <v>0</v>
      </c>
      <c r="J100" s="1484">
        <f t="shared" si="53"/>
        <v>0</v>
      </c>
      <c r="K100" s="1484">
        <f t="shared" si="53"/>
        <v>0</v>
      </c>
      <c r="L100" s="1485">
        <f t="shared" si="53"/>
        <v>0</v>
      </c>
    </row>
    <row r="101" spans="1:12" s="1504" customFormat="1" ht="15" customHeight="1">
      <c r="A101" s="1604"/>
      <c r="B101" s="2372"/>
      <c r="C101" s="1482" t="s">
        <v>3023</v>
      </c>
      <c r="D101" s="1605"/>
      <c r="E101" s="1610">
        <v>0.15</v>
      </c>
      <c r="F101" s="1484">
        <f t="shared" si="51"/>
        <v>0</v>
      </c>
      <c r="G101" s="1484">
        <f t="shared" si="52"/>
        <v>0</v>
      </c>
      <c r="H101" s="1484">
        <f t="shared" si="53"/>
        <v>0</v>
      </c>
      <c r="I101" s="1484">
        <f t="shared" si="53"/>
        <v>0</v>
      </c>
      <c r="J101" s="1484">
        <f t="shared" si="53"/>
        <v>0</v>
      </c>
      <c r="K101" s="1484">
        <f t="shared" si="53"/>
        <v>0</v>
      </c>
      <c r="L101" s="1485">
        <f t="shared" si="53"/>
        <v>0</v>
      </c>
    </row>
    <row r="102" spans="1:12" s="1504" customFormat="1" ht="15" customHeight="1">
      <c r="A102" s="1604"/>
      <c r="B102" s="2372"/>
      <c r="C102" s="1475" t="s">
        <v>3024</v>
      </c>
      <c r="D102" s="1605"/>
      <c r="E102" s="1488">
        <v>0.2</v>
      </c>
      <c r="F102" s="1484">
        <f t="shared" si="51"/>
        <v>0</v>
      </c>
      <c r="G102" s="1484">
        <f t="shared" si="52"/>
        <v>0</v>
      </c>
      <c r="H102" s="1484">
        <f t="shared" si="53"/>
        <v>0</v>
      </c>
      <c r="I102" s="1484">
        <f t="shared" si="53"/>
        <v>0</v>
      </c>
      <c r="J102" s="1484">
        <f t="shared" si="53"/>
        <v>0</v>
      </c>
      <c r="K102" s="1484">
        <f t="shared" si="53"/>
        <v>0</v>
      </c>
      <c r="L102" s="1485">
        <f t="shared" si="53"/>
        <v>0</v>
      </c>
    </row>
    <row r="103" spans="1:12" s="1504" customFormat="1" ht="15" customHeight="1">
      <c r="A103" s="1604"/>
      <c r="B103" s="2372"/>
      <c r="C103" s="1475" t="s">
        <v>3025</v>
      </c>
      <c r="D103" s="1605"/>
      <c r="E103" s="1488">
        <v>0.2</v>
      </c>
      <c r="F103" s="1484">
        <f t="shared" si="51"/>
        <v>0</v>
      </c>
      <c r="G103" s="1484">
        <f t="shared" si="52"/>
        <v>0</v>
      </c>
      <c r="H103" s="1484">
        <f t="shared" si="53"/>
        <v>0</v>
      </c>
      <c r="I103" s="1484">
        <f t="shared" si="53"/>
        <v>0</v>
      </c>
      <c r="J103" s="1484">
        <f t="shared" si="53"/>
        <v>0</v>
      </c>
      <c r="K103" s="1484">
        <f t="shared" si="53"/>
        <v>0</v>
      </c>
      <c r="L103" s="1485">
        <f t="shared" si="53"/>
        <v>0</v>
      </c>
    </row>
    <row r="104" spans="1:12" s="1504" customFormat="1" ht="15" customHeight="1">
      <c r="A104" s="1604"/>
      <c r="B104" s="2372"/>
      <c r="C104" s="1475" t="s">
        <v>3026</v>
      </c>
      <c r="D104" s="1605"/>
      <c r="E104" s="1488">
        <v>0.2</v>
      </c>
      <c r="F104" s="1484">
        <f t="shared" si="51"/>
        <v>0</v>
      </c>
      <c r="G104" s="1484">
        <f t="shared" si="52"/>
        <v>0</v>
      </c>
      <c r="H104" s="1484">
        <f t="shared" si="53"/>
        <v>0</v>
      </c>
      <c r="I104" s="1484">
        <f t="shared" si="53"/>
        <v>0</v>
      </c>
      <c r="J104" s="1484">
        <f t="shared" si="53"/>
        <v>0</v>
      </c>
      <c r="K104" s="1484">
        <f t="shared" si="53"/>
        <v>0</v>
      </c>
      <c r="L104" s="1485">
        <f t="shared" si="53"/>
        <v>0</v>
      </c>
    </row>
    <row r="105" spans="1:12" s="1504" customFormat="1" ht="15" customHeight="1">
      <c r="A105" s="1604"/>
      <c r="B105" s="2372"/>
      <c r="C105" s="1475"/>
      <c r="D105" s="1605"/>
      <c r="E105" s="1488"/>
      <c r="F105" s="1607"/>
      <c r="G105" s="1484"/>
      <c r="H105" s="1484"/>
      <c r="I105" s="1484"/>
      <c r="J105" s="1484"/>
      <c r="K105" s="1484"/>
      <c r="L105" s="1485"/>
    </row>
    <row r="106" spans="1:12" s="1504" customFormat="1" ht="15" customHeight="1">
      <c r="A106" s="1604"/>
      <c r="B106" s="2375"/>
      <c r="C106" s="1475"/>
      <c r="D106" s="1605"/>
      <c r="E106" s="1488"/>
      <c r="F106" s="1607"/>
      <c r="G106" s="1484"/>
      <c r="H106" s="1484"/>
      <c r="I106" s="1484"/>
      <c r="J106" s="1484"/>
      <c r="K106" s="1484"/>
      <c r="L106" s="1485"/>
    </row>
    <row r="107" spans="1:12" s="1504" customFormat="1" ht="15" customHeight="1">
      <c r="A107" s="1604"/>
      <c r="B107" s="2374" t="s">
        <v>2038</v>
      </c>
      <c r="C107" s="1475" t="s">
        <v>3027</v>
      </c>
      <c r="D107" s="1605"/>
      <c r="E107" s="1488">
        <v>0.02</v>
      </c>
      <c r="F107" s="1607">
        <f>SUM(G107:L107)</f>
        <v>0</v>
      </c>
      <c r="G107" s="1484">
        <f>+G49</f>
        <v>0</v>
      </c>
      <c r="H107" s="1484">
        <f t="shared" ref="H107:L109" si="54">+H49</f>
        <v>0</v>
      </c>
      <c r="I107" s="1484">
        <f t="shared" si="54"/>
        <v>0</v>
      </c>
      <c r="J107" s="1484">
        <f t="shared" si="54"/>
        <v>0</v>
      </c>
      <c r="K107" s="1484">
        <f t="shared" si="54"/>
        <v>0</v>
      </c>
      <c r="L107" s="1484">
        <f t="shared" si="54"/>
        <v>0</v>
      </c>
    </row>
    <row r="108" spans="1:12" s="1504" customFormat="1" ht="15" customHeight="1">
      <c r="A108" s="1604"/>
      <c r="B108" s="2371"/>
      <c r="C108" s="1490" t="s">
        <v>3028</v>
      </c>
      <c r="D108" s="1605"/>
      <c r="E108" s="1488">
        <v>0.02</v>
      </c>
      <c r="F108" s="1607">
        <f>SUM(G108:L108)</f>
        <v>0</v>
      </c>
      <c r="G108" s="1484">
        <f>+G50</f>
        <v>0</v>
      </c>
      <c r="H108" s="1484">
        <f t="shared" si="54"/>
        <v>0</v>
      </c>
      <c r="I108" s="1484">
        <f t="shared" si="54"/>
        <v>0</v>
      </c>
      <c r="J108" s="1484">
        <f t="shared" si="54"/>
        <v>0</v>
      </c>
      <c r="K108" s="1484">
        <f t="shared" si="54"/>
        <v>0</v>
      </c>
      <c r="L108" s="1484">
        <f t="shared" si="54"/>
        <v>0</v>
      </c>
    </row>
    <row r="109" spans="1:12" s="1504" customFormat="1" ht="15" customHeight="1">
      <c r="A109" s="1604"/>
      <c r="B109" s="2376"/>
      <c r="C109" s="1490" t="s">
        <v>3029</v>
      </c>
      <c r="D109" s="1605"/>
      <c r="E109" s="1488">
        <v>0.02</v>
      </c>
      <c r="F109" s="1607">
        <f>SUM(G109:L109)</f>
        <v>0</v>
      </c>
      <c r="G109" s="1484">
        <f>+G51</f>
        <v>0</v>
      </c>
      <c r="H109" s="1484">
        <f t="shared" si="54"/>
        <v>0</v>
      </c>
      <c r="I109" s="1484">
        <f t="shared" si="54"/>
        <v>0</v>
      </c>
      <c r="J109" s="1484">
        <f t="shared" si="54"/>
        <v>0</v>
      </c>
      <c r="K109" s="1484">
        <f t="shared" si="54"/>
        <v>0</v>
      </c>
      <c r="L109" s="1484">
        <f t="shared" si="54"/>
        <v>0</v>
      </c>
    </row>
    <row r="110" spans="1:12" s="1504" customFormat="1" ht="15" customHeight="1">
      <c r="A110" s="1604"/>
      <c r="B110" s="1611" t="s">
        <v>2872</v>
      </c>
      <c r="C110" s="1612" t="s">
        <v>3030</v>
      </c>
      <c r="D110" s="1605"/>
      <c r="E110" s="1488">
        <v>0</v>
      </c>
      <c r="F110" s="1607">
        <f>SUM(G110:L110)</f>
        <v>0</v>
      </c>
      <c r="G110" s="1613">
        <f t="shared" ref="G110:L110" si="55">SUM(G52:G58)</f>
        <v>0</v>
      </c>
      <c r="H110" s="1613">
        <f t="shared" si="55"/>
        <v>0</v>
      </c>
      <c r="I110" s="1613">
        <f t="shared" si="55"/>
        <v>0</v>
      </c>
      <c r="J110" s="1613">
        <f t="shared" si="55"/>
        <v>0</v>
      </c>
      <c r="K110" s="1613">
        <f t="shared" si="55"/>
        <v>0</v>
      </c>
      <c r="L110" s="1613">
        <f t="shared" si="55"/>
        <v>0</v>
      </c>
    </row>
    <row r="111" spans="1:12" s="1504" customFormat="1" ht="15" customHeight="1">
      <c r="A111" s="1614" t="s">
        <v>3031</v>
      </c>
      <c r="B111" s="1615"/>
      <c r="C111" s="1615"/>
      <c r="D111" s="1616"/>
      <c r="E111" s="1617" t="s">
        <v>3032</v>
      </c>
      <c r="F111" s="1618"/>
      <c r="G111" s="1619"/>
      <c r="H111" s="1619"/>
      <c r="I111" s="1619"/>
      <c r="J111" s="1619"/>
      <c r="K111" s="1619"/>
      <c r="L111" s="1620"/>
    </row>
    <row r="112" spans="1:12" s="1504" customFormat="1" ht="15" customHeight="1">
      <c r="A112" s="1600"/>
      <c r="B112" s="2370" t="s">
        <v>3019</v>
      </c>
      <c r="C112" s="1621" t="s">
        <v>2838</v>
      </c>
      <c r="D112" s="1115"/>
      <c r="E112" s="1116" t="s">
        <v>2867</v>
      </c>
      <c r="F112" s="1622" t="s">
        <v>3033</v>
      </c>
      <c r="G112" s="1118">
        <f t="shared" ref="G112:L112" si="56">IF(G95=0,0,+G198/100)</f>
        <v>0</v>
      </c>
      <c r="H112" s="1118">
        <f t="shared" si="56"/>
        <v>0</v>
      </c>
      <c r="I112" s="1118">
        <f t="shared" si="56"/>
        <v>0</v>
      </c>
      <c r="J112" s="1118">
        <f t="shared" si="56"/>
        <v>0</v>
      </c>
      <c r="K112" s="1118">
        <f t="shared" si="56"/>
        <v>0</v>
      </c>
      <c r="L112" s="1119">
        <f t="shared" si="56"/>
        <v>0</v>
      </c>
    </row>
    <row r="113" spans="1:12" s="1504" customFormat="1" ht="15" customHeight="1">
      <c r="A113" s="1604"/>
      <c r="B113" s="2371"/>
      <c r="C113" s="1623"/>
      <c r="D113" s="1624">
        <v>1</v>
      </c>
      <c r="E113" s="1122" t="s">
        <v>3000</v>
      </c>
      <c r="F113" s="1389">
        <f>SUM(G113:L113)</f>
        <v>0</v>
      </c>
      <c r="G113" s="1625">
        <f t="shared" ref="G113:L113" si="57">ROUNDDOWN(G95*G112*$D113,0)</f>
        <v>0</v>
      </c>
      <c r="H113" s="1625">
        <f t="shared" si="57"/>
        <v>0</v>
      </c>
      <c r="I113" s="1625">
        <f t="shared" si="57"/>
        <v>0</v>
      </c>
      <c r="J113" s="1625">
        <f t="shared" si="57"/>
        <v>0</v>
      </c>
      <c r="K113" s="1625">
        <f t="shared" si="57"/>
        <v>0</v>
      </c>
      <c r="L113" s="1626">
        <f t="shared" si="57"/>
        <v>0</v>
      </c>
    </row>
    <row r="114" spans="1:12" s="1504" customFormat="1" ht="15" customHeight="1">
      <c r="A114" s="1604"/>
      <c r="B114" s="2371"/>
      <c r="C114" s="1627" t="s">
        <v>2839</v>
      </c>
      <c r="D114" s="1394"/>
      <c r="E114" s="1122" t="s">
        <v>3034</v>
      </c>
      <c r="F114" s="1628" t="s">
        <v>2875</v>
      </c>
      <c r="G114" s="1629">
        <f t="shared" ref="G114:L114" si="58">IF(G96=0,0,+G206/100)</f>
        <v>0</v>
      </c>
      <c r="H114" s="1629">
        <f t="shared" si="58"/>
        <v>0</v>
      </c>
      <c r="I114" s="1629">
        <f t="shared" si="58"/>
        <v>0</v>
      </c>
      <c r="J114" s="1629">
        <f t="shared" si="58"/>
        <v>0</v>
      </c>
      <c r="K114" s="1629">
        <f t="shared" si="58"/>
        <v>0</v>
      </c>
      <c r="L114" s="1630">
        <f t="shared" si="58"/>
        <v>0</v>
      </c>
    </row>
    <row r="115" spans="1:12" s="1504" customFormat="1" ht="15" customHeight="1">
      <c r="A115" s="1604"/>
      <c r="B115" s="2372"/>
      <c r="C115" s="1623"/>
      <c r="D115" s="1624">
        <v>1</v>
      </c>
      <c r="E115" s="1122" t="s">
        <v>3035</v>
      </c>
      <c r="F115" s="1389">
        <f>SUM(G115:L115)</f>
        <v>0</v>
      </c>
      <c r="G115" s="1625">
        <f t="shared" ref="G115:L115" si="59">IF(G4="改修",ROUNDDOWN(G96*G114*$D115,0),0)</f>
        <v>0</v>
      </c>
      <c r="H115" s="1625">
        <f t="shared" si="59"/>
        <v>0</v>
      </c>
      <c r="I115" s="1625">
        <f t="shared" si="59"/>
        <v>0</v>
      </c>
      <c r="J115" s="1625">
        <f t="shared" si="59"/>
        <v>0</v>
      </c>
      <c r="K115" s="1625">
        <f t="shared" si="59"/>
        <v>0</v>
      </c>
      <c r="L115" s="1626">
        <f t="shared" si="59"/>
        <v>0</v>
      </c>
    </row>
    <row r="116" spans="1:12" s="1504" customFormat="1" ht="15" customHeight="1">
      <c r="A116" s="1604"/>
      <c r="B116" s="2372"/>
      <c r="C116" s="1631" t="s">
        <v>3036</v>
      </c>
      <c r="D116" s="1632"/>
      <c r="E116" s="1633"/>
      <c r="F116" s="1634" t="s">
        <v>2875</v>
      </c>
      <c r="G116" s="1635">
        <f>IF(G98=0,0,IF(G4="改修",G206/100,G198/100))</f>
        <v>0</v>
      </c>
      <c r="H116" s="1635">
        <f t="shared" ref="H116:L116" si="60">IF(H98=0,0,IF(H4="改修",H206/100,H198/100))</f>
        <v>0</v>
      </c>
      <c r="I116" s="1635">
        <f t="shared" si="60"/>
        <v>0</v>
      </c>
      <c r="J116" s="1635">
        <f t="shared" si="60"/>
        <v>0</v>
      </c>
      <c r="K116" s="1635">
        <f t="shared" si="60"/>
        <v>0</v>
      </c>
      <c r="L116" s="1636">
        <f t="shared" si="60"/>
        <v>0</v>
      </c>
    </row>
    <row r="117" spans="1:12" s="1504" customFormat="1" ht="15" customHeight="1">
      <c r="A117" s="1604"/>
      <c r="B117" s="2372"/>
      <c r="C117" s="1637" t="s">
        <v>3037</v>
      </c>
      <c r="D117" s="1638"/>
      <c r="E117" s="1633"/>
      <c r="F117" s="1634"/>
      <c r="G117" s="1470">
        <f t="shared" ref="G117:L117" si="61">ROUND(G97*G116,0)</f>
        <v>0</v>
      </c>
      <c r="H117" s="1470">
        <f t="shared" si="61"/>
        <v>0</v>
      </c>
      <c r="I117" s="1470">
        <f t="shared" si="61"/>
        <v>0</v>
      </c>
      <c r="J117" s="1470">
        <f t="shared" si="61"/>
        <v>0</v>
      </c>
      <c r="K117" s="1470">
        <f t="shared" si="61"/>
        <v>0</v>
      </c>
      <c r="L117" s="1471">
        <f t="shared" si="61"/>
        <v>0</v>
      </c>
    </row>
    <row r="118" spans="1:12" s="1504" customFormat="1" ht="15" customHeight="1">
      <c r="A118" s="1604"/>
      <c r="B118" s="2373"/>
      <c r="C118" s="1639" t="s">
        <v>3038</v>
      </c>
      <c r="D118" s="1640"/>
      <c r="E118" s="1641"/>
      <c r="F118" s="1642">
        <f>SUM(G118:L118)</f>
        <v>0</v>
      </c>
      <c r="G118" s="1478">
        <f t="shared" ref="G118:L118" si="62">ROUND(G98*G116,0)</f>
        <v>0</v>
      </c>
      <c r="H118" s="1478">
        <f t="shared" si="62"/>
        <v>0</v>
      </c>
      <c r="I118" s="1478">
        <f t="shared" si="62"/>
        <v>0</v>
      </c>
      <c r="J118" s="1478">
        <f t="shared" si="62"/>
        <v>0</v>
      </c>
      <c r="K118" s="1478">
        <f t="shared" si="62"/>
        <v>0</v>
      </c>
      <c r="L118" s="1479">
        <f t="shared" si="62"/>
        <v>0</v>
      </c>
    </row>
    <row r="119" spans="1:12" s="1504" customFormat="1" ht="15" customHeight="1">
      <c r="A119" s="1604"/>
      <c r="B119" s="2374" t="s">
        <v>2979</v>
      </c>
      <c r="C119" s="1475" t="str">
        <f>+C99</f>
        <v>(4-2)積上げ共通仮設工事※警備員費・率除外項目除く</v>
      </c>
      <c r="D119" s="1643"/>
      <c r="E119" s="1488">
        <f t="shared" ref="E119:E124" si="63">+E99</f>
        <v>0.2</v>
      </c>
      <c r="F119" s="1389">
        <f t="shared" ref="F119:F124" si="64">INT((F41-F99)*0.5)</f>
        <v>0</v>
      </c>
      <c r="G119" s="1484">
        <f t="shared" ref="G119:G124" si="65">F119-SUM(H119:L119)</f>
        <v>0</v>
      </c>
      <c r="H119" s="1484">
        <f t="shared" ref="H119:L124" si="66">IF(H99=0,0,ROUND($F119/$F99*H99,0))</f>
        <v>0</v>
      </c>
      <c r="I119" s="1484">
        <f t="shared" si="66"/>
        <v>0</v>
      </c>
      <c r="J119" s="1484">
        <f t="shared" si="66"/>
        <v>0</v>
      </c>
      <c r="K119" s="1484">
        <f t="shared" si="66"/>
        <v>0</v>
      </c>
      <c r="L119" s="1485">
        <f t="shared" si="66"/>
        <v>0</v>
      </c>
    </row>
    <row r="120" spans="1:12" s="1504" customFormat="1" ht="15" customHeight="1">
      <c r="A120" s="1604"/>
      <c r="B120" s="2372"/>
      <c r="C120" s="1475" t="str">
        <f>+C100</f>
        <v>(5)直接仮設工事</v>
      </c>
      <c r="D120" s="1643"/>
      <c r="E120" s="1488">
        <f t="shared" si="63"/>
        <v>0.2</v>
      </c>
      <c r="F120" s="1389">
        <f t="shared" si="64"/>
        <v>0</v>
      </c>
      <c r="G120" s="1484">
        <f t="shared" si="65"/>
        <v>0</v>
      </c>
      <c r="H120" s="1484">
        <f t="shared" si="66"/>
        <v>0</v>
      </c>
      <c r="I120" s="1484">
        <f t="shared" si="66"/>
        <v>0</v>
      </c>
      <c r="J120" s="1484">
        <f t="shared" si="66"/>
        <v>0</v>
      </c>
      <c r="K120" s="1484">
        <f t="shared" si="66"/>
        <v>0</v>
      </c>
      <c r="L120" s="1485">
        <f t="shared" si="66"/>
        <v>0</v>
      </c>
    </row>
    <row r="121" spans="1:12" s="1504" customFormat="1" ht="15" customHeight="1">
      <c r="A121" s="1604"/>
      <c r="B121" s="2372"/>
      <c r="C121" s="1482" t="str">
        <f>C101</f>
        <v>(6)建具工事</v>
      </c>
      <c r="D121" s="1643"/>
      <c r="E121" s="1644">
        <f t="shared" si="63"/>
        <v>0.15</v>
      </c>
      <c r="F121" s="1389">
        <f t="shared" si="64"/>
        <v>0</v>
      </c>
      <c r="G121" s="1484">
        <f t="shared" si="65"/>
        <v>0</v>
      </c>
      <c r="H121" s="1484">
        <f t="shared" si="66"/>
        <v>0</v>
      </c>
      <c r="I121" s="1484">
        <f t="shared" si="66"/>
        <v>0</v>
      </c>
      <c r="J121" s="1484">
        <f t="shared" si="66"/>
        <v>0</v>
      </c>
      <c r="K121" s="1484">
        <f t="shared" si="66"/>
        <v>0</v>
      </c>
      <c r="L121" s="1485">
        <f t="shared" si="66"/>
        <v>0</v>
      </c>
    </row>
    <row r="122" spans="1:12" s="1504" customFormat="1" ht="15" customHeight="1">
      <c r="A122" s="1604"/>
      <c r="B122" s="2372"/>
      <c r="C122" s="1475" t="str">
        <f>+C102</f>
        <v>(7)場内小運搬費</v>
      </c>
      <c r="D122" s="1643"/>
      <c r="E122" s="1488">
        <f t="shared" si="63"/>
        <v>0.2</v>
      </c>
      <c r="F122" s="1389">
        <f t="shared" si="64"/>
        <v>0</v>
      </c>
      <c r="G122" s="1484">
        <f t="shared" si="65"/>
        <v>0</v>
      </c>
      <c r="H122" s="1484">
        <f t="shared" si="66"/>
        <v>0</v>
      </c>
      <c r="I122" s="1484">
        <f t="shared" si="66"/>
        <v>0</v>
      </c>
      <c r="J122" s="1484">
        <f t="shared" si="66"/>
        <v>0</v>
      </c>
      <c r="K122" s="1484">
        <f t="shared" si="66"/>
        <v>0</v>
      </c>
      <c r="L122" s="1485">
        <f t="shared" si="66"/>
        <v>0</v>
      </c>
    </row>
    <row r="123" spans="1:12" s="1504" customFormat="1" ht="15" customHeight="1">
      <c r="A123" s="1604"/>
      <c r="B123" s="2372"/>
      <c r="C123" s="1475" t="str">
        <f>+C103</f>
        <v>(8)〃人力積込み費</v>
      </c>
      <c r="D123" s="1643"/>
      <c r="E123" s="1488">
        <f t="shared" si="63"/>
        <v>0.2</v>
      </c>
      <c r="F123" s="1389">
        <f t="shared" si="64"/>
        <v>0</v>
      </c>
      <c r="G123" s="1484">
        <f t="shared" si="65"/>
        <v>0</v>
      </c>
      <c r="H123" s="1484">
        <f t="shared" si="66"/>
        <v>0</v>
      </c>
      <c r="I123" s="1484">
        <f t="shared" si="66"/>
        <v>0</v>
      </c>
      <c r="J123" s="1484">
        <f t="shared" si="66"/>
        <v>0</v>
      </c>
      <c r="K123" s="1484">
        <f t="shared" si="66"/>
        <v>0</v>
      </c>
      <c r="L123" s="1645">
        <f t="shared" si="66"/>
        <v>0</v>
      </c>
    </row>
    <row r="124" spans="1:12" s="1504" customFormat="1" ht="15" customHeight="1">
      <c r="A124" s="1604"/>
      <c r="B124" s="2372"/>
      <c r="C124" s="1475" t="str">
        <f>+C104</f>
        <v>(9)〃搬出準備費</v>
      </c>
      <c r="D124" s="1643"/>
      <c r="E124" s="1488">
        <f t="shared" si="63"/>
        <v>0.2</v>
      </c>
      <c r="F124" s="1389">
        <f t="shared" si="64"/>
        <v>0</v>
      </c>
      <c r="G124" s="1484">
        <f t="shared" si="65"/>
        <v>0</v>
      </c>
      <c r="H124" s="1484">
        <f t="shared" si="66"/>
        <v>0</v>
      </c>
      <c r="I124" s="1484">
        <f t="shared" si="66"/>
        <v>0</v>
      </c>
      <c r="J124" s="1484">
        <f t="shared" si="66"/>
        <v>0</v>
      </c>
      <c r="K124" s="1484">
        <f t="shared" si="66"/>
        <v>0</v>
      </c>
      <c r="L124" s="1645">
        <f t="shared" si="66"/>
        <v>0</v>
      </c>
    </row>
    <row r="125" spans="1:12" s="1504" customFormat="1" ht="15" customHeight="1">
      <c r="A125" s="1604"/>
      <c r="B125" s="2372"/>
      <c r="C125" s="1475"/>
      <c r="D125" s="1643"/>
      <c r="E125" s="1646"/>
      <c r="F125" s="1389"/>
      <c r="G125" s="1484"/>
      <c r="H125" s="1484"/>
      <c r="I125" s="1484"/>
      <c r="J125" s="1484"/>
      <c r="K125" s="1484"/>
      <c r="L125" s="1485"/>
    </row>
    <row r="126" spans="1:12" s="1504" customFormat="1" ht="15" customHeight="1">
      <c r="A126" s="1604"/>
      <c r="B126" s="2375"/>
      <c r="C126" s="1475"/>
      <c r="D126" s="1643"/>
      <c r="E126" s="1488"/>
      <c r="F126" s="1389"/>
      <c r="G126" s="1484"/>
      <c r="H126" s="1484"/>
      <c r="I126" s="1484"/>
      <c r="J126" s="1484"/>
      <c r="K126" s="1484"/>
      <c r="L126" s="1485"/>
    </row>
    <row r="127" spans="1:12" s="1504" customFormat="1" ht="15" customHeight="1">
      <c r="A127" s="1604"/>
      <c r="B127" s="2374" t="s">
        <v>2038</v>
      </c>
      <c r="C127" s="1475" t="s">
        <v>2986</v>
      </c>
      <c r="D127" s="1643"/>
      <c r="E127" s="1488">
        <f>+E107</f>
        <v>0.02</v>
      </c>
      <c r="F127" s="1389">
        <f>INT(F107*E127)</f>
        <v>0</v>
      </c>
      <c r="G127" s="1484">
        <f>F127-SUM(H127:L127)</f>
        <v>0</v>
      </c>
      <c r="H127" s="1484">
        <f t="shared" ref="H127:L129" si="67">IF(H107=0,0,ROUND($F127/$F107*H107,0))</f>
        <v>0</v>
      </c>
      <c r="I127" s="1484">
        <f t="shared" si="67"/>
        <v>0</v>
      </c>
      <c r="J127" s="1484">
        <f t="shared" si="67"/>
        <v>0</v>
      </c>
      <c r="K127" s="1484">
        <f t="shared" si="67"/>
        <v>0</v>
      </c>
      <c r="L127" s="1645">
        <f t="shared" si="67"/>
        <v>0</v>
      </c>
    </row>
    <row r="128" spans="1:12" s="1504" customFormat="1" ht="15" customHeight="1">
      <c r="A128" s="1604"/>
      <c r="B128" s="2371"/>
      <c r="C128" s="1490" t="s">
        <v>3028</v>
      </c>
      <c r="D128" s="1643"/>
      <c r="E128" s="1488">
        <f>+E108</f>
        <v>0.02</v>
      </c>
      <c r="F128" s="1389">
        <f>INT(F108*E128)</f>
        <v>0</v>
      </c>
      <c r="G128" s="1484">
        <f>F128-SUM(H128:L128)</f>
        <v>0</v>
      </c>
      <c r="H128" s="1484">
        <f t="shared" si="67"/>
        <v>0</v>
      </c>
      <c r="I128" s="1484">
        <f t="shared" si="67"/>
        <v>0</v>
      </c>
      <c r="J128" s="1484">
        <f t="shared" si="67"/>
        <v>0</v>
      </c>
      <c r="K128" s="1484">
        <f t="shared" si="67"/>
        <v>0</v>
      </c>
      <c r="L128" s="1645">
        <f t="shared" si="67"/>
        <v>0</v>
      </c>
    </row>
    <row r="129" spans="1:12" s="1504" customFormat="1" ht="14.25" customHeight="1">
      <c r="A129" s="1604"/>
      <c r="B129" s="2376"/>
      <c r="C129" s="1490" t="s">
        <v>3039</v>
      </c>
      <c r="D129" s="1643"/>
      <c r="E129" s="1488">
        <f>+E109</f>
        <v>0.02</v>
      </c>
      <c r="F129" s="1389">
        <f>INT(F109*E129)</f>
        <v>0</v>
      </c>
      <c r="G129" s="1484">
        <f>F129-SUM(H129:L129)</f>
        <v>0</v>
      </c>
      <c r="H129" s="1484">
        <f t="shared" si="67"/>
        <v>0</v>
      </c>
      <c r="I129" s="1484">
        <f t="shared" si="67"/>
        <v>0</v>
      </c>
      <c r="J129" s="1484">
        <f t="shared" si="67"/>
        <v>0</v>
      </c>
      <c r="K129" s="1484">
        <f t="shared" si="67"/>
        <v>0</v>
      </c>
      <c r="L129" s="1645">
        <f t="shared" si="67"/>
        <v>0</v>
      </c>
    </row>
    <row r="130" spans="1:12" s="1504" customFormat="1" ht="14.25" customHeight="1">
      <c r="A130" s="1604"/>
      <c r="B130" s="1647" t="s">
        <v>3040</v>
      </c>
      <c r="C130" s="1648" t="s">
        <v>3041</v>
      </c>
      <c r="D130" s="1649"/>
      <c r="E130" s="1488"/>
      <c r="F130" s="1650">
        <f>SUM(G130:L130)</f>
        <v>0</v>
      </c>
      <c r="G130" s="1497"/>
      <c r="H130" s="1497"/>
      <c r="I130" s="1497"/>
      <c r="J130" s="1497"/>
      <c r="K130" s="1497"/>
      <c r="L130" s="1498"/>
    </row>
    <row r="131" spans="1:12" s="1504" customFormat="1" ht="15" customHeight="1">
      <c r="A131" s="1604"/>
      <c r="B131" s="1651" t="s">
        <v>3042</v>
      </c>
      <c r="C131" s="1652" t="s">
        <v>3043</v>
      </c>
      <c r="D131" s="1649"/>
      <c r="E131" s="1488"/>
      <c r="F131" s="1607"/>
      <c r="G131" s="1484"/>
      <c r="H131" s="1484"/>
      <c r="I131" s="1484"/>
      <c r="J131" s="1484"/>
      <c r="K131" s="1484"/>
      <c r="L131" s="1485"/>
    </row>
    <row r="132" spans="1:12" s="1504" customFormat="1" ht="15" customHeight="1">
      <c r="A132" s="1604"/>
      <c r="B132" s="1653" t="s">
        <v>2872</v>
      </c>
      <c r="C132" s="1654" t="s">
        <v>3044</v>
      </c>
      <c r="D132" s="1655"/>
      <c r="E132" s="1656">
        <f>+E110</f>
        <v>0</v>
      </c>
      <c r="F132" s="1607">
        <f>INT(F110*E132)</f>
        <v>0</v>
      </c>
      <c r="G132" s="1484">
        <f>F132-SUM(H132:L132)</f>
        <v>0</v>
      </c>
      <c r="H132" s="1484">
        <f>IF(H110=0,0,ROUND($F132/$F110*H110,0))</f>
        <v>0</v>
      </c>
      <c r="I132" s="1484">
        <f>IF(I110=0,0,ROUND($F132/$F110*I110,0))</f>
        <v>0</v>
      </c>
      <c r="J132" s="1484">
        <f>IF(J110=0,0,ROUND($F132/$F110*J110,0))</f>
        <v>0</v>
      </c>
      <c r="K132" s="1484">
        <f>IF(K110=0,0,ROUND($F132/$F110*K110,0))</f>
        <v>0</v>
      </c>
      <c r="L132" s="1645">
        <f>IF(L110=0,0,ROUND($F132/$F110*L110,0))</f>
        <v>0</v>
      </c>
    </row>
    <row r="133" spans="1:12" s="1504" customFormat="1" ht="15" customHeight="1" thickBot="1">
      <c r="A133" s="1657"/>
      <c r="B133" s="1658"/>
      <c r="C133" s="1659"/>
      <c r="D133" s="1660"/>
      <c r="E133" s="1656"/>
      <c r="F133" s="1661"/>
      <c r="G133" s="1484"/>
      <c r="H133" s="1662"/>
      <c r="I133" s="1662"/>
      <c r="J133" s="1662"/>
      <c r="K133" s="1662"/>
      <c r="L133" s="1663"/>
    </row>
    <row r="134" spans="1:12" s="1504" customFormat="1" ht="15" customHeight="1" thickTop="1">
      <c r="A134" s="1664"/>
      <c r="B134" s="1665"/>
      <c r="C134" s="1666" t="s">
        <v>2895</v>
      </c>
      <c r="D134" s="1667"/>
      <c r="E134" s="1668"/>
      <c r="F134" s="1669">
        <f>SUM(F112:F133)</f>
        <v>0</v>
      </c>
      <c r="G134" s="1669">
        <f t="shared" ref="G134:L134" si="68">G113+G115+SUM(G117:G132)</f>
        <v>0</v>
      </c>
      <c r="H134" s="1669">
        <f t="shared" si="68"/>
        <v>0</v>
      </c>
      <c r="I134" s="1669">
        <f t="shared" si="68"/>
        <v>0</v>
      </c>
      <c r="J134" s="1669">
        <f t="shared" si="68"/>
        <v>0</v>
      </c>
      <c r="K134" s="1669">
        <f t="shared" si="68"/>
        <v>0</v>
      </c>
      <c r="L134" s="1670">
        <f t="shared" si="68"/>
        <v>0</v>
      </c>
    </row>
    <row r="135" spans="1:12" s="1504" customFormat="1" ht="15" customHeight="1">
      <c r="A135" s="1671"/>
      <c r="B135" s="1672"/>
      <c r="C135" s="1673" t="s">
        <v>2896</v>
      </c>
      <c r="D135" s="1674"/>
      <c r="E135" s="1675"/>
      <c r="F135" s="1591">
        <f>SUM(G135:L135)</f>
        <v>0</v>
      </c>
      <c r="G135" s="1592">
        <f t="shared" ref="G135:L135" si="69">+G20+G134</f>
        <v>0</v>
      </c>
      <c r="H135" s="1592">
        <f t="shared" si="69"/>
        <v>0</v>
      </c>
      <c r="I135" s="1592">
        <f t="shared" si="69"/>
        <v>0</v>
      </c>
      <c r="J135" s="1592">
        <f t="shared" si="69"/>
        <v>0</v>
      </c>
      <c r="K135" s="1592">
        <f t="shared" si="69"/>
        <v>0</v>
      </c>
      <c r="L135" s="1676">
        <f t="shared" si="69"/>
        <v>0</v>
      </c>
    </row>
    <row r="136" spans="1:12" s="1504" customFormat="1" ht="15" customHeight="1">
      <c r="A136" s="1309"/>
      <c r="B136" s="1309"/>
      <c r="C136" s="1319" t="s">
        <v>3045</v>
      </c>
      <c r="D136" s="1319"/>
      <c r="E136" s="1310"/>
      <c r="F136" s="1310"/>
      <c r="G136" s="1316"/>
      <c r="H136" s="1314"/>
      <c r="I136" s="1314"/>
      <c r="J136" s="1314"/>
      <c r="K136" s="1314"/>
      <c r="L136" s="1584" t="s">
        <v>3046</v>
      </c>
    </row>
    <row r="137" spans="1:12" s="1504" customFormat="1" ht="15" customHeight="1">
      <c r="A137" s="1309"/>
      <c r="B137" s="1309"/>
      <c r="C137" s="1309"/>
      <c r="D137" s="1309"/>
      <c r="E137" s="1309"/>
      <c r="F137" s="1309"/>
      <c r="G137" s="1314"/>
      <c r="H137" s="1314"/>
      <c r="I137" s="1314"/>
      <c r="J137" s="1314"/>
      <c r="K137" s="1314"/>
      <c r="L137" s="1314"/>
    </row>
    <row r="138" spans="1:12" s="1504" customFormat="1" ht="15" customHeight="1">
      <c r="A138" s="2377"/>
      <c r="B138" s="2378"/>
      <c r="C138" s="2378"/>
      <c r="D138" s="1677"/>
      <c r="E138" s="1588" t="s">
        <v>2899</v>
      </c>
      <c r="F138" s="1588" t="s">
        <v>2836</v>
      </c>
      <c r="G138" s="1589" t="str">
        <f t="shared" ref="G138:L138" si="70">+G5</f>
        <v>工事１</v>
      </c>
      <c r="H138" s="1589" t="str">
        <f t="shared" si="70"/>
        <v>工事２</v>
      </c>
      <c r="I138" s="1589" t="str">
        <f t="shared" si="70"/>
        <v>工事３</v>
      </c>
      <c r="J138" s="1589" t="str">
        <f t="shared" si="70"/>
        <v>工事４</v>
      </c>
      <c r="K138" s="1589" t="str">
        <f t="shared" si="70"/>
        <v>工事５</v>
      </c>
      <c r="L138" s="1678" t="str">
        <f t="shared" si="70"/>
        <v>工事６</v>
      </c>
    </row>
    <row r="139" spans="1:12" s="1504" customFormat="1" ht="15" customHeight="1">
      <c r="A139" s="2379"/>
      <c r="B139" s="2380"/>
      <c r="C139" s="2380"/>
      <c r="D139" s="1679"/>
      <c r="E139" s="1675"/>
      <c r="F139" s="1680"/>
      <c r="G139" s="1681"/>
      <c r="H139" s="1681"/>
      <c r="I139" s="1681"/>
      <c r="J139" s="1681"/>
      <c r="K139" s="1681"/>
      <c r="L139" s="1682"/>
    </row>
    <row r="140" spans="1:12" s="1504" customFormat="1" ht="15" customHeight="1">
      <c r="A140" s="1683"/>
      <c r="B140" s="1684"/>
      <c r="C140" s="1685" t="s">
        <v>3047</v>
      </c>
      <c r="D140" s="1686"/>
      <c r="E140" s="1687"/>
      <c r="F140" s="1688">
        <f t="shared" ref="F140:L140" si="71">+F135</f>
        <v>0</v>
      </c>
      <c r="G140" s="1688">
        <f t="shared" si="71"/>
        <v>0</v>
      </c>
      <c r="H140" s="1688">
        <f t="shared" si="71"/>
        <v>0</v>
      </c>
      <c r="I140" s="1688">
        <f t="shared" si="71"/>
        <v>0</v>
      </c>
      <c r="J140" s="1688">
        <f t="shared" si="71"/>
        <v>0</v>
      </c>
      <c r="K140" s="1688">
        <f t="shared" si="71"/>
        <v>0</v>
      </c>
      <c r="L140" s="1688">
        <f t="shared" si="71"/>
        <v>0</v>
      </c>
    </row>
    <row r="141" spans="1:12" s="1504" customFormat="1" ht="15" customHeight="1">
      <c r="A141" s="1384"/>
      <c r="B141" s="1387"/>
      <c r="C141" s="1689"/>
      <c r="D141" s="1690"/>
      <c r="E141" s="1691" t="s">
        <v>3048</v>
      </c>
      <c r="F141" s="1692">
        <f>SUM(G141:L141)</f>
        <v>0</v>
      </c>
      <c r="G141" s="1476">
        <f t="shared" ref="G141:L141" si="72">G94+G115+G118+G56+G57</f>
        <v>0</v>
      </c>
      <c r="H141" s="1476">
        <f t="shared" si="72"/>
        <v>0</v>
      </c>
      <c r="I141" s="1476">
        <f t="shared" si="72"/>
        <v>0</v>
      </c>
      <c r="J141" s="1476">
        <f t="shared" si="72"/>
        <v>0</v>
      </c>
      <c r="K141" s="1476">
        <f t="shared" si="72"/>
        <v>0</v>
      </c>
      <c r="L141" s="1476">
        <f t="shared" si="72"/>
        <v>0</v>
      </c>
    </row>
    <row r="142" spans="1:12" s="1504" customFormat="1" ht="15" customHeight="1">
      <c r="A142" s="1398"/>
      <c r="B142" s="1401"/>
      <c r="C142" s="1693"/>
      <c r="D142" s="1694"/>
      <c r="E142" s="1695"/>
      <c r="F142" s="1696"/>
      <c r="G142" s="1613"/>
      <c r="H142" s="1613"/>
      <c r="I142" s="1613"/>
      <c r="J142" s="1613"/>
      <c r="K142" s="1613"/>
      <c r="L142" s="1697"/>
    </row>
    <row r="143" spans="1:12" s="1504" customFormat="1" ht="15" customHeight="1">
      <c r="A143" s="1586"/>
      <c r="B143" s="1587"/>
      <c r="C143" s="1587"/>
      <c r="D143" s="1698"/>
      <c r="E143" s="1687" t="str">
        <f>E5</f>
        <v>有り</v>
      </c>
      <c r="F143" s="2385" t="s">
        <v>2903</v>
      </c>
      <c r="G143" s="2385"/>
      <c r="H143" s="1602"/>
      <c r="I143" s="1602"/>
      <c r="J143" s="1602"/>
      <c r="K143" s="1602"/>
      <c r="L143" s="1603"/>
    </row>
    <row r="144" spans="1:12" s="1504" customFormat="1" ht="15" customHeight="1">
      <c r="A144" s="2383" t="s">
        <v>2904</v>
      </c>
      <c r="B144" s="2383"/>
      <c r="C144" s="2386"/>
      <c r="D144" s="1699"/>
      <c r="E144" s="1695" t="str">
        <f>+E6</f>
        <v>有り</v>
      </c>
      <c r="F144" s="2387" t="s">
        <v>2905</v>
      </c>
      <c r="G144" s="2387"/>
      <c r="H144" s="1613"/>
      <c r="I144" s="1613"/>
      <c r="J144" s="1613"/>
      <c r="K144" s="1613"/>
      <c r="L144" s="1697"/>
    </row>
    <row r="145" spans="1:12" s="1504" customFormat="1" ht="15" customHeight="1">
      <c r="A145" s="2381"/>
      <c r="B145" s="1700" t="s">
        <v>2906</v>
      </c>
      <c r="C145" s="1701" t="s">
        <v>3049</v>
      </c>
      <c r="D145" s="1702"/>
      <c r="E145" s="1703">
        <f>G212/100</f>
        <v>0.11259999999999999</v>
      </c>
      <c r="F145" s="1688">
        <f>SUM(G145:L145)</f>
        <v>0</v>
      </c>
      <c r="G145" s="1704">
        <f t="shared" ref="G145:L145" si="73">G38+G39+G40+G56+G57+G113+G115+G118+SUM(G127:G132)-G150</f>
        <v>0</v>
      </c>
      <c r="H145" s="1704">
        <f t="shared" si="73"/>
        <v>0</v>
      </c>
      <c r="I145" s="1704">
        <f t="shared" si="73"/>
        <v>0</v>
      </c>
      <c r="J145" s="1704">
        <f t="shared" si="73"/>
        <v>0</v>
      </c>
      <c r="K145" s="1704">
        <f t="shared" si="73"/>
        <v>0</v>
      </c>
      <c r="L145" s="1704">
        <f t="shared" si="73"/>
        <v>0</v>
      </c>
    </row>
    <row r="146" spans="1:12" s="1504" customFormat="1" ht="15" customHeight="1">
      <c r="A146" s="2382"/>
      <c r="B146" s="2368" t="s">
        <v>2908</v>
      </c>
      <c r="C146" s="1705" t="s">
        <v>2909</v>
      </c>
      <c r="D146" s="1649"/>
      <c r="E146" s="1706">
        <f>IF(E143="無し",0.05,0)</f>
        <v>0</v>
      </c>
      <c r="F146" s="1607">
        <f>SUM(G146:L146)</f>
        <v>0</v>
      </c>
      <c r="G146" s="1476">
        <f t="shared" ref="G146:L146" si="74">G145</f>
        <v>0</v>
      </c>
      <c r="H146" s="1476">
        <f t="shared" si="74"/>
        <v>0</v>
      </c>
      <c r="I146" s="1476">
        <f t="shared" si="74"/>
        <v>0</v>
      </c>
      <c r="J146" s="1476">
        <f t="shared" si="74"/>
        <v>0</v>
      </c>
      <c r="K146" s="1476">
        <f t="shared" si="74"/>
        <v>0</v>
      </c>
      <c r="L146" s="1476">
        <f t="shared" si="74"/>
        <v>0</v>
      </c>
    </row>
    <row r="147" spans="1:12" s="1504" customFormat="1" ht="15" customHeight="1">
      <c r="A147" s="2382"/>
      <c r="B147" s="2368"/>
      <c r="C147" s="1705" t="s">
        <v>2910</v>
      </c>
      <c r="D147" s="1707"/>
      <c r="E147" s="1488">
        <f>IF(E144="無し",0,0.0004)</f>
        <v>4.0000000000000002E-4</v>
      </c>
      <c r="F147" s="1476">
        <f t="shared" ref="F147:L147" si="75">F145</f>
        <v>0</v>
      </c>
      <c r="G147" s="1476">
        <f t="shared" si="75"/>
        <v>0</v>
      </c>
      <c r="H147" s="1476">
        <f t="shared" si="75"/>
        <v>0</v>
      </c>
      <c r="I147" s="1476">
        <f t="shared" si="75"/>
        <v>0</v>
      </c>
      <c r="J147" s="1476">
        <f t="shared" si="75"/>
        <v>0</v>
      </c>
      <c r="K147" s="1476">
        <f t="shared" si="75"/>
        <v>0</v>
      </c>
      <c r="L147" s="1476">
        <f t="shared" si="75"/>
        <v>0</v>
      </c>
    </row>
    <row r="148" spans="1:12" s="1504" customFormat="1" ht="15" customHeight="1">
      <c r="A148" s="2382"/>
      <c r="B148" s="2366" t="s">
        <v>3050</v>
      </c>
      <c r="C148" s="1705"/>
      <c r="D148" s="1708"/>
      <c r="E148" s="1708"/>
      <c r="F148" s="1607"/>
      <c r="G148" s="1484"/>
      <c r="H148" s="1484"/>
      <c r="I148" s="1484"/>
      <c r="J148" s="1484"/>
      <c r="K148" s="1484"/>
      <c r="L148" s="1484"/>
    </row>
    <row r="149" spans="1:12" s="1504" customFormat="1" ht="15" customHeight="1">
      <c r="A149" s="2382"/>
      <c r="B149" s="2367"/>
      <c r="C149" s="1709" t="s">
        <v>3051</v>
      </c>
      <c r="D149" s="1708"/>
      <c r="E149" s="1708"/>
      <c r="F149" s="1607">
        <f>SUM(G149:L149)</f>
        <v>0</v>
      </c>
      <c r="G149" s="1484">
        <f t="shared" ref="G149:L149" si="76">+SUM(G98:G106,G118:G126)</f>
        <v>0</v>
      </c>
      <c r="H149" s="1484">
        <f t="shared" si="76"/>
        <v>0</v>
      </c>
      <c r="I149" s="1484">
        <f t="shared" si="76"/>
        <v>0</v>
      </c>
      <c r="J149" s="1484">
        <f t="shared" si="76"/>
        <v>0</v>
      </c>
      <c r="K149" s="1484">
        <f t="shared" si="76"/>
        <v>0</v>
      </c>
      <c r="L149" s="1484">
        <f t="shared" si="76"/>
        <v>0</v>
      </c>
    </row>
    <row r="150" spans="1:12" s="1504" customFormat="1" ht="15" customHeight="1">
      <c r="A150" s="2382"/>
      <c r="B150" s="2368" t="s">
        <v>2911</v>
      </c>
      <c r="C150" s="1710" t="s">
        <v>3052</v>
      </c>
      <c r="D150" s="1711"/>
      <c r="E150" s="1646">
        <v>0</v>
      </c>
      <c r="F150" s="1607">
        <f>SUM(G150:L150)</f>
        <v>0</v>
      </c>
      <c r="G150" s="1484">
        <f t="shared" ref="G150:L150" si="77">+G58</f>
        <v>0</v>
      </c>
      <c r="H150" s="1484">
        <f t="shared" si="77"/>
        <v>0</v>
      </c>
      <c r="I150" s="1484">
        <f t="shared" si="77"/>
        <v>0</v>
      </c>
      <c r="J150" s="1484">
        <f t="shared" si="77"/>
        <v>0</v>
      </c>
      <c r="K150" s="1484">
        <f t="shared" si="77"/>
        <v>0</v>
      </c>
      <c r="L150" s="1484">
        <f t="shared" si="77"/>
        <v>0</v>
      </c>
    </row>
    <row r="151" spans="1:12" s="1504" customFormat="1" ht="15" customHeight="1">
      <c r="A151" s="2382"/>
      <c r="B151" s="2368"/>
      <c r="C151" s="1690"/>
      <c r="D151" s="1712"/>
      <c r="E151" s="1646"/>
      <c r="F151" s="1607"/>
      <c r="G151" s="1484"/>
      <c r="H151" s="1484"/>
      <c r="I151" s="1484"/>
      <c r="J151" s="1484"/>
      <c r="K151" s="1484"/>
      <c r="L151" s="1485"/>
    </row>
    <row r="152" spans="1:12" s="1504" customFormat="1" ht="15" customHeight="1">
      <c r="A152" s="2382"/>
      <c r="B152" s="2366"/>
      <c r="C152" s="1713"/>
      <c r="D152" s="1714"/>
      <c r="E152" s="1715"/>
      <c r="F152" s="1696"/>
      <c r="G152" s="1613"/>
      <c r="H152" s="1613"/>
      <c r="I152" s="1613"/>
      <c r="J152" s="1613"/>
      <c r="K152" s="1613"/>
      <c r="L152" s="1697"/>
    </row>
    <row r="153" spans="1:12" s="1504" customFormat="1" ht="15" customHeight="1">
      <c r="A153" s="1586"/>
      <c r="B153" s="1587"/>
      <c r="C153" s="1716"/>
      <c r="D153" s="1717"/>
      <c r="E153" s="1718"/>
      <c r="F153" s="1688"/>
      <c r="G153" s="1602"/>
      <c r="H153" s="1602"/>
      <c r="I153" s="1602"/>
      <c r="J153" s="1602"/>
      <c r="K153" s="1602"/>
      <c r="L153" s="1603"/>
    </row>
    <row r="154" spans="1:12" s="1504" customFormat="1" ht="15" customHeight="1">
      <c r="A154" s="2383" t="s">
        <v>2912</v>
      </c>
      <c r="B154" s="2383"/>
      <c r="C154" s="2384"/>
      <c r="D154" s="1719"/>
      <c r="E154" s="1720"/>
      <c r="F154" s="1696"/>
      <c r="G154" s="1613"/>
      <c r="H154" s="1613"/>
      <c r="I154" s="1613"/>
      <c r="J154" s="1613"/>
      <c r="K154" s="1613"/>
      <c r="L154" s="1697"/>
    </row>
    <row r="155" spans="1:12" s="1504" customFormat="1" ht="15" customHeight="1">
      <c r="A155" s="1721"/>
      <c r="B155" s="1722" t="s">
        <v>2906</v>
      </c>
      <c r="C155" s="1723" t="s">
        <v>3053</v>
      </c>
      <c r="D155" s="1702"/>
      <c r="E155" s="1724">
        <f>+E145</f>
        <v>0.11259999999999999</v>
      </c>
      <c r="F155" s="1688">
        <f>INT(F145*E155)</f>
        <v>0</v>
      </c>
      <c r="G155" s="1602">
        <f>F155-SUM(H155:L155)</f>
        <v>0</v>
      </c>
      <c r="H155" s="1602">
        <f>IF(H145=0,0,ROUND($F155/$F145*H145,0))</f>
        <v>0</v>
      </c>
      <c r="I155" s="1602">
        <f>IF(I145=0,0,ROUND($F155/$F145*I145,0))</f>
        <v>0</v>
      </c>
      <c r="J155" s="1602">
        <f>IF(J145=0,0,ROUND($F155/$F145*J145,0))</f>
        <v>0</v>
      </c>
      <c r="K155" s="1602">
        <f>IF(K145=0,0,ROUND($F155/$F145*K145,0))</f>
        <v>0</v>
      </c>
      <c r="L155" s="1603">
        <f>IF(L145=0,0,ROUND($F155/$F145*L145,0))</f>
        <v>0</v>
      </c>
    </row>
    <row r="156" spans="1:12" s="1504" customFormat="1" ht="15" customHeight="1">
      <c r="A156" s="1721"/>
      <c r="B156" s="2368" t="s">
        <v>2908</v>
      </c>
      <c r="C156" s="1705" t="s">
        <v>2909</v>
      </c>
      <c r="D156" s="1711"/>
      <c r="E156" s="1488">
        <f>+E146</f>
        <v>0</v>
      </c>
      <c r="F156" s="1607">
        <f>INT((F146*E155*E156)+(F159*E156))</f>
        <v>0</v>
      </c>
      <c r="G156" s="1484">
        <f>F156-SUM(H156:L156)</f>
        <v>0</v>
      </c>
      <c r="H156" s="1484">
        <f>IF(H146+H159=0,0,ROUND($F156/$F146*H146,0))</f>
        <v>0</v>
      </c>
      <c r="I156" s="1484">
        <f>IF(I146+I159=0,0,ROUND($F156/$F146*I146,0))</f>
        <v>0</v>
      </c>
      <c r="J156" s="1484">
        <f>IF(J146+J159=0,0,ROUND($F156/$F146*J146,0))</f>
        <v>0</v>
      </c>
      <c r="K156" s="1484">
        <f>IF(K146+K159=0,0,ROUND($F156/$F146*K146,0))</f>
        <v>0</v>
      </c>
      <c r="L156" s="1485">
        <f>IF(L146+L159=0,0,ROUND($F156/$F146*L146,0))</f>
        <v>0</v>
      </c>
    </row>
    <row r="157" spans="1:12" s="1504" customFormat="1" ht="15" customHeight="1">
      <c r="A157" s="1721"/>
      <c r="B157" s="2368"/>
      <c r="C157" s="1705" t="s">
        <v>2910</v>
      </c>
      <c r="D157" s="1711"/>
      <c r="E157" s="1488">
        <f>+E147</f>
        <v>4.0000000000000002E-4</v>
      </c>
      <c r="F157" s="1607">
        <f>INT((F147*E157)+(F159*E157))</f>
        <v>0</v>
      </c>
      <c r="G157" s="1484">
        <f>F157-SUM(H157:L157)</f>
        <v>0</v>
      </c>
      <c r="H157" s="1484">
        <f>IF(H147+H159=0,0,ROUND($F157/$F147*H147,0))</f>
        <v>0</v>
      </c>
      <c r="I157" s="1484">
        <f>IF(I147+I159=0,0,ROUND($F157/$F147*I147,0))</f>
        <v>0</v>
      </c>
      <c r="J157" s="1484">
        <f>IF(J147+J159=0,0,ROUND($F157/$F147*J147,0))</f>
        <v>0</v>
      </c>
      <c r="K157" s="1484">
        <f>IF(K147+K159=0,0,ROUND($F157/$F147*K147,0))</f>
        <v>0</v>
      </c>
      <c r="L157" s="1485">
        <f>IF(L147+L159=0,0,ROUND($F157/$F147*L147,0))</f>
        <v>0</v>
      </c>
    </row>
    <row r="158" spans="1:12" s="1504" customFormat="1" ht="15" customHeight="1">
      <c r="A158" s="1721"/>
      <c r="B158" s="2366" t="s">
        <v>3050</v>
      </c>
      <c r="C158" s="1705"/>
      <c r="D158" s="1708"/>
      <c r="E158" s="1725" t="s">
        <v>3054</v>
      </c>
      <c r="F158" s="1607"/>
      <c r="G158" s="1484"/>
      <c r="H158" s="1484"/>
      <c r="I158" s="1484"/>
      <c r="J158" s="1484"/>
      <c r="K158" s="1484"/>
      <c r="L158" s="1485"/>
    </row>
    <row r="159" spans="1:12" s="1504" customFormat="1" ht="15" customHeight="1">
      <c r="A159" s="1721"/>
      <c r="B159" s="2367"/>
      <c r="C159" s="1726" t="s">
        <v>3055</v>
      </c>
      <c r="D159" s="1708"/>
      <c r="E159" s="1708"/>
      <c r="F159" s="1434">
        <f>SUM(G159:L159)</f>
        <v>0</v>
      </c>
      <c r="G159" s="1418">
        <f t="shared" ref="G159:L159" si="78">SUM(G41:G48)-SUM(G99:G106)-SUM(G119:G126)</f>
        <v>0</v>
      </c>
      <c r="H159" s="1418">
        <f t="shared" si="78"/>
        <v>0</v>
      </c>
      <c r="I159" s="1418">
        <f t="shared" si="78"/>
        <v>0</v>
      </c>
      <c r="J159" s="1418">
        <f t="shared" si="78"/>
        <v>0</v>
      </c>
      <c r="K159" s="1418">
        <f t="shared" si="78"/>
        <v>0</v>
      </c>
      <c r="L159" s="1418">
        <f t="shared" si="78"/>
        <v>0</v>
      </c>
    </row>
    <row r="160" spans="1:12" s="1504" customFormat="1" ht="15" customHeight="1">
      <c r="A160" s="1721"/>
      <c r="B160" s="2368" t="s">
        <v>2911</v>
      </c>
      <c r="C160" s="1710" t="s">
        <v>3052</v>
      </c>
      <c r="D160" s="1711"/>
      <c r="E160" s="1488">
        <f>+E150</f>
        <v>0</v>
      </c>
      <c r="F160" s="1607">
        <f>SUM(G160:L160)</f>
        <v>0</v>
      </c>
      <c r="G160" s="1484">
        <f t="shared" ref="G160:L160" si="79">ROUNDDOWN($E160*$D160*G150,0)</f>
        <v>0</v>
      </c>
      <c r="H160" s="1484">
        <f t="shared" si="79"/>
        <v>0</v>
      </c>
      <c r="I160" s="1484">
        <f t="shared" si="79"/>
        <v>0</v>
      </c>
      <c r="J160" s="1484">
        <f t="shared" si="79"/>
        <v>0</v>
      </c>
      <c r="K160" s="1484">
        <f t="shared" si="79"/>
        <v>0</v>
      </c>
      <c r="L160" s="1484">
        <f t="shared" si="79"/>
        <v>0</v>
      </c>
    </row>
    <row r="161" spans="1:256" s="1504" customFormat="1" ht="15" customHeight="1">
      <c r="A161" s="1721"/>
      <c r="B161" s="2368"/>
      <c r="C161" s="1690"/>
      <c r="D161" s="1712"/>
      <c r="E161" s="1708">
        <f>+G152</f>
        <v>0</v>
      </c>
      <c r="F161" s="1607"/>
      <c r="G161" s="1484"/>
      <c r="H161" s="1484"/>
      <c r="I161" s="1484"/>
      <c r="J161" s="1484"/>
      <c r="K161" s="1484"/>
      <c r="L161" s="1485"/>
    </row>
    <row r="162" spans="1:256" s="1504" customFormat="1" ht="15" customHeight="1">
      <c r="A162" s="1671"/>
      <c r="B162" s="2369"/>
      <c r="C162" s="1694"/>
      <c r="D162" s="1714"/>
      <c r="E162" s="1720">
        <f>+G153</f>
        <v>0</v>
      </c>
      <c r="F162" s="1696"/>
      <c r="G162" s="1613"/>
      <c r="H162" s="1613"/>
      <c r="I162" s="1613"/>
      <c r="J162" s="1613"/>
      <c r="K162" s="1613"/>
      <c r="L162" s="1697"/>
    </row>
    <row r="163" spans="1:256" s="1504" customFormat="1" ht="15" customHeight="1">
      <c r="A163" s="1683"/>
      <c r="B163" s="1684"/>
      <c r="C163" s="1684"/>
      <c r="D163" s="1727"/>
      <c r="E163" s="1727"/>
      <c r="F163" s="1688"/>
      <c r="G163" s="1602"/>
      <c r="H163" s="1602"/>
      <c r="I163" s="1602"/>
      <c r="J163" s="1602"/>
      <c r="K163" s="1602"/>
      <c r="L163" s="1603"/>
    </row>
    <row r="164" spans="1:256" s="1504" customFormat="1" ht="15" customHeight="1">
      <c r="A164" s="1384"/>
      <c r="B164" s="1387"/>
      <c r="C164" s="1728" t="s">
        <v>2915</v>
      </c>
      <c r="D164" s="1690"/>
      <c r="E164" s="1705"/>
      <c r="F164" s="1607">
        <f>SUM(G164:L164)</f>
        <v>0</v>
      </c>
      <c r="G164" s="1484">
        <f t="shared" ref="G164:L164" si="80">SUM(G155:G162)</f>
        <v>0</v>
      </c>
      <c r="H164" s="1484">
        <f t="shared" si="80"/>
        <v>0</v>
      </c>
      <c r="I164" s="1484">
        <f t="shared" si="80"/>
        <v>0</v>
      </c>
      <c r="J164" s="1484">
        <f t="shared" si="80"/>
        <v>0</v>
      </c>
      <c r="K164" s="1484">
        <f t="shared" si="80"/>
        <v>0</v>
      </c>
      <c r="L164" s="1484">
        <f t="shared" si="80"/>
        <v>0</v>
      </c>
    </row>
    <row r="165" spans="1:256" s="1504" customFormat="1" ht="15" customHeight="1">
      <c r="A165" s="1384"/>
      <c r="B165" s="1387"/>
      <c r="C165" s="1728" t="s">
        <v>2896</v>
      </c>
      <c r="D165" s="1690"/>
      <c r="E165" s="1705"/>
      <c r="F165" s="1607">
        <f>SUM(G165:L165)</f>
        <v>0</v>
      </c>
      <c r="G165" s="1484">
        <f t="shared" ref="G165:L165" si="81">+G140</f>
        <v>0</v>
      </c>
      <c r="H165" s="1484">
        <f t="shared" si="81"/>
        <v>0</v>
      </c>
      <c r="I165" s="1484">
        <f t="shared" si="81"/>
        <v>0</v>
      </c>
      <c r="J165" s="1484">
        <f t="shared" si="81"/>
        <v>0</v>
      </c>
      <c r="K165" s="1484">
        <f t="shared" si="81"/>
        <v>0</v>
      </c>
      <c r="L165" s="1484">
        <f t="shared" si="81"/>
        <v>0</v>
      </c>
    </row>
    <row r="166" spans="1:256" s="1504" customFormat="1" ht="15" customHeight="1" thickBot="1">
      <c r="A166" s="1729"/>
      <c r="B166" s="1730"/>
      <c r="C166" s="1731" t="s">
        <v>2916</v>
      </c>
      <c r="D166" s="1732"/>
      <c r="E166" s="1733"/>
      <c r="F166" s="1661">
        <f>SUM(G166:L166)</f>
        <v>0</v>
      </c>
      <c r="G166" s="1662">
        <f t="shared" ref="G166:L166" si="82">SUM(G164:G165)</f>
        <v>0</v>
      </c>
      <c r="H166" s="1662">
        <f t="shared" si="82"/>
        <v>0</v>
      </c>
      <c r="I166" s="1662">
        <f t="shared" si="82"/>
        <v>0</v>
      </c>
      <c r="J166" s="1662">
        <f t="shared" si="82"/>
        <v>0</v>
      </c>
      <c r="K166" s="1662">
        <f t="shared" si="82"/>
        <v>0</v>
      </c>
      <c r="L166" s="1662">
        <f t="shared" si="82"/>
        <v>0</v>
      </c>
    </row>
    <row r="167" spans="1:256" s="1504" customFormat="1" ht="15" customHeight="1" thickTop="1">
      <c r="A167" s="1721"/>
      <c r="B167" s="1309"/>
      <c r="C167" s="1309"/>
      <c r="D167" s="1734"/>
      <c r="E167" s="1734"/>
      <c r="F167" s="1735"/>
      <c r="G167" s="1736"/>
      <c r="H167" s="1736"/>
      <c r="I167" s="1736"/>
      <c r="J167" s="1736"/>
      <c r="K167" s="1736"/>
      <c r="L167" s="1737"/>
    </row>
    <row r="168" spans="1:256" s="1504" customFormat="1" ht="15" customHeight="1">
      <c r="A168" s="1384"/>
      <c r="B168" s="1387"/>
      <c r="C168" s="1728" t="s">
        <v>2896</v>
      </c>
      <c r="D168" s="1690"/>
      <c r="E168" s="1705"/>
      <c r="F168" s="1607">
        <f>SUM(G168:L168)</f>
        <v>0</v>
      </c>
      <c r="G168" s="1484">
        <f t="shared" ref="G168:L168" si="83">+G165</f>
        <v>0</v>
      </c>
      <c r="H168" s="1484">
        <f t="shared" si="83"/>
        <v>0</v>
      </c>
      <c r="I168" s="1484">
        <f t="shared" si="83"/>
        <v>0</v>
      </c>
      <c r="J168" s="1484">
        <f t="shared" si="83"/>
        <v>0</v>
      </c>
      <c r="K168" s="1484">
        <f t="shared" si="83"/>
        <v>0</v>
      </c>
      <c r="L168" s="1484">
        <f t="shared" si="83"/>
        <v>0</v>
      </c>
    </row>
    <row r="169" spans="1:256" s="1504" customFormat="1" ht="15" customHeight="1">
      <c r="A169" s="1384"/>
      <c r="B169" s="1387"/>
      <c r="C169" s="1728" t="s">
        <v>2917</v>
      </c>
      <c r="D169" s="1690"/>
      <c r="E169" s="1705"/>
      <c r="F169" s="1607">
        <f>SUM(G169:L169)</f>
        <v>0</v>
      </c>
      <c r="G169" s="1484">
        <f t="shared" ref="G169:L169" si="84">+G164-(G166-G171)</f>
        <v>0</v>
      </c>
      <c r="H169" s="1484">
        <f t="shared" si="84"/>
        <v>0</v>
      </c>
      <c r="I169" s="1484">
        <f t="shared" si="84"/>
        <v>0</v>
      </c>
      <c r="J169" s="1484">
        <f t="shared" si="84"/>
        <v>0</v>
      </c>
      <c r="K169" s="1484">
        <f t="shared" si="84"/>
        <v>0</v>
      </c>
      <c r="L169" s="1484">
        <f t="shared" si="84"/>
        <v>0</v>
      </c>
    </row>
    <row r="170" spans="1:256" s="1504" customFormat="1" ht="15" customHeight="1">
      <c r="A170" s="1384"/>
      <c r="B170" s="1387"/>
      <c r="C170" s="1387"/>
      <c r="D170" s="1705"/>
      <c r="E170" s="1738">
        <f>F172+SUM(H171:L171)</f>
        <v>0</v>
      </c>
      <c r="F170" s="1607" t="s">
        <v>2918</v>
      </c>
      <c r="G170" s="1484">
        <f t="shared" ref="G170:L170" si="85">+G164-G169</f>
        <v>0</v>
      </c>
      <c r="H170" s="1484">
        <f t="shared" si="85"/>
        <v>0</v>
      </c>
      <c r="I170" s="1484">
        <f t="shared" si="85"/>
        <v>0</v>
      </c>
      <c r="J170" s="1484">
        <f t="shared" si="85"/>
        <v>0</v>
      </c>
      <c r="K170" s="1484">
        <f t="shared" si="85"/>
        <v>0</v>
      </c>
      <c r="L170" s="1484">
        <f t="shared" si="85"/>
        <v>0</v>
      </c>
    </row>
    <row r="171" spans="1:256" s="1504" customFormat="1" ht="15" customHeight="1">
      <c r="A171" s="1739"/>
      <c r="B171" s="1385"/>
      <c r="C171" s="1385" t="s">
        <v>2919</v>
      </c>
      <c r="D171" s="1740"/>
      <c r="E171" s="1738">
        <f>ROUNDDOWN(E170,4-LEN(E170))</f>
        <v>0</v>
      </c>
      <c r="F171" s="1741">
        <f>SUM(G171:L171)</f>
        <v>0</v>
      </c>
      <c r="G171" s="1742">
        <f>F172-E172</f>
        <v>0</v>
      </c>
      <c r="H171" s="1742">
        <f>ROUNDDOWN(H166,H172)</f>
        <v>0</v>
      </c>
      <c r="I171" s="1742">
        <f>ROUNDDOWN(I166,I172)</f>
        <v>0</v>
      </c>
      <c r="J171" s="1742">
        <f>ROUNDDOWN(J166,J172)</f>
        <v>0</v>
      </c>
      <c r="K171" s="1742">
        <f>ROUNDDOWN(K166,K172)</f>
        <v>0</v>
      </c>
      <c r="L171" s="1743">
        <f>ROUNDDOWN(L166,L172)</f>
        <v>0</v>
      </c>
    </row>
    <row r="172" spans="1:256" ht="13.5" customHeight="1">
      <c r="A172" s="1744"/>
      <c r="B172" s="1745"/>
      <c r="C172" s="1745"/>
      <c r="D172" s="1746"/>
      <c r="E172" s="1747">
        <f>E170-E171</f>
        <v>0</v>
      </c>
      <c r="F172" s="1747">
        <f>ROUNDDOWN(G166,G172)</f>
        <v>0</v>
      </c>
      <c r="G172" s="1748">
        <f t="shared" ref="G172:L172" si="86">IF(LEN(G166)&lt;=7,-3,IF(LEN(G166)=8,-4,IF(LEN(G166)&gt;=9,-5,-6)))</f>
        <v>-3</v>
      </c>
      <c r="H172" s="1748">
        <f t="shared" si="86"/>
        <v>-3</v>
      </c>
      <c r="I172" s="1748">
        <f t="shared" si="86"/>
        <v>-3</v>
      </c>
      <c r="J172" s="1748">
        <f t="shared" si="86"/>
        <v>-3</v>
      </c>
      <c r="K172" s="1748">
        <f t="shared" si="86"/>
        <v>-3</v>
      </c>
      <c r="L172" s="1749">
        <f t="shared" si="86"/>
        <v>-3</v>
      </c>
      <c r="M172" s="1504"/>
      <c r="N172" s="1504"/>
      <c r="O172" s="1504"/>
      <c r="P172" s="1504"/>
      <c r="Q172" s="1504"/>
      <c r="R172" s="1504"/>
      <c r="S172" s="1504"/>
      <c r="T172" s="1504"/>
      <c r="U172" s="1504"/>
      <c r="V172" s="1504"/>
      <c r="W172" s="1504"/>
      <c r="X172" s="1504"/>
      <c r="Y172" s="1504"/>
      <c r="Z172" s="1504"/>
      <c r="AA172" s="1504"/>
      <c r="AB172" s="1504"/>
      <c r="AC172" s="1504"/>
      <c r="AD172" s="1504"/>
      <c r="AE172" s="1504"/>
      <c r="AF172" s="1504"/>
      <c r="AG172" s="1504"/>
      <c r="AH172" s="1504"/>
      <c r="AI172" s="1504"/>
      <c r="AJ172" s="1504"/>
      <c r="AK172" s="1504"/>
      <c r="AL172" s="1504"/>
      <c r="AM172" s="1504"/>
      <c r="AN172" s="1504"/>
      <c r="AO172" s="1504"/>
      <c r="AP172" s="1504"/>
      <c r="AQ172" s="1504"/>
      <c r="AR172" s="1504"/>
      <c r="AS172" s="1504"/>
      <c r="AT172" s="1504"/>
      <c r="AU172" s="1504"/>
      <c r="AV172" s="1504"/>
      <c r="AW172" s="1504"/>
      <c r="AX172" s="1504"/>
      <c r="AY172" s="1504"/>
      <c r="AZ172" s="1504"/>
      <c r="BA172" s="1504"/>
      <c r="BB172" s="1504"/>
      <c r="BC172" s="1504"/>
      <c r="BD172" s="1504"/>
      <c r="BE172" s="1504"/>
      <c r="BF172" s="1504"/>
      <c r="BG172" s="1504"/>
      <c r="BH172" s="1504"/>
      <c r="BI172" s="1504"/>
      <c r="BJ172" s="1504"/>
      <c r="BK172" s="1504"/>
      <c r="BL172" s="1504"/>
      <c r="BM172" s="1504"/>
      <c r="BN172" s="1504"/>
      <c r="BO172" s="1504"/>
      <c r="BP172" s="1504"/>
      <c r="BQ172" s="1504"/>
      <c r="BR172" s="1504"/>
      <c r="BS172" s="1504"/>
      <c r="BT172" s="1504"/>
      <c r="BU172" s="1504"/>
      <c r="BV172" s="1504"/>
      <c r="BW172" s="1504"/>
      <c r="BX172" s="1504"/>
      <c r="BY172" s="1504"/>
      <c r="BZ172" s="1504"/>
      <c r="CA172" s="1504"/>
      <c r="CB172" s="1504"/>
      <c r="CC172" s="1504"/>
      <c r="CD172" s="1504"/>
      <c r="CE172" s="1504"/>
      <c r="CF172" s="1504"/>
      <c r="CG172" s="1504"/>
      <c r="CH172" s="1504"/>
      <c r="CI172" s="1504"/>
      <c r="CJ172" s="1504"/>
      <c r="CK172" s="1504"/>
      <c r="CL172" s="1504"/>
      <c r="CM172" s="1504"/>
      <c r="CN172" s="1504"/>
      <c r="CO172" s="1504"/>
      <c r="CP172" s="1504"/>
      <c r="CQ172" s="1504"/>
      <c r="CR172" s="1504"/>
      <c r="CS172" s="1504"/>
      <c r="CT172" s="1504"/>
      <c r="CU172" s="1504"/>
      <c r="CV172" s="1504"/>
      <c r="CW172" s="1504"/>
      <c r="CX172" s="1504"/>
      <c r="CY172" s="1504"/>
      <c r="CZ172" s="1504"/>
      <c r="DA172" s="1504"/>
      <c r="DB172" s="1504"/>
      <c r="DC172" s="1504"/>
      <c r="DD172" s="1504"/>
      <c r="DE172" s="1504"/>
      <c r="DF172" s="1504"/>
      <c r="DG172" s="1504"/>
      <c r="DH172" s="1504"/>
      <c r="DI172" s="1504"/>
      <c r="DJ172" s="1504"/>
      <c r="DK172" s="1504"/>
      <c r="DL172" s="1504"/>
      <c r="DM172" s="1504"/>
      <c r="DN172" s="1504"/>
      <c r="DO172" s="1504"/>
      <c r="DP172" s="1504"/>
      <c r="DQ172" s="1504"/>
      <c r="DR172" s="1504"/>
      <c r="DS172" s="1504"/>
      <c r="DT172" s="1504"/>
      <c r="DU172" s="1504"/>
      <c r="DV172" s="1504"/>
      <c r="DW172" s="1504"/>
      <c r="DX172" s="1504"/>
      <c r="DY172" s="1504"/>
      <c r="DZ172" s="1504"/>
      <c r="EA172" s="1504"/>
      <c r="EB172" s="1504"/>
      <c r="EC172" s="1504"/>
      <c r="ED172" s="1504"/>
      <c r="EE172" s="1504"/>
      <c r="EF172" s="1504"/>
      <c r="EG172" s="1504"/>
      <c r="EH172" s="1504"/>
      <c r="EI172" s="1504"/>
      <c r="EJ172" s="1504"/>
      <c r="EK172" s="1504"/>
      <c r="EL172" s="1504"/>
      <c r="EM172" s="1504"/>
      <c r="EN172" s="1504"/>
      <c r="EO172" s="1504"/>
      <c r="EP172" s="1504"/>
      <c r="EQ172" s="1504"/>
      <c r="ER172" s="1504"/>
      <c r="ES172" s="1504"/>
      <c r="ET172" s="1504"/>
      <c r="EU172" s="1504"/>
      <c r="EV172" s="1504"/>
      <c r="EW172" s="1504"/>
      <c r="EX172" s="1504"/>
      <c r="EY172" s="1504"/>
      <c r="EZ172" s="1504"/>
      <c r="FA172" s="1504"/>
      <c r="FB172" s="1504"/>
      <c r="FC172" s="1504"/>
      <c r="FD172" s="1504"/>
      <c r="FE172" s="1504"/>
      <c r="FF172" s="1504"/>
      <c r="FG172" s="1504"/>
      <c r="FH172" s="1504"/>
      <c r="FI172" s="1504"/>
      <c r="FJ172" s="1504"/>
      <c r="FK172" s="1504"/>
      <c r="FL172" s="1504"/>
      <c r="FM172" s="1504"/>
      <c r="FN172" s="1504"/>
      <c r="FO172" s="1504"/>
      <c r="FP172" s="1504"/>
      <c r="FQ172" s="1504"/>
      <c r="FR172" s="1504"/>
      <c r="FS172" s="1504"/>
      <c r="FT172" s="1504"/>
      <c r="FU172" s="1504"/>
      <c r="FV172" s="1504"/>
      <c r="FW172" s="1504"/>
      <c r="FX172" s="1504"/>
      <c r="FY172" s="1504"/>
      <c r="FZ172" s="1504"/>
      <c r="GA172" s="1504"/>
      <c r="GB172" s="1504"/>
      <c r="GC172" s="1504"/>
      <c r="GD172" s="1504"/>
      <c r="GE172" s="1504"/>
      <c r="GF172" s="1504"/>
      <c r="GG172" s="1504"/>
      <c r="GH172" s="1504"/>
      <c r="GI172" s="1504"/>
      <c r="GJ172" s="1504"/>
      <c r="GK172" s="1504"/>
      <c r="GL172" s="1504"/>
      <c r="GM172" s="1504"/>
      <c r="GN172" s="1504"/>
      <c r="GO172" s="1504"/>
      <c r="GP172" s="1504"/>
      <c r="GQ172" s="1504"/>
      <c r="GR172" s="1504"/>
      <c r="GS172" s="1504"/>
      <c r="GT172" s="1504"/>
      <c r="GU172" s="1504"/>
      <c r="GV172" s="1504"/>
      <c r="GW172" s="1504"/>
      <c r="GX172" s="1504"/>
      <c r="GY172" s="1504"/>
      <c r="GZ172" s="1504"/>
      <c r="HA172" s="1504"/>
      <c r="HB172" s="1504"/>
      <c r="HC172" s="1504"/>
      <c r="HD172" s="1504"/>
      <c r="HE172" s="1504"/>
      <c r="HF172" s="1504"/>
      <c r="HG172" s="1504"/>
      <c r="HH172" s="1504"/>
      <c r="HI172" s="1504"/>
      <c r="HJ172" s="1504"/>
      <c r="HK172" s="1504"/>
      <c r="HL172" s="1504"/>
      <c r="HM172" s="1504"/>
      <c r="HN172" s="1504"/>
      <c r="HO172" s="1504"/>
      <c r="HP172" s="1504"/>
      <c r="HQ172" s="1504"/>
      <c r="HR172" s="1504"/>
      <c r="HS172" s="1504"/>
      <c r="HT172" s="1504"/>
      <c r="HU172" s="1504"/>
      <c r="HV172" s="1504"/>
      <c r="HW172" s="1504"/>
      <c r="HX172" s="1504"/>
      <c r="HY172" s="1504"/>
      <c r="HZ172" s="1504"/>
      <c r="IA172" s="1504"/>
      <c r="IB172" s="1504"/>
      <c r="IC172" s="1504"/>
      <c r="ID172" s="1504"/>
      <c r="IE172" s="1504"/>
      <c r="IF172" s="1504"/>
      <c r="IG172" s="1504"/>
      <c r="IH172" s="1504"/>
      <c r="II172" s="1504"/>
      <c r="IJ172" s="1504"/>
      <c r="IK172" s="1504"/>
      <c r="IL172" s="1504"/>
      <c r="IM172" s="1504"/>
      <c r="IN172" s="1504"/>
      <c r="IO172" s="1504"/>
      <c r="IP172" s="1504"/>
      <c r="IQ172" s="1504"/>
      <c r="IR172" s="1504"/>
      <c r="IS172" s="1504"/>
      <c r="IT172" s="1504"/>
      <c r="IU172" s="1504"/>
      <c r="IV172" s="1504"/>
    </row>
    <row r="173" spans="1:256" ht="13.5" customHeight="1" thickBot="1">
      <c r="A173" s="1750"/>
      <c r="B173" s="1750"/>
      <c r="C173" s="1750"/>
      <c r="D173" s="1750"/>
      <c r="E173" s="1751"/>
      <c r="F173" s="1751"/>
      <c r="G173" s="1752"/>
      <c r="H173" s="1752"/>
      <c r="I173" s="1752"/>
      <c r="J173" s="1752"/>
      <c r="K173" s="1752"/>
      <c r="L173" s="1752"/>
      <c r="M173" s="1504"/>
      <c r="N173" s="1504"/>
      <c r="O173" s="1504"/>
      <c r="P173" s="1504"/>
      <c r="Q173" s="1504"/>
      <c r="R173" s="1504"/>
      <c r="S173" s="1504"/>
      <c r="T173" s="1504"/>
      <c r="U173" s="1504"/>
      <c r="V173" s="1504"/>
      <c r="W173" s="1504"/>
      <c r="X173" s="1504"/>
      <c r="Y173" s="1504"/>
      <c r="Z173" s="1504"/>
      <c r="AA173" s="1504"/>
      <c r="AB173" s="1504"/>
      <c r="AC173" s="1504"/>
      <c r="AD173" s="1504"/>
      <c r="AE173" s="1504"/>
      <c r="AF173" s="1504"/>
      <c r="AG173" s="1504"/>
      <c r="AH173" s="1504"/>
      <c r="AI173" s="1504"/>
      <c r="AJ173" s="1504"/>
      <c r="AK173" s="1504"/>
      <c r="AL173" s="1504"/>
      <c r="AM173" s="1504"/>
      <c r="AN173" s="1504"/>
      <c r="AO173" s="1504"/>
      <c r="AP173" s="1504"/>
      <c r="AQ173" s="1504"/>
      <c r="AR173" s="1504"/>
      <c r="AS173" s="1504"/>
      <c r="AT173" s="1504"/>
      <c r="AU173" s="1504"/>
      <c r="AV173" s="1504"/>
      <c r="AW173" s="1504"/>
      <c r="AX173" s="1504"/>
      <c r="AY173" s="1504"/>
      <c r="AZ173" s="1504"/>
      <c r="BA173" s="1504"/>
      <c r="BB173" s="1504"/>
      <c r="BC173" s="1504"/>
      <c r="BD173" s="1504"/>
      <c r="BE173" s="1504"/>
      <c r="BF173" s="1504"/>
      <c r="BG173" s="1504"/>
      <c r="BH173" s="1504"/>
      <c r="BI173" s="1504"/>
      <c r="BJ173" s="1504"/>
      <c r="BK173" s="1504"/>
      <c r="BL173" s="1504"/>
      <c r="BM173" s="1504"/>
      <c r="BN173" s="1504"/>
      <c r="BO173" s="1504"/>
      <c r="BP173" s="1504"/>
      <c r="BQ173" s="1504"/>
      <c r="BR173" s="1504"/>
      <c r="BS173" s="1504"/>
      <c r="BT173" s="1504"/>
      <c r="BU173" s="1504"/>
      <c r="BV173" s="1504"/>
      <c r="BW173" s="1504"/>
      <c r="BX173" s="1504"/>
      <c r="BY173" s="1504"/>
      <c r="BZ173" s="1504"/>
      <c r="CA173" s="1504"/>
      <c r="CB173" s="1504"/>
      <c r="CC173" s="1504"/>
      <c r="CD173" s="1504"/>
      <c r="CE173" s="1504"/>
      <c r="CF173" s="1504"/>
      <c r="CG173" s="1504"/>
      <c r="CH173" s="1504"/>
      <c r="CI173" s="1504"/>
      <c r="CJ173" s="1504"/>
      <c r="CK173" s="1504"/>
      <c r="CL173" s="1504"/>
      <c r="CM173" s="1504"/>
      <c r="CN173" s="1504"/>
      <c r="CO173" s="1504"/>
      <c r="CP173" s="1504"/>
      <c r="CQ173" s="1504"/>
      <c r="CR173" s="1504"/>
      <c r="CS173" s="1504"/>
      <c r="CT173" s="1504"/>
      <c r="CU173" s="1504"/>
      <c r="CV173" s="1504"/>
      <c r="CW173" s="1504"/>
      <c r="CX173" s="1504"/>
      <c r="CY173" s="1504"/>
      <c r="CZ173" s="1504"/>
      <c r="DA173" s="1504"/>
      <c r="DB173" s="1504"/>
      <c r="DC173" s="1504"/>
      <c r="DD173" s="1504"/>
      <c r="DE173" s="1504"/>
      <c r="DF173" s="1504"/>
      <c r="DG173" s="1504"/>
      <c r="DH173" s="1504"/>
      <c r="DI173" s="1504"/>
      <c r="DJ173" s="1504"/>
      <c r="DK173" s="1504"/>
      <c r="DL173" s="1504"/>
      <c r="DM173" s="1504"/>
      <c r="DN173" s="1504"/>
      <c r="DO173" s="1504"/>
      <c r="DP173" s="1504"/>
      <c r="DQ173" s="1504"/>
      <c r="DR173" s="1504"/>
      <c r="DS173" s="1504"/>
      <c r="DT173" s="1504"/>
      <c r="DU173" s="1504"/>
      <c r="DV173" s="1504"/>
      <c r="DW173" s="1504"/>
      <c r="DX173" s="1504"/>
      <c r="DY173" s="1504"/>
      <c r="DZ173" s="1504"/>
      <c r="EA173" s="1504"/>
      <c r="EB173" s="1504"/>
      <c r="EC173" s="1504"/>
      <c r="ED173" s="1504"/>
      <c r="EE173" s="1504"/>
      <c r="EF173" s="1504"/>
      <c r="EG173" s="1504"/>
      <c r="EH173" s="1504"/>
      <c r="EI173" s="1504"/>
      <c r="EJ173" s="1504"/>
      <c r="EK173" s="1504"/>
      <c r="EL173" s="1504"/>
      <c r="EM173" s="1504"/>
      <c r="EN173" s="1504"/>
      <c r="EO173" s="1504"/>
      <c r="EP173" s="1504"/>
      <c r="EQ173" s="1504"/>
      <c r="ER173" s="1504"/>
      <c r="ES173" s="1504"/>
      <c r="ET173" s="1504"/>
      <c r="EU173" s="1504"/>
      <c r="EV173" s="1504"/>
      <c r="EW173" s="1504"/>
      <c r="EX173" s="1504"/>
      <c r="EY173" s="1504"/>
      <c r="EZ173" s="1504"/>
      <c r="FA173" s="1504"/>
      <c r="FB173" s="1504"/>
      <c r="FC173" s="1504"/>
      <c r="FD173" s="1504"/>
      <c r="FE173" s="1504"/>
      <c r="FF173" s="1504"/>
      <c r="FG173" s="1504"/>
      <c r="FH173" s="1504"/>
      <c r="FI173" s="1504"/>
      <c r="FJ173" s="1504"/>
      <c r="FK173" s="1504"/>
      <c r="FL173" s="1504"/>
      <c r="FM173" s="1504"/>
      <c r="FN173" s="1504"/>
      <c r="FO173" s="1504"/>
      <c r="FP173" s="1504"/>
      <c r="FQ173" s="1504"/>
      <c r="FR173" s="1504"/>
      <c r="FS173" s="1504"/>
      <c r="FT173" s="1504"/>
      <c r="FU173" s="1504"/>
      <c r="FV173" s="1504"/>
      <c r="FW173" s="1504"/>
      <c r="FX173" s="1504"/>
      <c r="FY173" s="1504"/>
      <c r="FZ173" s="1504"/>
      <c r="GA173" s="1504"/>
      <c r="GB173" s="1504"/>
      <c r="GC173" s="1504"/>
      <c r="GD173" s="1504"/>
      <c r="GE173" s="1504"/>
      <c r="GF173" s="1504"/>
      <c r="GG173" s="1504"/>
      <c r="GH173" s="1504"/>
      <c r="GI173" s="1504"/>
      <c r="GJ173" s="1504"/>
      <c r="GK173" s="1504"/>
      <c r="GL173" s="1504"/>
      <c r="GM173" s="1504"/>
      <c r="GN173" s="1504"/>
      <c r="GO173" s="1504"/>
      <c r="GP173" s="1504"/>
      <c r="GQ173" s="1504"/>
      <c r="GR173" s="1504"/>
      <c r="GS173" s="1504"/>
      <c r="GT173" s="1504"/>
      <c r="GU173" s="1504"/>
      <c r="GV173" s="1504"/>
      <c r="GW173" s="1504"/>
      <c r="GX173" s="1504"/>
      <c r="GY173" s="1504"/>
      <c r="GZ173" s="1504"/>
      <c r="HA173" s="1504"/>
      <c r="HB173" s="1504"/>
      <c r="HC173" s="1504"/>
      <c r="HD173" s="1504"/>
      <c r="HE173" s="1504"/>
      <c r="HF173" s="1504"/>
      <c r="HG173" s="1504"/>
      <c r="HH173" s="1504"/>
      <c r="HI173" s="1504"/>
      <c r="HJ173" s="1504"/>
      <c r="HK173" s="1504"/>
      <c r="HL173" s="1504"/>
      <c r="HM173" s="1504"/>
      <c r="HN173" s="1504"/>
      <c r="HO173" s="1504"/>
      <c r="HP173" s="1504"/>
      <c r="HQ173" s="1504"/>
      <c r="HR173" s="1504"/>
      <c r="HS173" s="1504"/>
      <c r="HT173" s="1504"/>
      <c r="HU173" s="1504"/>
      <c r="HV173" s="1504"/>
      <c r="HW173" s="1504"/>
      <c r="HX173" s="1504"/>
      <c r="HY173" s="1504"/>
      <c r="HZ173" s="1504"/>
      <c r="IA173" s="1504"/>
      <c r="IB173" s="1504"/>
      <c r="IC173" s="1504"/>
      <c r="ID173" s="1504"/>
      <c r="IE173" s="1504"/>
      <c r="IF173" s="1504"/>
      <c r="IG173" s="1504"/>
      <c r="IH173" s="1504"/>
      <c r="II173" s="1504"/>
      <c r="IJ173" s="1504"/>
      <c r="IK173" s="1504"/>
      <c r="IL173" s="1504"/>
      <c r="IM173" s="1504"/>
      <c r="IN173" s="1504"/>
      <c r="IO173" s="1504"/>
      <c r="IP173" s="1504"/>
      <c r="IQ173" s="1504"/>
      <c r="IR173" s="1504"/>
      <c r="IS173" s="1504"/>
      <c r="IT173" s="1504"/>
      <c r="IU173" s="1504"/>
      <c r="IV173" s="1504"/>
    </row>
    <row r="174" spans="1:256" ht="13.5" customHeight="1">
      <c r="A174" s="1753"/>
      <c r="B174" s="1754"/>
      <c r="C174" s="1755" t="s">
        <v>2920</v>
      </c>
      <c r="D174" s="1756"/>
      <c r="E174" s="1754"/>
      <c r="F174" s="1243" t="s">
        <v>2921</v>
      </c>
      <c r="G174" s="1757">
        <f t="shared" ref="G174:L174" si="87">G3</f>
        <v>0</v>
      </c>
      <c r="H174" s="1757">
        <f t="shared" si="87"/>
        <v>0</v>
      </c>
      <c r="I174" s="1757">
        <f t="shared" si="87"/>
        <v>0</v>
      </c>
      <c r="J174" s="1757">
        <f t="shared" si="87"/>
        <v>0</v>
      </c>
      <c r="K174" s="1757">
        <f t="shared" si="87"/>
        <v>0</v>
      </c>
      <c r="L174" s="1758">
        <f t="shared" si="87"/>
        <v>0</v>
      </c>
      <c r="M174" s="1759"/>
      <c r="N174" s="1759"/>
    </row>
    <row r="175" spans="1:256" ht="13.5" customHeight="1">
      <c r="A175" s="2301"/>
      <c r="B175" s="2304" t="s">
        <v>2922</v>
      </c>
      <c r="C175" s="1760" t="s">
        <v>2923</v>
      </c>
      <c r="D175" s="1415"/>
      <c r="E175" s="1761"/>
      <c r="F175" s="1248" t="s">
        <v>2924</v>
      </c>
      <c r="G175" s="1249">
        <f t="shared" ref="G175:L175" si="88">IF($F$63&lt;=10000000,ROUND(7.56*(10000^-0.1105)*(G174^0.2389),2),ROUND(7.56*(($F$63/1000)^-0.1105)*(G174^0.2389),2))</f>
        <v>0</v>
      </c>
      <c r="H175" s="1249">
        <f t="shared" si="88"/>
        <v>0</v>
      </c>
      <c r="I175" s="1249">
        <f t="shared" si="88"/>
        <v>0</v>
      </c>
      <c r="J175" s="1249">
        <f t="shared" si="88"/>
        <v>0</v>
      </c>
      <c r="K175" s="1249">
        <f t="shared" si="88"/>
        <v>0</v>
      </c>
      <c r="L175" s="1250">
        <f t="shared" si="88"/>
        <v>0</v>
      </c>
      <c r="M175" s="1762"/>
      <c r="N175" s="1762"/>
    </row>
    <row r="176" spans="1:256" ht="13.5" customHeight="1">
      <c r="A176" s="2302"/>
      <c r="B176" s="2305"/>
      <c r="C176" s="2307" t="s">
        <v>2925</v>
      </c>
      <c r="D176" s="1763"/>
      <c r="E176" s="1764"/>
      <c r="F176" s="1248" t="s">
        <v>2926</v>
      </c>
      <c r="G176" s="1253">
        <f t="shared" ref="G176:L176" si="89">IF($F$63&lt;=10000000,ROUND(4.33,2),0)</f>
        <v>4.33</v>
      </c>
      <c r="H176" s="1253">
        <f t="shared" si="89"/>
        <v>4.33</v>
      </c>
      <c r="I176" s="1253">
        <f t="shared" si="89"/>
        <v>4.33</v>
      </c>
      <c r="J176" s="1253">
        <f t="shared" si="89"/>
        <v>4.33</v>
      </c>
      <c r="K176" s="1253">
        <f t="shared" si="89"/>
        <v>4.33</v>
      </c>
      <c r="L176" s="1254">
        <f t="shared" si="89"/>
        <v>4.33</v>
      </c>
      <c r="M176" s="1765"/>
      <c r="N176" s="1765"/>
    </row>
    <row r="177" spans="1:256" ht="13.5" customHeight="1">
      <c r="A177" s="2302"/>
      <c r="B177" s="2305"/>
      <c r="C177" s="2308"/>
      <c r="D177" s="1766"/>
      <c r="E177" s="1767"/>
      <c r="F177" s="1248" t="s">
        <v>2927</v>
      </c>
      <c r="G177" s="1253">
        <f t="shared" ref="G177:L177" si="90">IF($F$63&lt;=10000000,ROUND(3.25,2),0)</f>
        <v>3.25</v>
      </c>
      <c r="H177" s="1253">
        <f t="shared" si="90"/>
        <v>3.25</v>
      </c>
      <c r="I177" s="1253">
        <f t="shared" si="90"/>
        <v>3.25</v>
      </c>
      <c r="J177" s="1253">
        <f t="shared" si="90"/>
        <v>3.25</v>
      </c>
      <c r="K177" s="1253">
        <f t="shared" si="90"/>
        <v>3.25</v>
      </c>
      <c r="L177" s="1254">
        <f t="shared" si="90"/>
        <v>3.25</v>
      </c>
      <c r="M177" s="1765"/>
      <c r="N177" s="1765"/>
    </row>
    <row r="178" spans="1:256" ht="13.5" customHeight="1">
      <c r="A178" s="2302"/>
      <c r="B178" s="2305"/>
      <c r="C178" s="2307" t="s">
        <v>2928</v>
      </c>
      <c r="D178" s="1763"/>
      <c r="E178" s="1764"/>
      <c r="F178" s="1248" t="s">
        <v>2926</v>
      </c>
      <c r="G178" s="1257">
        <f t="shared" ref="G178:L178" si="91">IF($F$63&gt;10000000,ROUND(5.78*($F$63/1000)^-0.0313,2),0)</f>
        <v>0</v>
      </c>
      <c r="H178" s="1257">
        <f t="shared" si="91"/>
        <v>0</v>
      </c>
      <c r="I178" s="1257">
        <f t="shared" si="91"/>
        <v>0</v>
      </c>
      <c r="J178" s="1257">
        <f t="shared" si="91"/>
        <v>0</v>
      </c>
      <c r="K178" s="1257">
        <f t="shared" si="91"/>
        <v>0</v>
      </c>
      <c r="L178" s="1258">
        <f t="shared" si="91"/>
        <v>0</v>
      </c>
      <c r="M178" s="1768"/>
      <c r="N178" s="1768"/>
    </row>
    <row r="179" spans="1:256" ht="13.5" customHeight="1">
      <c r="A179" s="2303"/>
      <c r="B179" s="2306"/>
      <c r="C179" s="2308"/>
      <c r="D179" s="1766"/>
      <c r="E179" s="1767"/>
      <c r="F179" s="1248" t="s">
        <v>2927</v>
      </c>
      <c r="G179" s="1257">
        <f t="shared" ref="G179:L179" si="92">IF($F$63&gt;10000000,ROUND(4.34*($F$63/1000)^-0.0313,2),0)</f>
        <v>0</v>
      </c>
      <c r="H179" s="1257">
        <f t="shared" si="92"/>
        <v>0</v>
      </c>
      <c r="I179" s="1257">
        <f t="shared" si="92"/>
        <v>0</v>
      </c>
      <c r="J179" s="1257">
        <f t="shared" si="92"/>
        <v>0</v>
      </c>
      <c r="K179" s="1257">
        <f t="shared" si="92"/>
        <v>0</v>
      </c>
      <c r="L179" s="1258">
        <f t="shared" si="92"/>
        <v>0</v>
      </c>
      <c r="M179" s="1768"/>
      <c r="N179" s="1768"/>
    </row>
    <row r="180" spans="1:256" s="1770" customFormat="1" ht="13.5" customHeight="1">
      <c r="A180" s="2290" t="s">
        <v>2929</v>
      </c>
      <c r="B180" s="2291"/>
      <c r="C180" s="2291"/>
      <c r="D180" s="2291"/>
      <c r="E180" s="2292"/>
      <c r="F180" s="2293"/>
      <c r="G180" s="1259">
        <f t="shared" ref="G180:L180" si="93">IF($F$63&lt;=10000000,IF(G$175&gt;G$176,G$176,IF(G$175&lt;G$177,G$177,G$175)),IF(G$175&gt;G$178,G$178,IF(G$175&lt;G$179,G$179,G$175)))</f>
        <v>3.25</v>
      </c>
      <c r="H180" s="1259">
        <f t="shared" si="93"/>
        <v>3.25</v>
      </c>
      <c r="I180" s="1259">
        <f t="shared" si="93"/>
        <v>3.25</v>
      </c>
      <c r="J180" s="1259">
        <f t="shared" si="93"/>
        <v>3.25</v>
      </c>
      <c r="K180" s="1259">
        <f t="shared" si="93"/>
        <v>3.25</v>
      </c>
      <c r="L180" s="1260">
        <f t="shared" si="93"/>
        <v>3.25</v>
      </c>
      <c r="M180" s="1769"/>
      <c r="N180" s="1769"/>
    </row>
    <row r="181" spans="1:256" s="1770" customFormat="1" ht="13.5" customHeight="1" thickBot="1">
      <c r="A181" s="2294" t="s">
        <v>3056</v>
      </c>
      <c r="B181" s="2295"/>
      <c r="C181" s="2295"/>
      <c r="D181" s="2295"/>
      <c r="E181" s="2296"/>
      <c r="F181" s="2297"/>
      <c r="G181" s="1262">
        <f>ROUND(G180*IF(AND(G8="駅施設",G9="無し"),0.7,IF(AND(G8="駅施設",G9="有り"),0.7,IF(AND(G8="地上建物",G9="無し"),0.9,IF(AND(G8="地上建物",G9="有り"),1,0)))),2)</f>
        <v>2.2799999999999998</v>
      </c>
      <c r="H181" s="1262">
        <f t="shared" ref="H181:L181" si="94">ROUND(H180*IF(AND(H8="駅施設",H9="無し"),0.7,IF(AND(H8="駅施設",H9="有り"),0.7,IF(AND(H8="地上建物",H9="無し"),0.9,IF(AND(H8="地上建物",H9="有り"),1,0)))),2)</f>
        <v>2.2799999999999998</v>
      </c>
      <c r="I181" s="1262">
        <f t="shared" si="94"/>
        <v>2.2799999999999998</v>
      </c>
      <c r="J181" s="1262">
        <f t="shared" si="94"/>
        <v>2.2799999999999998</v>
      </c>
      <c r="K181" s="1262">
        <f t="shared" si="94"/>
        <v>2.2799999999999998</v>
      </c>
      <c r="L181" s="1263">
        <f t="shared" si="94"/>
        <v>2.2799999999999998</v>
      </c>
      <c r="M181" s="1769"/>
      <c r="N181" s="1769"/>
    </row>
    <row r="182" spans="1:256" s="1770" customFormat="1" ht="13.5" customHeight="1" thickBot="1">
      <c r="A182" s="1771"/>
      <c r="B182" s="1772"/>
      <c r="C182" s="1772"/>
      <c r="D182" s="1772"/>
      <c r="E182" s="1773"/>
      <c r="F182" s="1773"/>
      <c r="G182" s="1769"/>
      <c r="H182" s="1769"/>
      <c r="I182" s="1769"/>
      <c r="J182" s="1769"/>
      <c r="K182" s="1769"/>
      <c r="L182" s="1769"/>
      <c r="M182" s="1769"/>
      <c r="N182" s="1769"/>
    </row>
    <row r="183" spans="1:256" s="1504" customFormat="1" ht="13.5" customHeight="1">
      <c r="A183" s="1774"/>
      <c r="B183" s="1775"/>
      <c r="C183" s="1776" t="s">
        <v>2920</v>
      </c>
      <c r="D183" s="1777"/>
      <c r="E183" s="1775"/>
      <c r="F183" s="1269" t="s">
        <v>2921</v>
      </c>
      <c r="G183" s="1757">
        <f t="shared" ref="G183:L183" si="95">G3</f>
        <v>0</v>
      </c>
      <c r="H183" s="1757">
        <f t="shared" si="95"/>
        <v>0</v>
      </c>
      <c r="I183" s="1757">
        <f t="shared" si="95"/>
        <v>0</v>
      </c>
      <c r="J183" s="1757">
        <f t="shared" si="95"/>
        <v>0</v>
      </c>
      <c r="K183" s="1757">
        <f t="shared" si="95"/>
        <v>0</v>
      </c>
      <c r="L183" s="1758">
        <f t="shared" si="95"/>
        <v>0</v>
      </c>
      <c r="M183" s="1759"/>
      <c r="N183" s="1759"/>
    </row>
    <row r="184" spans="1:256" s="1504" customFormat="1" ht="13.5" customHeight="1">
      <c r="A184" s="2277"/>
      <c r="B184" s="2279" t="s">
        <v>2931</v>
      </c>
      <c r="C184" s="1778" t="s">
        <v>2923</v>
      </c>
      <c r="D184" s="1385"/>
      <c r="E184" s="1779"/>
      <c r="F184" s="1272" t="s">
        <v>2932</v>
      </c>
      <c r="G184" s="1249">
        <f t="shared" ref="G184:L184" si="96">IF($F$63&lt;=5000000,ROUND(18.03*(5000^-0.2027)*(G183^0.4017),2),ROUND(18.03*(($F$63/1000)^-0.2027)*(G183^0.4017),2))</f>
        <v>0</v>
      </c>
      <c r="H184" s="1249">
        <f t="shared" si="96"/>
        <v>0</v>
      </c>
      <c r="I184" s="1249">
        <f t="shared" si="96"/>
        <v>0</v>
      </c>
      <c r="J184" s="1249">
        <f t="shared" si="96"/>
        <v>0</v>
      </c>
      <c r="K184" s="1249">
        <f t="shared" si="96"/>
        <v>0</v>
      </c>
      <c r="L184" s="1250">
        <f t="shared" si="96"/>
        <v>0</v>
      </c>
      <c r="M184" s="1762"/>
      <c r="N184" s="1762"/>
    </row>
    <row r="185" spans="1:256" s="1504" customFormat="1" ht="13.5" customHeight="1">
      <c r="A185" s="2278"/>
      <c r="B185" s="2280"/>
      <c r="C185" s="2288" t="s">
        <v>2933</v>
      </c>
      <c r="D185" s="1394"/>
      <c r="E185" s="1780"/>
      <c r="F185" s="1272" t="s">
        <v>2926</v>
      </c>
      <c r="G185" s="1274">
        <f t="shared" ref="G185:L185" si="97">IF($F$63&lt;=5000000,ROUND(6.07,2),0)</f>
        <v>6.07</v>
      </c>
      <c r="H185" s="1274">
        <f t="shared" si="97"/>
        <v>6.07</v>
      </c>
      <c r="I185" s="1274">
        <f t="shared" si="97"/>
        <v>6.07</v>
      </c>
      <c r="J185" s="1274">
        <f t="shared" si="97"/>
        <v>6.07</v>
      </c>
      <c r="K185" s="1274">
        <f t="shared" si="97"/>
        <v>6.07</v>
      </c>
      <c r="L185" s="1275">
        <f t="shared" si="97"/>
        <v>6.07</v>
      </c>
      <c r="M185" s="1300"/>
      <c r="N185" s="1300"/>
    </row>
    <row r="186" spans="1:256" s="1504" customFormat="1" ht="13.5" customHeight="1">
      <c r="A186" s="2278"/>
      <c r="B186" s="2280"/>
      <c r="C186" s="2289"/>
      <c r="D186" s="1781"/>
      <c r="E186" s="1782"/>
      <c r="F186" s="1272" t="s">
        <v>2927</v>
      </c>
      <c r="G186" s="1274">
        <f t="shared" ref="G186:L186" si="98">IF($F$63&lt;=5000000,ROUND(3.59,2),0)</f>
        <v>3.59</v>
      </c>
      <c r="H186" s="1274">
        <f t="shared" si="98"/>
        <v>3.59</v>
      </c>
      <c r="I186" s="1274">
        <f t="shared" si="98"/>
        <v>3.59</v>
      </c>
      <c r="J186" s="1274">
        <f t="shared" si="98"/>
        <v>3.59</v>
      </c>
      <c r="K186" s="1274">
        <f t="shared" si="98"/>
        <v>3.59</v>
      </c>
      <c r="L186" s="1275">
        <f t="shared" si="98"/>
        <v>3.59</v>
      </c>
      <c r="M186" s="1300"/>
      <c r="N186" s="1300"/>
    </row>
    <row r="187" spans="1:256" s="1504" customFormat="1" ht="13.5" customHeight="1">
      <c r="A187" s="2278"/>
      <c r="B187" s="2280"/>
      <c r="C187" s="2288" t="s">
        <v>2934</v>
      </c>
      <c r="D187" s="1394"/>
      <c r="E187" s="1780"/>
      <c r="F187" s="1272" t="s">
        <v>2926</v>
      </c>
      <c r="G187" s="1278">
        <f t="shared" ref="G187:L187" si="99">IF($F$63&gt;5000000,ROUND(11.74*($F$63/1000)^-0.0774,2),0)</f>
        <v>0</v>
      </c>
      <c r="H187" s="1278">
        <f t="shared" si="99"/>
        <v>0</v>
      </c>
      <c r="I187" s="1278">
        <f t="shared" si="99"/>
        <v>0</v>
      </c>
      <c r="J187" s="1278">
        <f t="shared" si="99"/>
        <v>0</v>
      </c>
      <c r="K187" s="1278">
        <f t="shared" si="99"/>
        <v>0</v>
      </c>
      <c r="L187" s="1279">
        <f t="shared" si="99"/>
        <v>0</v>
      </c>
      <c r="M187" s="1302"/>
      <c r="N187" s="1302"/>
    </row>
    <row r="188" spans="1:256" s="1504" customFormat="1" ht="13.5" customHeight="1">
      <c r="A188" s="2286"/>
      <c r="B188" s="2287"/>
      <c r="C188" s="2289"/>
      <c r="D188" s="1781"/>
      <c r="E188" s="1782"/>
      <c r="F188" s="1272" t="s">
        <v>2927</v>
      </c>
      <c r="G188" s="1278">
        <f t="shared" ref="G188:L188" si="100">IF($F$63&gt;5000000,ROUND(6.94*($F$63/1000)^-0.0774,2),0)</f>
        <v>0</v>
      </c>
      <c r="H188" s="1278">
        <f t="shared" si="100"/>
        <v>0</v>
      </c>
      <c r="I188" s="1278">
        <f t="shared" si="100"/>
        <v>0</v>
      </c>
      <c r="J188" s="1278">
        <f t="shared" si="100"/>
        <v>0</v>
      </c>
      <c r="K188" s="1278">
        <f t="shared" si="100"/>
        <v>0</v>
      </c>
      <c r="L188" s="1279">
        <f t="shared" si="100"/>
        <v>0</v>
      </c>
      <c r="M188" s="1302"/>
      <c r="N188" s="1302"/>
    </row>
    <row r="189" spans="1:256" s="1770" customFormat="1" ht="13.5" customHeight="1">
      <c r="A189" s="2290" t="s">
        <v>2929</v>
      </c>
      <c r="B189" s="2291"/>
      <c r="C189" s="2291"/>
      <c r="D189" s="2291"/>
      <c r="E189" s="2292"/>
      <c r="F189" s="2293"/>
      <c r="G189" s="1280">
        <f t="shared" ref="G189:L189" si="101">IF($F$63&lt;=5000000,IF(G$184&gt;G$185,G$185,IF(G$184&lt;G$186,G$186,G$184)),IF(G$184&gt;G$187,G$187,IF(G$184&lt;G$188,G$188,G$184)))</f>
        <v>3.59</v>
      </c>
      <c r="H189" s="1280">
        <f t="shared" si="101"/>
        <v>3.59</v>
      </c>
      <c r="I189" s="1280">
        <f t="shared" si="101"/>
        <v>3.59</v>
      </c>
      <c r="J189" s="1280">
        <f t="shared" si="101"/>
        <v>3.59</v>
      </c>
      <c r="K189" s="1280">
        <f t="shared" si="101"/>
        <v>3.59</v>
      </c>
      <c r="L189" s="1281">
        <f t="shared" si="101"/>
        <v>3.59</v>
      </c>
      <c r="M189" s="1783"/>
      <c r="N189" s="1783"/>
    </row>
    <row r="190" spans="1:256" s="1770" customFormat="1" ht="13.5" customHeight="1" thickBot="1">
      <c r="A190" s="2294" t="s">
        <v>3056</v>
      </c>
      <c r="B190" s="2295"/>
      <c r="C190" s="2295"/>
      <c r="D190" s="2295"/>
      <c r="E190" s="2296"/>
      <c r="F190" s="2297"/>
      <c r="G190" s="1262">
        <f>ROUND(G189*IF(AND(G8="駅施設",G9="無し"),0.7,IF(AND(G8="駅施設",G9="有り"),0.7,IF(AND(G8="地上建物",G9="無し"),0.9,IF(AND(G8="地上建物",G9="有り"),1,0)))),2)</f>
        <v>2.5099999999999998</v>
      </c>
      <c r="H190" s="1262">
        <f t="shared" ref="H190:L190" si="102">ROUND(H189*IF(AND(H8="駅施設",H9="無し"),0.7,IF(AND(H8="駅施設",H9="有り"),0.7,IF(AND(H8="地上建物",H9="無し"),0.9,IF(AND(H8="地上建物",H9="有り"),1,0)))),2)</f>
        <v>2.5099999999999998</v>
      </c>
      <c r="I190" s="1262">
        <f t="shared" si="102"/>
        <v>2.5099999999999998</v>
      </c>
      <c r="J190" s="1262">
        <f t="shared" si="102"/>
        <v>2.5099999999999998</v>
      </c>
      <c r="K190" s="1262">
        <f t="shared" si="102"/>
        <v>2.5099999999999998</v>
      </c>
      <c r="L190" s="1263">
        <f t="shared" si="102"/>
        <v>2.5099999999999998</v>
      </c>
      <c r="M190" s="1769"/>
      <c r="N190" s="1769"/>
    </row>
    <row r="191" spans="1:256" ht="13.5" customHeight="1" thickBot="1">
      <c r="A191" s="1504"/>
      <c r="B191" s="1504"/>
      <c r="C191" s="1504"/>
      <c r="D191" s="1504"/>
      <c r="E191" s="1784"/>
      <c r="F191" s="1784"/>
      <c r="G191" s="1785"/>
      <c r="H191" s="1785"/>
      <c r="I191" s="1785"/>
      <c r="J191" s="1785"/>
      <c r="K191" s="1785"/>
      <c r="L191" s="1785"/>
      <c r="M191" s="1504"/>
      <c r="N191" s="1504"/>
      <c r="O191" s="1504"/>
      <c r="P191" s="1504"/>
      <c r="Q191" s="1504"/>
      <c r="R191" s="1504"/>
      <c r="S191" s="1504"/>
      <c r="T191" s="1504"/>
      <c r="U191" s="1504"/>
      <c r="V191" s="1504"/>
      <c r="W191" s="1504"/>
      <c r="X191" s="1504"/>
      <c r="Y191" s="1504"/>
      <c r="Z191" s="1504"/>
      <c r="AA191" s="1504"/>
      <c r="AB191" s="1504"/>
      <c r="AC191" s="1504"/>
      <c r="AD191" s="1504"/>
      <c r="AE191" s="1504"/>
      <c r="AF191" s="1504"/>
      <c r="AG191" s="1504"/>
      <c r="AH191" s="1504"/>
      <c r="AI191" s="1504"/>
      <c r="AJ191" s="1504"/>
      <c r="AK191" s="1504"/>
      <c r="AL191" s="1504"/>
      <c r="AM191" s="1504"/>
      <c r="AN191" s="1504"/>
      <c r="AO191" s="1504"/>
      <c r="AP191" s="1504"/>
      <c r="AQ191" s="1504"/>
      <c r="AR191" s="1504"/>
      <c r="AS191" s="1504"/>
      <c r="AT191" s="1504"/>
      <c r="AU191" s="1504"/>
      <c r="AV191" s="1504"/>
      <c r="AW191" s="1504"/>
      <c r="AX191" s="1504"/>
      <c r="AY191" s="1504"/>
      <c r="AZ191" s="1504"/>
      <c r="BA191" s="1504"/>
      <c r="BB191" s="1504"/>
      <c r="BC191" s="1504"/>
      <c r="BD191" s="1504"/>
      <c r="BE191" s="1504"/>
      <c r="BF191" s="1504"/>
      <c r="BG191" s="1504"/>
      <c r="BH191" s="1504"/>
      <c r="BI191" s="1504"/>
      <c r="BJ191" s="1504"/>
      <c r="BK191" s="1504"/>
      <c r="BL191" s="1504"/>
      <c r="BM191" s="1504"/>
      <c r="BN191" s="1504"/>
      <c r="BO191" s="1504"/>
      <c r="BP191" s="1504"/>
      <c r="BQ191" s="1504"/>
      <c r="BR191" s="1504"/>
      <c r="BS191" s="1504"/>
      <c r="BT191" s="1504"/>
      <c r="BU191" s="1504"/>
      <c r="BV191" s="1504"/>
      <c r="BW191" s="1504"/>
      <c r="BX191" s="1504"/>
      <c r="BY191" s="1504"/>
      <c r="BZ191" s="1504"/>
      <c r="CA191" s="1504"/>
      <c r="CB191" s="1504"/>
      <c r="CC191" s="1504"/>
      <c r="CD191" s="1504"/>
      <c r="CE191" s="1504"/>
      <c r="CF191" s="1504"/>
      <c r="CG191" s="1504"/>
      <c r="CH191" s="1504"/>
      <c r="CI191" s="1504"/>
      <c r="CJ191" s="1504"/>
      <c r="CK191" s="1504"/>
      <c r="CL191" s="1504"/>
      <c r="CM191" s="1504"/>
      <c r="CN191" s="1504"/>
      <c r="CO191" s="1504"/>
      <c r="CP191" s="1504"/>
      <c r="CQ191" s="1504"/>
      <c r="CR191" s="1504"/>
      <c r="CS191" s="1504"/>
      <c r="CT191" s="1504"/>
      <c r="CU191" s="1504"/>
      <c r="CV191" s="1504"/>
      <c r="CW191" s="1504"/>
      <c r="CX191" s="1504"/>
      <c r="CY191" s="1504"/>
      <c r="CZ191" s="1504"/>
      <c r="DA191" s="1504"/>
      <c r="DB191" s="1504"/>
      <c r="DC191" s="1504"/>
      <c r="DD191" s="1504"/>
      <c r="DE191" s="1504"/>
      <c r="DF191" s="1504"/>
      <c r="DG191" s="1504"/>
      <c r="DH191" s="1504"/>
      <c r="DI191" s="1504"/>
      <c r="DJ191" s="1504"/>
      <c r="DK191" s="1504"/>
      <c r="DL191" s="1504"/>
      <c r="DM191" s="1504"/>
      <c r="DN191" s="1504"/>
      <c r="DO191" s="1504"/>
      <c r="DP191" s="1504"/>
      <c r="DQ191" s="1504"/>
      <c r="DR191" s="1504"/>
      <c r="DS191" s="1504"/>
      <c r="DT191" s="1504"/>
      <c r="DU191" s="1504"/>
      <c r="DV191" s="1504"/>
      <c r="DW191" s="1504"/>
      <c r="DX191" s="1504"/>
      <c r="DY191" s="1504"/>
      <c r="DZ191" s="1504"/>
      <c r="EA191" s="1504"/>
      <c r="EB191" s="1504"/>
      <c r="EC191" s="1504"/>
      <c r="ED191" s="1504"/>
      <c r="EE191" s="1504"/>
      <c r="EF191" s="1504"/>
      <c r="EG191" s="1504"/>
      <c r="EH191" s="1504"/>
      <c r="EI191" s="1504"/>
      <c r="EJ191" s="1504"/>
      <c r="EK191" s="1504"/>
      <c r="EL191" s="1504"/>
      <c r="EM191" s="1504"/>
      <c r="EN191" s="1504"/>
      <c r="EO191" s="1504"/>
      <c r="EP191" s="1504"/>
      <c r="EQ191" s="1504"/>
      <c r="ER191" s="1504"/>
      <c r="ES191" s="1504"/>
      <c r="ET191" s="1504"/>
      <c r="EU191" s="1504"/>
      <c r="EV191" s="1504"/>
      <c r="EW191" s="1504"/>
      <c r="EX191" s="1504"/>
      <c r="EY191" s="1504"/>
      <c r="EZ191" s="1504"/>
      <c r="FA191" s="1504"/>
      <c r="FB191" s="1504"/>
      <c r="FC191" s="1504"/>
      <c r="FD191" s="1504"/>
      <c r="FE191" s="1504"/>
      <c r="FF191" s="1504"/>
      <c r="FG191" s="1504"/>
      <c r="FH191" s="1504"/>
      <c r="FI191" s="1504"/>
      <c r="FJ191" s="1504"/>
      <c r="FK191" s="1504"/>
      <c r="FL191" s="1504"/>
      <c r="FM191" s="1504"/>
      <c r="FN191" s="1504"/>
      <c r="FO191" s="1504"/>
      <c r="FP191" s="1504"/>
      <c r="FQ191" s="1504"/>
      <c r="FR191" s="1504"/>
      <c r="FS191" s="1504"/>
      <c r="FT191" s="1504"/>
      <c r="FU191" s="1504"/>
      <c r="FV191" s="1504"/>
      <c r="FW191" s="1504"/>
      <c r="FX191" s="1504"/>
      <c r="FY191" s="1504"/>
      <c r="FZ191" s="1504"/>
      <c r="GA191" s="1504"/>
      <c r="GB191" s="1504"/>
      <c r="GC191" s="1504"/>
      <c r="GD191" s="1504"/>
      <c r="GE191" s="1504"/>
      <c r="GF191" s="1504"/>
      <c r="GG191" s="1504"/>
      <c r="GH191" s="1504"/>
      <c r="GI191" s="1504"/>
      <c r="GJ191" s="1504"/>
      <c r="GK191" s="1504"/>
      <c r="GL191" s="1504"/>
      <c r="GM191" s="1504"/>
      <c r="GN191" s="1504"/>
      <c r="GO191" s="1504"/>
      <c r="GP191" s="1504"/>
      <c r="GQ191" s="1504"/>
      <c r="GR191" s="1504"/>
      <c r="GS191" s="1504"/>
      <c r="GT191" s="1504"/>
      <c r="GU191" s="1504"/>
      <c r="GV191" s="1504"/>
      <c r="GW191" s="1504"/>
      <c r="GX191" s="1504"/>
      <c r="GY191" s="1504"/>
      <c r="GZ191" s="1504"/>
      <c r="HA191" s="1504"/>
      <c r="HB191" s="1504"/>
      <c r="HC191" s="1504"/>
      <c r="HD191" s="1504"/>
      <c r="HE191" s="1504"/>
      <c r="HF191" s="1504"/>
      <c r="HG191" s="1504"/>
      <c r="HH191" s="1504"/>
      <c r="HI191" s="1504"/>
      <c r="HJ191" s="1504"/>
      <c r="HK191" s="1504"/>
      <c r="HL191" s="1504"/>
      <c r="HM191" s="1504"/>
      <c r="HN191" s="1504"/>
      <c r="HO191" s="1504"/>
      <c r="HP191" s="1504"/>
      <c r="HQ191" s="1504"/>
      <c r="HR191" s="1504"/>
      <c r="HS191" s="1504"/>
      <c r="HT191" s="1504"/>
      <c r="HU191" s="1504"/>
      <c r="HV191" s="1504"/>
      <c r="HW191" s="1504"/>
      <c r="HX191" s="1504"/>
      <c r="HY191" s="1504"/>
      <c r="HZ191" s="1504"/>
      <c r="IA191" s="1504"/>
      <c r="IB191" s="1504"/>
      <c r="IC191" s="1504"/>
      <c r="ID191" s="1504"/>
      <c r="IE191" s="1504"/>
      <c r="IF191" s="1504"/>
      <c r="IG191" s="1504"/>
      <c r="IH191" s="1504"/>
      <c r="II191" s="1504"/>
      <c r="IJ191" s="1504"/>
      <c r="IK191" s="1504"/>
      <c r="IL191" s="1504"/>
      <c r="IM191" s="1504"/>
      <c r="IN191" s="1504"/>
      <c r="IO191" s="1504"/>
      <c r="IP191" s="1504"/>
      <c r="IQ191" s="1504"/>
      <c r="IR191" s="1504"/>
      <c r="IS191" s="1504"/>
      <c r="IT191" s="1504"/>
      <c r="IU191" s="1504"/>
      <c r="IV191" s="1504"/>
    </row>
    <row r="192" spans="1:256" ht="13.5" customHeight="1">
      <c r="A192" s="1774"/>
      <c r="B192" s="1775"/>
      <c r="C192" s="1776" t="s">
        <v>2935</v>
      </c>
      <c r="D192" s="1777"/>
      <c r="E192" s="1775"/>
      <c r="F192" s="1269" t="s">
        <v>2921</v>
      </c>
      <c r="G192" s="1786">
        <f t="shared" ref="G192:L192" si="103">+G200</f>
        <v>0</v>
      </c>
      <c r="H192" s="1786">
        <f t="shared" si="103"/>
        <v>0</v>
      </c>
      <c r="I192" s="1786">
        <f t="shared" si="103"/>
        <v>0</v>
      </c>
      <c r="J192" s="1786">
        <f t="shared" si="103"/>
        <v>0</v>
      </c>
      <c r="K192" s="1786">
        <f t="shared" si="103"/>
        <v>0</v>
      </c>
      <c r="L192" s="1787">
        <f t="shared" si="103"/>
        <v>0</v>
      </c>
    </row>
    <row r="193" spans="1:12" ht="13.5" customHeight="1">
      <c r="A193" s="2277"/>
      <c r="B193" s="2279" t="s">
        <v>2922</v>
      </c>
      <c r="C193" s="1778" t="s">
        <v>2936</v>
      </c>
      <c r="D193" s="1385"/>
      <c r="E193" s="1779"/>
      <c r="F193" s="1272" t="s">
        <v>2937</v>
      </c>
      <c r="G193" s="1249">
        <f t="shared" ref="G193:L193" si="104">IF($F$94&lt;=10000000,ROUND(151.08*((10000)^-0.3396)*(G192^0.586),2),ROUND(151.08*(($F$94/1000)^-0.3396)*(G192^0.586),2))</f>
        <v>0</v>
      </c>
      <c r="H193" s="1249">
        <f t="shared" si="104"/>
        <v>0</v>
      </c>
      <c r="I193" s="1249">
        <f t="shared" si="104"/>
        <v>0</v>
      </c>
      <c r="J193" s="1249">
        <f t="shared" si="104"/>
        <v>0</v>
      </c>
      <c r="K193" s="1249">
        <f t="shared" si="104"/>
        <v>0</v>
      </c>
      <c r="L193" s="1250">
        <f t="shared" si="104"/>
        <v>0</v>
      </c>
    </row>
    <row r="194" spans="1:12" ht="13.5" customHeight="1">
      <c r="A194" s="2278"/>
      <c r="B194" s="2280"/>
      <c r="C194" s="2288" t="s">
        <v>2938</v>
      </c>
      <c r="D194" s="1394"/>
      <c r="E194" s="1780"/>
      <c r="F194" s="1272" t="s">
        <v>2926</v>
      </c>
      <c r="G194" s="1788">
        <f t="shared" ref="G194:L194" si="105">IF($F$94&lt;=10000000,ROUND(20.13,2),0)</f>
        <v>20.13</v>
      </c>
      <c r="H194" s="1788">
        <f t="shared" si="105"/>
        <v>20.13</v>
      </c>
      <c r="I194" s="1788">
        <f t="shared" si="105"/>
        <v>20.13</v>
      </c>
      <c r="J194" s="1788">
        <f t="shared" si="105"/>
        <v>20.13</v>
      </c>
      <c r="K194" s="1788">
        <f t="shared" si="105"/>
        <v>20.13</v>
      </c>
      <c r="L194" s="1789">
        <f t="shared" si="105"/>
        <v>20.13</v>
      </c>
    </row>
    <row r="195" spans="1:12" ht="13.5" customHeight="1">
      <c r="A195" s="2278"/>
      <c r="B195" s="2280"/>
      <c r="C195" s="2289"/>
      <c r="D195" s="1781"/>
      <c r="E195" s="1782"/>
      <c r="F195" s="1272" t="s">
        <v>2927</v>
      </c>
      <c r="G195" s="1788">
        <f t="shared" ref="G195:L195" si="106">IF($F$94&lt;=10000000,ROUND(10.01,2),0)</f>
        <v>10.01</v>
      </c>
      <c r="H195" s="1788">
        <f t="shared" si="106"/>
        <v>10.01</v>
      </c>
      <c r="I195" s="1788">
        <f t="shared" si="106"/>
        <v>10.01</v>
      </c>
      <c r="J195" s="1788">
        <f t="shared" si="106"/>
        <v>10.01</v>
      </c>
      <c r="K195" s="1788">
        <f t="shared" si="106"/>
        <v>10.01</v>
      </c>
      <c r="L195" s="1789">
        <f t="shared" si="106"/>
        <v>10.01</v>
      </c>
    </row>
    <row r="196" spans="1:12" ht="13.5" customHeight="1">
      <c r="A196" s="2278"/>
      <c r="B196" s="2280"/>
      <c r="C196" s="2288" t="s">
        <v>2939</v>
      </c>
      <c r="D196" s="1394"/>
      <c r="E196" s="1780"/>
      <c r="F196" s="1272" t="s">
        <v>2926</v>
      </c>
      <c r="G196" s="1790">
        <f t="shared" ref="G196:L196" si="107">IF($F$94&gt;10000000,ROUND(75.97*($F$94/1000)^-0.1442,2),0)</f>
        <v>0</v>
      </c>
      <c r="H196" s="1790">
        <f t="shared" si="107"/>
        <v>0</v>
      </c>
      <c r="I196" s="1790">
        <f t="shared" si="107"/>
        <v>0</v>
      </c>
      <c r="J196" s="1790">
        <f t="shared" si="107"/>
        <v>0</v>
      </c>
      <c r="K196" s="1790">
        <f t="shared" si="107"/>
        <v>0</v>
      </c>
      <c r="L196" s="1791">
        <f t="shared" si="107"/>
        <v>0</v>
      </c>
    </row>
    <row r="197" spans="1:12" ht="13.5" customHeight="1">
      <c r="A197" s="2286"/>
      <c r="B197" s="2287"/>
      <c r="C197" s="2289"/>
      <c r="D197" s="1781"/>
      <c r="E197" s="1782"/>
      <c r="F197" s="1272" t="s">
        <v>2927</v>
      </c>
      <c r="G197" s="1790">
        <f t="shared" ref="G197:L197" si="108">IF($F$94&gt;10000000,ROUND(37.76*($F$94/1000)^-0.1442,2),0)</f>
        <v>0</v>
      </c>
      <c r="H197" s="1790">
        <f t="shared" si="108"/>
        <v>0</v>
      </c>
      <c r="I197" s="1790">
        <f t="shared" si="108"/>
        <v>0</v>
      </c>
      <c r="J197" s="1790">
        <f t="shared" si="108"/>
        <v>0</v>
      </c>
      <c r="K197" s="1790">
        <f t="shared" si="108"/>
        <v>0</v>
      </c>
      <c r="L197" s="1791">
        <f t="shared" si="108"/>
        <v>0</v>
      </c>
    </row>
    <row r="198" spans="1:12" ht="13.5" customHeight="1" thickBot="1">
      <c r="A198" s="2283" t="s">
        <v>2940</v>
      </c>
      <c r="B198" s="2284"/>
      <c r="C198" s="2284"/>
      <c r="D198" s="2285"/>
      <c r="E198" s="1792"/>
      <c r="F198" s="1793"/>
      <c r="G198" s="1794">
        <f t="shared" ref="G198:L198" si="109">IF($F$94&lt;=10000000,IF(G$193&gt;G$194,G$194,IF(G$193&lt;G$195,G$195,G$193)),IF(G$193&gt;G$196,G$196,IF(G$193&lt;G$197,G$197,G$193)))</f>
        <v>10.01</v>
      </c>
      <c r="H198" s="1794">
        <f t="shared" si="109"/>
        <v>10.01</v>
      </c>
      <c r="I198" s="1794">
        <f t="shared" si="109"/>
        <v>10.01</v>
      </c>
      <c r="J198" s="1794">
        <f t="shared" si="109"/>
        <v>10.01</v>
      </c>
      <c r="K198" s="1794">
        <f t="shared" si="109"/>
        <v>10.01</v>
      </c>
      <c r="L198" s="1795">
        <f t="shared" si="109"/>
        <v>10.01</v>
      </c>
    </row>
    <row r="199" spans="1:12" ht="13.5" customHeight="1" thickBot="1">
      <c r="A199" s="1504"/>
      <c r="B199" s="1504"/>
      <c r="C199" s="1504"/>
      <c r="D199" s="1504"/>
      <c r="E199" s="1504"/>
      <c r="F199" s="1504"/>
      <c r="G199" s="1796"/>
      <c r="H199" s="1796"/>
      <c r="I199" s="1796"/>
      <c r="J199" s="1796"/>
      <c r="K199" s="1796"/>
      <c r="L199" s="1796"/>
    </row>
    <row r="200" spans="1:12" ht="13.5" customHeight="1">
      <c r="A200" s="1774"/>
      <c r="B200" s="1775"/>
      <c r="C200" s="1776" t="s">
        <v>2935</v>
      </c>
      <c r="D200" s="1777"/>
      <c r="E200" s="1775"/>
      <c r="F200" s="1269" t="s">
        <v>2921</v>
      </c>
      <c r="G200" s="1786">
        <f t="shared" ref="G200:L200" si="110">+G3</f>
        <v>0</v>
      </c>
      <c r="H200" s="1786">
        <f t="shared" si="110"/>
        <v>0</v>
      </c>
      <c r="I200" s="1786">
        <f t="shared" si="110"/>
        <v>0</v>
      </c>
      <c r="J200" s="1786">
        <f t="shared" si="110"/>
        <v>0</v>
      </c>
      <c r="K200" s="1786">
        <f t="shared" si="110"/>
        <v>0</v>
      </c>
      <c r="L200" s="1787">
        <f t="shared" si="110"/>
        <v>0</v>
      </c>
    </row>
    <row r="201" spans="1:12" ht="13.5" customHeight="1">
      <c r="A201" s="2277"/>
      <c r="B201" s="2279" t="s">
        <v>2931</v>
      </c>
      <c r="C201" s="1778" t="s">
        <v>2936</v>
      </c>
      <c r="D201" s="1385"/>
      <c r="E201" s="1779"/>
      <c r="F201" s="1272" t="s">
        <v>2937</v>
      </c>
      <c r="G201" s="1249">
        <f t="shared" ref="G201:L201" si="111">IF($F$94&lt;=5000000,ROUND(356.2*((5000)^-0.4085)*(G200^0.5766),2),ROUND(356.2*(($F$94/1000)^-0.4085)*(G200^0.5766),2))</f>
        <v>0</v>
      </c>
      <c r="H201" s="1249">
        <f t="shared" si="111"/>
        <v>0</v>
      </c>
      <c r="I201" s="1249">
        <f t="shared" si="111"/>
        <v>0</v>
      </c>
      <c r="J201" s="1249">
        <f t="shared" si="111"/>
        <v>0</v>
      </c>
      <c r="K201" s="1249">
        <f t="shared" si="111"/>
        <v>0</v>
      </c>
      <c r="L201" s="1250">
        <f t="shared" si="111"/>
        <v>0</v>
      </c>
    </row>
    <row r="202" spans="1:12" ht="13.5" customHeight="1">
      <c r="A202" s="2278"/>
      <c r="B202" s="2280"/>
      <c r="C202" s="2288" t="s">
        <v>2941</v>
      </c>
      <c r="D202" s="1394"/>
      <c r="E202" s="1780"/>
      <c r="F202" s="1272" t="s">
        <v>2926</v>
      </c>
      <c r="G202" s="1788">
        <f t="shared" ref="G202:L202" si="112">IF($F$94&lt;=5000000,ROUND(26.86,2),0)</f>
        <v>26.86</v>
      </c>
      <c r="H202" s="1788">
        <f t="shared" si="112"/>
        <v>26.86</v>
      </c>
      <c r="I202" s="1788">
        <f t="shared" si="112"/>
        <v>26.86</v>
      </c>
      <c r="J202" s="1788">
        <f t="shared" si="112"/>
        <v>26.86</v>
      </c>
      <c r="K202" s="1788">
        <f t="shared" si="112"/>
        <v>26.86</v>
      </c>
      <c r="L202" s="1789">
        <f t="shared" si="112"/>
        <v>26.86</v>
      </c>
    </row>
    <row r="203" spans="1:12" ht="13.5" customHeight="1">
      <c r="A203" s="2278"/>
      <c r="B203" s="2280"/>
      <c r="C203" s="2289"/>
      <c r="D203" s="1781"/>
      <c r="E203" s="1782"/>
      <c r="F203" s="1272" t="s">
        <v>2927</v>
      </c>
      <c r="G203" s="1788">
        <f t="shared" ref="G203:L203" si="113">IF($F$94&lt;=5000000,ROUND(12.7,2),0)</f>
        <v>12.7</v>
      </c>
      <c r="H203" s="1788">
        <f t="shared" si="113"/>
        <v>12.7</v>
      </c>
      <c r="I203" s="1788">
        <f t="shared" si="113"/>
        <v>12.7</v>
      </c>
      <c r="J203" s="1788">
        <f t="shared" si="113"/>
        <v>12.7</v>
      </c>
      <c r="K203" s="1788">
        <f t="shared" si="113"/>
        <v>12.7</v>
      </c>
      <c r="L203" s="1789">
        <f t="shared" si="113"/>
        <v>12.7</v>
      </c>
    </row>
    <row r="204" spans="1:12" ht="13.5" customHeight="1">
      <c r="A204" s="2278"/>
      <c r="B204" s="2280"/>
      <c r="C204" s="2288" t="s">
        <v>2942</v>
      </c>
      <c r="D204" s="1394"/>
      <c r="E204" s="1780"/>
      <c r="F204" s="1272" t="s">
        <v>2926</v>
      </c>
      <c r="G204" s="1790">
        <f t="shared" ref="G204:L204" si="114">IF($F$94&gt;5000000,ROUND(184.58*($F$94/1000)^-0.2263,2),0)</f>
        <v>0</v>
      </c>
      <c r="H204" s="1790">
        <f t="shared" si="114"/>
        <v>0</v>
      </c>
      <c r="I204" s="1790">
        <f t="shared" si="114"/>
        <v>0</v>
      </c>
      <c r="J204" s="1790">
        <f t="shared" si="114"/>
        <v>0</v>
      </c>
      <c r="K204" s="1790">
        <f t="shared" si="114"/>
        <v>0</v>
      </c>
      <c r="L204" s="1791">
        <f t="shared" si="114"/>
        <v>0</v>
      </c>
    </row>
    <row r="205" spans="1:12" ht="13.5" customHeight="1">
      <c r="A205" s="2286"/>
      <c r="B205" s="2287"/>
      <c r="C205" s="2289"/>
      <c r="D205" s="1781"/>
      <c r="E205" s="1782"/>
      <c r="F205" s="1272" t="s">
        <v>2927</v>
      </c>
      <c r="G205" s="1790">
        <f t="shared" ref="G205:L205" si="115">IF($F$94&gt;5000000,ROUND(87.29*($F$94/1000)^-0.2263,2),0)</f>
        <v>0</v>
      </c>
      <c r="H205" s="1790">
        <f t="shared" si="115"/>
        <v>0</v>
      </c>
      <c r="I205" s="1790">
        <f t="shared" si="115"/>
        <v>0</v>
      </c>
      <c r="J205" s="1790">
        <f t="shared" si="115"/>
        <v>0</v>
      </c>
      <c r="K205" s="1790">
        <f t="shared" si="115"/>
        <v>0</v>
      </c>
      <c r="L205" s="1791">
        <f t="shared" si="115"/>
        <v>0</v>
      </c>
    </row>
    <row r="206" spans="1:12" ht="13.5" customHeight="1" thickBot="1">
      <c r="A206" s="2283" t="s">
        <v>2940</v>
      </c>
      <c r="B206" s="2284"/>
      <c r="C206" s="2284"/>
      <c r="D206" s="2284"/>
      <c r="E206" s="1797"/>
      <c r="F206" s="1793"/>
      <c r="G206" s="1798">
        <f t="shared" ref="G206:L206" si="116">IF($F$94&lt;=5000000,IF(G$201&gt;G$202,G$202,IF(G$201&lt;G$203,G$203,G$201)),IF(G$201&gt;G$204,G$204,IF(G201&lt;G$205,G$205,G$201)))</f>
        <v>12.7</v>
      </c>
      <c r="H206" s="1798">
        <f t="shared" si="116"/>
        <v>12.7</v>
      </c>
      <c r="I206" s="1798">
        <f t="shared" si="116"/>
        <v>12.7</v>
      </c>
      <c r="J206" s="1798">
        <f t="shared" si="116"/>
        <v>12.7</v>
      </c>
      <c r="K206" s="1798">
        <f t="shared" si="116"/>
        <v>12.7</v>
      </c>
      <c r="L206" s="1799">
        <f t="shared" si="116"/>
        <v>12.7</v>
      </c>
    </row>
    <row r="207" spans="1:12" ht="13.5" customHeight="1" thickBot="1">
      <c r="A207" s="1504"/>
      <c r="B207" s="1504"/>
      <c r="C207" s="1504"/>
      <c r="D207" s="1504"/>
      <c r="E207" s="1504"/>
      <c r="F207" s="1504"/>
      <c r="G207" s="1800"/>
      <c r="H207" s="1800"/>
      <c r="I207" s="1800"/>
      <c r="J207" s="1800"/>
      <c r="K207" s="1800"/>
      <c r="L207" s="1800"/>
    </row>
    <row r="208" spans="1:12" ht="13.5" customHeight="1">
      <c r="A208" s="1774"/>
      <c r="B208" s="1775"/>
      <c r="C208" s="1776" t="s">
        <v>2943</v>
      </c>
      <c r="D208" s="1777"/>
      <c r="E208" s="1775"/>
      <c r="F208" s="1269"/>
      <c r="G208" s="1801"/>
      <c r="H208" s="1802"/>
      <c r="I208" s="1759"/>
      <c r="J208" s="1759"/>
      <c r="K208" s="1759"/>
      <c r="L208" s="1759"/>
    </row>
    <row r="209" spans="1:12" ht="13.5" customHeight="1">
      <c r="A209" s="2277"/>
      <c r="B209" s="2279" t="s">
        <v>101</v>
      </c>
      <c r="C209" s="1778" t="s">
        <v>2944</v>
      </c>
      <c r="D209" s="1385"/>
      <c r="E209" s="1779"/>
      <c r="F209" s="1272" t="s">
        <v>2945</v>
      </c>
      <c r="G209" s="1803" t="e">
        <f>ROUND(15.065-1.028*LOG($F$141/1000),2)</f>
        <v>#NUM!</v>
      </c>
      <c r="H209" s="1294"/>
      <c r="I209" s="1295"/>
      <c r="J209" s="1295"/>
      <c r="K209" s="1295"/>
      <c r="L209" s="1295"/>
    </row>
    <row r="210" spans="1:12" ht="13.5" customHeight="1">
      <c r="A210" s="2278"/>
      <c r="B210" s="2280"/>
      <c r="C210" s="1296" t="s">
        <v>2946</v>
      </c>
      <c r="D210" s="1394"/>
      <c r="E210" s="1394"/>
      <c r="F210" s="1297"/>
      <c r="G210" s="1804">
        <f>IF($F$141&lt;=5000000,11.26,0)</f>
        <v>11.26</v>
      </c>
      <c r="H210" s="1299"/>
      <c r="I210" s="1300"/>
      <c r="J210" s="1805"/>
      <c r="K210" s="1300"/>
      <c r="L210" s="1300"/>
    </row>
    <row r="211" spans="1:12" ht="13.5" customHeight="1">
      <c r="A211" s="2278"/>
      <c r="B211" s="2280"/>
      <c r="C211" s="1296" t="s">
        <v>2947</v>
      </c>
      <c r="D211" s="1394"/>
      <c r="E211" s="1385"/>
      <c r="F211" s="1297"/>
      <c r="G211" s="1804">
        <f>IF($F$141&gt;3000000000,8.41,0)</f>
        <v>0</v>
      </c>
      <c r="H211" s="1301"/>
      <c r="I211" s="1302"/>
      <c r="J211" s="1302"/>
      <c r="K211" s="1302"/>
      <c r="L211" s="1302"/>
    </row>
    <row r="212" spans="1:12" ht="13.5" customHeight="1" thickBot="1">
      <c r="A212" s="2281" t="s">
        <v>2948</v>
      </c>
      <c r="B212" s="2282"/>
      <c r="C212" s="2282"/>
      <c r="D212" s="2282"/>
      <c r="E212" s="1806"/>
      <c r="F212" s="1807"/>
      <c r="G212" s="1808">
        <f>IF($F$141&lt;=5000000,G210,IF($F$141&gt;3000000000,G211,G209))</f>
        <v>11.26</v>
      </c>
      <c r="H212" s="1306"/>
      <c r="I212" s="1307"/>
      <c r="J212" s="1307"/>
      <c r="K212" s="1307"/>
      <c r="L212" s="1307"/>
    </row>
  </sheetData>
  <mergeCells count="69">
    <mergeCell ref="C7:F7"/>
    <mergeCell ref="A8:F8"/>
    <mergeCell ref="A9:F9"/>
    <mergeCell ref="A37:A58"/>
    <mergeCell ref="B37:B40"/>
    <mergeCell ref="B41:B48"/>
    <mergeCell ref="C41:E41"/>
    <mergeCell ref="B49:B51"/>
    <mergeCell ref="B52:B58"/>
    <mergeCell ref="D61:D62"/>
    <mergeCell ref="E61:E62"/>
    <mergeCell ref="A62:C62"/>
    <mergeCell ref="A63:A73"/>
    <mergeCell ref="B64:B65"/>
    <mergeCell ref="B66:B70"/>
    <mergeCell ref="B71:B72"/>
    <mergeCell ref="D74:D75"/>
    <mergeCell ref="E74:E75"/>
    <mergeCell ref="A75:C75"/>
    <mergeCell ref="A76:A87"/>
    <mergeCell ref="B76:B79"/>
    <mergeCell ref="B80:B83"/>
    <mergeCell ref="B85:B86"/>
    <mergeCell ref="F143:G143"/>
    <mergeCell ref="A144:C144"/>
    <mergeCell ref="F144:G144"/>
    <mergeCell ref="D92:D93"/>
    <mergeCell ref="E92:E93"/>
    <mergeCell ref="A93:C93"/>
    <mergeCell ref="B95:B98"/>
    <mergeCell ref="B99:B106"/>
    <mergeCell ref="B107:B109"/>
    <mergeCell ref="B156:B157"/>
    <mergeCell ref="B112:B118"/>
    <mergeCell ref="B119:B126"/>
    <mergeCell ref="B127:B129"/>
    <mergeCell ref="A138:C139"/>
    <mergeCell ref="A145:A152"/>
    <mergeCell ref="B146:B147"/>
    <mergeCell ref="B148:B149"/>
    <mergeCell ref="B150:B152"/>
    <mergeCell ref="A154:C154"/>
    <mergeCell ref="B158:B159"/>
    <mergeCell ref="B160:B162"/>
    <mergeCell ref="A175:A179"/>
    <mergeCell ref="B175:B179"/>
    <mergeCell ref="C176:C177"/>
    <mergeCell ref="C178:C179"/>
    <mergeCell ref="A180:F180"/>
    <mergeCell ref="A181:F181"/>
    <mergeCell ref="A184:A188"/>
    <mergeCell ref="B184:B188"/>
    <mergeCell ref="C185:C186"/>
    <mergeCell ref="C187:C188"/>
    <mergeCell ref="A189:F189"/>
    <mergeCell ref="A190:F190"/>
    <mergeCell ref="A193:A197"/>
    <mergeCell ref="B193:B197"/>
    <mergeCell ref="C194:C195"/>
    <mergeCell ref="C196:C197"/>
    <mergeCell ref="A209:A211"/>
    <mergeCell ref="B209:B211"/>
    <mergeCell ref="A212:D212"/>
    <mergeCell ref="A198:D198"/>
    <mergeCell ref="A201:A205"/>
    <mergeCell ref="B201:B205"/>
    <mergeCell ref="C202:C203"/>
    <mergeCell ref="C204:C205"/>
    <mergeCell ref="A206:D206"/>
  </mergeCells>
  <phoneticPr fontId="3"/>
  <conditionalFormatting sqref="F6">
    <cfRule type="expression" dxfId="2" priority="1" stopIfTrue="1">
      <formula>AND($F$33&gt;5000000,OR($E$6="無し",$E$6="なし"))</formula>
    </cfRule>
  </conditionalFormatting>
  <dataValidations count="6">
    <dataValidation type="list" allowBlank="1" showInputMessage="1" showErrorMessage="1" sqref="G8:L8">
      <formula1>"駅施設,地上建物"</formula1>
    </dataValidation>
    <dataValidation type="list" allowBlank="1" showInputMessage="1" showErrorMessage="1" sqref="E5:E6 JA5:JA6 SW5:SW6 ACS5:ACS6 AMO5:AMO6 AWK5:AWK6 BGG5:BGG6 BQC5:BQC6 BZY5:BZY6 CJU5:CJU6 CTQ5:CTQ6 DDM5:DDM6 DNI5:DNI6 DXE5:DXE6 EHA5:EHA6 EQW5:EQW6 FAS5:FAS6 FKO5:FKO6 FUK5:FUK6 GEG5:GEG6 GOC5:GOC6 GXY5:GXY6 HHU5:HHU6 HRQ5:HRQ6 IBM5:IBM6 ILI5:ILI6 IVE5:IVE6 JFA5:JFA6 JOW5:JOW6 JYS5:JYS6 KIO5:KIO6 KSK5:KSK6 LCG5:LCG6 LMC5:LMC6 LVY5:LVY6 MFU5:MFU6 MPQ5:MPQ6 MZM5:MZM6 NJI5:NJI6 NTE5:NTE6 ODA5:ODA6 OMW5:OMW6 OWS5:OWS6 PGO5:PGO6 PQK5:PQK6 QAG5:QAG6 QKC5:QKC6 QTY5:QTY6 RDU5:RDU6 RNQ5:RNQ6 RXM5:RXM6 SHI5:SHI6 SRE5:SRE6 TBA5:TBA6 TKW5:TKW6 TUS5:TUS6 UEO5:UEO6 UOK5:UOK6 UYG5:UYG6 VIC5:VIC6 VRY5:VRY6 WBU5:WBU6 WLQ5:WLQ6 WVM5:WVM6 E65542:E65543 JA65542:JA65543 SW65542:SW65543 ACS65542:ACS65543 AMO65542:AMO65543 AWK65542:AWK65543 BGG65542:BGG65543 BQC65542:BQC65543 BZY65542:BZY65543 CJU65542:CJU65543 CTQ65542:CTQ65543 DDM65542:DDM65543 DNI65542:DNI65543 DXE65542:DXE65543 EHA65542:EHA65543 EQW65542:EQW65543 FAS65542:FAS65543 FKO65542:FKO65543 FUK65542:FUK65543 GEG65542:GEG65543 GOC65542:GOC65543 GXY65542:GXY65543 HHU65542:HHU65543 HRQ65542:HRQ65543 IBM65542:IBM65543 ILI65542:ILI65543 IVE65542:IVE65543 JFA65542:JFA65543 JOW65542:JOW65543 JYS65542:JYS65543 KIO65542:KIO65543 KSK65542:KSK65543 LCG65542:LCG65543 LMC65542:LMC65543 LVY65542:LVY65543 MFU65542:MFU65543 MPQ65542:MPQ65543 MZM65542:MZM65543 NJI65542:NJI65543 NTE65542:NTE65543 ODA65542:ODA65543 OMW65542:OMW65543 OWS65542:OWS65543 PGO65542:PGO65543 PQK65542:PQK65543 QAG65542:QAG65543 QKC65542:QKC65543 QTY65542:QTY65543 RDU65542:RDU65543 RNQ65542:RNQ65543 RXM65542:RXM65543 SHI65542:SHI65543 SRE65542:SRE65543 TBA65542:TBA65543 TKW65542:TKW65543 TUS65542:TUS65543 UEO65542:UEO65543 UOK65542:UOK65543 UYG65542:UYG65543 VIC65542:VIC65543 VRY65542:VRY65543 WBU65542:WBU65543 WLQ65542:WLQ65543 WVM65542:WVM65543 E131078:E131079 JA131078:JA131079 SW131078:SW131079 ACS131078:ACS131079 AMO131078:AMO131079 AWK131078:AWK131079 BGG131078:BGG131079 BQC131078:BQC131079 BZY131078:BZY131079 CJU131078:CJU131079 CTQ131078:CTQ131079 DDM131078:DDM131079 DNI131078:DNI131079 DXE131078:DXE131079 EHA131078:EHA131079 EQW131078:EQW131079 FAS131078:FAS131079 FKO131078:FKO131079 FUK131078:FUK131079 GEG131078:GEG131079 GOC131078:GOC131079 GXY131078:GXY131079 HHU131078:HHU131079 HRQ131078:HRQ131079 IBM131078:IBM131079 ILI131078:ILI131079 IVE131078:IVE131079 JFA131078:JFA131079 JOW131078:JOW131079 JYS131078:JYS131079 KIO131078:KIO131079 KSK131078:KSK131079 LCG131078:LCG131079 LMC131078:LMC131079 LVY131078:LVY131079 MFU131078:MFU131079 MPQ131078:MPQ131079 MZM131078:MZM131079 NJI131078:NJI131079 NTE131078:NTE131079 ODA131078:ODA131079 OMW131078:OMW131079 OWS131078:OWS131079 PGO131078:PGO131079 PQK131078:PQK131079 QAG131078:QAG131079 QKC131078:QKC131079 QTY131078:QTY131079 RDU131078:RDU131079 RNQ131078:RNQ131079 RXM131078:RXM131079 SHI131078:SHI131079 SRE131078:SRE131079 TBA131078:TBA131079 TKW131078:TKW131079 TUS131078:TUS131079 UEO131078:UEO131079 UOK131078:UOK131079 UYG131078:UYG131079 VIC131078:VIC131079 VRY131078:VRY131079 WBU131078:WBU131079 WLQ131078:WLQ131079 WVM131078:WVM131079 E196614:E196615 JA196614:JA196615 SW196614:SW196615 ACS196614:ACS196615 AMO196614:AMO196615 AWK196614:AWK196615 BGG196614:BGG196615 BQC196614:BQC196615 BZY196614:BZY196615 CJU196614:CJU196615 CTQ196614:CTQ196615 DDM196614:DDM196615 DNI196614:DNI196615 DXE196614:DXE196615 EHA196614:EHA196615 EQW196614:EQW196615 FAS196614:FAS196615 FKO196614:FKO196615 FUK196614:FUK196615 GEG196614:GEG196615 GOC196614:GOC196615 GXY196614:GXY196615 HHU196614:HHU196615 HRQ196614:HRQ196615 IBM196614:IBM196615 ILI196614:ILI196615 IVE196614:IVE196615 JFA196614:JFA196615 JOW196614:JOW196615 JYS196614:JYS196615 KIO196614:KIO196615 KSK196614:KSK196615 LCG196614:LCG196615 LMC196614:LMC196615 LVY196614:LVY196615 MFU196614:MFU196615 MPQ196614:MPQ196615 MZM196614:MZM196615 NJI196614:NJI196615 NTE196614:NTE196615 ODA196614:ODA196615 OMW196614:OMW196615 OWS196614:OWS196615 PGO196614:PGO196615 PQK196614:PQK196615 QAG196614:QAG196615 QKC196614:QKC196615 QTY196614:QTY196615 RDU196614:RDU196615 RNQ196614:RNQ196615 RXM196614:RXM196615 SHI196614:SHI196615 SRE196614:SRE196615 TBA196614:TBA196615 TKW196614:TKW196615 TUS196614:TUS196615 UEO196614:UEO196615 UOK196614:UOK196615 UYG196614:UYG196615 VIC196614:VIC196615 VRY196614:VRY196615 WBU196614:WBU196615 WLQ196614:WLQ196615 WVM196614:WVM196615 E262150:E262151 JA262150:JA262151 SW262150:SW262151 ACS262150:ACS262151 AMO262150:AMO262151 AWK262150:AWK262151 BGG262150:BGG262151 BQC262150:BQC262151 BZY262150:BZY262151 CJU262150:CJU262151 CTQ262150:CTQ262151 DDM262150:DDM262151 DNI262150:DNI262151 DXE262150:DXE262151 EHA262150:EHA262151 EQW262150:EQW262151 FAS262150:FAS262151 FKO262150:FKO262151 FUK262150:FUK262151 GEG262150:GEG262151 GOC262150:GOC262151 GXY262150:GXY262151 HHU262150:HHU262151 HRQ262150:HRQ262151 IBM262150:IBM262151 ILI262150:ILI262151 IVE262150:IVE262151 JFA262150:JFA262151 JOW262150:JOW262151 JYS262150:JYS262151 KIO262150:KIO262151 KSK262150:KSK262151 LCG262150:LCG262151 LMC262150:LMC262151 LVY262150:LVY262151 MFU262150:MFU262151 MPQ262150:MPQ262151 MZM262150:MZM262151 NJI262150:NJI262151 NTE262150:NTE262151 ODA262150:ODA262151 OMW262150:OMW262151 OWS262150:OWS262151 PGO262150:PGO262151 PQK262150:PQK262151 QAG262150:QAG262151 QKC262150:QKC262151 QTY262150:QTY262151 RDU262150:RDU262151 RNQ262150:RNQ262151 RXM262150:RXM262151 SHI262150:SHI262151 SRE262150:SRE262151 TBA262150:TBA262151 TKW262150:TKW262151 TUS262150:TUS262151 UEO262150:UEO262151 UOK262150:UOK262151 UYG262150:UYG262151 VIC262150:VIC262151 VRY262150:VRY262151 WBU262150:WBU262151 WLQ262150:WLQ262151 WVM262150:WVM262151 E327686:E327687 JA327686:JA327687 SW327686:SW327687 ACS327686:ACS327687 AMO327686:AMO327687 AWK327686:AWK327687 BGG327686:BGG327687 BQC327686:BQC327687 BZY327686:BZY327687 CJU327686:CJU327687 CTQ327686:CTQ327687 DDM327686:DDM327687 DNI327686:DNI327687 DXE327686:DXE327687 EHA327686:EHA327687 EQW327686:EQW327687 FAS327686:FAS327687 FKO327686:FKO327687 FUK327686:FUK327687 GEG327686:GEG327687 GOC327686:GOC327687 GXY327686:GXY327687 HHU327686:HHU327687 HRQ327686:HRQ327687 IBM327686:IBM327687 ILI327686:ILI327687 IVE327686:IVE327687 JFA327686:JFA327687 JOW327686:JOW327687 JYS327686:JYS327687 KIO327686:KIO327687 KSK327686:KSK327687 LCG327686:LCG327687 LMC327686:LMC327687 LVY327686:LVY327687 MFU327686:MFU327687 MPQ327686:MPQ327687 MZM327686:MZM327687 NJI327686:NJI327687 NTE327686:NTE327687 ODA327686:ODA327687 OMW327686:OMW327687 OWS327686:OWS327687 PGO327686:PGO327687 PQK327686:PQK327687 QAG327686:QAG327687 QKC327686:QKC327687 QTY327686:QTY327687 RDU327686:RDU327687 RNQ327686:RNQ327687 RXM327686:RXM327687 SHI327686:SHI327687 SRE327686:SRE327687 TBA327686:TBA327687 TKW327686:TKW327687 TUS327686:TUS327687 UEO327686:UEO327687 UOK327686:UOK327687 UYG327686:UYG327687 VIC327686:VIC327687 VRY327686:VRY327687 WBU327686:WBU327687 WLQ327686:WLQ327687 WVM327686:WVM327687 E393222:E393223 JA393222:JA393223 SW393222:SW393223 ACS393222:ACS393223 AMO393222:AMO393223 AWK393222:AWK393223 BGG393222:BGG393223 BQC393222:BQC393223 BZY393222:BZY393223 CJU393222:CJU393223 CTQ393222:CTQ393223 DDM393222:DDM393223 DNI393222:DNI393223 DXE393222:DXE393223 EHA393222:EHA393223 EQW393222:EQW393223 FAS393222:FAS393223 FKO393222:FKO393223 FUK393222:FUK393223 GEG393222:GEG393223 GOC393222:GOC393223 GXY393222:GXY393223 HHU393222:HHU393223 HRQ393222:HRQ393223 IBM393222:IBM393223 ILI393222:ILI393223 IVE393222:IVE393223 JFA393222:JFA393223 JOW393222:JOW393223 JYS393222:JYS393223 KIO393222:KIO393223 KSK393222:KSK393223 LCG393222:LCG393223 LMC393222:LMC393223 LVY393222:LVY393223 MFU393222:MFU393223 MPQ393222:MPQ393223 MZM393222:MZM393223 NJI393222:NJI393223 NTE393222:NTE393223 ODA393222:ODA393223 OMW393222:OMW393223 OWS393222:OWS393223 PGO393222:PGO393223 PQK393222:PQK393223 QAG393222:QAG393223 QKC393222:QKC393223 QTY393222:QTY393223 RDU393222:RDU393223 RNQ393222:RNQ393223 RXM393222:RXM393223 SHI393222:SHI393223 SRE393222:SRE393223 TBA393222:TBA393223 TKW393222:TKW393223 TUS393222:TUS393223 UEO393222:UEO393223 UOK393222:UOK393223 UYG393222:UYG393223 VIC393222:VIC393223 VRY393222:VRY393223 WBU393222:WBU393223 WLQ393222:WLQ393223 WVM393222:WVM393223 E458758:E458759 JA458758:JA458759 SW458758:SW458759 ACS458758:ACS458759 AMO458758:AMO458759 AWK458758:AWK458759 BGG458758:BGG458759 BQC458758:BQC458759 BZY458758:BZY458759 CJU458758:CJU458759 CTQ458758:CTQ458759 DDM458758:DDM458759 DNI458758:DNI458759 DXE458758:DXE458759 EHA458758:EHA458759 EQW458758:EQW458759 FAS458758:FAS458759 FKO458758:FKO458759 FUK458758:FUK458759 GEG458758:GEG458759 GOC458758:GOC458759 GXY458758:GXY458759 HHU458758:HHU458759 HRQ458758:HRQ458759 IBM458758:IBM458759 ILI458758:ILI458759 IVE458758:IVE458759 JFA458758:JFA458759 JOW458758:JOW458759 JYS458758:JYS458759 KIO458758:KIO458759 KSK458758:KSK458759 LCG458758:LCG458759 LMC458758:LMC458759 LVY458758:LVY458759 MFU458758:MFU458759 MPQ458758:MPQ458759 MZM458758:MZM458759 NJI458758:NJI458759 NTE458758:NTE458759 ODA458758:ODA458759 OMW458758:OMW458759 OWS458758:OWS458759 PGO458758:PGO458759 PQK458758:PQK458759 QAG458758:QAG458759 QKC458758:QKC458759 QTY458758:QTY458759 RDU458758:RDU458759 RNQ458758:RNQ458759 RXM458758:RXM458759 SHI458758:SHI458759 SRE458758:SRE458759 TBA458758:TBA458759 TKW458758:TKW458759 TUS458758:TUS458759 UEO458758:UEO458759 UOK458758:UOK458759 UYG458758:UYG458759 VIC458758:VIC458759 VRY458758:VRY458759 WBU458758:WBU458759 WLQ458758:WLQ458759 WVM458758:WVM458759 E524294:E524295 JA524294:JA524295 SW524294:SW524295 ACS524294:ACS524295 AMO524294:AMO524295 AWK524294:AWK524295 BGG524294:BGG524295 BQC524294:BQC524295 BZY524294:BZY524295 CJU524294:CJU524295 CTQ524294:CTQ524295 DDM524294:DDM524295 DNI524294:DNI524295 DXE524294:DXE524295 EHA524294:EHA524295 EQW524294:EQW524295 FAS524294:FAS524295 FKO524294:FKO524295 FUK524294:FUK524295 GEG524294:GEG524295 GOC524294:GOC524295 GXY524294:GXY524295 HHU524294:HHU524295 HRQ524294:HRQ524295 IBM524294:IBM524295 ILI524294:ILI524295 IVE524294:IVE524295 JFA524294:JFA524295 JOW524294:JOW524295 JYS524294:JYS524295 KIO524294:KIO524295 KSK524294:KSK524295 LCG524294:LCG524295 LMC524294:LMC524295 LVY524294:LVY524295 MFU524294:MFU524295 MPQ524294:MPQ524295 MZM524294:MZM524295 NJI524294:NJI524295 NTE524294:NTE524295 ODA524294:ODA524295 OMW524294:OMW524295 OWS524294:OWS524295 PGO524294:PGO524295 PQK524294:PQK524295 QAG524294:QAG524295 QKC524294:QKC524295 QTY524294:QTY524295 RDU524294:RDU524295 RNQ524294:RNQ524295 RXM524294:RXM524295 SHI524294:SHI524295 SRE524294:SRE524295 TBA524294:TBA524295 TKW524294:TKW524295 TUS524294:TUS524295 UEO524294:UEO524295 UOK524294:UOK524295 UYG524294:UYG524295 VIC524294:VIC524295 VRY524294:VRY524295 WBU524294:WBU524295 WLQ524294:WLQ524295 WVM524294:WVM524295 E589830:E589831 JA589830:JA589831 SW589830:SW589831 ACS589830:ACS589831 AMO589830:AMO589831 AWK589830:AWK589831 BGG589830:BGG589831 BQC589830:BQC589831 BZY589830:BZY589831 CJU589830:CJU589831 CTQ589830:CTQ589831 DDM589830:DDM589831 DNI589830:DNI589831 DXE589830:DXE589831 EHA589830:EHA589831 EQW589830:EQW589831 FAS589830:FAS589831 FKO589830:FKO589831 FUK589830:FUK589831 GEG589830:GEG589831 GOC589830:GOC589831 GXY589830:GXY589831 HHU589830:HHU589831 HRQ589830:HRQ589831 IBM589830:IBM589831 ILI589830:ILI589831 IVE589830:IVE589831 JFA589830:JFA589831 JOW589830:JOW589831 JYS589830:JYS589831 KIO589830:KIO589831 KSK589830:KSK589831 LCG589830:LCG589831 LMC589830:LMC589831 LVY589830:LVY589831 MFU589830:MFU589831 MPQ589830:MPQ589831 MZM589830:MZM589831 NJI589830:NJI589831 NTE589830:NTE589831 ODA589830:ODA589831 OMW589830:OMW589831 OWS589830:OWS589831 PGO589830:PGO589831 PQK589830:PQK589831 QAG589830:QAG589831 QKC589830:QKC589831 QTY589830:QTY589831 RDU589830:RDU589831 RNQ589830:RNQ589831 RXM589830:RXM589831 SHI589830:SHI589831 SRE589830:SRE589831 TBA589830:TBA589831 TKW589830:TKW589831 TUS589830:TUS589831 UEO589830:UEO589831 UOK589830:UOK589831 UYG589830:UYG589831 VIC589830:VIC589831 VRY589830:VRY589831 WBU589830:WBU589831 WLQ589830:WLQ589831 WVM589830:WVM589831 E655366:E655367 JA655366:JA655367 SW655366:SW655367 ACS655366:ACS655367 AMO655366:AMO655367 AWK655366:AWK655367 BGG655366:BGG655367 BQC655366:BQC655367 BZY655366:BZY655367 CJU655366:CJU655367 CTQ655366:CTQ655367 DDM655366:DDM655367 DNI655366:DNI655367 DXE655366:DXE655367 EHA655366:EHA655367 EQW655366:EQW655367 FAS655366:FAS655367 FKO655366:FKO655367 FUK655366:FUK655367 GEG655366:GEG655367 GOC655366:GOC655367 GXY655366:GXY655367 HHU655366:HHU655367 HRQ655366:HRQ655367 IBM655366:IBM655367 ILI655366:ILI655367 IVE655366:IVE655367 JFA655366:JFA655367 JOW655366:JOW655367 JYS655366:JYS655367 KIO655366:KIO655367 KSK655366:KSK655367 LCG655366:LCG655367 LMC655366:LMC655367 LVY655366:LVY655367 MFU655366:MFU655367 MPQ655366:MPQ655367 MZM655366:MZM655367 NJI655366:NJI655367 NTE655366:NTE655367 ODA655366:ODA655367 OMW655366:OMW655367 OWS655366:OWS655367 PGO655366:PGO655367 PQK655366:PQK655367 QAG655366:QAG655367 QKC655366:QKC655367 QTY655366:QTY655367 RDU655366:RDU655367 RNQ655366:RNQ655367 RXM655366:RXM655367 SHI655366:SHI655367 SRE655366:SRE655367 TBA655366:TBA655367 TKW655366:TKW655367 TUS655366:TUS655367 UEO655366:UEO655367 UOK655366:UOK655367 UYG655366:UYG655367 VIC655366:VIC655367 VRY655366:VRY655367 WBU655366:WBU655367 WLQ655366:WLQ655367 WVM655366:WVM655367 E720902:E720903 JA720902:JA720903 SW720902:SW720903 ACS720902:ACS720903 AMO720902:AMO720903 AWK720902:AWK720903 BGG720902:BGG720903 BQC720902:BQC720903 BZY720902:BZY720903 CJU720902:CJU720903 CTQ720902:CTQ720903 DDM720902:DDM720903 DNI720902:DNI720903 DXE720902:DXE720903 EHA720902:EHA720903 EQW720902:EQW720903 FAS720902:FAS720903 FKO720902:FKO720903 FUK720902:FUK720903 GEG720902:GEG720903 GOC720902:GOC720903 GXY720902:GXY720903 HHU720902:HHU720903 HRQ720902:HRQ720903 IBM720902:IBM720903 ILI720902:ILI720903 IVE720902:IVE720903 JFA720902:JFA720903 JOW720902:JOW720903 JYS720902:JYS720903 KIO720902:KIO720903 KSK720902:KSK720903 LCG720902:LCG720903 LMC720902:LMC720903 LVY720902:LVY720903 MFU720902:MFU720903 MPQ720902:MPQ720903 MZM720902:MZM720903 NJI720902:NJI720903 NTE720902:NTE720903 ODA720902:ODA720903 OMW720902:OMW720903 OWS720902:OWS720903 PGO720902:PGO720903 PQK720902:PQK720903 QAG720902:QAG720903 QKC720902:QKC720903 QTY720902:QTY720903 RDU720902:RDU720903 RNQ720902:RNQ720903 RXM720902:RXM720903 SHI720902:SHI720903 SRE720902:SRE720903 TBA720902:TBA720903 TKW720902:TKW720903 TUS720902:TUS720903 UEO720902:UEO720903 UOK720902:UOK720903 UYG720902:UYG720903 VIC720902:VIC720903 VRY720902:VRY720903 WBU720902:WBU720903 WLQ720902:WLQ720903 WVM720902:WVM720903 E786438:E786439 JA786438:JA786439 SW786438:SW786439 ACS786438:ACS786439 AMO786438:AMO786439 AWK786438:AWK786439 BGG786438:BGG786439 BQC786438:BQC786439 BZY786438:BZY786439 CJU786438:CJU786439 CTQ786438:CTQ786439 DDM786438:DDM786439 DNI786438:DNI786439 DXE786438:DXE786439 EHA786438:EHA786439 EQW786438:EQW786439 FAS786438:FAS786439 FKO786438:FKO786439 FUK786438:FUK786439 GEG786438:GEG786439 GOC786438:GOC786439 GXY786438:GXY786439 HHU786438:HHU786439 HRQ786438:HRQ786439 IBM786438:IBM786439 ILI786438:ILI786439 IVE786438:IVE786439 JFA786438:JFA786439 JOW786438:JOW786439 JYS786438:JYS786439 KIO786438:KIO786439 KSK786438:KSK786439 LCG786438:LCG786439 LMC786438:LMC786439 LVY786438:LVY786439 MFU786438:MFU786439 MPQ786438:MPQ786439 MZM786438:MZM786439 NJI786438:NJI786439 NTE786438:NTE786439 ODA786438:ODA786439 OMW786438:OMW786439 OWS786438:OWS786439 PGO786438:PGO786439 PQK786438:PQK786439 QAG786438:QAG786439 QKC786438:QKC786439 QTY786438:QTY786439 RDU786438:RDU786439 RNQ786438:RNQ786439 RXM786438:RXM786439 SHI786438:SHI786439 SRE786438:SRE786439 TBA786438:TBA786439 TKW786438:TKW786439 TUS786438:TUS786439 UEO786438:UEO786439 UOK786438:UOK786439 UYG786438:UYG786439 VIC786438:VIC786439 VRY786438:VRY786439 WBU786438:WBU786439 WLQ786438:WLQ786439 WVM786438:WVM786439 E851974:E851975 JA851974:JA851975 SW851974:SW851975 ACS851974:ACS851975 AMO851974:AMO851975 AWK851974:AWK851975 BGG851974:BGG851975 BQC851974:BQC851975 BZY851974:BZY851975 CJU851974:CJU851975 CTQ851974:CTQ851975 DDM851974:DDM851975 DNI851974:DNI851975 DXE851974:DXE851975 EHA851974:EHA851975 EQW851974:EQW851975 FAS851974:FAS851975 FKO851974:FKO851975 FUK851974:FUK851975 GEG851974:GEG851975 GOC851974:GOC851975 GXY851974:GXY851975 HHU851974:HHU851975 HRQ851974:HRQ851975 IBM851974:IBM851975 ILI851974:ILI851975 IVE851974:IVE851975 JFA851974:JFA851975 JOW851974:JOW851975 JYS851974:JYS851975 KIO851974:KIO851975 KSK851974:KSK851975 LCG851974:LCG851975 LMC851974:LMC851975 LVY851974:LVY851975 MFU851974:MFU851975 MPQ851974:MPQ851975 MZM851974:MZM851975 NJI851974:NJI851975 NTE851974:NTE851975 ODA851974:ODA851975 OMW851974:OMW851975 OWS851974:OWS851975 PGO851974:PGO851975 PQK851974:PQK851975 QAG851974:QAG851975 QKC851974:QKC851975 QTY851974:QTY851975 RDU851974:RDU851975 RNQ851974:RNQ851975 RXM851974:RXM851975 SHI851974:SHI851975 SRE851974:SRE851975 TBA851974:TBA851975 TKW851974:TKW851975 TUS851974:TUS851975 UEO851974:UEO851975 UOK851974:UOK851975 UYG851974:UYG851975 VIC851974:VIC851975 VRY851974:VRY851975 WBU851974:WBU851975 WLQ851974:WLQ851975 WVM851974:WVM851975 E917510:E917511 JA917510:JA917511 SW917510:SW917511 ACS917510:ACS917511 AMO917510:AMO917511 AWK917510:AWK917511 BGG917510:BGG917511 BQC917510:BQC917511 BZY917510:BZY917511 CJU917510:CJU917511 CTQ917510:CTQ917511 DDM917510:DDM917511 DNI917510:DNI917511 DXE917510:DXE917511 EHA917510:EHA917511 EQW917510:EQW917511 FAS917510:FAS917511 FKO917510:FKO917511 FUK917510:FUK917511 GEG917510:GEG917511 GOC917510:GOC917511 GXY917510:GXY917511 HHU917510:HHU917511 HRQ917510:HRQ917511 IBM917510:IBM917511 ILI917510:ILI917511 IVE917510:IVE917511 JFA917510:JFA917511 JOW917510:JOW917511 JYS917510:JYS917511 KIO917510:KIO917511 KSK917510:KSK917511 LCG917510:LCG917511 LMC917510:LMC917511 LVY917510:LVY917511 MFU917510:MFU917511 MPQ917510:MPQ917511 MZM917510:MZM917511 NJI917510:NJI917511 NTE917510:NTE917511 ODA917510:ODA917511 OMW917510:OMW917511 OWS917510:OWS917511 PGO917510:PGO917511 PQK917510:PQK917511 QAG917510:QAG917511 QKC917510:QKC917511 QTY917510:QTY917511 RDU917510:RDU917511 RNQ917510:RNQ917511 RXM917510:RXM917511 SHI917510:SHI917511 SRE917510:SRE917511 TBA917510:TBA917511 TKW917510:TKW917511 TUS917510:TUS917511 UEO917510:UEO917511 UOK917510:UOK917511 UYG917510:UYG917511 VIC917510:VIC917511 VRY917510:VRY917511 WBU917510:WBU917511 WLQ917510:WLQ917511 WVM917510:WVM917511 E983046:E983047 JA983046:JA983047 SW983046:SW983047 ACS983046:ACS983047 AMO983046:AMO983047 AWK983046:AWK983047 BGG983046:BGG983047 BQC983046:BQC983047 BZY983046:BZY983047 CJU983046:CJU983047 CTQ983046:CTQ983047 DDM983046:DDM983047 DNI983046:DNI983047 DXE983046:DXE983047 EHA983046:EHA983047 EQW983046:EQW983047 FAS983046:FAS983047 FKO983046:FKO983047 FUK983046:FUK983047 GEG983046:GEG983047 GOC983046:GOC983047 GXY983046:GXY983047 HHU983046:HHU983047 HRQ983046:HRQ983047 IBM983046:IBM983047 ILI983046:ILI983047 IVE983046:IVE983047 JFA983046:JFA983047 JOW983046:JOW983047 JYS983046:JYS983047 KIO983046:KIO983047 KSK983046:KSK983047 LCG983046:LCG983047 LMC983046:LMC983047 LVY983046:LVY983047 MFU983046:MFU983047 MPQ983046:MPQ983047 MZM983046:MZM983047 NJI983046:NJI983047 NTE983046:NTE983047 ODA983046:ODA983047 OMW983046:OMW983047 OWS983046:OWS983047 PGO983046:PGO983047 PQK983046:PQK983047 QAG983046:QAG983047 QKC983046:QKC983047 QTY983046:QTY983047 RDU983046:RDU983047 RNQ983046:RNQ983047 RXM983046:RXM983047 SHI983046:SHI983047 SRE983046:SRE983047 TBA983046:TBA983047 TKW983046:TKW983047 TUS983046:TUS983047 UEO983046:UEO983047 UOK983046:UOK983047 UYG983046:UYG983047 VIC983046:VIC983047 VRY983046:VRY983047 WBU983046:WBU983047 WLQ983046:WLQ983047 WVM983046:WVM983047 G9:L9">
      <formula1>"有り,無し"</formula1>
    </dataValidation>
    <dataValidation type="list" allowBlank="1" showInputMessage="1" showErrorMessage="1" sqref="WVO983048:WVT983048 JC7:JH8 SY7:TD8 ACU7:ACZ8 AMQ7:AMV8 AWM7:AWR8 BGI7:BGN8 BQE7:BQJ8 CAA7:CAF8 CJW7:CKB8 CTS7:CTX8 DDO7:DDT8 DNK7:DNP8 DXG7:DXL8 EHC7:EHH8 EQY7:ERD8 FAU7:FAZ8 FKQ7:FKV8 FUM7:FUR8 GEI7:GEN8 GOE7:GOJ8 GYA7:GYF8 HHW7:HIB8 HRS7:HRX8 IBO7:IBT8 ILK7:ILP8 IVG7:IVL8 JFC7:JFH8 JOY7:JPD8 JYU7:JYZ8 KIQ7:KIV8 KSM7:KSR8 LCI7:LCN8 LME7:LMJ8 LWA7:LWF8 MFW7:MGB8 MPS7:MPX8 MZO7:MZT8 NJK7:NJP8 NTG7:NTL8 ODC7:ODH8 OMY7:OND8 OWU7:OWZ8 PGQ7:PGV8 PQM7:PQR8 QAI7:QAN8 QKE7:QKJ8 QUA7:QUF8 RDW7:REB8 RNS7:RNX8 RXO7:RXT8 SHK7:SHP8 SRG7:SRL8 TBC7:TBH8 TKY7:TLD8 TUU7:TUZ8 UEQ7:UEV8 UOM7:UOR8 UYI7:UYN8 VIE7:VIJ8 VSA7:VSF8 WBW7:WCB8 WLS7:WLX8 WVO7:WVT8 G65544:L65544 JC65544:JH65544 SY65544:TD65544 ACU65544:ACZ65544 AMQ65544:AMV65544 AWM65544:AWR65544 BGI65544:BGN65544 BQE65544:BQJ65544 CAA65544:CAF65544 CJW65544:CKB65544 CTS65544:CTX65544 DDO65544:DDT65544 DNK65544:DNP65544 DXG65544:DXL65544 EHC65544:EHH65544 EQY65544:ERD65544 FAU65544:FAZ65544 FKQ65544:FKV65544 FUM65544:FUR65544 GEI65544:GEN65544 GOE65544:GOJ65544 GYA65544:GYF65544 HHW65544:HIB65544 HRS65544:HRX65544 IBO65544:IBT65544 ILK65544:ILP65544 IVG65544:IVL65544 JFC65544:JFH65544 JOY65544:JPD65544 JYU65544:JYZ65544 KIQ65544:KIV65544 KSM65544:KSR65544 LCI65544:LCN65544 LME65544:LMJ65544 LWA65544:LWF65544 MFW65544:MGB65544 MPS65544:MPX65544 MZO65544:MZT65544 NJK65544:NJP65544 NTG65544:NTL65544 ODC65544:ODH65544 OMY65544:OND65544 OWU65544:OWZ65544 PGQ65544:PGV65544 PQM65544:PQR65544 QAI65544:QAN65544 QKE65544:QKJ65544 QUA65544:QUF65544 RDW65544:REB65544 RNS65544:RNX65544 RXO65544:RXT65544 SHK65544:SHP65544 SRG65544:SRL65544 TBC65544:TBH65544 TKY65544:TLD65544 TUU65544:TUZ65544 UEQ65544:UEV65544 UOM65544:UOR65544 UYI65544:UYN65544 VIE65544:VIJ65544 VSA65544:VSF65544 WBW65544:WCB65544 WLS65544:WLX65544 WVO65544:WVT65544 G131080:L131080 JC131080:JH131080 SY131080:TD131080 ACU131080:ACZ131080 AMQ131080:AMV131080 AWM131080:AWR131080 BGI131080:BGN131080 BQE131080:BQJ131080 CAA131080:CAF131080 CJW131080:CKB131080 CTS131080:CTX131080 DDO131080:DDT131080 DNK131080:DNP131080 DXG131080:DXL131080 EHC131080:EHH131080 EQY131080:ERD131080 FAU131080:FAZ131080 FKQ131080:FKV131080 FUM131080:FUR131080 GEI131080:GEN131080 GOE131080:GOJ131080 GYA131080:GYF131080 HHW131080:HIB131080 HRS131080:HRX131080 IBO131080:IBT131080 ILK131080:ILP131080 IVG131080:IVL131080 JFC131080:JFH131080 JOY131080:JPD131080 JYU131080:JYZ131080 KIQ131080:KIV131080 KSM131080:KSR131080 LCI131080:LCN131080 LME131080:LMJ131080 LWA131080:LWF131080 MFW131080:MGB131080 MPS131080:MPX131080 MZO131080:MZT131080 NJK131080:NJP131080 NTG131080:NTL131080 ODC131080:ODH131080 OMY131080:OND131080 OWU131080:OWZ131080 PGQ131080:PGV131080 PQM131080:PQR131080 QAI131080:QAN131080 QKE131080:QKJ131080 QUA131080:QUF131080 RDW131080:REB131080 RNS131080:RNX131080 RXO131080:RXT131080 SHK131080:SHP131080 SRG131080:SRL131080 TBC131080:TBH131080 TKY131080:TLD131080 TUU131080:TUZ131080 UEQ131080:UEV131080 UOM131080:UOR131080 UYI131080:UYN131080 VIE131080:VIJ131080 VSA131080:VSF131080 WBW131080:WCB131080 WLS131080:WLX131080 WVO131080:WVT131080 G196616:L196616 JC196616:JH196616 SY196616:TD196616 ACU196616:ACZ196616 AMQ196616:AMV196616 AWM196616:AWR196616 BGI196616:BGN196616 BQE196616:BQJ196616 CAA196616:CAF196616 CJW196616:CKB196616 CTS196616:CTX196616 DDO196616:DDT196616 DNK196616:DNP196616 DXG196616:DXL196616 EHC196616:EHH196616 EQY196616:ERD196616 FAU196616:FAZ196616 FKQ196616:FKV196616 FUM196616:FUR196616 GEI196616:GEN196616 GOE196616:GOJ196616 GYA196616:GYF196616 HHW196616:HIB196616 HRS196616:HRX196616 IBO196616:IBT196616 ILK196616:ILP196616 IVG196616:IVL196616 JFC196616:JFH196616 JOY196616:JPD196616 JYU196616:JYZ196616 KIQ196616:KIV196616 KSM196616:KSR196616 LCI196616:LCN196616 LME196616:LMJ196616 LWA196616:LWF196616 MFW196616:MGB196616 MPS196616:MPX196616 MZO196616:MZT196616 NJK196616:NJP196616 NTG196616:NTL196616 ODC196616:ODH196616 OMY196616:OND196616 OWU196616:OWZ196616 PGQ196616:PGV196616 PQM196616:PQR196616 QAI196616:QAN196616 QKE196616:QKJ196616 QUA196616:QUF196616 RDW196616:REB196616 RNS196616:RNX196616 RXO196616:RXT196616 SHK196616:SHP196616 SRG196616:SRL196616 TBC196616:TBH196616 TKY196616:TLD196616 TUU196616:TUZ196616 UEQ196616:UEV196616 UOM196616:UOR196616 UYI196616:UYN196616 VIE196616:VIJ196616 VSA196616:VSF196616 WBW196616:WCB196616 WLS196616:WLX196616 WVO196616:WVT196616 G262152:L262152 JC262152:JH262152 SY262152:TD262152 ACU262152:ACZ262152 AMQ262152:AMV262152 AWM262152:AWR262152 BGI262152:BGN262152 BQE262152:BQJ262152 CAA262152:CAF262152 CJW262152:CKB262152 CTS262152:CTX262152 DDO262152:DDT262152 DNK262152:DNP262152 DXG262152:DXL262152 EHC262152:EHH262152 EQY262152:ERD262152 FAU262152:FAZ262152 FKQ262152:FKV262152 FUM262152:FUR262152 GEI262152:GEN262152 GOE262152:GOJ262152 GYA262152:GYF262152 HHW262152:HIB262152 HRS262152:HRX262152 IBO262152:IBT262152 ILK262152:ILP262152 IVG262152:IVL262152 JFC262152:JFH262152 JOY262152:JPD262152 JYU262152:JYZ262152 KIQ262152:KIV262152 KSM262152:KSR262152 LCI262152:LCN262152 LME262152:LMJ262152 LWA262152:LWF262152 MFW262152:MGB262152 MPS262152:MPX262152 MZO262152:MZT262152 NJK262152:NJP262152 NTG262152:NTL262152 ODC262152:ODH262152 OMY262152:OND262152 OWU262152:OWZ262152 PGQ262152:PGV262152 PQM262152:PQR262152 QAI262152:QAN262152 QKE262152:QKJ262152 QUA262152:QUF262152 RDW262152:REB262152 RNS262152:RNX262152 RXO262152:RXT262152 SHK262152:SHP262152 SRG262152:SRL262152 TBC262152:TBH262152 TKY262152:TLD262152 TUU262152:TUZ262152 UEQ262152:UEV262152 UOM262152:UOR262152 UYI262152:UYN262152 VIE262152:VIJ262152 VSA262152:VSF262152 WBW262152:WCB262152 WLS262152:WLX262152 WVO262152:WVT262152 G327688:L327688 JC327688:JH327688 SY327688:TD327688 ACU327688:ACZ327688 AMQ327688:AMV327688 AWM327688:AWR327688 BGI327688:BGN327688 BQE327688:BQJ327688 CAA327688:CAF327688 CJW327688:CKB327688 CTS327688:CTX327688 DDO327688:DDT327688 DNK327688:DNP327688 DXG327688:DXL327688 EHC327688:EHH327688 EQY327688:ERD327688 FAU327688:FAZ327688 FKQ327688:FKV327688 FUM327688:FUR327688 GEI327688:GEN327688 GOE327688:GOJ327688 GYA327688:GYF327688 HHW327688:HIB327688 HRS327688:HRX327688 IBO327688:IBT327688 ILK327688:ILP327688 IVG327688:IVL327688 JFC327688:JFH327688 JOY327688:JPD327688 JYU327688:JYZ327688 KIQ327688:KIV327688 KSM327688:KSR327688 LCI327688:LCN327688 LME327688:LMJ327688 LWA327688:LWF327688 MFW327688:MGB327688 MPS327688:MPX327688 MZO327688:MZT327688 NJK327688:NJP327688 NTG327688:NTL327688 ODC327688:ODH327688 OMY327688:OND327688 OWU327688:OWZ327688 PGQ327688:PGV327688 PQM327688:PQR327688 QAI327688:QAN327688 QKE327688:QKJ327688 QUA327688:QUF327688 RDW327688:REB327688 RNS327688:RNX327688 RXO327688:RXT327688 SHK327688:SHP327688 SRG327688:SRL327688 TBC327688:TBH327688 TKY327688:TLD327688 TUU327688:TUZ327688 UEQ327688:UEV327688 UOM327688:UOR327688 UYI327688:UYN327688 VIE327688:VIJ327688 VSA327688:VSF327688 WBW327688:WCB327688 WLS327688:WLX327688 WVO327688:WVT327688 G393224:L393224 JC393224:JH393224 SY393224:TD393224 ACU393224:ACZ393224 AMQ393224:AMV393224 AWM393224:AWR393224 BGI393224:BGN393224 BQE393224:BQJ393224 CAA393224:CAF393224 CJW393224:CKB393224 CTS393224:CTX393224 DDO393224:DDT393224 DNK393224:DNP393224 DXG393224:DXL393224 EHC393224:EHH393224 EQY393224:ERD393224 FAU393224:FAZ393224 FKQ393224:FKV393224 FUM393224:FUR393224 GEI393224:GEN393224 GOE393224:GOJ393224 GYA393224:GYF393224 HHW393224:HIB393224 HRS393224:HRX393224 IBO393224:IBT393224 ILK393224:ILP393224 IVG393224:IVL393224 JFC393224:JFH393224 JOY393224:JPD393224 JYU393224:JYZ393224 KIQ393224:KIV393224 KSM393224:KSR393224 LCI393224:LCN393224 LME393224:LMJ393224 LWA393224:LWF393224 MFW393224:MGB393224 MPS393224:MPX393224 MZO393224:MZT393224 NJK393224:NJP393224 NTG393224:NTL393224 ODC393224:ODH393224 OMY393224:OND393224 OWU393224:OWZ393224 PGQ393224:PGV393224 PQM393224:PQR393224 QAI393224:QAN393224 QKE393224:QKJ393224 QUA393224:QUF393224 RDW393224:REB393224 RNS393224:RNX393224 RXO393224:RXT393224 SHK393224:SHP393224 SRG393224:SRL393224 TBC393224:TBH393224 TKY393224:TLD393224 TUU393224:TUZ393224 UEQ393224:UEV393224 UOM393224:UOR393224 UYI393224:UYN393224 VIE393224:VIJ393224 VSA393224:VSF393224 WBW393224:WCB393224 WLS393224:WLX393224 WVO393224:WVT393224 G458760:L458760 JC458760:JH458760 SY458760:TD458760 ACU458760:ACZ458760 AMQ458760:AMV458760 AWM458760:AWR458760 BGI458760:BGN458760 BQE458760:BQJ458760 CAA458760:CAF458760 CJW458760:CKB458760 CTS458760:CTX458760 DDO458760:DDT458760 DNK458760:DNP458760 DXG458760:DXL458760 EHC458760:EHH458760 EQY458760:ERD458760 FAU458760:FAZ458760 FKQ458760:FKV458760 FUM458760:FUR458760 GEI458760:GEN458760 GOE458760:GOJ458760 GYA458760:GYF458760 HHW458760:HIB458760 HRS458760:HRX458760 IBO458760:IBT458760 ILK458760:ILP458760 IVG458760:IVL458760 JFC458760:JFH458760 JOY458760:JPD458760 JYU458760:JYZ458760 KIQ458760:KIV458760 KSM458760:KSR458760 LCI458760:LCN458760 LME458760:LMJ458760 LWA458760:LWF458760 MFW458760:MGB458760 MPS458760:MPX458760 MZO458760:MZT458760 NJK458760:NJP458760 NTG458760:NTL458760 ODC458760:ODH458760 OMY458760:OND458760 OWU458760:OWZ458760 PGQ458760:PGV458760 PQM458760:PQR458760 QAI458760:QAN458760 QKE458760:QKJ458760 QUA458760:QUF458760 RDW458760:REB458760 RNS458760:RNX458760 RXO458760:RXT458760 SHK458760:SHP458760 SRG458760:SRL458760 TBC458760:TBH458760 TKY458760:TLD458760 TUU458760:TUZ458760 UEQ458760:UEV458760 UOM458760:UOR458760 UYI458760:UYN458760 VIE458760:VIJ458760 VSA458760:VSF458760 WBW458760:WCB458760 WLS458760:WLX458760 WVO458760:WVT458760 G524296:L524296 JC524296:JH524296 SY524296:TD524296 ACU524296:ACZ524296 AMQ524296:AMV524296 AWM524296:AWR524296 BGI524296:BGN524296 BQE524296:BQJ524296 CAA524296:CAF524296 CJW524296:CKB524296 CTS524296:CTX524296 DDO524296:DDT524296 DNK524296:DNP524296 DXG524296:DXL524296 EHC524296:EHH524296 EQY524296:ERD524296 FAU524296:FAZ524296 FKQ524296:FKV524296 FUM524296:FUR524296 GEI524296:GEN524296 GOE524296:GOJ524296 GYA524296:GYF524296 HHW524296:HIB524296 HRS524296:HRX524296 IBO524296:IBT524296 ILK524296:ILP524296 IVG524296:IVL524296 JFC524296:JFH524296 JOY524296:JPD524296 JYU524296:JYZ524296 KIQ524296:KIV524296 KSM524296:KSR524296 LCI524296:LCN524296 LME524296:LMJ524296 LWA524296:LWF524296 MFW524296:MGB524296 MPS524296:MPX524296 MZO524296:MZT524296 NJK524296:NJP524296 NTG524296:NTL524296 ODC524296:ODH524296 OMY524296:OND524296 OWU524296:OWZ524296 PGQ524296:PGV524296 PQM524296:PQR524296 QAI524296:QAN524296 QKE524296:QKJ524296 QUA524296:QUF524296 RDW524296:REB524296 RNS524296:RNX524296 RXO524296:RXT524296 SHK524296:SHP524296 SRG524296:SRL524296 TBC524296:TBH524296 TKY524296:TLD524296 TUU524296:TUZ524296 UEQ524296:UEV524296 UOM524296:UOR524296 UYI524296:UYN524296 VIE524296:VIJ524296 VSA524296:VSF524296 WBW524296:WCB524296 WLS524296:WLX524296 WVO524296:WVT524296 G589832:L589832 JC589832:JH589832 SY589832:TD589832 ACU589832:ACZ589832 AMQ589832:AMV589832 AWM589832:AWR589832 BGI589832:BGN589832 BQE589832:BQJ589832 CAA589832:CAF589832 CJW589832:CKB589832 CTS589832:CTX589832 DDO589832:DDT589832 DNK589832:DNP589832 DXG589832:DXL589832 EHC589832:EHH589832 EQY589832:ERD589832 FAU589832:FAZ589832 FKQ589832:FKV589832 FUM589832:FUR589832 GEI589832:GEN589832 GOE589832:GOJ589832 GYA589832:GYF589832 HHW589832:HIB589832 HRS589832:HRX589832 IBO589832:IBT589832 ILK589832:ILP589832 IVG589832:IVL589832 JFC589832:JFH589832 JOY589832:JPD589832 JYU589832:JYZ589832 KIQ589832:KIV589832 KSM589832:KSR589832 LCI589832:LCN589832 LME589832:LMJ589832 LWA589832:LWF589832 MFW589832:MGB589832 MPS589832:MPX589832 MZO589832:MZT589832 NJK589832:NJP589832 NTG589832:NTL589832 ODC589832:ODH589832 OMY589832:OND589832 OWU589832:OWZ589832 PGQ589832:PGV589832 PQM589832:PQR589832 QAI589832:QAN589832 QKE589832:QKJ589832 QUA589832:QUF589832 RDW589832:REB589832 RNS589832:RNX589832 RXO589832:RXT589832 SHK589832:SHP589832 SRG589832:SRL589832 TBC589832:TBH589832 TKY589832:TLD589832 TUU589832:TUZ589832 UEQ589832:UEV589832 UOM589832:UOR589832 UYI589832:UYN589832 VIE589832:VIJ589832 VSA589832:VSF589832 WBW589832:WCB589832 WLS589832:WLX589832 WVO589832:WVT589832 G655368:L655368 JC655368:JH655368 SY655368:TD655368 ACU655368:ACZ655368 AMQ655368:AMV655368 AWM655368:AWR655368 BGI655368:BGN655368 BQE655368:BQJ655368 CAA655368:CAF655368 CJW655368:CKB655368 CTS655368:CTX655368 DDO655368:DDT655368 DNK655368:DNP655368 DXG655368:DXL655368 EHC655368:EHH655368 EQY655368:ERD655368 FAU655368:FAZ655368 FKQ655368:FKV655368 FUM655368:FUR655368 GEI655368:GEN655368 GOE655368:GOJ655368 GYA655368:GYF655368 HHW655368:HIB655368 HRS655368:HRX655368 IBO655368:IBT655368 ILK655368:ILP655368 IVG655368:IVL655368 JFC655368:JFH655368 JOY655368:JPD655368 JYU655368:JYZ655368 KIQ655368:KIV655368 KSM655368:KSR655368 LCI655368:LCN655368 LME655368:LMJ655368 LWA655368:LWF655368 MFW655368:MGB655368 MPS655368:MPX655368 MZO655368:MZT655368 NJK655368:NJP655368 NTG655368:NTL655368 ODC655368:ODH655368 OMY655368:OND655368 OWU655368:OWZ655368 PGQ655368:PGV655368 PQM655368:PQR655368 QAI655368:QAN655368 QKE655368:QKJ655368 QUA655368:QUF655368 RDW655368:REB655368 RNS655368:RNX655368 RXO655368:RXT655368 SHK655368:SHP655368 SRG655368:SRL655368 TBC655368:TBH655368 TKY655368:TLD655368 TUU655368:TUZ655368 UEQ655368:UEV655368 UOM655368:UOR655368 UYI655368:UYN655368 VIE655368:VIJ655368 VSA655368:VSF655368 WBW655368:WCB655368 WLS655368:WLX655368 WVO655368:WVT655368 G720904:L720904 JC720904:JH720904 SY720904:TD720904 ACU720904:ACZ720904 AMQ720904:AMV720904 AWM720904:AWR720904 BGI720904:BGN720904 BQE720904:BQJ720904 CAA720904:CAF720904 CJW720904:CKB720904 CTS720904:CTX720904 DDO720904:DDT720904 DNK720904:DNP720904 DXG720904:DXL720904 EHC720904:EHH720904 EQY720904:ERD720904 FAU720904:FAZ720904 FKQ720904:FKV720904 FUM720904:FUR720904 GEI720904:GEN720904 GOE720904:GOJ720904 GYA720904:GYF720904 HHW720904:HIB720904 HRS720904:HRX720904 IBO720904:IBT720904 ILK720904:ILP720904 IVG720904:IVL720904 JFC720904:JFH720904 JOY720904:JPD720904 JYU720904:JYZ720904 KIQ720904:KIV720904 KSM720904:KSR720904 LCI720904:LCN720904 LME720904:LMJ720904 LWA720904:LWF720904 MFW720904:MGB720904 MPS720904:MPX720904 MZO720904:MZT720904 NJK720904:NJP720904 NTG720904:NTL720904 ODC720904:ODH720904 OMY720904:OND720904 OWU720904:OWZ720904 PGQ720904:PGV720904 PQM720904:PQR720904 QAI720904:QAN720904 QKE720904:QKJ720904 QUA720904:QUF720904 RDW720904:REB720904 RNS720904:RNX720904 RXO720904:RXT720904 SHK720904:SHP720904 SRG720904:SRL720904 TBC720904:TBH720904 TKY720904:TLD720904 TUU720904:TUZ720904 UEQ720904:UEV720904 UOM720904:UOR720904 UYI720904:UYN720904 VIE720904:VIJ720904 VSA720904:VSF720904 WBW720904:WCB720904 WLS720904:WLX720904 WVO720904:WVT720904 G786440:L786440 JC786440:JH786440 SY786440:TD786440 ACU786440:ACZ786440 AMQ786440:AMV786440 AWM786440:AWR786440 BGI786440:BGN786440 BQE786440:BQJ786440 CAA786440:CAF786440 CJW786440:CKB786440 CTS786440:CTX786440 DDO786440:DDT786440 DNK786440:DNP786440 DXG786440:DXL786440 EHC786440:EHH786440 EQY786440:ERD786440 FAU786440:FAZ786440 FKQ786440:FKV786440 FUM786440:FUR786440 GEI786440:GEN786440 GOE786440:GOJ786440 GYA786440:GYF786440 HHW786440:HIB786440 HRS786440:HRX786440 IBO786440:IBT786440 ILK786440:ILP786440 IVG786440:IVL786440 JFC786440:JFH786440 JOY786440:JPD786440 JYU786440:JYZ786440 KIQ786440:KIV786440 KSM786440:KSR786440 LCI786440:LCN786440 LME786440:LMJ786440 LWA786440:LWF786440 MFW786440:MGB786440 MPS786440:MPX786440 MZO786440:MZT786440 NJK786440:NJP786440 NTG786440:NTL786440 ODC786440:ODH786440 OMY786440:OND786440 OWU786440:OWZ786440 PGQ786440:PGV786440 PQM786440:PQR786440 QAI786440:QAN786440 QKE786440:QKJ786440 QUA786440:QUF786440 RDW786440:REB786440 RNS786440:RNX786440 RXO786440:RXT786440 SHK786440:SHP786440 SRG786440:SRL786440 TBC786440:TBH786440 TKY786440:TLD786440 TUU786440:TUZ786440 UEQ786440:UEV786440 UOM786440:UOR786440 UYI786440:UYN786440 VIE786440:VIJ786440 VSA786440:VSF786440 WBW786440:WCB786440 WLS786440:WLX786440 WVO786440:WVT786440 G851976:L851976 JC851976:JH851976 SY851976:TD851976 ACU851976:ACZ851976 AMQ851976:AMV851976 AWM851976:AWR851976 BGI851976:BGN851976 BQE851976:BQJ851976 CAA851976:CAF851976 CJW851976:CKB851976 CTS851976:CTX851976 DDO851976:DDT851976 DNK851976:DNP851976 DXG851976:DXL851976 EHC851976:EHH851976 EQY851976:ERD851976 FAU851976:FAZ851976 FKQ851976:FKV851976 FUM851976:FUR851976 GEI851976:GEN851976 GOE851976:GOJ851976 GYA851976:GYF851976 HHW851976:HIB851976 HRS851976:HRX851976 IBO851976:IBT851976 ILK851976:ILP851976 IVG851976:IVL851976 JFC851976:JFH851976 JOY851976:JPD851976 JYU851976:JYZ851976 KIQ851976:KIV851976 KSM851976:KSR851976 LCI851976:LCN851976 LME851976:LMJ851976 LWA851976:LWF851976 MFW851976:MGB851976 MPS851976:MPX851976 MZO851976:MZT851976 NJK851976:NJP851976 NTG851976:NTL851976 ODC851976:ODH851976 OMY851976:OND851976 OWU851976:OWZ851976 PGQ851976:PGV851976 PQM851976:PQR851976 QAI851976:QAN851976 QKE851976:QKJ851976 QUA851976:QUF851976 RDW851976:REB851976 RNS851976:RNX851976 RXO851976:RXT851976 SHK851976:SHP851976 SRG851976:SRL851976 TBC851976:TBH851976 TKY851976:TLD851976 TUU851976:TUZ851976 UEQ851976:UEV851976 UOM851976:UOR851976 UYI851976:UYN851976 VIE851976:VIJ851976 VSA851976:VSF851976 WBW851976:WCB851976 WLS851976:WLX851976 WVO851976:WVT851976 G917512:L917512 JC917512:JH917512 SY917512:TD917512 ACU917512:ACZ917512 AMQ917512:AMV917512 AWM917512:AWR917512 BGI917512:BGN917512 BQE917512:BQJ917512 CAA917512:CAF917512 CJW917512:CKB917512 CTS917512:CTX917512 DDO917512:DDT917512 DNK917512:DNP917512 DXG917512:DXL917512 EHC917512:EHH917512 EQY917512:ERD917512 FAU917512:FAZ917512 FKQ917512:FKV917512 FUM917512:FUR917512 GEI917512:GEN917512 GOE917512:GOJ917512 GYA917512:GYF917512 HHW917512:HIB917512 HRS917512:HRX917512 IBO917512:IBT917512 ILK917512:ILP917512 IVG917512:IVL917512 JFC917512:JFH917512 JOY917512:JPD917512 JYU917512:JYZ917512 KIQ917512:KIV917512 KSM917512:KSR917512 LCI917512:LCN917512 LME917512:LMJ917512 LWA917512:LWF917512 MFW917512:MGB917512 MPS917512:MPX917512 MZO917512:MZT917512 NJK917512:NJP917512 NTG917512:NTL917512 ODC917512:ODH917512 OMY917512:OND917512 OWU917512:OWZ917512 PGQ917512:PGV917512 PQM917512:PQR917512 QAI917512:QAN917512 QKE917512:QKJ917512 QUA917512:QUF917512 RDW917512:REB917512 RNS917512:RNX917512 RXO917512:RXT917512 SHK917512:SHP917512 SRG917512:SRL917512 TBC917512:TBH917512 TKY917512:TLD917512 TUU917512:TUZ917512 UEQ917512:UEV917512 UOM917512:UOR917512 UYI917512:UYN917512 VIE917512:VIJ917512 VSA917512:VSF917512 WBW917512:WCB917512 WLS917512:WLX917512 WVO917512:WVT917512 G983048:L983048 JC983048:JH983048 SY983048:TD983048 ACU983048:ACZ983048 AMQ983048:AMV983048 AWM983048:AWR983048 BGI983048:BGN983048 BQE983048:BQJ983048 CAA983048:CAF983048 CJW983048:CKB983048 CTS983048:CTX983048 DDO983048:DDT983048 DNK983048:DNP983048 DXG983048:DXL983048 EHC983048:EHH983048 EQY983048:ERD983048 FAU983048:FAZ983048 FKQ983048:FKV983048 FUM983048:FUR983048 GEI983048:GEN983048 GOE983048:GOJ983048 GYA983048:GYF983048 HHW983048:HIB983048 HRS983048:HRX983048 IBO983048:IBT983048 ILK983048:ILP983048 IVG983048:IVL983048 JFC983048:JFH983048 JOY983048:JPD983048 JYU983048:JYZ983048 KIQ983048:KIV983048 KSM983048:KSR983048 LCI983048:LCN983048 LME983048:LMJ983048 LWA983048:LWF983048 MFW983048:MGB983048 MPS983048:MPX983048 MZO983048:MZT983048 NJK983048:NJP983048 NTG983048:NTL983048 ODC983048:ODH983048 OMY983048:OND983048 OWU983048:OWZ983048 PGQ983048:PGV983048 PQM983048:PQR983048 QAI983048:QAN983048 QKE983048:QKJ983048 QUA983048:QUF983048 RDW983048:REB983048 RNS983048:RNX983048 RXO983048:RXT983048 SHK983048:SHP983048 SRG983048:SRL983048 TBC983048:TBH983048 TKY983048:TLD983048 TUU983048:TUZ983048 UEQ983048:UEV983048 UOM983048:UOR983048 UYI983048:UYN983048 VIE983048:VIJ983048 VSA983048:VSF983048 WBW983048:WCB983048 WLS983048:WLX983048 G7:L7">
      <formula1>"積上げ,積上げ・率処理併用"</formula1>
    </dataValidation>
    <dataValidation type="list" allowBlank="1" showInputMessage="1" showErrorMessage="1" sqref="G4:L4 JC4:JH4 SY4:TD4 ACU4:ACZ4 AMQ4:AMV4 AWM4:AWR4 BGI4:BGN4 BQE4:BQJ4 CAA4:CAF4 CJW4:CKB4 CTS4:CTX4 DDO4:DDT4 DNK4:DNP4 DXG4:DXL4 EHC4:EHH4 EQY4:ERD4 FAU4:FAZ4 FKQ4:FKV4 FUM4:FUR4 GEI4:GEN4 GOE4:GOJ4 GYA4:GYF4 HHW4:HIB4 HRS4:HRX4 IBO4:IBT4 ILK4:ILP4 IVG4:IVL4 JFC4:JFH4 JOY4:JPD4 JYU4:JYZ4 KIQ4:KIV4 KSM4:KSR4 LCI4:LCN4 LME4:LMJ4 LWA4:LWF4 MFW4:MGB4 MPS4:MPX4 MZO4:MZT4 NJK4:NJP4 NTG4:NTL4 ODC4:ODH4 OMY4:OND4 OWU4:OWZ4 PGQ4:PGV4 PQM4:PQR4 QAI4:QAN4 QKE4:QKJ4 QUA4:QUF4 RDW4:REB4 RNS4:RNX4 RXO4:RXT4 SHK4:SHP4 SRG4:SRL4 TBC4:TBH4 TKY4:TLD4 TUU4:TUZ4 UEQ4:UEV4 UOM4:UOR4 UYI4:UYN4 VIE4:VIJ4 VSA4:VSF4 WBW4:WCB4 WLS4:WLX4 WVO4:WVT4 G65541:L65541 JC65541:JH65541 SY65541:TD65541 ACU65541:ACZ65541 AMQ65541:AMV65541 AWM65541:AWR65541 BGI65541:BGN65541 BQE65541:BQJ65541 CAA65541:CAF65541 CJW65541:CKB65541 CTS65541:CTX65541 DDO65541:DDT65541 DNK65541:DNP65541 DXG65541:DXL65541 EHC65541:EHH65541 EQY65541:ERD65541 FAU65541:FAZ65541 FKQ65541:FKV65541 FUM65541:FUR65541 GEI65541:GEN65541 GOE65541:GOJ65541 GYA65541:GYF65541 HHW65541:HIB65541 HRS65541:HRX65541 IBO65541:IBT65541 ILK65541:ILP65541 IVG65541:IVL65541 JFC65541:JFH65541 JOY65541:JPD65541 JYU65541:JYZ65541 KIQ65541:KIV65541 KSM65541:KSR65541 LCI65541:LCN65541 LME65541:LMJ65541 LWA65541:LWF65541 MFW65541:MGB65541 MPS65541:MPX65541 MZO65541:MZT65541 NJK65541:NJP65541 NTG65541:NTL65541 ODC65541:ODH65541 OMY65541:OND65541 OWU65541:OWZ65541 PGQ65541:PGV65541 PQM65541:PQR65541 QAI65541:QAN65541 QKE65541:QKJ65541 QUA65541:QUF65541 RDW65541:REB65541 RNS65541:RNX65541 RXO65541:RXT65541 SHK65541:SHP65541 SRG65541:SRL65541 TBC65541:TBH65541 TKY65541:TLD65541 TUU65541:TUZ65541 UEQ65541:UEV65541 UOM65541:UOR65541 UYI65541:UYN65541 VIE65541:VIJ65541 VSA65541:VSF65541 WBW65541:WCB65541 WLS65541:WLX65541 WVO65541:WVT65541 G131077:L131077 JC131077:JH131077 SY131077:TD131077 ACU131077:ACZ131077 AMQ131077:AMV131077 AWM131077:AWR131077 BGI131077:BGN131077 BQE131077:BQJ131077 CAA131077:CAF131077 CJW131077:CKB131077 CTS131077:CTX131077 DDO131077:DDT131077 DNK131077:DNP131077 DXG131077:DXL131077 EHC131077:EHH131077 EQY131077:ERD131077 FAU131077:FAZ131077 FKQ131077:FKV131077 FUM131077:FUR131077 GEI131077:GEN131077 GOE131077:GOJ131077 GYA131077:GYF131077 HHW131077:HIB131077 HRS131077:HRX131077 IBO131077:IBT131077 ILK131077:ILP131077 IVG131077:IVL131077 JFC131077:JFH131077 JOY131077:JPD131077 JYU131077:JYZ131077 KIQ131077:KIV131077 KSM131077:KSR131077 LCI131077:LCN131077 LME131077:LMJ131077 LWA131077:LWF131077 MFW131077:MGB131077 MPS131077:MPX131077 MZO131077:MZT131077 NJK131077:NJP131077 NTG131077:NTL131077 ODC131077:ODH131077 OMY131077:OND131077 OWU131077:OWZ131077 PGQ131077:PGV131077 PQM131077:PQR131077 QAI131077:QAN131077 QKE131077:QKJ131077 QUA131077:QUF131077 RDW131077:REB131077 RNS131077:RNX131077 RXO131077:RXT131077 SHK131077:SHP131077 SRG131077:SRL131077 TBC131077:TBH131077 TKY131077:TLD131077 TUU131077:TUZ131077 UEQ131077:UEV131077 UOM131077:UOR131077 UYI131077:UYN131077 VIE131077:VIJ131077 VSA131077:VSF131077 WBW131077:WCB131077 WLS131077:WLX131077 WVO131077:WVT131077 G196613:L196613 JC196613:JH196613 SY196613:TD196613 ACU196613:ACZ196613 AMQ196613:AMV196613 AWM196613:AWR196613 BGI196613:BGN196613 BQE196613:BQJ196613 CAA196613:CAF196613 CJW196613:CKB196613 CTS196613:CTX196613 DDO196613:DDT196613 DNK196613:DNP196613 DXG196613:DXL196613 EHC196613:EHH196613 EQY196613:ERD196613 FAU196613:FAZ196613 FKQ196613:FKV196613 FUM196613:FUR196613 GEI196613:GEN196613 GOE196613:GOJ196613 GYA196613:GYF196613 HHW196613:HIB196613 HRS196613:HRX196613 IBO196613:IBT196613 ILK196613:ILP196613 IVG196613:IVL196613 JFC196613:JFH196613 JOY196613:JPD196613 JYU196613:JYZ196613 KIQ196613:KIV196613 KSM196613:KSR196613 LCI196613:LCN196613 LME196613:LMJ196613 LWA196613:LWF196613 MFW196613:MGB196613 MPS196613:MPX196613 MZO196613:MZT196613 NJK196613:NJP196613 NTG196613:NTL196613 ODC196613:ODH196613 OMY196613:OND196613 OWU196613:OWZ196613 PGQ196613:PGV196613 PQM196613:PQR196613 QAI196613:QAN196613 QKE196613:QKJ196613 QUA196613:QUF196613 RDW196613:REB196613 RNS196613:RNX196613 RXO196613:RXT196613 SHK196613:SHP196613 SRG196613:SRL196613 TBC196613:TBH196613 TKY196613:TLD196613 TUU196613:TUZ196613 UEQ196613:UEV196613 UOM196613:UOR196613 UYI196613:UYN196613 VIE196613:VIJ196613 VSA196613:VSF196613 WBW196613:WCB196613 WLS196613:WLX196613 WVO196613:WVT196613 G262149:L262149 JC262149:JH262149 SY262149:TD262149 ACU262149:ACZ262149 AMQ262149:AMV262149 AWM262149:AWR262149 BGI262149:BGN262149 BQE262149:BQJ262149 CAA262149:CAF262149 CJW262149:CKB262149 CTS262149:CTX262149 DDO262149:DDT262149 DNK262149:DNP262149 DXG262149:DXL262149 EHC262149:EHH262149 EQY262149:ERD262149 FAU262149:FAZ262149 FKQ262149:FKV262149 FUM262149:FUR262149 GEI262149:GEN262149 GOE262149:GOJ262149 GYA262149:GYF262149 HHW262149:HIB262149 HRS262149:HRX262149 IBO262149:IBT262149 ILK262149:ILP262149 IVG262149:IVL262149 JFC262149:JFH262149 JOY262149:JPD262149 JYU262149:JYZ262149 KIQ262149:KIV262149 KSM262149:KSR262149 LCI262149:LCN262149 LME262149:LMJ262149 LWA262149:LWF262149 MFW262149:MGB262149 MPS262149:MPX262149 MZO262149:MZT262149 NJK262149:NJP262149 NTG262149:NTL262149 ODC262149:ODH262149 OMY262149:OND262149 OWU262149:OWZ262149 PGQ262149:PGV262149 PQM262149:PQR262149 QAI262149:QAN262149 QKE262149:QKJ262149 QUA262149:QUF262149 RDW262149:REB262149 RNS262149:RNX262149 RXO262149:RXT262149 SHK262149:SHP262149 SRG262149:SRL262149 TBC262149:TBH262149 TKY262149:TLD262149 TUU262149:TUZ262149 UEQ262149:UEV262149 UOM262149:UOR262149 UYI262149:UYN262149 VIE262149:VIJ262149 VSA262149:VSF262149 WBW262149:WCB262149 WLS262149:WLX262149 WVO262149:WVT262149 G327685:L327685 JC327685:JH327685 SY327685:TD327685 ACU327685:ACZ327685 AMQ327685:AMV327685 AWM327685:AWR327685 BGI327685:BGN327685 BQE327685:BQJ327685 CAA327685:CAF327685 CJW327685:CKB327685 CTS327685:CTX327685 DDO327685:DDT327685 DNK327685:DNP327685 DXG327685:DXL327685 EHC327685:EHH327685 EQY327685:ERD327685 FAU327685:FAZ327685 FKQ327685:FKV327685 FUM327685:FUR327685 GEI327685:GEN327685 GOE327685:GOJ327685 GYA327685:GYF327685 HHW327685:HIB327685 HRS327685:HRX327685 IBO327685:IBT327685 ILK327685:ILP327685 IVG327685:IVL327685 JFC327685:JFH327685 JOY327685:JPD327685 JYU327685:JYZ327685 KIQ327685:KIV327685 KSM327685:KSR327685 LCI327685:LCN327685 LME327685:LMJ327685 LWA327685:LWF327685 MFW327685:MGB327685 MPS327685:MPX327685 MZO327685:MZT327685 NJK327685:NJP327685 NTG327685:NTL327685 ODC327685:ODH327685 OMY327685:OND327685 OWU327685:OWZ327685 PGQ327685:PGV327685 PQM327685:PQR327685 QAI327685:QAN327685 QKE327685:QKJ327685 QUA327685:QUF327685 RDW327685:REB327685 RNS327685:RNX327685 RXO327685:RXT327685 SHK327685:SHP327685 SRG327685:SRL327685 TBC327685:TBH327685 TKY327685:TLD327685 TUU327685:TUZ327685 UEQ327685:UEV327685 UOM327685:UOR327685 UYI327685:UYN327685 VIE327685:VIJ327685 VSA327685:VSF327685 WBW327685:WCB327685 WLS327685:WLX327685 WVO327685:WVT327685 G393221:L393221 JC393221:JH393221 SY393221:TD393221 ACU393221:ACZ393221 AMQ393221:AMV393221 AWM393221:AWR393221 BGI393221:BGN393221 BQE393221:BQJ393221 CAA393221:CAF393221 CJW393221:CKB393221 CTS393221:CTX393221 DDO393221:DDT393221 DNK393221:DNP393221 DXG393221:DXL393221 EHC393221:EHH393221 EQY393221:ERD393221 FAU393221:FAZ393221 FKQ393221:FKV393221 FUM393221:FUR393221 GEI393221:GEN393221 GOE393221:GOJ393221 GYA393221:GYF393221 HHW393221:HIB393221 HRS393221:HRX393221 IBO393221:IBT393221 ILK393221:ILP393221 IVG393221:IVL393221 JFC393221:JFH393221 JOY393221:JPD393221 JYU393221:JYZ393221 KIQ393221:KIV393221 KSM393221:KSR393221 LCI393221:LCN393221 LME393221:LMJ393221 LWA393221:LWF393221 MFW393221:MGB393221 MPS393221:MPX393221 MZO393221:MZT393221 NJK393221:NJP393221 NTG393221:NTL393221 ODC393221:ODH393221 OMY393221:OND393221 OWU393221:OWZ393221 PGQ393221:PGV393221 PQM393221:PQR393221 QAI393221:QAN393221 QKE393221:QKJ393221 QUA393221:QUF393221 RDW393221:REB393221 RNS393221:RNX393221 RXO393221:RXT393221 SHK393221:SHP393221 SRG393221:SRL393221 TBC393221:TBH393221 TKY393221:TLD393221 TUU393221:TUZ393221 UEQ393221:UEV393221 UOM393221:UOR393221 UYI393221:UYN393221 VIE393221:VIJ393221 VSA393221:VSF393221 WBW393221:WCB393221 WLS393221:WLX393221 WVO393221:WVT393221 G458757:L458757 JC458757:JH458757 SY458757:TD458757 ACU458757:ACZ458757 AMQ458757:AMV458757 AWM458757:AWR458757 BGI458757:BGN458757 BQE458757:BQJ458757 CAA458757:CAF458757 CJW458757:CKB458757 CTS458757:CTX458757 DDO458757:DDT458757 DNK458757:DNP458757 DXG458757:DXL458757 EHC458757:EHH458757 EQY458757:ERD458757 FAU458757:FAZ458757 FKQ458757:FKV458757 FUM458757:FUR458757 GEI458757:GEN458757 GOE458757:GOJ458757 GYA458757:GYF458757 HHW458757:HIB458757 HRS458757:HRX458757 IBO458757:IBT458757 ILK458757:ILP458757 IVG458757:IVL458757 JFC458757:JFH458757 JOY458757:JPD458757 JYU458757:JYZ458757 KIQ458757:KIV458757 KSM458757:KSR458757 LCI458757:LCN458757 LME458757:LMJ458757 LWA458757:LWF458757 MFW458757:MGB458757 MPS458757:MPX458757 MZO458757:MZT458757 NJK458757:NJP458757 NTG458757:NTL458757 ODC458757:ODH458757 OMY458757:OND458757 OWU458757:OWZ458757 PGQ458757:PGV458757 PQM458757:PQR458757 QAI458757:QAN458757 QKE458757:QKJ458757 QUA458757:QUF458757 RDW458757:REB458757 RNS458757:RNX458757 RXO458757:RXT458757 SHK458757:SHP458757 SRG458757:SRL458757 TBC458757:TBH458757 TKY458757:TLD458757 TUU458757:TUZ458757 UEQ458757:UEV458757 UOM458757:UOR458757 UYI458757:UYN458757 VIE458757:VIJ458757 VSA458757:VSF458757 WBW458757:WCB458757 WLS458757:WLX458757 WVO458757:WVT458757 G524293:L524293 JC524293:JH524293 SY524293:TD524293 ACU524293:ACZ524293 AMQ524293:AMV524293 AWM524293:AWR524293 BGI524293:BGN524293 BQE524293:BQJ524293 CAA524293:CAF524293 CJW524293:CKB524293 CTS524293:CTX524293 DDO524293:DDT524293 DNK524293:DNP524293 DXG524293:DXL524293 EHC524293:EHH524293 EQY524293:ERD524293 FAU524293:FAZ524293 FKQ524293:FKV524293 FUM524293:FUR524293 GEI524293:GEN524293 GOE524293:GOJ524293 GYA524293:GYF524293 HHW524293:HIB524293 HRS524293:HRX524293 IBO524293:IBT524293 ILK524293:ILP524293 IVG524293:IVL524293 JFC524293:JFH524293 JOY524293:JPD524293 JYU524293:JYZ524293 KIQ524293:KIV524293 KSM524293:KSR524293 LCI524293:LCN524293 LME524293:LMJ524293 LWA524293:LWF524293 MFW524293:MGB524293 MPS524293:MPX524293 MZO524293:MZT524293 NJK524293:NJP524293 NTG524293:NTL524293 ODC524293:ODH524293 OMY524293:OND524293 OWU524293:OWZ524293 PGQ524293:PGV524293 PQM524293:PQR524293 QAI524293:QAN524293 QKE524293:QKJ524293 QUA524293:QUF524293 RDW524293:REB524293 RNS524293:RNX524293 RXO524293:RXT524293 SHK524293:SHP524293 SRG524293:SRL524293 TBC524293:TBH524293 TKY524293:TLD524293 TUU524293:TUZ524293 UEQ524293:UEV524293 UOM524293:UOR524293 UYI524293:UYN524293 VIE524293:VIJ524293 VSA524293:VSF524293 WBW524293:WCB524293 WLS524293:WLX524293 WVO524293:WVT524293 G589829:L589829 JC589829:JH589829 SY589829:TD589829 ACU589829:ACZ589829 AMQ589829:AMV589829 AWM589829:AWR589829 BGI589829:BGN589829 BQE589829:BQJ589829 CAA589829:CAF589829 CJW589829:CKB589829 CTS589829:CTX589829 DDO589829:DDT589829 DNK589829:DNP589829 DXG589829:DXL589829 EHC589829:EHH589829 EQY589829:ERD589829 FAU589829:FAZ589829 FKQ589829:FKV589829 FUM589829:FUR589829 GEI589829:GEN589829 GOE589829:GOJ589829 GYA589829:GYF589829 HHW589829:HIB589829 HRS589829:HRX589829 IBO589829:IBT589829 ILK589829:ILP589829 IVG589829:IVL589829 JFC589829:JFH589829 JOY589829:JPD589829 JYU589829:JYZ589829 KIQ589829:KIV589829 KSM589829:KSR589829 LCI589829:LCN589829 LME589829:LMJ589829 LWA589829:LWF589829 MFW589829:MGB589829 MPS589829:MPX589829 MZO589829:MZT589829 NJK589829:NJP589829 NTG589829:NTL589829 ODC589829:ODH589829 OMY589829:OND589829 OWU589829:OWZ589829 PGQ589829:PGV589829 PQM589829:PQR589829 QAI589829:QAN589829 QKE589829:QKJ589829 QUA589829:QUF589829 RDW589829:REB589829 RNS589829:RNX589829 RXO589829:RXT589829 SHK589829:SHP589829 SRG589829:SRL589829 TBC589829:TBH589829 TKY589829:TLD589829 TUU589829:TUZ589829 UEQ589829:UEV589829 UOM589829:UOR589829 UYI589829:UYN589829 VIE589829:VIJ589829 VSA589829:VSF589829 WBW589829:WCB589829 WLS589829:WLX589829 WVO589829:WVT589829 G655365:L655365 JC655365:JH655365 SY655365:TD655365 ACU655365:ACZ655365 AMQ655365:AMV655365 AWM655365:AWR655365 BGI655365:BGN655365 BQE655365:BQJ655365 CAA655365:CAF655365 CJW655365:CKB655365 CTS655365:CTX655365 DDO655365:DDT655365 DNK655365:DNP655365 DXG655365:DXL655365 EHC655365:EHH655365 EQY655365:ERD655365 FAU655365:FAZ655365 FKQ655365:FKV655365 FUM655365:FUR655365 GEI655365:GEN655365 GOE655365:GOJ655365 GYA655365:GYF655365 HHW655365:HIB655365 HRS655365:HRX655365 IBO655365:IBT655365 ILK655365:ILP655365 IVG655365:IVL655365 JFC655365:JFH655365 JOY655365:JPD655365 JYU655365:JYZ655365 KIQ655365:KIV655365 KSM655365:KSR655365 LCI655365:LCN655365 LME655365:LMJ655365 LWA655365:LWF655365 MFW655365:MGB655365 MPS655365:MPX655365 MZO655365:MZT655365 NJK655365:NJP655365 NTG655365:NTL655365 ODC655365:ODH655365 OMY655365:OND655365 OWU655365:OWZ655365 PGQ655365:PGV655365 PQM655365:PQR655365 QAI655365:QAN655365 QKE655365:QKJ655365 QUA655365:QUF655365 RDW655365:REB655365 RNS655365:RNX655365 RXO655365:RXT655365 SHK655365:SHP655365 SRG655365:SRL655365 TBC655365:TBH655365 TKY655365:TLD655365 TUU655365:TUZ655365 UEQ655365:UEV655365 UOM655365:UOR655365 UYI655365:UYN655365 VIE655365:VIJ655365 VSA655365:VSF655365 WBW655365:WCB655365 WLS655365:WLX655365 WVO655365:WVT655365 G720901:L720901 JC720901:JH720901 SY720901:TD720901 ACU720901:ACZ720901 AMQ720901:AMV720901 AWM720901:AWR720901 BGI720901:BGN720901 BQE720901:BQJ720901 CAA720901:CAF720901 CJW720901:CKB720901 CTS720901:CTX720901 DDO720901:DDT720901 DNK720901:DNP720901 DXG720901:DXL720901 EHC720901:EHH720901 EQY720901:ERD720901 FAU720901:FAZ720901 FKQ720901:FKV720901 FUM720901:FUR720901 GEI720901:GEN720901 GOE720901:GOJ720901 GYA720901:GYF720901 HHW720901:HIB720901 HRS720901:HRX720901 IBO720901:IBT720901 ILK720901:ILP720901 IVG720901:IVL720901 JFC720901:JFH720901 JOY720901:JPD720901 JYU720901:JYZ720901 KIQ720901:KIV720901 KSM720901:KSR720901 LCI720901:LCN720901 LME720901:LMJ720901 LWA720901:LWF720901 MFW720901:MGB720901 MPS720901:MPX720901 MZO720901:MZT720901 NJK720901:NJP720901 NTG720901:NTL720901 ODC720901:ODH720901 OMY720901:OND720901 OWU720901:OWZ720901 PGQ720901:PGV720901 PQM720901:PQR720901 QAI720901:QAN720901 QKE720901:QKJ720901 QUA720901:QUF720901 RDW720901:REB720901 RNS720901:RNX720901 RXO720901:RXT720901 SHK720901:SHP720901 SRG720901:SRL720901 TBC720901:TBH720901 TKY720901:TLD720901 TUU720901:TUZ720901 UEQ720901:UEV720901 UOM720901:UOR720901 UYI720901:UYN720901 VIE720901:VIJ720901 VSA720901:VSF720901 WBW720901:WCB720901 WLS720901:WLX720901 WVO720901:WVT720901 G786437:L786437 JC786437:JH786437 SY786437:TD786437 ACU786437:ACZ786437 AMQ786437:AMV786437 AWM786437:AWR786437 BGI786437:BGN786437 BQE786437:BQJ786437 CAA786437:CAF786437 CJW786437:CKB786437 CTS786437:CTX786437 DDO786437:DDT786437 DNK786437:DNP786437 DXG786437:DXL786437 EHC786437:EHH786437 EQY786437:ERD786437 FAU786437:FAZ786437 FKQ786437:FKV786437 FUM786437:FUR786437 GEI786437:GEN786437 GOE786437:GOJ786437 GYA786437:GYF786437 HHW786437:HIB786437 HRS786437:HRX786437 IBO786437:IBT786437 ILK786437:ILP786437 IVG786437:IVL786437 JFC786437:JFH786437 JOY786437:JPD786437 JYU786437:JYZ786437 KIQ786437:KIV786437 KSM786437:KSR786437 LCI786437:LCN786437 LME786437:LMJ786437 LWA786437:LWF786437 MFW786437:MGB786437 MPS786437:MPX786437 MZO786437:MZT786437 NJK786437:NJP786437 NTG786437:NTL786437 ODC786437:ODH786437 OMY786437:OND786437 OWU786437:OWZ786437 PGQ786437:PGV786437 PQM786437:PQR786437 QAI786437:QAN786437 QKE786437:QKJ786437 QUA786437:QUF786437 RDW786437:REB786437 RNS786437:RNX786437 RXO786437:RXT786437 SHK786437:SHP786437 SRG786437:SRL786437 TBC786437:TBH786437 TKY786437:TLD786437 TUU786437:TUZ786437 UEQ786437:UEV786437 UOM786437:UOR786437 UYI786437:UYN786437 VIE786437:VIJ786437 VSA786437:VSF786437 WBW786437:WCB786437 WLS786437:WLX786437 WVO786437:WVT786437 G851973:L851973 JC851973:JH851973 SY851973:TD851973 ACU851973:ACZ851973 AMQ851973:AMV851973 AWM851973:AWR851973 BGI851973:BGN851973 BQE851973:BQJ851973 CAA851973:CAF851973 CJW851973:CKB851973 CTS851973:CTX851973 DDO851973:DDT851973 DNK851973:DNP851973 DXG851973:DXL851973 EHC851973:EHH851973 EQY851973:ERD851973 FAU851973:FAZ851973 FKQ851973:FKV851973 FUM851973:FUR851973 GEI851973:GEN851973 GOE851973:GOJ851973 GYA851973:GYF851973 HHW851973:HIB851973 HRS851973:HRX851973 IBO851973:IBT851973 ILK851973:ILP851973 IVG851973:IVL851973 JFC851973:JFH851973 JOY851973:JPD851973 JYU851973:JYZ851973 KIQ851973:KIV851973 KSM851973:KSR851973 LCI851973:LCN851973 LME851973:LMJ851973 LWA851973:LWF851973 MFW851973:MGB851973 MPS851973:MPX851973 MZO851973:MZT851973 NJK851973:NJP851973 NTG851973:NTL851973 ODC851973:ODH851973 OMY851973:OND851973 OWU851973:OWZ851973 PGQ851973:PGV851973 PQM851973:PQR851973 QAI851973:QAN851973 QKE851973:QKJ851973 QUA851973:QUF851973 RDW851973:REB851973 RNS851973:RNX851973 RXO851973:RXT851973 SHK851973:SHP851973 SRG851973:SRL851973 TBC851973:TBH851973 TKY851973:TLD851973 TUU851973:TUZ851973 UEQ851973:UEV851973 UOM851973:UOR851973 UYI851973:UYN851973 VIE851973:VIJ851973 VSA851973:VSF851973 WBW851973:WCB851973 WLS851973:WLX851973 WVO851973:WVT851973 G917509:L917509 JC917509:JH917509 SY917509:TD917509 ACU917509:ACZ917509 AMQ917509:AMV917509 AWM917509:AWR917509 BGI917509:BGN917509 BQE917509:BQJ917509 CAA917509:CAF917509 CJW917509:CKB917509 CTS917509:CTX917509 DDO917509:DDT917509 DNK917509:DNP917509 DXG917509:DXL917509 EHC917509:EHH917509 EQY917509:ERD917509 FAU917509:FAZ917509 FKQ917509:FKV917509 FUM917509:FUR917509 GEI917509:GEN917509 GOE917509:GOJ917509 GYA917509:GYF917509 HHW917509:HIB917509 HRS917509:HRX917509 IBO917509:IBT917509 ILK917509:ILP917509 IVG917509:IVL917509 JFC917509:JFH917509 JOY917509:JPD917509 JYU917509:JYZ917509 KIQ917509:KIV917509 KSM917509:KSR917509 LCI917509:LCN917509 LME917509:LMJ917509 LWA917509:LWF917509 MFW917509:MGB917509 MPS917509:MPX917509 MZO917509:MZT917509 NJK917509:NJP917509 NTG917509:NTL917509 ODC917509:ODH917509 OMY917509:OND917509 OWU917509:OWZ917509 PGQ917509:PGV917509 PQM917509:PQR917509 QAI917509:QAN917509 QKE917509:QKJ917509 QUA917509:QUF917509 RDW917509:REB917509 RNS917509:RNX917509 RXO917509:RXT917509 SHK917509:SHP917509 SRG917509:SRL917509 TBC917509:TBH917509 TKY917509:TLD917509 TUU917509:TUZ917509 UEQ917509:UEV917509 UOM917509:UOR917509 UYI917509:UYN917509 VIE917509:VIJ917509 VSA917509:VSF917509 WBW917509:WCB917509 WLS917509:WLX917509 WVO917509:WVT917509 G983045:L983045 JC983045:JH983045 SY983045:TD983045 ACU983045:ACZ983045 AMQ983045:AMV983045 AWM983045:AWR983045 BGI983045:BGN983045 BQE983045:BQJ983045 CAA983045:CAF983045 CJW983045:CKB983045 CTS983045:CTX983045 DDO983045:DDT983045 DNK983045:DNP983045 DXG983045:DXL983045 EHC983045:EHH983045 EQY983045:ERD983045 FAU983045:FAZ983045 FKQ983045:FKV983045 FUM983045:FUR983045 GEI983045:GEN983045 GOE983045:GOJ983045 GYA983045:GYF983045 HHW983045:HIB983045 HRS983045:HRX983045 IBO983045:IBT983045 ILK983045:ILP983045 IVG983045:IVL983045 JFC983045:JFH983045 JOY983045:JPD983045 JYU983045:JYZ983045 KIQ983045:KIV983045 KSM983045:KSR983045 LCI983045:LCN983045 LME983045:LMJ983045 LWA983045:LWF983045 MFW983045:MGB983045 MPS983045:MPX983045 MZO983045:MZT983045 NJK983045:NJP983045 NTG983045:NTL983045 ODC983045:ODH983045 OMY983045:OND983045 OWU983045:OWZ983045 PGQ983045:PGV983045 PQM983045:PQR983045 QAI983045:QAN983045 QKE983045:QKJ983045 QUA983045:QUF983045 RDW983045:REB983045 RNS983045:RNX983045 RXO983045:RXT983045 SHK983045:SHP983045 SRG983045:SRL983045 TBC983045:TBH983045 TKY983045:TLD983045 TUU983045:TUZ983045 UEQ983045:UEV983045 UOM983045:UOR983045 UYI983045:UYN983045 VIE983045:VIJ983045 VSA983045:VSF983045 WBW983045:WCB983045 WLS983045:WLX983045 WVO983045:WVT983045">
      <formula1>"改修,新営"</formula1>
    </dataValidation>
    <dataValidation type="list" allowBlank="1" showInputMessage="1" showErrorMessage="1" sqref="WVM983049 JA9 SW9 ACS9 AMO9 AWK9 BGG9 BQC9 BZY9 CJU9 CTQ9 DDM9 DNI9 DXE9 EHA9 EQW9 FAS9 FKO9 FUK9 GEG9 GOC9 GXY9 HHU9 HRQ9 IBM9 ILI9 IVE9 JFA9 JOW9 JYS9 KIO9 KSK9 LCG9 LMC9 LVY9 MFU9 MPQ9 MZM9 NJI9 NTE9 ODA9 OMW9 OWS9 PGO9 PQK9 QAG9 QKC9 QTY9 RDU9 RNQ9 RXM9 SHI9 SRE9 TBA9 TKW9 TUS9 UEO9 UOK9 UYG9 VIC9 VRY9 WBU9 WLQ9 WVM9 E65545 JA65545 SW65545 ACS65545 AMO65545 AWK65545 BGG65545 BQC65545 BZY65545 CJU65545 CTQ65545 DDM65545 DNI65545 DXE65545 EHA65545 EQW65545 FAS65545 FKO65545 FUK65545 GEG65545 GOC65545 GXY65545 HHU65545 HRQ65545 IBM65545 ILI65545 IVE65545 JFA65545 JOW65545 JYS65545 KIO65545 KSK65545 LCG65545 LMC65545 LVY65545 MFU65545 MPQ65545 MZM65545 NJI65545 NTE65545 ODA65545 OMW65545 OWS65545 PGO65545 PQK65545 QAG65545 QKC65545 QTY65545 RDU65545 RNQ65545 RXM65545 SHI65545 SRE65545 TBA65545 TKW65545 TUS65545 UEO65545 UOK65545 UYG65545 VIC65545 VRY65545 WBU65545 WLQ65545 WVM65545 E131081 JA131081 SW131081 ACS131081 AMO131081 AWK131081 BGG131081 BQC131081 BZY131081 CJU131081 CTQ131081 DDM131081 DNI131081 DXE131081 EHA131081 EQW131081 FAS131081 FKO131081 FUK131081 GEG131081 GOC131081 GXY131081 HHU131081 HRQ131081 IBM131081 ILI131081 IVE131081 JFA131081 JOW131081 JYS131081 KIO131081 KSK131081 LCG131081 LMC131081 LVY131081 MFU131081 MPQ131081 MZM131081 NJI131081 NTE131081 ODA131081 OMW131081 OWS131081 PGO131081 PQK131081 QAG131081 QKC131081 QTY131081 RDU131081 RNQ131081 RXM131081 SHI131081 SRE131081 TBA131081 TKW131081 TUS131081 UEO131081 UOK131081 UYG131081 VIC131081 VRY131081 WBU131081 WLQ131081 WVM131081 E196617 JA196617 SW196617 ACS196617 AMO196617 AWK196617 BGG196617 BQC196617 BZY196617 CJU196617 CTQ196617 DDM196617 DNI196617 DXE196617 EHA196617 EQW196617 FAS196617 FKO196617 FUK196617 GEG196617 GOC196617 GXY196617 HHU196617 HRQ196617 IBM196617 ILI196617 IVE196617 JFA196617 JOW196617 JYS196617 KIO196617 KSK196617 LCG196617 LMC196617 LVY196617 MFU196617 MPQ196617 MZM196617 NJI196617 NTE196617 ODA196617 OMW196617 OWS196617 PGO196617 PQK196617 QAG196617 QKC196617 QTY196617 RDU196617 RNQ196617 RXM196617 SHI196617 SRE196617 TBA196617 TKW196617 TUS196617 UEO196617 UOK196617 UYG196617 VIC196617 VRY196617 WBU196617 WLQ196617 WVM196617 E262153 JA262153 SW262153 ACS262153 AMO262153 AWK262153 BGG262153 BQC262153 BZY262153 CJU262153 CTQ262153 DDM262153 DNI262153 DXE262153 EHA262153 EQW262153 FAS262153 FKO262153 FUK262153 GEG262153 GOC262153 GXY262153 HHU262153 HRQ262153 IBM262153 ILI262153 IVE262153 JFA262153 JOW262153 JYS262153 KIO262153 KSK262153 LCG262153 LMC262153 LVY262153 MFU262153 MPQ262153 MZM262153 NJI262153 NTE262153 ODA262153 OMW262153 OWS262153 PGO262153 PQK262153 QAG262153 QKC262153 QTY262153 RDU262153 RNQ262153 RXM262153 SHI262153 SRE262153 TBA262153 TKW262153 TUS262153 UEO262153 UOK262153 UYG262153 VIC262153 VRY262153 WBU262153 WLQ262153 WVM262153 E327689 JA327689 SW327689 ACS327689 AMO327689 AWK327689 BGG327689 BQC327689 BZY327689 CJU327689 CTQ327689 DDM327689 DNI327689 DXE327689 EHA327689 EQW327689 FAS327689 FKO327689 FUK327689 GEG327689 GOC327689 GXY327689 HHU327689 HRQ327689 IBM327689 ILI327689 IVE327689 JFA327689 JOW327689 JYS327689 KIO327689 KSK327689 LCG327689 LMC327689 LVY327689 MFU327689 MPQ327689 MZM327689 NJI327689 NTE327689 ODA327689 OMW327689 OWS327689 PGO327689 PQK327689 QAG327689 QKC327689 QTY327689 RDU327689 RNQ327689 RXM327689 SHI327689 SRE327689 TBA327689 TKW327689 TUS327689 UEO327689 UOK327689 UYG327689 VIC327689 VRY327689 WBU327689 WLQ327689 WVM327689 E393225 JA393225 SW393225 ACS393225 AMO393225 AWK393225 BGG393225 BQC393225 BZY393225 CJU393225 CTQ393225 DDM393225 DNI393225 DXE393225 EHA393225 EQW393225 FAS393225 FKO393225 FUK393225 GEG393225 GOC393225 GXY393225 HHU393225 HRQ393225 IBM393225 ILI393225 IVE393225 JFA393225 JOW393225 JYS393225 KIO393225 KSK393225 LCG393225 LMC393225 LVY393225 MFU393225 MPQ393225 MZM393225 NJI393225 NTE393225 ODA393225 OMW393225 OWS393225 PGO393225 PQK393225 QAG393225 QKC393225 QTY393225 RDU393225 RNQ393225 RXM393225 SHI393225 SRE393225 TBA393225 TKW393225 TUS393225 UEO393225 UOK393225 UYG393225 VIC393225 VRY393225 WBU393225 WLQ393225 WVM393225 E458761 JA458761 SW458761 ACS458761 AMO458761 AWK458761 BGG458761 BQC458761 BZY458761 CJU458761 CTQ458761 DDM458761 DNI458761 DXE458761 EHA458761 EQW458761 FAS458761 FKO458761 FUK458761 GEG458761 GOC458761 GXY458761 HHU458761 HRQ458761 IBM458761 ILI458761 IVE458761 JFA458761 JOW458761 JYS458761 KIO458761 KSK458761 LCG458761 LMC458761 LVY458761 MFU458761 MPQ458761 MZM458761 NJI458761 NTE458761 ODA458761 OMW458761 OWS458761 PGO458761 PQK458761 QAG458761 QKC458761 QTY458761 RDU458761 RNQ458761 RXM458761 SHI458761 SRE458761 TBA458761 TKW458761 TUS458761 UEO458761 UOK458761 UYG458761 VIC458761 VRY458761 WBU458761 WLQ458761 WVM458761 E524297 JA524297 SW524297 ACS524297 AMO524297 AWK524297 BGG524297 BQC524297 BZY524297 CJU524297 CTQ524297 DDM524297 DNI524297 DXE524297 EHA524297 EQW524297 FAS524297 FKO524297 FUK524297 GEG524297 GOC524297 GXY524297 HHU524297 HRQ524297 IBM524297 ILI524297 IVE524297 JFA524297 JOW524297 JYS524297 KIO524297 KSK524297 LCG524297 LMC524297 LVY524297 MFU524297 MPQ524297 MZM524297 NJI524297 NTE524297 ODA524297 OMW524297 OWS524297 PGO524297 PQK524297 QAG524297 QKC524297 QTY524297 RDU524297 RNQ524297 RXM524297 SHI524297 SRE524297 TBA524297 TKW524297 TUS524297 UEO524297 UOK524297 UYG524297 VIC524297 VRY524297 WBU524297 WLQ524297 WVM524297 E589833 JA589833 SW589833 ACS589833 AMO589833 AWK589833 BGG589833 BQC589833 BZY589833 CJU589833 CTQ589833 DDM589833 DNI589833 DXE589833 EHA589833 EQW589833 FAS589833 FKO589833 FUK589833 GEG589833 GOC589833 GXY589833 HHU589833 HRQ589833 IBM589833 ILI589833 IVE589833 JFA589833 JOW589833 JYS589833 KIO589833 KSK589833 LCG589833 LMC589833 LVY589833 MFU589833 MPQ589833 MZM589833 NJI589833 NTE589833 ODA589833 OMW589833 OWS589833 PGO589833 PQK589833 QAG589833 QKC589833 QTY589833 RDU589833 RNQ589833 RXM589833 SHI589833 SRE589833 TBA589833 TKW589833 TUS589833 UEO589833 UOK589833 UYG589833 VIC589833 VRY589833 WBU589833 WLQ589833 WVM589833 E655369 JA655369 SW655369 ACS655369 AMO655369 AWK655369 BGG655369 BQC655369 BZY655369 CJU655369 CTQ655369 DDM655369 DNI655369 DXE655369 EHA655369 EQW655369 FAS655369 FKO655369 FUK655369 GEG655369 GOC655369 GXY655369 HHU655369 HRQ655369 IBM655369 ILI655369 IVE655369 JFA655369 JOW655369 JYS655369 KIO655369 KSK655369 LCG655369 LMC655369 LVY655369 MFU655369 MPQ655369 MZM655369 NJI655369 NTE655369 ODA655369 OMW655369 OWS655369 PGO655369 PQK655369 QAG655369 QKC655369 QTY655369 RDU655369 RNQ655369 RXM655369 SHI655369 SRE655369 TBA655369 TKW655369 TUS655369 UEO655369 UOK655369 UYG655369 VIC655369 VRY655369 WBU655369 WLQ655369 WVM655369 E720905 JA720905 SW720905 ACS720905 AMO720905 AWK720905 BGG720905 BQC720905 BZY720905 CJU720905 CTQ720905 DDM720905 DNI720905 DXE720905 EHA720905 EQW720905 FAS720905 FKO720905 FUK720905 GEG720905 GOC720905 GXY720905 HHU720905 HRQ720905 IBM720905 ILI720905 IVE720905 JFA720905 JOW720905 JYS720905 KIO720905 KSK720905 LCG720905 LMC720905 LVY720905 MFU720905 MPQ720905 MZM720905 NJI720905 NTE720905 ODA720905 OMW720905 OWS720905 PGO720905 PQK720905 QAG720905 QKC720905 QTY720905 RDU720905 RNQ720905 RXM720905 SHI720905 SRE720905 TBA720905 TKW720905 TUS720905 UEO720905 UOK720905 UYG720905 VIC720905 VRY720905 WBU720905 WLQ720905 WVM720905 E786441 JA786441 SW786441 ACS786441 AMO786441 AWK786441 BGG786441 BQC786441 BZY786441 CJU786441 CTQ786441 DDM786441 DNI786441 DXE786441 EHA786441 EQW786441 FAS786441 FKO786441 FUK786441 GEG786441 GOC786441 GXY786441 HHU786441 HRQ786441 IBM786441 ILI786441 IVE786441 JFA786441 JOW786441 JYS786441 KIO786441 KSK786441 LCG786441 LMC786441 LVY786441 MFU786441 MPQ786441 MZM786441 NJI786441 NTE786441 ODA786441 OMW786441 OWS786441 PGO786441 PQK786441 QAG786441 QKC786441 QTY786441 RDU786441 RNQ786441 RXM786441 SHI786441 SRE786441 TBA786441 TKW786441 TUS786441 UEO786441 UOK786441 UYG786441 VIC786441 VRY786441 WBU786441 WLQ786441 WVM786441 E851977 JA851977 SW851977 ACS851977 AMO851977 AWK851977 BGG851977 BQC851977 BZY851977 CJU851977 CTQ851977 DDM851977 DNI851977 DXE851977 EHA851977 EQW851977 FAS851977 FKO851977 FUK851977 GEG851977 GOC851977 GXY851977 HHU851977 HRQ851977 IBM851977 ILI851977 IVE851977 JFA851977 JOW851977 JYS851977 KIO851977 KSK851977 LCG851977 LMC851977 LVY851977 MFU851977 MPQ851977 MZM851977 NJI851977 NTE851977 ODA851977 OMW851977 OWS851977 PGO851977 PQK851977 QAG851977 QKC851977 QTY851977 RDU851977 RNQ851977 RXM851977 SHI851977 SRE851977 TBA851977 TKW851977 TUS851977 UEO851977 UOK851977 UYG851977 VIC851977 VRY851977 WBU851977 WLQ851977 WVM851977 E917513 JA917513 SW917513 ACS917513 AMO917513 AWK917513 BGG917513 BQC917513 BZY917513 CJU917513 CTQ917513 DDM917513 DNI917513 DXE917513 EHA917513 EQW917513 FAS917513 FKO917513 FUK917513 GEG917513 GOC917513 GXY917513 HHU917513 HRQ917513 IBM917513 ILI917513 IVE917513 JFA917513 JOW917513 JYS917513 KIO917513 KSK917513 LCG917513 LMC917513 LVY917513 MFU917513 MPQ917513 MZM917513 NJI917513 NTE917513 ODA917513 OMW917513 OWS917513 PGO917513 PQK917513 QAG917513 QKC917513 QTY917513 RDU917513 RNQ917513 RXM917513 SHI917513 SRE917513 TBA917513 TKW917513 TUS917513 UEO917513 UOK917513 UYG917513 VIC917513 VRY917513 WBU917513 WLQ917513 WVM917513 E983049 JA983049 SW983049 ACS983049 AMO983049 AWK983049 BGG983049 BQC983049 BZY983049 CJU983049 CTQ983049 DDM983049 DNI983049 DXE983049 EHA983049 EQW983049 FAS983049 FKO983049 FUK983049 GEG983049 GOC983049 GXY983049 HHU983049 HRQ983049 IBM983049 ILI983049 IVE983049 JFA983049 JOW983049 JYS983049 KIO983049 KSK983049 LCG983049 LMC983049 LVY983049 MFU983049 MPQ983049 MZM983049 NJI983049 NTE983049 ODA983049 OMW983049 OWS983049 PGO983049 PQK983049 QAG983049 QKC983049 QTY983049 RDU983049 RNQ983049 RXM983049 SHI983049 SRE983049 TBA983049 TKW983049 TUS983049 UEO983049 UOK983049 UYG983049 VIC983049 VRY983049 WBU983049 WLQ983049">
      <formula1>"○,×"</formula1>
    </dataValidation>
    <dataValidation type="list" allowBlank="1" showInputMessage="1" showErrorMessage="1" sqref="WVO983049:WVT983049 JC9:JH9 SY9:TD9 ACU9:ACZ9 AMQ9:AMV9 AWM9:AWR9 BGI9:BGN9 BQE9:BQJ9 CAA9:CAF9 CJW9:CKB9 CTS9:CTX9 DDO9:DDT9 DNK9:DNP9 DXG9:DXL9 EHC9:EHH9 EQY9:ERD9 FAU9:FAZ9 FKQ9:FKV9 FUM9:FUR9 GEI9:GEN9 GOE9:GOJ9 GYA9:GYF9 HHW9:HIB9 HRS9:HRX9 IBO9:IBT9 ILK9:ILP9 IVG9:IVL9 JFC9:JFH9 JOY9:JPD9 JYU9:JYZ9 KIQ9:KIV9 KSM9:KSR9 LCI9:LCN9 LME9:LMJ9 LWA9:LWF9 MFW9:MGB9 MPS9:MPX9 MZO9:MZT9 NJK9:NJP9 NTG9:NTL9 ODC9:ODH9 OMY9:OND9 OWU9:OWZ9 PGQ9:PGV9 PQM9:PQR9 QAI9:QAN9 QKE9:QKJ9 QUA9:QUF9 RDW9:REB9 RNS9:RNX9 RXO9:RXT9 SHK9:SHP9 SRG9:SRL9 TBC9:TBH9 TKY9:TLD9 TUU9:TUZ9 UEQ9:UEV9 UOM9:UOR9 UYI9:UYN9 VIE9:VIJ9 VSA9:VSF9 WBW9:WCB9 WLS9:WLX9 WVO9:WVT9 G65545:L65545 JC65545:JH65545 SY65545:TD65545 ACU65545:ACZ65545 AMQ65545:AMV65545 AWM65545:AWR65545 BGI65545:BGN65545 BQE65545:BQJ65545 CAA65545:CAF65545 CJW65545:CKB65545 CTS65545:CTX65545 DDO65545:DDT65545 DNK65545:DNP65545 DXG65545:DXL65545 EHC65545:EHH65545 EQY65545:ERD65545 FAU65545:FAZ65545 FKQ65545:FKV65545 FUM65545:FUR65545 GEI65545:GEN65545 GOE65545:GOJ65545 GYA65545:GYF65545 HHW65545:HIB65545 HRS65545:HRX65545 IBO65545:IBT65545 ILK65545:ILP65545 IVG65545:IVL65545 JFC65545:JFH65545 JOY65545:JPD65545 JYU65545:JYZ65545 KIQ65545:KIV65545 KSM65545:KSR65545 LCI65545:LCN65545 LME65545:LMJ65545 LWA65545:LWF65545 MFW65545:MGB65545 MPS65545:MPX65545 MZO65545:MZT65545 NJK65545:NJP65545 NTG65545:NTL65545 ODC65545:ODH65545 OMY65545:OND65545 OWU65545:OWZ65545 PGQ65545:PGV65545 PQM65545:PQR65545 QAI65545:QAN65545 QKE65545:QKJ65545 QUA65545:QUF65545 RDW65545:REB65545 RNS65545:RNX65545 RXO65545:RXT65545 SHK65545:SHP65545 SRG65545:SRL65545 TBC65545:TBH65545 TKY65545:TLD65545 TUU65545:TUZ65545 UEQ65545:UEV65545 UOM65545:UOR65545 UYI65545:UYN65545 VIE65545:VIJ65545 VSA65545:VSF65545 WBW65545:WCB65545 WLS65545:WLX65545 WVO65545:WVT65545 G131081:L131081 JC131081:JH131081 SY131081:TD131081 ACU131081:ACZ131081 AMQ131081:AMV131081 AWM131081:AWR131081 BGI131081:BGN131081 BQE131081:BQJ131081 CAA131081:CAF131081 CJW131081:CKB131081 CTS131081:CTX131081 DDO131081:DDT131081 DNK131081:DNP131081 DXG131081:DXL131081 EHC131081:EHH131081 EQY131081:ERD131081 FAU131081:FAZ131081 FKQ131081:FKV131081 FUM131081:FUR131081 GEI131081:GEN131081 GOE131081:GOJ131081 GYA131081:GYF131081 HHW131081:HIB131081 HRS131081:HRX131081 IBO131081:IBT131081 ILK131081:ILP131081 IVG131081:IVL131081 JFC131081:JFH131081 JOY131081:JPD131081 JYU131081:JYZ131081 KIQ131081:KIV131081 KSM131081:KSR131081 LCI131081:LCN131081 LME131081:LMJ131081 LWA131081:LWF131081 MFW131081:MGB131081 MPS131081:MPX131081 MZO131081:MZT131081 NJK131081:NJP131081 NTG131081:NTL131081 ODC131081:ODH131081 OMY131081:OND131081 OWU131081:OWZ131081 PGQ131081:PGV131081 PQM131081:PQR131081 QAI131081:QAN131081 QKE131081:QKJ131081 QUA131081:QUF131081 RDW131081:REB131081 RNS131081:RNX131081 RXO131081:RXT131081 SHK131081:SHP131081 SRG131081:SRL131081 TBC131081:TBH131081 TKY131081:TLD131081 TUU131081:TUZ131081 UEQ131081:UEV131081 UOM131081:UOR131081 UYI131081:UYN131081 VIE131081:VIJ131081 VSA131081:VSF131081 WBW131081:WCB131081 WLS131081:WLX131081 WVO131081:WVT131081 G196617:L196617 JC196617:JH196617 SY196617:TD196617 ACU196617:ACZ196617 AMQ196617:AMV196617 AWM196617:AWR196617 BGI196617:BGN196617 BQE196617:BQJ196617 CAA196617:CAF196617 CJW196617:CKB196617 CTS196617:CTX196617 DDO196617:DDT196617 DNK196617:DNP196617 DXG196617:DXL196617 EHC196617:EHH196617 EQY196617:ERD196617 FAU196617:FAZ196617 FKQ196617:FKV196617 FUM196617:FUR196617 GEI196617:GEN196617 GOE196617:GOJ196617 GYA196617:GYF196617 HHW196617:HIB196617 HRS196617:HRX196617 IBO196617:IBT196617 ILK196617:ILP196617 IVG196617:IVL196617 JFC196617:JFH196617 JOY196617:JPD196617 JYU196617:JYZ196617 KIQ196617:KIV196617 KSM196617:KSR196617 LCI196617:LCN196617 LME196617:LMJ196617 LWA196617:LWF196617 MFW196617:MGB196617 MPS196617:MPX196617 MZO196617:MZT196617 NJK196617:NJP196617 NTG196617:NTL196617 ODC196617:ODH196617 OMY196617:OND196617 OWU196617:OWZ196617 PGQ196617:PGV196617 PQM196617:PQR196617 QAI196617:QAN196617 QKE196617:QKJ196617 QUA196617:QUF196617 RDW196617:REB196617 RNS196617:RNX196617 RXO196617:RXT196617 SHK196617:SHP196617 SRG196617:SRL196617 TBC196617:TBH196617 TKY196617:TLD196617 TUU196617:TUZ196617 UEQ196617:UEV196617 UOM196617:UOR196617 UYI196617:UYN196617 VIE196617:VIJ196617 VSA196617:VSF196617 WBW196617:WCB196617 WLS196617:WLX196617 WVO196617:WVT196617 G262153:L262153 JC262153:JH262153 SY262153:TD262153 ACU262153:ACZ262153 AMQ262153:AMV262153 AWM262153:AWR262153 BGI262153:BGN262153 BQE262153:BQJ262153 CAA262153:CAF262153 CJW262153:CKB262153 CTS262153:CTX262153 DDO262153:DDT262153 DNK262153:DNP262153 DXG262153:DXL262153 EHC262153:EHH262153 EQY262153:ERD262153 FAU262153:FAZ262153 FKQ262153:FKV262153 FUM262153:FUR262153 GEI262153:GEN262153 GOE262153:GOJ262153 GYA262153:GYF262153 HHW262153:HIB262153 HRS262153:HRX262153 IBO262153:IBT262153 ILK262153:ILP262153 IVG262153:IVL262153 JFC262153:JFH262153 JOY262153:JPD262153 JYU262153:JYZ262153 KIQ262153:KIV262153 KSM262153:KSR262153 LCI262153:LCN262153 LME262153:LMJ262153 LWA262153:LWF262153 MFW262153:MGB262153 MPS262153:MPX262153 MZO262153:MZT262153 NJK262153:NJP262153 NTG262153:NTL262153 ODC262153:ODH262153 OMY262153:OND262153 OWU262153:OWZ262153 PGQ262153:PGV262153 PQM262153:PQR262153 QAI262153:QAN262153 QKE262153:QKJ262153 QUA262153:QUF262153 RDW262153:REB262153 RNS262153:RNX262153 RXO262153:RXT262153 SHK262153:SHP262153 SRG262153:SRL262153 TBC262153:TBH262153 TKY262153:TLD262153 TUU262153:TUZ262153 UEQ262153:UEV262153 UOM262153:UOR262153 UYI262153:UYN262153 VIE262153:VIJ262153 VSA262153:VSF262153 WBW262153:WCB262153 WLS262153:WLX262153 WVO262153:WVT262153 G327689:L327689 JC327689:JH327689 SY327689:TD327689 ACU327689:ACZ327689 AMQ327689:AMV327689 AWM327689:AWR327689 BGI327689:BGN327689 BQE327689:BQJ327689 CAA327689:CAF327689 CJW327689:CKB327689 CTS327689:CTX327689 DDO327689:DDT327689 DNK327689:DNP327689 DXG327689:DXL327689 EHC327689:EHH327689 EQY327689:ERD327689 FAU327689:FAZ327689 FKQ327689:FKV327689 FUM327689:FUR327689 GEI327689:GEN327689 GOE327689:GOJ327689 GYA327689:GYF327689 HHW327689:HIB327689 HRS327689:HRX327689 IBO327689:IBT327689 ILK327689:ILP327689 IVG327689:IVL327689 JFC327689:JFH327689 JOY327689:JPD327689 JYU327689:JYZ327689 KIQ327689:KIV327689 KSM327689:KSR327689 LCI327689:LCN327689 LME327689:LMJ327689 LWA327689:LWF327689 MFW327689:MGB327689 MPS327689:MPX327689 MZO327689:MZT327689 NJK327689:NJP327689 NTG327689:NTL327689 ODC327689:ODH327689 OMY327689:OND327689 OWU327689:OWZ327689 PGQ327689:PGV327689 PQM327689:PQR327689 QAI327689:QAN327689 QKE327689:QKJ327689 QUA327689:QUF327689 RDW327689:REB327689 RNS327689:RNX327689 RXO327689:RXT327689 SHK327689:SHP327689 SRG327689:SRL327689 TBC327689:TBH327689 TKY327689:TLD327689 TUU327689:TUZ327689 UEQ327689:UEV327689 UOM327689:UOR327689 UYI327689:UYN327689 VIE327689:VIJ327689 VSA327689:VSF327689 WBW327689:WCB327689 WLS327689:WLX327689 WVO327689:WVT327689 G393225:L393225 JC393225:JH393225 SY393225:TD393225 ACU393225:ACZ393225 AMQ393225:AMV393225 AWM393225:AWR393225 BGI393225:BGN393225 BQE393225:BQJ393225 CAA393225:CAF393225 CJW393225:CKB393225 CTS393225:CTX393225 DDO393225:DDT393225 DNK393225:DNP393225 DXG393225:DXL393225 EHC393225:EHH393225 EQY393225:ERD393225 FAU393225:FAZ393225 FKQ393225:FKV393225 FUM393225:FUR393225 GEI393225:GEN393225 GOE393225:GOJ393225 GYA393225:GYF393225 HHW393225:HIB393225 HRS393225:HRX393225 IBO393225:IBT393225 ILK393225:ILP393225 IVG393225:IVL393225 JFC393225:JFH393225 JOY393225:JPD393225 JYU393225:JYZ393225 KIQ393225:KIV393225 KSM393225:KSR393225 LCI393225:LCN393225 LME393225:LMJ393225 LWA393225:LWF393225 MFW393225:MGB393225 MPS393225:MPX393225 MZO393225:MZT393225 NJK393225:NJP393225 NTG393225:NTL393225 ODC393225:ODH393225 OMY393225:OND393225 OWU393225:OWZ393225 PGQ393225:PGV393225 PQM393225:PQR393225 QAI393225:QAN393225 QKE393225:QKJ393225 QUA393225:QUF393225 RDW393225:REB393225 RNS393225:RNX393225 RXO393225:RXT393225 SHK393225:SHP393225 SRG393225:SRL393225 TBC393225:TBH393225 TKY393225:TLD393225 TUU393225:TUZ393225 UEQ393225:UEV393225 UOM393225:UOR393225 UYI393225:UYN393225 VIE393225:VIJ393225 VSA393225:VSF393225 WBW393225:WCB393225 WLS393225:WLX393225 WVO393225:WVT393225 G458761:L458761 JC458761:JH458761 SY458761:TD458761 ACU458761:ACZ458761 AMQ458761:AMV458761 AWM458761:AWR458761 BGI458761:BGN458761 BQE458761:BQJ458761 CAA458761:CAF458761 CJW458761:CKB458761 CTS458761:CTX458761 DDO458761:DDT458761 DNK458761:DNP458761 DXG458761:DXL458761 EHC458761:EHH458761 EQY458761:ERD458761 FAU458761:FAZ458761 FKQ458761:FKV458761 FUM458761:FUR458761 GEI458761:GEN458761 GOE458761:GOJ458761 GYA458761:GYF458761 HHW458761:HIB458761 HRS458761:HRX458761 IBO458761:IBT458761 ILK458761:ILP458761 IVG458761:IVL458761 JFC458761:JFH458761 JOY458761:JPD458761 JYU458761:JYZ458761 KIQ458761:KIV458761 KSM458761:KSR458761 LCI458761:LCN458761 LME458761:LMJ458761 LWA458761:LWF458761 MFW458761:MGB458761 MPS458761:MPX458761 MZO458761:MZT458761 NJK458761:NJP458761 NTG458761:NTL458761 ODC458761:ODH458761 OMY458761:OND458761 OWU458761:OWZ458761 PGQ458761:PGV458761 PQM458761:PQR458761 QAI458761:QAN458761 QKE458761:QKJ458761 QUA458761:QUF458761 RDW458761:REB458761 RNS458761:RNX458761 RXO458761:RXT458761 SHK458761:SHP458761 SRG458761:SRL458761 TBC458761:TBH458761 TKY458761:TLD458761 TUU458761:TUZ458761 UEQ458761:UEV458761 UOM458761:UOR458761 UYI458761:UYN458761 VIE458761:VIJ458761 VSA458761:VSF458761 WBW458761:WCB458761 WLS458761:WLX458761 WVO458761:WVT458761 G524297:L524297 JC524297:JH524297 SY524297:TD524297 ACU524297:ACZ524297 AMQ524297:AMV524297 AWM524297:AWR524297 BGI524297:BGN524297 BQE524297:BQJ524297 CAA524297:CAF524297 CJW524297:CKB524297 CTS524297:CTX524297 DDO524297:DDT524297 DNK524297:DNP524297 DXG524297:DXL524297 EHC524297:EHH524297 EQY524297:ERD524297 FAU524297:FAZ524297 FKQ524297:FKV524297 FUM524297:FUR524297 GEI524297:GEN524297 GOE524297:GOJ524297 GYA524297:GYF524297 HHW524297:HIB524297 HRS524297:HRX524297 IBO524297:IBT524297 ILK524297:ILP524297 IVG524297:IVL524297 JFC524297:JFH524297 JOY524297:JPD524297 JYU524297:JYZ524297 KIQ524297:KIV524297 KSM524297:KSR524297 LCI524297:LCN524297 LME524297:LMJ524297 LWA524297:LWF524297 MFW524297:MGB524297 MPS524297:MPX524297 MZO524297:MZT524297 NJK524297:NJP524297 NTG524297:NTL524297 ODC524297:ODH524297 OMY524297:OND524297 OWU524297:OWZ524297 PGQ524297:PGV524297 PQM524297:PQR524297 QAI524297:QAN524297 QKE524297:QKJ524297 QUA524297:QUF524297 RDW524297:REB524297 RNS524297:RNX524297 RXO524297:RXT524297 SHK524297:SHP524297 SRG524297:SRL524297 TBC524297:TBH524297 TKY524297:TLD524297 TUU524297:TUZ524297 UEQ524297:UEV524297 UOM524297:UOR524297 UYI524297:UYN524297 VIE524297:VIJ524297 VSA524297:VSF524297 WBW524297:WCB524297 WLS524297:WLX524297 WVO524297:WVT524297 G589833:L589833 JC589833:JH589833 SY589833:TD589833 ACU589833:ACZ589833 AMQ589833:AMV589833 AWM589833:AWR589833 BGI589833:BGN589833 BQE589833:BQJ589833 CAA589833:CAF589833 CJW589833:CKB589833 CTS589833:CTX589833 DDO589833:DDT589833 DNK589833:DNP589833 DXG589833:DXL589833 EHC589833:EHH589833 EQY589833:ERD589833 FAU589833:FAZ589833 FKQ589833:FKV589833 FUM589833:FUR589833 GEI589833:GEN589833 GOE589833:GOJ589833 GYA589833:GYF589833 HHW589833:HIB589833 HRS589833:HRX589833 IBO589833:IBT589833 ILK589833:ILP589833 IVG589833:IVL589833 JFC589833:JFH589833 JOY589833:JPD589833 JYU589833:JYZ589833 KIQ589833:KIV589833 KSM589833:KSR589833 LCI589833:LCN589833 LME589833:LMJ589833 LWA589833:LWF589833 MFW589833:MGB589833 MPS589833:MPX589833 MZO589833:MZT589833 NJK589833:NJP589833 NTG589833:NTL589833 ODC589833:ODH589833 OMY589833:OND589833 OWU589833:OWZ589833 PGQ589833:PGV589833 PQM589833:PQR589833 QAI589833:QAN589833 QKE589833:QKJ589833 QUA589833:QUF589833 RDW589833:REB589833 RNS589833:RNX589833 RXO589833:RXT589833 SHK589833:SHP589833 SRG589833:SRL589833 TBC589833:TBH589833 TKY589833:TLD589833 TUU589833:TUZ589833 UEQ589833:UEV589833 UOM589833:UOR589833 UYI589833:UYN589833 VIE589833:VIJ589833 VSA589833:VSF589833 WBW589833:WCB589833 WLS589833:WLX589833 WVO589833:WVT589833 G655369:L655369 JC655369:JH655369 SY655369:TD655369 ACU655369:ACZ655369 AMQ655369:AMV655369 AWM655369:AWR655369 BGI655369:BGN655369 BQE655369:BQJ655369 CAA655369:CAF655369 CJW655369:CKB655369 CTS655369:CTX655369 DDO655369:DDT655369 DNK655369:DNP655369 DXG655369:DXL655369 EHC655369:EHH655369 EQY655369:ERD655369 FAU655369:FAZ655369 FKQ655369:FKV655369 FUM655369:FUR655369 GEI655369:GEN655369 GOE655369:GOJ655369 GYA655369:GYF655369 HHW655369:HIB655369 HRS655369:HRX655369 IBO655369:IBT655369 ILK655369:ILP655369 IVG655369:IVL655369 JFC655369:JFH655369 JOY655369:JPD655369 JYU655369:JYZ655369 KIQ655369:KIV655369 KSM655369:KSR655369 LCI655369:LCN655369 LME655369:LMJ655369 LWA655369:LWF655369 MFW655369:MGB655369 MPS655369:MPX655369 MZO655369:MZT655369 NJK655369:NJP655369 NTG655369:NTL655369 ODC655369:ODH655369 OMY655369:OND655369 OWU655369:OWZ655369 PGQ655369:PGV655369 PQM655369:PQR655369 QAI655369:QAN655369 QKE655369:QKJ655369 QUA655369:QUF655369 RDW655369:REB655369 RNS655369:RNX655369 RXO655369:RXT655369 SHK655369:SHP655369 SRG655369:SRL655369 TBC655369:TBH655369 TKY655369:TLD655369 TUU655369:TUZ655369 UEQ655369:UEV655369 UOM655369:UOR655369 UYI655369:UYN655369 VIE655369:VIJ655369 VSA655369:VSF655369 WBW655369:WCB655369 WLS655369:WLX655369 WVO655369:WVT655369 G720905:L720905 JC720905:JH720905 SY720905:TD720905 ACU720905:ACZ720905 AMQ720905:AMV720905 AWM720905:AWR720905 BGI720905:BGN720905 BQE720905:BQJ720905 CAA720905:CAF720905 CJW720905:CKB720905 CTS720905:CTX720905 DDO720905:DDT720905 DNK720905:DNP720905 DXG720905:DXL720905 EHC720905:EHH720905 EQY720905:ERD720905 FAU720905:FAZ720905 FKQ720905:FKV720905 FUM720905:FUR720905 GEI720905:GEN720905 GOE720905:GOJ720905 GYA720905:GYF720905 HHW720905:HIB720905 HRS720905:HRX720905 IBO720905:IBT720905 ILK720905:ILP720905 IVG720905:IVL720905 JFC720905:JFH720905 JOY720905:JPD720905 JYU720905:JYZ720905 KIQ720905:KIV720905 KSM720905:KSR720905 LCI720905:LCN720905 LME720905:LMJ720905 LWA720905:LWF720905 MFW720905:MGB720905 MPS720905:MPX720905 MZO720905:MZT720905 NJK720905:NJP720905 NTG720905:NTL720905 ODC720905:ODH720905 OMY720905:OND720905 OWU720905:OWZ720905 PGQ720905:PGV720905 PQM720905:PQR720905 QAI720905:QAN720905 QKE720905:QKJ720905 QUA720905:QUF720905 RDW720905:REB720905 RNS720905:RNX720905 RXO720905:RXT720905 SHK720905:SHP720905 SRG720905:SRL720905 TBC720905:TBH720905 TKY720905:TLD720905 TUU720905:TUZ720905 UEQ720905:UEV720905 UOM720905:UOR720905 UYI720905:UYN720905 VIE720905:VIJ720905 VSA720905:VSF720905 WBW720905:WCB720905 WLS720905:WLX720905 WVO720905:WVT720905 G786441:L786441 JC786441:JH786441 SY786441:TD786441 ACU786441:ACZ786441 AMQ786441:AMV786441 AWM786441:AWR786441 BGI786441:BGN786441 BQE786441:BQJ786441 CAA786441:CAF786441 CJW786441:CKB786441 CTS786441:CTX786441 DDO786441:DDT786441 DNK786441:DNP786441 DXG786441:DXL786441 EHC786441:EHH786441 EQY786441:ERD786441 FAU786441:FAZ786441 FKQ786441:FKV786441 FUM786441:FUR786441 GEI786441:GEN786441 GOE786441:GOJ786441 GYA786441:GYF786441 HHW786441:HIB786441 HRS786441:HRX786441 IBO786441:IBT786441 ILK786441:ILP786441 IVG786441:IVL786441 JFC786441:JFH786441 JOY786441:JPD786441 JYU786441:JYZ786441 KIQ786441:KIV786441 KSM786441:KSR786441 LCI786441:LCN786441 LME786441:LMJ786441 LWA786441:LWF786441 MFW786441:MGB786441 MPS786441:MPX786441 MZO786441:MZT786441 NJK786441:NJP786441 NTG786441:NTL786441 ODC786441:ODH786441 OMY786441:OND786441 OWU786441:OWZ786441 PGQ786441:PGV786441 PQM786441:PQR786441 QAI786441:QAN786441 QKE786441:QKJ786441 QUA786441:QUF786441 RDW786441:REB786441 RNS786441:RNX786441 RXO786441:RXT786441 SHK786441:SHP786441 SRG786441:SRL786441 TBC786441:TBH786441 TKY786441:TLD786441 TUU786441:TUZ786441 UEQ786441:UEV786441 UOM786441:UOR786441 UYI786441:UYN786441 VIE786441:VIJ786441 VSA786441:VSF786441 WBW786441:WCB786441 WLS786441:WLX786441 WVO786441:WVT786441 G851977:L851977 JC851977:JH851977 SY851977:TD851977 ACU851977:ACZ851977 AMQ851977:AMV851977 AWM851977:AWR851977 BGI851977:BGN851977 BQE851977:BQJ851977 CAA851977:CAF851977 CJW851977:CKB851977 CTS851977:CTX851977 DDO851977:DDT851977 DNK851977:DNP851977 DXG851977:DXL851977 EHC851977:EHH851977 EQY851977:ERD851977 FAU851977:FAZ851977 FKQ851977:FKV851977 FUM851977:FUR851977 GEI851977:GEN851977 GOE851977:GOJ851977 GYA851977:GYF851977 HHW851977:HIB851977 HRS851977:HRX851977 IBO851977:IBT851977 ILK851977:ILP851977 IVG851977:IVL851977 JFC851977:JFH851977 JOY851977:JPD851977 JYU851977:JYZ851977 KIQ851977:KIV851977 KSM851977:KSR851977 LCI851977:LCN851977 LME851977:LMJ851977 LWA851977:LWF851977 MFW851977:MGB851977 MPS851977:MPX851977 MZO851977:MZT851977 NJK851977:NJP851977 NTG851977:NTL851977 ODC851977:ODH851977 OMY851977:OND851977 OWU851977:OWZ851977 PGQ851977:PGV851977 PQM851977:PQR851977 QAI851977:QAN851977 QKE851977:QKJ851977 QUA851977:QUF851977 RDW851977:REB851977 RNS851977:RNX851977 RXO851977:RXT851977 SHK851977:SHP851977 SRG851977:SRL851977 TBC851977:TBH851977 TKY851977:TLD851977 TUU851977:TUZ851977 UEQ851977:UEV851977 UOM851977:UOR851977 UYI851977:UYN851977 VIE851977:VIJ851977 VSA851977:VSF851977 WBW851977:WCB851977 WLS851977:WLX851977 WVO851977:WVT851977 G917513:L917513 JC917513:JH917513 SY917513:TD917513 ACU917513:ACZ917513 AMQ917513:AMV917513 AWM917513:AWR917513 BGI917513:BGN917513 BQE917513:BQJ917513 CAA917513:CAF917513 CJW917513:CKB917513 CTS917513:CTX917513 DDO917513:DDT917513 DNK917513:DNP917513 DXG917513:DXL917513 EHC917513:EHH917513 EQY917513:ERD917513 FAU917513:FAZ917513 FKQ917513:FKV917513 FUM917513:FUR917513 GEI917513:GEN917513 GOE917513:GOJ917513 GYA917513:GYF917513 HHW917513:HIB917513 HRS917513:HRX917513 IBO917513:IBT917513 ILK917513:ILP917513 IVG917513:IVL917513 JFC917513:JFH917513 JOY917513:JPD917513 JYU917513:JYZ917513 KIQ917513:KIV917513 KSM917513:KSR917513 LCI917513:LCN917513 LME917513:LMJ917513 LWA917513:LWF917513 MFW917513:MGB917513 MPS917513:MPX917513 MZO917513:MZT917513 NJK917513:NJP917513 NTG917513:NTL917513 ODC917513:ODH917513 OMY917513:OND917513 OWU917513:OWZ917513 PGQ917513:PGV917513 PQM917513:PQR917513 QAI917513:QAN917513 QKE917513:QKJ917513 QUA917513:QUF917513 RDW917513:REB917513 RNS917513:RNX917513 RXO917513:RXT917513 SHK917513:SHP917513 SRG917513:SRL917513 TBC917513:TBH917513 TKY917513:TLD917513 TUU917513:TUZ917513 UEQ917513:UEV917513 UOM917513:UOR917513 UYI917513:UYN917513 VIE917513:VIJ917513 VSA917513:VSF917513 WBW917513:WCB917513 WLS917513:WLX917513 WVO917513:WVT917513 G983049:L983049 JC983049:JH983049 SY983049:TD983049 ACU983049:ACZ983049 AMQ983049:AMV983049 AWM983049:AWR983049 BGI983049:BGN983049 BQE983049:BQJ983049 CAA983049:CAF983049 CJW983049:CKB983049 CTS983049:CTX983049 DDO983049:DDT983049 DNK983049:DNP983049 DXG983049:DXL983049 EHC983049:EHH983049 EQY983049:ERD983049 FAU983049:FAZ983049 FKQ983049:FKV983049 FUM983049:FUR983049 GEI983049:GEN983049 GOE983049:GOJ983049 GYA983049:GYF983049 HHW983049:HIB983049 HRS983049:HRX983049 IBO983049:IBT983049 ILK983049:ILP983049 IVG983049:IVL983049 JFC983049:JFH983049 JOY983049:JPD983049 JYU983049:JYZ983049 KIQ983049:KIV983049 KSM983049:KSR983049 LCI983049:LCN983049 LME983049:LMJ983049 LWA983049:LWF983049 MFW983049:MGB983049 MPS983049:MPX983049 MZO983049:MZT983049 NJK983049:NJP983049 NTG983049:NTL983049 ODC983049:ODH983049 OMY983049:OND983049 OWU983049:OWZ983049 PGQ983049:PGV983049 PQM983049:PQR983049 QAI983049:QAN983049 QKE983049:QKJ983049 QUA983049:QUF983049 RDW983049:REB983049 RNS983049:RNX983049 RXO983049:RXT983049 SHK983049:SHP983049 SRG983049:SRL983049 TBC983049:TBH983049 TKY983049:TLD983049 TUU983049:TUZ983049 UEQ983049:UEV983049 UOM983049:UOR983049 UYI983049:UYN983049 VIE983049:VIJ983049 VSA983049:VSF983049 WBW983049:WCB983049 WLS983049:WLX983049">
      <formula1>"　　　,有り"</formula1>
    </dataValidation>
  </dataValidations>
  <pageMargins left="0.78700000000000003" right="0.78700000000000003" top="0.98399999999999999" bottom="0.98399999999999999" header="0.51200000000000001" footer="0.51200000000000001"/>
  <pageSetup paperSize="9" scale="64" orientation="landscape" r:id="rId1"/>
  <headerFooter alignWithMargins="0"/>
  <rowBreaks count="3" manualBreakCount="3">
    <brk id="58" max="11" man="1"/>
    <brk id="89" max="11" man="1"/>
    <brk id="135" max="11" man="1"/>
  </rowBreak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M510"/>
  <sheetViews>
    <sheetView view="pageBreakPreview" zoomScaleNormal="100" zoomScaleSheetLayoutView="100" workbookViewId="0"/>
  </sheetViews>
  <sheetFormatPr defaultColWidth="9" defaultRowHeight="13.5" customHeight="1"/>
  <cols>
    <col min="1" max="1" width="2.5" style="845" customWidth="1"/>
    <col min="2" max="2" width="3.5" style="845" customWidth="1"/>
    <col min="3" max="3" width="21.5" style="845" customWidth="1"/>
    <col min="4" max="4" width="4" style="845" customWidth="1"/>
    <col min="5" max="5" width="5.375" style="845" customWidth="1"/>
    <col min="6" max="6" width="15.25" style="845" customWidth="1"/>
    <col min="7" max="14" width="14.25" style="1238" customWidth="1"/>
    <col min="15" max="16384" width="9" style="845"/>
  </cols>
  <sheetData>
    <row r="1" spans="1:39" s="1317" customFormat="1">
      <c r="A1" s="1309"/>
      <c r="B1" s="1309"/>
      <c r="C1" s="1310"/>
      <c r="D1" s="1310"/>
      <c r="E1" s="1810" t="s">
        <v>346</v>
      </c>
      <c r="F1" s="2464"/>
      <c r="G1" s="2464"/>
      <c r="H1" s="2464"/>
      <c r="I1" s="2464"/>
      <c r="J1" s="2464"/>
      <c r="K1" s="2464"/>
      <c r="L1" s="1316"/>
      <c r="M1" s="843">
        <v>20160511</v>
      </c>
      <c r="N1" s="1811" t="s">
        <v>2795</v>
      </c>
    </row>
    <row r="2" spans="1:39" s="1317" customFormat="1" ht="13.5" customHeight="1">
      <c r="A2" s="1309"/>
      <c r="B2" s="1309"/>
      <c r="C2" s="2465" t="s">
        <v>3057</v>
      </c>
      <c r="D2" s="2465"/>
      <c r="E2" s="2465"/>
      <c r="F2" s="1309"/>
      <c r="G2" s="1812">
        <v>1</v>
      </c>
      <c r="H2" s="1314"/>
      <c r="K2" s="1314"/>
      <c r="L2" s="1314"/>
      <c r="M2" s="1309"/>
      <c r="N2" s="1314" t="s">
        <v>3058</v>
      </c>
    </row>
    <row r="3" spans="1:39" s="1317" customFormat="1" ht="12">
      <c r="A3" s="1586"/>
      <c r="B3" s="1587"/>
      <c r="C3" s="1813"/>
      <c r="D3" s="1814"/>
      <c r="E3" s="1815"/>
      <c r="F3" s="1340" t="s">
        <v>2836</v>
      </c>
      <c r="G3" s="1816">
        <f>G87</f>
        <v>0</v>
      </c>
      <c r="H3" s="1816">
        <f t="shared" ref="H3:N3" si="0">H87</f>
        <v>0</v>
      </c>
      <c r="I3" s="1816">
        <f t="shared" si="0"/>
        <v>0</v>
      </c>
      <c r="J3" s="1816">
        <f t="shared" si="0"/>
        <v>0</v>
      </c>
      <c r="K3" s="1816">
        <f t="shared" si="0"/>
        <v>0</v>
      </c>
      <c r="L3" s="1816">
        <f t="shared" si="0"/>
        <v>0</v>
      </c>
      <c r="M3" s="1816">
        <f t="shared" si="0"/>
        <v>0</v>
      </c>
      <c r="N3" s="1816">
        <f t="shared" si="0"/>
        <v>0</v>
      </c>
    </row>
    <row r="4" spans="1:39" s="1317" customFormat="1" ht="13.5" customHeight="1">
      <c r="A4" s="1586"/>
      <c r="B4" s="2466" t="s">
        <v>3059</v>
      </c>
      <c r="C4" s="2466"/>
      <c r="D4" s="2466"/>
      <c r="E4" s="1815"/>
      <c r="F4" s="1817">
        <f>SUM(G4:N4)</f>
        <v>0</v>
      </c>
      <c r="G4" s="1818">
        <f>G81</f>
        <v>0</v>
      </c>
      <c r="H4" s="1819">
        <f t="shared" ref="H4:N4" si="1">H81</f>
        <v>0</v>
      </c>
      <c r="I4" s="1819">
        <f t="shared" si="1"/>
        <v>0</v>
      </c>
      <c r="J4" s="1819">
        <f t="shared" si="1"/>
        <v>0</v>
      </c>
      <c r="K4" s="1819">
        <f t="shared" si="1"/>
        <v>0</v>
      </c>
      <c r="L4" s="1819">
        <f t="shared" si="1"/>
        <v>0</v>
      </c>
      <c r="M4" s="1817">
        <f t="shared" si="1"/>
        <v>0</v>
      </c>
      <c r="N4" s="1820">
        <f t="shared" si="1"/>
        <v>0</v>
      </c>
    </row>
    <row r="5" spans="1:39" s="1317" customFormat="1" ht="13.5" customHeight="1">
      <c r="A5" s="1721"/>
      <c r="B5" s="2467" t="s">
        <v>3060</v>
      </c>
      <c r="C5" s="2467"/>
      <c r="D5" s="2467"/>
      <c r="E5" s="1821"/>
      <c r="F5" s="1822" t="e">
        <f>SUM(G5:N5)</f>
        <v>#DIV/0!</v>
      </c>
      <c r="G5" s="1823" t="e">
        <f>G65+G74</f>
        <v>#DIV/0!</v>
      </c>
      <c r="H5" s="1823" t="e">
        <f t="shared" ref="H5:N5" si="2">H65+H74</f>
        <v>#DIV/0!</v>
      </c>
      <c r="I5" s="1823" t="e">
        <f t="shared" si="2"/>
        <v>#DIV/0!</v>
      </c>
      <c r="J5" s="1823" t="e">
        <f t="shared" si="2"/>
        <v>#DIV/0!</v>
      </c>
      <c r="K5" s="1823" t="e">
        <f t="shared" si="2"/>
        <v>#DIV/0!</v>
      </c>
      <c r="L5" s="1823" t="e">
        <f t="shared" si="2"/>
        <v>#DIV/0!</v>
      </c>
      <c r="M5" s="1823" t="e">
        <f t="shared" si="2"/>
        <v>#DIV/0!</v>
      </c>
      <c r="N5" s="1824" t="e">
        <f t="shared" si="2"/>
        <v>#DIV/0!</v>
      </c>
    </row>
    <row r="6" spans="1:39" s="1317" customFormat="1" ht="13.5" customHeight="1">
      <c r="A6" s="1825"/>
      <c r="B6" s="2468" t="s">
        <v>347</v>
      </c>
      <c r="C6" s="2468"/>
      <c r="D6" s="2468"/>
      <c r="E6" s="1826"/>
      <c r="F6" s="1827" t="e">
        <f>SUM(G6:N6)</f>
        <v>#DIV/0!</v>
      </c>
      <c r="G6" s="1828" t="e">
        <f t="shared" ref="G6:N6" si="3">SUM(G3:G5)</f>
        <v>#DIV/0!</v>
      </c>
      <c r="H6" s="1828" t="e">
        <f t="shared" si="3"/>
        <v>#DIV/0!</v>
      </c>
      <c r="I6" s="1828" t="e">
        <f t="shared" si="3"/>
        <v>#DIV/0!</v>
      </c>
      <c r="J6" s="1828" t="e">
        <f t="shared" si="3"/>
        <v>#DIV/0!</v>
      </c>
      <c r="K6" s="1828" t="e">
        <f t="shared" si="3"/>
        <v>#DIV/0!</v>
      </c>
      <c r="L6" s="1828" t="e">
        <f t="shared" si="3"/>
        <v>#DIV/0!</v>
      </c>
      <c r="M6" s="1828" t="e">
        <f t="shared" si="3"/>
        <v>#DIV/0!</v>
      </c>
      <c r="N6" s="1829" t="e">
        <f t="shared" si="3"/>
        <v>#DIV/0!</v>
      </c>
    </row>
    <row r="7" spans="1:39" s="1317" customFormat="1">
      <c r="A7" s="1721"/>
      <c r="B7" s="1309"/>
      <c r="C7" s="1830"/>
      <c r="D7" s="1831"/>
      <c r="E7" s="1832"/>
      <c r="F7" s="1310"/>
      <c r="G7" s="1833" t="s">
        <v>3061</v>
      </c>
      <c r="H7" s="1834"/>
      <c r="I7" s="1834"/>
      <c r="J7" s="1834"/>
      <c r="K7" s="1314" t="s">
        <v>3062</v>
      </c>
      <c r="L7" s="1314"/>
      <c r="M7" s="1314"/>
      <c r="N7" s="1835"/>
    </row>
    <row r="8" spans="1:39" s="1838" customFormat="1" ht="13.5" customHeight="1">
      <c r="A8" s="1076"/>
      <c r="B8" s="1077"/>
      <c r="C8" s="853" t="s">
        <v>2797</v>
      </c>
      <c r="D8" s="854"/>
      <c r="E8" s="855"/>
      <c r="F8" s="856" t="s">
        <v>3063</v>
      </c>
      <c r="G8" s="1836">
        <f>G85</f>
        <v>0</v>
      </c>
      <c r="H8" s="1836">
        <f>H85</f>
        <v>0</v>
      </c>
      <c r="I8" s="1836">
        <v>15.9</v>
      </c>
      <c r="J8" s="1836">
        <v>15.9</v>
      </c>
      <c r="K8" s="1836">
        <f>K85</f>
        <v>0</v>
      </c>
      <c r="L8" s="1836">
        <f>L85</f>
        <v>0</v>
      </c>
      <c r="M8" s="1836">
        <f>M85</f>
        <v>0</v>
      </c>
      <c r="N8" s="1837">
        <f>N85</f>
        <v>0</v>
      </c>
    </row>
    <row r="9" spans="1:39" s="1838" customFormat="1" ht="13.5" customHeight="1">
      <c r="A9" s="945"/>
      <c r="B9" s="946"/>
      <c r="C9" s="1839" t="s">
        <v>2799</v>
      </c>
      <c r="D9" s="1840"/>
      <c r="E9" s="1841"/>
      <c r="F9" s="1842" t="s">
        <v>3063</v>
      </c>
      <c r="G9" s="1843" t="str">
        <f>IF(G86="","",G86)</f>
        <v/>
      </c>
      <c r="H9" s="1843" t="str">
        <f t="shared" ref="H9:N9" si="4">IF(H86="","",H86)</f>
        <v/>
      </c>
      <c r="I9" s="1843" t="str">
        <f t="shared" si="4"/>
        <v/>
      </c>
      <c r="J9" s="1843" t="str">
        <f t="shared" si="4"/>
        <v/>
      </c>
      <c r="K9" s="1843" t="str">
        <f t="shared" si="4"/>
        <v/>
      </c>
      <c r="L9" s="1843" t="str">
        <f t="shared" si="4"/>
        <v/>
      </c>
      <c r="M9" s="1843" t="str">
        <f t="shared" si="4"/>
        <v/>
      </c>
      <c r="N9" s="1844" t="str">
        <f t="shared" si="4"/>
        <v/>
      </c>
    </row>
    <row r="10" spans="1:39" s="951" customFormat="1" ht="13.5" hidden="1" customHeight="1">
      <c r="A10" s="945"/>
      <c r="B10" s="946"/>
      <c r="C10" s="1845" t="s">
        <v>2807</v>
      </c>
      <c r="D10" s="1846"/>
      <c r="E10" s="1847"/>
      <c r="F10" s="1848"/>
      <c r="G10" s="1849" t="str">
        <f>G89</f>
        <v>積上げ</v>
      </c>
      <c r="H10" s="1849" t="str">
        <f t="shared" ref="H10:N10" si="5">H89</f>
        <v>積上げ</v>
      </c>
      <c r="I10" s="1849" t="str">
        <f t="shared" si="5"/>
        <v>積上げ</v>
      </c>
      <c r="J10" s="1849" t="str">
        <f t="shared" si="5"/>
        <v>積上げ</v>
      </c>
      <c r="K10" s="1849" t="str">
        <f t="shared" si="5"/>
        <v>積上げ</v>
      </c>
      <c r="L10" s="1849" t="str">
        <f t="shared" si="5"/>
        <v>積上げ</v>
      </c>
      <c r="M10" s="1849">
        <f t="shared" si="5"/>
        <v>0</v>
      </c>
      <c r="N10" s="1850">
        <f t="shared" si="5"/>
        <v>0</v>
      </c>
    </row>
    <row r="11" spans="1:39" s="951" customFormat="1" ht="13.5" hidden="1" customHeight="1">
      <c r="A11" s="1851"/>
      <c r="B11" s="1852"/>
      <c r="C11" s="1853" t="s">
        <v>3064</v>
      </c>
      <c r="D11" s="1854"/>
      <c r="E11" s="1855"/>
      <c r="F11" s="1232"/>
      <c r="G11" s="1856" t="s">
        <v>3065</v>
      </c>
      <c r="H11" s="1856" t="s">
        <v>3065</v>
      </c>
      <c r="I11" s="1856" t="s">
        <v>3065</v>
      </c>
      <c r="J11" s="1856" t="s">
        <v>3065</v>
      </c>
      <c r="K11" s="1856" t="s">
        <v>3065</v>
      </c>
      <c r="L11" s="1856" t="s">
        <v>3065</v>
      </c>
      <c r="M11" s="1856" t="s">
        <v>3065</v>
      </c>
      <c r="N11" s="1857" t="s">
        <v>3065</v>
      </c>
    </row>
    <row r="12" spans="1:39" s="951" customFormat="1" ht="13.5" customHeight="1">
      <c r="A12" s="1076"/>
      <c r="B12" s="1858" t="s">
        <v>3066</v>
      </c>
      <c r="C12" s="1859"/>
      <c r="D12" s="1859"/>
      <c r="E12" s="1860"/>
      <c r="F12" s="1861">
        <f>SUM(G12:N12)</f>
        <v>0</v>
      </c>
      <c r="G12" s="1862">
        <f>+G13+G14</f>
        <v>0</v>
      </c>
      <c r="H12" s="1862">
        <f t="shared" ref="H12:N12" si="6">+H13+H14</f>
        <v>0</v>
      </c>
      <c r="I12" s="1862">
        <f t="shared" si="6"/>
        <v>0</v>
      </c>
      <c r="J12" s="1862">
        <f t="shared" si="6"/>
        <v>0</v>
      </c>
      <c r="K12" s="1862">
        <f t="shared" si="6"/>
        <v>0</v>
      </c>
      <c r="L12" s="1862">
        <f t="shared" si="6"/>
        <v>0</v>
      </c>
      <c r="M12" s="1862">
        <f t="shared" si="6"/>
        <v>0</v>
      </c>
      <c r="N12" s="1863">
        <f t="shared" si="6"/>
        <v>0</v>
      </c>
    </row>
    <row r="13" spans="1:39" s="951" customFormat="1" ht="13.5" customHeight="1">
      <c r="A13" s="945"/>
      <c r="B13" s="946"/>
      <c r="C13" s="714" t="s">
        <v>2813</v>
      </c>
      <c r="D13" s="715"/>
      <c r="E13" s="855"/>
      <c r="F13" s="1187">
        <f>SUM(G13:N13)</f>
        <v>0</v>
      </c>
      <c r="G13" s="1864"/>
      <c r="H13" s="1864"/>
      <c r="I13" s="1864"/>
      <c r="J13" s="1864"/>
      <c r="K13" s="1864"/>
      <c r="L13" s="1864"/>
      <c r="M13" s="1864"/>
      <c r="N13" s="1865"/>
    </row>
    <row r="14" spans="1:39" s="951" customFormat="1" ht="12">
      <c r="A14" s="945"/>
      <c r="B14" s="946"/>
      <c r="C14" s="947" t="s">
        <v>2817</v>
      </c>
      <c r="D14" s="947"/>
      <c r="E14" s="948"/>
      <c r="F14" s="949">
        <f>SUM(G14:N14)</f>
        <v>0</v>
      </c>
      <c r="G14" s="985">
        <f>G20+G21</f>
        <v>0</v>
      </c>
      <c r="H14" s="985">
        <f t="shared" ref="H14:N14" si="7">H20+H21</f>
        <v>0</v>
      </c>
      <c r="I14" s="985">
        <f t="shared" si="7"/>
        <v>0</v>
      </c>
      <c r="J14" s="985">
        <f t="shared" si="7"/>
        <v>0</v>
      </c>
      <c r="K14" s="985">
        <f t="shared" si="7"/>
        <v>0</v>
      </c>
      <c r="L14" s="985">
        <f t="shared" si="7"/>
        <v>0</v>
      </c>
      <c r="M14" s="985">
        <f t="shared" si="7"/>
        <v>0</v>
      </c>
      <c r="N14" s="986">
        <f t="shared" si="7"/>
        <v>0</v>
      </c>
    </row>
    <row r="15" spans="1:39" s="951" customFormat="1" ht="13.5" customHeight="1">
      <c r="A15" s="945"/>
      <c r="B15" s="946"/>
      <c r="C15" s="1866" t="s">
        <v>2818</v>
      </c>
      <c r="D15" s="947"/>
      <c r="E15" s="948"/>
      <c r="F15" s="949">
        <f>SUM(G15:N15)</f>
        <v>0</v>
      </c>
      <c r="G15" s="985">
        <f>G389-G174</f>
        <v>0</v>
      </c>
      <c r="H15" s="985">
        <f t="shared" ref="H15:N15" si="8">H389-H174</f>
        <v>0</v>
      </c>
      <c r="I15" s="985">
        <f t="shared" si="8"/>
        <v>0</v>
      </c>
      <c r="J15" s="985">
        <f t="shared" si="8"/>
        <v>0</v>
      </c>
      <c r="K15" s="985">
        <f t="shared" si="8"/>
        <v>0</v>
      </c>
      <c r="L15" s="985">
        <f t="shared" si="8"/>
        <v>0</v>
      </c>
      <c r="M15" s="985">
        <f t="shared" si="8"/>
        <v>0</v>
      </c>
      <c r="N15" s="986">
        <f t="shared" si="8"/>
        <v>0</v>
      </c>
    </row>
    <row r="16" spans="1:39" s="951" customFormat="1" ht="13.5" customHeight="1">
      <c r="A16" s="945"/>
      <c r="B16" s="946"/>
      <c r="C16" s="1866" t="s">
        <v>3067</v>
      </c>
      <c r="D16" s="947"/>
      <c r="E16" s="948"/>
      <c r="F16" s="949">
        <f>SUM(G16:AM16)</f>
        <v>0</v>
      </c>
      <c r="G16" s="985">
        <f>IF(G13=0,IF(G8=G85,G15,0),0)</f>
        <v>0</v>
      </c>
      <c r="H16" s="985">
        <f t="shared" ref="H16:N16" si="9">IF(H13=0,IF(H8=H85,H15,0),0)</f>
        <v>0</v>
      </c>
      <c r="I16" s="985">
        <f t="shared" si="9"/>
        <v>0</v>
      </c>
      <c r="J16" s="985">
        <f t="shared" si="9"/>
        <v>0</v>
      </c>
      <c r="K16" s="985">
        <f t="shared" si="9"/>
        <v>0</v>
      </c>
      <c r="L16" s="985">
        <f t="shared" si="9"/>
        <v>0</v>
      </c>
      <c r="M16" s="985">
        <f t="shared" si="9"/>
        <v>0</v>
      </c>
      <c r="N16" s="986">
        <f t="shared" si="9"/>
        <v>0</v>
      </c>
      <c r="O16" s="1072"/>
      <c r="P16" s="1072"/>
      <c r="Q16" s="1072"/>
      <c r="R16" s="1072"/>
      <c r="S16" s="1072"/>
      <c r="T16" s="1072"/>
      <c r="U16" s="1072"/>
      <c r="V16" s="1072"/>
      <c r="W16" s="1072"/>
      <c r="X16" s="1072"/>
      <c r="Y16" s="1072"/>
      <c r="Z16" s="1072"/>
      <c r="AA16" s="1072"/>
      <c r="AB16" s="1072"/>
      <c r="AC16" s="1072"/>
      <c r="AD16" s="1072"/>
      <c r="AE16" s="1072"/>
      <c r="AF16" s="1072"/>
      <c r="AG16" s="1072"/>
      <c r="AH16" s="1072"/>
      <c r="AI16" s="1072"/>
      <c r="AJ16" s="1072"/>
      <c r="AK16" s="1072"/>
      <c r="AL16" s="1072"/>
      <c r="AM16" s="1072"/>
    </row>
    <row r="17" spans="1:39" s="951" customFormat="1" ht="13.5" customHeight="1">
      <c r="A17" s="945"/>
      <c r="B17" s="946"/>
      <c r="C17" s="1866" t="s">
        <v>3068</v>
      </c>
      <c r="D17" s="947"/>
      <c r="E17" s="948"/>
      <c r="F17" s="949">
        <f>SUM(G17:AM17)</f>
        <v>0</v>
      </c>
      <c r="G17" s="985">
        <f>G13-G42</f>
        <v>0</v>
      </c>
      <c r="H17" s="985">
        <f t="shared" ref="H17:N17" si="10">H13-H42</f>
        <v>0</v>
      </c>
      <c r="I17" s="985">
        <f t="shared" si="10"/>
        <v>0</v>
      </c>
      <c r="J17" s="985">
        <f t="shared" si="10"/>
        <v>0</v>
      </c>
      <c r="K17" s="985">
        <f t="shared" si="10"/>
        <v>0</v>
      </c>
      <c r="L17" s="985">
        <f t="shared" si="10"/>
        <v>0</v>
      </c>
      <c r="M17" s="985">
        <f t="shared" si="10"/>
        <v>0</v>
      </c>
      <c r="N17" s="986">
        <f t="shared" si="10"/>
        <v>0</v>
      </c>
      <c r="O17" s="1072"/>
      <c r="P17" s="1072"/>
      <c r="Q17" s="1072"/>
      <c r="R17" s="1072"/>
      <c r="S17" s="1072"/>
      <c r="T17" s="1072"/>
      <c r="U17" s="1072"/>
      <c r="V17" s="1072"/>
      <c r="W17" s="1072"/>
      <c r="X17" s="1072"/>
      <c r="Y17" s="1072"/>
      <c r="Z17" s="1072"/>
      <c r="AA17" s="1072"/>
      <c r="AB17" s="1072"/>
      <c r="AC17" s="1072"/>
      <c r="AD17" s="1072"/>
      <c r="AE17" s="1072"/>
      <c r="AF17" s="1072"/>
      <c r="AG17" s="1072"/>
      <c r="AH17" s="1072"/>
      <c r="AI17" s="1072"/>
      <c r="AJ17" s="1072"/>
      <c r="AK17" s="1072"/>
      <c r="AL17" s="1072"/>
      <c r="AM17" s="1072"/>
    </row>
    <row r="18" spans="1:39" s="951" customFormat="1" ht="13.5" customHeight="1">
      <c r="A18" s="945"/>
      <c r="B18" s="946"/>
      <c r="C18" s="1866" t="s">
        <v>3069</v>
      </c>
      <c r="D18" s="947"/>
      <c r="E18" s="948"/>
      <c r="F18" s="949">
        <f>SUM(G18:AM18)</f>
        <v>0</v>
      </c>
      <c r="G18" s="985">
        <f t="shared" ref="G18:N18" si="11">IF($F$16=0,0,(IF(G16=0,INT(G17/$F17*$F16),0)))</f>
        <v>0</v>
      </c>
      <c r="H18" s="985">
        <f t="shared" si="11"/>
        <v>0</v>
      </c>
      <c r="I18" s="985">
        <f t="shared" si="11"/>
        <v>0</v>
      </c>
      <c r="J18" s="985">
        <f t="shared" si="11"/>
        <v>0</v>
      </c>
      <c r="K18" s="985">
        <f t="shared" si="11"/>
        <v>0</v>
      </c>
      <c r="L18" s="985">
        <f t="shared" si="11"/>
        <v>0</v>
      </c>
      <c r="M18" s="985">
        <f t="shared" si="11"/>
        <v>0</v>
      </c>
      <c r="N18" s="986">
        <f t="shared" si="11"/>
        <v>0</v>
      </c>
      <c r="O18" s="1072"/>
      <c r="P18" s="1072"/>
      <c r="Q18" s="1072"/>
      <c r="R18" s="1072"/>
      <c r="S18" s="1072"/>
      <c r="T18" s="1072"/>
      <c r="U18" s="1072"/>
      <c r="V18" s="1072"/>
      <c r="W18" s="1072"/>
      <c r="X18" s="1072"/>
      <c r="Y18" s="1072"/>
      <c r="Z18" s="1072"/>
      <c r="AA18" s="1072"/>
      <c r="AB18" s="1072"/>
      <c r="AC18" s="1072"/>
      <c r="AD18" s="1072"/>
      <c r="AE18" s="1072"/>
      <c r="AF18" s="1072"/>
      <c r="AG18" s="1072"/>
      <c r="AH18" s="1072"/>
      <c r="AI18" s="1072"/>
      <c r="AJ18" s="1072"/>
      <c r="AK18" s="1072"/>
      <c r="AL18" s="1072"/>
      <c r="AM18" s="1072"/>
    </row>
    <row r="19" spans="1:39" s="951" customFormat="1" ht="13.5" customHeight="1">
      <c r="A19" s="945"/>
      <c r="B19" s="946"/>
      <c r="C19" s="1867" t="s">
        <v>3070</v>
      </c>
      <c r="D19" s="947"/>
      <c r="E19" s="948"/>
      <c r="F19" s="949">
        <f>F16-F18</f>
        <v>0</v>
      </c>
      <c r="G19" s="1868">
        <f>IF($F19=0,0,IF(G18=0,0,$F19))</f>
        <v>0</v>
      </c>
      <c r="H19" s="1868">
        <f>IF($F19=0,0,IF(H18=0,0,IF(SUM($G19:G19)=0,$F19,0)))</f>
        <v>0</v>
      </c>
      <c r="I19" s="1868">
        <f>IF($F19=0,0,IF(I18=0,0,IF(SUM($G19:H19)=0,$F19,0)))</f>
        <v>0</v>
      </c>
      <c r="J19" s="1868">
        <f>IF($F19=0,0,IF(J18=0,0,IF(SUM($G19:I19)=0,$F19,0)))</f>
        <v>0</v>
      </c>
      <c r="K19" s="1868">
        <f>IF($F19=0,0,IF(K18=0,0,IF(SUM($G19:J19)=0,$F19,0)))</f>
        <v>0</v>
      </c>
      <c r="L19" s="1868">
        <f>IF($F19=0,0,IF(L18=0,0,IF(SUM($G19:K19)=0,$F19,0)))</f>
        <v>0</v>
      </c>
      <c r="M19" s="1868">
        <f>IF($F19=0,0,IF(M18=0,0,IF(SUM($G19:L19)=0,$F19,0)))</f>
        <v>0</v>
      </c>
      <c r="N19" s="1869">
        <f>IF($F19=0,0,IF(N18=0,0,IF(SUM($G19:M19)=0,$F19,0)))</f>
        <v>0</v>
      </c>
      <c r="O19" s="1870"/>
      <c r="P19" s="1870"/>
      <c r="Q19" s="1870"/>
      <c r="R19" s="1870"/>
      <c r="S19" s="1870"/>
      <c r="T19" s="1870"/>
      <c r="U19" s="1870"/>
      <c r="V19" s="1870"/>
      <c r="W19" s="1870"/>
      <c r="X19" s="1870"/>
      <c r="Y19" s="1870"/>
      <c r="Z19" s="1870"/>
      <c r="AA19" s="1870"/>
      <c r="AB19" s="1870"/>
      <c r="AC19" s="1870"/>
      <c r="AD19" s="1870"/>
      <c r="AE19" s="1870"/>
      <c r="AF19" s="1870"/>
      <c r="AG19" s="1870"/>
      <c r="AH19" s="1870"/>
      <c r="AI19" s="1870"/>
      <c r="AJ19" s="1870"/>
      <c r="AK19" s="1870"/>
      <c r="AL19" s="1870"/>
      <c r="AM19" s="1870"/>
    </row>
    <row r="20" spans="1:39" s="951" customFormat="1" ht="13.5" customHeight="1">
      <c r="A20" s="945"/>
      <c r="B20" s="946"/>
      <c r="C20" s="1866" t="s">
        <v>3071</v>
      </c>
      <c r="D20" s="947"/>
      <c r="E20" s="948"/>
      <c r="F20" s="949">
        <f>SUM(G20:AM20)</f>
        <v>0</v>
      </c>
      <c r="G20" s="1868">
        <f>IF(G42="",IF(G13=0,IF(G8=G85,0,G15+G18+G19),G15+G18+G19),0)</f>
        <v>0</v>
      </c>
      <c r="H20" s="1868">
        <f t="shared" ref="H20:N20" si="12">IF(H42="",IF(H13=0,IF(H8=H85,0,H15+H18+H19),H15+H18+H19),0)</f>
        <v>0</v>
      </c>
      <c r="I20" s="1868">
        <f t="shared" si="12"/>
        <v>0</v>
      </c>
      <c r="J20" s="1868">
        <f t="shared" si="12"/>
        <v>0</v>
      </c>
      <c r="K20" s="1868">
        <f t="shared" si="12"/>
        <v>0</v>
      </c>
      <c r="L20" s="1868">
        <f t="shared" si="12"/>
        <v>0</v>
      </c>
      <c r="M20" s="1868">
        <f t="shared" si="12"/>
        <v>0</v>
      </c>
      <c r="N20" s="1869">
        <f t="shared" si="12"/>
        <v>0</v>
      </c>
      <c r="O20" s="1870"/>
      <c r="P20" s="1870"/>
      <c r="Q20" s="1870"/>
      <c r="R20" s="1870"/>
      <c r="S20" s="1870"/>
      <c r="T20" s="1870"/>
      <c r="U20" s="1870"/>
      <c r="V20" s="1870"/>
      <c r="W20" s="1870"/>
      <c r="X20" s="1870"/>
      <c r="Y20" s="1870"/>
      <c r="Z20" s="1870"/>
      <c r="AA20" s="1870"/>
      <c r="AB20" s="1870"/>
      <c r="AC20" s="1870"/>
      <c r="AD20" s="1870"/>
      <c r="AE20" s="1870"/>
      <c r="AF20" s="1870"/>
      <c r="AG20" s="1870"/>
      <c r="AH20" s="1870"/>
      <c r="AI20" s="1870"/>
      <c r="AJ20" s="1870"/>
      <c r="AK20" s="1870"/>
      <c r="AL20" s="1870"/>
      <c r="AM20" s="1870"/>
    </row>
    <row r="21" spans="1:39" s="951" customFormat="1" ht="12">
      <c r="A21" s="945"/>
      <c r="B21" s="946"/>
      <c r="C21" s="1866" t="s">
        <v>2819</v>
      </c>
      <c r="D21" s="947"/>
      <c r="E21" s="948"/>
      <c r="F21" s="949">
        <f>SUM(G21:N21)</f>
        <v>0</v>
      </c>
      <c r="G21" s="1871"/>
      <c r="H21" s="1871"/>
      <c r="I21" s="1871"/>
      <c r="J21" s="1871"/>
      <c r="K21" s="1871"/>
      <c r="L21" s="1871"/>
      <c r="M21" s="1871"/>
      <c r="N21" s="1872"/>
    </row>
    <row r="22" spans="1:39" s="951" customFormat="1" ht="13.5" customHeight="1">
      <c r="A22" s="945"/>
      <c r="B22" s="946"/>
      <c r="C22" s="914" t="s">
        <v>3072</v>
      </c>
      <c r="D22" s="947"/>
      <c r="E22" s="948"/>
      <c r="F22" s="949">
        <f>SUM(G22:N22)</f>
        <v>0</v>
      </c>
      <c r="G22" s="1871"/>
      <c r="H22" s="1871"/>
      <c r="I22" s="1871"/>
      <c r="J22" s="1871"/>
      <c r="K22" s="1871"/>
      <c r="L22" s="1871"/>
      <c r="M22" s="1871"/>
      <c r="N22" s="1872"/>
    </row>
    <row r="23" spans="1:39" s="951" customFormat="1" ht="12">
      <c r="A23" s="945"/>
      <c r="B23" s="946"/>
      <c r="C23" s="1074" t="s">
        <v>2821</v>
      </c>
      <c r="D23" s="954"/>
      <c r="E23" s="955"/>
      <c r="F23" s="956">
        <f>SUM(G23:N23)</f>
        <v>0</v>
      </c>
      <c r="G23" s="1873"/>
      <c r="H23" s="1873"/>
      <c r="I23" s="1873"/>
      <c r="J23" s="1873"/>
      <c r="K23" s="1873"/>
      <c r="L23" s="1873"/>
      <c r="M23" s="1873"/>
      <c r="N23" s="1874"/>
    </row>
    <row r="24" spans="1:39" s="951" customFormat="1" ht="13.5" customHeight="1">
      <c r="A24" s="1875" t="s">
        <v>2837</v>
      </c>
      <c r="B24" s="1075"/>
      <c r="C24" s="1876"/>
      <c r="D24" s="1876"/>
      <c r="E24" s="1877"/>
      <c r="F24" s="1878"/>
      <c r="G24" s="1879"/>
      <c r="H24" s="1879"/>
      <c r="I24" s="1879"/>
      <c r="J24" s="1879"/>
      <c r="K24" s="1879"/>
      <c r="L24" s="1879"/>
      <c r="M24" s="1879"/>
      <c r="N24" s="1880"/>
    </row>
    <row r="25" spans="1:39" s="951" customFormat="1" ht="12">
      <c r="A25" s="2438"/>
      <c r="B25" s="2443" t="s">
        <v>3073</v>
      </c>
      <c r="C25" s="715" t="s">
        <v>2838</v>
      </c>
      <c r="D25" s="715"/>
      <c r="E25" s="856"/>
      <c r="F25" s="1187">
        <f t="shared" ref="F25:F31" si="13">SUM(G25:N25)</f>
        <v>0</v>
      </c>
      <c r="G25" s="1864"/>
      <c r="H25" s="1864"/>
      <c r="I25" s="1864">
        <f t="shared" ref="I25:N25" si="14">IF(I9="新営",I13-SUM(I27:I38)-I42-I41,0)</f>
        <v>0</v>
      </c>
      <c r="J25" s="1864">
        <f t="shared" si="14"/>
        <v>0</v>
      </c>
      <c r="K25" s="1864">
        <f t="shared" si="14"/>
        <v>0</v>
      </c>
      <c r="L25" s="1864">
        <f t="shared" si="14"/>
        <v>0</v>
      </c>
      <c r="M25" s="1864">
        <f t="shared" si="14"/>
        <v>0</v>
      </c>
      <c r="N25" s="1865">
        <f t="shared" si="14"/>
        <v>0</v>
      </c>
    </row>
    <row r="26" spans="1:39" s="951" customFormat="1" ht="12">
      <c r="A26" s="2438"/>
      <c r="B26" s="2425"/>
      <c r="C26" s="989" t="s">
        <v>2839</v>
      </c>
      <c r="D26" s="989"/>
      <c r="E26" s="948"/>
      <c r="F26" s="949">
        <f t="shared" si="13"/>
        <v>0</v>
      </c>
      <c r="G26" s="985">
        <f>IF(G9="改修",G13-SUM(G27:G38)-G42-G41,0)</f>
        <v>0</v>
      </c>
      <c r="H26" s="985">
        <f t="shared" ref="H26:N26" si="15">IF(H9="改修",H13-SUM(H27:H38)-H42-H41,0)</f>
        <v>0</v>
      </c>
      <c r="I26" s="985">
        <f t="shared" si="15"/>
        <v>0</v>
      </c>
      <c r="J26" s="985">
        <f t="shared" si="15"/>
        <v>0</v>
      </c>
      <c r="K26" s="985">
        <f t="shared" si="15"/>
        <v>0</v>
      </c>
      <c r="L26" s="985">
        <f t="shared" si="15"/>
        <v>0</v>
      </c>
      <c r="M26" s="985">
        <f t="shared" si="15"/>
        <v>0</v>
      </c>
      <c r="N26" s="986">
        <f t="shared" si="15"/>
        <v>0</v>
      </c>
    </row>
    <row r="27" spans="1:39" s="951" customFormat="1" ht="12">
      <c r="A27" s="2438"/>
      <c r="B27" s="2425"/>
      <c r="C27" s="1881" t="s">
        <v>3074</v>
      </c>
      <c r="D27" s="989"/>
      <c r="E27" s="948"/>
      <c r="F27" s="949">
        <f t="shared" si="13"/>
        <v>0</v>
      </c>
      <c r="G27" s="1871"/>
      <c r="H27" s="1871"/>
      <c r="I27" s="1871"/>
      <c r="J27" s="1871"/>
      <c r="K27" s="1871"/>
      <c r="L27" s="1871"/>
      <c r="M27" s="1871"/>
      <c r="N27" s="1872"/>
    </row>
    <row r="28" spans="1:39" s="951" customFormat="1" ht="12">
      <c r="A28" s="2438"/>
      <c r="B28" s="2424"/>
      <c r="C28" s="1881" t="s">
        <v>2841</v>
      </c>
      <c r="D28" s="989"/>
      <c r="E28" s="948"/>
      <c r="F28" s="949">
        <f t="shared" si="13"/>
        <v>0</v>
      </c>
      <c r="G28" s="1871"/>
      <c r="H28" s="1871"/>
      <c r="I28" s="1871"/>
      <c r="J28" s="1871"/>
      <c r="K28" s="1871"/>
      <c r="L28" s="1871"/>
      <c r="M28" s="1871"/>
      <c r="N28" s="1872"/>
    </row>
    <row r="29" spans="1:39" s="951" customFormat="1" ht="13.5" customHeight="1">
      <c r="A29" s="2438"/>
      <c r="B29" s="2316" t="s">
        <v>2842</v>
      </c>
      <c r="C29" s="947" t="s">
        <v>3075</v>
      </c>
      <c r="D29" s="989"/>
      <c r="E29" s="948"/>
      <c r="F29" s="949">
        <f t="shared" si="13"/>
        <v>0</v>
      </c>
      <c r="G29" s="1871"/>
      <c r="H29" s="1871"/>
      <c r="I29" s="1871"/>
      <c r="J29" s="1871"/>
      <c r="K29" s="1871"/>
      <c r="L29" s="1871"/>
      <c r="M29" s="1871"/>
      <c r="N29" s="1872"/>
    </row>
    <row r="30" spans="1:39" s="951" customFormat="1" ht="12">
      <c r="A30" s="2438"/>
      <c r="B30" s="2425"/>
      <c r="C30" s="947" t="s">
        <v>2844</v>
      </c>
      <c r="D30" s="989"/>
      <c r="E30" s="948"/>
      <c r="F30" s="949">
        <f t="shared" si="13"/>
        <v>0</v>
      </c>
      <c r="G30" s="1871"/>
      <c r="H30" s="1871"/>
      <c r="I30" s="1871"/>
      <c r="J30" s="1871"/>
      <c r="K30" s="1871"/>
      <c r="L30" s="1871"/>
      <c r="M30" s="1871"/>
      <c r="N30" s="1872"/>
    </row>
    <row r="31" spans="1:39" s="951" customFormat="1" ht="12">
      <c r="A31" s="2438"/>
      <c r="B31" s="2425"/>
      <c r="C31" s="989" t="s">
        <v>2845</v>
      </c>
      <c r="D31" s="989"/>
      <c r="E31" s="948"/>
      <c r="F31" s="949">
        <f t="shared" si="13"/>
        <v>0</v>
      </c>
      <c r="G31" s="1871"/>
      <c r="H31" s="1871"/>
      <c r="I31" s="1871"/>
      <c r="J31" s="1871"/>
      <c r="K31" s="1871"/>
      <c r="L31" s="1871"/>
      <c r="M31" s="1871"/>
      <c r="N31" s="1872"/>
    </row>
    <row r="32" spans="1:39" s="951" customFormat="1" ht="13.5" customHeight="1">
      <c r="A32" s="2438"/>
      <c r="B32" s="2425"/>
      <c r="C32" s="989" t="s">
        <v>3076</v>
      </c>
      <c r="D32" s="989"/>
      <c r="E32" s="948"/>
      <c r="F32" s="949"/>
      <c r="G32" s="985"/>
      <c r="H32" s="985"/>
      <c r="I32" s="985"/>
      <c r="J32" s="985"/>
      <c r="K32" s="985"/>
      <c r="L32" s="985"/>
      <c r="M32" s="985"/>
      <c r="N32" s="986"/>
    </row>
    <row r="33" spans="1:14" s="951" customFormat="1" ht="12">
      <c r="A33" s="2438"/>
      <c r="B33" s="2425"/>
      <c r="C33" s="989" t="s">
        <v>2847</v>
      </c>
      <c r="D33" s="989"/>
      <c r="E33" s="948"/>
      <c r="F33" s="949"/>
      <c r="G33" s="985"/>
      <c r="H33" s="985"/>
      <c r="I33" s="985"/>
      <c r="J33" s="985"/>
      <c r="K33" s="985"/>
      <c r="L33" s="985"/>
      <c r="M33" s="985"/>
      <c r="N33" s="986"/>
    </row>
    <row r="34" spans="1:14" s="951" customFormat="1" ht="12">
      <c r="A34" s="2438"/>
      <c r="B34" s="2425"/>
      <c r="C34" s="989" t="s">
        <v>2848</v>
      </c>
      <c r="D34" s="989"/>
      <c r="E34" s="948"/>
      <c r="F34" s="949">
        <f t="shared" ref="F34:F44" si="16">SUM(G34:N34)</f>
        <v>0</v>
      </c>
      <c r="G34" s="1871"/>
      <c r="H34" s="1871"/>
      <c r="I34" s="1871"/>
      <c r="J34" s="1871"/>
      <c r="K34" s="1871"/>
      <c r="L34" s="1871"/>
      <c r="M34" s="1871"/>
      <c r="N34" s="1872"/>
    </row>
    <row r="35" spans="1:14" s="951" customFormat="1" ht="12">
      <c r="A35" s="2438"/>
      <c r="B35" s="2425"/>
      <c r="C35" s="1882" t="s">
        <v>3077</v>
      </c>
      <c r="D35" s="989"/>
      <c r="E35" s="948"/>
      <c r="F35" s="949">
        <f t="shared" si="16"/>
        <v>0</v>
      </c>
      <c r="G35" s="1871"/>
      <c r="H35" s="1871"/>
      <c r="I35" s="1871"/>
      <c r="J35" s="1871"/>
      <c r="K35" s="1871"/>
      <c r="L35" s="1871"/>
      <c r="M35" s="1871"/>
      <c r="N35" s="1872"/>
    </row>
    <row r="36" spans="1:14" s="951" customFormat="1" ht="12">
      <c r="A36" s="2438"/>
      <c r="B36" s="2425"/>
      <c r="C36" s="1883" t="s">
        <v>3078</v>
      </c>
      <c r="D36" s="989"/>
      <c r="E36" s="948"/>
      <c r="F36" s="949">
        <f t="shared" si="16"/>
        <v>0</v>
      </c>
      <c r="G36" s="1871"/>
      <c r="H36" s="1871"/>
      <c r="I36" s="1871"/>
      <c r="J36" s="1871"/>
      <c r="K36" s="1871"/>
      <c r="L36" s="1871"/>
      <c r="M36" s="1871"/>
      <c r="N36" s="1872"/>
    </row>
    <row r="37" spans="1:14" s="951" customFormat="1" ht="12">
      <c r="A37" s="2438"/>
      <c r="B37" s="2424"/>
      <c r="C37" s="989" t="s">
        <v>2851</v>
      </c>
      <c r="D37" s="989"/>
      <c r="E37" s="948"/>
      <c r="F37" s="949">
        <f t="shared" si="16"/>
        <v>0</v>
      </c>
      <c r="G37" s="1871"/>
      <c r="H37" s="1871"/>
      <c r="I37" s="1871"/>
      <c r="J37" s="1871"/>
      <c r="K37" s="1871"/>
      <c r="L37" s="1871"/>
      <c r="M37" s="1871"/>
      <c r="N37" s="1872"/>
    </row>
    <row r="38" spans="1:14" s="951" customFormat="1" ht="12">
      <c r="A38" s="2438"/>
      <c r="B38" s="2316" t="s">
        <v>2852</v>
      </c>
      <c r="C38" s="1881" t="s">
        <v>2853</v>
      </c>
      <c r="D38" s="989"/>
      <c r="E38" s="948"/>
      <c r="F38" s="949">
        <f t="shared" si="16"/>
        <v>0</v>
      </c>
      <c r="G38" s="1871"/>
      <c r="H38" s="1871"/>
      <c r="I38" s="1871"/>
      <c r="J38" s="1871"/>
      <c r="K38" s="1871"/>
      <c r="L38" s="1871"/>
      <c r="M38" s="1871"/>
      <c r="N38" s="1872"/>
    </row>
    <row r="39" spans="1:14" s="951" customFormat="1" ht="12">
      <c r="A39" s="2438"/>
      <c r="B39" s="2425"/>
      <c r="C39" s="1881" t="s">
        <v>2854</v>
      </c>
      <c r="D39" s="989"/>
      <c r="E39" s="948"/>
      <c r="F39" s="949">
        <f t="shared" si="16"/>
        <v>0</v>
      </c>
      <c r="G39" s="985">
        <f t="shared" ref="G39:N39" si="17">+G23</f>
        <v>0</v>
      </c>
      <c r="H39" s="985">
        <f t="shared" si="17"/>
        <v>0</v>
      </c>
      <c r="I39" s="985">
        <f t="shared" si="17"/>
        <v>0</v>
      </c>
      <c r="J39" s="985">
        <f t="shared" si="17"/>
        <v>0</v>
      </c>
      <c r="K39" s="985">
        <f t="shared" si="17"/>
        <v>0</v>
      </c>
      <c r="L39" s="985">
        <f t="shared" si="17"/>
        <v>0</v>
      </c>
      <c r="M39" s="985">
        <f t="shared" si="17"/>
        <v>0</v>
      </c>
      <c r="N39" s="986">
        <f t="shared" si="17"/>
        <v>0</v>
      </c>
    </row>
    <row r="40" spans="1:14" s="951" customFormat="1" ht="12">
      <c r="A40" s="2438"/>
      <c r="B40" s="2425"/>
      <c r="C40" s="989" t="s">
        <v>3079</v>
      </c>
      <c r="D40" s="989"/>
      <c r="E40" s="948"/>
      <c r="F40" s="949">
        <f t="shared" si="16"/>
        <v>0</v>
      </c>
      <c r="G40" s="985">
        <f t="shared" ref="G40:N40" si="18">+G22</f>
        <v>0</v>
      </c>
      <c r="H40" s="985">
        <f t="shared" si="18"/>
        <v>0</v>
      </c>
      <c r="I40" s="985">
        <f t="shared" si="18"/>
        <v>0</v>
      </c>
      <c r="J40" s="985">
        <f t="shared" si="18"/>
        <v>0</v>
      </c>
      <c r="K40" s="985">
        <f t="shared" si="18"/>
        <v>0</v>
      </c>
      <c r="L40" s="985">
        <f t="shared" si="18"/>
        <v>0</v>
      </c>
      <c r="M40" s="985">
        <f t="shared" si="18"/>
        <v>0</v>
      </c>
      <c r="N40" s="986">
        <f t="shared" si="18"/>
        <v>0</v>
      </c>
    </row>
    <row r="41" spans="1:14" s="951" customFormat="1" ht="12">
      <c r="A41" s="2438"/>
      <c r="B41" s="2425"/>
      <c r="C41" s="989" t="s">
        <v>3080</v>
      </c>
      <c r="D41" s="989"/>
      <c r="E41" s="948"/>
      <c r="F41" s="949">
        <f t="shared" si="16"/>
        <v>0</v>
      </c>
      <c r="G41" s="1871"/>
      <c r="H41" s="1871"/>
      <c r="I41" s="1871"/>
      <c r="J41" s="1871"/>
      <c r="K41" s="1871"/>
      <c r="L41" s="1871"/>
      <c r="M41" s="1871"/>
      <c r="N41" s="1872"/>
    </row>
    <row r="42" spans="1:14" s="951" customFormat="1" ht="13.5" customHeight="1">
      <c r="A42" s="2438"/>
      <c r="B42" s="2425"/>
      <c r="C42" s="1884" t="s">
        <v>2857</v>
      </c>
      <c r="D42" s="1885"/>
      <c r="E42" s="1886"/>
      <c r="F42" s="949">
        <f t="shared" si="16"/>
        <v>0</v>
      </c>
      <c r="G42" s="1887"/>
      <c r="H42" s="1887"/>
      <c r="I42" s="1887"/>
      <c r="J42" s="1887"/>
      <c r="K42" s="1887"/>
      <c r="L42" s="1887"/>
      <c r="M42" s="1887"/>
      <c r="N42" s="1888"/>
    </row>
    <row r="43" spans="1:14" s="951" customFormat="1" ht="12">
      <c r="A43" s="2438"/>
      <c r="B43" s="2425"/>
      <c r="C43" s="1884" t="s">
        <v>2858</v>
      </c>
      <c r="D43" s="1885"/>
      <c r="E43" s="1886"/>
      <c r="F43" s="949">
        <f t="shared" si="16"/>
        <v>0</v>
      </c>
      <c r="G43" s="1887"/>
      <c r="H43" s="1887"/>
      <c r="I43" s="1887"/>
      <c r="J43" s="1887"/>
      <c r="K43" s="1887"/>
      <c r="L43" s="1887"/>
      <c r="M43" s="1887"/>
      <c r="N43" s="1888"/>
    </row>
    <row r="44" spans="1:14" s="951" customFormat="1" ht="12">
      <c r="A44" s="2439"/>
      <c r="B44" s="2440"/>
      <c r="C44" s="1889" t="s">
        <v>2859</v>
      </c>
      <c r="D44" s="1889"/>
      <c r="E44" s="1152"/>
      <c r="F44" s="1107">
        <f t="shared" si="16"/>
        <v>0</v>
      </c>
      <c r="G44" s="1890"/>
      <c r="H44" s="1890"/>
      <c r="I44" s="1890"/>
      <c r="J44" s="1890"/>
      <c r="K44" s="1890"/>
      <c r="L44" s="1890"/>
      <c r="M44" s="1890"/>
      <c r="N44" s="1891"/>
    </row>
    <row r="45" spans="1:14" s="1317" customFormat="1" ht="13.5" customHeight="1">
      <c r="A45" s="2456" t="s">
        <v>3031</v>
      </c>
      <c r="B45" s="2457"/>
      <c r="C45" s="2458"/>
      <c r="D45" s="1892"/>
      <c r="E45" s="1893"/>
      <c r="F45" s="1894"/>
      <c r="G45" s="1895"/>
      <c r="H45" s="1895"/>
      <c r="I45" s="1895"/>
      <c r="J45" s="1895"/>
      <c r="K45" s="1895"/>
      <c r="L45" s="1895"/>
      <c r="M45" s="1895"/>
      <c r="N45" s="1896"/>
    </row>
    <row r="46" spans="1:14" s="1504" customFormat="1" ht="12">
      <c r="A46" s="2459"/>
      <c r="B46" s="2460" t="s">
        <v>2107</v>
      </c>
      <c r="C46" s="1897" t="s">
        <v>2838</v>
      </c>
      <c r="D46" s="1898"/>
      <c r="E46" s="1899"/>
      <c r="F46" s="1900">
        <f>+F413-F198</f>
        <v>0</v>
      </c>
      <c r="G46" s="1900">
        <f t="shared" ref="G46:N46" si="19">+G413-G198</f>
        <v>0</v>
      </c>
      <c r="H46" s="1900">
        <f t="shared" si="19"/>
        <v>0</v>
      </c>
      <c r="I46" s="1900">
        <f t="shared" si="19"/>
        <v>0</v>
      </c>
      <c r="J46" s="1900">
        <f t="shared" si="19"/>
        <v>0</v>
      </c>
      <c r="K46" s="1900">
        <f t="shared" si="19"/>
        <v>0</v>
      </c>
      <c r="L46" s="1900">
        <f t="shared" si="19"/>
        <v>0</v>
      </c>
      <c r="M46" s="1900">
        <f t="shared" si="19"/>
        <v>0</v>
      </c>
      <c r="N46" s="1901">
        <f t="shared" si="19"/>
        <v>0</v>
      </c>
    </row>
    <row r="47" spans="1:14" s="1504" customFormat="1" ht="12">
      <c r="A47" s="2459"/>
      <c r="B47" s="2461"/>
      <c r="C47" s="1902" t="s">
        <v>2839</v>
      </c>
      <c r="D47" s="1898"/>
      <c r="E47" s="1899"/>
      <c r="F47" s="1900">
        <f t="shared" ref="F47:N52" si="20">F415-F200</f>
        <v>0</v>
      </c>
      <c r="G47" s="1900">
        <f t="shared" si="20"/>
        <v>0</v>
      </c>
      <c r="H47" s="1900">
        <f t="shared" si="20"/>
        <v>0</v>
      </c>
      <c r="I47" s="1900">
        <f t="shared" si="20"/>
        <v>0</v>
      </c>
      <c r="J47" s="1900">
        <f t="shared" si="20"/>
        <v>0</v>
      </c>
      <c r="K47" s="1900">
        <f t="shared" si="20"/>
        <v>0</v>
      </c>
      <c r="L47" s="1900">
        <f t="shared" si="20"/>
        <v>0</v>
      </c>
      <c r="M47" s="1900">
        <f t="shared" si="20"/>
        <v>0</v>
      </c>
      <c r="N47" s="1901">
        <f t="shared" si="20"/>
        <v>0</v>
      </c>
    </row>
    <row r="48" spans="1:14" s="1504" customFormat="1" ht="12">
      <c r="A48" s="2459"/>
      <c r="B48" s="2461"/>
      <c r="C48" s="1902" t="s">
        <v>2876</v>
      </c>
      <c r="D48" s="1898"/>
      <c r="E48" s="1903"/>
      <c r="F48" s="1900">
        <f t="shared" si="20"/>
        <v>0</v>
      </c>
      <c r="G48" s="1900">
        <f t="shared" si="20"/>
        <v>0</v>
      </c>
      <c r="H48" s="1900">
        <f t="shared" si="20"/>
        <v>0</v>
      </c>
      <c r="I48" s="1900">
        <f t="shared" si="20"/>
        <v>0</v>
      </c>
      <c r="J48" s="1900">
        <f t="shared" si="20"/>
        <v>0</v>
      </c>
      <c r="K48" s="1900">
        <f t="shared" si="20"/>
        <v>0</v>
      </c>
      <c r="L48" s="1900">
        <f t="shared" si="20"/>
        <v>0</v>
      </c>
      <c r="M48" s="1900">
        <f t="shared" si="20"/>
        <v>0</v>
      </c>
      <c r="N48" s="1901">
        <f t="shared" si="20"/>
        <v>0</v>
      </c>
    </row>
    <row r="49" spans="1:14" s="1504" customFormat="1" ht="12">
      <c r="A49" s="2459"/>
      <c r="B49" s="2462"/>
      <c r="C49" s="1902" t="s">
        <v>2877</v>
      </c>
      <c r="D49" s="1898"/>
      <c r="E49" s="1903"/>
      <c r="F49" s="1900">
        <f t="shared" si="20"/>
        <v>0</v>
      </c>
      <c r="G49" s="1900">
        <f t="shared" si="20"/>
        <v>0</v>
      </c>
      <c r="H49" s="1900">
        <f t="shared" si="20"/>
        <v>0</v>
      </c>
      <c r="I49" s="1900">
        <f t="shared" si="20"/>
        <v>0</v>
      </c>
      <c r="J49" s="1900">
        <f t="shared" si="20"/>
        <v>0</v>
      </c>
      <c r="K49" s="1900">
        <f t="shared" si="20"/>
        <v>0</v>
      </c>
      <c r="L49" s="1900">
        <f t="shared" si="20"/>
        <v>0</v>
      </c>
      <c r="M49" s="1900">
        <f t="shared" si="20"/>
        <v>0</v>
      </c>
      <c r="N49" s="1901">
        <f t="shared" si="20"/>
        <v>0</v>
      </c>
    </row>
    <row r="50" spans="1:14" s="1504" customFormat="1" ht="12">
      <c r="A50" s="2459"/>
      <c r="B50" s="2463" t="s">
        <v>3081</v>
      </c>
      <c r="C50" s="1902" t="s">
        <v>3082</v>
      </c>
      <c r="D50" s="1898">
        <v>1</v>
      </c>
      <c r="E50" s="1903">
        <v>0.02</v>
      </c>
      <c r="F50" s="1900">
        <f t="shared" si="20"/>
        <v>0</v>
      </c>
      <c r="G50" s="1900">
        <f t="shared" si="20"/>
        <v>0</v>
      </c>
      <c r="H50" s="1900">
        <f t="shared" si="20"/>
        <v>0</v>
      </c>
      <c r="I50" s="1900">
        <f t="shared" si="20"/>
        <v>0</v>
      </c>
      <c r="J50" s="1900">
        <f t="shared" si="20"/>
        <v>0</v>
      </c>
      <c r="K50" s="1900">
        <f t="shared" si="20"/>
        <v>0</v>
      </c>
      <c r="L50" s="1900">
        <f t="shared" si="20"/>
        <v>0</v>
      </c>
      <c r="M50" s="1900">
        <f t="shared" si="20"/>
        <v>0</v>
      </c>
      <c r="N50" s="1901">
        <f t="shared" si="20"/>
        <v>0</v>
      </c>
    </row>
    <row r="51" spans="1:14" s="1504" customFormat="1" ht="12">
      <c r="A51" s="2459"/>
      <c r="B51" s="2461"/>
      <c r="C51" s="1902" t="s">
        <v>2844</v>
      </c>
      <c r="D51" s="1898">
        <v>1</v>
      </c>
      <c r="E51" s="1903">
        <v>0.02</v>
      </c>
      <c r="F51" s="1900">
        <f t="shared" si="20"/>
        <v>0</v>
      </c>
      <c r="G51" s="1900">
        <f t="shared" si="20"/>
        <v>0</v>
      </c>
      <c r="H51" s="1900">
        <f t="shared" si="20"/>
        <v>0</v>
      </c>
      <c r="I51" s="1900">
        <f t="shared" si="20"/>
        <v>0</v>
      </c>
      <c r="J51" s="1900">
        <f t="shared" si="20"/>
        <v>0</v>
      </c>
      <c r="K51" s="1900">
        <f t="shared" si="20"/>
        <v>0</v>
      </c>
      <c r="L51" s="1900">
        <f t="shared" si="20"/>
        <v>0</v>
      </c>
      <c r="M51" s="1900">
        <f t="shared" si="20"/>
        <v>0</v>
      </c>
      <c r="N51" s="1901">
        <f t="shared" si="20"/>
        <v>0</v>
      </c>
    </row>
    <row r="52" spans="1:14" s="1504" customFormat="1" ht="12">
      <c r="A52" s="2459"/>
      <c r="B52" s="2461"/>
      <c r="C52" s="1902" t="s">
        <v>2845</v>
      </c>
      <c r="D52" s="1898">
        <v>1</v>
      </c>
      <c r="E52" s="1903">
        <v>0.02</v>
      </c>
      <c r="F52" s="1900">
        <f t="shared" si="20"/>
        <v>0</v>
      </c>
      <c r="G52" s="1900">
        <f t="shared" si="20"/>
        <v>0</v>
      </c>
      <c r="H52" s="1900">
        <f t="shared" si="20"/>
        <v>0</v>
      </c>
      <c r="I52" s="1900">
        <f t="shared" si="20"/>
        <v>0</v>
      </c>
      <c r="J52" s="1900">
        <f t="shared" si="20"/>
        <v>0</v>
      </c>
      <c r="K52" s="1900">
        <f t="shared" si="20"/>
        <v>0</v>
      </c>
      <c r="L52" s="1900">
        <f t="shared" si="20"/>
        <v>0</v>
      </c>
      <c r="M52" s="1900">
        <f t="shared" si="20"/>
        <v>0</v>
      </c>
      <c r="N52" s="1901">
        <f t="shared" si="20"/>
        <v>0</v>
      </c>
    </row>
    <row r="53" spans="1:14" s="1504" customFormat="1" ht="12">
      <c r="A53" s="2459"/>
      <c r="B53" s="2461"/>
      <c r="C53" s="1902" t="s">
        <v>2848</v>
      </c>
      <c r="D53" s="1898">
        <v>1</v>
      </c>
      <c r="E53" s="1903">
        <v>0.02</v>
      </c>
      <c r="F53" s="1900">
        <f>F423-F208</f>
        <v>0</v>
      </c>
      <c r="G53" s="1900">
        <f t="shared" ref="G53:N53" si="21">G423-G208</f>
        <v>0</v>
      </c>
      <c r="H53" s="1900">
        <f t="shared" si="21"/>
        <v>0</v>
      </c>
      <c r="I53" s="1900">
        <f t="shared" si="21"/>
        <v>0</v>
      </c>
      <c r="J53" s="1900">
        <f t="shared" si="21"/>
        <v>0</v>
      </c>
      <c r="K53" s="1900">
        <f t="shared" si="21"/>
        <v>0</v>
      </c>
      <c r="L53" s="1900">
        <f t="shared" si="21"/>
        <v>0</v>
      </c>
      <c r="M53" s="1900">
        <f t="shared" si="21"/>
        <v>0</v>
      </c>
      <c r="N53" s="1901">
        <f t="shared" si="21"/>
        <v>0</v>
      </c>
    </row>
    <row r="54" spans="1:14" s="1504" customFormat="1" ht="12">
      <c r="A54" s="2459"/>
      <c r="B54" s="2461"/>
      <c r="C54" s="1904" t="s">
        <v>3083</v>
      </c>
      <c r="D54" s="1898"/>
      <c r="E54" s="1903"/>
      <c r="F54" s="1900"/>
      <c r="G54" s="1868"/>
      <c r="H54" s="1868"/>
      <c r="I54" s="1868"/>
      <c r="J54" s="1868"/>
      <c r="K54" s="1868"/>
      <c r="L54" s="1868"/>
      <c r="M54" s="1868"/>
      <c r="N54" s="1869"/>
    </row>
    <row r="55" spans="1:14" s="1504" customFormat="1" ht="12">
      <c r="A55" s="2459"/>
      <c r="B55" s="2461"/>
      <c r="C55" s="1904" t="s">
        <v>3084</v>
      </c>
      <c r="D55" s="1898"/>
      <c r="E55" s="1903"/>
      <c r="F55" s="1900"/>
      <c r="G55" s="1868"/>
      <c r="H55" s="1868"/>
      <c r="I55" s="1868"/>
      <c r="J55" s="1868"/>
      <c r="K55" s="1868"/>
      <c r="L55" s="1868"/>
      <c r="M55" s="1868"/>
      <c r="N55" s="1869"/>
    </row>
    <row r="56" spans="1:14" s="1504" customFormat="1" ht="12">
      <c r="A56" s="2459"/>
      <c r="B56" s="2462"/>
      <c r="C56" s="1902" t="s">
        <v>2851</v>
      </c>
      <c r="D56" s="1898">
        <v>1</v>
      </c>
      <c r="E56" s="1903">
        <v>0.02</v>
      </c>
      <c r="F56" s="1900">
        <f>F426-F211</f>
        <v>0</v>
      </c>
      <c r="G56" s="1900">
        <f t="shared" ref="G56:N56" si="22">G426-G211</f>
        <v>0</v>
      </c>
      <c r="H56" s="1900">
        <f t="shared" si="22"/>
        <v>0</v>
      </c>
      <c r="I56" s="1900">
        <f t="shared" si="22"/>
        <v>0</v>
      </c>
      <c r="J56" s="1900">
        <f t="shared" si="22"/>
        <v>0</v>
      </c>
      <c r="K56" s="1900">
        <f t="shared" si="22"/>
        <v>0</v>
      </c>
      <c r="L56" s="1900">
        <f t="shared" si="22"/>
        <v>0</v>
      </c>
      <c r="M56" s="1900">
        <f t="shared" si="22"/>
        <v>0</v>
      </c>
      <c r="N56" s="1901">
        <f t="shared" si="22"/>
        <v>0</v>
      </c>
    </row>
    <row r="57" spans="1:14" s="1504" customFormat="1" ht="12">
      <c r="A57" s="2459"/>
      <c r="B57" s="1905" t="s">
        <v>3085</v>
      </c>
      <c r="C57" s="1906" t="s">
        <v>3086</v>
      </c>
      <c r="D57" s="1898">
        <v>1</v>
      </c>
      <c r="E57" s="1903">
        <v>0</v>
      </c>
      <c r="F57" s="1900">
        <f>F429-F214</f>
        <v>0</v>
      </c>
      <c r="G57" s="1900">
        <f t="shared" ref="G57:N57" si="23">G429-G214</f>
        <v>0</v>
      </c>
      <c r="H57" s="1900">
        <f t="shared" si="23"/>
        <v>0</v>
      </c>
      <c r="I57" s="1900">
        <f t="shared" si="23"/>
        <v>0</v>
      </c>
      <c r="J57" s="1900">
        <f t="shared" si="23"/>
        <v>0</v>
      </c>
      <c r="K57" s="1900">
        <f t="shared" si="23"/>
        <v>0</v>
      </c>
      <c r="L57" s="1900">
        <f t="shared" si="23"/>
        <v>0</v>
      </c>
      <c r="M57" s="1900">
        <f t="shared" si="23"/>
        <v>0</v>
      </c>
      <c r="N57" s="1901">
        <f t="shared" si="23"/>
        <v>0</v>
      </c>
    </row>
    <row r="58" spans="1:14" s="1317" customFormat="1" ht="12">
      <c r="A58" s="2459"/>
      <c r="B58" s="1907" t="s">
        <v>3040</v>
      </c>
      <c r="C58" s="1908" t="s">
        <v>2893</v>
      </c>
      <c r="D58" s="1898">
        <v>1</v>
      </c>
      <c r="E58" s="1903"/>
      <c r="F58" s="1900">
        <f>SUM(G58:N58)</f>
        <v>0</v>
      </c>
      <c r="G58" s="1887"/>
      <c r="H58" s="1887"/>
      <c r="I58" s="1887"/>
      <c r="J58" s="1887"/>
      <c r="K58" s="1887"/>
      <c r="L58" s="1887"/>
      <c r="M58" s="1887"/>
      <c r="N58" s="1888"/>
    </row>
    <row r="59" spans="1:14" s="1317" customFormat="1" ht="12">
      <c r="A59" s="2459"/>
      <c r="B59" s="1909" t="s">
        <v>3042</v>
      </c>
      <c r="C59" s="1910" t="s">
        <v>3087</v>
      </c>
      <c r="D59" s="1911">
        <v>1</v>
      </c>
      <c r="E59" s="1912"/>
      <c r="F59" s="1913"/>
      <c r="G59" s="1914"/>
      <c r="H59" s="1914"/>
      <c r="I59" s="1914"/>
      <c r="J59" s="1914"/>
      <c r="K59" s="1914"/>
      <c r="L59" s="1914"/>
      <c r="M59" s="1914"/>
      <c r="N59" s="1915"/>
    </row>
    <row r="60" spans="1:14" s="1317" customFormat="1" ht="12">
      <c r="A60" s="1916"/>
      <c r="B60" s="2450" t="s">
        <v>3088</v>
      </c>
      <c r="C60" s="2451"/>
      <c r="D60" s="1917"/>
      <c r="E60" s="1918"/>
      <c r="F60" s="1919">
        <f>SUM(G60:N60)</f>
        <v>0</v>
      </c>
      <c r="G60" s="1920">
        <f>SUM(G46:G59)</f>
        <v>0</v>
      </c>
      <c r="H60" s="1920">
        <f t="shared" ref="H60:N60" si="24">SUM(H46:H59)</f>
        <v>0</v>
      </c>
      <c r="I60" s="1920">
        <f t="shared" si="24"/>
        <v>0</v>
      </c>
      <c r="J60" s="1920">
        <f t="shared" si="24"/>
        <v>0</v>
      </c>
      <c r="K60" s="1920">
        <f t="shared" si="24"/>
        <v>0</v>
      </c>
      <c r="L60" s="1920">
        <f t="shared" si="24"/>
        <v>0</v>
      </c>
      <c r="M60" s="1920">
        <f t="shared" si="24"/>
        <v>0</v>
      </c>
      <c r="N60" s="1921">
        <f t="shared" si="24"/>
        <v>0</v>
      </c>
    </row>
    <row r="61" spans="1:14" s="1317" customFormat="1" ht="12" hidden="1">
      <c r="A61" s="1916"/>
      <c r="B61" s="2450" t="s">
        <v>3089</v>
      </c>
      <c r="C61" s="2451"/>
      <c r="D61" s="1917"/>
      <c r="E61" s="1918"/>
      <c r="F61" s="1919">
        <f>SUM(G61:N61)</f>
        <v>0</v>
      </c>
      <c r="G61" s="1922">
        <f>IF(G58="",IF(G13+G21=0,IF(G8=G85,G60,0),0),0)</f>
        <v>0</v>
      </c>
      <c r="H61" s="1922">
        <f t="shared" ref="H61:N61" si="25">IF(H58="",IF(H13+H21=0,IF(H8=H85,H60,0),0),0)</f>
        <v>0</v>
      </c>
      <c r="I61" s="1922">
        <f t="shared" si="25"/>
        <v>0</v>
      </c>
      <c r="J61" s="1922">
        <f t="shared" si="25"/>
        <v>0</v>
      </c>
      <c r="K61" s="1922">
        <f t="shared" si="25"/>
        <v>0</v>
      </c>
      <c r="L61" s="1922">
        <f t="shared" si="25"/>
        <v>0</v>
      </c>
      <c r="M61" s="1922">
        <f t="shared" si="25"/>
        <v>0</v>
      </c>
      <c r="N61" s="1922">
        <f t="shared" si="25"/>
        <v>0</v>
      </c>
    </row>
    <row r="62" spans="1:14" s="1317" customFormat="1" ht="13.5" hidden="1" customHeight="1">
      <c r="A62" s="1916"/>
      <c r="B62" s="2450" t="s">
        <v>3090</v>
      </c>
      <c r="C62" s="2451"/>
      <c r="D62" s="1917"/>
      <c r="E62" s="1918"/>
      <c r="F62" s="1919">
        <f>SUM(G62:N62)</f>
        <v>0</v>
      </c>
      <c r="G62" s="1923">
        <f t="shared" ref="G62:N62" si="26">G12-(G42+G43)</f>
        <v>0</v>
      </c>
      <c r="H62" s="1923">
        <f t="shared" si="26"/>
        <v>0</v>
      </c>
      <c r="I62" s="1923">
        <f t="shared" si="26"/>
        <v>0</v>
      </c>
      <c r="J62" s="1923">
        <f t="shared" si="26"/>
        <v>0</v>
      </c>
      <c r="K62" s="1923">
        <f t="shared" si="26"/>
        <v>0</v>
      </c>
      <c r="L62" s="1923">
        <f t="shared" si="26"/>
        <v>0</v>
      </c>
      <c r="M62" s="1923">
        <f t="shared" si="26"/>
        <v>0</v>
      </c>
      <c r="N62" s="1923">
        <f t="shared" si="26"/>
        <v>0</v>
      </c>
    </row>
    <row r="63" spans="1:14" s="1317" customFormat="1" ht="12" hidden="1">
      <c r="A63" s="1916"/>
      <c r="B63" s="2450" t="s">
        <v>3091</v>
      </c>
      <c r="C63" s="2451"/>
      <c r="D63" s="1917"/>
      <c r="E63" s="1918"/>
      <c r="F63" s="1919">
        <f>SUM(G63:N63)</f>
        <v>0</v>
      </c>
      <c r="G63" s="1920">
        <f>IF($F$61=0,0,(IF(G61=0,INT(G62/$F62*$F61),0)))</f>
        <v>0</v>
      </c>
      <c r="H63" s="1920">
        <f t="shared" ref="H63:N63" si="27">IF($F$61=0,0,(IF(H61=0,INT(H62/$F62*$F61),0)))</f>
        <v>0</v>
      </c>
      <c r="I63" s="1920">
        <f t="shared" si="27"/>
        <v>0</v>
      </c>
      <c r="J63" s="1920">
        <f t="shared" si="27"/>
        <v>0</v>
      </c>
      <c r="K63" s="1920">
        <f t="shared" si="27"/>
        <v>0</v>
      </c>
      <c r="L63" s="1920">
        <f t="shared" si="27"/>
        <v>0</v>
      </c>
      <c r="M63" s="1920">
        <f t="shared" si="27"/>
        <v>0</v>
      </c>
      <c r="N63" s="1920">
        <f t="shared" si="27"/>
        <v>0</v>
      </c>
    </row>
    <row r="64" spans="1:14" s="1317" customFormat="1" ht="12" hidden="1">
      <c r="A64" s="1916"/>
      <c r="B64" s="2450" t="s">
        <v>3092</v>
      </c>
      <c r="C64" s="2451"/>
      <c r="D64" s="1917"/>
      <c r="E64" s="1918"/>
      <c r="F64" s="1919">
        <f>F61-F63</f>
        <v>0</v>
      </c>
      <c r="G64" s="1920">
        <f>IF($F64=0,0,IF(G63=0,0,$F64))</f>
        <v>0</v>
      </c>
      <c r="H64" s="1920">
        <f>IF($F64=0,0,IF(H63=0,0,IF(SUM($G64:G64)=0,$F64,0)))</f>
        <v>0</v>
      </c>
      <c r="I64" s="1920">
        <f>IF($F64=0,0,IF(I63=0,0,IF(SUM($G64:H64)=0,$F64,0)))</f>
        <v>0</v>
      </c>
      <c r="J64" s="1920">
        <f>IF($F64=0,0,IF(J63=0,0,IF(SUM($G64:I64)=0,$F64,0)))</f>
        <v>0</v>
      </c>
      <c r="K64" s="1920">
        <f>IF($F64=0,0,IF(K63=0,0,IF(SUM($G64:J64)=0,$F64,0)))</f>
        <v>0</v>
      </c>
      <c r="L64" s="1920">
        <f>IF($F64=0,0,IF(L63=0,0,IF(SUM($G64:K64)=0,$F64,0)))</f>
        <v>0</v>
      </c>
      <c r="M64" s="1920">
        <f>IF($F64=0,0,IF(M63=0,0,IF(SUM($G64:L64)=0,$F64,0)))</f>
        <v>0</v>
      </c>
      <c r="N64" s="1920">
        <f>IF($F64=0,0,IF(N63=0,0,IF(SUM($G64:M64)=0,$F64,0)))</f>
        <v>0</v>
      </c>
    </row>
    <row r="65" spans="1:14" s="1317" customFormat="1" ht="13.5" customHeight="1">
      <c r="A65" s="1916"/>
      <c r="B65" s="2452" t="s">
        <v>3093</v>
      </c>
      <c r="C65" s="2453"/>
      <c r="D65" s="1924"/>
      <c r="E65" s="1925"/>
      <c r="F65" s="1919">
        <f>SUM(G65:N65)</f>
        <v>0</v>
      </c>
      <c r="G65" s="1926">
        <f>IF(G58="",IF(G13+G21=0,IF(G8=G85,0,G60+G63+G64),G60+G63+G64),G58)</f>
        <v>0</v>
      </c>
      <c r="H65" s="1926">
        <f t="shared" ref="H65:N65" si="28">IF(H58="",IF(H13+H21=0,IF(H8=H85,0,H60+H63+H64),H60+H63+H64),H58)</f>
        <v>0</v>
      </c>
      <c r="I65" s="1926">
        <f t="shared" si="28"/>
        <v>0</v>
      </c>
      <c r="J65" s="1926">
        <f t="shared" si="28"/>
        <v>0</v>
      </c>
      <c r="K65" s="1926">
        <f t="shared" si="28"/>
        <v>0</v>
      </c>
      <c r="L65" s="1926">
        <f t="shared" si="28"/>
        <v>0</v>
      </c>
      <c r="M65" s="1926">
        <f t="shared" si="28"/>
        <v>0</v>
      </c>
      <c r="N65" s="1926">
        <f t="shared" si="28"/>
        <v>0</v>
      </c>
    </row>
    <row r="66" spans="1:14" s="1317" customFormat="1" ht="12">
      <c r="A66" s="1927" t="s">
        <v>3094</v>
      </c>
      <c r="B66" s="1928"/>
      <c r="C66" s="1928"/>
      <c r="D66" s="1929"/>
      <c r="E66" s="1930" t="s">
        <v>3095</v>
      </c>
      <c r="F66" s="1931">
        <f>SUM(G66:N66)</f>
        <v>0</v>
      </c>
      <c r="G66" s="1932">
        <f t="shared" ref="G66:N66" si="29">G12-G44+G65</f>
        <v>0</v>
      </c>
      <c r="H66" s="1932">
        <f t="shared" si="29"/>
        <v>0</v>
      </c>
      <c r="I66" s="1932">
        <f t="shared" si="29"/>
        <v>0</v>
      </c>
      <c r="J66" s="1932">
        <f t="shared" si="29"/>
        <v>0</v>
      </c>
      <c r="K66" s="1932">
        <f t="shared" si="29"/>
        <v>0</v>
      </c>
      <c r="L66" s="1932">
        <f t="shared" si="29"/>
        <v>0</v>
      </c>
      <c r="M66" s="1932">
        <f t="shared" si="29"/>
        <v>0</v>
      </c>
      <c r="N66" s="1932">
        <f t="shared" si="29"/>
        <v>0</v>
      </c>
    </row>
    <row r="67" spans="1:14" s="1317" customFormat="1" ht="12">
      <c r="A67" s="1933"/>
      <c r="B67" s="2454" t="s">
        <v>3096</v>
      </c>
      <c r="C67" s="2455"/>
      <c r="D67" s="1934"/>
      <c r="E67" s="1935"/>
      <c r="F67" s="1936"/>
      <c r="G67" s="1937"/>
      <c r="H67" s="1937"/>
      <c r="I67" s="1937"/>
      <c r="J67" s="1937"/>
      <c r="K67" s="1937"/>
      <c r="L67" s="1937"/>
      <c r="M67" s="1937"/>
      <c r="N67" s="1938"/>
    </row>
    <row r="68" spans="1:14" s="1317" customFormat="1" ht="13.5" customHeight="1">
      <c r="A68" s="1933"/>
      <c r="B68" s="1939" t="s">
        <v>3097</v>
      </c>
      <c r="C68" s="1940"/>
      <c r="D68" s="1941"/>
      <c r="E68" s="1942"/>
      <c r="F68" s="1943">
        <f>+F460-F247</f>
        <v>0</v>
      </c>
      <c r="G68" s="1943">
        <f>+G462-G248</f>
        <v>0</v>
      </c>
      <c r="H68" s="1943">
        <f t="shared" ref="H68:N68" si="30">+H462-H248</f>
        <v>0</v>
      </c>
      <c r="I68" s="1943">
        <f t="shared" si="30"/>
        <v>0</v>
      </c>
      <c r="J68" s="1943">
        <f t="shared" si="30"/>
        <v>0</v>
      </c>
      <c r="K68" s="1943">
        <f t="shared" si="30"/>
        <v>0</v>
      </c>
      <c r="L68" s="1943">
        <f t="shared" si="30"/>
        <v>0</v>
      </c>
      <c r="M68" s="1943">
        <f t="shared" si="30"/>
        <v>0</v>
      </c>
      <c r="N68" s="1943">
        <f t="shared" si="30"/>
        <v>0</v>
      </c>
    </row>
    <row r="69" spans="1:14" s="1317" customFormat="1" ht="13.5" hidden="1" customHeight="1">
      <c r="A69" s="1916"/>
      <c r="B69" s="2445" t="s">
        <v>3089</v>
      </c>
      <c r="C69" s="2446"/>
      <c r="D69" s="1944"/>
      <c r="E69" s="1945"/>
      <c r="F69" s="1946">
        <f>SUM(G69:N69)</f>
        <v>0</v>
      </c>
      <c r="G69" s="1947">
        <f t="shared" ref="G69:N69" si="31">IF(G66=0,G68,0)</f>
        <v>0</v>
      </c>
      <c r="H69" s="1947">
        <f t="shared" si="31"/>
        <v>0</v>
      </c>
      <c r="I69" s="1920">
        <f t="shared" si="31"/>
        <v>0</v>
      </c>
      <c r="J69" s="1920">
        <f t="shared" si="31"/>
        <v>0</v>
      </c>
      <c r="K69" s="1920">
        <f t="shared" si="31"/>
        <v>0</v>
      </c>
      <c r="L69" s="1920">
        <f t="shared" si="31"/>
        <v>0</v>
      </c>
      <c r="M69" s="1920">
        <f t="shared" si="31"/>
        <v>0</v>
      </c>
      <c r="N69" s="1920">
        <f t="shared" si="31"/>
        <v>0</v>
      </c>
    </row>
    <row r="70" spans="1:14" s="1317" customFormat="1" ht="13.5" hidden="1" customHeight="1">
      <c r="A70" s="1916"/>
      <c r="B70" s="2445" t="s">
        <v>3098</v>
      </c>
      <c r="C70" s="2446"/>
      <c r="D70" s="1944"/>
      <c r="E70" s="1945"/>
      <c r="F70" s="1946">
        <f>SUM(G70:N70)</f>
        <v>0</v>
      </c>
      <c r="G70" s="1947">
        <f>IF(G67=0,G66,G66-(G42+G43+G58))</f>
        <v>0</v>
      </c>
      <c r="H70" s="1947">
        <f t="shared" ref="H70:N70" si="32">IF(H67=0,H66,H66-(H42+H43+H58))</f>
        <v>0</v>
      </c>
      <c r="I70" s="1920">
        <f t="shared" si="32"/>
        <v>0</v>
      </c>
      <c r="J70" s="1920">
        <f t="shared" si="32"/>
        <v>0</v>
      </c>
      <c r="K70" s="1920">
        <f t="shared" si="32"/>
        <v>0</v>
      </c>
      <c r="L70" s="1920">
        <f t="shared" si="32"/>
        <v>0</v>
      </c>
      <c r="M70" s="1920">
        <f t="shared" si="32"/>
        <v>0</v>
      </c>
      <c r="N70" s="1920">
        <f t="shared" si="32"/>
        <v>0</v>
      </c>
    </row>
    <row r="71" spans="1:14" s="1317" customFormat="1" ht="13.5" hidden="1" customHeight="1">
      <c r="A71" s="1916"/>
      <c r="B71" s="2445" t="s">
        <v>3099</v>
      </c>
      <c r="C71" s="2446"/>
      <c r="D71" s="1944"/>
      <c r="E71" s="1945"/>
      <c r="F71" s="1946">
        <f>SUM(G71:N71)</f>
        <v>0</v>
      </c>
      <c r="G71" s="1923">
        <f t="shared" ref="G71:N71" si="33">IF($F$69=0,0,(INT(G70/$F70*$F69)))</f>
        <v>0</v>
      </c>
      <c r="H71" s="1923">
        <f t="shared" si="33"/>
        <v>0</v>
      </c>
      <c r="I71" s="1948">
        <f t="shared" si="33"/>
        <v>0</v>
      </c>
      <c r="J71" s="1948">
        <f t="shared" si="33"/>
        <v>0</v>
      </c>
      <c r="K71" s="1948">
        <f t="shared" si="33"/>
        <v>0</v>
      </c>
      <c r="L71" s="1948">
        <f t="shared" si="33"/>
        <v>0</v>
      </c>
      <c r="M71" s="1948">
        <f t="shared" si="33"/>
        <v>0</v>
      </c>
      <c r="N71" s="1948">
        <f t="shared" si="33"/>
        <v>0</v>
      </c>
    </row>
    <row r="72" spans="1:14" s="1317" customFormat="1" ht="13.5" hidden="1" customHeight="1">
      <c r="A72" s="1916"/>
      <c r="B72" s="2445" t="s">
        <v>3100</v>
      </c>
      <c r="C72" s="2446"/>
      <c r="D72" s="1944"/>
      <c r="E72" s="1945"/>
      <c r="F72" s="1946">
        <f>F69-F71</f>
        <v>0</v>
      </c>
      <c r="G72" s="1947">
        <f>IF($F72=0,0,IF(G71=0,0,$F72))</f>
        <v>0</v>
      </c>
      <c r="H72" s="1947">
        <f>IF($F72=0,0,IF(H71=0,0,IF(SUM($G72:G72)=0,$F72,0)))</f>
        <v>0</v>
      </c>
      <c r="I72" s="1920">
        <f>IF($F72=0,0,IF(I71=0,0,IF(SUM($G72:H72)=0,$F72,0)))</f>
        <v>0</v>
      </c>
      <c r="J72" s="1920">
        <f>IF($F72=0,0,IF(J71=0,0,IF(SUM($G72:I72)=0,$F72,0)))</f>
        <v>0</v>
      </c>
      <c r="K72" s="1920">
        <f>IF($F72=0,0,IF(K71=0,0,IF(SUM($G72:J72)=0,$F72,0)))</f>
        <v>0</v>
      </c>
      <c r="L72" s="1920">
        <f>IF($F72=0,0,IF(L71=0,0,IF(SUM($G72:K72)=0,$F72,0)))</f>
        <v>0</v>
      </c>
      <c r="M72" s="1920">
        <f>IF($F72=0,0,IF(M71=0,0,IF(SUM($G72:K72)=0,$F72,0)))</f>
        <v>0</v>
      </c>
      <c r="N72" s="1920">
        <f>IF($F72=0,0,IF(N71=0,0,IF(SUM($G72:M72)=0,$F72,0)))</f>
        <v>0</v>
      </c>
    </row>
    <row r="73" spans="1:14" s="1317" customFormat="1" ht="13.5" customHeight="1">
      <c r="A73" s="1933"/>
      <c r="B73" s="1949" t="s">
        <v>3101</v>
      </c>
      <c r="C73" s="1950"/>
      <c r="D73" s="1951"/>
      <c r="E73" s="1952"/>
      <c r="F73" s="1953">
        <f t="shared" ref="F73:F79" si="34">SUM(G73:N73)</f>
        <v>0</v>
      </c>
      <c r="G73" s="1954">
        <f t="shared" ref="G73:N73" si="35">IF(G66=0,0,G68+G71+G72)</f>
        <v>0</v>
      </c>
      <c r="H73" s="1954">
        <f t="shared" si="35"/>
        <v>0</v>
      </c>
      <c r="I73" s="1955">
        <f t="shared" si="35"/>
        <v>0</v>
      </c>
      <c r="J73" s="1955">
        <f t="shared" si="35"/>
        <v>0</v>
      </c>
      <c r="K73" s="1955">
        <f t="shared" si="35"/>
        <v>0</v>
      </c>
      <c r="L73" s="1955">
        <f t="shared" si="35"/>
        <v>0</v>
      </c>
      <c r="M73" s="1955">
        <f t="shared" si="35"/>
        <v>0</v>
      </c>
      <c r="N73" s="1956">
        <f t="shared" si="35"/>
        <v>0</v>
      </c>
    </row>
    <row r="74" spans="1:14" s="1317" customFormat="1" ht="13.5" customHeight="1">
      <c r="A74" s="1933"/>
      <c r="B74" s="1957" t="s">
        <v>3102</v>
      </c>
      <c r="C74" s="1958"/>
      <c r="D74" s="1959"/>
      <c r="E74" s="1960"/>
      <c r="F74" s="1961" t="e">
        <f>SUM(G74:N74)</f>
        <v>#DIV/0!</v>
      </c>
      <c r="G74" s="1962" t="e">
        <f>G73-(G75-G77)</f>
        <v>#DIV/0!</v>
      </c>
      <c r="H74" s="1962" t="e">
        <f t="shared" ref="H74:N74" si="36">H73-(H75-H77)</f>
        <v>#DIV/0!</v>
      </c>
      <c r="I74" s="1926" t="e">
        <f t="shared" si="36"/>
        <v>#DIV/0!</v>
      </c>
      <c r="J74" s="1926" t="e">
        <f t="shared" si="36"/>
        <v>#DIV/0!</v>
      </c>
      <c r="K74" s="1926" t="e">
        <f t="shared" si="36"/>
        <v>#DIV/0!</v>
      </c>
      <c r="L74" s="1926" t="e">
        <f t="shared" si="36"/>
        <v>#DIV/0!</v>
      </c>
      <c r="M74" s="1926" t="e">
        <f t="shared" si="36"/>
        <v>#DIV/0!</v>
      </c>
      <c r="N74" s="1963" t="e">
        <f t="shared" si="36"/>
        <v>#DIV/0!</v>
      </c>
    </row>
    <row r="75" spans="1:14" s="1317" customFormat="1" ht="13.5" customHeight="1" thickBot="1">
      <c r="A75" s="1964" t="s">
        <v>347</v>
      </c>
      <c r="B75" s="1965"/>
      <c r="C75" s="1966"/>
      <c r="D75" s="1967"/>
      <c r="E75" s="1968"/>
      <c r="F75" s="1969">
        <f t="shared" si="34"/>
        <v>0</v>
      </c>
      <c r="G75" s="1970">
        <f t="shared" ref="G75:N75" si="37">+G12+G65+G73</f>
        <v>0</v>
      </c>
      <c r="H75" s="1970">
        <f t="shared" si="37"/>
        <v>0</v>
      </c>
      <c r="I75" s="1970">
        <f t="shared" si="37"/>
        <v>0</v>
      </c>
      <c r="J75" s="1970">
        <f t="shared" si="37"/>
        <v>0</v>
      </c>
      <c r="K75" s="1970">
        <f t="shared" si="37"/>
        <v>0</v>
      </c>
      <c r="L75" s="1970">
        <f t="shared" si="37"/>
        <v>0</v>
      </c>
      <c r="M75" s="1970">
        <f t="shared" si="37"/>
        <v>0</v>
      </c>
      <c r="N75" s="1971">
        <f t="shared" si="37"/>
        <v>0</v>
      </c>
    </row>
    <row r="76" spans="1:14" s="1317" customFormat="1" ht="13.5" customHeight="1" thickTop="1">
      <c r="A76" s="1972" t="s">
        <v>3103</v>
      </c>
      <c r="B76" s="1973"/>
      <c r="C76" s="1973"/>
      <c r="D76" s="1974"/>
      <c r="E76" s="1975"/>
      <c r="F76" s="1976">
        <f t="shared" si="34"/>
        <v>0</v>
      </c>
      <c r="G76" s="1977">
        <f t="shared" ref="G76:N76" si="38">IF(G75&lt;0,ROUNDUP(G75,-3),ROUNDDOWN(G75,-3))</f>
        <v>0</v>
      </c>
      <c r="H76" s="1977">
        <f t="shared" si="38"/>
        <v>0</v>
      </c>
      <c r="I76" s="1977">
        <f t="shared" si="38"/>
        <v>0</v>
      </c>
      <c r="J76" s="1977">
        <f t="shared" si="38"/>
        <v>0</v>
      </c>
      <c r="K76" s="1977">
        <f t="shared" si="38"/>
        <v>0</v>
      </c>
      <c r="L76" s="1977">
        <f t="shared" si="38"/>
        <v>0</v>
      </c>
      <c r="M76" s="1977">
        <f t="shared" si="38"/>
        <v>0</v>
      </c>
      <c r="N76" s="1978">
        <f t="shared" si="38"/>
        <v>0</v>
      </c>
    </row>
    <row r="77" spans="1:14" s="1317" customFormat="1" ht="13.5" customHeight="1">
      <c r="A77" s="1979" t="s">
        <v>3104</v>
      </c>
      <c r="B77" s="1980"/>
      <c r="C77" s="1980"/>
      <c r="D77" s="1981"/>
      <c r="E77" s="1982">
        <f>ROUNDDOWN(F76,4-LEN(F75))</f>
        <v>0</v>
      </c>
      <c r="F77" s="1983">
        <f>ROUNDDOWN(F76,4-LEN(F75))</f>
        <v>0</v>
      </c>
      <c r="G77" s="1984" t="e">
        <f>F77-SUM(H77:N77)</f>
        <v>#DIV/0!</v>
      </c>
      <c r="H77" s="1985" t="e">
        <f>IF(H67="",+H76-ROUND(($F$76-$E$77)*H75/$F$75,-3),H75)</f>
        <v>#DIV/0!</v>
      </c>
      <c r="I77" s="1985" t="e">
        <f t="shared" ref="I77:N77" si="39">IF(I67="",+I76-ROUND(($F$76-$E$77)*I75/$F$75,-3),I75)</f>
        <v>#DIV/0!</v>
      </c>
      <c r="J77" s="1985" t="e">
        <f t="shared" si="39"/>
        <v>#DIV/0!</v>
      </c>
      <c r="K77" s="1985" t="e">
        <f t="shared" si="39"/>
        <v>#DIV/0!</v>
      </c>
      <c r="L77" s="1985" t="e">
        <f t="shared" si="39"/>
        <v>#DIV/0!</v>
      </c>
      <c r="M77" s="1985" t="e">
        <f t="shared" si="39"/>
        <v>#DIV/0!</v>
      </c>
      <c r="N77" s="1986" t="e">
        <f t="shared" si="39"/>
        <v>#DIV/0!</v>
      </c>
    </row>
    <row r="78" spans="1:14" s="1317" customFormat="1" ht="13.5" customHeight="1">
      <c r="A78" s="1987"/>
      <c r="B78" s="2447" t="s">
        <v>3105</v>
      </c>
      <c r="C78" s="1988" t="s">
        <v>3106</v>
      </c>
      <c r="D78" s="1989"/>
      <c r="E78" s="1989"/>
      <c r="F78" s="1990">
        <f t="shared" si="34"/>
        <v>0</v>
      </c>
      <c r="G78" s="1991">
        <f t="shared" ref="G78:N78" si="40">+G12</f>
        <v>0</v>
      </c>
      <c r="H78" s="1991">
        <f t="shared" si="40"/>
        <v>0</v>
      </c>
      <c r="I78" s="1991">
        <f t="shared" si="40"/>
        <v>0</v>
      </c>
      <c r="J78" s="1991">
        <f t="shared" si="40"/>
        <v>0</v>
      </c>
      <c r="K78" s="1991">
        <f t="shared" si="40"/>
        <v>0</v>
      </c>
      <c r="L78" s="1991">
        <f t="shared" si="40"/>
        <v>0</v>
      </c>
      <c r="M78" s="1991">
        <f t="shared" si="40"/>
        <v>0</v>
      </c>
      <c r="N78" s="1992">
        <f t="shared" si="40"/>
        <v>0</v>
      </c>
    </row>
    <row r="79" spans="1:14" s="1317" customFormat="1" ht="13.5" customHeight="1">
      <c r="A79" s="1958"/>
      <c r="B79" s="2448"/>
      <c r="C79" s="1958" t="s">
        <v>3107</v>
      </c>
      <c r="D79" s="1959"/>
      <c r="E79" s="1959"/>
      <c r="F79" s="1993" t="e">
        <f t="shared" si="34"/>
        <v>#DIV/0!</v>
      </c>
      <c r="G79" s="1994" t="e">
        <f>+G77-G78</f>
        <v>#DIV/0!</v>
      </c>
      <c r="H79" s="1994" t="e">
        <f t="shared" ref="H79:N79" si="41">+H77-H78</f>
        <v>#DIV/0!</v>
      </c>
      <c r="I79" s="1994" t="e">
        <f t="shared" si="41"/>
        <v>#DIV/0!</v>
      </c>
      <c r="J79" s="1994" t="e">
        <f t="shared" si="41"/>
        <v>#DIV/0!</v>
      </c>
      <c r="K79" s="1994" t="e">
        <f t="shared" si="41"/>
        <v>#DIV/0!</v>
      </c>
      <c r="L79" s="1994" t="e">
        <f t="shared" si="41"/>
        <v>#DIV/0!</v>
      </c>
      <c r="M79" s="1994" t="e">
        <f t="shared" si="41"/>
        <v>#DIV/0!</v>
      </c>
      <c r="N79" s="1995" t="e">
        <f t="shared" si="41"/>
        <v>#DIV/0!</v>
      </c>
    </row>
    <row r="80" spans="1:14" s="1317" customFormat="1" ht="13.5" hidden="1" customHeight="1">
      <c r="A80" s="1996" t="s">
        <v>3108</v>
      </c>
      <c r="B80" s="1997"/>
      <c r="C80" s="1998">
        <f>ROUNDDOWN(F76,4-LEN(F75))</f>
        <v>0</v>
      </c>
      <c r="D80" s="1997"/>
      <c r="E80" s="1999" t="s">
        <v>3109</v>
      </c>
      <c r="F80" s="1998">
        <f>SUM(G80:N80)</f>
        <v>0</v>
      </c>
      <c r="G80" s="2000">
        <f t="shared" ref="G80:N80" si="42">IF(G75&lt;0,ROUNDUP(G75*$G$2,-3),ROUNDDOWN(G75*$G$2,-3))</f>
        <v>0</v>
      </c>
      <c r="H80" s="2000">
        <f t="shared" si="42"/>
        <v>0</v>
      </c>
      <c r="I80" s="2000">
        <f t="shared" si="42"/>
        <v>0</v>
      </c>
      <c r="J80" s="2000">
        <f t="shared" si="42"/>
        <v>0</v>
      </c>
      <c r="K80" s="2000">
        <f t="shared" si="42"/>
        <v>0</v>
      </c>
      <c r="L80" s="2000">
        <f t="shared" si="42"/>
        <v>0</v>
      </c>
      <c r="M80" s="2000">
        <f t="shared" si="42"/>
        <v>0</v>
      </c>
      <c r="N80" s="2000">
        <f t="shared" si="42"/>
        <v>0</v>
      </c>
    </row>
    <row r="81" spans="1:14" s="1317" customFormat="1" ht="13.5" hidden="1" customHeight="1">
      <c r="A81" s="2001"/>
      <c r="B81" s="2449" t="s">
        <v>3105</v>
      </c>
      <c r="C81" s="1997" t="s">
        <v>3106</v>
      </c>
      <c r="D81" s="1997"/>
      <c r="E81" s="1997"/>
      <c r="F81" s="1998">
        <f>SUM(G81:N81)</f>
        <v>0</v>
      </c>
      <c r="G81" s="2000">
        <f t="shared" ref="G81:N81" si="43">IF(G78&lt;0,ROUNDDOWN(G78*$G$2,0),ROUNDUP(G78*$G$2,0))</f>
        <v>0</v>
      </c>
      <c r="H81" s="2000">
        <f t="shared" si="43"/>
        <v>0</v>
      </c>
      <c r="I81" s="2000">
        <f t="shared" si="43"/>
        <v>0</v>
      </c>
      <c r="J81" s="2000">
        <f t="shared" si="43"/>
        <v>0</v>
      </c>
      <c r="K81" s="2000">
        <f t="shared" si="43"/>
        <v>0</v>
      </c>
      <c r="L81" s="2000">
        <f t="shared" si="43"/>
        <v>0</v>
      </c>
      <c r="M81" s="2000">
        <f t="shared" si="43"/>
        <v>0</v>
      </c>
      <c r="N81" s="2000">
        <f t="shared" si="43"/>
        <v>0</v>
      </c>
    </row>
    <row r="82" spans="1:14" s="1317" customFormat="1" ht="13.5" hidden="1" customHeight="1">
      <c r="A82" s="1997"/>
      <c r="B82" s="2449"/>
      <c r="C82" s="1997" t="s">
        <v>3107</v>
      </c>
      <c r="D82" s="1997"/>
      <c r="E82" s="1997"/>
      <c r="F82" s="1998">
        <f>SUM(G82:N82)</f>
        <v>0</v>
      </c>
      <c r="G82" s="2000">
        <f t="shared" ref="G82:N82" si="44">+G80-G81</f>
        <v>0</v>
      </c>
      <c r="H82" s="2000">
        <f t="shared" si="44"/>
        <v>0</v>
      </c>
      <c r="I82" s="2000">
        <f t="shared" si="44"/>
        <v>0</v>
      </c>
      <c r="J82" s="2000">
        <f t="shared" si="44"/>
        <v>0</v>
      </c>
      <c r="K82" s="2000">
        <f t="shared" si="44"/>
        <v>0</v>
      </c>
      <c r="L82" s="2000">
        <f t="shared" si="44"/>
        <v>0</v>
      </c>
      <c r="M82" s="2000">
        <f t="shared" si="44"/>
        <v>0</v>
      </c>
      <c r="N82" s="2000">
        <f t="shared" si="44"/>
        <v>0</v>
      </c>
    </row>
    <row r="83" spans="1:14" s="1838" customFormat="1" ht="13.5" customHeight="1">
      <c r="A83" s="2002"/>
      <c r="B83" s="2002"/>
      <c r="C83" s="2003"/>
      <c r="D83" s="2004"/>
      <c r="E83" s="2005" t="s">
        <v>346</v>
      </c>
      <c r="F83" s="2006">
        <f>+F1</f>
        <v>0</v>
      </c>
      <c r="G83" s="2007"/>
      <c r="H83" s="2008"/>
      <c r="I83" s="2009"/>
      <c r="J83" s="843"/>
      <c r="K83" s="843"/>
      <c r="L83" s="843"/>
      <c r="M83" s="843"/>
      <c r="N83" s="1811" t="s">
        <v>3110</v>
      </c>
    </row>
    <row r="84" spans="1:14" s="951" customFormat="1" ht="13.5" customHeight="1">
      <c r="A84" s="846"/>
      <c r="B84" s="846"/>
      <c r="C84" s="2010" t="str">
        <f>IF(OR(G84="無し",G84="なし"),"共通費集計表","随契諸経費集計表")</f>
        <v>共通費集計表</v>
      </c>
      <c r="D84" s="848"/>
      <c r="E84" s="837"/>
      <c r="F84" s="836" t="s">
        <v>3111</v>
      </c>
      <c r="G84" s="2011" t="s">
        <v>3112</v>
      </c>
      <c r="H84" s="2012"/>
      <c r="J84" s="842"/>
      <c r="K84" s="842"/>
      <c r="L84" s="842"/>
      <c r="M84" s="836"/>
      <c r="N84" s="850"/>
    </row>
    <row r="85" spans="1:14" s="1838" customFormat="1" ht="13.5" customHeight="1">
      <c r="A85" s="1076"/>
      <c r="B85" s="1077"/>
      <c r="C85" s="853" t="s">
        <v>2797</v>
      </c>
      <c r="D85" s="854"/>
      <c r="E85" s="855"/>
      <c r="F85" s="856" t="s">
        <v>2798</v>
      </c>
      <c r="G85" s="2013"/>
      <c r="H85" s="2013"/>
      <c r="I85" s="2013"/>
      <c r="J85" s="2013"/>
      <c r="K85" s="2013"/>
      <c r="L85" s="2013"/>
      <c r="M85" s="2013"/>
      <c r="N85" s="2014"/>
    </row>
    <row r="86" spans="1:14" s="1838" customFormat="1" ht="13.5" customHeight="1">
      <c r="A86" s="945"/>
      <c r="B86" s="946"/>
      <c r="C86" s="1839" t="s">
        <v>2799</v>
      </c>
      <c r="D86" s="1840"/>
      <c r="E86" s="1841"/>
      <c r="F86" s="1842" t="s">
        <v>3113</v>
      </c>
      <c r="G86" s="2015"/>
      <c r="H86" s="2015"/>
      <c r="I86" s="2015"/>
      <c r="J86" s="2015"/>
      <c r="K86" s="2015"/>
      <c r="L86" s="2015"/>
      <c r="M86" s="2015"/>
      <c r="N86" s="2016"/>
    </row>
    <row r="87" spans="1:14" s="951" customFormat="1" ht="13.5" customHeight="1">
      <c r="A87" s="945"/>
      <c r="B87" s="946"/>
      <c r="C87" s="946" t="s">
        <v>3114</v>
      </c>
      <c r="D87" s="946"/>
      <c r="E87" s="2017" t="s">
        <v>2802</v>
      </c>
      <c r="F87" s="1164" t="s">
        <v>2836</v>
      </c>
      <c r="G87" s="2018"/>
      <c r="H87" s="2019"/>
      <c r="I87" s="2019"/>
      <c r="J87" s="2019"/>
      <c r="K87" s="2019"/>
      <c r="L87" s="2019"/>
      <c r="M87" s="2019"/>
      <c r="N87" s="2020"/>
    </row>
    <row r="88" spans="1:14" s="951" customFormat="1" ht="13.5" customHeight="1">
      <c r="A88" s="945"/>
      <c r="B88" s="946"/>
      <c r="C88" s="946" t="s">
        <v>2804</v>
      </c>
      <c r="D88" s="946"/>
      <c r="E88" s="2017" t="s">
        <v>2802</v>
      </c>
      <c r="F88" s="2021" t="s">
        <v>2806</v>
      </c>
      <c r="G88" s="2022"/>
      <c r="H88" s="2022"/>
      <c r="I88" s="2022"/>
      <c r="J88" s="2022"/>
      <c r="K88" s="2022"/>
      <c r="L88" s="2022"/>
      <c r="M88" s="2022"/>
      <c r="N88" s="2023"/>
    </row>
    <row r="89" spans="1:14" s="951" customFormat="1" ht="13.5" customHeight="1">
      <c r="A89" s="945"/>
      <c r="B89" s="946"/>
      <c r="C89" s="1845" t="s">
        <v>2807</v>
      </c>
      <c r="D89" s="1846"/>
      <c r="E89" s="1847"/>
      <c r="F89" s="1848"/>
      <c r="G89" s="1849" t="s">
        <v>3115</v>
      </c>
      <c r="H89" s="1849" t="s">
        <v>3115</v>
      </c>
      <c r="I89" s="1849" t="s">
        <v>3115</v>
      </c>
      <c r="J89" s="1849" t="s">
        <v>3115</v>
      </c>
      <c r="K89" s="1849" t="s">
        <v>3115</v>
      </c>
      <c r="L89" s="1849" t="s">
        <v>3115</v>
      </c>
      <c r="M89" s="1849"/>
      <c r="N89" s="1849"/>
    </row>
    <row r="90" spans="1:14" s="951" customFormat="1" ht="13.5" customHeight="1">
      <c r="A90" s="1851"/>
      <c r="B90" s="1852"/>
      <c r="C90" s="1853" t="s">
        <v>3064</v>
      </c>
      <c r="D90" s="1854"/>
      <c r="E90" s="1855"/>
      <c r="F90" s="1232"/>
      <c r="G90" s="1856" t="s">
        <v>3065</v>
      </c>
      <c r="H90" s="1856" t="s">
        <v>3065</v>
      </c>
      <c r="I90" s="1856" t="s">
        <v>3065</v>
      </c>
      <c r="J90" s="1856" t="s">
        <v>3065</v>
      </c>
      <c r="K90" s="1856" t="s">
        <v>3065</v>
      </c>
      <c r="L90" s="1856" t="s">
        <v>3065</v>
      </c>
      <c r="M90" s="1856" t="s">
        <v>3065</v>
      </c>
      <c r="N90" s="1857" t="s">
        <v>3065</v>
      </c>
    </row>
    <row r="91" spans="1:14" s="951" customFormat="1" ht="13.5" customHeight="1">
      <c r="A91" s="1076"/>
      <c r="B91" s="1858" t="s">
        <v>3116</v>
      </c>
      <c r="C91" s="1859"/>
      <c r="D91" s="1859"/>
      <c r="E91" s="1860"/>
      <c r="F91" s="1861">
        <f>SUM(G91:N91)</f>
        <v>0</v>
      </c>
      <c r="G91" s="1862">
        <f>+G92+G96</f>
        <v>0</v>
      </c>
      <c r="H91" s="1862">
        <f>+H92+H96</f>
        <v>0</v>
      </c>
      <c r="I91" s="1862">
        <f t="shared" ref="I91:N91" si="45">+I92+I96</f>
        <v>0</v>
      </c>
      <c r="J91" s="1862">
        <f>+J92+J96</f>
        <v>0</v>
      </c>
      <c r="K91" s="1862">
        <f>+K92+K96</f>
        <v>0</v>
      </c>
      <c r="L91" s="1862">
        <f t="shared" si="45"/>
        <v>0</v>
      </c>
      <c r="M91" s="1862">
        <f t="shared" si="45"/>
        <v>0</v>
      </c>
      <c r="N91" s="1863">
        <f t="shared" si="45"/>
        <v>0</v>
      </c>
    </row>
    <row r="92" spans="1:14" s="951" customFormat="1" ht="13.5" customHeight="1">
      <c r="A92" s="945"/>
      <c r="B92" s="946"/>
      <c r="C92" s="714" t="s">
        <v>2813</v>
      </c>
      <c r="D92" s="715"/>
      <c r="E92" s="855"/>
      <c r="F92" s="1187">
        <f>SUM(G92:N92)</f>
        <v>0</v>
      </c>
      <c r="G92" s="2024"/>
      <c r="H92" s="2024"/>
      <c r="I92" s="2024"/>
      <c r="J92" s="2024"/>
      <c r="K92" s="2024"/>
      <c r="L92" s="2024"/>
      <c r="M92" s="2024"/>
      <c r="N92" s="2025"/>
    </row>
    <row r="93" spans="1:14" s="951" customFormat="1" ht="13.5" customHeight="1">
      <c r="A93" s="945"/>
      <c r="B93" s="946"/>
      <c r="C93" s="1227"/>
      <c r="D93" s="1227"/>
      <c r="E93" s="948"/>
      <c r="F93" s="949" t="s">
        <v>3117</v>
      </c>
      <c r="G93" s="985">
        <f>SUM(G185:G194)</f>
        <v>0</v>
      </c>
      <c r="H93" s="985">
        <f t="shared" ref="H93:N93" si="46">SUM(H185:H194)</f>
        <v>0</v>
      </c>
      <c r="I93" s="985">
        <f t="shared" si="46"/>
        <v>0</v>
      </c>
      <c r="J93" s="985">
        <f>SUM(J185:J194)</f>
        <v>0</v>
      </c>
      <c r="K93" s="985">
        <f>SUM(K185:K194)</f>
        <v>0</v>
      </c>
      <c r="L93" s="985">
        <f t="shared" si="46"/>
        <v>0</v>
      </c>
      <c r="M93" s="985">
        <f t="shared" si="46"/>
        <v>0</v>
      </c>
      <c r="N93" s="986">
        <f t="shared" si="46"/>
        <v>0</v>
      </c>
    </row>
    <row r="94" spans="1:14" s="951" customFormat="1" ht="13.5" customHeight="1">
      <c r="A94" s="945"/>
      <c r="B94" s="946"/>
      <c r="C94" s="1227"/>
      <c r="D94" s="1227"/>
      <c r="E94" s="948"/>
      <c r="F94" s="949" t="s">
        <v>2815</v>
      </c>
      <c r="G94" s="985">
        <f>SUM(G232:G234)</f>
        <v>0</v>
      </c>
      <c r="H94" s="985">
        <f t="shared" ref="H94:N94" si="47">SUM(H232:H234)</f>
        <v>0</v>
      </c>
      <c r="I94" s="985">
        <f t="shared" si="47"/>
        <v>0</v>
      </c>
      <c r="J94" s="985">
        <f>SUM(J232:J234)</f>
        <v>0</v>
      </c>
      <c r="K94" s="985">
        <f>SUM(K232:K234)</f>
        <v>0</v>
      </c>
      <c r="L94" s="985">
        <f t="shared" si="47"/>
        <v>0</v>
      </c>
      <c r="M94" s="985">
        <f t="shared" si="47"/>
        <v>0</v>
      </c>
      <c r="N94" s="986">
        <f t="shared" si="47"/>
        <v>0</v>
      </c>
    </row>
    <row r="95" spans="1:14" s="951" customFormat="1" ht="13.5" customHeight="1">
      <c r="A95" s="945"/>
      <c r="B95" s="946"/>
      <c r="C95" s="1227"/>
      <c r="D95" s="1227"/>
      <c r="E95" s="948"/>
      <c r="F95" s="1123" t="s">
        <v>2816</v>
      </c>
      <c r="G95" s="985">
        <f>+G134</f>
        <v>0</v>
      </c>
      <c r="H95" s="985">
        <f t="shared" ref="H95:N95" si="48">+H134</f>
        <v>0</v>
      </c>
      <c r="I95" s="985">
        <f t="shared" si="48"/>
        <v>0</v>
      </c>
      <c r="J95" s="985">
        <f t="shared" si="48"/>
        <v>0</v>
      </c>
      <c r="K95" s="985">
        <f>+K134</f>
        <v>0</v>
      </c>
      <c r="L95" s="985">
        <f t="shared" si="48"/>
        <v>0</v>
      </c>
      <c r="M95" s="985">
        <f t="shared" si="48"/>
        <v>0</v>
      </c>
      <c r="N95" s="986">
        <f t="shared" si="48"/>
        <v>0</v>
      </c>
    </row>
    <row r="96" spans="1:14" s="951" customFormat="1" ht="13.5" customHeight="1">
      <c r="A96" s="945"/>
      <c r="B96" s="946"/>
      <c r="C96" s="947" t="s">
        <v>2817</v>
      </c>
      <c r="D96" s="947"/>
      <c r="E96" s="948"/>
      <c r="F96" s="949">
        <f t="shared" ref="F96:F113" si="49">SUM(G96:N96)</f>
        <v>0</v>
      </c>
      <c r="G96" s="985">
        <f>G97+G98</f>
        <v>0</v>
      </c>
      <c r="H96" s="985">
        <f t="shared" ref="H96:N96" si="50">H97+H98</f>
        <v>0</v>
      </c>
      <c r="I96" s="985">
        <f t="shared" si="50"/>
        <v>0</v>
      </c>
      <c r="J96" s="985">
        <f t="shared" si="50"/>
        <v>0</v>
      </c>
      <c r="K96" s="985">
        <f>K97+K98</f>
        <v>0</v>
      </c>
      <c r="L96" s="985">
        <f t="shared" si="50"/>
        <v>0</v>
      </c>
      <c r="M96" s="985">
        <f t="shared" si="50"/>
        <v>0</v>
      </c>
      <c r="N96" s="986">
        <f t="shared" si="50"/>
        <v>0</v>
      </c>
    </row>
    <row r="97" spans="1:14" s="951" customFormat="1" ht="13.5" customHeight="1">
      <c r="A97" s="945"/>
      <c r="B97" s="946"/>
      <c r="C97" s="1866" t="s">
        <v>2818</v>
      </c>
      <c r="D97" s="947"/>
      <c r="E97" s="948"/>
      <c r="F97" s="949">
        <f t="shared" si="49"/>
        <v>0</v>
      </c>
      <c r="G97" s="985">
        <f>IF(G89="積上げ",0,G174)</f>
        <v>0</v>
      </c>
      <c r="H97" s="985">
        <f t="shared" ref="H97:N97" si="51">IF(H89="積上げ",0,H174)</f>
        <v>0</v>
      </c>
      <c r="I97" s="985">
        <f t="shared" si="51"/>
        <v>0</v>
      </c>
      <c r="J97" s="985">
        <f t="shared" si="51"/>
        <v>0</v>
      </c>
      <c r="K97" s="985">
        <f>IF(K89="積上げ",0,K174)</f>
        <v>0</v>
      </c>
      <c r="L97" s="985">
        <f t="shared" si="51"/>
        <v>0</v>
      </c>
      <c r="M97" s="985">
        <f t="shared" si="51"/>
        <v>0</v>
      </c>
      <c r="N97" s="986">
        <f t="shared" si="51"/>
        <v>0</v>
      </c>
    </row>
    <row r="98" spans="1:14" s="951" customFormat="1" ht="13.5" customHeight="1">
      <c r="A98" s="945"/>
      <c r="B98" s="946"/>
      <c r="C98" s="1866" t="s">
        <v>2819</v>
      </c>
      <c r="D98" s="947"/>
      <c r="E98" s="948"/>
      <c r="F98" s="949">
        <f t="shared" si="49"/>
        <v>0</v>
      </c>
      <c r="G98" s="2026"/>
      <c r="H98" s="2026"/>
      <c r="I98" s="2026"/>
      <c r="J98" s="2026"/>
      <c r="K98" s="2026"/>
      <c r="L98" s="2026"/>
      <c r="M98" s="2026"/>
      <c r="N98" s="2027"/>
    </row>
    <row r="99" spans="1:14" s="951" customFormat="1" ht="13.5" customHeight="1">
      <c r="A99" s="945"/>
      <c r="B99" s="946"/>
      <c r="C99" s="914" t="s">
        <v>3072</v>
      </c>
      <c r="D99" s="947"/>
      <c r="E99" s="948"/>
      <c r="F99" s="949">
        <f t="shared" si="49"/>
        <v>0</v>
      </c>
      <c r="G99" s="2026"/>
      <c r="H99" s="2026"/>
      <c r="I99" s="2026"/>
      <c r="J99" s="2026"/>
      <c r="K99" s="2026"/>
      <c r="L99" s="2026"/>
      <c r="M99" s="2026"/>
      <c r="N99" s="2027"/>
    </row>
    <row r="100" spans="1:14" s="951" customFormat="1" ht="13.5" customHeight="1">
      <c r="A100" s="945"/>
      <c r="B100" s="946"/>
      <c r="C100" s="1074" t="s">
        <v>2821</v>
      </c>
      <c r="D100" s="954"/>
      <c r="E100" s="955"/>
      <c r="F100" s="956">
        <f t="shared" si="49"/>
        <v>0</v>
      </c>
      <c r="G100" s="2028"/>
      <c r="H100" s="2028"/>
      <c r="I100" s="2028"/>
      <c r="J100" s="2028"/>
      <c r="K100" s="2028"/>
      <c r="L100" s="2028"/>
      <c r="M100" s="2028"/>
      <c r="N100" s="2029"/>
    </row>
    <row r="101" spans="1:14" s="951" customFormat="1" ht="13.5" customHeight="1">
      <c r="A101" s="1851"/>
      <c r="B101" s="1852"/>
      <c r="C101" s="2030" t="s">
        <v>2822</v>
      </c>
      <c r="D101" s="1150"/>
      <c r="E101" s="1152"/>
      <c r="F101" s="1107">
        <f t="shared" si="49"/>
        <v>0</v>
      </c>
      <c r="G101" s="1108">
        <f>+G135</f>
        <v>0</v>
      </c>
      <c r="H101" s="1108">
        <f t="shared" ref="H101:N101" si="52">+H135</f>
        <v>0</v>
      </c>
      <c r="I101" s="1108">
        <f t="shared" si="52"/>
        <v>0</v>
      </c>
      <c r="J101" s="1108">
        <f t="shared" si="52"/>
        <v>0</v>
      </c>
      <c r="K101" s="1108">
        <f>+K135</f>
        <v>0</v>
      </c>
      <c r="L101" s="1108">
        <f t="shared" si="52"/>
        <v>0</v>
      </c>
      <c r="M101" s="1108">
        <f t="shared" si="52"/>
        <v>0</v>
      </c>
      <c r="N101" s="1109">
        <f t="shared" si="52"/>
        <v>0</v>
      </c>
    </row>
    <row r="102" spans="1:14" s="951" customFormat="1" ht="13.5" customHeight="1">
      <c r="A102" s="945"/>
      <c r="B102" s="954" t="s">
        <v>2823</v>
      </c>
      <c r="C102" s="954"/>
      <c r="D102" s="954"/>
      <c r="E102" s="955"/>
      <c r="F102" s="956">
        <f t="shared" si="49"/>
        <v>0</v>
      </c>
      <c r="G102" s="2031">
        <f>G103+G108</f>
        <v>0</v>
      </c>
      <c r="H102" s="2031">
        <f t="shared" ref="H102:N102" si="53">H103+H108</f>
        <v>0</v>
      </c>
      <c r="I102" s="2031">
        <f t="shared" si="53"/>
        <v>0</v>
      </c>
      <c r="J102" s="2031">
        <f t="shared" si="53"/>
        <v>0</v>
      </c>
      <c r="K102" s="2031">
        <f>K103+K108</f>
        <v>0</v>
      </c>
      <c r="L102" s="2031">
        <f t="shared" si="53"/>
        <v>0</v>
      </c>
      <c r="M102" s="2031">
        <f t="shared" si="53"/>
        <v>0</v>
      </c>
      <c r="N102" s="2032">
        <f t="shared" si="53"/>
        <v>0</v>
      </c>
    </row>
    <row r="103" spans="1:14" s="951" customFormat="1" ht="13.5" customHeight="1">
      <c r="A103" s="945"/>
      <c r="B103" s="946"/>
      <c r="C103" s="714" t="s">
        <v>2824</v>
      </c>
      <c r="D103" s="714"/>
      <c r="E103" s="856"/>
      <c r="F103" s="1187">
        <f t="shared" si="49"/>
        <v>0</v>
      </c>
      <c r="G103" s="1179">
        <f>G104+G107</f>
        <v>0</v>
      </c>
      <c r="H103" s="1179">
        <f t="shared" ref="H103:N103" si="54">H104+H107</f>
        <v>0</v>
      </c>
      <c r="I103" s="1179">
        <f t="shared" si="54"/>
        <v>0</v>
      </c>
      <c r="J103" s="1179">
        <f t="shared" si="54"/>
        <v>0</v>
      </c>
      <c r="K103" s="1179">
        <f>K104+K107</f>
        <v>0</v>
      </c>
      <c r="L103" s="1179">
        <f t="shared" si="54"/>
        <v>0</v>
      </c>
      <c r="M103" s="1179">
        <f t="shared" si="54"/>
        <v>0</v>
      </c>
      <c r="N103" s="1180">
        <f t="shared" si="54"/>
        <v>0</v>
      </c>
    </row>
    <row r="104" spans="1:14" s="951" customFormat="1" ht="13.5" customHeight="1">
      <c r="A104" s="945"/>
      <c r="B104" s="946"/>
      <c r="C104" s="2033" t="s">
        <v>2825</v>
      </c>
      <c r="D104" s="2033"/>
      <c r="E104" s="1842"/>
      <c r="F104" s="949">
        <f t="shared" si="49"/>
        <v>0</v>
      </c>
      <c r="G104" s="940">
        <f>SUM(G105:G106)-G107</f>
        <v>0</v>
      </c>
      <c r="H104" s="940">
        <f t="shared" ref="H104:N104" si="55">SUM(H105:H106)-H107</f>
        <v>0</v>
      </c>
      <c r="I104" s="940">
        <f t="shared" si="55"/>
        <v>0</v>
      </c>
      <c r="J104" s="940">
        <f t="shared" si="55"/>
        <v>0</v>
      </c>
      <c r="K104" s="940">
        <f>SUM(K105:K106)-K107</f>
        <v>0</v>
      </c>
      <c r="L104" s="940">
        <f t="shared" si="55"/>
        <v>0</v>
      </c>
      <c r="M104" s="940">
        <f t="shared" si="55"/>
        <v>0</v>
      </c>
      <c r="N104" s="1124">
        <f t="shared" si="55"/>
        <v>0</v>
      </c>
    </row>
    <row r="105" spans="1:14" s="951" customFormat="1" ht="13.5" customHeight="1">
      <c r="A105" s="945"/>
      <c r="B105" s="946"/>
      <c r="C105" s="952" t="s">
        <v>2826</v>
      </c>
      <c r="D105" s="952"/>
      <c r="E105" s="948"/>
      <c r="F105" s="949">
        <f t="shared" si="49"/>
        <v>0</v>
      </c>
      <c r="G105" s="985">
        <f>SUM(G200:G202)+G198</f>
        <v>0</v>
      </c>
      <c r="H105" s="985">
        <f t="shared" ref="H105:N105" si="56">SUM(H200:H202)+H198</f>
        <v>0</v>
      </c>
      <c r="I105" s="985">
        <f t="shared" si="56"/>
        <v>0</v>
      </c>
      <c r="J105" s="985">
        <f t="shared" si="56"/>
        <v>0</v>
      </c>
      <c r="K105" s="985">
        <f>SUM(K200:K202)+K198</f>
        <v>0</v>
      </c>
      <c r="L105" s="985">
        <f t="shared" si="56"/>
        <v>0</v>
      </c>
      <c r="M105" s="985">
        <f t="shared" si="56"/>
        <v>0</v>
      </c>
      <c r="N105" s="986">
        <f t="shared" si="56"/>
        <v>0</v>
      </c>
    </row>
    <row r="106" spans="1:14" s="951" customFormat="1" ht="13.5" customHeight="1">
      <c r="A106" s="945"/>
      <c r="B106" s="946"/>
      <c r="C106" s="952" t="s">
        <v>2827</v>
      </c>
      <c r="D106" s="952"/>
      <c r="E106" s="948"/>
      <c r="F106" s="949">
        <f t="shared" si="49"/>
        <v>0</v>
      </c>
      <c r="G106" s="985">
        <f>SUM(G203:G214)</f>
        <v>0</v>
      </c>
      <c r="H106" s="985">
        <f t="shared" ref="H106:N106" si="57">SUM(H203:H214)</f>
        <v>0</v>
      </c>
      <c r="I106" s="985">
        <f t="shared" si="57"/>
        <v>0</v>
      </c>
      <c r="J106" s="985">
        <f>SUM(J203:J214)</f>
        <v>0</v>
      </c>
      <c r="K106" s="985">
        <f>SUM(K203:K214)</f>
        <v>0</v>
      </c>
      <c r="L106" s="985">
        <f t="shared" si="57"/>
        <v>0</v>
      </c>
      <c r="M106" s="985">
        <f t="shared" si="57"/>
        <v>0</v>
      </c>
      <c r="N106" s="986">
        <f t="shared" si="57"/>
        <v>0</v>
      </c>
    </row>
    <row r="107" spans="1:14" s="951" customFormat="1" ht="13.5" customHeight="1">
      <c r="A107" s="945"/>
      <c r="B107" s="946"/>
      <c r="C107" s="952" t="s">
        <v>2828</v>
      </c>
      <c r="D107" s="952"/>
      <c r="E107" s="948"/>
      <c r="F107" s="949">
        <f t="shared" si="49"/>
        <v>0</v>
      </c>
      <c r="G107" s="985">
        <f>+G212</f>
        <v>0</v>
      </c>
      <c r="H107" s="985">
        <f t="shared" ref="H107:N107" si="58">+H212</f>
        <v>0</v>
      </c>
      <c r="I107" s="985">
        <f t="shared" si="58"/>
        <v>0</v>
      </c>
      <c r="J107" s="985">
        <f t="shared" si="58"/>
        <v>0</v>
      </c>
      <c r="K107" s="985">
        <f>+K212</f>
        <v>0</v>
      </c>
      <c r="L107" s="985">
        <f t="shared" si="58"/>
        <v>0</v>
      </c>
      <c r="M107" s="985">
        <f t="shared" si="58"/>
        <v>0</v>
      </c>
      <c r="N107" s="986">
        <f t="shared" si="58"/>
        <v>0</v>
      </c>
    </row>
    <row r="108" spans="1:14" s="951" customFormat="1" ht="13.5" customHeight="1">
      <c r="A108" s="945"/>
      <c r="B108" s="946"/>
      <c r="C108" s="947" t="s">
        <v>2829</v>
      </c>
      <c r="D108" s="947"/>
      <c r="E108" s="948"/>
      <c r="F108" s="949">
        <f t="shared" si="49"/>
        <v>0</v>
      </c>
      <c r="G108" s="985">
        <f>SUM(G109:G112)</f>
        <v>0</v>
      </c>
      <c r="H108" s="985">
        <f t="shared" ref="H108:N108" si="59">SUM(H109:H112)</f>
        <v>0</v>
      </c>
      <c r="I108" s="985">
        <f t="shared" si="59"/>
        <v>0</v>
      </c>
      <c r="J108" s="985">
        <f t="shared" si="59"/>
        <v>0</v>
      </c>
      <c r="K108" s="985">
        <f t="shared" si="59"/>
        <v>0</v>
      </c>
      <c r="L108" s="985">
        <f t="shared" si="59"/>
        <v>0</v>
      </c>
      <c r="M108" s="985">
        <f t="shared" si="59"/>
        <v>0</v>
      </c>
      <c r="N108" s="986">
        <f t="shared" si="59"/>
        <v>0</v>
      </c>
    </row>
    <row r="109" spans="1:14" s="951" customFormat="1" ht="13.5" customHeight="1">
      <c r="A109" s="945"/>
      <c r="B109" s="946"/>
      <c r="C109" s="952" t="s">
        <v>2826</v>
      </c>
      <c r="D109" s="952"/>
      <c r="E109" s="948"/>
      <c r="F109" s="953">
        <f t="shared" si="49"/>
        <v>0</v>
      </c>
      <c r="G109" s="985">
        <f>IF(G237=0,0,+G237-G254)</f>
        <v>0</v>
      </c>
      <c r="H109" s="985">
        <f t="shared" ref="H109:N109" si="60">IF(H237=0,0,+H237-H254)</f>
        <v>0</v>
      </c>
      <c r="I109" s="985">
        <f t="shared" si="60"/>
        <v>0</v>
      </c>
      <c r="J109" s="985">
        <f t="shared" si="60"/>
        <v>0</v>
      </c>
      <c r="K109" s="985">
        <f t="shared" si="60"/>
        <v>0</v>
      </c>
      <c r="L109" s="985">
        <f t="shared" si="60"/>
        <v>0</v>
      </c>
      <c r="M109" s="985">
        <f t="shared" si="60"/>
        <v>0</v>
      </c>
      <c r="N109" s="986">
        <f t="shared" si="60"/>
        <v>0</v>
      </c>
    </row>
    <row r="110" spans="1:14" s="951" customFormat="1" ht="13.5" customHeight="1">
      <c r="A110" s="945"/>
      <c r="B110" s="946"/>
      <c r="C110" s="952" t="s">
        <v>2830</v>
      </c>
      <c r="D110" s="952"/>
      <c r="E110" s="948"/>
      <c r="F110" s="949">
        <f t="shared" si="49"/>
        <v>0</v>
      </c>
      <c r="G110" s="985">
        <f>+G238+G239</f>
        <v>0</v>
      </c>
      <c r="H110" s="985">
        <f t="shared" ref="H110:N110" si="61">+H238+H239</f>
        <v>0</v>
      </c>
      <c r="I110" s="985">
        <f t="shared" si="61"/>
        <v>0</v>
      </c>
      <c r="J110" s="985">
        <f>+J238+J239</f>
        <v>0</v>
      </c>
      <c r="K110" s="985">
        <f>+K238+K239</f>
        <v>0</v>
      </c>
      <c r="L110" s="985">
        <f t="shared" si="61"/>
        <v>0</v>
      </c>
      <c r="M110" s="985">
        <f t="shared" si="61"/>
        <v>0</v>
      </c>
      <c r="N110" s="986">
        <f t="shared" si="61"/>
        <v>0</v>
      </c>
    </row>
    <row r="111" spans="1:14" s="951" customFormat="1" ht="13.5" customHeight="1">
      <c r="A111" s="945"/>
      <c r="B111" s="946"/>
      <c r="C111" s="952" t="s">
        <v>2831</v>
      </c>
      <c r="D111" s="952"/>
      <c r="E111" s="948"/>
      <c r="F111" s="949">
        <f t="shared" si="49"/>
        <v>0</v>
      </c>
      <c r="G111" s="985">
        <f>SUM(G240:G244)</f>
        <v>0</v>
      </c>
      <c r="H111" s="985">
        <f t="shared" ref="H111:N111" si="62">SUM(H240:H244)</f>
        <v>0</v>
      </c>
      <c r="I111" s="985">
        <f t="shared" si="62"/>
        <v>0</v>
      </c>
      <c r="J111" s="985">
        <f>SUM(J240:J244)</f>
        <v>0</v>
      </c>
      <c r="K111" s="985">
        <f>SUM(K240:K244)</f>
        <v>0</v>
      </c>
      <c r="L111" s="985">
        <f t="shared" si="62"/>
        <v>0</v>
      </c>
      <c r="M111" s="985">
        <f t="shared" si="62"/>
        <v>0</v>
      </c>
      <c r="N111" s="986">
        <f t="shared" si="62"/>
        <v>0</v>
      </c>
    </row>
    <row r="112" spans="1:14" s="951" customFormat="1" ht="13.5" customHeight="1">
      <c r="A112" s="945"/>
      <c r="B112" s="946"/>
      <c r="C112" s="954" t="s">
        <v>2832</v>
      </c>
      <c r="D112" s="946"/>
      <c r="E112" s="955"/>
      <c r="F112" s="956">
        <f t="shared" si="49"/>
        <v>0</v>
      </c>
      <c r="G112" s="2031">
        <f>IF(G245=0,0,+G245-G254)</f>
        <v>0</v>
      </c>
      <c r="H112" s="2031">
        <f t="shared" ref="H112:N112" si="63">IF(H245=0,0,+H245-H254)</f>
        <v>0</v>
      </c>
      <c r="I112" s="2031">
        <f t="shared" si="63"/>
        <v>0</v>
      </c>
      <c r="J112" s="2031">
        <f t="shared" si="63"/>
        <v>0</v>
      </c>
      <c r="K112" s="2031">
        <f t="shared" si="63"/>
        <v>0</v>
      </c>
      <c r="L112" s="2031">
        <f t="shared" si="63"/>
        <v>0</v>
      </c>
      <c r="M112" s="2031">
        <f t="shared" si="63"/>
        <v>0</v>
      </c>
      <c r="N112" s="2032">
        <f t="shared" si="63"/>
        <v>0</v>
      </c>
    </row>
    <row r="113" spans="1:14" s="951" customFormat="1" ht="13.5" customHeight="1">
      <c r="A113" s="2034"/>
      <c r="B113" s="1859" t="s">
        <v>2833</v>
      </c>
      <c r="C113" s="1859"/>
      <c r="D113" s="1859"/>
      <c r="E113" s="2035"/>
      <c r="F113" s="1861">
        <f t="shared" si="49"/>
        <v>0</v>
      </c>
      <c r="G113" s="1862">
        <f>G91+G102</f>
        <v>0</v>
      </c>
      <c r="H113" s="1862">
        <f t="shared" ref="H113:N113" si="64">H91+H102</f>
        <v>0</v>
      </c>
      <c r="I113" s="1862">
        <f t="shared" si="64"/>
        <v>0</v>
      </c>
      <c r="J113" s="1862">
        <f t="shared" si="64"/>
        <v>0</v>
      </c>
      <c r="K113" s="1862">
        <f>K91+K102</f>
        <v>0</v>
      </c>
      <c r="L113" s="1862">
        <f t="shared" si="64"/>
        <v>0</v>
      </c>
      <c r="M113" s="1862">
        <f t="shared" si="64"/>
        <v>0</v>
      </c>
      <c r="N113" s="1863">
        <f t="shared" si="64"/>
        <v>0</v>
      </c>
    </row>
    <row r="114" spans="1:14" s="951" customFormat="1" ht="15" customHeight="1">
      <c r="A114" s="2036"/>
      <c r="B114" s="946"/>
      <c r="C114" s="2037" t="s">
        <v>2834</v>
      </c>
      <c r="D114" s="2037"/>
      <c r="E114" s="2038"/>
      <c r="F114" s="837"/>
      <c r="G114" s="2039" t="s">
        <v>2835</v>
      </c>
      <c r="H114" s="2040"/>
      <c r="I114" s="842"/>
      <c r="J114" s="842"/>
      <c r="K114" s="842"/>
      <c r="L114" s="842"/>
      <c r="M114" s="842"/>
      <c r="N114" s="842"/>
    </row>
    <row r="115" spans="1:14" s="951" customFormat="1" ht="15" customHeight="1">
      <c r="A115" s="1076"/>
      <c r="B115" s="1077"/>
      <c r="C115" s="1077"/>
      <c r="D115" s="1077"/>
      <c r="E115" s="1161"/>
      <c r="F115" s="1078" t="s">
        <v>2836</v>
      </c>
      <c r="G115" s="1079">
        <f t="shared" ref="G115:N115" si="65">+G87</f>
        <v>0</v>
      </c>
      <c r="H115" s="1079">
        <f t="shared" si="65"/>
        <v>0</v>
      </c>
      <c r="I115" s="1079">
        <f t="shared" si="65"/>
        <v>0</v>
      </c>
      <c r="J115" s="1079">
        <f t="shared" si="65"/>
        <v>0</v>
      </c>
      <c r="K115" s="1079">
        <f>+K87</f>
        <v>0</v>
      </c>
      <c r="L115" s="1079">
        <f t="shared" si="65"/>
        <v>0</v>
      </c>
      <c r="M115" s="1079">
        <f t="shared" si="65"/>
        <v>0</v>
      </c>
      <c r="N115" s="1080">
        <f t="shared" si="65"/>
        <v>0</v>
      </c>
    </row>
    <row r="116" spans="1:14" s="951" customFormat="1" ht="15" customHeight="1">
      <c r="A116" s="1875" t="s">
        <v>2837</v>
      </c>
      <c r="B116" s="1075"/>
      <c r="C116" s="1876"/>
      <c r="D116" s="1876"/>
      <c r="E116" s="1877"/>
      <c r="F116" s="1878"/>
      <c r="G116" s="1879"/>
      <c r="H116" s="1879"/>
      <c r="I116" s="1879"/>
      <c r="J116" s="1879"/>
      <c r="K116" s="1879"/>
      <c r="L116" s="1879"/>
      <c r="M116" s="1879"/>
      <c r="N116" s="1880"/>
    </row>
    <row r="117" spans="1:14" s="951" customFormat="1" ht="15" customHeight="1">
      <c r="A117" s="2438"/>
      <c r="B117" s="2443" t="s">
        <v>2107</v>
      </c>
      <c r="C117" s="715" t="s">
        <v>2838</v>
      </c>
      <c r="D117" s="715"/>
      <c r="E117" s="856"/>
      <c r="F117" s="1187">
        <f t="shared" ref="F117:F123" si="66">SUM(G117:N117)</f>
        <v>0</v>
      </c>
      <c r="G117" s="1179">
        <f>IF(G86="新営",G92-SUM(G119:G130)-G134-G133,0)</f>
        <v>0</v>
      </c>
      <c r="H117" s="1179">
        <f t="shared" ref="H117:N117" si="67">IF(H86="新営",H92-SUM(H119:H130)-H134-H133,0)</f>
        <v>0</v>
      </c>
      <c r="I117" s="1179">
        <f t="shared" si="67"/>
        <v>0</v>
      </c>
      <c r="J117" s="1179">
        <f t="shared" si="67"/>
        <v>0</v>
      </c>
      <c r="K117" s="1179">
        <f t="shared" si="67"/>
        <v>0</v>
      </c>
      <c r="L117" s="1179">
        <f t="shared" si="67"/>
        <v>0</v>
      </c>
      <c r="M117" s="1179">
        <f t="shared" si="67"/>
        <v>0</v>
      </c>
      <c r="N117" s="1179">
        <f t="shared" si="67"/>
        <v>0</v>
      </c>
    </row>
    <row r="118" spans="1:14" s="951" customFormat="1" ht="14.25" customHeight="1">
      <c r="A118" s="2438"/>
      <c r="B118" s="2425"/>
      <c r="C118" s="989" t="s">
        <v>2839</v>
      </c>
      <c r="D118" s="989"/>
      <c r="E118" s="948"/>
      <c r="F118" s="949">
        <f t="shared" si="66"/>
        <v>0</v>
      </c>
      <c r="G118" s="985">
        <f>IF(G86="改修",G92-SUM(G119:G130)-G134-G133,0)</f>
        <v>0</v>
      </c>
      <c r="H118" s="985">
        <f t="shared" ref="H118:N118" si="68">IF(H86="改修",H92-SUM(H119:H130)-H134-H133,0)</f>
        <v>0</v>
      </c>
      <c r="I118" s="985">
        <f t="shared" si="68"/>
        <v>0</v>
      </c>
      <c r="J118" s="985">
        <f t="shared" si="68"/>
        <v>0</v>
      </c>
      <c r="K118" s="985">
        <f t="shared" si="68"/>
        <v>0</v>
      </c>
      <c r="L118" s="985">
        <f t="shared" si="68"/>
        <v>0</v>
      </c>
      <c r="M118" s="985">
        <f t="shared" si="68"/>
        <v>0</v>
      </c>
      <c r="N118" s="985">
        <f t="shared" si="68"/>
        <v>0</v>
      </c>
    </row>
    <row r="119" spans="1:14" s="951" customFormat="1" ht="15" customHeight="1">
      <c r="A119" s="2438"/>
      <c r="B119" s="2425"/>
      <c r="C119" s="1881" t="s">
        <v>3074</v>
      </c>
      <c r="D119" s="989"/>
      <c r="E119" s="948"/>
      <c r="F119" s="949">
        <f t="shared" si="66"/>
        <v>0</v>
      </c>
      <c r="G119" s="2026"/>
      <c r="H119" s="2026"/>
      <c r="I119" s="2026"/>
      <c r="J119" s="2026"/>
      <c r="K119" s="2026"/>
      <c r="L119" s="2026"/>
      <c r="M119" s="2026"/>
      <c r="N119" s="2027"/>
    </row>
    <row r="120" spans="1:14" s="951" customFormat="1" ht="15" customHeight="1">
      <c r="A120" s="2438"/>
      <c r="B120" s="2424"/>
      <c r="C120" s="1881" t="s">
        <v>2841</v>
      </c>
      <c r="D120" s="989"/>
      <c r="E120" s="948"/>
      <c r="F120" s="949">
        <f t="shared" si="66"/>
        <v>0</v>
      </c>
      <c r="G120" s="2026"/>
      <c r="H120" s="2026"/>
      <c r="I120" s="2026"/>
      <c r="J120" s="2026"/>
      <c r="K120" s="2026"/>
      <c r="L120" s="2026"/>
      <c r="M120" s="2026"/>
      <c r="N120" s="2027"/>
    </row>
    <row r="121" spans="1:14" s="951" customFormat="1" ht="15" customHeight="1">
      <c r="A121" s="2438"/>
      <c r="B121" s="2316" t="s">
        <v>2842</v>
      </c>
      <c r="C121" s="947" t="s">
        <v>2843</v>
      </c>
      <c r="D121" s="989"/>
      <c r="E121" s="948"/>
      <c r="F121" s="949">
        <f t="shared" si="66"/>
        <v>0</v>
      </c>
      <c r="G121" s="2026"/>
      <c r="H121" s="2026"/>
      <c r="I121" s="2026"/>
      <c r="J121" s="2026"/>
      <c r="K121" s="2026"/>
      <c r="L121" s="2026"/>
      <c r="M121" s="2026"/>
      <c r="N121" s="2027"/>
    </row>
    <row r="122" spans="1:14" s="951" customFormat="1" ht="15" customHeight="1">
      <c r="A122" s="2438"/>
      <c r="B122" s="2425"/>
      <c r="C122" s="947" t="s">
        <v>2844</v>
      </c>
      <c r="D122" s="989"/>
      <c r="E122" s="948"/>
      <c r="F122" s="949">
        <f t="shared" si="66"/>
        <v>0</v>
      </c>
      <c r="G122" s="2026"/>
      <c r="H122" s="2026"/>
      <c r="I122" s="2026"/>
      <c r="J122" s="2026"/>
      <c r="K122" s="2026"/>
      <c r="L122" s="2026"/>
      <c r="M122" s="2026"/>
      <c r="N122" s="2027"/>
    </row>
    <row r="123" spans="1:14" s="951" customFormat="1" ht="15" customHeight="1">
      <c r="A123" s="2438"/>
      <c r="B123" s="2425"/>
      <c r="C123" s="989" t="s">
        <v>2845</v>
      </c>
      <c r="D123" s="989"/>
      <c r="E123" s="948"/>
      <c r="F123" s="949">
        <f t="shared" si="66"/>
        <v>0</v>
      </c>
      <c r="G123" s="2026"/>
      <c r="H123" s="2026"/>
      <c r="I123" s="2026"/>
      <c r="J123" s="2026"/>
      <c r="K123" s="2026"/>
      <c r="L123" s="2026"/>
      <c r="M123" s="2026"/>
      <c r="N123" s="2027"/>
    </row>
    <row r="124" spans="1:14" s="951" customFormat="1" ht="15" customHeight="1">
      <c r="A124" s="2438"/>
      <c r="B124" s="2425"/>
      <c r="C124" s="989" t="s">
        <v>3076</v>
      </c>
      <c r="D124" s="989"/>
      <c r="E124" s="948"/>
      <c r="F124" s="949"/>
      <c r="G124" s="985"/>
      <c r="H124" s="985"/>
      <c r="I124" s="985"/>
      <c r="J124" s="985"/>
      <c r="K124" s="985"/>
      <c r="L124" s="985"/>
      <c r="M124" s="985"/>
      <c r="N124" s="986"/>
    </row>
    <row r="125" spans="1:14" s="951" customFormat="1" ht="15" customHeight="1">
      <c r="A125" s="2438"/>
      <c r="B125" s="2425"/>
      <c r="C125" s="989" t="s">
        <v>2847</v>
      </c>
      <c r="D125" s="989"/>
      <c r="E125" s="948"/>
      <c r="F125" s="949"/>
      <c r="G125" s="985"/>
      <c r="H125" s="985"/>
      <c r="I125" s="985"/>
      <c r="J125" s="985"/>
      <c r="K125" s="985"/>
      <c r="L125" s="985"/>
      <c r="M125" s="985"/>
      <c r="N125" s="986"/>
    </row>
    <row r="126" spans="1:14" s="951" customFormat="1" ht="15" customHeight="1">
      <c r="A126" s="2438"/>
      <c r="B126" s="2425"/>
      <c r="C126" s="989" t="s">
        <v>2848</v>
      </c>
      <c r="D126" s="989"/>
      <c r="E126" s="948"/>
      <c r="F126" s="949">
        <f t="shared" ref="F126:F136" si="69">SUM(G126:N126)</f>
        <v>0</v>
      </c>
      <c r="G126" s="2026"/>
      <c r="H126" s="2026"/>
      <c r="I126" s="2026"/>
      <c r="J126" s="2026"/>
      <c r="K126" s="2026"/>
      <c r="L126" s="2026"/>
      <c r="M126" s="2026"/>
      <c r="N126" s="2027"/>
    </row>
    <row r="127" spans="1:14" s="951" customFormat="1" ht="15" customHeight="1">
      <c r="A127" s="2438"/>
      <c r="B127" s="2425"/>
      <c r="C127" s="1882" t="s">
        <v>3077</v>
      </c>
      <c r="D127" s="989"/>
      <c r="E127" s="948"/>
      <c r="F127" s="949">
        <f t="shared" si="69"/>
        <v>0</v>
      </c>
      <c r="G127" s="2026"/>
      <c r="H127" s="2026"/>
      <c r="I127" s="2026"/>
      <c r="J127" s="2026"/>
      <c r="K127" s="2026"/>
      <c r="L127" s="2026"/>
      <c r="M127" s="2026"/>
      <c r="N127" s="2027"/>
    </row>
    <row r="128" spans="1:14" s="951" customFormat="1" ht="15" customHeight="1">
      <c r="A128" s="2438"/>
      <c r="B128" s="2425"/>
      <c r="C128" s="1883" t="s">
        <v>2850</v>
      </c>
      <c r="D128" s="989"/>
      <c r="E128" s="948"/>
      <c r="F128" s="949">
        <f t="shared" si="69"/>
        <v>0</v>
      </c>
      <c r="G128" s="2026"/>
      <c r="H128" s="2026"/>
      <c r="I128" s="2026"/>
      <c r="J128" s="2026"/>
      <c r="K128" s="2026"/>
      <c r="L128" s="2026"/>
      <c r="M128" s="2026"/>
      <c r="N128" s="2027"/>
    </row>
    <row r="129" spans="1:14" s="951" customFormat="1" ht="15" customHeight="1">
      <c r="A129" s="2438"/>
      <c r="B129" s="2424"/>
      <c r="C129" s="989" t="s">
        <v>2851</v>
      </c>
      <c r="D129" s="989"/>
      <c r="E129" s="948"/>
      <c r="F129" s="949">
        <f t="shared" si="69"/>
        <v>0</v>
      </c>
      <c r="G129" s="2026"/>
      <c r="H129" s="2026"/>
      <c r="I129" s="2026"/>
      <c r="J129" s="2026"/>
      <c r="K129" s="2026"/>
      <c r="L129" s="2026"/>
      <c r="M129" s="2026"/>
      <c r="N129" s="2027"/>
    </row>
    <row r="130" spans="1:14" s="951" customFormat="1" ht="15" customHeight="1">
      <c r="A130" s="2438"/>
      <c r="B130" s="2316" t="s">
        <v>2852</v>
      </c>
      <c r="C130" s="1881" t="s">
        <v>2853</v>
      </c>
      <c r="D130" s="989"/>
      <c r="E130" s="948"/>
      <c r="F130" s="949">
        <f t="shared" si="69"/>
        <v>0</v>
      </c>
      <c r="G130" s="2026"/>
      <c r="H130" s="2026"/>
      <c r="I130" s="2026"/>
      <c r="J130" s="2026"/>
      <c r="K130" s="2026"/>
      <c r="L130" s="2026"/>
      <c r="M130" s="2026"/>
      <c r="N130" s="2027"/>
    </row>
    <row r="131" spans="1:14" s="951" customFormat="1" ht="15" customHeight="1">
      <c r="A131" s="2438"/>
      <c r="B131" s="2425"/>
      <c r="C131" s="1881" t="s">
        <v>2854</v>
      </c>
      <c r="D131" s="989"/>
      <c r="E131" s="948"/>
      <c r="F131" s="949">
        <f t="shared" si="69"/>
        <v>0</v>
      </c>
      <c r="G131" s="985">
        <f t="shared" ref="G131:N131" si="70">+G100</f>
        <v>0</v>
      </c>
      <c r="H131" s="985">
        <f t="shared" si="70"/>
        <v>0</v>
      </c>
      <c r="I131" s="985">
        <f t="shared" si="70"/>
        <v>0</v>
      </c>
      <c r="J131" s="985">
        <f>+J100</f>
        <v>0</v>
      </c>
      <c r="K131" s="985">
        <f>+K100</f>
        <v>0</v>
      </c>
      <c r="L131" s="985">
        <f t="shared" si="70"/>
        <v>0</v>
      </c>
      <c r="M131" s="985">
        <f t="shared" si="70"/>
        <v>0</v>
      </c>
      <c r="N131" s="986">
        <f t="shared" si="70"/>
        <v>0</v>
      </c>
    </row>
    <row r="132" spans="1:14" s="951" customFormat="1" ht="15" customHeight="1">
      <c r="A132" s="2438"/>
      <c r="B132" s="2425"/>
      <c r="C132" s="989" t="s">
        <v>3079</v>
      </c>
      <c r="D132" s="989"/>
      <c r="E132" s="948"/>
      <c r="F132" s="949">
        <f t="shared" si="69"/>
        <v>0</v>
      </c>
      <c r="G132" s="985">
        <f>+G99</f>
        <v>0</v>
      </c>
      <c r="H132" s="985">
        <f t="shared" ref="H132:N132" si="71">+H99</f>
        <v>0</v>
      </c>
      <c r="I132" s="985">
        <f t="shared" si="71"/>
        <v>0</v>
      </c>
      <c r="J132" s="985">
        <f>+J99</f>
        <v>0</v>
      </c>
      <c r="K132" s="985">
        <f>+K99</f>
        <v>0</v>
      </c>
      <c r="L132" s="985">
        <f t="shared" si="71"/>
        <v>0</v>
      </c>
      <c r="M132" s="985">
        <f t="shared" si="71"/>
        <v>0</v>
      </c>
      <c r="N132" s="986">
        <f t="shared" si="71"/>
        <v>0</v>
      </c>
    </row>
    <row r="133" spans="1:14" s="951" customFormat="1" ht="15" customHeight="1">
      <c r="A133" s="2438"/>
      <c r="B133" s="2425"/>
      <c r="C133" s="989" t="s">
        <v>3080</v>
      </c>
      <c r="D133" s="989"/>
      <c r="E133" s="948"/>
      <c r="F133" s="949">
        <f t="shared" si="69"/>
        <v>0</v>
      </c>
      <c r="G133" s="2026"/>
      <c r="H133" s="2026"/>
      <c r="I133" s="2026"/>
      <c r="J133" s="2026"/>
      <c r="K133" s="2026"/>
      <c r="L133" s="2026"/>
      <c r="M133" s="2026"/>
      <c r="N133" s="2027"/>
    </row>
    <row r="134" spans="1:14" s="951" customFormat="1" ht="15" customHeight="1">
      <c r="A134" s="2438"/>
      <c r="B134" s="2425"/>
      <c r="C134" s="1885" t="s">
        <v>2857</v>
      </c>
      <c r="D134" s="1885"/>
      <c r="E134" s="1886"/>
      <c r="F134" s="949">
        <f t="shared" si="69"/>
        <v>0</v>
      </c>
      <c r="G134" s="2041"/>
      <c r="H134" s="2041"/>
      <c r="I134" s="2041"/>
      <c r="J134" s="2041"/>
      <c r="K134" s="2041"/>
      <c r="L134" s="2041"/>
      <c r="M134" s="2041"/>
      <c r="N134" s="2042"/>
    </row>
    <row r="135" spans="1:14" s="951" customFormat="1" ht="15" customHeight="1">
      <c r="A135" s="2438"/>
      <c r="B135" s="2425"/>
      <c r="C135" s="1885" t="s">
        <v>2858</v>
      </c>
      <c r="D135" s="1885"/>
      <c r="E135" s="1886"/>
      <c r="F135" s="949">
        <f t="shared" si="69"/>
        <v>0</v>
      </c>
      <c r="G135" s="2041"/>
      <c r="H135" s="2041"/>
      <c r="I135" s="2041"/>
      <c r="J135" s="2041"/>
      <c r="K135" s="2041"/>
      <c r="L135" s="2041"/>
      <c r="M135" s="2041"/>
      <c r="N135" s="2042"/>
    </row>
    <row r="136" spans="1:14" s="951" customFormat="1" ht="15" customHeight="1">
      <c r="A136" s="2439"/>
      <c r="B136" s="2440"/>
      <c r="C136" s="1889" t="s">
        <v>2859</v>
      </c>
      <c r="D136" s="1889"/>
      <c r="E136" s="1152"/>
      <c r="F136" s="1107">
        <f t="shared" si="69"/>
        <v>0</v>
      </c>
      <c r="G136" s="2043"/>
      <c r="H136" s="2043"/>
      <c r="I136" s="2043"/>
      <c r="J136" s="2043"/>
      <c r="K136" s="2043"/>
      <c r="L136" s="2043"/>
      <c r="M136" s="2043"/>
      <c r="N136" s="2044"/>
    </row>
    <row r="137" spans="1:14" s="951" customFormat="1" ht="15" hidden="1" customHeight="1">
      <c r="A137" s="946"/>
      <c r="B137" s="946"/>
      <c r="C137" s="1073" t="s">
        <v>2860</v>
      </c>
      <c r="D137" s="1073"/>
      <c r="E137" s="1074"/>
      <c r="F137" s="837"/>
      <c r="G137" s="842"/>
      <c r="H137" s="842"/>
      <c r="I137" s="842"/>
      <c r="J137" s="842"/>
      <c r="K137" s="842"/>
      <c r="L137" s="842"/>
      <c r="M137" s="842"/>
      <c r="N137" s="844" t="s">
        <v>3118</v>
      </c>
    </row>
    <row r="138" spans="1:14" s="951" customFormat="1" ht="15" hidden="1" customHeight="1">
      <c r="A138" s="946"/>
      <c r="B138" s="946"/>
      <c r="C138" s="1075" t="s">
        <v>2862</v>
      </c>
      <c r="D138" s="1075"/>
      <c r="E138" s="1074"/>
      <c r="F138" s="837"/>
      <c r="G138" s="842"/>
      <c r="H138" s="842"/>
      <c r="I138" s="842"/>
      <c r="J138" s="842"/>
      <c r="K138" s="842"/>
      <c r="L138" s="842"/>
      <c r="M138" s="842"/>
      <c r="N138" s="844"/>
    </row>
    <row r="139" spans="1:14" s="951" customFormat="1" ht="15" hidden="1" customHeight="1">
      <c r="A139" s="1076"/>
      <c r="B139" s="1077"/>
      <c r="C139" s="1077"/>
      <c r="D139" s="2324" t="s">
        <v>2863</v>
      </c>
      <c r="E139" s="2324" t="s">
        <v>2864</v>
      </c>
      <c r="F139" s="1078" t="s">
        <v>2836</v>
      </c>
      <c r="G139" s="1079">
        <f t="shared" ref="G139:N139" si="72">+G87</f>
        <v>0</v>
      </c>
      <c r="H139" s="1079">
        <f t="shared" si="72"/>
        <v>0</v>
      </c>
      <c r="I139" s="1079">
        <f t="shared" si="72"/>
        <v>0</v>
      </c>
      <c r="J139" s="1079">
        <f t="shared" si="72"/>
        <v>0</v>
      </c>
      <c r="K139" s="1079">
        <f>+K87</f>
        <v>0</v>
      </c>
      <c r="L139" s="1079">
        <f t="shared" si="72"/>
        <v>0</v>
      </c>
      <c r="M139" s="1079">
        <f t="shared" si="72"/>
        <v>0</v>
      </c>
      <c r="N139" s="1080">
        <f t="shared" si="72"/>
        <v>0</v>
      </c>
    </row>
    <row r="140" spans="1:14" s="951" customFormat="1" ht="15" hidden="1" customHeight="1">
      <c r="A140" s="2326" t="s">
        <v>2865</v>
      </c>
      <c r="B140" s="2327"/>
      <c r="C140" s="2441"/>
      <c r="D140" s="2325"/>
      <c r="E140" s="2325"/>
      <c r="F140" s="1081"/>
      <c r="G140" s="1082"/>
      <c r="H140" s="1082"/>
      <c r="I140" s="1082"/>
      <c r="J140" s="1082"/>
      <c r="K140" s="1082"/>
      <c r="L140" s="1082"/>
      <c r="M140" s="1082"/>
      <c r="N140" s="1083"/>
    </row>
    <row r="141" spans="1:14" s="951" customFormat="1" ht="15" hidden="1" customHeight="1">
      <c r="A141" s="2328"/>
      <c r="B141" s="1084" t="s">
        <v>3119</v>
      </c>
      <c r="C141" s="1085"/>
      <c r="D141" s="1086"/>
      <c r="E141" s="1087"/>
      <c r="F141" s="1088">
        <f t="shared" ref="F141:F148" si="73">SUM(G141:N141)</f>
        <v>0</v>
      </c>
      <c r="G141" s="1089">
        <f>SUM(G117:G129)+G133</f>
        <v>0</v>
      </c>
      <c r="H141" s="1089">
        <f t="shared" ref="H141:N141" si="74">SUM(H117:H129)+H133</f>
        <v>0</v>
      </c>
      <c r="I141" s="1089">
        <f t="shared" si="74"/>
        <v>0</v>
      </c>
      <c r="J141" s="1089">
        <f t="shared" si="74"/>
        <v>0</v>
      </c>
      <c r="K141" s="1089">
        <f t="shared" si="74"/>
        <v>0</v>
      </c>
      <c r="L141" s="1089">
        <f t="shared" si="74"/>
        <v>0</v>
      </c>
      <c r="M141" s="1089">
        <f t="shared" si="74"/>
        <v>0</v>
      </c>
      <c r="N141" s="1089">
        <f t="shared" si="74"/>
        <v>0</v>
      </c>
    </row>
    <row r="142" spans="1:14" s="951" customFormat="1" ht="15" hidden="1" customHeight="1">
      <c r="A142" s="2329"/>
      <c r="B142" s="2316" t="s">
        <v>3073</v>
      </c>
      <c r="C142" s="1092" t="s">
        <v>2838</v>
      </c>
      <c r="D142" s="1093">
        <v>1</v>
      </c>
      <c r="E142" s="1094" t="s">
        <v>3120</v>
      </c>
      <c r="F142" s="949">
        <f t="shared" si="73"/>
        <v>0</v>
      </c>
      <c r="G142" s="985">
        <f>IF(G89="積上げ",0,+G117)</f>
        <v>0</v>
      </c>
      <c r="H142" s="985">
        <f t="shared" ref="H142:N142" si="75">IF(H89="積上げ",0,+H117)</f>
        <v>0</v>
      </c>
      <c r="I142" s="985">
        <f t="shared" si="75"/>
        <v>0</v>
      </c>
      <c r="J142" s="985">
        <f t="shared" si="75"/>
        <v>0</v>
      </c>
      <c r="K142" s="985">
        <f>IF(K89="積上げ",0,+K117)</f>
        <v>0</v>
      </c>
      <c r="L142" s="985">
        <f t="shared" si="75"/>
        <v>0</v>
      </c>
      <c r="M142" s="985">
        <f t="shared" si="75"/>
        <v>0</v>
      </c>
      <c r="N142" s="985">
        <f t="shared" si="75"/>
        <v>0</v>
      </c>
    </row>
    <row r="143" spans="1:14" s="951" customFormat="1" ht="15" hidden="1" customHeight="1">
      <c r="A143" s="2329"/>
      <c r="B143" s="2425"/>
      <c r="C143" s="1092" t="s">
        <v>2839</v>
      </c>
      <c r="D143" s="1093">
        <v>1</v>
      </c>
      <c r="E143" s="1094" t="s">
        <v>2867</v>
      </c>
      <c r="F143" s="949">
        <f t="shared" si="73"/>
        <v>0</v>
      </c>
      <c r="G143" s="985">
        <f>IF(G89="積上げ",0,+G118)</f>
        <v>0</v>
      </c>
      <c r="H143" s="985">
        <f t="shared" ref="H143:N143" si="76">IF(H89="積上げ",0,+H118)</f>
        <v>0</v>
      </c>
      <c r="I143" s="985">
        <f t="shared" si="76"/>
        <v>0</v>
      </c>
      <c r="J143" s="985">
        <f t="shared" si="76"/>
        <v>0</v>
      </c>
      <c r="K143" s="985">
        <f>IF(K89="積上げ",0,+K118)</f>
        <v>0</v>
      </c>
      <c r="L143" s="985">
        <f t="shared" si="76"/>
        <v>0</v>
      </c>
      <c r="M143" s="985">
        <f t="shared" si="76"/>
        <v>0</v>
      </c>
      <c r="N143" s="985">
        <f t="shared" si="76"/>
        <v>0</v>
      </c>
    </row>
    <row r="144" spans="1:14" s="951" customFormat="1" ht="15" hidden="1" customHeight="1">
      <c r="A144" s="2329"/>
      <c r="B144" s="2425"/>
      <c r="C144" s="1092" t="s">
        <v>2868</v>
      </c>
      <c r="D144" s="1093">
        <v>0.9</v>
      </c>
      <c r="E144" s="1094" t="s">
        <v>2867</v>
      </c>
      <c r="F144" s="949">
        <f t="shared" si="73"/>
        <v>0</v>
      </c>
      <c r="G144" s="985">
        <f>IF(G89="積上げ",0,+G119)</f>
        <v>0</v>
      </c>
      <c r="H144" s="985">
        <f t="shared" ref="H144:N144" si="77">IF(H89="積上げ",0,+H119)</f>
        <v>0</v>
      </c>
      <c r="I144" s="985">
        <f t="shared" si="77"/>
        <v>0</v>
      </c>
      <c r="J144" s="985">
        <f t="shared" si="77"/>
        <v>0</v>
      </c>
      <c r="K144" s="985">
        <f>IF(K89="積上げ",0,+K119)</f>
        <v>0</v>
      </c>
      <c r="L144" s="985">
        <f t="shared" si="77"/>
        <v>0</v>
      </c>
      <c r="M144" s="985">
        <f t="shared" si="77"/>
        <v>0</v>
      </c>
      <c r="N144" s="985">
        <f t="shared" si="77"/>
        <v>0</v>
      </c>
    </row>
    <row r="145" spans="1:14" s="951" customFormat="1" ht="15" hidden="1" customHeight="1">
      <c r="A145" s="2329"/>
      <c r="B145" s="2424"/>
      <c r="C145" s="1092" t="s">
        <v>2869</v>
      </c>
      <c r="D145" s="1093">
        <v>0.9</v>
      </c>
      <c r="E145" s="1094" t="s">
        <v>2867</v>
      </c>
      <c r="F145" s="949">
        <f t="shared" si="73"/>
        <v>0</v>
      </c>
      <c r="G145" s="985">
        <f>IF(G89="積上げ",0,+G120)</f>
        <v>0</v>
      </c>
      <c r="H145" s="985">
        <f t="shared" ref="H145:N145" si="78">IF(H89="積上げ",0,+H120)</f>
        <v>0</v>
      </c>
      <c r="I145" s="985">
        <f t="shared" si="78"/>
        <v>0</v>
      </c>
      <c r="J145" s="985">
        <f t="shared" si="78"/>
        <v>0</v>
      </c>
      <c r="K145" s="985">
        <f>IF(K89="積上げ",0,+K120)</f>
        <v>0</v>
      </c>
      <c r="L145" s="985">
        <f t="shared" si="78"/>
        <v>0</v>
      </c>
      <c r="M145" s="985">
        <f t="shared" si="78"/>
        <v>0</v>
      </c>
      <c r="N145" s="985">
        <f t="shared" si="78"/>
        <v>0</v>
      </c>
    </row>
    <row r="146" spans="1:14" s="951" customFormat="1" ht="15" hidden="1" customHeight="1">
      <c r="A146" s="2329"/>
      <c r="B146" s="2316" t="s">
        <v>2842</v>
      </c>
      <c r="C146" s="1092" t="s">
        <v>2870</v>
      </c>
      <c r="D146" s="1093">
        <v>1</v>
      </c>
      <c r="E146" s="1101">
        <v>0.01</v>
      </c>
      <c r="F146" s="949">
        <f t="shared" si="73"/>
        <v>0</v>
      </c>
      <c r="G146" s="985">
        <f>IF(G89="積上げ",0,+G121)</f>
        <v>0</v>
      </c>
      <c r="H146" s="985">
        <f t="shared" ref="H146:N146" si="79">IF(H89="積上げ",0,+H121)</f>
        <v>0</v>
      </c>
      <c r="I146" s="985">
        <f t="shared" si="79"/>
        <v>0</v>
      </c>
      <c r="J146" s="985">
        <f t="shared" si="79"/>
        <v>0</v>
      </c>
      <c r="K146" s="985">
        <f>IF(K89="積上げ",0,+K121)</f>
        <v>0</v>
      </c>
      <c r="L146" s="985">
        <f t="shared" si="79"/>
        <v>0</v>
      </c>
      <c r="M146" s="985">
        <f t="shared" si="79"/>
        <v>0</v>
      </c>
      <c r="N146" s="985">
        <f t="shared" si="79"/>
        <v>0</v>
      </c>
    </row>
    <row r="147" spans="1:14" s="951" customFormat="1" ht="15" hidden="1" customHeight="1">
      <c r="A147" s="2329"/>
      <c r="B147" s="2425"/>
      <c r="C147" s="1092" t="s">
        <v>2871</v>
      </c>
      <c r="D147" s="1093">
        <v>1</v>
      </c>
      <c r="E147" s="1101">
        <v>0.01</v>
      </c>
      <c r="F147" s="949">
        <f t="shared" si="73"/>
        <v>0</v>
      </c>
      <c r="G147" s="985">
        <f>IF(G89="積上げ",0,G122)</f>
        <v>0</v>
      </c>
      <c r="H147" s="985">
        <f t="shared" ref="H147:N147" si="80">IF(H89="積上げ",0,H122)</f>
        <v>0</v>
      </c>
      <c r="I147" s="985">
        <f t="shared" si="80"/>
        <v>0</v>
      </c>
      <c r="J147" s="985">
        <f t="shared" si="80"/>
        <v>0</v>
      </c>
      <c r="K147" s="985">
        <f>IF(K89="積上げ",0,K122)</f>
        <v>0</v>
      </c>
      <c r="L147" s="985">
        <f t="shared" si="80"/>
        <v>0</v>
      </c>
      <c r="M147" s="985">
        <f t="shared" si="80"/>
        <v>0</v>
      </c>
      <c r="N147" s="985">
        <f t="shared" si="80"/>
        <v>0</v>
      </c>
    </row>
    <row r="148" spans="1:14" s="951" customFormat="1" ht="15" hidden="1" customHeight="1">
      <c r="A148" s="2329"/>
      <c r="B148" s="2425"/>
      <c r="C148" s="1092" t="s">
        <v>2845</v>
      </c>
      <c r="D148" s="1093">
        <v>1</v>
      </c>
      <c r="E148" s="1101">
        <v>0.01</v>
      </c>
      <c r="F148" s="949">
        <f t="shared" si="73"/>
        <v>0</v>
      </c>
      <c r="G148" s="985">
        <f>IF(G89="積上げ",0,G123)</f>
        <v>0</v>
      </c>
      <c r="H148" s="985">
        <f t="shared" ref="H148:N148" si="81">IF(H89="積上げ",0,H123)</f>
        <v>0</v>
      </c>
      <c r="I148" s="985">
        <f t="shared" si="81"/>
        <v>0</v>
      </c>
      <c r="J148" s="985">
        <f t="shared" si="81"/>
        <v>0</v>
      </c>
      <c r="K148" s="985">
        <f>IF(K89="積上げ",0,K123)</f>
        <v>0</v>
      </c>
      <c r="L148" s="985">
        <f t="shared" si="81"/>
        <v>0</v>
      </c>
      <c r="M148" s="985">
        <f t="shared" si="81"/>
        <v>0</v>
      </c>
      <c r="N148" s="985">
        <f t="shared" si="81"/>
        <v>0</v>
      </c>
    </row>
    <row r="149" spans="1:14" s="951" customFormat="1" ht="14.25" hidden="1" customHeight="1">
      <c r="A149" s="2329"/>
      <c r="B149" s="2425"/>
      <c r="C149" s="1092" t="s">
        <v>3076</v>
      </c>
      <c r="D149" s="1093"/>
      <c r="E149" s="1101"/>
      <c r="F149" s="949"/>
      <c r="G149" s="985"/>
      <c r="H149" s="985"/>
      <c r="I149" s="985"/>
      <c r="J149" s="985"/>
      <c r="K149" s="985"/>
      <c r="L149" s="985"/>
      <c r="M149" s="985"/>
      <c r="N149" s="985"/>
    </row>
    <row r="150" spans="1:14" s="951" customFormat="1" ht="14.25" hidden="1" customHeight="1">
      <c r="A150" s="2329"/>
      <c r="B150" s="2425"/>
      <c r="C150" s="1092" t="s">
        <v>2847</v>
      </c>
      <c r="D150" s="1093"/>
      <c r="E150" s="1101"/>
      <c r="F150" s="949"/>
      <c r="G150" s="985"/>
      <c r="H150" s="985"/>
      <c r="I150" s="985"/>
      <c r="J150" s="985"/>
      <c r="K150" s="985"/>
      <c r="L150" s="985"/>
      <c r="M150" s="985"/>
      <c r="N150" s="985"/>
    </row>
    <row r="151" spans="1:14" s="951" customFormat="1" ht="15" hidden="1" customHeight="1">
      <c r="A151" s="2329"/>
      <c r="B151" s="2425"/>
      <c r="C151" s="1092" t="s">
        <v>2848</v>
      </c>
      <c r="D151" s="1093">
        <v>1</v>
      </c>
      <c r="E151" s="1101">
        <v>0.01</v>
      </c>
      <c r="F151" s="949">
        <f>SUM(G151:N151)</f>
        <v>0</v>
      </c>
      <c r="G151" s="985">
        <f>IF(G89="積上げ",0,+G126)</f>
        <v>0</v>
      </c>
      <c r="H151" s="985">
        <f t="shared" ref="H151:N151" si="82">IF(H89="積上げ",0,+H126)</f>
        <v>0</v>
      </c>
      <c r="I151" s="985">
        <f t="shared" si="82"/>
        <v>0</v>
      </c>
      <c r="J151" s="985">
        <f t="shared" si="82"/>
        <v>0</v>
      </c>
      <c r="K151" s="985">
        <f>IF(K89="積上げ",0,+K126)</f>
        <v>0</v>
      </c>
      <c r="L151" s="985">
        <f t="shared" si="82"/>
        <v>0</v>
      </c>
      <c r="M151" s="985">
        <f t="shared" si="82"/>
        <v>0</v>
      </c>
      <c r="N151" s="985">
        <f t="shared" si="82"/>
        <v>0</v>
      </c>
    </row>
    <row r="152" spans="1:14" s="951" customFormat="1" ht="15" hidden="1" customHeight="1">
      <c r="A152" s="2329"/>
      <c r="B152" s="2425"/>
      <c r="C152" s="2045" t="s">
        <v>2849</v>
      </c>
      <c r="D152" s="1093">
        <v>1</v>
      </c>
      <c r="E152" s="1101">
        <v>0.01</v>
      </c>
      <c r="F152" s="949">
        <f>SUM(G152:N152)</f>
        <v>0</v>
      </c>
      <c r="G152" s="985">
        <f>IF(G89="積上げ",0,+G127)</f>
        <v>0</v>
      </c>
      <c r="H152" s="985">
        <f t="shared" ref="H152:N152" si="83">IF(H89="積上げ",0,+H127)</f>
        <v>0</v>
      </c>
      <c r="I152" s="985">
        <f t="shared" si="83"/>
        <v>0</v>
      </c>
      <c r="J152" s="985">
        <f t="shared" si="83"/>
        <v>0</v>
      </c>
      <c r="K152" s="985">
        <f>IF(K89="積上げ",0,+K127)</f>
        <v>0</v>
      </c>
      <c r="L152" s="985">
        <f t="shared" si="83"/>
        <v>0</v>
      </c>
      <c r="M152" s="985">
        <f t="shared" si="83"/>
        <v>0</v>
      </c>
      <c r="N152" s="985">
        <f t="shared" si="83"/>
        <v>0</v>
      </c>
    </row>
    <row r="153" spans="1:14" s="951" customFormat="1" ht="15" hidden="1" customHeight="1">
      <c r="A153" s="2329"/>
      <c r="B153" s="2425"/>
      <c r="C153" s="2045" t="s">
        <v>2850</v>
      </c>
      <c r="D153" s="1093">
        <v>1</v>
      </c>
      <c r="E153" s="1101">
        <v>0.01</v>
      </c>
      <c r="F153" s="949">
        <f>SUM(G153:N153)</f>
        <v>0</v>
      </c>
      <c r="G153" s="985">
        <f>IF(G89="積上げ",0,+G128)</f>
        <v>0</v>
      </c>
      <c r="H153" s="985">
        <f t="shared" ref="H153:N153" si="84">IF(H89="積上げ",0,+H128)</f>
        <v>0</v>
      </c>
      <c r="I153" s="985">
        <f t="shared" si="84"/>
        <v>0</v>
      </c>
      <c r="J153" s="985">
        <f t="shared" si="84"/>
        <v>0</v>
      </c>
      <c r="K153" s="985">
        <f>IF(K89="積上げ",0,+K128)</f>
        <v>0</v>
      </c>
      <c r="L153" s="985">
        <f t="shared" si="84"/>
        <v>0</v>
      </c>
      <c r="M153" s="985">
        <f t="shared" si="84"/>
        <v>0</v>
      </c>
      <c r="N153" s="985">
        <f t="shared" si="84"/>
        <v>0</v>
      </c>
    </row>
    <row r="154" spans="1:14" s="951" customFormat="1" ht="15" hidden="1" customHeight="1">
      <c r="A154" s="2329"/>
      <c r="B154" s="2424"/>
      <c r="C154" s="1092" t="s">
        <v>2851</v>
      </c>
      <c r="D154" s="1093">
        <v>1</v>
      </c>
      <c r="E154" s="1101">
        <v>0.01</v>
      </c>
      <c r="F154" s="949">
        <f>SUM(G154:N154)</f>
        <v>0</v>
      </c>
      <c r="G154" s="985">
        <f>IF(G89="積上げ",0,+G129)</f>
        <v>0</v>
      </c>
      <c r="H154" s="985">
        <f t="shared" ref="H154:N154" si="85">IF(H89="積上げ",0,+H129)</f>
        <v>0</v>
      </c>
      <c r="I154" s="985">
        <f t="shared" si="85"/>
        <v>0</v>
      </c>
      <c r="J154" s="985">
        <f t="shared" si="85"/>
        <v>0</v>
      </c>
      <c r="K154" s="985">
        <f>IF(K89="積上げ",0,+K129)</f>
        <v>0</v>
      </c>
      <c r="L154" s="985">
        <f t="shared" si="85"/>
        <v>0</v>
      </c>
      <c r="M154" s="985">
        <f t="shared" si="85"/>
        <v>0</v>
      </c>
      <c r="N154" s="985">
        <f t="shared" si="85"/>
        <v>0</v>
      </c>
    </row>
    <row r="155" spans="1:14" s="951" customFormat="1" ht="15" hidden="1" customHeight="1">
      <c r="A155" s="2330"/>
      <c r="B155" s="2046" t="s">
        <v>2872</v>
      </c>
      <c r="C155" s="1028" t="s">
        <v>2873</v>
      </c>
      <c r="D155" s="1105">
        <v>1</v>
      </c>
      <c r="E155" s="1106">
        <v>0</v>
      </c>
      <c r="F155" s="1107">
        <f>SUM(G155:N155)</f>
        <v>0</v>
      </c>
      <c r="G155" s="1108">
        <f>IF(G89="積上げ",0,SUM(G133:G136)+G130)</f>
        <v>0</v>
      </c>
      <c r="H155" s="1108">
        <f t="shared" ref="H155:N155" si="86">IF(H89="積上げ",0,SUM(H133:H136)+H130)</f>
        <v>0</v>
      </c>
      <c r="I155" s="1108">
        <f t="shared" si="86"/>
        <v>0</v>
      </c>
      <c r="J155" s="1108">
        <f t="shared" si="86"/>
        <v>0</v>
      </c>
      <c r="K155" s="1108">
        <f t="shared" si="86"/>
        <v>0</v>
      </c>
      <c r="L155" s="1108">
        <f t="shared" si="86"/>
        <v>0</v>
      </c>
      <c r="M155" s="1108">
        <f t="shared" si="86"/>
        <v>0</v>
      </c>
      <c r="N155" s="1108">
        <f t="shared" si="86"/>
        <v>0</v>
      </c>
    </row>
    <row r="156" spans="1:14" s="951" customFormat="1" ht="15" hidden="1" customHeight="1">
      <c r="A156" s="1110"/>
      <c r="B156" s="2047"/>
      <c r="C156" s="2048"/>
      <c r="D156" s="2332"/>
      <c r="E156" s="2332"/>
      <c r="F156" s="1088"/>
      <c r="G156" s="1089"/>
      <c r="H156" s="1089"/>
      <c r="I156" s="1089"/>
      <c r="J156" s="1089"/>
      <c r="K156" s="1089"/>
      <c r="L156" s="1089"/>
      <c r="M156" s="1089"/>
      <c r="N156" s="1113"/>
    </row>
    <row r="157" spans="1:14" s="951" customFormat="1" ht="15" hidden="1" customHeight="1">
      <c r="A157" s="2326" t="s">
        <v>2874</v>
      </c>
      <c r="B157" s="2327"/>
      <c r="C157" s="2441"/>
      <c r="D157" s="2333"/>
      <c r="E157" s="2333"/>
      <c r="F157" s="1081"/>
      <c r="G157" s="1082"/>
      <c r="H157" s="1082"/>
      <c r="I157" s="1082"/>
      <c r="J157" s="1082"/>
      <c r="K157" s="1082"/>
      <c r="L157" s="1082"/>
      <c r="M157" s="1082"/>
      <c r="N157" s="1083"/>
    </row>
    <row r="158" spans="1:14" s="951" customFormat="1" ht="15" hidden="1" customHeight="1">
      <c r="A158" s="2328"/>
      <c r="B158" s="2443" t="s">
        <v>2107</v>
      </c>
      <c r="C158" s="1114" t="s">
        <v>2838</v>
      </c>
      <c r="D158" s="1115"/>
      <c r="E158" s="1116" t="s">
        <v>2867</v>
      </c>
      <c r="F158" s="1117" t="s">
        <v>2875</v>
      </c>
      <c r="G158" s="1118">
        <f>IF(G142=0,0,IF(G90="有り",+G264/100,G265/100))</f>
        <v>0</v>
      </c>
      <c r="H158" s="1118">
        <f t="shared" ref="H158:N158" si="87">IF(H142=0,0,IF(H90="有り",+H264/100,H265/100))</f>
        <v>0</v>
      </c>
      <c r="I158" s="1118">
        <f t="shared" si="87"/>
        <v>0</v>
      </c>
      <c r="J158" s="1118">
        <f t="shared" si="87"/>
        <v>0</v>
      </c>
      <c r="K158" s="1118">
        <f>IF(K142=0,0,IF(K90="有り",+K264/100,K265/100))</f>
        <v>0</v>
      </c>
      <c r="L158" s="1118">
        <f t="shared" si="87"/>
        <v>0</v>
      </c>
      <c r="M158" s="1118">
        <f t="shared" si="87"/>
        <v>0</v>
      </c>
      <c r="N158" s="1119">
        <f t="shared" si="87"/>
        <v>0</v>
      </c>
    </row>
    <row r="159" spans="1:14" s="951" customFormat="1" ht="15" hidden="1" customHeight="1">
      <c r="A159" s="2329"/>
      <c r="B159" s="2425"/>
      <c r="C159" s="1120"/>
      <c r="D159" s="1121">
        <f>+D142</f>
        <v>1</v>
      </c>
      <c r="E159" s="1122" t="s">
        <v>3120</v>
      </c>
      <c r="F159" s="1123">
        <f>SUM(G159:N159)</f>
        <v>0</v>
      </c>
      <c r="G159" s="940">
        <f>ROUNDDOWN(G142*G158*$D159,0)</f>
        <v>0</v>
      </c>
      <c r="H159" s="940">
        <f t="shared" ref="H159:N159" si="88">ROUNDDOWN(H142*H158*$D159,0)</f>
        <v>0</v>
      </c>
      <c r="I159" s="940">
        <f t="shared" si="88"/>
        <v>0</v>
      </c>
      <c r="J159" s="940">
        <f t="shared" si="88"/>
        <v>0</v>
      </c>
      <c r="K159" s="940">
        <f>ROUNDDOWN(K142*K158*$D159,0)</f>
        <v>0</v>
      </c>
      <c r="L159" s="940">
        <f t="shared" si="88"/>
        <v>0</v>
      </c>
      <c r="M159" s="940">
        <f t="shared" si="88"/>
        <v>0</v>
      </c>
      <c r="N159" s="1124">
        <f t="shared" si="88"/>
        <v>0</v>
      </c>
    </row>
    <row r="160" spans="1:14" s="951" customFormat="1" ht="15" hidden="1" customHeight="1">
      <c r="A160" s="2329"/>
      <c r="B160" s="2425"/>
      <c r="C160" s="1125" t="s">
        <v>2839</v>
      </c>
      <c r="D160" s="1126"/>
      <c r="E160" s="1122" t="s">
        <v>2867</v>
      </c>
      <c r="F160" s="1127" t="s">
        <v>3121</v>
      </c>
      <c r="G160" s="1129">
        <f t="shared" ref="G160:N160" si="89">IF(G143=0,0,IF(G90="有り",G273/100,+G274/100))</f>
        <v>0</v>
      </c>
      <c r="H160" s="1129">
        <f t="shared" si="89"/>
        <v>0</v>
      </c>
      <c r="I160" s="1129">
        <f t="shared" si="89"/>
        <v>0</v>
      </c>
      <c r="J160" s="1129">
        <f t="shared" si="89"/>
        <v>0</v>
      </c>
      <c r="K160" s="1129">
        <f>IF(K143=0,0,IF(K90="有り",K273/100,+K274/100))</f>
        <v>0</v>
      </c>
      <c r="L160" s="1129">
        <f t="shared" si="89"/>
        <v>0</v>
      </c>
      <c r="M160" s="1129">
        <f t="shared" si="89"/>
        <v>0</v>
      </c>
      <c r="N160" s="1130">
        <f t="shared" si="89"/>
        <v>0</v>
      </c>
    </row>
    <row r="161" spans="1:14" s="951" customFormat="1" ht="15" hidden="1" customHeight="1">
      <c r="A161" s="2329"/>
      <c r="B161" s="2425"/>
      <c r="C161" s="1120"/>
      <c r="D161" s="1131">
        <f t="shared" ref="D161:D166" si="90">+D143</f>
        <v>1</v>
      </c>
      <c r="E161" s="1122" t="s">
        <v>2867</v>
      </c>
      <c r="F161" s="1123">
        <f>SUM(G161:N161)</f>
        <v>0</v>
      </c>
      <c r="G161" s="940">
        <f>ROUNDDOWN(G143*G160*$D161,0)</f>
        <v>0</v>
      </c>
      <c r="H161" s="940">
        <f t="shared" ref="H161:N161" si="91">ROUNDDOWN(H143*H160*$D161,0)</f>
        <v>0</v>
      </c>
      <c r="I161" s="940">
        <f t="shared" si="91"/>
        <v>0</v>
      </c>
      <c r="J161" s="940">
        <f t="shared" si="91"/>
        <v>0</v>
      </c>
      <c r="K161" s="940">
        <f>ROUNDDOWN(K143*K160*$D161,0)</f>
        <v>0</v>
      </c>
      <c r="L161" s="940">
        <f t="shared" si="91"/>
        <v>0</v>
      </c>
      <c r="M161" s="940">
        <f t="shared" si="91"/>
        <v>0</v>
      </c>
      <c r="N161" s="1124">
        <f t="shared" si="91"/>
        <v>0</v>
      </c>
    </row>
    <row r="162" spans="1:14" s="951" customFormat="1" ht="15" hidden="1" customHeight="1">
      <c r="A162" s="2329"/>
      <c r="B162" s="2425"/>
      <c r="C162" s="1092" t="s">
        <v>2876</v>
      </c>
      <c r="D162" s="1132">
        <v>0.9</v>
      </c>
      <c r="E162" s="1122" t="s">
        <v>3120</v>
      </c>
      <c r="F162" s="1123">
        <f>SUM(G162:N162)</f>
        <v>0</v>
      </c>
      <c r="G162" s="940">
        <f>ROUNDDOWN(G144*G158*$D162,0)</f>
        <v>0</v>
      </c>
      <c r="H162" s="940">
        <f t="shared" ref="H162:N162" si="92">ROUNDDOWN(H144*H158*$D162,0)</f>
        <v>0</v>
      </c>
      <c r="I162" s="940">
        <f t="shared" si="92"/>
        <v>0</v>
      </c>
      <c r="J162" s="940">
        <f t="shared" si="92"/>
        <v>0</v>
      </c>
      <c r="K162" s="940">
        <f>ROUNDDOWN(K144*K158*$D162,0)</f>
        <v>0</v>
      </c>
      <c r="L162" s="940">
        <f t="shared" si="92"/>
        <v>0</v>
      </c>
      <c r="M162" s="940">
        <f t="shared" si="92"/>
        <v>0</v>
      </c>
      <c r="N162" s="1124">
        <f t="shared" si="92"/>
        <v>0</v>
      </c>
    </row>
    <row r="163" spans="1:14" s="951" customFormat="1" ht="15" hidden="1" customHeight="1">
      <c r="A163" s="2329"/>
      <c r="B163" s="2424"/>
      <c r="C163" s="1092" t="s">
        <v>2877</v>
      </c>
      <c r="D163" s="1132">
        <v>0.9</v>
      </c>
      <c r="E163" s="1122" t="s">
        <v>2867</v>
      </c>
      <c r="F163" s="1123">
        <f>SUM(G163:N163)</f>
        <v>0</v>
      </c>
      <c r="G163" s="940">
        <f>ROUNDDOWN(G145*G160*$D163,0)</f>
        <v>0</v>
      </c>
      <c r="H163" s="940">
        <f t="shared" ref="H163:N163" si="93">ROUNDDOWN(H145*H160*$D163,0)</f>
        <v>0</v>
      </c>
      <c r="I163" s="940">
        <f t="shared" si="93"/>
        <v>0</v>
      </c>
      <c r="J163" s="940">
        <f t="shared" si="93"/>
        <v>0</v>
      </c>
      <c r="K163" s="940">
        <f>ROUNDDOWN(K145*K160*$D163,0)</f>
        <v>0</v>
      </c>
      <c r="L163" s="940">
        <f t="shared" si="93"/>
        <v>0</v>
      </c>
      <c r="M163" s="940">
        <f t="shared" si="93"/>
        <v>0</v>
      </c>
      <c r="N163" s="1124">
        <f t="shared" si="93"/>
        <v>0</v>
      </c>
    </row>
    <row r="164" spans="1:14" s="951" customFormat="1" ht="15" hidden="1" customHeight="1">
      <c r="A164" s="2329"/>
      <c r="B164" s="2316" t="s">
        <v>2842</v>
      </c>
      <c r="C164" s="1092" t="s">
        <v>2870</v>
      </c>
      <c r="D164" s="1132">
        <f>+D146</f>
        <v>1</v>
      </c>
      <c r="E164" s="1101">
        <f>+E146</f>
        <v>0.01</v>
      </c>
      <c r="F164" s="949">
        <v>0</v>
      </c>
      <c r="G164" s="940">
        <f t="shared" ref="G164:N173" si="94">ROUNDDOWN(G146*$E164*$D164,0)</f>
        <v>0</v>
      </c>
      <c r="H164" s="940">
        <f t="shared" si="94"/>
        <v>0</v>
      </c>
      <c r="I164" s="940">
        <f t="shared" si="94"/>
        <v>0</v>
      </c>
      <c r="J164" s="940">
        <f t="shared" si="94"/>
        <v>0</v>
      </c>
      <c r="K164" s="940">
        <f t="shared" si="94"/>
        <v>0</v>
      </c>
      <c r="L164" s="940">
        <f t="shared" si="94"/>
        <v>0</v>
      </c>
      <c r="M164" s="940">
        <f t="shared" si="94"/>
        <v>0</v>
      </c>
      <c r="N164" s="940">
        <f t="shared" si="94"/>
        <v>0</v>
      </c>
    </row>
    <row r="165" spans="1:14" s="951" customFormat="1" ht="15" hidden="1" customHeight="1">
      <c r="A165" s="2329"/>
      <c r="B165" s="2425"/>
      <c r="C165" s="1092" t="s">
        <v>2878</v>
      </c>
      <c r="D165" s="1132">
        <f t="shared" si="90"/>
        <v>1</v>
      </c>
      <c r="E165" s="1101">
        <f>+E147</f>
        <v>0.01</v>
      </c>
      <c r="F165" s="949">
        <v>0</v>
      </c>
      <c r="G165" s="940">
        <f t="shared" si="94"/>
        <v>0</v>
      </c>
      <c r="H165" s="940">
        <f t="shared" si="94"/>
        <v>0</v>
      </c>
      <c r="I165" s="940">
        <f t="shared" si="94"/>
        <v>0</v>
      </c>
      <c r="J165" s="940">
        <f t="shared" si="94"/>
        <v>0</v>
      </c>
      <c r="K165" s="940">
        <f t="shared" si="94"/>
        <v>0</v>
      </c>
      <c r="L165" s="940">
        <f t="shared" si="94"/>
        <v>0</v>
      </c>
      <c r="M165" s="940">
        <f t="shared" si="94"/>
        <v>0</v>
      </c>
      <c r="N165" s="940">
        <f t="shared" si="94"/>
        <v>0</v>
      </c>
    </row>
    <row r="166" spans="1:14" s="951" customFormat="1" ht="15" hidden="1" customHeight="1">
      <c r="A166" s="2329"/>
      <c r="B166" s="2425"/>
      <c r="C166" s="1092" t="s">
        <v>2845</v>
      </c>
      <c r="D166" s="1132">
        <f t="shared" si="90"/>
        <v>1</v>
      </c>
      <c r="E166" s="1101">
        <f>+E148</f>
        <v>0.01</v>
      </c>
      <c r="F166" s="949">
        <v>0</v>
      </c>
      <c r="G166" s="940">
        <f t="shared" si="94"/>
        <v>0</v>
      </c>
      <c r="H166" s="940">
        <f t="shared" si="94"/>
        <v>0</v>
      </c>
      <c r="I166" s="940">
        <f t="shared" si="94"/>
        <v>0</v>
      </c>
      <c r="J166" s="940">
        <f t="shared" si="94"/>
        <v>0</v>
      </c>
      <c r="K166" s="940">
        <f t="shared" si="94"/>
        <v>0</v>
      </c>
      <c r="L166" s="940">
        <f t="shared" si="94"/>
        <v>0</v>
      </c>
      <c r="M166" s="940">
        <f t="shared" si="94"/>
        <v>0</v>
      </c>
      <c r="N166" s="940">
        <f t="shared" si="94"/>
        <v>0</v>
      </c>
    </row>
    <row r="167" spans="1:14" s="951" customFormat="1" ht="15" hidden="1" customHeight="1">
      <c r="A167" s="2329"/>
      <c r="B167" s="2425"/>
      <c r="C167" s="1092" t="s">
        <v>2879</v>
      </c>
      <c r="D167" s="1132"/>
      <c r="E167" s="1101"/>
      <c r="F167" s="949"/>
      <c r="G167" s="940"/>
      <c r="H167" s="940"/>
      <c r="I167" s="940"/>
      <c r="J167" s="940"/>
      <c r="K167" s="940"/>
      <c r="L167" s="940"/>
      <c r="M167" s="940"/>
      <c r="N167" s="940"/>
    </row>
    <row r="168" spans="1:14" s="951" customFormat="1" ht="15" hidden="1" customHeight="1">
      <c r="A168" s="2329"/>
      <c r="B168" s="2425"/>
      <c r="C168" s="2049" t="s">
        <v>2847</v>
      </c>
      <c r="D168" s="1132"/>
      <c r="E168" s="1101"/>
      <c r="F168" s="949"/>
      <c r="G168" s="940"/>
      <c r="H168" s="940"/>
      <c r="I168" s="940"/>
      <c r="J168" s="940"/>
      <c r="K168" s="940"/>
      <c r="L168" s="940"/>
      <c r="M168" s="940"/>
      <c r="N168" s="940"/>
    </row>
    <row r="169" spans="1:14" s="951" customFormat="1" ht="15" hidden="1" customHeight="1">
      <c r="A169" s="2329"/>
      <c r="B169" s="2425"/>
      <c r="C169" s="1092" t="s">
        <v>2848</v>
      </c>
      <c r="D169" s="1132">
        <f t="shared" ref="D169:E173" si="95">+D151</f>
        <v>1</v>
      </c>
      <c r="E169" s="1101">
        <f t="shared" si="95"/>
        <v>0.01</v>
      </c>
      <c r="F169" s="949">
        <v>0</v>
      </c>
      <c r="G169" s="940">
        <f t="shared" si="94"/>
        <v>0</v>
      </c>
      <c r="H169" s="940">
        <f t="shared" si="94"/>
        <v>0</v>
      </c>
      <c r="I169" s="940">
        <f t="shared" si="94"/>
        <v>0</v>
      </c>
      <c r="J169" s="940">
        <f t="shared" si="94"/>
        <v>0</v>
      </c>
      <c r="K169" s="940">
        <f t="shared" si="94"/>
        <v>0</v>
      </c>
      <c r="L169" s="940">
        <f t="shared" si="94"/>
        <v>0</v>
      </c>
      <c r="M169" s="940">
        <f t="shared" si="94"/>
        <v>0</v>
      </c>
      <c r="N169" s="940">
        <f t="shared" si="94"/>
        <v>0</v>
      </c>
    </row>
    <row r="170" spans="1:14" s="951" customFormat="1" ht="15" hidden="1" customHeight="1">
      <c r="A170" s="2329"/>
      <c r="B170" s="2425"/>
      <c r="C170" s="2045" t="s">
        <v>2880</v>
      </c>
      <c r="D170" s="1132">
        <f t="shared" si="95"/>
        <v>1</v>
      </c>
      <c r="E170" s="1101">
        <f t="shared" si="95"/>
        <v>0.01</v>
      </c>
      <c r="F170" s="949">
        <v>0</v>
      </c>
      <c r="G170" s="940">
        <f t="shared" si="94"/>
        <v>0</v>
      </c>
      <c r="H170" s="940">
        <f t="shared" si="94"/>
        <v>0</v>
      </c>
      <c r="I170" s="940">
        <f t="shared" si="94"/>
        <v>0</v>
      </c>
      <c r="J170" s="940">
        <f t="shared" si="94"/>
        <v>0</v>
      </c>
      <c r="K170" s="940">
        <f t="shared" si="94"/>
        <v>0</v>
      </c>
      <c r="L170" s="940">
        <f t="shared" si="94"/>
        <v>0</v>
      </c>
      <c r="M170" s="940">
        <f t="shared" si="94"/>
        <v>0</v>
      </c>
      <c r="N170" s="940">
        <f t="shared" si="94"/>
        <v>0</v>
      </c>
    </row>
    <row r="171" spans="1:14" s="951" customFormat="1" ht="15" hidden="1" customHeight="1">
      <c r="A171" s="2329"/>
      <c r="B171" s="2425"/>
      <c r="C171" s="2045" t="s">
        <v>2881</v>
      </c>
      <c r="D171" s="1132">
        <f t="shared" si="95"/>
        <v>1</v>
      </c>
      <c r="E171" s="1101">
        <f t="shared" si="95"/>
        <v>0.01</v>
      </c>
      <c r="F171" s="949">
        <v>0</v>
      </c>
      <c r="G171" s="940">
        <f t="shared" si="94"/>
        <v>0</v>
      </c>
      <c r="H171" s="940">
        <f t="shared" si="94"/>
        <v>0</v>
      </c>
      <c r="I171" s="940">
        <f t="shared" si="94"/>
        <v>0</v>
      </c>
      <c r="J171" s="940">
        <f t="shared" si="94"/>
        <v>0</v>
      </c>
      <c r="K171" s="940">
        <f t="shared" si="94"/>
        <v>0</v>
      </c>
      <c r="L171" s="940">
        <f t="shared" si="94"/>
        <v>0</v>
      </c>
      <c r="M171" s="940">
        <f t="shared" si="94"/>
        <v>0</v>
      </c>
      <c r="N171" s="940">
        <f t="shared" si="94"/>
        <v>0</v>
      </c>
    </row>
    <row r="172" spans="1:14" s="951" customFormat="1" ht="15" hidden="1" customHeight="1">
      <c r="A172" s="2329"/>
      <c r="B172" s="2424"/>
      <c r="C172" s="1092" t="s">
        <v>2851</v>
      </c>
      <c r="D172" s="1132">
        <f t="shared" si="95"/>
        <v>1</v>
      </c>
      <c r="E172" s="1101">
        <f t="shared" si="95"/>
        <v>0.01</v>
      </c>
      <c r="F172" s="949">
        <v>0</v>
      </c>
      <c r="G172" s="940">
        <f t="shared" si="94"/>
        <v>0</v>
      </c>
      <c r="H172" s="940">
        <f t="shared" si="94"/>
        <v>0</v>
      </c>
      <c r="I172" s="940">
        <f t="shared" si="94"/>
        <v>0</v>
      </c>
      <c r="J172" s="940">
        <f t="shared" si="94"/>
        <v>0</v>
      </c>
      <c r="K172" s="940">
        <f t="shared" si="94"/>
        <v>0</v>
      </c>
      <c r="L172" s="940">
        <f t="shared" si="94"/>
        <v>0</v>
      </c>
      <c r="M172" s="940">
        <f t="shared" si="94"/>
        <v>0</v>
      </c>
      <c r="N172" s="940">
        <f t="shared" si="94"/>
        <v>0</v>
      </c>
    </row>
    <row r="173" spans="1:14" s="951" customFormat="1" ht="15" hidden="1" customHeight="1" thickBot="1">
      <c r="A173" s="2442"/>
      <c r="B173" s="2050" t="s">
        <v>2872</v>
      </c>
      <c r="C173" s="2051" t="s">
        <v>2882</v>
      </c>
      <c r="D173" s="2052">
        <f t="shared" si="95"/>
        <v>1</v>
      </c>
      <c r="E173" s="2053">
        <f t="shared" si="95"/>
        <v>0</v>
      </c>
      <c r="F173" s="1218">
        <f>ROUNDDOWN(D173*E173*F155,0)</f>
        <v>0</v>
      </c>
      <c r="G173" s="940">
        <f>ROUNDDOWN(G155*$E173*$D173,0)</f>
        <v>0</v>
      </c>
      <c r="H173" s="940">
        <f>ROUNDDOWN(H155*$E173*$D173,0)</f>
        <v>0</v>
      </c>
      <c r="I173" s="940">
        <f t="shared" si="94"/>
        <v>0</v>
      </c>
      <c r="J173" s="940">
        <f t="shared" si="94"/>
        <v>0</v>
      </c>
      <c r="K173" s="940">
        <f t="shared" si="94"/>
        <v>0</v>
      </c>
      <c r="L173" s="940">
        <f t="shared" si="94"/>
        <v>0</v>
      </c>
      <c r="M173" s="940">
        <f t="shared" si="94"/>
        <v>0</v>
      </c>
      <c r="N173" s="940">
        <f t="shared" si="94"/>
        <v>0</v>
      </c>
    </row>
    <row r="174" spans="1:14" s="951" customFormat="1" ht="15" hidden="1" customHeight="1" thickTop="1">
      <c r="A174" s="2054"/>
      <c r="B174" s="2055"/>
      <c r="C174" s="2056" t="s">
        <v>2883</v>
      </c>
      <c r="D174" s="2057"/>
      <c r="E174" s="2058"/>
      <c r="F174" s="2059">
        <f>SUM(G174:N174)</f>
        <v>0</v>
      </c>
      <c r="G174" s="2060">
        <f>SUM(G161:G173)+G159</f>
        <v>0</v>
      </c>
      <c r="H174" s="2060">
        <f t="shared" ref="H174:N174" si="96">SUM(H161:H173)+H159</f>
        <v>0</v>
      </c>
      <c r="I174" s="2060">
        <f t="shared" si="96"/>
        <v>0</v>
      </c>
      <c r="J174" s="2060">
        <f t="shared" si="96"/>
        <v>0</v>
      </c>
      <c r="K174" s="2060">
        <f>SUM(K161:K173)+K159</f>
        <v>0</v>
      </c>
      <c r="L174" s="2060">
        <f t="shared" si="96"/>
        <v>0</v>
      </c>
      <c r="M174" s="2060">
        <f t="shared" si="96"/>
        <v>0</v>
      </c>
      <c r="N174" s="2061">
        <f t="shared" si="96"/>
        <v>0</v>
      </c>
    </row>
    <row r="175" spans="1:14" s="951" customFormat="1" ht="15" customHeight="1">
      <c r="A175" s="946"/>
      <c r="B175" s="946"/>
      <c r="C175" s="954"/>
      <c r="D175" s="954"/>
      <c r="E175" s="946"/>
      <c r="F175" s="1071"/>
      <c r="G175" s="1072"/>
      <c r="H175" s="1072"/>
      <c r="I175" s="1072"/>
      <c r="J175" s="1072"/>
      <c r="K175" s="1072"/>
      <c r="L175" s="1072"/>
      <c r="M175" s="1072"/>
      <c r="N175" s="1072"/>
    </row>
    <row r="176" spans="1:14" s="951" customFormat="1" ht="15" customHeight="1">
      <c r="A176" s="946"/>
      <c r="B176" s="946"/>
      <c r="C176" s="1073" t="s">
        <v>3122</v>
      </c>
      <c r="D176" s="1073"/>
      <c r="E176" s="1074"/>
      <c r="F176" s="837"/>
      <c r="G176" s="842"/>
      <c r="H176" s="842"/>
      <c r="I176" s="842"/>
      <c r="J176" s="842"/>
      <c r="K176" s="842"/>
      <c r="L176" s="842"/>
      <c r="M176" s="842"/>
      <c r="N176" s="844" t="s">
        <v>3123</v>
      </c>
    </row>
    <row r="177" spans="1:14" s="951" customFormat="1" ht="15" customHeight="1">
      <c r="A177" s="946"/>
      <c r="B177" s="946"/>
      <c r="C177" s="1075" t="s">
        <v>2886</v>
      </c>
      <c r="D177" s="1075"/>
      <c r="E177" s="1074"/>
      <c r="F177" s="837"/>
      <c r="G177" s="842"/>
      <c r="H177" s="842"/>
      <c r="I177" s="842"/>
      <c r="J177" s="842"/>
      <c r="K177" s="842"/>
      <c r="L177" s="842"/>
      <c r="M177" s="842"/>
      <c r="N177" s="844"/>
    </row>
    <row r="178" spans="1:14" s="951" customFormat="1" ht="15" customHeight="1">
      <c r="A178" s="1076"/>
      <c r="B178" s="1077"/>
      <c r="C178" s="1077"/>
      <c r="D178" s="2324" t="s">
        <v>2863</v>
      </c>
      <c r="E178" s="2324" t="s">
        <v>3124</v>
      </c>
      <c r="F178" s="1078" t="s">
        <v>2836</v>
      </c>
      <c r="G178" s="1079">
        <f t="shared" ref="G178:N178" si="97">+G87</f>
        <v>0</v>
      </c>
      <c r="H178" s="1079">
        <f t="shared" si="97"/>
        <v>0</v>
      </c>
      <c r="I178" s="1079">
        <f t="shared" si="97"/>
        <v>0</v>
      </c>
      <c r="J178" s="1079">
        <f t="shared" si="97"/>
        <v>0</v>
      </c>
      <c r="K178" s="1079">
        <f>+K87</f>
        <v>0</v>
      </c>
      <c r="L178" s="1079">
        <f t="shared" si="97"/>
        <v>0</v>
      </c>
      <c r="M178" s="1079">
        <f t="shared" si="97"/>
        <v>0</v>
      </c>
      <c r="N178" s="1080">
        <f t="shared" si="97"/>
        <v>0</v>
      </c>
    </row>
    <row r="179" spans="1:14" s="951" customFormat="1" ht="15" customHeight="1">
      <c r="A179" s="2326" t="s">
        <v>2887</v>
      </c>
      <c r="B179" s="2327"/>
      <c r="C179" s="2441"/>
      <c r="D179" s="2325"/>
      <c r="E179" s="2325"/>
      <c r="F179" s="1081"/>
      <c r="G179" s="1082"/>
      <c r="H179" s="1082"/>
      <c r="I179" s="1082"/>
      <c r="J179" s="1082"/>
      <c r="K179" s="1082"/>
      <c r="L179" s="1082"/>
      <c r="M179" s="1082"/>
      <c r="N179" s="1083"/>
    </row>
    <row r="180" spans="1:14" s="951" customFormat="1" ht="15" customHeight="1">
      <c r="A180" s="2328"/>
      <c r="B180" s="1084" t="s">
        <v>2888</v>
      </c>
      <c r="C180" s="1085"/>
      <c r="D180" s="1086"/>
      <c r="E180" s="1087"/>
      <c r="F180" s="1088">
        <f t="shared" ref="F180:F187" si="98">SUM(G180:N180)</f>
        <v>0</v>
      </c>
      <c r="G180" s="1089">
        <f>+G91-G135-G134-G130-G131</f>
        <v>0</v>
      </c>
      <c r="H180" s="1089">
        <f t="shared" ref="H180:N180" si="99">+H91-H135-H134-H130-H131</f>
        <v>0</v>
      </c>
      <c r="I180" s="1089">
        <f t="shared" si="99"/>
        <v>0</v>
      </c>
      <c r="J180" s="1089">
        <f t="shared" si="99"/>
        <v>0</v>
      </c>
      <c r="K180" s="1089">
        <f>+K91-K135-K134-K130-K131</f>
        <v>0</v>
      </c>
      <c r="L180" s="1089">
        <f t="shared" si="99"/>
        <v>0</v>
      </c>
      <c r="M180" s="1089">
        <f t="shared" si="99"/>
        <v>0</v>
      </c>
      <c r="N180" s="1113">
        <f t="shared" si="99"/>
        <v>0</v>
      </c>
    </row>
    <row r="181" spans="1:14" s="951" customFormat="1" ht="15" customHeight="1">
      <c r="A181" s="2329"/>
      <c r="B181" s="2316" t="s">
        <v>2107</v>
      </c>
      <c r="C181" s="1092" t="s">
        <v>2838</v>
      </c>
      <c r="D181" s="1093">
        <v>1</v>
      </c>
      <c r="E181" s="1094" t="s">
        <v>2867</v>
      </c>
      <c r="F181" s="949">
        <f t="shared" si="98"/>
        <v>0</v>
      </c>
      <c r="G181" s="985">
        <f>IF(G117&gt;=G118,+G117+G159+G98-G99-G100-G135,G117+G159)</f>
        <v>0</v>
      </c>
      <c r="H181" s="985">
        <f t="shared" ref="H181:N181" si="100">IF(H117&gt;=H118,+H117+H159+H98-H99-H100-H135,H117+H159)</f>
        <v>0</v>
      </c>
      <c r="I181" s="985">
        <f t="shared" si="100"/>
        <v>0</v>
      </c>
      <c r="J181" s="985">
        <f t="shared" si="100"/>
        <v>0</v>
      </c>
      <c r="K181" s="985">
        <f t="shared" si="100"/>
        <v>0</v>
      </c>
      <c r="L181" s="985">
        <f t="shared" si="100"/>
        <v>0</v>
      </c>
      <c r="M181" s="985">
        <f t="shared" si="100"/>
        <v>0</v>
      </c>
      <c r="N181" s="986">
        <f t="shared" si="100"/>
        <v>0</v>
      </c>
    </row>
    <row r="182" spans="1:14" s="951" customFormat="1" ht="15" customHeight="1">
      <c r="A182" s="2329"/>
      <c r="B182" s="2425"/>
      <c r="C182" s="1092" t="s">
        <v>2839</v>
      </c>
      <c r="D182" s="1093">
        <v>1</v>
      </c>
      <c r="E182" s="1094" t="s">
        <v>2867</v>
      </c>
      <c r="F182" s="949">
        <f t="shared" si="98"/>
        <v>0</v>
      </c>
      <c r="G182" s="985">
        <f>IF(G117&gt;=G118,+G118+G161,G118+G161+G98-G99-G100-G135)</f>
        <v>0</v>
      </c>
      <c r="H182" s="985">
        <f t="shared" ref="H182:N182" si="101">IF(H117&gt;=H118,+H118+H161,H118+H161+H98-H99-H100-H135)</f>
        <v>0</v>
      </c>
      <c r="I182" s="985">
        <f t="shared" si="101"/>
        <v>0</v>
      </c>
      <c r="J182" s="985">
        <f t="shared" si="101"/>
        <v>0</v>
      </c>
      <c r="K182" s="985">
        <f t="shared" si="101"/>
        <v>0</v>
      </c>
      <c r="L182" s="985">
        <f t="shared" si="101"/>
        <v>0</v>
      </c>
      <c r="M182" s="985">
        <f t="shared" si="101"/>
        <v>0</v>
      </c>
      <c r="N182" s="986">
        <f t="shared" si="101"/>
        <v>0</v>
      </c>
    </row>
    <row r="183" spans="1:14" s="951" customFormat="1" ht="15" customHeight="1">
      <c r="A183" s="2329"/>
      <c r="B183" s="2425"/>
      <c r="C183" s="1092" t="s">
        <v>2868</v>
      </c>
      <c r="D183" s="1093">
        <v>1</v>
      </c>
      <c r="E183" s="1094" t="s">
        <v>2867</v>
      </c>
      <c r="F183" s="949">
        <f t="shared" si="98"/>
        <v>0</v>
      </c>
      <c r="G183" s="985">
        <f>+G119+G162</f>
        <v>0</v>
      </c>
      <c r="H183" s="985">
        <f t="shared" ref="H183:N187" si="102">+H119+H162</f>
        <v>0</v>
      </c>
      <c r="I183" s="985">
        <f t="shared" si="102"/>
        <v>0</v>
      </c>
      <c r="J183" s="985">
        <f t="shared" si="102"/>
        <v>0</v>
      </c>
      <c r="K183" s="985">
        <f t="shared" si="102"/>
        <v>0</v>
      </c>
      <c r="L183" s="985">
        <f t="shared" si="102"/>
        <v>0</v>
      </c>
      <c r="M183" s="985">
        <f t="shared" si="102"/>
        <v>0</v>
      </c>
      <c r="N183" s="986">
        <f t="shared" si="102"/>
        <v>0</v>
      </c>
    </row>
    <row r="184" spans="1:14" s="951" customFormat="1" ht="15" customHeight="1">
      <c r="A184" s="2329"/>
      <c r="B184" s="2424"/>
      <c r="C184" s="1092" t="s">
        <v>2869</v>
      </c>
      <c r="D184" s="1093">
        <v>1</v>
      </c>
      <c r="E184" s="1094" t="s">
        <v>3120</v>
      </c>
      <c r="F184" s="949">
        <f t="shared" si="98"/>
        <v>0</v>
      </c>
      <c r="G184" s="985">
        <f>+G120+G163</f>
        <v>0</v>
      </c>
      <c r="H184" s="985">
        <f t="shared" si="102"/>
        <v>0</v>
      </c>
      <c r="I184" s="985">
        <f t="shared" si="102"/>
        <v>0</v>
      </c>
      <c r="J184" s="985">
        <f t="shared" si="102"/>
        <v>0</v>
      </c>
      <c r="K184" s="985">
        <f t="shared" si="102"/>
        <v>0</v>
      </c>
      <c r="L184" s="985">
        <f t="shared" si="102"/>
        <v>0</v>
      </c>
      <c r="M184" s="985">
        <f t="shared" si="102"/>
        <v>0</v>
      </c>
      <c r="N184" s="986">
        <f t="shared" si="102"/>
        <v>0</v>
      </c>
    </row>
    <row r="185" spans="1:14" s="951" customFormat="1" ht="15" customHeight="1">
      <c r="A185" s="2329"/>
      <c r="B185" s="2316" t="s">
        <v>2842</v>
      </c>
      <c r="C185" s="1092" t="s">
        <v>2870</v>
      </c>
      <c r="D185" s="1093">
        <v>1</v>
      </c>
      <c r="E185" s="1101">
        <v>0.02</v>
      </c>
      <c r="F185" s="949">
        <f t="shared" si="98"/>
        <v>0</v>
      </c>
      <c r="G185" s="985">
        <f>+G121+G164</f>
        <v>0</v>
      </c>
      <c r="H185" s="985">
        <f t="shared" si="102"/>
        <v>0</v>
      </c>
      <c r="I185" s="985">
        <f t="shared" si="102"/>
        <v>0</v>
      </c>
      <c r="J185" s="985">
        <f t="shared" si="102"/>
        <v>0</v>
      </c>
      <c r="K185" s="985">
        <f t="shared" si="102"/>
        <v>0</v>
      </c>
      <c r="L185" s="985">
        <f t="shared" si="102"/>
        <v>0</v>
      </c>
      <c r="M185" s="985">
        <f t="shared" si="102"/>
        <v>0</v>
      </c>
      <c r="N185" s="986">
        <f t="shared" si="102"/>
        <v>0</v>
      </c>
    </row>
    <row r="186" spans="1:14" s="951" customFormat="1" ht="15" customHeight="1">
      <c r="A186" s="2329"/>
      <c r="B186" s="2425"/>
      <c r="C186" s="1092" t="s">
        <v>3125</v>
      </c>
      <c r="D186" s="1093">
        <v>1</v>
      </c>
      <c r="E186" s="1101">
        <v>0.02</v>
      </c>
      <c r="F186" s="949">
        <f t="shared" si="98"/>
        <v>0</v>
      </c>
      <c r="G186" s="985">
        <f>+G122+G165</f>
        <v>0</v>
      </c>
      <c r="H186" s="985">
        <f t="shared" si="102"/>
        <v>0</v>
      </c>
      <c r="I186" s="985">
        <f t="shared" si="102"/>
        <v>0</v>
      </c>
      <c r="J186" s="985">
        <f t="shared" si="102"/>
        <v>0</v>
      </c>
      <c r="K186" s="985">
        <f t="shared" si="102"/>
        <v>0</v>
      </c>
      <c r="L186" s="985">
        <f t="shared" si="102"/>
        <v>0</v>
      </c>
      <c r="M186" s="985">
        <f t="shared" si="102"/>
        <v>0</v>
      </c>
      <c r="N186" s="986">
        <f t="shared" si="102"/>
        <v>0</v>
      </c>
    </row>
    <row r="187" spans="1:14" s="951" customFormat="1" ht="15" customHeight="1">
      <c r="A187" s="2329"/>
      <c r="B187" s="2425"/>
      <c r="C187" s="1092" t="s">
        <v>2845</v>
      </c>
      <c r="D187" s="1093">
        <v>1</v>
      </c>
      <c r="E187" s="1101">
        <v>0.02</v>
      </c>
      <c r="F187" s="949">
        <f t="shared" si="98"/>
        <v>0</v>
      </c>
      <c r="G187" s="985">
        <f>+G123+G166</f>
        <v>0</v>
      </c>
      <c r="H187" s="985">
        <f t="shared" si="102"/>
        <v>0</v>
      </c>
      <c r="I187" s="985">
        <f t="shared" si="102"/>
        <v>0</v>
      </c>
      <c r="J187" s="985">
        <f t="shared" si="102"/>
        <v>0</v>
      </c>
      <c r="K187" s="985">
        <f t="shared" si="102"/>
        <v>0</v>
      </c>
      <c r="L187" s="985">
        <f t="shared" si="102"/>
        <v>0</v>
      </c>
      <c r="M187" s="985">
        <f t="shared" si="102"/>
        <v>0</v>
      </c>
      <c r="N187" s="986">
        <f t="shared" si="102"/>
        <v>0</v>
      </c>
    </row>
    <row r="188" spans="1:14" s="951" customFormat="1" ht="15" customHeight="1">
      <c r="A188" s="2329"/>
      <c r="B188" s="2425"/>
      <c r="C188" s="1092" t="s">
        <v>2846</v>
      </c>
      <c r="D188" s="1093"/>
      <c r="E188" s="1101"/>
      <c r="F188" s="949"/>
      <c r="G188" s="985"/>
      <c r="H188" s="985"/>
      <c r="I188" s="985"/>
      <c r="J188" s="985"/>
      <c r="K188" s="985"/>
      <c r="L188" s="985"/>
      <c r="M188" s="985"/>
      <c r="N188" s="986"/>
    </row>
    <row r="189" spans="1:14" s="951" customFormat="1" ht="15" customHeight="1">
      <c r="A189" s="2329"/>
      <c r="B189" s="2425"/>
      <c r="C189" s="1092" t="s">
        <v>2847</v>
      </c>
      <c r="D189" s="1093"/>
      <c r="E189" s="1101"/>
      <c r="F189" s="949"/>
      <c r="G189" s="985"/>
      <c r="H189" s="985"/>
      <c r="I189" s="985"/>
      <c r="J189" s="985"/>
      <c r="K189" s="985"/>
      <c r="L189" s="985"/>
      <c r="M189" s="985"/>
      <c r="N189" s="986"/>
    </row>
    <row r="190" spans="1:14" s="951" customFormat="1" ht="15" customHeight="1">
      <c r="A190" s="2329"/>
      <c r="B190" s="2425"/>
      <c r="C190" s="1092" t="s">
        <v>2848</v>
      </c>
      <c r="D190" s="1093">
        <v>1</v>
      </c>
      <c r="E190" s="1101">
        <v>0.02</v>
      </c>
      <c r="F190" s="949">
        <f>SUM(G190:N190)</f>
        <v>0</v>
      </c>
      <c r="G190" s="985">
        <f t="shared" ref="G190:N193" si="103">+G126+G169</f>
        <v>0</v>
      </c>
      <c r="H190" s="985">
        <f t="shared" si="103"/>
        <v>0</v>
      </c>
      <c r="I190" s="985">
        <f t="shared" si="103"/>
        <v>0</v>
      </c>
      <c r="J190" s="985">
        <f t="shared" si="103"/>
        <v>0</v>
      </c>
      <c r="K190" s="985">
        <f t="shared" si="103"/>
        <v>0</v>
      </c>
      <c r="L190" s="985">
        <f t="shared" si="103"/>
        <v>0</v>
      </c>
      <c r="M190" s="985">
        <f t="shared" si="103"/>
        <v>0</v>
      </c>
      <c r="N190" s="986">
        <f t="shared" si="103"/>
        <v>0</v>
      </c>
    </row>
    <row r="191" spans="1:14" s="951" customFormat="1" ht="15" customHeight="1">
      <c r="A191" s="2329"/>
      <c r="B191" s="2425"/>
      <c r="C191" s="2045" t="s">
        <v>3077</v>
      </c>
      <c r="D191" s="1093">
        <v>1</v>
      </c>
      <c r="E191" s="1101">
        <v>0.02</v>
      </c>
      <c r="F191" s="949">
        <f>SUM(G191:N191)</f>
        <v>0</v>
      </c>
      <c r="G191" s="985">
        <f t="shared" si="103"/>
        <v>0</v>
      </c>
      <c r="H191" s="985">
        <f t="shared" si="103"/>
        <v>0</v>
      </c>
      <c r="I191" s="985">
        <f t="shared" si="103"/>
        <v>0</v>
      </c>
      <c r="J191" s="985">
        <f t="shared" si="103"/>
        <v>0</v>
      </c>
      <c r="K191" s="985">
        <f t="shared" si="103"/>
        <v>0</v>
      </c>
      <c r="L191" s="985">
        <f t="shared" si="103"/>
        <v>0</v>
      </c>
      <c r="M191" s="985">
        <f t="shared" si="103"/>
        <v>0</v>
      </c>
      <c r="N191" s="986">
        <f t="shared" si="103"/>
        <v>0</v>
      </c>
    </row>
    <row r="192" spans="1:14" s="951" customFormat="1" ht="14.25" customHeight="1">
      <c r="A192" s="2329"/>
      <c r="B192" s="2425"/>
      <c r="C192" s="2045" t="s">
        <v>3078</v>
      </c>
      <c r="D192" s="1093">
        <v>1</v>
      </c>
      <c r="E192" s="1101">
        <v>0.02</v>
      </c>
      <c r="F192" s="949">
        <f>SUM(G192:N192)</f>
        <v>0</v>
      </c>
      <c r="G192" s="985">
        <f t="shared" si="103"/>
        <v>0</v>
      </c>
      <c r="H192" s="985">
        <f t="shared" si="103"/>
        <v>0</v>
      </c>
      <c r="I192" s="985">
        <f t="shared" si="103"/>
        <v>0</v>
      </c>
      <c r="J192" s="985">
        <f t="shared" si="103"/>
        <v>0</v>
      </c>
      <c r="K192" s="985">
        <f t="shared" si="103"/>
        <v>0</v>
      </c>
      <c r="L192" s="985">
        <f t="shared" si="103"/>
        <v>0</v>
      </c>
      <c r="M192" s="985">
        <f t="shared" si="103"/>
        <v>0</v>
      </c>
      <c r="N192" s="986">
        <f t="shared" si="103"/>
        <v>0</v>
      </c>
    </row>
    <row r="193" spans="1:14" s="951" customFormat="1" ht="14.25" customHeight="1">
      <c r="A193" s="2329"/>
      <c r="B193" s="2424"/>
      <c r="C193" s="1092" t="s">
        <v>2851</v>
      </c>
      <c r="D193" s="1093">
        <v>1</v>
      </c>
      <c r="E193" s="1101">
        <v>0.02</v>
      </c>
      <c r="F193" s="949">
        <f>SUM(G193:N193)</f>
        <v>0</v>
      </c>
      <c r="G193" s="985">
        <f t="shared" si="103"/>
        <v>0</v>
      </c>
      <c r="H193" s="985">
        <f t="shared" si="103"/>
        <v>0</v>
      </c>
      <c r="I193" s="985">
        <f t="shared" si="103"/>
        <v>0</v>
      </c>
      <c r="J193" s="985">
        <f t="shared" si="103"/>
        <v>0</v>
      </c>
      <c r="K193" s="985">
        <f t="shared" si="103"/>
        <v>0</v>
      </c>
      <c r="L193" s="985">
        <f t="shared" si="103"/>
        <v>0</v>
      </c>
      <c r="M193" s="985">
        <f t="shared" si="103"/>
        <v>0</v>
      </c>
      <c r="N193" s="986">
        <f t="shared" si="103"/>
        <v>0</v>
      </c>
    </row>
    <row r="194" spans="1:14" s="951" customFormat="1" ht="14.25" customHeight="1">
      <c r="A194" s="2330"/>
      <c r="B194" s="2046" t="s">
        <v>2872</v>
      </c>
      <c r="C194" s="1194" t="s">
        <v>2889</v>
      </c>
      <c r="D194" s="1105">
        <v>1</v>
      </c>
      <c r="E194" s="1106">
        <v>0</v>
      </c>
      <c r="F194" s="1107">
        <f>SUM(G194:N194)</f>
        <v>0</v>
      </c>
      <c r="G194" s="1108">
        <f>SUM(G130:G136)</f>
        <v>0</v>
      </c>
      <c r="H194" s="1108">
        <f t="shared" ref="H194:N194" si="104">SUM(H130:H136)</f>
        <v>0</v>
      </c>
      <c r="I194" s="1108">
        <f t="shared" si="104"/>
        <v>0</v>
      </c>
      <c r="J194" s="1108">
        <f t="shared" si="104"/>
        <v>0</v>
      </c>
      <c r="K194" s="1108">
        <f>SUM(K130:K136)</f>
        <v>0</v>
      </c>
      <c r="L194" s="1108">
        <f t="shared" si="104"/>
        <v>0</v>
      </c>
      <c r="M194" s="1108">
        <f t="shared" si="104"/>
        <v>0</v>
      </c>
      <c r="N194" s="1109">
        <f t="shared" si="104"/>
        <v>0</v>
      </c>
    </row>
    <row r="195" spans="1:14" s="951" customFormat="1" ht="14.25" customHeight="1">
      <c r="A195" s="1110"/>
      <c r="B195" s="2047"/>
      <c r="C195" s="2048"/>
      <c r="D195" s="2332"/>
      <c r="E195" s="2332"/>
      <c r="F195" s="1088"/>
      <c r="G195" s="1089"/>
      <c r="H195" s="1089"/>
      <c r="I195" s="1089"/>
      <c r="J195" s="1089"/>
      <c r="K195" s="1089"/>
      <c r="L195" s="1089"/>
      <c r="M195" s="1089"/>
      <c r="N195" s="1113"/>
    </row>
    <row r="196" spans="1:14" s="951" customFormat="1" ht="14.25" customHeight="1">
      <c r="A196" s="2326" t="s">
        <v>2890</v>
      </c>
      <c r="B196" s="2327"/>
      <c r="C196" s="2441"/>
      <c r="D196" s="2333"/>
      <c r="E196" s="2333"/>
      <c r="F196" s="1081"/>
      <c r="G196" s="1082"/>
      <c r="H196" s="1082"/>
      <c r="I196" s="1082"/>
      <c r="J196" s="1082"/>
      <c r="K196" s="1082"/>
      <c r="L196" s="1082"/>
      <c r="M196" s="1082"/>
      <c r="N196" s="1083"/>
    </row>
    <row r="197" spans="1:14" s="951" customFormat="1" ht="14.25" customHeight="1">
      <c r="A197" s="2328"/>
      <c r="B197" s="2443" t="s">
        <v>2107</v>
      </c>
      <c r="C197" s="1114" t="s">
        <v>2838</v>
      </c>
      <c r="D197" s="1115"/>
      <c r="E197" s="1116" t="s">
        <v>3120</v>
      </c>
      <c r="F197" s="1117" t="s">
        <v>3121</v>
      </c>
      <c r="G197" s="1118">
        <f>IF(G181=0,0,+G282/100)</f>
        <v>0</v>
      </c>
      <c r="H197" s="1118">
        <f t="shared" ref="H197:N197" si="105">IF(H181=0,0,+H282/100)</f>
        <v>0</v>
      </c>
      <c r="I197" s="1118">
        <f t="shared" si="105"/>
        <v>0</v>
      </c>
      <c r="J197" s="1118">
        <f t="shared" si="105"/>
        <v>0</v>
      </c>
      <c r="K197" s="1118">
        <f>IF(K181=0,0,+K282/100)</f>
        <v>0</v>
      </c>
      <c r="L197" s="1118">
        <f t="shared" si="105"/>
        <v>0</v>
      </c>
      <c r="M197" s="1118">
        <f t="shared" si="105"/>
        <v>0</v>
      </c>
      <c r="N197" s="1119">
        <f t="shared" si="105"/>
        <v>0</v>
      </c>
    </row>
    <row r="198" spans="1:14" s="951" customFormat="1" ht="14.25" customHeight="1">
      <c r="A198" s="2329"/>
      <c r="B198" s="2425"/>
      <c r="C198" s="1120"/>
      <c r="D198" s="1121">
        <f>+D181</f>
        <v>1</v>
      </c>
      <c r="E198" s="1122" t="s">
        <v>2867</v>
      </c>
      <c r="F198" s="1123">
        <f>SUM(G198:N198)</f>
        <v>0</v>
      </c>
      <c r="G198" s="940">
        <f>ROUNDDOWN(G181*G197*$D198,0)</f>
        <v>0</v>
      </c>
      <c r="H198" s="940">
        <f t="shared" ref="H198:N198" si="106">ROUNDDOWN(H181*H197*$D198,0)</f>
        <v>0</v>
      </c>
      <c r="I198" s="940">
        <f t="shared" si="106"/>
        <v>0</v>
      </c>
      <c r="J198" s="940">
        <f t="shared" si="106"/>
        <v>0</v>
      </c>
      <c r="K198" s="940">
        <f>ROUNDDOWN(K181*K197*$D198,0)</f>
        <v>0</v>
      </c>
      <c r="L198" s="940">
        <f t="shared" si="106"/>
        <v>0</v>
      </c>
      <c r="M198" s="940">
        <f t="shared" si="106"/>
        <v>0</v>
      </c>
      <c r="N198" s="1124">
        <f t="shared" si="106"/>
        <v>0</v>
      </c>
    </row>
    <row r="199" spans="1:14" s="951" customFormat="1" ht="14.25" customHeight="1">
      <c r="A199" s="2329"/>
      <c r="B199" s="2425"/>
      <c r="C199" s="1125" t="s">
        <v>2839</v>
      </c>
      <c r="D199" s="1126"/>
      <c r="E199" s="1122" t="s">
        <v>2867</v>
      </c>
      <c r="F199" s="1127" t="s">
        <v>2875</v>
      </c>
      <c r="G199" s="2062">
        <f>IF(G182=0,0,+G290/100)</f>
        <v>0</v>
      </c>
      <c r="H199" s="1129">
        <f t="shared" ref="H199:N199" si="107">IF(H182=0,0,+H290/100)</f>
        <v>0</v>
      </c>
      <c r="I199" s="1129">
        <f t="shared" si="107"/>
        <v>0</v>
      </c>
      <c r="J199" s="1129">
        <f t="shared" si="107"/>
        <v>0</v>
      </c>
      <c r="K199" s="1129">
        <f>IF(K182=0,0,+K290/100)</f>
        <v>0</v>
      </c>
      <c r="L199" s="1129">
        <f t="shared" si="107"/>
        <v>0</v>
      </c>
      <c r="M199" s="1129">
        <f t="shared" si="107"/>
        <v>0</v>
      </c>
      <c r="N199" s="1130">
        <f t="shared" si="107"/>
        <v>0</v>
      </c>
    </row>
    <row r="200" spans="1:14" s="951" customFormat="1" ht="14.25" customHeight="1">
      <c r="A200" s="2329"/>
      <c r="B200" s="2425"/>
      <c r="C200" s="1120"/>
      <c r="D200" s="1131">
        <f t="shared" ref="D200:D205" si="108">+D182</f>
        <v>1</v>
      </c>
      <c r="E200" s="1122" t="s">
        <v>2867</v>
      </c>
      <c r="F200" s="1123">
        <f t="shared" ref="F200:F205" si="109">SUM(G200:N200)</f>
        <v>0</v>
      </c>
      <c r="G200" s="940">
        <f>ROUNDDOWN(G182*G199*$D200,0)</f>
        <v>0</v>
      </c>
      <c r="H200" s="940">
        <f t="shared" ref="H200:N200" si="110">ROUNDDOWN(H182*H199*$D200,0)</f>
        <v>0</v>
      </c>
      <c r="I200" s="940">
        <f t="shared" si="110"/>
        <v>0</v>
      </c>
      <c r="J200" s="940">
        <f t="shared" si="110"/>
        <v>0</v>
      </c>
      <c r="K200" s="940">
        <f>ROUNDDOWN(K182*K199*$D200,0)</f>
        <v>0</v>
      </c>
      <c r="L200" s="940">
        <f t="shared" si="110"/>
        <v>0</v>
      </c>
      <c r="M200" s="940">
        <f t="shared" si="110"/>
        <v>0</v>
      </c>
      <c r="N200" s="1124">
        <f t="shared" si="110"/>
        <v>0</v>
      </c>
    </row>
    <row r="201" spans="1:14" s="951" customFormat="1" ht="14.25" customHeight="1">
      <c r="A201" s="2329"/>
      <c r="B201" s="2425"/>
      <c r="C201" s="1092" t="s">
        <v>2876</v>
      </c>
      <c r="D201" s="1132">
        <f t="shared" si="108"/>
        <v>1</v>
      </c>
      <c r="E201" s="1122" t="s">
        <v>2867</v>
      </c>
      <c r="F201" s="1123">
        <f t="shared" si="109"/>
        <v>0</v>
      </c>
      <c r="G201" s="940">
        <f t="shared" ref="G201:N201" si="111">ROUNDDOWN(G183*G197*$D201,0)</f>
        <v>0</v>
      </c>
      <c r="H201" s="940">
        <f t="shared" si="111"/>
        <v>0</v>
      </c>
      <c r="I201" s="940">
        <f t="shared" si="111"/>
        <v>0</v>
      </c>
      <c r="J201" s="940">
        <f t="shared" si="111"/>
        <v>0</v>
      </c>
      <c r="K201" s="940">
        <f>ROUNDDOWN(K183*K197*$D201,0)</f>
        <v>0</v>
      </c>
      <c r="L201" s="940">
        <f t="shared" si="111"/>
        <v>0</v>
      </c>
      <c r="M201" s="940">
        <f t="shared" si="111"/>
        <v>0</v>
      </c>
      <c r="N201" s="1124">
        <f t="shared" si="111"/>
        <v>0</v>
      </c>
    </row>
    <row r="202" spans="1:14" s="951" customFormat="1" ht="14.25" customHeight="1">
      <c r="A202" s="2329"/>
      <c r="B202" s="2424"/>
      <c r="C202" s="1092" t="s">
        <v>2877</v>
      </c>
      <c r="D202" s="1132">
        <f t="shared" si="108"/>
        <v>1</v>
      </c>
      <c r="E202" s="1122" t="s">
        <v>2867</v>
      </c>
      <c r="F202" s="1123">
        <f t="shared" si="109"/>
        <v>0</v>
      </c>
      <c r="G202" s="940">
        <f>ROUNDDOWN(G184*G199*$D202,0)</f>
        <v>0</v>
      </c>
      <c r="H202" s="940">
        <f t="shared" ref="H202:N202" si="112">ROUNDDOWN(H184*H199*$D202,0)</f>
        <v>0</v>
      </c>
      <c r="I202" s="940">
        <f t="shared" si="112"/>
        <v>0</v>
      </c>
      <c r="J202" s="940">
        <f t="shared" si="112"/>
        <v>0</v>
      </c>
      <c r="K202" s="940">
        <f>ROUNDDOWN(K184*K199*$D202,0)</f>
        <v>0</v>
      </c>
      <c r="L202" s="940">
        <f t="shared" si="112"/>
        <v>0</v>
      </c>
      <c r="M202" s="940">
        <f t="shared" si="112"/>
        <v>0</v>
      </c>
      <c r="N202" s="1124">
        <f t="shared" si="112"/>
        <v>0</v>
      </c>
    </row>
    <row r="203" spans="1:14" s="951" customFormat="1" ht="14.25" customHeight="1">
      <c r="A203" s="2329"/>
      <c r="B203" s="2316" t="s">
        <v>2842</v>
      </c>
      <c r="C203" s="1092" t="s">
        <v>2870</v>
      </c>
      <c r="D203" s="1132">
        <f t="shared" si="108"/>
        <v>1</v>
      </c>
      <c r="E203" s="1101">
        <f>+E185</f>
        <v>0.02</v>
      </c>
      <c r="F203" s="1123">
        <f t="shared" si="109"/>
        <v>0</v>
      </c>
      <c r="G203" s="940">
        <f t="shared" ref="G203:N205" si="113">ROUNDDOWN(G185*$E203*$D203,0)</f>
        <v>0</v>
      </c>
      <c r="H203" s="940">
        <f t="shared" si="113"/>
        <v>0</v>
      </c>
      <c r="I203" s="940">
        <f t="shared" si="113"/>
        <v>0</v>
      </c>
      <c r="J203" s="940">
        <f t="shared" si="113"/>
        <v>0</v>
      </c>
      <c r="K203" s="940">
        <f t="shared" si="113"/>
        <v>0</v>
      </c>
      <c r="L203" s="940">
        <f t="shared" si="113"/>
        <v>0</v>
      </c>
      <c r="M203" s="940">
        <f t="shared" si="113"/>
        <v>0</v>
      </c>
      <c r="N203" s="1124">
        <f t="shared" si="113"/>
        <v>0</v>
      </c>
    </row>
    <row r="204" spans="1:14" s="951" customFormat="1" ht="14.25" customHeight="1">
      <c r="A204" s="2329"/>
      <c r="B204" s="2425"/>
      <c r="C204" s="1092" t="s">
        <v>2878</v>
      </c>
      <c r="D204" s="1132">
        <f t="shared" si="108"/>
        <v>1</v>
      </c>
      <c r="E204" s="1101">
        <f>+E186</f>
        <v>0.02</v>
      </c>
      <c r="F204" s="1123">
        <f t="shared" si="109"/>
        <v>0</v>
      </c>
      <c r="G204" s="940">
        <f t="shared" si="113"/>
        <v>0</v>
      </c>
      <c r="H204" s="940">
        <f t="shared" si="113"/>
        <v>0</v>
      </c>
      <c r="I204" s="940">
        <f t="shared" si="113"/>
        <v>0</v>
      </c>
      <c r="J204" s="940">
        <f t="shared" si="113"/>
        <v>0</v>
      </c>
      <c r="K204" s="940">
        <f>ROUNDDOWN(K186*$E204*$D204,0)</f>
        <v>0</v>
      </c>
      <c r="L204" s="940">
        <f t="shared" si="113"/>
        <v>0</v>
      </c>
      <c r="M204" s="940">
        <f t="shared" si="113"/>
        <v>0</v>
      </c>
      <c r="N204" s="1124">
        <f t="shared" si="113"/>
        <v>0</v>
      </c>
    </row>
    <row r="205" spans="1:14" s="951" customFormat="1" ht="14.25" customHeight="1">
      <c r="A205" s="2329"/>
      <c r="B205" s="2425"/>
      <c r="C205" s="1092" t="s">
        <v>2845</v>
      </c>
      <c r="D205" s="1132">
        <f t="shared" si="108"/>
        <v>1</v>
      </c>
      <c r="E205" s="1101">
        <f>+E187</f>
        <v>0.02</v>
      </c>
      <c r="F205" s="1123">
        <f t="shared" si="109"/>
        <v>0</v>
      </c>
      <c r="G205" s="940">
        <f>ROUNDDOWN(G187*$E205*$D205,0)</f>
        <v>0</v>
      </c>
      <c r="H205" s="940">
        <f t="shared" si="113"/>
        <v>0</v>
      </c>
      <c r="I205" s="940">
        <f t="shared" si="113"/>
        <v>0</v>
      </c>
      <c r="J205" s="940">
        <f t="shared" si="113"/>
        <v>0</v>
      </c>
      <c r="K205" s="940">
        <f>ROUNDDOWN(K187*$E205*$D205,0)</f>
        <v>0</v>
      </c>
      <c r="L205" s="940">
        <f t="shared" si="113"/>
        <v>0</v>
      </c>
      <c r="M205" s="940">
        <f t="shared" si="113"/>
        <v>0</v>
      </c>
      <c r="N205" s="1124">
        <f t="shared" si="113"/>
        <v>0</v>
      </c>
    </row>
    <row r="206" spans="1:14" s="951" customFormat="1" ht="14.25" customHeight="1">
      <c r="A206" s="2329"/>
      <c r="B206" s="2425"/>
      <c r="C206" s="1092" t="s">
        <v>3076</v>
      </c>
      <c r="D206" s="1132"/>
      <c r="E206" s="1101"/>
      <c r="F206" s="1123"/>
      <c r="G206" s="940"/>
      <c r="H206" s="940"/>
      <c r="I206" s="940"/>
      <c r="J206" s="940"/>
      <c r="K206" s="940"/>
      <c r="L206" s="940"/>
      <c r="M206" s="940"/>
      <c r="N206" s="1124"/>
    </row>
    <row r="207" spans="1:14" s="951" customFormat="1" ht="14.25" customHeight="1">
      <c r="A207" s="2329"/>
      <c r="B207" s="2425"/>
      <c r="C207" s="2049"/>
      <c r="D207" s="1132"/>
      <c r="E207" s="1101"/>
      <c r="F207" s="1123"/>
      <c r="G207" s="940"/>
      <c r="H207" s="940"/>
      <c r="I207" s="940"/>
      <c r="J207" s="940"/>
      <c r="K207" s="940"/>
      <c r="L207" s="940"/>
      <c r="M207" s="940"/>
      <c r="N207" s="1124"/>
    </row>
    <row r="208" spans="1:14" s="951" customFormat="1" ht="14.25" customHeight="1">
      <c r="A208" s="2329"/>
      <c r="B208" s="2425"/>
      <c r="C208" s="1092" t="s">
        <v>2848</v>
      </c>
      <c r="D208" s="1132">
        <f t="shared" ref="D208:E211" si="114">+D190</f>
        <v>1</v>
      </c>
      <c r="E208" s="1101">
        <f t="shared" si="114"/>
        <v>0.02</v>
      </c>
      <c r="F208" s="1123">
        <f t="shared" ref="F208:F216" si="115">SUM(G208:N208)</f>
        <v>0</v>
      </c>
      <c r="G208" s="940">
        <f t="shared" ref="G208:N211" si="116">ROUNDDOWN(G190*$E208*$D208,0)</f>
        <v>0</v>
      </c>
      <c r="H208" s="940">
        <f t="shared" si="116"/>
        <v>0</v>
      </c>
      <c r="I208" s="940">
        <f t="shared" si="116"/>
        <v>0</v>
      </c>
      <c r="J208" s="940">
        <f t="shared" si="116"/>
        <v>0</v>
      </c>
      <c r="K208" s="940">
        <f>ROUNDDOWN(K190*$E208*$D208,0)</f>
        <v>0</v>
      </c>
      <c r="L208" s="940">
        <f t="shared" si="116"/>
        <v>0</v>
      </c>
      <c r="M208" s="940">
        <f t="shared" si="116"/>
        <v>0</v>
      </c>
      <c r="N208" s="1124">
        <f t="shared" si="116"/>
        <v>0</v>
      </c>
    </row>
    <row r="209" spans="1:14" s="951" customFormat="1" ht="14.25" customHeight="1">
      <c r="A209" s="2329"/>
      <c r="B209" s="2425"/>
      <c r="C209" s="2045" t="s">
        <v>2849</v>
      </c>
      <c r="D209" s="1132">
        <f t="shared" si="114"/>
        <v>1</v>
      </c>
      <c r="E209" s="1101">
        <f t="shared" si="114"/>
        <v>0.02</v>
      </c>
      <c r="F209" s="1123">
        <f t="shared" si="115"/>
        <v>0</v>
      </c>
      <c r="G209" s="940">
        <f t="shared" si="116"/>
        <v>0</v>
      </c>
      <c r="H209" s="940">
        <f t="shared" si="116"/>
        <v>0</v>
      </c>
      <c r="I209" s="940">
        <f t="shared" si="116"/>
        <v>0</v>
      </c>
      <c r="J209" s="940">
        <f t="shared" si="116"/>
        <v>0</v>
      </c>
      <c r="K209" s="940">
        <f>ROUNDDOWN(K191*$E209*$D209,0)</f>
        <v>0</v>
      </c>
      <c r="L209" s="940">
        <f t="shared" si="116"/>
        <v>0</v>
      </c>
      <c r="M209" s="940">
        <f t="shared" si="116"/>
        <v>0</v>
      </c>
      <c r="N209" s="1124">
        <f t="shared" si="116"/>
        <v>0</v>
      </c>
    </row>
    <row r="210" spans="1:14" s="951" customFormat="1" ht="14.25" customHeight="1">
      <c r="A210" s="2329"/>
      <c r="B210" s="2425"/>
      <c r="C210" s="2045" t="s">
        <v>2850</v>
      </c>
      <c r="D210" s="1132">
        <f t="shared" si="114"/>
        <v>1</v>
      </c>
      <c r="E210" s="1101">
        <f t="shared" si="114"/>
        <v>0.02</v>
      </c>
      <c r="F210" s="1123">
        <f t="shared" si="115"/>
        <v>0</v>
      </c>
      <c r="G210" s="940">
        <f t="shared" si="116"/>
        <v>0</v>
      </c>
      <c r="H210" s="940">
        <f t="shared" si="116"/>
        <v>0</v>
      </c>
      <c r="I210" s="940">
        <f t="shared" si="116"/>
        <v>0</v>
      </c>
      <c r="J210" s="940">
        <f t="shared" si="116"/>
        <v>0</v>
      </c>
      <c r="K210" s="940">
        <f>ROUNDDOWN(K192*$E210*$D210,0)</f>
        <v>0</v>
      </c>
      <c r="L210" s="940">
        <f t="shared" si="116"/>
        <v>0</v>
      </c>
      <c r="M210" s="940">
        <f t="shared" si="116"/>
        <v>0</v>
      </c>
      <c r="N210" s="1124">
        <f t="shared" si="116"/>
        <v>0</v>
      </c>
    </row>
    <row r="211" spans="1:14" s="951" customFormat="1" ht="14.25" customHeight="1">
      <c r="A211" s="2329"/>
      <c r="B211" s="2424"/>
      <c r="C211" s="1092" t="s">
        <v>2891</v>
      </c>
      <c r="D211" s="1132">
        <f t="shared" si="114"/>
        <v>1</v>
      </c>
      <c r="E211" s="1101">
        <f t="shared" si="114"/>
        <v>0.02</v>
      </c>
      <c r="F211" s="1123">
        <f t="shared" si="115"/>
        <v>0</v>
      </c>
      <c r="G211" s="940">
        <f>ROUNDDOWN(G193*$E211*$D211,0)</f>
        <v>0</v>
      </c>
      <c r="H211" s="940">
        <f t="shared" si="116"/>
        <v>0</v>
      </c>
      <c r="I211" s="940">
        <f t="shared" si="116"/>
        <v>0</v>
      </c>
      <c r="J211" s="940">
        <f t="shared" si="116"/>
        <v>0</v>
      </c>
      <c r="K211" s="940">
        <f>ROUNDDOWN(K193*$E211*$D211,0)</f>
        <v>0</v>
      </c>
      <c r="L211" s="940">
        <f t="shared" si="116"/>
        <v>0</v>
      </c>
      <c r="M211" s="940">
        <f t="shared" si="116"/>
        <v>0</v>
      </c>
      <c r="N211" s="1124">
        <f t="shared" si="116"/>
        <v>0</v>
      </c>
    </row>
    <row r="212" spans="1:14" s="951" customFormat="1" ht="14.25" customHeight="1">
      <c r="A212" s="2329"/>
      <c r="B212" s="2426" t="s">
        <v>2892</v>
      </c>
      <c r="C212" s="1092" t="s">
        <v>2893</v>
      </c>
      <c r="D212" s="1135"/>
      <c r="E212" s="1136"/>
      <c r="F212" s="1123">
        <f t="shared" si="115"/>
        <v>0</v>
      </c>
      <c r="G212" s="2063"/>
      <c r="H212" s="2063"/>
      <c r="I212" s="2063"/>
      <c r="J212" s="2063"/>
      <c r="K212" s="2063"/>
      <c r="L212" s="2063"/>
      <c r="M212" s="2063"/>
      <c r="N212" s="2064"/>
    </row>
    <row r="213" spans="1:14" s="951" customFormat="1" ht="14.25" customHeight="1">
      <c r="A213" s="2329"/>
      <c r="B213" s="2444"/>
      <c r="C213" s="2065" t="s">
        <v>2894</v>
      </c>
      <c r="D213" s="1135"/>
      <c r="E213" s="1136"/>
      <c r="F213" s="1123">
        <f t="shared" si="115"/>
        <v>0</v>
      </c>
      <c r="G213" s="985"/>
      <c r="H213" s="985"/>
      <c r="I213" s="985"/>
      <c r="J213" s="985"/>
      <c r="K213" s="985"/>
      <c r="L213" s="985"/>
      <c r="M213" s="985"/>
      <c r="N213" s="986"/>
    </row>
    <row r="214" spans="1:14" s="951" customFormat="1" ht="13.5" customHeight="1" thickBot="1">
      <c r="A214" s="2442"/>
      <c r="B214" s="2066" t="s">
        <v>2872</v>
      </c>
      <c r="C214" s="1194" t="s">
        <v>3126</v>
      </c>
      <c r="D214" s="1135">
        <f>+D194</f>
        <v>1</v>
      </c>
      <c r="E214" s="1136">
        <f>+E194</f>
        <v>0</v>
      </c>
      <c r="F214" s="1123">
        <f t="shared" si="115"/>
        <v>0</v>
      </c>
      <c r="G214" s="940">
        <f>ROUNDDOWN(G194*$E214*$D214,0)</f>
        <v>0</v>
      </c>
      <c r="H214" s="940">
        <f t="shared" ref="H214:N214" si="117">ROUNDDOWN(H194*$E214*$D214,0)</f>
        <v>0</v>
      </c>
      <c r="I214" s="940">
        <f t="shared" si="117"/>
        <v>0</v>
      </c>
      <c r="J214" s="940">
        <f t="shared" si="117"/>
        <v>0</v>
      </c>
      <c r="K214" s="940">
        <f>ROUNDDOWN(K194*$E214*$D214,0)</f>
        <v>0</v>
      </c>
      <c r="L214" s="940">
        <f t="shared" si="117"/>
        <v>0</v>
      </c>
      <c r="M214" s="940">
        <f t="shared" si="117"/>
        <v>0</v>
      </c>
      <c r="N214" s="1139">
        <f t="shared" si="117"/>
        <v>0</v>
      </c>
    </row>
    <row r="215" spans="1:14" s="951" customFormat="1" ht="13.5" customHeight="1" thickTop="1">
      <c r="A215" s="1140"/>
      <c r="B215" s="1141"/>
      <c r="C215" s="1142" t="s">
        <v>2895</v>
      </c>
      <c r="D215" s="1143"/>
      <c r="E215" s="1144"/>
      <c r="F215" s="1145">
        <f t="shared" si="115"/>
        <v>0</v>
      </c>
      <c r="G215" s="1146">
        <f t="shared" ref="G215:N215" si="118">SUM(G200:G214)+G198</f>
        <v>0</v>
      </c>
      <c r="H215" s="1146">
        <f>SUM(H200:H214)+H198</f>
        <v>0</v>
      </c>
      <c r="I215" s="1146">
        <f>SUM(I200:I214)+I198</f>
        <v>0</v>
      </c>
      <c r="J215" s="1146">
        <f t="shared" si="118"/>
        <v>0</v>
      </c>
      <c r="K215" s="1146">
        <f>SUM(K200:K214)+K198</f>
        <v>0</v>
      </c>
      <c r="L215" s="1146">
        <f t="shared" si="118"/>
        <v>0</v>
      </c>
      <c r="M215" s="1146">
        <f t="shared" si="118"/>
        <v>0</v>
      </c>
      <c r="N215" s="1147">
        <f t="shared" si="118"/>
        <v>0</v>
      </c>
    </row>
    <row r="216" spans="1:14" s="951" customFormat="1" ht="13.5" customHeight="1">
      <c r="A216" s="1148"/>
      <c r="B216" s="1149"/>
      <c r="C216" s="1150" t="s">
        <v>2896</v>
      </c>
      <c r="D216" s="1151"/>
      <c r="E216" s="1152"/>
      <c r="F216" s="1107">
        <f t="shared" si="115"/>
        <v>0</v>
      </c>
      <c r="G216" s="1108">
        <f t="shared" ref="G216:N216" si="119">+G91+G215</f>
        <v>0</v>
      </c>
      <c r="H216" s="1108">
        <f>+H91+H215</f>
        <v>0</v>
      </c>
      <c r="I216" s="1108">
        <f t="shared" si="119"/>
        <v>0</v>
      </c>
      <c r="J216" s="1108">
        <f t="shared" si="119"/>
        <v>0</v>
      </c>
      <c r="K216" s="1108">
        <f>+K91+K215</f>
        <v>0</v>
      </c>
      <c r="L216" s="1108">
        <f t="shared" si="119"/>
        <v>0</v>
      </c>
      <c r="M216" s="1108">
        <f t="shared" si="119"/>
        <v>0</v>
      </c>
      <c r="N216" s="1109">
        <f t="shared" si="119"/>
        <v>0</v>
      </c>
    </row>
    <row r="217" spans="1:14" s="951" customFormat="1" ht="13.5" customHeight="1">
      <c r="A217" s="946"/>
      <c r="B217" s="946"/>
      <c r="C217" s="954"/>
      <c r="D217" s="954"/>
      <c r="E217" s="946"/>
      <c r="F217" s="1071"/>
      <c r="G217" s="1072"/>
      <c r="H217" s="1072"/>
      <c r="I217" s="1072"/>
      <c r="J217" s="1072"/>
      <c r="K217" s="1072"/>
      <c r="L217" s="1072"/>
      <c r="M217" s="1072"/>
      <c r="N217" s="1072"/>
    </row>
    <row r="218" spans="1:14" s="951" customFormat="1" ht="13.5" customHeight="1">
      <c r="A218" s="946"/>
      <c r="B218" s="946"/>
      <c r="C218" s="1073" t="s">
        <v>3127</v>
      </c>
      <c r="D218" s="1073"/>
      <c r="E218" s="1074"/>
      <c r="F218" s="837"/>
      <c r="G218" s="844"/>
      <c r="H218" s="842"/>
      <c r="I218" s="842"/>
      <c r="J218" s="842"/>
      <c r="K218" s="842"/>
      <c r="L218" s="842"/>
      <c r="M218" s="842"/>
      <c r="N218" s="844" t="s">
        <v>3128</v>
      </c>
    </row>
    <row r="219" spans="1:14" s="951" customFormat="1" ht="13.5" customHeight="1">
      <c r="A219" s="1852"/>
      <c r="B219" s="1852"/>
      <c r="C219" s="1852"/>
      <c r="D219" s="1852"/>
      <c r="E219" s="1852"/>
      <c r="F219" s="846"/>
      <c r="G219" s="2067"/>
      <c r="H219" s="2067"/>
      <c r="I219" s="2067"/>
      <c r="J219" s="2067"/>
      <c r="K219" s="2067"/>
      <c r="L219" s="2067"/>
      <c r="M219" s="2067"/>
      <c r="N219" s="2067"/>
    </row>
    <row r="220" spans="1:14" s="951" customFormat="1" ht="13.5" customHeight="1">
      <c r="A220" s="2317"/>
      <c r="B220" s="2318"/>
      <c r="C220" s="2428"/>
      <c r="D220" s="1160"/>
      <c r="E220" s="1161" t="s">
        <v>2899</v>
      </c>
      <c r="F220" s="1078" t="s">
        <v>2836</v>
      </c>
      <c r="G220" s="1079">
        <f t="shared" ref="G220:N220" si="120">+G87</f>
        <v>0</v>
      </c>
      <c r="H220" s="1079">
        <f t="shared" si="120"/>
        <v>0</v>
      </c>
      <c r="I220" s="1079">
        <f t="shared" si="120"/>
        <v>0</v>
      </c>
      <c r="J220" s="1079">
        <f t="shared" si="120"/>
        <v>0</v>
      </c>
      <c r="K220" s="1079">
        <f>+K87</f>
        <v>0</v>
      </c>
      <c r="L220" s="1079">
        <f t="shared" si="120"/>
        <v>0</v>
      </c>
      <c r="M220" s="1079">
        <f t="shared" si="120"/>
        <v>0</v>
      </c>
      <c r="N220" s="1080">
        <f t="shared" si="120"/>
        <v>0</v>
      </c>
    </row>
    <row r="221" spans="1:14" s="951" customFormat="1" ht="13.5" customHeight="1" thickBot="1">
      <c r="A221" s="2429"/>
      <c r="B221" s="2430"/>
      <c r="C221" s="2431"/>
      <c r="D221" s="1162"/>
      <c r="E221" s="1163"/>
      <c r="F221" s="1164"/>
      <c r="G221" s="1165"/>
      <c r="H221" s="1165"/>
      <c r="I221" s="1165"/>
      <c r="J221" s="1165"/>
      <c r="K221" s="1165"/>
      <c r="L221" s="1165"/>
      <c r="M221" s="1165"/>
      <c r="N221" s="1166"/>
    </row>
    <row r="222" spans="1:14" s="951" customFormat="1" ht="13.5" customHeight="1" thickBot="1">
      <c r="A222" s="1167"/>
      <c r="B222" s="1168"/>
      <c r="C222" s="1169" t="s">
        <v>2900</v>
      </c>
      <c r="D222" s="1170"/>
      <c r="E222" s="1171"/>
      <c r="F222" s="1172">
        <f>SUM(G222:N222)</f>
        <v>0</v>
      </c>
      <c r="G222" s="1173">
        <f t="shared" ref="G222:N222" si="121">IF(G223="",+G216,0)</f>
        <v>0</v>
      </c>
      <c r="H222" s="1173">
        <f t="shared" si="121"/>
        <v>0</v>
      </c>
      <c r="I222" s="1173">
        <f t="shared" si="121"/>
        <v>0</v>
      </c>
      <c r="J222" s="1173">
        <f t="shared" si="121"/>
        <v>0</v>
      </c>
      <c r="K222" s="1173">
        <f t="shared" si="121"/>
        <v>0</v>
      </c>
      <c r="L222" s="1173">
        <f t="shared" si="121"/>
        <v>0</v>
      </c>
      <c r="M222" s="1173">
        <f t="shared" si="121"/>
        <v>0</v>
      </c>
      <c r="N222" s="1174">
        <f t="shared" si="121"/>
        <v>0</v>
      </c>
    </row>
    <row r="223" spans="1:14" s="951" customFormat="1" ht="13.5" customHeight="1">
      <c r="A223" s="945"/>
      <c r="B223" s="946"/>
      <c r="C223" s="1175" t="s">
        <v>2901</v>
      </c>
      <c r="D223" s="1176"/>
      <c r="E223" s="1177"/>
      <c r="F223" s="956">
        <f>SUM(G223:N223)</f>
        <v>0</v>
      </c>
      <c r="G223" s="956" t="str">
        <f>IF(G245="","",G216)</f>
        <v/>
      </c>
      <c r="H223" s="956" t="str">
        <f t="shared" ref="H223:N223" si="122">IF(H245="","",H216)</f>
        <v/>
      </c>
      <c r="I223" s="956" t="str">
        <f>IF(I245="","",I216)</f>
        <v/>
      </c>
      <c r="J223" s="956" t="str">
        <f t="shared" si="122"/>
        <v/>
      </c>
      <c r="K223" s="956" t="str">
        <f t="shared" si="122"/>
        <v/>
      </c>
      <c r="L223" s="956" t="str">
        <f t="shared" si="122"/>
        <v/>
      </c>
      <c r="M223" s="956" t="str">
        <f t="shared" si="122"/>
        <v/>
      </c>
      <c r="N223" s="2068" t="str">
        <f t="shared" si="122"/>
        <v/>
      </c>
    </row>
    <row r="224" spans="1:14" s="951" customFormat="1" ht="13.5" customHeight="1">
      <c r="A224" s="1148"/>
      <c r="B224" s="1149"/>
      <c r="C224" s="2321" t="s">
        <v>2902</v>
      </c>
      <c r="D224" s="2321"/>
      <c r="E224" s="2432"/>
      <c r="F224" s="1107">
        <f>F222+F223-F232</f>
        <v>0</v>
      </c>
      <c r="G224" s="1108"/>
      <c r="H224" s="1108"/>
      <c r="I224" s="1108"/>
      <c r="J224" s="1108"/>
      <c r="K224" s="1108"/>
      <c r="L224" s="1108"/>
      <c r="M224" s="1108"/>
      <c r="N224" s="1109"/>
    </row>
    <row r="225" spans="1:14" s="951" customFormat="1" ht="13.5" customHeight="1">
      <c r="A225" s="1076"/>
      <c r="B225" s="1077"/>
      <c r="C225" s="1077"/>
      <c r="D225" s="1178"/>
      <c r="E225" s="855" t="str">
        <f>E87</f>
        <v>有り</v>
      </c>
      <c r="F225" s="2433" t="s">
        <v>2903</v>
      </c>
      <c r="G225" s="2434"/>
      <c r="H225" s="1179"/>
      <c r="I225" s="1179"/>
      <c r="J225" s="1179"/>
      <c r="K225" s="1179"/>
      <c r="L225" s="1179"/>
      <c r="M225" s="1179"/>
      <c r="N225" s="1180"/>
    </row>
    <row r="226" spans="1:14" s="951" customFormat="1" ht="13.5" customHeight="1">
      <c r="A226" s="2311" t="s">
        <v>2904</v>
      </c>
      <c r="B226" s="2422"/>
      <c r="C226" s="2423"/>
      <c r="D226" s="1181"/>
      <c r="E226" s="1182" t="str">
        <f>+E88</f>
        <v>有り</v>
      </c>
      <c r="F226" s="2435" t="s">
        <v>2905</v>
      </c>
      <c r="G226" s="2436"/>
      <c r="H226" s="1108"/>
      <c r="I226" s="1108"/>
      <c r="J226" s="1108"/>
      <c r="K226" s="1108"/>
      <c r="L226" s="1108"/>
      <c r="M226" s="1108"/>
      <c r="N226" s="1109"/>
    </row>
    <row r="227" spans="1:14" s="951" customFormat="1" ht="13.5" customHeight="1">
      <c r="A227" s="2437"/>
      <c r="B227" s="1183" t="s">
        <v>2906</v>
      </c>
      <c r="C227" s="1184" t="s">
        <v>2907</v>
      </c>
      <c r="D227" s="1185">
        <v>1</v>
      </c>
      <c r="E227" s="2069">
        <f>+G296/100</f>
        <v>0.1724</v>
      </c>
      <c r="F227" s="1187">
        <f>SUM(G227:N227)</f>
        <v>0</v>
      </c>
      <c r="G227" s="1179">
        <f>+G222-G232</f>
        <v>0</v>
      </c>
      <c r="H227" s="1179">
        <f t="shared" ref="H227:N227" si="123">+H222-H232</f>
        <v>0</v>
      </c>
      <c r="I227" s="1179">
        <f>+I222-I232</f>
        <v>0</v>
      </c>
      <c r="J227" s="1179">
        <f t="shared" si="123"/>
        <v>0</v>
      </c>
      <c r="K227" s="1179">
        <f t="shared" si="123"/>
        <v>0</v>
      </c>
      <c r="L227" s="1179">
        <f t="shared" si="123"/>
        <v>0</v>
      </c>
      <c r="M227" s="1179">
        <f t="shared" si="123"/>
        <v>0</v>
      </c>
      <c r="N227" s="1180">
        <f t="shared" si="123"/>
        <v>0</v>
      </c>
    </row>
    <row r="228" spans="1:14" s="951" customFormat="1" ht="13.5" customHeight="1">
      <c r="A228" s="2438"/>
      <c r="B228" s="2316" t="s">
        <v>2908</v>
      </c>
      <c r="C228" s="948" t="s">
        <v>2909</v>
      </c>
      <c r="D228" s="1132">
        <v>0.05</v>
      </c>
      <c r="E228" s="1101">
        <f>IF(OR(G84="無し",G84="なし"),IF(E225="無し",E227,0),0)</f>
        <v>0</v>
      </c>
      <c r="F228" s="949">
        <f>SUM(G228:N228)</f>
        <v>0</v>
      </c>
      <c r="G228" s="985">
        <f>IF(G245=0,+G227,0)</f>
        <v>0</v>
      </c>
      <c r="H228" s="985">
        <f>IF(H245=0,+H227,0)</f>
        <v>0</v>
      </c>
      <c r="I228" s="985">
        <f t="shared" ref="I228:N228" si="124">IF(I245=0,+I227,0)</f>
        <v>0</v>
      </c>
      <c r="J228" s="985">
        <f t="shared" si="124"/>
        <v>0</v>
      </c>
      <c r="K228" s="985">
        <f t="shared" si="124"/>
        <v>0</v>
      </c>
      <c r="L228" s="985">
        <f t="shared" si="124"/>
        <v>0</v>
      </c>
      <c r="M228" s="985">
        <f t="shared" si="124"/>
        <v>0</v>
      </c>
      <c r="N228" s="986">
        <f t="shared" si="124"/>
        <v>0</v>
      </c>
    </row>
    <row r="229" spans="1:14" s="951" customFormat="1" ht="13.5" customHeight="1">
      <c r="A229" s="2438"/>
      <c r="B229" s="2424"/>
      <c r="C229" s="948" t="s">
        <v>2910</v>
      </c>
      <c r="D229" s="1188">
        <v>1</v>
      </c>
      <c r="E229" s="1101">
        <f>IF(OR(E226="無し",E226="なし"),0,0.0004)</f>
        <v>4.0000000000000002E-4</v>
      </c>
      <c r="F229" s="949">
        <f>SUM(G229:N229)</f>
        <v>0</v>
      </c>
      <c r="G229" s="985">
        <f>IF(G245=0,+G227,0)</f>
        <v>0</v>
      </c>
      <c r="H229" s="985">
        <f t="shared" ref="H229:N229" si="125">IF(H245=0,+H227,0)</f>
        <v>0</v>
      </c>
      <c r="I229" s="985">
        <f t="shared" si="125"/>
        <v>0</v>
      </c>
      <c r="J229" s="985">
        <f t="shared" si="125"/>
        <v>0</v>
      </c>
      <c r="K229" s="985">
        <f t="shared" si="125"/>
        <v>0</v>
      </c>
      <c r="L229" s="985">
        <f t="shared" si="125"/>
        <v>0</v>
      </c>
      <c r="M229" s="985">
        <f t="shared" si="125"/>
        <v>0</v>
      </c>
      <c r="N229" s="986">
        <f t="shared" si="125"/>
        <v>0</v>
      </c>
    </row>
    <row r="230" spans="1:14" s="951" customFormat="1" ht="13.5" customHeight="1">
      <c r="A230" s="2438"/>
      <c r="B230" s="864"/>
      <c r="C230" s="948"/>
      <c r="D230" s="1189"/>
      <c r="E230" s="1189"/>
      <c r="F230" s="949"/>
      <c r="G230" s="985"/>
      <c r="H230" s="985"/>
      <c r="I230" s="985"/>
      <c r="J230" s="985"/>
      <c r="K230" s="985"/>
      <c r="L230" s="985"/>
      <c r="M230" s="985"/>
      <c r="N230" s="986"/>
    </row>
    <row r="231" spans="1:14" s="951" customFormat="1" ht="13.5" customHeight="1">
      <c r="A231" s="2438"/>
      <c r="B231" s="864"/>
      <c r="C231" s="948"/>
      <c r="D231" s="1189"/>
      <c r="E231" s="1189"/>
      <c r="F231" s="949"/>
      <c r="G231" s="985"/>
      <c r="H231" s="985"/>
      <c r="I231" s="985"/>
      <c r="J231" s="985"/>
      <c r="K231" s="985"/>
      <c r="L231" s="985"/>
      <c r="M231" s="985"/>
      <c r="N231" s="986"/>
    </row>
    <row r="232" spans="1:14" s="951" customFormat="1" ht="13.5" customHeight="1">
      <c r="A232" s="2438"/>
      <c r="B232" s="2316" t="s">
        <v>2911</v>
      </c>
      <c r="C232" s="1092" t="str">
        <f>+C136</f>
        <v>(17)下水道使用料、各種負担金（共通仮設）</v>
      </c>
      <c r="D232" s="1190">
        <v>1</v>
      </c>
      <c r="E232" s="1191">
        <v>0</v>
      </c>
      <c r="F232" s="949">
        <f>SUM(G232:N232)</f>
        <v>0</v>
      </c>
      <c r="G232" s="985">
        <f>+G136</f>
        <v>0</v>
      </c>
      <c r="H232" s="985">
        <f t="shared" ref="H232:N232" si="126">+H136</f>
        <v>0</v>
      </c>
      <c r="I232" s="985">
        <f t="shared" si="126"/>
        <v>0</v>
      </c>
      <c r="J232" s="985">
        <f t="shared" si="126"/>
        <v>0</v>
      </c>
      <c r="K232" s="985">
        <f>+K136</f>
        <v>0</v>
      </c>
      <c r="L232" s="985">
        <f t="shared" si="126"/>
        <v>0</v>
      </c>
      <c r="M232" s="985">
        <f t="shared" si="126"/>
        <v>0</v>
      </c>
      <c r="N232" s="986">
        <f t="shared" si="126"/>
        <v>0</v>
      </c>
    </row>
    <row r="233" spans="1:14" s="951" customFormat="1" ht="13.5" customHeight="1">
      <c r="A233" s="2438"/>
      <c r="B233" s="2425"/>
      <c r="C233" s="1192"/>
      <c r="D233" s="1092"/>
      <c r="E233" s="1191"/>
      <c r="F233" s="949"/>
      <c r="G233" s="985"/>
      <c r="H233" s="985"/>
      <c r="I233" s="985"/>
      <c r="J233" s="985"/>
      <c r="K233" s="985"/>
      <c r="L233" s="985"/>
      <c r="M233" s="985"/>
      <c r="N233" s="986"/>
    </row>
    <row r="234" spans="1:14" s="951" customFormat="1" ht="13.5" customHeight="1">
      <c r="A234" s="2439"/>
      <c r="B234" s="2440"/>
      <c r="C234" s="1193"/>
      <c r="D234" s="1194"/>
      <c r="E234" s="1195"/>
      <c r="F234" s="1107"/>
      <c r="G234" s="1108"/>
      <c r="H234" s="1108"/>
      <c r="I234" s="1108"/>
      <c r="J234" s="1108"/>
      <c r="K234" s="1108"/>
      <c r="L234" s="1108"/>
      <c r="M234" s="1108"/>
      <c r="N234" s="1109"/>
    </row>
    <row r="235" spans="1:14" s="951" customFormat="1" ht="13.5" customHeight="1">
      <c r="A235" s="1076"/>
      <c r="B235" s="1077"/>
      <c r="C235" s="1196"/>
      <c r="D235" s="1197"/>
      <c r="E235" s="1198"/>
      <c r="F235" s="1187"/>
      <c r="G235" s="1179"/>
      <c r="H235" s="1179"/>
      <c r="I235" s="1179"/>
      <c r="J235" s="1179"/>
      <c r="K235" s="1179"/>
      <c r="L235" s="1179"/>
      <c r="M235" s="1179"/>
      <c r="N235" s="1180"/>
    </row>
    <row r="236" spans="1:14" s="951" customFormat="1" ht="13.5" customHeight="1">
      <c r="A236" s="2311" t="s">
        <v>2912</v>
      </c>
      <c r="B236" s="2422"/>
      <c r="C236" s="2423"/>
      <c r="D236" s="1199"/>
      <c r="E236" s="1200"/>
      <c r="F236" s="1201"/>
      <c r="G236" s="1108"/>
      <c r="H236" s="1108"/>
      <c r="I236" s="1108"/>
      <c r="J236" s="1108"/>
      <c r="K236" s="1108"/>
      <c r="L236" s="1108"/>
      <c r="M236" s="1108"/>
      <c r="N236" s="1109"/>
    </row>
    <row r="237" spans="1:14" s="951" customFormat="1" ht="13.5" customHeight="1">
      <c r="A237" s="945"/>
      <c r="B237" s="1202" t="s">
        <v>2906</v>
      </c>
      <c r="C237" s="1184" t="s">
        <v>2907</v>
      </c>
      <c r="D237" s="1185">
        <f t="shared" ref="D237:E239" si="127">+D227</f>
        <v>1</v>
      </c>
      <c r="E237" s="1203">
        <f>+E227</f>
        <v>0.1724</v>
      </c>
      <c r="F237" s="949">
        <f>INT(D237*E237*F227)</f>
        <v>0</v>
      </c>
      <c r="G237" s="1179">
        <f>F237-SUM(H237:N237)</f>
        <v>0</v>
      </c>
      <c r="H237" s="1179">
        <f>IF(H227=0,0,ROUND($F237/$F227*H227,0))</f>
        <v>0</v>
      </c>
      <c r="I237" s="1179">
        <f t="shared" ref="H237:N239" si="128">IF(I227=0,0,ROUND($F237/$F227*I227,0))</f>
        <v>0</v>
      </c>
      <c r="J237" s="1179">
        <f t="shared" si="128"/>
        <v>0</v>
      </c>
      <c r="K237" s="1179">
        <f t="shared" si="128"/>
        <v>0</v>
      </c>
      <c r="L237" s="1179">
        <f t="shared" si="128"/>
        <v>0</v>
      </c>
      <c r="M237" s="1179">
        <f t="shared" si="128"/>
        <v>0</v>
      </c>
      <c r="N237" s="1180">
        <f t="shared" si="128"/>
        <v>0</v>
      </c>
    </row>
    <row r="238" spans="1:14" s="951" customFormat="1" ht="13.5" customHeight="1">
      <c r="A238" s="945"/>
      <c r="B238" s="2316" t="s">
        <v>2908</v>
      </c>
      <c r="C238" s="948" t="s">
        <v>2909</v>
      </c>
      <c r="D238" s="1190">
        <f t="shared" si="127"/>
        <v>0.05</v>
      </c>
      <c r="E238" s="1101">
        <f t="shared" si="127"/>
        <v>0</v>
      </c>
      <c r="F238" s="949">
        <f>INT(D238*E238*F228)</f>
        <v>0</v>
      </c>
      <c r="G238" s="985">
        <f>F238-SUM(H238:N238)</f>
        <v>0</v>
      </c>
      <c r="H238" s="985">
        <f t="shared" si="128"/>
        <v>0</v>
      </c>
      <c r="I238" s="985">
        <f t="shared" si="128"/>
        <v>0</v>
      </c>
      <c r="J238" s="985">
        <f t="shared" si="128"/>
        <v>0</v>
      </c>
      <c r="K238" s="985">
        <f t="shared" si="128"/>
        <v>0</v>
      </c>
      <c r="L238" s="985">
        <f t="shared" si="128"/>
        <v>0</v>
      </c>
      <c r="M238" s="985">
        <f t="shared" si="128"/>
        <v>0</v>
      </c>
      <c r="N238" s="986">
        <f t="shared" si="128"/>
        <v>0</v>
      </c>
    </row>
    <row r="239" spans="1:14" s="951" customFormat="1" ht="13.5" customHeight="1">
      <c r="A239" s="945"/>
      <c r="B239" s="2424"/>
      <c r="C239" s="948" t="s">
        <v>2910</v>
      </c>
      <c r="D239" s="1190">
        <f t="shared" si="127"/>
        <v>1</v>
      </c>
      <c r="E239" s="1101">
        <f t="shared" si="127"/>
        <v>4.0000000000000002E-4</v>
      </c>
      <c r="F239" s="949">
        <f>INT(D239*E239*F229)</f>
        <v>0</v>
      </c>
      <c r="G239" s="985">
        <f>F239-SUM(H239:N239)</f>
        <v>0</v>
      </c>
      <c r="H239" s="985">
        <f>IF(H229=0,0,ROUND($F239/$F229*H229,0))</f>
        <v>0</v>
      </c>
      <c r="I239" s="985">
        <f t="shared" si="128"/>
        <v>0</v>
      </c>
      <c r="J239" s="985">
        <f t="shared" si="128"/>
        <v>0</v>
      </c>
      <c r="K239" s="985">
        <f t="shared" si="128"/>
        <v>0</v>
      </c>
      <c r="L239" s="985">
        <f t="shared" si="128"/>
        <v>0</v>
      </c>
      <c r="M239" s="985">
        <f t="shared" si="128"/>
        <v>0</v>
      </c>
      <c r="N239" s="986">
        <f t="shared" si="128"/>
        <v>0</v>
      </c>
    </row>
    <row r="240" spans="1:14" s="951" customFormat="1" ht="13.5" customHeight="1">
      <c r="A240" s="945"/>
      <c r="B240" s="864"/>
      <c r="C240" s="948"/>
      <c r="D240" s="1189"/>
      <c r="E240" s="1189"/>
      <c r="F240" s="949"/>
      <c r="G240" s="985"/>
      <c r="H240" s="985"/>
      <c r="I240" s="985"/>
      <c r="J240" s="985"/>
      <c r="K240" s="985"/>
      <c r="L240" s="985"/>
      <c r="M240" s="985"/>
      <c r="N240" s="986"/>
    </row>
    <row r="241" spans="1:14" s="951" customFormat="1" ht="13.5" customHeight="1">
      <c r="A241" s="945"/>
      <c r="B241" s="864"/>
      <c r="C241" s="948"/>
      <c r="D241" s="1189"/>
      <c r="E241" s="1189"/>
      <c r="F241" s="949"/>
      <c r="G241" s="985"/>
      <c r="H241" s="985"/>
      <c r="I241" s="985"/>
      <c r="J241" s="985"/>
      <c r="K241" s="985"/>
      <c r="L241" s="985"/>
      <c r="M241" s="985"/>
      <c r="N241" s="986"/>
    </row>
    <row r="242" spans="1:14" s="951" customFormat="1" ht="13.5" customHeight="1">
      <c r="A242" s="945"/>
      <c r="B242" s="2316" t="s">
        <v>2911</v>
      </c>
      <c r="C242" s="1092" t="str">
        <f>+C136</f>
        <v>(17)下水道使用料、各種負担金（共通仮設）</v>
      </c>
      <c r="D242" s="1190">
        <f>+D232</f>
        <v>1</v>
      </c>
      <c r="E242" s="1101">
        <f>+E232</f>
        <v>0</v>
      </c>
      <c r="F242" s="949">
        <f>INT(D242*E242*F232)</f>
        <v>0</v>
      </c>
      <c r="G242" s="985">
        <f>F242-SUM(H242:N242)</f>
        <v>0</v>
      </c>
      <c r="H242" s="985">
        <f t="shared" ref="H242:N242" si="129">IF(H232=0,0,ROUND($F242/$F232*H232,0))</f>
        <v>0</v>
      </c>
      <c r="I242" s="985">
        <f t="shared" si="129"/>
        <v>0</v>
      </c>
      <c r="J242" s="985">
        <f t="shared" si="129"/>
        <v>0</v>
      </c>
      <c r="K242" s="985">
        <f>IF(K232=0,0,ROUND($F242/$F232*K232,0))</f>
        <v>0</v>
      </c>
      <c r="L242" s="985">
        <f t="shared" si="129"/>
        <v>0</v>
      </c>
      <c r="M242" s="985">
        <f t="shared" si="129"/>
        <v>0</v>
      </c>
      <c r="N242" s="986">
        <f t="shared" si="129"/>
        <v>0</v>
      </c>
    </row>
    <row r="243" spans="1:14" s="951" customFormat="1" ht="13.5" customHeight="1">
      <c r="A243" s="945"/>
      <c r="B243" s="2425"/>
      <c r="C243" s="1192"/>
      <c r="D243" s="1092"/>
      <c r="E243" s="1189">
        <f>+G234</f>
        <v>0</v>
      </c>
      <c r="F243" s="949"/>
      <c r="G243" s="985"/>
      <c r="H243" s="985"/>
      <c r="I243" s="985"/>
      <c r="J243" s="985"/>
      <c r="K243" s="985"/>
      <c r="L243" s="985"/>
      <c r="M243" s="985"/>
      <c r="N243" s="986"/>
    </row>
    <row r="244" spans="1:14" s="951" customFormat="1" ht="13.5" customHeight="1">
      <c r="A244" s="1204"/>
      <c r="B244" s="2424"/>
      <c r="C244" s="1192"/>
      <c r="D244" s="1092"/>
      <c r="E244" s="1189">
        <f>+G235</f>
        <v>0</v>
      </c>
      <c r="F244" s="949"/>
      <c r="G244" s="985"/>
      <c r="H244" s="985"/>
      <c r="I244" s="985"/>
      <c r="J244" s="985"/>
      <c r="K244" s="985"/>
      <c r="L244" s="985"/>
      <c r="M244" s="985"/>
      <c r="N244" s="986"/>
    </row>
    <row r="245" spans="1:14" s="951" customFormat="1" ht="13.5" customHeight="1">
      <c r="A245" s="1204"/>
      <c r="B245" s="2426" t="s">
        <v>2892</v>
      </c>
      <c r="C245" s="1120" t="s">
        <v>2913</v>
      </c>
      <c r="D245" s="1206"/>
      <c r="E245" s="1207"/>
      <c r="F245" s="1208">
        <f>SUM(G245:N245)</f>
        <v>0</v>
      </c>
      <c r="G245" s="2070"/>
      <c r="H245" s="2070"/>
      <c r="I245" s="2070"/>
      <c r="J245" s="2070"/>
      <c r="K245" s="2070"/>
      <c r="L245" s="2070"/>
      <c r="M245" s="2070"/>
      <c r="N245" s="2071"/>
    </row>
    <row r="246" spans="1:14" s="951" customFormat="1" ht="13.5" customHeight="1">
      <c r="A246" s="945"/>
      <c r="B246" s="2427"/>
      <c r="C246" s="2072" t="s">
        <v>2914</v>
      </c>
      <c r="D246" s="1135"/>
      <c r="E246" s="1136"/>
      <c r="F246" s="1123"/>
      <c r="G246" s="985"/>
      <c r="H246" s="985"/>
      <c r="I246" s="985"/>
      <c r="J246" s="985" t="s">
        <v>3129</v>
      </c>
      <c r="K246" s="985"/>
      <c r="L246" s="985"/>
      <c r="M246" s="985"/>
      <c r="N246" s="986"/>
    </row>
    <row r="247" spans="1:14" s="951" customFormat="1" ht="13.5" customHeight="1">
      <c r="A247" s="1167"/>
      <c r="B247" s="1168"/>
      <c r="C247" s="1168"/>
      <c r="D247" s="856"/>
      <c r="E247" s="856"/>
      <c r="F247" s="1187"/>
      <c r="G247" s="1179"/>
      <c r="H247" s="1179"/>
      <c r="I247" s="1179"/>
      <c r="J247" s="1179"/>
      <c r="K247" s="1179"/>
      <c r="L247" s="1179"/>
      <c r="M247" s="1179"/>
      <c r="N247" s="1180"/>
    </row>
    <row r="248" spans="1:14" s="951" customFormat="1" ht="13.5" customHeight="1">
      <c r="A248" s="1212"/>
      <c r="B248" s="952"/>
      <c r="C248" s="947" t="s">
        <v>2915</v>
      </c>
      <c r="D248" s="1192"/>
      <c r="E248" s="948"/>
      <c r="F248" s="949">
        <f>SUM(G248:N248)</f>
        <v>0</v>
      </c>
      <c r="G248" s="985">
        <f t="shared" ref="G248:N248" si="130">SUM(G237:G246)</f>
        <v>0</v>
      </c>
      <c r="H248" s="985">
        <f t="shared" si="130"/>
        <v>0</v>
      </c>
      <c r="I248" s="985">
        <f t="shared" si="130"/>
        <v>0</v>
      </c>
      <c r="J248" s="985">
        <f t="shared" si="130"/>
        <v>0</v>
      </c>
      <c r="K248" s="985">
        <f t="shared" si="130"/>
        <v>0</v>
      </c>
      <c r="L248" s="985">
        <f t="shared" si="130"/>
        <v>0</v>
      </c>
      <c r="M248" s="985">
        <f t="shared" si="130"/>
        <v>0</v>
      </c>
      <c r="N248" s="986">
        <f t="shared" si="130"/>
        <v>0</v>
      </c>
    </row>
    <row r="249" spans="1:14" s="951" customFormat="1" ht="13.5" customHeight="1">
      <c r="A249" s="1212"/>
      <c r="B249" s="952"/>
      <c r="C249" s="947" t="s">
        <v>2896</v>
      </c>
      <c r="D249" s="1192"/>
      <c r="E249" s="948"/>
      <c r="F249" s="949">
        <f>SUM(G249:N249)</f>
        <v>0</v>
      </c>
      <c r="G249" s="985">
        <f t="shared" ref="G249:N249" si="131">+G216</f>
        <v>0</v>
      </c>
      <c r="H249" s="985">
        <f t="shared" si="131"/>
        <v>0</v>
      </c>
      <c r="I249" s="985">
        <f t="shared" si="131"/>
        <v>0</v>
      </c>
      <c r="J249" s="985">
        <f t="shared" si="131"/>
        <v>0</v>
      </c>
      <c r="K249" s="985">
        <f t="shared" si="131"/>
        <v>0</v>
      </c>
      <c r="L249" s="985">
        <f t="shared" si="131"/>
        <v>0</v>
      </c>
      <c r="M249" s="985">
        <f t="shared" si="131"/>
        <v>0</v>
      </c>
      <c r="N249" s="986">
        <f t="shared" si="131"/>
        <v>0</v>
      </c>
    </row>
    <row r="250" spans="1:14" s="951" customFormat="1" ht="13.5" customHeight="1" thickBot="1">
      <c r="A250" s="1213"/>
      <c r="B250" s="1214"/>
      <c r="C250" s="1215" t="s">
        <v>2916</v>
      </c>
      <c r="D250" s="1216"/>
      <c r="E250" s="1217"/>
      <c r="F250" s="1218">
        <f>SUM(G250:N250)</f>
        <v>0</v>
      </c>
      <c r="G250" s="1219">
        <f>SUM(G248:G249)</f>
        <v>0</v>
      </c>
      <c r="H250" s="1219">
        <f t="shared" ref="H250:N250" si="132">SUM(H248:H249)</f>
        <v>0</v>
      </c>
      <c r="I250" s="1219">
        <f t="shared" si="132"/>
        <v>0</v>
      </c>
      <c r="J250" s="1219">
        <f t="shared" si="132"/>
        <v>0</v>
      </c>
      <c r="K250" s="1219">
        <f>SUM(K248:K249)</f>
        <v>0</v>
      </c>
      <c r="L250" s="1219">
        <f t="shared" si="132"/>
        <v>0</v>
      </c>
      <c r="M250" s="1219">
        <f t="shared" si="132"/>
        <v>0</v>
      </c>
      <c r="N250" s="1220">
        <f t="shared" si="132"/>
        <v>0</v>
      </c>
    </row>
    <row r="251" spans="1:14" s="951" customFormat="1" ht="13.5" customHeight="1" thickTop="1">
      <c r="A251" s="945"/>
      <c r="B251" s="946"/>
      <c r="C251" s="946"/>
      <c r="D251" s="955"/>
      <c r="E251" s="955"/>
      <c r="F251" s="956"/>
      <c r="G251" s="1221">
        <f t="shared" ref="G251:N251" si="133">ROUNDDOWN(G250,-3)</f>
        <v>0</v>
      </c>
      <c r="H251" s="1221">
        <f>ROUNDDOWN(H250,-3)</f>
        <v>0</v>
      </c>
      <c r="I251" s="1221">
        <f t="shared" si="133"/>
        <v>0</v>
      </c>
      <c r="J251" s="1221">
        <f t="shared" si="133"/>
        <v>0</v>
      </c>
      <c r="K251" s="1221">
        <f>ROUNDDOWN(K250,-3)</f>
        <v>0</v>
      </c>
      <c r="L251" s="1221">
        <f t="shared" si="133"/>
        <v>0</v>
      </c>
      <c r="M251" s="1221">
        <f t="shared" si="133"/>
        <v>0</v>
      </c>
      <c r="N251" s="1222">
        <f t="shared" si="133"/>
        <v>0</v>
      </c>
    </row>
    <row r="252" spans="1:14" s="951" customFormat="1" ht="13.5" customHeight="1">
      <c r="A252" s="1212"/>
      <c r="B252" s="952"/>
      <c r="C252" s="947" t="s">
        <v>2896</v>
      </c>
      <c r="D252" s="1192"/>
      <c r="E252" s="948"/>
      <c r="F252" s="949">
        <f>SUM(G252:N252)</f>
        <v>0</v>
      </c>
      <c r="G252" s="985">
        <f t="shared" ref="G252:N252" si="134">+G249</f>
        <v>0</v>
      </c>
      <c r="H252" s="985">
        <f t="shared" si="134"/>
        <v>0</v>
      </c>
      <c r="I252" s="985">
        <f>+I249</f>
        <v>0</v>
      </c>
      <c r="J252" s="985">
        <f>+J249</f>
        <v>0</v>
      </c>
      <c r="K252" s="985">
        <f>+K249</f>
        <v>0</v>
      </c>
      <c r="L252" s="985">
        <f t="shared" si="134"/>
        <v>0</v>
      </c>
      <c r="M252" s="985">
        <f t="shared" si="134"/>
        <v>0</v>
      </c>
      <c r="N252" s="986">
        <f t="shared" si="134"/>
        <v>0</v>
      </c>
    </row>
    <row r="253" spans="1:14" s="951" customFormat="1" ht="13.5" customHeight="1">
      <c r="A253" s="1212"/>
      <c r="B253" s="952"/>
      <c r="C253" s="947" t="s">
        <v>2917</v>
      </c>
      <c r="D253" s="1192"/>
      <c r="E253" s="1189"/>
      <c r="F253" s="949" t="e">
        <f>SUM(G253:N253)</f>
        <v>#DIV/0!</v>
      </c>
      <c r="G253" s="985" t="e">
        <f t="shared" ref="G253:N253" si="135">+G248-(G250-G255)</f>
        <v>#DIV/0!</v>
      </c>
      <c r="H253" s="985" t="e">
        <f>+H248-(H250-H255)</f>
        <v>#DIV/0!</v>
      </c>
      <c r="I253" s="985" t="e">
        <f t="shared" si="135"/>
        <v>#DIV/0!</v>
      </c>
      <c r="J253" s="985" t="e">
        <f>+J248-(J250-J255)</f>
        <v>#DIV/0!</v>
      </c>
      <c r="K253" s="985" t="e">
        <f>+K248-(K250-K255)</f>
        <v>#DIV/0!</v>
      </c>
      <c r="L253" s="985" t="e">
        <f t="shared" si="135"/>
        <v>#DIV/0!</v>
      </c>
      <c r="M253" s="985" t="e">
        <f t="shared" si="135"/>
        <v>#DIV/0!</v>
      </c>
      <c r="N253" s="986" t="e">
        <f t="shared" si="135"/>
        <v>#DIV/0!</v>
      </c>
    </row>
    <row r="254" spans="1:14" s="951" customFormat="1" ht="13.5" customHeight="1">
      <c r="A254" s="1212"/>
      <c r="B254" s="952"/>
      <c r="C254" s="952"/>
      <c r="D254" s="948"/>
      <c r="E254" s="1223">
        <f>SUM(G251:N251)</f>
        <v>0</v>
      </c>
      <c r="F254" s="949" t="s">
        <v>2918</v>
      </c>
      <c r="G254" s="985" t="e">
        <f t="shared" ref="G254:N254" si="136">+G248-G253</f>
        <v>#DIV/0!</v>
      </c>
      <c r="H254" s="985" t="e">
        <f t="shared" si="136"/>
        <v>#DIV/0!</v>
      </c>
      <c r="I254" s="985" t="e">
        <f t="shared" si="136"/>
        <v>#DIV/0!</v>
      </c>
      <c r="J254" s="985" t="e">
        <f t="shared" si="136"/>
        <v>#DIV/0!</v>
      </c>
      <c r="K254" s="985" t="e">
        <f>+K248-K253</f>
        <v>#DIV/0!</v>
      </c>
      <c r="L254" s="985" t="e">
        <f t="shared" si="136"/>
        <v>#DIV/0!</v>
      </c>
      <c r="M254" s="1224" t="e">
        <f t="shared" si="136"/>
        <v>#DIV/0!</v>
      </c>
      <c r="N254" s="1225" t="e">
        <f t="shared" si="136"/>
        <v>#DIV/0!</v>
      </c>
    </row>
    <row r="255" spans="1:14" s="951" customFormat="1" ht="13.5" customHeight="1">
      <c r="A255" s="1226"/>
      <c r="B255" s="1227"/>
      <c r="C255" s="1227" t="s">
        <v>2919</v>
      </c>
      <c r="D255" s="1228"/>
      <c r="E255" s="1223">
        <f>ROUNDDOWN(E254,4-LEN(E254))</f>
        <v>0</v>
      </c>
      <c r="F255" s="1229">
        <f>+E255</f>
        <v>0</v>
      </c>
      <c r="G255" s="1224" t="e">
        <f>IF(F256+SUM(H255:N255)=F255,F256,F255-SUM(H255:N255))</f>
        <v>#DIV/0!</v>
      </c>
      <c r="H255" s="1224" t="e">
        <f t="shared" ref="H255:N255" si="137">IF(H245="",+H251-ROUND($E$256*H250/$F$250,-3),H250)</f>
        <v>#DIV/0!</v>
      </c>
      <c r="I255" s="1224" t="e">
        <f t="shared" si="137"/>
        <v>#DIV/0!</v>
      </c>
      <c r="J255" s="1224" t="e">
        <f t="shared" si="137"/>
        <v>#DIV/0!</v>
      </c>
      <c r="K255" s="1224" t="e">
        <f t="shared" si="137"/>
        <v>#DIV/0!</v>
      </c>
      <c r="L255" s="1224" t="e">
        <f t="shared" si="137"/>
        <v>#DIV/0!</v>
      </c>
      <c r="M255" s="1224" t="e">
        <f t="shared" si="137"/>
        <v>#DIV/0!</v>
      </c>
      <c r="N255" s="1225" t="e">
        <f t="shared" si="137"/>
        <v>#DIV/0!</v>
      </c>
    </row>
    <row r="256" spans="1:14" s="951" customFormat="1" ht="13.5" customHeight="1">
      <c r="A256" s="1230"/>
      <c r="B256" s="1231"/>
      <c r="C256" s="1231"/>
      <c r="D256" s="1232"/>
      <c r="E256" s="1233">
        <f>E254-E255</f>
        <v>0</v>
      </c>
      <c r="F256" s="1234" t="e">
        <f>+G251-ROUND($E$256*G250/$F$250,-3)</f>
        <v>#DIV/0!</v>
      </c>
      <c r="G256" s="1233">
        <f t="shared" ref="G256:N256" si="138">IF(LEN(G250)&lt;=7,-3,IF(LEN(G250)=8,-4,IF(LEN(G250)&gt;=9,-5,-6)))</f>
        <v>-3</v>
      </c>
      <c r="H256" s="1233">
        <f t="shared" si="138"/>
        <v>-3</v>
      </c>
      <c r="I256" s="1233">
        <f t="shared" si="138"/>
        <v>-3</v>
      </c>
      <c r="J256" s="1233">
        <f>IF(LEN(J250)&lt;=7,-3,IF(LEN(J250)=8,-4,IF(LEN(J250)&gt;=9,-5,-6)))</f>
        <v>-3</v>
      </c>
      <c r="K256" s="1233">
        <f>IF(LEN(K250)&lt;=7,-3,IF(LEN(K250)=8,-4,IF(LEN(K250)&gt;=9,-5,-6)))</f>
        <v>-3</v>
      </c>
      <c r="L256" s="1233">
        <f t="shared" si="138"/>
        <v>-3</v>
      </c>
      <c r="M256" s="1233">
        <f t="shared" si="138"/>
        <v>-3</v>
      </c>
      <c r="N256" s="1235">
        <f t="shared" si="138"/>
        <v>-3</v>
      </c>
    </row>
    <row r="257" spans="1:14" s="951" customFormat="1" ht="13.5" customHeight="1">
      <c r="F257" s="2073"/>
      <c r="G257" s="1796"/>
      <c r="H257" s="1282"/>
      <c r="I257" s="1282"/>
      <c r="J257" s="1282"/>
      <c r="K257" s="1282"/>
      <c r="L257" s="1282"/>
      <c r="M257" s="1282"/>
      <c r="N257" s="1282"/>
    </row>
    <row r="258" spans="1:14" s="951" customFormat="1" ht="15" hidden="1" customHeight="1">
      <c r="A258" s="1265"/>
      <c r="B258" s="1266"/>
      <c r="C258" s="1267" t="s">
        <v>2920</v>
      </c>
      <c r="D258" s="1268"/>
      <c r="E258" s="1266"/>
      <c r="F258" s="1269" t="s">
        <v>2921</v>
      </c>
      <c r="G258" s="1244">
        <f t="shared" ref="G258:N258" si="139">+G85</f>
        <v>0</v>
      </c>
      <c r="H258" s="1244">
        <f t="shared" si="139"/>
        <v>0</v>
      </c>
      <c r="I258" s="1244">
        <f t="shared" si="139"/>
        <v>0</v>
      </c>
      <c r="J258" s="1244">
        <f t="shared" si="139"/>
        <v>0</v>
      </c>
      <c r="K258" s="1244">
        <f>+K85</f>
        <v>0</v>
      </c>
      <c r="L258" s="1244">
        <f t="shared" si="139"/>
        <v>0</v>
      </c>
      <c r="M258" s="1244">
        <f t="shared" si="139"/>
        <v>0</v>
      </c>
      <c r="N258" s="1245">
        <f t="shared" si="139"/>
        <v>0</v>
      </c>
    </row>
    <row r="259" spans="1:14" s="951" customFormat="1" ht="15" hidden="1" customHeight="1">
      <c r="A259" s="2277"/>
      <c r="B259" s="2279" t="s">
        <v>2922</v>
      </c>
      <c r="C259" s="1270" t="s">
        <v>2923</v>
      </c>
      <c r="D259" s="1227"/>
      <c r="E259" s="1271"/>
      <c r="F259" s="1272" t="s">
        <v>2924</v>
      </c>
      <c r="G259" s="1249">
        <f>IF($F141&lt;=10000000,ROUND(7.56*(10000^-0.1105)*(G258^0.2389),2),ROUND(7.56*(($F141/1000)^-0.1105)*(G258^0.2389),2))</f>
        <v>0</v>
      </c>
      <c r="H259" s="1249">
        <f>IF($F141&lt;=10000000,ROUND(7.56*(10000^-0.1105)*(H258^0.2389),2),ROUND(7.56*(($F141/1000)^-0.1105)*(H258^0.2389),2))</f>
        <v>0</v>
      </c>
      <c r="I259" s="1249">
        <f t="shared" ref="I259:N259" si="140">IF($F141&lt;=10000000,ROUND(7.56*(10000^-0.1105)*(I258^0.2389),2),ROUND(7.56*(($F141/1000)^-0.1105)*(I258^0.2389),2))</f>
        <v>0</v>
      </c>
      <c r="J259" s="1249">
        <f t="shared" si="140"/>
        <v>0</v>
      </c>
      <c r="K259" s="1249">
        <f t="shared" si="140"/>
        <v>0</v>
      </c>
      <c r="L259" s="1249">
        <f t="shared" si="140"/>
        <v>0</v>
      </c>
      <c r="M259" s="1249">
        <f t="shared" si="140"/>
        <v>0</v>
      </c>
      <c r="N259" s="1249">
        <f t="shared" si="140"/>
        <v>0</v>
      </c>
    </row>
    <row r="260" spans="1:14" s="951" customFormat="1" ht="15" hidden="1" customHeight="1">
      <c r="A260" s="2278"/>
      <c r="B260" s="2280"/>
      <c r="C260" s="2288" t="s">
        <v>2925</v>
      </c>
      <c r="D260" s="1126"/>
      <c r="E260" s="1273"/>
      <c r="F260" s="1272" t="s">
        <v>2926</v>
      </c>
      <c r="G260" s="1274">
        <f>IF($F141&lt;=10000000,ROUND(4.33,2),0)</f>
        <v>4.33</v>
      </c>
      <c r="H260" s="1274">
        <f t="shared" ref="H260:N260" si="141">IF($F141&lt;=10000000,ROUND(4.33,2),0)</f>
        <v>4.33</v>
      </c>
      <c r="I260" s="1274">
        <f t="shared" si="141"/>
        <v>4.33</v>
      </c>
      <c r="J260" s="1274">
        <f t="shared" si="141"/>
        <v>4.33</v>
      </c>
      <c r="K260" s="1274">
        <f t="shared" si="141"/>
        <v>4.33</v>
      </c>
      <c r="L260" s="1274">
        <f t="shared" si="141"/>
        <v>4.33</v>
      </c>
      <c r="M260" s="1274">
        <f t="shared" si="141"/>
        <v>4.33</v>
      </c>
      <c r="N260" s="1274">
        <f t="shared" si="141"/>
        <v>4.33</v>
      </c>
    </row>
    <row r="261" spans="1:14" s="951" customFormat="1" ht="15" hidden="1" customHeight="1">
      <c r="A261" s="2278"/>
      <c r="B261" s="2280"/>
      <c r="C261" s="2415"/>
      <c r="D261" s="1276"/>
      <c r="E261" s="1277"/>
      <c r="F261" s="1272" t="s">
        <v>2927</v>
      </c>
      <c r="G261" s="1274">
        <f>IF($F141&lt;=10000000,ROUND(3.25,2),0)</f>
        <v>3.25</v>
      </c>
      <c r="H261" s="1274">
        <f t="shared" ref="H261:N261" si="142">IF($F141&lt;=10000000,ROUND(3.25,2),0)</f>
        <v>3.25</v>
      </c>
      <c r="I261" s="1274">
        <f t="shared" si="142"/>
        <v>3.25</v>
      </c>
      <c r="J261" s="1274">
        <f t="shared" si="142"/>
        <v>3.25</v>
      </c>
      <c r="K261" s="1274">
        <f t="shared" si="142"/>
        <v>3.25</v>
      </c>
      <c r="L261" s="1274">
        <f t="shared" si="142"/>
        <v>3.25</v>
      </c>
      <c r="M261" s="1274">
        <f t="shared" si="142"/>
        <v>3.25</v>
      </c>
      <c r="N261" s="1274">
        <f t="shared" si="142"/>
        <v>3.25</v>
      </c>
    </row>
    <row r="262" spans="1:14" s="951" customFormat="1" ht="14.25" hidden="1" customHeight="1">
      <c r="A262" s="2278"/>
      <c r="B262" s="2280"/>
      <c r="C262" s="2288" t="s">
        <v>2928</v>
      </c>
      <c r="D262" s="1126"/>
      <c r="E262" s="1273"/>
      <c r="F262" s="1272" t="s">
        <v>2926</v>
      </c>
      <c r="G262" s="1278">
        <f>IF($F141&gt;10000000,ROUND(5.78*($F141/1000)^-0.0313,2),0)</f>
        <v>0</v>
      </c>
      <c r="H262" s="1278">
        <f t="shared" ref="H262:N262" si="143">IF($F141&gt;10000000,ROUND(5.78*($F141/1000)^-0.0313,2),0)</f>
        <v>0</v>
      </c>
      <c r="I262" s="1278">
        <f t="shared" si="143"/>
        <v>0</v>
      </c>
      <c r="J262" s="1278">
        <f t="shared" si="143"/>
        <v>0</v>
      </c>
      <c r="K262" s="1278">
        <f t="shared" si="143"/>
        <v>0</v>
      </c>
      <c r="L262" s="1278">
        <f t="shared" si="143"/>
        <v>0</v>
      </c>
      <c r="M262" s="1278">
        <f t="shared" si="143"/>
        <v>0</v>
      </c>
      <c r="N262" s="1278">
        <f t="shared" si="143"/>
        <v>0</v>
      </c>
    </row>
    <row r="263" spans="1:14" s="951" customFormat="1" ht="15" hidden="1" customHeight="1">
      <c r="A263" s="2286"/>
      <c r="B263" s="2287"/>
      <c r="C263" s="2415"/>
      <c r="D263" s="1276"/>
      <c r="E263" s="1277"/>
      <c r="F263" s="1272" t="s">
        <v>2927</v>
      </c>
      <c r="G263" s="1278">
        <f>IF($F141&gt;10000000,ROUND(4.34*($F141/1000)^-0.0313,2),0)</f>
        <v>0</v>
      </c>
      <c r="H263" s="1278">
        <f t="shared" ref="H263:N263" si="144">IF($F141&gt;10000000,ROUND(4.34*($F141/1000)^-0.0313,2),0)</f>
        <v>0</v>
      </c>
      <c r="I263" s="1278">
        <f t="shared" si="144"/>
        <v>0</v>
      </c>
      <c r="J263" s="1278">
        <f t="shared" si="144"/>
        <v>0</v>
      </c>
      <c r="K263" s="1278">
        <f t="shared" si="144"/>
        <v>0</v>
      </c>
      <c r="L263" s="1278">
        <f t="shared" si="144"/>
        <v>0</v>
      </c>
      <c r="M263" s="1278">
        <f t="shared" si="144"/>
        <v>0</v>
      </c>
      <c r="N263" s="1278">
        <f t="shared" si="144"/>
        <v>0</v>
      </c>
    </row>
    <row r="264" spans="1:14" s="951" customFormat="1" ht="15" hidden="1" customHeight="1">
      <c r="A264" s="2416" t="s">
        <v>2929</v>
      </c>
      <c r="B264" s="2417"/>
      <c r="C264" s="2417"/>
      <c r="D264" s="2417"/>
      <c r="E264" s="2417"/>
      <c r="F264" s="2418"/>
      <c r="G264" s="1278">
        <f>IF($F141&lt;=10000000,IF(G$259&gt;G$260,G$260,IF(G$259&lt;G$261,G$261,G$259)),IF(G$259&gt;G$262,G$262,IF(G$259&lt;G$263,G$263,G$259)))</f>
        <v>3.25</v>
      </c>
      <c r="H264" s="1278">
        <f t="shared" ref="H264:N264" si="145">IF($F141&lt;=10000000,IF(H$259&gt;H$260,H$260,IF(H$259&lt;H$261,H$261,H$259)),IF(H$259&gt;H$262,H$262,IF(H$259&lt;H$263,H$263,H$259)))</f>
        <v>3.25</v>
      </c>
      <c r="I264" s="1278">
        <f t="shared" si="145"/>
        <v>3.25</v>
      </c>
      <c r="J264" s="1278">
        <f t="shared" si="145"/>
        <v>3.25</v>
      </c>
      <c r="K264" s="1278">
        <f t="shared" si="145"/>
        <v>3.25</v>
      </c>
      <c r="L264" s="1278">
        <f t="shared" si="145"/>
        <v>3.25</v>
      </c>
      <c r="M264" s="1278">
        <f t="shared" si="145"/>
        <v>3.25</v>
      </c>
      <c r="N264" s="1278">
        <f t="shared" si="145"/>
        <v>3.25</v>
      </c>
    </row>
    <row r="265" spans="1:14" s="951" customFormat="1" ht="15" hidden="1" customHeight="1" thickBot="1">
      <c r="A265" s="2419" t="s">
        <v>3056</v>
      </c>
      <c r="B265" s="2420"/>
      <c r="C265" s="2420"/>
      <c r="D265" s="2420"/>
      <c r="E265" s="2420"/>
      <c r="F265" s="2421"/>
      <c r="G265" s="2074">
        <f>ROUND(G264*0.9,2)</f>
        <v>2.93</v>
      </c>
      <c r="H265" s="2074">
        <f t="shared" ref="H265:N265" si="146">ROUND(H264*0.9,2)</f>
        <v>2.93</v>
      </c>
      <c r="I265" s="2074">
        <f t="shared" si="146"/>
        <v>2.93</v>
      </c>
      <c r="J265" s="2074">
        <f t="shared" si="146"/>
        <v>2.93</v>
      </c>
      <c r="K265" s="2074">
        <f>ROUND(K264*0.9,2)</f>
        <v>2.93</v>
      </c>
      <c r="L265" s="2074">
        <f t="shared" si="146"/>
        <v>2.93</v>
      </c>
      <c r="M265" s="2074">
        <f t="shared" si="146"/>
        <v>2.93</v>
      </c>
      <c r="N265" s="2075">
        <f t="shared" si="146"/>
        <v>2.93</v>
      </c>
    </row>
    <row r="266" spans="1:14" s="951" customFormat="1" ht="15" hidden="1" customHeight="1" thickBot="1">
      <c r="G266" s="1264"/>
      <c r="H266" s="1264"/>
      <c r="I266" s="1264"/>
      <c r="J266" s="1264"/>
      <c r="K266" s="1264"/>
      <c r="L266" s="1264"/>
      <c r="M266" s="1264"/>
      <c r="N266" s="1264"/>
    </row>
    <row r="267" spans="1:14" s="951" customFormat="1" ht="15" hidden="1" customHeight="1">
      <c r="A267" s="1265"/>
      <c r="B267" s="1266"/>
      <c r="C267" s="1267" t="s">
        <v>2920</v>
      </c>
      <c r="D267" s="1268"/>
      <c r="E267" s="1266"/>
      <c r="F267" s="1269" t="s">
        <v>2921</v>
      </c>
      <c r="G267" s="1244">
        <f t="shared" ref="G267:N267" si="147">+G85</f>
        <v>0</v>
      </c>
      <c r="H267" s="1244">
        <f t="shared" si="147"/>
        <v>0</v>
      </c>
      <c r="I267" s="1244">
        <f t="shared" si="147"/>
        <v>0</v>
      </c>
      <c r="J267" s="1244">
        <f t="shared" si="147"/>
        <v>0</v>
      </c>
      <c r="K267" s="1244">
        <f>+K85</f>
        <v>0</v>
      </c>
      <c r="L267" s="1244">
        <f t="shared" si="147"/>
        <v>0</v>
      </c>
      <c r="M267" s="1244">
        <f t="shared" si="147"/>
        <v>0</v>
      </c>
      <c r="N267" s="1245">
        <f t="shared" si="147"/>
        <v>0</v>
      </c>
    </row>
    <row r="268" spans="1:14" s="951" customFormat="1" ht="15" hidden="1" customHeight="1">
      <c r="A268" s="2277"/>
      <c r="B268" s="2279" t="s">
        <v>2931</v>
      </c>
      <c r="C268" s="1270" t="s">
        <v>2923</v>
      </c>
      <c r="D268" s="1227"/>
      <c r="E268" s="1271"/>
      <c r="F268" s="1272" t="s">
        <v>2932</v>
      </c>
      <c r="G268" s="1249">
        <f>IF($F141&lt;=5000000,ROUND(18.03*(5000^-0.2027)*(G267^0.4017),2),ROUND(18.03*(($F141/1000)^-0.2027)*(G267^0.4017),2))</f>
        <v>0</v>
      </c>
      <c r="H268" s="1249">
        <f t="shared" ref="H268:N268" si="148">IF($F141&lt;=5000000,ROUND(18.03*(5000^-0.2027)*(H267^0.4017),2),ROUND(18.03*(($F141/1000)^-0.2027)*(H267^0.4017),2))</f>
        <v>0</v>
      </c>
      <c r="I268" s="1249">
        <f t="shared" si="148"/>
        <v>0</v>
      </c>
      <c r="J268" s="1249">
        <f t="shared" si="148"/>
        <v>0</v>
      </c>
      <c r="K268" s="1249">
        <f t="shared" si="148"/>
        <v>0</v>
      </c>
      <c r="L268" s="1249">
        <f t="shared" si="148"/>
        <v>0</v>
      </c>
      <c r="M268" s="1249">
        <f t="shared" si="148"/>
        <v>0</v>
      </c>
      <c r="N268" s="1249">
        <f t="shared" si="148"/>
        <v>0</v>
      </c>
    </row>
    <row r="269" spans="1:14" s="951" customFormat="1" ht="15" hidden="1" customHeight="1">
      <c r="A269" s="2278"/>
      <c r="B269" s="2280"/>
      <c r="C269" s="2288" t="s">
        <v>2933</v>
      </c>
      <c r="D269" s="1126"/>
      <c r="E269" s="1273"/>
      <c r="F269" s="1272" t="s">
        <v>2926</v>
      </c>
      <c r="G269" s="1274">
        <f>IF($F141&lt;=5000000,ROUND(6.07,2),0)</f>
        <v>6.07</v>
      </c>
      <c r="H269" s="1274">
        <f t="shared" ref="H269:N269" si="149">IF($F141&lt;=5000000,ROUND(6.07,2),0)</f>
        <v>6.07</v>
      </c>
      <c r="I269" s="1274">
        <f t="shared" si="149"/>
        <v>6.07</v>
      </c>
      <c r="J269" s="1274">
        <f t="shared" si="149"/>
        <v>6.07</v>
      </c>
      <c r="K269" s="1274">
        <f t="shared" si="149"/>
        <v>6.07</v>
      </c>
      <c r="L269" s="1274">
        <f t="shared" si="149"/>
        <v>6.07</v>
      </c>
      <c r="M269" s="1274">
        <f t="shared" si="149"/>
        <v>6.07</v>
      </c>
      <c r="N269" s="1274">
        <f t="shared" si="149"/>
        <v>6.07</v>
      </c>
    </row>
    <row r="270" spans="1:14" s="951" customFormat="1" ht="15" hidden="1" customHeight="1">
      <c r="A270" s="2278"/>
      <c r="B270" s="2280"/>
      <c r="C270" s="2415"/>
      <c r="D270" s="1276"/>
      <c r="E270" s="1277"/>
      <c r="F270" s="1272" t="s">
        <v>2927</v>
      </c>
      <c r="G270" s="1274">
        <f>IF($F141&lt;=5000000,ROUND(3.59,2),0)</f>
        <v>3.59</v>
      </c>
      <c r="H270" s="1274">
        <f t="shared" ref="H270:N270" si="150">IF($F141&lt;=5000000,ROUND(3.59,2),0)</f>
        <v>3.59</v>
      </c>
      <c r="I270" s="1274">
        <f t="shared" si="150"/>
        <v>3.59</v>
      </c>
      <c r="J270" s="1274">
        <f t="shared" si="150"/>
        <v>3.59</v>
      </c>
      <c r="K270" s="1274">
        <f t="shared" si="150"/>
        <v>3.59</v>
      </c>
      <c r="L270" s="1274">
        <f t="shared" si="150"/>
        <v>3.59</v>
      </c>
      <c r="M270" s="1274">
        <f t="shared" si="150"/>
        <v>3.59</v>
      </c>
      <c r="N270" s="1274">
        <f t="shared" si="150"/>
        <v>3.59</v>
      </c>
    </row>
    <row r="271" spans="1:14" s="951" customFormat="1" ht="15" hidden="1" customHeight="1">
      <c r="A271" s="2278"/>
      <c r="B271" s="2280"/>
      <c r="C271" s="2288" t="s">
        <v>2934</v>
      </c>
      <c r="D271" s="1126"/>
      <c r="E271" s="1273"/>
      <c r="F271" s="1272" t="s">
        <v>2926</v>
      </c>
      <c r="G271" s="1278">
        <f>IF($F141&gt;5000000,ROUND(11.74*($F141/1000)^-0.0774,2),0)</f>
        <v>0</v>
      </c>
      <c r="H271" s="1278">
        <f t="shared" ref="H271:N271" si="151">IF($F141&gt;5000000,ROUND(11.74*($F141/1000)^-0.0774,2),0)</f>
        <v>0</v>
      </c>
      <c r="I271" s="1278">
        <f t="shared" si="151"/>
        <v>0</v>
      </c>
      <c r="J271" s="1278">
        <f t="shared" si="151"/>
        <v>0</v>
      </c>
      <c r="K271" s="1278">
        <f t="shared" si="151"/>
        <v>0</v>
      </c>
      <c r="L271" s="1278">
        <f t="shared" si="151"/>
        <v>0</v>
      </c>
      <c r="M271" s="1278">
        <f t="shared" si="151"/>
        <v>0</v>
      </c>
      <c r="N271" s="1278">
        <f t="shared" si="151"/>
        <v>0</v>
      </c>
    </row>
    <row r="272" spans="1:14" s="951" customFormat="1" ht="15" hidden="1" customHeight="1">
      <c r="A272" s="2286"/>
      <c r="B272" s="2287"/>
      <c r="C272" s="2415"/>
      <c r="D272" s="1276"/>
      <c r="E272" s="1277"/>
      <c r="F272" s="1272" t="s">
        <v>2927</v>
      </c>
      <c r="G272" s="1278">
        <f>IF($F141&gt;5000000,ROUND(6.94*($F141/1000)^-0.0774,2),0)</f>
        <v>0</v>
      </c>
      <c r="H272" s="1278">
        <f t="shared" ref="H272:N272" si="152">IF($F141&gt;5000000,ROUND(6.94*($F141/1000)^-0.0774,2),0)</f>
        <v>0</v>
      </c>
      <c r="I272" s="1278">
        <f t="shared" si="152"/>
        <v>0</v>
      </c>
      <c r="J272" s="1278">
        <f t="shared" si="152"/>
        <v>0</v>
      </c>
      <c r="K272" s="1278">
        <f t="shared" si="152"/>
        <v>0</v>
      </c>
      <c r="L272" s="1278">
        <f t="shared" si="152"/>
        <v>0</v>
      </c>
      <c r="M272" s="1278">
        <f t="shared" si="152"/>
        <v>0</v>
      </c>
      <c r="N272" s="1278">
        <f t="shared" si="152"/>
        <v>0</v>
      </c>
    </row>
    <row r="273" spans="1:14" s="951" customFormat="1" ht="15" hidden="1" customHeight="1">
      <c r="A273" s="2416" t="s">
        <v>2929</v>
      </c>
      <c r="B273" s="2417"/>
      <c r="C273" s="2417"/>
      <c r="D273" s="2417"/>
      <c r="E273" s="2417"/>
      <c r="F273" s="2418"/>
      <c r="G273" s="2076">
        <f>IF($F141&lt;=5000000,IF(G$268&gt;G$269,G$269,IF(G$268&lt;G$270,G$270,G$268)),IF(G$268&gt;G$271,G$271,IF(G$268&lt;G$272,G$272,G$268)))</f>
        <v>3.59</v>
      </c>
      <c r="H273" s="2076">
        <f t="shared" ref="H273:N273" si="153">IF($F141&lt;=5000000,IF(H$268&gt;H$269,H$269,IF(H$268&lt;H$270,H$270,H$268)),IF(H$268&gt;H$271,H$271,IF(H$268&lt;H$272,H$272,H$268)))</f>
        <v>3.59</v>
      </c>
      <c r="I273" s="2076">
        <f t="shared" si="153"/>
        <v>3.59</v>
      </c>
      <c r="J273" s="2076">
        <f t="shared" si="153"/>
        <v>3.59</v>
      </c>
      <c r="K273" s="2076">
        <f t="shared" si="153"/>
        <v>3.59</v>
      </c>
      <c r="L273" s="2076">
        <f t="shared" si="153"/>
        <v>3.59</v>
      </c>
      <c r="M273" s="2076">
        <f t="shared" si="153"/>
        <v>3.59</v>
      </c>
      <c r="N273" s="2076">
        <f t="shared" si="153"/>
        <v>3.59</v>
      </c>
    </row>
    <row r="274" spans="1:14" s="951" customFormat="1" ht="15" hidden="1" customHeight="1" thickBot="1">
      <c r="A274" s="2419" t="s">
        <v>3056</v>
      </c>
      <c r="B274" s="2420"/>
      <c r="C274" s="2420"/>
      <c r="D274" s="2420"/>
      <c r="E274" s="2420"/>
      <c r="F274" s="2421"/>
      <c r="G274" s="2074">
        <f>ROUND(G273*0.9,2)</f>
        <v>3.23</v>
      </c>
      <c r="H274" s="2074">
        <f t="shared" ref="H274:N274" si="154">ROUND(H273*0.9,2)</f>
        <v>3.23</v>
      </c>
      <c r="I274" s="2074">
        <f t="shared" si="154"/>
        <v>3.23</v>
      </c>
      <c r="J274" s="2074">
        <f t="shared" si="154"/>
        <v>3.23</v>
      </c>
      <c r="K274" s="2074">
        <f>ROUND(K273*0.9,2)</f>
        <v>3.23</v>
      </c>
      <c r="L274" s="2074">
        <f t="shared" si="154"/>
        <v>3.23</v>
      </c>
      <c r="M274" s="2074">
        <f t="shared" si="154"/>
        <v>3.23</v>
      </c>
      <c r="N274" s="2075">
        <f t="shared" si="154"/>
        <v>3.23</v>
      </c>
    </row>
    <row r="275" spans="1:14" s="951" customFormat="1" ht="15" hidden="1" customHeight="1" thickBot="1">
      <c r="G275" s="1282"/>
      <c r="H275" s="1282"/>
      <c r="I275" s="1282"/>
      <c r="J275" s="1282"/>
      <c r="K275" s="1282"/>
      <c r="L275" s="1282"/>
      <c r="M275" s="1282"/>
      <c r="N275" s="1282"/>
    </row>
    <row r="276" spans="1:14" s="951" customFormat="1" ht="15" hidden="1" customHeight="1">
      <c r="A276" s="1265"/>
      <c r="B276" s="1266"/>
      <c r="C276" s="1267" t="s">
        <v>2935</v>
      </c>
      <c r="D276" s="1268"/>
      <c r="E276" s="1266"/>
      <c r="F276" s="1269" t="s">
        <v>2921</v>
      </c>
      <c r="G276" s="1244">
        <f>+G284</f>
        <v>0</v>
      </c>
      <c r="H276" s="1244">
        <f t="shared" ref="H276:N276" si="155">+H284</f>
        <v>0</v>
      </c>
      <c r="I276" s="1244">
        <f t="shared" si="155"/>
        <v>0</v>
      </c>
      <c r="J276" s="1244">
        <f t="shared" si="155"/>
        <v>0</v>
      </c>
      <c r="K276" s="1244">
        <f>+K284</f>
        <v>0</v>
      </c>
      <c r="L276" s="1244">
        <f t="shared" si="155"/>
        <v>0</v>
      </c>
      <c r="M276" s="1244">
        <f t="shared" si="155"/>
        <v>0</v>
      </c>
      <c r="N276" s="1245">
        <f t="shared" si="155"/>
        <v>0</v>
      </c>
    </row>
    <row r="277" spans="1:14" s="951" customFormat="1" ht="15" hidden="1" customHeight="1">
      <c r="A277" s="2277"/>
      <c r="B277" s="2279" t="s">
        <v>2922</v>
      </c>
      <c r="C277" s="1270" t="s">
        <v>2936</v>
      </c>
      <c r="D277" s="1227"/>
      <c r="E277" s="1271"/>
      <c r="F277" s="1272" t="s">
        <v>2937</v>
      </c>
      <c r="G277" s="1249">
        <f>IF($F180&lt;=10000000,ROUND(151.08*((10000)^-0.3396)*(G276^0.586),2),ROUND(151.08*(($F180/1000)^-0.3396)*(G276^0.586),2))</f>
        <v>0</v>
      </c>
      <c r="H277" s="1249">
        <f t="shared" ref="H277:N277" si="156">IF($F180&lt;=10000000,ROUND(151.08*((10000)^-0.3396)*(H276^0.586),2),ROUND(151.08*(($F180/1000)^-0.3396)*(H276^0.586),2))</f>
        <v>0</v>
      </c>
      <c r="I277" s="1249">
        <f t="shared" si="156"/>
        <v>0</v>
      </c>
      <c r="J277" s="1249">
        <f t="shared" si="156"/>
        <v>0</v>
      </c>
      <c r="K277" s="1249">
        <f t="shared" si="156"/>
        <v>0</v>
      </c>
      <c r="L277" s="1249">
        <f t="shared" si="156"/>
        <v>0</v>
      </c>
      <c r="M277" s="1249">
        <f t="shared" si="156"/>
        <v>0</v>
      </c>
      <c r="N277" s="1249">
        <f t="shared" si="156"/>
        <v>0</v>
      </c>
    </row>
    <row r="278" spans="1:14" s="951" customFormat="1" ht="15" hidden="1" customHeight="1">
      <c r="A278" s="2278"/>
      <c r="B278" s="2280"/>
      <c r="C278" s="2288" t="s">
        <v>2938</v>
      </c>
      <c r="D278" s="1126"/>
      <c r="E278" s="1273"/>
      <c r="F278" s="1272" t="s">
        <v>2926</v>
      </c>
      <c r="G278" s="1274">
        <f>IF($F180&lt;=10000000,ROUND(20.13,2),0)</f>
        <v>20.13</v>
      </c>
      <c r="H278" s="1274">
        <f t="shared" ref="H278:N278" si="157">IF($F180&lt;=10000000,ROUND(20.13,2),0)</f>
        <v>20.13</v>
      </c>
      <c r="I278" s="1274">
        <f t="shared" si="157"/>
        <v>20.13</v>
      </c>
      <c r="J278" s="1274">
        <f t="shared" si="157"/>
        <v>20.13</v>
      </c>
      <c r="K278" s="1274">
        <f t="shared" si="157"/>
        <v>20.13</v>
      </c>
      <c r="L278" s="1274">
        <f t="shared" si="157"/>
        <v>20.13</v>
      </c>
      <c r="M278" s="1274">
        <f t="shared" si="157"/>
        <v>20.13</v>
      </c>
      <c r="N278" s="1274">
        <f t="shared" si="157"/>
        <v>20.13</v>
      </c>
    </row>
    <row r="279" spans="1:14" s="951" customFormat="1" ht="15" hidden="1" customHeight="1">
      <c r="A279" s="2278"/>
      <c r="B279" s="2280"/>
      <c r="C279" s="2415"/>
      <c r="D279" s="1276"/>
      <c r="E279" s="1277"/>
      <c r="F279" s="1272" t="s">
        <v>2927</v>
      </c>
      <c r="G279" s="1274">
        <f>IF($F180&lt;=10000000,ROUND(10.01,2),0)</f>
        <v>10.01</v>
      </c>
      <c r="H279" s="1274">
        <f t="shared" ref="H279:N279" si="158">IF($F180&lt;=10000000,ROUND(10.01,2),0)</f>
        <v>10.01</v>
      </c>
      <c r="I279" s="1274">
        <f t="shared" si="158"/>
        <v>10.01</v>
      </c>
      <c r="J279" s="1274">
        <f t="shared" si="158"/>
        <v>10.01</v>
      </c>
      <c r="K279" s="1274">
        <f t="shared" si="158"/>
        <v>10.01</v>
      </c>
      <c r="L279" s="1274">
        <f t="shared" si="158"/>
        <v>10.01</v>
      </c>
      <c r="M279" s="1274">
        <f t="shared" si="158"/>
        <v>10.01</v>
      </c>
      <c r="N279" s="1274">
        <f t="shared" si="158"/>
        <v>10.01</v>
      </c>
    </row>
    <row r="280" spans="1:14" s="951" customFormat="1" ht="15" hidden="1" customHeight="1">
      <c r="A280" s="2278"/>
      <c r="B280" s="2280"/>
      <c r="C280" s="2288" t="s">
        <v>2939</v>
      </c>
      <c r="D280" s="1126"/>
      <c r="E280" s="1273"/>
      <c r="F280" s="1272" t="s">
        <v>2926</v>
      </c>
      <c r="G280" s="1278">
        <f>IF($F180&gt;10000000,ROUND(75.97*($F180/1000)^-0.1442,2),0)</f>
        <v>0</v>
      </c>
      <c r="H280" s="1278">
        <f t="shared" ref="H280:N280" si="159">IF($F180&gt;10000000,ROUND(75.97*($F180/1000)^-0.1442,2),0)</f>
        <v>0</v>
      </c>
      <c r="I280" s="1278">
        <f t="shared" si="159"/>
        <v>0</v>
      </c>
      <c r="J280" s="1278">
        <f t="shared" si="159"/>
        <v>0</v>
      </c>
      <c r="K280" s="1278">
        <f t="shared" si="159"/>
        <v>0</v>
      </c>
      <c r="L280" s="1278">
        <f t="shared" si="159"/>
        <v>0</v>
      </c>
      <c r="M280" s="1278">
        <f t="shared" si="159"/>
        <v>0</v>
      </c>
      <c r="N280" s="1278">
        <f t="shared" si="159"/>
        <v>0</v>
      </c>
    </row>
    <row r="281" spans="1:14" s="951" customFormat="1" ht="15" hidden="1" customHeight="1">
      <c r="A281" s="2286"/>
      <c r="B281" s="2287"/>
      <c r="C281" s="2415"/>
      <c r="D281" s="1276"/>
      <c r="E281" s="1277"/>
      <c r="F281" s="1272" t="s">
        <v>2927</v>
      </c>
      <c r="G281" s="1278">
        <f>IF($F180&gt;10000000,ROUND(37.76*($F180/1000)^-0.1442,2),0)</f>
        <v>0</v>
      </c>
      <c r="H281" s="1278">
        <f t="shared" ref="H281:N281" si="160">IF($F180&gt;10000000,ROUND(37.76*($F180/1000)^-0.1442,2),0)</f>
        <v>0</v>
      </c>
      <c r="I281" s="1278">
        <f t="shared" si="160"/>
        <v>0</v>
      </c>
      <c r="J281" s="1278">
        <f t="shared" si="160"/>
        <v>0</v>
      </c>
      <c r="K281" s="1278">
        <f t="shared" si="160"/>
        <v>0</v>
      </c>
      <c r="L281" s="1278">
        <f t="shared" si="160"/>
        <v>0</v>
      </c>
      <c r="M281" s="1278">
        <f t="shared" si="160"/>
        <v>0</v>
      </c>
      <c r="N281" s="1278">
        <f t="shared" si="160"/>
        <v>0</v>
      </c>
    </row>
    <row r="282" spans="1:14" s="951" customFormat="1" ht="15" hidden="1" customHeight="1" thickBot="1">
      <c r="A282" s="2413" t="s">
        <v>2940</v>
      </c>
      <c r="B282" s="2414"/>
      <c r="C282" s="2414"/>
      <c r="D282" s="2414"/>
      <c r="E282" s="2077"/>
      <c r="F282" s="2078"/>
      <c r="G282" s="2079">
        <f>IF($F180&lt;=10000000,IF(G$277&gt;G$278,G$278,IF(G$277&lt;G$279,G$279,G$277)),IF(G$277&gt;G$280,G$280,IF(G$277&lt;G$281,G$281,G$277)))</f>
        <v>10.01</v>
      </c>
      <c r="H282" s="2079">
        <f t="shared" ref="H282:N282" si="161">IF($F180&lt;=10000000,IF(H$277&gt;H$278,H$278,IF(H$277&lt;H$279,H$279,H$277)),IF(H$277&gt;H$280,H$280,IF(H$277&lt;H$281,H$281,H$277)))</f>
        <v>10.01</v>
      </c>
      <c r="I282" s="2079">
        <f t="shared" si="161"/>
        <v>10.01</v>
      </c>
      <c r="J282" s="2079">
        <f t="shared" si="161"/>
        <v>10.01</v>
      </c>
      <c r="K282" s="2079">
        <f t="shared" si="161"/>
        <v>10.01</v>
      </c>
      <c r="L282" s="2079">
        <f t="shared" si="161"/>
        <v>10.01</v>
      </c>
      <c r="M282" s="2079">
        <f t="shared" si="161"/>
        <v>10.01</v>
      </c>
      <c r="N282" s="2079">
        <f t="shared" si="161"/>
        <v>10.01</v>
      </c>
    </row>
    <row r="283" spans="1:14" s="951" customFormat="1" ht="15" hidden="1" customHeight="1" thickBot="1">
      <c r="G283" s="1264"/>
      <c r="H283" s="1264"/>
      <c r="I283" s="1264"/>
      <c r="J283" s="1264"/>
      <c r="K283" s="1264"/>
      <c r="L283" s="1264"/>
      <c r="M283" s="1264"/>
      <c r="N283" s="1264"/>
    </row>
    <row r="284" spans="1:14" s="951" customFormat="1" ht="15" hidden="1" customHeight="1">
      <c r="A284" s="1265"/>
      <c r="B284" s="1266"/>
      <c r="C284" s="1267" t="s">
        <v>2935</v>
      </c>
      <c r="D284" s="1268"/>
      <c r="E284" s="1266"/>
      <c r="F284" s="1269" t="s">
        <v>2921</v>
      </c>
      <c r="G284" s="1244">
        <f>+G85</f>
        <v>0</v>
      </c>
      <c r="H284" s="1244">
        <f>+H85</f>
        <v>0</v>
      </c>
      <c r="I284" s="1244">
        <f t="shared" ref="I284:N284" si="162">+I85</f>
        <v>0</v>
      </c>
      <c r="J284" s="1244">
        <f t="shared" si="162"/>
        <v>0</v>
      </c>
      <c r="K284" s="1244">
        <f>+K85</f>
        <v>0</v>
      </c>
      <c r="L284" s="1244">
        <f t="shared" si="162"/>
        <v>0</v>
      </c>
      <c r="M284" s="1244">
        <f t="shared" si="162"/>
        <v>0</v>
      </c>
      <c r="N284" s="1245">
        <f t="shared" si="162"/>
        <v>0</v>
      </c>
    </row>
    <row r="285" spans="1:14" s="951" customFormat="1" ht="15" hidden="1" customHeight="1">
      <c r="A285" s="2277"/>
      <c r="B285" s="2279" t="s">
        <v>2931</v>
      </c>
      <c r="C285" s="1270" t="s">
        <v>2936</v>
      </c>
      <c r="D285" s="1227"/>
      <c r="E285" s="1271"/>
      <c r="F285" s="1272" t="s">
        <v>2937</v>
      </c>
      <c r="G285" s="1249">
        <f>IF($F180&lt;=5000000,ROUND(356.2*((5000)^-0.4085)*(G284^0.5766),2),ROUND(356.2*(($F180/1000)^-0.4085)*(G284^0.5766),2))</f>
        <v>0</v>
      </c>
      <c r="H285" s="1249">
        <f t="shared" ref="H285:N285" si="163">IF($F180&lt;=5000000,ROUND(356.2*((5000)^-0.4085)*(H284^0.5766),2),ROUND(356.2*(($F180/1000)^-0.4085)*(H284^0.5766),2))</f>
        <v>0</v>
      </c>
      <c r="I285" s="1249">
        <f t="shared" si="163"/>
        <v>0</v>
      </c>
      <c r="J285" s="1249">
        <f t="shared" si="163"/>
        <v>0</v>
      </c>
      <c r="K285" s="1249">
        <f t="shared" si="163"/>
        <v>0</v>
      </c>
      <c r="L285" s="1249">
        <f t="shared" si="163"/>
        <v>0</v>
      </c>
      <c r="M285" s="1249">
        <f t="shared" si="163"/>
        <v>0</v>
      </c>
      <c r="N285" s="1249">
        <f t="shared" si="163"/>
        <v>0</v>
      </c>
    </row>
    <row r="286" spans="1:14" s="951" customFormat="1" ht="15" hidden="1" customHeight="1">
      <c r="A286" s="2278"/>
      <c r="B286" s="2280"/>
      <c r="C286" s="2288" t="s">
        <v>2941</v>
      </c>
      <c r="D286" s="1126"/>
      <c r="E286" s="1273"/>
      <c r="F286" s="1272" t="s">
        <v>2926</v>
      </c>
      <c r="G286" s="1274">
        <f>IF($F180&lt;=5000000,ROUND(26.86,2),0)</f>
        <v>26.86</v>
      </c>
      <c r="H286" s="1274">
        <f t="shared" ref="H286:N286" si="164">IF($F180&lt;=5000000,ROUND(26.86,2),0)</f>
        <v>26.86</v>
      </c>
      <c r="I286" s="1274">
        <f t="shared" si="164"/>
        <v>26.86</v>
      </c>
      <c r="J286" s="1274">
        <f t="shared" si="164"/>
        <v>26.86</v>
      </c>
      <c r="K286" s="1274">
        <f t="shared" si="164"/>
        <v>26.86</v>
      </c>
      <c r="L286" s="1274">
        <f t="shared" si="164"/>
        <v>26.86</v>
      </c>
      <c r="M286" s="1274">
        <f t="shared" si="164"/>
        <v>26.86</v>
      </c>
      <c r="N286" s="1274">
        <f t="shared" si="164"/>
        <v>26.86</v>
      </c>
    </row>
    <row r="287" spans="1:14" s="951" customFormat="1" ht="15" hidden="1" customHeight="1">
      <c r="A287" s="2278"/>
      <c r="B287" s="2280"/>
      <c r="C287" s="2415"/>
      <c r="D287" s="1276"/>
      <c r="E287" s="1277"/>
      <c r="F287" s="1272" t="s">
        <v>2927</v>
      </c>
      <c r="G287" s="1274">
        <f>IF($F180&lt;=5000000,ROUND(12.7,2),0)</f>
        <v>12.7</v>
      </c>
      <c r="H287" s="1274">
        <f t="shared" ref="H287:N287" si="165">IF($F180&lt;=5000000,ROUND(12.7,2),0)</f>
        <v>12.7</v>
      </c>
      <c r="I287" s="1274">
        <f t="shared" si="165"/>
        <v>12.7</v>
      </c>
      <c r="J287" s="1274">
        <f t="shared" si="165"/>
        <v>12.7</v>
      </c>
      <c r="K287" s="1274">
        <f t="shared" si="165"/>
        <v>12.7</v>
      </c>
      <c r="L287" s="1274">
        <f t="shared" si="165"/>
        <v>12.7</v>
      </c>
      <c r="M287" s="1274">
        <f t="shared" si="165"/>
        <v>12.7</v>
      </c>
      <c r="N287" s="1274">
        <f t="shared" si="165"/>
        <v>12.7</v>
      </c>
    </row>
    <row r="288" spans="1:14" s="951" customFormat="1" ht="15" hidden="1" customHeight="1">
      <c r="A288" s="2278"/>
      <c r="B288" s="2280"/>
      <c r="C288" s="2288" t="s">
        <v>2942</v>
      </c>
      <c r="D288" s="1126"/>
      <c r="E288" s="1273"/>
      <c r="F288" s="1272" t="s">
        <v>2926</v>
      </c>
      <c r="G288" s="1278">
        <f>IF($F180&gt;5000000,ROUND(184.58*($F180/1000)^-0.2263,2),0)</f>
        <v>0</v>
      </c>
      <c r="H288" s="1278">
        <f t="shared" ref="H288:N288" si="166">IF($F180&gt;5000000,ROUND(184.58*($F180/1000)^-0.2263,2),0)</f>
        <v>0</v>
      </c>
      <c r="I288" s="1278">
        <f t="shared" si="166"/>
        <v>0</v>
      </c>
      <c r="J288" s="1278">
        <f t="shared" si="166"/>
        <v>0</v>
      </c>
      <c r="K288" s="1278">
        <f t="shared" si="166"/>
        <v>0</v>
      </c>
      <c r="L288" s="1278">
        <f t="shared" si="166"/>
        <v>0</v>
      </c>
      <c r="M288" s="1278">
        <f t="shared" si="166"/>
        <v>0</v>
      </c>
      <c r="N288" s="1278">
        <f t="shared" si="166"/>
        <v>0</v>
      </c>
    </row>
    <row r="289" spans="1:14" s="951" customFormat="1" ht="15" hidden="1" customHeight="1">
      <c r="A289" s="2286"/>
      <c r="B289" s="2287"/>
      <c r="C289" s="2415"/>
      <c r="D289" s="1276"/>
      <c r="E289" s="1277"/>
      <c r="F289" s="1272" t="s">
        <v>2927</v>
      </c>
      <c r="G289" s="1278">
        <f>IF($F180&gt;5000000,ROUND(87.29*($F180/1000)^-0.2263,2),0)</f>
        <v>0</v>
      </c>
      <c r="H289" s="1278">
        <f t="shared" ref="H289:N289" si="167">IF($F180&gt;5000000,ROUND(87.29*($F180/1000)^-0.2263,2),0)</f>
        <v>0</v>
      </c>
      <c r="I289" s="1278">
        <f t="shared" si="167"/>
        <v>0</v>
      </c>
      <c r="J289" s="1278">
        <f t="shared" si="167"/>
        <v>0</v>
      </c>
      <c r="K289" s="1278">
        <f t="shared" si="167"/>
        <v>0</v>
      </c>
      <c r="L289" s="1278">
        <f t="shared" si="167"/>
        <v>0</v>
      </c>
      <c r="M289" s="1278">
        <f t="shared" si="167"/>
        <v>0</v>
      </c>
      <c r="N289" s="1278">
        <f t="shared" si="167"/>
        <v>0</v>
      </c>
    </row>
    <row r="290" spans="1:14" s="951" customFormat="1" ht="15" hidden="1" customHeight="1" thickBot="1">
      <c r="A290" s="2413" t="s">
        <v>2940</v>
      </c>
      <c r="B290" s="2414"/>
      <c r="C290" s="2414"/>
      <c r="D290" s="2414"/>
      <c r="E290" s="2080"/>
      <c r="F290" s="2078"/>
      <c r="G290" s="2081">
        <f>IF($F180&lt;=5000000,IF(G$285&gt;G$286,G$286,IF(G$285&lt;G$287,G$287,G$285)),IF(G$285&gt;G$288,G$288,IF(G$285&lt;G$289,G$289,G$285)))</f>
        <v>12.7</v>
      </c>
      <c r="H290" s="2081">
        <f t="shared" ref="H290:N290" si="168">IF($F180&lt;=5000000,IF(H$285&gt;H$286,H$286,IF(H$285&lt;H$287,H$287,H$285)),IF(H$285&gt;H$288,H$288,IF(H$285&lt;H$289,H$289,H$285)))</f>
        <v>12.7</v>
      </c>
      <c r="I290" s="2081">
        <f t="shared" si="168"/>
        <v>12.7</v>
      </c>
      <c r="J290" s="2081">
        <f t="shared" si="168"/>
        <v>12.7</v>
      </c>
      <c r="K290" s="2081">
        <f t="shared" si="168"/>
        <v>12.7</v>
      </c>
      <c r="L290" s="2081">
        <f t="shared" si="168"/>
        <v>12.7</v>
      </c>
      <c r="M290" s="2081">
        <f t="shared" si="168"/>
        <v>12.7</v>
      </c>
      <c r="N290" s="2081">
        <f t="shared" si="168"/>
        <v>12.7</v>
      </c>
    </row>
    <row r="291" spans="1:14" s="951" customFormat="1" ht="15" hidden="1" customHeight="1" thickBot="1">
      <c r="G291" s="1282"/>
      <c r="H291" s="1282"/>
      <c r="I291" s="1282"/>
      <c r="J291" s="1282"/>
      <c r="K291" s="1282"/>
      <c r="L291" s="1282"/>
      <c r="M291" s="1282"/>
      <c r="N291" s="1282"/>
    </row>
    <row r="292" spans="1:14" s="951" customFormat="1" ht="15" hidden="1" customHeight="1">
      <c r="A292" s="1265"/>
      <c r="B292" s="1266"/>
      <c r="C292" s="1267" t="s">
        <v>2943</v>
      </c>
      <c r="D292" s="1268"/>
      <c r="E292" s="1266"/>
      <c r="F292" s="1269"/>
      <c r="G292" s="1290"/>
      <c r="H292" s="1291"/>
      <c r="I292" s="1292"/>
      <c r="J292" s="1292"/>
      <c r="K292" s="1292"/>
      <c r="L292" s="1292"/>
      <c r="M292" s="1292"/>
      <c r="N292" s="1292"/>
    </row>
    <row r="293" spans="1:14" s="951" customFormat="1" ht="14.25" hidden="1" customHeight="1">
      <c r="A293" s="2277"/>
      <c r="B293" s="2279" t="s">
        <v>101</v>
      </c>
      <c r="C293" s="1270" t="s">
        <v>2944</v>
      </c>
      <c r="D293" s="1227"/>
      <c r="E293" s="1271"/>
      <c r="F293" s="1272" t="s">
        <v>2945</v>
      </c>
      <c r="G293" s="1293" t="e">
        <f>ROUND(28.978-3.173*LOG($F224/1000),2)</f>
        <v>#NUM!</v>
      </c>
      <c r="H293" s="1294"/>
      <c r="I293" s="1295"/>
      <c r="J293" s="1295"/>
      <c r="K293" s="1295"/>
      <c r="L293" s="1295"/>
      <c r="M293" s="1295"/>
      <c r="N293" s="1295"/>
    </row>
    <row r="294" spans="1:14" s="951" customFormat="1" ht="14.25" hidden="1" customHeight="1">
      <c r="A294" s="2278"/>
      <c r="B294" s="2280"/>
      <c r="C294" s="1296" t="s">
        <v>2946</v>
      </c>
      <c r="D294" s="1126"/>
      <c r="E294" s="1126"/>
      <c r="F294" s="1297"/>
      <c r="G294" s="1298">
        <f>IF($F224&lt;=5000000,17.24,0)</f>
        <v>17.239999999999998</v>
      </c>
      <c r="H294" s="1299"/>
      <c r="I294" s="1300"/>
      <c r="J294" s="157"/>
      <c r="K294" s="1300"/>
      <c r="L294" s="1300"/>
      <c r="M294" s="1300"/>
      <c r="N294" s="1300"/>
    </row>
    <row r="295" spans="1:14" s="951" customFormat="1" ht="15" hidden="1" customHeight="1">
      <c r="A295" s="2286"/>
      <c r="B295" s="2287"/>
      <c r="C295" s="1296" t="s">
        <v>2947</v>
      </c>
      <c r="D295" s="1126"/>
      <c r="E295" s="1227"/>
      <c r="F295" s="1297"/>
      <c r="G295" s="1298">
        <f>IF($F224&gt;3000000000,8.43,0)</f>
        <v>0</v>
      </c>
      <c r="H295" s="1301"/>
      <c r="I295" s="1302"/>
      <c r="J295" s="1302"/>
      <c r="K295" s="1302"/>
      <c r="L295" s="1302"/>
      <c r="M295" s="1302"/>
      <c r="N295" s="1302"/>
    </row>
    <row r="296" spans="1:14" s="951" customFormat="1" ht="15" hidden="1" customHeight="1" thickBot="1">
      <c r="A296" s="2413" t="s">
        <v>2948</v>
      </c>
      <c r="B296" s="2414"/>
      <c r="C296" s="2414"/>
      <c r="D296" s="2414"/>
      <c r="E296" s="2080"/>
      <c r="F296" s="2078"/>
      <c r="G296" s="2082">
        <f>IF($F224&lt;=5000000,G294,IF($F224&gt;3000000000,G295,G293))</f>
        <v>17.239999999999998</v>
      </c>
      <c r="H296" s="2083"/>
      <c r="I296" s="2084"/>
      <c r="J296" s="2084"/>
      <c r="K296" s="2084"/>
      <c r="L296" s="2084"/>
      <c r="M296" s="2084"/>
      <c r="N296" s="2084"/>
    </row>
    <row r="297" spans="1:14" ht="15" customHeight="1"/>
    <row r="298" spans="1:14" s="1838" customFormat="1" ht="15" customHeight="1">
      <c r="A298" s="2002"/>
      <c r="B298" s="2002"/>
      <c r="C298" s="2003"/>
      <c r="D298" s="2004"/>
      <c r="E298" s="2005" t="s">
        <v>346</v>
      </c>
      <c r="F298" s="2006">
        <f>+F83</f>
        <v>0</v>
      </c>
      <c r="G298" s="2007"/>
      <c r="H298" s="2008"/>
      <c r="I298" s="2009"/>
      <c r="J298" s="843"/>
      <c r="K298" s="843"/>
      <c r="L298" s="843"/>
      <c r="M298" s="843"/>
      <c r="N298" s="1811" t="s">
        <v>3130</v>
      </c>
    </row>
    <row r="299" spans="1:14" s="951" customFormat="1" ht="15" customHeight="1">
      <c r="A299" s="846"/>
      <c r="B299" s="846"/>
      <c r="C299" s="2010" t="s">
        <v>3131</v>
      </c>
      <c r="D299" s="848"/>
      <c r="E299" s="837"/>
      <c r="F299" s="836" t="s">
        <v>3111</v>
      </c>
      <c r="G299" s="2011" t="s">
        <v>3132</v>
      </c>
      <c r="H299" s="2012"/>
      <c r="J299" s="842"/>
      <c r="K299" s="842"/>
      <c r="L299" s="842"/>
      <c r="M299" s="836" t="s">
        <v>3133</v>
      </c>
      <c r="N299" s="2085" t="s">
        <v>3134</v>
      </c>
    </row>
    <row r="300" spans="1:14" s="1838" customFormat="1" ht="15" customHeight="1">
      <c r="A300" s="1076"/>
      <c r="B300" s="1077"/>
      <c r="C300" s="853" t="s">
        <v>2797</v>
      </c>
      <c r="D300" s="854"/>
      <c r="E300" s="855"/>
      <c r="F300" s="856" t="s">
        <v>2798</v>
      </c>
      <c r="G300" s="1836">
        <f t="shared" ref="G300:N300" si="169">+G8</f>
        <v>0</v>
      </c>
      <c r="H300" s="1836">
        <f t="shared" si="169"/>
        <v>0</v>
      </c>
      <c r="I300" s="1836">
        <f t="shared" si="169"/>
        <v>15.9</v>
      </c>
      <c r="J300" s="1836">
        <f t="shared" si="169"/>
        <v>15.9</v>
      </c>
      <c r="K300" s="1836">
        <f t="shared" si="169"/>
        <v>0</v>
      </c>
      <c r="L300" s="1836">
        <f t="shared" si="169"/>
        <v>0</v>
      </c>
      <c r="M300" s="1836">
        <f t="shared" si="169"/>
        <v>0</v>
      </c>
      <c r="N300" s="1837">
        <f t="shared" si="169"/>
        <v>0</v>
      </c>
    </row>
    <row r="301" spans="1:14" s="1838" customFormat="1" ht="15" customHeight="1">
      <c r="A301" s="945"/>
      <c r="B301" s="946"/>
      <c r="C301" s="1839" t="s">
        <v>2799</v>
      </c>
      <c r="D301" s="1840"/>
      <c r="E301" s="1841"/>
      <c r="F301" s="1842" t="s">
        <v>3113</v>
      </c>
      <c r="G301" s="2086">
        <f>G86</f>
        <v>0</v>
      </c>
      <c r="H301" s="2086">
        <f t="shared" ref="H301:N301" si="170">H86</f>
        <v>0</v>
      </c>
      <c r="I301" s="2086">
        <f t="shared" si="170"/>
        <v>0</v>
      </c>
      <c r="J301" s="2086">
        <f t="shared" si="170"/>
        <v>0</v>
      </c>
      <c r="K301" s="2086">
        <f t="shared" si="170"/>
        <v>0</v>
      </c>
      <c r="L301" s="2086">
        <f t="shared" si="170"/>
        <v>0</v>
      </c>
      <c r="M301" s="2086">
        <f t="shared" si="170"/>
        <v>0</v>
      </c>
      <c r="N301" s="2086">
        <f t="shared" si="170"/>
        <v>0</v>
      </c>
    </row>
    <row r="302" spans="1:14" s="951" customFormat="1" ht="15" customHeight="1">
      <c r="A302" s="945"/>
      <c r="B302" s="946"/>
      <c r="C302" s="946" t="s">
        <v>3135</v>
      </c>
      <c r="D302" s="946"/>
      <c r="E302" s="1177" t="str">
        <f>+E87</f>
        <v>有り</v>
      </c>
      <c r="F302" s="1164" t="s">
        <v>2836</v>
      </c>
      <c r="G302" s="2087">
        <f>+G3</f>
        <v>0</v>
      </c>
      <c r="H302" s="2087">
        <f t="shared" ref="H302:N302" si="171">+H3</f>
        <v>0</v>
      </c>
      <c r="I302" s="2087">
        <f t="shared" si="171"/>
        <v>0</v>
      </c>
      <c r="J302" s="2087">
        <f t="shared" si="171"/>
        <v>0</v>
      </c>
      <c r="K302" s="2087">
        <f t="shared" si="171"/>
        <v>0</v>
      </c>
      <c r="L302" s="2087">
        <f t="shared" si="171"/>
        <v>0</v>
      </c>
      <c r="M302" s="2087">
        <f t="shared" si="171"/>
        <v>0</v>
      </c>
      <c r="N302" s="2088">
        <f t="shared" si="171"/>
        <v>0</v>
      </c>
    </row>
    <row r="303" spans="1:14" s="951" customFormat="1" ht="15" customHeight="1">
      <c r="A303" s="945"/>
      <c r="B303" s="946"/>
      <c r="C303" s="946" t="s">
        <v>2804</v>
      </c>
      <c r="D303" s="946"/>
      <c r="E303" s="1177" t="str">
        <f>+E88</f>
        <v>有り</v>
      </c>
      <c r="F303" s="2021" t="s">
        <v>2806</v>
      </c>
      <c r="G303" s="2022"/>
      <c r="H303" s="2089"/>
      <c r="I303" s="2089"/>
      <c r="J303" s="2089"/>
      <c r="K303" s="2089"/>
      <c r="L303" s="2089"/>
      <c r="M303" s="2089"/>
      <c r="N303" s="2090"/>
    </row>
    <row r="304" spans="1:14" s="951" customFormat="1" ht="15" hidden="1" customHeight="1">
      <c r="A304" s="945"/>
      <c r="B304" s="946"/>
      <c r="C304" s="1845" t="s">
        <v>2807</v>
      </c>
      <c r="D304" s="1846"/>
      <c r="E304" s="1177">
        <f>+E89</f>
        <v>0</v>
      </c>
      <c r="F304" s="1848"/>
      <c r="G304" s="1849" t="str">
        <f t="shared" ref="G304:N305" si="172">+G10</f>
        <v>積上げ</v>
      </c>
      <c r="H304" s="1849" t="str">
        <f t="shared" si="172"/>
        <v>積上げ</v>
      </c>
      <c r="I304" s="1849" t="str">
        <f t="shared" si="172"/>
        <v>積上げ</v>
      </c>
      <c r="J304" s="1849" t="str">
        <f t="shared" si="172"/>
        <v>積上げ</v>
      </c>
      <c r="K304" s="1849" t="str">
        <f t="shared" si="172"/>
        <v>積上げ</v>
      </c>
      <c r="L304" s="1849" t="str">
        <f t="shared" si="172"/>
        <v>積上げ</v>
      </c>
      <c r="M304" s="1849">
        <f t="shared" si="172"/>
        <v>0</v>
      </c>
      <c r="N304" s="1850">
        <f t="shared" si="172"/>
        <v>0</v>
      </c>
    </row>
    <row r="305" spans="1:14" s="951" customFormat="1" ht="15" hidden="1" customHeight="1">
      <c r="A305" s="1851"/>
      <c r="B305" s="1852"/>
      <c r="C305" s="1853" t="s">
        <v>3064</v>
      </c>
      <c r="D305" s="1854"/>
      <c r="E305" s="1177">
        <f>+E90</f>
        <v>0</v>
      </c>
      <c r="F305" s="1232"/>
      <c r="G305" s="1856" t="str">
        <f t="shared" si="172"/>
        <v>　　　</v>
      </c>
      <c r="H305" s="1856" t="str">
        <f t="shared" si="172"/>
        <v>　　　</v>
      </c>
      <c r="I305" s="1856" t="str">
        <f t="shared" si="172"/>
        <v>　　　</v>
      </c>
      <c r="J305" s="1856" t="str">
        <f t="shared" si="172"/>
        <v>　　　</v>
      </c>
      <c r="K305" s="1856" t="str">
        <f t="shared" si="172"/>
        <v>　　　</v>
      </c>
      <c r="L305" s="1856" t="str">
        <f t="shared" si="172"/>
        <v>　　　</v>
      </c>
      <c r="M305" s="1856" t="str">
        <f t="shared" si="172"/>
        <v>　　　</v>
      </c>
      <c r="N305" s="1857" t="str">
        <f t="shared" si="172"/>
        <v>　　　</v>
      </c>
    </row>
    <row r="306" spans="1:14" s="951" customFormat="1" ht="15" customHeight="1">
      <c r="A306" s="1076"/>
      <c r="B306" s="1858" t="s">
        <v>3136</v>
      </c>
      <c r="C306" s="1859"/>
      <c r="D306" s="1859"/>
      <c r="E306" s="1860"/>
      <c r="F306" s="1861">
        <f>SUM(G306:N306)</f>
        <v>0</v>
      </c>
      <c r="G306" s="1862">
        <f>+G307+G311</f>
        <v>0</v>
      </c>
      <c r="H306" s="1862">
        <f t="shared" ref="H306:N306" si="173">+H307+H311</f>
        <v>0</v>
      </c>
      <c r="I306" s="1862">
        <f t="shared" si="173"/>
        <v>0</v>
      </c>
      <c r="J306" s="1862">
        <f t="shared" si="173"/>
        <v>0</v>
      </c>
      <c r="K306" s="1862">
        <f t="shared" si="173"/>
        <v>0</v>
      </c>
      <c r="L306" s="1862">
        <f t="shared" si="173"/>
        <v>0</v>
      </c>
      <c r="M306" s="1862">
        <f t="shared" si="173"/>
        <v>0</v>
      </c>
      <c r="N306" s="1863">
        <f t="shared" si="173"/>
        <v>0</v>
      </c>
    </row>
    <row r="307" spans="1:14" s="951" customFormat="1" ht="15" customHeight="1">
      <c r="A307" s="945"/>
      <c r="B307" s="946"/>
      <c r="C307" s="714" t="s">
        <v>2813</v>
      </c>
      <c r="D307" s="715"/>
      <c r="E307" s="855"/>
      <c r="F307" s="1187">
        <f>SUM(G307:N307)</f>
        <v>0</v>
      </c>
      <c r="G307" s="2091">
        <f t="shared" ref="G307:N307" si="174">+G92+G13</f>
        <v>0</v>
      </c>
      <c r="H307" s="2091">
        <f t="shared" si="174"/>
        <v>0</v>
      </c>
      <c r="I307" s="2091">
        <f t="shared" si="174"/>
        <v>0</v>
      </c>
      <c r="J307" s="2091">
        <f t="shared" si="174"/>
        <v>0</v>
      </c>
      <c r="K307" s="2091">
        <f t="shared" si="174"/>
        <v>0</v>
      </c>
      <c r="L307" s="2091">
        <f t="shared" si="174"/>
        <v>0</v>
      </c>
      <c r="M307" s="2091">
        <f t="shared" si="174"/>
        <v>0</v>
      </c>
      <c r="N307" s="2092">
        <f t="shared" si="174"/>
        <v>0</v>
      </c>
    </row>
    <row r="308" spans="1:14" s="951" customFormat="1" ht="15" customHeight="1">
      <c r="A308" s="945"/>
      <c r="B308" s="946"/>
      <c r="C308" s="1227"/>
      <c r="D308" s="1227"/>
      <c r="E308" s="948"/>
      <c r="F308" s="949" t="s">
        <v>3137</v>
      </c>
      <c r="G308" s="985">
        <f t="shared" ref="G308:N308" si="175">SUM(G400:G409)</f>
        <v>0</v>
      </c>
      <c r="H308" s="985">
        <f t="shared" si="175"/>
        <v>0</v>
      </c>
      <c r="I308" s="985">
        <f t="shared" si="175"/>
        <v>0</v>
      </c>
      <c r="J308" s="985">
        <f t="shared" si="175"/>
        <v>0</v>
      </c>
      <c r="K308" s="985">
        <f t="shared" si="175"/>
        <v>0</v>
      </c>
      <c r="L308" s="985">
        <f t="shared" si="175"/>
        <v>0</v>
      </c>
      <c r="M308" s="985">
        <f t="shared" si="175"/>
        <v>0</v>
      </c>
      <c r="N308" s="986">
        <f t="shared" si="175"/>
        <v>0</v>
      </c>
    </row>
    <row r="309" spans="1:14" s="951" customFormat="1" ht="15" customHeight="1">
      <c r="A309" s="945"/>
      <c r="B309" s="946"/>
      <c r="C309" s="1227"/>
      <c r="D309" s="1227"/>
      <c r="E309" s="948"/>
      <c r="F309" s="949" t="s">
        <v>2815</v>
      </c>
      <c r="G309" s="985">
        <f t="shared" ref="G309:N309" si="176">SUM(G446:G448)</f>
        <v>0</v>
      </c>
      <c r="H309" s="985">
        <f t="shared" si="176"/>
        <v>0</v>
      </c>
      <c r="I309" s="985">
        <f t="shared" si="176"/>
        <v>0</v>
      </c>
      <c r="J309" s="985">
        <f t="shared" si="176"/>
        <v>0</v>
      </c>
      <c r="K309" s="985">
        <f t="shared" si="176"/>
        <v>0</v>
      </c>
      <c r="L309" s="985">
        <f t="shared" si="176"/>
        <v>0</v>
      </c>
      <c r="M309" s="985">
        <f t="shared" si="176"/>
        <v>0</v>
      </c>
      <c r="N309" s="986">
        <f t="shared" si="176"/>
        <v>0</v>
      </c>
    </row>
    <row r="310" spans="1:14" s="951" customFormat="1" ht="15" customHeight="1">
      <c r="A310" s="945"/>
      <c r="B310" s="946"/>
      <c r="C310" s="1227"/>
      <c r="D310" s="1227"/>
      <c r="E310" s="948"/>
      <c r="F310" s="1123" t="s">
        <v>2816</v>
      </c>
      <c r="G310" s="985">
        <f t="shared" ref="G310:N310" si="177">+G349</f>
        <v>0</v>
      </c>
      <c r="H310" s="985">
        <f t="shared" si="177"/>
        <v>0</v>
      </c>
      <c r="I310" s="985">
        <f t="shared" si="177"/>
        <v>0</v>
      </c>
      <c r="J310" s="985">
        <f t="shared" si="177"/>
        <v>0</v>
      </c>
      <c r="K310" s="985">
        <f t="shared" si="177"/>
        <v>0</v>
      </c>
      <c r="L310" s="985">
        <f t="shared" si="177"/>
        <v>0</v>
      </c>
      <c r="M310" s="985">
        <f t="shared" si="177"/>
        <v>0</v>
      </c>
      <c r="N310" s="986">
        <f t="shared" si="177"/>
        <v>0</v>
      </c>
    </row>
    <row r="311" spans="1:14" s="951" customFormat="1" ht="15" customHeight="1">
      <c r="A311" s="945"/>
      <c r="B311" s="946"/>
      <c r="C311" s="947" t="s">
        <v>2817</v>
      </c>
      <c r="D311" s="947"/>
      <c r="E311" s="948"/>
      <c r="F311" s="949">
        <f t="shared" ref="F311:F328" si="178">SUM(G311:N311)</f>
        <v>0</v>
      </c>
      <c r="G311" s="985">
        <f t="shared" ref="G311:N311" si="179">G312+G313</f>
        <v>0</v>
      </c>
      <c r="H311" s="985">
        <f t="shared" si="179"/>
        <v>0</v>
      </c>
      <c r="I311" s="985">
        <f t="shared" si="179"/>
        <v>0</v>
      </c>
      <c r="J311" s="985">
        <f t="shared" si="179"/>
        <v>0</v>
      </c>
      <c r="K311" s="985">
        <f t="shared" si="179"/>
        <v>0</v>
      </c>
      <c r="L311" s="985">
        <f t="shared" si="179"/>
        <v>0</v>
      </c>
      <c r="M311" s="985">
        <f t="shared" si="179"/>
        <v>0</v>
      </c>
      <c r="N311" s="986">
        <f t="shared" si="179"/>
        <v>0</v>
      </c>
    </row>
    <row r="312" spans="1:14" s="951" customFormat="1" ht="15" customHeight="1">
      <c r="A312" s="945"/>
      <c r="B312" s="946"/>
      <c r="C312" s="1866" t="s">
        <v>2818</v>
      </c>
      <c r="D312" s="947"/>
      <c r="E312" s="948"/>
      <c r="F312" s="949">
        <f t="shared" si="178"/>
        <v>0</v>
      </c>
      <c r="G312" s="985">
        <f>IF(G304="積上げ",0,G389)</f>
        <v>0</v>
      </c>
      <c r="H312" s="985">
        <f t="shared" ref="H312:N312" si="180">IF(H304="積上げ",0,H389)</f>
        <v>0</v>
      </c>
      <c r="I312" s="985">
        <f t="shared" si="180"/>
        <v>0</v>
      </c>
      <c r="J312" s="985">
        <f t="shared" si="180"/>
        <v>0</v>
      </c>
      <c r="K312" s="985">
        <f t="shared" si="180"/>
        <v>0</v>
      </c>
      <c r="L312" s="985">
        <f t="shared" si="180"/>
        <v>0</v>
      </c>
      <c r="M312" s="985">
        <f t="shared" si="180"/>
        <v>0</v>
      </c>
      <c r="N312" s="986">
        <f t="shared" si="180"/>
        <v>0</v>
      </c>
    </row>
    <row r="313" spans="1:14" s="951" customFormat="1" ht="15" customHeight="1">
      <c r="A313" s="945"/>
      <c r="B313" s="946"/>
      <c r="C313" s="1866" t="s">
        <v>2819</v>
      </c>
      <c r="D313" s="947"/>
      <c r="E313" s="948"/>
      <c r="F313" s="949">
        <f t="shared" si="178"/>
        <v>0</v>
      </c>
      <c r="G313" s="2093">
        <f t="shared" ref="G313:N315" si="181">+G98+G21</f>
        <v>0</v>
      </c>
      <c r="H313" s="2093">
        <f t="shared" si="181"/>
        <v>0</v>
      </c>
      <c r="I313" s="2093">
        <f t="shared" si="181"/>
        <v>0</v>
      </c>
      <c r="J313" s="2093">
        <f t="shared" si="181"/>
        <v>0</v>
      </c>
      <c r="K313" s="2093">
        <f t="shared" si="181"/>
        <v>0</v>
      </c>
      <c r="L313" s="2093">
        <f t="shared" si="181"/>
        <v>0</v>
      </c>
      <c r="M313" s="2093">
        <f t="shared" si="181"/>
        <v>0</v>
      </c>
      <c r="N313" s="2094">
        <f t="shared" si="181"/>
        <v>0</v>
      </c>
    </row>
    <row r="314" spans="1:14" s="951" customFormat="1" ht="15" customHeight="1">
      <c r="A314" s="945"/>
      <c r="B314" s="946"/>
      <c r="C314" s="914" t="s">
        <v>3138</v>
      </c>
      <c r="D314" s="947"/>
      <c r="E314" s="948"/>
      <c r="F314" s="949">
        <f t="shared" si="178"/>
        <v>0</v>
      </c>
      <c r="G314" s="985">
        <f t="shared" si="181"/>
        <v>0</v>
      </c>
      <c r="H314" s="985">
        <f t="shared" si="181"/>
        <v>0</v>
      </c>
      <c r="I314" s="985">
        <f t="shared" si="181"/>
        <v>0</v>
      </c>
      <c r="J314" s="985">
        <f t="shared" si="181"/>
        <v>0</v>
      </c>
      <c r="K314" s="985">
        <f t="shared" si="181"/>
        <v>0</v>
      </c>
      <c r="L314" s="985">
        <f t="shared" si="181"/>
        <v>0</v>
      </c>
      <c r="M314" s="985">
        <f t="shared" si="181"/>
        <v>0</v>
      </c>
      <c r="N314" s="986">
        <f t="shared" si="181"/>
        <v>0</v>
      </c>
    </row>
    <row r="315" spans="1:14" s="951" customFormat="1" ht="15" customHeight="1">
      <c r="A315" s="945"/>
      <c r="B315" s="946"/>
      <c r="C315" s="1074" t="s">
        <v>2821</v>
      </c>
      <c r="D315" s="954"/>
      <c r="E315" s="955"/>
      <c r="F315" s="956">
        <f t="shared" si="178"/>
        <v>0</v>
      </c>
      <c r="G315" s="985">
        <f t="shared" si="181"/>
        <v>0</v>
      </c>
      <c r="H315" s="985">
        <f t="shared" si="181"/>
        <v>0</v>
      </c>
      <c r="I315" s="985">
        <f t="shared" si="181"/>
        <v>0</v>
      </c>
      <c r="J315" s="985">
        <f t="shared" si="181"/>
        <v>0</v>
      </c>
      <c r="K315" s="985">
        <f t="shared" si="181"/>
        <v>0</v>
      </c>
      <c r="L315" s="985">
        <f t="shared" si="181"/>
        <v>0</v>
      </c>
      <c r="M315" s="985">
        <f t="shared" si="181"/>
        <v>0</v>
      </c>
      <c r="N315" s="986">
        <f t="shared" si="181"/>
        <v>0</v>
      </c>
    </row>
    <row r="316" spans="1:14" s="951" customFormat="1" ht="15" customHeight="1">
      <c r="A316" s="1851"/>
      <c r="B316" s="1852"/>
      <c r="C316" s="2030" t="s">
        <v>2822</v>
      </c>
      <c r="D316" s="1150"/>
      <c r="E316" s="1152"/>
      <c r="F316" s="1107">
        <f t="shared" si="178"/>
        <v>0</v>
      </c>
      <c r="G316" s="1108">
        <f t="shared" ref="G316:N316" si="182">+G350</f>
        <v>0</v>
      </c>
      <c r="H316" s="1108">
        <f t="shared" si="182"/>
        <v>0</v>
      </c>
      <c r="I316" s="1108">
        <f t="shared" si="182"/>
        <v>0</v>
      </c>
      <c r="J316" s="1108">
        <f t="shared" si="182"/>
        <v>0</v>
      </c>
      <c r="K316" s="1108">
        <f t="shared" si="182"/>
        <v>0</v>
      </c>
      <c r="L316" s="1108">
        <f t="shared" si="182"/>
        <v>0</v>
      </c>
      <c r="M316" s="1108">
        <f t="shared" si="182"/>
        <v>0</v>
      </c>
      <c r="N316" s="1109">
        <f t="shared" si="182"/>
        <v>0</v>
      </c>
    </row>
    <row r="317" spans="1:14" s="951" customFormat="1" ht="15" customHeight="1">
      <c r="A317" s="945"/>
      <c r="B317" s="954" t="s">
        <v>2823</v>
      </c>
      <c r="C317" s="954"/>
      <c r="D317" s="954"/>
      <c r="E317" s="955"/>
      <c r="F317" s="956">
        <f t="shared" si="178"/>
        <v>0</v>
      </c>
      <c r="G317" s="2031">
        <f t="shared" ref="G317:N317" si="183">G318+G323</f>
        <v>0</v>
      </c>
      <c r="H317" s="2031">
        <f t="shared" si="183"/>
        <v>0</v>
      </c>
      <c r="I317" s="2031">
        <f t="shared" si="183"/>
        <v>0</v>
      </c>
      <c r="J317" s="2031">
        <f t="shared" si="183"/>
        <v>0</v>
      </c>
      <c r="K317" s="2031">
        <f t="shared" si="183"/>
        <v>0</v>
      </c>
      <c r="L317" s="2031">
        <f t="shared" si="183"/>
        <v>0</v>
      </c>
      <c r="M317" s="2031">
        <f t="shared" si="183"/>
        <v>0</v>
      </c>
      <c r="N317" s="2032">
        <f t="shared" si="183"/>
        <v>0</v>
      </c>
    </row>
    <row r="318" spans="1:14" s="951" customFormat="1" ht="15" customHeight="1">
      <c r="A318" s="945"/>
      <c r="B318" s="946"/>
      <c r="C318" s="714" t="s">
        <v>2824</v>
      </c>
      <c r="D318" s="714"/>
      <c r="E318" s="856"/>
      <c r="F318" s="1187">
        <f t="shared" si="178"/>
        <v>0</v>
      </c>
      <c r="G318" s="1179">
        <f t="shared" ref="G318:N318" si="184">G319+G322</f>
        <v>0</v>
      </c>
      <c r="H318" s="1179">
        <f t="shared" si="184"/>
        <v>0</v>
      </c>
      <c r="I318" s="1179">
        <f t="shared" si="184"/>
        <v>0</v>
      </c>
      <c r="J318" s="1179">
        <f t="shared" si="184"/>
        <v>0</v>
      </c>
      <c r="K318" s="1179">
        <f t="shared" si="184"/>
        <v>0</v>
      </c>
      <c r="L318" s="1179">
        <f t="shared" si="184"/>
        <v>0</v>
      </c>
      <c r="M318" s="1179">
        <f t="shared" si="184"/>
        <v>0</v>
      </c>
      <c r="N318" s="1180">
        <f t="shared" si="184"/>
        <v>0</v>
      </c>
    </row>
    <row r="319" spans="1:14" s="951" customFormat="1" ht="15" customHeight="1">
      <c r="A319" s="945"/>
      <c r="B319" s="946"/>
      <c r="C319" s="2033" t="s">
        <v>2825</v>
      </c>
      <c r="D319" s="2033"/>
      <c r="E319" s="1842"/>
      <c r="F319" s="949">
        <f t="shared" si="178"/>
        <v>0</v>
      </c>
      <c r="G319" s="940">
        <f t="shared" ref="G319:N319" si="185">SUM(G320:G321)-G322</f>
        <v>0</v>
      </c>
      <c r="H319" s="940">
        <f t="shared" si="185"/>
        <v>0</v>
      </c>
      <c r="I319" s="940">
        <f t="shared" si="185"/>
        <v>0</v>
      </c>
      <c r="J319" s="940">
        <f t="shared" si="185"/>
        <v>0</v>
      </c>
      <c r="K319" s="940">
        <f t="shared" si="185"/>
        <v>0</v>
      </c>
      <c r="L319" s="940">
        <f t="shared" si="185"/>
        <v>0</v>
      </c>
      <c r="M319" s="940">
        <f t="shared" si="185"/>
        <v>0</v>
      </c>
      <c r="N319" s="1124">
        <f t="shared" si="185"/>
        <v>0</v>
      </c>
    </row>
    <row r="320" spans="1:14" s="951" customFormat="1" ht="15" customHeight="1">
      <c r="A320" s="945"/>
      <c r="B320" s="946"/>
      <c r="C320" s="952" t="s">
        <v>2826</v>
      </c>
      <c r="D320" s="952"/>
      <c r="E320" s="948"/>
      <c r="F320" s="949">
        <f t="shared" si="178"/>
        <v>0</v>
      </c>
      <c r="G320" s="985">
        <f t="shared" ref="G320:N320" si="186">SUM(G415:G417)+G413</f>
        <v>0</v>
      </c>
      <c r="H320" s="985">
        <f t="shared" si="186"/>
        <v>0</v>
      </c>
      <c r="I320" s="985">
        <f t="shared" si="186"/>
        <v>0</v>
      </c>
      <c r="J320" s="985">
        <f t="shared" si="186"/>
        <v>0</v>
      </c>
      <c r="K320" s="985">
        <f t="shared" si="186"/>
        <v>0</v>
      </c>
      <c r="L320" s="985">
        <f t="shared" si="186"/>
        <v>0</v>
      </c>
      <c r="M320" s="985">
        <f t="shared" si="186"/>
        <v>0</v>
      </c>
      <c r="N320" s="986">
        <f t="shared" si="186"/>
        <v>0</v>
      </c>
    </row>
    <row r="321" spans="1:14" s="951" customFormat="1" ht="15" customHeight="1">
      <c r="A321" s="945"/>
      <c r="B321" s="946"/>
      <c r="C321" s="952" t="s">
        <v>2827</v>
      </c>
      <c r="D321" s="952"/>
      <c r="E321" s="948"/>
      <c r="F321" s="949">
        <f t="shared" si="178"/>
        <v>0</v>
      </c>
      <c r="G321" s="985">
        <f t="shared" ref="G321:N321" si="187">SUM(G418:G429)</f>
        <v>0</v>
      </c>
      <c r="H321" s="985">
        <f t="shared" si="187"/>
        <v>0</v>
      </c>
      <c r="I321" s="985">
        <f t="shared" si="187"/>
        <v>0</v>
      </c>
      <c r="J321" s="985">
        <f t="shared" si="187"/>
        <v>0</v>
      </c>
      <c r="K321" s="985">
        <f t="shared" si="187"/>
        <v>0</v>
      </c>
      <c r="L321" s="985">
        <f t="shared" si="187"/>
        <v>0</v>
      </c>
      <c r="M321" s="985">
        <f t="shared" si="187"/>
        <v>0</v>
      </c>
      <c r="N321" s="986">
        <f t="shared" si="187"/>
        <v>0</v>
      </c>
    </row>
    <row r="322" spans="1:14" s="951" customFormat="1" ht="15" customHeight="1">
      <c r="A322" s="945"/>
      <c r="B322" s="946"/>
      <c r="C322" s="952" t="s">
        <v>2828</v>
      </c>
      <c r="D322" s="952"/>
      <c r="E322" s="948"/>
      <c r="F322" s="949">
        <f t="shared" si="178"/>
        <v>0</v>
      </c>
      <c r="G322" s="985">
        <f t="shared" ref="G322:N322" si="188">+G427</f>
        <v>0</v>
      </c>
      <c r="H322" s="985">
        <f t="shared" si="188"/>
        <v>0</v>
      </c>
      <c r="I322" s="985">
        <f t="shared" si="188"/>
        <v>0</v>
      </c>
      <c r="J322" s="985">
        <f t="shared" si="188"/>
        <v>0</v>
      </c>
      <c r="K322" s="985">
        <f t="shared" si="188"/>
        <v>0</v>
      </c>
      <c r="L322" s="985">
        <f t="shared" si="188"/>
        <v>0</v>
      </c>
      <c r="M322" s="985">
        <f t="shared" si="188"/>
        <v>0</v>
      </c>
      <c r="N322" s="986">
        <f t="shared" si="188"/>
        <v>0</v>
      </c>
    </row>
    <row r="323" spans="1:14" s="951" customFormat="1" ht="15" customHeight="1">
      <c r="A323" s="945"/>
      <c r="B323" s="946"/>
      <c r="C323" s="947" t="s">
        <v>2829</v>
      </c>
      <c r="D323" s="947"/>
      <c r="E323" s="948"/>
      <c r="F323" s="949">
        <f t="shared" si="178"/>
        <v>0</v>
      </c>
      <c r="G323" s="985">
        <f>SUM(G324:G327)</f>
        <v>0</v>
      </c>
      <c r="H323" s="985">
        <f t="shared" ref="H323:N323" si="189">SUM(H324:H327)</f>
        <v>0</v>
      </c>
      <c r="I323" s="985">
        <f t="shared" si="189"/>
        <v>0</v>
      </c>
      <c r="J323" s="985">
        <f t="shared" si="189"/>
        <v>0</v>
      </c>
      <c r="K323" s="985">
        <f t="shared" si="189"/>
        <v>0</v>
      </c>
      <c r="L323" s="985">
        <f t="shared" si="189"/>
        <v>0</v>
      </c>
      <c r="M323" s="985">
        <f t="shared" si="189"/>
        <v>0</v>
      </c>
      <c r="N323" s="986">
        <f t="shared" si="189"/>
        <v>0</v>
      </c>
    </row>
    <row r="324" spans="1:14" s="951" customFormat="1" ht="15" customHeight="1">
      <c r="A324" s="945"/>
      <c r="B324" s="946"/>
      <c r="C324" s="952" t="s">
        <v>2826</v>
      </c>
      <c r="D324" s="952"/>
      <c r="E324" s="948"/>
      <c r="F324" s="953">
        <f t="shared" si="178"/>
        <v>0</v>
      </c>
      <c r="G324" s="985">
        <f>IF(G451=0,0,+G451-G468)</f>
        <v>0</v>
      </c>
      <c r="H324" s="985">
        <f t="shared" ref="H324:N324" si="190">IF(H451=0,0,+H451-H468)</f>
        <v>0</v>
      </c>
      <c r="I324" s="985">
        <f t="shared" si="190"/>
        <v>0</v>
      </c>
      <c r="J324" s="985">
        <f t="shared" si="190"/>
        <v>0</v>
      </c>
      <c r="K324" s="985">
        <f t="shared" si="190"/>
        <v>0</v>
      </c>
      <c r="L324" s="985">
        <f t="shared" si="190"/>
        <v>0</v>
      </c>
      <c r="M324" s="985">
        <f t="shared" si="190"/>
        <v>0</v>
      </c>
      <c r="N324" s="986">
        <f t="shared" si="190"/>
        <v>0</v>
      </c>
    </row>
    <row r="325" spans="1:14" s="951" customFormat="1" ht="15" customHeight="1">
      <c r="A325" s="945"/>
      <c r="B325" s="946"/>
      <c r="C325" s="952" t="s">
        <v>2830</v>
      </c>
      <c r="D325" s="952"/>
      <c r="E325" s="948"/>
      <c r="F325" s="949">
        <f t="shared" si="178"/>
        <v>0</v>
      </c>
      <c r="G325" s="985">
        <f t="shared" ref="G325:N325" si="191">+G452+G453</f>
        <v>0</v>
      </c>
      <c r="H325" s="985">
        <f t="shared" si="191"/>
        <v>0</v>
      </c>
      <c r="I325" s="985">
        <f t="shared" si="191"/>
        <v>0</v>
      </c>
      <c r="J325" s="985">
        <f t="shared" si="191"/>
        <v>0</v>
      </c>
      <c r="K325" s="985">
        <f t="shared" si="191"/>
        <v>0</v>
      </c>
      <c r="L325" s="985">
        <f t="shared" si="191"/>
        <v>0</v>
      </c>
      <c r="M325" s="985">
        <f t="shared" si="191"/>
        <v>0</v>
      </c>
      <c r="N325" s="986">
        <f t="shared" si="191"/>
        <v>0</v>
      </c>
    </row>
    <row r="326" spans="1:14" s="951" customFormat="1" ht="15" customHeight="1">
      <c r="A326" s="945"/>
      <c r="B326" s="946"/>
      <c r="C326" s="952" t="s">
        <v>2831</v>
      </c>
      <c r="D326" s="952"/>
      <c r="E326" s="948"/>
      <c r="F326" s="949">
        <f t="shared" si="178"/>
        <v>0</v>
      </c>
      <c r="G326" s="985">
        <f t="shared" ref="G326:N326" si="192">SUM(G454:G458)</f>
        <v>0</v>
      </c>
      <c r="H326" s="985">
        <f t="shared" si="192"/>
        <v>0</v>
      </c>
      <c r="I326" s="985">
        <f t="shared" si="192"/>
        <v>0</v>
      </c>
      <c r="J326" s="985">
        <f t="shared" si="192"/>
        <v>0</v>
      </c>
      <c r="K326" s="985">
        <f t="shared" si="192"/>
        <v>0</v>
      </c>
      <c r="L326" s="985">
        <f t="shared" si="192"/>
        <v>0</v>
      </c>
      <c r="M326" s="985">
        <f t="shared" si="192"/>
        <v>0</v>
      </c>
      <c r="N326" s="986">
        <f t="shared" si="192"/>
        <v>0</v>
      </c>
    </row>
    <row r="327" spans="1:14" s="951" customFormat="1" ht="15" customHeight="1">
      <c r="A327" s="945"/>
      <c r="B327" s="946"/>
      <c r="C327" s="954" t="s">
        <v>2832</v>
      </c>
      <c r="D327" s="946"/>
      <c r="E327" s="955"/>
      <c r="F327" s="956">
        <f t="shared" si="178"/>
        <v>0</v>
      </c>
      <c r="G327" s="2031">
        <f>IF(G459=0,0,+G459-G468)</f>
        <v>0</v>
      </c>
      <c r="H327" s="2031">
        <f t="shared" ref="H327:N327" si="193">IF(H459=0,0,+H459-H468)</f>
        <v>0</v>
      </c>
      <c r="I327" s="2031">
        <f t="shared" si="193"/>
        <v>0</v>
      </c>
      <c r="J327" s="2031">
        <f t="shared" si="193"/>
        <v>0</v>
      </c>
      <c r="K327" s="2031">
        <f t="shared" si="193"/>
        <v>0</v>
      </c>
      <c r="L327" s="2031">
        <f t="shared" si="193"/>
        <v>0</v>
      </c>
      <c r="M327" s="2031">
        <f t="shared" si="193"/>
        <v>0</v>
      </c>
      <c r="N327" s="2032">
        <f t="shared" si="193"/>
        <v>0</v>
      </c>
    </row>
    <row r="328" spans="1:14" s="951" customFormat="1" ht="15" customHeight="1">
      <c r="A328" s="2034"/>
      <c r="B328" s="1859" t="s">
        <v>2833</v>
      </c>
      <c r="C328" s="1859"/>
      <c r="D328" s="1859"/>
      <c r="E328" s="2035"/>
      <c r="F328" s="1861">
        <f t="shared" si="178"/>
        <v>0</v>
      </c>
      <c r="G328" s="1862">
        <f t="shared" ref="G328:N328" si="194">G306+G317</f>
        <v>0</v>
      </c>
      <c r="H328" s="1862">
        <f t="shared" si="194"/>
        <v>0</v>
      </c>
      <c r="I328" s="1862">
        <f t="shared" si="194"/>
        <v>0</v>
      </c>
      <c r="J328" s="1862">
        <f t="shared" si="194"/>
        <v>0</v>
      </c>
      <c r="K328" s="1862">
        <f t="shared" si="194"/>
        <v>0</v>
      </c>
      <c r="L328" s="1862">
        <f t="shared" si="194"/>
        <v>0</v>
      </c>
      <c r="M328" s="1862">
        <f t="shared" si="194"/>
        <v>0</v>
      </c>
      <c r="N328" s="1863">
        <f t="shared" si="194"/>
        <v>0</v>
      </c>
    </row>
    <row r="329" spans="1:14" s="951" customFormat="1" ht="15" customHeight="1">
      <c r="A329" s="2036"/>
      <c r="B329" s="946"/>
      <c r="C329" s="2037" t="s">
        <v>2834</v>
      </c>
      <c r="D329" s="2037"/>
      <c r="E329" s="2038"/>
      <c r="F329" s="837"/>
      <c r="G329" s="2039" t="s">
        <v>2835</v>
      </c>
      <c r="H329" s="2040"/>
      <c r="I329" s="842"/>
      <c r="J329" s="842"/>
      <c r="K329" s="842"/>
      <c r="L329" s="842"/>
      <c r="M329" s="842"/>
      <c r="N329" s="842"/>
    </row>
    <row r="330" spans="1:14" s="951" customFormat="1" ht="15" customHeight="1">
      <c r="A330" s="1076"/>
      <c r="B330" s="1077"/>
      <c r="C330" s="1077"/>
      <c r="D330" s="1077"/>
      <c r="E330" s="1161"/>
      <c r="F330" s="1078" t="s">
        <v>2836</v>
      </c>
      <c r="G330" s="2095">
        <f>+G302</f>
        <v>0</v>
      </c>
      <c r="H330" s="1079">
        <f t="shared" ref="H330:N330" si="195">+H302</f>
        <v>0</v>
      </c>
      <c r="I330" s="1079">
        <f t="shared" si="195"/>
        <v>0</v>
      </c>
      <c r="J330" s="1079">
        <f t="shared" si="195"/>
        <v>0</v>
      </c>
      <c r="K330" s="1079">
        <f t="shared" si="195"/>
        <v>0</v>
      </c>
      <c r="L330" s="1079">
        <f t="shared" si="195"/>
        <v>0</v>
      </c>
      <c r="M330" s="1079">
        <f t="shared" si="195"/>
        <v>0</v>
      </c>
      <c r="N330" s="1080">
        <f t="shared" si="195"/>
        <v>0</v>
      </c>
    </row>
    <row r="331" spans="1:14" s="951" customFormat="1" ht="15" customHeight="1">
      <c r="A331" s="1875" t="s">
        <v>2837</v>
      </c>
      <c r="B331" s="1075"/>
      <c r="C331" s="1075"/>
      <c r="D331" s="1075"/>
      <c r="E331" s="1177"/>
      <c r="F331" s="2096"/>
      <c r="G331" s="2097"/>
      <c r="H331" s="2097"/>
      <c r="I331" s="2097"/>
      <c r="J331" s="2097"/>
      <c r="K331" s="2097"/>
      <c r="L331" s="2097"/>
      <c r="M331" s="2097"/>
      <c r="N331" s="2098"/>
    </row>
    <row r="332" spans="1:14" s="951" customFormat="1" ht="15" customHeight="1">
      <c r="A332" s="2437"/>
      <c r="B332" s="2443" t="s">
        <v>2107</v>
      </c>
      <c r="C332" s="715" t="s">
        <v>2838</v>
      </c>
      <c r="D332" s="715"/>
      <c r="E332" s="856"/>
      <c r="F332" s="1187">
        <f t="shared" ref="F332:F338" si="196">SUM(G332:N332)</f>
        <v>0</v>
      </c>
      <c r="G332" s="1179">
        <f t="shared" ref="G332:N347" si="197">+G117+G25</f>
        <v>0</v>
      </c>
      <c r="H332" s="1179">
        <f t="shared" si="197"/>
        <v>0</v>
      </c>
      <c r="I332" s="1179">
        <f t="shared" si="197"/>
        <v>0</v>
      </c>
      <c r="J332" s="1179">
        <f t="shared" si="197"/>
        <v>0</v>
      </c>
      <c r="K332" s="1179">
        <f t="shared" si="197"/>
        <v>0</v>
      </c>
      <c r="L332" s="1179">
        <f t="shared" si="197"/>
        <v>0</v>
      </c>
      <c r="M332" s="1179">
        <f t="shared" si="197"/>
        <v>0</v>
      </c>
      <c r="N332" s="1180">
        <f t="shared" si="197"/>
        <v>0</v>
      </c>
    </row>
    <row r="333" spans="1:14" s="951" customFormat="1" ht="15" customHeight="1">
      <c r="A333" s="2438"/>
      <c r="B333" s="2425"/>
      <c r="C333" s="989" t="s">
        <v>2839</v>
      </c>
      <c r="D333" s="989"/>
      <c r="E333" s="948"/>
      <c r="F333" s="949">
        <f t="shared" si="196"/>
        <v>0</v>
      </c>
      <c r="G333" s="985">
        <f t="shared" si="197"/>
        <v>0</v>
      </c>
      <c r="H333" s="985">
        <f t="shared" si="197"/>
        <v>0</v>
      </c>
      <c r="I333" s="985">
        <f t="shared" si="197"/>
        <v>0</v>
      </c>
      <c r="J333" s="985">
        <f t="shared" si="197"/>
        <v>0</v>
      </c>
      <c r="K333" s="985">
        <f t="shared" si="197"/>
        <v>0</v>
      </c>
      <c r="L333" s="985">
        <f t="shared" si="197"/>
        <v>0</v>
      </c>
      <c r="M333" s="985">
        <f t="shared" si="197"/>
        <v>0</v>
      </c>
      <c r="N333" s="986">
        <f t="shared" si="197"/>
        <v>0</v>
      </c>
    </row>
    <row r="334" spans="1:14" s="951" customFormat="1" ht="15" customHeight="1">
      <c r="A334" s="2438"/>
      <c r="B334" s="2425"/>
      <c r="C334" s="1881" t="s">
        <v>2840</v>
      </c>
      <c r="D334" s="989"/>
      <c r="E334" s="948"/>
      <c r="F334" s="949">
        <f t="shared" si="196"/>
        <v>0</v>
      </c>
      <c r="G334" s="985">
        <f t="shared" si="197"/>
        <v>0</v>
      </c>
      <c r="H334" s="985">
        <f t="shared" si="197"/>
        <v>0</v>
      </c>
      <c r="I334" s="985">
        <f t="shared" si="197"/>
        <v>0</v>
      </c>
      <c r="J334" s="985">
        <f t="shared" si="197"/>
        <v>0</v>
      </c>
      <c r="K334" s="985">
        <f t="shared" si="197"/>
        <v>0</v>
      </c>
      <c r="L334" s="985">
        <f t="shared" si="197"/>
        <v>0</v>
      </c>
      <c r="M334" s="985">
        <f t="shared" si="197"/>
        <v>0</v>
      </c>
      <c r="N334" s="986">
        <f t="shared" si="197"/>
        <v>0</v>
      </c>
    </row>
    <row r="335" spans="1:14" s="951" customFormat="1" ht="15" customHeight="1">
      <c r="A335" s="2438"/>
      <c r="B335" s="2424"/>
      <c r="C335" s="1881" t="s">
        <v>2841</v>
      </c>
      <c r="D335" s="989"/>
      <c r="E335" s="948"/>
      <c r="F335" s="949">
        <f t="shared" si="196"/>
        <v>0</v>
      </c>
      <c r="G335" s="985">
        <f t="shared" si="197"/>
        <v>0</v>
      </c>
      <c r="H335" s="985">
        <f t="shared" si="197"/>
        <v>0</v>
      </c>
      <c r="I335" s="985">
        <f t="shared" si="197"/>
        <v>0</v>
      </c>
      <c r="J335" s="985">
        <f t="shared" si="197"/>
        <v>0</v>
      </c>
      <c r="K335" s="985">
        <f t="shared" si="197"/>
        <v>0</v>
      </c>
      <c r="L335" s="985">
        <f t="shared" si="197"/>
        <v>0</v>
      </c>
      <c r="M335" s="985">
        <f t="shared" si="197"/>
        <v>0</v>
      </c>
      <c r="N335" s="986">
        <f t="shared" si="197"/>
        <v>0</v>
      </c>
    </row>
    <row r="336" spans="1:14" s="951" customFormat="1" ht="15" customHeight="1">
      <c r="A336" s="2438"/>
      <c r="B336" s="2316" t="s">
        <v>2842</v>
      </c>
      <c r="C336" s="947" t="s">
        <v>2843</v>
      </c>
      <c r="D336" s="989"/>
      <c r="E336" s="948"/>
      <c r="F336" s="949">
        <f t="shared" si="196"/>
        <v>0</v>
      </c>
      <c r="G336" s="2093">
        <f t="shared" si="197"/>
        <v>0</v>
      </c>
      <c r="H336" s="2093">
        <f t="shared" si="197"/>
        <v>0</v>
      </c>
      <c r="I336" s="2093">
        <f t="shared" si="197"/>
        <v>0</v>
      </c>
      <c r="J336" s="2093">
        <f t="shared" si="197"/>
        <v>0</v>
      </c>
      <c r="K336" s="2093">
        <f t="shared" si="197"/>
        <v>0</v>
      </c>
      <c r="L336" s="2093">
        <f t="shared" si="197"/>
        <v>0</v>
      </c>
      <c r="M336" s="2093">
        <f t="shared" si="197"/>
        <v>0</v>
      </c>
      <c r="N336" s="2094">
        <f t="shared" si="197"/>
        <v>0</v>
      </c>
    </row>
    <row r="337" spans="1:14" s="951" customFormat="1" ht="13.5" customHeight="1">
      <c r="A337" s="2438"/>
      <c r="B337" s="2425"/>
      <c r="C337" s="947" t="s">
        <v>2844</v>
      </c>
      <c r="D337" s="989"/>
      <c r="E337" s="948"/>
      <c r="F337" s="949">
        <f t="shared" si="196"/>
        <v>0</v>
      </c>
      <c r="G337" s="2093">
        <f t="shared" si="197"/>
        <v>0</v>
      </c>
      <c r="H337" s="2093">
        <f t="shared" si="197"/>
        <v>0</v>
      </c>
      <c r="I337" s="2093">
        <f t="shared" si="197"/>
        <v>0</v>
      </c>
      <c r="J337" s="2093">
        <f t="shared" si="197"/>
        <v>0</v>
      </c>
      <c r="K337" s="2093">
        <f t="shared" si="197"/>
        <v>0</v>
      </c>
      <c r="L337" s="2093">
        <f t="shared" si="197"/>
        <v>0</v>
      </c>
      <c r="M337" s="2093">
        <f t="shared" si="197"/>
        <v>0</v>
      </c>
      <c r="N337" s="2094">
        <f t="shared" si="197"/>
        <v>0</v>
      </c>
    </row>
    <row r="338" spans="1:14" s="951" customFormat="1" ht="13.5" customHeight="1">
      <c r="A338" s="2438"/>
      <c r="B338" s="2425"/>
      <c r="C338" s="989" t="s">
        <v>2845</v>
      </c>
      <c r="D338" s="989"/>
      <c r="E338" s="948"/>
      <c r="F338" s="949">
        <f t="shared" si="196"/>
        <v>0</v>
      </c>
      <c r="G338" s="2093">
        <f t="shared" si="197"/>
        <v>0</v>
      </c>
      <c r="H338" s="2093">
        <f t="shared" si="197"/>
        <v>0</v>
      </c>
      <c r="I338" s="2093">
        <f t="shared" si="197"/>
        <v>0</v>
      </c>
      <c r="J338" s="2093">
        <f t="shared" si="197"/>
        <v>0</v>
      </c>
      <c r="K338" s="2093">
        <f t="shared" si="197"/>
        <v>0</v>
      </c>
      <c r="L338" s="2093">
        <f t="shared" si="197"/>
        <v>0</v>
      </c>
      <c r="M338" s="2093">
        <f t="shared" si="197"/>
        <v>0</v>
      </c>
      <c r="N338" s="2094">
        <f t="shared" si="197"/>
        <v>0</v>
      </c>
    </row>
    <row r="339" spans="1:14" s="951" customFormat="1" ht="13.5" customHeight="1">
      <c r="A339" s="2438"/>
      <c r="B339" s="2425"/>
      <c r="C339" s="989" t="s">
        <v>2846</v>
      </c>
      <c r="D339" s="989"/>
      <c r="E339" s="948"/>
      <c r="F339" s="949"/>
      <c r="G339" s="985">
        <f t="shared" si="197"/>
        <v>0</v>
      </c>
      <c r="H339" s="985">
        <f t="shared" si="197"/>
        <v>0</v>
      </c>
      <c r="I339" s="985">
        <f t="shared" si="197"/>
        <v>0</v>
      </c>
      <c r="J339" s="985">
        <f t="shared" si="197"/>
        <v>0</v>
      </c>
      <c r="K339" s="985">
        <f t="shared" si="197"/>
        <v>0</v>
      </c>
      <c r="L339" s="985">
        <f t="shared" si="197"/>
        <v>0</v>
      </c>
      <c r="M339" s="985">
        <f t="shared" si="197"/>
        <v>0</v>
      </c>
      <c r="N339" s="986">
        <f t="shared" si="197"/>
        <v>0</v>
      </c>
    </row>
    <row r="340" spans="1:14" s="951" customFormat="1" ht="13.5" customHeight="1">
      <c r="A340" s="2438"/>
      <c r="B340" s="2425"/>
      <c r="C340" s="989" t="s">
        <v>2847</v>
      </c>
      <c r="D340" s="989"/>
      <c r="E340" s="948"/>
      <c r="F340" s="949"/>
      <c r="G340" s="985">
        <f t="shared" si="197"/>
        <v>0</v>
      </c>
      <c r="H340" s="985">
        <f t="shared" si="197"/>
        <v>0</v>
      </c>
      <c r="I340" s="985">
        <f t="shared" si="197"/>
        <v>0</v>
      </c>
      <c r="J340" s="985">
        <f t="shared" si="197"/>
        <v>0</v>
      </c>
      <c r="K340" s="985">
        <f t="shared" si="197"/>
        <v>0</v>
      </c>
      <c r="L340" s="985">
        <f t="shared" si="197"/>
        <v>0</v>
      </c>
      <c r="M340" s="985">
        <f t="shared" si="197"/>
        <v>0</v>
      </c>
      <c r="N340" s="986">
        <f t="shared" si="197"/>
        <v>0</v>
      </c>
    </row>
    <row r="341" spans="1:14" s="951" customFormat="1" ht="13.5" customHeight="1">
      <c r="A341" s="2438"/>
      <c r="B341" s="2425"/>
      <c r="C341" s="989" t="s">
        <v>2848</v>
      </c>
      <c r="D341" s="989"/>
      <c r="E341" s="948"/>
      <c r="F341" s="949">
        <f t="shared" ref="F341:F351" si="198">SUM(G341:N341)</f>
        <v>0</v>
      </c>
      <c r="G341" s="2093">
        <f t="shared" si="197"/>
        <v>0</v>
      </c>
      <c r="H341" s="2093">
        <f t="shared" si="197"/>
        <v>0</v>
      </c>
      <c r="I341" s="2093">
        <f t="shared" si="197"/>
        <v>0</v>
      </c>
      <c r="J341" s="2093">
        <f t="shared" si="197"/>
        <v>0</v>
      </c>
      <c r="K341" s="2093">
        <f t="shared" si="197"/>
        <v>0</v>
      </c>
      <c r="L341" s="2093">
        <f t="shared" si="197"/>
        <v>0</v>
      </c>
      <c r="M341" s="2093">
        <f t="shared" si="197"/>
        <v>0</v>
      </c>
      <c r="N341" s="2094">
        <f t="shared" si="197"/>
        <v>0</v>
      </c>
    </row>
    <row r="342" spans="1:14" s="951" customFormat="1" ht="13.5" customHeight="1">
      <c r="A342" s="2438"/>
      <c r="B342" s="2425"/>
      <c r="C342" s="1882" t="s">
        <v>2849</v>
      </c>
      <c r="D342" s="989"/>
      <c r="E342" s="948"/>
      <c r="F342" s="949">
        <f t="shared" si="198"/>
        <v>0</v>
      </c>
      <c r="G342" s="985">
        <f t="shared" si="197"/>
        <v>0</v>
      </c>
      <c r="H342" s="985">
        <f t="shared" si="197"/>
        <v>0</v>
      </c>
      <c r="I342" s="985">
        <f t="shared" si="197"/>
        <v>0</v>
      </c>
      <c r="J342" s="985">
        <f t="shared" si="197"/>
        <v>0</v>
      </c>
      <c r="K342" s="985">
        <f t="shared" si="197"/>
        <v>0</v>
      </c>
      <c r="L342" s="985">
        <f t="shared" si="197"/>
        <v>0</v>
      </c>
      <c r="M342" s="985">
        <f t="shared" si="197"/>
        <v>0</v>
      </c>
      <c r="N342" s="986">
        <f t="shared" si="197"/>
        <v>0</v>
      </c>
    </row>
    <row r="343" spans="1:14" s="951" customFormat="1" ht="13.5" customHeight="1">
      <c r="A343" s="2438"/>
      <c r="B343" s="2425"/>
      <c r="C343" s="1883" t="s">
        <v>2850</v>
      </c>
      <c r="D343" s="989"/>
      <c r="E343" s="948"/>
      <c r="F343" s="949">
        <f t="shared" si="198"/>
        <v>0</v>
      </c>
      <c r="G343" s="985">
        <f t="shared" si="197"/>
        <v>0</v>
      </c>
      <c r="H343" s="985">
        <f t="shared" si="197"/>
        <v>0</v>
      </c>
      <c r="I343" s="985">
        <f t="shared" si="197"/>
        <v>0</v>
      </c>
      <c r="J343" s="985">
        <f t="shared" si="197"/>
        <v>0</v>
      </c>
      <c r="K343" s="985">
        <f t="shared" si="197"/>
        <v>0</v>
      </c>
      <c r="L343" s="985">
        <f t="shared" si="197"/>
        <v>0</v>
      </c>
      <c r="M343" s="985">
        <f t="shared" si="197"/>
        <v>0</v>
      </c>
      <c r="N343" s="986">
        <f t="shared" si="197"/>
        <v>0</v>
      </c>
    </row>
    <row r="344" spans="1:14" s="951" customFormat="1" ht="13.5" customHeight="1">
      <c r="A344" s="2438"/>
      <c r="B344" s="2424"/>
      <c r="C344" s="989" t="s">
        <v>2851</v>
      </c>
      <c r="D344" s="989"/>
      <c r="E344" s="948"/>
      <c r="F344" s="949">
        <f t="shared" si="198"/>
        <v>0</v>
      </c>
      <c r="G344" s="2093">
        <f t="shared" si="197"/>
        <v>0</v>
      </c>
      <c r="H344" s="2093">
        <f t="shared" si="197"/>
        <v>0</v>
      </c>
      <c r="I344" s="2093">
        <f t="shared" si="197"/>
        <v>0</v>
      </c>
      <c r="J344" s="2093">
        <f t="shared" si="197"/>
        <v>0</v>
      </c>
      <c r="K344" s="2093">
        <f t="shared" si="197"/>
        <v>0</v>
      </c>
      <c r="L344" s="2093">
        <f t="shared" si="197"/>
        <v>0</v>
      </c>
      <c r="M344" s="2093">
        <f t="shared" si="197"/>
        <v>0</v>
      </c>
      <c r="N344" s="2094">
        <f t="shared" si="197"/>
        <v>0</v>
      </c>
    </row>
    <row r="345" spans="1:14" s="951" customFormat="1" ht="13.5" customHeight="1">
      <c r="A345" s="2438"/>
      <c r="B345" s="2316" t="s">
        <v>2852</v>
      </c>
      <c r="C345" s="1881" t="s">
        <v>2853</v>
      </c>
      <c r="D345" s="989"/>
      <c r="E345" s="948"/>
      <c r="F345" s="949">
        <f t="shared" si="198"/>
        <v>0</v>
      </c>
      <c r="G345" s="2093">
        <f t="shared" si="197"/>
        <v>0</v>
      </c>
      <c r="H345" s="2093">
        <f t="shared" si="197"/>
        <v>0</v>
      </c>
      <c r="I345" s="2093">
        <f t="shared" si="197"/>
        <v>0</v>
      </c>
      <c r="J345" s="2093">
        <f t="shared" si="197"/>
        <v>0</v>
      </c>
      <c r="K345" s="2093">
        <f t="shared" si="197"/>
        <v>0</v>
      </c>
      <c r="L345" s="2093">
        <f t="shared" si="197"/>
        <v>0</v>
      </c>
      <c r="M345" s="2093">
        <f t="shared" si="197"/>
        <v>0</v>
      </c>
      <c r="N345" s="2094">
        <f t="shared" si="197"/>
        <v>0</v>
      </c>
    </row>
    <row r="346" spans="1:14" s="951" customFormat="1" ht="13.5" customHeight="1">
      <c r="A346" s="2438"/>
      <c r="B346" s="2425"/>
      <c r="C346" s="1881" t="s">
        <v>2854</v>
      </c>
      <c r="D346" s="989"/>
      <c r="E346" s="948"/>
      <c r="F346" s="949">
        <f t="shared" si="198"/>
        <v>0</v>
      </c>
      <c r="G346" s="985">
        <f t="shared" si="197"/>
        <v>0</v>
      </c>
      <c r="H346" s="985">
        <f t="shared" si="197"/>
        <v>0</v>
      </c>
      <c r="I346" s="985">
        <f t="shared" si="197"/>
        <v>0</v>
      </c>
      <c r="J346" s="985">
        <f t="shared" si="197"/>
        <v>0</v>
      </c>
      <c r="K346" s="985">
        <f t="shared" si="197"/>
        <v>0</v>
      </c>
      <c r="L346" s="985">
        <f t="shared" si="197"/>
        <v>0</v>
      </c>
      <c r="M346" s="985">
        <f t="shared" si="197"/>
        <v>0</v>
      </c>
      <c r="N346" s="986">
        <f t="shared" si="197"/>
        <v>0</v>
      </c>
    </row>
    <row r="347" spans="1:14" s="951" customFormat="1" ht="13.5" customHeight="1">
      <c r="A347" s="2438"/>
      <c r="B347" s="2425"/>
      <c r="C347" s="989" t="s">
        <v>3079</v>
      </c>
      <c r="D347" s="989"/>
      <c r="E347" s="948"/>
      <c r="F347" s="949">
        <f t="shared" si="198"/>
        <v>0</v>
      </c>
      <c r="G347" s="985">
        <f t="shared" si="197"/>
        <v>0</v>
      </c>
      <c r="H347" s="985">
        <f t="shared" si="197"/>
        <v>0</v>
      </c>
      <c r="I347" s="985">
        <f t="shared" si="197"/>
        <v>0</v>
      </c>
      <c r="J347" s="985">
        <f t="shared" si="197"/>
        <v>0</v>
      </c>
      <c r="K347" s="985">
        <f t="shared" si="197"/>
        <v>0</v>
      </c>
      <c r="L347" s="985">
        <f t="shared" si="197"/>
        <v>0</v>
      </c>
      <c r="M347" s="985">
        <f t="shared" si="197"/>
        <v>0</v>
      </c>
      <c r="N347" s="986">
        <f t="shared" si="197"/>
        <v>0</v>
      </c>
    </row>
    <row r="348" spans="1:14" s="951" customFormat="1" ht="13.5" customHeight="1">
      <c r="A348" s="2438"/>
      <c r="B348" s="2425"/>
      <c r="C348" s="989" t="s">
        <v>3139</v>
      </c>
      <c r="D348" s="989"/>
      <c r="E348" s="948"/>
      <c r="F348" s="949">
        <f t="shared" si="198"/>
        <v>0</v>
      </c>
      <c r="G348" s="2093">
        <f t="shared" ref="G348:N351" si="199">+G133+G41</f>
        <v>0</v>
      </c>
      <c r="H348" s="2093">
        <f t="shared" si="199"/>
        <v>0</v>
      </c>
      <c r="I348" s="2093">
        <f t="shared" si="199"/>
        <v>0</v>
      </c>
      <c r="J348" s="2093">
        <f t="shared" si="199"/>
        <v>0</v>
      </c>
      <c r="K348" s="2093">
        <f t="shared" si="199"/>
        <v>0</v>
      </c>
      <c r="L348" s="2093">
        <f t="shared" si="199"/>
        <v>0</v>
      </c>
      <c r="M348" s="2093">
        <f t="shared" si="199"/>
        <v>0</v>
      </c>
      <c r="N348" s="2094">
        <f t="shared" si="199"/>
        <v>0</v>
      </c>
    </row>
    <row r="349" spans="1:14" s="951" customFormat="1" ht="13.5" customHeight="1">
      <c r="A349" s="2438"/>
      <c r="B349" s="2425"/>
      <c r="C349" s="1885" t="s">
        <v>2857</v>
      </c>
      <c r="D349" s="1885"/>
      <c r="E349" s="1886"/>
      <c r="F349" s="949">
        <f t="shared" si="198"/>
        <v>0</v>
      </c>
      <c r="G349" s="2093">
        <f t="shared" si="199"/>
        <v>0</v>
      </c>
      <c r="H349" s="2093">
        <f t="shared" si="199"/>
        <v>0</v>
      </c>
      <c r="I349" s="2093">
        <f t="shared" si="199"/>
        <v>0</v>
      </c>
      <c r="J349" s="2093">
        <f t="shared" si="199"/>
        <v>0</v>
      </c>
      <c r="K349" s="2093">
        <f t="shared" si="199"/>
        <v>0</v>
      </c>
      <c r="L349" s="2093">
        <f t="shared" si="199"/>
        <v>0</v>
      </c>
      <c r="M349" s="2093">
        <f t="shared" si="199"/>
        <v>0</v>
      </c>
      <c r="N349" s="2094">
        <f t="shared" si="199"/>
        <v>0</v>
      </c>
    </row>
    <row r="350" spans="1:14" s="951" customFormat="1" ht="13.5" customHeight="1">
      <c r="A350" s="2438"/>
      <c r="B350" s="2425"/>
      <c r="C350" s="1885" t="s">
        <v>2858</v>
      </c>
      <c r="D350" s="1885"/>
      <c r="E350" s="1886"/>
      <c r="F350" s="949">
        <f t="shared" si="198"/>
        <v>0</v>
      </c>
      <c r="G350" s="2093">
        <f t="shared" si="199"/>
        <v>0</v>
      </c>
      <c r="H350" s="2093">
        <f t="shared" si="199"/>
        <v>0</v>
      </c>
      <c r="I350" s="2093">
        <f t="shared" si="199"/>
        <v>0</v>
      </c>
      <c r="J350" s="2093">
        <f t="shared" si="199"/>
        <v>0</v>
      </c>
      <c r="K350" s="2093">
        <f t="shared" si="199"/>
        <v>0</v>
      </c>
      <c r="L350" s="2093">
        <f t="shared" si="199"/>
        <v>0</v>
      </c>
      <c r="M350" s="2093">
        <f t="shared" si="199"/>
        <v>0</v>
      </c>
      <c r="N350" s="2094">
        <f t="shared" si="199"/>
        <v>0</v>
      </c>
    </row>
    <row r="351" spans="1:14" s="951" customFormat="1" ht="13.5" customHeight="1">
      <c r="A351" s="2439"/>
      <c r="B351" s="2440"/>
      <c r="C351" s="1889" t="s">
        <v>2859</v>
      </c>
      <c r="D351" s="1889"/>
      <c r="E351" s="1152"/>
      <c r="F351" s="1107">
        <f t="shared" si="198"/>
        <v>0</v>
      </c>
      <c r="G351" s="2099">
        <f t="shared" si="199"/>
        <v>0</v>
      </c>
      <c r="H351" s="2099">
        <f t="shared" si="199"/>
        <v>0</v>
      </c>
      <c r="I351" s="2099">
        <f t="shared" si="199"/>
        <v>0</v>
      </c>
      <c r="J351" s="2099">
        <f t="shared" si="199"/>
        <v>0</v>
      </c>
      <c r="K351" s="2099">
        <f t="shared" si="199"/>
        <v>0</v>
      </c>
      <c r="L351" s="2099">
        <f t="shared" si="199"/>
        <v>0</v>
      </c>
      <c r="M351" s="2099">
        <f t="shared" si="199"/>
        <v>0</v>
      </c>
      <c r="N351" s="2100">
        <f t="shared" si="199"/>
        <v>0</v>
      </c>
    </row>
    <row r="352" spans="1:14" s="951" customFormat="1" ht="13.5" hidden="1" customHeight="1">
      <c r="A352" s="946"/>
      <c r="B352" s="946"/>
      <c r="C352" s="1073" t="s">
        <v>2860</v>
      </c>
      <c r="D352" s="1073"/>
      <c r="E352" s="1074"/>
      <c r="F352" s="837"/>
      <c r="G352" s="842"/>
      <c r="H352" s="842"/>
      <c r="I352" s="842"/>
      <c r="J352" s="842"/>
      <c r="K352" s="842"/>
      <c r="L352" s="842"/>
      <c r="M352" s="842"/>
      <c r="N352" s="844" t="s">
        <v>3140</v>
      </c>
    </row>
    <row r="353" spans="1:14" s="951" customFormat="1" ht="13.5" hidden="1" customHeight="1">
      <c r="A353" s="946"/>
      <c r="B353" s="946"/>
      <c r="C353" s="1075" t="s">
        <v>2862</v>
      </c>
      <c r="D353" s="1075"/>
      <c r="E353" s="1074"/>
      <c r="F353" s="837"/>
      <c r="G353" s="842"/>
      <c r="H353" s="842"/>
      <c r="I353" s="842"/>
      <c r="J353" s="842"/>
      <c r="K353" s="842"/>
      <c r="L353" s="842"/>
      <c r="M353" s="842"/>
      <c r="N353" s="844"/>
    </row>
    <row r="354" spans="1:14" s="951" customFormat="1" ht="13.5" hidden="1" customHeight="1">
      <c r="A354" s="1076"/>
      <c r="B354" s="1077"/>
      <c r="C354" s="1077"/>
      <c r="D354" s="2324" t="s">
        <v>2863</v>
      </c>
      <c r="E354" s="2324" t="s">
        <v>2864</v>
      </c>
      <c r="F354" s="1078" t="s">
        <v>2836</v>
      </c>
      <c r="G354" s="2095">
        <f>+G302</f>
        <v>0</v>
      </c>
      <c r="H354" s="1079">
        <f t="shared" ref="H354:N354" si="200">+H302</f>
        <v>0</v>
      </c>
      <c r="I354" s="1079">
        <f t="shared" si="200"/>
        <v>0</v>
      </c>
      <c r="J354" s="1079">
        <f t="shared" si="200"/>
        <v>0</v>
      </c>
      <c r="K354" s="1079">
        <f t="shared" si="200"/>
        <v>0</v>
      </c>
      <c r="L354" s="1079">
        <f t="shared" si="200"/>
        <v>0</v>
      </c>
      <c r="M354" s="1079">
        <f t="shared" si="200"/>
        <v>0</v>
      </c>
      <c r="N354" s="1080">
        <f t="shared" si="200"/>
        <v>0</v>
      </c>
    </row>
    <row r="355" spans="1:14" s="951" customFormat="1" ht="13.5" hidden="1" customHeight="1">
      <c r="A355" s="2326" t="s">
        <v>2865</v>
      </c>
      <c r="B355" s="2327"/>
      <c r="C355" s="2441"/>
      <c r="D355" s="2325"/>
      <c r="E355" s="2325"/>
      <c r="F355" s="1081"/>
      <c r="G355" s="1082"/>
      <c r="H355" s="1082"/>
      <c r="I355" s="1082"/>
      <c r="J355" s="1082"/>
      <c r="K355" s="1082"/>
      <c r="L355" s="1082"/>
      <c r="M355" s="1082"/>
      <c r="N355" s="1083"/>
    </row>
    <row r="356" spans="1:14" s="951" customFormat="1" ht="13.5" hidden="1" customHeight="1">
      <c r="A356" s="2328"/>
      <c r="B356" s="1084" t="s">
        <v>3141</v>
      </c>
      <c r="C356" s="1085"/>
      <c r="D356" s="1086"/>
      <c r="E356" s="1087"/>
      <c r="F356" s="1088">
        <f t="shared" ref="F356:F363" si="201">SUM(G356:N356)</f>
        <v>0</v>
      </c>
      <c r="G356" s="1089">
        <f>SUM(G332:G344)+G348</f>
        <v>0</v>
      </c>
      <c r="H356" s="1089">
        <f t="shared" ref="H356:N356" si="202">SUM(H332:H344)+H348</f>
        <v>0</v>
      </c>
      <c r="I356" s="1089">
        <f t="shared" si="202"/>
        <v>0</v>
      </c>
      <c r="J356" s="1089">
        <f t="shared" si="202"/>
        <v>0</v>
      </c>
      <c r="K356" s="1089">
        <f t="shared" si="202"/>
        <v>0</v>
      </c>
      <c r="L356" s="1089">
        <f t="shared" si="202"/>
        <v>0</v>
      </c>
      <c r="M356" s="1089">
        <f t="shared" si="202"/>
        <v>0</v>
      </c>
      <c r="N356" s="1089">
        <f t="shared" si="202"/>
        <v>0</v>
      </c>
    </row>
    <row r="357" spans="1:14" s="951" customFormat="1" ht="13.5" hidden="1" customHeight="1">
      <c r="A357" s="2329"/>
      <c r="B357" s="2316" t="s">
        <v>2107</v>
      </c>
      <c r="C357" s="1092" t="s">
        <v>2838</v>
      </c>
      <c r="D357" s="1093">
        <v>1</v>
      </c>
      <c r="E357" s="1094" t="s">
        <v>2867</v>
      </c>
      <c r="F357" s="949">
        <f t="shared" si="201"/>
        <v>0</v>
      </c>
      <c r="G357" s="985">
        <f t="shared" ref="G357:N357" si="203">IF(G304="積上げ",0,+G332)</f>
        <v>0</v>
      </c>
      <c r="H357" s="985">
        <f t="shared" si="203"/>
        <v>0</v>
      </c>
      <c r="I357" s="985">
        <f t="shared" si="203"/>
        <v>0</v>
      </c>
      <c r="J357" s="985">
        <f t="shared" si="203"/>
        <v>0</v>
      </c>
      <c r="K357" s="985">
        <f t="shared" si="203"/>
        <v>0</v>
      </c>
      <c r="L357" s="985">
        <f t="shared" si="203"/>
        <v>0</v>
      </c>
      <c r="M357" s="985">
        <f t="shared" si="203"/>
        <v>0</v>
      </c>
      <c r="N357" s="985">
        <f t="shared" si="203"/>
        <v>0</v>
      </c>
    </row>
    <row r="358" spans="1:14" s="951" customFormat="1" ht="13.5" hidden="1" customHeight="1">
      <c r="A358" s="2329"/>
      <c r="B358" s="2425"/>
      <c r="C358" s="1092" t="s">
        <v>2839</v>
      </c>
      <c r="D358" s="1093">
        <v>1</v>
      </c>
      <c r="E358" s="1094" t="s">
        <v>3142</v>
      </c>
      <c r="F358" s="949">
        <f t="shared" si="201"/>
        <v>0</v>
      </c>
      <c r="G358" s="985">
        <f t="shared" ref="G358:N358" si="204">IF(G304="積上げ",0,+G333)</f>
        <v>0</v>
      </c>
      <c r="H358" s="985">
        <f t="shared" si="204"/>
        <v>0</v>
      </c>
      <c r="I358" s="985">
        <f t="shared" si="204"/>
        <v>0</v>
      </c>
      <c r="J358" s="985">
        <f t="shared" si="204"/>
        <v>0</v>
      </c>
      <c r="K358" s="985">
        <f t="shared" si="204"/>
        <v>0</v>
      </c>
      <c r="L358" s="985">
        <f t="shared" si="204"/>
        <v>0</v>
      </c>
      <c r="M358" s="985">
        <f t="shared" si="204"/>
        <v>0</v>
      </c>
      <c r="N358" s="985">
        <f t="shared" si="204"/>
        <v>0</v>
      </c>
    </row>
    <row r="359" spans="1:14" s="951" customFormat="1" ht="12" hidden="1">
      <c r="A359" s="2329"/>
      <c r="B359" s="2425"/>
      <c r="C359" s="1092" t="s">
        <v>2868</v>
      </c>
      <c r="D359" s="1093">
        <v>0.9</v>
      </c>
      <c r="E359" s="1094" t="s">
        <v>2867</v>
      </c>
      <c r="F359" s="949">
        <f t="shared" si="201"/>
        <v>0</v>
      </c>
      <c r="G359" s="985">
        <f t="shared" ref="G359:N359" si="205">IF(G304="積上げ",0,+G334)</f>
        <v>0</v>
      </c>
      <c r="H359" s="985">
        <f t="shared" si="205"/>
        <v>0</v>
      </c>
      <c r="I359" s="985">
        <f t="shared" si="205"/>
        <v>0</v>
      </c>
      <c r="J359" s="985">
        <f t="shared" si="205"/>
        <v>0</v>
      </c>
      <c r="K359" s="985">
        <f t="shared" si="205"/>
        <v>0</v>
      </c>
      <c r="L359" s="985">
        <f t="shared" si="205"/>
        <v>0</v>
      </c>
      <c r="M359" s="985">
        <f t="shared" si="205"/>
        <v>0</v>
      </c>
      <c r="N359" s="985">
        <f t="shared" si="205"/>
        <v>0</v>
      </c>
    </row>
    <row r="360" spans="1:14" s="951" customFormat="1" ht="12" hidden="1">
      <c r="A360" s="2329"/>
      <c r="B360" s="2424"/>
      <c r="C360" s="1092" t="s">
        <v>2869</v>
      </c>
      <c r="D360" s="1093">
        <v>0.9</v>
      </c>
      <c r="E360" s="1094" t="s">
        <v>3142</v>
      </c>
      <c r="F360" s="949">
        <f t="shared" si="201"/>
        <v>0</v>
      </c>
      <c r="G360" s="985">
        <f t="shared" ref="G360:N360" si="206">IF(G304="積上げ",0,+G335)</f>
        <v>0</v>
      </c>
      <c r="H360" s="985">
        <f t="shared" si="206"/>
        <v>0</v>
      </c>
      <c r="I360" s="985">
        <f t="shared" si="206"/>
        <v>0</v>
      </c>
      <c r="J360" s="985">
        <f t="shared" si="206"/>
        <v>0</v>
      </c>
      <c r="K360" s="985">
        <f t="shared" si="206"/>
        <v>0</v>
      </c>
      <c r="L360" s="985">
        <f t="shared" si="206"/>
        <v>0</v>
      </c>
      <c r="M360" s="985">
        <f t="shared" si="206"/>
        <v>0</v>
      </c>
      <c r="N360" s="985">
        <f t="shared" si="206"/>
        <v>0</v>
      </c>
    </row>
    <row r="361" spans="1:14" s="951" customFormat="1" ht="12" hidden="1">
      <c r="A361" s="2329"/>
      <c r="B361" s="2316" t="s">
        <v>2842</v>
      </c>
      <c r="C361" s="1092" t="s">
        <v>2870</v>
      </c>
      <c r="D361" s="1093">
        <v>1</v>
      </c>
      <c r="E361" s="1101">
        <v>0.01</v>
      </c>
      <c r="F361" s="949">
        <f t="shared" si="201"/>
        <v>0</v>
      </c>
      <c r="G361" s="985">
        <f t="shared" ref="G361:N361" si="207">IF(G304="積上げ",0,+G336)</f>
        <v>0</v>
      </c>
      <c r="H361" s="985">
        <f t="shared" si="207"/>
        <v>0</v>
      </c>
      <c r="I361" s="985">
        <f t="shared" si="207"/>
        <v>0</v>
      </c>
      <c r="J361" s="985">
        <f t="shared" si="207"/>
        <v>0</v>
      </c>
      <c r="K361" s="985">
        <f t="shared" si="207"/>
        <v>0</v>
      </c>
      <c r="L361" s="985">
        <f t="shared" si="207"/>
        <v>0</v>
      </c>
      <c r="M361" s="985">
        <f t="shared" si="207"/>
        <v>0</v>
      </c>
      <c r="N361" s="985">
        <f t="shared" si="207"/>
        <v>0</v>
      </c>
    </row>
    <row r="362" spans="1:14" s="951" customFormat="1" ht="12" hidden="1">
      <c r="A362" s="2329"/>
      <c r="B362" s="2425"/>
      <c r="C362" s="1092" t="s">
        <v>2871</v>
      </c>
      <c r="D362" s="1093">
        <v>1</v>
      </c>
      <c r="E362" s="1101">
        <v>0.01</v>
      </c>
      <c r="F362" s="949">
        <f t="shared" si="201"/>
        <v>0</v>
      </c>
      <c r="G362" s="985">
        <f t="shared" ref="G362:N362" si="208">IF(G304="積上げ",0,G337)</f>
        <v>0</v>
      </c>
      <c r="H362" s="985">
        <f t="shared" si="208"/>
        <v>0</v>
      </c>
      <c r="I362" s="985">
        <f t="shared" si="208"/>
        <v>0</v>
      </c>
      <c r="J362" s="985">
        <f t="shared" si="208"/>
        <v>0</v>
      </c>
      <c r="K362" s="985">
        <f t="shared" si="208"/>
        <v>0</v>
      </c>
      <c r="L362" s="985">
        <f t="shared" si="208"/>
        <v>0</v>
      </c>
      <c r="M362" s="985">
        <f t="shared" si="208"/>
        <v>0</v>
      </c>
      <c r="N362" s="985">
        <f t="shared" si="208"/>
        <v>0</v>
      </c>
    </row>
    <row r="363" spans="1:14" s="951" customFormat="1" ht="12" hidden="1">
      <c r="A363" s="2329"/>
      <c r="B363" s="2425"/>
      <c r="C363" s="1092" t="s">
        <v>2845</v>
      </c>
      <c r="D363" s="1093">
        <v>1</v>
      </c>
      <c r="E363" s="1101">
        <v>0.01</v>
      </c>
      <c r="F363" s="949">
        <f t="shared" si="201"/>
        <v>0</v>
      </c>
      <c r="G363" s="985">
        <f t="shared" ref="G363:N363" si="209">IF(G304="積上げ",0,G338)</f>
        <v>0</v>
      </c>
      <c r="H363" s="985">
        <f t="shared" si="209"/>
        <v>0</v>
      </c>
      <c r="I363" s="985">
        <f t="shared" si="209"/>
        <v>0</v>
      </c>
      <c r="J363" s="985">
        <f t="shared" si="209"/>
        <v>0</v>
      </c>
      <c r="K363" s="985">
        <f t="shared" si="209"/>
        <v>0</v>
      </c>
      <c r="L363" s="985">
        <f t="shared" si="209"/>
        <v>0</v>
      </c>
      <c r="M363" s="985">
        <f t="shared" si="209"/>
        <v>0</v>
      </c>
      <c r="N363" s="985">
        <f t="shared" si="209"/>
        <v>0</v>
      </c>
    </row>
    <row r="364" spans="1:14" s="951" customFormat="1" ht="12" hidden="1">
      <c r="A364" s="2329"/>
      <c r="B364" s="2425"/>
      <c r="C364" s="1092" t="s">
        <v>2846</v>
      </c>
      <c r="D364" s="1093"/>
      <c r="E364" s="1101"/>
      <c r="F364" s="949"/>
      <c r="G364" s="985"/>
      <c r="H364" s="985"/>
      <c r="I364" s="985"/>
      <c r="J364" s="985"/>
      <c r="K364" s="985"/>
      <c r="L364" s="985"/>
      <c r="M364" s="985"/>
      <c r="N364" s="985"/>
    </row>
    <row r="365" spans="1:14" s="951" customFormat="1" ht="12" hidden="1">
      <c r="A365" s="2329"/>
      <c r="B365" s="2425"/>
      <c r="C365" s="1092" t="s">
        <v>2847</v>
      </c>
      <c r="D365" s="1093"/>
      <c r="E365" s="1101"/>
      <c r="F365" s="949"/>
      <c r="G365" s="985"/>
      <c r="H365" s="985"/>
      <c r="I365" s="985"/>
      <c r="J365" s="985"/>
      <c r="K365" s="985"/>
      <c r="L365" s="985"/>
      <c r="M365" s="985"/>
      <c r="N365" s="985"/>
    </row>
    <row r="366" spans="1:14" s="951" customFormat="1" ht="12" hidden="1">
      <c r="A366" s="2329"/>
      <c r="B366" s="2425"/>
      <c r="C366" s="1092" t="s">
        <v>2848</v>
      </c>
      <c r="D366" s="1093">
        <v>1</v>
      </c>
      <c r="E366" s="1101">
        <v>0.01</v>
      </c>
      <c r="F366" s="949">
        <f>SUM(G366:N366)</f>
        <v>0</v>
      </c>
      <c r="G366" s="985">
        <f t="shared" ref="G366:N366" si="210">IF(G304="積上げ",0,+G341)</f>
        <v>0</v>
      </c>
      <c r="H366" s="985">
        <f t="shared" si="210"/>
        <v>0</v>
      </c>
      <c r="I366" s="985">
        <f t="shared" si="210"/>
        <v>0</v>
      </c>
      <c r="J366" s="985">
        <f t="shared" si="210"/>
        <v>0</v>
      </c>
      <c r="K366" s="985">
        <f t="shared" si="210"/>
        <v>0</v>
      </c>
      <c r="L366" s="985">
        <f t="shared" si="210"/>
        <v>0</v>
      </c>
      <c r="M366" s="985">
        <f t="shared" si="210"/>
        <v>0</v>
      </c>
      <c r="N366" s="985">
        <f t="shared" si="210"/>
        <v>0</v>
      </c>
    </row>
    <row r="367" spans="1:14" s="951" customFormat="1" ht="12" hidden="1">
      <c r="A367" s="2329"/>
      <c r="B367" s="2425"/>
      <c r="C367" s="2045" t="s">
        <v>2849</v>
      </c>
      <c r="D367" s="1093">
        <v>1</v>
      </c>
      <c r="E367" s="1101">
        <v>0.01</v>
      </c>
      <c r="F367" s="949">
        <f>SUM(G367:N367)</f>
        <v>0</v>
      </c>
      <c r="G367" s="985">
        <f t="shared" ref="G367:N367" si="211">IF(G304="積上げ",0,+G342)</f>
        <v>0</v>
      </c>
      <c r="H367" s="985">
        <f t="shared" si="211"/>
        <v>0</v>
      </c>
      <c r="I367" s="985">
        <f t="shared" si="211"/>
        <v>0</v>
      </c>
      <c r="J367" s="985">
        <f t="shared" si="211"/>
        <v>0</v>
      </c>
      <c r="K367" s="985">
        <f t="shared" si="211"/>
        <v>0</v>
      </c>
      <c r="L367" s="985">
        <f t="shared" si="211"/>
        <v>0</v>
      </c>
      <c r="M367" s="985">
        <f t="shared" si="211"/>
        <v>0</v>
      </c>
      <c r="N367" s="985">
        <f t="shared" si="211"/>
        <v>0</v>
      </c>
    </row>
    <row r="368" spans="1:14" s="951" customFormat="1" ht="12" hidden="1">
      <c r="A368" s="2329"/>
      <c r="B368" s="2425"/>
      <c r="C368" s="2045" t="s">
        <v>2850</v>
      </c>
      <c r="D368" s="1093">
        <v>1</v>
      </c>
      <c r="E368" s="1101">
        <v>0.01</v>
      </c>
      <c r="F368" s="949">
        <f>SUM(G368:N368)</f>
        <v>0</v>
      </c>
      <c r="G368" s="985">
        <f t="shared" ref="G368:N368" si="212">IF(G304="積上げ",0,+G343)</f>
        <v>0</v>
      </c>
      <c r="H368" s="985">
        <f t="shared" si="212"/>
        <v>0</v>
      </c>
      <c r="I368" s="985">
        <f t="shared" si="212"/>
        <v>0</v>
      </c>
      <c r="J368" s="985">
        <f t="shared" si="212"/>
        <v>0</v>
      </c>
      <c r="K368" s="985">
        <f t="shared" si="212"/>
        <v>0</v>
      </c>
      <c r="L368" s="985">
        <f t="shared" si="212"/>
        <v>0</v>
      </c>
      <c r="M368" s="985">
        <f t="shared" si="212"/>
        <v>0</v>
      </c>
      <c r="N368" s="985">
        <f t="shared" si="212"/>
        <v>0</v>
      </c>
    </row>
    <row r="369" spans="1:14" s="951" customFormat="1" ht="12" hidden="1">
      <c r="A369" s="2329"/>
      <c r="B369" s="2424"/>
      <c r="C369" s="1092" t="s">
        <v>2851</v>
      </c>
      <c r="D369" s="1093">
        <v>1</v>
      </c>
      <c r="E369" s="1101">
        <v>0.01</v>
      </c>
      <c r="F369" s="949">
        <f>SUM(G369:N369)</f>
        <v>0</v>
      </c>
      <c r="G369" s="985">
        <f t="shared" ref="G369:N369" si="213">IF(G304="積上げ",0,+G344)</f>
        <v>0</v>
      </c>
      <c r="H369" s="985">
        <f t="shared" si="213"/>
        <v>0</v>
      </c>
      <c r="I369" s="985">
        <f t="shared" si="213"/>
        <v>0</v>
      </c>
      <c r="J369" s="985">
        <f t="shared" si="213"/>
        <v>0</v>
      </c>
      <c r="K369" s="985">
        <f t="shared" si="213"/>
        <v>0</v>
      </c>
      <c r="L369" s="985">
        <f t="shared" si="213"/>
        <v>0</v>
      </c>
      <c r="M369" s="985">
        <f t="shared" si="213"/>
        <v>0</v>
      </c>
      <c r="N369" s="985">
        <f t="shared" si="213"/>
        <v>0</v>
      </c>
    </row>
    <row r="370" spans="1:14" s="951" customFormat="1" ht="12" hidden="1">
      <c r="A370" s="2330"/>
      <c r="B370" s="2046" t="s">
        <v>2872</v>
      </c>
      <c r="C370" s="2051" t="s">
        <v>3143</v>
      </c>
      <c r="D370" s="1105">
        <v>1</v>
      </c>
      <c r="E370" s="1106">
        <v>0</v>
      </c>
      <c r="F370" s="1107">
        <f>SUM(G370:N370)</f>
        <v>0</v>
      </c>
      <c r="G370" s="1108">
        <f>IF(G304="積上げ",0,SUM(G348:G351)+G345)</f>
        <v>0</v>
      </c>
      <c r="H370" s="1108">
        <f t="shared" ref="H370:N370" si="214">IF(H304="積上げ",0,SUM(H348:H351)+H345)</f>
        <v>0</v>
      </c>
      <c r="I370" s="1108">
        <f t="shared" si="214"/>
        <v>0</v>
      </c>
      <c r="J370" s="1108">
        <f t="shared" si="214"/>
        <v>0</v>
      </c>
      <c r="K370" s="1108">
        <f t="shared" si="214"/>
        <v>0</v>
      </c>
      <c r="L370" s="1108">
        <f t="shared" si="214"/>
        <v>0</v>
      </c>
      <c r="M370" s="1108">
        <f t="shared" si="214"/>
        <v>0</v>
      </c>
      <c r="N370" s="1108">
        <f t="shared" si="214"/>
        <v>0</v>
      </c>
    </row>
    <row r="371" spans="1:14" s="951" customFormat="1" ht="12" hidden="1">
      <c r="A371" s="1110"/>
      <c r="B371" s="2047"/>
      <c r="C371" s="2048"/>
      <c r="D371" s="2332"/>
      <c r="E371" s="2332"/>
      <c r="F371" s="1088"/>
      <c r="G371" s="1089"/>
      <c r="H371" s="1089"/>
      <c r="I371" s="1089"/>
      <c r="J371" s="1089"/>
      <c r="K371" s="1089"/>
      <c r="L371" s="1089"/>
      <c r="M371" s="1089"/>
      <c r="N371" s="1113"/>
    </row>
    <row r="372" spans="1:14" s="951" customFormat="1" hidden="1">
      <c r="A372" s="2326" t="s">
        <v>2874</v>
      </c>
      <c r="B372" s="2327"/>
      <c r="C372" s="2441"/>
      <c r="D372" s="2333"/>
      <c r="E372" s="2333"/>
      <c r="F372" s="1081"/>
      <c r="G372" s="1082"/>
      <c r="H372" s="1082"/>
      <c r="I372" s="1082"/>
      <c r="J372" s="1082"/>
      <c r="K372" s="1082"/>
      <c r="L372" s="1082"/>
      <c r="M372" s="1082"/>
      <c r="N372" s="1083"/>
    </row>
    <row r="373" spans="1:14" s="951" customFormat="1" ht="12" hidden="1">
      <c r="A373" s="2328"/>
      <c r="B373" s="2443" t="s">
        <v>2107</v>
      </c>
      <c r="C373" s="1114" t="s">
        <v>2838</v>
      </c>
      <c r="D373" s="1115"/>
      <c r="E373" s="1116" t="s">
        <v>2867</v>
      </c>
      <c r="F373" s="1117" t="s">
        <v>2875</v>
      </c>
      <c r="G373" s="1118">
        <f t="shared" ref="G373:N373" si="215">IF(G357=0,0,IF(G305="有り",+G478/100,G479/100))</f>
        <v>0</v>
      </c>
      <c r="H373" s="1118">
        <f t="shared" si="215"/>
        <v>0</v>
      </c>
      <c r="I373" s="1118">
        <f t="shared" si="215"/>
        <v>0</v>
      </c>
      <c r="J373" s="1118">
        <f t="shared" si="215"/>
        <v>0</v>
      </c>
      <c r="K373" s="1118">
        <f t="shared" si="215"/>
        <v>0</v>
      </c>
      <c r="L373" s="1118">
        <f t="shared" si="215"/>
        <v>0</v>
      </c>
      <c r="M373" s="1118">
        <f t="shared" si="215"/>
        <v>0</v>
      </c>
      <c r="N373" s="1119">
        <f t="shared" si="215"/>
        <v>0</v>
      </c>
    </row>
    <row r="374" spans="1:14" s="951" customFormat="1" ht="12" hidden="1">
      <c r="A374" s="2329"/>
      <c r="B374" s="2425"/>
      <c r="C374" s="1120"/>
      <c r="D374" s="1121">
        <f>+D357</f>
        <v>1</v>
      </c>
      <c r="E374" s="1122" t="s">
        <v>2867</v>
      </c>
      <c r="F374" s="1123">
        <f>SUM(G374:N374)</f>
        <v>0</v>
      </c>
      <c r="G374" s="940">
        <f t="shared" ref="G374:N374" si="216">ROUNDDOWN(G357*G373*$D374,0)</f>
        <v>0</v>
      </c>
      <c r="H374" s="940">
        <f t="shared" si="216"/>
        <v>0</v>
      </c>
      <c r="I374" s="940">
        <f t="shared" si="216"/>
        <v>0</v>
      </c>
      <c r="J374" s="940">
        <f t="shared" si="216"/>
        <v>0</v>
      </c>
      <c r="K374" s="940">
        <f t="shared" si="216"/>
        <v>0</v>
      </c>
      <c r="L374" s="940">
        <f t="shared" si="216"/>
        <v>0</v>
      </c>
      <c r="M374" s="940">
        <f t="shared" si="216"/>
        <v>0</v>
      </c>
      <c r="N374" s="1124">
        <f t="shared" si="216"/>
        <v>0</v>
      </c>
    </row>
    <row r="375" spans="1:14" s="951" customFormat="1" ht="12" hidden="1">
      <c r="A375" s="2329"/>
      <c r="B375" s="2425"/>
      <c r="C375" s="1125" t="s">
        <v>2839</v>
      </c>
      <c r="D375" s="1126"/>
      <c r="E375" s="1122" t="s">
        <v>2867</v>
      </c>
      <c r="F375" s="1127" t="s">
        <v>2875</v>
      </c>
      <c r="G375" s="1129">
        <f t="shared" ref="G375:N375" si="217">IF(G358=0,0,IF(G305="有り",G487/100,+G488/100))</f>
        <v>0</v>
      </c>
      <c r="H375" s="1129">
        <f t="shared" si="217"/>
        <v>0</v>
      </c>
      <c r="I375" s="1129">
        <f t="shared" si="217"/>
        <v>0</v>
      </c>
      <c r="J375" s="1129">
        <f t="shared" si="217"/>
        <v>0</v>
      </c>
      <c r="K375" s="1129">
        <f t="shared" si="217"/>
        <v>0</v>
      </c>
      <c r="L375" s="1129">
        <f t="shared" si="217"/>
        <v>0</v>
      </c>
      <c r="M375" s="1129">
        <f t="shared" si="217"/>
        <v>0</v>
      </c>
      <c r="N375" s="1130">
        <f t="shared" si="217"/>
        <v>0</v>
      </c>
    </row>
    <row r="376" spans="1:14" s="951" customFormat="1" ht="12" hidden="1">
      <c r="A376" s="2329"/>
      <c r="B376" s="2425"/>
      <c r="C376" s="1120"/>
      <c r="D376" s="1131">
        <f t="shared" ref="D376:D381" si="218">+D358</f>
        <v>1</v>
      </c>
      <c r="E376" s="1122" t="s">
        <v>3142</v>
      </c>
      <c r="F376" s="1123">
        <f>SUM(G376:N376)</f>
        <v>0</v>
      </c>
      <c r="G376" s="940">
        <f t="shared" ref="G376:N376" si="219">ROUNDDOWN(G358*G375*$D376,0)</f>
        <v>0</v>
      </c>
      <c r="H376" s="940">
        <f t="shared" si="219"/>
        <v>0</v>
      </c>
      <c r="I376" s="940">
        <f t="shared" si="219"/>
        <v>0</v>
      </c>
      <c r="J376" s="940">
        <f t="shared" si="219"/>
        <v>0</v>
      </c>
      <c r="K376" s="940">
        <f t="shared" si="219"/>
        <v>0</v>
      </c>
      <c r="L376" s="940">
        <f t="shared" si="219"/>
        <v>0</v>
      </c>
      <c r="M376" s="940">
        <f t="shared" si="219"/>
        <v>0</v>
      </c>
      <c r="N376" s="1124">
        <f t="shared" si="219"/>
        <v>0</v>
      </c>
    </row>
    <row r="377" spans="1:14" s="951" customFormat="1" ht="12" hidden="1">
      <c r="A377" s="2329"/>
      <c r="B377" s="2425"/>
      <c r="C377" s="1092" t="s">
        <v>2876</v>
      </c>
      <c r="D377" s="1132">
        <v>0.9</v>
      </c>
      <c r="E377" s="1122" t="s">
        <v>3142</v>
      </c>
      <c r="F377" s="1123">
        <f>SUM(G377:N377)</f>
        <v>0</v>
      </c>
      <c r="G377" s="940">
        <f t="shared" ref="G377:N377" si="220">ROUNDDOWN(G359*G373*$D377,0)</f>
        <v>0</v>
      </c>
      <c r="H377" s="940">
        <f t="shared" si="220"/>
        <v>0</v>
      </c>
      <c r="I377" s="940">
        <f t="shared" si="220"/>
        <v>0</v>
      </c>
      <c r="J377" s="940">
        <f t="shared" si="220"/>
        <v>0</v>
      </c>
      <c r="K377" s="940">
        <f t="shared" si="220"/>
        <v>0</v>
      </c>
      <c r="L377" s="940">
        <f t="shared" si="220"/>
        <v>0</v>
      </c>
      <c r="M377" s="940">
        <f t="shared" si="220"/>
        <v>0</v>
      </c>
      <c r="N377" s="1124">
        <f t="shared" si="220"/>
        <v>0</v>
      </c>
    </row>
    <row r="378" spans="1:14" s="951" customFormat="1" ht="12" hidden="1">
      <c r="A378" s="2329"/>
      <c r="B378" s="2424"/>
      <c r="C378" s="1092" t="s">
        <v>2877</v>
      </c>
      <c r="D378" s="1132">
        <v>0.9</v>
      </c>
      <c r="E378" s="1122" t="s">
        <v>3142</v>
      </c>
      <c r="F378" s="1123">
        <f>SUM(G378:N378)</f>
        <v>0</v>
      </c>
      <c r="G378" s="940">
        <f t="shared" ref="G378:N378" si="221">ROUNDDOWN(G360*G375*$D378,0)</f>
        <v>0</v>
      </c>
      <c r="H378" s="940">
        <f t="shared" si="221"/>
        <v>0</v>
      </c>
      <c r="I378" s="940">
        <f t="shared" si="221"/>
        <v>0</v>
      </c>
      <c r="J378" s="940">
        <f t="shared" si="221"/>
        <v>0</v>
      </c>
      <c r="K378" s="940">
        <f t="shared" si="221"/>
        <v>0</v>
      </c>
      <c r="L378" s="940">
        <f t="shared" si="221"/>
        <v>0</v>
      </c>
      <c r="M378" s="940">
        <f t="shared" si="221"/>
        <v>0</v>
      </c>
      <c r="N378" s="1124">
        <f t="shared" si="221"/>
        <v>0</v>
      </c>
    </row>
    <row r="379" spans="1:14" s="951" customFormat="1" ht="12" hidden="1">
      <c r="A379" s="2329"/>
      <c r="B379" s="2316" t="s">
        <v>2842</v>
      </c>
      <c r="C379" s="1092" t="s">
        <v>2870</v>
      </c>
      <c r="D379" s="1132">
        <f>+D361</f>
        <v>1</v>
      </c>
      <c r="E379" s="1101">
        <f>+E361</f>
        <v>0.01</v>
      </c>
      <c r="F379" s="949">
        <v>0</v>
      </c>
      <c r="G379" s="940">
        <f t="shared" ref="G379:N388" si="222">ROUNDDOWN(G361*$E379*$D379,0)</f>
        <v>0</v>
      </c>
      <c r="H379" s="940">
        <f t="shared" si="222"/>
        <v>0</v>
      </c>
      <c r="I379" s="940">
        <f t="shared" si="222"/>
        <v>0</v>
      </c>
      <c r="J379" s="940">
        <f t="shared" si="222"/>
        <v>0</v>
      </c>
      <c r="K379" s="940">
        <f t="shared" si="222"/>
        <v>0</v>
      </c>
      <c r="L379" s="940">
        <f t="shared" si="222"/>
        <v>0</v>
      </c>
      <c r="M379" s="940">
        <f t="shared" si="222"/>
        <v>0</v>
      </c>
      <c r="N379" s="940">
        <f t="shared" si="222"/>
        <v>0</v>
      </c>
    </row>
    <row r="380" spans="1:14" s="951" customFormat="1" ht="12" hidden="1">
      <c r="A380" s="2329"/>
      <c r="B380" s="2425"/>
      <c r="C380" s="1092" t="s">
        <v>2878</v>
      </c>
      <c r="D380" s="1132">
        <f t="shared" si="218"/>
        <v>1</v>
      </c>
      <c r="E380" s="1101">
        <f>+E362</f>
        <v>0.01</v>
      </c>
      <c r="F380" s="949">
        <v>0</v>
      </c>
      <c r="G380" s="940">
        <f t="shared" si="222"/>
        <v>0</v>
      </c>
      <c r="H380" s="940">
        <f t="shared" si="222"/>
        <v>0</v>
      </c>
      <c r="I380" s="940">
        <f t="shared" si="222"/>
        <v>0</v>
      </c>
      <c r="J380" s="940">
        <f t="shared" si="222"/>
        <v>0</v>
      </c>
      <c r="K380" s="940">
        <f t="shared" si="222"/>
        <v>0</v>
      </c>
      <c r="L380" s="940">
        <f t="shared" si="222"/>
        <v>0</v>
      </c>
      <c r="M380" s="940">
        <f t="shared" si="222"/>
        <v>0</v>
      </c>
      <c r="N380" s="940">
        <f t="shared" si="222"/>
        <v>0</v>
      </c>
    </row>
    <row r="381" spans="1:14" s="951" customFormat="1" ht="12" hidden="1">
      <c r="A381" s="2329"/>
      <c r="B381" s="2425"/>
      <c r="C381" s="1092" t="s">
        <v>2845</v>
      </c>
      <c r="D381" s="1132">
        <f t="shared" si="218"/>
        <v>1</v>
      </c>
      <c r="E381" s="1101">
        <f>+E363</f>
        <v>0.01</v>
      </c>
      <c r="F381" s="949">
        <v>0</v>
      </c>
      <c r="G381" s="940">
        <f t="shared" si="222"/>
        <v>0</v>
      </c>
      <c r="H381" s="940">
        <f t="shared" si="222"/>
        <v>0</v>
      </c>
      <c r="I381" s="940">
        <f t="shared" si="222"/>
        <v>0</v>
      </c>
      <c r="J381" s="940">
        <f t="shared" si="222"/>
        <v>0</v>
      </c>
      <c r="K381" s="940">
        <f t="shared" si="222"/>
        <v>0</v>
      </c>
      <c r="L381" s="940">
        <f t="shared" si="222"/>
        <v>0</v>
      </c>
      <c r="M381" s="940">
        <f t="shared" si="222"/>
        <v>0</v>
      </c>
      <c r="N381" s="940">
        <f t="shared" si="222"/>
        <v>0</v>
      </c>
    </row>
    <row r="382" spans="1:14" s="951" customFormat="1" ht="12" hidden="1">
      <c r="A382" s="2329"/>
      <c r="B382" s="2425"/>
      <c r="C382" s="1092" t="s">
        <v>2879</v>
      </c>
      <c r="D382" s="1132"/>
      <c r="E382" s="1101"/>
      <c r="F382" s="949"/>
      <c r="G382" s="940"/>
      <c r="H382" s="940"/>
      <c r="I382" s="940"/>
      <c r="J382" s="940"/>
      <c r="K382" s="940"/>
      <c r="L382" s="940"/>
      <c r="M382" s="940"/>
      <c r="N382" s="940"/>
    </row>
    <row r="383" spans="1:14" s="951" customFormat="1" ht="12" hidden="1">
      <c r="A383" s="2329"/>
      <c r="B383" s="2425"/>
      <c r="C383" s="2049" t="s">
        <v>2847</v>
      </c>
      <c r="D383" s="1132"/>
      <c r="E383" s="1101"/>
      <c r="F383" s="949"/>
      <c r="G383" s="940"/>
      <c r="H383" s="940"/>
      <c r="I383" s="940"/>
      <c r="J383" s="940"/>
      <c r="K383" s="940"/>
      <c r="L383" s="940"/>
      <c r="M383" s="940"/>
      <c r="N383" s="940"/>
    </row>
    <row r="384" spans="1:14" s="951" customFormat="1" ht="12" hidden="1">
      <c r="A384" s="2329"/>
      <c r="B384" s="2425"/>
      <c r="C384" s="1092" t="s">
        <v>2848</v>
      </c>
      <c r="D384" s="1132">
        <f t="shared" ref="D384:E388" si="223">+D366</f>
        <v>1</v>
      </c>
      <c r="E384" s="1101">
        <f t="shared" si="223"/>
        <v>0.01</v>
      </c>
      <c r="F384" s="949">
        <v>0</v>
      </c>
      <c r="G384" s="940">
        <f t="shared" si="222"/>
        <v>0</v>
      </c>
      <c r="H384" s="940">
        <f t="shared" si="222"/>
        <v>0</v>
      </c>
      <c r="I384" s="940">
        <f t="shared" si="222"/>
        <v>0</v>
      </c>
      <c r="J384" s="940">
        <f t="shared" si="222"/>
        <v>0</v>
      </c>
      <c r="K384" s="940">
        <f t="shared" si="222"/>
        <v>0</v>
      </c>
      <c r="L384" s="940">
        <f t="shared" si="222"/>
        <v>0</v>
      </c>
      <c r="M384" s="940">
        <f t="shared" si="222"/>
        <v>0</v>
      </c>
      <c r="N384" s="940">
        <f t="shared" si="222"/>
        <v>0</v>
      </c>
    </row>
    <row r="385" spans="1:14" s="951" customFormat="1" ht="12" hidden="1">
      <c r="A385" s="2329"/>
      <c r="B385" s="2425"/>
      <c r="C385" s="2045" t="s">
        <v>2880</v>
      </c>
      <c r="D385" s="1132">
        <f t="shared" si="223"/>
        <v>1</v>
      </c>
      <c r="E385" s="1101">
        <f t="shared" si="223"/>
        <v>0.01</v>
      </c>
      <c r="F385" s="949">
        <v>0</v>
      </c>
      <c r="G385" s="940">
        <f t="shared" si="222"/>
        <v>0</v>
      </c>
      <c r="H385" s="940">
        <f t="shared" si="222"/>
        <v>0</v>
      </c>
      <c r="I385" s="940">
        <f t="shared" si="222"/>
        <v>0</v>
      </c>
      <c r="J385" s="940">
        <f t="shared" si="222"/>
        <v>0</v>
      </c>
      <c r="K385" s="940">
        <f t="shared" si="222"/>
        <v>0</v>
      </c>
      <c r="L385" s="940">
        <f t="shared" si="222"/>
        <v>0</v>
      </c>
      <c r="M385" s="940">
        <f t="shared" si="222"/>
        <v>0</v>
      </c>
      <c r="N385" s="940">
        <f t="shared" si="222"/>
        <v>0</v>
      </c>
    </row>
    <row r="386" spans="1:14" s="951" customFormat="1" ht="12" hidden="1">
      <c r="A386" s="2329"/>
      <c r="B386" s="2425"/>
      <c r="C386" s="2045" t="s">
        <v>2881</v>
      </c>
      <c r="D386" s="1132">
        <f t="shared" si="223"/>
        <v>1</v>
      </c>
      <c r="E386" s="1101">
        <f t="shared" si="223"/>
        <v>0.01</v>
      </c>
      <c r="F386" s="949">
        <v>0</v>
      </c>
      <c r="G386" s="940">
        <f t="shared" si="222"/>
        <v>0</v>
      </c>
      <c r="H386" s="940">
        <f t="shared" si="222"/>
        <v>0</v>
      </c>
      <c r="I386" s="940">
        <f t="shared" si="222"/>
        <v>0</v>
      </c>
      <c r="J386" s="940">
        <f t="shared" si="222"/>
        <v>0</v>
      </c>
      <c r="K386" s="940">
        <f t="shared" si="222"/>
        <v>0</v>
      </c>
      <c r="L386" s="940">
        <f t="shared" si="222"/>
        <v>0</v>
      </c>
      <c r="M386" s="940">
        <f t="shared" si="222"/>
        <v>0</v>
      </c>
      <c r="N386" s="940">
        <f t="shared" si="222"/>
        <v>0</v>
      </c>
    </row>
    <row r="387" spans="1:14" s="951" customFormat="1" ht="12" hidden="1">
      <c r="A387" s="2329"/>
      <c r="B387" s="2424"/>
      <c r="C387" s="1092" t="s">
        <v>2851</v>
      </c>
      <c r="D387" s="1132">
        <f t="shared" si="223"/>
        <v>1</v>
      </c>
      <c r="E387" s="1101">
        <f t="shared" si="223"/>
        <v>0.01</v>
      </c>
      <c r="F387" s="949">
        <v>0</v>
      </c>
      <c r="G387" s="940">
        <f t="shared" si="222"/>
        <v>0</v>
      </c>
      <c r="H387" s="940">
        <f t="shared" si="222"/>
        <v>0</v>
      </c>
      <c r="I387" s="940">
        <f t="shared" si="222"/>
        <v>0</v>
      </c>
      <c r="J387" s="940">
        <f t="shared" si="222"/>
        <v>0</v>
      </c>
      <c r="K387" s="940">
        <f t="shared" si="222"/>
        <v>0</v>
      </c>
      <c r="L387" s="940">
        <f t="shared" si="222"/>
        <v>0</v>
      </c>
      <c r="M387" s="940">
        <f t="shared" si="222"/>
        <v>0</v>
      </c>
      <c r="N387" s="940">
        <f t="shared" si="222"/>
        <v>0</v>
      </c>
    </row>
    <row r="388" spans="1:14" s="951" customFormat="1" ht="12.75" hidden="1" thickBot="1">
      <c r="A388" s="2442"/>
      <c r="B388" s="2050" t="s">
        <v>2872</v>
      </c>
      <c r="C388" s="2051" t="s">
        <v>2882</v>
      </c>
      <c r="D388" s="2052">
        <f t="shared" si="223"/>
        <v>1</v>
      </c>
      <c r="E388" s="2053">
        <f t="shared" si="223"/>
        <v>0</v>
      </c>
      <c r="F388" s="1218">
        <f>ROUNDDOWN(D388*E388*F370,0)</f>
        <v>0</v>
      </c>
      <c r="G388" s="940">
        <f>ROUNDDOWN(G370*$E388*$D388,0)</f>
        <v>0</v>
      </c>
      <c r="H388" s="940">
        <f>ROUNDDOWN(H370*$E388*$D388,0)</f>
        <v>0</v>
      </c>
      <c r="I388" s="940">
        <f>ROUNDDOWN(I370*$E388*$D388,0)</f>
        <v>0</v>
      </c>
      <c r="J388" s="940">
        <f>ROUNDDOWN(J370*$E388*$D388,0)</f>
        <v>0</v>
      </c>
      <c r="K388" s="940">
        <f t="shared" si="222"/>
        <v>0</v>
      </c>
      <c r="L388" s="940">
        <f t="shared" si="222"/>
        <v>0</v>
      </c>
      <c r="M388" s="940">
        <f t="shared" si="222"/>
        <v>0</v>
      </c>
      <c r="N388" s="940">
        <f t="shared" si="222"/>
        <v>0</v>
      </c>
    </row>
    <row r="389" spans="1:14" s="951" customFormat="1" ht="12.75" hidden="1" thickTop="1">
      <c r="A389" s="2054"/>
      <c r="B389" s="2055"/>
      <c r="C389" s="2056" t="s">
        <v>2883</v>
      </c>
      <c r="D389" s="2057"/>
      <c r="E389" s="2058"/>
      <c r="F389" s="2059">
        <f>SUM(G389:N389)</f>
        <v>0</v>
      </c>
      <c r="G389" s="2060">
        <f>SUM(G376:G388)+G374</f>
        <v>0</v>
      </c>
      <c r="H389" s="2060">
        <f t="shared" ref="H389:N389" si="224">SUM(H376:H388)+H374</f>
        <v>0</v>
      </c>
      <c r="I389" s="2060">
        <f t="shared" si="224"/>
        <v>0</v>
      </c>
      <c r="J389" s="2060">
        <f t="shared" si="224"/>
        <v>0</v>
      </c>
      <c r="K389" s="2060">
        <f t="shared" si="224"/>
        <v>0</v>
      </c>
      <c r="L389" s="2060">
        <f t="shared" si="224"/>
        <v>0</v>
      </c>
      <c r="M389" s="2060">
        <f t="shared" si="224"/>
        <v>0</v>
      </c>
      <c r="N389" s="2061">
        <f t="shared" si="224"/>
        <v>0</v>
      </c>
    </row>
    <row r="390" spans="1:14" s="951" customFormat="1" ht="12">
      <c r="A390" s="946"/>
      <c r="B390" s="946"/>
      <c r="C390" s="954"/>
      <c r="D390" s="954"/>
      <c r="E390" s="946"/>
      <c r="F390" s="1071"/>
      <c r="G390" s="1072"/>
      <c r="H390" s="1072"/>
      <c r="I390" s="1072"/>
      <c r="J390" s="1072"/>
      <c r="K390" s="1072"/>
      <c r="L390" s="1072"/>
      <c r="M390" s="1072"/>
      <c r="N390" s="1072"/>
    </row>
    <row r="391" spans="1:14" s="951" customFormat="1">
      <c r="A391" s="946"/>
      <c r="B391" s="946"/>
      <c r="C391" s="1073" t="s">
        <v>3144</v>
      </c>
      <c r="D391" s="1073"/>
      <c r="E391" s="1074"/>
      <c r="F391" s="837"/>
      <c r="G391" s="842"/>
      <c r="H391" s="842"/>
      <c r="I391" s="842"/>
      <c r="J391" s="842"/>
      <c r="K391" s="842"/>
      <c r="L391" s="842"/>
      <c r="M391" s="842"/>
      <c r="N391" s="844" t="s">
        <v>3145</v>
      </c>
    </row>
    <row r="392" spans="1:14" s="951" customFormat="1" ht="12">
      <c r="A392" s="946"/>
      <c r="B392" s="946"/>
      <c r="C392" s="1075" t="s">
        <v>2886</v>
      </c>
      <c r="D392" s="1075"/>
      <c r="E392" s="1074"/>
      <c r="F392" s="837"/>
      <c r="G392" s="842"/>
      <c r="H392" s="842"/>
      <c r="I392" s="842"/>
      <c r="J392" s="842"/>
      <c r="K392" s="842"/>
      <c r="L392" s="842"/>
      <c r="M392" s="842"/>
      <c r="N392" s="844"/>
    </row>
    <row r="393" spans="1:14" s="951" customFormat="1" ht="12">
      <c r="A393" s="1076"/>
      <c r="B393" s="1077"/>
      <c r="C393" s="1077"/>
      <c r="D393" s="2324" t="s">
        <v>2863</v>
      </c>
      <c r="E393" s="2324" t="s">
        <v>3146</v>
      </c>
      <c r="F393" s="1078" t="s">
        <v>2836</v>
      </c>
      <c r="G393" s="1079">
        <f t="shared" ref="G393:N393" si="225">+G302</f>
        <v>0</v>
      </c>
      <c r="H393" s="1079">
        <f t="shared" si="225"/>
        <v>0</v>
      </c>
      <c r="I393" s="1079">
        <f t="shared" si="225"/>
        <v>0</v>
      </c>
      <c r="J393" s="1079">
        <f t="shared" si="225"/>
        <v>0</v>
      </c>
      <c r="K393" s="1079">
        <f t="shared" si="225"/>
        <v>0</v>
      </c>
      <c r="L393" s="1079">
        <f t="shared" si="225"/>
        <v>0</v>
      </c>
      <c r="M393" s="1079">
        <f t="shared" si="225"/>
        <v>0</v>
      </c>
      <c r="N393" s="1080">
        <f t="shared" si="225"/>
        <v>0</v>
      </c>
    </row>
    <row r="394" spans="1:14" s="951" customFormat="1">
      <c r="A394" s="2326" t="s">
        <v>2887</v>
      </c>
      <c r="B394" s="2327"/>
      <c r="C394" s="2441"/>
      <c r="D394" s="2325"/>
      <c r="E394" s="2325"/>
      <c r="F394" s="1081"/>
      <c r="G394" s="1082"/>
      <c r="H394" s="1082"/>
      <c r="I394" s="1082"/>
      <c r="J394" s="1082"/>
      <c r="K394" s="1082"/>
      <c r="L394" s="1082"/>
      <c r="M394" s="1082"/>
      <c r="N394" s="1083"/>
    </row>
    <row r="395" spans="1:14" s="951" customFormat="1" ht="12">
      <c r="A395" s="2328"/>
      <c r="B395" s="1084" t="s">
        <v>2888</v>
      </c>
      <c r="C395" s="1085"/>
      <c r="D395" s="1086"/>
      <c r="E395" s="1087"/>
      <c r="F395" s="1088">
        <f t="shared" ref="F395:F402" si="226">SUM(G395:N395)</f>
        <v>0</v>
      </c>
      <c r="G395" s="1089">
        <f t="shared" ref="G395:N395" si="227">+G306-G350-G349-G345-G346</f>
        <v>0</v>
      </c>
      <c r="H395" s="1089">
        <f t="shared" si="227"/>
        <v>0</v>
      </c>
      <c r="I395" s="1089">
        <f t="shared" si="227"/>
        <v>0</v>
      </c>
      <c r="J395" s="1089">
        <f t="shared" si="227"/>
        <v>0</v>
      </c>
      <c r="K395" s="1089">
        <f t="shared" si="227"/>
        <v>0</v>
      </c>
      <c r="L395" s="1089">
        <f t="shared" si="227"/>
        <v>0</v>
      </c>
      <c r="M395" s="1089">
        <f t="shared" si="227"/>
        <v>0</v>
      </c>
      <c r="N395" s="1113">
        <f t="shared" si="227"/>
        <v>0</v>
      </c>
    </row>
    <row r="396" spans="1:14" s="951" customFormat="1" ht="12">
      <c r="A396" s="2329"/>
      <c r="B396" s="2316" t="s">
        <v>2107</v>
      </c>
      <c r="C396" s="1092" t="s">
        <v>2838</v>
      </c>
      <c r="D396" s="1093">
        <v>1</v>
      </c>
      <c r="E396" s="1094" t="s">
        <v>2867</v>
      </c>
      <c r="F396" s="949">
        <f t="shared" si="226"/>
        <v>0</v>
      </c>
      <c r="G396" s="985">
        <f>IF(G332&gt;=G333,+G332+G374+G313-G314-G315-G350,G332+G374)</f>
        <v>0</v>
      </c>
      <c r="H396" s="985">
        <f t="shared" ref="H396:N396" si="228">IF(H332&gt;=H333,+H332+H374+H313-H314-H315-H350,H332+H374)</f>
        <v>0</v>
      </c>
      <c r="I396" s="985">
        <f t="shared" si="228"/>
        <v>0</v>
      </c>
      <c r="J396" s="985">
        <f t="shared" si="228"/>
        <v>0</v>
      </c>
      <c r="K396" s="985">
        <f t="shared" si="228"/>
        <v>0</v>
      </c>
      <c r="L396" s="985">
        <f t="shared" si="228"/>
        <v>0</v>
      </c>
      <c r="M396" s="985">
        <f t="shared" si="228"/>
        <v>0</v>
      </c>
      <c r="N396" s="986">
        <f t="shared" si="228"/>
        <v>0</v>
      </c>
    </row>
    <row r="397" spans="1:14" s="951" customFormat="1" ht="12">
      <c r="A397" s="2329"/>
      <c r="B397" s="2425"/>
      <c r="C397" s="1092" t="s">
        <v>2839</v>
      </c>
      <c r="D397" s="1093">
        <v>1</v>
      </c>
      <c r="E397" s="1094" t="s">
        <v>2867</v>
      </c>
      <c r="F397" s="949">
        <f t="shared" si="226"/>
        <v>0</v>
      </c>
      <c r="G397" s="985">
        <f>IF(G332&gt;=G333,+G333+G376,G333+G376+G313-G314-G315-G350)</f>
        <v>0</v>
      </c>
      <c r="H397" s="985">
        <f t="shared" ref="H397:N397" si="229">IF(H332&gt;=H333,+H333+H376,H333+H376+H313-H314-H315-H350)</f>
        <v>0</v>
      </c>
      <c r="I397" s="985">
        <f t="shared" si="229"/>
        <v>0</v>
      </c>
      <c r="J397" s="985">
        <f t="shared" si="229"/>
        <v>0</v>
      </c>
      <c r="K397" s="985">
        <f t="shared" si="229"/>
        <v>0</v>
      </c>
      <c r="L397" s="985">
        <f t="shared" si="229"/>
        <v>0</v>
      </c>
      <c r="M397" s="985">
        <f t="shared" si="229"/>
        <v>0</v>
      </c>
      <c r="N397" s="986">
        <f t="shared" si="229"/>
        <v>0</v>
      </c>
    </row>
    <row r="398" spans="1:14" s="951" customFormat="1" ht="12">
      <c r="A398" s="2329"/>
      <c r="B398" s="2425"/>
      <c r="C398" s="1092" t="s">
        <v>2868</v>
      </c>
      <c r="D398" s="1093">
        <v>1</v>
      </c>
      <c r="E398" s="1094" t="s">
        <v>3147</v>
      </c>
      <c r="F398" s="949">
        <f t="shared" si="226"/>
        <v>0</v>
      </c>
      <c r="G398" s="985">
        <f>+G334+G377</f>
        <v>0</v>
      </c>
      <c r="H398" s="985">
        <f t="shared" ref="H398:N398" si="230">+H334+H377</f>
        <v>0</v>
      </c>
      <c r="I398" s="985">
        <f t="shared" si="230"/>
        <v>0</v>
      </c>
      <c r="J398" s="985">
        <f t="shared" si="230"/>
        <v>0</v>
      </c>
      <c r="K398" s="985">
        <f t="shared" si="230"/>
        <v>0</v>
      </c>
      <c r="L398" s="985">
        <f t="shared" si="230"/>
        <v>0</v>
      </c>
      <c r="M398" s="985">
        <f t="shared" si="230"/>
        <v>0</v>
      </c>
      <c r="N398" s="986">
        <f t="shared" si="230"/>
        <v>0</v>
      </c>
    </row>
    <row r="399" spans="1:14" s="951" customFormat="1" ht="12">
      <c r="A399" s="2329"/>
      <c r="B399" s="2424"/>
      <c r="C399" s="1092" t="s">
        <v>2869</v>
      </c>
      <c r="D399" s="1093">
        <v>1</v>
      </c>
      <c r="E399" s="1094" t="s">
        <v>2867</v>
      </c>
      <c r="F399" s="949">
        <f t="shared" si="226"/>
        <v>0</v>
      </c>
      <c r="G399" s="985">
        <f>+G335+G360</f>
        <v>0</v>
      </c>
      <c r="H399" s="985">
        <f t="shared" ref="H399:N399" si="231">+H335+H360</f>
        <v>0</v>
      </c>
      <c r="I399" s="985">
        <f t="shared" si="231"/>
        <v>0</v>
      </c>
      <c r="J399" s="985">
        <f t="shared" si="231"/>
        <v>0</v>
      </c>
      <c r="K399" s="985">
        <f t="shared" si="231"/>
        <v>0</v>
      </c>
      <c r="L399" s="985">
        <f t="shared" si="231"/>
        <v>0</v>
      </c>
      <c r="M399" s="985">
        <f t="shared" si="231"/>
        <v>0</v>
      </c>
      <c r="N399" s="986">
        <f t="shared" si="231"/>
        <v>0</v>
      </c>
    </row>
    <row r="400" spans="1:14" s="951" customFormat="1" ht="12">
      <c r="A400" s="2329"/>
      <c r="B400" s="2316" t="s">
        <v>2842</v>
      </c>
      <c r="C400" s="1092" t="s">
        <v>2870</v>
      </c>
      <c r="D400" s="1093">
        <v>1</v>
      </c>
      <c r="E400" s="1101">
        <v>0.02</v>
      </c>
      <c r="F400" s="949">
        <f t="shared" si="226"/>
        <v>0</v>
      </c>
      <c r="G400" s="985">
        <f>+G336+G379</f>
        <v>0</v>
      </c>
      <c r="H400" s="985">
        <f t="shared" ref="H400:N402" si="232">+H336+H379</f>
        <v>0</v>
      </c>
      <c r="I400" s="985">
        <f t="shared" si="232"/>
        <v>0</v>
      </c>
      <c r="J400" s="985">
        <f t="shared" si="232"/>
        <v>0</v>
      </c>
      <c r="K400" s="985">
        <f t="shared" si="232"/>
        <v>0</v>
      </c>
      <c r="L400" s="985">
        <f t="shared" si="232"/>
        <v>0</v>
      </c>
      <c r="M400" s="985">
        <f t="shared" si="232"/>
        <v>0</v>
      </c>
      <c r="N400" s="986">
        <f t="shared" si="232"/>
        <v>0</v>
      </c>
    </row>
    <row r="401" spans="1:14" s="951" customFormat="1" ht="12">
      <c r="A401" s="2329"/>
      <c r="B401" s="2425"/>
      <c r="C401" s="1092" t="s">
        <v>3148</v>
      </c>
      <c r="D401" s="1093">
        <v>1</v>
      </c>
      <c r="E401" s="1101">
        <v>0.02</v>
      </c>
      <c r="F401" s="949">
        <f t="shared" si="226"/>
        <v>0</v>
      </c>
      <c r="G401" s="985">
        <f>+G337+G380</f>
        <v>0</v>
      </c>
      <c r="H401" s="985">
        <f t="shared" si="232"/>
        <v>0</v>
      </c>
      <c r="I401" s="985">
        <f t="shared" si="232"/>
        <v>0</v>
      </c>
      <c r="J401" s="985">
        <f t="shared" si="232"/>
        <v>0</v>
      </c>
      <c r="K401" s="985">
        <f t="shared" si="232"/>
        <v>0</v>
      </c>
      <c r="L401" s="985">
        <f t="shared" si="232"/>
        <v>0</v>
      </c>
      <c r="M401" s="985">
        <f t="shared" si="232"/>
        <v>0</v>
      </c>
      <c r="N401" s="986">
        <f t="shared" si="232"/>
        <v>0</v>
      </c>
    </row>
    <row r="402" spans="1:14" s="951" customFormat="1" ht="12">
      <c r="A402" s="2329"/>
      <c r="B402" s="2425"/>
      <c r="C402" s="1092" t="s">
        <v>2845</v>
      </c>
      <c r="D402" s="1093">
        <v>1</v>
      </c>
      <c r="E402" s="1101">
        <v>0.02</v>
      </c>
      <c r="F402" s="949">
        <f t="shared" si="226"/>
        <v>0</v>
      </c>
      <c r="G402" s="985">
        <f>+G338+G381</f>
        <v>0</v>
      </c>
      <c r="H402" s="985">
        <f t="shared" si="232"/>
        <v>0</v>
      </c>
      <c r="I402" s="985">
        <f t="shared" si="232"/>
        <v>0</v>
      </c>
      <c r="J402" s="985">
        <f t="shared" si="232"/>
        <v>0</v>
      </c>
      <c r="K402" s="985">
        <f t="shared" si="232"/>
        <v>0</v>
      </c>
      <c r="L402" s="985">
        <f t="shared" si="232"/>
        <v>0</v>
      </c>
      <c r="M402" s="985">
        <f t="shared" si="232"/>
        <v>0</v>
      </c>
      <c r="N402" s="986">
        <f t="shared" si="232"/>
        <v>0</v>
      </c>
    </row>
    <row r="403" spans="1:14" s="951" customFormat="1" ht="12">
      <c r="A403" s="2329"/>
      <c r="B403" s="2425"/>
      <c r="C403" s="1092" t="s">
        <v>3149</v>
      </c>
      <c r="D403" s="1093"/>
      <c r="E403" s="1101"/>
      <c r="F403" s="949"/>
      <c r="G403" s="985"/>
      <c r="H403" s="985"/>
      <c r="I403" s="985"/>
      <c r="J403" s="985"/>
      <c r="K403" s="985"/>
      <c r="L403" s="985"/>
      <c r="M403" s="985"/>
      <c r="N403" s="986"/>
    </row>
    <row r="404" spans="1:14" s="951" customFormat="1" ht="12">
      <c r="A404" s="2329"/>
      <c r="B404" s="2425"/>
      <c r="C404" s="1092" t="s">
        <v>2847</v>
      </c>
      <c r="D404" s="1093"/>
      <c r="E404" s="1101"/>
      <c r="F404" s="949"/>
      <c r="G404" s="985"/>
      <c r="H404" s="985"/>
      <c r="I404" s="985"/>
      <c r="J404" s="985"/>
      <c r="K404" s="985"/>
      <c r="L404" s="985"/>
      <c r="M404" s="985"/>
      <c r="N404" s="986"/>
    </row>
    <row r="405" spans="1:14" s="951" customFormat="1" ht="12">
      <c r="A405" s="2329"/>
      <c r="B405" s="2425"/>
      <c r="C405" s="1092" t="s">
        <v>2848</v>
      </c>
      <c r="D405" s="1093">
        <v>1</v>
      </c>
      <c r="E405" s="1101">
        <v>0.02</v>
      </c>
      <c r="F405" s="949">
        <f>SUM(G405:N405)</f>
        <v>0</v>
      </c>
      <c r="G405" s="985">
        <f t="shared" ref="G405:N408" si="233">+G341+G384</f>
        <v>0</v>
      </c>
      <c r="H405" s="985">
        <f t="shared" si="233"/>
        <v>0</v>
      </c>
      <c r="I405" s="985">
        <f t="shared" si="233"/>
        <v>0</v>
      </c>
      <c r="J405" s="985">
        <f t="shared" si="233"/>
        <v>0</v>
      </c>
      <c r="K405" s="985">
        <f t="shared" si="233"/>
        <v>0</v>
      </c>
      <c r="L405" s="985">
        <f t="shared" si="233"/>
        <v>0</v>
      </c>
      <c r="M405" s="985">
        <f t="shared" si="233"/>
        <v>0</v>
      </c>
      <c r="N405" s="986">
        <f t="shared" si="233"/>
        <v>0</v>
      </c>
    </row>
    <row r="406" spans="1:14" s="951" customFormat="1" ht="12">
      <c r="A406" s="2329"/>
      <c r="B406" s="2425"/>
      <c r="C406" s="2045" t="s">
        <v>2849</v>
      </c>
      <c r="D406" s="1093">
        <v>1</v>
      </c>
      <c r="E406" s="1101">
        <v>0.02</v>
      </c>
      <c r="F406" s="949">
        <f>SUM(G406:N406)</f>
        <v>0</v>
      </c>
      <c r="G406" s="985">
        <f t="shared" si="233"/>
        <v>0</v>
      </c>
      <c r="H406" s="985">
        <f t="shared" si="233"/>
        <v>0</v>
      </c>
      <c r="I406" s="985">
        <f t="shared" si="233"/>
        <v>0</v>
      </c>
      <c r="J406" s="985">
        <f t="shared" si="233"/>
        <v>0</v>
      </c>
      <c r="K406" s="985">
        <f t="shared" si="233"/>
        <v>0</v>
      </c>
      <c r="L406" s="985">
        <f t="shared" si="233"/>
        <v>0</v>
      </c>
      <c r="M406" s="985">
        <f t="shared" si="233"/>
        <v>0</v>
      </c>
      <c r="N406" s="986">
        <f t="shared" si="233"/>
        <v>0</v>
      </c>
    </row>
    <row r="407" spans="1:14" s="951" customFormat="1" ht="12">
      <c r="A407" s="2329"/>
      <c r="B407" s="2425"/>
      <c r="C407" s="2045" t="s">
        <v>2850</v>
      </c>
      <c r="D407" s="1093">
        <v>1</v>
      </c>
      <c r="E407" s="1101">
        <v>0.02</v>
      </c>
      <c r="F407" s="949">
        <f>SUM(G407:N407)</f>
        <v>0</v>
      </c>
      <c r="G407" s="985">
        <f t="shared" si="233"/>
        <v>0</v>
      </c>
      <c r="H407" s="985">
        <f t="shared" si="233"/>
        <v>0</v>
      </c>
      <c r="I407" s="985">
        <f t="shared" si="233"/>
        <v>0</v>
      </c>
      <c r="J407" s="985">
        <f t="shared" si="233"/>
        <v>0</v>
      </c>
      <c r="K407" s="985">
        <f t="shared" si="233"/>
        <v>0</v>
      </c>
      <c r="L407" s="985">
        <f t="shared" si="233"/>
        <v>0</v>
      </c>
      <c r="M407" s="985">
        <f t="shared" si="233"/>
        <v>0</v>
      </c>
      <c r="N407" s="986">
        <f t="shared" si="233"/>
        <v>0</v>
      </c>
    </row>
    <row r="408" spans="1:14" s="951" customFormat="1" ht="12">
      <c r="A408" s="2329"/>
      <c r="B408" s="2424"/>
      <c r="C408" s="1092" t="s">
        <v>2851</v>
      </c>
      <c r="D408" s="1093">
        <v>1</v>
      </c>
      <c r="E408" s="1101">
        <v>0.02</v>
      </c>
      <c r="F408" s="949">
        <f>SUM(G408:N408)</f>
        <v>0</v>
      </c>
      <c r="G408" s="985">
        <f t="shared" si="233"/>
        <v>0</v>
      </c>
      <c r="H408" s="985">
        <f t="shared" si="233"/>
        <v>0</v>
      </c>
      <c r="I408" s="985">
        <f t="shared" si="233"/>
        <v>0</v>
      </c>
      <c r="J408" s="985">
        <f t="shared" si="233"/>
        <v>0</v>
      </c>
      <c r="K408" s="985">
        <f t="shared" si="233"/>
        <v>0</v>
      </c>
      <c r="L408" s="985">
        <f t="shared" si="233"/>
        <v>0</v>
      </c>
      <c r="M408" s="985">
        <f t="shared" si="233"/>
        <v>0</v>
      </c>
      <c r="N408" s="986">
        <f t="shared" si="233"/>
        <v>0</v>
      </c>
    </row>
    <row r="409" spans="1:14" s="951" customFormat="1" ht="12">
      <c r="A409" s="2330"/>
      <c r="B409" s="2046" t="s">
        <v>2872</v>
      </c>
      <c r="C409" s="1194" t="s">
        <v>2889</v>
      </c>
      <c r="D409" s="1105">
        <v>1</v>
      </c>
      <c r="E409" s="1106">
        <v>0</v>
      </c>
      <c r="F409" s="1107">
        <f>SUM(G409:N409)</f>
        <v>0</v>
      </c>
      <c r="G409" s="1108">
        <f t="shared" ref="G409:N409" si="234">SUM(G345:G351)</f>
        <v>0</v>
      </c>
      <c r="H409" s="1108">
        <f t="shared" si="234"/>
        <v>0</v>
      </c>
      <c r="I409" s="1108">
        <f t="shared" si="234"/>
        <v>0</v>
      </c>
      <c r="J409" s="1108">
        <f t="shared" si="234"/>
        <v>0</v>
      </c>
      <c r="K409" s="1108">
        <f t="shared" si="234"/>
        <v>0</v>
      </c>
      <c r="L409" s="1108">
        <f t="shared" si="234"/>
        <v>0</v>
      </c>
      <c r="M409" s="1108">
        <f t="shared" si="234"/>
        <v>0</v>
      </c>
      <c r="N409" s="1109">
        <f t="shared" si="234"/>
        <v>0</v>
      </c>
    </row>
    <row r="410" spans="1:14" s="951" customFormat="1" ht="12">
      <c r="A410" s="1110"/>
      <c r="B410" s="2047"/>
      <c r="C410" s="2048"/>
      <c r="D410" s="2332"/>
      <c r="E410" s="2332"/>
      <c r="F410" s="1088"/>
      <c r="G410" s="1089"/>
      <c r="H410" s="1089"/>
      <c r="I410" s="1089"/>
      <c r="J410" s="1089"/>
      <c r="K410" s="1089"/>
      <c r="L410" s="1089"/>
      <c r="M410" s="1089"/>
      <c r="N410" s="1113"/>
    </row>
    <row r="411" spans="1:14" s="951" customFormat="1">
      <c r="A411" s="2326" t="s">
        <v>3150</v>
      </c>
      <c r="B411" s="2327"/>
      <c r="C411" s="2441"/>
      <c r="D411" s="2333"/>
      <c r="E411" s="2333"/>
      <c r="F411" s="1081"/>
      <c r="G411" s="1082"/>
      <c r="H411" s="1082"/>
      <c r="I411" s="1082"/>
      <c r="J411" s="1082"/>
      <c r="K411" s="1082"/>
      <c r="L411" s="1082"/>
      <c r="M411" s="1082"/>
      <c r="N411" s="1083"/>
    </row>
    <row r="412" spans="1:14" s="951" customFormat="1" ht="12">
      <c r="A412" s="2328"/>
      <c r="B412" s="2443" t="s">
        <v>3151</v>
      </c>
      <c r="C412" s="1114" t="s">
        <v>2838</v>
      </c>
      <c r="D412" s="1115"/>
      <c r="E412" s="1116" t="s">
        <v>3152</v>
      </c>
      <c r="F412" s="1117" t="s">
        <v>2875</v>
      </c>
      <c r="G412" s="1118">
        <f t="shared" ref="G412:N412" si="235">IF(G396=0,0,+G496/100)</f>
        <v>0</v>
      </c>
      <c r="H412" s="1118">
        <f t="shared" si="235"/>
        <v>0</v>
      </c>
      <c r="I412" s="1118">
        <f t="shared" si="235"/>
        <v>0</v>
      </c>
      <c r="J412" s="1118">
        <f t="shared" si="235"/>
        <v>0</v>
      </c>
      <c r="K412" s="1118">
        <f t="shared" si="235"/>
        <v>0</v>
      </c>
      <c r="L412" s="1118">
        <f t="shared" si="235"/>
        <v>0</v>
      </c>
      <c r="M412" s="1118">
        <f t="shared" si="235"/>
        <v>0</v>
      </c>
      <c r="N412" s="1119">
        <f t="shared" si="235"/>
        <v>0</v>
      </c>
    </row>
    <row r="413" spans="1:14" s="951" customFormat="1" ht="12">
      <c r="A413" s="2329"/>
      <c r="B413" s="2425"/>
      <c r="C413" s="1120"/>
      <c r="D413" s="1121">
        <f>+D396</f>
        <v>1</v>
      </c>
      <c r="E413" s="1122" t="s">
        <v>2867</v>
      </c>
      <c r="F413" s="1123">
        <f>SUM(G413:N413)</f>
        <v>0</v>
      </c>
      <c r="G413" s="940">
        <f t="shared" ref="G413:N413" si="236">ROUNDDOWN(G396*G412*$D413,0)</f>
        <v>0</v>
      </c>
      <c r="H413" s="940">
        <f t="shared" si="236"/>
        <v>0</v>
      </c>
      <c r="I413" s="940">
        <f t="shared" si="236"/>
        <v>0</v>
      </c>
      <c r="J413" s="940">
        <f t="shared" si="236"/>
        <v>0</v>
      </c>
      <c r="K413" s="940">
        <f t="shared" si="236"/>
        <v>0</v>
      </c>
      <c r="L413" s="940">
        <f t="shared" si="236"/>
        <v>0</v>
      </c>
      <c r="M413" s="940">
        <f t="shared" si="236"/>
        <v>0</v>
      </c>
      <c r="N413" s="1124">
        <f t="shared" si="236"/>
        <v>0</v>
      </c>
    </row>
    <row r="414" spans="1:14" s="951" customFormat="1" ht="12">
      <c r="A414" s="2329"/>
      <c r="B414" s="2425"/>
      <c r="C414" s="1125" t="s">
        <v>2839</v>
      </c>
      <c r="D414" s="1126"/>
      <c r="E414" s="1122" t="s">
        <v>3147</v>
      </c>
      <c r="F414" s="1127" t="s">
        <v>3153</v>
      </c>
      <c r="G414" s="2062">
        <f t="shared" ref="G414:N414" si="237">IF(G397=0,0,+G504/100)</f>
        <v>0</v>
      </c>
      <c r="H414" s="1129">
        <f>IF(H397=0,0,+H504/100)</f>
        <v>0</v>
      </c>
      <c r="I414" s="1129">
        <f t="shared" si="237"/>
        <v>0</v>
      </c>
      <c r="J414" s="1129">
        <f t="shared" si="237"/>
        <v>0</v>
      </c>
      <c r="K414" s="1129">
        <f t="shared" si="237"/>
        <v>0</v>
      </c>
      <c r="L414" s="1129">
        <f t="shared" si="237"/>
        <v>0</v>
      </c>
      <c r="M414" s="1129">
        <f t="shared" si="237"/>
        <v>0</v>
      </c>
      <c r="N414" s="1130">
        <f t="shared" si="237"/>
        <v>0</v>
      </c>
    </row>
    <row r="415" spans="1:14" s="951" customFormat="1" ht="12">
      <c r="A415" s="2329"/>
      <c r="B415" s="2425"/>
      <c r="C415" s="1120"/>
      <c r="D415" s="1131">
        <f t="shared" ref="D415:D420" si="238">+D397</f>
        <v>1</v>
      </c>
      <c r="E415" s="1122" t="s">
        <v>2867</v>
      </c>
      <c r="F415" s="1123">
        <f t="shared" ref="F415:F420" si="239">SUM(G415:N415)</f>
        <v>0</v>
      </c>
      <c r="G415" s="940">
        <f t="shared" ref="G415:N415" si="240">ROUNDDOWN(G397*G414*$D415,0)</f>
        <v>0</v>
      </c>
      <c r="H415" s="940">
        <f t="shared" si="240"/>
        <v>0</v>
      </c>
      <c r="I415" s="940">
        <f t="shared" si="240"/>
        <v>0</v>
      </c>
      <c r="J415" s="940">
        <f t="shared" si="240"/>
        <v>0</v>
      </c>
      <c r="K415" s="940">
        <f t="shared" si="240"/>
        <v>0</v>
      </c>
      <c r="L415" s="940">
        <f t="shared" si="240"/>
        <v>0</v>
      </c>
      <c r="M415" s="940">
        <f t="shared" si="240"/>
        <v>0</v>
      </c>
      <c r="N415" s="1124">
        <f t="shared" si="240"/>
        <v>0</v>
      </c>
    </row>
    <row r="416" spans="1:14" s="951" customFormat="1" ht="12">
      <c r="A416" s="2329"/>
      <c r="B416" s="2425"/>
      <c r="C416" s="1092" t="s">
        <v>2876</v>
      </c>
      <c r="D416" s="1132">
        <f t="shared" si="238"/>
        <v>1</v>
      </c>
      <c r="E416" s="1122" t="s">
        <v>2867</v>
      </c>
      <c r="F416" s="1123">
        <f t="shared" si="239"/>
        <v>0</v>
      </c>
      <c r="G416" s="940">
        <f t="shared" ref="G416:N416" si="241">ROUNDDOWN(G398*G412*$D416,0)</f>
        <v>0</v>
      </c>
      <c r="H416" s="940">
        <f t="shared" si="241"/>
        <v>0</v>
      </c>
      <c r="I416" s="940">
        <f t="shared" si="241"/>
        <v>0</v>
      </c>
      <c r="J416" s="940">
        <f t="shared" si="241"/>
        <v>0</v>
      </c>
      <c r="K416" s="940">
        <f t="shared" si="241"/>
        <v>0</v>
      </c>
      <c r="L416" s="940">
        <f t="shared" si="241"/>
        <v>0</v>
      </c>
      <c r="M416" s="940">
        <f t="shared" si="241"/>
        <v>0</v>
      </c>
      <c r="N416" s="1124">
        <f t="shared" si="241"/>
        <v>0</v>
      </c>
    </row>
    <row r="417" spans="1:14" s="951" customFormat="1" ht="12">
      <c r="A417" s="2329"/>
      <c r="B417" s="2424"/>
      <c r="C417" s="1092" t="s">
        <v>2877</v>
      </c>
      <c r="D417" s="1132">
        <f t="shared" si="238"/>
        <v>1</v>
      </c>
      <c r="E417" s="1122" t="s">
        <v>2867</v>
      </c>
      <c r="F417" s="1123">
        <f t="shared" si="239"/>
        <v>0</v>
      </c>
      <c r="G417" s="940">
        <f t="shared" ref="G417:N417" si="242">ROUNDDOWN(G399*G414*$D417,0)</f>
        <v>0</v>
      </c>
      <c r="H417" s="940">
        <f t="shared" si="242"/>
        <v>0</v>
      </c>
      <c r="I417" s="940">
        <f t="shared" si="242"/>
        <v>0</v>
      </c>
      <c r="J417" s="940">
        <f t="shared" si="242"/>
        <v>0</v>
      </c>
      <c r="K417" s="940">
        <f t="shared" si="242"/>
        <v>0</v>
      </c>
      <c r="L417" s="940">
        <f t="shared" si="242"/>
        <v>0</v>
      </c>
      <c r="M417" s="940">
        <f t="shared" si="242"/>
        <v>0</v>
      </c>
      <c r="N417" s="1124">
        <f t="shared" si="242"/>
        <v>0</v>
      </c>
    </row>
    <row r="418" spans="1:14" s="951" customFormat="1" ht="12">
      <c r="A418" s="2329"/>
      <c r="B418" s="2316" t="s">
        <v>2842</v>
      </c>
      <c r="C418" s="1092" t="s">
        <v>2870</v>
      </c>
      <c r="D418" s="1132">
        <f t="shared" si="238"/>
        <v>1</v>
      </c>
      <c r="E418" s="1101">
        <f>+E400</f>
        <v>0.02</v>
      </c>
      <c r="F418" s="1123">
        <f t="shared" si="239"/>
        <v>0</v>
      </c>
      <c r="G418" s="940">
        <f t="shared" ref="G418:N426" si="243">ROUNDDOWN(G400*$E418*$D418,0)</f>
        <v>0</v>
      </c>
      <c r="H418" s="940">
        <f t="shared" si="243"/>
        <v>0</v>
      </c>
      <c r="I418" s="940">
        <f t="shared" si="243"/>
        <v>0</v>
      </c>
      <c r="J418" s="940">
        <f t="shared" si="243"/>
        <v>0</v>
      </c>
      <c r="K418" s="940">
        <f t="shared" si="243"/>
        <v>0</v>
      </c>
      <c r="L418" s="940">
        <f t="shared" si="243"/>
        <v>0</v>
      </c>
      <c r="M418" s="940">
        <f t="shared" si="243"/>
        <v>0</v>
      </c>
      <c r="N418" s="1124">
        <f t="shared" si="243"/>
        <v>0</v>
      </c>
    </row>
    <row r="419" spans="1:14" s="951" customFormat="1" ht="12">
      <c r="A419" s="2329"/>
      <c r="B419" s="2425"/>
      <c r="C419" s="1092" t="s">
        <v>2878</v>
      </c>
      <c r="D419" s="1132">
        <f t="shared" si="238"/>
        <v>1</v>
      </c>
      <c r="E419" s="1101">
        <f>+E401</f>
        <v>0.02</v>
      </c>
      <c r="F419" s="1123">
        <f t="shared" si="239"/>
        <v>0</v>
      </c>
      <c r="G419" s="940">
        <f t="shared" si="243"/>
        <v>0</v>
      </c>
      <c r="H419" s="940">
        <f t="shared" si="243"/>
        <v>0</v>
      </c>
      <c r="I419" s="940">
        <f>ROUNDDOWN(I401*$E419*$D419,0)</f>
        <v>0</v>
      </c>
      <c r="J419" s="940">
        <f>ROUNDDOWN(J401*$E419*$D419,0)</f>
        <v>0</v>
      </c>
      <c r="K419" s="940">
        <f t="shared" si="243"/>
        <v>0</v>
      </c>
      <c r="L419" s="940">
        <f t="shared" si="243"/>
        <v>0</v>
      </c>
      <c r="M419" s="940">
        <f t="shared" si="243"/>
        <v>0</v>
      </c>
      <c r="N419" s="1124">
        <f t="shared" si="243"/>
        <v>0</v>
      </c>
    </row>
    <row r="420" spans="1:14" s="951" customFormat="1" ht="12">
      <c r="A420" s="2329"/>
      <c r="B420" s="2425"/>
      <c r="C420" s="1092" t="s">
        <v>2845</v>
      </c>
      <c r="D420" s="1132">
        <f t="shared" si="238"/>
        <v>1</v>
      </c>
      <c r="E420" s="1101">
        <f>+E402</f>
        <v>0.02</v>
      </c>
      <c r="F420" s="1123">
        <f t="shared" si="239"/>
        <v>0</v>
      </c>
      <c r="G420" s="940">
        <f t="shared" si="243"/>
        <v>0</v>
      </c>
      <c r="H420" s="940">
        <f t="shared" si="243"/>
        <v>0</v>
      </c>
      <c r="I420" s="940">
        <f>ROUNDDOWN(I402*$E420*$D420,0)</f>
        <v>0</v>
      </c>
      <c r="J420" s="940">
        <f>ROUNDDOWN(J402*$E420*$D420,0)</f>
        <v>0</v>
      </c>
      <c r="K420" s="940">
        <f t="shared" si="243"/>
        <v>0</v>
      </c>
      <c r="L420" s="940">
        <f t="shared" si="243"/>
        <v>0</v>
      </c>
      <c r="M420" s="940">
        <f t="shared" si="243"/>
        <v>0</v>
      </c>
      <c r="N420" s="1124">
        <f t="shared" si="243"/>
        <v>0</v>
      </c>
    </row>
    <row r="421" spans="1:14" s="951" customFormat="1" ht="12">
      <c r="A421" s="2329"/>
      <c r="B421" s="2425"/>
      <c r="C421" s="1092" t="s">
        <v>3149</v>
      </c>
      <c r="D421" s="1132"/>
      <c r="E421" s="1101"/>
      <c r="F421" s="1123"/>
      <c r="G421" s="940"/>
      <c r="H421" s="940"/>
      <c r="I421" s="940"/>
      <c r="J421" s="940"/>
      <c r="K421" s="940"/>
      <c r="L421" s="940"/>
      <c r="M421" s="940"/>
      <c r="N421" s="1124"/>
    </row>
    <row r="422" spans="1:14" s="951" customFormat="1" ht="12">
      <c r="A422" s="2329"/>
      <c r="B422" s="2425"/>
      <c r="C422" s="2049"/>
      <c r="D422" s="1132"/>
      <c r="E422" s="1101"/>
      <c r="F422" s="1123"/>
      <c r="G422" s="940"/>
      <c r="H422" s="940"/>
      <c r="I422" s="940"/>
      <c r="J422" s="940"/>
      <c r="K422" s="940"/>
      <c r="L422" s="940"/>
      <c r="M422" s="940"/>
      <c r="N422" s="1124"/>
    </row>
    <row r="423" spans="1:14" s="951" customFormat="1" ht="12">
      <c r="A423" s="2329"/>
      <c r="B423" s="2425"/>
      <c r="C423" s="1092" t="s">
        <v>2848</v>
      </c>
      <c r="D423" s="1132">
        <f t="shared" ref="D423:E426" si="244">+D405</f>
        <v>1</v>
      </c>
      <c r="E423" s="1101">
        <f t="shared" si="244"/>
        <v>0.02</v>
      </c>
      <c r="F423" s="1123">
        <f t="shared" ref="F423:F431" si="245">SUM(G423:N423)</f>
        <v>0</v>
      </c>
      <c r="G423" s="940">
        <f t="shared" ref="G423:J426" si="246">ROUNDDOWN(G405*$E423*$D423,0)</f>
        <v>0</v>
      </c>
      <c r="H423" s="940">
        <f t="shared" si="246"/>
        <v>0</v>
      </c>
      <c r="I423" s="940">
        <f t="shared" si="246"/>
        <v>0</v>
      </c>
      <c r="J423" s="940">
        <f t="shared" si="246"/>
        <v>0</v>
      </c>
      <c r="K423" s="940">
        <f t="shared" si="243"/>
        <v>0</v>
      </c>
      <c r="L423" s="940">
        <f t="shared" si="243"/>
        <v>0</v>
      </c>
      <c r="M423" s="940">
        <f t="shared" si="243"/>
        <v>0</v>
      </c>
      <c r="N423" s="1124">
        <f t="shared" si="243"/>
        <v>0</v>
      </c>
    </row>
    <row r="424" spans="1:14" s="951" customFormat="1" ht="12">
      <c r="A424" s="2329"/>
      <c r="B424" s="2425"/>
      <c r="C424" s="2045" t="s">
        <v>2849</v>
      </c>
      <c r="D424" s="1132">
        <f t="shared" si="244"/>
        <v>1</v>
      </c>
      <c r="E424" s="1101">
        <f t="shared" si="244"/>
        <v>0.02</v>
      </c>
      <c r="F424" s="1123">
        <f t="shared" si="245"/>
        <v>0</v>
      </c>
      <c r="G424" s="940">
        <f t="shared" si="246"/>
        <v>0</v>
      </c>
      <c r="H424" s="940">
        <f t="shared" si="246"/>
        <v>0</v>
      </c>
      <c r="I424" s="940">
        <f t="shared" si="246"/>
        <v>0</v>
      </c>
      <c r="J424" s="940">
        <f t="shared" si="246"/>
        <v>0</v>
      </c>
      <c r="K424" s="940">
        <f t="shared" si="243"/>
        <v>0</v>
      </c>
      <c r="L424" s="940">
        <f t="shared" si="243"/>
        <v>0</v>
      </c>
      <c r="M424" s="940">
        <f t="shared" si="243"/>
        <v>0</v>
      </c>
      <c r="N424" s="1124">
        <f t="shared" si="243"/>
        <v>0</v>
      </c>
    </row>
    <row r="425" spans="1:14" s="951" customFormat="1" ht="12">
      <c r="A425" s="2329"/>
      <c r="B425" s="2425"/>
      <c r="C425" s="2045" t="s">
        <v>2850</v>
      </c>
      <c r="D425" s="1132">
        <f t="shared" si="244"/>
        <v>1</v>
      </c>
      <c r="E425" s="1101">
        <f t="shared" si="244"/>
        <v>0.02</v>
      </c>
      <c r="F425" s="1123">
        <f t="shared" si="245"/>
        <v>0</v>
      </c>
      <c r="G425" s="940">
        <f t="shared" si="246"/>
        <v>0</v>
      </c>
      <c r="H425" s="940">
        <f t="shared" si="246"/>
        <v>0</v>
      </c>
      <c r="I425" s="940">
        <f t="shared" si="246"/>
        <v>0</v>
      </c>
      <c r="J425" s="940">
        <f t="shared" si="246"/>
        <v>0</v>
      </c>
      <c r="K425" s="940">
        <f t="shared" si="243"/>
        <v>0</v>
      </c>
      <c r="L425" s="940">
        <f t="shared" si="243"/>
        <v>0</v>
      </c>
      <c r="M425" s="940">
        <f t="shared" si="243"/>
        <v>0</v>
      </c>
      <c r="N425" s="1124">
        <f t="shared" si="243"/>
        <v>0</v>
      </c>
    </row>
    <row r="426" spans="1:14" s="951" customFormat="1" ht="12">
      <c r="A426" s="2329"/>
      <c r="B426" s="2424"/>
      <c r="C426" s="1092" t="s">
        <v>3154</v>
      </c>
      <c r="D426" s="1132">
        <f t="shared" si="244"/>
        <v>1</v>
      </c>
      <c r="E426" s="1101">
        <f t="shared" si="244"/>
        <v>0.02</v>
      </c>
      <c r="F426" s="1123">
        <f t="shared" si="245"/>
        <v>0</v>
      </c>
      <c r="G426" s="940">
        <f t="shared" si="246"/>
        <v>0</v>
      </c>
      <c r="H426" s="940">
        <f t="shared" si="246"/>
        <v>0</v>
      </c>
      <c r="I426" s="940">
        <f t="shared" si="246"/>
        <v>0</v>
      </c>
      <c r="J426" s="940">
        <f t="shared" si="246"/>
        <v>0</v>
      </c>
      <c r="K426" s="940">
        <f t="shared" si="243"/>
        <v>0</v>
      </c>
      <c r="L426" s="940">
        <f t="shared" si="243"/>
        <v>0</v>
      </c>
      <c r="M426" s="940">
        <f t="shared" si="243"/>
        <v>0</v>
      </c>
      <c r="N426" s="1124">
        <f t="shared" si="243"/>
        <v>0</v>
      </c>
    </row>
    <row r="427" spans="1:14" s="951" customFormat="1" ht="12">
      <c r="A427" s="2329"/>
      <c r="B427" s="2426" t="s">
        <v>2892</v>
      </c>
      <c r="C427" s="1092" t="s">
        <v>2893</v>
      </c>
      <c r="D427" s="1135"/>
      <c r="E427" s="1136"/>
      <c r="F427" s="1123">
        <f t="shared" si="245"/>
        <v>0</v>
      </c>
      <c r="G427" s="2093">
        <f t="shared" ref="G427:N427" si="247">+G212+G58</f>
        <v>0</v>
      </c>
      <c r="H427" s="2093">
        <f t="shared" si="247"/>
        <v>0</v>
      </c>
      <c r="I427" s="2093">
        <f t="shared" si="247"/>
        <v>0</v>
      </c>
      <c r="J427" s="2093">
        <f t="shared" si="247"/>
        <v>0</v>
      </c>
      <c r="K427" s="2093">
        <f t="shared" si="247"/>
        <v>0</v>
      </c>
      <c r="L427" s="2093">
        <f t="shared" si="247"/>
        <v>0</v>
      </c>
      <c r="M427" s="2093">
        <f t="shared" si="247"/>
        <v>0</v>
      </c>
      <c r="N427" s="2094">
        <f t="shared" si="247"/>
        <v>0</v>
      </c>
    </row>
    <row r="428" spans="1:14" s="951" customFormat="1" ht="12">
      <c r="A428" s="2329"/>
      <c r="B428" s="2444"/>
      <c r="C428" s="2065" t="s">
        <v>2894</v>
      </c>
      <c r="D428" s="1135"/>
      <c r="E428" s="1136"/>
      <c r="F428" s="1123">
        <f t="shared" si="245"/>
        <v>0</v>
      </c>
      <c r="G428" s="985"/>
      <c r="H428" s="985"/>
      <c r="I428" s="985"/>
      <c r="J428" s="985"/>
      <c r="K428" s="985"/>
      <c r="L428" s="985"/>
      <c r="M428" s="985"/>
      <c r="N428" s="986"/>
    </row>
    <row r="429" spans="1:14" s="951" customFormat="1" ht="12.75" thickBot="1">
      <c r="A429" s="2442"/>
      <c r="B429" s="2066" t="s">
        <v>2872</v>
      </c>
      <c r="C429" s="1194" t="s">
        <v>2889</v>
      </c>
      <c r="D429" s="1135">
        <f>+D409</f>
        <v>1</v>
      </c>
      <c r="E429" s="1136">
        <f>+E409</f>
        <v>0</v>
      </c>
      <c r="F429" s="1123">
        <f t="shared" si="245"/>
        <v>0</v>
      </c>
      <c r="G429" s="940">
        <f t="shared" ref="G429:N429" si="248">ROUNDDOWN(G409*$E429*$D429,0)</f>
        <v>0</v>
      </c>
      <c r="H429" s="940">
        <f t="shared" si="248"/>
        <v>0</v>
      </c>
      <c r="I429" s="940">
        <f t="shared" si="248"/>
        <v>0</v>
      </c>
      <c r="J429" s="940">
        <f t="shared" si="248"/>
        <v>0</v>
      </c>
      <c r="K429" s="940">
        <f t="shared" si="248"/>
        <v>0</v>
      </c>
      <c r="L429" s="940">
        <f t="shared" si="248"/>
        <v>0</v>
      </c>
      <c r="M429" s="940">
        <f t="shared" si="248"/>
        <v>0</v>
      </c>
      <c r="N429" s="1139">
        <f t="shared" si="248"/>
        <v>0</v>
      </c>
    </row>
    <row r="430" spans="1:14" s="951" customFormat="1" ht="12.75" thickTop="1">
      <c r="A430" s="1140"/>
      <c r="B430" s="1141"/>
      <c r="C430" s="1142" t="s">
        <v>2895</v>
      </c>
      <c r="D430" s="1143"/>
      <c r="E430" s="1144"/>
      <c r="F430" s="1145">
        <f t="shared" si="245"/>
        <v>0</v>
      </c>
      <c r="G430" s="1146">
        <f t="shared" ref="G430:N430" si="249">SUM(G415:G429)+G413</f>
        <v>0</v>
      </c>
      <c r="H430" s="1146">
        <f t="shared" si="249"/>
        <v>0</v>
      </c>
      <c r="I430" s="1146">
        <f t="shared" si="249"/>
        <v>0</v>
      </c>
      <c r="J430" s="1146">
        <f t="shared" si="249"/>
        <v>0</v>
      </c>
      <c r="K430" s="1146">
        <f t="shared" si="249"/>
        <v>0</v>
      </c>
      <c r="L430" s="1146">
        <f t="shared" si="249"/>
        <v>0</v>
      </c>
      <c r="M430" s="1146">
        <f t="shared" si="249"/>
        <v>0</v>
      </c>
      <c r="N430" s="1147">
        <f t="shared" si="249"/>
        <v>0</v>
      </c>
    </row>
    <row r="431" spans="1:14" s="951" customFormat="1" ht="12">
      <c r="A431" s="1148"/>
      <c r="B431" s="1149"/>
      <c r="C431" s="1150" t="s">
        <v>2896</v>
      </c>
      <c r="D431" s="1151"/>
      <c r="E431" s="1152"/>
      <c r="F431" s="1107">
        <f t="shared" si="245"/>
        <v>0</v>
      </c>
      <c r="G431" s="1108">
        <f t="shared" ref="G431:N431" si="250">+G306+G430</f>
        <v>0</v>
      </c>
      <c r="H431" s="1108">
        <f t="shared" si="250"/>
        <v>0</v>
      </c>
      <c r="I431" s="1108">
        <f t="shared" si="250"/>
        <v>0</v>
      </c>
      <c r="J431" s="1108">
        <f t="shared" si="250"/>
        <v>0</v>
      </c>
      <c r="K431" s="1108">
        <f t="shared" si="250"/>
        <v>0</v>
      </c>
      <c r="L431" s="1108">
        <f t="shared" si="250"/>
        <v>0</v>
      </c>
      <c r="M431" s="1108">
        <f t="shared" si="250"/>
        <v>0</v>
      </c>
      <c r="N431" s="1109">
        <f t="shared" si="250"/>
        <v>0</v>
      </c>
    </row>
    <row r="432" spans="1:14" s="951" customFormat="1">
      <c r="A432" s="1076"/>
      <c r="B432" s="1077"/>
      <c r="C432" s="1153" t="s">
        <v>2897</v>
      </c>
      <c r="D432" s="1153"/>
      <c r="E432" s="1154"/>
      <c r="F432" s="1155"/>
      <c r="G432" s="1156"/>
      <c r="H432" s="1157"/>
      <c r="I432" s="1157"/>
      <c r="J432" s="1157"/>
      <c r="K432" s="1157"/>
      <c r="L432" s="1157"/>
      <c r="M432" s="1157"/>
      <c r="N432" s="1158" t="s">
        <v>3155</v>
      </c>
    </row>
    <row r="433" spans="1:14" s="951" customFormat="1" ht="12">
      <c r="A433" s="945"/>
      <c r="B433" s="946"/>
      <c r="C433" s="946"/>
      <c r="D433" s="946"/>
      <c r="E433" s="946"/>
      <c r="F433" s="836"/>
      <c r="G433" s="842"/>
      <c r="H433" s="842"/>
      <c r="I433" s="842"/>
      <c r="J433" s="842"/>
      <c r="K433" s="842"/>
      <c r="L433" s="842"/>
      <c r="M433" s="842"/>
      <c r="N433" s="1159"/>
    </row>
    <row r="434" spans="1:14" s="951" customFormat="1" ht="12">
      <c r="A434" s="2317"/>
      <c r="B434" s="2318"/>
      <c r="C434" s="2428"/>
      <c r="D434" s="1160"/>
      <c r="E434" s="1161" t="s">
        <v>2899</v>
      </c>
      <c r="F434" s="1078" t="s">
        <v>2836</v>
      </c>
      <c r="G434" s="1079">
        <f t="shared" ref="G434:N434" si="251">+G302</f>
        <v>0</v>
      </c>
      <c r="H434" s="1079">
        <f t="shared" si="251"/>
        <v>0</v>
      </c>
      <c r="I434" s="1079">
        <f t="shared" si="251"/>
        <v>0</v>
      </c>
      <c r="J434" s="1079">
        <f t="shared" si="251"/>
        <v>0</v>
      </c>
      <c r="K434" s="1079">
        <f t="shared" si="251"/>
        <v>0</v>
      </c>
      <c r="L434" s="1079">
        <f t="shared" si="251"/>
        <v>0</v>
      </c>
      <c r="M434" s="1079">
        <f t="shared" si="251"/>
        <v>0</v>
      </c>
      <c r="N434" s="1080">
        <f t="shared" si="251"/>
        <v>0</v>
      </c>
    </row>
    <row r="435" spans="1:14" s="951" customFormat="1" ht="12.75" thickBot="1">
      <c r="A435" s="2429"/>
      <c r="B435" s="2430"/>
      <c r="C435" s="2431"/>
      <c r="D435" s="1162"/>
      <c r="E435" s="1163"/>
      <c r="F435" s="1164"/>
      <c r="G435" s="1165"/>
      <c r="H435" s="1165"/>
      <c r="I435" s="1165"/>
      <c r="J435" s="1165"/>
      <c r="K435" s="1165"/>
      <c r="L435" s="1165"/>
      <c r="M435" s="1165"/>
      <c r="N435" s="1166"/>
    </row>
    <row r="436" spans="1:14" s="951" customFormat="1" ht="12.75" thickBot="1">
      <c r="A436" s="1167"/>
      <c r="B436" s="1168"/>
      <c r="C436" s="1169" t="s">
        <v>2900</v>
      </c>
      <c r="D436" s="1170"/>
      <c r="E436" s="1171"/>
      <c r="F436" s="1172">
        <f>SUM(G436:N436)</f>
        <v>0</v>
      </c>
      <c r="G436" s="1173">
        <f t="shared" ref="G436:N436" si="252">IF(G437="",+G431,0)</f>
        <v>0</v>
      </c>
      <c r="H436" s="1173">
        <f t="shared" si="252"/>
        <v>0</v>
      </c>
      <c r="I436" s="1173">
        <f t="shared" si="252"/>
        <v>0</v>
      </c>
      <c r="J436" s="1173">
        <f t="shared" si="252"/>
        <v>0</v>
      </c>
      <c r="K436" s="1173">
        <f t="shared" si="252"/>
        <v>0</v>
      </c>
      <c r="L436" s="1173">
        <f t="shared" si="252"/>
        <v>0</v>
      </c>
      <c r="M436" s="1173">
        <f t="shared" si="252"/>
        <v>0</v>
      </c>
      <c r="N436" s="1174">
        <f t="shared" si="252"/>
        <v>0</v>
      </c>
    </row>
    <row r="437" spans="1:14" s="951" customFormat="1" ht="12">
      <c r="A437" s="945"/>
      <c r="B437" s="946"/>
      <c r="C437" s="1175" t="s">
        <v>2901</v>
      </c>
      <c r="D437" s="1176"/>
      <c r="E437" s="1177"/>
      <c r="F437" s="956">
        <f>SUM(G437:N437)</f>
        <v>0</v>
      </c>
      <c r="G437" s="956" t="str">
        <f>IF(G459=0,"",G431)</f>
        <v/>
      </c>
      <c r="H437" s="956" t="str">
        <f t="shared" ref="H437:N437" si="253">IF(H459=0,"",H431)</f>
        <v/>
      </c>
      <c r="I437" s="956" t="str">
        <f t="shared" si="253"/>
        <v/>
      </c>
      <c r="J437" s="956" t="str">
        <f t="shared" si="253"/>
        <v/>
      </c>
      <c r="K437" s="956" t="str">
        <f t="shared" si="253"/>
        <v/>
      </c>
      <c r="L437" s="956" t="str">
        <f t="shared" si="253"/>
        <v/>
      </c>
      <c r="M437" s="956" t="str">
        <f t="shared" si="253"/>
        <v/>
      </c>
      <c r="N437" s="2068" t="str">
        <f t="shared" si="253"/>
        <v/>
      </c>
    </row>
    <row r="438" spans="1:14" s="951" customFormat="1" ht="12">
      <c r="A438" s="1148"/>
      <c r="B438" s="1149"/>
      <c r="C438" s="2321" t="s">
        <v>2902</v>
      </c>
      <c r="D438" s="2321"/>
      <c r="E438" s="2432"/>
      <c r="F438" s="1107">
        <f>F436+F437-F446</f>
        <v>0</v>
      </c>
      <c r="G438" s="1108"/>
      <c r="H438" s="1108"/>
      <c r="I438" s="1108"/>
      <c r="J438" s="1108"/>
      <c r="K438" s="1108"/>
      <c r="L438" s="1108"/>
      <c r="M438" s="1108"/>
      <c r="N438" s="1109"/>
    </row>
    <row r="439" spans="1:14" s="951" customFormat="1" ht="12">
      <c r="A439" s="1076"/>
      <c r="B439" s="1077"/>
      <c r="C439" s="1077"/>
      <c r="D439" s="1178"/>
      <c r="E439" s="855" t="str">
        <f>E302</f>
        <v>有り</v>
      </c>
      <c r="F439" s="2433" t="s">
        <v>2903</v>
      </c>
      <c r="G439" s="2434"/>
      <c r="H439" s="1179"/>
      <c r="I439" s="1179"/>
      <c r="J439" s="1179"/>
      <c r="K439" s="1179"/>
      <c r="L439" s="1179"/>
      <c r="M439" s="1179"/>
      <c r="N439" s="1180"/>
    </row>
    <row r="440" spans="1:14" s="951" customFormat="1">
      <c r="A440" s="2311" t="s">
        <v>2904</v>
      </c>
      <c r="B440" s="2422"/>
      <c r="C440" s="2423"/>
      <c r="D440" s="1181"/>
      <c r="E440" s="1182" t="str">
        <f>+E303</f>
        <v>有り</v>
      </c>
      <c r="F440" s="2435" t="s">
        <v>2905</v>
      </c>
      <c r="G440" s="2436"/>
      <c r="H440" s="1108"/>
      <c r="I440" s="1108"/>
      <c r="J440" s="1108"/>
      <c r="K440" s="1108"/>
      <c r="L440" s="1108"/>
      <c r="M440" s="1108"/>
      <c r="N440" s="1109"/>
    </row>
    <row r="441" spans="1:14" s="951" customFormat="1" ht="12">
      <c r="A441" s="2437"/>
      <c r="B441" s="1183" t="s">
        <v>2906</v>
      </c>
      <c r="C441" s="1184" t="s">
        <v>2907</v>
      </c>
      <c r="D441" s="1185">
        <v>1</v>
      </c>
      <c r="E441" s="2069">
        <f>+G510/100</f>
        <v>0.1724</v>
      </c>
      <c r="F441" s="1187">
        <f>SUM(G441:N441)</f>
        <v>0</v>
      </c>
      <c r="G441" s="1179">
        <f t="shared" ref="G441:N441" si="254">+G436-G446</f>
        <v>0</v>
      </c>
      <c r="H441" s="1179">
        <f t="shared" si="254"/>
        <v>0</v>
      </c>
      <c r="I441" s="1179">
        <f>+I436-I446</f>
        <v>0</v>
      </c>
      <c r="J441" s="1179">
        <f t="shared" si="254"/>
        <v>0</v>
      </c>
      <c r="K441" s="1179">
        <f t="shared" si="254"/>
        <v>0</v>
      </c>
      <c r="L441" s="1179">
        <f t="shared" si="254"/>
        <v>0</v>
      </c>
      <c r="M441" s="1179">
        <f t="shared" si="254"/>
        <v>0</v>
      </c>
      <c r="N441" s="1180">
        <f t="shared" si="254"/>
        <v>0</v>
      </c>
    </row>
    <row r="442" spans="1:14" s="951" customFormat="1" ht="12">
      <c r="A442" s="2438"/>
      <c r="B442" s="2316" t="s">
        <v>2908</v>
      </c>
      <c r="C442" s="948" t="s">
        <v>2909</v>
      </c>
      <c r="D442" s="1132">
        <v>0.05</v>
      </c>
      <c r="E442" s="1101">
        <f>IF(OR(G299="無し",G299="なし"),IF(E439="無し",E441,0),0)</f>
        <v>0</v>
      </c>
      <c r="F442" s="949">
        <f>SUM(G442:N442)</f>
        <v>0</v>
      </c>
      <c r="G442" s="985">
        <f>IF(G459=0,+G441,0)</f>
        <v>0</v>
      </c>
      <c r="H442" s="985">
        <f>IF(H459=0,+H441,0)</f>
        <v>0</v>
      </c>
      <c r="I442" s="985">
        <f t="shared" ref="I442:N442" si="255">IF(I459=0,+I441,0)</f>
        <v>0</v>
      </c>
      <c r="J442" s="985">
        <f t="shared" si="255"/>
        <v>0</v>
      </c>
      <c r="K442" s="985">
        <f t="shared" si="255"/>
        <v>0</v>
      </c>
      <c r="L442" s="985">
        <f t="shared" si="255"/>
        <v>0</v>
      </c>
      <c r="M442" s="985">
        <f t="shared" si="255"/>
        <v>0</v>
      </c>
      <c r="N442" s="986">
        <f t="shared" si="255"/>
        <v>0</v>
      </c>
    </row>
    <row r="443" spans="1:14" s="951" customFormat="1" ht="12">
      <c r="A443" s="2438"/>
      <c r="B443" s="2424"/>
      <c r="C443" s="948" t="s">
        <v>2910</v>
      </c>
      <c r="D443" s="1188">
        <v>1</v>
      </c>
      <c r="E443" s="1101">
        <f>IF(OR(E440="無し",E440="なし"),0,0.0004)</f>
        <v>4.0000000000000002E-4</v>
      </c>
      <c r="F443" s="949">
        <f>SUM(G443:N443)</f>
        <v>0</v>
      </c>
      <c r="G443" s="985">
        <f>IF(G459=0,+G441,0)</f>
        <v>0</v>
      </c>
      <c r="H443" s="985">
        <f t="shared" ref="H443:N443" si="256">IF(H459=0,+H441,0)</f>
        <v>0</v>
      </c>
      <c r="I443" s="985">
        <f t="shared" si="256"/>
        <v>0</v>
      </c>
      <c r="J443" s="985">
        <f t="shared" si="256"/>
        <v>0</v>
      </c>
      <c r="K443" s="985">
        <f t="shared" si="256"/>
        <v>0</v>
      </c>
      <c r="L443" s="985">
        <f t="shared" si="256"/>
        <v>0</v>
      </c>
      <c r="M443" s="985">
        <f t="shared" si="256"/>
        <v>0</v>
      </c>
      <c r="N443" s="986">
        <f t="shared" si="256"/>
        <v>0</v>
      </c>
    </row>
    <row r="444" spans="1:14" s="951" customFormat="1" ht="12">
      <c r="A444" s="2438"/>
      <c r="B444" s="864"/>
      <c r="C444" s="948"/>
      <c r="D444" s="1189"/>
      <c r="E444" s="1189"/>
      <c r="F444" s="949"/>
      <c r="G444" s="985"/>
      <c r="H444" s="985"/>
      <c r="I444" s="985"/>
      <c r="J444" s="985"/>
      <c r="K444" s="985"/>
      <c r="L444" s="985"/>
      <c r="M444" s="985"/>
      <c r="N444" s="986"/>
    </row>
    <row r="445" spans="1:14" s="951" customFormat="1" ht="12">
      <c r="A445" s="2438"/>
      <c r="B445" s="864"/>
      <c r="C445" s="948"/>
      <c r="D445" s="1189"/>
      <c r="E445" s="1189"/>
      <c r="F445" s="949"/>
      <c r="G445" s="985"/>
      <c r="H445" s="985"/>
      <c r="I445" s="985"/>
      <c r="J445" s="985"/>
      <c r="K445" s="985"/>
      <c r="L445" s="985"/>
      <c r="M445" s="985"/>
      <c r="N445" s="986"/>
    </row>
    <row r="446" spans="1:14" s="951" customFormat="1" ht="12">
      <c r="A446" s="2438"/>
      <c r="B446" s="2316" t="s">
        <v>2911</v>
      </c>
      <c r="C446" s="1092" t="str">
        <f>+C351</f>
        <v>(17)下水道使用料、各種負担金（共通仮設）</v>
      </c>
      <c r="D446" s="1190">
        <v>1</v>
      </c>
      <c r="E446" s="1191">
        <v>0</v>
      </c>
      <c r="F446" s="949">
        <f>SUM(G446:N446)</f>
        <v>0</v>
      </c>
      <c r="G446" s="985">
        <f t="shared" ref="G446:N446" si="257">+G351</f>
        <v>0</v>
      </c>
      <c r="H446" s="985">
        <f t="shared" si="257"/>
        <v>0</v>
      </c>
      <c r="I446" s="985">
        <f t="shared" si="257"/>
        <v>0</v>
      </c>
      <c r="J446" s="985">
        <f t="shared" si="257"/>
        <v>0</v>
      </c>
      <c r="K446" s="985">
        <f t="shared" si="257"/>
        <v>0</v>
      </c>
      <c r="L446" s="985">
        <f t="shared" si="257"/>
        <v>0</v>
      </c>
      <c r="M446" s="985">
        <f t="shared" si="257"/>
        <v>0</v>
      </c>
      <c r="N446" s="986">
        <f t="shared" si="257"/>
        <v>0</v>
      </c>
    </row>
    <row r="447" spans="1:14" s="951" customFormat="1" ht="12">
      <c r="A447" s="2438"/>
      <c r="B447" s="2425"/>
      <c r="C447" s="1192"/>
      <c r="D447" s="1092"/>
      <c r="E447" s="1191"/>
      <c r="F447" s="949"/>
      <c r="G447" s="985"/>
      <c r="H447" s="985"/>
      <c r="I447" s="985"/>
      <c r="J447" s="985"/>
      <c r="K447" s="985"/>
      <c r="L447" s="985"/>
      <c r="M447" s="985"/>
      <c r="N447" s="986"/>
    </row>
    <row r="448" spans="1:14" s="951" customFormat="1" ht="12">
      <c r="A448" s="2439"/>
      <c r="B448" s="2440"/>
      <c r="C448" s="1193"/>
      <c r="D448" s="1194"/>
      <c r="E448" s="1195"/>
      <c r="F448" s="1107"/>
      <c r="G448" s="1108"/>
      <c r="H448" s="1108"/>
      <c r="I448" s="1108"/>
      <c r="J448" s="1108"/>
      <c r="K448" s="1108"/>
      <c r="L448" s="1108"/>
      <c r="M448" s="1108"/>
      <c r="N448" s="1109"/>
    </row>
    <row r="449" spans="1:14" s="951" customFormat="1" ht="12">
      <c r="A449" s="1076"/>
      <c r="B449" s="1077"/>
      <c r="C449" s="1196"/>
      <c r="D449" s="1197"/>
      <c r="E449" s="1198"/>
      <c r="F449" s="1187"/>
      <c r="G449" s="1179"/>
      <c r="H449" s="1179"/>
      <c r="I449" s="1179"/>
      <c r="J449" s="1179"/>
      <c r="K449" s="1179"/>
      <c r="L449" s="1179"/>
      <c r="M449" s="1179"/>
      <c r="N449" s="1180"/>
    </row>
    <row r="450" spans="1:14" s="951" customFormat="1">
      <c r="A450" s="2311" t="s">
        <v>2912</v>
      </c>
      <c r="B450" s="2422"/>
      <c r="C450" s="2423"/>
      <c r="D450" s="1199"/>
      <c r="E450" s="1200"/>
      <c r="F450" s="1201"/>
      <c r="G450" s="1108"/>
      <c r="H450" s="1108"/>
      <c r="I450" s="1108"/>
      <c r="J450" s="1108"/>
      <c r="K450" s="1108"/>
      <c r="L450" s="1108"/>
      <c r="M450" s="1108"/>
      <c r="N450" s="1109"/>
    </row>
    <row r="451" spans="1:14" s="951" customFormat="1" ht="12">
      <c r="A451" s="945"/>
      <c r="B451" s="1202" t="s">
        <v>2906</v>
      </c>
      <c r="C451" s="1184" t="s">
        <v>2907</v>
      </c>
      <c r="D451" s="1185">
        <f t="shared" ref="D451:E453" si="258">+D441</f>
        <v>1</v>
      </c>
      <c r="E451" s="1203">
        <f>+E441</f>
        <v>0.1724</v>
      </c>
      <c r="F451" s="949">
        <f>INT(D451*E451*F441)</f>
        <v>0</v>
      </c>
      <c r="G451" s="1179">
        <f>F451-SUM(H451:N451)</f>
        <v>0</v>
      </c>
      <c r="H451" s="1179">
        <f>IF(H441=0,0,ROUND($F451/$F441*H441,0))</f>
        <v>0</v>
      </c>
      <c r="I451" s="1179">
        <f t="shared" ref="I451:N451" si="259">IF(I441=0,0,ROUND($F451/$F441*I441,0))</f>
        <v>0</v>
      </c>
      <c r="J451" s="1179">
        <f t="shared" si="259"/>
        <v>0</v>
      </c>
      <c r="K451" s="1179">
        <f t="shared" si="259"/>
        <v>0</v>
      </c>
      <c r="L451" s="1179">
        <f t="shared" si="259"/>
        <v>0</v>
      </c>
      <c r="M451" s="1179">
        <f t="shared" si="259"/>
        <v>0</v>
      </c>
      <c r="N451" s="1180">
        <f t="shared" si="259"/>
        <v>0</v>
      </c>
    </row>
    <row r="452" spans="1:14" s="951" customFormat="1" ht="12">
      <c r="A452" s="945"/>
      <c r="B452" s="2316" t="s">
        <v>2908</v>
      </c>
      <c r="C452" s="948" t="s">
        <v>2909</v>
      </c>
      <c r="D452" s="1190">
        <f t="shared" si="258"/>
        <v>0.05</v>
      </c>
      <c r="E452" s="1101">
        <f t="shared" si="258"/>
        <v>0</v>
      </c>
      <c r="F452" s="949">
        <f>INT(D452*E452*F442)</f>
        <v>0</v>
      </c>
      <c r="G452" s="985">
        <f>F452-SUM(H452:N452)</f>
        <v>0</v>
      </c>
      <c r="H452" s="985">
        <f t="shared" ref="H452:N453" si="260">IF(H442=0,0,ROUND($F452/$F442*H442,0))</f>
        <v>0</v>
      </c>
      <c r="I452" s="985">
        <f t="shared" si="260"/>
        <v>0</v>
      </c>
      <c r="J452" s="985">
        <f t="shared" si="260"/>
        <v>0</v>
      </c>
      <c r="K452" s="985">
        <f t="shared" si="260"/>
        <v>0</v>
      </c>
      <c r="L452" s="985">
        <f t="shared" si="260"/>
        <v>0</v>
      </c>
      <c r="M452" s="985">
        <f t="shared" si="260"/>
        <v>0</v>
      </c>
      <c r="N452" s="986">
        <f t="shared" si="260"/>
        <v>0</v>
      </c>
    </row>
    <row r="453" spans="1:14" s="951" customFormat="1" ht="12">
      <c r="A453" s="945"/>
      <c r="B453" s="2424"/>
      <c r="C453" s="948" t="s">
        <v>2910</v>
      </c>
      <c r="D453" s="1190">
        <f t="shared" si="258"/>
        <v>1</v>
      </c>
      <c r="E453" s="1101">
        <f t="shared" si="258"/>
        <v>4.0000000000000002E-4</v>
      </c>
      <c r="F453" s="949">
        <f>INT(D453*E453*F443)</f>
        <v>0</v>
      </c>
      <c r="G453" s="985">
        <f>F453-SUM(H453:N453)</f>
        <v>0</v>
      </c>
      <c r="H453" s="985">
        <f>IF(H443=0,0,ROUND($F453/$F443*H443,0))</f>
        <v>0</v>
      </c>
      <c r="I453" s="985">
        <f t="shared" si="260"/>
        <v>0</v>
      </c>
      <c r="J453" s="985">
        <f t="shared" si="260"/>
        <v>0</v>
      </c>
      <c r="K453" s="985">
        <f t="shared" si="260"/>
        <v>0</v>
      </c>
      <c r="L453" s="985">
        <f t="shared" si="260"/>
        <v>0</v>
      </c>
      <c r="M453" s="985">
        <f t="shared" si="260"/>
        <v>0</v>
      </c>
      <c r="N453" s="986">
        <f t="shared" si="260"/>
        <v>0</v>
      </c>
    </row>
    <row r="454" spans="1:14" s="951" customFormat="1" ht="12">
      <c r="A454" s="945"/>
      <c r="B454" s="864"/>
      <c r="C454" s="948"/>
      <c r="D454" s="1189"/>
      <c r="E454" s="1189"/>
      <c r="F454" s="949"/>
      <c r="G454" s="985"/>
      <c r="H454" s="985"/>
      <c r="I454" s="985"/>
      <c r="J454" s="985"/>
      <c r="K454" s="985"/>
      <c r="L454" s="985"/>
      <c r="M454" s="985"/>
      <c r="N454" s="986"/>
    </row>
    <row r="455" spans="1:14" s="951" customFormat="1" ht="12">
      <c r="A455" s="945"/>
      <c r="B455" s="864"/>
      <c r="C455" s="948"/>
      <c r="D455" s="1189"/>
      <c r="E455" s="1189"/>
      <c r="F455" s="949"/>
      <c r="G455" s="985"/>
      <c r="H455" s="985"/>
      <c r="I455" s="985"/>
      <c r="J455" s="985"/>
      <c r="K455" s="985"/>
      <c r="L455" s="985"/>
      <c r="M455" s="985"/>
      <c r="N455" s="986"/>
    </row>
    <row r="456" spans="1:14" s="951" customFormat="1" ht="12">
      <c r="A456" s="945"/>
      <c r="B456" s="2316" t="s">
        <v>2911</v>
      </c>
      <c r="C456" s="1092" t="str">
        <f>+C351</f>
        <v>(17)下水道使用料、各種負担金（共通仮設）</v>
      </c>
      <c r="D456" s="1190">
        <f>+D446</f>
        <v>1</v>
      </c>
      <c r="E456" s="1101">
        <f>+E446</f>
        <v>0</v>
      </c>
      <c r="F456" s="949">
        <f>INT(D456*E456*F446)</f>
        <v>0</v>
      </c>
      <c r="G456" s="985">
        <f>F456-SUM(H456:N456)</f>
        <v>0</v>
      </c>
      <c r="H456" s="985">
        <f t="shared" ref="H456:N456" si="261">IF(H446=0,0,ROUND($F456/$F446*H446,0))</f>
        <v>0</v>
      </c>
      <c r="I456" s="985">
        <f t="shared" si="261"/>
        <v>0</v>
      </c>
      <c r="J456" s="985">
        <f t="shared" si="261"/>
        <v>0</v>
      </c>
      <c r="K456" s="985">
        <f t="shared" si="261"/>
        <v>0</v>
      </c>
      <c r="L456" s="985">
        <f t="shared" si="261"/>
        <v>0</v>
      </c>
      <c r="M456" s="985">
        <f t="shared" si="261"/>
        <v>0</v>
      </c>
      <c r="N456" s="986">
        <f t="shared" si="261"/>
        <v>0</v>
      </c>
    </row>
    <row r="457" spans="1:14" s="951" customFormat="1" ht="12">
      <c r="A457" s="945"/>
      <c r="B457" s="2425"/>
      <c r="C457" s="1192"/>
      <c r="D457" s="1092"/>
      <c r="E457" s="1189">
        <f>+G448</f>
        <v>0</v>
      </c>
      <c r="F457" s="949"/>
      <c r="G457" s="985"/>
      <c r="H457" s="985"/>
      <c r="I457" s="985"/>
      <c r="J457" s="985"/>
      <c r="K457" s="985"/>
      <c r="L457" s="985"/>
      <c r="M457" s="985"/>
      <c r="N457" s="986"/>
    </row>
    <row r="458" spans="1:14" s="951" customFormat="1" ht="12">
      <c r="A458" s="1204"/>
      <c r="B458" s="2424"/>
      <c r="C458" s="1192"/>
      <c r="D458" s="1092"/>
      <c r="E458" s="1189">
        <f>+G449</f>
        <v>0</v>
      </c>
      <c r="F458" s="949"/>
      <c r="G458" s="985"/>
      <c r="H458" s="985"/>
      <c r="I458" s="985"/>
      <c r="J458" s="985"/>
      <c r="K458" s="985"/>
      <c r="L458" s="985"/>
      <c r="M458" s="985"/>
      <c r="N458" s="986"/>
    </row>
    <row r="459" spans="1:14" s="951" customFormat="1" ht="12">
      <c r="A459" s="1204"/>
      <c r="B459" s="2426" t="s">
        <v>2892</v>
      </c>
      <c r="C459" s="1120" t="s">
        <v>2913</v>
      </c>
      <c r="D459" s="1206"/>
      <c r="E459" s="1207"/>
      <c r="F459" s="1208">
        <f>SUM(G459:N459)</f>
        <v>0</v>
      </c>
      <c r="G459" s="2101">
        <f>+G245+G67</f>
        <v>0</v>
      </c>
      <c r="H459" s="2101">
        <f t="shared" ref="H459:N459" si="262">+H245+H67</f>
        <v>0</v>
      </c>
      <c r="I459" s="2101">
        <f t="shared" si="262"/>
        <v>0</v>
      </c>
      <c r="J459" s="2101">
        <f t="shared" si="262"/>
        <v>0</v>
      </c>
      <c r="K459" s="2101">
        <f t="shared" si="262"/>
        <v>0</v>
      </c>
      <c r="L459" s="2101">
        <f t="shared" si="262"/>
        <v>0</v>
      </c>
      <c r="M459" s="2101">
        <f t="shared" si="262"/>
        <v>0</v>
      </c>
      <c r="N459" s="2102">
        <f t="shared" si="262"/>
        <v>0</v>
      </c>
    </row>
    <row r="460" spans="1:14" s="951" customFormat="1" ht="12">
      <c r="A460" s="945"/>
      <c r="B460" s="2427"/>
      <c r="C460" s="2072" t="s">
        <v>2914</v>
      </c>
      <c r="D460" s="1135"/>
      <c r="E460" s="1136"/>
      <c r="F460" s="1123"/>
      <c r="G460" s="985"/>
      <c r="H460" s="985"/>
      <c r="I460" s="985"/>
      <c r="J460" s="985"/>
      <c r="K460" s="985"/>
      <c r="L460" s="985"/>
      <c r="M460" s="985"/>
      <c r="N460" s="986"/>
    </row>
    <row r="461" spans="1:14" s="951" customFormat="1" ht="12">
      <c r="A461" s="1167"/>
      <c r="B461" s="1168"/>
      <c r="C461" s="1168"/>
      <c r="D461" s="856"/>
      <c r="E461" s="856"/>
      <c r="F461" s="1187"/>
      <c r="G461" s="1179"/>
      <c r="H461" s="1179"/>
      <c r="I461" s="1179"/>
      <c r="J461" s="1179"/>
      <c r="K461" s="1179"/>
      <c r="L461" s="1179"/>
      <c r="M461" s="1179"/>
      <c r="N461" s="1180"/>
    </row>
    <row r="462" spans="1:14" s="951" customFormat="1" ht="12">
      <c r="A462" s="1212"/>
      <c r="B462" s="952"/>
      <c r="C462" s="947" t="s">
        <v>2915</v>
      </c>
      <c r="D462" s="1192"/>
      <c r="E462" s="948"/>
      <c r="F462" s="949">
        <f>SUM(G462:N462)</f>
        <v>0</v>
      </c>
      <c r="G462" s="985">
        <f>SUM(G451:G460)</f>
        <v>0</v>
      </c>
      <c r="H462" s="985">
        <f t="shared" ref="H462:N462" si="263">SUM(H451:H460)</f>
        <v>0</v>
      </c>
      <c r="I462" s="985">
        <f t="shared" si="263"/>
        <v>0</v>
      </c>
      <c r="J462" s="985">
        <f t="shared" si="263"/>
        <v>0</v>
      </c>
      <c r="K462" s="985">
        <f t="shared" si="263"/>
        <v>0</v>
      </c>
      <c r="L462" s="985">
        <f t="shared" si="263"/>
        <v>0</v>
      </c>
      <c r="M462" s="985">
        <f t="shared" si="263"/>
        <v>0</v>
      </c>
      <c r="N462" s="986">
        <f t="shared" si="263"/>
        <v>0</v>
      </c>
    </row>
    <row r="463" spans="1:14" s="951" customFormat="1" ht="12">
      <c r="A463" s="1212"/>
      <c r="B463" s="952"/>
      <c r="C463" s="947" t="s">
        <v>2896</v>
      </c>
      <c r="D463" s="1192"/>
      <c r="E463" s="948"/>
      <c r="F463" s="949">
        <f>SUM(G463:N463)</f>
        <v>0</v>
      </c>
      <c r="G463" s="985">
        <f t="shared" ref="G463:N463" si="264">+G431</f>
        <v>0</v>
      </c>
      <c r="H463" s="985">
        <f t="shared" si="264"/>
        <v>0</v>
      </c>
      <c r="I463" s="985">
        <f t="shared" si="264"/>
        <v>0</v>
      </c>
      <c r="J463" s="985">
        <f t="shared" si="264"/>
        <v>0</v>
      </c>
      <c r="K463" s="985">
        <f t="shared" si="264"/>
        <v>0</v>
      </c>
      <c r="L463" s="985">
        <f t="shared" si="264"/>
        <v>0</v>
      </c>
      <c r="M463" s="985">
        <f t="shared" si="264"/>
        <v>0</v>
      </c>
      <c r="N463" s="986">
        <f t="shared" si="264"/>
        <v>0</v>
      </c>
    </row>
    <row r="464" spans="1:14" s="951" customFormat="1" ht="12.75" thickBot="1">
      <c r="A464" s="1213"/>
      <c r="B464" s="1214"/>
      <c r="C464" s="1215" t="s">
        <v>2916</v>
      </c>
      <c r="D464" s="1216"/>
      <c r="E464" s="1217"/>
      <c r="F464" s="1218">
        <f>SUM(G464:N464)</f>
        <v>0</v>
      </c>
      <c r="G464" s="1219">
        <f t="shared" ref="G464:N464" si="265">SUM(G462:G463)</f>
        <v>0</v>
      </c>
      <c r="H464" s="1219">
        <f t="shared" si="265"/>
        <v>0</v>
      </c>
      <c r="I464" s="1219">
        <f t="shared" si="265"/>
        <v>0</v>
      </c>
      <c r="J464" s="1219">
        <f t="shared" si="265"/>
        <v>0</v>
      </c>
      <c r="K464" s="1219">
        <f t="shared" si="265"/>
        <v>0</v>
      </c>
      <c r="L464" s="1219">
        <f t="shared" si="265"/>
        <v>0</v>
      </c>
      <c r="M464" s="1219">
        <f t="shared" si="265"/>
        <v>0</v>
      </c>
      <c r="N464" s="1220">
        <f t="shared" si="265"/>
        <v>0</v>
      </c>
    </row>
    <row r="465" spans="1:14" s="951" customFormat="1" ht="12.75" thickTop="1">
      <c r="A465" s="945"/>
      <c r="B465" s="946"/>
      <c r="C465" s="946"/>
      <c r="D465" s="955"/>
      <c r="E465" s="955"/>
      <c r="F465" s="956"/>
      <c r="G465" s="1221">
        <f t="shared" ref="G465:N465" si="266">ROUNDDOWN(G464,-3)</f>
        <v>0</v>
      </c>
      <c r="H465" s="1221">
        <f t="shared" si="266"/>
        <v>0</v>
      </c>
      <c r="I465" s="1221">
        <f t="shared" si="266"/>
        <v>0</v>
      </c>
      <c r="J465" s="1221">
        <f t="shared" si="266"/>
        <v>0</v>
      </c>
      <c r="K465" s="1221">
        <f t="shared" si="266"/>
        <v>0</v>
      </c>
      <c r="L465" s="1221">
        <f t="shared" si="266"/>
        <v>0</v>
      </c>
      <c r="M465" s="1221">
        <f t="shared" si="266"/>
        <v>0</v>
      </c>
      <c r="N465" s="1222">
        <f t="shared" si="266"/>
        <v>0</v>
      </c>
    </row>
    <row r="466" spans="1:14" s="951" customFormat="1" ht="12">
      <c r="A466" s="1212"/>
      <c r="B466" s="952"/>
      <c r="C466" s="947" t="s">
        <v>2896</v>
      </c>
      <c r="D466" s="1192"/>
      <c r="E466" s="948"/>
      <c r="F466" s="949">
        <f>SUM(G466:N466)</f>
        <v>0</v>
      </c>
      <c r="G466" s="985">
        <f>+G463</f>
        <v>0</v>
      </c>
      <c r="H466" s="985">
        <f t="shared" ref="H466:N466" si="267">+H463</f>
        <v>0</v>
      </c>
      <c r="I466" s="985">
        <f t="shared" si="267"/>
        <v>0</v>
      </c>
      <c r="J466" s="985">
        <f t="shared" si="267"/>
        <v>0</v>
      </c>
      <c r="K466" s="985">
        <f t="shared" si="267"/>
        <v>0</v>
      </c>
      <c r="L466" s="985">
        <f t="shared" si="267"/>
        <v>0</v>
      </c>
      <c r="M466" s="985">
        <f t="shared" si="267"/>
        <v>0</v>
      </c>
      <c r="N466" s="986">
        <f t="shared" si="267"/>
        <v>0</v>
      </c>
    </row>
    <row r="467" spans="1:14" s="951" customFormat="1" ht="12">
      <c r="A467" s="1212"/>
      <c r="B467" s="952"/>
      <c r="C467" s="947" t="s">
        <v>2917</v>
      </c>
      <c r="D467" s="1192"/>
      <c r="E467" s="1189"/>
      <c r="F467" s="949" t="e">
        <f>SUM(G467:N467)</f>
        <v>#DIV/0!</v>
      </c>
      <c r="G467" s="985" t="e">
        <f>+G462-(G464-G469)</f>
        <v>#DIV/0!</v>
      </c>
      <c r="H467" s="985" t="e">
        <f t="shared" ref="H467:N467" si="268">+H462-(H464-H469)</f>
        <v>#DIV/0!</v>
      </c>
      <c r="I467" s="985" t="e">
        <f t="shared" si="268"/>
        <v>#DIV/0!</v>
      </c>
      <c r="J467" s="985" t="e">
        <f t="shared" si="268"/>
        <v>#DIV/0!</v>
      </c>
      <c r="K467" s="985" t="e">
        <f t="shared" si="268"/>
        <v>#DIV/0!</v>
      </c>
      <c r="L467" s="985" t="e">
        <f t="shared" si="268"/>
        <v>#DIV/0!</v>
      </c>
      <c r="M467" s="985" t="e">
        <f t="shared" si="268"/>
        <v>#DIV/0!</v>
      </c>
      <c r="N467" s="986" t="e">
        <f t="shared" si="268"/>
        <v>#DIV/0!</v>
      </c>
    </row>
    <row r="468" spans="1:14" s="951" customFormat="1" ht="12">
      <c r="A468" s="1212"/>
      <c r="B468" s="952"/>
      <c r="C468" s="952"/>
      <c r="D468" s="948"/>
      <c r="E468" s="1223">
        <f>SUM(G465:N465)</f>
        <v>0</v>
      </c>
      <c r="F468" s="949" t="s">
        <v>2918</v>
      </c>
      <c r="G468" s="985" t="e">
        <f t="shared" ref="G468:N468" si="269">+G462-G467</f>
        <v>#DIV/0!</v>
      </c>
      <c r="H468" s="985" t="e">
        <f t="shared" si="269"/>
        <v>#DIV/0!</v>
      </c>
      <c r="I468" s="985" t="e">
        <f t="shared" si="269"/>
        <v>#DIV/0!</v>
      </c>
      <c r="J468" s="985" t="e">
        <f t="shared" si="269"/>
        <v>#DIV/0!</v>
      </c>
      <c r="K468" s="985" t="e">
        <f t="shared" si="269"/>
        <v>#DIV/0!</v>
      </c>
      <c r="L468" s="985" t="e">
        <f t="shared" si="269"/>
        <v>#DIV/0!</v>
      </c>
      <c r="M468" s="1224" t="e">
        <f t="shared" si="269"/>
        <v>#DIV/0!</v>
      </c>
      <c r="N468" s="1225" t="e">
        <f t="shared" si="269"/>
        <v>#DIV/0!</v>
      </c>
    </row>
    <row r="469" spans="1:14" s="951" customFormat="1" ht="12">
      <c r="A469" s="1226"/>
      <c r="B469" s="1227"/>
      <c r="C469" s="1227" t="s">
        <v>2919</v>
      </c>
      <c r="D469" s="1228"/>
      <c r="E469" s="1223">
        <f>ROUNDDOWN(E468,4-LEN(E468))</f>
        <v>0</v>
      </c>
      <c r="F469" s="1229">
        <f>+E469</f>
        <v>0</v>
      </c>
      <c r="G469" s="1224" t="e">
        <f>IF(F470+SUM(H469:N469)=F469,F470,F469-SUM(H469:N469))</f>
        <v>#DIV/0!</v>
      </c>
      <c r="H469" s="1224" t="e">
        <f>IF(H459=0,+H465-ROUND($E$470*H464/$F$464,-3),H464)</f>
        <v>#DIV/0!</v>
      </c>
      <c r="I469" s="1224" t="e">
        <f t="shared" ref="I469:N469" si="270">IF(I459=0,+I465-ROUND($E$470*I464/$F$464,-3),I464)</f>
        <v>#DIV/0!</v>
      </c>
      <c r="J469" s="1224" t="e">
        <f t="shared" si="270"/>
        <v>#DIV/0!</v>
      </c>
      <c r="K469" s="1224" t="e">
        <f t="shared" si="270"/>
        <v>#DIV/0!</v>
      </c>
      <c r="L469" s="1224" t="e">
        <f t="shared" si="270"/>
        <v>#DIV/0!</v>
      </c>
      <c r="M469" s="1224" t="e">
        <f t="shared" si="270"/>
        <v>#DIV/0!</v>
      </c>
      <c r="N469" s="1225" t="e">
        <f t="shared" si="270"/>
        <v>#DIV/0!</v>
      </c>
    </row>
    <row r="470" spans="1:14" s="951" customFormat="1" ht="12">
      <c r="A470" s="1230"/>
      <c r="B470" s="1231"/>
      <c r="C470" s="1231"/>
      <c r="D470" s="1232"/>
      <c r="E470" s="1233">
        <f>E468-E469</f>
        <v>0</v>
      </c>
      <c r="F470" s="1234" t="e">
        <f>+G465-ROUND($E$470*G464/$F$464,-3)</f>
        <v>#DIV/0!</v>
      </c>
      <c r="G470" s="1233">
        <f t="shared" ref="G470:N470" si="271">IF(LEN(G464)&lt;=7,-3,IF(LEN(G464)=8,-4,IF(LEN(G464)&gt;=9,-5,-6)))</f>
        <v>-3</v>
      </c>
      <c r="H470" s="1233">
        <f t="shared" si="271"/>
        <v>-3</v>
      </c>
      <c r="I470" s="1233">
        <f t="shared" si="271"/>
        <v>-3</v>
      </c>
      <c r="J470" s="1233">
        <f t="shared" si="271"/>
        <v>-3</v>
      </c>
      <c r="K470" s="1233">
        <f t="shared" si="271"/>
        <v>-3</v>
      </c>
      <c r="L470" s="1233">
        <f t="shared" si="271"/>
        <v>-3</v>
      </c>
      <c r="M470" s="1233">
        <f t="shared" si="271"/>
        <v>-3</v>
      </c>
      <c r="N470" s="1235">
        <f t="shared" si="271"/>
        <v>-3</v>
      </c>
    </row>
    <row r="471" spans="1:14" ht="12.75" thickBot="1">
      <c r="F471" s="1236"/>
      <c r="G471" s="1237"/>
    </row>
    <row r="472" spans="1:14" ht="12">
      <c r="A472" s="1239"/>
      <c r="B472" s="1240"/>
      <c r="C472" s="1241" t="s">
        <v>2920</v>
      </c>
      <c r="D472" s="1242"/>
      <c r="E472" s="1240"/>
      <c r="F472" s="1243" t="s">
        <v>2921</v>
      </c>
      <c r="G472" s="1244">
        <f t="shared" ref="G472:N472" si="272">+G300</f>
        <v>0</v>
      </c>
      <c r="H472" s="1244">
        <f t="shared" si="272"/>
        <v>0</v>
      </c>
      <c r="I472" s="1244">
        <f t="shared" si="272"/>
        <v>15.9</v>
      </c>
      <c r="J472" s="1244">
        <f t="shared" si="272"/>
        <v>15.9</v>
      </c>
      <c r="K472" s="1244">
        <f t="shared" si="272"/>
        <v>0</v>
      </c>
      <c r="L472" s="1244">
        <f t="shared" si="272"/>
        <v>0</v>
      </c>
      <c r="M472" s="1244">
        <f t="shared" si="272"/>
        <v>0</v>
      </c>
      <c r="N472" s="1245">
        <f t="shared" si="272"/>
        <v>0</v>
      </c>
    </row>
    <row r="473" spans="1:14" s="951" customFormat="1" ht="12">
      <c r="A473" s="2277"/>
      <c r="B473" s="2279" t="s">
        <v>2922</v>
      </c>
      <c r="C473" s="1270" t="s">
        <v>2923</v>
      </c>
      <c r="D473" s="1227"/>
      <c r="E473" s="1271"/>
      <c r="F473" s="1272" t="s">
        <v>3156</v>
      </c>
      <c r="G473" s="1249">
        <f>IF($F356&lt;=10000000,ROUND(7.56*(10000^-0.1105)*(G472^0.2389),2),ROUND(7.56*(($F356/1000)^-0.1105)*(G472^0.2389),2))</f>
        <v>0</v>
      </c>
      <c r="H473" s="1249">
        <f t="shared" ref="H473:N473" si="273">IF($F356&lt;=10000000,ROUND(7.56*(10000^-0.1105)*(H472^0.2389),2),ROUND(7.56*(($F356/1000)^-0.1105)*(H472^0.2389),2))</f>
        <v>0</v>
      </c>
      <c r="I473" s="1249">
        <f t="shared" si="273"/>
        <v>5.29</v>
      </c>
      <c r="J473" s="1249">
        <f t="shared" si="273"/>
        <v>5.29</v>
      </c>
      <c r="K473" s="1249">
        <f t="shared" si="273"/>
        <v>0</v>
      </c>
      <c r="L473" s="1249">
        <f t="shared" si="273"/>
        <v>0</v>
      </c>
      <c r="M473" s="1249">
        <f t="shared" si="273"/>
        <v>0</v>
      </c>
      <c r="N473" s="1250">
        <f t="shared" si="273"/>
        <v>0</v>
      </c>
    </row>
    <row r="474" spans="1:14" s="951" customFormat="1" ht="12">
      <c r="A474" s="2278"/>
      <c r="B474" s="2280"/>
      <c r="C474" s="2288" t="s">
        <v>2925</v>
      </c>
      <c r="D474" s="1126"/>
      <c r="E474" s="1273"/>
      <c r="F474" s="1272" t="s">
        <v>2926</v>
      </c>
      <c r="G474" s="1274">
        <f>IF($F356&lt;=10000000,ROUND(4.33,2),0)</f>
        <v>4.33</v>
      </c>
      <c r="H474" s="1274">
        <f t="shared" ref="H474:N474" si="274">IF($F356&lt;=10000000,ROUND(4.33,2),0)</f>
        <v>4.33</v>
      </c>
      <c r="I474" s="1274">
        <f t="shared" si="274"/>
        <v>4.33</v>
      </c>
      <c r="J474" s="1274">
        <f t="shared" si="274"/>
        <v>4.33</v>
      </c>
      <c r="K474" s="1274">
        <f t="shared" si="274"/>
        <v>4.33</v>
      </c>
      <c r="L474" s="1274">
        <f t="shared" si="274"/>
        <v>4.33</v>
      </c>
      <c r="M474" s="1274">
        <f t="shared" si="274"/>
        <v>4.33</v>
      </c>
      <c r="N474" s="1275">
        <f t="shared" si="274"/>
        <v>4.33</v>
      </c>
    </row>
    <row r="475" spans="1:14" s="951" customFormat="1" ht="13.5" customHeight="1">
      <c r="A475" s="2278"/>
      <c r="B475" s="2280"/>
      <c r="C475" s="2415"/>
      <c r="D475" s="1276"/>
      <c r="E475" s="1277"/>
      <c r="F475" s="1272" t="s">
        <v>2927</v>
      </c>
      <c r="G475" s="1274">
        <f>IF($F356&lt;=10000000,ROUND(3.25,2),0)</f>
        <v>3.25</v>
      </c>
      <c r="H475" s="1274">
        <f t="shared" ref="H475:N475" si="275">IF($F356&lt;=10000000,ROUND(3.25,2),0)</f>
        <v>3.25</v>
      </c>
      <c r="I475" s="1274">
        <f t="shared" si="275"/>
        <v>3.25</v>
      </c>
      <c r="J475" s="1274">
        <f t="shared" si="275"/>
        <v>3.25</v>
      </c>
      <c r="K475" s="1274">
        <f t="shared" si="275"/>
        <v>3.25</v>
      </c>
      <c r="L475" s="1274">
        <f t="shared" si="275"/>
        <v>3.25</v>
      </c>
      <c r="M475" s="1274">
        <f t="shared" si="275"/>
        <v>3.25</v>
      </c>
      <c r="N475" s="1275">
        <f t="shared" si="275"/>
        <v>3.25</v>
      </c>
    </row>
    <row r="476" spans="1:14" s="951" customFormat="1" ht="12">
      <c r="A476" s="2278"/>
      <c r="B476" s="2280"/>
      <c r="C476" s="2288" t="s">
        <v>2928</v>
      </c>
      <c r="D476" s="1126"/>
      <c r="E476" s="1273"/>
      <c r="F476" s="1272" t="s">
        <v>2926</v>
      </c>
      <c r="G476" s="1278">
        <f>IF($F356&gt;10000000,ROUND(5.78*($F356/1000)^-0.0313,2),0)</f>
        <v>0</v>
      </c>
      <c r="H476" s="1278">
        <f t="shared" ref="H476:N476" si="276">IF($F356&gt;10000000,ROUND(5.78*($F356/1000)^-0.0313,2),0)</f>
        <v>0</v>
      </c>
      <c r="I476" s="1278">
        <f t="shared" si="276"/>
        <v>0</v>
      </c>
      <c r="J476" s="1278">
        <f t="shared" si="276"/>
        <v>0</v>
      </c>
      <c r="K476" s="1278">
        <f t="shared" si="276"/>
        <v>0</v>
      </c>
      <c r="L476" s="1278">
        <f t="shared" si="276"/>
        <v>0</v>
      </c>
      <c r="M476" s="1278">
        <f t="shared" si="276"/>
        <v>0</v>
      </c>
      <c r="N476" s="1279">
        <f t="shared" si="276"/>
        <v>0</v>
      </c>
    </row>
    <row r="477" spans="1:14" s="951" customFormat="1" ht="13.5" customHeight="1">
      <c r="A477" s="2286"/>
      <c r="B477" s="2287"/>
      <c r="C477" s="2415"/>
      <c r="D477" s="1276"/>
      <c r="E477" s="1277"/>
      <c r="F477" s="1272" t="s">
        <v>2927</v>
      </c>
      <c r="G477" s="1278">
        <f>IF($F356&gt;10000000,ROUND(4.34*($F356/1000)^-0.0313,2),0)</f>
        <v>0</v>
      </c>
      <c r="H477" s="1278">
        <f t="shared" ref="H477:N477" si="277">IF($F356&gt;10000000,ROUND(4.34*($F356/1000)^-0.0313,2),0)</f>
        <v>0</v>
      </c>
      <c r="I477" s="1278">
        <f t="shared" si="277"/>
        <v>0</v>
      </c>
      <c r="J477" s="1278">
        <f t="shared" si="277"/>
        <v>0</v>
      </c>
      <c r="K477" s="1278">
        <f t="shared" si="277"/>
        <v>0</v>
      </c>
      <c r="L477" s="1278">
        <f t="shared" si="277"/>
        <v>0</v>
      </c>
      <c r="M477" s="1278">
        <f t="shared" si="277"/>
        <v>0</v>
      </c>
      <c r="N477" s="1279">
        <f t="shared" si="277"/>
        <v>0</v>
      </c>
    </row>
    <row r="478" spans="1:14" s="951" customFormat="1" ht="13.5" customHeight="1">
      <c r="A478" s="2416" t="s">
        <v>2929</v>
      </c>
      <c r="B478" s="2417"/>
      <c r="C478" s="2417"/>
      <c r="D478" s="2417"/>
      <c r="E478" s="2417"/>
      <c r="F478" s="2418"/>
      <c r="G478" s="1278">
        <f>IF($F356&lt;=10000000,IF(G$473&gt;G$474,G$474,IF(G$473&lt;G$475,G$475,G$473)),IF(G$473&gt;G$476,G$476,IF(G$473&lt;G$477,G$477,G$473)))</f>
        <v>3.25</v>
      </c>
      <c r="H478" s="1278">
        <f t="shared" ref="H478:N478" si="278">IF($F356&lt;=10000000,IF(H$473&gt;H$474,H$474,IF(H$473&lt;H$475,H$475,H$473)),IF(H$473&gt;H$476,H$476,IF(H$473&lt;H$477,H$477,H$473)))</f>
        <v>3.25</v>
      </c>
      <c r="I478" s="1278">
        <f t="shared" si="278"/>
        <v>4.33</v>
      </c>
      <c r="J478" s="1278">
        <f t="shared" si="278"/>
        <v>4.33</v>
      </c>
      <c r="K478" s="1278">
        <f t="shared" si="278"/>
        <v>3.25</v>
      </c>
      <c r="L478" s="1278">
        <f t="shared" si="278"/>
        <v>3.25</v>
      </c>
      <c r="M478" s="1278">
        <f t="shared" si="278"/>
        <v>3.25</v>
      </c>
      <c r="N478" s="1279">
        <f t="shared" si="278"/>
        <v>3.25</v>
      </c>
    </row>
    <row r="479" spans="1:14" s="951" customFormat="1" ht="12.75" thickBot="1">
      <c r="A479" s="2419" t="s">
        <v>3056</v>
      </c>
      <c r="B479" s="2420"/>
      <c r="C479" s="2420"/>
      <c r="D479" s="2420"/>
      <c r="E479" s="2420"/>
      <c r="F479" s="2421"/>
      <c r="G479" s="2074">
        <f t="shared" ref="G479:N479" si="279">ROUND(G478*0.9,2)</f>
        <v>2.93</v>
      </c>
      <c r="H479" s="2074">
        <f t="shared" si="279"/>
        <v>2.93</v>
      </c>
      <c r="I479" s="2074">
        <f t="shared" si="279"/>
        <v>3.9</v>
      </c>
      <c r="J479" s="2074">
        <f t="shared" si="279"/>
        <v>3.9</v>
      </c>
      <c r="K479" s="2074">
        <f t="shared" si="279"/>
        <v>2.93</v>
      </c>
      <c r="L479" s="2074">
        <f t="shared" si="279"/>
        <v>2.93</v>
      </c>
      <c r="M479" s="2074">
        <f t="shared" si="279"/>
        <v>2.93</v>
      </c>
      <c r="N479" s="2075">
        <f t="shared" si="279"/>
        <v>2.93</v>
      </c>
    </row>
    <row r="480" spans="1:14" s="951" customFormat="1" ht="12.75" thickBot="1">
      <c r="G480" s="1264"/>
      <c r="H480" s="1264"/>
      <c r="I480" s="1264"/>
      <c r="J480" s="1264"/>
      <c r="K480" s="1264"/>
      <c r="L480" s="1264"/>
      <c r="M480" s="1264"/>
      <c r="N480" s="1264"/>
    </row>
    <row r="481" spans="1:14" s="951" customFormat="1" ht="12">
      <c r="A481" s="1265"/>
      <c r="B481" s="1266"/>
      <c r="C481" s="1267" t="s">
        <v>2920</v>
      </c>
      <c r="D481" s="1268"/>
      <c r="E481" s="1266"/>
      <c r="F481" s="1269" t="s">
        <v>2921</v>
      </c>
      <c r="G481" s="1244">
        <f t="shared" ref="G481:N481" si="280">+G300</f>
        <v>0</v>
      </c>
      <c r="H481" s="1244">
        <f t="shared" si="280"/>
        <v>0</v>
      </c>
      <c r="I481" s="1244">
        <f t="shared" si="280"/>
        <v>15.9</v>
      </c>
      <c r="J481" s="1244">
        <f t="shared" si="280"/>
        <v>15.9</v>
      </c>
      <c r="K481" s="1244">
        <f t="shared" si="280"/>
        <v>0</v>
      </c>
      <c r="L481" s="1244">
        <f t="shared" si="280"/>
        <v>0</v>
      </c>
      <c r="M481" s="1244">
        <f t="shared" si="280"/>
        <v>0</v>
      </c>
      <c r="N481" s="1245">
        <f t="shared" si="280"/>
        <v>0</v>
      </c>
    </row>
    <row r="482" spans="1:14" s="951" customFormat="1" ht="12">
      <c r="A482" s="2277"/>
      <c r="B482" s="2279" t="s">
        <v>2931</v>
      </c>
      <c r="C482" s="1270" t="s">
        <v>2923</v>
      </c>
      <c r="D482" s="1227"/>
      <c r="E482" s="1271"/>
      <c r="F482" s="1272" t="s">
        <v>2932</v>
      </c>
      <c r="G482" s="1249">
        <f>IF($F356&lt;=5000000,ROUND(18.03*(5000^-0.2027)*(G481^0.4017),2),ROUND(18.03*(($F356/1000)^-0.2027)*(G481^0.4017),2))</f>
        <v>0</v>
      </c>
      <c r="H482" s="1249">
        <f t="shared" ref="H482:N482" si="281">IF($F356&lt;=5000000,ROUND(18.03*(5000^-0.2027)*(H481^0.4017),2),ROUND(18.03*(($F356/1000)^-0.2027)*(H481^0.4017),2))</f>
        <v>0</v>
      </c>
      <c r="I482" s="1249">
        <f t="shared" si="281"/>
        <v>9.75</v>
      </c>
      <c r="J482" s="1249">
        <f t="shared" si="281"/>
        <v>9.75</v>
      </c>
      <c r="K482" s="1249">
        <f t="shared" si="281"/>
        <v>0</v>
      </c>
      <c r="L482" s="1249">
        <f t="shared" si="281"/>
        <v>0</v>
      </c>
      <c r="M482" s="1249">
        <f t="shared" si="281"/>
        <v>0</v>
      </c>
      <c r="N482" s="1250">
        <f t="shared" si="281"/>
        <v>0</v>
      </c>
    </row>
    <row r="483" spans="1:14" s="951" customFormat="1" ht="12">
      <c r="A483" s="2278"/>
      <c r="B483" s="2280"/>
      <c r="C483" s="2288" t="s">
        <v>2933</v>
      </c>
      <c r="D483" s="1126"/>
      <c r="E483" s="1273"/>
      <c r="F483" s="1272" t="s">
        <v>2926</v>
      </c>
      <c r="G483" s="1274">
        <f>IF($F356&lt;=5000000,ROUND(6.07,2),0)</f>
        <v>6.07</v>
      </c>
      <c r="H483" s="1274">
        <f t="shared" ref="H483:N483" si="282">IF($F356&lt;=5000000,ROUND(6.07,2),0)</f>
        <v>6.07</v>
      </c>
      <c r="I483" s="1274">
        <f t="shared" si="282"/>
        <v>6.07</v>
      </c>
      <c r="J483" s="1274">
        <f t="shared" si="282"/>
        <v>6.07</v>
      </c>
      <c r="K483" s="1274">
        <f t="shared" si="282"/>
        <v>6.07</v>
      </c>
      <c r="L483" s="1274">
        <f t="shared" si="282"/>
        <v>6.07</v>
      </c>
      <c r="M483" s="1274">
        <f t="shared" si="282"/>
        <v>6.07</v>
      </c>
      <c r="N483" s="1275">
        <f t="shared" si="282"/>
        <v>6.07</v>
      </c>
    </row>
    <row r="484" spans="1:14" s="951" customFormat="1" ht="13.5" customHeight="1">
      <c r="A484" s="2278"/>
      <c r="B484" s="2280"/>
      <c r="C484" s="2415"/>
      <c r="D484" s="1276"/>
      <c r="E484" s="1277"/>
      <c r="F484" s="1272" t="s">
        <v>2927</v>
      </c>
      <c r="G484" s="1274">
        <f>IF($F356&lt;=5000000,ROUND(3.59,2),0)</f>
        <v>3.59</v>
      </c>
      <c r="H484" s="1274">
        <f t="shared" ref="H484:N484" si="283">IF($F356&lt;=5000000,ROUND(3.59,2),0)</f>
        <v>3.59</v>
      </c>
      <c r="I484" s="1274">
        <f t="shared" si="283"/>
        <v>3.59</v>
      </c>
      <c r="J484" s="1274">
        <f t="shared" si="283"/>
        <v>3.59</v>
      </c>
      <c r="K484" s="1274">
        <f t="shared" si="283"/>
        <v>3.59</v>
      </c>
      <c r="L484" s="1274">
        <f t="shared" si="283"/>
        <v>3.59</v>
      </c>
      <c r="M484" s="1274">
        <f t="shared" si="283"/>
        <v>3.59</v>
      </c>
      <c r="N484" s="1275">
        <f t="shared" si="283"/>
        <v>3.59</v>
      </c>
    </row>
    <row r="485" spans="1:14" s="951" customFormat="1" ht="12">
      <c r="A485" s="2278"/>
      <c r="B485" s="2280"/>
      <c r="C485" s="2288" t="s">
        <v>2934</v>
      </c>
      <c r="D485" s="1126"/>
      <c r="E485" s="1273"/>
      <c r="F485" s="1272" t="s">
        <v>2926</v>
      </c>
      <c r="G485" s="1278">
        <f>IF($F356&gt;5000000,ROUND(11.74*($F356/1000)^-0.0774,2),0)</f>
        <v>0</v>
      </c>
      <c r="H485" s="1278">
        <f t="shared" ref="H485:N485" si="284">IF($F356&gt;5000000,ROUND(11.74*($F356/1000)^-0.0774,2),0)</f>
        <v>0</v>
      </c>
      <c r="I485" s="1278">
        <f t="shared" si="284"/>
        <v>0</v>
      </c>
      <c r="J485" s="1278">
        <f t="shared" si="284"/>
        <v>0</v>
      </c>
      <c r="K485" s="1278">
        <f t="shared" si="284"/>
        <v>0</v>
      </c>
      <c r="L485" s="1278">
        <f t="shared" si="284"/>
        <v>0</v>
      </c>
      <c r="M485" s="1278">
        <f t="shared" si="284"/>
        <v>0</v>
      </c>
      <c r="N485" s="1279">
        <f t="shared" si="284"/>
        <v>0</v>
      </c>
    </row>
    <row r="486" spans="1:14" s="951" customFormat="1" ht="13.5" customHeight="1">
      <c r="A486" s="2286"/>
      <c r="B486" s="2287"/>
      <c r="C486" s="2415"/>
      <c r="D486" s="1276"/>
      <c r="E486" s="1277"/>
      <c r="F486" s="1272" t="s">
        <v>2927</v>
      </c>
      <c r="G486" s="1278">
        <f>IF($F356&gt;5000000,ROUND(6.94*($F356/1000)^-0.0774,2),0)</f>
        <v>0</v>
      </c>
      <c r="H486" s="1278">
        <f t="shared" ref="H486:N486" si="285">IF($F356&gt;5000000,ROUND(6.94*($F356/1000)^-0.0774,2),0)</f>
        <v>0</v>
      </c>
      <c r="I486" s="1278">
        <f t="shared" si="285"/>
        <v>0</v>
      </c>
      <c r="J486" s="1278">
        <f t="shared" si="285"/>
        <v>0</v>
      </c>
      <c r="K486" s="1278">
        <f t="shared" si="285"/>
        <v>0</v>
      </c>
      <c r="L486" s="1278">
        <f t="shared" si="285"/>
        <v>0</v>
      </c>
      <c r="M486" s="1278">
        <f t="shared" si="285"/>
        <v>0</v>
      </c>
      <c r="N486" s="1279">
        <f t="shared" si="285"/>
        <v>0</v>
      </c>
    </row>
    <row r="487" spans="1:14" s="951" customFormat="1" ht="13.5" customHeight="1">
      <c r="A487" s="2416" t="s">
        <v>2929</v>
      </c>
      <c r="B487" s="2417"/>
      <c r="C487" s="2417"/>
      <c r="D487" s="2417"/>
      <c r="E487" s="2417"/>
      <c r="F487" s="2418"/>
      <c r="G487" s="2076">
        <f>IF($F356&lt;=5000000,IF(G$482&gt;G$483,G$483,IF(G$482&lt;G$484,G$484,G$482)),IF(G$482&gt;G$485,G$485,IF(G$482&lt;G$486,G$486,G$482)))</f>
        <v>3.59</v>
      </c>
      <c r="H487" s="2076">
        <f t="shared" ref="H487:N487" si="286">IF($F356&lt;=5000000,IF(H$482&gt;H$483,H$483,IF(H$482&lt;H$484,H$484,H$482)),IF(H$482&gt;H$485,H$485,IF(H$482&lt;H$486,H$486,H$482)))</f>
        <v>3.59</v>
      </c>
      <c r="I487" s="2076">
        <f t="shared" si="286"/>
        <v>6.07</v>
      </c>
      <c r="J487" s="2076">
        <f t="shared" si="286"/>
        <v>6.07</v>
      </c>
      <c r="K487" s="2076">
        <f t="shared" si="286"/>
        <v>3.59</v>
      </c>
      <c r="L487" s="2076">
        <f t="shared" si="286"/>
        <v>3.59</v>
      </c>
      <c r="M487" s="2076">
        <f t="shared" si="286"/>
        <v>3.59</v>
      </c>
      <c r="N487" s="2103">
        <f t="shared" si="286"/>
        <v>3.59</v>
      </c>
    </row>
    <row r="488" spans="1:14" s="951" customFormat="1" ht="12.75" thickBot="1">
      <c r="A488" s="2419" t="s">
        <v>3056</v>
      </c>
      <c r="B488" s="2420"/>
      <c r="C488" s="2420"/>
      <c r="D488" s="2420"/>
      <c r="E488" s="2420"/>
      <c r="F488" s="2421"/>
      <c r="G488" s="2074">
        <f t="shared" ref="G488:N488" si="287">ROUND(G487*0.9,2)</f>
        <v>3.23</v>
      </c>
      <c r="H488" s="2074">
        <f t="shared" si="287"/>
        <v>3.23</v>
      </c>
      <c r="I488" s="2074">
        <f t="shared" si="287"/>
        <v>5.46</v>
      </c>
      <c r="J488" s="2074">
        <f t="shared" si="287"/>
        <v>5.46</v>
      </c>
      <c r="K488" s="2074">
        <f t="shared" si="287"/>
        <v>3.23</v>
      </c>
      <c r="L488" s="2074">
        <f t="shared" si="287"/>
        <v>3.23</v>
      </c>
      <c r="M488" s="2074">
        <f t="shared" si="287"/>
        <v>3.23</v>
      </c>
      <c r="N488" s="2075">
        <f t="shared" si="287"/>
        <v>3.23</v>
      </c>
    </row>
    <row r="489" spans="1:14" s="951" customFormat="1" ht="12.75" thickBot="1">
      <c r="G489" s="1282"/>
      <c r="H489" s="1282"/>
      <c r="I489" s="1282"/>
      <c r="J489" s="1282"/>
      <c r="K489" s="1282"/>
      <c r="L489" s="1282"/>
      <c r="M489" s="1282"/>
      <c r="N489" s="1282"/>
    </row>
    <row r="490" spans="1:14" s="951" customFormat="1" ht="12">
      <c r="A490" s="1265"/>
      <c r="B490" s="1266"/>
      <c r="C490" s="1267" t="s">
        <v>2935</v>
      </c>
      <c r="D490" s="1268"/>
      <c r="E490" s="1266"/>
      <c r="F490" s="1269" t="s">
        <v>2921</v>
      </c>
      <c r="G490" s="1244">
        <f t="shared" ref="G490:N490" si="288">+G498</f>
        <v>0</v>
      </c>
      <c r="H490" s="1244">
        <f t="shared" si="288"/>
        <v>0</v>
      </c>
      <c r="I490" s="1244">
        <f t="shared" si="288"/>
        <v>15.9</v>
      </c>
      <c r="J490" s="1244">
        <f t="shared" si="288"/>
        <v>15.9</v>
      </c>
      <c r="K490" s="1244">
        <f t="shared" si="288"/>
        <v>0</v>
      </c>
      <c r="L490" s="1244">
        <f t="shared" si="288"/>
        <v>0</v>
      </c>
      <c r="M490" s="1244">
        <f t="shared" si="288"/>
        <v>0</v>
      </c>
      <c r="N490" s="1245">
        <f t="shared" si="288"/>
        <v>0</v>
      </c>
    </row>
    <row r="491" spans="1:14" s="951" customFormat="1" ht="12">
      <c r="A491" s="2277"/>
      <c r="B491" s="2279" t="s">
        <v>2922</v>
      </c>
      <c r="C491" s="1270" t="s">
        <v>2936</v>
      </c>
      <c r="D491" s="1227"/>
      <c r="E491" s="1271"/>
      <c r="F491" s="1272" t="s">
        <v>3157</v>
      </c>
      <c r="G491" s="1249">
        <f>IF($F395&lt;=10000000,ROUND(151.08*((10000)^-0.3396)*(G490^0.586),2),ROUND(151.08*(($F395/1000)^-0.3396)*(G490^0.586),2))</f>
        <v>0</v>
      </c>
      <c r="H491" s="1249">
        <f t="shared" ref="H491:N491" si="289">IF($F395&lt;=10000000,ROUND(151.08*((10000)^-0.3396)*(H490^0.586),2),ROUND(151.08*(($F395/1000)^-0.3396)*(H490^0.586),2))</f>
        <v>0</v>
      </c>
      <c r="I491" s="1249">
        <f t="shared" si="289"/>
        <v>33.479999999999997</v>
      </c>
      <c r="J491" s="1249">
        <f t="shared" si="289"/>
        <v>33.479999999999997</v>
      </c>
      <c r="K491" s="1249">
        <f t="shared" si="289"/>
        <v>0</v>
      </c>
      <c r="L491" s="1249">
        <f t="shared" si="289"/>
        <v>0</v>
      </c>
      <c r="M491" s="1249">
        <f t="shared" si="289"/>
        <v>0</v>
      </c>
      <c r="N491" s="1250">
        <f t="shared" si="289"/>
        <v>0</v>
      </c>
    </row>
    <row r="492" spans="1:14" s="951" customFormat="1" ht="12">
      <c r="A492" s="2278"/>
      <c r="B492" s="2280"/>
      <c r="C492" s="2288" t="s">
        <v>2938</v>
      </c>
      <c r="D492" s="1126"/>
      <c r="E492" s="1273"/>
      <c r="F492" s="1272" t="s">
        <v>2926</v>
      </c>
      <c r="G492" s="1274">
        <f>IF($F395&lt;=10000000,ROUND(20.13,2),0)</f>
        <v>20.13</v>
      </c>
      <c r="H492" s="1274">
        <f t="shared" ref="H492:N492" si="290">IF($F395&lt;=10000000,ROUND(20.13,2),0)</f>
        <v>20.13</v>
      </c>
      <c r="I492" s="1274">
        <f t="shared" si="290"/>
        <v>20.13</v>
      </c>
      <c r="J492" s="1274">
        <f t="shared" si="290"/>
        <v>20.13</v>
      </c>
      <c r="K492" s="1274">
        <f t="shared" si="290"/>
        <v>20.13</v>
      </c>
      <c r="L492" s="1274">
        <f t="shared" si="290"/>
        <v>20.13</v>
      </c>
      <c r="M492" s="1274">
        <f t="shared" si="290"/>
        <v>20.13</v>
      </c>
      <c r="N492" s="1275">
        <f t="shared" si="290"/>
        <v>20.13</v>
      </c>
    </row>
    <row r="493" spans="1:14" s="951" customFormat="1" ht="13.5" customHeight="1">
      <c r="A493" s="2278"/>
      <c r="B493" s="2280"/>
      <c r="C493" s="2415"/>
      <c r="D493" s="1276"/>
      <c r="E493" s="1277"/>
      <c r="F493" s="1272" t="s">
        <v>2927</v>
      </c>
      <c r="G493" s="1274">
        <f>IF($F395&lt;=10000000,ROUND(10.01,2),0)</f>
        <v>10.01</v>
      </c>
      <c r="H493" s="1274">
        <f t="shared" ref="H493:N493" si="291">IF($F395&lt;=10000000,ROUND(10.01,2),0)</f>
        <v>10.01</v>
      </c>
      <c r="I493" s="1274">
        <f t="shared" si="291"/>
        <v>10.01</v>
      </c>
      <c r="J493" s="1274">
        <f t="shared" si="291"/>
        <v>10.01</v>
      </c>
      <c r="K493" s="1274">
        <f t="shared" si="291"/>
        <v>10.01</v>
      </c>
      <c r="L493" s="1274">
        <f t="shared" si="291"/>
        <v>10.01</v>
      </c>
      <c r="M493" s="1274">
        <f t="shared" si="291"/>
        <v>10.01</v>
      </c>
      <c r="N493" s="1275">
        <f t="shared" si="291"/>
        <v>10.01</v>
      </c>
    </row>
    <row r="494" spans="1:14" s="951" customFormat="1" ht="12">
      <c r="A494" s="2278"/>
      <c r="B494" s="2280"/>
      <c r="C494" s="2288" t="s">
        <v>2939</v>
      </c>
      <c r="D494" s="1126"/>
      <c r="E494" s="1273"/>
      <c r="F494" s="1272" t="s">
        <v>2926</v>
      </c>
      <c r="G494" s="1278">
        <f>IF($F395&gt;10000000,ROUND(75.97*($F395/1000)^-0.1442,2),0)</f>
        <v>0</v>
      </c>
      <c r="H494" s="1278">
        <f t="shared" ref="H494:N494" si="292">IF($F395&gt;10000000,ROUND(75.97*($F395/1000)^-0.1442,2),0)</f>
        <v>0</v>
      </c>
      <c r="I494" s="1278">
        <f t="shared" si="292"/>
        <v>0</v>
      </c>
      <c r="J494" s="1278">
        <f t="shared" si="292"/>
        <v>0</v>
      </c>
      <c r="K494" s="1278">
        <f t="shared" si="292"/>
        <v>0</v>
      </c>
      <c r="L494" s="1278">
        <f t="shared" si="292"/>
        <v>0</v>
      </c>
      <c r="M494" s="1278">
        <f t="shared" si="292"/>
        <v>0</v>
      </c>
      <c r="N494" s="1279">
        <f t="shared" si="292"/>
        <v>0</v>
      </c>
    </row>
    <row r="495" spans="1:14" s="951" customFormat="1" ht="13.5" customHeight="1">
      <c r="A495" s="2286"/>
      <c r="B495" s="2287"/>
      <c r="C495" s="2415"/>
      <c r="D495" s="1276"/>
      <c r="E495" s="1277"/>
      <c r="F495" s="1272" t="s">
        <v>2927</v>
      </c>
      <c r="G495" s="1278">
        <f>IF($F395&gt;10000000,ROUND(37.76*($F395/1000)^-0.1442,2),0)</f>
        <v>0</v>
      </c>
      <c r="H495" s="1278">
        <f t="shared" ref="H495:N495" si="293">IF($F395&gt;10000000,ROUND(37.76*($F395/1000)^-0.1442,2),0)</f>
        <v>0</v>
      </c>
      <c r="I495" s="1278">
        <f t="shared" si="293"/>
        <v>0</v>
      </c>
      <c r="J495" s="1278">
        <f t="shared" si="293"/>
        <v>0</v>
      </c>
      <c r="K495" s="1278">
        <f t="shared" si="293"/>
        <v>0</v>
      </c>
      <c r="L495" s="1278">
        <f t="shared" si="293"/>
        <v>0</v>
      </c>
      <c r="M495" s="1278">
        <f t="shared" si="293"/>
        <v>0</v>
      </c>
      <c r="N495" s="1279">
        <f t="shared" si="293"/>
        <v>0</v>
      </c>
    </row>
    <row r="496" spans="1:14" s="951" customFormat="1" ht="12.75" thickBot="1">
      <c r="A496" s="2413" t="s">
        <v>2940</v>
      </c>
      <c r="B496" s="2414"/>
      <c r="C496" s="2414"/>
      <c r="D496" s="2414"/>
      <c r="E496" s="2077"/>
      <c r="F496" s="2078"/>
      <c r="G496" s="2079">
        <f>IF($F395&lt;=10000000,IF(G$491&gt;G$492,G$492,IF(G$491&lt;G$493,G$493,G$491)),IF(G$491&gt;G$494,G$494,IF(G$491&lt;G$495,G$495,G$491)))</f>
        <v>10.01</v>
      </c>
      <c r="H496" s="2079">
        <f t="shared" ref="H496:N496" si="294">IF($F395&lt;=10000000,IF(H$491&gt;H$492,H$492,IF(H$491&lt;H$493,H$493,H$491)),IF(H$491&gt;H$494,H$494,IF(H$491&lt;H$495,H$495,H$491)))</f>
        <v>10.01</v>
      </c>
      <c r="I496" s="2079">
        <f t="shared" si="294"/>
        <v>20.13</v>
      </c>
      <c r="J496" s="2079">
        <f t="shared" si="294"/>
        <v>20.13</v>
      </c>
      <c r="K496" s="2079">
        <f t="shared" si="294"/>
        <v>10.01</v>
      </c>
      <c r="L496" s="2079">
        <f t="shared" si="294"/>
        <v>10.01</v>
      </c>
      <c r="M496" s="2079">
        <f t="shared" si="294"/>
        <v>10.01</v>
      </c>
      <c r="N496" s="2104">
        <f t="shared" si="294"/>
        <v>10.01</v>
      </c>
    </row>
    <row r="497" spans="1:14" s="951" customFormat="1" ht="12.75" thickBot="1">
      <c r="G497" s="1264"/>
      <c r="H497" s="1264"/>
      <c r="I497" s="1264"/>
      <c r="J497" s="1264"/>
      <c r="K497" s="1264"/>
      <c r="L497" s="1264"/>
      <c r="M497" s="1264"/>
      <c r="N497" s="1264"/>
    </row>
    <row r="498" spans="1:14" s="951" customFormat="1" ht="12">
      <c r="A498" s="1265"/>
      <c r="B498" s="1266"/>
      <c r="C498" s="1267" t="s">
        <v>2935</v>
      </c>
      <c r="D498" s="1268"/>
      <c r="E498" s="1266"/>
      <c r="F498" s="1269" t="s">
        <v>2921</v>
      </c>
      <c r="G498" s="1244">
        <f t="shared" ref="G498:N498" si="295">+G300</f>
        <v>0</v>
      </c>
      <c r="H498" s="1244">
        <f t="shared" si="295"/>
        <v>0</v>
      </c>
      <c r="I498" s="1244">
        <f t="shared" si="295"/>
        <v>15.9</v>
      </c>
      <c r="J498" s="1244">
        <f t="shared" si="295"/>
        <v>15.9</v>
      </c>
      <c r="K498" s="1244">
        <f t="shared" si="295"/>
        <v>0</v>
      </c>
      <c r="L498" s="1244">
        <f t="shared" si="295"/>
        <v>0</v>
      </c>
      <c r="M498" s="1244">
        <f t="shared" si="295"/>
        <v>0</v>
      </c>
      <c r="N498" s="1245">
        <f t="shared" si="295"/>
        <v>0</v>
      </c>
    </row>
    <row r="499" spans="1:14" s="951" customFormat="1" ht="12">
      <c r="A499" s="2277"/>
      <c r="B499" s="2279" t="s">
        <v>2931</v>
      </c>
      <c r="C499" s="1270" t="s">
        <v>2936</v>
      </c>
      <c r="D499" s="1227"/>
      <c r="E499" s="1271"/>
      <c r="F499" s="1272" t="s">
        <v>3158</v>
      </c>
      <c r="G499" s="1249">
        <f>IF($F395&lt;=5000000,ROUND(356.2*((5000)^-0.4085)*(G498^0.5766),2),ROUND(356.2*(($F395/1000)^-0.4085)*(G498^0.5766),2))</f>
        <v>0</v>
      </c>
      <c r="H499" s="1249">
        <f t="shared" ref="H499:N499" si="296">IF($F395&lt;=5000000,ROUND(356.2*((5000)^-0.4085)*(H498^0.5766),2),ROUND(356.2*(($F395/1000)^-0.4085)*(H498^0.5766),2))</f>
        <v>0</v>
      </c>
      <c r="I499" s="1249">
        <f t="shared" si="296"/>
        <v>54.12</v>
      </c>
      <c r="J499" s="1249">
        <f t="shared" si="296"/>
        <v>54.12</v>
      </c>
      <c r="K499" s="1249">
        <f t="shared" si="296"/>
        <v>0</v>
      </c>
      <c r="L499" s="1249">
        <f t="shared" si="296"/>
        <v>0</v>
      </c>
      <c r="M499" s="1249">
        <f t="shared" si="296"/>
        <v>0</v>
      </c>
      <c r="N499" s="1250">
        <f t="shared" si="296"/>
        <v>0</v>
      </c>
    </row>
    <row r="500" spans="1:14" s="951" customFormat="1" ht="12">
      <c r="A500" s="2278"/>
      <c r="B500" s="2280"/>
      <c r="C500" s="2288" t="s">
        <v>2941</v>
      </c>
      <c r="D500" s="1126"/>
      <c r="E500" s="1273"/>
      <c r="F500" s="1272" t="s">
        <v>2926</v>
      </c>
      <c r="G500" s="1274">
        <f>IF($F395&lt;=5000000,ROUND(26.86,2),0)</f>
        <v>26.86</v>
      </c>
      <c r="H500" s="1274">
        <f t="shared" ref="H500:N500" si="297">IF($F395&lt;=5000000,ROUND(26.86,2),0)</f>
        <v>26.86</v>
      </c>
      <c r="I500" s="1274">
        <f t="shared" si="297"/>
        <v>26.86</v>
      </c>
      <c r="J500" s="1274">
        <f t="shared" si="297"/>
        <v>26.86</v>
      </c>
      <c r="K500" s="1274">
        <f t="shared" si="297"/>
        <v>26.86</v>
      </c>
      <c r="L500" s="1274">
        <f t="shared" si="297"/>
        <v>26.86</v>
      </c>
      <c r="M500" s="1274">
        <f t="shared" si="297"/>
        <v>26.86</v>
      </c>
      <c r="N500" s="1275">
        <f t="shared" si="297"/>
        <v>26.86</v>
      </c>
    </row>
    <row r="501" spans="1:14" s="951" customFormat="1" ht="13.5" customHeight="1">
      <c r="A501" s="2278"/>
      <c r="B501" s="2280"/>
      <c r="C501" s="2415"/>
      <c r="D501" s="1276"/>
      <c r="E501" s="1277"/>
      <c r="F501" s="1272" t="s">
        <v>2927</v>
      </c>
      <c r="G501" s="1274">
        <f>IF($F395&lt;=5000000,ROUND(12.7,2),0)</f>
        <v>12.7</v>
      </c>
      <c r="H501" s="1274">
        <f t="shared" ref="H501:N501" si="298">IF($F395&lt;=5000000,ROUND(12.7,2),0)</f>
        <v>12.7</v>
      </c>
      <c r="I501" s="1274">
        <f t="shared" si="298"/>
        <v>12.7</v>
      </c>
      <c r="J501" s="1274">
        <f t="shared" si="298"/>
        <v>12.7</v>
      </c>
      <c r="K501" s="1274">
        <f t="shared" si="298"/>
        <v>12.7</v>
      </c>
      <c r="L501" s="1274">
        <f t="shared" si="298"/>
        <v>12.7</v>
      </c>
      <c r="M501" s="1274">
        <f t="shared" si="298"/>
        <v>12.7</v>
      </c>
      <c r="N501" s="1275">
        <f t="shared" si="298"/>
        <v>12.7</v>
      </c>
    </row>
    <row r="502" spans="1:14" s="951" customFormat="1" ht="12">
      <c r="A502" s="2278"/>
      <c r="B502" s="2280"/>
      <c r="C502" s="2288" t="s">
        <v>2942</v>
      </c>
      <c r="D502" s="1126"/>
      <c r="E502" s="1273"/>
      <c r="F502" s="1272" t="s">
        <v>2926</v>
      </c>
      <c r="G502" s="1278">
        <f>IF($F395&gt;5000000,ROUND(184.58*($F395/1000)^-0.2263,2),0)</f>
        <v>0</v>
      </c>
      <c r="H502" s="1278">
        <f t="shared" ref="H502:N502" si="299">IF($F395&gt;5000000,ROUND(184.58*($F395/1000)^-0.2263,2),0)</f>
        <v>0</v>
      </c>
      <c r="I502" s="1278">
        <f t="shared" si="299"/>
        <v>0</v>
      </c>
      <c r="J502" s="1278">
        <f t="shared" si="299"/>
        <v>0</v>
      </c>
      <c r="K502" s="1278">
        <f t="shared" si="299"/>
        <v>0</v>
      </c>
      <c r="L502" s="1278">
        <f t="shared" si="299"/>
        <v>0</v>
      </c>
      <c r="M502" s="1278">
        <f t="shared" si="299"/>
        <v>0</v>
      </c>
      <c r="N502" s="1279">
        <f t="shared" si="299"/>
        <v>0</v>
      </c>
    </row>
    <row r="503" spans="1:14" s="951" customFormat="1" ht="13.5" customHeight="1">
      <c r="A503" s="2286"/>
      <c r="B503" s="2287"/>
      <c r="C503" s="2415"/>
      <c r="D503" s="1276"/>
      <c r="E503" s="1277"/>
      <c r="F503" s="1272" t="s">
        <v>2927</v>
      </c>
      <c r="G503" s="1278">
        <f>IF($F395&gt;5000000,ROUND(87.29*($F395/1000)^-0.2263,2),0)</f>
        <v>0</v>
      </c>
      <c r="H503" s="1278">
        <f t="shared" ref="H503:N503" si="300">IF($F395&gt;5000000,ROUND(87.29*($F395/1000)^-0.2263,2),0)</f>
        <v>0</v>
      </c>
      <c r="I503" s="1278">
        <f t="shared" si="300"/>
        <v>0</v>
      </c>
      <c r="J503" s="1278">
        <f t="shared" si="300"/>
        <v>0</v>
      </c>
      <c r="K503" s="1278">
        <f t="shared" si="300"/>
        <v>0</v>
      </c>
      <c r="L503" s="1278">
        <f t="shared" si="300"/>
        <v>0</v>
      </c>
      <c r="M503" s="1278">
        <f t="shared" si="300"/>
        <v>0</v>
      </c>
      <c r="N503" s="1279">
        <f t="shared" si="300"/>
        <v>0</v>
      </c>
    </row>
    <row r="504" spans="1:14" s="951" customFormat="1" ht="12.75" thickBot="1">
      <c r="A504" s="2413" t="s">
        <v>2940</v>
      </c>
      <c r="B504" s="2414"/>
      <c r="C504" s="2414"/>
      <c r="D504" s="2414"/>
      <c r="E504" s="2080"/>
      <c r="F504" s="2078"/>
      <c r="G504" s="2081">
        <f>IF($F395&lt;=5000000,IF(G$499&gt;G$500,G$500,IF(G$499&lt;G$501,G$501,G$499)),IF(G$499&gt;G$502,G$502,IF(G$499&lt;G$503,G$503,G$499)))</f>
        <v>12.7</v>
      </c>
      <c r="H504" s="2081">
        <f t="shared" ref="H504:N504" si="301">IF($F395&lt;=5000000,IF(H$499&gt;H$500,H$500,IF(H$499&lt;H$501,H$501,H$499)),IF(H$499&gt;H$502,H$502,IF(H$499&lt;H$503,H$503,H$499)))</f>
        <v>12.7</v>
      </c>
      <c r="I504" s="2081">
        <f t="shared" si="301"/>
        <v>26.86</v>
      </c>
      <c r="J504" s="2081">
        <f t="shared" si="301"/>
        <v>26.86</v>
      </c>
      <c r="K504" s="2081">
        <f t="shared" si="301"/>
        <v>12.7</v>
      </c>
      <c r="L504" s="2081">
        <f t="shared" si="301"/>
        <v>12.7</v>
      </c>
      <c r="M504" s="2081">
        <f t="shared" si="301"/>
        <v>12.7</v>
      </c>
      <c r="N504" s="2105">
        <f t="shared" si="301"/>
        <v>12.7</v>
      </c>
    </row>
    <row r="505" spans="1:14" s="951" customFormat="1" ht="12.75" thickBot="1">
      <c r="G505" s="1282"/>
      <c r="H505" s="1282"/>
      <c r="I505" s="1282"/>
      <c r="J505" s="1282"/>
      <c r="K505" s="1282"/>
      <c r="L505" s="1282"/>
      <c r="M505" s="1282"/>
      <c r="N505" s="1282"/>
    </row>
    <row r="506" spans="1:14" s="951" customFormat="1" ht="12">
      <c r="A506" s="1265"/>
      <c r="B506" s="1266"/>
      <c r="C506" s="1267" t="s">
        <v>2943</v>
      </c>
      <c r="D506" s="1268"/>
      <c r="E506" s="1266"/>
      <c r="F506" s="1269"/>
      <c r="G506" s="1290"/>
      <c r="H506" s="1291"/>
      <c r="I506" s="1292"/>
      <c r="J506" s="1292"/>
      <c r="K506" s="1292"/>
      <c r="L506" s="1292"/>
      <c r="M506" s="1292"/>
      <c r="N506" s="1292"/>
    </row>
    <row r="507" spans="1:14" s="951" customFormat="1" ht="12">
      <c r="A507" s="2277"/>
      <c r="B507" s="2279" t="s">
        <v>101</v>
      </c>
      <c r="C507" s="1270" t="s">
        <v>2944</v>
      </c>
      <c r="D507" s="1227"/>
      <c r="E507" s="1271"/>
      <c r="F507" s="1272" t="s">
        <v>3159</v>
      </c>
      <c r="G507" s="1293" t="e">
        <f>ROUND(28.978-3.173*LOG($F438/1000),2)</f>
        <v>#NUM!</v>
      </c>
      <c r="H507" s="1294"/>
      <c r="I507" s="1295"/>
      <c r="J507" s="1295"/>
      <c r="K507" s="1295"/>
      <c r="L507" s="1295"/>
      <c r="M507" s="1295"/>
      <c r="N507" s="1295"/>
    </row>
    <row r="508" spans="1:14" s="951" customFormat="1" ht="13.5" customHeight="1">
      <c r="A508" s="2278"/>
      <c r="B508" s="2280"/>
      <c r="C508" s="1296" t="s">
        <v>2946</v>
      </c>
      <c r="D508" s="1126"/>
      <c r="E508" s="1126"/>
      <c r="F508" s="1297"/>
      <c r="G508" s="1298">
        <f>IF($F438&lt;=5000000,17.24,0)</f>
        <v>17.239999999999998</v>
      </c>
      <c r="H508" s="1299"/>
      <c r="I508" s="1300"/>
      <c r="J508" s="157"/>
      <c r="K508" s="1300"/>
      <c r="L508" s="1300"/>
      <c r="M508" s="1300"/>
      <c r="N508" s="1300"/>
    </row>
    <row r="509" spans="1:14" s="951" customFormat="1" ht="12">
      <c r="A509" s="2286"/>
      <c r="B509" s="2287"/>
      <c r="C509" s="1296" t="s">
        <v>2947</v>
      </c>
      <c r="D509" s="1126"/>
      <c r="E509" s="1227"/>
      <c r="F509" s="1297"/>
      <c r="G509" s="1298">
        <f>IF($F438&gt;3000000000,8.43,0)</f>
        <v>0</v>
      </c>
      <c r="H509" s="1301"/>
      <c r="I509" s="1302"/>
      <c r="J509" s="1302"/>
      <c r="K509" s="1302"/>
      <c r="L509" s="1302"/>
      <c r="M509" s="1302"/>
      <c r="N509" s="1302"/>
    </row>
    <row r="510" spans="1:14" s="951" customFormat="1" ht="12.75" thickBot="1">
      <c r="A510" s="2413" t="s">
        <v>2948</v>
      </c>
      <c r="B510" s="2414"/>
      <c r="C510" s="2414"/>
      <c r="D510" s="2414"/>
      <c r="E510" s="2080"/>
      <c r="F510" s="2078"/>
      <c r="G510" s="2082">
        <f>IF($F438&lt;=5000000,G508,IF($F438&gt;3000000000,G509,G507))</f>
        <v>17.239999999999998</v>
      </c>
      <c r="H510" s="2083"/>
      <c r="I510" s="2084"/>
      <c r="J510" s="2084"/>
      <c r="K510" s="2084"/>
      <c r="L510" s="2084"/>
      <c r="M510" s="2084"/>
      <c r="N510" s="2084"/>
    </row>
  </sheetData>
  <sheetProtection selectLockedCells="1" selectUnlockedCells="1"/>
  <mergeCells count="158">
    <mergeCell ref="F1:K1"/>
    <mergeCell ref="C2:E2"/>
    <mergeCell ref="B4:D4"/>
    <mergeCell ref="B5:D5"/>
    <mergeCell ref="B6:D6"/>
    <mergeCell ref="A25:A44"/>
    <mergeCell ref="B25:B28"/>
    <mergeCell ref="B29:B37"/>
    <mergeCell ref="B38:B44"/>
    <mergeCell ref="B62:C62"/>
    <mergeCell ref="B63:C63"/>
    <mergeCell ref="B64:C64"/>
    <mergeCell ref="B65:C65"/>
    <mergeCell ref="B67:C67"/>
    <mergeCell ref="B69:C69"/>
    <mergeCell ref="A45:C45"/>
    <mergeCell ref="A46:A59"/>
    <mergeCell ref="B46:B49"/>
    <mergeCell ref="B50:B56"/>
    <mergeCell ref="B60:C60"/>
    <mergeCell ref="B61:C61"/>
    <mergeCell ref="D139:D140"/>
    <mergeCell ref="E139:E140"/>
    <mergeCell ref="A140:C140"/>
    <mergeCell ref="A141:A155"/>
    <mergeCell ref="B142:B145"/>
    <mergeCell ref="B146:B154"/>
    <mergeCell ref="B70:C70"/>
    <mergeCell ref="B71:C71"/>
    <mergeCell ref="B72:C72"/>
    <mergeCell ref="B78:B79"/>
    <mergeCell ref="B81:B82"/>
    <mergeCell ref="A117:A136"/>
    <mergeCell ref="B117:B120"/>
    <mergeCell ref="B121:B129"/>
    <mergeCell ref="B130:B136"/>
    <mergeCell ref="D178:D179"/>
    <mergeCell ref="E178:E179"/>
    <mergeCell ref="A179:C179"/>
    <mergeCell ref="A180:A194"/>
    <mergeCell ref="B181:B184"/>
    <mergeCell ref="B185:B193"/>
    <mergeCell ref="D156:D157"/>
    <mergeCell ref="E156:E157"/>
    <mergeCell ref="A157:C157"/>
    <mergeCell ref="A158:A173"/>
    <mergeCell ref="B158:B163"/>
    <mergeCell ref="B164:B172"/>
    <mergeCell ref="A220:C221"/>
    <mergeCell ref="C224:E224"/>
    <mergeCell ref="F225:G225"/>
    <mergeCell ref="A226:C226"/>
    <mergeCell ref="F226:G226"/>
    <mergeCell ref="A227:A234"/>
    <mergeCell ref="B228:B229"/>
    <mergeCell ref="B232:B234"/>
    <mergeCell ref="D195:D196"/>
    <mergeCell ref="E195:E196"/>
    <mergeCell ref="A196:C196"/>
    <mergeCell ref="A197:A214"/>
    <mergeCell ref="B197:B202"/>
    <mergeCell ref="B203:B211"/>
    <mergeCell ref="B212:B213"/>
    <mergeCell ref="A264:F264"/>
    <mergeCell ref="A265:F265"/>
    <mergeCell ref="A268:A272"/>
    <mergeCell ref="B268:B272"/>
    <mergeCell ref="C269:C270"/>
    <mergeCell ref="C271:C272"/>
    <mergeCell ref="A236:C236"/>
    <mergeCell ref="B238:B239"/>
    <mergeCell ref="B242:B244"/>
    <mergeCell ref="B245:B246"/>
    <mergeCell ref="A259:A263"/>
    <mergeCell ref="B259:B263"/>
    <mergeCell ref="C260:C261"/>
    <mergeCell ref="C262:C263"/>
    <mergeCell ref="A282:D282"/>
    <mergeCell ref="A285:A289"/>
    <mergeCell ref="B285:B289"/>
    <mergeCell ref="C286:C287"/>
    <mergeCell ref="C288:C289"/>
    <mergeCell ref="A290:D290"/>
    <mergeCell ref="A273:F273"/>
    <mergeCell ref="A274:F274"/>
    <mergeCell ref="A277:A281"/>
    <mergeCell ref="B277:B281"/>
    <mergeCell ref="C278:C279"/>
    <mergeCell ref="C280:C281"/>
    <mergeCell ref="D354:D355"/>
    <mergeCell ref="E354:E355"/>
    <mergeCell ref="A355:C355"/>
    <mergeCell ref="A356:A370"/>
    <mergeCell ref="B357:B360"/>
    <mergeCell ref="B361:B369"/>
    <mergeCell ref="A293:A295"/>
    <mergeCell ref="B293:B295"/>
    <mergeCell ref="A296:D296"/>
    <mergeCell ref="A332:A351"/>
    <mergeCell ref="B332:B335"/>
    <mergeCell ref="B336:B344"/>
    <mergeCell ref="B345:B351"/>
    <mergeCell ref="D393:D394"/>
    <mergeCell ref="E393:E394"/>
    <mergeCell ref="A394:C394"/>
    <mergeCell ref="A395:A409"/>
    <mergeCell ref="B396:B399"/>
    <mergeCell ref="B400:B408"/>
    <mergeCell ref="D371:D372"/>
    <mergeCell ref="E371:E372"/>
    <mergeCell ref="A372:C372"/>
    <mergeCell ref="A373:A388"/>
    <mergeCell ref="B373:B378"/>
    <mergeCell ref="B379:B387"/>
    <mergeCell ref="F439:G439"/>
    <mergeCell ref="A440:C440"/>
    <mergeCell ref="F440:G440"/>
    <mergeCell ref="A441:A448"/>
    <mergeCell ref="B442:B443"/>
    <mergeCell ref="B446:B448"/>
    <mergeCell ref="D410:D411"/>
    <mergeCell ref="E410:E411"/>
    <mergeCell ref="A411:C411"/>
    <mergeCell ref="A412:A429"/>
    <mergeCell ref="B412:B417"/>
    <mergeCell ref="B418:B426"/>
    <mergeCell ref="B427:B428"/>
    <mergeCell ref="A450:C450"/>
    <mergeCell ref="B452:B453"/>
    <mergeCell ref="B456:B458"/>
    <mergeCell ref="B459:B460"/>
    <mergeCell ref="A473:A477"/>
    <mergeCell ref="B473:B477"/>
    <mergeCell ref="C474:C475"/>
    <mergeCell ref="C476:C477"/>
    <mergeCell ref="A434:C435"/>
    <mergeCell ref="C438:E438"/>
    <mergeCell ref="A487:F487"/>
    <mergeCell ref="A488:F488"/>
    <mergeCell ref="A491:A495"/>
    <mergeCell ref="B491:B495"/>
    <mergeCell ref="C492:C493"/>
    <mergeCell ref="C494:C495"/>
    <mergeCell ref="A478:F478"/>
    <mergeCell ref="A479:F479"/>
    <mergeCell ref="A482:A486"/>
    <mergeCell ref="B482:B486"/>
    <mergeCell ref="C483:C484"/>
    <mergeCell ref="C485:C486"/>
    <mergeCell ref="A507:A509"/>
    <mergeCell ref="B507:B509"/>
    <mergeCell ref="A510:D510"/>
    <mergeCell ref="A496:D496"/>
    <mergeCell ref="A499:A503"/>
    <mergeCell ref="B499:B503"/>
    <mergeCell ref="C500:C501"/>
    <mergeCell ref="C502:C503"/>
    <mergeCell ref="A504:D504"/>
  </mergeCells>
  <phoneticPr fontId="3"/>
  <conditionalFormatting sqref="F88:F90 F10:F11">
    <cfRule type="expression" dxfId="1" priority="2" stopIfTrue="1">
      <formula>AND($F$113&gt;5000000,OR($E$88="無し",$E$88="なし"))</formula>
    </cfRule>
  </conditionalFormatting>
  <conditionalFormatting sqref="F303:F305">
    <cfRule type="expression" dxfId="0" priority="1" stopIfTrue="1">
      <formula>AND($F$113&gt;5000000,OR($E$88="無し",$E$88="なし"))</formula>
    </cfRule>
  </conditionalFormatting>
  <dataValidations count="5">
    <dataValidation type="list" allowBlank="1" showInputMessage="1" showErrorMessage="1" sqref="E87:E88 E302:E305">
      <formula1>"有り,無し"</formula1>
    </dataValidation>
    <dataValidation type="list" allowBlank="1" showInputMessage="1" showErrorMessage="1" sqref="E89:E90 E10:E11">
      <formula1>"○,×"</formula1>
    </dataValidation>
    <dataValidation type="list" allowBlank="1" showInputMessage="1" showErrorMessage="1" sqref="G89:N89 G304:N304 G10:N10">
      <formula1>"積上げ,積上げ・率処理併用"</formula1>
    </dataValidation>
    <dataValidation type="list" allowBlank="1" showInputMessage="1" showErrorMessage="1" sqref="G90:N90 G11:N11 G305:N305">
      <formula1>"　　　,有り"</formula1>
    </dataValidation>
    <dataValidation type="list" allowBlank="1" showInputMessage="1" showErrorMessage="1" sqref="G86:N86">
      <formula1>"改修,新営"</formula1>
    </dataValidation>
  </dataValidations>
  <printOptions horizontalCentered="1"/>
  <pageMargins left="0.19685039370078741" right="0.19685039370078741" top="0.6692913385826772" bottom="0.19685039370078741" header="0.51181102362204722" footer="0.51181102362204722"/>
  <pageSetup paperSize="9" scale="62" fitToHeight="3" orientation="landscape" cellComments="asDisplayed" horizontalDpi="300" verticalDpi="300" r:id="rId1"/>
  <headerFooter alignWithMargins="0"/>
  <rowBreaks count="6" manualBreakCount="6">
    <brk id="79" max="13" man="1"/>
    <brk id="175" max="13" man="1"/>
    <brk id="216" max="13" man="1"/>
    <brk id="296" max="13" man="1"/>
    <brk id="351" max="13" man="1"/>
    <brk id="431" max="13" man="1"/>
  </rowBreaks>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I136"/>
  <sheetViews>
    <sheetView view="pageBreakPreview" topLeftCell="A130" zoomScale="60" zoomScaleNormal="100" workbookViewId="0"/>
  </sheetViews>
  <sheetFormatPr defaultRowHeight="13.5"/>
  <cols>
    <col min="1" max="1" width="7" customWidth="1"/>
    <col min="6" max="6" width="8" customWidth="1"/>
    <col min="9" max="9" width="9.5" customWidth="1"/>
    <col min="12" max="12" width="4.375" customWidth="1"/>
    <col min="13" max="13" width="14.625" customWidth="1"/>
    <col min="14" max="14" width="15.375" customWidth="1"/>
  </cols>
  <sheetData>
    <row r="1" spans="1:15">
      <c r="A1" s="39"/>
      <c r="B1" t="s">
        <v>135</v>
      </c>
      <c r="E1" s="39"/>
      <c r="F1" s="39"/>
      <c r="G1" s="39"/>
      <c r="H1" s="39"/>
      <c r="I1" s="39"/>
      <c r="J1" t="s">
        <v>278</v>
      </c>
    </row>
    <row r="2" spans="1:15">
      <c r="A2" s="39"/>
      <c r="C2" t="s">
        <v>134</v>
      </c>
      <c r="D2" s="146">
        <v>0</v>
      </c>
      <c r="E2" s="39"/>
      <c r="F2" s="44" t="s">
        <v>45</v>
      </c>
      <c r="G2" s="45"/>
      <c r="H2" s="111" t="str">
        <f>IF(E2="","",INT(E2*G2))</f>
        <v/>
      </c>
      <c r="I2" s="39"/>
      <c r="J2" t="s">
        <v>279</v>
      </c>
      <c r="K2" s="360" t="s">
        <v>280</v>
      </c>
      <c r="L2" s="157"/>
      <c r="M2" s="158"/>
      <c r="N2" s="157"/>
      <c r="O2" s="157"/>
    </row>
    <row r="3" spans="1:15">
      <c r="A3" s="39"/>
      <c r="B3" t="s">
        <v>118</v>
      </c>
      <c r="E3" s="47"/>
      <c r="F3" s="39"/>
      <c r="G3" s="39"/>
      <c r="H3" s="39"/>
      <c r="I3" s="39"/>
      <c r="J3" s="157"/>
      <c r="K3" s="159"/>
      <c r="L3" s="157"/>
      <c r="M3" s="157"/>
      <c r="N3" s="157"/>
      <c r="O3" s="157"/>
    </row>
    <row r="4" spans="1:15">
      <c r="A4" s="39"/>
      <c r="C4" t="s">
        <v>119</v>
      </c>
      <c r="D4" s="146">
        <v>3</v>
      </c>
      <c r="E4" s="39"/>
      <c r="F4" s="42" t="s">
        <v>46</v>
      </c>
      <c r="G4" s="42"/>
      <c r="H4" s="40" t="str">
        <f>+表紙!W5</f>
        <v>標準単価2019.xls</v>
      </c>
      <c r="I4" s="39"/>
      <c r="J4" s="157"/>
      <c r="K4" s="160"/>
      <c r="L4" s="160"/>
      <c r="M4" s="158"/>
      <c r="N4" s="158"/>
      <c r="O4" s="157"/>
    </row>
    <row r="5" spans="1:15">
      <c r="A5" s="39"/>
      <c r="B5" t="s">
        <v>120</v>
      </c>
      <c r="D5" s="39"/>
      <c r="E5" s="39"/>
      <c r="F5" s="46" t="s">
        <v>47</v>
      </c>
      <c r="G5" s="42"/>
      <c r="H5" s="41" t="str">
        <f>+表紙!W6</f>
        <v>c:\積算\</v>
      </c>
      <c r="I5" s="39"/>
      <c r="J5" s="157"/>
      <c r="K5" s="160"/>
      <c r="L5" s="160"/>
      <c r="M5" s="158"/>
      <c r="N5" s="158"/>
      <c r="O5" s="157"/>
    </row>
    <row r="6" spans="1:15">
      <c r="A6" s="39"/>
      <c r="C6" t="s">
        <v>123</v>
      </c>
      <c r="D6" s="146">
        <v>3</v>
      </c>
      <c r="E6" s="39"/>
      <c r="F6" s="39"/>
      <c r="G6" s="39"/>
      <c r="H6" s="39"/>
      <c r="I6" s="39"/>
      <c r="J6" s="157"/>
      <c r="K6" s="160"/>
      <c r="L6" s="160"/>
      <c r="M6" s="158"/>
      <c r="N6" s="158"/>
      <c r="O6" s="157"/>
    </row>
    <row r="7" spans="1:15">
      <c r="A7" s="39"/>
      <c r="B7" t="s">
        <v>121</v>
      </c>
      <c r="D7" s="39"/>
      <c r="E7" s="39"/>
      <c r="F7" s="39" t="s">
        <v>126</v>
      </c>
      <c r="G7" s="39"/>
      <c r="H7" s="39"/>
      <c r="I7" s="39"/>
      <c r="J7" s="157"/>
      <c r="K7" s="160"/>
      <c r="L7" s="160"/>
      <c r="M7" s="158"/>
      <c r="N7" s="158"/>
      <c r="O7" s="157"/>
    </row>
    <row r="8" spans="1:15">
      <c r="A8" s="39"/>
      <c r="C8" t="s">
        <v>124</v>
      </c>
      <c r="D8" s="146">
        <v>9</v>
      </c>
      <c r="E8" s="39"/>
      <c r="F8" s="39"/>
      <c r="G8" s="39" t="s">
        <v>64</v>
      </c>
      <c r="H8" s="148">
        <v>1</v>
      </c>
      <c r="I8" s="39"/>
      <c r="J8" s="157"/>
      <c r="K8" s="160"/>
      <c r="L8" s="160"/>
      <c r="M8" s="158"/>
      <c r="N8" s="158"/>
      <c r="O8" s="157"/>
    </row>
    <row r="9" spans="1:15">
      <c r="A9" s="39"/>
      <c r="B9" t="s">
        <v>122</v>
      </c>
      <c r="D9" s="39"/>
      <c r="E9" s="39"/>
      <c r="F9" s="39" t="s">
        <v>48</v>
      </c>
      <c r="G9" s="39"/>
      <c r="H9" s="39"/>
      <c r="I9" s="39"/>
      <c r="J9" s="157"/>
      <c r="K9" s="160"/>
      <c r="L9" s="160"/>
      <c r="M9" s="158"/>
      <c r="N9" s="158"/>
      <c r="O9" s="157"/>
    </row>
    <row r="10" spans="1:15">
      <c r="A10" s="39"/>
      <c r="C10" t="s">
        <v>125</v>
      </c>
      <c r="D10" s="146">
        <v>0</v>
      </c>
      <c r="E10" s="39"/>
      <c r="F10" s="39"/>
      <c r="G10" s="39" t="s">
        <v>65</v>
      </c>
      <c r="H10" s="43">
        <v>5000</v>
      </c>
      <c r="I10" s="39"/>
      <c r="J10" s="157"/>
      <c r="K10" s="160"/>
      <c r="L10" s="160"/>
      <c r="M10" s="158"/>
      <c r="N10" s="158"/>
      <c r="O10" s="157"/>
    </row>
    <row r="11" spans="1:15">
      <c r="A11" s="39"/>
      <c r="B11" t="s">
        <v>131</v>
      </c>
      <c r="D11" s="39"/>
      <c r="E11" s="39"/>
      <c r="F11" s="39" t="s">
        <v>103</v>
      </c>
      <c r="G11" s="39"/>
      <c r="H11" s="39"/>
      <c r="I11" s="39"/>
      <c r="J11" s="157"/>
      <c r="K11" s="160"/>
      <c r="L11" s="160"/>
      <c r="M11" s="158"/>
      <c r="N11" s="158"/>
      <c r="O11" s="157"/>
    </row>
    <row r="12" spans="1:15">
      <c r="A12" s="39"/>
      <c r="C12" t="s">
        <v>128</v>
      </c>
      <c r="D12" s="146">
        <v>0</v>
      </c>
      <c r="E12" s="39"/>
      <c r="F12" s="39"/>
      <c r="G12" s="47" t="s">
        <v>66</v>
      </c>
      <c r="H12" s="147">
        <v>3</v>
      </c>
      <c r="I12" s="39"/>
      <c r="J12" s="157"/>
      <c r="K12" s="160"/>
      <c r="L12" s="160"/>
      <c r="M12" s="158"/>
      <c r="N12" s="158"/>
      <c r="O12" s="157"/>
    </row>
    <row r="13" spans="1:15">
      <c r="A13" s="39"/>
      <c r="B13" t="s">
        <v>127</v>
      </c>
      <c r="D13" s="39"/>
      <c r="E13" s="39"/>
      <c r="F13" s="39" t="s">
        <v>71</v>
      </c>
      <c r="G13" s="39"/>
      <c r="H13" s="39"/>
      <c r="I13" s="39"/>
      <c r="J13" s="157"/>
      <c r="K13" s="160"/>
      <c r="L13" s="160"/>
      <c r="M13" s="158"/>
      <c r="N13" s="158"/>
      <c r="O13" s="157"/>
    </row>
    <row r="14" spans="1:15">
      <c r="A14" s="39"/>
      <c r="C14" t="s">
        <v>130</v>
      </c>
      <c r="D14" s="148">
        <v>16</v>
      </c>
      <c r="E14" s="39"/>
      <c r="F14" s="39"/>
      <c r="G14" s="39" t="s">
        <v>72</v>
      </c>
      <c r="H14" s="43">
        <f>表紙!S9</f>
        <v>1</v>
      </c>
      <c r="I14" s="39"/>
      <c r="J14" s="157"/>
      <c r="K14" s="160"/>
      <c r="L14" s="160"/>
      <c r="M14" s="158"/>
      <c r="N14" s="158"/>
      <c r="O14" s="157"/>
    </row>
    <row r="15" spans="1:15">
      <c r="A15" s="39"/>
      <c r="B15" t="s">
        <v>216</v>
      </c>
      <c r="D15" s="39"/>
      <c r="E15" s="39"/>
      <c r="F15" s="39" t="s">
        <v>73</v>
      </c>
      <c r="G15" s="39"/>
      <c r="H15" s="39"/>
      <c r="I15" s="39"/>
      <c r="J15" s="157"/>
      <c r="K15" s="160"/>
      <c r="L15" s="160"/>
      <c r="M15" s="158"/>
      <c r="N15" s="158"/>
      <c r="O15" s="157"/>
    </row>
    <row r="16" spans="1:15">
      <c r="A16" s="39"/>
      <c r="C16" t="s">
        <v>207</v>
      </c>
      <c r="D16" s="43">
        <v>1</v>
      </c>
      <c r="E16" s="39"/>
      <c r="F16" s="39"/>
      <c r="G16" s="39" t="s">
        <v>218</v>
      </c>
      <c r="H16" s="148">
        <v>1</v>
      </c>
      <c r="I16" s="39"/>
      <c r="J16" s="157"/>
      <c r="K16" s="160"/>
      <c r="L16" s="160"/>
      <c r="M16" s="158"/>
      <c r="N16" s="158"/>
      <c r="O16" s="157"/>
    </row>
    <row r="17" spans="1:15">
      <c r="A17" s="39"/>
      <c r="B17" t="s">
        <v>208</v>
      </c>
      <c r="D17" s="39"/>
      <c r="E17" s="39"/>
      <c r="F17" s="39" t="s">
        <v>74</v>
      </c>
      <c r="G17" s="39"/>
      <c r="H17" s="149"/>
      <c r="I17" s="39"/>
      <c r="J17" s="157"/>
      <c r="K17" s="160"/>
      <c r="L17" s="160"/>
      <c r="M17" s="158"/>
      <c r="N17" s="158"/>
      <c r="O17" s="157"/>
    </row>
    <row r="18" spans="1:15">
      <c r="A18" s="39"/>
      <c r="C18" t="s">
        <v>209</v>
      </c>
      <c r="D18" s="223" t="s">
        <v>217</v>
      </c>
      <c r="E18" s="39"/>
      <c r="F18" s="39"/>
      <c r="G18" s="39" t="s">
        <v>75</v>
      </c>
      <c r="H18" s="148">
        <f>工事1!J2</f>
        <v>11</v>
      </c>
      <c r="I18" s="39"/>
      <c r="J18" s="157"/>
      <c r="K18" s="160"/>
      <c r="L18" s="160"/>
      <c r="M18" s="158"/>
      <c r="N18" s="158"/>
      <c r="O18" s="157"/>
    </row>
    <row r="19" spans="1:15">
      <c r="A19" s="39"/>
      <c r="C19" t="s">
        <v>210</v>
      </c>
      <c r="D19" s="223" t="s">
        <v>215</v>
      </c>
      <c r="E19" s="39"/>
      <c r="F19" s="39" t="s">
        <v>77</v>
      </c>
      <c r="G19" s="39"/>
      <c r="H19" s="149"/>
      <c r="I19" s="39"/>
      <c r="J19" s="157"/>
      <c r="K19" s="160"/>
      <c r="L19" s="160"/>
      <c r="M19" s="158"/>
      <c r="N19" s="158"/>
      <c r="O19" s="157"/>
    </row>
    <row r="20" spans="1:15">
      <c r="A20" s="39"/>
      <c r="D20" s="39"/>
      <c r="E20" s="39"/>
      <c r="F20" s="39"/>
      <c r="G20" s="39" t="s">
        <v>78</v>
      </c>
      <c r="H20" s="148">
        <f>COUNTA(代価一覧!C2:C65532)</f>
        <v>12</v>
      </c>
      <c r="I20" s="39"/>
    </row>
    <row r="21" spans="1:15">
      <c r="A21" s="39"/>
      <c r="D21" s="39"/>
      <c r="E21" s="39"/>
      <c r="F21" s="42" t="s">
        <v>137</v>
      </c>
      <c r="G21" s="42"/>
      <c r="H21" s="40" t="str">
        <f>表紙!W8</f>
        <v>諸経費表2018.xlsx</v>
      </c>
      <c r="I21" s="39"/>
    </row>
    <row r="22" spans="1:15">
      <c r="A22" s="39"/>
      <c r="D22" s="39"/>
      <c r="E22" s="39"/>
      <c r="F22" s="46" t="s">
        <v>138</v>
      </c>
      <c r="G22" s="42"/>
      <c r="H22" s="41" t="str">
        <f>表紙!W9</f>
        <v>c:\積算\</v>
      </c>
      <c r="I22" s="39"/>
    </row>
    <row r="23" spans="1:15" ht="17.25">
      <c r="A23" s="39"/>
      <c r="D23" s="39"/>
      <c r="E23" s="39"/>
      <c r="F23" s="39"/>
      <c r="G23" s="39"/>
      <c r="H23" s="84"/>
      <c r="I23" s="39"/>
    </row>
    <row r="24" spans="1:15">
      <c r="A24" s="39"/>
      <c r="B24" t="s">
        <v>212</v>
      </c>
      <c r="E24" s="39"/>
      <c r="F24" s="39" t="s">
        <v>83</v>
      </c>
      <c r="G24" s="39"/>
      <c r="H24" s="39"/>
      <c r="I24" s="39"/>
    </row>
    <row r="25" spans="1:15">
      <c r="A25" s="39"/>
      <c r="C25" t="s">
        <v>211</v>
      </c>
      <c r="D25" s="146">
        <v>9</v>
      </c>
      <c r="E25" s="39"/>
      <c r="F25" s="39"/>
      <c r="G25" s="39" t="s">
        <v>84</v>
      </c>
      <c r="H25" s="43">
        <v>500</v>
      </c>
      <c r="I25" s="39"/>
    </row>
    <row r="26" spans="1:15">
      <c r="A26" s="39"/>
      <c r="B26" t="s">
        <v>213</v>
      </c>
      <c r="E26" s="39"/>
      <c r="F26" s="39" t="s">
        <v>144</v>
      </c>
      <c r="G26" s="39"/>
      <c r="H26" s="39"/>
      <c r="I26" s="39"/>
    </row>
    <row r="27" spans="1:15" ht="14.25" thickBot="1">
      <c r="A27" s="39"/>
      <c r="C27" t="s">
        <v>211</v>
      </c>
      <c r="D27" s="146" t="s">
        <v>214</v>
      </c>
      <c r="E27" s="39"/>
      <c r="F27" s="39"/>
      <c r="G27" s="162" t="s">
        <v>143</v>
      </c>
      <c r="H27" s="115" t="e">
        <f>SUM(H9:H26)+H4</f>
        <v>#VALUE!</v>
      </c>
      <c r="I27" s="115">
        <f>SUM(I9:I26)+I4</f>
        <v>0</v>
      </c>
      <c r="J27" s="742">
        <f>IF(B8="部分撤去工事",(J4+K27),0)</f>
        <v>0</v>
      </c>
      <c r="K27" s="741">
        <f>IF(B8="部分撤去工事",SUMIF(M9:M26,"費用",H9:H26),0)</f>
        <v>0</v>
      </c>
    </row>
    <row r="28" spans="1:15">
      <c r="A28" s="39"/>
      <c r="D28" s="39"/>
      <c r="E28" s="39"/>
      <c r="F28" s="39" t="s">
        <v>104</v>
      </c>
      <c r="G28" s="39"/>
      <c r="H28" s="39"/>
      <c r="I28" s="39"/>
    </row>
    <row r="29" spans="1:15">
      <c r="A29" s="39"/>
      <c r="D29" s="39"/>
      <c r="E29" s="39"/>
      <c r="F29" s="39"/>
      <c r="G29" s="39" t="s">
        <v>105</v>
      </c>
      <c r="H29" s="43">
        <v>0</v>
      </c>
      <c r="I29" s="39"/>
    </row>
    <row r="30" spans="1:15">
      <c r="A30" s="39"/>
      <c r="B30" s="39"/>
      <c r="C30" s="39"/>
      <c r="D30" s="39"/>
      <c r="E30" s="39"/>
      <c r="F30" s="39" t="s">
        <v>139</v>
      </c>
      <c r="G30" s="39"/>
      <c r="H30" s="39"/>
      <c r="I30" s="39"/>
    </row>
    <row r="31" spans="1:15">
      <c r="G31" s="39" t="s">
        <v>140</v>
      </c>
      <c r="H31" s="161" t="s">
        <v>2791</v>
      </c>
    </row>
    <row r="32" spans="1:15">
      <c r="G32" s="39" t="s">
        <v>141</v>
      </c>
      <c r="H32" s="161" t="s">
        <v>2792</v>
      </c>
    </row>
    <row r="33" spans="7:8">
      <c r="G33" s="39" t="s">
        <v>142</v>
      </c>
      <c r="H33" s="161" t="s">
        <v>2793</v>
      </c>
    </row>
    <row r="35" spans="7:8">
      <c r="G35" s="39"/>
    </row>
    <row r="50" spans="1:35" s="1" customFormat="1" ht="26.1" customHeight="1" thickBot="1">
      <c r="A50" s="6"/>
      <c r="B50" s="6"/>
      <c r="C50" s="2169" t="s">
        <v>343</v>
      </c>
      <c r="D50" s="2169"/>
      <c r="E50" s="2169"/>
      <c r="F50" s="2169"/>
      <c r="G50" s="2169"/>
      <c r="H50" s="2169"/>
      <c r="I50" s="2169"/>
      <c r="J50" s="2169"/>
      <c r="K50" s="2169"/>
      <c r="L50" s="2169"/>
      <c r="O50" s="2232" t="s">
        <v>155</v>
      </c>
      <c r="P50" s="2232"/>
      <c r="Q50" s="2232"/>
      <c r="R50" s="2232"/>
      <c r="S50" s="2232"/>
      <c r="T50" s="2232"/>
      <c r="U50" s="2232"/>
      <c r="V50" s="2232"/>
      <c r="W50" s="2232"/>
      <c r="X50" s="2232"/>
      <c r="Y50" s="2232"/>
      <c r="Z50" s="2232"/>
      <c r="AA50" s="2232"/>
      <c r="AB50" s="2232"/>
      <c r="AC50" s="2232"/>
      <c r="AD50" s="2232"/>
      <c r="AE50" s="2232"/>
      <c r="AF50" s="2232"/>
      <c r="AG50" s="2232"/>
      <c r="AH50" s="2233"/>
      <c r="AI50" s="668"/>
    </row>
    <row r="51" spans="1:35" s="1" customFormat="1" ht="41.25" customHeight="1">
      <c r="A51" s="5" t="s">
        <v>13</v>
      </c>
      <c r="B51" s="5" t="s">
        <v>49</v>
      </c>
      <c r="C51" s="120" t="s">
        <v>0</v>
      </c>
      <c r="D51" s="116"/>
      <c r="E51" s="117" t="s">
        <v>1</v>
      </c>
      <c r="F51" s="118" t="s">
        <v>2</v>
      </c>
      <c r="G51" s="118" t="s">
        <v>3</v>
      </c>
      <c r="H51" s="119" t="s">
        <v>4</v>
      </c>
      <c r="I51" s="119" t="s">
        <v>5</v>
      </c>
      <c r="J51" s="2172" t="s">
        <v>6</v>
      </c>
      <c r="K51" s="2173"/>
      <c r="L51" s="2174"/>
      <c r="M51" s="749"/>
      <c r="N51" s="756" t="s">
        <v>2525</v>
      </c>
      <c r="O51" s="746" t="s">
        <v>87</v>
      </c>
      <c r="P51" s="359" t="s">
        <v>281</v>
      </c>
      <c r="Q51" s="291" t="s">
        <v>282</v>
      </c>
      <c r="R51" s="291" t="s">
        <v>229</v>
      </c>
      <c r="S51" s="291" t="s">
        <v>230</v>
      </c>
      <c r="T51" s="291" t="s">
        <v>283</v>
      </c>
      <c r="U51" s="291" t="s">
        <v>149</v>
      </c>
      <c r="V51" s="164" t="s">
        <v>148</v>
      </c>
      <c r="W51" s="291" t="s">
        <v>284</v>
      </c>
      <c r="X51" s="224" t="s">
        <v>232</v>
      </c>
      <c r="Y51" s="224" t="s">
        <v>233</v>
      </c>
      <c r="Z51" s="224" t="s">
        <v>234</v>
      </c>
      <c r="AA51" s="224" t="s">
        <v>235</v>
      </c>
      <c r="AB51" s="224" t="s">
        <v>285</v>
      </c>
      <c r="AC51" s="362" t="s">
        <v>286</v>
      </c>
      <c r="AD51" s="363" t="s">
        <v>287</v>
      </c>
      <c r="AE51" s="364" t="s">
        <v>151</v>
      </c>
      <c r="AF51" s="163" t="s">
        <v>288</v>
      </c>
      <c r="AG51" s="163" t="s">
        <v>289</v>
      </c>
      <c r="AH51" s="163" t="s">
        <v>153</v>
      </c>
      <c r="AI51" s="669"/>
    </row>
    <row r="52" spans="1:35" s="1" customFormat="1" ht="24" customHeight="1">
      <c r="A52" s="36"/>
      <c r="B52" s="36"/>
      <c r="C52" s="138"/>
      <c r="D52" s="139"/>
      <c r="E52" s="140"/>
      <c r="F52" s="288"/>
      <c r="G52" s="107"/>
      <c r="H52" s="97" t="s">
        <v>12</v>
      </c>
      <c r="I52" s="97" t="s">
        <v>12</v>
      </c>
      <c r="J52" s="2226" t="str">
        <f ca="1">RIGHT(CELL("filename",A48),LEN(CELL("filename",A48))-FIND("]",CELL("filename",A48)))</f>
        <v>work</v>
      </c>
      <c r="K52" s="2227"/>
      <c r="L52" s="2228"/>
      <c r="M52" s="750"/>
      <c r="N52" s="751"/>
      <c r="O52" s="747"/>
      <c r="P52" s="232"/>
      <c r="Q52" s="233"/>
      <c r="R52" s="233"/>
      <c r="S52" s="233"/>
      <c r="T52" s="233"/>
      <c r="U52" s="233"/>
      <c r="V52" s="233"/>
      <c r="W52" s="233"/>
      <c r="X52" s="234"/>
      <c r="Y52" s="234"/>
      <c r="Z52" s="234"/>
      <c r="AA52" s="234"/>
      <c r="AB52" s="234"/>
      <c r="AC52" s="233"/>
      <c r="AD52" s="365"/>
      <c r="AE52" s="366"/>
      <c r="AF52" s="233"/>
      <c r="AG52" s="233"/>
      <c r="AH52" s="233"/>
      <c r="AI52" s="670"/>
    </row>
    <row r="53" spans="1:35" s="37" customFormat="1" ht="24" customHeight="1">
      <c r="A53" s="36"/>
      <c r="B53" s="36"/>
      <c r="C53" s="134"/>
      <c r="D53" s="135"/>
      <c r="E53" s="124"/>
      <c r="F53" s="289"/>
      <c r="G53" s="125"/>
      <c r="H53" s="141"/>
      <c r="I53" s="111" t="str">
        <f t="shared" ref="I53:I70" si="0">IF(F53="","",INT(F53*H53))</f>
        <v/>
      </c>
      <c r="J53" s="67"/>
      <c r="K53" s="68"/>
      <c r="L53" s="69"/>
      <c r="M53" s="752"/>
      <c r="N53" s="753"/>
      <c r="O53" s="747"/>
      <c r="P53" s="232"/>
      <c r="Q53" s="233"/>
      <c r="R53" s="233"/>
      <c r="S53" s="233"/>
      <c r="T53" s="233"/>
      <c r="U53" s="233"/>
      <c r="V53" s="233"/>
      <c r="W53" s="233"/>
      <c r="X53" s="234"/>
      <c r="Y53" s="234"/>
      <c r="Z53" s="234"/>
      <c r="AA53" s="234"/>
      <c r="AB53" s="234"/>
      <c r="AC53" s="233"/>
      <c r="AD53" s="365"/>
      <c r="AE53" s="366"/>
      <c r="AF53" s="233"/>
      <c r="AG53" s="233"/>
      <c r="AH53" s="623"/>
      <c r="AI53" s="670"/>
    </row>
    <row r="54" spans="1:35" s="37" customFormat="1" ht="24" customHeight="1">
      <c r="A54" s="36"/>
      <c r="B54" s="36"/>
      <c r="C54" s="134"/>
      <c r="D54" s="135"/>
      <c r="E54" s="124"/>
      <c r="F54" s="289"/>
      <c r="G54" s="125"/>
      <c r="H54" s="141"/>
      <c r="I54" s="111" t="str">
        <f t="shared" si="0"/>
        <v/>
      </c>
      <c r="J54" s="67"/>
      <c r="K54" s="68"/>
      <c r="L54" s="69"/>
      <c r="M54" s="752"/>
      <c r="N54" s="753"/>
      <c r="O54" s="747"/>
      <c r="P54" s="232"/>
      <c r="Q54" s="233"/>
      <c r="R54" s="233"/>
      <c r="S54" s="233"/>
      <c r="T54" s="233"/>
      <c r="U54" s="233"/>
      <c r="V54" s="233"/>
      <c r="W54" s="233"/>
      <c r="X54" s="234"/>
      <c r="Y54" s="234"/>
      <c r="Z54" s="234"/>
      <c r="AA54" s="234"/>
      <c r="AB54" s="234"/>
      <c r="AC54" s="233"/>
      <c r="AD54" s="365"/>
      <c r="AE54" s="366"/>
      <c r="AF54" s="233"/>
      <c r="AG54" s="233"/>
      <c r="AH54" s="623"/>
      <c r="AI54" s="670"/>
    </row>
    <row r="55" spans="1:35" s="37" customFormat="1" ht="24" customHeight="1">
      <c r="A55" s="36"/>
      <c r="B55" s="36"/>
      <c r="C55" s="134"/>
      <c r="D55" s="135"/>
      <c r="E55" s="124"/>
      <c r="F55" s="289"/>
      <c r="G55" s="125"/>
      <c r="H55" s="141"/>
      <c r="I55" s="111" t="str">
        <f t="shared" si="0"/>
        <v/>
      </c>
      <c r="J55" s="67"/>
      <c r="K55" s="68"/>
      <c r="L55" s="69"/>
      <c r="M55" s="752"/>
      <c r="N55" s="753"/>
      <c r="O55" s="747"/>
      <c r="P55" s="232"/>
      <c r="Q55" s="233"/>
      <c r="R55" s="233"/>
      <c r="S55" s="233"/>
      <c r="T55" s="233"/>
      <c r="U55" s="233"/>
      <c r="V55" s="233"/>
      <c r="W55" s="233"/>
      <c r="X55" s="234"/>
      <c r="Y55" s="234"/>
      <c r="Z55" s="234"/>
      <c r="AA55" s="234"/>
      <c r="AB55" s="234"/>
      <c r="AC55" s="233"/>
      <c r="AD55" s="365"/>
      <c r="AE55" s="366"/>
      <c r="AF55" s="233"/>
      <c r="AG55" s="233"/>
      <c r="AH55" s="623"/>
      <c r="AI55" s="670"/>
    </row>
    <row r="56" spans="1:35" s="37" customFormat="1" ht="24" customHeight="1">
      <c r="A56" s="36"/>
      <c r="B56" s="36"/>
      <c r="C56" s="134"/>
      <c r="D56" s="135"/>
      <c r="E56" s="124"/>
      <c r="F56" s="289"/>
      <c r="G56" s="125"/>
      <c r="H56" s="141"/>
      <c r="I56" s="111" t="str">
        <f t="shared" si="0"/>
        <v/>
      </c>
      <c r="J56" s="67"/>
      <c r="K56" s="68"/>
      <c r="L56" s="69"/>
      <c r="M56" s="752"/>
      <c r="N56" s="753"/>
      <c r="O56" s="747"/>
      <c r="P56" s="232"/>
      <c r="Q56" s="233"/>
      <c r="R56" s="233"/>
      <c r="S56" s="233"/>
      <c r="T56" s="233"/>
      <c r="U56" s="233"/>
      <c r="V56" s="233"/>
      <c r="W56" s="233"/>
      <c r="X56" s="234"/>
      <c r="Y56" s="234"/>
      <c r="Z56" s="234"/>
      <c r="AA56" s="234"/>
      <c r="AB56" s="234"/>
      <c r="AC56" s="233"/>
      <c r="AD56" s="365"/>
      <c r="AE56" s="366"/>
      <c r="AF56" s="233"/>
      <c r="AG56" s="233"/>
      <c r="AH56" s="623"/>
      <c r="AI56" s="670"/>
    </row>
    <row r="57" spans="1:35" s="37" customFormat="1" ht="24" customHeight="1">
      <c r="A57" s="36"/>
      <c r="B57" s="36"/>
      <c r="C57" s="134"/>
      <c r="D57" s="135"/>
      <c r="E57" s="124"/>
      <c r="F57" s="289"/>
      <c r="G57" s="125"/>
      <c r="H57" s="141"/>
      <c r="I57" s="111" t="str">
        <f t="shared" si="0"/>
        <v/>
      </c>
      <c r="J57" s="67"/>
      <c r="K57" s="68"/>
      <c r="L57" s="69"/>
      <c r="M57" s="752"/>
      <c r="N57" s="753"/>
      <c r="O57" s="747"/>
      <c r="P57" s="232"/>
      <c r="Q57" s="233"/>
      <c r="R57" s="233"/>
      <c r="S57" s="233"/>
      <c r="T57" s="233"/>
      <c r="U57" s="233"/>
      <c r="V57" s="233"/>
      <c r="W57" s="233"/>
      <c r="X57" s="234"/>
      <c r="Y57" s="234"/>
      <c r="Z57" s="234"/>
      <c r="AA57" s="234"/>
      <c r="AB57" s="234"/>
      <c r="AC57" s="233"/>
      <c r="AD57" s="365"/>
      <c r="AE57" s="366"/>
      <c r="AF57" s="233"/>
      <c r="AG57" s="233"/>
      <c r="AH57" s="623"/>
      <c r="AI57" s="670"/>
    </row>
    <row r="58" spans="1:35" s="37" customFormat="1" ht="24" customHeight="1">
      <c r="A58" s="36"/>
      <c r="B58" s="36"/>
      <c r="C58" s="134"/>
      <c r="D58" s="135"/>
      <c r="E58" s="124"/>
      <c r="F58" s="289"/>
      <c r="G58" s="125"/>
      <c r="H58" s="141"/>
      <c r="I58" s="111" t="str">
        <f t="shared" si="0"/>
        <v/>
      </c>
      <c r="J58" s="67"/>
      <c r="K58" s="68"/>
      <c r="L58" s="69"/>
      <c r="M58" s="752"/>
      <c r="N58" s="753"/>
      <c r="O58" s="747"/>
      <c r="P58" s="232"/>
      <c r="Q58" s="233"/>
      <c r="R58" s="233"/>
      <c r="S58" s="233"/>
      <c r="T58" s="233"/>
      <c r="U58" s="233"/>
      <c r="V58" s="233"/>
      <c r="W58" s="233"/>
      <c r="X58" s="234"/>
      <c r="Y58" s="234"/>
      <c r="Z58" s="234"/>
      <c r="AA58" s="234"/>
      <c r="AB58" s="234"/>
      <c r="AC58" s="233"/>
      <c r="AD58" s="365"/>
      <c r="AE58" s="366"/>
      <c r="AF58" s="233"/>
      <c r="AG58" s="233"/>
      <c r="AH58" s="623"/>
      <c r="AI58" s="670"/>
    </row>
    <row r="59" spans="1:35" s="37" customFormat="1" ht="24" customHeight="1">
      <c r="A59" s="36"/>
      <c r="B59" s="36"/>
      <c r="C59" s="134"/>
      <c r="D59" s="135"/>
      <c r="E59" s="124"/>
      <c r="F59" s="289"/>
      <c r="G59" s="125"/>
      <c r="H59" s="141"/>
      <c r="I59" s="111" t="str">
        <f t="shared" si="0"/>
        <v/>
      </c>
      <c r="J59" s="67"/>
      <c r="K59" s="68"/>
      <c r="L59" s="69"/>
      <c r="M59" s="752"/>
      <c r="N59" s="753"/>
      <c r="O59" s="747"/>
      <c r="P59" s="232"/>
      <c r="Q59" s="233"/>
      <c r="R59" s="233"/>
      <c r="S59" s="233"/>
      <c r="T59" s="233"/>
      <c r="U59" s="233"/>
      <c r="V59" s="233"/>
      <c r="W59" s="233"/>
      <c r="X59" s="234"/>
      <c r="Y59" s="234"/>
      <c r="Z59" s="234"/>
      <c r="AA59" s="234"/>
      <c r="AB59" s="234"/>
      <c r="AC59" s="233"/>
      <c r="AD59" s="365"/>
      <c r="AE59" s="366"/>
      <c r="AF59" s="233"/>
      <c r="AG59" s="233"/>
      <c r="AH59" s="623"/>
      <c r="AI59" s="670"/>
    </row>
    <row r="60" spans="1:35" s="37" customFormat="1" ht="24" customHeight="1">
      <c r="A60" s="36"/>
      <c r="B60" s="36"/>
      <c r="C60" s="134"/>
      <c r="D60" s="135"/>
      <c r="E60" s="124"/>
      <c r="F60" s="289"/>
      <c r="G60" s="125"/>
      <c r="H60" s="141"/>
      <c r="I60" s="111" t="str">
        <f t="shared" si="0"/>
        <v/>
      </c>
      <c r="J60" s="67"/>
      <c r="K60" s="68"/>
      <c r="L60" s="69"/>
      <c r="M60" s="752"/>
      <c r="N60" s="753"/>
      <c r="O60" s="747"/>
      <c r="P60" s="232"/>
      <c r="Q60" s="233"/>
      <c r="R60" s="233"/>
      <c r="S60" s="233"/>
      <c r="T60" s="233"/>
      <c r="U60" s="233"/>
      <c r="V60" s="233"/>
      <c r="W60" s="233"/>
      <c r="X60" s="234"/>
      <c r="Y60" s="234"/>
      <c r="Z60" s="234"/>
      <c r="AA60" s="234"/>
      <c r="AB60" s="234"/>
      <c r="AC60" s="233"/>
      <c r="AD60" s="365"/>
      <c r="AE60" s="366"/>
      <c r="AF60" s="233"/>
      <c r="AG60" s="233"/>
      <c r="AH60" s="623"/>
      <c r="AI60" s="670"/>
    </row>
    <row r="61" spans="1:35" s="37" customFormat="1" ht="24" customHeight="1">
      <c r="A61" s="36"/>
      <c r="B61" s="36"/>
      <c r="C61" s="134"/>
      <c r="D61" s="135"/>
      <c r="E61" s="124"/>
      <c r="F61" s="289"/>
      <c r="G61" s="125"/>
      <c r="H61" s="141"/>
      <c r="I61" s="111" t="str">
        <f t="shared" si="0"/>
        <v/>
      </c>
      <c r="J61" s="67"/>
      <c r="K61" s="68"/>
      <c r="L61" s="69"/>
      <c r="M61" s="752"/>
      <c r="N61" s="753"/>
      <c r="O61" s="747"/>
      <c r="P61" s="232"/>
      <c r="Q61" s="233"/>
      <c r="R61" s="233"/>
      <c r="S61" s="233"/>
      <c r="T61" s="233"/>
      <c r="U61" s="233"/>
      <c r="V61" s="233"/>
      <c r="W61" s="233"/>
      <c r="X61" s="234"/>
      <c r="Y61" s="234"/>
      <c r="Z61" s="234"/>
      <c r="AA61" s="234"/>
      <c r="AB61" s="234"/>
      <c r="AC61" s="233"/>
      <c r="AD61" s="365"/>
      <c r="AE61" s="366"/>
      <c r="AF61" s="233"/>
      <c r="AG61" s="233"/>
      <c r="AH61" s="623"/>
      <c r="AI61" s="670"/>
    </row>
    <row r="62" spans="1:35" s="37" customFormat="1" ht="24" customHeight="1">
      <c r="A62" s="36"/>
      <c r="B62" s="36"/>
      <c r="C62" s="134"/>
      <c r="D62" s="135"/>
      <c r="E62" s="124"/>
      <c r="F62" s="289"/>
      <c r="G62" s="125"/>
      <c r="H62" s="141"/>
      <c r="I62" s="111" t="str">
        <f t="shared" si="0"/>
        <v/>
      </c>
      <c r="J62" s="67"/>
      <c r="K62" s="68"/>
      <c r="L62" s="69"/>
      <c r="M62" s="752"/>
      <c r="N62" s="753"/>
      <c r="O62" s="747"/>
      <c r="P62" s="232"/>
      <c r="Q62" s="233"/>
      <c r="R62" s="233"/>
      <c r="S62" s="233"/>
      <c r="T62" s="233"/>
      <c r="U62" s="233"/>
      <c r="V62" s="233"/>
      <c r="W62" s="233"/>
      <c r="X62" s="234"/>
      <c r="Y62" s="234"/>
      <c r="Z62" s="234"/>
      <c r="AA62" s="234"/>
      <c r="AB62" s="234"/>
      <c r="AC62" s="233"/>
      <c r="AD62" s="365"/>
      <c r="AE62" s="366"/>
      <c r="AF62" s="233"/>
      <c r="AG62" s="233"/>
      <c r="AH62" s="623"/>
      <c r="AI62" s="670"/>
    </row>
    <row r="63" spans="1:35" s="37" customFormat="1" ht="24" customHeight="1">
      <c r="A63" s="36"/>
      <c r="B63" s="36"/>
      <c r="C63" s="134"/>
      <c r="D63" s="135"/>
      <c r="E63" s="124"/>
      <c r="F63" s="289"/>
      <c r="G63" s="125"/>
      <c r="H63" s="141"/>
      <c r="I63" s="111" t="str">
        <f t="shared" si="0"/>
        <v/>
      </c>
      <c r="J63" s="67"/>
      <c r="K63" s="68"/>
      <c r="L63" s="69"/>
      <c r="M63" s="752"/>
      <c r="N63" s="753"/>
      <c r="O63" s="747"/>
      <c r="P63" s="232"/>
      <c r="Q63" s="233"/>
      <c r="R63" s="233"/>
      <c r="S63" s="233"/>
      <c r="T63" s="233"/>
      <c r="U63" s="233"/>
      <c r="V63" s="233"/>
      <c r="W63" s="233"/>
      <c r="X63" s="234"/>
      <c r="Y63" s="234"/>
      <c r="Z63" s="234"/>
      <c r="AA63" s="234"/>
      <c r="AB63" s="234"/>
      <c r="AC63" s="233"/>
      <c r="AD63" s="365"/>
      <c r="AE63" s="366"/>
      <c r="AF63" s="233"/>
      <c r="AG63" s="233"/>
      <c r="AH63" s="623"/>
      <c r="AI63" s="670"/>
    </row>
    <row r="64" spans="1:35" s="37" customFormat="1" ht="24" customHeight="1">
      <c r="A64" s="36"/>
      <c r="B64" s="36"/>
      <c r="C64" s="134"/>
      <c r="D64" s="135"/>
      <c r="E64" s="124"/>
      <c r="F64" s="289"/>
      <c r="G64" s="125"/>
      <c r="H64" s="141"/>
      <c r="I64" s="111" t="str">
        <f t="shared" si="0"/>
        <v/>
      </c>
      <c r="J64" s="67"/>
      <c r="K64" s="68"/>
      <c r="L64" s="69"/>
      <c r="M64" s="752"/>
      <c r="N64" s="753"/>
      <c r="O64" s="747"/>
      <c r="P64" s="232"/>
      <c r="Q64" s="233"/>
      <c r="R64" s="233"/>
      <c r="S64" s="233"/>
      <c r="T64" s="233"/>
      <c r="U64" s="233"/>
      <c r="V64" s="233"/>
      <c r="W64" s="233"/>
      <c r="X64" s="234"/>
      <c r="Y64" s="234"/>
      <c r="Z64" s="234"/>
      <c r="AA64" s="234"/>
      <c r="AB64" s="234"/>
      <c r="AC64" s="233"/>
      <c r="AD64" s="365"/>
      <c r="AE64" s="366"/>
      <c r="AF64" s="233"/>
      <c r="AG64" s="233"/>
      <c r="AH64" s="623"/>
      <c r="AI64" s="670"/>
    </row>
    <row r="65" spans="1:35" s="37" customFormat="1" ht="24" customHeight="1">
      <c r="A65" s="36"/>
      <c r="B65" s="36"/>
      <c r="C65" s="134"/>
      <c r="D65" s="135"/>
      <c r="E65" s="124"/>
      <c r="F65" s="289"/>
      <c r="G65" s="125"/>
      <c r="H65" s="141"/>
      <c r="I65" s="111" t="str">
        <f t="shared" si="0"/>
        <v/>
      </c>
      <c r="J65" s="67"/>
      <c r="K65" s="68"/>
      <c r="L65" s="69"/>
      <c r="M65" s="752"/>
      <c r="N65" s="753"/>
      <c r="O65" s="747"/>
      <c r="P65" s="232"/>
      <c r="Q65" s="233"/>
      <c r="R65" s="233"/>
      <c r="S65" s="233"/>
      <c r="T65" s="233"/>
      <c r="U65" s="233"/>
      <c r="V65" s="233"/>
      <c r="W65" s="233"/>
      <c r="X65" s="234"/>
      <c r="Y65" s="234"/>
      <c r="Z65" s="234"/>
      <c r="AA65" s="234"/>
      <c r="AB65" s="234"/>
      <c r="AC65" s="233"/>
      <c r="AD65" s="365"/>
      <c r="AE65" s="366"/>
      <c r="AF65" s="233"/>
      <c r="AG65" s="233"/>
      <c r="AH65" s="623"/>
      <c r="AI65" s="670"/>
    </row>
    <row r="66" spans="1:35" s="37" customFormat="1" ht="24" customHeight="1">
      <c r="A66" s="36"/>
      <c r="B66" s="36"/>
      <c r="C66" s="134"/>
      <c r="D66" s="135"/>
      <c r="E66" s="124"/>
      <c r="F66" s="289"/>
      <c r="G66" s="125"/>
      <c r="H66" s="141"/>
      <c r="I66" s="111" t="str">
        <f t="shared" si="0"/>
        <v/>
      </c>
      <c r="J66" s="67"/>
      <c r="K66" s="68"/>
      <c r="L66" s="69"/>
      <c r="M66" s="752"/>
      <c r="N66" s="753"/>
      <c r="O66" s="747"/>
      <c r="P66" s="232"/>
      <c r="Q66" s="233"/>
      <c r="R66" s="233"/>
      <c r="S66" s="233"/>
      <c r="T66" s="233"/>
      <c r="U66" s="233"/>
      <c r="V66" s="233"/>
      <c r="W66" s="233"/>
      <c r="X66" s="234"/>
      <c r="Y66" s="234"/>
      <c r="Z66" s="234"/>
      <c r="AA66" s="234"/>
      <c r="AB66" s="234"/>
      <c r="AC66" s="233"/>
      <c r="AD66" s="365"/>
      <c r="AE66" s="366"/>
      <c r="AF66" s="233"/>
      <c r="AG66" s="233"/>
      <c r="AH66" s="623"/>
      <c r="AI66" s="670"/>
    </row>
    <row r="67" spans="1:35" s="37" customFormat="1" ht="24" customHeight="1">
      <c r="A67" s="36"/>
      <c r="B67" s="36"/>
      <c r="C67" s="134"/>
      <c r="D67" s="135"/>
      <c r="E67" s="124"/>
      <c r="F67" s="289"/>
      <c r="G67" s="125"/>
      <c r="H67" s="141"/>
      <c r="I67" s="111" t="str">
        <f t="shared" si="0"/>
        <v/>
      </c>
      <c r="J67" s="67"/>
      <c r="K67" s="68"/>
      <c r="L67" s="69"/>
      <c r="M67" s="752"/>
      <c r="N67" s="753"/>
      <c r="O67" s="747"/>
      <c r="P67" s="232"/>
      <c r="Q67" s="233"/>
      <c r="R67" s="233"/>
      <c r="S67" s="233"/>
      <c r="T67" s="233"/>
      <c r="U67" s="233"/>
      <c r="V67" s="233"/>
      <c r="W67" s="233"/>
      <c r="X67" s="234"/>
      <c r="Y67" s="234"/>
      <c r="Z67" s="234"/>
      <c r="AA67" s="234"/>
      <c r="AB67" s="234"/>
      <c r="AC67" s="233"/>
      <c r="AD67" s="365"/>
      <c r="AE67" s="366"/>
      <c r="AF67" s="233"/>
      <c r="AG67" s="233"/>
      <c r="AH67" s="623"/>
      <c r="AI67" s="670"/>
    </row>
    <row r="68" spans="1:35" s="37" customFormat="1" ht="24" customHeight="1">
      <c r="A68" s="36"/>
      <c r="B68" s="36"/>
      <c r="C68" s="134"/>
      <c r="D68" s="135"/>
      <c r="E68" s="124"/>
      <c r="F68" s="289"/>
      <c r="G68" s="125"/>
      <c r="H68" s="141"/>
      <c r="I68" s="111" t="str">
        <f t="shared" si="0"/>
        <v/>
      </c>
      <c r="J68" s="67"/>
      <c r="K68" s="68"/>
      <c r="L68" s="69"/>
      <c r="M68" s="752"/>
      <c r="N68" s="753"/>
      <c r="O68" s="747"/>
      <c r="P68" s="232"/>
      <c r="Q68" s="233"/>
      <c r="R68" s="233"/>
      <c r="S68" s="233"/>
      <c r="T68" s="233"/>
      <c r="U68" s="233"/>
      <c r="V68" s="233"/>
      <c r="W68" s="233"/>
      <c r="X68" s="234"/>
      <c r="Y68" s="234"/>
      <c r="Z68" s="234"/>
      <c r="AA68" s="234"/>
      <c r="AB68" s="234"/>
      <c r="AC68" s="233"/>
      <c r="AD68" s="365"/>
      <c r="AE68" s="366"/>
      <c r="AF68" s="233"/>
      <c r="AG68" s="233"/>
      <c r="AH68" s="623"/>
      <c r="AI68" s="670"/>
    </row>
    <row r="69" spans="1:35" s="37" customFormat="1" ht="24" customHeight="1">
      <c r="A69" s="36"/>
      <c r="B69" s="36"/>
      <c r="C69" s="134"/>
      <c r="D69" s="135"/>
      <c r="E69" s="124"/>
      <c r="F69" s="289"/>
      <c r="G69" s="125"/>
      <c r="H69" s="141"/>
      <c r="I69" s="111" t="str">
        <f t="shared" si="0"/>
        <v/>
      </c>
      <c r="J69" s="67"/>
      <c r="K69" s="68"/>
      <c r="L69" s="69"/>
      <c r="M69" s="752"/>
      <c r="N69" s="753"/>
      <c r="O69" s="747"/>
      <c r="P69" s="232"/>
      <c r="Q69" s="233"/>
      <c r="R69" s="233"/>
      <c r="S69" s="233"/>
      <c r="T69" s="233"/>
      <c r="U69" s="233"/>
      <c r="V69" s="233"/>
      <c r="W69" s="233"/>
      <c r="X69" s="234"/>
      <c r="Y69" s="234"/>
      <c r="Z69" s="234"/>
      <c r="AA69" s="234"/>
      <c r="AB69" s="234"/>
      <c r="AC69" s="233"/>
      <c r="AD69" s="365"/>
      <c r="AE69" s="366"/>
      <c r="AF69" s="233"/>
      <c r="AG69" s="233"/>
      <c r="AH69" s="623"/>
      <c r="AI69" s="670"/>
    </row>
    <row r="70" spans="1:35" s="37" customFormat="1" ht="24" customHeight="1">
      <c r="A70" s="36"/>
      <c r="B70" s="36"/>
      <c r="C70" s="134"/>
      <c r="D70" s="135"/>
      <c r="E70" s="124"/>
      <c r="F70" s="289"/>
      <c r="G70" s="125"/>
      <c r="H70" s="141"/>
      <c r="I70" s="111" t="str">
        <f t="shared" si="0"/>
        <v/>
      </c>
      <c r="J70" s="67"/>
      <c r="K70" s="68"/>
      <c r="L70" s="69"/>
      <c r="M70" s="752"/>
      <c r="N70" s="753"/>
      <c r="O70" s="747"/>
      <c r="P70" s="232"/>
      <c r="Q70" s="233"/>
      <c r="R70" s="233"/>
      <c r="S70" s="233"/>
      <c r="T70" s="233"/>
      <c r="U70" s="233"/>
      <c r="V70" s="233"/>
      <c r="W70" s="233"/>
      <c r="X70" s="234"/>
      <c r="Y70" s="234"/>
      <c r="Z70" s="234"/>
      <c r="AA70" s="234"/>
      <c r="AB70" s="234"/>
      <c r="AC70" s="233"/>
      <c r="AD70" s="365"/>
      <c r="AE70" s="366"/>
      <c r="AF70" s="233"/>
      <c r="AG70" s="233"/>
      <c r="AH70" s="623"/>
      <c r="AI70" s="670"/>
    </row>
    <row r="71" spans="1:35" s="1" customFormat="1" ht="24" customHeight="1" thickBot="1">
      <c r="A71" s="36"/>
      <c r="B71" s="36"/>
      <c r="C71" s="113"/>
      <c r="D71" s="99" t="s">
        <v>9</v>
      </c>
      <c r="E71" s="114"/>
      <c r="F71" s="290"/>
      <c r="G71" s="127"/>
      <c r="H71" s="137" t="s">
        <v>112</v>
      </c>
      <c r="I71" s="115">
        <f>SUM(I53:I70)</f>
        <v>0</v>
      </c>
      <c r="J71" s="740" t="str">
        <f>IF(C52="部分撤去工事","）うち費用",")")</f>
        <v>)</v>
      </c>
      <c r="K71" s="742">
        <f>IF(C52="部分撤去工事",(K48+L71),0)</f>
        <v>0</v>
      </c>
      <c r="L71" s="741">
        <f>IF(C52="部分撤去工事",SUMIF(N53:N70,"費用",I53:I70),0)</f>
        <v>0</v>
      </c>
      <c r="M71" s="754"/>
      <c r="N71" s="755"/>
      <c r="O71" s="747"/>
      <c r="P71" s="232"/>
      <c r="Q71" s="233"/>
      <c r="R71" s="233"/>
      <c r="S71" s="233"/>
      <c r="T71" s="233"/>
      <c r="U71" s="233"/>
      <c r="V71" s="233"/>
      <c r="W71" s="233"/>
      <c r="X71" s="234"/>
      <c r="Y71" s="234"/>
      <c r="Z71" s="234"/>
      <c r="AA71" s="234"/>
      <c r="AB71" s="234"/>
      <c r="AC71" s="233"/>
      <c r="AD71" s="365"/>
      <c r="AE71" s="366"/>
      <c r="AF71" s="233"/>
      <c r="AG71" s="233"/>
      <c r="AH71" s="233"/>
      <c r="AI71" s="670"/>
    </row>
    <row r="72" spans="1:35" s="1" customFormat="1" ht="14.25" customHeight="1">
      <c r="A72" s="6"/>
      <c r="B72" s="6"/>
      <c r="E72" s="130" t="s">
        <v>108</v>
      </c>
      <c r="F72" s="131">
        <f>+F49+1</f>
        <v>1</v>
      </c>
      <c r="G72" s="132" t="s">
        <v>109</v>
      </c>
      <c r="H72" s="133">
        <f>+H49</f>
        <v>0</v>
      </c>
      <c r="I72" s="133"/>
      <c r="M72" s="748" t="str">
        <f>IF(A74="","EOL","")</f>
        <v>EOL</v>
      </c>
      <c r="N72" s="1">
        <f>+F72</f>
        <v>1</v>
      </c>
      <c r="O72" s="37"/>
      <c r="P72" s="37"/>
      <c r="Q72" s="37"/>
      <c r="R72" s="37"/>
      <c r="S72" s="37"/>
      <c r="T72" s="37"/>
      <c r="U72" s="37"/>
      <c r="V72" s="37"/>
      <c r="W72" s="37"/>
      <c r="X72" s="37"/>
      <c r="Y72" s="37"/>
      <c r="Z72" s="37"/>
      <c r="AI72" s="667"/>
    </row>
    <row r="73" spans="1:35">
      <c r="O73" s="39"/>
      <c r="P73" s="39"/>
      <c r="Q73" s="39"/>
      <c r="R73" s="39"/>
      <c r="S73" s="39"/>
      <c r="T73" s="39"/>
      <c r="U73" s="39"/>
      <c r="V73" s="39"/>
      <c r="W73" s="39"/>
      <c r="X73" s="39"/>
      <c r="Y73" s="39"/>
      <c r="Z73" s="39"/>
      <c r="AI73" s="671"/>
    </row>
    <row r="74" spans="1:35">
      <c r="O74" s="39"/>
      <c r="P74" s="39"/>
      <c r="Q74" s="39"/>
      <c r="R74" s="39"/>
      <c r="S74" s="39"/>
      <c r="T74" s="39"/>
      <c r="U74" s="39"/>
      <c r="V74" s="39"/>
      <c r="W74" s="39"/>
      <c r="X74" s="39"/>
      <c r="Y74" s="39"/>
      <c r="Z74" s="39"/>
      <c r="AI74" s="671"/>
    </row>
    <row r="75" spans="1:35">
      <c r="O75" s="39"/>
      <c r="P75" s="39"/>
      <c r="Q75" s="39"/>
      <c r="R75" s="39"/>
      <c r="S75" s="39"/>
      <c r="T75" s="39"/>
      <c r="U75" s="39"/>
      <c r="V75" s="39"/>
      <c r="W75" s="39"/>
      <c r="X75" s="39"/>
      <c r="Y75" s="39"/>
      <c r="Z75" s="39"/>
      <c r="AI75" s="671"/>
    </row>
    <row r="76" spans="1:35" s="37" customFormat="1" ht="24" customHeight="1">
      <c r="A76" s="36"/>
      <c r="B76" s="36"/>
      <c r="C76" s="134"/>
      <c r="D76" s="135"/>
      <c r="E76" s="124"/>
      <c r="F76" s="289"/>
      <c r="G76" s="125"/>
      <c r="H76" s="136"/>
      <c r="I76" s="111" t="str">
        <f>IF(F76="","",ROUNDDOWN(F76*H76,0))</f>
        <v/>
      </c>
      <c r="J76" s="67"/>
      <c r="K76" s="68"/>
      <c r="L76" s="69"/>
      <c r="O76" s="231"/>
      <c r="P76" s="232"/>
      <c r="Q76" s="233"/>
      <c r="R76" s="233"/>
      <c r="S76" s="233"/>
      <c r="T76" s="233"/>
      <c r="U76" s="233"/>
      <c r="V76" s="233"/>
      <c r="W76" s="234"/>
      <c r="X76" s="234"/>
      <c r="Y76" s="234"/>
      <c r="Z76" s="234"/>
      <c r="AA76" s="236"/>
      <c r="AB76" s="235"/>
      <c r="AC76" s="233"/>
      <c r="AD76" s="233"/>
      <c r="AE76" s="233"/>
      <c r="AF76" s="233"/>
      <c r="AG76" s="233"/>
      <c r="AH76" s="623"/>
      <c r="AI76" s="670"/>
    </row>
    <row r="77" spans="1:35" s="37" customFormat="1" ht="24" customHeight="1">
      <c r="A77" s="36"/>
      <c r="B77" s="36"/>
      <c r="C77" s="134"/>
      <c r="D77" s="135" t="s">
        <v>9</v>
      </c>
      <c r="E77" s="124"/>
      <c r="F77" s="289"/>
      <c r="G77" s="125"/>
      <c r="H77" s="136" t="s">
        <v>85</v>
      </c>
      <c r="I77" s="111"/>
      <c r="J77" s="67" t="s">
        <v>86</v>
      </c>
      <c r="K77" s="68"/>
      <c r="L77" s="69"/>
      <c r="O77" s="231"/>
      <c r="P77" s="232"/>
      <c r="Q77" s="233"/>
      <c r="R77" s="233"/>
      <c r="S77" s="233"/>
      <c r="T77" s="233"/>
      <c r="U77" s="233"/>
      <c r="V77" s="233"/>
      <c r="W77" s="234"/>
      <c r="X77" s="234"/>
      <c r="Y77" s="234"/>
      <c r="Z77" s="234"/>
      <c r="AA77" s="236"/>
      <c r="AB77" s="235"/>
      <c r="AC77" s="233"/>
      <c r="AD77" s="233"/>
      <c r="AE77" s="233"/>
      <c r="AF77" s="233"/>
      <c r="AG77" s="233"/>
      <c r="AH77" s="623"/>
      <c r="AI77" s="670"/>
    </row>
    <row r="78" spans="1:35" s="37" customFormat="1" ht="24" customHeight="1">
      <c r="A78" s="36"/>
      <c r="B78" s="36"/>
      <c r="C78" s="134"/>
      <c r="D78" s="135"/>
      <c r="E78" s="124"/>
      <c r="F78" s="289"/>
      <c r="G78" s="125"/>
      <c r="H78" s="136"/>
      <c r="I78" s="111"/>
      <c r="J78" s="67"/>
      <c r="K78" s="68"/>
      <c r="L78" s="69"/>
      <c r="O78" s="231"/>
      <c r="P78" s="232"/>
      <c r="Q78" s="233"/>
      <c r="R78" s="233"/>
      <c r="S78" s="233"/>
      <c r="T78" s="233"/>
      <c r="U78" s="233"/>
      <c r="V78" s="233"/>
      <c r="W78" s="234"/>
      <c r="X78" s="234"/>
      <c r="Y78" s="234"/>
      <c r="Z78" s="234"/>
      <c r="AA78" s="236"/>
      <c r="AB78" s="235"/>
      <c r="AC78" s="233"/>
      <c r="AD78" s="233"/>
      <c r="AE78" s="233"/>
      <c r="AF78" s="233"/>
      <c r="AG78" s="233"/>
      <c r="AH78" s="233"/>
      <c r="AI78" s="670"/>
    </row>
    <row r="81" spans="1:15" s="18" customFormat="1" ht="20.100000000000001" customHeight="1" thickBot="1">
      <c r="A81" s="2272" t="s">
        <v>17</v>
      </c>
      <c r="B81" s="2272"/>
      <c r="C81" s="2272"/>
      <c r="D81" s="2272"/>
      <c r="E81" s="2272"/>
      <c r="F81" s="2272"/>
      <c r="G81" s="2272"/>
      <c r="H81" s="2272"/>
      <c r="I81" s="2272"/>
      <c r="J81" s="2272"/>
      <c r="K81" s="2272"/>
      <c r="L81" s="2272"/>
      <c r="M81" s="2272"/>
      <c r="N81" s="22" t="s">
        <v>107</v>
      </c>
      <c r="O81" s="218">
        <f>+O54</f>
        <v>0</v>
      </c>
    </row>
    <row r="82" spans="1:15" s="22" customFormat="1" ht="20.100000000000001" customHeight="1">
      <c r="A82" s="19"/>
      <c r="B82" s="20" t="s">
        <v>18</v>
      </c>
      <c r="C82" s="21" t="s">
        <v>20</v>
      </c>
      <c r="D82" s="21"/>
      <c r="E82" s="78"/>
      <c r="F82" s="53"/>
      <c r="G82" s="73"/>
      <c r="H82" s="2273" t="s">
        <v>27</v>
      </c>
      <c r="I82" s="2274"/>
      <c r="J82" s="2274" t="s">
        <v>28</v>
      </c>
      <c r="K82" s="2275"/>
      <c r="L82" s="2274" t="s">
        <v>29</v>
      </c>
      <c r="M82" s="2276"/>
      <c r="N82" s="2270" t="str">
        <f>IF(G133="",IF(O106=I106,H82,IF(O106=K106,J82,L82)),N109)</f>
        <v>C:</v>
      </c>
      <c r="O82" s="2271"/>
    </row>
    <row r="83" spans="1:15" s="22" customFormat="1" ht="20.100000000000001" customHeight="1" thickBot="1">
      <c r="A83" s="23" t="s">
        <v>30</v>
      </c>
      <c r="B83" s="24" t="s">
        <v>19</v>
      </c>
      <c r="C83" s="25" t="s">
        <v>19</v>
      </c>
      <c r="D83" s="25" t="s">
        <v>21</v>
      </c>
      <c r="E83" s="79" t="s">
        <v>22</v>
      </c>
      <c r="F83" s="54" t="s">
        <v>23</v>
      </c>
      <c r="G83" s="74" t="s">
        <v>24</v>
      </c>
      <c r="H83" s="59" t="s">
        <v>25</v>
      </c>
      <c r="I83" s="60" t="s">
        <v>26</v>
      </c>
      <c r="J83" s="61" t="s">
        <v>25</v>
      </c>
      <c r="K83" s="60" t="s">
        <v>26</v>
      </c>
      <c r="L83" s="61" t="s">
        <v>25</v>
      </c>
      <c r="M83" s="60" t="s">
        <v>26</v>
      </c>
      <c r="N83" s="59" t="s">
        <v>31</v>
      </c>
      <c r="O83" s="83" t="s">
        <v>32</v>
      </c>
    </row>
    <row r="84" spans="1:15" s="18" customFormat="1" ht="20.100000000000001" customHeight="1">
      <c r="A84" s="50"/>
      <c r="B84" s="91"/>
      <c r="C84" s="92"/>
      <c r="D84" s="70"/>
      <c r="E84" s="80"/>
      <c r="F84" s="55"/>
      <c r="G84" s="75"/>
      <c r="H84" s="432"/>
      <c r="I84" s="433" t="str">
        <f t="shared" ref="I84:I105" si="1">IF(H84="","",ROUNDDOWN(H84*F84,0))</f>
        <v/>
      </c>
      <c r="J84" s="440"/>
      <c r="K84" s="433" t="str">
        <f t="shared" ref="K84:K105" si="2">IF(J84="","",ROUNDDOWN(J84*$F84,0))</f>
        <v/>
      </c>
      <c r="L84" s="440"/>
      <c r="M84" s="444" t="str">
        <f t="shared" ref="M84:M105" si="3">IF(L84="","",ROUNDDOWN(L84*$F84,0))</f>
        <v/>
      </c>
      <c r="N84" s="432" t="str">
        <f>IF(F84="","",INT(HLOOKUP(N82,H82:M105,3,FALSE)*O81))</f>
        <v/>
      </c>
      <c r="O84" s="448" t="str">
        <f t="shared" ref="O84:O105" si="4">IF(N84="","",IF(N84&lt;10,INT(N84),IF(N84&lt;10000,ROUNDDOWN(N84,-1),ROUNDDOWN(N84,-2))))</f>
        <v/>
      </c>
    </row>
    <row r="85" spans="1:15" s="18" customFormat="1" ht="20.100000000000001" customHeight="1">
      <c r="A85" s="51"/>
      <c r="B85" s="93"/>
      <c r="C85" s="94"/>
      <c r="D85" s="71"/>
      <c r="E85" s="81"/>
      <c r="F85" s="57"/>
      <c r="G85" s="76"/>
      <c r="H85" s="434"/>
      <c r="I85" s="435" t="str">
        <f t="shared" si="1"/>
        <v/>
      </c>
      <c r="J85" s="441"/>
      <c r="K85" s="435" t="str">
        <f t="shared" si="2"/>
        <v/>
      </c>
      <c r="L85" s="441"/>
      <c r="M85" s="445" t="str">
        <f t="shared" si="3"/>
        <v/>
      </c>
      <c r="N85" s="434" t="str">
        <f>IF(F85="","",INT(HLOOKUP(N82,H82:M105,4,FALSE)*O81))</f>
        <v/>
      </c>
      <c r="O85" s="449" t="str">
        <f t="shared" si="4"/>
        <v/>
      </c>
    </row>
    <row r="86" spans="1:15" s="18" customFormat="1" ht="20.100000000000001" customHeight="1">
      <c r="A86" s="51"/>
      <c r="B86" s="93"/>
      <c r="C86" s="94"/>
      <c r="D86" s="71"/>
      <c r="E86" s="81"/>
      <c r="F86" s="57"/>
      <c r="G86" s="76"/>
      <c r="H86" s="434"/>
      <c r="I86" s="435" t="str">
        <f t="shared" si="1"/>
        <v/>
      </c>
      <c r="J86" s="441"/>
      <c r="K86" s="435" t="str">
        <f t="shared" si="2"/>
        <v/>
      </c>
      <c r="L86" s="441"/>
      <c r="M86" s="445" t="str">
        <f t="shared" si="3"/>
        <v/>
      </c>
      <c r="N86" s="434" t="str">
        <f>IF(F86="","",INT(HLOOKUP(N82,H82:M105,5,FALSE)*O81))</f>
        <v/>
      </c>
      <c r="O86" s="449" t="str">
        <f t="shared" si="4"/>
        <v/>
      </c>
    </row>
    <row r="87" spans="1:15" s="18" customFormat="1" ht="20.100000000000001" customHeight="1">
      <c r="A87" s="51"/>
      <c r="B87" s="93"/>
      <c r="C87" s="94"/>
      <c r="D87" s="71"/>
      <c r="E87" s="81"/>
      <c r="F87" s="57"/>
      <c r="G87" s="76"/>
      <c r="H87" s="434"/>
      <c r="I87" s="435" t="str">
        <f t="shared" si="1"/>
        <v/>
      </c>
      <c r="J87" s="441"/>
      <c r="K87" s="435" t="str">
        <f t="shared" si="2"/>
        <v/>
      </c>
      <c r="L87" s="441"/>
      <c r="M87" s="445" t="str">
        <f t="shared" si="3"/>
        <v/>
      </c>
      <c r="N87" s="434" t="str">
        <f>IF(F87="","",INT(HLOOKUP(N82,H82:M105,6,FALSE)*O81))</f>
        <v/>
      </c>
      <c r="O87" s="449" t="str">
        <f t="shared" si="4"/>
        <v/>
      </c>
    </row>
    <row r="88" spans="1:15" s="18" customFormat="1" ht="20.100000000000001" customHeight="1">
      <c r="A88" s="51"/>
      <c r="B88" s="93"/>
      <c r="C88" s="94"/>
      <c r="D88" s="71"/>
      <c r="E88" s="81"/>
      <c r="F88" s="57"/>
      <c r="G88" s="76"/>
      <c r="H88" s="434"/>
      <c r="I88" s="435" t="str">
        <f t="shared" si="1"/>
        <v/>
      </c>
      <c r="J88" s="441"/>
      <c r="K88" s="435" t="str">
        <f t="shared" si="2"/>
        <v/>
      </c>
      <c r="L88" s="441"/>
      <c r="M88" s="445" t="str">
        <f t="shared" si="3"/>
        <v/>
      </c>
      <c r="N88" s="434" t="str">
        <f>IF(F88="","",INT(HLOOKUP(N82,H82:M105,7,FALSE)*O81))</f>
        <v/>
      </c>
      <c r="O88" s="449" t="str">
        <f t="shared" si="4"/>
        <v/>
      </c>
    </row>
    <row r="89" spans="1:15" s="18" customFormat="1" ht="20.100000000000001" customHeight="1">
      <c r="A89" s="51"/>
      <c r="B89" s="93"/>
      <c r="C89" s="94"/>
      <c r="D89" s="71"/>
      <c r="E89" s="81"/>
      <c r="F89" s="57"/>
      <c r="G89" s="76"/>
      <c r="H89" s="434"/>
      <c r="I89" s="435" t="str">
        <f t="shared" si="1"/>
        <v/>
      </c>
      <c r="J89" s="441"/>
      <c r="K89" s="435" t="str">
        <f t="shared" si="2"/>
        <v/>
      </c>
      <c r="L89" s="441"/>
      <c r="M89" s="445" t="str">
        <f t="shared" si="3"/>
        <v/>
      </c>
      <c r="N89" s="434" t="str">
        <f>IF(F89="","",INT(HLOOKUP(N82,H82:M105,8,FALSE)*O81))</f>
        <v/>
      </c>
      <c r="O89" s="449" t="str">
        <f t="shared" si="4"/>
        <v/>
      </c>
    </row>
    <row r="90" spans="1:15" s="18" customFormat="1" ht="20.100000000000001" customHeight="1">
      <c r="A90" s="51"/>
      <c r="B90" s="93"/>
      <c r="C90" s="94"/>
      <c r="D90" s="71"/>
      <c r="E90" s="81"/>
      <c r="F90" s="57"/>
      <c r="G90" s="76"/>
      <c r="H90" s="434"/>
      <c r="I90" s="435" t="str">
        <f t="shared" si="1"/>
        <v/>
      </c>
      <c r="J90" s="441"/>
      <c r="K90" s="435" t="str">
        <f t="shared" si="2"/>
        <v/>
      </c>
      <c r="L90" s="441"/>
      <c r="M90" s="445" t="str">
        <f t="shared" si="3"/>
        <v/>
      </c>
      <c r="N90" s="434" t="str">
        <f>IF(F90="","",INT(HLOOKUP(N82,H82:M105,9,FALSE)*O81))</f>
        <v/>
      </c>
      <c r="O90" s="449" t="str">
        <f t="shared" si="4"/>
        <v/>
      </c>
    </row>
    <row r="91" spans="1:15" s="18" customFormat="1" ht="20.100000000000001" customHeight="1">
      <c r="A91" s="51"/>
      <c r="B91" s="93"/>
      <c r="C91" s="94"/>
      <c r="D91" s="71"/>
      <c r="E91" s="81"/>
      <c r="F91" s="57"/>
      <c r="G91" s="76"/>
      <c r="H91" s="434"/>
      <c r="I91" s="435" t="str">
        <f t="shared" si="1"/>
        <v/>
      </c>
      <c r="J91" s="441"/>
      <c r="K91" s="435" t="str">
        <f t="shared" si="2"/>
        <v/>
      </c>
      <c r="L91" s="441"/>
      <c r="M91" s="445" t="str">
        <f t="shared" si="3"/>
        <v/>
      </c>
      <c r="N91" s="434" t="str">
        <f>IF(F91="","",INT(HLOOKUP(N82,H82:M105,10,FALSE)*O81))</f>
        <v/>
      </c>
      <c r="O91" s="449" t="str">
        <f t="shared" si="4"/>
        <v/>
      </c>
    </row>
    <row r="92" spans="1:15" s="18" customFormat="1" ht="20.100000000000001" customHeight="1">
      <c r="A92" s="51"/>
      <c r="B92" s="93"/>
      <c r="C92" s="94"/>
      <c r="D92" s="71"/>
      <c r="E92" s="81"/>
      <c r="F92" s="57"/>
      <c r="G92" s="76"/>
      <c r="H92" s="434"/>
      <c r="I92" s="435" t="str">
        <f t="shared" si="1"/>
        <v/>
      </c>
      <c r="J92" s="441"/>
      <c r="K92" s="435" t="str">
        <f t="shared" si="2"/>
        <v/>
      </c>
      <c r="L92" s="441"/>
      <c r="M92" s="445" t="str">
        <f t="shared" si="3"/>
        <v/>
      </c>
      <c r="N92" s="434" t="str">
        <f>IF(F92="","",INT(HLOOKUP(N82,H82:M105,11,FALSE)*O81))</f>
        <v/>
      </c>
      <c r="O92" s="449" t="str">
        <f t="shared" si="4"/>
        <v/>
      </c>
    </row>
    <row r="93" spans="1:15" s="18" customFormat="1" ht="20.100000000000001" customHeight="1">
      <c r="A93" s="51"/>
      <c r="B93" s="93"/>
      <c r="C93" s="94"/>
      <c r="D93" s="71"/>
      <c r="E93" s="81"/>
      <c r="F93" s="57"/>
      <c r="G93" s="76"/>
      <c r="H93" s="434"/>
      <c r="I93" s="435" t="str">
        <f t="shared" si="1"/>
        <v/>
      </c>
      <c r="J93" s="441"/>
      <c r="K93" s="435" t="str">
        <f t="shared" si="2"/>
        <v/>
      </c>
      <c r="L93" s="441"/>
      <c r="M93" s="445" t="str">
        <f t="shared" si="3"/>
        <v/>
      </c>
      <c r="N93" s="434" t="str">
        <f>IF(F93="","",INT(HLOOKUP(N82,H82:M105,12,FALSE)*O81))</f>
        <v/>
      </c>
      <c r="O93" s="449" t="str">
        <f t="shared" si="4"/>
        <v/>
      </c>
    </row>
    <row r="94" spans="1:15" s="18" customFormat="1" ht="20.100000000000001" customHeight="1">
      <c r="A94" s="51"/>
      <c r="B94" s="93"/>
      <c r="C94" s="94"/>
      <c r="D94" s="71"/>
      <c r="E94" s="81"/>
      <c r="F94" s="57"/>
      <c r="G94" s="76"/>
      <c r="H94" s="434"/>
      <c r="I94" s="435" t="str">
        <f t="shared" si="1"/>
        <v/>
      </c>
      <c r="J94" s="441"/>
      <c r="K94" s="435" t="str">
        <f t="shared" si="2"/>
        <v/>
      </c>
      <c r="L94" s="441"/>
      <c r="M94" s="445" t="str">
        <f t="shared" si="3"/>
        <v/>
      </c>
      <c r="N94" s="434" t="str">
        <f>IF(F94="","",INT(HLOOKUP(N82,H82:M105,13,FALSE)*O81))</f>
        <v/>
      </c>
      <c r="O94" s="449" t="str">
        <f t="shared" si="4"/>
        <v/>
      </c>
    </row>
    <row r="95" spans="1:15" s="18" customFormat="1" ht="20.100000000000001" customHeight="1">
      <c r="A95" s="51"/>
      <c r="B95" s="93"/>
      <c r="C95" s="94"/>
      <c r="D95" s="71"/>
      <c r="E95" s="81"/>
      <c r="F95" s="57"/>
      <c r="G95" s="76"/>
      <c r="H95" s="434"/>
      <c r="I95" s="435" t="str">
        <f t="shared" si="1"/>
        <v/>
      </c>
      <c r="J95" s="441"/>
      <c r="K95" s="435" t="str">
        <f t="shared" si="2"/>
        <v/>
      </c>
      <c r="L95" s="441"/>
      <c r="M95" s="445" t="str">
        <f t="shared" si="3"/>
        <v/>
      </c>
      <c r="N95" s="434" t="str">
        <f>IF(F95="","",INT(HLOOKUP(N82,H82:M105,14,FALSE)*O81))</f>
        <v/>
      </c>
      <c r="O95" s="449" t="str">
        <f t="shared" si="4"/>
        <v/>
      </c>
    </row>
    <row r="96" spans="1:15" s="18" customFormat="1" ht="20.100000000000001" customHeight="1">
      <c r="A96" s="51"/>
      <c r="B96" s="93"/>
      <c r="C96" s="94"/>
      <c r="D96" s="71"/>
      <c r="E96" s="81"/>
      <c r="F96" s="57"/>
      <c r="G96" s="76"/>
      <c r="H96" s="434"/>
      <c r="I96" s="435" t="str">
        <f t="shared" si="1"/>
        <v/>
      </c>
      <c r="J96" s="441"/>
      <c r="K96" s="435" t="str">
        <f t="shared" si="2"/>
        <v/>
      </c>
      <c r="L96" s="441"/>
      <c r="M96" s="445" t="str">
        <f t="shared" si="3"/>
        <v/>
      </c>
      <c r="N96" s="434" t="str">
        <f>IF(F96="","",INT(HLOOKUP(N82,H82:M105,15,FALSE)*O81))</f>
        <v/>
      </c>
      <c r="O96" s="449" t="str">
        <f t="shared" si="4"/>
        <v/>
      </c>
    </row>
    <row r="97" spans="1:19" s="18" customFormat="1" ht="20.100000000000001" customHeight="1">
      <c r="A97" s="51"/>
      <c r="B97" s="93"/>
      <c r="C97" s="94"/>
      <c r="D97" s="71"/>
      <c r="E97" s="81"/>
      <c r="F97" s="57"/>
      <c r="G97" s="76"/>
      <c r="H97" s="434"/>
      <c r="I97" s="435" t="str">
        <f t="shared" si="1"/>
        <v/>
      </c>
      <c r="J97" s="441"/>
      <c r="K97" s="435" t="str">
        <f t="shared" si="2"/>
        <v/>
      </c>
      <c r="L97" s="441"/>
      <c r="M97" s="445" t="str">
        <f t="shared" si="3"/>
        <v/>
      </c>
      <c r="N97" s="434" t="str">
        <f>IF(F97="","",INT(HLOOKUP(N82,H82:M105,16,FALSE)*O81))</f>
        <v/>
      </c>
      <c r="O97" s="449" t="str">
        <f t="shared" si="4"/>
        <v/>
      </c>
    </row>
    <row r="98" spans="1:19" s="18" customFormat="1" ht="20.100000000000001" customHeight="1">
      <c r="A98" s="51"/>
      <c r="B98" s="93"/>
      <c r="C98" s="94"/>
      <c r="D98" s="71"/>
      <c r="E98" s="81"/>
      <c r="F98" s="57"/>
      <c r="G98" s="76"/>
      <c r="H98" s="434"/>
      <c r="I98" s="435" t="str">
        <f t="shared" si="1"/>
        <v/>
      </c>
      <c r="J98" s="441"/>
      <c r="K98" s="435" t="str">
        <f t="shared" si="2"/>
        <v/>
      </c>
      <c r="L98" s="441"/>
      <c r="M98" s="445" t="str">
        <f t="shared" si="3"/>
        <v/>
      </c>
      <c r="N98" s="434" t="str">
        <f>IF(F98="","",INT(HLOOKUP(N82,H82:M105,17,FALSE)*O81))</f>
        <v/>
      </c>
      <c r="O98" s="449" t="str">
        <f t="shared" si="4"/>
        <v/>
      </c>
    </row>
    <row r="99" spans="1:19" s="18" customFormat="1" ht="20.100000000000001" customHeight="1">
      <c r="A99" s="51"/>
      <c r="B99" s="93"/>
      <c r="C99" s="94"/>
      <c r="D99" s="71"/>
      <c r="E99" s="81"/>
      <c r="F99" s="57"/>
      <c r="G99" s="76"/>
      <c r="H99" s="434"/>
      <c r="I99" s="435" t="str">
        <f t="shared" si="1"/>
        <v/>
      </c>
      <c r="J99" s="441"/>
      <c r="K99" s="435" t="str">
        <f t="shared" si="2"/>
        <v/>
      </c>
      <c r="L99" s="441"/>
      <c r="M99" s="445" t="str">
        <f t="shared" si="3"/>
        <v/>
      </c>
      <c r="N99" s="434" t="str">
        <f>IF(F99="","",INT(HLOOKUP(N82,H82:M105,18,FALSE)*O81))</f>
        <v/>
      </c>
      <c r="O99" s="449" t="str">
        <f t="shared" si="4"/>
        <v/>
      </c>
    </row>
    <row r="100" spans="1:19" s="18" customFormat="1" ht="20.100000000000001" customHeight="1">
      <c r="A100" s="51"/>
      <c r="B100" s="93"/>
      <c r="C100" s="94"/>
      <c r="D100" s="71"/>
      <c r="E100" s="81"/>
      <c r="F100" s="57"/>
      <c r="G100" s="76"/>
      <c r="H100" s="434"/>
      <c r="I100" s="435" t="str">
        <f t="shared" si="1"/>
        <v/>
      </c>
      <c r="J100" s="441"/>
      <c r="K100" s="435" t="str">
        <f t="shared" si="2"/>
        <v/>
      </c>
      <c r="L100" s="441"/>
      <c r="M100" s="445" t="str">
        <f t="shared" si="3"/>
        <v/>
      </c>
      <c r="N100" s="434" t="str">
        <f>IF(F100="","",INT(HLOOKUP(N82,H82:M105,19,FALSE)*O81))</f>
        <v/>
      </c>
      <c r="O100" s="449" t="str">
        <f t="shared" si="4"/>
        <v/>
      </c>
    </row>
    <row r="101" spans="1:19" s="18" customFormat="1" ht="20.100000000000001" customHeight="1">
      <c r="A101" s="51"/>
      <c r="B101" s="93"/>
      <c r="C101" s="94"/>
      <c r="D101" s="71"/>
      <c r="E101" s="81"/>
      <c r="F101" s="57"/>
      <c r="G101" s="76"/>
      <c r="H101" s="434"/>
      <c r="I101" s="435" t="str">
        <f t="shared" si="1"/>
        <v/>
      </c>
      <c r="J101" s="441"/>
      <c r="K101" s="435" t="str">
        <f t="shared" si="2"/>
        <v/>
      </c>
      <c r="L101" s="441"/>
      <c r="M101" s="445" t="str">
        <f t="shared" si="3"/>
        <v/>
      </c>
      <c r="N101" s="434" t="str">
        <f>IF(F101="","",INT(HLOOKUP(N82,H82:M105,20,FALSE)*O81))</f>
        <v/>
      </c>
      <c r="O101" s="449" t="str">
        <f t="shared" si="4"/>
        <v/>
      </c>
    </row>
    <row r="102" spans="1:19" s="18" customFormat="1" ht="20.100000000000001" customHeight="1">
      <c r="A102" s="51"/>
      <c r="B102" s="93"/>
      <c r="C102" s="94"/>
      <c r="D102" s="71"/>
      <c r="E102" s="81"/>
      <c r="F102" s="57"/>
      <c r="G102" s="76"/>
      <c r="H102" s="434"/>
      <c r="I102" s="435" t="str">
        <f t="shared" si="1"/>
        <v/>
      </c>
      <c r="J102" s="441"/>
      <c r="K102" s="435" t="str">
        <f t="shared" si="2"/>
        <v/>
      </c>
      <c r="L102" s="441"/>
      <c r="M102" s="445" t="str">
        <f t="shared" si="3"/>
        <v/>
      </c>
      <c r="N102" s="434" t="str">
        <f>IF(F102="","",INT(HLOOKUP(N82,H82:M105,21,FALSE)*O81))</f>
        <v/>
      </c>
      <c r="O102" s="449" t="str">
        <f t="shared" si="4"/>
        <v/>
      </c>
    </row>
    <row r="103" spans="1:19" s="18" customFormat="1" ht="20.100000000000001" customHeight="1">
      <c r="A103" s="51"/>
      <c r="B103" s="93"/>
      <c r="C103" s="94"/>
      <c r="D103" s="71"/>
      <c r="E103" s="81"/>
      <c r="F103" s="57"/>
      <c r="G103" s="76"/>
      <c r="H103" s="434"/>
      <c r="I103" s="435" t="str">
        <f t="shared" si="1"/>
        <v/>
      </c>
      <c r="J103" s="441"/>
      <c r="K103" s="435" t="str">
        <f t="shared" si="2"/>
        <v/>
      </c>
      <c r="L103" s="441"/>
      <c r="M103" s="445" t="str">
        <f t="shared" si="3"/>
        <v/>
      </c>
      <c r="N103" s="434" t="str">
        <f>IF(F103="","",INT(HLOOKUP(N82,H82:M105,22,FALSE)*O81))</f>
        <v/>
      </c>
      <c r="O103" s="449" t="str">
        <f t="shared" si="4"/>
        <v/>
      </c>
    </row>
    <row r="104" spans="1:19" s="18" customFormat="1" ht="20.100000000000001" customHeight="1">
      <c r="A104" s="51"/>
      <c r="B104" s="93"/>
      <c r="C104" s="94"/>
      <c r="D104" s="71"/>
      <c r="E104" s="81"/>
      <c r="F104" s="57"/>
      <c r="G104" s="76"/>
      <c r="H104" s="434"/>
      <c r="I104" s="435" t="str">
        <f t="shared" si="1"/>
        <v/>
      </c>
      <c r="J104" s="441"/>
      <c r="K104" s="435" t="str">
        <f t="shared" si="2"/>
        <v/>
      </c>
      <c r="L104" s="441"/>
      <c r="M104" s="445" t="str">
        <f t="shared" si="3"/>
        <v/>
      </c>
      <c r="N104" s="434" t="str">
        <f>IF(F104="","",INT(HLOOKUP(N82,H82:M105,23,FALSE)*O81))</f>
        <v/>
      </c>
      <c r="O104" s="449" t="str">
        <f t="shared" si="4"/>
        <v/>
      </c>
    </row>
    <row r="105" spans="1:19" s="18" customFormat="1" ht="20.100000000000001" customHeight="1" thickBot="1">
      <c r="A105" s="52"/>
      <c r="B105" s="95"/>
      <c r="C105" s="96"/>
      <c r="D105" s="72"/>
      <c r="E105" s="82"/>
      <c r="F105" s="58"/>
      <c r="G105" s="77"/>
      <c r="H105" s="436"/>
      <c r="I105" s="437" t="str">
        <f t="shared" si="1"/>
        <v/>
      </c>
      <c r="J105" s="442"/>
      <c r="K105" s="437" t="str">
        <f t="shared" si="2"/>
        <v/>
      </c>
      <c r="L105" s="442"/>
      <c r="M105" s="446" t="str">
        <f t="shared" si="3"/>
        <v/>
      </c>
      <c r="N105" s="436" t="str">
        <f>IF(F105="","",INT(HLOOKUP(N82,H82:M105,24,FALSE)*O81))</f>
        <v/>
      </c>
      <c r="O105" s="450" t="str">
        <f t="shared" si="4"/>
        <v/>
      </c>
    </row>
    <row r="106" spans="1:19" s="18" customFormat="1" ht="20.100000000000001" customHeight="1" thickTop="1" thickBot="1">
      <c r="A106" s="26"/>
      <c r="B106" s="27"/>
      <c r="C106" s="27"/>
      <c r="D106" s="28" t="str">
        <f>IF(G106="","合      計","")</f>
        <v>合      計</v>
      </c>
      <c r="E106" s="29" t="s">
        <v>81</v>
      </c>
      <c r="F106" s="29"/>
      <c r="G106" s="49"/>
      <c r="H106" s="438"/>
      <c r="I106" s="439" t="str">
        <f>IF($G106="",IF(SUM(I84:I105)=0,"",SUM(I84:I105)),IF(I79="","",SUM(I84:I105)+I79))</f>
        <v/>
      </c>
      <c r="J106" s="443"/>
      <c r="K106" s="439" t="str">
        <f>IF(G106="",IF(SUM(K84:K105)=0,"",SUM(K84:K105)),IF(K79="","",SUM(K84:K105)+K79))</f>
        <v/>
      </c>
      <c r="L106" s="443"/>
      <c r="M106" s="447" t="str">
        <f>IF(G106="",IF(SUM(M84:M105)=0,"",SUM(M84:M105)),IF(M79="","",SUM(M84:M105)+M79))</f>
        <v/>
      </c>
      <c r="N106" s="451" t="s">
        <v>33</v>
      </c>
      <c r="O106" s="452">
        <f>IF(G133="",MIN(I106,K106,M106),"")</f>
        <v>0</v>
      </c>
    </row>
    <row r="107" spans="1:19" s="18" customFormat="1" ht="20.100000000000001" customHeight="1">
      <c r="A107" s="22"/>
      <c r="B107" s="22"/>
      <c r="C107" s="22"/>
      <c r="G107" s="22"/>
      <c r="H107" s="30"/>
      <c r="I107" s="30"/>
      <c r="J107" s="30"/>
      <c r="K107" s="30"/>
      <c r="L107" s="30"/>
      <c r="M107" s="30"/>
      <c r="N107" s="18" t="str">
        <f>IF(B109="","EOL","")</f>
        <v>EOL</v>
      </c>
      <c r="O107" s="30">
        <f>+O80+1</f>
        <v>1</v>
      </c>
    </row>
    <row r="110" spans="1:19" s="18" customFormat="1" ht="20.100000000000001" customHeight="1" thickBot="1">
      <c r="A110" s="2479" t="s">
        <v>252</v>
      </c>
      <c r="B110" s="2479"/>
      <c r="C110" s="2479"/>
      <c r="D110" s="2479"/>
      <c r="E110" s="2479"/>
      <c r="F110" s="2479"/>
      <c r="G110" s="2479"/>
      <c r="H110" s="2479"/>
      <c r="I110" s="2479"/>
      <c r="J110" s="2479"/>
      <c r="K110" s="2479"/>
      <c r="L110" s="2479"/>
      <c r="M110" s="241" t="s">
        <v>219</v>
      </c>
      <c r="N110" s="2480" t="s">
        <v>220</v>
      </c>
      <c r="O110" s="2480"/>
      <c r="P110" s="2480"/>
      <c r="Q110" s="242"/>
      <c r="S110" s="1"/>
    </row>
    <row r="111" spans="1:19" s="22" customFormat="1" ht="20.100000000000001" customHeight="1">
      <c r="A111" s="306"/>
      <c r="B111" s="305"/>
      <c r="C111" s="305"/>
      <c r="D111" s="2469" t="s">
        <v>221</v>
      </c>
      <c r="E111" s="2469"/>
      <c r="F111" s="2469"/>
      <c r="G111" s="2470"/>
      <c r="H111" s="244" t="s">
        <v>253</v>
      </c>
      <c r="I111" s="245" t="s">
        <v>254</v>
      </c>
      <c r="J111" s="2471" t="s">
        <v>224</v>
      </c>
      <c r="K111" s="2472"/>
      <c r="L111" s="2472"/>
      <c r="M111" s="2472"/>
      <c r="N111" s="2472"/>
      <c r="O111" s="2472"/>
      <c r="P111" s="2472"/>
      <c r="Q111" s="2473"/>
    </row>
    <row r="112" spans="1:19" s="22" customFormat="1" ht="20.100000000000001" customHeight="1" thickBot="1">
      <c r="A112" s="307"/>
      <c r="B112" s="308"/>
      <c r="C112" s="308"/>
      <c r="D112" s="309"/>
      <c r="E112" s="310" t="s">
        <v>255</v>
      </c>
      <c r="F112" s="2474">
        <v>1</v>
      </c>
      <c r="G112" s="2475"/>
      <c r="H112" s="311"/>
      <c r="I112" s="311"/>
      <c r="J112" s="2476" t="s">
        <v>256</v>
      </c>
      <c r="K112" s="2477"/>
      <c r="L112" s="2477"/>
      <c r="M112" s="2477"/>
      <c r="N112" s="2477"/>
      <c r="O112" s="2477"/>
      <c r="P112" s="2477"/>
      <c r="Q112" s="2478"/>
    </row>
    <row r="113" spans="1:17" s="18" customFormat="1" ht="20.100000000000001" customHeight="1">
      <c r="A113" s="312" t="s">
        <v>257</v>
      </c>
      <c r="B113" s="313" t="s">
        <v>258</v>
      </c>
      <c r="C113" s="314" t="s">
        <v>259</v>
      </c>
      <c r="D113" s="315"/>
      <c r="E113" s="316"/>
      <c r="F113" s="316"/>
      <c r="G113" s="317"/>
      <c r="H113" s="244" t="s">
        <v>222</v>
      </c>
      <c r="I113" s="245" t="s">
        <v>223</v>
      </c>
      <c r="J113" s="246" t="s">
        <v>18</v>
      </c>
      <c r="K113" s="243" t="s">
        <v>20</v>
      </c>
      <c r="L113" s="318"/>
      <c r="M113" s="319"/>
      <c r="N113" s="320"/>
      <c r="O113" s="321"/>
      <c r="P113" s="245" t="s">
        <v>225</v>
      </c>
      <c r="Q113" s="322">
        <f>IF(I112=0,0,H112/I112*F112)</f>
        <v>0</v>
      </c>
    </row>
    <row r="114" spans="1:17" s="18" customFormat="1" ht="20.100000000000001" customHeight="1" thickBot="1">
      <c r="A114" s="247" t="s">
        <v>226</v>
      </c>
      <c r="B114" s="248" t="s">
        <v>19</v>
      </c>
      <c r="C114" s="249" t="s">
        <v>19</v>
      </c>
      <c r="D114" s="250" t="s">
        <v>21</v>
      </c>
      <c r="E114" s="251" t="s">
        <v>22</v>
      </c>
      <c r="F114" s="323" t="s">
        <v>23</v>
      </c>
      <c r="G114" s="324" t="s">
        <v>24</v>
      </c>
      <c r="H114" s="252" t="s">
        <v>260</v>
      </c>
      <c r="I114" s="253" t="s">
        <v>25</v>
      </c>
      <c r="J114" s="254" t="s">
        <v>19</v>
      </c>
      <c r="K114" s="248" t="s">
        <v>19</v>
      </c>
      <c r="L114" s="255" t="s">
        <v>21</v>
      </c>
      <c r="M114" s="251" t="s">
        <v>22</v>
      </c>
      <c r="N114" s="323" t="s">
        <v>23</v>
      </c>
      <c r="O114" s="324" t="s">
        <v>24</v>
      </c>
      <c r="P114" s="253" t="s">
        <v>25</v>
      </c>
      <c r="Q114" s="256" t="s">
        <v>32</v>
      </c>
    </row>
    <row r="115" spans="1:17" s="18" customFormat="1" ht="20.100000000000001" customHeight="1">
      <c r="A115" s="257"/>
      <c r="B115" s="258"/>
      <c r="C115" s="259"/>
      <c r="D115" s="260"/>
      <c r="E115" s="261"/>
      <c r="F115" s="262"/>
      <c r="G115" s="263"/>
      <c r="H115" s="325"/>
      <c r="I115" s="264"/>
      <c r="J115" s="265"/>
      <c r="K115" s="259"/>
      <c r="L115" s="260"/>
      <c r="M115" s="261"/>
      <c r="N115" s="262"/>
      <c r="O115" s="263"/>
      <c r="P115" s="264"/>
      <c r="Q115" s="266" t="str">
        <f>IF(P115="","",IF(I115&lt;&gt;"",IF((P115/I115*H115)&lt;10,INT(P115/I115*H115),IF((P115/I115*H115)&lt;10000,ROUNDDOWN(P115/I115*H115,-1),ROUNDDOWN(P115/I115*H115,-2))),IF((P115*Q113)&lt;10,INT(P115*Q113),IF((P115*Q113)&lt;10000,ROUNDDOWN(P115*Q113,-1),ROUNDDOWN(P115*Q113,-2)))))</f>
        <v/>
      </c>
    </row>
    <row r="116" spans="1:17" s="18" customFormat="1" ht="20.100000000000001" customHeight="1">
      <c r="A116" s="267"/>
      <c r="B116" s="268"/>
      <c r="C116" s="269"/>
      <c r="D116" s="270"/>
      <c r="E116" s="271"/>
      <c r="F116" s="272"/>
      <c r="G116" s="273"/>
      <c r="H116" s="326"/>
      <c r="I116" s="274"/>
      <c r="J116" s="275"/>
      <c r="K116" s="269"/>
      <c r="L116" s="270"/>
      <c r="M116" s="271"/>
      <c r="N116" s="272"/>
      <c r="O116" s="273"/>
      <c r="P116" s="274"/>
      <c r="Q116" s="276" t="str">
        <f>IF(P116="","",IF(I116&lt;&gt;"",IF((P116/I116*H116)&lt;10,INT(P116/I116*H116),IF((P116/I116*H116)&lt;10000,ROUNDDOWN(P116/I116*H116,-1),ROUNDDOWN(P116/I116*H116,-2))),IF((P116*Q113)&lt;10,INT(P116*Q113),IF((P116*Q113)&lt;10000,ROUNDDOWN(P116*Q113,-1),ROUNDDOWN(P116*Q113,-2)))))</f>
        <v/>
      </c>
    </row>
    <row r="117" spans="1:17" s="18" customFormat="1" ht="20.100000000000001" customHeight="1">
      <c r="A117" s="267"/>
      <c r="B117" s="268"/>
      <c r="C117" s="269"/>
      <c r="D117" s="270"/>
      <c r="E117" s="271"/>
      <c r="F117" s="272"/>
      <c r="G117" s="273"/>
      <c r="H117" s="326"/>
      <c r="I117" s="274"/>
      <c r="J117" s="275"/>
      <c r="K117" s="269"/>
      <c r="L117" s="270"/>
      <c r="M117" s="271"/>
      <c r="N117" s="272"/>
      <c r="O117" s="273"/>
      <c r="P117" s="274"/>
      <c r="Q117" s="276" t="str">
        <f>IF(P117="","",IF(I117&lt;&gt;"",IF((P117/I117*H117)&lt;10,INT(P117/I117*H117),IF((P117/I117*H117)&lt;10000,ROUNDDOWN(P117/I117*H117,-1),ROUNDDOWN(P117/I117*H117,-2))),IF((P117*Q113)&lt;10,INT(P117*Q113),IF((P117*Q113)&lt;10000,ROUNDDOWN(P117*Q113,-1),ROUNDDOWN(P117*Q113,-2)))))</f>
        <v/>
      </c>
    </row>
    <row r="118" spans="1:17" s="18" customFormat="1" ht="20.100000000000001" customHeight="1">
      <c r="A118" s="267"/>
      <c r="B118" s="268"/>
      <c r="C118" s="269"/>
      <c r="D118" s="270"/>
      <c r="E118" s="271"/>
      <c r="F118" s="272"/>
      <c r="G118" s="273"/>
      <c r="H118" s="326"/>
      <c r="I118" s="274"/>
      <c r="J118" s="275"/>
      <c r="K118" s="269"/>
      <c r="L118" s="270"/>
      <c r="M118" s="271"/>
      <c r="N118" s="272"/>
      <c r="O118" s="273"/>
      <c r="P118" s="274"/>
      <c r="Q118" s="276" t="str">
        <f>IF(P118="","",IF(I118&lt;&gt;"",IF((P118/I118*H118)&lt;10,INT(P118/I118*H118),IF((P118/I118*H118)&lt;10000,ROUNDDOWN(P118/I118*H118,-1),ROUNDDOWN(P118/I118*H118,-2))),IF((P118*Q113)&lt;10,INT(P118*Q113),IF((P118*Q113)&lt;10000,ROUNDDOWN(P118*Q113,-1),ROUNDDOWN(P118*Q113,-2)))))</f>
        <v/>
      </c>
    </row>
    <row r="119" spans="1:17" s="18" customFormat="1" ht="20.100000000000001" customHeight="1">
      <c r="A119" s="267"/>
      <c r="B119" s="268"/>
      <c r="C119" s="269"/>
      <c r="D119" s="270"/>
      <c r="E119" s="271"/>
      <c r="F119" s="272"/>
      <c r="G119" s="273"/>
      <c r="H119" s="326"/>
      <c r="I119" s="274"/>
      <c r="J119" s="275"/>
      <c r="K119" s="269"/>
      <c r="L119" s="270"/>
      <c r="M119" s="271"/>
      <c r="N119" s="272"/>
      <c r="O119" s="273"/>
      <c r="P119" s="274"/>
      <c r="Q119" s="276" t="str">
        <f>IF(P119="","",IF(I119&lt;&gt;"",IF((P119/I119*H119)&lt;10,INT(P119/I119*H119),IF((P119/I119*H119)&lt;10000,ROUNDDOWN(P119/I119*H119,-1),ROUNDDOWN(P119/I119*H119,-2))),IF((P119*Q113)&lt;10,INT(P119*Q113),IF((P119*Q113)&lt;10000,ROUNDDOWN(P119*Q113,-1),ROUNDDOWN(P119*Q113,-2)))))</f>
        <v/>
      </c>
    </row>
    <row r="120" spans="1:17" s="18" customFormat="1" ht="20.100000000000001" customHeight="1">
      <c r="A120" s="267"/>
      <c r="B120" s="268"/>
      <c r="C120" s="269"/>
      <c r="D120" s="270"/>
      <c r="E120" s="271"/>
      <c r="F120" s="272"/>
      <c r="G120" s="273"/>
      <c r="H120" s="326"/>
      <c r="I120" s="274"/>
      <c r="J120" s="275"/>
      <c r="K120" s="269"/>
      <c r="L120" s="270"/>
      <c r="M120" s="271"/>
      <c r="N120" s="272"/>
      <c r="O120" s="273"/>
      <c r="P120" s="274"/>
      <c r="Q120" s="276" t="str">
        <f>IF(P120="","",IF(I120&lt;&gt;"",IF((P120/I120*H120)&lt;10,INT(P120/I120*H120),IF((P120/I120*H120)&lt;10000,ROUNDDOWN(P120/I120*H120,-1),ROUNDDOWN(P120/I120*H120,-2))),IF((P120*Q113)&lt;10,INT(P120*Q113),IF((P120*Q113)&lt;10000,ROUNDDOWN(P120*Q113,-1),ROUNDDOWN(P120*Q113,-2)))))</f>
        <v/>
      </c>
    </row>
    <row r="121" spans="1:17" s="18" customFormat="1" ht="20.100000000000001" customHeight="1">
      <c r="A121" s="267"/>
      <c r="B121" s="268"/>
      <c r="C121" s="269"/>
      <c r="D121" s="270"/>
      <c r="E121" s="271"/>
      <c r="F121" s="272"/>
      <c r="G121" s="273"/>
      <c r="H121" s="326"/>
      <c r="I121" s="274"/>
      <c r="J121" s="275"/>
      <c r="K121" s="269"/>
      <c r="L121" s="270"/>
      <c r="M121" s="271"/>
      <c r="N121" s="272"/>
      <c r="O121" s="273"/>
      <c r="P121" s="274"/>
      <c r="Q121" s="276" t="str">
        <f>IF(P121="","",IF(I121&lt;&gt;"",IF((P121/I121*H121)&lt;10,INT(P121/I121*H121),IF((P121/I121*H121)&lt;10000,ROUNDDOWN(P121/I121*H121,-1),ROUNDDOWN(P121/I121*H121,-2))),IF((P121*Q113)&lt;10,INT(P121*Q113),IF((P121*Q113)&lt;10000,ROUNDDOWN(P121*Q113,-1),ROUNDDOWN(P121*Q113,-2)))))</f>
        <v/>
      </c>
    </row>
    <row r="122" spans="1:17" s="18" customFormat="1" ht="20.100000000000001" customHeight="1">
      <c r="A122" s="267"/>
      <c r="B122" s="268"/>
      <c r="C122" s="269"/>
      <c r="D122" s="270"/>
      <c r="E122" s="271"/>
      <c r="F122" s="272"/>
      <c r="G122" s="273"/>
      <c r="H122" s="326"/>
      <c r="I122" s="274"/>
      <c r="J122" s="275"/>
      <c r="K122" s="269"/>
      <c r="L122" s="270"/>
      <c r="M122" s="271"/>
      <c r="N122" s="272"/>
      <c r="O122" s="273"/>
      <c r="P122" s="274"/>
      <c r="Q122" s="276" t="str">
        <f>IF(P122="","",IF(I122&lt;&gt;"",IF((P122/I122*H122)&lt;10,INT(P122/I122*H122),IF((P122/I122*H122)&lt;10000,ROUNDDOWN(P122/I122*H122,-1),ROUNDDOWN(P122/I122*H122,-2))),IF((P122*Q113)&lt;10,INT(P122*Q113),IF((P122*Q113)&lt;10000,ROUNDDOWN(P122*Q113,-1),ROUNDDOWN(P122*Q113,-2)))))</f>
        <v/>
      </c>
    </row>
    <row r="123" spans="1:17" s="18" customFormat="1" ht="20.100000000000001" customHeight="1">
      <c r="A123" s="267"/>
      <c r="B123" s="268"/>
      <c r="C123" s="269"/>
      <c r="D123" s="270"/>
      <c r="E123" s="271"/>
      <c r="F123" s="272"/>
      <c r="G123" s="273"/>
      <c r="H123" s="326"/>
      <c r="I123" s="274"/>
      <c r="J123" s="275"/>
      <c r="K123" s="269"/>
      <c r="L123" s="270"/>
      <c r="M123" s="271"/>
      <c r="N123" s="272"/>
      <c r="O123" s="273"/>
      <c r="P123" s="274"/>
      <c r="Q123" s="276" t="str">
        <f>IF(P123="","",IF(I123&lt;&gt;"",IF((P123/I123*H123)&lt;10,INT(P123/I123*H123),IF((P123/I123*H123)&lt;10000,ROUNDDOWN(P123/I123*H123,-1),ROUNDDOWN(P123/I123*H123,-2))),IF((P123*Q113)&lt;10,INT(P123*Q113),IF((P123*Q113)&lt;10000,ROUNDDOWN(P123*Q113,-1),ROUNDDOWN(P123*Q113,-2)))))</f>
        <v/>
      </c>
    </row>
    <row r="124" spans="1:17" s="18" customFormat="1" ht="20.100000000000001" customHeight="1">
      <c r="A124" s="267"/>
      <c r="B124" s="268"/>
      <c r="C124" s="269"/>
      <c r="D124" s="270"/>
      <c r="E124" s="271"/>
      <c r="F124" s="272"/>
      <c r="G124" s="273"/>
      <c r="H124" s="326"/>
      <c r="I124" s="274"/>
      <c r="J124" s="275"/>
      <c r="K124" s="269"/>
      <c r="L124" s="270"/>
      <c r="M124" s="271"/>
      <c r="N124" s="272"/>
      <c r="O124" s="273"/>
      <c r="P124" s="274"/>
      <c r="Q124" s="276" t="str">
        <f>IF(P124="","",IF(I124&lt;&gt;"",IF((P124/I124*H124)&lt;10,INT(P124/I124*H124),IF((P124/I124*H124)&lt;10000,ROUNDDOWN(P124/I124*H124,-1),ROUNDDOWN(P124/I124*H124,-2))),IF((P124*Q113)&lt;10,INT(P124*Q113),IF((P124*Q113)&lt;10000,ROUNDDOWN(P124*Q113,-1),ROUNDDOWN(P124*Q113,-2)))))</f>
        <v/>
      </c>
    </row>
    <row r="125" spans="1:17" s="18" customFormat="1" ht="20.100000000000001" customHeight="1">
      <c r="A125" s="267"/>
      <c r="B125" s="268"/>
      <c r="C125" s="269"/>
      <c r="D125" s="270"/>
      <c r="E125" s="271"/>
      <c r="F125" s="272"/>
      <c r="G125" s="273"/>
      <c r="H125" s="326"/>
      <c r="I125" s="274"/>
      <c r="J125" s="275"/>
      <c r="K125" s="269"/>
      <c r="L125" s="270"/>
      <c r="M125" s="271"/>
      <c r="N125" s="272"/>
      <c r="O125" s="273"/>
      <c r="P125" s="274"/>
      <c r="Q125" s="276" t="str">
        <f>IF(P125="","",IF(I125&lt;&gt;"",IF((P125/I125*H125)&lt;10,INT(P125/I125*H125),IF((P125/I125*H125)&lt;10000,ROUNDDOWN(P125/I125*H125,-1),ROUNDDOWN(P125/I125*H125,-2))),IF((P125*Q113)&lt;10,INT(P125*Q113),IF((P125*Q113)&lt;10000,ROUNDDOWN(P125*Q113,-1),ROUNDDOWN(P125*Q113,-2)))))</f>
        <v/>
      </c>
    </row>
    <row r="126" spans="1:17" s="18" customFormat="1" ht="20.100000000000001" customHeight="1">
      <c r="A126" s="267"/>
      <c r="B126" s="268"/>
      <c r="C126" s="269"/>
      <c r="D126" s="270"/>
      <c r="E126" s="271"/>
      <c r="F126" s="272"/>
      <c r="G126" s="273"/>
      <c r="H126" s="326"/>
      <c r="I126" s="274"/>
      <c r="J126" s="275"/>
      <c r="K126" s="269"/>
      <c r="L126" s="270"/>
      <c r="M126" s="271"/>
      <c r="N126" s="272"/>
      <c r="O126" s="273"/>
      <c r="P126" s="274"/>
      <c r="Q126" s="276" t="str">
        <f>IF(P126="","",IF(I126&lt;&gt;"",IF((P126/I126*H126)&lt;10,INT(P126/I126*H126),IF((P126/I126*H126)&lt;10000,ROUNDDOWN(P126/I126*H126,-1),ROUNDDOWN(P126/I126*H126,-2))),IF((P126*Q113)&lt;10,INT(P126*Q113),IF((P126*Q113)&lt;10000,ROUNDDOWN(P126*Q113,-1),ROUNDDOWN(P126*Q113,-2)))))</f>
        <v/>
      </c>
    </row>
    <row r="127" spans="1:17" s="18" customFormat="1" ht="20.100000000000001" customHeight="1">
      <c r="A127" s="267"/>
      <c r="B127" s="268"/>
      <c r="C127" s="269"/>
      <c r="D127" s="270"/>
      <c r="E127" s="271"/>
      <c r="F127" s="272"/>
      <c r="G127" s="273"/>
      <c r="H127" s="326"/>
      <c r="I127" s="274"/>
      <c r="J127" s="275"/>
      <c r="K127" s="269"/>
      <c r="L127" s="270"/>
      <c r="M127" s="271"/>
      <c r="N127" s="272"/>
      <c r="O127" s="273"/>
      <c r="P127" s="274"/>
      <c r="Q127" s="276" t="str">
        <f>IF(P127="","",IF(I127&lt;&gt;"",IF((P127/I127*H127)&lt;10,INT(P127/I127*H127),IF((P127/I127*H127)&lt;10000,ROUNDDOWN(P127/I127*H127,-1),ROUNDDOWN(P127/I127*H127,-2))),IF((P127*Q113)&lt;10,INT(P127*Q113),IF((P127*Q113)&lt;10000,ROUNDDOWN(P127*Q113,-1),ROUNDDOWN(P127*Q113,-2)))))</f>
        <v/>
      </c>
    </row>
    <row r="128" spans="1:17" s="18" customFormat="1" ht="20.100000000000001" customHeight="1">
      <c r="A128" s="267"/>
      <c r="B128" s="268"/>
      <c r="C128" s="269"/>
      <c r="D128" s="270"/>
      <c r="E128" s="271"/>
      <c r="F128" s="272"/>
      <c r="G128" s="273"/>
      <c r="H128" s="326"/>
      <c r="I128" s="274"/>
      <c r="J128" s="275"/>
      <c r="K128" s="269"/>
      <c r="L128" s="270"/>
      <c r="M128" s="271"/>
      <c r="N128" s="272"/>
      <c r="O128" s="273"/>
      <c r="P128" s="274"/>
      <c r="Q128" s="276" t="str">
        <f>IF(P128="","",IF(I128&lt;&gt;"",IF((P128/I128*H128)&lt;10,INT(P128/I128*H128),IF((P128/I128*H128)&lt;10000,ROUNDDOWN(P128/I128*H128,-1),ROUNDDOWN(P128/I128*H128,-2))),IF((P128*Q113)&lt;10,INT(P128*Q113),IF((P128*Q113)&lt;10000,ROUNDDOWN(P128*Q113,-1),ROUNDDOWN(P128*Q113,-2)))))</f>
        <v/>
      </c>
    </row>
    <row r="129" spans="1:17" s="18" customFormat="1" ht="20.100000000000001" customHeight="1">
      <c r="A129" s="267"/>
      <c r="B129" s="268"/>
      <c r="C129" s="269"/>
      <c r="D129" s="270"/>
      <c r="E129" s="271"/>
      <c r="F129" s="272"/>
      <c r="G129" s="273"/>
      <c r="H129" s="326"/>
      <c r="I129" s="274"/>
      <c r="J129" s="275"/>
      <c r="K129" s="269"/>
      <c r="L129" s="270"/>
      <c r="M129" s="271"/>
      <c r="N129" s="272"/>
      <c r="O129" s="273"/>
      <c r="P129" s="274"/>
      <c r="Q129" s="276" t="str">
        <f>IF(P129="","",IF(I129&lt;&gt;"",IF((P129/I129*H129)&lt;10,INT(P129/I129*H129),IF((P129/I129*H129)&lt;10000,ROUNDDOWN(P129/I129*H129,-1),ROUNDDOWN(P129/I129*H129,-2))),IF((P129*Q113)&lt;10,INT(P129*Q113),IF((P129*Q113)&lt;10000,ROUNDDOWN(P129*Q113,-1),ROUNDDOWN(P129*Q113,-2)))))</f>
        <v/>
      </c>
    </row>
    <row r="130" spans="1:17" s="18" customFormat="1" ht="20.100000000000001" customHeight="1">
      <c r="A130" s="267"/>
      <c r="B130" s="268"/>
      <c r="C130" s="269"/>
      <c r="D130" s="270"/>
      <c r="E130" s="271"/>
      <c r="F130" s="272"/>
      <c r="G130" s="273"/>
      <c r="H130" s="326"/>
      <c r="I130" s="274"/>
      <c r="J130" s="275"/>
      <c r="K130" s="269"/>
      <c r="L130" s="270"/>
      <c r="M130" s="271"/>
      <c r="N130" s="272"/>
      <c r="O130" s="273"/>
      <c r="P130" s="274"/>
      <c r="Q130" s="276" t="str">
        <f>IF(P130="","",IF(I130&lt;&gt;"",IF((P130/I130*H130)&lt;10,INT(P130/I130*H130),IF((P130/I130*H130)&lt;10000,ROUNDDOWN(P130/I130*H130,-1),ROUNDDOWN(P130/I130*H130,-2))),IF((P130*Q113)&lt;10,INT(P130*Q113),IF((P130*Q113)&lt;10000,ROUNDDOWN(P130*Q113,-1),ROUNDDOWN(P130*Q113,-2)))))</f>
        <v/>
      </c>
    </row>
    <row r="131" spans="1:17" s="18" customFormat="1" ht="20.100000000000001" customHeight="1">
      <c r="A131" s="267"/>
      <c r="B131" s="268"/>
      <c r="C131" s="269"/>
      <c r="D131" s="270"/>
      <c r="E131" s="271"/>
      <c r="F131" s="272"/>
      <c r="G131" s="273"/>
      <c r="H131" s="326"/>
      <c r="I131" s="274"/>
      <c r="J131" s="275"/>
      <c r="K131" s="269"/>
      <c r="L131" s="270"/>
      <c r="M131" s="271"/>
      <c r="N131" s="272"/>
      <c r="O131" s="273"/>
      <c r="P131" s="274"/>
      <c r="Q131" s="276" t="str">
        <f>IF(P131="","",IF(I131&lt;&gt;"",IF((P131/I131*H131)&lt;10,INT(P131/I131*H131),IF((P131/I131*H131)&lt;10000,ROUNDDOWN(P131/I131*H131,-1),ROUNDDOWN(P131/I131*H131,-2))),IF((P131*Q113)&lt;10,INT(P131*Q113),IF((P131*Q113)&lt;10000,ROUNDDOWN(P131*Q113,-1),ROUNDDOWN(P131*Q113,-2)))))</f>
        <v/>
      </c>
    </row>
    <row r="132" spans="1:17" s="18" customFormat="1" ht="20.100000000000001" customHeight="1">
      <c r="A132" s="267"/>
      <c r="B132" s="268"/>
      <c r="C132" s="269"/>
      <c r="D132" s="270"/>
      <c r="E132" s="271"/>
      <c r="F132" s="272"/>
      <c r="G132" s="273"/>
      <c r="H132" s="326"/>
      <c r="I132" s="274"/>
      <c r="J132" s="275"/>
      <c r="K132" s="269"/>
      <c r="L132" s="270"/>
      <c r="M132" s="271"/>
      <c r="N132" s="272"/>
      <c r="O132" s="273"/>
      <c r="P132" s="274"/>
      <c r="Q132" s="276" t="str">
        <f>IF(P132="","",IF(I132&lt;&gt;"",IF((P132/I132*H132)&lt;10,INT(P132/I132*H132),IF((P132/I132*H132)&lt;10000,ROUNDDOWN(P132/I132*H132,-1),ROUNDDOWN(P132/I132*H132,-2))),IF((P132*Q113)&lt;10,INT(P132*Q113),IF((P132*Q113)&lt;10000,ROUNDDOWN(P132*Q113,-1),ROUNDDOWN(P132*Q113,-2)))))</f>
        <v/>
      </c>
    </row>
    <row r="133" spans="1:17" s="18" customFormat="1" ht="20.100000000000001" customHeight="1">
      <c r="A133" s="267"/>
      <c r="B133" s="268"/>
      <c r="C133" s="269"/>
      <c r="D133" s="270"/>
      <c r="E133" s="271"/>
      <c r="F133" s="272"/>
      <c r="G133" s="273"/>
      <c r="H133" s="326"/>
      <c r="I133" s="274"/>
      <c r="J133" s="275"/>
      <c r="K133" s="269"/>
      <c r="L133" s="270"/>
      <c r="M133" s="271"/>
      <c r="N133" s="272"/>
      <c r="O133" s="273"/>
      <c r="P133" s="274"/>
      <c r="Q133" s="276" t="str">
        <f>IF(P133="","",IF(I133&lt;&gt;"",IF((P133/I133*H133)&lt;10,INT(P133/I133*H133),IF((P133/I133*H133)&lt;10000,ROUNDDOWN(P133/I133*H133,-1),ROUNDDOWN(P133/I133*H133,-2))),IF((P133*Q113)&lt;10,INT(P133*Q113),IF((P133*Q113)&lt;10000,ROUNDDOWN(P133*Q113,-1),ROUNDDOWN(P133*Q113,-2)))))</f>
        <v/>
      </c>
    </row>
    <row r="134" spans="1:17" s="18" customFormat="1" ht="20.100000000000001" customHeight="1">
      <c r="A134" s="267"/>
      <c r="B134" s="268"/>
      <c r="C134" s="269"/>
      <c r="D134" s="270"/>
      <c r="E134" s="271"/>
      <c r="F134" s="272"/>
      <c r="G134" s="273"/>
      <c r="H134" s="326"/>
      <c r="I134" s="274"/>
      <c r="J134" s="275"/>
      <c r="K134" s="269"/>
      <c r="L134" s="270"/>
      <c r="M134" s="271"/>
      <c r="N134" s="272"/>
      <c r="O134" s="273"/>
      <c r="P134" s="274"/>
      <c r="Q134" s="276" t="str">
        <f>IF(P134="","",IF(I134&lt;&gt;"",IF((P134/I134*H134)&lt;10,INT(P134/I134*H134),IF((P134/I134*H134)&lt;10000,ROUNDDOWN(P134/I134*H134,-1),ROUNDDOWN(P134/I134*H134,-2))),IF((P134*Q113)&lt;10,INT(P134*Q113),IF((P134*Q113)&lt;10000,ROUNDDOWN(P134*Q113,-1),ROUNDDOWN(P134*Q113,-2)))))</f>
        <v/>
      </c>
    </row>
    <row r="135" spans="1:17" s="18" customFormat="1" ht="20.100000000000001" customHeight="1" thickBot="1">
      <c r="A135" s="277"/>
      <c r="B135" s="278"/>
      <c r="C135" s="279"/>
      <c r="D135" s="280"/>
      <c r="E135" s="281"/>
      <c r="F135" s="282"/>
      <c r="G135" s="283"/>
      <c r="H135" s="327"/>
      <c r="I135" s="284"/>
      <c r="J135" s="285"/>
      <c r="K135" s="279"/>
      <c r="L135" s="280"/>
      <c r="M135" s="281"/>
      <c r="N135" s="282"/>
      <c r="O135" s="283"/>
      <c r="P135" s="284"/>
      <c r="Q135" s="286" t="str">
        <f>IF(P135="","",IF(I135&lt;&gt;"",IF((P135/I135*H135)&lt;10,INT(P135/I135*H135),IF((P135/I135*H135)&lt;10000,ROUNDDOWN(P135/I135*H135,-1),ROUNDDOWN(P135/I135*H135,-2))),IF((P135*Q113)&lt;10,INT(P135*Q113),IF((P135*Q113)&lt;10000,ROUNDDOWN(P135*Q113,-1),ROUNDDOWN(P135*Q113,-2)))))</f>
        <v/>
      </c>
    </row>
    <row r="136" spans="1:17" s="18" customFormat="1" ht="20.100000000000001" customHeight="1">
      <c r="A136" s="22"/>
      <c r="B136" s="22"/>
      <c r="C136" s="22"/>
      <c r="G136" s="22"/>
      <c r="H136" s="30"/>
      <c r="I136" s="30"/>
      <c r="J136" s="22"/>
      <c r="K136" s="22"/>
      <c r="N136" s="18" t="str">
        <f>IF(A140="","EOL","")</f>
        <v>EOL</v>
      </c>
      <c r="O136" s="30">
        <f>+O109+1</f>
        <v>1</v>
      </c>
      <c r="Q136" s="30"/>
    </row>
  </sheetData>
  <mergeCells count="15">
    <mergeCell ref="D111:G111"/>
    <mergeCell ref="J111:Q111"/>
    <mergeCell ref="F112:G112"/>
    <mergeCell ref="J112:Q112"/>
    <mergeCell ref="N82:O82"/>
    <mergeCell ref="L82:M82"/>
    <mergeCell ref="H82:I82"/>
    <mergeCell ref="J82:K82"/>
    <mergeCell ref="A110:L110"/>
    <mergeCell ref="N110:P110"/>
    <mergeCell ref="J52:L52"/>
    <mergeCell ref="C50:L50"/>
    <mergeCell ref="A81:M81"/>
    <mergeCell ref="J51:L51"/>
    <mergeCell ref="O50:AH50"/>
  </mergeCells>
  <phoneticPr fontId="3"/>
  <dataValidations count="45">
    <dataValidation type="custom" allowBlank="1" showInputMessage="1" showErrorMessage="1" errorTitle="全体での比較する時のみ記入" error="各項目の元設計比較欄に金額が記入されています。_x000a_どちらかしか記入できません。" promptTitle="今回業者が元設計見積業者に含まれる時のみ記入" prompt="各項目で比較する場合、無記入。_x000a__x000a_変更見積業者が元設計業者に含まれる場合、_x000a_元設計の今回変更業者の調整前合計金額を記入。" sqref="I112">
      <formula1>IF(SUM(H115:I135)&gt;0,I112=0,TRUE)</formula1>
    </dataValidation>
    <dataValidation type="custom" allowBlank="1" showInputMessage="1" showErrorMessage="1" errorTitle="各項目での比較時のみ記入" error="採用業者全体金額が記入されています。_x000a_どちらかしか記入できません。" sqref="I135">
      <formula1>IF(SUM(H112:I112)&gt;0,I135=0,TRUE)</formula1>
    </dataValidation>
    <dataValidation type="custom" allowBlank="1" showInputMessage="1" showErrorMessage="1" errorTitle="各項目での比較時のみ記入" error="採用業者全体金額が記入されています。_x000a_どちらかしか記入できません。" sqref="H135">
      <formula1>IF(SUM(H112:I112)&gt;0,H135=0,TRUE)</formula1>
    </dataValidation>
    <dataValidation type="custom" allowBlank="1" showInputMessage="1" showErrorMessage="1" errorTitle="各項目での比較時のみ記入" error="採用業者全体金額が記入されています。_x000a_どちらかしか記入できません。" sqref="I134">
      <formula1>IF(SUM(H112:I112)&gt;0,I134=0,TRUE)</formula1>
    </dataValidation>
    <dataValidation type="custom" allowBlank="1" showInputMessage="1" showErrorMessage="1" errorTitle="各項目での比較時のみ記入" error="採用業者全体金額が記入されています。_x000a_どちらかしか記入できません。" sqref="H134">
      <formula1>IF(SUM(H112:I112)&gt;0,H134=0,TRUE)</formula1>
    </dataValidation>
    <dataValidation type="custom" allowBlank="1" showInputMessage="1" showErrorMessage="1" errorTitle="各項目での比較時のみ記入" error="採用業者全体金額が記入されています。_x000a_どちらかしか記入できません。" sqref="I133">
      <formula1>IF(SUM(H112:I112)&gt;0,I133=0,TRUE)</formula1>
    </dataValidation>
    <dataValidation type="custom" allowBlank="1" showInputMessage="1" showErrorMessage="1" errorTitle="各項目での比較時のみ記入" error="採用業者全体金額が記入されています。_x000a_どちらかしか記入できません。" sqref="H133">
      <formula1>IF(SUM(H112:I112)&gt;0,H133=0,TRUE)</formula1>
    </dataValidation>
    <dataValidation type="custom" allowBlank="1" showInputMessage="1" showErrorMessage="1" errorTitle="各項目での比較時のみ記入" error="採用業者全体金額が記入されています。_x000a_どちらかしか記入できません。" sqref="I132">
      <formula1>IF(SUM(H112:I112)&gt;0,I132=0,TRUE)</formula1>
    </dataValidation>
    <dataValidation type="custom" allowBlank="1" showInputMessage="1" showErrorMessage="1" errorTitle="各項目での比較時のみ記入" error="採用業者全体金額が記入されています。_x000a_どちらかしか記入できません。" sqref="H132">
      <formula1>IF(SUM(H112:I112)&gt;0,H132=0,TRUE)</formula1>
    </dataValidation>
    <dataValidation type="custom" allowBlank="1" showInputMessage="1" showErrorMessage="1" errorTitle="各項目での比較時のみ記入" error="採用業者全体金額が⻰ᰠ_x0000__x0000_u_x0000__x0016__x0010__x0000__x0000_㿿_x0000_￩_xffff__x0000__x0000_記入できません。" sqref="I131">
      <formula1>IF(SUM(H112:I112)&gt;0,I131=0,TRUE)</formula1>
    </dataValidation>
    <dataValidation type="custom" allowBlank="1" showInputMessage="1" showErrorMessage="1" errorTitle="各項目での比較時のみ記入" error="採用業者全体金額が記入されています。_x000a_どちらかしか記入できません。" sqref="H131">
      <formula1>IF(SUM(H112:I112)&gt;0,H131=0,TRUE)</formula1>
    </dataValidation>
    <dataValidation type="custom" allowBlank="1" showInputMessage="1" showErrorMessage="1" errorTitle="各項目での比較時のみ記入" error="採用業者全体金額が記入されています。_x000a_どちらかしか記入できません。" sqref="I130">
      <formula1>IF(SUM(H112:I112)&gt;0,I130=0,TRUE)</formula1>
    </dataValidation>
    <dataValidation type="custom" allowBlank="1" showInputMessage="1" showErrorMessage="1" errorTitle="各項目での比較時のみ記入" error="採用業者全体金額が記入されています。_x000a_どちらかしか記入できません。" sqref="H130">
      <formula1>IF(SUM(H112:I112)&gt;0,H130=0,TRUE)</formula1>
    </dataValidation>
    <dataValidation type="custom" allowBlank="1" showInputMessage="1" showErrorMessage="1" errorTitle="各項目での比較時のみ記入" error="採用業者全体金額が記入されています。_x000a_どちらかしか記入できません。" sqref="I129">
      <formula1>IF(SUM(H112:I112)&gt;0,I129=0,TRUE)</formula1>
    </dataValidation>
    <dataValidation type="custom" allowBlank="1" showInputMessage="1" showErrorMessage="1" errorTitle="各項目での比較時のみ記入" error="採用業者全体金額が記入されています。_x000a_どちらかしか記入できません。" sqref="H129">
      <formula1>IF(SUM(H112:I112)&gt;0,H129=0,TRUE)</formula1>
    </dataValidation>
    <dataValidation type="custom" allowBlank="1" showInputMessage="1" showErrorMessage="1" errorTitle="各項目での比較時のみ記入" error="採用業者全体金額が記入されています。_x000a_どちらかしか記入できません。" sqref="I128">
      <formula1>IF(SUM(H112:I112)&gt;0,I128=0,TRUE)</formula1>
    </dataValidation>
    <dataValidation type="custom" allowBlank="1" showInputMessage="1" showErrorMessage="1" errorTitle="各項目での比較時のみ記入" error="採用業者全体金額が醰ᔃ_x0000__x0000_u_x0000__x0016__x0010__x0000__x0000_㿿_x0000_￩_xffff__x0000__x0000_記入できません。" sqref="H128">
      <formula1>IF(SUM(H112:I112)&gt;0,H128=0,TRUE)</formula1>
    </dataValidation>
    <dataValidation type="custom" allowBlank="1" showInputMessage="1" showErrorMessage="1" errorTitle="各項目での比較時のみ記入" error="採用業者全体金額が記入されています。_x000a_どちらかしか記入できません。" sqref="I127">
      <formula1>IF(SUM(H112:I112)&gt;0,I127=0,TRUE)</formula1>
    </dataValidation>
    <dataValidation type="custom" allowBlank="1" showInputMessage="1" showErrorMessage="1" errorTitle="各項目での比較時のみ記入" error="採用業者全体金額が記入されています。_x000a_どちらかしか記入できません。" sqref="H127">
      <formula1>IF(SUM(H112:I112)&gt;0,H127=0,TRUE)</formula1>
    </dataValidation>
    <dataValidation type="custom" allowBlank="1" showInputMessage="1" showErrorMessage="1" errorTitle="各項目での比較時のみ記入" error="採用業者全体金額が記入されています。_x000a_どちらかしか記入できません。" sqref="I126">
      <formula1>IF(SUM(H112:I112)&gt;0,I126=0,TRUE)</formula1>
    </dataValidation>
    <dataValidation type="custom" allowBlank="1" showInputMessage="1" showErrorMessage="1" errorTitle="各項目での比較時のみ記入" error="採用業者全体金額が記入されています。_x000a_どちらかしか記入できません。" sqref="H126">
      <formula1>IF(SUM(H112:I112)&gt;0,H126=0,TRUE)</formula1>
    </dataValidation>
    <dataValidation type="custom" allowBlank="1" showInputMessage="1" showErrorMessage="1" errorTitle="各項目での比較時のみ記入" error="採用業者全体金額が記入されています。_x000a_どちらかしか記入できません。" sqref="I125">
      <formula1>IF(SUM(H112:I112)&gt;0,I125=0,TRUE)</formula1>
    </dataValidation>
    <dataValidation type="custom" allowBlank="1" showInputMessage="1" showErrorMessage="1" errorTitle="各項目での比較時のみ記入" error="採用業者全体金額が記入されています。_x000a_どちらかしか記入できません。" sqref="H125">
      <formula1>IF(SUM(H112:I112)&gt;0,H125=0,TRUE)</formula1>
    </dataValidation>
    <dataValidation type="custom" allowBlank="1" showInputMessage="1" showErrorMessage="1" errorTitle="各項目での比較時のみ記入" error="採用業者全体金額が記入されています。_x000a_どちらかしか記入できません。" sqref="I124">
      <formula1>IF(SUM(H112:I112)&gt;0,I124=0,TRUE)</formula1>
    </dataValidation>
    <dataValidation type="custom" allowBlank="1" showInputMessage="1" showErrorMessage="1" errorTitle="各項目での比較時のみ記入" error="採用業者全体金額が記入されています。_x000a_どちらかしか記入できません。" sqref="H124">
      <formula1>IF(SUM(H112:I112)&gt;0,H124=0,TRUE)</formula1>
    </dataValidation>
    <dataValidation type="custom" allowBlank="1" showInputMessage="1" showErrorMessage="1" errorTitle="各項目での比較時のみ記入" error="採用業者全体金額が記入されています。_x000a_どちらかしか記入できません。" sqref="I123">
      <formula1>IF(SUM(H112:I112)&gt;0,I123=0,TRUE)</formula1>
    </dataValidation>
    <dataValidation type="custom" allowBlank="1" showInputMessage="1" showErrorMessage="1" errorTitle="各項目での比較時のみ記入" error="採用業者全体金額が記入されています。_x000a_どちらかしか記入できません。" sqref="H123">
      <formula1>IF(SUM(H112:I112)&gt;0,H123=0,TRUE)</formula1>
    </dataValidation>
    <dataValidation type="custom" allowBlank="1" showInputMessage="1" showErrorMessage="1" errorTitle="各項目での比較時のみ記入" error="採用業者全体金額が記入されています。_x000a_どちらかしか記入できません。" sqref="I122">
      <formula1>IF(SUM(H112:I112)&gt;0,I122=0,TRUE)</formula1>
    </dataValidation>
    <dataValidation type="custom" allowBlank="1" showInputMessage="1" showErrorMessage="1" errorTitle="各項目での比較時のみ記入" error="採用業者全体金額が記入されています。_x000a_どちらかしか記入できません。" sqref="H122">
      <formula1>IF(SUM(H112:I112)&gt;0,H122=0,TRUE)</formula1>
    </dataValidation>
    <dataValidation type="custom" allowBlank="1" showInputMessage="1" showErrorMessage="1" errorTitle="各項目での比較時のみ記入" error="採用業者全体金額が記入されています。_x000a_どちらかしか記入できません。" sqref="I121">
      <formula1>IF(SUM(H112:I112)&gt;0,I121=0,TRUE)</formula1>
    </dataValidation>
    <dataValidation type="custom" allowBlank="1" showInputMessage="1" showErrorMessage="1" errorTitle="各項目での比較時のみ記入" error="採用業者全体金額が記入されています。_x000a_どちらかしか記入できません。" sqref="H121">
      <formula1>IF(SUM(H112:I112)&gt;0,H121=0,TRUE)</formula1>
    </dataValidation>
    <dataValidation type="custom" allowBlank="1" showInputMessage="1" showErrorMessage="1" errorTitle="各項目での比較時のみ記入" error="採用業者全体金額が記入されています。_x000a_どちらかしか記入できません。" sqref="I120">
      <formula1>IF(SUM(H112:I112)&gt;0,I120=0,TRUE)</formula1>
    </dataValidation>
    <dataValidation type="custom" allowBlank="1" showInputMessage="1" showErrorMessage="1" errorTitle="各項目での比較時のみ記入" error="採用業者全体金額が記入されています。_x000a_どちらかしか記入できません。" sqref="H120">
      <formula1>IF(SUM(H112:I112)&gt;0,H120=0,TRUE)</formula1>
    </dataValidation>
    <dataValidation type="custom" allowBlank="1" showInputMessage="1" showErrorMessage="1" errorTitle="各項目での比較時のみ記入" error="採用業者全体金額が記入されています。_x000a_どちらかしか記入できません。" sqref="I119">
      <formula1>IF(SUM(H112:I112)&gt;0,I119=0,TRUE)</formula1>
    </dataValidation>
    <dataValidation type="custom" allowBlank="1" showInputMessage="1" showErrorMessage="1" errorTitle="各項目での比較時のみ記入" error="採用業者全体金額が記入されています。_x000a_どちらかしか記入できません。" sqref="H119">
      <formula1>IF(SUM(H112:I112)&gt;0,H119=0,TRUE)</formula1>
    </dataValidation>
    <dataValidation type="custom" allowBlank="1" showInputMessage="1" showErrorMessage="1" errorTitle="各項目での比較時のみ記入" error="採用業者全体金額が記入されています。_x000a_どちらかしか記入できません。" sqref="I118">
      <formula1>IF(SUM(H112:I112)&gt;0,I118=0,TRUE)</formula1>
    </dataValidation>
    <dataValidation type="custom" allowBlank="1" showInputMessage="1" showErrorMessage="1" errorTitle="各項目での比較時のみ記入" error="採用業者全体金額が記入されています。_x000a_どちらかしか記入できません。" sqref="H118">
      <formula1>IF(SUM(H112:I112)&gt;0,H118=0,TRUE)</formula1>
    </dataValidation>
    <dataValidation type="custom" allowBlank="1" showInputMessage="1" showErrorMessage="1" errorTitle="各項目での比較時のみ記入" error="採用業者全体金額が記入されています。_x000a_どちらかしか記入できません。" sqref="H117">
      <formula1>IF(SUM(H112:I112)&gt;0,H117=0,TRUE)</formula1>
    </dataValidation>
    <dataValidation type="custom" allowBlank="1" showInputMessage="1" showErrorMessage="1" errorTitle="各項目での比較時のみ記入" error="採用業者全体金額が記入されています。_x000a_どちらかしか記入できません。" sqref="I117">
      <formula1>IF(SUM(H112:I112)&gt;0,I117=0,TRUE)</formula1>
    </dataValidation>
    <dataValidation type="custom" allowBlank="1" showInputMessage="1" showErrorMessage="1" errorTitle="各項目での比較時のみ記入" error="採用業者全体金額が記入されています。_x000a_どちらかしか記入できません。" sqref="I116">
      <formula1>IF(SUM(H112:I112)&gt;0,I116=0,TRUE)</formula1>
    </dataValidation>
    <dataValidation type="custom" allowBlank="1" showInputMessage="1" showErrorMessage="1" errorTitle="各項目での比較時のみ記入" error="採用業者全体金額が記入されています。_x000a_どちらかしか記入できません。" sqref="H116">
      <formula1>IF(SUM(H112:I112)&gt;0,H116=0,TRUE)</formula1>
    </dataValidation>
    <dataValidation type="custom" allowBlank="1" showInputMessage="1" showErrorMessage="1" errorTitle="各項目での比較時のみ記入" error="採用業者全体金額が∻_x0000__x0000__x0019__x0000__x0016__x0010__x0000__x0000_㿿_x0000_￩_xffff__x0000__x0000_記入できません。" sqref="I115">
      <formula1>IF(SUM(H112:I112)&gt;0,I115=0,TRUE)</formula1>
    </dataValidation>
    <dataValidation type="custom" allowBlank="1" showInputMessage="1" showErrorMessage="1" errorTitle="各項目での比較時のみ記入" error="採用業者全体金額が記入されています。_x000a_どちらかしか記入できません。" sqref="H115">
      <formula1>IF(SUM(H112:I112)&gt;0,H115=0,TRUE)</formula1>
    </dataValidation>
    <dataValidation type="custom" allowBlank="1" showInputMessage="1" showErrorMessage="1" errorTitle="全体での比較する時のみ記入" error="各項目の元設計比較欄に金額が記入されています。_x000a_どちらかしか記入できません。" promptTitle="今回業者が元設計見積業者に含まれる時のみ記入" prompt="各項目で比較する場合、無記入。_x000a__x000a_変更見積業者が元設計業者に含まれる場合、_x000a_元設計の採用業者の調整前合計金額を記入。" sqref="H112">
      <formula1>IF(SUM(H115:I135)&gt;0,H112=0,TRUE)</formula1>
    </dataValidation>
    <dataValidation type="list" allowBlank="1" showInputMessage="1" showErrorMessage="1" prompt="費用/建物附属設備/工具・器具・備品の場合、選択してください。" sqref="N53:N70">
      <formula1>"【費用分類】,費用,　,【資産区分】,＜建物附属設備＞,エヤーカーテンまたはドアー自動開閉設備,アーケード又は日よけ設備（金属製）,アーケード又は日よけ設備（その他）,店舗用簡易設備,可動間仕切り-簡易なもの,可動間仕切り-その他,シャッター等（金属製）,シャッター等（その他）,　,＜工具・器具・備品＞,電照サイン（金属製）,非電照サイン（金属製）,電照広告（金属製）,非電照広告（金属製）,電気設備,非電照サイン（その他）,非電照広告（その他）,無人駐車管理装置,その他（金属製）,その他（その他）"</formula1>
    </dataValidation>
  </dataValidations>
  <pageMargins left="0.78700000000000003" right="0.78700000000000003" top="0.98399999999999999" bottom="0.98399999999999999" header="0.51200000000000001" footer="0.51200000000000001"/>
  <pageSetup paperSize="9" scale="88" orientation="portrait" horizontalDpi="300" verticalDpi="300" r:id="rId1"/>
  <headerFooter alignWithMargins="0"/>
  <colBreaks count="1" manualBreakCount="1">
    <brk id="11" max="1048575"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AI94"/>
  <sheetViews>
    <sheetView topLeftCell="A10" zoomScale="75" zoomScaleNormal="75" workbookViewId="0">
      <pane xSplit="13" topLeftCell="N1" activePane="topRight" state="frozen"/>
      <selection activeCell="A3" sqref="A3:H3"/>
      <selection pane="topRight" activeCell="I23" sqref="I23"/>
    </sheetView>
  </sheetViews>
  <sheetFormatPr defaultColWidth="6.625" defaultRowHeight="26.1" customHeight="1"/>
  <cols>
    <col min="1" max="2" width="2.625" style="6" customWidth="1"/>
    <col min="3" max="3" width="8.625" style="1" customWidth="1"/>
    <col min="4" max="4" width="28.625" style="1" customWidth="1"/>
    <col min="5" max="5" width="25" style="2" customWidth="1"/>
    <col min="6" max="6" width="10.625" style="1" customWidth="1"/>
    <col min="7" max="7" width="7.625" style="3" customWidth="1"/>
    <col min="8" max="8" width="11.625" style="4" customWidth="1"/>
    <col min="9" max="9" width="15.625" style="4" customWidth="1"/>
    <col min="10" max="12" width="9.625" style="1" customWidth="1"/>
    <col min="13" max="13" width="3.375" style="1" customWidth="1"/>
    <col min="14" max="14" width="19.875" style="6" customWidth="1"/>
    <col min="15" max="16" width="5.25" style="37" customWidth="1"/>
    <col min="17" max="34" width="5.25" style="1" customWidth="1"/>
    <col min="35" max="35" width="11.625" style="667" customWidth="1"/>
    <col min="36" max="16384" width="6.625" style="1"/>
  </cols>
  <sheetData>
    <row r="2" spans="1:35" ht="26.1" customHeight="1">
      <c r="C2" s="35" t="s">
        <v>16</v>
      </c>
      <c r="E2" s="34" t="s">
        <v>70</v>
      </c>
      <c r="F2" s="37">
        <v>0</v>
      </c>
      <c r="G2" s="1" t="s">
        <v>206</v>
      </c>
      <c r="H2" s="4">
        <f>表紙!H25</f>
        <v>11</v>
      </c>
      <c r="I2" s="4" t="s">
        <v>76</v>
      </c>
      <c r="J2" s="37">
        <f>VLOOKUP("EOL",$M$25:$N$65536,2,FALSE)</f>
        <v>3</v>
      </c>
    </row>
    <row r="3" spans="1:35" ht="26.1" customHeight="1" thickBot="1">
      <c r="C3" s="2169" t="s">
        <v>343</v>
      </c>
      <c r="D3" s="2169"/>
      <c r="E3" s="2169"/>
      <c r="F3" s="2169"/>
      <c r="G3" s="2169"/>
      <c r="H3" s="2169"/>
      <c r="I3" s="2169"/>
      <c r="J3" s="2169"/>
      <c r="K3" s="2169"/>
      <c r="L3" s="2169"/>
      <c r="O3" s="2232" t="s">
        <v>155</v>
      </c>
      <c r="P3" s="2232"/>
      <c r="Q3" s="2232"/>
      <c r="R3" s="2232"/>
      <c r="S3" s="2232"/>
      <c r="T3" s="2232"/>
      <c r="U3" s="2232"/>
      <c r="V3" s="2232"/>
      <c r="W3" s="2232"/>
      <c r="X3" s="2232"/>
      <c r="Y3" s="2232"/>
      <c r="Z3" s="2232"/>
      <c r="AA3" s="2232"/>
      <c r="AB3" s="2232"/>
      <c r="AC3" s="2232"/>
      <c r="AD3" s="2232"/>
      <c r="AE3" s="2232"/>
      <c r="AF3" s="2232"/>
      <c r="AG3" s="2232"/>
      <c r="AH3" s="2233"/>
      <c r="AI3" s="668"/>
    </row>
    <row r="4" spans="1:35" ht="42" customHeight="1">
      <c r="A4" s="5" t="s">
        <v>13</v>
      </c>
      <c r="B4" s="5" t="s">
        <v>10</v>
      </c>
      <c r="C4" s="120" t="s">
        <v>0</v>
      </c>
      <c r="D4" s="116"/>
      <c r="E4" s="117" t="s">
        <v>1</v>
      </c>
      <c r="F4" s="118" t="s">
        <v>2</v>
      </c>
      <c r="G4" s="118" t="s">
        <v>3</v>
      </c>
      <c r="H4" s="119" t="s">
        <v>4</v>
      </c>
      <c r="I4" s="119" t="s">
        <v>5</v>
      </c>
      <c r="J4" s="2172" t="s">
        <v>6</v>
      </c>
      <c r="K4" s="2173"/>
      <c r="L4" s="2174"/>
      <c r="O4" s="165" t="s">
        <v>87</v>
      </c>
      <c r="P4" s="359" t="s">
        <v>267</v>
      </c>
      <c r="Q4" s="291" t="s">
        <v>282</v>
      </c>
      <c r="R4" s="291" t="s">
        <v>229</v>
      </c>
      <c r="S4" s="291" t="s">
        <v>230</v>
      </c>
      <c r="T4" s="291" t="s">
        <v>245</v>
      </c>
      <c r="U4" s="291" t="s">
        <v>149</v>
      </c>
      <c r="V4" s="164" t="s">
        <v>148</v>
      </c>
      <c r="W4" s="291" t="s">
        <v>231</v>
      </c>
      <c r="X4" s="224" t="s">
        <v>232</v>
      </c>
      <c r="Y4" s="224" t="s">
        <v>233</v>
      </c>
      <c r="Z4" s="224" t="s">
        <v>234</v>
      </c>
      <c r="AA4" s="224" t="s">
        <v>235</v>
      </c>
      <c r="AB4" s="224" t="s">
        <v>277</v>
      </c>
      <c r="AC4" s="362" t="s">
        <v>286</v>
      </c>
      <c r="AD4" s="363" t="s">
        <v>287</v>
      </c>
      <c r="AE4" s="364" t="s">
        <v>151</v>
      </c>
      <c r="AF4" s="163" t="s">
        <v>154</v>
      </c>
      <c r="AG4" s="163" t="s">
        <v>152</v>
      </c>
      <c r="AH4" s="163" t="s">
        <v>153</v>
      </c>
      <c r="AI4" s="669"/>
    </row>
    <row r="5" spans="1:35" ht="24" customHeight="1">
      <c r="A5" s="7"/>
      <c r="B5" s="7"/>
      <c r="C5" s="121" t="str">
        <f>+C2</f>
        <v>○○工事の部</v>
      </c>
      <c r="D5" s="122"/>
      <c r="E5" s="106"/>
      <c r="F5" s="288"/>
      <c r="G5" s="123"/>
      <c r="H5" s="87" t="s">
        <v>12</v>
      </c>
      <c r="I5" s="87" t="s">
        <v>12</v>
      </c>
      <c r="J5" s="2226" t="str">
        <f ca="1">RIGHT(CELL("filename",A1),LEN(CELL("filename",A1))-FIND("]",CELL("filename",A1)))</f>
        <v>新規シート</v>
      </c>
      <c r="K5" s="2227"/>
      <c r="L5" s="2228"/>
      <c r="O5" s="231"/>
      <c r="P5" s="232"/>
      <c r="Q5" s="233"/>
      <c r="R5" s="233"/>
      <c r="S5" s="233"/>
      <c r="T5" s="233"/>
      <c r="U5" s="233"/>
      <c r="V5" s="233"/>
      <c r="W5" s="233"/>
      <c r="X5" s="234"/>
      <c r="Y5" s="234"/>
      <c r="Z5" s="234"/>
      <c r="AA5" s="234"/>
      <c r="AB5" s="234"/>
      <c r="AC5" s="233"/>
      <c r="AD5" s="365"/>
      <c r="AE5" s="366"/>
      <c r="AF5" s="233"/>
      <c r="AG5" s="233"/>
      <c r="AH5" s="233"/>
      <c r="AI5" s="670"/>
    </row>
    <row r="6" spans="1:35" s="37" customFormat="1" ht="24" customHeight="1">
      <c r="A6" s="36"/>
      <c r="B6" s="36"/>
      <c r="C6" s="194" t="s">
        <v>165</v>
      </c>
      <c r="D6" s="68"/>
      <c r="E6" s="109"/>
      <c r="F6" s="289"/>
      <c r="G6" s="125"/>
      <c r="H6" s="111"/>
      <c r="I6" s="111"/>
      <c r="J6" s="68"/>
      <c r="K6" s="68"/>
      <c r="L6" s="69"/>
      <c r="N6" s="665"/>
      <c r="O6" s="231"/>
      <c r="P6" s="232"/>
      <c r="Q6" s="233"/>
      <c r="R6" s="233"/>
      <c r="S6" s="233"/>
      <c r="T6" s="233"/>
      <c r="U6" s="233"/>
      <c r="V6" s="233"/>
      <c r="W6" s="233"/>
      <c r="X6" s="234"/>
      <c r="Y6" s="234"/>
      <c r="Z6" s="234"/>
      <c r="AA6" s="234"/>
      <c r="AB6" s="234"/>
      <c r="AC6" s="233"/>
      <c r="AD6" s="365"/>
      <c r="AE6" s="366"/>
      <c r="AF6" s="233"/>
      <c r="AG6" s="233"/>
      <c r="AH6" s="233"/>
      <c r="AI6" s="670"/>
    </row>
    <row r="7" spans="1:35" s="37" customFormat="1" ht="24" customHeight="1">
      <c r="A7" s="36"/>
      <c r="B7" s="36"/>
      <c r="C7" s="112"/>
      <c r="D7" s="68"/>
      <c r="E7" s="109"/>
      <c r="F7" s="289"/>
      <c r="G7" s="125"/>
      <c r="H7" s="111"/>
      <c r="I7" s="111"/>
      <c r="J7" s="68"/>
      <c r="K7" s="68"/>
      <c r="L7" s="69"/>
      <c r="N7" s="665"/>
      <c r="O7" s="231"/>
      <c r="P7" s="232"/>
      <c r="Q7" s="233"/>
      <c r="R7" s="233"/>
      <c r="S7" s="233"/>
      <c r="T7" s="233"/>
      <c r="U7" s="233"/>
      <c r="V7" s="233"/>
      <c r="W7" s="233"/>
      <c r="X7" s="234"/>
      <c r="Y7" s="234"/>
      <c r="Z7" s="234"/>
      <c r="AA7" s="234"/>
      <c r="AB7" s="234"/>
      <c r="AC7" s="233"/>
      <c r="AD7" s="365"/>
      <c r="AE7" s="366"/>
      <c r="AF7" s="233"/>
      <c r="AG7" s="233"/>
      <c r="AH7" s="233"/>
      <c r="AI7" s="670"/>
    </row>
    <row r="8" spans="1:35" s="37" customFormat="1" ht="24" customHeight="1">
      <c r="A8" s="36"/>
      <c r="B8" s="36"/>
      <c r="C8" s="112"/>
      <c r="D8" s="68"/>
      <c r="E8" s="109"/>
      <c r="F8" s="289"/>
      <c r="G8" s="125"/>
      <c r="H8" s="111"/>
      <c r="I8" s="111"/>
      <c r="J8" s="68"/>
      <c r="K8" s="68"/>
      <c r="L8" s="69"/>
      <c r="N8" s="665"/>
      <c r="O8" s="231"/>
      <c r="P8" s="232"/>
      <c r="Q8" s="233"/>
      <c r="R8" s="233"/>
      <c r="S8" s="233"/>
      <c r="T8" s="233"/>
      <c r="U8" s="233"/>
      <c r="V8" s="233"/>
      <c r="W8" s="233"/>
      <c r="X8" s="234"/>
      <c r="Y8" s="234"/>
      <c r="Z8" s="234"/>
      <c r="AA8" s="234"/>
      <c r="AB8" s="234"/>
      <c r="AC8" s="233"/>
      <c r="AD8" s="365"/>
      <c r="AE8" s="366"/>
      <c r="AF8" s="233"/>
      <c r="AG8" s="233"/>
      <c r="AH8" s="233"/>
      <c r="AI8" s="670"/>
    </row>
    <row r="9" spans="1:35" s="37" customFormat="1" ht="24" customHeight="1">
      <c r="A9" s="36"/>
      <c r="B9" s="36"/>
      <c r="C9" s="112"/>
      <c r="D9" s="68"/>
      <c r="E9" s="109"/>
      <c r="F9" s="289"/>
      <c r="G9" s="125"/>
      <c r="H9" s="111"/>
      <c r="I9" s="111"/>
      <c r="J9" s="68"/>
      <c r="K9" s="68"/>
      <c r="L9" s="69"/>
      <c r="N9" s="665"/>
      <c r="O9" s="231"/>
      <c r="P9" s="232"/>
      <c r="Q9" s="233"/>
      <c r="R9" s="233"/>
      <c r="S9" s="233"/>
      <c r="T9" s="233"/>
      <c r="U9" s="233"/>
      <c r="V9" s="233"/>
      <c r="W9" s="233"/>
      <c r="X9" s="234"/>
      <c r="Y9" s="234"/>
      <c r="Z9" s="234"/>
      <c r="AA9" s="234"/>
      <c r="AB9" s="234"/>
      <c r="AC9" s="233"/>
      <c r="AD9" s="365"/>
      <c r="AE9" s="366"/>
      <c r="AF9" s="233"/>
      <c r="AG9" s="233"/>
      <c r="AH9" s="233"/>
      <c r="AI9" s="670"/>
    </row>
    <row r="10" spans="1:35" s="37" customFormat="1" ht="24" customHeight="1">
      <c r="A10" s="36"/>
      <c r="B10" s="36"/>
      <c r="C10" s="112"/>
      <c r="D10" s="68"/>
      <c r="E10" s="109"/>
      <c r="F10" s="289"/>
      <c r="G10" s="125"/>
      <c r="H10" s="111"/>
      <c r="I10" s="111"/>
      <c r="J10" s="68"/>
      <c r="K10" s="68"/>
      <c r="L10" s="69"/>
      <c r="N10" s="665"/>
      <c r="O10" s="231"/>
      <c r="P10" s="232"/>
      <c r="Q10" s="233"/>
      <c r="R10" s="233"/>
      <c r="S10" s="233"/>
      <c r="T10" s="233"/>
      <c r="U10" s="233"/>
      <c r="V10" s="233"/>
      <c r="W10" s="233"/>
      <c r="X10" s="234"/>
      <c r="Y10" s="234"/>
      <c r="Z10" s="234"/>
      <c r="AA10" s="234"/>
      <c r="AB10" s="234"/>
      <c r="AC10" s="233"/>
      <c r="AD10" s="365"/>
      <c r="AE10" s="366"/>
      <c r="AF10" s="233"/>
      <c r="AG10" s="233"/>
      <c r="AH10" s="233"/>
      <c r="AI10" s="670"/>
    </row>
    <row r="11" spans="1:35" s="37" customFormat="1" ht="24" customHeight="1">
      <c r="A11" s="36"/>
      <c r="B11" s="36"/>
      <c r="C11" s="112"/>
      <c r="D11" s="68"/>
      <c r="E11" s="109"/>
      <c r="F11" s="289"/>
      <c r="G11" s="125"/>
      <c r="H11" s="111"/>
      <c r="I11" s="111"/>
      <c r="J11" s="68"/>
      <c r="K11" s="68"/>
      <c r="L11" s="69"/>
      <c r="N11" s="665"/>
      <c r="O11" s="231"/>
      <c r="P11" s="232"/>
      <c r="Q11" s="233"/>
      <c r="R11" s="233"/>
      <c r="S11" s="233"/>
      <c r="T11" s="233"/>
      <c r="U11" s="233"/>
      <c r="V11" s="233"/>
      <c r="W11" s="233"/>
      <c r="X11" s="234"/>
      <c r="Y11" s="234"/>
      <c r="Z11" s="234"/>
      <c r="AA11" s="234"/>
      <c r="AB11" s="234"/>
      <c r="AC11" s="233"/>
      <c r="AD11" s="365"/>
      <c r="AE11" s="366"/>
      <c r="AF11" s="233"/>
      <c r="AG11" s="233"/>
      <c r="AH11" s="233"/>
      <c r="AI11" s="670"/>
    </row>
    <row r="12" spans="1:35" s="37" customFormat="1" ht="24" customHeight="1">
      <c r="A12" s="36"/>
      <c r="B12" s="36"/>
      <c r="C12" s="112"/>
      <c r="D12" s="68"/>
      <c r="E12" s="109"/>
      <c r="F12" s="289"/>
      <c r="G12" s="125"/>
      <c r="H12" s="111"/>
      <c r="I12" s="111"/>
      <c r="J12" s="68"/>
      <c r="K12" s="68"/>
      <c r="L12" s="69"/>
      <c r="N12" s="665"/>
      <c r="O12" s="231"/>
      <c r="P12" s="232"/>
      <c r="Q12" s="233"/>
      <c r="R12" s="233"/>
      <c r="S12" s="233"/>
      <c r="T12" s="233"/>
      <c r="U12" s="233"/>
      <c r="V12" s="233"/>
      <c r="W12" s="233"/>
      <c r="X12" s="234"/>
      <c r="Y12" s="234"/>
      <c r="Z12" s="234"/>
      <c r="AA12" s="234"/>
      <c r="AB12" s="234"/>
      <c r="AC12" s="233"/>
      <c r="AD12" s="365"/>
      <c r="AE12" s="366"/>
      <c r="AF12" s="233"/>
      <c r="AG12" s="233"/>
      <c r="AH12" s="233"/>
      <c r="AI12" s="670"/>
    </row>
    <row r="13" spans="1:35" s="37" customFormat="1" ht="24" customHeight="1">
      <c r="A13" s="36"/>
      <c r="B13" s="36"/>
      <c r="C13" s="112"/>
      <c r="D13" s="68"/>
      <c r="E13" s="109"/>
      <c r="F13" s="289"/>
      <c r="G13" s="125"/>
      <c r="H13" s="111"/>
      <c r="I13" s="111"/>
      <c r="J13" s="68"/>
      <c r="K13" s="68"/>
      <c r="L13" s="69"/>
      <c r="N13" s="665"/>
      <c r="O13" s="231"/>
      <c r="P13" s="232"/>
      <c r="Q13" s="233"/>
      <c r="R13" s="233"/>
      <c r="S13" s="233"/>
      <c r="T13" s="233"/>
      <c r="U13" s="233"/>
      <c r="V13" s="233"/>
      <c r="W13" s="233"/>
      <c r="X13" s="234"/>
      <c r="Y13" s="234"/>
      <c r="Z13" s="234"/>
      <c r="AA13" s="234"/>
      <c r="AB13" s="234"/>
      <c r="AC13" s="233"/>
      <c r="AD13" s="365"/>
      <c r="AE13" s="366"/>
      <c r="AF13" s="233"/>
      <c r="AG13" s="233"/>
      <c r="AH13" s="233"/>
      <c r="AI13" s="670"/>
    </row>
    <row r="14" spans="1:35" s="37" customFormat="1" ht="24" customHeight="1">
      <c r="A14" s="36"/>
      <c r="B14" s="36"/>
      <c r="C14" s="112"/>
      <c r="D14" s="68"/>
      <c r="E14" s="109"/>
      <c r="F14" s="289"/>
      <c r="G14" s="125"/>
      <c r="H14" s="111"/>
      <c r="I14" s="111"/>
      <c r="J14" s="68"/>
      <c r="K14" s="68"/>
      <c r="L14" s="69"/>
      <c r="N14" s="665"/>
      <c r="O14" s="231"/>
      <c r="P14" s="232"/>
      <c r="Q14" s="233"/>
      <c r="R14" s="233"/>
      <c r="S14" s="233"/>
      <c r="T14" s="233"/>
      <c r="U14" s="233"/>
      <c r="V14" s="233"/>
      <c r="W14" s="233"/>
      <c r="X14" s="234"/>
      <c r="Y14" s="234"/>
      <c r="Z14" s="234"/>
      <c r="AA14" s="234"/>
      <c r="AB14" s="234"/>
      <c r="AC14" s="233"/>
      <c r="AD14" s="365"/>
      <c r="AE14" s="366"/>
      <c r="AF14" s="233"/>
      <c r="AG14" s="233"/>
      <c r="AH14" s="233"/>
      <c r="AI14" s="670"/>
    </row>
    <row r="15" spans="1:35" s="37" customFormat="1" ht="24" customHeight="1">
      <c r="A15" s="36"/>
      <c r="B15" s="36"/>
      <c r="C15" s="112"/>
      <c r="D15" s="68"/>
      <c r="E15" s="109"/>
      <c r="F15" s="289"/>
      <c r="G15" s="125"/>
      <c r="H15" s="111"/>
      <c r="I15" s="111"/>
      <c r="J15" s="68"/>
      <c r="K15" s="68"/>
      <c r="L15" s="69"/>
      <c r="N15" s="665"/>
      <c r="O15" s="231"/>
      <c r="P15" s="232"/>
      <c r="Q15" s="233"/>
      <c r="R15" s="233"/>
      <c r="S15" s="233"/>
      <c r="T15" s="233"/>
      <c r="U15" s="233"/>
      <c r="V15" s="233"/>
      <c r="W15" s="233"/>
      <c r="X15" s="234"/>
      <c r="Y15" s="234"/>
      <c r="Z15" s="234"/>
      <c r="AA15" s="234"/>
      <c r="AB15" s="234"/>
      <c r="AC15" s="233"/>
      <c r="AD15" s="365"/>
      <c r="AE15" s="366"/>
      <c r="AF15" s="233"/>
      <c r="AG15" s="233"/>
      <c r="AH15" s="233"/>
      <c r="AI15" s="670"/>
    </row>
    <row r="16" spans="1:35" s="37" customFormat="1" ht="24" customHeight="1">
      <c r="A16" s="36"/>
      <c r="B16" s="36"/>
      <c r="C16" s="112"/>
      <c r="D16" s="68" t="s">
        <v>67</v>
      </c>
      <c r="E16" s="109"/>
      <c r="F16" s="289"/>
      <c r="G16" s="125"/>
      <c r="H16" s="111"/>
      <c r="I16" s="111">
        <f>SUM(I7:I15)</f>
        <v>0</v>
      </c>
      <c r="J16" s="738" t="str">
        <f>IF(COUNTIF(N:N,"費用")=0,"","うち費用")</f>
        <v/>
      </c>
      <c r="K16" s="739" t="str">
        <f>IF(COUNTIF(N:N,"費用")=0,"",SUMIF(N:N,"費用",I:I))</f>
        <v/>
      </c>
      <c r="L16" s="69"/>
      <c r="N16" s="665"/>
      <c r="O16" s="231"/>
      <c r="P16" s="232"/>
      <c r="Q16" s="233"/>
      <c r="R16" s="233"/>
      <c r="S16" s="233"/>
      <c r="T16" s="233"/>
      <c r="U16" s="233"/>
      <c r="V16" s="233"/>
      <c r="W16" s="233"/>
      <c r="X16" s="234"/>
      <c r="Y16" s="234"/>
      <c r="Z16" s="234"/>
      <c r="AA16" s="234"/>
      <c r="AB16" s="234"/>
      <c r="AC16" s="233"/>
      <c r="AD16" s="365"/>
      <c r="AE16" s="366"/>
      <c r="AF16" s="233"/>
      <c r="AG16" s="233"/>
      <c r="AH16" s="233"/>
      <c r="AI16" s="670"/>
    </row>
    <row r="17" spans="1:35" s="37" customFormat="1" ht="24" customHeight="1">
      <c r="A17" s="36"/>
      <c r="B17" s="36"/>
      <c r="C17" s="112"/>
      <c r="D17" s="126"/>
      <c r="E17" s="109"/>
      <c r="F17" s="289"/>
      <c r="G17" s="125"/>
      <c r="H17" s="111"/>
      <c r="I17" s="111"/>
      <c r="J17" s="68"/>
      <c r="K17" s="68"/>
      <c r="L17" s="69"/>
      <c r="N17" s="665"/>
      <c r="O17" s="231"/>
      <c r="P17" s="232"/>
      <c r="Q17" s="233"/>
      <c r="R17" s="233"/>
      <c r="S17" s="233"/>
      <c r="T17" s="233"/>
      <c r="U17" s="233"/>
      <c r="V17" s="233"/>
      <c r="W17" s="233"/>
      <c r="X17" s="234"/>
      <c r="Y17" s="234"/>
      <c r="Z17" s="234"/>
      <c r="AA17" s="234"/>
      <c r="AB17" s="234"/>
      <c r="AC17" s="233"/>
      <c r="AD17" s="365"/>
      <c r="AE17" s="366"/>
      <c r="AF17" s="233"/>
      <c r="AG17" s="233"/>
      <c r="AH17" s="233"/>
      <c r="AI17" s="670"/>
    </row>
    <row r="18" spans="1:35" s="37" customFormat="1" ht="24" customHeight="1">
      <c r="A18" s="36"/>
      <c r="B18" s="36"/>
      <c r="C18" s="194" t="s">
        <v>166</v>
      </c>
      <c r="D18" s="68"/>
      <c r="E18" s="109"/>
      <c r="F18" s="289"/>
      <c r="G18" s="125"/>
      <c r="H18" s="111"/>
      <c r="I18" s="111"/>
      <c r="J18" s="68"/>
      <c r="K18" s="68"/>
      <c r="L18" s="69"/>
      <c r="N18" s="665"/>
      <c r="O18" s="231"/>
      <c r="P18" s="232"/>
      <c r="Q18" s="233"/>
      <c r="R18" s="233"/>
      <c r="S18" s="233"/>
      <c r="T18" s="233"/>
      <c r="U18" s="233"/>
      <c r="V18" s="233"/>
      <c r="W18" s="233"/>
      <c r="X18" s="234"/>
      <c r="Y18" s="234"/>
      <c r="Z18" s="234"/>
      <c r="AA18" s="234"/>
      <c r="AB18" s="234"/>
      <c r="AC18" s="233"/>
      <c r="AD18" s="365"/>
      <c r="AE18" s="366"/>
      <c r="AF18" s="233"/>
      <c r="AG18" s="233"/>
      <c r="AH18" s="233"/>
      <c r="AI18" s="670"/>
    </row>
    <row r="19" spans="1:35" s="37" customFormat="1" ht="24" customHeight="1">
      <c r="A19" s="36"/>
      <c r="B19" s="36"/>
      <c r="C19" s="112"/>
      <c r="D19" s="68" t="s">
        <v>169</v>
      </c>
      <c r="E19" s="109"/>
      <c r="F19" s="289">
        <v>1</v>
      </c>
      <c r="G19" s="125" t="s">
        <v>7</v>
      </c>
      <c r="H19" s="111"/>
      <c r="I19" s="111">
        <f>+I47</f>
        <v>0</v>
      </c>
      <c r="J19" s="68"/>
      <c r="K19" s="68"/>
      <c r="L19" s="69"/>
      <c r="N19" s="665"/>
      <c r="O19" s="231"/>
      <c r="P19" s="232"/>
      <c r="Q19" s="233"/>
      <c r="R19" s="233"/>
      <c r="S19" s="233"/>
      <c r="T19" s="233"/>
      <c r="U19" s="233"/>
      <c r="V19" s="233"/>
      <c r="W19" s="233"/>
      <c r="X19" s="234"/>
      <c r="Y19" s="234"/>
      <c r="Z19" s="234"/>
      <c r="AA19" s="234"/>
      <c r="AB19" s="234"/>
      <c r="AC19" s="233"/>
      <c r="AD19" s="365"/>
      <c r="AE19" s="366"/>
      <c r="AF19" s="233"/>
      <c r="AG19" s="233"/>
      <c r="AH19" s="233"/>
      <c r="AI19" s="670"/>
    </row>
    <row r="20" spans="1:35" s="37" customFormat="1" ht="24" customHeight="1">
      <c r="A20" s="36"/>
      <c r="B20" s="36"/>
      <c r="C20" s="112"/>
      <c r="D20" s="68" t="s">
        <v>3161</v>
      </c>
      <c r="E20" s="109"/>
      <c r="F20" s="289">
        <v>1</v>
      </c>
      <c r="G20" s="125" t="s">
        <v>7</v>
      </c>
      <c r="H20" s="111"/>
      <c r="I20" s="111"/>
      <c r="J20" s="195"/>
      <c r="K20" s="68"/>
      <c r="L20" s="69"/>
      <c r="N20" s="665"/>
      <c r="O20" s="231"/>
      <c r="P20" s="232"/>
      <c r="Q20" s="233"/>
      <c r="R20" s="233"/>
      <c r="S20" s="233"/>
      <c r="T20" s="233"/>
      <c r="U20" s="233"/>
      <c r="V20" s="233"/>
      <c r="W20" s="233"/>
      <c r="X20" s="234"/>
      <c r="Y20" s="234"/>
      <c r="Z20" s="234"/>
      <c r="AA20" s="234"/>
      <c r="AB20" s="234"/>
      <c r="AC20" s="233"/>
      <c r="AD20" s="365"/>
      <c r="AE20" s="366"/>
      <c r="AF20" s="233"/>
      <c r="AG20" s="233"/>
      <c r="AH20" s="233"/>
      <c r="AI20" s="670"/>
    </row>
    <row r="21" spans="1:35" s="37" customFormat="1" ht="24" customHeight="1">
      <c r="A21" s="36"/>
      <c r="B21" s="36"/>
      <c r="C21" s="112"/>
      <c r="D21" s="68" t="s">
        <v>3162</v>
      </c>
      <c r="E21" s="109"/>
      <c r="F21" s="289">
        <v>1</v>
      </c>
      <c r="G21" s="125" t="s">
        <v>3164</v>
      </c>
      <c r="H21" s="111"/>
      <c r="I21" s="111"/>
      <c r="J21" s="68"/>
      <c r="K21" s="68"/>
      <c r="L21" s="69"/>
      <c r="N21" s="665"/>
      <c r="O21" s="231"/>
      <c r="P21" s="232"/>
      <c r="Q21" s="233"/>
      <c r="R21" s="233"/>
      <c r="S21" s="233"/>
      <c r="T21" s="233"/>
      <c r="U21" s="233"/>
      <c r="V21" s="233"/>
      <c r="W21" s="233"/>
      <c r="X21" s="234"/>
      <c r="Y21" s="234"/>
      <c r="Z21" s="234"/>
      <c r="AA21" s="234"/>
      <c r="AB21" s="234"/>
      <c r="AC21" s="233"/>
      <c r="AD21" s="365"/>
      <c r="AE21" s="366"/>
      <c r="AF21" s="233"/>
      <c r="AG21" s="233"/>
      <c r="AH21" s="233"/>
      <c r="AI21" s="670"/>
    </row>
    <row r="22" spans="1:35" s="37" customFormat="1" ht="24" customHeight="1">
      <c r="A22" s="36"/>
      <c r="B22" s="36"/>
      <c r="C22" s="112"/>
      <c r="D22" s="68" t="s">
        <v>67</v>
      </c>
      <c r="E22" s="109"/>
      <c r="F22" s="289"/>
      <c r="G22" s="125"/>
      <c r="H22" s="111"/>
      <c r="I22" s="111">
        <f>SUM(I19:I21)</f>
        <v>0</v>
      </c>
      <c r="J22" s="68"/>
      <c r="K22" s="68"/>
      <c r="L22" s="69"/>
      <c r="N22" s="665"/>
      <c r="O22" s="231"/>
      <c r="P22" s="232"/>
      <c r="Q22" s="233"/>
      <c r="R22" s="233"/>
      <c r="S22" s="233"/>
      <c r="T22" s="233"/>
      <c r="U22" s="233"/>
      <c r="V22" s="233"/>
      <c r="W22" s="233"/>
      <c r="X22" s="234"/>
      <c r="Y22" s="234"/>
      <c r="Z22" s="234"/>
      <c r="AA22" s="234"/>
      <c r="AB22" s="234"/>
      <c r="AC22" s="233"/>
      <c r="AD22" s="365"/>
      <c r="AE22" s="366"/>
      <c r="AF22" s="233"/>
      <c r="AG22" s="233"/>
      <c r="AH22" s="233"/>
      <c r="AI22" s="670"/>
    </row>
    <row r="23" spans="1:35" s="37" customFormat="1" ht="24" customHeight="1">
      <c r="A23" s="36"/>
      <c r="B23" s="36"/>
      <c r="C23" s="112"/>
      <c r="D23" s="68"/>
      <c r="E23" s="109"/>
      <c r="F23" s="289"/>
      <c r="G23" s="125"/>
      <c r="H23" s="111"/>
      <c r="I23" s="111"/>
      <c r="J23" s="68"/>
      <c r="K23" s="68"/>
      <c r="L23" s="69"/>
      <c r="N23" s="665"/>
      <c r="O23" s="231"/>
      <c r="P23" s="232"/>
      <c r="Q23" s="233"/>
      <c r="R23" s="233"/>
      <c r="S23" s="233"/>
      <c r="T23" s="233"/>
      <c r="U23" s="233"/>
      <c r="V23" s="233"/>
      <c r="W23" s="233"/>
      <c r="X23" s="234"/>
      <c r="Y23" s="234"/>
      <c r="Z23" s="234"/>
      <c r="AA23" s="234"/>
      <c r="AB23" s="234"/>
      <c r="AC23" s="233"/>
      <c r="AD23" s="365"/>
      <c r="AE23" s="366"/>
      <c r="AF23" s="233"/>
      <c r="AG23" s="233"/>
      <c r="AH23" s="233"/>
      <c r="AI23" s="670"/>
    </row>
    <row r="24" spans="1:35" ht="24" customHeight="1" thickBot="1">
      <c r="A24" s="36"/>
      <c r="B24" s="36"/>
      <c r="C24" s="113"/>
      <c r="D24" s="99" t="s">
        <v>63</v>
      </c>
      <c r="E24" s="114"/>
      <c r="F24" s="290"/>
      <c r="G24" s="127"/>
      <c r="H24" s="128" t="s">
        <v>92</v>
      </c>
      <c r="I24" s="115">
        <f>+I22+I16</f>
        <v>0</v>
      </c>
      <c r="J24" s="99" t="s">
        <v>93</v>
      </c>
      <c r="K24" s="99"/>
      <c r="L24" s="129"/>
      <c r="O24" s="231"/>
      <c r="P24" s="232"/>
      <c r="Q24" s="233"/>
      <c r="R24" s="233"/>
      <c r="S24" s="233"/>
      <c r="T24" s="233"/>
      <c r="U24" s="233"/>
      <c r="V24" s="233"/>
      <c r="W24" s="233"/>
      <c r="X24" s="234"/>
      <c r="Y24" s="234"/>
      <c r="Z24" s="234"/>
      <c r="AA24" s="234"/>
      <c r="AB24" s="234"/>
      <c r="AC24" s="233"/>
      <c r="AD24" s="365"/>
      <c r="AE24" s="366"/>
      <c r="AF24" s="233"/>
      <c r="AG24" s="233"/>
      <c r="AH24" s="233"/>
      <c r="AI24" s="670"/>
    </row>
    <row r="25" spans="1:35" ht="14.25" customHeight="1">
      <c r="E25" s="130" t="s">
        <v>108</v>
      </c>
      <c r="F25" s="131">
        <f>+F2+1</f>
        <v>1</v>
      </c>
      <c r="G25" s="132" t="s">
        <v>109</v>
      </c>
      <c r="H25" s="133">
        <f>H2</f>
        <v>11</v>
      </c>
      <c r="M25" s="38" t="str">
        <f>IF(A27="","EOL","")</f>
        <v/>
      </c>
      <c r="N25" s="6">
        <f>+F25</f>
        <v>1</v>
      </c>
    </row>
    <row r="26" spans="1:35" ht="26.1" customHeight="1" thickBot="1">
      <c r="C26" s="2169" t="s">
        <v>343</v>
      </c>
      <c r="D26" s="2169"/>
      <c r="E26" s="2169"/>
      <c r="F26" s="2169"/>
      <c r="G26" s="2169"/>
      <c r="H26" s="2169"/>
      <c r="I26" s="2169"/>
      <c r="J26" s="2169"/>
      <c r="K26" s="2169"/>
      <c r="L26" s="2169"/>
      <c r="O26" s="2232" t="s">
        <v>155</v>
      </c>
      <c r="P26" s="2232"/>
      <c r="Q26" s="2232"/>
      <c r="R26" s="2232"/>
      <c r="S26" s="2232"/>
      <c r="T26" s="2232"/>
      <c r="U26" s="2232"/>
      <c r="V26" s="2232"/>
      <c r="W26" s="2232"/>
      <c r="X26" s="2232"/>
      <c r="Y26" s="2232"/>
      <c r="Z26" s="2232"/>
      <c r="AA26" s="2232"/>
      <c r="AB26" s="2232"/>
      <c r="AC26" s="2232"/>
      <c r="AD26" s="2232"/>
      <c r="AE26" s="2232"/>
      <c r="AF26" s="2232"/>
      <c r="AG26" s="2232"/>
      <c r="AH26" s="2233"/>
      <c r="AI26" s="668"/>
    </row>
    <row r="27" spans="1:35" ht="42" customHeight="1">
      <c r="A27" s="5" t="s">
        <v>13</v>
      </c>
      <c r="B27" s="5" t="s">
        <v>10</v>
      </c>
      <c r="C27" s="120" t="s">
        <v>0</v>
      </c>
      <c r="D27" s="116"/>
      <c r="E27" s="117" t="s">
        <v>1</v>
      </c>
      <c r="F27" s="118" t="s">
        <v>2</v>
      </c>
      <c r="G27" s="118" t="s">
        <v>3</v>
      </c>
      <c r="H27" s="119" t="s">
        <v>4</v>
      </c>
      <c r="I27" s="119" t="s">
        <v>5</v>
      </c>
      <c r="J27" s="2172" t="s">
        <v>6</v>
      </c>
      <c r="K27" s="2173"/>
      <c r="L27" s="2174"/>
      <c r="O27" s="165" t="s">
        <v>87</v>
      </c>
      <c r="P27" s="359" t="s">
        <v>267</v>
      </c>
      <c r="Q27" s="291" t="s">
        <v>282</v>
      </c>
      <c r="R27" s="291" t="s">
        <v>229</v>
      </c>
      <c r="S27" s="291" t="s">
        <v>230</v>
      </c>
      <c r="T27" s="291" t="s">
        <v>245</v>
      </c>
      <c r="U27" s="291" t="s">
        <v>149</v>
      </c>
      <c r="V27" s="164" t="s">
        <v>148</v>
      </c>
      <c r="W27" s="291" t="s">
        <v>231</v>
      </c>
      <c r="X27" s="224" t="s">
        <v>232</v>
      </c>
      <c r="Y27" s="224" t="s">
        <v>233</v>
      </c>
      <c r="Z27" s="224" t="s">
        <v>234</v>
      </c>
      <c r="AA27" s="224" t="s">
        <v>235</v>
      </c>
      <c r="AB27" s="224" t="s">
        <v>277</v>
      </c>
      <c r="AC27" s="362" t="s">
        <v>286</v>
      </c>
      <c r="AD27" s="363" t="s">
        <v>287</v>
      </c>
      <c r="AE27" s="364" t="s">
        <v>151</v>
      </c>
      <c r="AF27" s="163" t="s">
        <v>154</v>
      </c>
      <c r="AG27" s="163" t="s">
        <v>152</v>
      </c>
      <c r="AH27" s="163" t="s">
        <v>153</v>
      </c>
      <c r="AI27" s="669"/>
    </row>
    <row r="28" spans="1:35" ht="24" customHeight="1">
      <c r="A28" s="36"/>
      <c r="B28" s="36"/>
      <c r="C28" s="138" t="s">
        <v>170</v>
      </c>
      <c r="D28" s="103"/>
      <c r="E28" s="106"/>
      <c r="F28" s="288"/>
      <c r="G28" s="142"/>
      <c r="H28" s="98" t="s">
        <v>12</v>
      </c>
      <c r="I28" s="98" t="s">
        <v>12</v>
      </c>
      <c r="J28" s="103"/>
      <c r="K28" s="103"/>
      <c r="L28" s="104"/>
      <c r="O28" s="231"/>
      <c r="P28" s="232"/>
      <c r="Q28" s="233"/>
      <c r="R28" s="233"/>
      <c r="S28" s="233"/>
      <c r="T28" s="233"/>
      <c r="U28" s="233"/>
      <c r="V28" s="233"/>
      <c r="W28" s="233"/>
      <c r="X28" s="234"/>
      <c r="Y28" s="234"/>
      <c r="Z28" s="234"/>
      <c r="AA28" s="234"/>
      <c r="AB28" s="234"/>
      <c r="AC28" s="233"/>
      <c r="AD28" s="365"/>
      <c r="AE28" s="366"/>
      <c r="AF28" s="233"/>
      <c r="AG28" s="233"/>
      <c r="AH28" s="233"/>
      <c r="AI28" s="670"/>
    </row>
    <row r="29" spans="1:35" s="37" customFormat="1" ht="24" customHeight="1">
      <c r="A29" s="36"/>
      <c r="B29" s="36"/>
      <c r="C29" s="112"/>
      <c r="D29" s="68" t="s">
        <v>2516</v>
      </c>
      <c r="E29" s="109"/>
      <c r="F29" s="289"/>
      <c r="G29" s="125"/>
      <c r="H29" s="143"/>
      <c r="I29" s="111" t="str">
        <f t="shared" ref="I29:I44" si="0">IF(F29="","",INT(F29*H29))</f>
        <v/>
      </c>
      <c r="J29" s="68"/>
      <c r="K29" s="68"/>
      <c r="L29" s="69"/>
      <c r="N29" s="665"/>
      <c r="O29" s="231"/>
      <c r="P29" s="232"/>
      <c r="Q29" s="233"/>
      <c r="R29" s="233"/>
      <c r="S29" s="233"/>
      <c r="T29" s="233"/>
      <c r="U29" s="233"/>
      <c r="V29" s="233"/>
      <c r="W29" s="233"/>
      <c r="X29" s="234"/>
      <c r="Y29" s="234"/>
      <c r="Z29" s="234"/>
      <c r="AA29" s="234"/>
      <c r="AB29" s="234"/>
      <c r="AC29" s="233"/>
      <c r="AD29" s="365"/>
      <c r="AE29" s="366"/>
      <c r="AF29" s="233"/>
      <c r="AG29" s="233"/>
      <c r="AH29" s="233"/>
      <c r="AI29" s="670"/>
    </row>
    <row r="30" spans="1:35" s="37" customFormat="1" ht="24" customHeight="1">
      <c r="A30" s="36"/>
      <c r="B30" s="36"/>
      <c r="C30" s="112"/>
      <c r="D30" s="68" t="s">
        <v>2514</v>
      </c>
      <c r="E30" s="109"/>
      <c r="F30" s="289">
        <v>1</v>
      </c>
      <c r="G30" s="125" t="s">
        <v>2515</v>
      </c>
      <c r="H30" s="143"/>
      <c r="I30" s="111">
        <f t="shared" si="0"/>
        <v>0</v>
      </c>
      <c r="J30" s="68"/>
      <c r="K30" s="68"/>
      <c r="L30" s="69"/>
      <c r="N30" s="665"/>
      <c r="O30" s="231"/>
      <c r="P30" s="232"/>
      <c r="Q30" s="233"/>
      <c r="R30" s="233"/>
      <c r="S30" s="233"/>
      <c r="T30" s="233"/>
      <c r="U30" s="233"/>
      <c r="V30" s="233"/>
      <c r="W30" s="233"/>
      <c r="X30" s="234"/>
      <c r="Y30" s="234"/>
      <c r="Z30" s="234"/>
      <c r="AA30" s="234"/>
      <c r="AB30" s="234"/>
      <c r="AC30" s="233"/>
      <c r="AD30" s="365"/>
      <c r="AE30" s="366"/>
      <c r="AF30" s="233"/>
      <c r="AG30" s="233"/>
      <c r="AH30" s="233"/>
      <c r="AI30" s="670"/>
    </row>
    <row r="31" spans="1:35" s="37" customFormat="1" ht="24" customHeight="1">
      <c r="A31" s="36"/>
      <c r="B31" s="36"/>
      <c r="C31" s="804"/>
      <c r="D31" s="805"/>
      <c r="E31" s="806"/>
      <c r="F31" s="807"/>
      <c r="G31" s="808"/>
      <c r="H31" s="809"/>
      <c r="I31" s="111" t="str">
        <f t="shared" si="0"/>
        <v/>
      </c>
      <c r="J31" s="805"/>
      <c r="K31" s="805"/>
      <c r="L31" s="810"/>
      <c r="N31" s="665"/>
      <c r="O31" s="231"/>
      <c r="P31" s="232"/>
      <c r="Q31" s="233"/>
      <c r="R31" s="233"/>
      <c r="S31" s="233"/>
      <c r="T31" s="233"/>
      <c r="U31" s="233"/>
      <c r="V31" s="233"/>
      <c r="W31" s="233"/>
      <c r="X31" s="234"/>
      <c r="Y31" s="234"/>
      <c r="Z31" s="234"/>
      <c r="AA31" s="234"/>
      <c r="AB31" s="234"/>
      <c r="AC31" s="233"/>
      <c r="AD31" s="365"/>
      <c r="AE31" s="366"/>
      <c r="AF31" s="233"/>
      <c r="AG31" s="233"/>
      <c r="AH31" s="233"/>
      <c r="AI31" s="670"/>
    </row>
    <row r="32" spans="1:35" s="37" customFormat="1" ht="24" customHeight="1">
      <c r="A32" s="36"/>
      <c r="B32" s="36"/>
      <c r="C32" s="812"/>
      <c r="D32" s="813" t="s">
        <v>2519</v>
      </c>
      <c r="E32" s="814"/>
      <c r="F32" s="815"/>
      <c r="G32" s="816"/>
      <c r="H32" s="817"/>
      <c r="I32" s="818">
        <f>SUM(I30:I31)</f>
        <v>0</v>
      </c>
      <c r="J32" s="813"/>
      <c r="K32" s="813"/>
      <c r="L32" s="819"/>
      <c r="N32" s="665"/>
      <c r="O32" s="231"/>
      <c r="P32" s="232"/>
      <c r="Q32" s="233"/>
      <c r="R32" s="233"/>
      <c r="S32" s="233"/>
      <c r="T32" s="233"/>
      <c r="U32" s="233"/>
      <c r="V32" s="233"/>
      <c r="W32" s="233"/>
      <c r="X32" s="234"/>
      <c r="Y32" s="234"/>
      <c r="Z32" s="234"/>
      <c r="AA32" s="234"/>
      <c r="AB32" s="234"/>
      <c r="AC32" s="233"/>
      <c r="AD32" s="365"/>
      <c r="AE32" s="366"/>
      <c r="AF32" s="233"/>
      <c r="AG32" s="233"/>
      <c r="AH32" s="233"/>
      <c r="AI32" s="670"/>
    </row>
    <row r="33" spans="1:35" s="37" customFormat="1" ht="24" customHeight="1">
      <c r="A33" s="36"/>
      <c r="B33" s="36"/>
      <c r="C33" s="811"/>
      <c r="D33" s="797"/>
      <c r="E33" s="798"/>
      <c r="F33" s="799"/>
      <c r="G33" s="800"/>
      <c r="H33" s="801"/>
      <c r="I33" s="802" t="str">
        <f t="shared" si="0"/>
        <v/>
      </c>
      <c r="J33" s="797"/>
      <c r="K33" s="797"/>
      <c r="L33" s="803"/>
      <c r="N33" s="665"/>
      <c r="O33" s="231"/>
      <c r="P33" s="232"/>
      <c r="Q33" s="233"/>
      <c r="R33" s="233"/>
      <c r="S33" s="233"/>
      <c r="T33" s="233"/>
      <c r="U33" s="233"/>
      <c r="V33" s="233"/>
      <c r="W33" s="233"/>
      <c r="X33" s="234"/>
      <c r="Y33" s="234"/>
      <c r="Z33" s="234"/>
      <c r="AA33" s="234"/>
      <c r="AB33" s="234"/>
      <c r="AC33" s="233"/>
      <c r="AD33" s="365"/>
      <c r="AE33" s="366"/>
      <c r="AF33" s="233"/>
      <c r="AG33" s="233"/>
      <c r="AH33" s="233"/>
      <c r="AI33" s="670"/>
    </row>
    <row r="34" spans="1:35" s="37" customFormat="1" ht="24" customHeight="1">
      <c r="A34" s="36"/>
      <c r="B34" s="36"/>
      <c r="C34" s="112"/>
      <c r="D34" s="68" t="s">
        <v>2517</v>
      </c>
      <c r="E34" s="109"/>
      <c r="F34" s="289"/>
      <c r="G34" s="125"/>
      <c r="H34" s="143"/>
      <c r="I34" s="111" t="str">
        <f t="shared" si="0"/>
        <v/>
      </c>
      <c r="J34" s="68"/>
      <c r="K34" s="68"/>
      <c r="L34" s="69"/>
      <c r="N34" s="665"/>
      <c r="O34" s="231"/>
      <c r="P34" s="232"/>
      <c r="Q34" s="233"/>
      <c r="R34" s="233"/>
      <c r="S34" s="233"/>
      <c r="T34" s="233"/>
      <c r="U34" s="233"/>
      <c r="V34" s="233"/>
      <c r="W34" s="233"/>
      <c r="X34" s="234"/>
      <c r="Y34" s="234"/>
      <c r="Z34" s="234"/>
      <c r="AA34" s="234"/>
      <c r="AB34" s="234"/>
      <c r="AC34" s="233"/>
      <c r="AD34" s="365"/>
      <c r="AE34" s="366"/>
      <c r="AF34" s="233"/>
      <c r="AG34" s="233"/>
      <c r="AH34" s="233"/>
      <c r="AI34" s="670"/>
    </row>
    <row r="35" spans="1:35" s="37" customFormat="1" ht="24" customHeight="1">
      <c r="A35" s="36"/>
      <c r="B35" s="36"/>
      <c r="C35" s="112"/>
      <c r="D35" s="68" t="s">
        <v>51</v>
      </c>
      <c r="E35" s="109"/>
      <c r="F35" s="289">
        <v>1</v>
      </c>
      <c r="G35" s="125" t="s">
        <v>7</v>
      </c>
      <c r="H35" s="143"/>
      <c r="I35" s="111">
        <f t="shared" si="0"/>
        <v>0</v>
      </c>
      <c r="J35" s="68"/>
      <c r="K35" s="68"/>
      <c r="L35" s="69"/>
      <c r="N35" s="665"/>
      <c r="O35" s="231"/>
      <c r="P35" s="232"/>
      <c r="Q35" s="233"/>
      <c r="R35" s="233"/>
      <c r="S35" s="233"/>
      <c r="T35" s="233"/>
      <c r="U35" s="233"/>
      <c r="V35" s="233"/>
      <c r="W35" s="233"/>
      <c r="X35" s="234"/>
      <c r="Y35" s="234"/>
      <c r="Z35" s="234"/>
      <c r="AA35" s="234"/>
      <c r="AB35" s="234"/>
      <c r="AC35" s="233"/>
      <c r="AD35" s="365"/>
      <c r="AE35" s="366"/>
      <c r="AF35" s="233"/>
      <c r="AG35" s="233"/>
      <c r="AH35" s="233"/>
      <c r="AI35" s="670"/>
    </row>
    <row r="36" spans="1:35" s="37" customFormat="1" ht="24" customHeight="1">
      <c r="A36" s="36"/>
      <c r="B36" s="36"/>
      <c r="C36" s="112"/>
      <c r="D36" s="68" t="s">
        <v>52</v>
      </c>
      <c r="E36" s="109"/>
      <c r="F36" s="289">
        <v>1</v>
      </c>
      <c r="G36" s="125" t="s">
        <v>7</v>
      </c>
      <c r="H36" s="143"/>
      <c r="I36" s="111">
        <f t="shared" si="0"/>
        <v>0</v>
      </c>
      <c r="J36" s="68"/>
      <c r="K36" s="68"/>
      <c r="L36" s="69"/>
      <c r="N36" s="665"/>
      <c r="O36" s="231"/>
      <c r="P36" s="232"/>
      <c r="Q36" s="233"/>
      <c r="R36" s="233"/>
      <c r="S36" s="233"/>
      <c r="T36" s="233"/>
      <c r="U36" s="233"/>
      <c r="V36" s="233"/>
      <c r="W36" s="233"/>
      <c r="X36" s="234"/>
      <c r="Y36" s="234"/>
      <c r="Z36" s="234"/>
      <c r="AA36" s="234"/>
      <c r="AB36" s="234"/>
      <c r="AC36" s="233"/>
      <c r="AD36" s="365"/>
      <c r="AE36" s="366"/>
      <c r="AF36" s="233"/>
      <c r="AG36" s="233"/>
      <c r="AH36" s="233"/>
      <c r="AI36" s="670"/>
    </row>
    <row r="37" spans="1:35" s="37" customFormat="1" ht="24" customHeight="1">
      <c r="A37" s="36"/>
      <c r="B37" s="36"/>
      <c r="C37" s="112"/>
      <c r="D37" s="68" t="s">
        <v>50</v>
      </c>
      <c r="E37" s="109"/>
      <c r="F37" s="289">
        <v>1</v>
      </c>
      <c r="G37" s="125" t="s">
        <v>7</v>
      </c>
      <c r="H37" s="143"/>
      <c r="I37" s="111">
        <f t="shared" si="0"/>
        <v>0</v>
      </c>
      <c r="J37" s="68"/>
      <c r="K37" s="68"/>
      <c r="L37" s="69"/>
      <c r="N37" s="665"/>
      <c r="O37" s="231"/>
      <c r="P37" s="232"/>
      <c r="Q37" s="233"/>
      <c r="R37" s="233"/>
      <c r="S37" s="233"/>
      <c r="T37" s="233"/>
      <c r="U37" s="233"/>
      <c r="V37" s="233"/>
      <c r="W37" s="233"/>
      <c r="X37" s="234"/>
      <c r="Y37" s="234"/>
      <c r="Z37" s="234"/>
      <c r="AA37" s="234"/>
      <c r="AB37" s="234"/>
      <c r="AC37" s="233"/>
      <c r="AD37" s="365"/>
      <c r="AE37" s="366"/>
      <c r="AF37" s="233"/>
      <c r="AG37" s="233"/>
      <c r="AH37" s="233"/>
      <c r="AI37" s="670"/>
    </row>
    <row r="38" spans="1:35" s="37" customFormat="1" ht="24" customHeight="1">
      <c r="A38" s="36"/>
      <c r="B38" s="36"/>
      <c r="C38" s="112"/>
      <c r="D38" s="68" t="s">
        <v>167</v>
      </c>
      <c r="E38" s="109"/>
      <c r="F38" s="289">
        <v>1</v>
      </c>
      <c r="G38" s="125" t="s">
        <v>7</v>
      </c>
      <c r="H38" s="143"/>
      <c r="I38" s="111">
        <f t="shared" si="0"/>
        <v>0</v>
      </c>
      <c r="J38" s="68"/>
      <c r="K38" s="68"/>
      <c r="L38" s="69"/>
      <c r="N38" s="665"/>
      <c r="O38" s="231"/>
      <c r="P38" s="232"/>
      <c r="Q38" s="233"/>
      <c r="R38" s="233"/>
      <c r="S38" s="233"/>
      <c r="T38" s="233"/>
      <c r="U38" s="233"/>
      <c r="V38" s="233"/>
      <c r="W38" s="233"/>
      <c r="X38" s="234"/>
      <c r="Y38" s="234"/>
      <c r="Z38" s="234"/>
      <c r="AA38" s="234"/>
      <c r="AB38" s="234"/>
      <c r="AC38" s="233"/>
      <c r="AD38" s="365"/>
      <c r="AE38" s="366"/>
      <c r="AF38" s="233"/>
      <c r="AG38" s="233"/>
      <c r="AH38" s="233"/>
      <c r="AI38" s="670"/>
    </row>
    <row r="39" spans="1:35" s="37" customFormat="1" ht="24" customHeight="1">
      <c r="A39" s="36"/>
      <c r="B39" s="36"/>
      <c r="C39" s="112"/>
      <c r="D39" s="68" t="s">
        <v>53</v>
      </c>
      <c r="E39" s="109"/>
      <c r="F39" s="289">
        <v>1</v>
      </c>
      <c r="G39" s="125" t="s">
        <v>7</v>
      </c>
      <c r="H39" s="143"/>
      <c r="I39" s="111">
        <f t="shared" si="0"/>
        <v>0</v>
      </c>
      <c r="J39" s="68"/>
      <c r="K39" s="68"/>
      <c r="L39" s="69"/>
      <c r="N39" s="665"/>
      <c r="O39" s="231"/>
      <c r="P39" s="232"/>
      <c r="Q39" s="233"/>
      <c r="R39" s="233"/>
      <c r="S39" s="233"/>
      <c r="T39" s="233"/>
      <c r="U39" s="233"/>
      <c r="V39" s="233"/>
      <c r="W39" s="233"/>
      <c r="X39" s="234"/>
      <c r="Y39" s="234"/>
      <c r="Z39" s="234"/>
      <c r="AA39" s="234"/>
      <c r="AB39" s="234"/>
      <c r="AC39" s="233"/>
      <c r="AD39" s="365"/>
      <c r="AE39" s="366"/>
      <c r="AF39" s="233"/>
      <c r="AG39" s="233"/>
      <c r="AH39" s="233"/>
      <c r="AI39" s="670"/>
    </row>
    <row r="40" spans="1:35" s="37" customFormat="1" ht="24" customHeight="1">
      <c r="A40" s="36"/>
      <c r="B40" s="36"/>
      <c r="C40" s="112"/>
      <c r="D40" s="68" t="s">
        <v>54</v>
      </c>
      <c r="E40" s="109"/>
      <c r="F40" s="289">
        <v>1</v>
      </c>
      <c r="G40" s="125" t="s">
        <v>7</v>
      </c>
      <c r="H40" s="143"/>
      <c r="I40" s="111">
        <f t="shared" si="0"/>
        <v>0</v>
      </c>
      <c r="J40" s="68"/>
      <c r="K40" s="68"/>
      <c r="L40" s="69"/>
      <c r="N40" s="665"/>
      <c r="O40" s="231"/>
      <c r="P40" s="232"/>
      <c r="Q40" s="233"/>
      <c r="R40" s="233"/>
      <c r="S40" s="233"/>
      <c r="T40" s="233"/>
      <c r="U40" s="233"/>
      <c r="V40" s="233"/>
      <c r="W40" s="233"/>
      <c r="X40" s="234"/>
      <c r="Y40" s="234"/>
      <c r="Z40" s="234"/>
      <c r="AA40" s="234"/>
      <c r="AB40" s="234"/>
      <c r="AC40" s="233"/>
      <c r="AD40" s="365"/>
      <c r="AE40" s="366"/>
      <c r="AF40" s="233"/>
      <c r="AG40" s="233"/>
      <c r="AH40" s="233"/>
      <c r="AI40" s="670"/>
    </row>
    <row r="41" spans="1:35" s="37" customFormat="1" ht="24" customHeight="1">
      <c r="A41" s="36"/>
      <c r="B41" s="36"/>
      <c r="C41" s="112"/>
      <c r="D41" s="68" t="s">
        <v>55</v>
      </c>
      <c r="E41" s="109"/>
      <c r="F41" s="289">
        <v>1</v>
      </c>
      <c r="G41" s="125" t="s">
        <v>7</v>
      </c>
      <c r="H41" s="143"/>
      <c r="I41" s="111">
        <f t="shared" si="0"/>
        <v>0</v>
      </c>
      <c r="J41" s="68"/>
      <c r="K41" s="68"/>
      <c r="L41" s="69"/>
      <c r="N41" s="665"/>
      <c r="O41" s="231"/>
      <c r="P41" s="232"/>
      <c r="Q41" s="233"/>
      <c r="R41" s="233"/>
      <c r="S41" s="233"/>
      <c r="T41" s="233"/>
      <c r="U41" s="233"/>
      <c r="V41" s="233"/>
      <c r="W41" s="233"/>
      <c r="X41" s="234"/>
      <c r="Y41" s="234"/>
      <c r="Z41" s="234"/>
      <c r="AA41" s="234"/>
      <c r="AB41" s="234"/>
      <c r="AC41" s="233"/>
      <c r="AD41" s="365"/>
      <c r="AE41" s="366"/>
      <c r="AF41" s="233"/>
      <c r="AG41" s="233"/>
      <c r="AH41" s="233"/>
      <c r="AI41" s="670"/>
    </row>
    <row r="42" spans="1:35" s="37" customFormat="1" ht="24" customHeight="1">
      <c r="A42" s="36"/>
      <c r="B42" s="36"/>
      <c r="C42" s="112"/>
      <c r="D42" s="68" t="s">
        <v>56</v>
      </c>
      <c r="E42" s="109"/>
      <c r="F42" s="289">
        <v>1</v>
      </c>
      <c r="G42" s="125" t="s">
        <v>7</v>
      </c>
      <c r="H42" s="143"/>
      <c r="I42" s="111">
        <f t="shared" si="0"/>
        <v>0</v>
      </c>
      <c r="J42" s="68"/>
      <c r="K42" s="68"/>
      <c r="L42" s="69"/>
      <c r="N42" s="665"/>
      <c r="O42" s="231"/>
      <c r="P42" s="232"/>
      <c r="Q42" s="233"/>
      <c r="R42" s="233"/>
      <c r="S42" s="233"/>
      <c r="T42" s="233"/>
      <c r="U42" s="233"/>
      <c r="V42" s="233"/>
      <c r="W42" s="233"/>
      <c r="X42" s="234"/>
      <c r="Y42" s="234"/>
      <c r="Z42" s="234"/>
      <c r="AA42" s="234"/>
      <c r="AB42" s="234"/>
      <c r="AC42" s="233"/>
      <c r="AD42" s="365"/>
      <c r="AE42" s="366"/>
      <c r="AF42" s="233"/>
      <c r="AG42" s="233"/>
      <c r="AH42" s="233"/>
      <c r="AI42" s="670"/>
    </row>
    <row r="43" spans="1:35" s="37" customFormat="1" ht="24" customHeight="1">
      <c r="A43" s="36"/>
      <c r="B43" s="36"/>
      <c r="C43" s="112"/>
      <c r="D43" s="68" t="s">
        <v>57</v>
      </c>
      <c r="E43" s="109"/>
      <c r="F43" s="289">
        <v>1</v>
      </c>
      <c r="G43" s="125" t="s">
        <v>7</v>
      </c>
      <c r="H43" s="143"/>
      <c r="I43" s="111">
        <f t="shared" si="0"/>
        <v>0</v>
      </c>
      <c r="J43" s="68"/>
      <c r="K43" s="68"/>
      <c r="L43" s="69"/>
      <c r="N43" s="665"/>
      <c r="O43" s="231"/>
      <c r="P43" s="232"/>
      <c r="Q43" s="233"/>
      <c r="R43" s="233"/>
      <c r="S43" s="233"/>
      <c r="T43" s="233"/>
      <c r="U43" s="233"/>
      <c r="V43" s="233"/>
      <c r="W43" s="233"/>
      <c r="X43" s="234"/>
      <c r="Y43" s="234"/>
      <c r="Z43" s="234"/>
      <c r="AA43" s="234"/>
      <c r="AB43" s="234"/>
      <c r="AC43" s="233"/>
      <c r="AD43" s="365"/>
      <c r="AE43" s="366"/>
      <c r="AF43" s="233"/>
      <c r="AG43" s="233"/>
      <c r="AH43" s="233"/>
      <c r="AI43" s="670"/>
    </row>
    <row r="44" spans="1:35" s="37" customFormat="1" ht="24" customHeight="1">
      <c r="A44" s="36"/>
      <c r="B44" s="36"/>
      <c r="C44" s="804"/>
      <c r="D44" s="805"/>
      <c r="E44" s="806"/>
      <c r="F44" s="807"/>
      <c r="G44" s="808"/>
      <c r="H44" s="809"/>
      <c r="I44" s="111" t="str">
        <f t="shared" si="0"/>
        <v/>
      </c>
      <c r="J44" s="805"/>
      <c r="K44" s="805"/>
      <c r="L44" s="810"/>
      <c r="N44" s="665"/>
      <c r="O44" s="231"/>
      <c r="P44" s="232"/>
      <c r="Q44" s="233"/>
      <c r="R44" s="233"/>
      <c r="S44" s="233"/>
      <c r="T44" s="233"/>
      <c r="U44" s="233"/>
      <c r="V44" s="233"/>
      <c r="W44" s="233"/>
      <c r="X44" s="234"/>
      <c r="Y44" s="234"/>
      <c r="Z44" s="234"/>
      <c r="AA44" s="234"/>
      <c r="AB44" s="234"/>
      <c r="AC44" s="233"/>
      <c r="AD44" s="365"/>
      <c r="AE44" s="366"/>
      <c r="AF44" s="233"/>
      <c r="AG44" s="233"/>
      <c r="AH44" s="233"/>
      <c r="AI44" s="670"/>
    </row>
    <row r="45" spans="1:35" s="37" customFormat="1" ht="24" customHeight="1">
      <c r="A45" s="36"/>
      <c r="B45" s="36"/>
      <c r="C45" s="820"/>
      <c r="D45" s="813" t="s">
        <v>2518</v>
      </c>
      <c r="E45" s="814"/>
      <c r="F45" s="815"/>
      <c r="G45" s="816"/>
      <c r="H45" s="817"/>
      <c r="I45" s="818">
        <f>SUM(I35:I44)</f>
        <v>0</v>
      </c>
      <c r="J45" s="813"/>
      <c r="K45" s="813"/>
      <c r="L45" s="819"/>
      <c r="N45" s="665"/>
      <c r="O45" s="231"/>
      <c r="P45" s="232"/>
      <c r="Q45" s="233"/>
      <c r="R45" s="233"/>
      <c r="S45" s="233"/>
      <c r="T45" s="233"/>
      <c r="U45" s="233"/>
      <c r="V45" s="233"/>
      <c r="W45" s="233"/>
      <c r="X45" s="234"/>
      <c r="Y45" s="234"/>
      <c r="Z45" s="234"/>
      <c r="AA45" s="234"/>
      <c r="AB45" s="234"/>
      <c r="AC45" s="233"/>
      <c r="AD45" s="365"/>
      <c r="AE45" s="366"/>
      <c r="AF45" s="233"/>
      <c r="AG45" s="233"/>
      <c r="AH45" s="233"/>
      <c r="AI45" s="670"/>
    </row>
    <row r="46" spans="1:35" s="37" customFormat="1" ht="24" customHeight="1">
      <c r="A46" s="36"/>
      <c r="B46" s="36"/>
      <c r="C46" s="112"/>
      <c r="D46" s="68"/>
      <c r="E46" s="109"/>
      <c r="F46" s="289"/>
      <c r="G46" s="125"/>
      <c r="H46" s="143"/>
      <c r="I46" s="111" t="str">
        <f t="shared" ref="I46" si="1">IF(F46="","",INT(F46*H46))</f>
        <v/>
      </c>
      <c r="J46" s="68"/>
      <c r="K46" s="68"/>
      <c r="L46" s="69"/>
      <c r="N46" s="665"/>
      <c r="O46" s="231"/>
      <c r="P46" s="232"/>
      <c r="Q46" s="233"/>
      <c r="R46" s="233"/>
      <c r="S46" s="233"/>
      <c r="T46" s="233"/>
      <c r="U46" s="233"/>
      <c r="V46" s="233"/>
      <c r="W46" s="233"/>
      <c r="X46" s="234"/>
      <c r="Y46" s="234"/>
      <c r="Z46" s="234"/>
      <c r="AA46" s="234"/>
      <c r="AB46" s="234"/>
      <c r="AC46" s="233"/>
      <c r="AD46" s="365"/>
      <c r="AE46" s="366"/>
      <c r="AF46" s="233"/>
      <c r="AG46" s="233"/>
      <c r="AH46" s="233"/>
      <c r="AI46" s="670"/>
    </row>
    <row r="47" spans="1:35" ht="24" customHeight="1" thickBot="1">
      <c r="A47" s="36"/>
      <c r="B47" s="36"/>
      <c r="C47" s="113"/>
      <c r="D47" s="99" t="s">
        <v>9</v>
      </c>
      <c r="E47" s="114"/>
      <c r="F47" s="290"/>
      <c r="G47" s="127"/>
      <c r="H47" s="137" t="s">
        <v>90</v>
      </c>
      <c r="I47" s="115">
        <f>I32+I45</f>
        <v>0</v>
      </c>
      <c r="J47" s="99" t="s">
        <v>91</v>
      </c>
      <c r="K47" s="99"/>
      <c r="L47" s="129"/>
      <c r="O47" s="231"/>
      <c r="P47" s="232"/>
      <c r="Q47" s="233"/>
      <c r="R47" s="233"/>
      <c r="S47" s="233"/>
      <c r="T47" s="233"/>
      <c r="U47" s="233"/>
      <c r="V47" s="233"/>
      <c r="W47" s="233"/>
      <c r="X47" s="234"/>
      <c r="Y47" s="234"/>
      <c r="Z47" s="234"/>
      <c r="AA47" s="234"/>
      <c r="AB47" s="234"/>
      <c r="AC47" s="233"/>
      <c r="AD47" s="365"/>
      <c r="AE47" s="366"/>
      <c r="AF47" s="233"/>
      <c r="AG47" s="233"/>
      <c r="AH47" s="233"/>
      <c r="AI47" s="670"/>
    </row>
    <row r="48" spans="1:35" ht="14.25" customHeight="1">
      <c r="E48" s="130" t="s">
        <v>108</v>
      </c>
      <c r="F48" s="131">
        <f>+F25+1</f>
        <v>2</v>
      </c>
      <c r="G48" s="132" t="s">
        <v>109</v>
      </c>
      <c r="H48" s="133">
        <f>+$H$25</f>
        <v>11</v>
      </c>
      <c r="I48" s="133"/>
      <c r="M48" s="38" t="str">
        <f>IF(A50="","EOL","")</f>
        <v/>
      </c>
      <c r="N48" s="6">
        <f>+F48</f>
        <v>2</v>
      </c>
      <c r="O48" s="1"/>
      <c r="P48" s="1"/>
    </row>
    <row r="49" spans="1:35" ht="26.1" customHeight="1" thickBot="1">
      <c r="C49" s="2169" t="s">
        <v>343</v>
      </c>
      <c r="D49" s="2169"/>
      <c r="E49" s="2169"/>
      <c r="F49" s="2169"/>
      <c r="G49" s="2169"/>
      <c r="H49" s="2169"/>
      <c r="I49" s="2169"/>
      <c r="J49" s="2169"/>
      <c r="K49" s="2169"/>
      <c r="L49" s="2169"/>
      <c r="O49" s="2232" t="s">
        <v>155</v>
      </c>
      <c r="P49" s="2232"/>
      <c r="Q49" s="2232"/>
      <c r="R49" s="2232"/>
      <c r="S49" s="2232"/>
      <c r="T49" s="2232"/>
      <c r="U49" s="2232"/>
      <c r="V49" s="2232"/>
      <c r="W49" s="2232"/>
      <c r="X49" s="2232"/>
      <c r="Y49" s="2232"/>
      <c r="Z49" s="2232"/>
      <c r="AA49" s="2232"/>
      <c r="AB49" s="2232"/>
      <c r="AC49" s="2232"/>
      <c r="AD49" s="2232"/>
      <c r="AE49" s="2232"/>
      <c r="AF49" s="2232"/>
      <c r="AG49" s="2232"/>
      <c r="AH49" s="2233"/>
      <c r="AI49" s="668"/>
    </row>
    <row r="50" spans="1:35" ht="42" customHeight="1">
      <c r="A50" s="5" t="s">
        <v>13</v>
      </c>
      <c r="B50" s="5" t="s">
        <v>10</v>
      </c>
      <c r="C50" s="120" t="s">
        <v>0</v>
      </c>
      <c r="D50" s="116"/>
      <c r="E50" s="117" t="s">
        <v>1</v>
      </c>
      <c r="F50" s="118" t="s">
        <v>2</v>
      </c>
      <c r="G50" s="118" t="s">
        <v>3</v>
      </c>
      <c r="H50" s="119" t="s">
        <v>4</v>
      </c>
      <c r="I50" s="119" t="s">
        <v>5</v>
      </c>
      <c r="J50" s="2172" t="s">
        <v>6</v>
      </c>
      <c r="K50" s="2173"/>
      <c r="L50" s="2174"/>
      <c r="O50" s="165" t="s">
        <v>87</v>
      </c>
      <c r="P50" s="359" t="s">
        <v>267</v>
      </c>
      <c r="Q50" s="291" t="s">
        <v>282</v>
      </c>
      <c r="R50" s="291" t="s">
        <v>229</v>
      </c>
      <c r="S50" s="291" t="s">
        <v>230</v>
      </c>
      <c r="T50" s="291" t="s">
        <v>245</v>
      </c>
      <c r="U50" s="291" t="s">
        <v>149</v>
      </c>
      <c r="V50" s="164" t="s">
        <v>148</v>
      </c>
      <c r="W50" s="291" t="s">
        <v>231</v>
      </c>
      <c r="X50" s="224" t="s">
        <v>232</v>
      </c>
      <c r="Y50" s="224" t="s">
        <v>233</v>
      </c>
      <c r="Z50" s="224" t="s">
        <v>234</v>
      </c>
      <c r="AA50" s="224" t="s">
        <v>235</v>
      </c>
      <c r="AB50" s="224" t="s">
        <v>277</v>
      </c>
      <c r="AC50" s="362" t="s">
        <v>286</v>
      </c>
      <c r="AD50" s="363" t="s">
        <v>287</v>
      </c>
      <c r="AE50" s="364" t="s">
        <v>151</v>
      </c>
      <c r="AF50" s="163" t="s">
        <v>154</v>
      </c>
      <c r="AG50" s="163" t="s">
        <v>152</v>
      </c>
      <c r="AH50" s="163" t="s">
        <v>153</v>
      </c>
      <c r="AI50" s="669"/>
    </row>
    <row r="51" spans="1:35" ht="24" customHeight="1">
      <c r="A51" s="36"/>
      <c r="B51" s="36"/>
      <c r="C51" s="138" t="s">
        <v>44</v>
      </c>
      <c r="D51" s="144"/>
      <c r="E51" s="106"/>
      <c r="F51" s="288"/>
      <c r="G51" s="142"/>
      <c r="H51" s="98" t="s">
        <v>12</v>
      </c>
      <c r="I51" s="98" t="s">
        <v>12</v>
      </c>
      <c r="J51" s="2234"/>
      <c r="K51" s="2235"/>
      <c r="L51" s="2236"/>
      <c r="O51" s="231"/>
      <c r="P51" s="232"/>
      <c r="Q51" s="233"/>
      <c r="R51" s="233"/>
      <c r="S51" s="233"/>
      <c r="T51" s="233"/>
      <c r="U51" s="233"/>
      <c r="V51" s="233"/>
      <c r="W51" s="233"/>
      <c r="X51" s="234"/>
      <c r="Y51" s="234"/>
      <c r="Z51" s="234"/>
      <c r="AA51" s="234"/>
      <c r="AB51" s="234"/>
      <c r="AC51" s="233"/>
      <c r="AD51" s="365"/>
      <c r="AE51" s="366"/>
      <c r="AF51" s="233"/>
      <c r="AG51" s="233"/>
      <c r="AH51" s="233"/>
      <c r="AI51" s="670"/>
    </row>
    <row r="52" spans="1:35" s="37" customFormat="1" ht="24" customHeight="1">
      <c r="A52" s="36"/>
      <c r="B52" s="36"/>
      <c r="C52" s="112"/>
      <c r="D52" s="144"/>
      <c r="E52" s="109"/>
      <c r="F52" s="289"/>
      <c r="G52" s="125"/>
      <c r="H52" s="143"/>
      <c r="I52" s="111" t="str">
        <f>IF(F52="","",INT(F52*H52))</f>
        <v/>
      </c>
      <c r="J52" s="68"/>
      <c r="K52" s="68"/>
      <c r="L52" s="69"/>
      <c r="N52" s="665"/>
      <c r="O52" s="231"/>
      <c r="P52" s="232"/>
      <c r="Q52" s="233"/>
      <c r="R52" s="233"/>
      <c r="S52" s="233"/>
      <c r="T52" s="233"/>
      <c r="U52" s="233"/>
      <c r="V52" s="233"/>
      <c r="W52" s="233"/>
      <c r="X52" s="234"/>
      <c r="Y52" s="234"/>
      <c r="Z52" s="234"/>
      <c r="AA52" s="234"/>
      <c r="AB52" s="234"/>
      <c r="AC52" s="233"/>
      <c r="AD52" s="365"/>
      <c r="AE52" s="366"/>
      <c r="AF52" s="233"/>
      <c r="AG52" s="233"/>
      <c r="AH52" s="233"/>
      <c r="AI52" s="670"/>
    </row>
    <row r="53" spans="1:35" s="37" customFormat="1" ht="24" customHeight="1">
      <c r="A53" s="36"/>
      <c r="B53" s="36"/>
      <c r="C53" s="112"/>
      <c r="D53" s="144" t="s">
        <v>58</v>
      </c>
      <c r="E53" s="109"/>
      <c r="F53" s="289">
        <v>1</v>
      </c>
      <c r="G53" s="125" t="s">
        <v>7</v>
      </c>
      <c r="H53" s="143"/>
      <c r="I53" s="111">
        <f t="shared" ref="I53:I69" si="2">IF(F53="","",INT(F53*H53))</f>
        <v>0</v>
      </c>
      <c r="J53" s="68"/>
      <c r="K53" s="68"/>
      <c r="L53" s="69"/>
      <c r="N53" s="665"/>
      <c r="O53" s="231"/>
      <c r="P53" s="232"/>
      <c r="Q53" s="233"/>
      <c r="R53" s="233"/>
      <c r="S53" s="233"/>
      <c r="T53" s="233"/>
      <c r="U53" s="233"/>
      <c r="V53" s="233"/>
      <c r="W53" s="233"/>
      <c r="X53" s="234"/>
      <c r="Y53" s="234"/>
      <c r="Z53" s="234"/>
      <c r="AA53" s="234"/>
      <c r="AB53" s="234"/>
      <c r="AC53" s="233"/>
      <c r="AD53" s="365"/>
      <c r="AE53" s="366"/>
      <c r="AF53" s="233"/>
      <c r="AG53" s="233"/>
      <c r="AH53" s="233"/>
      <c r="AI53" s="670"/>
    </row>
    <row r="54" spans="1:35" s="37" customFormat="1" ht="24" customHeight="1">
      <c r="A54" s="36"/>
      <c r="B54" s="36"/>
      <c r="C54" s="112"/>
      <c r="D54" s="144" t="s">
        <v>168</v>
      </c>
      <c r="E54" s="109"/>
      <c r="F54" s="289">
        <v>1</v>
      </c>
      <c r="G54" s="125" t="s">
        <v>7</v>
      </c>
      <c r="H54" s="143"/>
      <c r="I54" s="111">
        <f t="shared" si="2"/>
        <v>0</v>
      </c>
      <c r="J54" s="68"/>
      <c r="K54" s="68"/>
      <c r="L54" s="69"/>
      <c r="N54" s="665"/>
      <c r="O54" s="231"/>
      <c r="P54" s="232"/>
      <c r="Q54" s="233"/>
      <c r="R54" s="233"/>
      <c r="S54" s="233"/>
      <c r="T54" s="233"/>
      <c r="U54" s="233"/>
      <c r="V54" s="233"/>
      <c r="W54" s="233"/>
      <c r="X54" s="234"/>
      <c r="Y54" s="234"/>
      <c r="Z54" s="234"/>
      <c r="AA54" s="234"/>
      <c r="AB54" s="234"/>
      <c r="AC54" s="233"/>
      <c r="AD54" s="365"/>
      <c r="AE54" s="366"/>
      <c r="AF54" s="233"/>
      <c r="AG54" s="233"/>
      <c r="AH54" s="233"/>
      <c r="AI54" s="670"/>
    </row>
    <row r="55" spans="1:35" s="37" customFormat="1" ht="24" customHeight="1">
      <c r="A55" s="36"/>
      <c r="B55" s="36"/>
      <c r="C55" s="112"/>
      <c r="D55" s="144" t="s">
        <v>59</v>
      </c>
      <c r="E55" s="109"/>
      <c r="F55" s="289">
        <v>1</v>
      </c>
      <c r="G55" s="125" t="s">
        <v>7</v>
      </c>
      <c r="H55" s="143"/>
      <c r="I55" s="111">
        <f t="shared" si="2"/>
        <v>0</v>
      </c>
      <c r="J55" s="68"/>
      <c r="K55" s="68"/>
      <c r="L55" s="69"/>
      <c r="N55" s="665"/>
      <c r="O55" s="231"/>
      <c r="P55" s="232"/>
      <c r="Q55" s="233"/>
      <c r="R55" s="233"/>
      <c r="S55" s="233"/>
      <c r="T55" s="233"/>
      <c r="U55" s="233"/>
      <c r="V55" s="233"/>
      <c r="W55" s="233"/>
      <c r="X55" s="234"/>
      <c r="Y55" s="234"/>
      <c r="Z55" s="234"/>
      <c r="AA55" s="234"/>
      <c r="AB55" s="234"/>
      <c r="AC55" s="233"/>
      <c r="AD55" s="365"/>
      <c r="AE55" s="366"/>
      <c r="AF55" s="233"/>
      <c r="AG55" s="233"/>
      <c r="AH55" s="233"/>
      <c r="AI55" s="670"/>
    </row>
    <row r="56" spans="1:35" s="37" customFormat="1" ht="24" customHeight="1">
      <c r="A56" s="36"/>
      <c r="B56" s="36"/>
      <c r="C56" s="112"/>
      <c r="D56" s="144" t="s">
        <v>60</v>
      </c>
      <c r="E56" s="109"/>
      <c r="F56" s="289">
        <v>1</v>
      </c>
      <c r="G56" s="125" t="s">
        <v>7</v>
      </c>
      <c r="H56" s="143"/>
      <c r="I56" s="111">
        <f t="shared" si="2"/>
        <v>0</v>
      </c>
      <c r="J56" s="68"/>
      <c r="K56" s="68"/>
      <c r="L56" s="69"/>
      <c r="N56" s="665"/>
      <c r="O56" s="231"/>
      <c r="P56" s="232"/>
      <c r="Q56" s="233"/>
      <c r="R56" s="233"/>
      <c r="S56" s="233"/>
      <c r="T56" s="233"/>
      <c r="U56" s="233"/>
      <c r="V56" s="233"/>
      <c r="W56" s="233"/>
      <c r="X56" s="234"/>
      <c r="Y56" s="234"/>
      <c r="Z56" s="234"/>
      <c r="AA56" s="234"/>
      <c r="AB56" s="234"/>
      <c r="AC56" s="233"/>
      <c r="AD56" s="365"/>
      <c r="AE56" s="366"/>
      <c r="AF56" s="233"/>
      <c r="AG56" s="233"/>
      <c r="AH56" s="233"/>
      <c r="AI56" s="670"/>
    </row>
    <row r="57" spans="1:35" s="37" customFormat="1" ht="24" customHeight="1">
      <c r="A57" s="36"/>
      <c r="B57" s="36"/>
      <c r="C57" s="112"/>
      <c r="D57" s="144" t="s">
        <v>61</v>
      </c>
      <c r="E57" s="109"/>
      <c r="F57" s="289">
        <v>1</v>
      </c>
      <c r="G57" s="125" t="s">
        <v>7</v>
      </c>
      <c r="H57" s="143"/>
      <c r="I57" s="111">
        <f t="shared" si="2"/>
        <v>0</v>
      </c>
      <c r="J57" s="68"/>
      <c r="K57" s="68"/>
      <c r="L57" s="69"/>
      <c r="N57" s="665"/>
      <c r="O57" s="231"/>
      <c r="P57" s="232"/>
      <c r="Q57" s="233"/>
      <c r="R57" s="233"/>
      <c r="S57" s="233"/>
      <c r="T57" s="233"/>
      <c r="U57" s="233"/>
      <c r="V57" s="233"/>
      <c r="W57" s="233"/>
      <c r="X57" s="234"/>
      <c r="Y57" s="234"/>
      <c r="Z57" s="234"/>
      <c r="AA57" s="234"/>
      <c r="AB57" s="234"/>
      <c r="AC57" s="233"/>
      <c r="AD57" s="365"/>
      <c r="AE57" s="366"/>
      <c r="AF57" s="233"/>
      <c r="AG57" s="233"/>
      <c r="AH57" s="233"/>
      <c r="AI57" s="670"/>
    </row>
    <row r="58" spans="1:35" s="37" customFormat="1" ht="24" customHeight="1">
      <c r="A58" s="36"/>
      <c r="B58" s="36"/>
      <c r="C58" s="112"/>
      <c r="D58" s="144" t="s">
        <v>62</v>
      </c>
      <c r="E58" s="109"/>
      <c r="F58" s="289">
        <v>1</v>
      </c>
      <c r="G58" s="125" t="s">
        <v>7</v>
      </c>
      <c r="H58" s="143"/>
      <c r="I58" s="111">
        <f t="shared" si="2"/>
        <v>0</v>
      </c>
      <c r="J58" s="68"/>
      <c r="K58" s="68"/>
      <c r="L58" s="69"/>
      <c r="N58" s="665"/>
      <c r="O58" s="231"/>
      <c r="P58" s="232"/>
      <c r="Q58" s="233"/>
      <c r="R58" s="233"/>
      <c r="S58" s="233"/>
      <c r="T58" s="233"/>
      <c r="U58" s="233"/>
      <c r="V58" s="233"/>
      <c r="W58" s="233"/>
      <c r="X58" s="234"/>
      <c r="Y58" s="234"/>
      <c r="Z58" s="234"/>
      <c r="AA58" s="234"/>
      <c r="AB58" s="234"/>
      <c r="AC58" s="233"/>
      <c r="AD58" s="365"/>
      <c r="AE58" s="366"/>
      <c r="AF58" s="233"/>
      <c r="AG58" s="233"/>
      <c r="AH58" s="233"/>
      <c r="AI58" s="670"/>
    </row>
    <row r="59" spans="1:35" s="37" customFormat="1" ht="24" customHeight="1">
      <c r="A59" s="36"/>
      <c r="B59" s="36"/>
      <c r="C59" s="112"/>
      <c r="D59" s="144"/>
      <c r="E59" s="109"/>
      <c r="F59" s="289"/>
      <c r="G59" s="125"/>
      <c r="H59" s="143"/>
      <c r="I59" s="111" t="str">
        <f t="shared" si="2"/>
        <v/>
      </c>
      <c r="J59" s="68"/>
      <c r="K59" s="68"/>
      <c r="L59" s="69"/>
      <c r="N59" s="665"/>
      <c r="O59" s="231"/>
      <c r="P59" s="232"/>
      <c r="Q59" s="233"/>
      <c r="R59" s="233"/>
      <c r="S59" s="233"/>
      <c r="T59" s="233"/>
      <c r="U59" s="233"/>
      <c r="V59" s="233"/>
      <c r="W59" s="233"/>
      <c r="X59" s="234"/>
      <c r="Y59" s="234"/>
      <c r="Z59" s="234"/>
      <c r="AA59" s="234"/>
      <c r="AB59" s="234"/>
      <c r="AC59" s="233"/>
      <c r="AD59" s="365"/>
      <c r="AE59" s="366"/>
      <c r="AF59" s="233"/>
      <c r="AG59" s="233"/>
      <c r="AH59" s="233"/>
      <c r="AI59" s="670"/>
    </row>
    <row r="60" spans="1:35" s="37" customFormat="1" ht="24" customHeight="1">
      <c r="A60" s="36"/>
      <c r="B60" s="36"/>
      <c r="C60" s="112"/>
      <c r="D60" s="144"/>
      <c r="E60" s="109"/>
      <c r="F60" s="289"/>
      <c r="G60" s="125"/>
      <c r="H60" s="143"/>
      <c r="I60" s="111" t="str">
        <f t="shared" si="2"/>
        <v/>
      </c>
      <c r="J60" s="68"/>
      <c r="K60" s="68"/>
      <c r="L60" s="69"/>
      <c r="N60" s="665"/>
      <c r="O60" s="231"/>
      <c r="P60" s="232"/>
      <c r="Q60" s="233"/>
      <c r="R60" s="233"/>
      <c r="S60" s="233"/>
      <c r="T60" s="233"/>
      <c r="U60" s="233"/>
      <c r="V60" s="233"/>
      <c r="W60" s="233"/>
      <c r="X60" s="234"/>
      <c r="Y60" s="234"/>
      <c r="Z60" s="234"/>
      <c r="AA60" s="234"/>
      <c r="AB60" s="234"/>
      <c r="AC60" s="233"/>
      <c r="AD60" s="365"/>
      <c r="AE60" s="366"/>
      <c r="AF60" s="233"/>
      <c r="AG60" s="233"/>
      <c r="AH60" s="233"/>
      <c r="AI60" s="670"/>
    </row>
    <row r="61" spans="1:35" s="37" customFormat="1" ht="24" customHeight="1">
      <c r="A61" s="36"/>
      <c r="B61" s="36"/>
      <c r="C61" s="112"/>
      <c r="D61" s="144"/>
      <c r="E61" s="109"/>
      <c r="F61" s="289"/>
      <c r="G61" s="125"/>
      <c r="H61" s="143"/>
      <c r="I61" s="111" t="str">
        <f t="shared" si="2"/>
        <v/>
      </c>
      <c r="J61" s="68"/>
      <c r="K61" s="68"/>
      <c r="L61" s="69"/>
      <c r="N61" s="665"/>
      <c r="O61" s="231"/>
      <c r="P61" s="232"/>
      <c r="Q61" s="233"/>
      <c r="R61" s="233"/>
      <c r="S61" s="233"/>
      <c r="T61" s="233"/>
      <c r="U61" s="233"/>
      <c r="V61" s="233"/>
      <c r="W61" s="233"/>
      <c r="X61" s="234"/>
      <c r="Y61" s="234"/>
      <c r="Z61" s="234"/>
      <c r="AA61" s="234"/>
      <c r="AB61" s="234"/>
      <c r="AC61" s="233"/>
      <c r="AD61" s="365"/>
      <c r="AE61" s="366"/>
      <c r="AF61" s="233"/>
      <c r="AG61" s="233"/>
      <c r="AH61" s="233"/>
      <c r="AI61" s="670"/>
    </row>
    <row r="62" spans="1:35" s="37" customFormat="1" ht="24" customHeight="1">
      <c r="A62" s="36"/>
      <c r="B62" s="36"/>
      <c r="C62" s="112"/>
      <c r="D62" s="144"/>
      <c r="E62" s="109"/>
      <c r="F62" s="289"/>
      <c r="G62" s="125"/>
      <c r="H62" s="143"/>
      <c r="I62" s="111" t="str">
        <f t="shared" si="2"/>
        <v/>
      </c>
      <c r="J62" s="68"/>
      <c r="K62" s="68"/>
      <c r="L62" s="69"/>
      <c r="N62" s="665"/>
      <c r="O62" s="231"/>
      <c r="P62" s="232"/>
      <c r="Q62" s="233"/>
      <c r="R62" s="233"/>
      <c r="S62" s="233"/>
      <c r="T62" s="233"/>
      <c r="U62" s="233"/>
      <c r="V62" s="233"/>
      <c r="W62" s="233"/>
      <c r="X62" s="234"/>
      <c r="Y62" s="234"/>
      <c r="Z62" s="234"/>
      <c r="AA62" s="234"/>
      <c r="AB62" s="234"/>
      <c r="AC62" s="233"/>
      <c r="AD62" s="365"/>
      <c r="AE62" s="366"/>
      <c r="AF62" s="233"/>
      <c r="AG62" s="233"/>
      <c r="AH62" s="233"/>
      <c r="AI62" s="670"/>
    </row>
    <row r="63" spans="1:35" s="37" customFormat="1" ht="24" customHeight="1">
      <c r="A63" s="36"/>
      <c r="B63" s="36"/>
      <c r="C63" s="112"/>
      <c r="D63" s="144"/>
      <c r="E63" s="109"/>
      <c r="F63" s="289"/>
      <c r="G63" s="125"/>
      <c r="H63" s="143"/>
      <c r="I63" s="111" t="str">
        <f t="shared" si="2"/>
        <v/>
      </c>
      <c r="J63" s="68"/>
      <c r="K63" s="68"/>
      <c r="L63" s="69"/>
      <c r="N63" s="665"/>
      <c r="O63" s="231"/>
      <c r="P63" s="232"/>
      <c r="Q63" s="233"/>
      <c r="R63" s="233"/>
      <c r="S63" s="233"/>
      <c r="T63" s="233"/>
      <c r="U63" s="233"/>
      <c r="V63" s="233"/>
      <c r="W63" s="233"/>
      <c r="X63" s="234"/>
      <c r="Y63" s="234"/>
      <c r="Z63" s="234"/>
      <c r="AA63" s="234"/>
      <c r="AB63" s="234"/>
      <c r="AC63" s="233"/>
      <c r="AD63" s="365"/>
      <c r="AE63" s="366"/>
      <c r="AF63" s="233"/>
      <c r="AG63" s="233"/>
      <c r="AH63" s="233"/>
      <c r="AI63" s="670"/>
    </row>
    <row r="64" spans="1:35" s="37" customFormat="1" ht="24" customHeight="1">
      <c r="A64" s="36"/>
      <c r="B64" s="36"/>
      <c r="C64" s="112"/>
      <c r="D64" s="144"/>
      <c r="E64" s="109"/>
      <c r="F64" s="289"/>
      <c r="G64" s="125"/>
      <c r="H64" s="143"/>
      <c r="I64" s="111" t="str">
        <f t="shared" si="2"/>
        <v/>
      </c>
      <c r="J64" s="68"/>
      <c r="K64" s="68"/>
      <c r="L64" s="69"/>
      <c r="N64" s="665"/>
      <c r="O64" s="231"/>
      <c r="P64" s="232"/>
      <c r="Q64" s="233"/>
      <c r="R64" s="233"/>
      <c r="S64" s="233"/>
      <c r="T64" s="233"/>
      <c r="U64" s="233"/>
      <c r="V64" s="233"/>
      <c r="W64" s="233"/>
      <c r="X64" s="234"/>
      <c r="Y64" s="234"/>
      <c r="Z64" s="234"/>
      <c r="AA64" s="234"/>
      <c r="AB64" s="234"/>
      <c r="AC64" s="233"/>
      <c r="AD64" s="365"/>
      <c r="AE64" s="366"/>
      <c r="AF64" s="233"/>
      <c r="AG64" s="233"/>
      <c r="AH64" s="233"/>
      <c r="AI64" s="670"/>
    </row>
    <row r="65" spans="1:35" s="37" customFormat="1" ht="24" customHeight="1">
      <c r="A65" s="36"/>
      <c r="B65" s="36"/>
      <c r="C65" s="112"/>
      <c r="D65" s="144"/>
      <c r="E65" s="109"/>
      <c r="F65" s="289"/>
      <c r="G65" s="125"/>
      <c r="H65" s="143"/>
      <c r="I65" s="111" t="str">
        <f t="shared" si="2"/>
        <v/>
      </c>
      <c r="J65" s="68"/>
      <c r="K65" s="68"/>
      <c r="L65" s="69"/>
      <c r="N65" s="665"/>
      <c r="O65" s="231"/>
      <c r="P65" s="232"/>
      <c r="Q65" s="233"/>
      <c r="R65" s="233"/>
      <c r="S65" s="233"/>
      <c r="T65" s="233"/>
      <c r="U65" s="233"/>
      <c r="V65" s="233"/>
      <c r="W65" s="233"/>
      <c r="X65" s="234"/>
      <c r="Y65" s="234"/>
      <c r="Z65" s="234"/>
      <c r="AA65" s="234"/>
      <c r="AB65" s="234"/>
      <c r="AC65" s="233"/>
      <c r="AD65" s="365"/>
      <c r="AE65" s="366"/>
      <c r="AF65" s="233"/>
      <c r="AG65" s="233"/>
      <c r="AH65" s="233"/>
      <c r="AI65" s="670"/>
    </row>
    <row r="66" spans="1:35" s="37" customFormat="1" ht="24" customHeight="1">
      <c r="A66" s="36"/>
      <c r="B66" s="36"/>
      <c r="C66" s="112"/>
      <c r="D66" s="144"/>
      <c r="E66" s="109"/>
      <c r="F66" s="289"/>
      <c r="G66" s="125"/>
      <c r="H66" s="143"/>
      <c r="I66" s="111" t="str">
        <f t="shared" si="2"/>
        <v/>
      </c>
      <c r="J66" s="68"/>
      <c r="K66" s="68"/>
      <c r="L66" s="69"/>
      <c r="N66" s="665"/>
      <c r="O66" s="231"/>
      <c r="P66" s="232"/>
      <c r="Q66" s="233"/>
      <c r="R66" s="233"/>
      <c r="S66" s="233"/>
      <c r="T66" s="233"/>
      <c r="U66" s="233"/>
      <c r="V66" s="233"/>
      <c r="W66" s="233"/>
      <c r="X66" s="234"/>
      <c r="Y66" s="234"/>
      <c r="Z66" s="234"/>
      <c r="AA66" s="234"/>
      <c r="AB66" s="234"/>
      <c r="AC66" s="233"/>
      <c r="AD66" s="365"/>
      <c r="AE66" s="366"/>
      <c r="AF66" s="233"/>
      <c r="AG66" s="233"/>
      <c r="AH66" s="233"/>
      <c r="AI66" s="670"/>
    </row>
    <row r="67" spans="1:35" s="37" customFormat="1" ht="24" customHeight="1">
      <c r="A67" s="36"/>
      <c r="B67" s="36"/>
      <c r="C67" s="112"/>
      <c r="D67" s="144"/>
      <c r="E67" s="109"/>
      <c r="F67" s="289"/>
      <c r="G67" s="125"/>
      <c r="H67" s="143"/>
      <c r="I67" s="111" t="str">
        <f t="shared" si="2"/>
        <v/>
      </c>
      <c r="J67" s="68"/>
      <c r="K67" s="68"/>
      <c r="L67" s="69"/>
      <c r="N67" s="665"/>
      <c r="O67" s="231"/>
      <c r="P67" s="232"/>
      <c r="Q67" s="233"/>
      <c r="R67" s="233"/>
      <c r="S67" s="233"/>
      <c r="T67" s="233"/>
      <c r="U67" s="233"/>
      <c r="V67" s="233"/>
      <c r="W67" s="233"/>
      <c r="X67" s="234"/>
      <c r="Y67" s="234"/>
      <c r="Z67" s="234"/>
      <c r="AA67" s="234"/>
      <c r="AB67" s="234"/>
      <c r="AC67" s="233"/>
      <c r="AD67" s="365"/>
      <c r="AE67" s="366"/>
      <c r="AF67" s="233"/>
      <c r="AG67" s="233"/>
      <c r="AH67" s="233"/>
      <c r="AI67" s="670"/>
    </row>
    <row r="68" spans="1:35" s="37" customFormat="1" ht="24" customHeight="1">
      <c r="A68" s="36"/>
      <c r="B68" s="36"/>
      <c r="C68" s="112"/>
      <c r="D68" s="144"/>
      <c r="E68" s="109"/>
      <c r="F68" s="289"/>
      <c r="G68" s="125"/>
      <c r="H68" s="143"/>
      <c r="I68" s="111" t="str">
        <f t="shared" si="2"/>
        <v/>
      </c>
      <c r="J68" s="68"/>
      <c r="K68" s="68"/>
      <c r="L68" s="69"/>
      <c r="N68" s="665"/>
      <c r="O68" s="231"/>
      <c r="P68" s="232"/>
      <c r="Q68" s="233"/>
      <c r="R68" s="233"/>
      <c r="S68" s="233"/>
      <c r="T68" s="233"/>
      <c r="U68" s="233"/>
      <c r="V68" s="233"/>
      <c r="W68" s="233"/>
      <c r="X68" s="234"/>
      <c r="Y68" s="234"/>
      <c r="Z68" s="234"/>
      <c r="AA68" s="234"/>
      <c r="AB68" s="234"/>
      <c r="AC68" s="233"/>
      <c r="AD68" s="365"/>
      <c r="AE68" s="366"/>
      <c r="AF68" s="233"/>
      <c r="AG68" s="233"/>
      <c r="AH68" s="233"/>
      <c r="AI68" s="670"/>
    </row>
    <row r="69" spans="1:35" s="37" customFormat="1" ht="24" customHeight="1">
      <c r="A69" s="36"/>
      <c r="B69" s="36"/>
      <c r="C69" s="112"/>
      <c r="D69" s="144"/>
      <c r="E69" s="109"/>
      <c r="F69" s="289"/>
      <c r="G69" s="125"/>
      <c r="H69" s="143"/>
      <c r="I69" s="111" t="str">
        <f t="shared" si="2"/>
        <v/>
      </c>
      <c r="J69" s="68"/>
      <c r="K69" s="68"/>
      <c r="L69" s="69"/>
      <c r="N69" s="665"/>
      <c r="O69" s="231"/>
      <c r="P69" s="232"/>
      <c r="Q69" s="233"/>
      <c r="R69" s="233"/>
      <c r="S69" s="233"/>
      <c r="T69" s="233"/>
      <c r="U69" s="233"/>
      <c r="V69" s="233"/>
      <c r="W69" s="233"/>
      <c r="X69" s="234"/>
      <c r="Y69" s="234"/>
      <c r="Z69" s="234"/>
      <c r="AA69" s="234"/>
      <c r="AB69" s="234"/>
      <c r="AC69" s="233"/>
      <c r="AD69" s="365"/>
      <c r="AE69" s="366"/>
      <c r="AF69" s="233"/>
      <c r="AG69" s="233"/>
      <c r="AH69" s="233"/>
      <c r="AI69" s="670"/>
    </row>
    <row r="70" spans="1:35" ht="24" customHeight="1" thickBot="1">
      <c r="A70" s="36"/>
      <c r="B70" s="36"/>
      <c r="C70" s="113"/>
      <c r="D70" s="99" t="s">
        <v>9</v>
      </c>
      <c r="E70" s="114"/>
      <c r="F70" s="290"/>
      <c r="G70" s="127"/>
      <c r="H70" s="137" t="s">
        <v>110</v>
      </c>
      <c r="I70" s="115">
        <f>SUM(I52:I69)</f>
        <v>0</v>
      </c>
      <c r="J70" s="99" t="s">
        <v>111</v>
      </c>
      <c r="K70" s="99"/>
      <c r="L70" s="129"/>
      <c r="O70" s="231"/>
      <c r="P70" s="232"/>
      <c r="Q70" s="233"/>
      <c r="R70" s="233"/>
      <c r="S70" s="233"/>
      <c r="T70" s="233"/>
      <c r="U70" s="233"/>
      <c r="V70" s="233"/>
      <c r="W70" s="233"/>
      <c r="X70" s="234"/>
      <c r="Y70" s="234"/>
      <c r="Z70" s="234"/>
      <c r="AA70" s="234"/>
      <c r="AB70" s="234"/>
      <c r="AC70" s="233"/>
      <c r="AD70" s="365"/>
      <c r="AE70" s="366"/>
      <c r="AF70" s="233"/>
      <c r="AG70" s="233"/>
      <c r="AH70" s="233"/>
      <c r="AI70" s="670"/>
    </row>
    <row r="71" spans="1:35" ht="14.25" customHeight="1">
      <c r="D71" s="131"/>
      <c r="E71" s="130" t="s">
        <v>108</v>
      </c>
      <c r="F71" s="131">
        <f>+F48+1</f>
        <v>3</v>
      </c>
      <c r="G71" s="132" t="s">
        <v>109</v>
      </c>
      <c r="H71" s="133">
        <f>+$H$25</f>
        <v>11</v>
      </c>
      <c r="I71" s="133"/>
      <c r="M71" s="31" t="str">
        <f>IF(A73="","EOL","")</f>
        <v>EOL</v>
      </c>
      <c r="N71" s="6">
        <f>+F71</f>
        <v>3</v>
      </c>
      <c r="O71" s="1"/>
      <c r="P71" s="1"/>
    </row>
    <row r="72" spans="1:35" ht="26.1" customHeight="1">
      <c r="O72" s="230"/>
      <c r="P72" s="230"/>
      <c r="Q72" s="230"/>
      <c r="R72" s="230"/>
      <c r="S72" s="230"/>
      <c r="T72" s="230"/>
      <c r="U72" s="230"/>
      <c r="V72" s="230"/>
      <c r="W72" s="230"/>
      <c r="X72" s="230"/>
      <c r="Y72" s="230"/>
      <c r="Z72" s="230"/>
      <c r="AA72" s="230"/>
    </row>
    <row r="73" spans="1:35" ht="26.1" customHeight="1">
      <c r="O73" s="225"/>
      <c r="P73" s="225"/>
      <c r="Q73" s="226"/>
      <c r="R73" s="227"/>
      <c r="S73" s="228"/>
      <c r="T73" s="228"/>
      <c r="U73" s="226"/>
      <c r="V73" s="226"/>
      <c r="W73" s="228"/>
      <c r="X73" s="225"/>
      <c r="Y73" s="225"/>
      <c r="Z73" s="225"/>
      <c r="AA73" s="225"/>
    </row>
    <row r="74" spans="1:35" ht="26.1" customHeight="1">
      <c r="O74" s="229"/>
      <c r="P74" s="229"/>
      <c r="Q74" s="226"/>
      <c r="R74" s="226"/>
      <c r="S74" s="226"/>
      <c r="T74" s="226"/>
      <c r="U74" s="226"/>
      <c r="V74" s="226"/>
      <c r="W74" s="226"/>
      <c r="X74" s="226"/>
      <c r="Y74" s="226"/>
      <c r="Z74" s="226"/>
      <c r="AA74" s="226"/>
    </row>
    <row r="75" spans="1:35" ht="26.1" customHeight="1">
      <c r="O75" s="229"/>
      <c r="P75" s="229"/>
      <c r="Q75" s="226"/>
      <c r="R75" s="226"/>
      <c r="S75" s="226"/>
      <c r="T75" s="226"/>
      <c r="U75" s="226"/>
      <c r="V75" s="226"/>
      <c r="W75" s="226"/>
      <c r="X75" s="226"/>
      <c r="Y75" s="226"/>
      <c r="Z75" s="226"/>
      <c r="AA75" s="226"/>
    </row>
    <row r="76" spans="1:35" ht="26.1" customHeight="1">
      <c r="O76" s="229"/>
      <c r="P76" s="229"/>
      <c r="Q76" s="226"/>
      <c r="R76" s="226"/>
      <c r="S76" s="226"/>
      <c r="T76" s="226"/>
      <c r="U76" s="226"/>
      <c r="V76" s="226"/>
      <c r="W76" s="226"/>
      <c r="X76" s="226"/>
      <c r="Y76" s="226"/>
      <c r="Z76" s="226"/>
      <c r="AA76" s="226"/>
    </row>
    <row r="77" spans="1:35" ht="26.1" customHeight="1">
      <c r="O77" s="229"/>
      <c r="P77" s="229"/>
      <c r="Q77" s="226"/>
      <c r="R77" s="226"/>
      <c r="S77" s="226"/>
      <c r="T77" s="226"/>
      <c r="U77" s="226"/>
      <c r="V77" s="226"/>
      <c r="W77" s="226"/>
      <c r="X77" s="226"/>
      <c r="Y77" s="226"/>
      <c r="Z77" s="226"/>
      <c r="AA77" s="226"/>
    </row>
    <row r="78" spans="1:35" ht="26.1" customHeight="1">
      <c r="O78" s="229"/>
      <c r="P78" s="229"/>
      <c r="Q78" s="226"/>
      <c r="R78" s="226"/>
      <c r="S78" s="226"/>
      <c r="T78" s="226"/>
      <c r="U78" s="226"/>
      <c r="V78" s="226"/>
      <c r="W78" s="226"/>
      <c r="X78" s="226"/>
      <c r="Y78" s="226"/>
      <c r="Z78" s="226"/>
      <c r="AA78" s="226"/>
    </row>
    <row r="79" spans="1:35" ht="26.1" customHeight="1">
      <c r="O79" s="229"/>
      <c r="P79" s="229"/>
      <c r="Q79" s="226"/>
      <c r="R79" s="226"/>
      <c r="S79" s="226"/>
      <c r="T79" s="226"/>
      <c r="U79" s="226"/>
      <c r="V79" s="226"/>
      <c r="W79" s="226"/>
      <c r="X79" s="226"/>
      <c r="Y79" s="226"/>
      <c r="Z79" s="226"/>
      <c r="AA79" s="226"/>
    </row>
    <row r="80" spans="1:35" ht="26.1" customHeight="1">
      <c r="O80" s="229"/>
      <c r="P80" s="229"/>
      <c r="Q80" s="226"/>
      <c r="R80" s="226"/>
      <c r="S80" s="226"/>
      <c r="T80" s="226"/>
      <c r="U80" s="226"/>
      <c r="V80" s="226"/>
      <c r="W80" s="226"/>
      <c r="X80" s="226"/>
      <c r="Y80" s="226"/>
      <c r="Z80" s="226"/>
      <c r="AA80" s="226"/>
    </row>
    <row r="81" spans="15:27" ht="26.1" customHeight="1">
      <c r="O81" s="229"/>
      <c r="P81" s="229"/>
      <c r="Q81" s="226"/>
      <c r="R81" s="226"/>
      <c r="S81" s="226"/>
      <c r="T81" s="226"/>
      <c r="U81" s="226"/>
      <c r="V81" s="226"/>
      <c r="W81" s="226"/>
      <c r="X81" s="226"/>
      <c r="Y81" s="226"/>
      <c r="Z81" s="226"/>
      <c r="AA81" s="226"/>
    </row>
    <row r="82" spans="15:27" ht="26.1" customHeight="1">
      <c r="O82" s="229"/>
      <c r="P82" s="229"/>
      <c r="Q82" s="226"/>
      <c r="R82" s="226"/>
      <c r="S82" s="226"/>
      <c r="T82" s="226"/>
      <c r="U82" s="226"/>
      <c r="V82" s="226"/>
      <c r="W82" s="226"/>
      <c r="X82" s="226"/>
      <c r="Y82" s="226"/>
      <c r="Z82" s="226"/>
      <c r="AA82" s="226"/>
    </row>
    <row r="83" spans="15:27" ht="26.1" customHeight="1">
      <c r="O83" s="229"/>
      <c r="P83" s="229"/>
      <c r="Q83" s="226"/>
      <c r="R83" s="226"/>
      <c r="S83" s="226"/>
      <c r="T83" s="226"/>
      <c r="U83" s="226"/>
      <c r="V83" s="226"/>
      <c r="W83" s="226"/>
      <c r="X83" s="226"/>
      <c r="Y83" s="226"/>
      <c r="Z83" s="226"/>
      <c r="AA83" s="226"/>
    </row>
    <row r="84" spans="15:27" ht="26.1" customHeight="1">
      <c r="O84" s="229"/>
      <c r="P84" s="229"/>
      <c r="Q84" s="226"/>
      <c r="R84" s="226"/>
      <c r="S84" s="226"/>
      <c r="T84" s="226"/>
      <c r="U84" s="226"/>
      <c r="V84" s="226"/>
      <c r="W84" s="226"/>
      <c r="X84" s="226"/>
      <c r="Y84" s="226"/>
      <c r="Z84" s="226"/>
      <c r="AA84" s="226"/>
    </row>
    <row r="85" spans="15:27" ht="26.1" customHeight="1">
      <c r="O85" s="229"/>
      <c r="P85" s="229"/>
      <c r="Q85" s="226"/>
      <c r="R85" s="226"/>
      <c r="S85" s="226"/>
      <c r="T85" s="226"/>
      <c r="U85" s="226"/>
      <c r="V85" s="226"/>
      <c r="W85" s="226"/>
      <c r="X85" s="226"/>
      <c r="Y85" s="226"/>
      <c r="Z85" s="226"/>
      <c r="AA85" s="226"/>
    </row>
    <row r="86" spans="15:27" ht="26.1" customHeight="1">
      <c r="O86" s="229"/>
      <c r="P86" s="229"/>
      <c r="Q86" s="226"/>
      <c r="R86" s="226"/>
      <c r="S86" s="226"/>
      <c r="T86" s="226"/>
      <c r="U86" s="226"/>
      <c r="V86" s="226"/>
      <c r="W86" s="226"/>
      <c r="X86" s="226"/>
      <c r="Y86" s="226"/>
      <c r="Z86" s="226"/>
      <c r="AA86" s="226"/>
    </row>
    <row r="87" spans="15:27" ht="26.1" customHeight="1">
      <c r="O87" s="229"/>
      <c r="P87" s="229"/>
      <c r="Q87" s="226"/>
      <c r="R87" s="226"/>
      <c r="S87" s="226"/>
      <c r="T87" s="226"/>
      <c r="U87" s="226"/>
      <c r="V87" s="226"/>
      <c r="W87" s="226"/>
      <c r="X87" s="226"/>
      <c r="Y87" s="226"/>
      <c r="Z87" s="226"/>
      <c r="AA87" s="226"/>
    </row>
    <row r="88" spans="15:27" ht="26.1" customHeight="1">
      <c r="O88" s="229"/>
      <c r="P88" s="229"/>
      <c r="Q88" s="226"/>
      <c r="R88" s="226"/>
      <c r="S88" s="226"/>
      <c r="T88" s="226"/>
      <c r="U88" s="226"/>
      <c r="V88" s="226"/>
      <c r="W88" s="226"/>
      <c r="X88" s="226"/>
      <c r="Y88" s="226"/>
      <c r="Z88" s="226"/>
      <c r="AA88" s="226"/>
    </row>
    <row r="89" spans="15:27" ht="26.1" customHeight="1">
      <c r="O89" s="229"/>
      <c r="P89" s="229"/>
      <c r="Q89" s="226"/>
      <c r="R89" s="226"/>
      <c r="S89" s="226"/>
      <c r="T89" s="226"/>
      <c r="U89" s="226"/>
      <c r="V89" s="226"/>
      <c r="W89" s="226"/>
      <c r="X89" s="226"/>
      <c r="Y89" s="226"/>
      <c r="Z89" s="226"/>
      <c r="AA89" s="226"/>
    </row>
    <row r="90" spans="15:27" ht="26.1" customHeight="1">
      <c r="O90" s="229"/>
      <c r="P90" s="229"/>
      <c r="Q90" s="226"/>
      <c r="R90" s="226"/>
      <c r="S90" s="226"/>
      <c r="T90" s="226"/>
      <c r="U90" s="226"/>
      <c r="V90" s="226"/>
      <c r="W90" s="226"/>
      <c r="X90" s="226"/>
      <c r="Y90" s="226"/>
      <c r="Z90" s="226"/>
      <c r="AA90" s="226"/>
    </row>
    <row r="91" spans="15:27" ht="26.1" customHeight="1">
      <c r="O91" s="229"/>
      <c r="P91" s="229"/>
      <c r="Q91" s="226"/>
      <c r="R91" s="226"/>
      <c r="S91" s="226"/>
      <c r="T91" s="226"/>
      <c r="U91" s="226"/>
      <c r="V91" s="226"/>
      <c r="W91" s="226"/>
      <c r="X91" s="226"/>
      <c r="Y91" s="226"/>
      <c r="Z91" s="226"/>
      <c r="AA91" s="226"/>
    </row>
    <row r="92" spans="15:27" ht="26.1" customHeight="1">
      <c r="O92" s="229"/>
      <c r="P92" s="229"/>
      <c r="Q92" s="226"/>
      <c r="R92" s="226"/>
      <c r="S92" s="226"/>
      <c r="T92" s="226"/>
      <c r="U92" s="226"/>
      <c r="V92" s="226"/>
      <c r="W92" s="226"/>
      <c r="X92" s="226"/>
      <c r="Y92" s="226"/>
      <c r="Z92" s="226"/>
      <c r="AA92" s="226"/>
    </row>
    <row r="93" spans="15:27" ht="26.1" customHeight="1">
      <c r="O93" s="229"/>
      <c r="P93" s="229"/>
      <c r="Q93" s="226"/>
      <c r="R93" s="226"/>
      <c r="S93" s="226"/>
      <c r="T93" s="226"/>
      <c r="U93" s="226"/>
      <c r="V93" s="226"/>
      <c r="W93" s="226"/>
      <c r="X93" s="226"/>
      <c r="Y93" s="226"/>
      <c r="Z93" s="226"/>
      <c r="AA93" s="226"/>
    </row>
    <row r="94" spans="15:27" ht="26.1" customHeight="1">
      <c r="O94" s="1"/>
      <c r="P94" s="1"/>
    </row>
  </sheetData>
  <mergeCells count="11">
    <mergeCell ref="O3:AH3"/>
    <mergeCell ref="O26:AH26"/>
    <mergeCell ref="O49:AH49"/>
    <mergeCell ref="J51:L51"/>
    <mergeCell ref="C3:L3"/>
    <mergeCell ref="C26:L26"/>
    <mergeCell ref="C49:L49"/>
    <mergeCell ref="J50:L50"/>
    <mergeCell ref="J5:L5"/>
    <mergeCell ref="J4:L4"/>
    <mergeCell ref="J27:L27"/>
  </mergeCells>
  <phoneticPr fontId="3"/>
  <printOptions horizontalCentered="1" verticalCentered="1"/>
  <pageMargins left="0.39370078740157483" right="0.39370078740157483" top="0.78740157480314965" bottom="0.19685039370078741" header="0.51181102362204722" footer="0.51181102362204722"/>
  <pageSetup paperSize="9" orientation="portrait" r:id="rId1"/>
  <headerFooter alignWithMargins="0"/>
  <rowBreaks count="1" manualBreakCount="1">
    <brk id="2" max="16383" man="1"/>
  </rowBreaks>
</worksheet>
</file>

<file path=OriginalRibbon/OriginalRibbon.xml><?xml version="1.0" encoding="utf-8"?>
<customUI xmlns="http://schemas.microsoft.com/office/2006/01/customui">
  <ribbon>
    <tabs>
      <tab id="myTab" label="明細">
        <group id="myGroup1" label="明細書">
          <button id="mybutton1" size="large" label="単価表呼出" imageMso="SharePointListsWorkOffline" onAction="Macro1" screentip="単価表による入力を行います。"/>
          <separator id="separator1"/>
          <button id="mybutton2" label="現在の位置に単票を追加" imageMso="CellsInsertDialog" onAction="Macro1" screentip="現在の位置に明細書単票を追加します。"/>
          <button id="mybutton3" label="最終行に単票を追加" imageMso="TableOfAuthoritiesInsert" onAction="Macro1" screentip="現在のシートの最終行に明細書単票を追加します。"/>
          <button id="mybutton4" label="明細シートを追加" imageMso="CreateQueryFromWizard" onAction="Macro1" screentip="明細書シートを追加します。"/>
          <separator id="separator2"/>
          <button id="mybutton5" label="現在の位置の単票を削除" imageMso="CellsDelete" onAction="Macro1" screentip="現在の位置の明細書単票を削除します。"/>
          <button id="mybutton6" label="最終行の単票を削除" imageMso="QueryDelete" onAction="Macro1" screentip="現在のシートの最終行の明細書単票を削除します。"/>
          <button id="mybutton7" label="明細シートを削除" imageMso="SheetDelete" onAction="Macro1" screentip="明細書シートを削除します。"/>
        </group>
        <group id="myGroup2" label="見積比較書">
          <button id="mybutton8" label="単票の追加" imageMso="TableRowsInsertBelowExcel" onAction="Macro1" screentip="現在の位置に見積比較書を追加します。"/>
          <button id="mybutton9" label="単票の削除" imageMso="TableRowsDeleteExcel" onAction="Macro1" screentip="現在の位置の見積比較書を削除します。"/>
        </group>
        <group id="myGroup3" label="印刷">
          <button id="mybutton10" size="large" label="明細書印刷" imageMso="FilePrint" onAction="Macro1" screentip="明細書を印刷します。"/>
          <separator id="separator3"/>
          <box id="box1" boxStyle="vertical">
            <button id="mybutton11" label="見積比較書印刷" imageMso="PrintOptionsMenu" onAction="Macro1" screentip="見積比較書を印刷します。"/>
            <button id="mybutton12" label="小運搬表印刷" imageMso="PrintAreaMenu" onAction="Macro1" screentip="小運搬表を印刷します。"/>
          </box>
          <separator id="separator4"/>
          <box id="box2" boxStyle="vertical">
            <button id="mybutton13" getVisible="getVisibleCallback1" label="諸経費表印刷" onAction="Macro1" screentip="諸経費表を印刷します。"/>
            <button id="mybutton14" getVisible="getVisibleCallback1" label="代価歩掛印刷" onAction="Macro1" screentip="代価歩掛を印刷します。"/>
          </box>
        </group>
        <group id="myGroup4" label="補助">
          <button id="mybutton15" size="large" label="小運搬表　作成　" imageMso="DatabaseLinedTableManager" onAction="Macro1" screentip="小運搬表を作成します。"/>
          <button id="mybutton16" label="ｼｰﾄ先頭ﾍﾟｰｼﾞに工種記入" imageMso="Refresh" onAction="Macro1" screentip="シートの先頭ページに、工種を記入しなおします。"/>
          <button id="mybutton17" getVisible="getVisibleCallback1" label="保障(範囲指定後)" imageMso="DistributionListAddNewMember" onAction="Macro1" screentip="保障対象範囲を指定後、使用してください。"/>
          <button id="mybutton18" getVisible="getVisibleCallback1" label="単価一括代入" imageMso="QueryBuilder" onAction="Macro1" screentip="ﾊｲﾘｽｸ・ﾊｲﾘﾀｰﾝ！ 気をつけて使いましょう！"/>
        </group>
        <group id="myGroup5" label="見積用">
          <button id="mybutton19" getVisible="getVisibleCallback2" label="見積担当者用に変更" imageMso="RecurrenceEdit" onAction="Macro1" screentip="見積担当者以外はさわらないでください。"/>
          <button id="mybutton20" getVisible="getVisibleCallback1" label="設計担当者用に変更" imageMso="RecurrenceEdit" onAction="Macro1" screentip="設計担当者用に戻します。"/>
          <button id="mybutton21" getVisible="getVisibleCallback1" label="現場送付用に変更" imageMso="GoTo" onAction="Macro1" screentip="単価等を貼付け、現場送付用に変更します。（注意！：ﾏｸﾛ等一部使用できなくなります。）"/>
        </group>
        <group id="myGroup6" label="ヘルプ">
          <button id="mybutton22" label="ヘルプ・使い方" imageMso="Help" onAction="Macro1" screentip="ごめんなさい。m(_ _)m 旧ﾊﾞｰｼﾞｮﾝのままです…。基本は同じなので参考としてください。"/>
          <button id="mybutton23" label="バージョン情報" imageMso="Info" onAction="Macro1" screentip="ﾊﾞｰｼﾞｮﾝ情報"/>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11</vt:i4>
      </vt:variant>
    </vt:vector>
  </HeadingPairs>
  <TitlesOfParts>
    <vt:vector size="26" baseType="lpstr">
      <vt:lpstr>表紙</vt:lpstr>
      <vt:lpstr>資産管理明細書</vt:lpstr>
      <vt:lpstr>資産クラス</vt:lpstr>
      <vt:lpstr>工事1</vt:lpstr>
      <vt:lpstr>代価</vt:lpstr>
      <vt:lpstr>小運搬</vt:lpstr>
      <vt:lpstr>見積比較</vt:lpstr>
      <vt:lpstr>代価一覧</vt:lpstr>
      <vt:lpstr>資産クラス一覧表</vt:lpstr>
      <vt:lpstr>入力規則マスタ</vt:lpstr>
      <vt:lpstr>諸経費表</vt:lpstr>
      <vt:lpstr>諸経費表(専業工事用)</vt:lpstr>
      <vt:lpstr>随契差引諸経費表</vt:lpstr>
      <vt:lpstr>work</vt:lpstr>
      <vt:lpstr>新規シート</vt:lpstr>
      <vt:lpstr>work!Print_Area</vt:lpstr>
      <vt:lpstr>見積比較!Print_Area</vt:lpstr>
      <vt:lpstr>工事1!Print_Area</vt:lpstr>
      <vt:lpstr>資産クラス!Print_Area</vt:lpstr>
      <vt:lpstr>資産管理明細書!Print_Area</vt:lpstr>
      <vt:lpstr>諸経費表!Print_Area</vt:lpstr>
      <vt:lpstr>'諸経費表(専業工事用)'!Print_Area</vt:lpstr>
      <vt:lpstr>随契差引諸経費表!Print_Area</vt:lpstr>
      <vt:lpstr>代価!Print_Area</vt:lpstr>
      <vt:lpstr>入力規則マスタ!Print_Area</vt:lpstr>
      <vt:lpstr>表紙!Print_Area</vt:lpstr>
    </vt:vector>
  </TitlesOfParts>
  <Manager>古田　順正</Manager>
  <Company>大阪市交通局</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参考明細作成</dc:title>
  <dc:creator>建築企画担当</dc:creator>
  <dc:description>参考明細作成用のVBA付き</dc:description>
  <cp:lastModifiedBy>鹿島　浩</cp:lastModifiedBy>
  <cp:lastPrinted>2020-06-09T23:58:15Z</cp:lastPrinted>
  <dcterms:created xsi:type="dcterms:W3CDTF">2000-06-20T23:47:24Z</dcterms:created>
  <dcterms:modified xsi:type="dcterms:W3CDTF">2020-07-06T01:02:41Z</dcterms:modified>
</cp:coreProperties>
</file>