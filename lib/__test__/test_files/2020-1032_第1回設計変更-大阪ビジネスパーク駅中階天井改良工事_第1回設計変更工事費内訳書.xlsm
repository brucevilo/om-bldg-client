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611317\Desktop\建築資産管理etc\工事積算業務\OMS設計案件\2020-1032_大阪ビジネスパーク駅中階天井改良工事\第1回変更\"/>
    </mc:Choice>
  </mc:AlternateContent>
  <bookViews>
    <workbookView xWindow="-15" yWindow="3810" windowWidth="20520" windowHeight="3735" tabRatio="717"/>
  </bookViews>
  <sheets>
    <sheet name="表紙" sheetId="6" r:id="rId1"/>
    <sheet name="資産管理明細書" sheetId="33" r:id="rId2"/>
    <sheet name="資産クラス" sheetId="35" state="hidden" r:id="rId3"/>
    <sheet name="工事1" sheetId="1" r:id="rId4"/>
    <sheet name="資産クラス一覧表" sheetId="36" state="hidden" r:id="rId5"/>
    <sheet name="小運搬 (1)" sheetId="40" r:id="rId6"/>
    <sheet name="工事2" sheetId="41" r:id="rId7"/>
    <sheet name="小運搬 (2)" sheetId="42" r:id="rId8"/>
    <sheet name="変更諸経費表" sheetId="37" r:id="rId9"/>
    <sheet name="代価" sheetId="31" state="hidden" r:id="rId10"/>
    <sheet name="見積比較" sheetId="3" state="hidden" r:id="rId11"/>
    <sheet name="見積類似" sheetId="32" state="hidden" r:id="rId12"/>
    <sheet name="小運搬" sheetId="30" r:id="rId13"/>
    <sheet name="代価一覧" sheetId="7" state="hidden" r:id="rId14"/>
    <sheet name="変更諸経費表(専業)元" sheetId="38" state="hidden" r:id="rId15"/>
    <sheet name="変更諸経費表(専業)" sheetId="39" state="hidden" r:id="rId16"/>
    <sheet name="work" sheetId="8" state="hidden" r:id="rId17"/>
    <sheet name="新規シート" sheetId="9" state="hidden" r:id="rId18"/>
  </sheets>
  <functionGroups builtInGroupCount="18"/>
  <externalReferences>
    <externalReference r:id="rId19"/>
  </externalReferences>
  <definedNames>
    <definedName name="_xlnm.Print_Area" localSheetId="10">見積比較!$A:$O</definedName>
    <definedName name="_xlnm.Print_Area" localSheetId="11">見積類似!$A:$T</definedName>
    <definedName name="_xlnm.Print_Area" localSheetId="3">工事1!$A$72:$L$94</definedName>
    <definedName name="_xlnm.Print_Area" localSheetId="2">資産クラス!$A$1:$I$329</definedName>
    <definedName name="_xlnm.Print_Area" localSheetId="1">資産管理明細書!$A$3:$L$25</definedName>
    <definedName name="_xlnm.Print_Area" localSheetId="9">代価!$A:$L</definedName>
    <definedName name="_xlnm.Print_Area" localSheetId="8">変更諸経費表!$A$1:$N$471</definedName>
    <definedName name="_xlnm.Print_Area" localSheetId="15">'変更諸経費表(専業)'!$A$1:$N$469</definedName>
    <definedName name="_xlnm.Print_Area" localSheetId="14">'変更諸経費表(専業)元'!$A$1:$L$330</definedName>
    <definedName name="区分" localSheetId="6">#REF!</definedName>
    <definedName name="区分" localSheetId="2">#REF!</definedName>
    <definedName name="区分" localSheetId="4">#REF!</definedName>
    <definedName name="区分" localSheetId="5">#REF!</definedName>
    <definedName name="区分" localSheetId="7">#REF!</definedName>
    <definedName name="区分">#REF!</definedName>
    <definedName name="区分1">[1]Sheet2!$D$1:$D$19</definedName>
    <definedName name="分類">[1]Sheet2!$A$1:$A$2</definedName>
  </definedNames>
  <calcPr calcId="162913"/>
</workbook>
</file>

<file path=xl/calcChain.xml><?xml version="1.0" encoding="utf-8"?>
<calcChain xmlns="http://schemas.openxmlformats.org/spreadsheetml/2006/main">
  <c r="K47" i="6" l="1"/>
  <c r="J47" i="6"/>
  <c r="K45" i="6"/>
  <c r="J45" i="6"/>
  <c r="K43" i="6"/>
  <c r="J43" i="6"/>
  <c r="K33" i="6"/>
  <c r="K31" i="6"/>
  <c r="L31" i="6" l="1"/>
  <c r="L33" i="6"/>
  <c r="H33" i="6" s="1"/>
  <c r="F33" i="6" l="1"/>
  <c r="G33" i="6"/>
  <c r="I24" i="41"/>
  <c r="I21" i="41"/>
  <c r="I22" i="41" s="1"/>
  <c r="I20" i="41"/>
  <c r="G78" i="37"/>
  <c r="I19" i="41"/>
  <c r="H30" i="41"/>
  <c r="G14" i="37"/>
  <c r="G39" i="37"/>
  <c r="H3" i="37"/>
  <c r="H128" i="41"/>
  <c r="V32" i="42"/>
  <c r="U32" i="42"/>
  <c r="V31" i="42"/>
  <c r="U31" i="42"/>
  <c r="U27" i="42" s="1"/>
  <c r="J29" i="42"/>
  <c r="E29" i="42"/>
  <c r="W27" i="42"/>
  <c r="V27" i="42"/>
  <c r="T27" i="42"/>
  <c r="S27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H21" i="42"/>
  <c r="Z19" i="42"/>
  <c r="V19" i="42"/>
  <c r="R19" i="42"/>
  <c r="N19" i="42"/>
  <c r="J18" i="42"/>
  <c r="J17" i="42"/>
  <c r="J16" i="42"/>
  <c r="J15" i="42"/>
  <c r="J14" i="42"/>
  <c r="J13" i="42"/>
  <c r="J12" i="42"/>
  <c r="J9" i="42" s="1"/>
  <c r="J11" i="42"/>
  <c r="AA9" i="42"/>
  <c r="Z9" i="42"/>
  <c r="Y9" i="42"/>
  <c r="X9" i="42"/>
  <c r="W9" i="42"/>
  <c r="V9" i="42"/>
  <c r="U9" i="42"/>
  <c r="T9" i="42"/>
  <c r="S9" i="42"/>
  <c r="R9" i="42"/>
  <c r="Q9" i="42"/>
  <c r="P9" i="42"/>
  <c r="O9" i="42"/>
  <c r="N9" i="42"/>
  <c r="M9" i="42"/>
  <c r="L9" i="42"/>
  <c r="K9" i="42"/>
  <c r="I9" i="42"/>
  <c r="H9" i="42"/>
  <c r="V5" i="42"/>
  <c r="U5" i="42"/>
  <c r="T5" i="42"/>
  <c r="S5" i="42"/>
  <c r="V4" i="42"/>
  <c r="U4" i="42"/>
  <c r="T4" i="42"/>
  <c r="S4" i="42"/>
  <c r="N4" i="42"/>
  <c r="M4" i="42"/>
  <c r="L4" i="42"/>
  <c r="K4" i="42"/>
  <c r="V3" i="42"/>
  <c r="U3" i="42"/>
  <c r="T3" i="42"/>
  <c r="S3" i="42"/>
  <c r="N3" i="42"/>
  <c r="L3" i="42"/>
  <c r="K3" i="42"/>
  <c r="V2" i="42"/>
  <c r="U2" i="42"/>
  <c r="T2" i="42"/>
  <c r="S2" i="42"/>
  <c r="N2" i="42"/>
  <c r="L2" i="42"/>
  <c r="K2" i="42"/>
  <c r="C1" i="42"/>
  <c r="J29" i="30"/>
  <c r="E29" i="30"/>
  <c r="Z19" i="30"/>
  <c r="V19" i="30"/>
  <c r="R19" i="30"/>
  <c r="N19" i="30"/>
  <c r="J18" i="30"/>
  <c r="J17" i="30"/>
  <c r="J16" i="30"/>
  <c r="J15" i="30"/>
  <c r="J14" i="30"/>
  <c r="J13" i="30"/>
  <c r="J12" i="30"/>
  <c r="J11" i="30"/>
  <c r="C1" i="30"/>
  <c r="I128" i="41"/>
  <c r="I127" i="41"/>
  <c r="I125" i="41"/>
  <c r="I124" i="41"/>
  <c r="I122" i="41"/>
  <c r="I9" i="41"/>
  <c r="I8" i="41"/>
  <c r="I7" i="41"/>
  <c r="M117" i="41"/>
  <c r="M140" i="41"/>
  <c r="L139" i="41"/>
  <c r="J139" i="41"/>
  <c r="I138" i="41"/>
  <c r="I137" i="41"/>
  <c r="I136" i="41"/>
  <c r="I135" i="41"/>
  <c r="I134" i="41"/>
  <c r="I133" i="41"/>
  <c r="I132" i="41"/>
  <c r="I131" i="41"/>
  <c r="I130" i="41"/>
  <c r="I129" i="41"/>
  <c r="I126" i="41"/>
  <c r="I123" i="41"/>
  <c r="I121" i="41"/>
  <c r="I86" i="41"/>
  <c r="I85" i="41"/>
  <c r="I84" i="41"/>
  <c r="I83" i="41"/>
  <c r="I82" i="41"/>
  <c r="I80" i="41"/>
  <c r="I79" i="41"/>
  <c r="I78" i="41"/>
  <c r="I77" i="41"/>
  <c r="I76" i="41"/>
  <c r="M3" i="42" l="1"/>
  <c r="M2" i="42"/>
  <c r="I139" i="41"/>
  <c r="I10" i="41" s="1"/>
  <c r="I100" i="41" l="1"/>
  <c r="I57" i="41"/>
  <c r="I55" i="41"/>
  <c r="I54" i="41"/>
  <c r="M94" i="41" l="1"/>
  <c r="L116" i="41"/>
  <c r="K116" i="41"/>
  <c r="K139" i="41" s="1"/>
  <c r="J116" i="41"/>
  <c r="I115" i="41"/>
  <c r="I114" i="41"/>
  <c r="I113" i="41"/>
  <c r="I112" i="41"/>
  <c r="I111" i="41"/>
  <c r="I110" i="41"/>
  <c r="I109" i="41"/>
  <c r="I108" i="41"/>
  <c r="I107" i="41"/>
  <c r="I106" i="41"/>
  <c r="I105" i="41"/>
  <c r="I104" i="41"/>
  <c r="I103" i="41"/>
  <c r="I101" i="41"/>
  <c r="I116" i="41"/>
  <c r="I98" i="41"/>
  <c r="M71" i="41"/>
  <c r="L93" i="41"/>
  <c r="K93" i="41"/>
  <c r="J93" i="41"/>
  <c r="I92" i="41"/>
  <c r="I91" i="41"/>
  <c r="I90" i="41"/>
  <c r="I89" i="41"/>
  <c r="I88" i="41"/>
  <c r="I87" i="41"/>
  <c r="I81" i="41"/>
  <c r="I75" i="41"/>
  <c r="I93" i="41" l="1"/>
  <c r="L70" i="41"/>
  <c r="K70" i="41"/>
  <c r="J70" i="41"/>
  <c r="I69" i="41"/>
  <c r="I68" i="41"/>
  <c r="I67" i="41"/>
  <c r="I66" i="41"/>
  <c r="I65" i="41"/>
  <c r="I64" i="41"/>
  <c r="I63" i="41"/>
  <c r="I62" i="41"/>
  <c r="I61" i="41"/>
  <c r="I60" i="41"/>
  <c r="I59" i="41"/>
  <c r="I58" i="41"/>
  <c r="I70" i="41"/>
  <c r="I52" i="41"/>
  <c r="M48" i="41"/>
  <c r="L47" i="41"/>
  <c r="K47" i="41"/>
  <c r="J47" i="41"/>
  <c r="I46" i="41"/>
  <c r="I44" i="41"/>
  <c r="I43" i="41"/>
  <c r="I42" i="41"/>
  <c r="I41" i="41"/>
  <c r="I40" i="41"/>
  <c r="I39" i="41"/>
  <c r="I38" i="41"/>
  <c r="I37" i="41"/>
  <c r="I45" i="41" s="1"/>
  <c r="I36" i="41"/>
  <c r="I35" i="41"/>
  <c r="I34" i="41"/>
  <c r="I33" i="41"/>
  <c r="I31" i="41"/>
  <c r="I30" i="41"/>
  <c r="I32" i="41" s="1"/>
  <c r="I29" i="41"/>
  <c r="M25" i="41"/>
  <c r="C5" i="41"/>
  <c r="I16" i="41" l="1"/>
  <c r="I47" i="41"/>
  <c r="H8" i="37" l="1"/>
  <c r="H9" i="37"/>
  <c r="H39" i="37"/>
  <c r="G2" i="37"/>
  <c r="H14" i="37"/>
  <c r="I152" i="1" l="1"/>
  <c r="I150" i="1"/>
  <c r="I149" i="1"/>
  <c r="I147" i="1"/>
  <c r="I145" i="1"/>
  <c r="V30" i="40" l="1"/>
  <c r="U30" i="40"/>
  <c r="V29" i="40"/>
  <c r="U29" i="40"/>
  <c r="U24" i="40" s="1"/>
  <c r="I27" i="40"/>
  <c r="K26" i="40"/>
  <c r="W24" i="40"/>
  <c r="V24" i="40"/>
  <c r="T24" i="40"/>
  <c r="S24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H18" i="40"/>
  <c r="Z16" i="40"/>
  <c r="V16" i="40"/>
  <c r="R16" i="40"/>
  <c r="N16" i="40"/>
  <c r="Z15" i="40"/>
  <c r="V15" i="40"/>
  <c r="R15" i="40"/>
  <c r="N15" i="40"/>
  <c r="J14" i="40"/>
  <c r="J13" i="40"/>
  <c r="J12" i="40"/>
  <c r="J11" i="40"/>
  <c r="AA9" i="40"/>
  <c r="Z9" i="40"/>
  <c r="Y9" i="40"/>
  <c r="X9" i="40"/>
  <c r="W9" i="40"/>
  <c r="V9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V5" i="40"/>
  <c r="U5" i="40"/>
  <c r="T5" i="40"/>
  <c r="S5" i="40"/>
  <c r="V4" i="40"/>
  <c r="U4" i="40"/>
  <c r="T4" i="40"/>
  <c r="S4" i="40"/>
  <c r="N4" i="40"/>
  <c r="M4" i="40"/>
  <c r="L4" i="40"/>
  <c r="K4" i="40"/>
  <c r="V3" i="40"/>
  <c r="U3" i="40"/>
  <c r="T3" i="40"/>
  <c r="S3" i="40"/>
  <c r="N3" i="40"/>
  <c r="M3" i="40"/>
  <c r="L3" i="40"/>
  <c r="K3" i="40"/>
  <c r="V2" i="40"/>
  <c r="U2" i="40"/>
  <c r="T2" i="40"/>
  <c r="S2" i="40"/>
  <c r="N2" i="40"/>
  <c r="M2" i="40"/>
  <c r="L2" i="40"/>
  <c r="K2" i="40"/>
  <c r="C1" i="40"/>
  <c r="I122" i="1"/>
  <c r="I124" i="1"/>
  <c r="I154" i="1"/>
  <c r="I156" i="1"/>
  <c r="H157" i="1" l="1"/>
  <c r="I157" i="1"/>
  <c r="I151" i="1"/>
  <c r="M140" i="1" l="1"/>
  <c r="M163" i="1"/>
  <c r="L162" i="1"/>
  <c r="J162" i="1"/>
  <c r="I161" i="1"/>
  <c r="I160" i="1"/>
  <c r="I159" i="1"/>
  <c r="I158" i="1"/>
  <c r="I155" i="1"/>
  <c r="I153" i="1"/>
  <c r="I148" i="1"/>
  <c r="I146" i="1"/>
  <c r="I144" i="1"/>
  <c r="M117" i="1"/>
  <c r="L139" i="1"/>
  <c r="K139" i="1"/>
  <c r="J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3" i="1"/>
  <c r="I121" i="1"/>
  <c r="I116" i="1"/>
  <c r="I9" i="1" s="1"/>
  <c r="M94" i="1"/>
  <c r="L93" i="1"/>
  <c r="K93" i="1"/>
  <c r="J93" i="1"/>
  <c r="L116" i="1"/>
  <c r="K116" i="1"/>
  <c r="J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8" i="1"/>
  <c r="K162" i="1" l="1"/>
  <c r="I162" i="1"/>
  <c r="I11" i="1" s="1"/>
  <c r="I139" i="1"/>
  <c r="I10" i="1" s="1"/>
  <c r="F327" i="35" l="1"/>
  <c r="I16" i="9" l="1"/>
  <c r="H12" i="35"/>
  <c r="F48" i="6" l="1"/>
  <c r="N27" i="32" l="1"/>
  <c r="H5" i="8" l="1"/>
  <c r="H4" i="8"/>
  <c r="E459" i="39"/>
  <c r="E458" i="39"/>
  <c r="E457" i="39"/>
  <c r="E441" i="39"/>
  <c r="E444" i="39" s="1"/>
  <c r="E454" i="39" s="1"/>
  <c r="E440" i="39"/>
  <c r="E443" i="39" s="1"/>
  <c r="E453" i="39" s="1"/>
  <c r="N435" i="39"/>
  <c r="M435" i="39"/>
  <c r="L435" i="39"/>
  <c r="K435" i="39"/>
  <c r="J435" i="39"/>
  <c r="I435" i="39"/>
  <c r="H435" i="39"/>
  <c r="G435" i="39"/>
  <c r="E429" i="39"/>
  <c r="N427" i="39"/>
  <c r="M427" i="39"/>
  <c r="L427" i="39"/>
  <c r="K427" i="39"/>
  <c r="J427" i="39"/>
  <c r="I427" i="39"/>
  <c r="F427" i="39" s="1"/>
  <c r="H427" i="39"/>
  <c r="G427" i="39"/>
  <c r="E426" i="39"/>
  <c r="E425" i="39"/>
  <c r="E424" i="39"/>
  <c r="E421" i="39"/>
  <c r="C421" i="39"/>
  <c r="E420" i="39"/>
  <c r="C420" i="39"/>
  <c r="E419" i="39"/>
  <c r="C419" i="39"/>
  <c r="C418" i="39"/>
  <c r="E417" i="39"/>
  <c r="C417" i="39"/>
  <c r="E416" i="39"/>
  <c r="C416" i="39"/>
  <c r="K397" i="39"/>
  <c r="K417" i="39" s="1"/>
  <c r="N389" i="39"/>
  <c r="M389" i="39"/>
  <c r="L389" i="39"/>
  <c r="K389" i="39"/>
  <c r="J389" i="39"/>
  <c r="I389" i="39"/>
  <c r="H389" i="39"/>
  <c r="G389" i="39"/>
  <c r="E384" i="39"/>
  <c r="D384" i="39"/>
  <c r="N383" i="39"/>
  <c r="J383" i="39"/>
  <c r="E383" i="39"/>
  <c r="I383" i="39" s="1"/>
  <c r="D383" i="39"/>
  <c r="L382" i="39"/>
  <c r="H382" i="39"/>
  <c r="E382" i="39"/>
  <c r="D382" i="39"/>
  <c r="I382" i="39" s="1"/>
  <c r="N381" i="39"/>
  <c r="M381" i="39"/>
  <c r="L381" i="39"/>
  <c r="K381" i="39"/>
  <c r="J381" i="39"/>
  <c r="I381" i="39"/>
  <c r="H381" i="39"/>
  <c r="G381" i="39"/>
  <c r="F381" i="39" s="1"/>
  <c r="D376" i="39"/>
  <c r="D374" i="39"/>
  <c r="E364" i="39"/>
  <c r="K363" i="39"/>
  <c r="N358" i="39"/>
  <c r="M358" i="39"/>
  <c r="L358" i="39"/>
  <c r="K358" i="39"/>
  <c r="J358" i="39"/>
  <c r="I358" i="39"/>
  <c r="H358" i="39"/>
  <c r="G358" i="39"/>
  <c r="N353" i="39"/>
  <c r="M353" i="39"/>
  <c r="L353" i="39"/>
  <c r="K353" i="39"/>
  <c r="J353" i="39"/>
  <c r="I353" i="39"/>
  <c r="H353" i="39"/>
  <c r="G353" i="39"/>
  <c r="F353" i="39"/>
  <c r="N349" i="39"/>
  <c r="M349" i="39"/>
  <c r="L349" i="39"/>
  <c r="K349" i="39"/>
  <c r="J349" i="39"/>
  <c r="I349" i="39"/>
  <c r="H349" i="39"/>
  <c r="F349" i="39" s="1"/>
  <c r="G349" i="39"/>
  <c r="N348" i="39"/>
  <c r="N406" i="39" s="1"/>
  <c r="N426" i="39" s="1"/>
  <c r="M348" i="39"/>
  <c r="M406" i="39" s="1"/>
  <c r="M426" i="39" s="1"/>
  <c r="L348" i="39"/>
  <c r="L406" i="39" s="1"/>
  <c r="L426" i="39" s="1"/>
  <c r="K348" i="39"/>
  <c r="K406" i="39" s="1"/>
  <c r="K426" i="39" s="1"/>
  <c r="J348" i="39"/>
  <c r="J406" i="39" s="1"/>
  <c r="J426" i="39" s="1"/>
  <c r="I348" i="39"/>
  <c r="I406" i="39" s="1"/>
  <c r="I426" i="39" s="1"/>
  <c r="H348" i="39"/>
  <c r="H406" i="39" s="1"/>
  <c r="H426" i="39" s="1"/>
  <c r="G348" i="39"/>
  <c r="N347" i="39"/>
  <c r="N405" i="39" s="1"/>
  <c r="N425" i="39" s="1"/>
  <c r="M347" i="39"/>
  <c r="M405" i="39" s="1"/>
  <c r="M425" i="39" s="1"/>
  <c r="L347" i="39"/>
  <c r="L405" i="39" s="1"/>
  <c r="L425" i="39" s="1"/>
  <c r="K347" i="39"/>
  <c r="K405" i="39" s="1"/>
  <c r="K425" i="39" s="1"/>
  <c r="J347" i="39"/>
  <c r="J405" i="39" s="1"/>
  <c r="J425" i="39" s="1"/>
  <c r="I347" i="39"/>
  <c r="I405" i="39" s="1"/>
  <c r="I425" i="39" s="1"/>
  <c r="H347" i="39"/>
  <c r="H405" i="39" s="1"/>
  <c r="H425" i="39" s="1"/>
  <c r="G347" i="39"/>
  <c r="G405" i="39" s="1"/>
  <c r="F347" i="39"/>
  <c r="N346" i="39"/>
  <c r="N404" i="39" s="1"/>
  <c r="N424" i="39" s="1"/>
  <c r="M346" i="39"/>
  <c r="M404" i="39" s="1"/>
  <c r="M424" i="39" s="1"/>
  <c r="L346" i="39"/>
  <c r="L404" i="39" s="1"/>
  <c r="L424" i="39" s="1"/>
  <c r="K346" i="39"/>
  <c r="K404" i="39" s="1"/>
  <c r="K424" i="39" s="1"/>
  <c r="J346" i="39"/>
  <c r="J404" i="39" s="1"/>
  <c r="J424" i="39" s="1"/>
  <c r="I346" i="39"/>
  <c r="I404" i="39" s="1"/>
  <c r="I424" i="39" s="1"/>
  <c r="H346" i="39"/>
  <c r="H404" i="39" s="1"/>
  <c r="H424" i="39" s="1"/>
  <c r="G346" i="39"/>
  <c r="F345" i="39"/>
  <c r="F344" i="39"/>
  <c r="N343" i="39"/>
  <c r="N401" i="39" s="1"/>
  <c r="M343" i="39"/>
  <c r="M401" i="39" s="1"/>
  <c r="L343" i="39"/>
  <c r="L401" i="39" s="1"/>
  <c r="K343" i="39"/>
  <c r="K401" i="39" s="1"/>
  <c r="J343" i="39"/>
  <c r="J401" i="39" s="1"/>
  <c r="I343" i="39"/>
  <c r="I401" i="39" s="1"/>
  <c r="H343" i="39"/>
  <c r="H401" i="39" s="1"/>
  <c r="G343" i="39"/>
  <c r="N342" i="39"/>
  <c r="N400" i="39" s="1"/>
  <c r="M342" i="39"/>
  <c r="M400" i="39" s="1"/>
  <c r="L342" i="39"/>
  <c r="L400" i="39" s="1"/>
  <c r="K342" i="39"/>
  <c r="K400" i="39" s="1"/>
  <c r="J342" i="39"/>
  <c r="J400" i="39" s="1"/>
  <c r="I342" i="39"/>
  <c r="I400" i="39" s="1"/>
  <c r="H342" i="39"/>
  <c r="H400" i="39" s="1"/>
  <c r="G342" i="39"/>
  <c r="N341" i="39"/>
  <c r="N399" i="39" s="1"/>
  <c r="M341" i="39"/>
  <c r="M399" i="39" s="1"/>
  <c r="L341" i="39"/>
  <c r="L399" i="39" s="1"/>
  <c r="K341" i="39"/>
  <c r="K399" i="39" s="1"/>
  <c r="J341" i="39"/>
  <c r="J399" i="39" s="1"/>
  <c r="I341" i="39"/>
  <c r="I399" i="39" s="1"/>
  <c r="H341" i="39"/>
  <c r="H399" i="39" s="1"/>
  <c r="G341" i="39"/>
  <c r="F341" i="39"/>
  <c r="N340" i="39"/>
  <c r="N398" i="39" s="1"/>
  <c r="M340" i="39"/>
  <c r="M398" i="39" s="1"/>
  <c r="L340" i="39"/>
  <c r="L398" i="39" s="1"/>
  <c r="K340" i="39"/>
  <c r="K398" i="39" s="1"/>
  <c r="J340" i="39"/>
  <c r="J398" i="39" s="1"/>
  <c r="I340" i="39"/>
  <c r="I398" i="39" s="1"/>
  <c r="H340" i="39"/>
  <c r="H398" i="39" s="1"/>
  <c r="G340" i="39"/>
  <c r="F340" i="39" s="1"/>
  <c r="N339" i="39"/>
  <c r="N397" i="39" s="1"/>
  <c r="M339" i="39"/>
  <c r="M397" i="39" s="1"/>
  <c r="L339" i="39"/>
  <c r="L397" i="39" s="1"/>
  <c r="K339" i="39"/>
  <c r="J339" i="39"/>
  <c r="J397" i="39" s="1"/>
  <c r="I339" i="39"/>
  <c r="I397" i="39" s="1"/>
  <c r="H339" i="39"/>
  <c r="H397" i="39" s="1"/>
  <c r="G339" i="39"/>
  <c r="F339" i="39"/>
  <c r="N332" i="39"/>
  <c r="M332" i="39"/>
  <c r="L332" i="39"/>
  <c r="K332" i="39"/>
  <c r="J332" i="39"/>
  <c r="I332" i="39"/>
  <c r="H332" i="39"/>
  <c r="G332" i="39"/>
  <c r="F316" i="39"/>
  <c r="F315" i="39"/>
  <c r="F314" i="39"/>
  <c r="F313" i="39"/>
  <c r="F312" i="39"/>
  <c r="N311" i="39"/>
  <c r="M311" i="39"/>
  <c r="L311" i="39"/>
  <c r="K311" i="39"/>
  <c r="J311" i="39"/>
  <c r="I311" i="39"/>
  <c r="H311" i="39"/>
  <c r="G311" i="39"/>
  <c r="N310" i="39"/>
  <c r="M310" i="39"/>
  <c r="L310" i="39"/>
  <c r="K310" i="39"/>
  <c r="J310" i="39"/>
  <c r="I310" i="39"/>
  <c r="H310" i="39"/>
  <c r="F310" i="39" s="1"/>
  <c r="G310" i="39"/>
  <c r="N307" i="39"/>
  <c r="M307" i="39"/>
  <c r="L307" i="39"/>
  <c r="K307" i="39"/>
  <c r="J307" i="39"/>
  <c r="I307" i="39"/>
  <c r="H307" i="39"/>
  <c r="G307" i="39"/>
  <c r="F307" i="39" s="1"/>
  <c r="N284" i="39"/>
  <c r="M284" i="39"/>
  <c r="L284" i="39"/>
  <c r="K284" i="39"/>
  <c r="J284" i="39"/>
  <c r="I284" i="39"/>
  <c r="H284" i="39"/>
  <c r="G284" i="39"/>
  <c r="N276" i="39"/>
  <c r="M276" i="39"/>
  <c r="L276" i="39"/>
  <c r="K276" i="39"/>
  <c r="J276" i="39"/>
  <c r="I276" i="39"/>
  <c r="H276" i="39"/>
  <c r="G276" i="39"/>
  <c r="N267" i="39"/>
  <c r="M267" i="39"/>
  <c r="L267" i="39"/>
  <c r="K267" i="39"/>
  <c r="J267" i="39"/>
  <c r="I267" i="39"/>
  <c r="H267" i="39"/>
  <c r="G267" i="39"/>
  <c r="N258" i="39"/>
  <c r="M258" i="39"/>
  <c r="L258" i="39"/>
  <c r="K258" i="39"/>
  <c r="J258" i="39"/>
  <c r="I258" i="39"/>
  <c r="H258" i="39"/>
  <c r="G258" i="39"/>
  <c r="E246" i="39"/>
  <c r="E245" i="39"/>
  <c r="E244" i="39"/>
  <c r="E228" i="39"/>
  <c r="E231" i="39" s="1"/>
  <c r="E241" i="39" s="1"/>
  <c r="E227" i="39"/>
  <c r="E230" i="39" s="1"/>
  <c r="E240" i="39" s="1"/>
  <c r="N222" i="39"/>
  <c r="M222" i="39"/>
  <c r="L222" i="39"/>
  <c r="K222" i="39"/>
  <c r="J222" i="39"/>
  <c r="I222" i="39"/>
  <c r="H222" i="39"/>
  <c r="G222" i="39"/>
  <c r="E216" i="39"/>
  <c r="F214" i="39"/>
  <c r="E213" i="39"/>
  <c r="E212" i="39"/>
  <c r="E211" i="39"/>
  <c r="E208" i="39"/>
  <c r="C208" i="39"/>
  <c r="E207" i="39"/>
  <c r="C207" i="39"/>
  <c r="E206" i="39"/>
  <c r="C206" i="39"/>
  <c r="C205" i="39"/>
  <c r="E204" i="39"/>
  <c r="C204" i="39"/>
  <c r="E203" i="39"/>
  <c r="C203" i="39"/>
  <c r="N199" i="39"/>
  <c r="M199" i="39"/>
  <c r="L199" i="39"/>
  <c r="K199" i="39"/>
  <c r="J199" i="39"/>
  <c r="I199" i="39"/>
  <c r="H199" i="39"/>
  <c r="G199" i="39"/>
  <c r="F199" i="39" s="1"/>
  <c r="N193" i="39"/>
  <c r="N213" i="39" s="1"/>
  <c r="M193" i="39"/>
  <c r="M213" i="39" s="1"/>
  <c r="L193" i="39"/>
  <c r="L213" i="39" s="1"/>
  <c r="K193" i="39"/>
  <c r="K213" i="39" s="1"/>
  <c r="J193" i="39"/>
  <c r="J213" i="39" s="1"/>
  <c r="I193" i="39"/>
  <c r="I213" i="39" s="1"/>
  <c r="H193" i="39"/>
  <c r="H213" i="39" s="1"/>
  <c r="G193" i="39"/>
  <c r="F193" i="39" s="1"/>
  <c r="F213" i="39" s="1"/>
  <c r="G213" i="39" s="1"/>
  <c r="N192" i="39"/>
  <c r="N212" i="39" s="1"/>
  <c r="M192" i="39"/>
  <c r="M212" i="39" s="1"/>
  <c r="L192" i="39"/>
  <c r="L212" i="39" s="1"/>
  <c r="K192" i="39"/>
  <c r="K212" i="39" s="1"/>
  <c r="J192" i="39"/>
  <c r="J212" i="39" s="1"/>
  <c r="I192" i="39"/>
  <c r="I212" i="39" s="1"/>
  <c r="H192" i="39"/>
  <c r="H212" i="39" s="1"/>
  <c r="G192" i="39"/>
  <c r="F192" i="39" s="1"/>
  <c r="F212" i="39" s="1"/>
  <c r="G212" i="39" s="1"/>
  <c r="N191" i="39"/>
  <c r="N211" i="39" s="1"/>
  <c r="M191" i="39"/>
  <c r="M211" i="39" s="1"/>
  <c r="L191" i="39"/>
  <c r="L211" i="39" s="1"/>
  <c r="K191" i="39"/>
  <c r="K211" i="39" s="1"/>
  <c r="J191" i="39"/>
  <c r="J211" i="39" s="1"/>
  <c r="I191" i="39"/>
  <c r="I211" i="39" s="1"/>
  <c r="H191" i="39"/>
  <c r="H211" i="39" s="1"/>
  <c r="G191" i="39"/>
  <c r="F191" i="39" s="1"/>
  <c r="F211" i="39" s="1"/>
  <c r="G211" i="39" s="1"/>
  <c r="N188" i="39"/>
  <c r="N208" i="39" s="1"/>
  <c r="M188" i="39"/>
  <c r="M208" i="39" s="1"/>
  <c r="L188" i="39"/>
  <c r="L208" i="39" s="1"/>
  <c r="K188" i="39"/>
  <c r="K208" i="39" s="1"/>
  <c r="J188" i="39"/>
  <c r="J208" i="39" s="1"/>
  <c r="I188" i="39"/>
  <c r="I208" i="39" s="1"/>
  <c r="H188" i="39"/>
  <c r="H208" i="39" s="1"/>
  <c r="N187" i="39"/>
  <c r="N207" i="39" s="1"/>
  <c r="M187" i="39"/>
  <c r="M207" i="39" s="1"/>
  <c r="L187" i="39"/>
  <c r="L207" i="39" s="1"/>
  <c r="K187" i="39"/>
  <c r="K207" i="39" s="1"/>
  <c r="J187" i="39"/>
  <c r="J207" i="39" s="1"/>
  <c r="I187" i="39"/>
  <c r="I207" i="39" s="1"/>
  <c r="H187" i="39"/>
  <c r="H207" i="39" s="1"/>
  <c r="N186" i="39"/>
  <c r="N206" i="39" s="1"/>
  <c r="M186" i="39"/>
  <c r="M206" i="39" s="1"/>
  <c r="L186" i="39"/>
  <c r="L206" i="39" s="1"/>
  <c r="K186" i="39"/>
  <c r="K206" i="39" s="1"/>
  <c r="J186" i="39"/>
  <c r="J206" i="39" s="1"/>
  <c r="I186" i="39"/>
  <c r="I206" i="39" s="1"/>
  <c r="H186" i="39"/>
  <c r="H206" i="39" s="1"/>
  <c r="N185" i="39"/>
  <c r="N205" i="39" s="1"/>
  <c r="M185" i="39"/>
  <c r="M205" i="39" s="1"/>
  <c r="L185" i="39"/>
  <c r="L205" i="39" s="1"/>
  <c r="K185" i="39"/>
  <c r="K205" i="39" s="1"/>
  <c r="J185" i="39"/>
  <c r="J205" i="39" s="1"/>
  <c r="I185" i="39"/>
  <c r="I205" i="39" s="1"/>
  <c r="H185" i="39"/>
  <c r="H205" i="39" s="1"/>
  <c r="E185" i="39"/>
  <c r="E205" i="39" s="1"/>
  <c r="E398" i="39" s="1"/>
  <c r="E418" i="39" s="1"/>
  <c r="N184" i="39"/>
  <c r="N204" i="39" s="1"/>
  <c r="M184" i="39"/>
  <c r="M204" i="39" s="1"/>
  <c r="L184" i="39"/>
  <c r="L204" i="39" s="1"/>
  <c r="K184" i="39"/>
  <c r="K204" i="39" s="1"/>
  <c r="J184" i="39"/>
  <c r="J204" i="39" s="1"/>
  <c r="I184" i="39"/>
  <c r="I204" i="39" s="1"/>
  <c r="H184" i="39"/>
  <c r="H204" i="39" s="1"/>
  <c r="N176" i="39"/>
  <c r="M176" i="39"/>
  <c r="L176" i="39"/>
  <c r="K176" i="39"/>
  <c r="J176" i="39"/>
  <c r="I176" i="39"/>
  <c r="H176" i="39"/>
  <c r="G176" i="39"/>
  <c r="E171" i="39"/>
  <c r="D171" i="39"/>
  <c r="E170" i="39"/>
  <c r="L170" i="39" s="1"/>
  <c r="D170" i="39"/>
  <c r="E169" i="39"/>
  <c r="K169" i="39" s="1"/>
  <c r="D169" i="39"/>
  <c r="N168" i="39"/>
  <c r="M168" i="39"/>
  <c r="L168" i="39"/>
  <c r="K168" i="39"/>
  <c r="J168" i="39"/>
  <c r="I168" i="39"/>
  <c r="H168" i="39"/>
  <c r="G168" i="39"/>
  <c r="F168" i="39" s="1"/>
  <c r="N167" i="39"/>
  <c r="M167" i="39"/>
  <c r="L167" i="39"/>
  <c r="K167" i="39"/>
  <c r="J167" i="39"/>
  <c r="I167" i="39"/>
  <c r="H167" i="39"/>
  <c r="G167" i="39"/>
  <c r="F167" i="39" s="1"/>
  <c r="N166" i="39"/>
  <c r="M166" i="39"/>
  <c r="L166" i="39"/>
  <c r="K166" i="39"/>
  <c r="J166" i="39"/>
  <c r="I166" i="39"/>
  <c r="H166" i="39"/>
  <c r="G166" i="39"/>
  <c r="F166" i="39"/>
  <c r="N165" i="39"/>
  <c r="M165" i="39"/>
  <c r="L165" i="39"/>
  <c r="K165" i="39"/>
  <c r="J165" i="39"/>
  <c r="I165" i="39"/>
  <c r="H165" i="39"/>
  <c r="G165" i="39"/>
  <c r="F165" i="39" s="1"/>
  <c r="D163" i="39"/>
  <c r="N162" i="39"/>
  <c r="M162" i="39"/>
  <c r="L162" i="39"/>
  <c r="K162" i="39"/>
  <c r="J162" i="39"/>
  <c r="I162" i="39"/>
  <c r="H162" i="39"/>
  <c r="G162" i="39"/>
  <c r="D161" i="39"/>
  <c r="N160" i="39"/>
  <c r="M160" i="39"/>
  <c r="L160" i="39"/>
  <c r="K160" i="39"/>
  <c r="K377" i="39" s="1"/>
  <c r="J160" i="39"/>
  <c r="I160" i="39"/>
  <c r="H160" i="39"/>
  <c r="G160" i="39"/>
  <c r="N154" i="39"/>
  <c r="M154" i="39"/>
  <c r="L154" i="39"/>
  <c r="K154" i="39"/>
  <c r="J154" i="39"/>
  <c r="I154" i="39"/>
  <c r="H154" i="39"/>
  <c r="N153" i="39"/>
  <c r="M153" i="39"/>
  <c r="L153" i="39"/>
  <c r="K153" i="39"/>
  <c r="J153" i="39"/>
  <c r="I153" i="39"/>
  <c r="H153" i="39"/>
  <c r="N152" i="39"/>
  <c r="M152" i="39"/>
  <c r="L152" i="39"/>
  <c r="K152" i="39"/>
  <c r="J152" i="39"/>
  <c r="I152" i="39"/>
  <c r="H152" i="39"/>
  <c r="N151" i="39"/>
  <c r="M151" i="39"/>
  <c r="L151" i="39"/>
  <c r="K151" i="39"/>
  <c r="J151" i="39"/>
  <c r="I151" i="39"/>
  <c r="H151" i="39"/>
  <c r="N150" i="39"/>
  <c r="N164" i="39" s="1"/>
  <c r="M150" i="39"/>
  <c r="M164" i="39" s="1"/>
  <c r="L150" i="39"/>
  <c r="L164" i="39" s="1"/>
  <c r="K150" i="39"/>
  <c r="K164" i="39" s="1"/>
  <c r="J150" i="39"/>
  <c r="J164" i="39" s="1"/>
  <c r="I150" i="39"/>
  <c r="I164" i="39" s="1"/>
  <c r="H150" i="39"/>
  <c r="H164" i="39" s="1"/>
  <c r="N145" i="39"/>
  <c r="M145" i="39"/>
  <c r="L145" i="39"/>
  <c r="K145" i="39"/>
  <c r="J145" i="39"/>
  <c r="I145" i="39"/>
  <c r="H145" i="39"/>
  <c r="G145" i="39"/>
  <c r="N142" i="39"/>
  <c r="N355" i="39" s="1"/>
  <c r="N447" i="39" s="1"/>
  <c r="M142" i="39"/>
  <c r="L142" i="39"/>
  <c r="K142" i="39"/>
  <c r="J142" i="39"/>
  <c r="J355" i="39" s="1"/>
  <c r="J447" i="39" s="1"/>
  <c r="I142" i="39"/>
  <c r="I355" i="39" s="1"/>
  <c r="I447" i="39" s="1"/>
  <c r="H142" i="39"/>
  <c r="G142" i="39"/>
  <c r="F142" i="39"/>
  <c r="N141" i="39"/>
  <c r="N354" i="39" s="1"/>
  <c r="M141" i="39"/>
  <c r="M354" i="39" s="1"/>
  <c r="L141" i="39"/>
  <c r="L354" i="39" s="1"/>
  <c r="K141" i="39"/>
  <c r="K354" i="39" s="1"/>
  <c r="J141" i="39"/>
  <c r="J354" i="39" s="1"/>
  <c r="I141" i="39"/>
  <c r="I354" i="39" s="1"/>
  <c r="H141" i="39"/>
  <c r="H354" i="39" s="1"/>
  <c r="G141" i="39"/>
  <c r="G354" i="39" s="1"/>
  <c r="F354" i="39" s="1"/>
  <c r="F140" i="39"/>
  <c r="N139" i="39"/>
  <c r="N352" i="39" s="1"/>
  <c r="M139" i="39"/>
  <c r="M352" i="39" s="1"/>
  <c r="L139" i="39"/>
  <c r="L352" i="39" s="1"/>
  <c r="K139" i="39"/>
  <c r="K352" i="39" s="1"/>
  <c r="J139" i="39"/>
  <c r="J352" i="39" s="1"/>
  <c r="I139" i="39"/>
  <c r="I352" i="39" s="1"/>
  <c r="H139" i="39"/>
  <c r="H352" i="39" s="1"/>
  <c r="G139" i="39"/>
  <c r="G352" i="39" s="1"/>
  <c r="N138" i="39"/>
  <c r="N351" i="39" s="1"/>
  <c r="M138" i="39"/>
  <c r="M351" i="39" s="1"/>
  <c r="L138" i="39"/>
  <c r="L351" i="39" s="1"/>
  <c r="K138" i="39"/>
  <c r="K351" i="39" s="1"/>
  <c r="J138" i="39"/>
  <c r="J351" i="39" s="1"/>
  <c r="I138" i="39"/>
  <c r="I351" i="39" s="1"/>
  <c r="H138" i="39"/>
  <c r="H351" i="39" s="1"/>
  <c r="G138" i="39"/>
  <c r="G351" i="39" s="1"/>
  <c r="F138" i="39"/>
  <c r="N137" i="39"/>
  <c r="N350" i="39" s="1"/>
  <c r="M137" i="39"/>
  <c r="M350" i="39" s="1"/>
  <c r="L137" i="39"/>
  <c r="L350" i="39" s="1"/>
  <c r="K137" i="39"/>
  <c r="K350" i="39" s="1"/>
  <c r="J137" i="39"/>
  <c r="J350" i="39" s="1"/>
  <c r="I137" i="39"/>
  <c r="I350" i="39" s="1"/>
  <c r="H137" i="39"/>
  <c r="H350" i="39" s="1"/>
  <c r="G137" i="39"/>
  <c r="G350" i="39" s="1"/>
  <c r="F350" i="39" s="1"/>
  <c r="F136" i="39"/>
  <c r="F135" i="39"/>
  <c r="F134" i="39"/>
  <c r="F133" i="39"/>
  <c r="F132" i="39"/>
  <c r="F131" i="39"/>
  <c r="F130" i="39"/>
  <c r="F129" i="39"/>
  <c r="F128" i="39"/>
  <c r="F186" i="39" s="1"/>
  <c r="G186" i="39" s="1"/>
  <c r="G152" i="39" s="1"/>
  <c r="F127" i="39"/>
  <c r="F185" i="39" s="1"/>
  <c r="G185" i="39" s="1"/>
  <c r="G151" i="39" s="1"/>
  <c r="F126" i="39"/>
  <c r="N125" i="39"/>
  <c r="M125" i="39"/>
  <c r="M183" i="39" s="1"/>
  <c r="L125" i="39"/>
  <c r="L183" i="39" s="1"/>
  <c r="K125" i="39"/>
  <c r="K183" i="39" s="1"/>
  <c r="J125" i="39"/>
  <c r="I125" i="39"/>
  <c r="I183" i="39" s="1"/>
  <c r="H125" i="39"/>
  <c r="H183" i="39" s="1"/>
  <c r="G125" i="39"/>
  <c r="F125" i="39" s="1"/>
  <c r="N123" i="39"/>
  <c r="N181" i="39" s="1"/>
  <c r="M123" i="39"/>
  <c r="M181" i="39" s="1"/>
  <c r="L123" i="39"/>
  <c r="L181" i="39" s="1"/>
  <c r="K123" i="39"/>
  <c r="K181" i="39" s="1"/>
  <c r="J123" i="39"/>
  <c r="J181" i="39" s="1"/>
  <c r="I123" i="39"/>
  <c r="I181" i="39" s="1"/>
  <c r="H123" i="39"/>
  <c r="H181" i="39" s="1"/>
  <c r="G123" i="39"/>
  <c r="G181" i="39" s="1"/>
  <c r="N122" i="39"/>
  <c r="M122" i="39"/>
  <c r="M180" i="39" s="1"/>
  <c r="M198" i="39" s="1"/>
  <c r="L122" i="39"/>
  <c r="L180" i="39" s="1"/>
  <c r="L198" i="39" s="1"/>
  <c r="K122" i="39"/>
  <c r="K180" i="39" s="1"/>
  <c r="K198" i="39" s="1"/>
  <c r="J122" i="39"/>
  <c r="I122" i="39"/>
  <c r="I180" i="39" s="1"/>
  <c r="I198" i="39" s="1"/>
  <c r="H122" i="39"/>
  <c r="H180" i="39" s="1"/>
  <c r="H198" i="39" s="1"/>
  <c r="G122" i="39"/>
  <c r="G180" i="39" s="1"/>
  <c r="F122" i="39"/>
  <c r="N121" i="39"/>
  <c r="N179" i="39" s="1"/>
  <c r="M121" i="39"/>
  <c r="M179" i="39" s="1"/>
  <c r="L121" i="39"/>
  <c r="L179" i="39" s="1"/>
  <c r="K121" i="39"/>
  <c r="J121" i="39"/>
  <c r="J179" i="39" s="1"/>
  <c r="I121" i="39"/>
  <c r="I179" i="39" s="1"/>
  <c r="H121" i="39"/>
  <c r="H179" i="39" s="1"/>
  <c r="G121" i="39"/>
  <c r="N119" i="39"/>
  <c r="M119" i="39"/>
  <c r="L119" i="39"/>
  <c r="K119" i="39"/>
  <c r="J119" i="39"/>
  <c r="I119" i="39"/>
  <c r="H119" i="39"/>
  <c r="G119" i="39"/>
  <c r="F103" i="39"/>
  <c r="F102" i="39"/>
  <c r="F101" i="39"/>
  <c r="F100" i="39"/>
  <c r="F99" i="39"/>
  <c r="F98" i="39"/>
  <c r="F97" i="39"/>
  <c r="F94" i="39"/>
  <c r="F62" i="39"/>
  <c r="D62" i="39"/>
  <c r="F61" i="39"/>
  <c r="D61" i="39"/>
  <c r="N60" i="39"/>
  <c r="M60" i="39"/>
  <c r="L60" i="39"/>
  <c r="K60" i="39"/>
  <c r="J60" i="39"/>
  <c r="I60" i="39"/>
  <c r="H60" i="39"/>
  <c r="D60" i="39"/>
  <c r="N51" i="39"/>
  <c r="M51" i="39"/>
  <c r="L51" i="39"/>
  <c r="K51" i="39"/>
  <c r="J51" i="39"/>
  <c r="I51" i="39"/>
  <c r="H51" i="39"/>
  <c r="G51" i="39"/>
  <c r="F51" i="39" s="1"/>
  <c r="F48" i="39"/>
  <c r="D48" i="39"/>
  <c r="D47" i="39"/>
  <c r="F43" i="39"/>
  <c r="C43" i="39"/>
  <c r="F42" i="39"/>
  <c r="C42" i="39"/>
  <c r="F41" i="39"/>
  <c r="C41" i="39"/>
  <c r="F40" i="39"/>
  <c r="C40" i="39"/>
  <c r="F39" i="39"/>
  <c r="C39" i="39"/>
  <c r="F38" i="39"/>
  <c r="C38" i="39"/>
  <c r="F37" i="39"/>
  <c r="C37" i="39"/>
  <c r="F36" i="39"/>
  <c r="C36" i="39"/>
  <c r="F35" i="39"/>
  <c r="C35" i="39"/>
  <c r="F34" i="39"/>
  <c r="C34" i="39"/>
  <c r="F33" i="39"/>
  <c r="C33" i="39"/>
  <c r="C32" i="39"/>
  <c r="F31" i="39"/>
  <c r="C31" i="39"/>
  <c r="F30" i="39"/>
  <c r="E30" i="39"/>
  <c r="C30" i="39"/>
  <c r="F29" i="39"/>
  <c r="E29" i="39"/>
  <c r="C29" i="39"/>
  <c r="F28" i="39"/>
  <c r="E28" i="39"/>
  <c r="C28" i="39"/>
  <c r="F27" i="39"/>
  <c r="E27" i="39"/>
  <c r="C27" i="39"/>
  <c r="N26" i="39"/>
  <c r="N338" i="39" s="1"/>
  <c r="M26" i="39"/>
  <c r="M338" i="39" s="1"/>
  <c r="L26" i="39"/>
  <c r="L338" i="39" s="1"/>
  <c r="K26" i="39"/>
  <c r="K338" i="39" s="1"/>
  <c r="J26" i="39"/>
  <c r="J338" i="39" s="1"/>
  <c r="I26" i="39"/>
  <c r="I338" i="39" s="1"/>
  <c r="H26" i="39"/>
  <c r="H338" i="39" s="1"/>
  <c r="G26" i="39"/>
  <c r="G338" i="39" s="1"/>
  <c r="F26" i="39"/>
  <c r="E26" i="39"/>
  <c r="C26" i="39"/>
  <c r="C25" i="39"/>
  <c r="N24" i="39"/>
  <c r="N336" i="39" s="1"/>
  <c r="N394" i="39" s="1"/>
  <c r="M24" i="39"/>
  <c r="M336" i="39" s="1"/>
  <c r="M394" i="39" s="1"/>
  <c r="L24" i="39"/>
  <c r="L336" i="39" s="1"/>
  <c r="L394" i="39" s="1"/>
  <c r="K24" i="39"/>
  <c r="K336" i="39" s="1"/>
  <c r="K394" i="39" s="1"/>
  <c r="J24" i="39"/>
  <c r="J336" i="39" s="1"/>
  <c r="J394" i="39" s="1"/>
  <c r="I24" i="39"/>
  <c r="I336" i="39" s="1"/>
  <c r="I394" i="39" s="1"/>
  <c r="H24" i="39"/>
  <c r="H336" i="39" s="1"/>
  <c r="H394" i="39" s="1"/>
  <c r="G24" i="39"/>
  <c r="G336" i="39" s="1"/>
  <c r="C24" i="39"/>
  <c r="C23" i="39"/>
  <c r="C22" i="39"/>
  <c r="N19" i="39"/>
  <c r="M19" i="39"/>
  <c r="L19" i="39"/>
  <c r="K19" i="39"/>
  <c r="J19" i="39"/>
  <c r="I19" i="39"/>
  <c r="H19" i="39"/>
  <c r="F13" i="39"/>
  <c r="N12" i="39"/>
  <c r="N306" i="39" s="1"/>
  <c r="M12" i="39"/>
  <c r="M306" i="39" s="1"/>
  <c r="L12" i="39"/>
  <c r="L306" i="39" s="1"/>
  <c r="K12" i="39"/>
  <c r="K306" i="39" s="1"/>
  <c r="J12" i="39"/>
  <c r="J306" i="39" s="1"/>
  <c r="I12" i="39"/>
  <c r="I306" i="39" s="1"/>
  <c r="H12" i="39"/>
  <c r="H306" i="39" s="1"/>
  <c r="G12" i="39"/>
  <c r="G306" i="39" s="1"/>
  <c r="N11" i="39"/>
  <c r="N305" i="39" s="1"/>
  <c r="M11" i="39"/>
  <c r="M305" i="39" s="1"/>
  <c r="L11" i="39"/>
  <c r="L305" i="39" s="1"/>
  <c r="K11" i="39"/>
  <c r="K305" i="39" s="1"/>
  <c r="J11" i="39"/>
  <c r="J305" i="39" s="1"/>
  <c r="I11" i="39"/>
  <c r="I305" i="39" s="1"/>
  <c r="H11" i="39"/>
  <c r="H305" i="39" s="1"/>
  <c r="G11" i="39"/>
  <c r="G305" i="39" s="1"/>
  <c r="N10" i="39"/>
  <c r="N304" i="39" s="1"/>
  <c r="M10" i="39"/>
  <c r="M304" i="39" s="1"/>
  <c r="L10" i="39"/>
  <c r="L304" i="39" s="1"/>
  <c r="K10" i="39"/>
  <c r="K304" i="39" s="1"/>
  <c r="J10" i="39"/>
  <c r="J304" i="39" s="1"/>
  <c r="I10" i="39"/>
  <c r="I304" i="39" s="1"/>
  <c r="H10" i="39"/>
  <c r="H304" i="39" s="1"/>
  <c r="G10" i="39"/>
  <c r="G304" i="39" s="1"/>
  <c r="N9" i="39"/>
  <c r="N301" i="39" s="1"/>
  <c r="M9" i="39"/>
  <c r="M301" i="39" s="1"/>
  <c r="L9" i="39"/>
  <c r="L301" i="39" s="1"/>
  <c r="K9" i="39"/>
  <c r="K301" i="39" s="1"/>
  <c r="J9" i="39"/>
  <c r="J301" i="39" s="1"/>
  <c r="I9" i="39"/>
  <c r="I301" i="39" s="1"/>
  <c r="H9" i="39"/>
  <c r="H301" i="39" s="1"/>
  <c r="G9" i="39"/>
  <c r="G301" i="39" s="1"/>
  <c r="N8" i="39"/>
  <c r="N300" i="39" s="1"/>
  <c r="M8" i="39"/>
  <c r="M300" i="39" s="1"/>
  <c r="L8" i="39"/>
  <c r="L300" i="39" s="1"/>
  <c r="K8" i="39"/>
  <c r="K300" i="39" s="1"/>
  <c r="J8" i="39"/>
  <c r="J300" i="39" s="1"/>
  <c r="I8" i="39"/>
  <c r="I300" i="39" s="1"/>
  <c r="H8" i="39"/>
  <c r="H300" i="39" s="1"/>
  <c r="G8" i="39"/>
  <c r="G300" i="39" s="1"/>
  <c r="E320" i="38"/>
  <c r="E319" i="38"/>
  <c r="E318" i="38"/>
  <c r="L296" i="38"/>
  <c r="K296" i="38"/>
  <c r="J296" i="38"/>
  <c r="I296" i="38"/>
  <c r="H296" i="38"/>
  <c r="G296" i="38"/>
  <c r="E290" i="38"/>
  <c r="L288" i="38"/>
  <c r="K288" i="38"/>
  <c r="J288" i="38"/>
  <c r="I288" i="38"/>
  <c r="H288" i="38"/>
  <c r="G288" i="38"/>
  <c r="F288" i="38" s="1"/>
  <c r="E287" i="38"/>
  <c r="E286" i="38"/>
  <c r="E285" i="38"/>
  <c r="C282" i="38"/>
  <c r="C281" i="38"/>
  <c r="C280" i="38"/>
  <c r="C279" i="38"/>
  <c r="C278" i="38"/>
  <c r="C277" i="38"/>
  <c r="L255" i="38"/>
  <c r="K255" i="38"/>
  <c r="J255" i="38"/>
  <c r="I255" i="38"/>
  <c r="H255" i="38"/>
  <c r="G255" i="38"/>
  <c r="L252" i="38"/>
  <c r="L308" i="38" s="1"/>
  <c r="K252" i="38"/>
  <c r="K308" i="38" s="1"/>
  <c r="J252" i="38"/>
  <c r="J308" i="38" s="1"/>
  <c r="I252" i="38"/>
  <c r="I308" i="38" s="1"/>
  <c r="H252" i="38"/>
  <c r="H308" i="38" s="1"/>
  <c r="G252" i="38"/>
  <c r="G308" i="38" s="1"/>
  <c r="F308" i="38" s="1"/>
  <c r="L251" i="38"/>
  <c r="K251" i="38"/>
  <c r="J251" i="38"/>
  <c r="I251" i="38"/>
  <c r="H251" i="38"/>
  <c r="G251" i="38"/>
  <c r="F251" i="38"/>
  <c r="L250" i="38"/>
  <c r="K250" i="38"/>
  <c r="J250" i="38"/>
  <c r="I250" i="38"/>
  <c r="H250" i="38"/>
  <c r="G250" i="38"/>
  <c r="F250" i="38" s="1"/>
  <c r="L249" i="38"/>
  <c r="K249" i="38"/>
  <c r="J249" i="38"/>
  <c r="I249" i="38"/>
  <c r="H249" i="38"/>
  <c r="F249" i="38" s="1"/>
  <c r="G249" i="38"/>
  <c r="L248" i="38"/>
  <c r="K248" i="38"/>
  <c r="J248" i="38"/>
  <c r="I248" i="38"/>
  <c r="H248" i="38"/>
  <c r="G248" i="38"/>
  <c r="F248" i="38" s="1"/>
  <c r="L247" i="38"/>
  <c r="K247" i="38"/>
  <c r="J247" i="38"/>
  <c r="I247" i="38"/>
  <c r="H247" i="38"/>
  <c r="G247" i="38"/>
  <c r="F247" i="38"/>
  <c r="L246" i="38"/>
  <c r="L271" i="38" s="1"/>
  <c r="L290" i="38" s="1"/>
  <c r="K246" i="38"/>
  <c r="K271" i="38" s="1"/>
  <c r="K290" i="38" s="1"/>
  <c r="J246" i="38"/>
  <c r="J271" i="38" s="1"/>
  <c r="J290" i="38" s="1"/>
  <c r="I246" i="38"/>
  <c r="I271" i="38" s="1"/>
  <c r="I290" i="38" s="1"/>
  <c r="H246" i="38"/>
  <c r="H271" i="38" s="1"/>
  <c r="H290" i="38" s="1"/>
  <c r="G246" i="38"/>
  <c r="G271" i="38" s="1"/>
  <c r="L245" i="38"/>
  <c r="L270" i="38" s="1"/>
  <c r="L287" i="38" s="1"/>
  <c r="K245" i="38"/>
  <c r="K270" i="38" s="1"/>
  <c r="K287" i="38" s="1"/>
  <c r="J245" i="38"/>
  <c r="J270" i="38" s="1"/>
  <c r="J287" i="38" s="1"/>
  <c r="I245" i="38"/>
  <c r="I270" i="38" s="1"/>
  <c r="I287" i="38" s="1"/>
  <c r="H245" i="38"/>
  <c r="F245" i="38" s="1"/>
  <c r="G245" i="38"/>
  <c r="G270" i="38" s="1"/>
  <c r="L244" i="38"/>
  <c r="L269" i="38" s="1"/>
  <c r="L286" i="38" s="1"/>
  <c r="K244" i="38"/>
  <c r="K269" i="38" s="1"/>
  <c r="K286" i="38" s="1"/>
  <c r="J244" i="38"/>
  <c r="J269" i="38" s="1"/>
  <c r="J286" i="38" s="1"/>
  <c r="I244" i="38"/>
  <c r="I269" i="38" s="1"/>
  <c r="I286" i="38" s="1"/>
  <c r="H244" i="38"/>
  <c r="H269" i="38" s="1"/>
  <c r="H286" i="38" s="1"/>
  <c r="G244" i="38"/>
  <c r="F244" i="38" s="1"/>
  <c r="L243" i="38"/>
  <c r="L268" i="38" s="1"/>
  <c r="L285" i="38" s="1"/>
  <c r="K243" i="38"/>
  <c r="K268" i="38" s="1"/>
  <c r="K285" i="38" s="1"/>
  <c r="J243" i="38"/>
  <c r="J268" i="38" s="1"/>
  <c r="J285" i="38" s="1"/>
  <c r="I243" i="38"/>
  <c r="I268" i="38" s="1"/>
  <c r="I285" i="38" s="1"/>
  <c r="H243" i="38"/>
  <c r="H268" i="38" s="1"/>
  <c r="H285" i="38" s="1"/>
  <c r="G243" i="38"/>
  <c r="G268" i="38" s="1"/>
  <c r="F243" i="38"/>
  <c r="L242" i="38"/>
  <c r="K242" i="38"/>
  <c r="J242" i="38"/>
  <c r="I242" i="38"/>
  <c r="H242" i="38"/>
  <c r="G242" i="38"/>
  <c r="F242" i="38" s="1"/>
  <c r="L241" i="38"/>
  <c r="K241" i="38"/>
  <c r="J241" i="38"/>
  <c r="I241" i="38"/>
  <c r="H241" i="38"/>
  <c r="G241" i="38"/>
  <c r="F241" i="38"/>
  <c r="L240" i="38"/>
  <c r="L265" i="38" s="1"/>
  <c r="L282" i="38" s="1"/>
  <c r="K240" i="38"/>
  <c r="K265" i="38" s="1"/>
  <c r="K282" i="38" s="1"/>
  <c r="J240" i="38"/>
  <c r="J265" i="38" s="1"/>
  <c r="J282" i="38" s="1"/>
  <c r="I240" i="38"/>
  <c r="I265" i="38" s="1"/>
  <c r="I282" i="38" s="1"/>
  <c r="H240" i="38"/>
  <c r="H265" i="38" s="1"/>
  <c r="H282" i="38" s="1"/>
  <c r="G240" i="38"/>
  <c r="F240" i="38" s="1"/>
  <c r="L239" i="38"/>
  <c r="L264" i="38" s="1"/>
  <c r="L281" i="38" s="1"/>
  <c r="K239" i="38"/>
  <c r="K264" i="38" s="1"/>
  <c r="K281" i="38" s="1"/>
  <c r="J239" i="38"/>
  <c r="J264" i="38" s="1"/>
  <c r="J281" i="38" s="1"/>
  <c r="I239" i="38"/>
  <c r="I264" i="38" s="1"/>
  <c r="I281" i="38" s="1"/>
  <c r="H239" i="38"/>
  <c r="H264" i="38" s="1"/>
  <c r="H281" i="38" s="1"/>
  <c r="G239" i="38"/>
  <c r="F239" i="38"/>
  <c r="L238" i="38"/>
  <c r="L263" i="38" s="1"/>
  <c r="L280" i="38" s="1"/>
  <c r="K238" i="38"/>
  <c r="K263" i="38" s="1"/>
  <c r="K280" i="38" s="1"/>
  <c r="J238" i="38"/>
  <c r="J263" i="38" s="1"/>
  <c r="J280" i="38" s="1"/>
  <c r="I238" i="38"/>
  <c r="I263" i="38" s="1"/>
  <c r="I280" i="38" s="1"/>
  <c r="H238" i="38"/>
  <c r="H263" i="38" s="1"/>
  <c r="H280" i="38" s="1"/>
  <c r="G238" i="38"/>
  <c r="F238" i="38" s="1"/>
  <c r="L237" i="38"/>
  <c r="L262" i="38" s="1"/>
  <c r="L279" i="38" s="1"/>
  <c r="K237" i="38"/>
  <c r="K262" i="38" s="1"/>
  <c r="K279" i="38" s="1"/>
  <c r="J237" i="38"/>
  <c r="J262" i="38" s="1"/>
  <c r="J279" i="38" s="1"/>
  <c r="I237" i="38"/>
  <c r="I262" i="38" s="1"/>
  <c r="I279" i="38" s="1"/>
  <c r="H237" i="38"/>
  <c r="H262" i="38" s="1"/>
  <c r="H279" i="38" s="1"/>
  <c r="G237" i="38"/>
  <c r="L236" i="38"/>
  <c r="L261" i="38" s="1"/>
  <c r="L278" i="38" s="1"/>
  <c r="K236" i="38"/>
  <c r="K261" i="38" s="1"/>
  <c r="K278" i="38" s="1"/>
  <c r="J236" i="38"/>
  <c r="J261" i="38" s="1"/>
  <c r="J278" i="38" s="1"/>
  <c r="I236" i="38"/>
  <c r="I261" i="38" s="1"/>
  <c r="I278" i="38" s="1"/>
  <c r="H236" i="38"/>
  <c r="H261" i="38" s="1"/>
  <c r="H278" i="38" s="1"/>
  <c r="G236" i="38"/>
  <c r="F236" i="38" s="1"/>
  <c r="L233" i="38"/>
  <c r="K233" i="38"/>
  <c r="K258" i="38" s="1"/>
  <c r="J233" i="38"/>
  <c r="I233" i="38"/>
  <c r="H233" i="38"/>
  <c r="G233" i="38"/>
  <c r="G258" i="38" s="1"/>
  <c r="L231" i="38"/>
  <c r="K231" i="38"/>
  <c r="J231" i="38"/>
  <c r="I231" i="38"/>
  <c r="H231" i="38"/>
  <c r="G231" i="38"/>
  <c r="L215" i="38"/>
  <c r="K215" i="38"/>
  <c r="J215" i="38"/>
  <c r="I215" i="38"/>
  <c r="H215" i="38"/>
  <c r="G215" i="38"/>
  <c r="L214" i="38"/>
  <c r="K214" i="38"/>
  <c r="J214" i="38"/>
  <c r="I214" i="38"/>
  <c r="H214" i="38"/>
  <c r="G214" i="38"/>
  <c r="F214" i="38" s="1"/>
  <c r="L213" i="38"/>
  <c r="K213" i="38"/>
  <c r="J213" i="38"/>
  <c r="I213" i="38"/>
  <c r="H213" i="38"/>
  <c r="G213" i="38"/>
  <c r="F213" i="38"/>
  <c r="E212" i="38"/>
  <c r="E302" i="38" s="1"/>
  <c r="E305" i="38" s="1"/>
  <c r="E315" i="38" s="1"/>
  <c r="E211" i="38"/>
  <c r="E301" i="38" s="1"/>
  <c r="E304" i="38" s="1"/>
  <c r="E314" i="38" s="1"/>
  <c r="L210" i="38"/>
  <c r="L340" i="38" s="1"/>
  <c r="L332" i="38" s="1"/>
  <c r="K210" i="38"/>
  <c r="K340" i="38" s="1"/>
  <c r="K332" i="38" s="1"/>
  <c r="J210" i="38"/>
  <c r="J340" i="38" s="1"/>
  <c r="J332" i="38" s="1"/>
  <c r="I210" i="38"/>
  <c r="I340" i="38" s="1"/>
  <c r="I332" i="38" s="1"/>
  <c r="H210" i="38"/>
  <c r="H340" i="38" s="1"/>
  <c r="H332" i="38" s="1"/>
  <c r="L195" i="38"/>
  <c r="K195" i="38"/>
  <c r="J195" i="38"/>
  <c r="I195" i="38"/>
  <c r="H195" i="38"/>
  <c r="G195" i="38"/>
  <c r="L187" i="38"/>
  <c r="K187" i="38"/>
  <c r="J187" i="38"/>
  <c r="I187" i="38"/>
  <c r="H187" i="38"/>
  <c r="G187" i="38"/>
  <c r="E175" i="38"/>
  <c r="E174" i="38"/>
  <c r="E173" i="38"/>
  <c r="I173" i="38" s="1"/>
  <c r="L163" i="38"/>
  <c r="K163" i="38"/>
  <c r="J163" i="38"/>
  <c r="I163" i="38"/>
  <c r="H163" i="38"/>
  <c r="G163" i="38"/>
  <c r="F163" i="38" s="1"/>
  <c r="E157" i="38"/>
  <c r="E160" i="38" s="1"/>
  <c r="E170" i="38" s="1"/>
  <c r="E156" i="38"/>
  <c r="E159" i="38" s="1"/>
  <c r="E169" i="38" s="1"/>
  <c r="E145" i="38"/>
  <c r="F143" i="38"/>
  <c r="E142" i="38"/>
  <c r="E141" i="38"/>
  <c r="E140" i="38"/>
  <c r="E137" i="38"/>
  <c r="E265" i="38" s="1"/>
  <c r="E282" i="38" s="1"/>
  <c r="C137" i="38"/>
  <c r="E136" i="38"/>
  <c r="E264" i="38" s="1"/>
  <c r="E281" i="38" s="1"/>
  <c r="C136" i="38"/>
  <c r="E135" i="38"/>
  <c r="E263" i="38" s="1"/>
  <c r="E280" i="38" s="1"/>
  <c r="C135" i="38"/>
  <c r="E134" i="38"/>
  <c r="E262" i="38" s="1"/>
  <c r="E279" i="38" s="1"/>
  <c r="E133" i="38"/>
  <c r="E261" i="38" s="1"/>
  <c r="E278" i="38" s="1"/>
  <c r="C133" i="38"/>
  <c r="E132" i="38"/>
  <c r="E260" i="38" s="1"/>
  <c r="E277" i="38" s="1"/>
  <c r="C132" i="38"/>
  <c r="L126" i="38"/>
  <c r="L145" i="38" s="1"/>
  <c r="K126" i="38"/>
  <c r="K145" i="38" s="1"/>
  <c r="J126" i="38"/>
  <c r="J145" i="38" s="1"/>
  <c r="I126" i="38"/>
  <c r="I145" i="38" s="1"/>
  <c r="H126" i="38"/>
  <c r="H145" i="38" s="1"/>
  <c r="G126" i="38"/>
  <c r="F126" i="38" s="1"/>
  <c r="F145" i="38" s="1"/>
  <c r="L125" i="38"/>
  <c r="L142" i="38" s="1"/>
  <c r="K125" i="38"/>
  <c r="K142" i="38" s="1"/>
  <c r="J125" i="38"/>
  <c r="J142" i="38" s="1"/>
  <c r="I125" i="38"/>
  <c r="I142" i="38" s="1"/>
  <c r="H125" i="38"/>
  <c r="H142" i="38" s="1"/>
  <c r="G125" i="38"/>
  <c r="F125" i="38" s="1"/>
  <c r="F142" i="38" s="1"/>
  <c r="G142" i="38" s="1"/>
  <c r="L124" i="38"/>
  <c r="L141" i="38" s="1"/>
  <c r="K124" i="38"/>
  <c r="K141" i="38" s="1"/>
  <c r="J124" i="38"/>
  <c r="J141" i="38" s="1"/>
  <c r="I124" i="38"/>
  <c r="I141" i="38" s="1"/>
  <c r="H124" i="38"/>
  <c r="H141" i="38" s="1"/>
  <c r="G124" i="38"/>
  <c r="F124" i="38"/>
  <c r="F141" i="38" s="1"/>
  <c r="G141" i="38" s="1"/>
  <c r="L123" i="38"/>
  <c r="L140" i="38" s="1"/>
  <c r="K123" i="38"/>
  <c r="K140" i="38" s="1"/>
  <c r="J123" i="38"/>
  <c r="J140" i="38" s="1"/>
  <c r="I123" i="38"/>
  <c r="I140" i="38" s="1"/>
  <c r="H123" i="38"/>
  <c r="H140" i="38" s="1"/>
  <c r="G123" i="38"/>
  <c r="F123" i="38" s="1"/>
  <c r="F140" i="38" s="1"/>
  <c r="L120" i="38"/>
  <c r="L137" i="38" s="1"/>
  <c r="K120" i="38"/>
  <c r="K137" i="38" s="1"/>
  <c r="J120" i="38"/>
  <c r="J137" i="38" s="1"/>
  <c r="I120" i="38"/>
  <c r="I137" i="38" s="1"/>
  <c r="H120" i="38"/>
  <c r="H137" i="38" s="1"/>
  <c r="L119" i="38"/>
  <c r="L136" i="38" s="1"/>
  <c r="K119" i="38"/>
  <c r="K136" i="38" s="1"/>
  <c r="J119" i="38"/>
  <c r="J136" i="38" s="1"/>
  <c r="I119" i="38"/>
  <c r="I136" i="38" s="1"/>
  <c r="H119" i="38"/>
  <c r="H136" i="38" s="1"/>
  <c r="L118" i="38"/>
  <c r="L135" i="38" s="1"/>
  <c r="K118" i="38"/>
  <c r="K135" i="38" s="1"/>
  <c r="J118" i="38"/>
  <c r="J135" i="38" s="1"/>
  <c r="I118" i="38"/>
  <c r="I135" i="38" s="1"/>
  <c r="H118" i="38"/>
  <c r="H135" i="38" s="1"/>
  <c r="L117" i="38"/>
  <c r="L134" i="38" s="1"/>
  <c r="K117" i="38"/>
  <c r="K134" i="38" s="1"/>
  <c r="J117" i="38"/>
  <c r="J134" i="38" s="1"/>
  <c r="I117" i="38"/>
  <c r="I134" i="38" s="1"/>
  <c r="H117" i="38"/>
  <c r="H134" i="38" s="1"/>
  <c r="C117" i="38"/>
  <c r="C134" i="38" s="1"/>
  <c r="L116" i="38"/>
  <c r="L133" i="38" s="1"/>
  <c r="K116" i="38"/>
  <c r="K133" i="38" s="1"/>
  <c r="J116" i="38"/>
  <c r="J133" i="38" s="1"/>
  <c r="I116" i="38"/>
  <c r="I133" i="38" s="1"/>
  <c r="H116" i="38"/>
  <c r="H133" i="38" s="1"/>
  <c r="L115" i="38"/>
  <c r="L132" i="38" s="1"/>
  <c r="H115" i="38"/>
  <c r="H132" i="38" s="1"/>
  <c r="L113" i="38"/>
  <c r="L128" i="38" s="1"/>
  <c r="K113" i="38"/>
  <c r="K128" i="38" s="1"/>
  <c r="J113" i="38"/>
  <c r="I113" i="38"/>
  <c r="I128" i="38" s="1"/>
  <c r="H113" i="38"/>
  <c r="H128" i="38" s="1"/>
  <c r="G113" i="38"/>
  <c r="G128" i="38" s="1"/>
  <c r="F113" i="38"/>
  <c r="I112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119" i="38" s="1"/>
  <c r="G119" i="38" s="1"/>
  <c r="F93" i="38"/>
  <c r="F92" i="38"/>
  <c r="F91" i="38"/>
  <c r="L90" i="38"/>
  <c r="L172" i="38" s="1"/>
  <c r="K90" i="38"/>
  <c r="K115" i="38" s="1"/>
  <c r="J90" i="38"/>
  <c r="I90" i="38"/>
  <c r="H90" i="38"/>
  <c r="H172" i="38" s="1"/>
  <c r="G90" i="38"/>
  <c r="F90" i="38" s="1"/>
  <c r="L89" i="38"/>
  <c r="L112" i="38" s="1"/>
  <c r="J89" i="38"/>
  <c r="J114" i="38" s="1"/>
  <c r="I89" i="38"/>
  <c r="H89" i="38"/>
  <c r="H112" i="38" s="1"/>
  <c r="F88" i="38"/>
  <c r="L75" i="38"/>
  <c r="K75" i="38"/>
  <c r="H75" i="38"/>
  <c r="L74" i="38"/>
  <c r="K74" i="38"/>
  <c r="H74" i="38"/>
  <c r="L73" i="38"/>
  <c r="K73" i="38"/>
  <c r="H73" i="38"/>
  <c r="F70" i="38"/>
  <c r="F69" i="38"/>
  <c r="F68" i="38"/>
  <c r="L66" i="38"/>
  <c r="K66" i="38"/>
  <c r="J66" i="38"/>
  <c r="I66" i="38"/>
  <c r="H66" i="38"/>
  <c r="G66" i="38"/>
  <c r="F63" i="38"/>
  <c r="F42" i="38"/>
  <c r="D42" i="38"/>
  <c r="F41" i="38"/>
  <c r="D41" i="38"/>
  <c r="L40" i="38"/>
  <c r="K40" i="38"/>
  <c r="J40" i="38"/>
  <c r="I40" i="38"/>
  <c r="D40" i="38"/>
  <c r="L35" i="38"/>
  <c r="L55" i="38" s="1"/>
  <c r="K35" i="38"/>
  <c r="K45" i="38" s="1"/>
  <c r="J35" i="38"/>
  <c r="J48" i="38" s="1"/>
  <c r="I35" i="38"/>
  <c r="I55" i="38" s="1"/>
  <c r="H35" i="38"/>
  <c r="H55" i="38" s="1"/>
  <c r="G35" i="38"/>
  <c r="G45" i="38" s="1"/>
  <c r="F34" i="38"/>
  <c r="C34" i="38"/>
  <c r="F33" i="38"/>
  <c r="C33" i="38"/>
  <c r="F32" i="38"/>
  <c r="C32" i="38"/>
  <c r="F31" i="38"/>
  <c r="C31" i="38"/>
  <c r="F30" i="38"/>
  <c r="C30" i="38"/>
  <c r="F29" i="38"/>
  <c r="F28" i="38"/>
  <c r="C28" i="38"/>
  <c r="F27" i="38"/>
  <c r="C27" i="38"/>
  <c r="F26" i="38"/>
  <c r="C26" i="38"/>
  <c r="F25" i="38"/>
  <c r="C25" i="38"/>
  <c r="F24" i="38"/>
  <c r="F23" i="38"/>
  <c r="C23" i="38"/>
  <c r="F22" i="38"/>
  <c r="E22" i="38"/>
  <c r="C22" i="38"/>
  <c r="F21" i="38"/>
  <c r="E21" i="38"/>
  <c r="C21" i="38"/>
  <c r="F20" i="38"/>
  <c r="E20" i="38"/>
  <c r="C20" i="38"/>
  <c r="F19" i="38"/>
  <c r="E19" i="38"/>
  <c r="C19" i="38"/>
  <c r="L18" i="38"/>
  <c r="K18" i="38"/>
  <c r="J18" i="38"/>
  <c r="I18" i="38"/>
  <c r="H18" i="38"/>
  <c r="G18" i="38"/>
  <c r="F18" i="38" s="1"/>
  <c r="E18" i="38"/>
  <c r="C18" i="38"/>
  <c r="L17" i="38"/>
  <c r="K17" i="38"/>
  <c r="J17" i="38"/>
  <c r="I17" i="38"/>
  <c r="H17" i="38"/>
  <c r="G17" i="38"/>
  <c r="F17" i="38" s="1"/>
  <c r="C17" i="38"/>
  <c r="F16" i="38"/>
  <c r="C16" i="38"/>
  <c r="L13" i="38"/>
  <c r="K13" i="38"/>
  <c r="J13" i="38"/>
  <c r="I13" i="38"/>
  <c r="H13" i="38"/>
  <c r="G13" i="38"/>
  <c r="F13" i="38"/>
  <c r="F9" i="38"/>
  <c r="G8" i="38"/>
  <c r="G210" i="38" s="1"/>
  <c r="G340" i="38" s="1"/>
  <c r="G332" i="38" s="1"/>
  <c r="N460" i="37"/>
  <c r="M460" i="37"/>
  <c r="L460" i="37"/>
  <c r="K460" i="37"/>
  <c r="J460" i="37"/>
  <c r="I460" i="37"/>
  <c r="H460" i="37"/>
  <c r="G460" i="37"/>
  <c r="F460" i="37"/>
  <c r="E459" i="37"/>
  <c r="E458" i="37"/>
  <c r="E457" i="37"/>
  <c r="D457" i="37"/>
  <c r="C457" i="37"/>
  <c r="D454" i="37"/>
  <c r="D453" i="37"/>
  <c r="D452" i="37"/>
  <c r="C447" i="37"/>
  <c r="N438" i="37"/>
  <c r="M438" i="37"/>
  <c r="L438" i="37"/>
  <c r="K438" i="37"/>
  <c r="J438" i="37"/>
  <c r="I438" i="37"/>
  <c r="H438" i="37"/>
  <c r="G438" i="37"/>
  <c r="E430" i="37"/>
  <c r="D430" i="37"/>
  <c r="F429" i="37"/>
  <c r="N428" i="37"/>
  <c r="M428" i="37"/>
  <c r="L428" i="37"/>
  <c r="K428" i="37"/>
  <c r="J428" i="37"/>
  <c r="I428" i="37"/>
  <c r="H428" i="37"/>
  <c r="F428" i="37" s="1"/>
  <c r="G428" i="37"/>
  <c r="E427" i="37"/>
  <c r="D427" i="37"/>
  <c r="E426" i="37"/>
  <c r="D426" i="37"/>
  <c r="E425" i="37"/>
  <c r="D425" i="37"/>
  <c r="E424" i="37"/>
  <c r="D424" i="37"/>
  <c r="E421" i="37"/>
  <c r="D421" i="37"/>
  <c r="E420" i="37"/>
  <c r="D420" i="37"/>
  <c r="E419" i="37"/>
  <c r="D419" i="37"/>
  <c r="D418" i="37"/>
  <c r="D417" i="37"/>
  <c r="D416" i="37"/>
  <c r="D414" i="37"/>
  <c r="E389" i="37"/>
  <c r="D389" i="37"/>
  <c r="E388" i="37"/>
  <c r="D388" i="37"/>
  <c r="E387" i="37"/>
  <c r="D387" i="37"/>
  <c r="E386" i="37"/>
  <c r="D386" i="37"/>
  <c r="E385" i="37"/>
  <c r="D385" i="37"/>
  <c r="E382" i="37"/>
  <c r="D382" i="37"/>
  <c r="E381" i="37"/>
  <c r="D381" i="37"/>
  <c r="E380" i="37"/>
  <c r="D380" i="37"/>
  <c r="D377" i="37"/>
  <c r="D375" i="37"/>
  <c r="N352" i="37"/>
  <c r="N447" i="37" s="1"/>
  <c r="N457" i="37" s="1"/>
  <c r="N327" i="37" s="1"/>
  <c r="M352" i="37"/>
  <c r="M447" i="37" s="1"/>
  <c r="M457" i="37" s="1"/>
  <c r="M327" i="37" s="1"/>
  <c r="L352" i="37"/>
  <c r="L447" i="37" s="1"/>
  <c r="L457" i="37" s="1"/>
  <c r="L327" i="37" s="1"/>
  <c r="K352" i="37"/>
  <c r="K447" i="37" s="1"/>
  <c r="K457" i="37" s="1"/>
  <c r="K327" i="37" s="1"/>
  <c r="J352" i="37"/>
  <c r="J447" i="37" s="1"/>
  <c r="J457" i="37" s="1"/>
  <c r="J327" i="37" s="1"/>
  <c r="I352" i="37"/>
  <c r="I447" i="37" s="1"/>
  <c r="I457" i="37" s="1"/>
  <c r="I327" i="37" s="1"/>
  <c r="H352" i="37"/>
  <c r="H447" i="37" s="1"/>
  <c r="H457" i="37" s="1"/>
  <c r="H327" i="37" s="1"/>
  <c r="G352" i="37"/>
  <c r="G447" i="37" s="1"/>
  <c r="F447" i="37" s="1"/>
  <c r="F352" i="37"/>
  <c r="N351" i="37"/>
  <c r="M351" i="37"/>
  <c r="L351" i="37"/>
  <c r="K351" i="37"/>
  <c r="J351" i="37"/>
  <c r="I351" i="37"/>
  <c r="H351" i="37"/>
  <c r="G351" i="37"/>
  <c r="F351" i="37" s="1"/>
  <c r="N350" i="37"/>
  <c r="M350" i="37"/>
  <c r="L350" i="37"/>
  <c r="K350" i="37"/>
  <c r="J350" i="37"/>
  <c r="I350" i="37"/>
  <c r="H350" i="37"/>
  <c r="G350" i="37"/>
  <c r="F350" i="37"/>
  <c r="N349" i="37"/>
  <c r="M349" i="37"/>
  <c r="L349" i="37"/>
  <c r="K349" i="37"/>
  <c r="J349" i="37"/>
  <c r="I349" i="37"/>
  <c r="H349" i="37"/>
  <c r="G349" i="37"/>
  <c r="N346" i="37"/>
  <c r="M346" i="37"/>
  <c r="L346" i="37"/>
  <c r="K346" i="37"/>
  <c r="J346" i="37"/>
  <c r="I346" i="37"/>
  <c r="H346" i="37"/>
  <c r="G346" i="37"/>
  <c r="F346" i="37" s="1"/>
  <c r="N345" i="37"/>
  <c r="M345" i="37"/>
  <c r="L345" i="37"/>
  <c r="K345" i="37"/>
  <c r="J345" i="37"/>
  <c r="I345" i="37"/>
  <c r="H345" i="37"/>
  <c r="G345" i="37"/>
  <c r="N344" i="37"/>
  <c r="M344" i="37"/>
  <c r="L344" i="37"/>
  <c r="K344" i="37"/>
  <c r="J344" i="37"/>
  <c r="I344" i="37"/>
  <c r="H344" i="37"/>
  <c r="G344" i="37"/>
  <c r="F344" i="37" s="1"/>
  <c r="N343" i="37"/>
  <c r="M343" i="37"/>
  <c r="L343" i="37"/>
  <c r="K343" i="37"/>
  <c r="J343" i="37"/>
  <c r="I343" i="37"/>
  <c r="H343" i="37"/>
  <c r="G343" i="37"/>
  <c r="F343" i="37"/>
  <c r="N342" i="37"/>
  <c r="M342" i="37"/>
  <c r="L342" i="37"/>
  <c r="K342" i="37"/>
  <c r="J342" i="37"/>
  <c r="I342" i="37"/>
  <c r="H342" i="37"/>
  <c r="G342" i="37"/>
  <c r="N341" i="37"/>
  <c r="M341" i="37"/>
  <c r="L341" i="37"/>
  <c r="K341" i="37"/>
  <c r="J341" i="37"/>
  <c r="I341" i="37"/>
  <c r="H341" i="37"/>
  <c r="G341" i="37"/>
  <c r="N340" i="37"/>
  <c r="M340" i="37"/>
  <c r="L340" i="37"/>
  <c r="K340" i="37"/>
  <c r="J340" i="37"/>
  <c r="I340" i="37"/>
  <c r="H340" i="37"/>
  <c r="G340" i="37"/>
  <c r="N339" i="37"/>
  <c r="M339" i="37"/>
  <c r="L339" i="37"/>
  <c r="K339" i="37"/>
  <c r="J339" i="37"/>
  <c r="I339" i="37"/>
  <c r="H339" i="37"/>
  <c r="G339" i="37"/>
  <c r="F339" i="37"/>
  <c r="N338" i="37"/>
  <c r="M338" i="37"/>
  <c r="L338" i="37"/>
  <c r="K338" i="37"/>
  <c r="J338" i="37"/>
  <c r="I338" i="37"/>
  <c r="H338" i="37"/>
  <c r="G338" i="37"/>
  <c r="F338" i="37" s="1"/>
  <c r="N337" i="37"/>
  <c r="M337" i="37"/>
  <c r="L337" i="37"/>
  <c r="K337" i="37"/>
  <c r="J337" i="37"/>
  <c r="I337" i="37"/>
  <c r="H337" i="37"/>
  <c r="G337" i="37"/>
  <c r="N336" i="37"/>
  <c r="M336" i="37"/>
  <c r="L336" i="37"/>
  <c r="K336" i="37"/>
  <c r="J336" i="37"/>
  <c r="I336" i="37"/>
  <c r="H336" i="37"/>
  <c r="G336" i="37"/>
  <c r="N335" i="37"/>
  <c r="M335" i="37"/>
  <c r="L335" i="37"/>
  <c r="K335" i="37"/>
  <c r="J335" i="37"/>
  <c r="I335" i="37"/>
  <c r="H335" i="37"/>
  <c r="G335" i="37"/>
  <c r="F335" i="37"/>
  <c r="N328" i="37"/>
  <c r="M328" i="37"/>
  <c r="L328" i="37"/>
  <c r="K328" i="37"/>
  <c r="J328" i="37"/>
  <c r="I328" i="37"/>
  <c r="H328" i="37"/>
  <c r="G328" i="37"/>
  <c r="N323" i="37"/>
  <c r="M323" i="37"/>
  <c r="L323" i="37"/>
  <c r="K323" i="37"/>
  <c r="J323" i="37"/>
  <c r="I323" i="37"/>
  <c r="H323" i="37"/>
  <c r="G323" i="37"/>
  <c r="F323" i="37" s="1"/>
  <c r="N317" i="37"/>
  <c r="M317" i="37"/>
  <c r="L317" i="37"/>
  <c r="K317" i="37"/>
  <c r="J317" i="37"/>
  <c r="I317" i="37"/>
  <c r="H317" i="37"/>
  <c r="G317" i="37"/>
  <c r="F317" i="37"/>
  <c r="N316" i="37"/>
  <c r="M316" i="37"/>
  <c r="L316" i="37"/>
  <c r="K316" i="37"/>
  <c r="J316" i="37"/>
  <c r="I316" i="37"/>
  <c r="H316" i="37"/>
  <c r="G316" i="37"/>
  <c r="F316" i="37"/>
  <c r="N315" i="37"/>
  <c r="M315" i="37"/>
  <c r="L315" i="37"/>
  <c r="K315" i="37"/>
  <c r="J315" i="37"/>
  <c r="I315" i="37"/>
  <c r="H315" i="37"/>
  <c r="G315" i="37"/>
  <c r="F315" i="37"/>
  <c r="N314" i="37"/>
  <c r="M314" i="37"/>
  <c r="L314" i="37"/>
  <c r="K314" i="37"/>
  <c r="J314" i="37"/>
  <c r="I314" i="37"/>
  <c r="H314" i="37"/>
  <c r="G314" i="37"/>
  <c r="F314" i="37" s="1"/>
  <c r="N311" i="37"/>
  <c r="M311" i="37"/>
  <c r="L311" i="37"/>
  <c r="K311" i="37"/>
  <c r="J311" i="37"/>
  <c r="I311" i="37"/>
  <c r="H311" i="37"/>
  <c r="G311" i="37"/>
  <c r="N310" i="37"/>
  <c r="M310" i="37"/>
  <c r="L310" i="37"/>
  <c r="K310" i="37"/>
  <c r="J310" i="37"/>
  <c r="I310" i="37"/>
  <c r="H310" i="37"/>
  <c r="G310" i="37"/>
  <c r="N308" i="37"/>
  <c r="M308" i="37"/>
  <c r="L308" i="37"/>
  <c r="K308" i="37"/>
  <c r="J308" i="37"/>
  <c r="I308" i="37"/>
  <c r="H308" i="37"/>
  <c r="G308" i="37"/>
  <c r="E303" i="37"/>
  <c r="E441" i="37" s="1"/>
  <c r="E444" i="37" s="1"/>
  <c r="E454" i="37" s="1"/>
  <c r="E302" i="37"/>
  <c r="E440" i="37" s="1"/>
  <c r="E443" i="37" s="1"/>
  <c r="E453" i="37" s="1"/>
  <c r="N301" i="37"/>
  <c r="M301" i="37"/>
  <c r="L301" i="37"/>
  <c r="K301" i="37"/>
  <c r="J301" i="37"/>
  <c r="I301" i="37"/>
  <c r="H301" i="37"/>
  <c r="G301" i="37"/>
  <c r="N284" i="37"/>
  <c r="M284" i="37"/>
  <c r="L284" i="37"/>
  <c r="K284" i="37"/>
  <c r="J284" i="37"/>
  <c r="I284" i="37"/>
  <c r="H284" i="37"/>
  <c r="G284" i="37"/>
  <c r="N276" i="37"/>
  <c r="M276" i="37"/>
  <c r="L276" i="37"/>
  <c r="K276" i="37"/>
  <c r="J276" i="37"/>
  <c r="I276" i="37"/>
  <c r="H276" i="37"/>
  <c r="G276" i="37"/>
  <c r="N267" i="37"/>
  <c r="M267" i="37"/>
  <c r="L267" i="37"/>
  <c r="K267" i="37"/>
  <c r="J267" i="37"/>
  <c r="I267" i="37"/>
  <c r="H267" i="37"/>
  <c r="G267" i="37"/>
  <c r="N258" i="37"/>
  <c r="M258" i="37"/>
  <c r="L258" i="37"/>
  <c r="K258" i="37"/>
  <c r="J258" i="37"/>
  <c r="I258" i="37"/>
  <c r="H258" i="37"/>
  <c r="G258" i="37"/>
  <c r="F245" i="37"/>
  <c r="E244" i="37"/>
  <c r="E243" i="37"/>
  <c r="E242" i="37"/>
  <c r="D242" i="37"/>
  <c r="C242" i="37"/>
  <c r="D239" i="37"/>
  <c r="D238" i="37"/>
  <c r="D237" i="37"/>
  <c r="N232" i="37"/>
  <c r="N242" i="37" s="1"/>
  <c r="N111" i="37" s="1"/>
  <c r="M232" i="37"/>
  <c r="M242" i="37" s="1"/>
  <c r="M111" i="37" s="1"/>
  <c r="L232" i="37"/>
  <c r="L242" i="37" s="1"/>
  <c r="L111" i="37" s="1"/>
  <c r="K232" i="37"/>
  <c r="K242" i="37" s="1"/>
  <c r="K111" i="37" s="1"/>
  <c r="J232" i="37"/>
  <c r="J242" i="37" s="1"/>
  <c r="J111" i="37" s="1"/>
  <c r="I232" i="37"/>
  <c r="I242" i="37" s="1"/>
  <c r="I111" i="37" s="1"/>
  <c r="H232" i="37"/>
  <c r="H242" i="37" s="1"/>
  <c r="H111" i="37" s="1"/>
  <c r="G232" i="37"/>
  <c r="F232" i="37" s="1"/>
  <c r="C232" i="37"/>
  <c r="E226" i="37"/>
  <c r="E229" i="37" s="1"/>
  <c r="E239" i="37" s="1"/>
  <c r="E225" i="37"/>
  <c r="E228" i="37" s="1"/>
  <c r="E238" i="37" s="1"/>
  <c r="N223" i="37"/>
  <c r="M223" i="37"/>
  <c r="L223" i="37"/>
  <c r="K223" i="37"/>
  <c r="J223" i="37"/>
  <c r="I223" i="37"/>
  <c r="H223" i="37"/>
  <c r="G223" i="37"/>
  <c r="N220" i="37"/>
  <c r="M220" i="37"/>
  <c r="L220" i="37"/>
  <c r="K220" i="37"/>
  <c r="J220" i="37"/>
  <c r="I220" i="37"/>
  <c r="H220" i="37"/>
  <c r="G220" i="37"/>
  <c r="E214" i="37"/>
  <c r="D214" i="37"/>
  <c r="F213" i="37"/>
  <c r="F212" i="37"/>
  <c r="E211" i="37"/>
  <c r="D211" i="37"/>
  <c r="E210" i="37"/>
  <c r="D210" i="37"/>
  <c r="E209" i="37"/>
  <c r="D209" i="37"/>
  <c r="E208" i="37"/>
  <c r="D208" i="37"/>
  <c r="E205" i="37"/>
  <c r="D205" i="37"/>
  <c r="E204" i="37"/>
  <c r="D204" i="37"/>
  <c r="E203" i="37"/>
  <c r="D203" i="37"/>
  <c r="D202" i="37"/>
  <c r="D201" i="37"/>
  <c r="D200" i="37"/>
  <c r="D198" i="37"/>
  <c r="N178" i="37"/>
  <c r="M178" i="37"/>
  <c r="L178" i="37"/>
  <c r="K178" i="37"/>
  <c r="J178" i="37"/>
  <c r="I178" i="37"/>
  <c r="H178" i="37"/>
  <c r="G178" i="37"/>
  <c r="E173" i="37"/>
  <c r="D173" i="37"/>
  <c r="E172" i="37"/>
  <c r="D172" i="37"/>
  <c r="E171" i="37"/>
  <c r="D171" i="37"/>
  <c r="E170" i="37"/>
  <c r="D170" i="37"/>
  <c r="E169" i="37"/>
  <c r="D169" i="37"/>
  <c r="E166" i="37"/>
  <c r="D166" i="37"/>
  <c r="E165" i="37"/>
  <c r="D165" i="37"/>
  <c r="E164" i="37"/>
  <c r="D164" i="37"/>
  <c r="D161" i="37"/>
  <c r="D159" i="37"/>
  <c r="N155" i="37"/>
  <c r="N173" i="37" s="1"/>
  <c r="M155" i="37"/>
  <c r="M173" i="37" s="1"/>
  <c r="L155" i="37"/>
  <c r="L173" i="37" s="1"/>
  <c r="K155" i="37"/>
  <c r="K173" i="37" s="1"/>
  <c r="J155" i="37"/>
  <c r="J173" i="37" s="1"/>
  <c r="I155" i="37"/>
  <c r="I173" i="37" s="1"/>
  <c r="H155" i="37"/>
  <c r="H173" i="37" s="1"/>
  <c r="G155" i="37"/>
  <c r="G173" i="37" s="1"/>
  <c r="N154" i="37"/>
  <c r="N172" i="37" s="1"/>
  <c r="N193" i="37" s="1"/>
  <c r="N211" i="37" s="1"/>
  <c r="M154" i="37"/>
  <c r="M172" i="37" s="1"/>
  <c r="M193" i="37" s="1"/>
  <c r="M211" i="37" s="1"/>
  <c r="L154" i="37"/>
  <c r="L172" i="37" s="1"/>
  <c r="L193" i="37" s="1"/>
  <c r="L211" i="37" s="1"/>
  <c r="K154" i="37"/>
  <c r="K172" i="37" s="1"/>
  <c r="K193" i="37" s="1"/>
  <c r="K211" i="37" s="1"/>
  <c r="J154" i="37"/>
  <c r="J172" i="37" s="1"/>
  <c r="J193" i="37" s="1"/>
  <c r="J211" i="37" s="1"/>
  <c r="I154" i="37"/>
  <c r="I172" i="37" s="1"/>
  <c r="I193" i="37" s="1"/>
  <c r="I211" i="37" s="1"/>
  <c r="H154" i="37"/>
  <c r="H172" i="37" s="1"/>
  <c r="H193" i="37" s="1"/>
  <c r="H211" i="37" s="1"/>
  <c r="G154" i="37"/>
  <c r="G172" i="37" s="1"/>
  <c r="G193" i="37" s="1"/>
  <c r="N153" i="37"/>
  <c r="N171" i="37" s="1"/>
  <c r="N192" i="37" s="1"/>
  <c r="N210" i="37" s="1"/>
  <c r="M153" i="37"/>
  <c r="M171" i="37" s="1"/>
  <c r="M192" i="37" s="1"/>
  <c r="M210" i="37" s="1"/>
  <c r="L153" i="37"/>
  <c r="L171" i="37" s="1"/>
  <c r="L192" i="37" s="1"/>
  <c r="L210" i="37" s="1"/>
  <c r="K153" i="37"/>
  <c r="K171" i="37" s="1"/>
  <c r="K192" i="37" s="1"/>
  <c r="K210" i="37" s="1"/>
  <c r="J153" i="37"/>
  <c r="J171" i="37" s="1"/>
  <c r="J192" i="37" s="1"/>
  <c r="J210" i="37" s="1"/>
  <c r="I153" i="37"/>
  <c r="I171" i="37" s="1"/>
  <c r="I192" i="37" s="1"/>
  <c r="I210" i="37" s="1"/>
  <c r="H153" i="37"/>
  <c r="F153" i="37" s="1"/>
  <c r="G153" i="37"/>
  <c r="G171" i="37" s="1"/>
  <c r="G192" i="37" s="1"/>
  <c r="N152" i="37"/>
  <c r="N170" i="37" s="1"/>
  <c r="N191" i="37" s="1"/>
  <c r="N209" i="37" s="1"/>
  <c r="M152" i="37"/>
  <c r="M170" i="37" s="1"/>
  <c r="M191" i="37" s="1"/>
  <c r="M209" i="37" s="1"/>
  <c r="L152" i="37"/>
  <c r="L170" i="37" s="1"/>
  <c r="L191" i="37" s="1"/>
  <c r="L209" i="37" s="1"/>
  <c r="K152" i="37"/>
  <c r="K170" i="37" s="1"/>
  <c r="K191" i="37" s="1"/>
  <c r="K209" i="37" s="1"/>
  <c r="J152" i="37"/>
  <c r="J170" i="37" s="1"/>
  <c r="J191" i="37" s="1"/>
  <c r="J209" i="37" s="1"/>
  <c r="I152" i="37"/>
  <c r="I170" i="37" s="1"/>
  <c r="I191" i="37" s="1"/>
  <c r="I209" i="37" s="1"/>
  <c r="H152" i="37"/>
  <c r="H170" i="37" s="1"/>
  <c r="H191" i="37" s="1"/>
  <c r="H209" i="37" s="1"/>
  <c r="G152" i="37"/>
  <c r="G170" i="37" s="1"/>
  <c r="G191" i="37" s="1"/>
  <c r="N151" i="37"/>
  <c r="N169" i="37" s="1"/>
  <c r="N190" i="37" s="1"/>
  <c r="N208" i="37" s="1"/>
  <c r="M151" i="37"/>
  <c r="M169" i="37" s="1"/>
  <c r="M190" i="37" s="1"/>
  <c r="M208" i="37" s="1"/>
  <c r="L151" i="37"/>
  <c r="L169" i="37" s="1"/>
  <c r="L190" i="37" s="1"/>
  <c r="L208" i="37" s="1"/>
  <c r="K151" i="37"/>
  <c r="K169" i="37" s="1"/>
  <c r="K190" i="37" s="1"/>
  <c r="K208" i="37" s="1"/>
  <c r="J151" i="37"/>
  <c r="J169" i="37" s="1"/>
  <c r="J190" i="37" s="1"/>
  <c r="J208" i="37" s="1"/>
  <c r="I151" i="37"/>
  <c r="I169" i="37" s="1"/>
  <c r="I190" i="37" s="1"/>
  <c r="I208" i="37" s="1"/>
  <c r="H151" i="37"/>
  <c r="H169" i="37" s="1"/>
  <c r="H190" i="37" s="1"/>
  <c r="H208" i="37" s="1"/>
  <c r="G151" i="37"/>
  <c r="G169" i="37" s="1"/>
  <c r="G190" i="37" s="1"/>
  <c r="N148" i="37"/>
  <c r="N166" i="37" s="1"/>
  <c r="N187" i="37" s="1"/>
  <c r="N205" i="37" s="1"/>
  <c r="M148" i="37"/>
  <c r="M166" i="37" s="1"/>
  <c r="M187" i="37" s="1"/>
  <c r="M205" i="37" s="1"/>
  <c r="L148" i="37"/>
  <c r="L166" i="37" s="1"/>
  <c r="L187" i="37" s="1"/>
  <c r="L205" i="37" s="1"/>
  <c r="K148" i="37"/>
  <c r="K166" i="37" s="1"/>
  <c r="K187" i="37" s="1"/>
  <c r="K205" i="37" s="1"/>
  <c r="J148" i="37"/>
  <c r="J166" i="37" s="1"/>
  <c r="J187" i="37" s="1"/>
  <c r="J205" i="37" s="1"/>
  <c r="I148" i="37"/>
  <c r="I166" i="37" s="1"/>
  <c r="I187" i="37" s="1"/>
  <c r="I205" i="37" s="1"/>
  <c r="H148" i="37"/>
  <c r="H166" i="37" s="1"/>
  <c r="H187" i="37" s="1"/>
  <c r="H205" i="37" s="1"/>
  <c r="G148" i="37"/>
  <c r="G166" i="37" s="1"/>
  <c r="G187" i="37" s="1"/>
  <c r="N147" i="37"/>
  <c r="N165" i="37" s="1"/>
  <c r="N186" i="37" s="1"/>
  <c r="N204" i="37" s="1"/>
  <c r="M147" i="37"/>
  <c r="M165" i="37" s="1"/>
  <c r="M186" i="37" s="1"/>
  <c r="M204" i="37" s="1"/>
  <c r="L147" i="37"/>
  <c r="L165" i="37" s="1"/>
  <c r="L186" i="37" s="1"/>
  <c r="L204" i="37" s="1"/>
  <c r="K147" i="37"/>
  <c r="K165" i="37" s="1"/>
  <c r="K186" i="37" s="1"/>
  <c r="K204" i="37" s="1"/>
  <c r="J147" i="37"/>
  <c r="J165" i="37" s="1"/>
  <c r="J186" i="37" s="1"/>
  <c r="J204" i="37" s="1"/>
  <c r="I147" i="37"/>
  <c r="I165" i="37" s="1"/>
  <c r="I186" i="37" s="1"/>
  <c r="I204" i="37" s="1"/>
  <c r="H147" i="37"/>
  <c r="F147" i="37" s="1"/>
  <c r="G147" i="37"/>
  <c r="G165" i="37" s="1"/>
  <c r="G186" i="37" s="1"/>
  <c r="N146" i="37"/>
  <c r="N164" i="37" s="1"/>
  <c r="N185" i="37" s="1"/>
  <c r="M146" i="37"/>
  <c r="M164" i="37" s="1"/>
  <c r="M185" i="37" s="1"/>
  <c r="L146" i="37"/>
  <c r="L164" i="37" s="1"/>
  <c r="L185" i="37" s="1"/>
  <c r="K146" i="37"/>
  <c r="K164" i="37" s="1"/>
  <c r="K185" i="37" s="1"/>
  <c r="J146" i="37"/>
  <c r="J164" i="37" s="1"/>
  <c r="J185" i="37" s="1"/>
  <c r="I146" i="37"/>
  <c r="I164" i="37" s="1"/>
  <c r="I185" i="37" s="1"/>
  <c r="H146" i="37"/>
  <c r="H164" i="37" s="1"/>
  <c r="H185" i="37" s="1"/>
  <c r="G146" i="37"/>
  <c r="G164" i="37" s="1"/>
  <c r="G185" i="37" s="1"/>
  <c r="N145" i="37"/>
  <c r="M145" i="37"/>
  <c r="L145" i="37"/>
  <c r="K145" i="37"/>
  <c r="J145" i="37"/>
  <c r="I145" i="37"/>
  <c r="H145" i="37"/>
  <c r="G145" i="37"/>
  <c r="F145" i="37"/>
  <c r="N144" i="37"/>
  <c r="M144" i="37"/>
  <c r="L144" i="37"/>
  <c r="K144" i="37"/>
  <c r="J144" i="37"/>
  <c r="I144" i="37"/>
  <c r="H144" i="37"/>
  <c r="G144" i="37"/>
  <c r="N139" i="37"/>
  <c r="M139" i="37"/>
  <c r="L139" i="37"/>
  <c r="K139" i="37"/>
  <c r="J139" i="37"/>
  <c r="I139" i="37"/>
  <c r="H139" i="37"/>
  <c r="G139" i="37"/>
  <c r="F136" i="37"/>
  <c r="F135" i="37"/>
  <c r="F134" i="37"/>
  <c r="F133" i="37"/>
  <c r="N132" i="37"/>
  <c r="M132" i="37"/>
  <c r="L132" i="37"/>
  <c r="K132" i="37"/>
  <c r="J132" i="37"/>
  <c r="I132" i="37"/>
  <c r="H132" i="37"/>
  <c r="G132" i="37"/>
  <c r="F132" i="37"/>
  <c r="N131" i="37"/>
  <c r="N194" i="37" s="1"/>
  <c r="N214" i="37" s="1"/>
  <c r="M131" i="37"/>
  <c r="M194" i="37" s="1"/>
  <c r="M214" i="37" s="1"/>
  <c r="L131" i="37"/>
  <c r="L194" i="37" s="1"/>
  <c r="L214" i="37" s="1"/>
  <c r="K131" i="37"/>
  <c r="J131" i="37"/>
  <c r="J194" i="37" s="1"/>
  <c r="J214" i="37" s="1"/>
  <c r="I131" i="37"/>
  <c r="I194" i="37" s="1"/>
  <c r="I214" i="37" s="1"/>
  <c r="H131" i="37"/>
  <c r="H194" i="37" s="1"/>
  <c r="H214" i="37" s="1"/>
  <c r="G131" i="37"/>
  <c r="F130" i="37"/>
  <c r="F129" i="37"/>
  <c r="F128" i="37"/>
  <c r="F127" i="37"/>
  <c r="F126" i="37"/>
  <c r="F123" i="37"/>
  <c r="F122" i="37"/>
  <c r="F121" i="37"/>
  <c r="F120" i="37"/>
  <c r="F119" i="37"/>
  <c r="N118" i="37"/>
  <c r="M118" i="37"/>
  <c r="M143" i="37" s="1"/>
  <c r="L118" i="37"/>
  <c r="L143" i="37" s="1"/>
  <c r="K118" i="37"/>
  <c r="K143" i="37" s="1"/>
  <c r="J118" i="37"/>
  <c r="I118" i="37"/>
  <c r="I143" i="37" s="1"/>
  <c r="H118" i="37"/>
  <c r="H143" i="37" s="1"/>
  <c r="G118" i="37"/>
  <c r="G143" i="37" s="1"/>
  <c r="N117" i="37"/>
  <c r="N142" i="37" s="1"/>
  <c r="M117" i="37"/>
  <c r="M142" i="37" s="1"/>
  <c r="L117" i="37"/>
  <c r="L142" i="37" s="1"/>
  <c r="K117" i="37"/>
  <c r="J117" i="37"/>
  <c r="J142" i="37" s="1"/>
  <c r="I117" i="37"/>
  <c r="I142" i="37" s="1"/>
  <c r="H117" i="37"/>
  <c r="H333" i="37" s="1"/>
  <c r="G117" i="37"/>
  <c r="G333" i="37" s="1"/>
  <c r="N115" i="37"/>
  <c r="M115" i="37"/>
  <c r="L115" i="37"/>
  <c r="K115" i="37"/>
  <c r="J115" i="37"/>
  <c r="I115" i="37"/>
  <c r="H115" i="37"/>
  <c r="G115" i="37"/>
  <c r="N112" i="37"/>
  <c r="M112" i="37"/>
  <c r="L112" i="37"/>
  <c r="K112" i="37"/>
  <c r="J112" i="37"/>
  <c r="I112" i="37"/>
  <c r="H112" i="37"/>
  <c r="G112" i="37"/>
  <c r="N107" i="37"/>
  <c r="M107" i="37"/>
  <c r="L107" i="37"/>
  <c r="K107" i="37"/>
  <c r="J107" i="37"/>
  <c r="I107" i="37"/>
  <c r="H107" i="37"/>
  <c r="G107" i="37"/>
  <c r="F107" i="37" s="1"/>
  <c r="N101" i="37"/>
  <c r="M101" i="37"/>
  <c r="L101" i="37"/>
  <c r="K101" i="37"/>
  <c r="J101" i="37"/>
  <c r="I101" i="37"/>
  <c r="H101" i="37"/>
  <c r="G101" i="37"/>
  <c r="F101" i="37" s="1"/>
  <c r="F100" i="37"/>
  <c r="F99" i="37"/>
  <c r="F98" i="37"/>
  <c r="N95" i="37"/>
  <c r="M95" i="37"/>
  <c r="L95" i="37"/>
  <c r="K95" i="37"/>
  <c r="J95" i="37"/>
  <c r="I95" i="37"/>
  <c r="H95" i="37"/>
  <c r="G95" i="37"/>
  <c r="N94" i="37"/>
  <c r="M94" i="37"/>
  <c r="L94" i="37"/>
  <c r="K94" i="37"/>
  <c r="J94" i="37"/>
  <c r="I94" i="37"/>
  <c r="H94" i="37"/>
  <c r="G94" i="37"/>
  <c r="F92" i="37"/>
  <c r="C83" i="37"/>
  <c r="F82" i="37"/>
  <c r="F298" i="37" s="1"/>
  <c r="F59" i="37"/>
  <c r="F45" i="37"/>
  <c r="F44" i="37"/>
  <c r="F43" i="37"/>
  <c r="F42" i="37"/>
  <c r="N41" i="37"/>
  <c r="M41" i="37"/>
  <c r="L41" i="37"/>
  <c r="K41" i="37"/>
  <c r="J41" i="37"/>
  <c r="I41" i="37"/>
  <c r="H41" i="37"/>
  <c r="G41" i="37"/>
  <c r="F41" i="37" s="1"/>
  <c r="N40" i="37"/>
  <c r="M40" i="37"/>
  <c r="L40" i="37"/>
  <c r="K40" i="37"/>
  <c r="J40" i="37"/>
  <c r="I40" i="37"/>
  <c r="H40" i="37"/>
  <c r="F40" i="37" s="1"/>
  <c r="G40" i="37"/>
  <c r="F39" i="37"/>
  <c r="F38" i="37"/>
  <c r="F37" i="37"/>
  <c r="F36" i="37"/>
  <c r="F35" i="37"/>
  <c r="F32" i="37"/>
  <c r="F31" i="37"/>
  <c r="F30" i="37"/>
  <c r="F29" i="37"/>
  <c r="F28" i="37"/>
  <c r="F24" i="37"/>
  <c r="F23" i="37"/>
  <c r="F22" i="37"/>
  <c r="N18" i="37"/>
  <c r="M18" i="37"/>
  <c r="L18" i="37"/>
  <c r="K18" i="37"/>
  <c r="J18" i="37"/>
  <c r="I18" i="37"/>
  <c r="H18" i="37"/>
  <c r="G18" i="37"/>
  <c r="F18" i="37" s="1"/>
  <c r="F14" i="37"/>
  <c r="N12" i="37"/>
  <c r="N306" i="37" s="1"/>
  <c r="M12" i="37"/>
  <c r="M306" i="37" s="1"/>
  <c r="L12" i="37"/>
  <c r="L306" i="37" s="1"/>
  <c r="K12" i="37"/>
  <c r="K306" i="37" s="1"/>
  <c r="J12" i="37"/>
  <c r="J306" i="37" s="1"/>
  <c r="I12" i="37"/>
  <c r="I306" i="37" s="1"/>
  <c r="H12" i="37"/>
  <c r="H306" i="37" s="1"/>
  <c r="G12" i="37"/>
  <c r="G306" i="37" s="1"/>
  <c r="N11" i="37"/>
  <c r="N305" i="37" s="1"/>
  <c r="M11" i="37"/>
  <c r="M305" i="37" s="1"/>
  <c r="L11" i="37"/>
  <c r="L305" i="37" s="1"/>
  <c r="K11" i="37"/>
  <c r="K305" i="37" s="1"/>
  <c r="J11" i="37"/>
  <c r="J305" i="37" s="1"/>
  <c r="I11" i="37"/>
  <c r="I305" i="37" s="1"/>
  <c r="H11" i="37"/>
  <c r="H305" i="37" s="1"/>
  <c r="G11" i="37"/>
  <c r="G305" i="37" s="1"/>
  <c r="N10" i="37"/>
  <c r="N304" i="37" s="1"/>
  <c r="M10" i="37"/>
  <c r="M304" i="37" s="1"/>
  <c r="L10" i="37"/>
  <c r="L304" i="37" s="1"/>
  <c r="K10" i="37"/>
  <c r="K304" i="37" s="1"/>
  <c r="J10" i="37"/>
  <c r="J304" i="37" s="1"/>
  <c r="I10" i="37"/>
  <c r="I304" i="37" s="1"/>
  <c r="H10" i="37"/>
  <c r="H304" i="37" s="1"/>
  <c r="G10" i="37"/>
  <c r="G304" i="37" s="1"/>
  <c r="N9" i="37"/>
  <c r="N27" i="37" s="1"/>
  <c r="M9" i="37"/>
  <c r="M27" i="37" s="1"/>
  <c r="L9" i="37"/>
  <c r="L26" i="37" s="1"/>
  <c r="K9" i="37"/>
  <c r="K27" i="37" s="1"/>
  <c r="J9" i="37"/>
  <c r="J27" i="37" s="1"/>
  <c r="I9" i="37"/>
  <c r="I27" i="37" s="1"/>
  <c r="H27" i="37"/>
  <c r="G9" i="37"/>
  <c r="G27" i="37" s="1"/>
  <c r="N8" i="37"/>
  <c r="M8" i="37"/>
  <c r="L8" i="37"/>
  <c r="K8" i="37"/>
  <c r="K21" i="37" s="1"/>
  <c r="K15" i="37" s="1"/>
  <c r="K13" i="37" s="1"/>
  <c r="J8" i="37"/>
  <c r="I8" i="37"/>
  <c r="G8" i="37"/>
  <c r="N3" i="37"/>
  <c r="N302" i="37" s="1"/>
  <c r="M3" i="37"/>
  <c r="M302" i="37" s="1"/>
  <c r="L3" i="37"/>
  <c r="L302" i="37" s="1"/>
  <c r="K3" i="37"/>
  <c r="K302" i="37" s="1"/>
  <c r="J3" i="37"/>
  <c r="J302" i="37" s="1"/>
  <c r="I3" i="37"/>
  <c r="I302" i="37" s="1"/>
  <c r="H302" i="37"/>
  <c r="G3" i="37"/>
  <c r="G302" i="37" s="1"/>
  <c r="F308" i="37" l="1"/>
  <c r="F328" i="37"/>
  <c r="F155" i="37"/>
  <c r="F173" i="37"/>
  <c r="F223" i="37"/>
  <c r="F438" i="37" s="1"/>
  <c r="F112" i="37"/>
  <c r="F118" i="37"/>
  <c r="K77" i="37"/>
  <c r="K80" i="37" s="1"/>
  <c r="K4" i="37" s="1"/>
  <c r="K63" i="37"/>
  <c r="G435" i="37"/>
  <c r="G331" i="37"/>
  <c r="G394" i="37"/>
  <c r="G355" i="37"/>
  <c r="K435" i="37"/>
  <c r="K331" i="37"/>
  <c r="K394" i="37"/>
  <c r="K355" i="37"/>
  <c r="H300" i="37"/>
  <c r="L300" i="37"/>
  <c r="L66" i="37"/>
  <c r="H368" i="37"/>
  <c r="H386" i="37" s="1"/>
  <c r="H362" i="37"/>
  <c r="H380" i="37" s="1"/>
  <c r="H358" i="37"/>
  <c r="H371" i="37"/>
  <c r="H389" i="37" s="1"/>
  <c r="H367" i="37"/>
  <c r="H385" i="37" s="1"/>
  <c r="H361" i="37"/>
  <c r="H370" i="37"/>
  <c r="H388" i="37" s="1"/>
  <c r="H364" i="37"/>
  <c r="H382" i="37" s="1"/>
  <c r="H360" i="37"/>
  <c r="H369" i="37"/>
  <c r="H387" i="37" s="1"/>
  <c r="H363" i="37"/>
  <c r="H381" i="37" s="1"/>
  <c r="L368" i="37"/>
  <c r="L386" i="37" s="1"/>
  <c r="L362" i="37"/>
  <c r="L380" i="37" s="1"/>
  <c r="L371" i="37"/>
  <c r="L389" i="37" s="1"/>
  <c r="L367" i="37"/>
  <c r="L385" i="37" s="1"/>
  <c r="L361" i="37"/>
  <c r="L370" i="37"/>
  <c r="L388" i="37" s="1"/>
  <c r="L364" i="37"/>
  <c r="L382" i="37" s="1"/>
  <c r="L360" i="37"/>
  <c r="L369" i="37"/>
  <c r="L387" i="37" s="1"/>
  <c r="L363" i="37"/>
  <c r="L381" i="37" s="1"/>
  <c r="I26" i="37"/>
  <c r="M26" i="37"/>
  <c r="L27" i="37"/>
  <c r="F27" i="37" s="1"/>
  <c r="J158" i="37"/>
  <c r="J159" i="37" s="1"/>
  <c r="J181" i="37" s="1"/>
  <c r="N158" i="37"/>
  <c r="N162" i="37" s="1"/>
  <c r="N183" i="37" s="1"/>
  <c r="I160" i="37"/>
  <c r="I161" i="37" s="1"/>
  <c r="I182" i="37" s="1"/>
  <c r="M160" i="37"/>
  <c r="M161" i="37" s="1"/>
  <c r="M182" i="37" s="1"/>
  <c r="J162" i="37"/>
  <c r="J183" i="37" s="1"/>
  <c r="I93" i="37"/>
  <c r="I203" i="37"/>
  <c r="I106" i="37" s="1"/>
  <c r="M93" i="37"/>
  <c r="M203" i="37"/>
  <c r="M106" i="37" s="1"/>
  <c r="H435" i="37"/>
  <c r="H331" i="37"/>
  <c r="H394" i="37"/>
  <c r="H355" i="37"/>
  <c r="L435" i="37"/>
  <c r="L331" i="37"/>
  <c r="L394" i="37"/>
  <c r="L355" i="37"/>
  <c r="I300" i="37"/>
  <c r="I66" i="37"/>
  <c r="M300" i="37"/>
  <c r="M66" i="37"/>
  <c r="I371" i="37"/>
  <c r="I389" i="37" s="1"/>
  <c r="I367" i="37"/>
  <c r="I385" i="37" s="1"/>
  <c r="I361" i="37"/>
  <c r="I370" i="37"/>
  <c r="I388" i="37" s="1"/>
  <c r="I364" i="37"/>
  <c r="I382" i="37" s="1"/>
  <c r="I360" i="37"/>
  <c r="I369" i="37"/>
  <c r="I387" i="37" s="1"/>
  <c r="I363" i="37"/>
  <c r="I381" i="37" s="1"/>
  <c r="I368" i="37"/>
  <c r="I386" i="37" s="1"/>
  <c r="I362" i="37"/>
  <c r="I380" i="37" s="1"/>
  <c r="M371" i="37"/>
  <c r="M389" i="37" s="1"/>
  <c r="M367" i="37"/>
  <c r="M385" i="37" s="1"/>
  <c r="M361" i="37"/>
  <c r="M370" i="37"/>
  <c r="M388" i="37" s="1"/>
  <c r="M364" i="37"/>
  <c r="M382" i="37" s="1"/>
  <c r="M360" i="37"/>
  <c r="M369" i="37"/>
  <c r="M387" i="37" s="1"/>
  <c r="M363" i="37"/>
  <c r="M381" i="37" s="1"/>
  <c r="M368" i="37"/>
  <c r="M386" i="37" s="1"/>
  <c r="M362" i="37"/>
  <c r="M380" i="37" s="1"/>
  <c r="L21" i="37"/>
  <c r="L15" i="37" s="1"/>
  <c r="L13" i="37" s="1"/>
  <c r="J26" i="37"/>
  <c r="N26" i="37"/>
  <c r="J203" i="37"/>
  <c r="J106" i="37" s="1"/>
  <c r="J93" i="37"/>
  <c r="N203" i="37"/>
  <c r="N106" i="37" s="1"/>
  <c r="N93" i="37"/>
  <c r="I394" i="37"/>
  <c r="I355" i="37"/>
  <c r="I435" i="37"/>
  <c r="I331" i="37"/>
  <c r="M394" i="37"/>
  <c r="M355" i="37"/>
  <c r="M435" i="37"/>
  <c r="M331" i="37"/>
  <c r="J300" i="37"/>
  <c r="J66" i="37"/>
  <c r="N300" i="37"/>
  <c r="N66" i="37"/>
  <c r="J370" i="37"/>
  <c r="J388" i="37" s="1"/>
  <c r="J364" i="37"/>
  <c r="J382" i="37" s="1"/>
  <c r="J360" i="37"/>
  <c r="J369" i="37"/>
  <c r="J387" i="37" s="1"/>
  <c r="J363" i="37"/>
  <c r="J381" i="37" s="1"/>
  <c r="J368" i="37"/>
  <c r="J386" i="37" s="1"/>
  <c r="J362" i="37"/>
  <c r="J380" i="37" s="1"/>
  <c r="J371" i="37"/>
  <c r="J389" i="37" s="1"/>
  <c r="J367" i="37"/>
  <c r="J385" i="37" s="1"/>
  <c r="J361" i="37"/>
  <c r="N370" i="37"/>
  <c r="N388" i="37" s="1"/>
  <c r="N364" i="37"/>
  <c r="N382" i="37" s="1"/>
  <c r="N360" i="37"/>
  <c r="N369" i="37"/>
  <c r="N387" i="37" s="1"/>
  <c r="N363" i="37"/>
  <c r="N381" i="37" s="1"/>
  <c r="N368" i="37"/>
  <c r="N386" i="37" s="1"/>
  <c r="N362" i="37"/>
  <c r="N380" i="37" s="1"/>
  <c r="N371" i="37"/>
  <c r="N389" i="37" s="1"/>
  <c r="N367" i="37"/>
  <c r="N385" i="37" s="1"/>
  <c r="N361" i="37"/>
  <c r="I21" i="37"/>
  <c r="I15" i="37" s="1"/>
  <c r="I13" i="37" s="1"/>
  <c r="M21" i="37"/>
  <c r="M15" i="37" s="1"/>
  <c r="M13" i="37" s="1"/>
  <c r="K26" i="37"/>
  <c r="L158" i="37"/>
  <c r="L159" i="37" s="1"/>
  <c r="K160" i="37"/>
  <c r="K161" i="37" s="1"/>
  <c r="K182" i="37" s="1"/>
  <c r="F185" i="37"/>
  <c r="G203" i="37"/>
  <c r="K203" i="37"/>
  <c r="G204" i="37"/>
  <c r="F187" i="37"/>
  <c r="G205" i="37"/>
  <c r="F205" i="37" s="1"/>
  <c r="G208" i="37"/>
  <c r="F208" i="37" s="1"/>
  <c r="F190" i="37"/>
  <c r="F191" i="37"/>
  <c r="G209" i="37"/>
  <c r="F209" i="37" s="1"/>
  <c r="G210" i="37"/>
  <c r="F193" i="37"/>
  <c r="G211" i="37"/>
  <c r="F211" i="37" s="1"/>
  <c r="F242" i="37"/>
  <c r="G242" i="37" s="1"/>
  <c r="G111" i="37" s="1"/>
  <c r="F111" i="37" s="1"/>
  <c r="J355" i="37"/>
  <c r="J435" i="37"/>
  <c r="J331" i="37"/>
  <c r="J394" i="37"/>
  <c r="N355" i="37"/>
  <c r="N435" i="37"/>
  <c r="N331" i="37"/>
  <c r="N394" i="37"/>
  <c r="G300" i="37"/>
  <c r="K300" i="37"/>
  <c r="K66" i="37"/>
  <c r="K67" i="37" s="1"/>
  <c r="G369" i="37"/>
  <c r="G363" i="37"/>
  <c r="G368" i="37"/>
  <c r="G362" i="37"/>
  <c r="G358" i="37"/>
  <c r="G371" i="37"/>
  <c r="G367" i="37"/>
  <c r="G361" i="37"/>
  <c r="G370" i="37"/>
  <c r="G364" i="37"/>
  <c r="G360" i="37"/>
  <c r="K369" i="37"/>
  <c r="K387" i="37" s="1"/>
  <c r="K363" i="37"/>
  <c r="K381" i="37" s="1"/>
  <c r="K368" i="37"/>
  <c r="K386" i="37" s="1"/>
  <c r="K362" i="37"/>
  <c r="K380" i="37" s="1"/>
  <c r="K371" i="37"/>
  <c r="K389" i="37" s="1"/>
  <c r="K367" i="37"/>
  <c r="K385" i="37" s="1"/>
  <c r="K361" i="37"/>
  <c r="K370" i="37"/>
  <c r="K388" i="37" s="1"/>
  <c r="K364" i="37"/>
  <c r="K382" i="37" s="1"/>
  <c r="K360" i="37"/>
  <c r="J21" i="37"/>
  <c r="J15" i="37" s="1"/>
  <c r="J13" i="37" s="1"/>
  <c r="N21" i="37"/>
  <c r="N15" i="37" s="1"/>
  <c r="N13" i="37" s="1"/>
  <c r="I158" i="37"/>
  <c r="I159" i="37" s="1"/>
  <c r="M158" i="37"/>
  <c r="M159" i="37" s="1"/>
  <c r="M181" i="37" s="1"/>
  <c r="H160" i="37"/>
  <c r="H161" i="37" s="1"/>
  <c r="H182" i="37" s="1"/>
  <c r="L160" i="37"/>
  <c r="L161" i="37" s="1"/>
  <c r="L182" i="37" s="1"/>
  <c r="H203" i="37"/>
  <c r="L203" i="37"/>
  <c r="L106" i="37" s="1"/>
  <c r="L93" i="37"/>
  <c r="K333" i="37"/>
  <c r="J334" i="37"/>
  <c r="J359" i="37" s="1"/>
  <c r="N334" i="37"/>
  <c r="N359" i="37" s="1"/>
  <c r="G347" i="37"/>
  <c r="K347" i="37"/>
  <c r="J348" i="37"/>
  <c r="N348" i="37"/>
  <c r="I141" i="37"/>
  <c r="M141" i="37"/>
  <c r="H142" i="37"/>
  <c r="F144" i="37"/>
  <c r="F148" i="37"/>
  <c r="F154" i="37"/>
  <c r="H401" i="37"/>
  <c r="L401" i="37"/>
  <c r="H402" i="37"/>
  <c r="H420" i="37" s="1"/>
  <c r="L402" i="37"/>
  <c r="L420" i="37" s="1"/>
  <c r="L52" i="37" s="1"/>
  <c r="K403" i="37"/>
  <c r="K421" i="37" s="1"/>
  <c r="K53" i="37" s="1"/>
  <c r="K406" i="37"/>
  <c r="K424" i="37" s="1"/>
  <c r="K54" i="37" s="1"/>
  <c r="J407" i="37"/>
  <c r="J425" i="37" s="1"/>
  <c r="N407" i="37"/>
  <c r="N425" i="37" s="1"/>
  <c r="J408" i="37"/>
  <c r="J426" i="37" s="1"/>
  <c r="N408" i="37"/>
  <c r="N426" i="37" s="1"/>
  <c r="J409" i="37"/>
  <c r="J427" i="37" s="1"/>
  <c r="J57" i="37" s="1"/>
  <c r="N409" i="37"/>
  <c r="N427" i="37" s="1"/>
  <c r="N57" i="37" s="1"/>
  <c r="F457" i="37"/>
  <c r="G457" i="37" s="1"/>
  <c r="G327" i="37" s="1"/>
  <c r="F327" i="37" s="1"/>
  <c r="L333" i="37"/>
  <c r="G334" i="37"/>
  <c r="G357" i="37" s="1"/>
  <c r="K334" i="37"/>
  <c r="K359" i="37" s="1"/>
  <c r="H347" i="37"/>
  <c r="L347" i="37"/>
  <c r="G348" i="37"/>
  <c r="K348" i="37"/>
  <c r="J141" i="37"/>
  <c r="N141" i="37"/>
  <c r="F151" i="37"/>
  <c r="H165" i="37"/>
  <c r="H186" i="37" s="1"/>
  <c r="H204" i="37" s="1"/>
  <c r="H171" i="37"/>
  <c r="H192" i="37" s="1"/>
  <c r="H210" i="37" s="1"/>
  <c r="I401" i="37"/>
  <c r="M401" i="37"/>
  <c r="I402" i="37"/>
  <c r="I420" i="37" s="1"/>
  <c r="I52" i="37" s="1"/>
  <c r="M402" i="37"/>
  <c r="M420" i="37" s="1"/>
  <c r="M52" i="37" s="1"/>
  <c r="H403" i="37"/>
  <c r="H421" i="37" s="1"/>
  <c r="H53" i="37" s="1"/>
  <c r="L403" i="37"/>
  <c r="L421" i="37" s="1"/>
  <c r="L53" i="37" s="1"/>
  <c r="H406" i="37"/>
  <c r="H424" i="37" s="1"/>
  <c r="H54" i="37" s="1"/>
  <c r="L406" i="37"/>
  <c r="L424" i="37" s="1"/>
  <c r="L54" i="37" s="1"/>
  <c r="K407" i="37"/>
  <c r="K425" i="37" s="1"/>
  <c r="K408" i="37"/>
  <c r="K426" i="37" s="1"/>
  <c r="K409" i="37"/>
  <c r="K427" i="37" s="1"/>
  <c r="K57" i="37" s="1"/>
  <c r="J357" i="37"/>
  <c r="I333" i="37"/>
  <c r="F333" i="37" s="1"/>
  <c r="M333" i="37"/>
  <c r="M357" i="37" s="1"/>
  <c r="H334" i="37"/>
  <c r="H359" i="37" s="1"/>
  <c r="L334" i="37"/>
  <c r="L359" i="37" s="1"/>
  <c r="I347" i="37"/>
  <c r="I410" i="37" s="1"/>
  <c r="I430" i="37" s="1"/>
  <c r="I58" i="37" s="1"/>
  <c r="M347" i="37"/>
  <c r="H348" i="37"/>
  <c r="L348" i="37"/>
  <c r="G141" i="37"/>
  <c r="K141" i="37"/>
  <c r="F146" i="37"/>
  <c r="F152" i="37"/>
  <c r="J401" i="37"/>
  <c r="N401" i="37"/>
  <c r="J402" i="37"/>
  <c r="J420" i="37" s="1"/>
  <c r="J52" i="37" s="1"/>
  <c r="N402" i="37"/>
  <c r="N420" i="37" s="1"/>
  <c r="N52" i="37" s="1"/>
  <c r="I403" i="37"/>
  <c r="I421" i="37" s="1"/>
  <c r="I53" i="37" s="1"/>
  <c r="M403" i="37"/>
  <c r="M421" i="37" s="1"/>
  <c r="M53" i="37" s="1"/>
  <c r="I406" i="37"/>
  <c r="I424" i="37" s="1"/>
  <c r="I54" i="37" s="1"/>
  <c r="M406" i="37"/>
  <c r="M424" i="37" s="1"/>
  <c r="M54" i="37" s="1"/>
  <c r="H407" i="37"/>
  <c r="H425" i="37" s="1"/>
  <c r="L407" i="37"/>
  <c r="L425" i="37" s="1"/>
  <c r="H408" i="37"/>
  <c r="H426" i="37" s="1"/>
  <c r="L408" i="37"/>
  <c r="L426" i="37" s="1"/>
  <c r="H409" i="37"/>
  <c r="H427" i="37" s="1"/>
  <c r="H57" i="37" s="1"/>
  <c r="L409" i="37"/>
  <c r="L427" i="37" s="1"/>
  <c r="L57" i="37" s="1"/>
  <c r="G410" i="37"/>
  <c r="K410" i="37"/>
  <c r="K430" i="37" s="1"/>
  <c r="K58" i="37" s="1"/>
  <c r="K357" i="37"/>
  <c r="F117" i="37"/>
  <c r="J333" i="37"/>
  <c r="N333" i="37"/>
  <c r="I334" i="37"/>
  <c r="I359" i="37" s="1"/>
  <c r="M334" i="37"/>
  <c r="M359" i="37" s="1"/>
  <c r="F131" i="37"/>
  <c r="J347" i="37"/>
  <c r="J410" i="37" s="1"/>
  <c r="J430" i="37" s="1"/>
  <c r="J58" i="37" s="1"/>
  <c r="N347" i="37"/>
  <c r="N410" i="37" s="1"/>
  <c r="N430" i="37" s="1"/>
  <c r="N58" i="37" s="1"/>
  <c r="I348" i="37"/>
  <c r="M348" i="37"/>
  <c r="M410" i="37" s="1"/>
  <c r="M430" i="37" s="1"/>
  <c r="M58" i="37" s="1"/>
  <c r="H141" i="37"/>
  <c r="L141" i="37"/>
  <c r="G142" i="37"/>
  <c r="K142" i="37"/>
  <c r="J143" i="37"/>
  <c r="N143" i="37"/>
  <c r="G194" i="37"/>
  <c r="K194" i="37"/>
  <c r="K214" i="37" s="1"/>
  <c r="K401" i="37"/>
  <c r="K402" i="37"/>
  <c r="K420" i="37" s="1"/>
  <c r="K52" i="37" s="1"/>
  <c r="J403" i="37"/>
  <c r="J421" i="37" s="1"/>
  <c r="J53" i="37" s="1"/>
  <c r="N403" i="37"/>
  <c r="N421" i="37" s="1"/>
  <c r="N53" i="37" s="1"/>
  <c r="J406" i="37"/>
  <c r="J424" i="37" s="1"/>
  <c r="J54" i="37" s="1"/>
  <c r="N406" i="37"/>
  <c r="N424" i="37" s="1"/>
  <c r="N54" i="37" s="1"/>
  <c r="I407" i="37"/>
  <c r="I425" i="37" s="1"/>
  <c r="M407" i="37"/>
  <c r="M425" i="37" s="1"/>
  <c r="I408" i="37"/>
  <c r="I426" i="37" s="1"/>
  <c r="M408" i="37"/>
  <c r="M426" i="37" s="1"/>
  <c r="I409" i="37"/>
  <c r="I427" i="37" s="1"/>
  <c r="I57" i="37" s="1"/>
  <c r="M409" i="37"/>
  <c r="M427" i="37" s="1"/>
  <c r="M57" i="37" s="1"/>
  <c r="H410" i="37"/>
  <c r="H430" i="37" s="1"/>
  <c r="H58" i="37" s="1"/>
  <c r="L410" i="37"/>
  <c r="L430" i="37" s="1"/>
  <c r="L58" i="37" s="1"/>
  <c r="L357" i="37"/>
  <c r="F345" i="37"/>
  <c r="F349" i="37"/>
  <c r="G44" i="38"/>
  <c r="H45" i="38"/>
  <c r="F45" i="38" s="1"/>
  <c r="L45" i="38"/>
  <c r="K48" i="38"/>
  <c r="J55" i="38"/>
  <c r="J151" i="38"/>
  <c r="J110" i="38"/>
  <c r="J86" i="38"/>
  <c r="F115" i="38"/>
  <c r="K132" i="38"/>
  <c r="K79" i="38" s="1"/>
  <c r="L79" i="38"/>
  <c r="F271" i="38"/>
  <c r="F290" i="38" s="1"/>
  <c r="G290" i="38" s="1"/>
  <c r="F336" i="37"/>
  <c r="F342" i="37"/>
  <c r="I45" i="38"/>
  <c r="H48" i="38"/>
  <c r="L48" i="38"/>
  <c r="G51" i="38"/>
  <c r="K55" i="38"/>
  <c r="G110" i="38"/>
  <c r="G86" i="38"/>
  <c r="G151" i="38"/>
  <c r="K110" i="38"/>
  <c r="K86" i="38"/>
  <c r="K151" i="38"/>
  <c r="I234" i="38"/>
  <c r="I259" i="38" s="1"/>
  <c r="F261" i="38"/>
  <c r="G261" i="38" s="1"/>
  <c r="F280" i="38"/>
  <c r="G280" i="38" s="1"/>
  <c r="F263" i="38"/>
  <c r="G263" i="38" s="1"/>
  <c r="F337" i="37"/>
  <c r="J45" i="38"/>
  <c r="I48" i="38"/>
  <c r="H86" i="38"/>
  <c r="H151" i="38"/>
  <c r="H110" i="38"/>
  <c r="L86" i="38"/>
  <c r="L151" i="38"/>
  <c r="L110" i="38"/>
  <c r="J130" i="38"/>
  <c r="J131" i="38"/>
  <c r="G145" i="38"/>
  <c r="F265" i="38"/>
  <c r="G265" i="38" s="1"/>
  <c r="F268" i="38"/>
  <c r="F285" i="38" s="1"/>
  <c r="G285" i="38" s="1"/>
  <c r="F270" i="38"/>
  <c r="F287" i="38" s="1"/>
  <c r="G287" i="38" s="1"/>
  <c r="I86" i="38"/>
  <c r="I151" i="38"/>
  <c r="I110" i="38"/>
  <c r="J235" i="38"/>
  <c r="F134" i="38"/>
  <c r="G134" i="38" s="1"/>
  <c r="H79" i="38"/>
  <c r="G140" i="38"/>
  <c r="G274" i="38"/>
  <c r="G273" i="38"/>
  <c r="K274" i="38"/>
  <c r="K273" i="38"/>
  <c r="F264" i="38"/>
  <c r="G264" i="38" s="1"/>
  <c r="F118" i="38"/>
  <c r="G118" i="38" s="1"/>
  <c r="J128" i="38"/>
  <c r="J129" i="38" s="1"/>
  <c r="G129" i="38"/>
  <c r="K129" i="38"/>
  <c r="H162" i="38"/>
  <c r="L162" i="38"/>
  <c r="J173" i="38"/>
  <c r="J234" i="38"/>
  <c r="J259" i="38" s="1"/>
  <c r="G235" i="38"/>
  <c r="K235" i="38"/>
  <c r="F246" i="38"/>
  <c r="H258" i="38"/>
  <c r="L258" i="38"/>
  <c r="G269" i="38"/>
  <c r="F269" i="38" s="1"/>
  <c r="F286" i="38" s="1"/>
  <c r="G286" i="38" s="1"/>
  <c r="H270" i="38"/>
  <c r="H287" i="38" s="1"/>
  <c r="H40" i="38" s="1"/>
  <c r="I318" i="38"/>
  <c r="G89" i="38"/>
  <c r="K89" i="38"/>
  <c r="J112" i="38"/>
  <c r="H114" i="38"/>
  <c r="L114" i="38"/>
  <c r="I115" i="38"/>
  <c r="F116" i="38"/>
  <c r="G116" i="38" s="1"/>
  <c r="F117" i="38"/>
  <c r="G117" i="38" s="1"/>
  <c r="H129" i="38"/>
  <c r="L129" i="38"/>
  <c r="F136" i="38"/>
  <c r="G136" i="38" s="1"/>
  <c r="K172" i="38"/>
  <c r="K83" i="38" s="1"/>
  <c r="G173" i="38"/>
  <c r="K173" i="38"/>
  <c r="F233" i="38"/>
  <c r="H235" i="38"/>
  <c r="L235" i="38"/>
  <c r="F237" i="38"/>
  <c r="I258" i="38"/>
  <c r="I114" i="38"/>
  <c r="J115" i="38"/>
  <c r="F120" i="38"/>
  <c r="G120" i="38" s="1"/>
  <c r="I129" i="38"/>
  <c r="H173" i="38"/>
  <c r="H83" i="38" s="1"/>
  <c r="L173" i="38"/>
  <c r="L83" i="38" s="1"/>
  <c r="H234" i="38"/>
  <c r="H259" i="38" s="1"/>
  <c r="L234" i="38"/>
  <c r="L259" i="38" s="1"/>
  <c r="I235" i="38"/>
  <c r="F252" i="38"/>
  <c r="J258" i="38"/>
  <c r="J318" i="38"/>
  <c r="I497" i="39"/>
  <c r="I489" i="39" s="1"/>
  <c r="I480" i="39"/>
  <c r="I471" i="39"/>
  <c r="M497" i="39"/>
  <c r="M489" i="39" s="1"/>
  <c r="M480" i="39"/>
  <c r="M471" i="39"/>
  <c r="I412" i="39"/>
  <c r="I378" i="39"/>
  <c r="I375" i="39"/>
  <c r="I380" i="39"/>
  <c r="I379" i="39"/>
  <c r="I373" i="39"/>
  <c r="M412" i="39"/>
  <c r="M378" i="39"/>
  <c r="M375" i="39"/>
  <c r="M380" i="39"/>
  <c r="M379" i="39"/>
  <c r="M373" i="39"/>
  <c r="I370" i="39"/>
  <c r="I384" i="39" s="1"/>
  <c r="M370" i="39"/>
  <c r="M384" i="39" s="1"/>
  <c r="G22" i="39"/>
  <c r="K22" i="39"/>
  <c r="K334" i="39" s="1"/>
  <c r="I23" i="39"/>
  <c r="I335" i="39" s="1"/>
  <c r="M23" i="39"/>
  <c r="M335" i="39" s="1"/>
  <c r="G394" i="39"/>
  <c r="F336" i="39"/>
  <c r="J396" i="39"/>
  <c r="N396" i="39"/>
  <c r="I54" i="39"/>
  <c r="M54" i="39"/>
  <c r="I197" i="39"/>
  <c r="I196" i="39"/>
  <c r="M196" i="39"/>
  <c r="M197" i="39" s="1"/>
  <c r="H107" i="39"/>
  <c r="H203" i="39"/>
  <c r="L107" i="39"/>
  <c r="L203" i="39"/>
  <c r="G318" i="38"/>
  <c r="K318" i="38"/>
  <c r="J497" i="39"/>
  <c r="J489" i="39" s="1"/>
  <c r="J480" i="39"/>
  <c r="J471" i="39"/>
  <c r="N497" i="39"/>
  <c r="N489" i="39" s="1"/>
  <c r="N480" i="39"/>
  <c r="N471" i="39"/>
  <c r="J412" i="39"/>
  <c r="J380" i="39"/>
  <c r="J373" i="39"/>
  <c r="J379" i="39"/>
  <c r="J378" i="39"/>
  <c r="J375" i="39"/>
  <c r="N412" i="39"/>
  <c r="N380" i="39"/>
  <c r="N373" i="39"/>
  <c r="N379" i="39"/>
  <c r="N378" i="39"/>
  <c r="N375" i="39"/>
  <c r="J370" i="39"/>
  <c r="J384" i="39" s="1"/>
  <c r="N370" i="39"/>
  <c r="N384" i="39" s="1"/>
  <c r="H22" i="39"/>
  <c r="H334" i="39" s="1"/>
  <c r="L22" i="39"/>
  <c r="L334" i="39" s="1"/>
  <c r="J23" i="39"/>
  <c r="J335" i="39" s="1"/>
  <c r="N23" i="39"/>
  <c r="N335" i="39" s="1"/>
  <c r="F338" i="39"/>
  <c r="K396" i="39"/>
  <c r="J54" i="39"/>
  <c r="N54" i="39"/>
  <c r="J197" i="39"/>
  <c r="J196" i="39"/>
  <c r="N197" i="39"/>
  <c r="N196" i="39"/>
  <c r="I203" i="39"/>
  <c r="I107" i="39"/>
  <c r="M203" i="39"/>
  <c r="M107" i="39"/>
  <c r="H318" i="38"/>
  <c r="L318" i="38"/>
  <c r="G480" i="39"/>
  <c r="G471" i="39"/>
  <c r="G497" i="39"/>
  <c r="G489" i="39" s="1"/>
  <c r="K497" i="39"/>
  <c r="K489" i="39" s="1"/>
  <c r="K480" i="39"/>
  <c r="K471" i="39"/>
  <c r="G412" i="39"/>
  <c r="G380" i="39"/>
  <c r="G373" i="39"/>
  <c r="G379" i="39"/>
  <c r="G378" i="39"/>
  <c r="G375" i="39"/>
  <c r="K412" i="39"/>
  <c r="K380" i="39"/>
  <c r="K373" i="39"/>
  <c r="K379" i="39"/>
  <c r="K375" i="39"/>
  <c r="K378" i="39"/>
  <c r="G370" i="39"/>
  <c r="K370" i="39"/>
  <c r="K384" i="39" s="1"/>
  <c r="I22" i="39"/>
  <c r="I334" i="39" s="1"/>
  <c r="M22" i="39"/>
  <c r="M334" i="39" s="1"/>
  <c r="G23" i="39"/>
  <c r="K23" i="39"/>
  <c r="K335" i="39" s="1"/>
  <c r="H396" i="39"/>
  <c r="L396" i="39"/>
  <c r="G54" i="39"/>
  <c r="F54" i="39" s="1"/>
  <c r="K54" i="39"/>
  <c r="H497" i="39"/>
  <c r="H489" i="39" s="1"/>
  <c r="H480" i="39"/>
  <c r="H471" i="39"/>
  <c r="L497" i="39"/>
  <c r="L489" i="39" s="1"/>
  <c r="L480" i="39"/>
  <c r="L471" i="39"/>
  <c r="H412" i="39"/>
  <c r="H379" i="39"/>
  <c r="H378" i="39"/>
  <c r="H375" i="39"/>
  <c r="H373" i="39"/>
  <c r="H380" i="39"/>
  <c r="L412" i="39"/>
  <c r="L379" i="39"/>
  <c r="L378" i="39"/>
  <c r="L375" i="39"/>
  <c r="L373" i="39"/>
  <c r="L380" i="39"/>
  <c r="H370" i="39"/>
  <c r="H384" i="39" s="1"/>
  <c r="L370" i="39"/>
  <c r="L384" i="39" s="1"/>
  <c r="J22" i="39"/>
  <c r="J334" i="39" s="1"/>
  <c r="N22" i="39"/>
  <c r="N334" i="39" s="1"/>
  <c r="H23" i="39"/>
  <c r="H335" i="39" s="1"/>
  <c r="L23" i="39"/>
  <c r="L335" i="39" s="1"/>
  <c r="F24" i="39"/>
  <c r="I396" i="39"/>
  <c r="M396" i="39"/>
  <c r="H54" i="39"/>
  <c r="L54" i="39"/>
  <c r="H196" i="39"/>
  <c r="H197" i="39"/>
  <c r="L196" i="39"/>
  <c r="L197" i="39" s="1"/>
  <c r="G198" i="39"/>
  <c r="F180" i="39"/>
  <c r="F181" i="39"/>
  <c r="F203" i="39"/>
  <c r="F183" i="39"/>
  <c r="K107" i="39"/>
  <c r="K203" i="39"/>
  <c r="K243" i="39" s="1"/>
  <c r="K116" i="39" s="1"/>
  <c r="F121" i="39"/>
  <c r="F137" i="39"/>
  <c r="F141" i="39"/>
  <c r="M355" i="39"/>
  <c r="M447" i="39" s="1"/>
  <c r="M234" i="39"/>
  <c r="G148" i="39"/>
  <c r="K148" i="39"/>
  <c r="K161" i="39" s="1"/>
  <c r="J149" i="39"/>
  <c r="J163" i="39" s="1"/>
  <c r="N149" i="39"/>
  <c r="N163" i="39" s="1"/>
  <c r="F153" i="39"/>
  <c r="H157" i="39"/>
  <c r="H171" i="39" s="1"/>
  <c r="L157" i="39"/>
  <c r="L171" i="39" s="1"/>
  <c r="H169" i="39"/>
  <c r="L169" i="39"/>
  <c r="I170" i="39"/>
  <c r="M170" i="39"/>
  <c r="G179" i="39"/>
  <c r="K179" i="39"/>
  <c r="J180" i="39"/>
  <c r="J198" i="39" s="1"/>
  <c r="N180" i="39"/>
  <c r="N198" i="39" s="1"/>
  <c r="F184" i="39"/>
  <c r="G184" i="39" s="1"/>
  <c r="G150" i="39" s="1"/>
  <c r="G164" i="39" s="1"/>
  <c r="F164" i="39" s="1"/>
  <c r="F187" i="39"/>
  <c r="G187" i="39" s="1"/>
  <c r="G153" i="39" s="1"/>
  <c r="I194" i="39"/>
  <c r="I216" i="39" s="1"/>
  <c r="M194" i="39"/>
  <c r="M216" i="39" s="1"/>
  <c r="F206" i="39"/>
  <c r="G206" i="39" s="1"/>
  <c r="J421" i="39"/>
  <c r="J367" i="39"/>
  <c r="N421" i="39"/>
  <c r="N367" i="39"/>
  <c r="H148" i="39"/>
  <c r="H161" i="39" s="1"/>
  <c r="L148" i="39"/>
  <c r="L161" i="39" s="1"/>
  <c r="G149" i="39"/>
  <c r="K149" i="39"/>
  <c r="K163" i="39" s="1"/>
  <c r="F150" i="39"/>
  <c r="F154" i="39"/>
  <c r="I157" i="39"/>
  <c r="I171" i="39" s="1"/>
  <c r="M157" i="39"/>
  <c r="M171" i="39" s="1"/>
  <c r="I169" i="39"/>
  <c r="M169" i="39"/>
  <c r="J170" i="39"/>
  <c r="N170" i="39"/>
  <c r="F188" i="39"/>
  <c r="G188" i="39" s="1"/>
  <c r="G154" i="39" s="1"/>
  <c r="G147" i="39" s="1"/>
  <c r="J194" i="39"/>
  <c r="J216" i="39" s="1"/>
  <c r="N194" i="39"/>
  <c r="N216" i="39" s="1"/>
  <c r="F205" i="39"/>
  <c r="G205" i="39" s="1"/>
  <c r="I234" i="39"/>
  <c r="K420" i="39"/>
  <c r="K366" i="39"/>
  <c r="F123" i="39"/>
  <c r="H243" i="39"/>
  <c r="L243" i="39"/>
  <c r="F351" i="39"/>
  <c r="F139" i="39"/>
  <c r="G355" i="39"/>
  <c r="G234" i="39"/>
  <c r="K355" i="39"/>
  <c r="K447" i="39" s="1"/>
  <c r="K457" i="39" s="1"/>
  <c r="K234" i="39"/>
  <c r="I148" i="39"/>
  <c r="I161" i="39" s="1"/>
  <c r="I172" i="39" s="1"/>
  <c r="M148" i="39"/>
  <c r="M161" i="39" s="1"/>
  <c r="H149" i="39"/>
  <c r="H163" i="39" s="1"/>
  <c r="L149" i="39"/>
  <c r="L163" i="39" s="1"/>
  <c r="F151" i="39"/>
  <c r="J157" i="39"/>
  <c r="J171" i="39" s="1"/>
  <c r="N157" i="39"/>
  <c r="N171" i="39" s="1"/>
  <c r="J169" i="39"/>
  <c r="N169" i="39"/>
  <c r="G170" i="39"/>
  <c r="K170" i="39"/>
  <c r="G194" i="39"/>
  <c r="K194" i="39"/>
  <c r="K216" i="39" s="1"/>
  <c r="J234" i="39"/>
  <c r="I418" i="39"/>
  <c r="I364" i="39"/>
  <c r="M418" i="39"/>
  <c r="M364" i="39"/>
  <c r="H419" i="39"/>
  <c r="H365" i="39"/>
  <c r="L419" i="39"/>
  <c r="L365" i="39"/>
  <c r="I243" i="39"/>
  <c r="I116" i="39" s="1"/>
  <c r="M243" i="39"/>
  <c r="F352" i="39"/>
  <c r="H234" i="39"/>
  <c r="H355" i="39"/>
  <c r="H447" i="39" s="1"/>
  <c r="H457" i="39" s="1"/>
  <c r="L355" i="39"/>
  <c r="L447" i="39" s="1"/>
  <c r="L457" i="39" s="1"/>
  <c r="L234" i="39"/>
  <c r="L244" i="39" s="1"/>
  <c r="K147" i="39"/>
  <c r="J148" i="39"/>
  <c r="J161" i="39" s="1"/>
  <c r="J172" i="39" s="1"/>
  <c r="N148" i="39"/>
  <c r="N161" i="39" s="1"/>
  <c r="N172" i="39" s="1"/>
  <c r="I149" i="39"/>
  <c r="I163" i="39" s="1"/>
  <c r="M149" i="39"/>
  <c r="M163" i="39" s="1"/>
  <c r="F152" i="39"/>
  <c r="G157" i="39"/>
  <c r="K157" i="39"/>
  <c r="K171" i="39" s="1"/>
  <c r="G169" i="39"/>
  <c r="H170" i="39"/>
  <c r="J183" i="39"/>
  <c r="N183" i="39"/>
  <c r="H194" i="39"/>
  <c r="H216" i="39" s="1"/>
  <c r="L194" i="39"/>
  <c r="L216" i="39" s="1"/>
  <c r="N234" i="39"/>
  <c r="N244" i="39" s="1"/>
  <c r="J407" i="39"/>
  <c r="J429" i="39" s="1"/>
  <c r="N407" i="39"/>
  <c r="N429" i="39" s="1"/>
  <c r="I244" i="39"/>
  <c r="M244" i="39"/>
  <c r="F418" i="39"/>
  <c r="F398" i="39"/>
  <c r="G398" i="39" s="1"/>
  <c r="G364" i="39" s="1"/>
  <c r="F364" i="39"/>
  <c r="K418" i="39"/>
  <c r="K364" i="39"/>
  <c r="F419" i="39"/>
  <c r="F399" i="39"/>
  <c r="G399" i="39" s="1"/>
  <c r="G365" i="39" s="1"/>
  <c r="F365" i="39"/>
  <c r="J419" i="39"/>
  <c r="J365" i="39"/>
  <c r="N419" i="39"/>
  <c r="N365" i="39"/>
  <c r="J420" i="39"/>
  <c r="J366" i="39"/>
  <c r="N420" i="39"/>
  <c r="N366" i="39"/>
  <c r="I421" i="39"/>
  <c r="I367" i="39"/>
  <c r="M421" i="39"/>
  <c r="M367" i="39"/>
  <c r="G404" i="39"/>
  <c r="F404" i="39" s="1"/>
  <c r="F424" i="39" s="1"/>
  <c r="G424" i="39" s="1"/>
  <c r="G60" i="39" s="1"/>
  <c r="F60" i="39" s="1"/>
  <c r="F346" i="39"/>
  <c r="I407" i="39"/>
  <c r="I429" i="39" s="1"/>
  <c r="M407" i="39"/>
  <c r="M429" i="39" s="1"/>
  <c r="J244" i="39"/>
  <c r="H417" i="39"/>
  <c r="H363" i="39"/>
  <c r="H377" i="39" s="1"/>
  <c r="H46" i="39" s="1"/>
  <c r="L417" i="39"/>
  <c r="L363" i="39"/>
  <c r="L377" i="39" s="1"/>
  <c r="L46" i="39" s="1"/>
  <c r="H418" i="39"/>
  <c r="H364" i="39"/>
  <c r="L418" i="39"/>
  <c r="L364" i="39"/>
  <c r="K419" i="39"/>
  <c r="K365" i="39"/>
  <c r="F342" i="39"/>
  <c r="F343" i="39"/>
  <c r="F405" i="39"/>
  <c r="F425" i="39" s="1"/>
  <c r="G425" i="39" s="1"/>
  <c r="F348" i="39"/>
  <c r="G244" i="39"/>
  <c r="K244" i="39"/>
  <c r="F311" i="39"/>
  <c r="H244" i="39"/>
  <c r="F417" i="39"/>
  <c r="G417" i="39" s="1"/>
  <c r="F397" i="39"/>
  <c r="G397" i="39" s="1"/>
  <c r="G363" i="39" s="1"/>
  <c r="G377" i="39" s="1"/>
  <c r="F363" i="39"/>
  <c r="J417" i="39"/>
  <c r="J363" i="39"/>
  <c r="J377" i="39" s="1"/>
  <c r="J46" i="39" s="1"/>
  <c r="N417" i="39"/>
  <c r="N363" i="39"/>
  <c r="N377" i="39" s="1"/>
  <c r="N46" i="39" s="1"/>
  <c r="I420" i="39"/>
  <c r="I366" i="39"/>
  <c r="M420" i="39"/>
  <c r="M366" i="39"/>
  <c r="H421" i="39"/>
  <c r="H367" i="39"/>
  <c r="L421" i="39"/>
  <c r="L367" i="39"/>
  <c r="H407" i="39"/>
  <c r="H429" i="39" s="1"/>
  <c r="L407" i="39"/>
  <c r="L429" i="39" s="1"/>
  <c r="G406" i="39"/>
  <c r="F406" i="39" s="1"/>
  <c r="F426" i="39" s="1"/>
  <c r="G426" i="39" s="1"/>
  <c r="J418" i="39"/>
  <c r="J364" i="39"/>
  <c r="N418" i="39"/>
  <c r="N364" i="39"/>
  <c r="I419" i="39"/>
  <c r="I365" i="39"/>
  <c r="M419" i="39"/>
  <c r="M365" i="39"/>
  <c r="H420" i="39"/>
  <c r="H366" i="39"/>
  <c r="L420" i="39"/>
  <c r="L366" i="39"/>
  <c r="K421" i="39"/>
  <c r="K367" i="39"/>
  <c r="K382" i="39"/>
  <c r="K47" i="39" s="1"/>
  <c r="G382" i="39"/>
  <c r="N382" i="39"/>
  <c r="N47" i="39" s="1"/>
  <c r="J382" i="39"/>
  <c r="J47" i="39" s="1"/>
  <c r="M382" i="39"/>
  <c r="M47" i="39" s="1"/>
  <c r="I417" i="39"/>
  <c r="I363" i="39"/>
  <c r="I377" i="39" s="1"/>
  <c r="I46" i="39" s="1"/>
  <c r="M417" i="39"/>
  <c r="M363" i="39"/>
  <c r="M377" i="39" s="1"/>
  <c r="M46" i="39" s="1"/>
  <c r="G407" i="39"/>
  <c r="K407" i="39"/>
  <c r="K429" i="39" s="1"/>
  <c r="L383" i="39"/>
  <c r="L47" i="39" s="1"/>
  <c r="H383" i="39"/>
  <c r="H47" i="39" s="1"/>
  <c r="K383" i="39"/>
  <c r="G383" i="39"/>
  <c r="M383" i="39"/>
  <c r="N457" i="39"/>
  <c r="I457" i="39"/>
  <c r="M457" i="39"/>
  <c r="J457" i="39"/>
  <c r="H357" i="37" l="1"/>
  <c r="M163" i="37"/>
  <c r="M184" i="37" s="1"/>
  <c r="M162" i="37"/>
  <c r="M183" i="37" s="1"/>
  <c r="H163" i="37"/>
  <c r="H184" i="37" s="1"/>
  <c r="L162" i="37"/>
  <c r="L183" i="37" s="1"/>
  <c r="L163" i="37"/>
  <c r="L184" i="37" s="1"/>
  <c r="K163" i="37"/>
  <c r="K184" i="37" s="1"/>
  <c r="H199" i="37"/>
  <c r="H200" i="37" s="1"/>
  <c r="J78" i="38"/>
  <c r="I376" i="37"/>
  <c r="I377" i="37" s="1"/>
  <c r="I398" i="37" s="1"/>
  <c r="L376" i="37"/>
  <c r="L377" i="37" s="1"/>
  <c r="L398" i="37" s="1"/>
  <c r="N376" i="37"/>
  <c r="N377" i="37" s="1"/>
  <c r="N398" i="37" s="1"/>
  <c r="M376" i="37"/>
  <c r="M377" i="37" s="1"/>
  <c r="M398" i="37" s="1"/>
  <c r="J376" i="37"/>
  <c r="J377" i="37" s="1"/>
  <c r="J398" i="37" s="1"/>
  <c r="L181" i="37"/>
  <c r="I199" i="37"/>
  <c r="I200" i="37" s="1"/>
  <c r="K376" i="37"/>
  <c r="K377" i="37" s="1"/>
  <c r="K398" i="37" s="1"/>
  <c r="I181" i="37"/>
  <c r="K71" i="37"/>
  <c r="K74" i="37"/>
  <c r="K75" i="37" s="1"/>
  <c r="K199" i="37"/>
  <c r="K200" i="37" s="1"/>
  <c r="J124" i="39"/>
  <c r="J182" i="39"/>
  <c r="J96" i="39"/>
  <c r="J95" i="39" s="1"/>
  <c r="N147" i="39"/>
  <c r="F234" i="39"/>
  <c r="L172" i="39"/>
  <c r="F179" i="39"/>
  <c r="G196" i="39"/>
  <c r="G197" i="39" s="1"/>
  <c r="K172" i="39"/>
  <c r="K106" i="39"/>
  <c r="L393" i="39"/>
  <c r="L411" i="39" s="1"/>
  <c r="L362" i="39"/>
  <c r="L376" i="39" s="1"/>
  <c r="I392" i="39"/>
  <c r="I361" i="39"/>
  <c r="F370" i="39"/>
  <c r="G384" i="39"/>
  <c r="F384" i="39" s="1"/>
  <c r="F378" i="39"/>
  <c r="F412" i="39"/>
  <c r="I106" i="39"/>
  <c r="J104" i="39"/>
  <c r="J362" i="39"/>
  <c r="J376" i="39" s="1"/>
  <c r="J393" i="39"/>
  <c r="J411" i="39" s="1"/>
  <c r="L106" i="39"/>
  <c r="K361" i="39"/>
  <c r="K392" i="39"/>
  <c r="I260" i="38"/>
  <c r="I130" i="38"/>
  <c r="I131" i="38" s="1"/>
  <c r="I71" i="38"/>
  <c r="H260" i="38"/>
  <c r="L130" i="38"/>
  <c r="L131" i="38"/>
  <c r="L154" i="38" s="1"/>
  <c r="L71" i="38"/>
  <c r="G112" i="38"/>
  <c r="G234" i="38"/>
  <c r="G114" i="38"/>
  <c r="F89" i="38"/>
  <c r="L273" i="38"/>
  <c r="L274" i="38" s="1"/>
  <c r="J260" i="38"/>
  <c r="G40" i="38"/>
  <c r="F40" i="38" s="1"/>
  <c r="L257" i="38"/>
  <c r="F135" i="38"/>
  <c r="G135" i="38" s="1"/>
  <c r="G115" i="38"/>
  <c r="J160" i="37"/>
  <c r="J163" i="37" s="1"/>
  <c r="J184" i="37" s="1"/>
  <c r="L199" i="37"/>
  <c r="L200" i="37" s="1"/>
  <c r="H52" i="37"/>
  <c r="H93" i="37"/>
  <c r="F364" i="37"/>
  <c r="G382" i="37"/>
  <c r="G403" i="37" s="1"/>
  <c r="G389" i="37"/>
  <c r="F371" i="37"/>
  <c r="F389" i="37" s="1"/>
  <c r="G386" i="37"/>
  <c r="G407" i="37" s="1"/>
  <c r="F368" i="37"/>
  <c r="K93" i="37"/>
  <c r="J499" i="37"/>
  <c r="J491" i="37" s="1"/>
  <c r="J482" i="37"/>
  <c r="J473" i="37"/>
  <c r="M358" i="37"/>
  <c r="H374" i="37"/>
  <c r="H375" i="37" s="1"/>
  <c r="H499" i="37"/>
  <c r="H491" i="37" s="1"/>
  <c r="H482" i="37"/>
  <c r="H473" i="37"/>
  <c r="F383" i="39"/>
  <c r="F169" i="39"/>
  <c r="J147" i="39"/>
  <c r="G447" i="39"/>
  <c r="F355" i="39"/>
  <c r="I47" i="39"/>
  <c r="H172" i="39"/>
  <c r="F148" i="39"/>
  <c r="G161" i="39"/>
  <c r="F208" i="39"/>
  <c r="G208" i="39" s="1"/>
  <c r="M416" i="39"/>
  <c r="M320" i="39"/>
  <c r="M319" i="39"/>
  <c r="H393" i="39"/>
  <c r="H411" i="39" s="1"/>
  <c r="H362" i="39"/>
  <c r="H376" i="39" s="1"/>
  <c r="H416" i="39"/>
  <c r="H320" i="39"/>
  <c r="H319" i="39"/>
  <c r="K362" i="39"/>
  <c r="K376" i="39" s="1"/>
  <c r="K393" i="39"/>
  <c r="K411" i="39" s="1"/>
  <c r="K46" i="39"/>
  <c r="F379" i="39"/>
  <c r="M106" i="39"/>
  <c r="K416" i="39"/>
  <c r="K320" i="39"/>
  <c r="K319" i="39"/>
  <c r="L361" i="39"/>
  <c r="L392" i="39"/>
  <c r="J416" i="39"/>
  <c r="J320" i="39"/>
  <c r="J319" i="39"/>
  <c r="F394" i="39"/>
  <c r="G334" i="39"/>
  <c r="F22" i="39"/>
  <c r="F281" i="38"/>
  <c r="G281" i="38" s="1"/>
  <c r="L276" i="38"/>
  <c r="L275" i="38"/>
  <c r="I274" i="38"/>
  <c r="I273" i="38"/>
  <c r="I216" i="38"/>
  <c r="I36" i="38"/>
  <c r="H130" i="38"/>
  <c r="H131" i="38" s="1"/>
  <c r="H71" i="38"/>
  <c r="H274" i="38"/>
  <c r="H273" i="38"/>
  <c r="H216" i="38"/>
  <c r="H36" i="38"/>
  <c r="H56" i="38" s="1"/>
  <c r="K260" i="38"/>
  <c r="F129" i="38"/>
  <c r="F137" i="38"/>
  <c r="G137" i="38" s="1"/>
  <c r="F278" i="38"/>
  <c r="G278" i="38" s="1"/>
  <c r="I275" i="38"/>
  <c r="I276" i="38" s="1"/>
  <c r="H257" i="38"/>
  <c r="K158" i="37"/>
  <c r="K162" i="37" s="1"/>
  <c r="K183" i="37" s="1"/>
  <c r="F410" i="37"/>
  <c r="G430" i="37"/>
  <c r="M419" i="37"/>
  <c r="M309" i="37"/>
  <c r="F348" i="37"/>
  <c r="F334" i="37"/>
  <c r="L419" i="37"/>
  <c r="L309" i="37"/>
  <c r="F347" i="37"/>
  <c r="H106" i="37"/>
  <c r="I162" i="37"/>
  <c r="I183" i="37" s="1"/>
  <c r="K358" i="37"/>
  <c r="F370" i="37"/>
  <c r="G388" i="37"/>
  <c r="G409" i="37" s="1"/>
  <c r="G359" i="37"/>
  <c r="G499" i="37"/>
  <c r="G491" i="37" s="1"/>
  <c r="G482" i="37"/>
  <c r="G473" i="37"/>
  <c r="K106" i="37"/>
  <c r="F143" i="37"/>
  <c r="M77" i="37"/>
  <c r="M80" i="37" s="1"/>
  <c r="M4" i="37" s="1"/>
  <c r="M67" i="37"/>
  <c r="M63" i="37"/>
  <c r="N358" i="37"/>
  <c r="N499" i="37"/>
  <c r="N491" i="37" s="1"/>
  <c r="N482" i="37"/>
  <c r="N473" i="37"/>
  <c r="M379" i="37"/>
  <c r="M400" i="37" s="1"/>
  <c r="I358" i="37"/>
  <c r="I163" i="37"/>
  <c r="I184" i="37" s="1"/>
  <c r="N159" i="37"/>
  <c r="L499" i="37"/>
  <c r="L491" i="37" s="1"/>
  <c r="L482" i="37"/>
  <c r="L473" i="37"/>
  <c r="F407" i="39"/>
  <c r="F429" i="39" s="1"/>
  <c r="G429" i="39" s="1"/>
  <c r="F382" i="39"/>
  <c r="G47" i="39"/>
  <c r="F47" i="39" s="1"/>
  <c r="F377" i="39"/>
  <c r="G46" i="39"/>
  <c r="F46" i="39" s="1"/>
  <c r="F367" i="39"/>
  <c r="F401" i="39"/>
  <c r="G401" i="39" s="1"/>
  <c r="G367" i="39" s="1"/>
  <c r="G419" i="39"/>
  <c r="N203" i="39"/>
  <c r="N112" i="39" s="1"/>
  <c r="N107" i="39"/>
  <c r="N106" i="39"/>
  <c r="M116" i="39"/>
  <c r="F194" i="39"/>
  <c r="F216" i="39" s="1"/>
  <c r="G216" i="39" s="1"/>
  <c r="F170" i="39"/>
  <c r="M172" i="39"/>
  <c r="L116" i="39"/>
  <c r="M147" i="39"/>
  <c r="L147" i="39"/>
  <c r="N243" i="39"/>
  <c r="N116" i="39" s="1"/>
  <c r="F204" i="39"/>
  <c r="G204" i="39" s="1"/>
  <c r="G19" i="39" s="1"/>
  <c r="F19" i="39" s="1"/>
  <c r="G183" i="39"/>
  <c r="M456" i="39"/>
  <c r="M329" i="39" s="1"/>
  <c r="N392" i="39"/>
  <c r="N361" i="39"/>
  <c r="F207" i="39"/>
  <c r="G207" i="39" s="1"/>
  <c r="H456" i="39"/>
  <c r="H329" i="39" s="1"/>
  <c r="G335" i="39"/>
  <c r="F23" i="39"/>
  <c r="I112" i="39"/>
  <c r="H361" i="39"/>
  <c r="H392" i="39"/>
  <c r="F318" i="38"/>
  <c r="H112" i="39"/>
  <c r="M393" i="39"/>
  <c r="M411" i="39" s="1"/>
  <c r="M362" i="39"/>
  <c r="M376" i="39" s="1"/>
  <c r="J273" i="38"/>
  <c r="J216" i="38"/>
  <c r="J274" i="38"/>
  <c r="J36" i="38"/>
  <c r="J56" i="38" s="1"/>
  <c r="H275" i="38"/>
  <c r="H276" i="38" s="1"/>
  <c r="F279" i="38"/>
  <c r="G279" i="38" s="1"/>
  <c r="F262" i="38"/>
  <c r="G262" i="38" s="1"/>
  <c r="J154" i="38"/>
  <c r="F235" i="38"/>
  <c r="F258" i="38"/>
  <c r="F282" i="38"/>
  <c r="G282" i="38" s="1"/>
  <c r="F133" i="38"/>
  <c r="G133" i="38" s="1"/>
  <c r="I56" i="38"/>
  <c r="I257" i="38"/>
  <c r="K162" i="38"/>
  <c r="K419" i="37"/>
  <c r="K309" i="37"/>
  <c r="F194" i="37"/>
  <c r="G214" i="37"/>
  <c r="F214" i="37" s="1"/>
  <c r="J197" i="37"/>
  <c r="J198" i="37" s="1"/>
  <c r="G158" i="37"/>
  <c r="G162" i="37" s="1"/>
  <c r="F142" i="37"/>
  <c r="N419" i="37"/>
  <c r="N309" i="37"/>
  <c r="M197" i="37"/>
  <c r="M198" i="37" s="1"/>
  <c r="N357" i="37"/>
  <c r="I419" i="37"/>
  <c r="I309" i="37"/>
  <c r="I357" i="37"/>
  <c r="H419" i="37"/>
  <c r="H309" i="37"/>
  <c r="N67" i="37"/>
  <c r="N63" i="37"/>
  <c r="N77" i="37"/>
  <c r="N80" i="37" s="1"/>
  <c r="N4" i="37" s="1"/>
  <c r="F361" i="37"/>
  <c r="G374" i="37"/>
  <c r="G375" i="37" s="1"/>
  <c r="G381" i="37"/>
  <c r="G402" i="37" s="1"/>
  <c r="F363" i="37"/>
  <c r="K499" i="37"/>
  <c r="K491" i="37" s="1"/>
  <c r="K482" i="37"/>
  <c r="K473" i="37"/>
  <c r="F192" i="37"/>
  <c r="F186" i="37"/>
  <c r="G93" i="37"/>
  <c r="I77" i="37"/>
  <c r="I80" i="37" s="1"/>
  <c r="I4" i="37" s="1"/>
  <c r="I67" i="37"/>
  <c r="I63" i="37"/>
  <c r="J358" i="37"/>
  <c r="I499" i="37"/>
  <c r="I491" i="37" s="1"/>
  <c r="I482" i="37"/>
  <c r="I473" i="37"/>
  <c r="F26" i="37"/>
  <c r="F244" i="39"/>
  <c r="F420" i="39"/>
  <c r="G420" i="39" s="1"/>
  <c r="F400" i="39"/>
  <c r="G400" i="39" s="1"/>
  <c r="G366" i="39" s="1"/>
  <c r="F366" i="39"/>
  <c r="G418" i="39"/>
  <c r="J203" i="39"/>
  <c r="J112" i="39" s="1"/>
  <c r="J107" i="39"/>
  <c r="J106" i="39"/>
  <c r="F157" i="39"/>
  <c r="G171" i="39"/>
  <c r="F171" i="39" s="1"/>
  <c r="N124" i="39"/>
  <c r="N182" i="39"/>
  <c r="N104" i="39" s="1"/>
  <c r="N96" i="39"/>
  <c r="N95" i="39" s="1"/>
  <c r="I96" i="39"/>
  <c r="I95" i="39" s="1"/>
  <c r="I124" i="39"/>
  <c r="I182" i="39"/>
  <c r="H116" i="39"/>
  <c r="G163" i="39"/>
  <c r="F163" i="39" s="1"/>
  <c r="F149" i="39"/>
  <c r="I147" i="39"/>
  <c r="K197" i="39"/>
  <c r="K196" i="39"/>
  <c r="H147" i="39"/>
  <c r="F147" i="39" s="1"/>
  <c r="J243" i="39"/>
  <c r="J116" i="39" s="1"/>
  <c r="K112" i="39"/>
  <c r="I416" i="39"/>
  <c r="I456" i="39" s="1"/>
  <c r="I329" i="39" s="1"/>
  <c r="I320" i="39"/>
  <c r="I319" i="39"/>
  <c r="J392" i="39"/>
  <c r="J361" i="39"/>
  <c r="L416" i="39"/>
  <c r="L320" i="39"/>
  <c r="L319" i="39"/>
  <c r="M392" i="39"/>
  <c r="M361" i="39"/>
  <c r="F380" i="39"/>
  <c r="M112" i="39"/>
  <c r="F396" i="39"/>
  <c r="G396" i="39" s="1"/>
  <c r="N362" i="39"/>
  <c r="N376" i="39" s="1"/>
  <c r="N393" i="39"/>
  <c r="N411" i="39" s="1"/>
  <c r="L112" i="39"/>
  <c r="H106" i="39"/>
  <c r="N416" i="39"/>
  <c r="N320" i="39"/>
  <c r="N319" i="39"/>
  <c r="I393" i="39"/>
  <c r="I411" i="39" s="1"/>
  <c r="I362" i="39"/>
  <c r="I376" i="39" s="1"/>
  <c r="J75" i="38"/>
  <c r="J132" i="38"/>
  <c r="J79" i="38" s="1"/>
  <c r="J73" i="38"/>
  <c r="J71" i="38"/>
  <c r="J74" i="38"/>
  <c r="L260" i="38"/>
  <c r="F173" i="38"/>
  <c r="L78" i="38"/>
  <c r="L77" i="38" s="1"/>
  <c r="L147" i="38"/>
  <c r="I132" i="38"/>
  <c r="I79" i="38" s="1"/>
  <c r="I75" i="38"/>
  <c r="I73" i="38"/>
  <c r="I74" i="38"/>
  <c r="K112" i="38"/>
  <c r="K234" i="38"/>
  <c r="K114" i="38"/>
  <c r="J275" i="38"/>
  <c r="J276" i="38" s="1"/>
  <c r="J257" i="38"/>
  <c r="F132" i="38"/>
  <c r="G132" i="38" s="1"/>
  <c r="G79" i="38" s="1"/>
  <c r="F79" i="38" s="1"/>
  <c r="M199" i="37"/>
  <c r="M202" i="37" s="1"/>
  <c r="N160" i="37"/>
  <c r="N163" i="37" s="1"/>
  <c r="N184" i="37" s="1"/>
  <c r="F357" i="37"/>
  <c r="J419" i="37"/>
  <c r="J309" i="37"/>
  <c r="F141" i="37"/>
  <c r="H158" i="37"/>
  <c r="H162" i="37" s="1"/>
  <c r="H183" i="37" s="1"/>
  <c r="J67" i="37"/>
  <c r="J63" i="37"/>
  <c r="J77" i="37"/>
  <c r="J80" i="37" s="1"/>
  <c r="J4" i="37" s="1"/>
  <c r="F360" i="37"/>
  <c r="G385" i="37"/>
  <c r="G406" i="37" s="1"/>
  <c r="F367" i="37"/>
  <c r="G380" i="37"/>
  <c r="G401" i="37" s="1"/>
  <c r="F362" i="37"/>
  <c r="G387" i="37"/>
  <c r="G408" i="37" s="1"/>
  <c r="F369" i="37"/>
  <c r="F210" i="37"/>
  <c r="F204" i="37"/>
  <c r="F203" i="37"/>
  <c r="G106" i="37"/>
  <c r="F106" i="37" s="1"/>
  <c r="L77" i="37"/>
  <c r="L80" i="37" s="1"/>
  <c r="L4" i="37" s="1"/>
  <c r="L67" i="37"/>
  <c r="L63" i="37"/>
  <c r="M499" i="37"/>
  <c r="M491" i="37" s="1"/>
  <c r="M482" i="37"/>
  <c r="M473" i="37"/>
  <c r="L358" i="37"/>
  <c r="F358" i="37" s="1"/>
  <c r="I202" i="37" l="1"/>
  <c r="I379" i="37"/>
  <c r="I400" i="37" s="1"/>
  <c r="M174" i="37"/>
  <c r="M97" i="37" s="1"/>
  <c r="M96" i="37" s="1"/>
  <c r="M91" i="37" s="1"/>
  <c r="M180" i="37" s="1"/>
  <c r="L379" i="37"/>
  <c r="L400" i="37" s="1"/>
  <c r="J379" i="37"/>
  <c r="J400" i="37" s="1"/>
  <c r="L174" i="37"/>
  <c r="L97" i="37" s="1"/>
  <c r="L96" i="37" s="1"/>
  <c r="L91" i="37" s="1"/>
  <c r="L180" i="37" s="1"/>
  <c r="H378" i="37"/>
  <c r="H399" i="37" s="1"/>
  <c r="L202" i="37"/>
  <c r="N379" i="37"/>
  <c r="N400" i="37" s="1"/>
  <c r="K379" i="37"/>
  <c r="K400" i="37" s="1"/>
  <c r="H202" i="37"/>
  <c r="J201" i="37"/>
  <c r="G378" i="37"/>
  <c r="G399" i="37" s="1"/>
  <c r="K202" i="37"/>
  <c r="M200" i="37"/>
  <c r="G159" i="37"/>
  <c r="G181" i="37" s="1"/>
  <c r="F197" i="39"/>
  <c r="M415" i="37"/>
  <c r="M416" i="37" s="1"/>
  <c r="N476" i="39"/>
  <c r="J476" i="39"/>
  <c r="N475" i="39"/>
  <c r="J475" i="39"/>
  <c r="N474" i="39"/>
  <c r="J474" i="39"/>
  <c r="N473" i="39"/>
  <c r="J473" i="39"/>
  <c r="M476" i="39"/>
  <c r="I476" i="39"/>
  <c r="M475" i="39"/>
  <c r="I475" i="39"/>
  <c r="M474" i="39"/>
  <c r="I474" i="39"/>
  <c r="M473" i="39"/>
  <c r="I473" i="39"/>
  <c r="L476" i="39"/>
  <c r="H476" i="39"/>
  <c r="L475" i="39"/>
  <c r="H475" i="39"/>
  <c r="L474" i="39"/>
  <c r="H474" i="39"/>
  <c r="L473" i="39"/>
  <c r="H473" i="39"/>
  <c r="G475" i="39"/>
  <c r="G473" i="39"/>
  <c r="K476" i="39"/>
  <c r="K474" i="39"/>
  <c r="G476" i="39"/>
  <c r="G474" i="39"/>
  <c r="K475" i="39"/>
  <c r="K473" i="39"/>
  <c r="L272" i="39"/>
  <c r="H272" i="39"/>
  <c r="L271" i="39"/>
  <c r="H271" i="39"/>
  <c r="L270" i="39"/>
  <c r="H270" i="39"/>
  <c r="L269" i="39"/>
  <c r="H269" i="39"/>
  <c r="L268" i="39"/>
  <c r="L486" i="39" s="1"/>
  <c r="L487" i="39" s="1"/>
  <c r="H268" i="39"/>
  <c r="H486" i="39" s="1"/>
  <c r="H487" i="39" s="1"/>
  <c r="L263" i="39"/>
  <c r="H263" i="39"/>
  <c r="L262" i="39"/>
  <c r="H262" i="39"/>
  <c r="L261" i="39"/>
  <c r="H261" i="39"/>
  <c r="L260" i="39"/>
  <c r="H260" i="39"/>
  <c r="L259" i="39"/>
  <c r="L264" i="39" s="1"/>
  <c r="L265" i="39" s="1"/>
  <c r="H259" i="39"/>
  <c r="H264" i="39" s="1"/>
  <c r="H265" i="39" s="1"/>
  <c r="K272" i="39"/>
  <c r="G272" i="39"/>
  <c r="K271" i="39"/>
  <c r="G271" i="39"/>
  <c r="K270" i="39"/>
  <c r="G270" i="39"/>
  <c r="K269" i="39"/>
  <c r="G269" i="39"/>
  <c r="K268" i="39"/>
  <c r="K486" i="39" s="1"/>
  <c r="K487" i="39" s="1"/>
  <c r="G268" i="39"/>
  <c r="G486" i="39" s="1"/>
  <c r="G487" i="39" s="1"/>
  <c r="K263" i="39"/>
  <c r="G263" i="39"/>
  <c r="K262" i="39"/>
  <c r="G262" i="39"/>
  <c r="K261" i="39"/>
  <c r="G261" i="39"/>
  <c r="K260" i="39"/>
  <c r="G260" i="39"/>
  <c r="K259" i="39"/>
  <c r="K264" i="39" s="1"/>
  <c r="K265" i="39" s="1"/>
  <c r="G259" i="39"/>
  <c r="G477" i="39" s="1"/>
  <c r="G478" i="39" s="1"/>
  <c r="N272" i="39"/>
  <c r="J272" i="39"/>
  <c r="N271" i="39"/>
  <c r="J271" i="39"/>
  <c r="N270" i="39"/>
  <c r="J270" i="39"/>
  <c r="N269" i="39"/>
  <c r="J269" i="39"/>
  <c r="N268" i="39"/>
  <c r="N486" i="39" s="1"/>
  <c r="N487" i="39" s="1"/>
  <c r="J268" i="39"/>
  <c r="J486" i="39" s="1"/>
  <c r="J487" i="39" s="1"/>
  <c r="N263" i="39"/>
  <c r="J263" i="39"/>
  <c r="N262" i="39"/>
  <c r="J262" i="39"/>
  <c r="N261" i="39"/>
  <c r="J261" i="39"/>
  <c r="N260" i="39"/>
  <c r="J260" i="39"/>
  <c r="N259" i="39"/>
  <c r="N264" i="39" s="1"/>
  <c r="N265" i="39" s="1"/>
  <c r="J259" i="39"/>
  <c r="J264" i="39" s="1"/>
  <c r="J265" i="39" s="1"/>
  <c r="M272" i="39"/>
  <c r="I272" i="39"/>
  <c r="M271" i="39"/>
  <c r="I271" i="39"/>
  <c r="M270" i="39"/>
  <c r="I270" i="39"/>
  <c r="M269" i="39"/>
  <c r="I269" i="39"/>
  <c r="M268" i="39"/>
  <c r="M486" i="39" s="1"/>
  <c r="M487" i="39" s="1"/>
  <c r="I268" i="39"/>
  <c r="I486" i="39" s="1"/>
  <c r="I487" i="39" s="1"/>
  <c r="M263" i="39"/>
  <c r="I263" i="39"/>
  <c r="M262" i="39"/>
  <c r="I262" i="39"/>
  <c r="M261" i="39"/>
  <c r="I261" i="39"/>
  <c r="M260" i="39"/>
  <c r="I260" i="39"/>
  <c r="M259" i="39"/>
  <c r="M264" i="39" s="1"/>
  <c r="M265" i="39" s="1"/>
  <c r="I259" i="39"/>
  <c r="I264" i="39" s="1"/>
  <c r="I265" i="39" s="1"/>
  <c r="G397" i="37"/>
  <c r="H60" i="38"/>
  <c r="H57" i="38"/>
  <c r="I154" i="38"/>
  <c r="I78" i="38"/>
  <c r="I77" i="38" s="1"/>
  <c r="I147" i="38"/>
  <c r="I38" i="38"/>
  <c r="N415" i="37"/>
  <c r="N416" i="37" s="1"/>
  <c r="H154" i="38"/>
  <c r="H38" i="38"/>
  <c r="H78" i="38"/>
  <c r="H77" i="38" s="1"/>
  <c r="H147" i="38"/>
  <c r="L415" i="37"/>
  <c r="L416" i="37" s="1"/>
  <c r="L48" i="37" s="1"/>
  <c r="J60" i="38"/>
  <c r="J57" i="38"/>
  <c r="L223" i="38"/>
  <c r="F274" i="38"/>
  <c r="L38" i="38"/>
  <c r="F408" i="37"/>
  <c r="G426" i="37"/>
  <c r="F426" i="37" s="1"/>
  <c r="G424" i="37"/>
  <c r="F406" i="37"/>
  <c r="H159" i="37"/>
  <c r="L272" i="37"/>
  <c r="H272" i="37"/>
  <c r="L271" i="37"/>
  <c r="H271" i="37"/>
  <c r="L270" i="37"/>
  <c r="H270" i="37"/>
  <c r="L269" i="37"/>
  <c r="H269" i="37"/>
  <c r="L268" i="37"/>
  <c r="H268" i="37"/>
  <c r="L263" i="37"/>
  <c r="H263" i="37"/>
  <c r="L262" i="37"/>
  <c r="H262" i="37"/>
  <c r="L261" i="37"/>
  <c r="H261" i="37"/>
  <c r="L260" i="37"/>
  <c r="H260" i="37"/>
  <c r="L259" i="37"/>
  <c r="H259" i="37"/>
  <c r="K272" i="37"/>
  <c r="G272" i="37"/>
  <c r="K271" i="37"/>
  <c r="G271" i="37"/>
  <c r="K270" i="37"/>
  <c r="G270" i="37"/>
  <c r="K269" i="37"/>
  <c r="G269" i="37"/>
  <c r="K268" i="37"/>
  <c r="G268" i="37"/>
  <c r="K263" i="37"/>
  <c r="G263" i="37"/>
  <c r="K262" i="37"/>
  <c r="G262" i="37"/>
  <c r="K261" i="37"/>
  <c r="G261" i="37"/>
  <c r="K260" i="37"/>
  <c r="G260" i="37"/>
  <c r="K259" i="37"/>
  <c r="G259" i="37"/>
  <c r="N272" i="37"/>
  <c r="J272" i="37"/>
  <c r="N271" i="37"/>
  <c r="J271" i="37"/>
  <c r="N270" i="37"/>
  <c r="J270" i="37"/>
  <c r="N269" i="37"/>
  <c r="J269" i="37"/>
  <c r="N268" i="37"/>
  <c r="J268" i="37"/>
  <c r="N263" i="37"/>
  <c r="J263" i="37"/>
  <c r="N262" i="37"/>
  <c r="J262" i="37"/>
  <c r="N261" i="37"/>
  <c r="J261" i="37"/>
  <c r="N260" i="37"/>
  <c r="J260" i="37"/>
  <c r="N259" i="37"/>
  <c r="J259" i="37"/>
  <c r="M272" i="37"/>
  <c r="I272" i="37"/>
  <c r="M271" i="37"/>
  <c r="I271" i="37"/>
  <c r="M270" i="37"/>
  <c r="I270" i="37"/>
  <c r="M269" i="37"/>
  <c r="I269" i="37"/>
  <c r="M268" i="37"/>
  <c r="I268" i="37"/>
  <c r="M263" i="37"/>
  <c r="I263" i="37"/>
  <c r="M262" i="37"/>
  <c r="I262" i="37"/>
  <c r="M261" i="37"/>
  <c r="I261" i="37"/>
  <c r="M260" i="37"/>
  <c r="I260" i="37"/>
  <c r="M259" i="37"/>
  <c r="I259" i="37"/>
  <c r="N161" i="37"/>
  <c r="N182" i="37" s="1"/>
  <c r="J299" i="38"/>
  <c r="K130" i="38"/>
  <c r="K131" i="38" s="1"/>
  <c r="K71" i="38"/>
  <c r="L277" i="38"/>
  <c r="L307" i="38"/>
  <c r="L220" i="38"/>
  <c r="L14" i="38" s="1"/>
  <c r="L218" i="38"/>
  <c r="L219" i="38"/>
  <c r="L325" i="39"/>
  <c r="L59" i="39"/>
  <c r="F402" i="37"/>
  <c r="G420" i="37"/>
  <c r="G183" i="37"/>
  <c r="F162" i="37"/>
  <c r="I299" i="38"/>
  <c r="G362" i="39"/>
  <c r="G393" i="39"/>
  <c r="F335" i="39"/>
  <c r="I374" i="37"/>
  <c r="I378" i="37" s="1"/>
  <c r="I399" i="37" s="1"/>
  <c r="K374" i="37"/>
  <c r="K378" i="37" s="1"/>
  <c r="K399" i="37" s="1"/>
  <c r="F430" i="37"/>
  <c r="F58" i="37" s="1"/>
  <c r="G58" i="37"/>
  <c r="K159" i="37"/>
  <c r="K277" i="38"/>
  <c r="K307" i="38" s="1"/>
  <c r="K219" i="38"/>
  <c r="K220" i="38"/>
  <c r="K14" i="38" s="1"/>
  <c r="K218" i="38"/>
  <c r="I223" i="38"/>
  <c r="G361" i="39"/>
  <c r="F334" i="39"/>
  <c r="G392" i="39"/>
  <c r="G421" i="37"/>
  <c r="F403" i="37"/>
  <c r="K415" i="37"/>
  <c r="K416" i="37" s="1"/>
  <c r="K48" i="37" s="1"/>
  <c r="L299" i="38"/>
  <c r="L36" i="38"/>
  <c r="L56" i="38" s="1"/>
  <c r="L148" i="38"/>
  <c r="L153" i="38" s="1"/>
  <c r="L72" i="38"/>
  <c r="I148" i="38"/>
  <c r="I153" i="38" s="1"/>
  <c r="I72" i="38"/>
  <c r="I409" i="39"/>
  <c r="I410" i="39"/>
  <c r="L96" i="39"/>
  <c r="L95" i="39" s="1"/>
  <c r="L124" i="39"/>
  <c r="L182" i="39"/>
  <c r="J200" i="39"/>
  <c r="J201" i="39" s="1"/>
  <c r="J108" i="39"/>
  <c r="J105" i="39" s="1"/>
  <c r="I197" i="37"/>
  <c r="I198" i="37" s="1"/>
  <c r="L197" i="37"/>
  <c r="L201" i="37" s="1"/>
  <c r="L456" i="39"/>
  <c r="L329" i="39" s="1"/>
  <c r="K259" i="38"/>
  <c r="K257" i="38"/>
  <c r="N325" i="39"/>
  <c r="N59" i="39"/>
  <c r="N456" i="39"/>
  <c r="N329" i="39" s="1"/>
  <c r="G320" i="39"/>
  <c r="G319" i="39"/>
  <c r="M409" i="39"/>
  <c r="M410" i="39"/>
  <c r="J374" i="39"/>
  <c r="J360" i="39"/>
  <c r="H322" i="37"/>
  <c r="H51" i="37"/>
  <c r="N322" i="37"/>
  <c r="N51" i="37"/>
  <c r="I60" i="38"/>
  <c r="I57" i="38"/>
  <c r="F277" i="38"/>
  <c r="F260" i="38"/>
  <c r="G260" i="38" s="1"/>
  <c r="J223" i="38"/>
  <c r="H409" i="39"/>
  <c r="H410" i="39" s="1"/>
  <c r="N410" i="39"/>
  <c r="N409" i="39"/>
  <c r="M96" i="39"/>
  <c r="M95" i="39" s="1"/>
  <c r="M124" i="39"/>
  <c r="M182" i="39"/>
  <c r="K79" i="37"/>
  <c r="K76" i="37"/>
  <c r="K78" i="37" s="1"/>
  <c r="N374" i="37"/>
  <c r="N378" i="37" s="1"/>
  <c r="N399" i="37" s="1"/>
  <c r="M71" i="37"/>
  <c r="M74" i="37"/>
  <c r="M75" i="37" s="1"/>
  <c r="F359" i="37"/>
  <c r="H223" i="38"/>
  <c r="J325" i="39"/>
  <c r="J59" i="39"/>
  <c r="J456" i="39"/>
  <c r="J329" i="39" s="1"/>
  <c r="H325" i="39"/>
  <c r="H59" i="39"/>
  <c r="G172" i="39"/>
  <c r="F161" i="39"/>
  <c r="H397" i="37"/>
  <c r="M374" i="37"/>
  <c r="M378" i="37" s="1"/>
  <c r="M399" i="37" s="1"/>
  <c r="F407" i="37"/>
  <c r="G425" i="37"/>
  <c r="F425" i="37" s="1"/>
  <c r="L216" i="38"/>
  <c r="F114" i="38"/>
  <c r="G71" i="38"/>
  <c r="K410" i="39"/>
  <c r="K409" i="39"/>
  <c r="J178" i="39"/>
  <c r="I174" i="37"/>
  <c r="I97" i="37" s="1"/>
  <c r="I96" i="37" s="1"/>
  <c r="I91" i="37" s="1"/>
  <c r="J38" i="38"/>
  <c r="L374" i="37"/>
  <c r="L378" i="37" s="1"/>
  <c r="L399" i="37" s="1"/>
  <c r="J322" i="37"/>
  <c r="J51" i="37"/>
  <c r="J162" i="38"/>
  <c r="F416" i="39"/>
  <c r="G416" i="39" s="1"/>
  <c r="I325" i="39"/>
  <c r="I59" i="39"/>
  <c r="I200" i="39"/>
  <c r="I201" i="39" s="1"/>
  <c r="I108" i="39"/>
  <c r="I104" i="39"/>
  <c r="N200" i="39"/>
  <c r="N201" i="39" s="1"/>
  <c r="N108" i="39"/>
  <c r="N105" i="39" s="1"/>
  <c r="N71" i="37"/>
  <c r="N74" i="37"/>
  <c r="N75" i="37" s="1"/>
  <c r="I322" i="37"/>
  <c r="I51" i="37"/>
  <c r="K322" i="37"/>
  <c r="K51" i="37"/>
  <c r="J58" i="38"/>
  <c r="J61" i="38" s="1"/>
  <c r="J4" i="38" s="1"/>
  <c r="N181" i="37"/>
  <c r="G427" i="37"/>
  <c r="F409" i="37"/>
  <c r="H299" i="38"/>
  <c r="H148" i="38"/>
  <c r="H153" i="38" s="1"/>
  <c r="H72" i="38"/>
  <c r="I58" i="38"/>
  <c r="I61" i="38" s="1"/>
  <c r="I4" i="38" s="1"/>
  <c r="L409" i="39"/>
  <c r="L410" i="39"/>
  <c r="F447" i="39"/>
  <c r="G457" i="39"/>
  <c r="F457" i="39" s="1"/>
  <c r="M201" i="37"/>
  <c r="M215" i="37" s="1"/>
  <c r="M216" i="37" s="1"/>
  <c r="G162" i="38"/>
  <c r="G74" i="38"/>
  <c r="G75" i="38"/>
  <c r="F75" i="38" s="1"/>
  <c r="G73" i="38"/>
  <c r="G172" i="38"/>
  <c r="G259" i="38"/>
  <c r="F234" i="38"/>
  <c r="G257" i="38"/>
  <c r="H277" i="38"/>
  <c r="H307" i="38"/>
  <c r="H220" i="38"/>
  <c r="H14" i="38" s="1"/>
  <c r="H218" i="38"/>
  <c r="H219" i="38"/>
  <c r="K374" i="39"/>
  <c r="K360" i="39"/>
  <c r="I374" i="39"/>
  <c r="I360" i="39"/>
  <c r="J77" i="38"/>
  <c r="F401" i="37"/>
  <c r="G419" i="37"/>
  <c r="G309" i="37"/>
  <c r="J71" i="37"/>
  <c r="J74" i="37"/>
  <c r="J75" i="37" s="1"/>
  <c r="L74" i="37"/>
  <c r="L75" i="37" s="1"/>
  <c r="L71" i="37"/>
  <c r="I415" i="37"/>
  <c r="I418" i="37" s="1"/>
  <c r="I50" i="37" s="1"/>
  <c r="M487" i="37"/>
  <c r="I487" i="37"/>
  <c r="M486" i="37"/>
  <c r="I486" i="37"/>
  <c r="M485" i="37"/>
  <c r="I485" i="37"/>
  <c r="M484" i="37"/>
  <c r="I484" i="37"/>
  <c r="M483" i="37"/>
  <c r="I483" i="37"/>
  <c r="M478" i="37"/>
  <c r="I478" i="37"/>
  <c r="M477" i="37"/>
  <c r="I477" i="37"/>
  <c r="M476" i="37"/>
  <c r="I476" i="37"/>
  <c r="M475" i="37"/>
  <c r="I475" i="37"/>
  <c r="M474" i="37"/>
  <c r="I474" i="37"/>
  <c r="L487" i="37"/>
  <c r="H487" i="37"/>
  <c r="L486" i="37"/>
  <c r="H486" i="37"/>
  <c r="L485" i="37"/>
  <c r="H485" i="37"/>
  <c r="L484" i="37"/>
  <c r="H484" i="37"/>
  <c r="L483" i="37"/>
  <c r="H483" i="37"/>
  <c r="L478" i="37"/>
  <c r="H478" i="37"/>
  <c r="L477" i="37"/>
  <c r="H477" i="37"/>
  <c r="L476" i="37"/>
  <c r="H476" i="37"/>
  <c r="L475" i="37"/>
  <c r="H475" i="37"/>
  <c r="L474" i="37"/>
  <c r="H474" i="37"/>
  <c r="K487" i="37"/>
  <c r="G487" i="37"/>
  <c r="K486" i="37"/>
  <c r="G486" i="37"/>
  <c r="K485" i="37"/>
  <c r="G485" i="37"/>
  <c r="K484" i="37"/>
  <c r="G484" i="37"/>
  <c r="K483" i="37"/>
  <c r="G483" i="37"/>
  <c r="K478" i="37"/>
  <c r="G478" i="37"/>
  <c r="K477" i="37"/>
  <c r="G477" i="37"/>
  <c r="K476" i="37"/>
  <c r="G476" i="37"/>
  <c r="K475" i="37"/>
  <c r="G475" i="37"/>
  <c r="K474" i="37"/>
  <c r="G474" i="37"/>
  <c r="N487" i="37"/>
  <c r="J487" i="37"/>
  <c r="N486" i="37"/>
  <c r="J486" i="37"/>
  <c r="N485" i="37"/>
  <c r="J485" i="37"/>
  <c r="N484" i="37"/>
  <c r="J484" i="37"/>
  <c r="N483" i="37"/>
  <c r="J483" i="37"/>
  <c r="N478" i="37"/>
  <c r="J478" i="37"/>
  <c r="N477" i="37"/>
  <c r="J477" i="37"/>
  <c r="N476" i="37"/>
  <c r="J476" i="37"/>
  <c r="N475" i="37"/>
  <c r="J475" i="37"/>
  <c r="N474" i="37"/>
  <c r="J474" i="37"/>
  <c r="I172" i="38"/>
  <c r="I83" i="38" s="1"/>
  <c r="I162" i="38"/>
  <c r="J72" i="38"/>
  <c r="M374" i="39"/>
  <c r="M360" i="39"/>
  <c r="J410" i="39"/>
  <c r="J409" i="39"/>
  <c r="G203" i="39"/>
  <c r="G112" i="39" s="1"/>
  <c r="F112" i="39" s="1"/>
  <c r="I178" i="39"/>
  <c r="N178" i="39"/>
  <c r="J374" i="37"/>
  <c r="J378" i="37" s="1"/>
  <c r="J399" i="37" s="1"/>
  <c r="I71" i="37"/>
  <c r="I74" i="37"/>
  <c r="I75" i="37" s="1"/>
  <c r="H374" i="39"/>
  <c r="H360" i="39"/>
  <c r="N374" i="39"/>
  <c r="N360" i="39"/>
  <c r="G107" i="39"/>
  <c r="G106" i="39"/>
  <c r="G243" i="39"/>
  <c r="F421" i="39"/>
  <c r="G421" i="39" s="1"/>
  <c r="L322" i="37"/>
  <c r="L51" i="37"/>
  <c r="M322" i="37"/>
  <c r="M51" i="37"/>
  <c r="J415" i="37"/>
  <c r="J416" i="37" s="1"/>
  <c r="H217" i="38"/>
  <c r="H12" i="38" s="1"/>
  <c r="H58" i="38"/>
  <c r="H61" i="38" s="1"/>
  <c r="H4" i="38" s="1"/>
  <c r="L374" i="39"/>
  <c r="L360" i="39"/>
  <c r="K325" i="39"/>
  <c r="K59" i="39"/>
  <c r="K456" i="39"/>
  <c r="K329" i="39" s="1"/>
  <c r="M325" i="39"/>
  <c r="M59" i="39"/>
  <c r="H96" i="39"/>
  <c r="H95" i="39" s="1"/>
  <c r="H124" i="39"/>
  <c r="H182" i="39"/>
  <c r="J161" i="37"/>
  <c r="J277" i="38"/>
  <c r="J307" i="38" s="1"/>
  <c r="J219" i="38"/>
  <c r="J220" i="38"/>
  <c r="J14" i="38" s="1"/>
  <c r="J218" i="38"/>
  <c r="F112" i="38"/>
  <c r="H317" i="38"/>
  <c r="H228" i="38" s="1"/>
  <c r="I277" i="38"/>
  <c r="I307" i="38"/>
  <c r="I218" i="38"/>
  <c r="I219" i="38"/>
  <c r="I220" i="38"/>
  <c r="I14" i="38" s="1"/>
  <c r="K182" i="39"/>
  <c r="K96" i="39"/>
  <c r="K95" i="39" s="1"/>
  <c r="K124" i="39"/>
  <c r="J172" i="38"/>
  <c r="J83" i="38" s="1"/>
  <c r="J147" i="38"/>
  <c r="J148" i="38" s="1"/>
  <c r="J153" i="38" s="1"/>
  <c r="H146" i="35"/>
  <c r="H145" i="35"/>
  <c r="H144" i="35"/>
  <c r="H143" i="35"/>
  <c r="H142" i="35"/>
  <c r="H141" i="35"/>
  <c r="H140" i="35"/>
  <c r="H139" i="35"/>
  <c r="H138" i="35"/>
  <c r="H137" i="35"/>
  <c r="H136" i="35"/>
  <c r="H135" i="35"/>
  <c r="H134" i="35"/>
  <c r="H133" i="35"/>
  <c r="H132" i="35"/>
  <c r="H131" i="35"/>
  <c r="H130" i="35"/>
  <c r="H129" i="35"/>
  <c r="H128" i="35"/>
  <c r="H127" i="35"/>
  <c r="H126" i="35"/>
  <c r="H125" i="35"/>
  <c r="H124" i="35"/>
  <c r="H122" i="35"/>
  <c r="H123" i="35"/>
  <c r="L418" i="37" l="1"/>
  <c r="L50" i="37" s="1"/>
  <c r="I273" i="37"/>
  <c r="I274" i="37" s="1"/>
  <c r="J273" i="37"/>
  <c r="J274" i="37" s="1"/>
  <c r="G273" i="37"/>
  <c r="G274" i="37" s="1"/>
  <c r="G160" i="37" s="1"/>
  <c r="G161" i="37" s="1"/>
  <c r="F161" i="37" s="1"/>
  <c r="N418" i="37"/>
  <c r="M418" i="37"/>
  <c r="M50" i="37" s="1"/>
  <c r="M48" i="37"/>
  <c r="F159" i="37"/>
  <c r="M273" i="37"/>
  <c r="M274" i="37" s="1"/>
  <c r="N273" i="37"/>
  <c r="N274" i="37" s="1"/>
  <c r="K273" i="37"/>
  <c r="K274" i="37" s="1"/>
  <c r="L273" i="37"/>
  <c r="L274" i="37" s="1"/>
  <c r="I201" i="37"/>
  <c r="I105" i="37" s="1"/>
  <c r="I104" i="37" s="1"/>
  <c r="I103" i="37" s="1"/>
  <c r="J375" i="37"/>
  <c r="J397" i="37" s="1"/>
  <c r="N488" i="37"/>
  <c r="N489" i="37" s="1"/>
  <c r="K488" i="37"/>
  <c r="K489" i="37" s="1"/>
  <c r="L488" i="37"/>
  <c r="L489" i="37" s="1"/>
  <c r="M488" i="37"/>
  <c r="M489" i="37" s="1"/>
  <c r="J488" i="37"/>
  <c r="J489" i="37" s="1"/>
  <c r="G488" i="37"/>
  <c r="G489" i="37" s="1"/>
  <c r="G376" i="37" s="1"/>
  <c r="H488" i="37"/>
  <c r="H489" i="37" s="1"/>
  <c r="H376" i="37" s="1"/>
  <c r="I488" i="37"/>
  <c r="I489" i="37" s="1"/>
  <c r="N479" i="37"/>
  <c r="N480" i="37" s="1"/>
  <c r="K479" i="37"/>
  <c r="K480" i="37" s="1"/>
  <c r="L479" i="37"/>
  <c r="L480" i="37" s="1"/>
  <c r="M479" i="37"/>
  <c r="M480" i="37" s="1"/>
  <c r="N174" i="37"/>
  <c r="N97" i="37" s="1"/>
  <c r="N96" i="37" s="1"/>
  <c r="N91" i="37" s="1"/>
  <c r="N180" i="37" s="1"/>
  <c r="I264" i="37"/>
  <c r="I265" i="37" s="1"/>
  <c r="J264" i="37"/>
  <c r="J265" i="37" s="1"/>
  <c r="G264" i="37"/>
  <c r="G265" i="37" s="1"/>
  <c r="H264" i="37"/>
  <c r="H265" i="37" s="1"/>
  <c r="H273" i="37"/>
  <c r="H274" i="37" s="1"/>
  <c r="J479" i="37"/>
  <c r="J480" i="37" s="1"/>
  <c r="G479" i="37"/>
  <c r="G480" i="37" s="1"/>
  <c r="H479" i="37"/>
  <c r="H480" i="37" s="1"/>
  <c r="I479" i="37"/>
  <c r="I480" i="37" s="1"/>
  <c r="I416" i="37"/>
  <c r="I48" i="37" s="1"/>
  <c r="M375" i="37"/>
  <c r="M390" i="37" s="1"/>
  <c r="K418" i="37"/>
  <c r="K50" i="37" s="1"/>
  <c r="M264" i="37"/>
  <c r="M265" i="37" s="1"/>
  <c r="N264" i="37"/>
  <c r="N265" i="37" s="1"/>
  <c r="K264" i="37"/>
  <c r="K265" i="37" s="1"/>
  <c r="L264" i="37"/>
  <c r="L265" i="37" s="1"/>
  <c r="L375" i="37"/>
  <c r="L390" i="37" s="1"/>
  <c r="K147" i="38"/>
  <c r="K78" i="38"/>
  <c r="K77" i="38" s="1"/>
  <c r="K154" i="38"/>
  <c r="M222" i="37"/>
  <c r="M227" i="37" s="1"/>
  <c r="M249" i="37"/>
  <c r="M252" i="37" s="1"/>
  <c r="J160" i="38"/>
  <c r="J170" i="38" s="1"/>
  <c r="J158" i="38"/>
  <c r="J168" i="38" s="1"/>
  <c r="J178" i="38"/>
  <c r="J181" i="38" s="1"/>
  <c r="K108" i="39"/>
  <c r="K233" i="39"/>
  <c r="K202" i="39"/>
  <c r="K200" i="39"/>
  <c r="K201" i="39" s="1"/>
  <c r="K104" i="39"/>
  <c r="H385" i="39"/>
  <c r="H45" i="39"/>
  <c r="H224" i="38"/>
  <c r="H39" i="38"/>
  <c r="F172" i="38"/>
  <c r="G83" i="38"/>
  <c r="F83" i="38" s="1"/>
  <c r="F162" i="38"/>
  <c r="I217" i="38"/>
  <c r="I12" i="38" s="1"/>
  <c r="N197" i="37"/>
  <c r="N201" i="37" s="1"/>
  <c r="J217" i="38"/>
  <c r="J12" i="38" s="1"/>
  <c r="G197" i="37"/>
  <c r="G198" i="37" s="1"/>
  <c r="I202" i="39"/>
  <c r="G325" i="39"/>
  <c r="F325" i="39" s="1"/>
  <c r="G59" i="39"/>
  <c r="F59" i="39" s="1"/>
  <c r="H292" i="38"/>
  <c r="M178" i="39"/>
  <c r="I59" i="38"/>
  <c r="L60" i="38"/>
  <c r="L57" i="38"/>
  <c r="F361" i="39"/>
  <c r="G374" i="39"/>
  <c r="G360" i="39"/>
  <c r="F360" i="39" s="1"/>
  <c r="M105" i="37"/>
  <c r="M104" i="37" s="1"/>
  <c r="M103" i="37" s="1"/>
  <c r="H477" i="39"/>
  <c r="H478" i="39" s="1"/>
  <c r="I477" i="39"/>
  <c r="I478" i="39" s="1"/>
  <c r="J477" i="39"/>
  <c r="J478" i="39" s="1"/>
  <c r="I224" i="38"/>
  <c r="I39" i="38"/>
  <c r="I317" i="38"/>
  <c r="I228" i="38" s="1"/>
  <c r="J224" i="38"/>
  <c r="J222" i="38" s="1"/>
  <c r="J39" i="38"/>
  <c r="J317" i="38"/>
  <c r="J228" i="38" s="1"/>
  <c r="H200" i="39"/>
  <c r="H201" i="39" s="1"/>
  <c r="H108" i="39"/>
  <c r="H104" i="39"/>
  <c r="J390" i="37"/>
  <c r="I225" i="39"/>
  <c r="L76" i="37"/>
  <c r="L78" i="37" s="1"/>
  <c r="L79" i="37"/>
  <c r="F399" i="37"/>
  <c r="I385" i="39"/>
  <c r="I45" i="39"/>
  <c r="F257" i="38"/>
  <c r="H178" i="38"/>
  <c r="H181" i="38" s="1"/>
  <c r="H160" i="38"/>
  <c r="H170" i="38" s="1"/>
  <c r="H158" i="38"/>
  <c r="H168" i="38" s="1"/>
  <c r="N202" i="39"/>
  <c r="I105" i="39"/>
  <c r="G72" i="38"/>
  <c r="F71" i="38"/>
  <c r="L217" i="38"/>
  <c r="L12" i="38" s="1"/>
  <c r="L58" i="38"/>
  <c r="L61" i="38" s="1"/>
  <c r="L4" i="38" s="1"/>
  <c r="G182" i="39"/>
  <c r="F172" i="39"/>
  <c r="F182" i="39" s="1"/>
  <c r="G96" i="39"/>
  <c r="G124" i="39"/>
  <c r="J292" i="38"/>
  <c r="I6" i="38"/>
  <c r="I62" i="38"/>
  <c r="I5" i="38" s="1"/>
  <c r="K275" i="38"/>
  <c r="K276" i="38" s="1"/>
  <c r="K36" i="38"/>
  <c r="K56" i="38" s="1"/>
  <c r="K216" i="38"/>
  <c r="L198" i="37"/>
  <c r="J202" i="39"/>
  <c r="L233" i="39"/>
  <c r="L202" i="39"/>
  <c r="L200" i="39"/>
  <c r="L201" i="39" s="1"/>
  <c r="L108" i="39"/>
  <c r="L104" i="39"/>
  <c r="K174" i="37"/>
  <c r="K97" i="37" s="1"/>
  <c r="K96" i="37" s="1"/>
  <c r="K91" i="37" s="1"/>
  <c r="K181" i="37"/>
  <c r="K375" i="37"/>
  <c r="G411" i="39"/>
  <c r="F393" i="39"/>
  <c r="J418" i="37"/>
  <c r="L224" i="38"/>
  <c r="L39" i="38"/>
  <c r="L317" i="38"/>
  <c r="L228" i="38" s="1"/>
  <c r="F424" i="37"/>
  <c r="F54" i="37" s="1"/>
  <c r="G54" i="37"/>
  <c r="J59" i="38"/>
  <c r="H59" i="38"/>
  <c r="G413" i="37"/>
  <c r="G417" i="37" s="1"/>
  <c r="L477" i="39"/>
  <c r="L478" i="39" s="1"/>
  <c r="M477" i="39"/>
  <c r="M478" i="39" s="1"/>
  <c r="N477" i="39"/>
  <c r="N478" i="39" s="1"/>
  <c r="K178" i="39"/>
  <c r="K225" i="39" s="1"/>
  <c r="K229" i="39"/>
  <c r="J182" i="37"/>
  <c r="J174" i="37"/>
  <c r="J97" i="37" s="1"/>
  <c r="J96" i="37" s="1"/>
  <c r="J91" i="37" s="1"/>
  <c r="H178" i="39"/>
  <c r="L385" i="39"/>
  <c r="L45" i="39"/>
  <c r="F243" i="39"/>
  <c r="G116" i="39"/>
  <c r="F116" i="39" s="1"/>
  <c r="N385" i="39"/>
  <c r="N45" i="39"/>
  <c r="I76" i="37"/>
  <c r="I78" i="37" s="1"/>
  <c r="I79" i="37"/>
  <c r="G322" i="37"/>
  <c r="F322" i="37" s="1"/>
  <c r="F419" i="37"/>
  <c r="F51" i="37" s="1"/>
  <c r="G51" i="37"/>
  <c r="F378" i="37"/>
  <c r="F427" i="37"/>
  <c r="F57" i="37" s="1"/>
  <c r="G57" i="37"/>
  <c r="N76" i="37"/>
  <c r="N78" i="37" s="1"/>
  <c r="N79" i="37"/>
  <c r="H413" i="37"/>
  <c r="H417" i="37" s="1"/>
  <c r="N375" i="37"/>
  <c r="K81" i="37"/>
  <c r="K5" i="37" s="1"/>
  <c r="K6" i="37"/>
  <c r="G219" i="38"/>
  <c r="G220" i="38"/>
  <c r="G218" i="38"/>
  <c r="J385" i="39"/>
  <c r="J45" i="39"/>
  <c r="G456" i="39"/>
  <c r="L229" i="39"/>
  <c r="L178" i="39"/>
  <c r="L225" i="39" s="1"/>
  <c r="F421" i="37"/>
  <c r="F53" i="37" s="1"/>
  <c r="G53" i="37"/>
  <c r="G410" i="39"/>
  <c r="F392" i="39"/>
  <c r="G409" i="39"/>
  <c r="I222" i="38"/>
  <c r="I375" i="37"/>
  <c r="G376" i="39"/>
  <c r="F376" i="39" s="1"/>
  <c r="F362" i="39"/>
  <c r="F183" i="37"/>
  <c r="K148" i="38"/>
  <c r="K153" i="38" s="1"/>
  <c r="K72" i="38"/>
  <c r="N199" i="37"/>
  <c r="N202" i="37" s="1"/>
  <c r="L222" i="38"/>
  <c r="J6" i="38"/>
  <c r="J62" i="38"/>
  <c r="J5" i="38" s="1"/>
  <c r="H62" i="38"/>
  <c r="H5" i="38" s="1"/>
  <c r="H6" i="38"/>
  <c r="I273" i="39"/>
  <c r="I274" i="39" s="1"/>
  <c r="J273" i="39"/>
  <c r="J274" i="39" s="1"/>
  <c r="G264" i="39"/>
  <c r="G265" i="39" s="1"/>
  <c r="G273" i="39"/>
  <c r="G274" i="39" s="1"/>
  <c r="H273" i="39"/>
  <c r="H274" i="39" s="1"/>
  <c r="K477" i="39"/>
  <c r="K478" i="39" s="1"/>
  <c r="K200" i="38"/>
  <c r="G200" i="38"/>
  <c r="I199" i="38"/>
  <c r="K198" i="38"/>
  <c r="G198" i="38"/>
  <c r="I197" i="38"/>
  <c r="K196" i="38"/>
  <c r="K201" i="38" s="1"/>
  <c r="G196" i="38"/>
  <c r="I192" i="38"/>
  <c r="K191" i="38"/>
  <c r="G191" i="38"/>
  <c r="I190" i="38"/>
  <c r="K189" i="38"/>
  <c r="G189" i="38"/>
  <c r="I188" i="38"/>
  <c r="J200" i="38"/>
  <c r="L199" i="38"/>
  <c r="H199" i="38"/>
  <c r="J198" i="38"/>
  <c r="L197" i="38"/>
  <c r="H197" i="38"/>
  <c r="J196" i="38"/>
  <c r="L192" i="38"/>
  <c r="H192" i="38"/>
  <c r="J191" i="38"/>
  <c r="L190" i="38"/>
  <c r="H190" i="38"/>
  <c r="J189" i="38"/>
  <c r="L188" i="38"/>
  <c r="H188" i="38"/>
  <c r="H193" i="38" s="1"/>
  <c r="I200" i="38"/>
  <c r="K199" i="38"/>
  <c r="G199" i="38"/>
  <c r="I198" i="38"/>
  <c r="K197" i="38"/>
  <c r="G197" i="38"/>
  <c r="G201" i="38" s="1"/>
  <c r="G130" i="38" s="1"/>
  <c r="G131" i="38" s="1"/>
  <c r="I196" i="38"/>
  <c r="I201" i="38" s="1"/>
  <c r="K192" i="38"/>
  <c r="G192" i="38"/>
  <c r="I191" i="38"/>
  <c r="K190" i="38"/>
  <c r="G190" i="38"/>
  <c r="I189" i="38"/>
  <c r="I193" i="38" s="1"/>
  <c r="K188" i="38"/>
  <c r="K193" i="38" s="1"/>
  <c r="G188" i="38"/>
  <c r="G193" i="38" s="1"/>
  <c r="J201" i="38"/>
  <c r="L200" i="38"/>
  <c r="H200" i="38"/>
  <c r="J199" i="38"/>
  <c r="L198" i="38"/>
  <c r="H198" i="38"/>
  <c r="J197" i="38"/>
  <c r="L196" i="38"/>
  <c r="L201" i="38" s="1"/>
  <c r="H196" i="38"/>
  <c r="H201" i="38" s="1"/>
  <c r="L193" i="38"/>
  <c r="J192" i="38"/>
  <c r="L191" i="38"/>
  <c r="H191" i="38"/>
  <c r="J190" i="38"/>
  <c r="L189" i="38"/>
  <c r="H189" i="38"/>
  <c r="J188" i="38"/>
  <c r="J193" i="38" s="1"/>
  <c r="N225" i="39"/>
  <c r="M385" i="39"/>
  <c r="M45" i="39"/>
  <c r="J76" i="37"/>
  <c r="J78" i="37" s="1"/>
  <c r="J79" i="37"/>
  <c r="K385" i="39"/>
  <c r="K45" i="39"/>
  <c r="F259" i="38"/>
  <c r="G36" i="38"/>
  <c r="G216" i="38"/>
  <c r="N218" i="39"/>
  <c r="N219" i="39" s="1"/>
  <c r="N224" i="39" s="1"/>
  <c r="N249" i="39" s="1"/>
  <c r="N252" i="39" s="1"/>
  <c r="N111" i="39"/>
  <c r="N110" i="39" s="1"/>
  <c r="I218" i="39"/>
  <c r="I219" i="39" s="1"/>
  <c r="I224" i="39" s="1"/>
  <c r="I249" i="39" s="1"/>
  <c r="I252" i="39" s="1"/>
  <c r="I111" i="39"/>
  <c r="I110" i="39" s="1"/>
  <c r="I180" i="37"/>
  <c r="H222" i="38"/>
  <c r="M76" i="37"/>
  <c r="M78" i="37" s="1"/>
  <c r="M79" i="37"/>
  <c r="M200" i="39"/>
  <c r="M201" i="39" s="1"/>
  <c r="M108" i="39"/>
  <c r="M104" i="39"/>
  <c r="G277" i="38"/>
  <c r="G307" i="38" s="1"/>
  <c r="F307" i="38" s="1"/>
  <c r="I178" i="38"/>
  <c r="I181" i="38" s="1"/>
  <c r="I160" i="38"/>
  <c r="I170" i="38" s="1"/>
  <c r="I158" i="38"/>
  <c r="I168" i="38" s="1"/>
  <c r="L178" i="38"/>
  <c r="L181" i="38" s="1"/>
  <c r="L160" i="38"/>
  <c r="L170" i="38" s="1"/>
  <c r="L158" i="38"/>
  <c r="L168" i="38" s="1"/>
  <c r="I292" i="38"/>
  <c r="K224" i="38"/>
  <c r="K39" i="38"/>
  <c r="K317" i="38"/>
  <c r="K228" i="38" s="1"/>
  <c r="F420" i="37"/>
  <c r="F52" i="37" s="1"/>
  <c r="G52" i="37"/>
  <c r="H174" i="37"/>
  <c r="H97" i="37" s="1"/>
  <c r="H96" i="37" s="1"/>
  <c r="H91" i="37" s="1"/>
  <c r="H181" i="37"/>
  <c r="F181" i="37" s="1"/>
  <c r="L292" i="38"/>
  <c r="L43" i="38" s="1"/>
  <c r="L44" i="38" s="1"/>
  <c r="M273" i="39"/>
  <c r="M274" i="39" s="1"/>
  <c r="N273" i="39"/>
  <c r="N274" i="39" s="1"/>
  <c r="K273" i="39"/>
  <c r="K274" i="39" s="1"/>
  <c r="L273" i="39"/>
  <c r="L274" i="39" s="1"/>
  <c r="G163" i="37" l="1"/>
  <c r="H377" i="37"/>
  <c r="H379" i="37"/>
  <c r="H400" i="37" s="1"/>
  <c r="N50" i="37"/>
  <c r="L397" i="37"/>
  <c r="L413" i="37" s="1"/>
  <c r="L417" i="37" s="1"/>
  <c r="L49" i="37" s="1"/>
  <c r="M397" i="37"/>
  <c r="G414" i="37"/>
  <c r="G47" i="37" s="1"/>
  <c r="G201" i="37"/>
  <c r="G49" i="37" s="1"/>
  <c r="I215" i="37"/>
  <c r="I216" i="37" s="1"/>
  <c r="I249" i="37" s="1"/>
  <c r="I252" i="37" s="1"/>
  <c r="G379" i="37"/>
  <c r="G377" i="37"/>
  <c r="G182" i="37"/>
  <c r="G174" i="37"/>
  <c r="G97" i="37" s="1"/>
  <c r="F97" i="37" s="1"/>
  <c r="G184" i="37"/>
  <c r="F163" i="37"/>
  <c r="H414" i="37"/>
  <c r="N200" i="37"/>
  <c r="N48" i="37" s="1"/>
  <c r="F131" i="38"/>
  <c r="F147" i="38" s="1"/>
  <c r="G147" i="38"/>
  <c r="G148" i="38" s="1"/>
  <c r="G78" i="38"/>
  <c r="G154" i="38"/>
  <c r="F154" i="38" s="1"/>
  <c r="K292" i="38"/>
  <c r="K43" i="38" s="1"/>
  <c r="K44" i="38" s="1"/>
  <c r="K223" i="38"/>
  <c r="K222" i="38" s="1"/>
  <c r="K38" i="38"/>
  <c r="K299" i="38"/>
  <c r="H180" i="37"/>
  <c r="I222" i="37"/>
  <c r="I227" i="37" s="1"/>
  <c r="K395" i="39"/>
  <c r="K309" i="39"/>
  <c r="K49" i="39"/>
  <c r="K50" i="39" s="1"/>
  <c r="K337" i="39"/>
  <c r="F410" i="39"/>
  <c r="L230" i="39"/>
  <c r="L240" i="39" s="1"/>
  <c r="L115" i="39" s="1"/>
  <c r="L231" i="39"/>
  <c r="L241" i="39" s="1"/>
  <c r="L239" i="39"/>
  <c r="G317" i="38"/>
  <c r="K239" i="39"/>
  <c r="K230" i="39"/>
  <c r="K240" i="39" s="1"/>
  <c r="K231" i="39"/>
  <c r="K241" i="39" s="1"/>
  <c r="K197" i="37"/>
  <c r="K201" i="37" s="1"/>
  <c r="L105" i="39"/>
  <c r="K57" i="38"/>
  <c r="K60" i="38"/>
  <c r="G108" i="39"/>
  <c r="F108" i="39" s="1"/>
  <c r="G200" i="39"/>
  <c r="G201" i="39" s="1"/>
  <c r="G104" i="39"/>
  <c r="I395" i="39"/>
  <c r="I309" i="39"/>
  <c r="I49" i="39"/>
  <c r="I50" i="39" s="1"/>
  <c r="I337" i="39"/>
  <c r="L59" i="38"/>
  <c r="H43" i="38"/>
  <c r="H44" i="38" s="1"/>
  <c r="H293" i="38"/>
  <c r="H298" i="38" s="1"/>
  <c r="J159" i="38"/>
  <c r="J169" i="38" s="1"/>
  <c r="J82" i="38" s="1"/>
  <c r="G224" i="38"/>
  <c r="F224" i="38" s="1"/>
  <c r="G39" i="38"/>
  <c r="F39" i="38" s="1"/>
  <c r="M202" i="39"/>
  <c r="M309" i="39"/>
  <c r="M395" i="39"/>
  <c r="M49" i="39"/>
  <c r="M50" i="39" s="1"/>
  <c r="M337" i="39"/>
  <c r="K178" i="38"/>
  <c r="K181" i="38" s="1"/>
  <c r="K160" i="38"/>
  <c r="K170" i="38" s="1"/>
  <c r="K158" i="38"/>
  <c r="K168" i="38" s="1"/>
  <c r="F456" i="39"/>
  <c r="G329" i="39"/>
  <c r="F329" i="39" s="1"/>
  <c r="K180" i="37"/>
  <c r="J233" i="39"/>
  <c r="J229" i="39"/>
  <c r="J43" i="38"/>
  <c r="J44" i="38" s="1"/>
  <c r="J293" i="38"/>
  <c r="J298" i="38" s="1"/>
  <c r="F124" i="39"/>
  <c r="G178" i="39"/>
  <c r="L293" i="38"/>
  <c r="L298" i="38" s="1"/>
  <c r="N229" i="39"/>
  <c r="N233" i="39"/>
  <c r="K345" i="38"/>
  <c r="G345" i="38"/>
  <c r="I344" i="38"/>
  <c r="K343" i="38"/>
  <c r="G343" i="38"/>
  <c r="I342" i="38"/>
  <c r="K341" i="38"/>
  <c r="G341" i="38"/>
  <c r="I337" i="38"/>
  <c r="K336" i="38"/>
  <c r="G336" i="38"/>
  <c r="I335" i="38"/>
  <c r="K334" i="38"/>
  <c r="G334" i="38"/>
  <c r="I333" i="38"/>
  <c r="J345" i="38"/>
  <c r="L344" i="38"/>
  <c r="H344" i="38"/>
  <c r="J343" i="38"/>
  <c r="L342" i="38"/>
  <c r="H342" i="38"/>
  <c r="J341" i="38"/>
  <c r="L337" i="38"/>
  <c r="H337" i="38"/>
  <c r="J336" i="38"/>
  <c r="L335" i="38"/>
  <c r="H335" i="38"/>
  <c r="J334" i="38"/>
  <c r="L333" i="38"/>
  <c r="L338" i="38" s="1"/>
  <c r="H333" i="38"/>
  <c r="G346" i="38"/>
  <c r="G275" i="38" s="1"/>
  <c r="G276" i="38" s="1"/>
  <c r="G38" i="38" s="1"/>
  <c r="F38" i="38" s="1"/>
  <c r="I345" i="38"/>
  <c r="K344" i="38"/>
  <c r="G344" i="38"/>
  <c r="I343" i="38"/>
  <c r="K342" i="38"/>
  <c r="K346" i="38" s="1"/>
  <c r="G342" i="38"/>
  <c r="I341" i="38"/>
  <c r="I346" i="38" s="1"/>
  <c r="I338" i="38"/>
  <c r="K337" i="38"/>
  <c r="G337" i="38"/>
  <c r="I336" i="38"/>
  <c r="K335" i="38"/>
  <c r="K338" i="38" s="1"/>
  <c r="G335" i="38"/>
  <c r="I334" i="38"/>
  <c r="K333" i="38"/>
  <c r="G333" i="38"/>
  <c r="G338" i="38" s="1"/>
  <c r="J346" i="38"/>
  <c r="L345" i="38"/>
  <c r="H345" i="38"/>
  <c r="J344" i="38"/>
  <c r="L343" i="38"/>
  <c r="H343" i="38"/>
  <c r="J342" i="38"/>
  <c r="L341" i="38"/>
  <c r="L346" i="38" s="1"/>
  <c r="H341" i="38"/>
  <c r="H346" i="38" s="1"/>
  <c r="J337" i="38"/>
  <c r="L336" i="38"/>
  <c r="H336" i="38"/>
  <c r="J335" i="38"/>
  <c r="L334" i="38"/>
  <c r="H334" i="38"/>
  <c r="H338" i="38" s="1"/>
  <c r="J333" i="38"/>
  <c r="J338" i="38" s="1"/>
  <c r="J413" i="37"/>
  <c r="J417" i="37" s="1"/>
  <c r="J49" i="37" s="1"/>
  <c r="N485" i="39"/>
  <c r="J485" i="39"/>
  <c r="N484" i="39"/>
  <c r="J484" i="39"/>
  <c r="N483" i="39"/>
  <c r="J483" i="39"/>
  <c r="N482" i="39"/>
  <c r="J482" i="39"/>
  <c r="N481" i="39"/>
  <c r="J481" i="39"/>
  <c r="N472" i="39"/>
  <c r="J472" i="39"/>
  <c r="M485" i="39"/>
  <c r="I485" i="39"/>
  <c r="M484" i="39"/>
  <c r="I484" i="39"/>
  <c r="M483" i="39"/>
  <c r="I483" i="39"/>
  <c r="M482" i="39"/>
  <c r="I482" i="39"/>
  <c r="M481" i="39"/>
  <c r="I481" i="39"/>
  <c r="M472" i="39"/>
  <c r="I472" i="39"/>
  <c r="L485" i="39"/>
  <c r="H485" i="39"/>
  <c r="L484" i="39"/>
  <c r="H484" i="39"/>
  <c r="L483" i="39"/>
  <c r="H483" i="39"/>
  <c r="L482" i="39"/>
  <c r="H482" i="39"/>
  <c r="L481" i="39"/>
  <c r="H481" i="39"/>
  <c r="L472" i="39"/>
  <c r="H472" i="39"/>
  <c r="G484" i="39"/>
  <c r="G482" i="39"/>
  <c r="K485" i="39"/>
  <c r="K483" i="39"/>
  <c r="K481" i="39"/>
  <c r="K472" i="39"/>
  <c r="G485" i="39"/>
  <c r="G483" i="39"/>
  <c r="G481" i="39"/>
  <c r="G472" i="39"/>
  <c r="K484" i="39"/>
  <c r="K482" i="39"/>
  <c r="L62" i="38"/>
  <c r="L5" i="38" s="1"/>
  <c r="L6" i="38"/>
  <c r="J218" i="39"/>
  <c r="J219" i="39" s="1"/>
  <c r="J224" i="39" s="1"/>
  <c r="J249" i="39" s="1"/>
  <c r="J252" i="39" s="1"/>
  <c r="M413" i="37"/>
  <c r="M417" i="37" s="1"/>
  <c r="M49" i="37" s="1"/>
  <c r="H395" i="39"/>
  <c r="H309" i="39"/>
  <c r="H49" i="39"/>
  <c r="H50" i="39" s="1"/>
  <c r="H337" i="39"/>
  <c r="H197" i="37"/>
  <c r="H201" i="37" s="1"/>
  <c r="H49" i="37" s="1"/>
  <c r="I43" i="38"/>
  <c r="I44" i="38" s="1"/>
  <c r="I293" i="38"/>
  <c r="I298" i="38" s="1"/>
  <c r="I159" i="38"/>
  <c r="I169" i="38" s="1"/>
  <c r="I82" i="38" s="1"/>
  <c r="M105" i="39"/>
  <c r="L16" i="37"/>
  <c r="L17" i="37" s="1"/>
  <c r="L313" i="37"/>
  <c r="L312" i="37" s="1"/>
  <c r="L307" i="37" s="1"/>
  <c r="G217" i="38"/>
  <c r="F216" i="38"/>
  <c r="G58" i="38"/>
  <c r="J81" i="37"/>
  <c r="J5" i="37" s="1"/>
  <c r="J6" i="37"/>
  <c r="F220" i="38"/>
  <c r="G14" i="38"/>
  <c r="F14" i="38" s="1"/>
  <c r="N395" i="39"/>
  <c r="N309" i="39"/>
  <c r="N49" i="39"/>
  <c r="N50" i="39" s="1"/>
  <c r="N337" i="39"/>
  <c r="L395" i="39"/>
  <c r="L309" i="39"/>
  <c r="L49" i="39"/>
  <c r="L50" i="39" s="1"/>
  <c r="L337" i="39"/>
  <c r="J180" i="37"/>
  <c r="L111" i="39"/>
  <c r="L110" i="39" s="1"/>
  <c r="L218" i="39"/>
  <c r="L219" i="39" s="1"/>
  <c r="L224" i="39" s="1"/>
  <c r="L249" i="39" s="1"/>
  <c r="L252" i="39" s="1"/>
  <c r="L215" i="37"/>
  <c r="L216" i="37" s="1"/>
  <c r="L105" i="37"/>
  <c r="L104" i="37" s="1"/>
  <c r="L103" i="37" s="1"/>
  <c r="F96" i="39"/>
  <c r="G95" i="39"/>
  <c r="F95" i="39" s="1"/>
  <c r="F174" i="37"/>
  <c r="J16" i="37"/>
  <c r="J17" i="37" s="1"/>
  <c r="J313" i="37"/>
  <c r="J312" i="37" s="1"/>
  <c r="J307" i="37" s="1"/>
  <c r="H202" i="39"/>
  <c r="G385" i="39"/>
  <c r="F374" i="39"/>
  <c r="G45" i="39"/>
  <c r="F45" i="39" s="1"/>
  <c r="J111" i="39"/>
  <c r="J110" i="39" s="1"/>
  <c r="M225" i="39"/>
  <c r="M16" i="37"/>
  <c r="M17" i="37" s="1"/>
  <c r="M313" i="37"/>
  <c r="M312" i="37" s="1"/>
  <c r="M307" i="37" s="1"/>
  <c r="J225" i="39"/>
  <c r="I233" i="39"/>
  <c r="I229" i="39"/>
  <c r="K105" i="39"/>
  <c r="M228" i="37"/>
  <c r="M238" i="37" s="1"/>
  <c r="M237" i="37"/>
  <c r="M229" i="37"/>
  <c r="M239" i="37" s="1"/>
  <c r="L177" i="38"/>
  <c r="L159" i="38"/>
  <c r="L169" i="38" s="1"/>
  <c r="L82" i="38" s="1"/>
  <c r="M81" i="37"/>
  <c r="M5" i="37" s="1"/>
  <c r="M6" i="37"/>
  <c r="I390" i="37"/>
  <c r="I397" i="37"/>
  <c r="F375" i="37"/>
  <c r="J395" i="39"/>
  <c r="J309" i="39"/>
  <c r="J49" i="39"/>
  <c r="J50" i="39" s="1"/>
  <c r="J337" i="39"/>
  <c r="N390" i="37"/>
  <c r="N397" i="37"/>
  <c r="N81" i="37"/>
  <c r="N5" i="37" s="1"/>
  <c r="N6" i="37"/>
  <c r="I81" i="37"/>
  <c r="I5" i="37" s="1"/>
  <c r="I6" i="37"/>
  <c r="H225" i="39"/>
  <c r="J199" i="37"/>
  <c r="J202" i="37" s="1"/>
  <c r="F182" i="37"/>
  <c r="K390" i="37"/>
  <c r="K397" i="37"/>
  <c r="K293" i="38"/>
  <c r="K298" i="38" s="1"/>
  <c r="K217" i="38"/>
  <c r="K12" i="38" s="1"/>
  <c r="K58" i="38"/>
  <c r="K61" i="38" s="1"/>
  <c r="K4" i="38" s="1"/>
  <c r="F72" i="38"/>
  <c r="G96" i="37"/>
  <c r="H159" i="38"/>
  <c r="H169" i="38" s="1"/>
  <c r="H82" i="38" s="1"/>
  <c r="L81" i="37"/>
  <c r="L5" i="37" s="1"/>
  <c r="L6" i="37"/>
  <c r="H105" i="39"/>
  <c r="N198" i="37"/>
  <c r="K218" i="39"/>
  <c r="K219" i="39" s="1"/>
  <c r="K224" i="39" s="1"/>
  <c r="K249" i="39" s="1"/>
  <c r="K252" i="39" s="1"/>
  <c r="K111" i="39"/>
  <c r="K110" i="39" s="1"/>
  <c r="L71" i="8"/>
  <c r="K71" i="8"/>
  <c r="J71" i="8"/>
  <c r="L47" i="9"/>
  <c r="K47" i="9"/>
  <c r="J47" i="9"/>
  <c r="J70" i="9"/>
  <c r="J47" i="1"/>
  <c r="J70" i="1"/>
  <c r="H398" i="37" l="1"/>
  <c r="H390" i="37"/>
  <c r="H17" i="37"/>
  <c r="L414" i="37"/>
  <c r="L321" i="37" s="1"/>
  <c r="L320" i="37" s="1"/>
  <c r="L319" i="37" s="1"/>
  <c r="G390" i="37"/>
  <c r="F377" i="37"/>
  <c r="G398" i="37"/>
  <c r="F184" i="37"/>
  <c r="F379" i="37"/>
  <c r="G400" i="37"/>
  <c r="J200" i="37"/>
  <c r="M110" i="37"/>
  <c r="H198" i="37"/>
  <c r="H47" i="37" s="1"/>
  <c r="N105" i="37"/>
  <c r="N104" i="37" s="1"/>
  <c r="N103" i="37" s="1"/>
  <c r="N215" i="37"/>
  <c r="N216" i="37" s="1"/>
  <c r="H177" i="38"/>
  <c r="N413" i="37"/>
  <c r="N417" i="37" s="1"/>
  <c r="N49" i="37" s="1"/>
  <c r="J308" i="39"/>
  <c r="J15" i="39"/>
  <c r="J14" i="39" s="1"/>
  <c r="J55" i="39" s="1"/>
  <c r="I16" i="37"/>
  <c r="I313" i="37"/>
  <c r="M396" i="37"/>
  <c r="H233" i="39"/>
  <c r="H229" i="39"/>
  <c r="L396" i="37"/>
  <c r="I323" i="38"/>
  <c r="I326" i="38" s="1"/>
  <c r="I305" i="38"/>
  <c r="I315" i="38" s="1"/>
  <c r="I303" i="38"/>
  <c r="I313" i="38" s="1"/>
  <c r="I49" i="38"/>
  <c r="I52" i="38" s="1"/>
  <c r="H25" i="39"/>
  <c r="H391" i="39"/>
  <c r="J414" i="37"/>
  <c r="F178" i="39"/>
  <c r="G225" i="39"/>
  <c r="F225" i="39" s="1"/>
  <c r="M308" i="39"/>
  <c r="M15" i="39"/>
  <c r="M14" i="39" s="1"/>
  <c r="M55" i="39" s="1"/>
  <c r="M229" i="39"/>
  <c r="M233" i="39"/>
  <c r="J177" i="38"/>
  <c r="I308" i="39"/>
  <c r="I15" i="39"/>
  <c r="I14" i="39" s="1"/>
  <c r="I55" i="39" s="1"/>
  <c r="K59" i="38"/>
  <c r="K198" i="37"/>
  <c r="K115" i="39"/>
  <c r="L248" i="39"/>
  <c r="F201" i="37"/>
  <c r="K413" i="39"/>
  <c r="K414" i="39" s="1"/>
  <c r="K321" i="39"/>
  <c r="K20" i="39" s="1"/>
  <c r="K317" i="39"/>
  <c r="I228" i="37"/>
  <c r="I238" i="37" s="1"/>
  <c r="I237" i="37"/>
  <c r="I229" i="37"/>
  <c r="I239" i="37" s="1"/>
  <c r="M111" i="39"/>
  <c r="M110" i="39" s="1"/>
  <c r="K16" i="37"/>
  <c r="K17" i="37" s="1"/>
  <c r="K313" i="37"/>
  <c r="K312" i="37" s="1"/>
  <c r="K307" i="37" s="1"/>
  <c r="F96" i="37"/>
  <c r="G91" i="37"/>
  <c r="K323" i="38"/>
  <c r="K326" i="38" s="1"/>
  <c r="K305" i="38"/>
  <c r="K315" i="38" s="1"/>
  <c r="K303" i="38"/>
  <c r="K313" i="38" s="1"/>
  <c r="K49" i="38"/>
  <c r="K52" i="38" s="1"/>
  <c r="N16" i="37"/>
  <c r="N17" i="37" s="1"/>
  <c r="N313" i="37"/>
  <c r="N312" i="37" s="1"/>
  <c r="N307" i="37" s="1"/>
  <c r="J415" i="39"/>
  <c r="J446" i="39" s="1"/>
  <c r="J413" i="39"/>
  <c r="J414" i="39" s="1"/>
  <c r="J321" i="39"/>
  <c r="J20" i="39" s="1"/>
  <c r="J317" i="39"/>
  <c r="I239" i="39"/>
  <c r="I231" i="39"/>
  <c r="I241" i="39" s="1"/>
  <c r="I230" i="39"/>
  <c r="I240" i="39" s="1"/>
  <c r="I115" i="39" s="1"/>
  <c r="J396" i="37"/>
  <c r="L308" i="39"/>
  <c r="L15" i="39"/>
  <c r="L14" i="39" s="1"/>
  <c r="L55" i="39" s="1"/>
  <c r="N308" i="39"/>
  <c r="N15" i="39"/>
  <c r="N14" i="39" s="1"/>
  <c r="N55" i="39" s="1"/>
  <c r="M414" i="37"/>
  <c r="H218" i="39"/>
  <c r="H219" i="39" s="1"/>
  <c r="H224" i="39" s="1"/>
  <c r="H249" i="39" s="1"/>
  <c r="H252" i="39" s="1"/>
  <c r="J239" i="39"/>
  <c r="J231" i="39"/>
  <c r="J241" i="39" s="1"/>
  <c r="J230" i="39"/>
  <c r="J240" i="39" s="1"/>
  <c r="K159" i="38"/>
  <c r="K169" i="38" s="1"/>
  <c r="K82" i="38" s="1"/>
  <c r="M25" i="39"/>
  <c r="M442" i="39"/>
  <c r="M391" i="39"/>
  <c r="I413" i="39"/>
  <c r="I414" i="39" s="1"/>
  <c r="I415" i="39"/>
  <c r="I446" i="39" s="1"/>
  <c r="I321" i="39"/>
  <c r="I20" i="39" s="1"/>
  <c r="I317" i="39"/>
  <c r="G202" i="39"/>
  <c r="K248" i="39"/>
  <c r="K25" i="39"/>
  <c r="K391" i="39"/>
  <c r="M218" i="39"/>
  <c r="M219" i="39" s="1"/>
  <c r="M224" i="39" s="1"/>
  <c r="M249" i="39" s="1"/>
  <c r="M252" i="39" s="1"/>
  <c r="G77" i="38"/>
  <c r="F78" i="38"/>
  <c r="K413" i="37"/>
  <c r="K417" i="37" s="1"/>
  <c r="K49" i="37" s="1"/>
  <c r="J215" i="37"/>
  <c r="J216" i="37" s="1"/>
  <c r="J105" i="37"/>
  <c r="J104" i="37" s="1"/>
  <c r="J103" i="37" s="1"/>
  <c r="J48" i="37"/>
  <c r="J25" i="39"/>
  <c r="J391" i="39"/>
  <c r="J438" i="39" s="1"/>
  <c r="M248" i="37"/>
  <c r="M109" i="37"/>
  <c r="G395" i="39"/>
  <c r="F385" i="39"/>
  <c r="F395" i="39" s="1"/>
  <c r="G309" i="39"/>
  <c r="G49" i="39"/>
  <c r="G337" i="39"/>
  <c r="L415" i="39"/>
  <c r="L446" i="39" s="1"/>
  <c r="L413" i="39"/>
  <c r="L414" i="39" s="1"/>
  <c r="L321" i="39"/>
  <c r="L20" i="39" s="1"/>
  <c r="L317" i="39"/>
  <c r="N413" i="39"/>
  <c r="N414" i="39" s="1"/>
  <c r="N321" i="39"/>
  <c r="N20" i="39" s="1"/>
  <c r="N317" i="39"/>
  <c r="F217" i="38"/>
  <c r="G12" i="38"/>
  <c r="F12" i="38" s="1"/>
  <c r="I177" i="38"/>
  <c r="H308" i="39"/>
  <c r="H15" i="39"/>
  <c r="H14" i="39" s="1"/>
  <c r="H55" i="39" s="1"/>
  <c r="H111" i="39"/>
  <c r="H110" i="39" s="1"/>
  <c r="N239" i="39"/>
  <c r="N231" i="39"/>
  <c r="N241" i="39" s="1"/>
  <c r="N230" i="39"/>
  <c r="N240" i="39" s="1"/>
  <c r="H323" i="38"/>
  <c r="H326" i="38" s="1"/>
  <c r="H305" i="38"/>
  <c r="H315" i="38" s="1"/>
  <c r="H303" i="38"/>
  <c r="H313" i="38" s="1"/>
  <c r="H49" i="38"/>
  <c r="H52" i="38" s="1"/>
  <c r="I25" i="39"/>
  <c r="I391" i="39"/>
  <c r="I442" i="39"/>
  <c r="G105" i="39"/>
  <c r="F105" i="39" s="1"/>
  <c r="F104" i="39"/>
  <c r="J50" i="37"/>
  <c r="G153" i="38"/>
  <c r="F148" i="38"/>
  <c r="F153" i="38" s="1"/>
  <c r="I413" i="37"/>
  <c r="I417" i="37" s="1"/>
  <c r="F397" i="37"/>
  <c r="L179" i="38"/>
  <c r="L249" i="37"/>
  <c r="L252" i="37" s="1"/>
  <c r="L222" i="37"/>
  <c r="L227" i="37" s="1"/>
  <c r="L25" i="39"/>
  <c r="L442" i="39"/>
  <c r="L391" i="39"/>
  <c r="N25" i="39"/>
  <c r="N391" i="39"/>
  <c r="G61" i="38"/>
  <c r="F58" i="38"/>
  <c r="H215" i="37"/>
  <c r="H216" i="37" s="1"/>
  <c r="H105" i="37"/>
  <c r="H104" i="37" s="1"/>
  <c r="H103" i="37" s="1"/>
  <c r="H415" i="39"/>
  <c r="H442" i="39" s="1"/>
  <c r="H413" i="39"/>
  <c r="H414" i="39" s="1"/>
  <c r="H321" i="39"/>
  <c r="H20" i="39" s="1"/>
  <c r="H317" i="39"/>
  <c r="F276" i="38"/>
  <c r="F292" i="38" s="1"/>
  <c r="G292" i="38"/>
  <c r="G223" i="38"/>
  <c r="G299" i="38"/>
  <c r="F299" i="38" s="1"/>
  <c r="L323" i="38"/>
  <c r="L326" i="38" s="1"/>
  <c r="L305" i="38"/>
  <c r="L315" i="38" s="1"/>
  <c r="L303" i="38"/>
  <c r="L313" i="38" s="1"/>
  <c r="L49" i="38"/>
  <c r="L52" i="38" s="1"/>
  <c r="J305" i="38"/>
  <c r="J315" i="38" s="1"/>
  <c r="J303" i="38"/>
  <c r="J313" i="38" s="1"/>
  <c r="J323" i="38"/>
  <c r="J326" i="38" s="1"/>
  <c r="J49" i="38"/>
  <c r="J52" i="38" s="1"/>
  <c r="M413" i="39"/>
  <c r="M414" i="39" s="1"/>
  <c r="M446" i="39"/>
  <c r="M415" i="39"/>
  <c r="M321" i="39"/>
  <c r="M20" i="39" s="1"/>
  <c r="M317" i="39"/>
  <c r="F44" i="38"/>
  <c r="G111" i="39"/>
  <c r="G218" i="39"/>
  <c r="G219" i="39" s="1"/>
  <c r="K62" i="38"/>
  <c r="K5" i="38" s="1"/>
  <c r="K6" i="38"/>
  <c r="F317" i="38"/>
  <c r="G228" i="38"/>
  <c r="F228" i="38" s="1"/>
  <c r="K308" i="39"/>
  <c r="K15" i="39"/>
  <c r="K14" i="39" s="1"/>
  <c r="K55" i="39" s="1"/>
  <c r="G204" i="38"/>
  <c r="G207" i="38"/>
  <c r="E158" i="38" s="1"/>
  <c r="E168" i="38" s="1"/>
  <c r="G206" i="38"/>
  <c r="G205" i="38"/>
  <c r="L70" i="9"/>
  <c r="K70" i="9"/>
  <c r="L47" i="1"/>
  <c r="K47" i="1"/>
  <c r="L47" i="37" l="1"/>
  <c r="L61" i="37" s="1"/>
  <c r="L62" i="37" s="1"/>
  <c r="L431" i="37"/>
  <c r="L432" i="37" s="1"/>
  <c r="F390" i="37"/>
  <c r="H313" i="37"/>
  <c r="H312" i="37" s="1"/>
  <c r="H307" i="37" s="1"/>
  <c r="H396" i="37" s="1"/>
  <c r="H16" i="37"/>
  <c r="H62" i="37"/>
  <c r="F198" i="37"/>
  <c r="F398" i="37"/>
  <c r="M108" i="37"/>
  <c r="M102" i="37" s="1"/>
  <c r="M113" i="37" s="1"/>
  <c r="G16" i="37"/>
  <c r="G313" i="37"/>
  <c r="G312" i="37" s="1"/>
  <c r="G307" i="37" s="1"/>
  <c r="G396" i="37" s="1"/>
  <c r="F400" i="37"/>
  <c r="N414" i="37"/>
  <c r="N321" i="37" s="1"/>
  <c r="N320" i="37" s="1"/>
  <c r="N319" i="37" s="1"/>
  <c r="I414" i="37"/>
  <c r="I431" i="37" s="1"/>
  <c r="I110" i="37"/>
  <c r="L464" i="37"/>
  <c r="L467" i="37" s="1"/>
  <c r="L437" i="37"/>
  <c r="L442" i="37" s="1"/>
  <c r="H452" i="39"/>
  <c r="H444" i="39"/>
  <c r="H454" i="39" s="1"/>
  <c r="H443" i="39"/>
  <c r="H453" i="39" s="1"/>
  <c r="H328" i="39" s="1"/>
  <c r="G224" i="39"/>
  <c r="G249" i="39" s="1"/>
  <c r="F219" i="39"/>
  <c r="F224" i="39" s="1"/>
  <c r="K75" i="39"/>
  <c r="K65" i="39"/>
  <c r="K68" i="39"/>
  <c r="L304" i="38"/>
  <c r="L314" i="38" s="1"/>
  <c r="L227" i="38" s="1"/>
  <c r="F223" i="38"/>
  <c r="G222" i="38"/>
  <c r="G178" i="38"/>
  <c r="G160" i="38"/>
  <c r="F160" i="38" s="1"/>
  <c r="F170" i="38" s="1"/>
  <c r="G170" i="38" s="1"/>
  <c r="G158" i="38"/>
  <c r="F158" i="38" s="1"/>
  <c r="F168" i="38" s="1"/>
  <c r="G168" i="38" s="1"/>
  <c r="F49" i="39"/>
  <c r="G50" i="39"/>
  <c r="F50" i="39" s="1"/>
  <c r="N75" i="39"/>
  <c r="N65" i="39"/>
  <c r="N68" i="39"/>
  <c r="N396" i="37"/>
  <c r="G180" i="37"/>
  <c r="F180" i="37" s="1"/>
  <c r="F91" i="37"/>
  <c r="I248" i="37"/>
  <c r="I109" i="37"/>
  <c r="M318" i="39"/>
  <c r="M18" i="39" s="1"/>
  <c r="M78" i="39"/>
  <c r="M81" i="39" s="1"/>
  <c r="M4" i="39" s="1"/>
  <c r="M56" i="39"/>
  <c r="M324" i="39"/>
  <c r="M323" i="39" s="1"/>
  <c r="M58" i="39"/>
  <c r="M431" i="39"/>
  <c r="M63" i="39" s="1"/>
  <c r="M64" i="39" s="1"/>
  <c r="J304" i="38"/>
  <c r="J314" i="38" s="1"/>
  <c r="J227" i="38" s="1"/>
  <c r="G43" i="38"/>
  <c r="G293" i="38"/>
  <c r="H58" i="39"/>
  <c r="H431" i="39"/>
  <c r="H63" i="39" s="1"/>
  <c r="H64" i="39" s="1"/>
  <c r="H324" i="39"/>
  <c r="H323" i="39" s="1"/>
  <c r="H249" i="37"/>
  <c r="H252" i="37" s="1"/>
  <c r="H222" i="37"/>
  <c r="H227" i="37" s="1"/>
  <c r="L185" i="38"/>
  <c r="L184" i="38" s="1"/>
  <c r="L182" i="38" s="1"/>
  <c r="L183" i="38" s="1"/>
  <c r="L81" i="38" s="1"/>
  <c r="L80" i="38" s="1"/>
  <c r="L76" i="38" s="1"/>
  <c r="L84" i="38" s="1"/>
  <c r="I49" i="37"/>
  <c r="F417" i="37"/>
  <c r="F49" i="37" s="1"/>
  <c r="N248" i="39"/>
  <c r="I179" i="38"/>
  <c r="L318" i="39"/>
  <c r="L18" i="39" s="1"/>
  <c r="L78" i="39"/>
  <c r="L81" i="39" s="1"/>
  <c r="L4" i="39" s="1"/>
  <c r="L56" i="39"/>
  <c r="F309" i="39"/>
  <c r="G308" i="39"/>
  <c r="F308" i="39" s="1"/>
  <c r="G15" i="39"/>
  <c r="G14" i="39" s="1"/>
  <c r="G55" i="39" s="1"/>
  <c r="M250" i="37"/>
  <c r="K414" i="37"/>
  <c r="F77" i="38"/>
  <c r="M438" i="39"/>
  <c r="J248" i="39"/>
  <c r="J431" i="39"/>
  <c r="J63" i="39" s="1"/>
  <c r="J64" i="39" s="1"/>
  <c r="J324" i="39"/>
  <c r="J323" i="39" s="1"/>
  <c r="J58" i="39"/>
  <c r="K415" i="39"/>
  <c r="L250" i="39"/>
  <c r="I75" i="39"/>
  <c r="I65" i="39"/>
  <c r="I68" i="39"/>
  <c r="M239" i="39"/>
  <c r="M231" i="39"/>
  <c r="M241" i="39" s="1"/>
  <c r="M230" i="39"/>
  <c r="M240" i="39" s="1"/>
  <c r="L289" i="39"/>
  <c r="H289" i="39"/>
  <c r="L288" i="39"/>
  <c r="H288" i="39"/>
  <c r="L287" i="39"/>
  <c r="H287" i="39"/>
  <c r="L286" i="39"/>
  <c r="H286" i="39"/>
  <c r="H290" i="39" s="1"/>
  <c r="L285" i="39"/>
  <c r="L290" i="39" s="1"/>
  <c r="H285" i="39"/>
  <c r="L281" i="39"/>
  <c r="H281" i="39"/>
  <c r="L280" i="39"/>
  <c r="H280" i="39"/>
  <c r="L279" i="39"/>
  <c r="H279" i="39"/>
  <c r="L278" i="39"/>
  <c r="H278" i="39"/>
  <c r="H282" i="39" s="1"/>
  <c r="L277" i="39"/>
  <c r="L282" i="39" s="1"/>
  <c r="H277" i="39"/>
  <c r="K289" i="39"/>
  <c r="G289" i="39"/>
  <c r="K288" i="39"/>
  <c r="G288" i="39"/>
  <c r="K287" i="39"/>
  <c r="G287" i="39"/>
  <c r="K286" i="39"/>
  <c r="G286" i="39"/>
  <c r="G290" i="39" s="1"/>
  <c r="K285" i="39"/>
  <c r="K290" i="39" s="1"/>
  <c r="G285" i="39"/>
  <c r="K281" i="39"/>
  <c r="G281" i="39"/>
  <c r="K280" i="39"/>
  <c r="G280" i="39"/>
  <c r="K279" i="39"/>
  <c r="G279" i="39"/>
  <c r="K278" i="39"/>
  <c r="G278" i="39"/>
  <c r="G282" i="39" s="1"/>
  <c r="K277" i="39"/>
  <c r="K282" i="39" s="1"/>
  <c r="G277" i="39"/>
  <c r="N289" i="39"/>
  <c r="J289" i="39"/>
  <c r="N288" i="39"/>
  <c r="J288" i="39"/>
  <c r="N287" i="39"/>
  <c r="J287" i="39"/>
  <c r="N286" i="39"/>
  <c r="J286" i="39"/>
  <c r="J290" i="39" s="1"/>
  <c r="N285" i="39"/>
  <c r="N290" i="39" s="1"/>
  <c r="J285" i="39"/>
  <c r="N281" i="39"/>
  <c r="J281" i="39"/>
  <c r="N280" i="39"/>
  <c r="J280" i="39"/>
  <c r="N279" i="39"/>
  <c r="J279" i="39"/>
  <c r="N278" i="39"/>
  <c r="J278" i="39"/>
  <c r="J282" i="39" s="1"/>
  <c r="N277" i="39"/>
  <c r="N282" i="39" s="1"/>
  <c r="J277" i="39"/>
  <c r="M289" i="39"/>
  <c r="I289" i="39"/>
  <c r="M288" i="39"/>
  <c r="I288" i="39"/>
  <c r="M287" i="39"/>
  <c r="I287" i="39"/>
  <c r="M286" i="39"/>
  <c r="I286" i="39"/>
  <c r="I290" i="39" s="1"/>
  <c r="M285" i="39"/>
  <c r="M290" i="39" s="1"/>
  <c r="I285" i="39"/>
  <c r="M281" i="39"/>
  <c r="I281" i="39"/>
  <c r="M280" i="39"/>
  <c r="I280" i="39"/>
  <c r="M279" i="39"/>
  <c r="I279" i="39"/>
  <c r="M278" i="39"/>
  <c r="I278" i="39"/>
  <c r="I282" i="39" s="1"/>
  <c r="M277" i="39"/>
  <c r="M282" i="39" s="1"/>
  <c r="I277" i="39"/>
  <c r="H230" i="39"/>
  <c r="H240" i="39" s="1"/>
  <c r="H239" i="39"/>
  <c r="H231" i="39"/>
  <c r="H241" i="39" s="1"/>
  <c r="I312" i="37"/>
  <c r="I452" i="39"/>
  <c r="I444" i="39"/>
  <c r="I454" i="39" s="1"/>
  <c r="I443" i="39"/>
  <c r="I453" i="39" s="1"/>
  <c r="K438" i="39"/>
  <c r="K318" i="39"/>
  <c r="K18" i="39" s="1"/>
  <c r="K78" i="39"/>
  <c r="K81" i="39" s="1"/>
  <c r="K4" i="39" s="1"/>
  <c r="K56" i="39"/>
  <c r="M75" i="39"/>
  <c r="M65" i="39"/>
  <c r="M68" i="39"/>
  <c r="M76" i="39" s="1"/>
  <c r="J321" i="37"/>
  <c r="J320" i="37" s="1"/>
  <c r="J319" i="37" s="1"/>
  <c r="J431" i="37"/>
  <c r="J432" i="37" s="1"/>
  <c r="J47" i="37"/>
  <c r="J61" i="37" s="1"/>
  <c r="J62" i="37" s="1"/>
  <c r="I17" i="37"/>
  <c r="L229" i="37"/>
  <c r="L239" i="37" s="1"/>
  <c r="L228" i="37"/>
  <c r="L238" i="37" s="1"/>
  <c r="L237" i="37"/>
  <c r="H304" i="38"/>
  <c r="H314" i="38" s="1"/>
  <c r="H227" i="38" s="1"/>
  <c r="K250" i="39"/>
  <c r="M452" i="39"/>
  <c r="M444" i="39"/>
  <c r="M454" i="39" s="1"/>
  <c r="M443" i="39"/>
  <c r="M453" i="39" s="1"/>
  <c r="M328" i="39" s="1"/>
  <c r="K177" i="38"/>
  <c r="L75" i="39"/>
  <c r="L68" i="39"/>
  <c r="L65" i="39"/>
  <c r="I248" i="39"/>
  <c r="K396" i="37"/>
  <c r="F111" i="39"/>
  <c r="G110" i="39"/>
  <c r="G349" i="38"/>
  <c r="G351" i="38"/>
  <c r="G350" i="38"/>
  <c r="G352" i="38" s="1"/>
  <c r="E303" i="38" s="1"/>
  <c r="E313" i="38" s="1"/>
  <c r="H432" i="39"/>
  <c r="H437" i="39" s="1"/>
  <c r="H318" i="39"/>
  <c r="H18" i="39" s="1"/>
  <c r="H78" i="39"/>
  <c r="H81" i="39" s="1"/>
  <c r="H4" i="39" s="1"/>
  <c r="H56" i="39"/>
  <c r="H446" i="39"/>
  <c r="F61" i="38"/>
  <c r="G4" i="38"/>
  <c r="F4" i="38" s="1"/>
  <c r="L438" i="39"/>
  <c r="I438" i="39"/>
  <c r="N115" i="39"/>
  <c r="H75" i="39"/>
  <c r="H68" i="39"/>
  <c r="H76" i="39" s="1"/>
  <c r="H65" i="39"/>
  <c r="N415" i="39"/>
  <c r="N58" i="39" s="1"/>
  <c r="L324" i="39"/>
  <c r="L323" i="39" s="1"/>
  <c r="L58" i="39"/>
  <c r="L431" i="39"/>
  <c r="L63" i="39" s="1"/>
  <c r="L64" i="39" s="1"/>
  <c r="F337" i="39"/>
  <c r="G25" i="39"/>
  <c r="F25" i="39" s="1"/>
  <c r="G391" i="39"/>
  <c r="G415" i="39"/>
  <c r="F415" i="39" s="1"/>
  <c r="F431" i="39" s="1"/>
  <c r="G413" i="39"/>
  <c r="G414" i="39" s="1"/>
  <c r="G321" i="39"/>
  <c r="G317" i="39"/>
  <c r="J442" i="39"/>
  <c r="F202" i="39"/>
  <c r="F218" i="39" s="1"/>
  <c r="G229" i="39"/>
  <c r="G233" i="39"/>
  <c r="F233" i="39" s="1"/>
  <c r="J115" i="39"/>
  <c r="M431" i="37"/>
  <c r="M432" i="37" s="1"/>
  <c r="M321" i="37"/>
  <c r="M320" i="37" s="1"/>
  <c r="M319" i="37" s="1"/>
  <c r="M47" i="37"/>
  <c r="M61" i="37" s="1"/>
  <c r="M62" i="37" s="1"/>
  <c r="J432" i="39"/>
  <c r="J437" i="39" s="1"/>
  <c r="J318" i="39"/>
  <c r="J18" i="39" s="1"/>
  <c r="J78" i="39"/>
  <c r="J81" i="39" s="1"/>
  <c r="J4" i="39" s="1"/>
  <c r="J56" i="39"/>
  <c r="K304" i="38"/>
  <c r="K314" i="38" s="1"/>
  <c r="K227" i="38" s="1"/>
  <c r="K105" i="37"/>
  <c r="K104" i="37" s="1"/>
  <c r="K103" i="37" s="1"/>
  <c r="K215" i="37"/>
  <c r="K216" i="37" s="1"/>
  <c r="J179" i="38"/>
  <c r="I304" i="38"/>
  <c r="I314" i="38" s="1"/>
  <c r="I227" i="38" s="1"/>
  <c r="I322" i="38"/>
  <c r="J75" i="39"/>
  <c r="J65" i="39"/>
  <c r="J68" i="39"/>
  <c r="J76" i="39" s="1"/>
  <c r="H179" i="38"/>
  <c r="L46" i="38"/>
  <c r="H46" i="38"/>
  <c r="K46" i="38"/>
  <c r="G46" i="38"/>
  <c r="J46" i="38"/>
  <c r="I46" i="38"/>
  <c r="L452" i="39"/>
  <c r="L444" i="39"/>
  <c r="L454" i="39" s="1"/>
  <c r="L443" i="39"/>
  <c r="L453" i="39" s="1"/>
  <c r="L328" i="39" s="1"/>
  <c r="N318" i="39"/>
  <c r="N18" i="39" s="1"/>
  <c r="N78" i="39"/>
  <c r="N81" i="39" s="1"/>
  <c r="N4" i="39" s="1"/>
  <c r="N56" i="39"/>
  <c r="J222" i="37"/>
  <c r="J227" i="37" s="1"/>
  <c r="J249" i="37"/>
  <c r="J252" i="37" s="1"/>
  <c r="I432" i="39"/>
  <c r="I437" i="39" s="1"/>
  <c r="I318" i="39"/>
  <c r="I18" i="39" s="1"/>
  <c r="I78" i="39"/>
  <c r="I81" i="39" s="1"/>
  <c r="I4" i="39" s="1"/>
  <c r="I56" i="39"/>
  <c r="I324" i="39"/>
  <c r="I323" i="39" s="1"/>
  <c r="I58" i="39"/>
  <c r="I431" i="39"/>
  <c r="I63" i="39" s="1"/>
  <c r="I64" i="39" s="1"/>
  <c r="K58" i="39"/>
  <c r="K431" i="39"/>
  <c r="K63" i="39" s="1"/>
  <c r="K64" i="39" s="1"/>
  <c r="K324" i="39"/>
  <c r="K323" i="39" s="1"/>
  <c r="G294" i="39"/>
  <c r="G293" i="39"/>
  <c r="G296" i="39"/>
  <c r="E229" i="39" s="1"/>
  <c r="E239" i="39" s="1"/>
  <c r="G295" i="39"/>
  <c r="H438" i="39"/>
  <c r="N222" i="37"/>
  <c r="N227" i="37" s="1"/>
  <c r="N249" i="37"/>
  <c r="N252" i="37" s="1"/>
  <c r="K27" i="8"/>
  <c r="J27" i="8"/>
  <c r="L70" i="1"/>
  <c r="K70" i="1"/>
  <c r="F313" i="37" l="1"/>
  <c r="F16" i="37"/>
  <c r="I47" i="37"/>
  <c r="I321" i="37"/>
  <c r="I108" i="37"/>
  <c r="I102" i="37" s="1"/>
  <c r="I113" i="37" s="1"/>
  <c r="G17" i="37"/>
  <c r="F17" i="37" s="1"/>
  <c r="K19" i="37" s="1"/>
  <c r="I61" i="37"/>
  <c r="I62" i="37" s="1"/>
  <c r="N47" i="37"/>
  <c r="N61" i="37" s="1"/>
  <c r="N62" i="37" s="1"/>
  <c r="F414" i="37"/>
  <c r="F47" i="37" s="1"/>
  <c r="N431" i="37"/>
  <c r="N432" i="37" s="1"/>
  <c r="N464" i="37" s="1"/>
  <c r="N467" i="37" s="1"/>
  <c r="L110" i="37"/>
  <c r="J80" i="39"/>
  <c r="J77" i="39"/>
  <c r="J79" i="39" s="1"/>
  <c r="J228" i="37"/>
  <c r="J238" i="37" s="1"/>
  <c r="J237" i="37"/>
  <c r="J229" i="37"/>
  <c r="J239" i="37" s="1"/>
  <c r="G58" i="39"/>
  <c r="F58" i="39" s="1"/>
  <c r="G431" i="39"/>
  <c r="G63" i="39" s="1"/>
  <c r="G324" i="39"/>
  <c r="G442" i="39"/>
  <c r="I250" i="39"/>
  <c r="M461" i="39"/>
  <c r="M77" i="39"/>
  <c r="M79" i="39" s="1"/>
  <c r="M80" i="39"/>
  <c r="K432" i="39"/>
  <c r="K437" i="39" s="1"/>
  <c r="N431" i="39"/>
  <c r="I307" i="37"/>
  <c r="F312" i="37"/>
  <c r="M115" i="39"/>
  <c r="J250" i="39"/>
  <c r="K321" i="37"/>
  <c r="K320" i="37" s="1"/>
  <c r="K319" i="37" s="1"/>
  <c r="K431" i="37"/>
  <c r="K432" i="37" s="1"/>
  <c r="K47" i="37"/>
  <c r="K61" i="37" s="1"/>
  <c r="K62" i="37" s="1"/>
  <c r="G75" i="39"/>
  <c r="F75" i="39" s="1"/>
  <c r="G65" i="39"/>
  <c r="F65" i="39" s="1"/>
  <c r="G68" i="39"/>
  <c r="F55" i="39"/>
  <c r="N250" i="39"/>
  <c r="G298" i="38"/>
  <c r="F293" i="38"/>
  <c r="F298" i="38" s="1"/>
  <c r="M432" i="39"/>
  <c r="M437" i="39" s="1"/>
  <c r="G159" i="38"/>
  <c r="F159" i="38" s="1"/>
  <c r="F169" i="38" s="1"/>
  <c r="G169" i="38" s="1"/>
  <c r="G82" i="38" s="1"/>
  <c r="F82" i="38" s="1"/>
  <c r="F222" i="38"/>
  <c r="L322" i="38"/>
  <c r="G231" i="39"/>
  <c r="F229" i="39"/>
  <c r="G230" i="39"/>
  <c r="F230" i="39" s="1"/>
  <c r="F240" i="39" s="1"/>
  <c r="G240" i="39" s="1"/>
  <c r="J443" i="39"/>
  <c r="J453" i="39" s="1"/>
  <c r="J328" i="39" s="1"/>
  <c r="J452" i="39"/>
  <c r="J444" i="39"/>
  <c r="J454" i="39" s="1"/>
  <c r="H77" i="39"/>
  <c r="H79" i="39" s="1"/>
  <c r="H80" i="39"/>
  <c r="H462" i="39"/>
  <c r="H465" i="39" s="1"/>
  <c r="H69" i="39"/>
  <c r="H72" i="39" s="1"/>
  <c r="K179" i="38"/>
  <c r="L248" i="37"/>
  <c r="L109" i="37"/>
  <c r="I461" i="39"/>
  <c r="I185" i="38"/>
  <c r="I184" i="38"/>
  <c r="I182" i="38" s="1"/>
  <c r="I183" i="38" s="1"/>
  <c r="I81" i="38" s="1"/>
  <c r="I80" i="38" s="1"/>
  <c r="I76" i="38" s="1"/>
  <c r="I84" i="38" s="1"/>
  <c r="F43" i="38"/>
  <c r="L289" i="37"/>
  <c r="H289" i="37"/>
  <c r="L288" i="37"/>
  <c r="H288" i="37"/>
  <c r="L287" i="37"/>
  <c r="H287" i="37"/>
  <c r="L286" i="37"/>
  <c r="H286" i="37"/>
  <c r="L285" i="37"/>
  <c r="H285" i="37"/>
  <c r="L281" i="37"/>
  <c r="H281" i="37"/>
  <c r="L280" i="37"/>
  <c r="H280" i="37"/>
  <c r="L279" i="37"/>
  <c r="H279" i="37"/>
  <c r="L278" i="37"/>
  <c r="H278" i="37"/>
  <c r="L277" i="37"/>
  <c r="H277" i="37"/>
  <c r="K289" i="37"/>
  <c r="G289" i="37"/>
  <c r="K288" i="37"/>
  <c r="G288" i="37"/>
  <c r="K287" i="37"/>
  <c r="G287" i="37"/>
  <c r="K286" i="37"/>
  <c r="G286" i="37"/>
  <c r="K285" i="37"/>
  <c r="G285" i="37"/>
  <c r="K281" i="37"/>
  <c r="G281" i="37"/>
  <c r="K280" i="37"/>
  <c r="G280" i="37"/>
  <c r="K279" i="37"/>
  <c r="G279" i="37"/>
  <c r="K278" i="37"/>
  <c r="G278" i="37"/>
  <c r="K277" i="37"/>
  <c r="G277" i="37"/>
  <c r="N289" i="37"/>
  <c r="J289" i="37"/>
  <c r="N288" i="37"/>
  <c r="J288" i="37"/>
  <c r="N287" i="37"/>
  <c r="J287" i="37"/>
  <c r="N286" i="37"/>
  <c r="J286" i="37"/>
  <c r="N285" i="37"/>
  <c r="J285" i="37"/>
  <c r="N281" i="37"/>
  <c r="J281" i="37"/>
  <c r="N280" i="37"/>
  <c r="J280" i="37"/>
  <c r="N279" i="37"/>
  <c r="J279" i="37"/>
  <c r="N278" i="37"/>
  <c r="J278" i="37"/>
  <c r="N277" i="37"/>
  <c r="J277" i="37"/>
  <c r="M289" i="37"/>
  <c r="I289" i="37"/>
  <c r="M288" i="37"/>
  <c r="I288" i="37"/>
  <c r="M287" i="37"/>
  <c r="I287" i="37"/>
  <c r="M286" i="37"/>
  <c r="I286" i="37"/>
  <c r="M285" i="37"/>
  <c r="I285" i="37"/>
  <c r="M281" i="37"/>
  <c r="I281" i="37"/>
  <c r="M280" i="37"/>
  <c r="I280" i="37"/>
  <c r="M279" i="37"/>
  <c r="I279" i="37"/>
  <c r="M278" i="37"/>
  <c r="I278" i="37"/>
  <c r="M277" i="37"/>
  <c r="I277" i="37"/>
  <c r="H461" i="39"/>
  <c r="I462" i="39"/>
  <c r="I465" i="39" s="1"/>
  <c r="I69" i="39"/>
  <c r="I72" i="39" s="1"/>
  <c r="G446" i="39"/>
  <c r="N446" i="39"/>
  <c r="N442" i="39"/>
  <c r="F110" i="39"/>
  <c r="H322" i="38"/>
  <c r="J437" i="37"/>
  <c r="J442" i="37" s="1"/>
  <c r="J464" i="37"/>
  <c r="J467" i="37" s="1"/>
  <c r="H248" i="39"/>
  <c r="M248" i="39"/>
  <c r="K446" i="39"/>
  <c r="K442" i="39"/>
  <c r="M251" i="37"/>
  <c r="M256" i="37"/>
  <c r="N438" i="39"/>
  <c r="I250" i="37"/>
  <c r="N52" i="39"/>
  <c r="J52" i="39"/>
  <c r="M52" i="39"/>
  <c r="I52" i="39"/>
  <c r="L52" i="39"/>
  <c r="H52" i="39"/>
  <c r="K52" i="39"/>
  <c r="G52" i="39"/>
  <c r="G181" i="38"/>
  <c r="F181" i="38" s="1"/>
  <c r="F178" i="38"/>
  <c r="K76" i="39"/>
  <c r="F249" i="39"/>
  <c r="G252" i="39"/>
  <c r="F252" i="39" s="1"/>
  <c r="L452" i="37"/>
  <c r="L444" i="37"/>
  <c r="L454" i="37" s="1"/>
  <c r="L443" i="37"/>
  <c r="L453" i="37" s="1"/>
  <c r="H185" i="38"/>
  <c r="H184" i="38" s="1"/>
  <c r="H182" i="38" s="1"/>
  <c r="H183" i="38" s="1"/>
  <c r="H81" i="38" s="1"/>
  <c r="H80" i="38" s="1"/>
  <c r="H76" i="38" s="1"/>
  <c r="H84" i="38" s="1"/>
  <c r="I324" i="38"/>
  <c r="I50" i="38"/>
  <c r="I51" i="38" s="1"/>
  <c r="J185" i="38"/>
  <c r="J184" i="38" s="1"/>
  <c r="J182" i="38" s="1"/>
  <c r="J183" i="38" s="1"/>
  <c r="J81" i="38" s="1"/>
  <c r="J80" i="38" s="1"/>
  <c r="J76" i="38" s="1"/>
  <c r="J84" i="38" s="1"/>
  <c r="N228" i="37"/>
  <c r="N238" i="37" s="1"/>
  <c r="N237" i="37"/>
  <c r="N229" i="37"/>
  <c r="N239" i="37" s="1"/>
  <c r="K249" i="37"/>
  <c r="K252" i="37" s="1"/>
  <c r="K222" i="37"/>
  <c r="K227" i="37" s="1"/>
  <c r="K322" i="38"/>
  <c r="M464" i="37"/>
  <c r="M467" i="37" s="1"/>
  <c r="M437" i="37"/>
  <c r="M442" i="37" s="1"/>
  <c r="G432" i="39"/>
  <c r="G318" i="39"/>
  <c r="F317" i="39"/>
  <c r="G78" i="39"/>
  <c r="G56" i="39"/>
  <c r="F56" i="39" s="1"/>
  <c r="L461" i="39"/>
  <c r="F46" i="38"/>
  <c r="F47" i="38" s="1"/>
  <c r="J462" i="39"/>
  <c r="J465" i="39" s="1"/>
  <c r="J69" i="39"/>
  <c r="J72" i="39" s="1"/>
  <c r="F321" i="39"/>
  <c r="G20" i="39"/>
  <c r="F20" i="39" s="1"/>
  <c r="G438" i="39"/>
  <c r="F438" i="39" s="1"/>
  <c r="F391" i="39"/>
  <c r="L76" i="39"/>
  <c r="K256" i="39"/>
  <c r="K255" i="39"/>
  <c r="K253" i="39" s="1"/>
  <c r="K254" i="39" s="1"/>
  <c r="K114" i="39" s="1"/>
  <c r="K113" i="39" s="1"/>
  <c r="K109" i="39" s="1"/>
  <c r="K117" i="39" s="1"/>
  <c r="I320" i="37"/>
  <c r="N324" i="39"/>
  <c r="N323" i="39" s="1"/>
  <c r="I328" i="39"/>
  <c r="H115" i="39"/>
  <c r="I76" i="39"/>
  <c r="L256" i="39"/>
  <c r="L255" i="39"/>
  <c r="L253" i="39" s="1"/>
  <c r="L254" i="39" s="1"/>
  <c r="L114" i="39" s="1"/>
  <c r="L113" i="39" s="1"/>
  <c r="L109" i="39" s="1"/>
  <c r="L117" i="39" s="1"/>
  <c r="L432" i="39"/>
  <c r="L437" i="39" s="1"/>
  <c r="H229" i="37"/>
  <c r="H239" i="37" s="1"/>
  <c r="H228" i="37"/>
  <c r="H238" i="37" s="1"/>
  <c r="H237" i="37"/>
  <c r="J322" i="38"/>
  <c r="N76" i="39"/>
  <c r="K16" i="9"/>
  <c r="J16" i="9"/>
  <c r="I27" i="8"/>
  <c r="M290" i="37" l="1"/>
  <c r="N290" i="37"/>
  <c r="K290" i="37"/>
  <c r="L290" i="37"/>
  <c r="L108" i="37"/>
  <c r="L102" i="37" s="1"/>
  <c r="L113" i="37" s="1"/>
  <c r="N19" i="37"/>
  <c r="L19" i="37"/>
  <c r="J19" i="37"/>
  <c r="H19" i="37"/>
  <c r="I19" i="37"/>
  <c r="G19" i="37"/>
  <c r="M19" i="37"/>
  <c r="N437" i="37"/>
  <c r="N442" i="37" s="1"/>
  <c r="N452" i="37" s="1"/>
  <c r="I290" i="37"/>
  <c r="J290" i="37"/>
  <c r="G290" i="37"/>
  <c r="G199" i="37" s="1"/>
  <c r="H290" i="37"/>
  <c r="J110" i="37"/>
  <c r="L326" i="37"/>
  <c r="I282" i="37"/>
  <c r="J282" i="37"/>
  <c r="G282" i="37"/>
  <c r="H282" i="37"/>
  <c r="N110" i="37"/>
  <c r="M282" i="37"/>
  <c r="N282" i="37"/>
  <c r="K282" i="37"/>
  <c r="L282" i="37"/>
  <c r="N80" i="39"/>
  <c r="N77" i="39"/>
  <c r="N79" i="39" s="1"/>
  <c r="H110" i="37"/>
  <c r="N502" i="39"/>
  <c r="J502" i="39"/>
  <c r="N501" i="39"/>
  <c r="J501" i="39"/>
  <c r="N500" i="39"/>
  <c r="J500" i="39"/>
  <c r="N499" i="39"/>
  <c r="N503" i="39" s="1"/>
  <c r="J499" i="39"/>
  <c r="N498" i="39"/>
  <c r="J498" i="39"/>
  <c r="J503" i="39" s="1"/>
  <c r="N494" i="39"/>
  <c r="J494" i="39"/>
  <c r="N493" i="39"/>
  <c r="J493" i="39"/>
  <c r="N492" i="39"/>
  <c r="J492" i="39"/>
  <c r="N491" i="39"/>
  <c r="N495" i="39" s="1"/>
  <c r="J491" i="39"/>
  <c r="N490" i="39"/>
  <c r="J490" i="39"/>
  <c r="J495" i="39" s="1"/>
  <c r="M502" i="39"/>
  <c r="I502" i="39"/>
  <c r="M501" i="39"/>
  <c r="I501" i="39"/>
  <c r="M500" i="39"/>
  <c r="I500" i="39"/>
  <c r="M499" i="39"/>
  <c r="M503" i="39" s="1"/>
  <c r="I499" i="39"/>
  <c r="M498" i="39"/>
  <c r="I498" i="39"/>
  <c r="I503" i="39" s="1"/>
  <c r="M494" i="39"/>
  <c r="I494" i="39"/>
  <c r="M493" i="39"/>
  <c r="I493" i="39"/>
  <c r="M492" i="39"/>
  <c r="I492" i="39"/>
  <c r="M491" i="39"/>
  <c r="M495" i="39" s="1"/>
  <c r="I491" i="39"/>
  <c r="M490" i="39"/>
  <c r="I490" i="39"/>
  <c r="I495" i="39" s="1"/>
  <c r="L502" i="39"/>
  <c r="H502" i="39"/>
  <c r="L501" i="39"/>
  <c r="H501" i="39"/>
  <c r="L500" i="39"/>
  <c r="H500" i="39"/>
  <c r="L499" i="39"/>
  <c r="L503" i="39" s="1"/>
  <c r="H499" i="39"/>
  <c r="L498" i="39"/>
  <c r="H498" i="39"/>
  <c r="H503" i="39" s="1"/>
  <c r="L494" i="39"/>
  <c r="H494" i="39"/>
  <c r="L493" i="39"/>
  <c r="H493" i="39"/>
  <c r="L492" i="39"/>
  <c r="H492" i="39"/>
  <c r="L491" i="39"/>
  <c r="L495" i="39" s="1"/>
  <c r="H491" i="39"/>
  <c r="L490" i="39"/>
  <c r="H490" i="39"/>
  <c r="H495" i="39" s="1"/>
  <c r="G502" i="39"/>
  <c r="G500" i="39"/>
  <c r="G498" i="39"/>
  <c r="G495" i="39"/>
  <c r="G493" i="39"/>
  <c r="G491" i="39"/>
  <c r="K501" i="39"/>
  <c r="K499" i="39"/>
  <c r="K494" i="39"/>
  <c r="K492" i="39"/>
  <c r="K490" i="39"/>
  <c r="K495" i="39" s="1"/>
  <c r="G501" i="39"/>
  <c r="G499" i="39"/>
  <c r="G503" i="39" s="1"/>
  <c r="G494" i="39"/>
  <c r="G492" i="39"/>
  <c r="G490" i="39"/>
  <c r="K502" i="39"/>
  <c r="K500" i="39"/>
  <c r="K498" i="39"/>
  <c r="K503" i="39" s="1"/>
  <c r="K493" i="39"/>
  <c r="K491" i="39"/>
  <c r="K324" i="38"/>
  <c r="K50" i="38"/>
  <c r="K51" i="38" s="1"/>
  <c r="N109" i="37"/>
  <c r="N248" i="37"/>
  <c r="L325" i="37"/>
  <c r="L463" i="37"/>
  <c r="K443" i="39"/>
  <c r="K453" i="39" s="1"/>
  <c r="K328" i="39" s="1"/>
  <c r="K452" i="39"/>
  <c r="K444" i="39"/>
  <c r="K454" i="39" s="1"/>
  <c r="K185" i="38"/>
  <c r="K184" i="38"/>
  <c r="K182" i="38" s="1"/>
  <c r="K183" i="38" s="1"/>
  <c r="K81" i="38" s="1"/>
  <c r="K80" i="38" s="1"/>
  <c r="K76" i="38" s="1"/>
  <c r="K84" i="38" s="1"/>
  <c r="F239" i="39"/>
  <c r="G239" i="39" s="1"/>
  <c r="F231" i="39"/>
  <c r="F241" i="39" s="1"/>
  <c r="G241" i="39" s="1"/>
  <c r="M462" i="39"/>
  <c r="M465" i="39" s="1"/>
  <c r="M69" i="39"/>
  <c r="M72" i="39" s="1"/>
  <c r="G76" i="39"/>
  <c r="F68" i="39"/>
  <c r="K437" i="37"/>
  <c r="K442" i="37" s="1"/>
  <c r="K464" i="37"/>
  <c r="K467" i="37" s="1"/>
  <c r="J256" i="39"/>
  <c r="J255" i="39" s="1"/>
  <c r="J253" i="39" s="1"/>
  <c r="J254" i="39" s="1"/>
  <c r="J114" i="39" s="1"/>
  <c r="J113" i="39" s="1"/>
  <c r="J109" i="39" s="1"/>
  <c r="J117" i="39" s="1"/>
  <c r="N63" i="39"/>
  <c r="N64" i="39" s="1"/>
  <c r="N432" i="39"/>
  <c r="N437" i="39" s="1"/>
  <c r="F324" i="39"/>
  <c r="G323" i="39"/>
  <c r="J109" i="37"/>
  <c r="J248" i="37"/>
  <c r="L70" i="39"/>
  <c r="L71" i="39" s="1"/>
  <c r="G81" i="39"/>
  <c r="F78" i="39"/>
  <c r="G437" i="39"/>
  <c r="K237" i="37"/>
  <c r="K229" i="37"/>
  <c r="K239" i="37" s="1"/>
  <c r="K228" i="37"/>
  <c r="K238" i="37" s="1"/>
  <c r="H250" i="39"/>
  <c r="H324" i="38"/>
  <c r="H50" i="38"/>
  <c r="H51" i="38" s="1"/>
  <c r="N443" i="39"/>
  <c r="N453" i="39" s="1"/>
  <c r="N452" i="39"/>
  <c r="N444" i="39"/>
  <c r="N454" i="39" s="1"/>
  <c r="I463" i="39"/>
  <c r="I70" i="39"/>
  <c r="I71" i="39" s="1"/>
  <c r="H82" i="39"/>
  <c r="H5" i="39" s="1"/>
  <c r="H6" i="39"/>
  <c r="J461" i="39"/>
  <c r="N255" i="39"/>
  <c r="N256" i="39"/>
  <c r="K462" i="39"/>
  <c r="K465" i="39" s="1"/>
  <c r="K69" i="39"/>
  <c r="K72" i="39" s="1"/>
  <c r="I256" i="39"/>
  <c r="I255" i="39" s="1"/>
  <c r="I253" i="39" s="1"/>
  <c r="I254" i="39" s="1"/>
  <c r="I114" i="39" s="1"/>
  <c r="I113" i="39" s="1"/>
  <c r="I109" i="39" s="1"/>
  <c r="I117" i="39" s="1"/>
  <c r="G64" i="39"/>
  <c r="F64" i="39" s="1"/>
  <c r="J82" i="39"/>
  <c r="J5" i="39" s="1"/>
  <c r="J6" i="39"/>
  <c r="N443" i="37"/>
  <c r="N453" i="37" s="1"/>
  <c r="J324" i="38"/>
  <c r="J50" i="38"/>
  <c r="J51" i="38" s="1"/>
  <c r="L462" i="39"/>
  <c r="L465" i="39" s="1"/>
  <c r="L69" i="39"/>
  <c r="L72" i="39" s="1"/>
  <c r="M444" i="37"/>
  <c r="M454" i="37" s="1"/>
  <c r="M443" i="37"/>
  <c r="M453" i="37" s="1"/>
  <c r="M452" i="37"/>
  <c r="I330" i="38"/>
  <c r="I329" i="38"/>
  <c r="I327" i="38" s="1"/>
  <c r="I328" i="38" s="1"/>
  <c r="I226" i="38" s="1"/>
  <c r="I225" i="38" s="1"/>
  <c r="I221" i="38" s="1"/>
  <c r="I229" i="38" s="1"/>
  <c r="F52" i="39"/>
  <c r="F53" i="39" s="1"/>
  <c r="L324" i="38"/>
  <c r="L50" i="38"/>
  <c r="L51" i="38" s="1"/>
  <c r="G323" i="38"/>
  <c r="G305" i="38"/>
  <c r="F305" i="38" s="1"/>
  <c r="F315" i="38" s="1"/>
  <c r="G315" i="38" s="1"/>
  <c r="G303" i="38"/>
  <c r="F303" i="38" s="1"/>
  <c r="F313" i="38" s="1"/>
  <c r="G313" i="38" s="1"/>
  <c r="G49" i="38"/>
  <c r="M82" i="39"/>
  <c r="M5" i="39" s="1"/>
  <c r="M6" i="39"/>
  <c r="G509" i="39"/>
  <c r="E442" i="39" s="1"/>
  <c r="E452" i="39" s="1"/>
  <c r="G508" i="39"/>
  <c r="G507" i="39"/>
  <c r="G506" i="39"/>
  <c r="H248" i="37"/>
  <c r="H109" i="37"/>
  <c r="H108" i="37" s="1"/>
  <c r="H102" i="37" s="1"/>
  <c r="H113" i="37" s="1"/>
  <c r="I77" i="39"/>
  <c r="I79" i="39" s="1"/>
  <c r="I80" i="39"/>
  <c r="I319" i="37"/>
  <c r="L77" i="39"/>
  <c r="L79" i="39" s="1"/>
  <c r="L80" i="39"/>
  <c r="I47" i="38"/>
  <c r="L47" i="38"/>
  <c r="H47" i="38"/>
  <c r="K47" i="38"/>
  <c r="G47" i="38"/>
  <c r="G48" i="38" s="1"/>
  <c r="J47" i="38"/>
  <c r="F318" i="39"/>
  <c r="G18" i="39"/>
  <c r="F18" i="39" s="1"/>
  <c r="K77" i="39"/>
  <c r="K79" i="39" s="1"/>
  <c r="K80" i="39"/>
  <c r="I251" i="37"/>
  <c r="I256" i="37"/>
  <c r="M250" i="39"/>
  <c r="J443" i="37"/>
  <c r="J453" i="37" s="1"/>
  <c r="J452" i="37"/>
  <c r="J444" i="37"/>
  <c r="J454" i="37" s="1"/>
  <c r="F446" i="39"/>
  <c r="H463" i="39"/>
  <c r="H70" i="39"/>
  <c r="H71" i="39" s="1"/>
  <c r="L250" i="37"/>
  <c r="G115" i="39"/>
  <c r="F115" i="39" s="1"/>
  <c r="G177" i="38"/>
  <c r="N253" i="39"/>
  <c r="N254" i="39" s="1"/>
  <c r="N114" i="39" s="1"/>
  <c r="N113" i="39" s="1"/>
  <c r="N109" i="39" s="1"/>
  <c r="N117" i="39" s="1"/>
  <c r="I432" i="37"/>
  <c r="I396" i="37"/>
  <c r="F396" i="37" s="1"/>
  <c r="F307" i="37"/>
  <c r="M463" i="39"/>
  <c r="M70" i="39"/>
  <c r="M71" i="39" s="1"/>
  <c r="G443" i="39"/>
  <c r="F443" i="39" s="1"/>
  <c r="G444" i="39"/>
  <c r="F442" i="39"/>
  <c r="I46" i="9"/>
  <c r="I44" i="9"/>
  <c r="I43" i="9"/>
  <c r="I42" i="9"/>
  <c r="I41" i="9"/>
  <c r="I40" i="9"/>
  <c r="I39" i="9"/>
  <c r="I38" i="9"/>
  <c r="I37" i="9"/>
  <c r="I36" i="9"/>
  <c r="I45" i="9" s="1"/>
  <c r="I35" i="9"/>
  <c r="I34" i="9"/>
  <c r="I33" i="9"/>
  <c r="I32" i="9"/>
  <c r="I31" i="9"/>
  <c r="I30" i="9"/>
  <c r="I29" i="9"/>
  <c r="M71" i="9"/>
  <c r="F71" i="9"/>
  <c r="N71" i="9" s="1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70" i="9" s="1"/>
  <c r="M7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5" i="1"/>
  <c r="I53" i="1"/>
  <c r="I54" i="1"/>
  <c r="I55" i="1"/>
  <c r="I56" i="1"/>
  <c r="J108" i="37" l="1"/>
  <c r="J102" i="37" s="1"/>
  <c r="J113" i="37" s="1"/>
  <c r="F19" i="37"/>
  <c r="F20" i="37" s="1"/>
  <c r="K20" i="37" s="1"/>
  <c r="N444" i="37"/>
  <c r="N454" i="37" s="1"/>
  <c r="N326" i="37" s="1"/>
  <c r="L324" i="37"/>
  <c r="L318" i="37" s="1"/>
  <c r="L329" i="37" s="1"/>
  <c r="G200" i="37"/>
  <c r="G202" i="37"/>
  <c r="F202" i="37" s="1"/>
  <c r="N108" i="37"/>
  <c r="N102" i="37" s="1"/>
  <c r="N113" i="37" s="1"/>
  <c r="K110" i="37"/>
  <c r="M326" i="37"/>
  <c r="M256" i="39"/>
  <c r="M255" i="39" s="1"/>
  <c r="M253" i="39" s="1"/>
  <c r="M254" i="39" s="1"/>
  <c r="M114" i="39" s="1"/>
  <c r="M113" i="39" s="1"/>
  <c r="M109" i="39" s="1"/>
  <c r="M117" i="39" s="1"/>
  <c r="F49" i="38"/>
  <c r="G52" i="38"/>
  <c r="F52" i="38" s="1"/>
  <c r="M463" i="37"/>
  <c r="M325" i="37"/>
  <c r="J330" i="38"/>
  <c r="J329" i="38" s="1"/>
  <c r="J327" i="38" s="1"/>
  <c r="J328" i="38" s="1"/>
  <c r="J226" i="38" s="1"/>
  <c r="J225" i="38" s="1"/>
  <c r="J221" i="38" s="1"/>
  <c r="J229" i="38" s="1"/>
  <c r="I469" i="39"/>
  <c r="I468" i="39" s="1"/>
  <c r="I466" i="39" s="1"/>
  <c r="I467" i="39" s="1"/>
  <c r="I327" i="39" s="1"/>
  <c r="I326" i="39" s="1"/>
  <c r="I322" i="39" s="1"/>
  <c r="I330" i="39" s="1"/>
  <c r="F51" i="38"/>
  <c r="H256" i="39"/>
  <c r="H255" i="39"/>
  <c r="G462" i="39"/>
  <c r="G69" i="39"/>
  <c r="J250" i="37"/>
  <c r="N462" i="39"/>
  <c r="N465" i="39" s="1"/>
  <c r="N69" i="39"/>
  <c r="N72" i="39" s="1"/>
  <c r="F452" i="39"/>
  <c r="G452" i="39" s="1"/>
  <c r="F444" i="39"/>
  <c r="F454" i="39" s="1"/>
  <c r="G454" i="39" s="1"/>
  <c r="F48" i="38"/>
  <c r="H250" i="37"/>
  <c r="M53" i="39"/>
  <c r="I53" i="39"/>
  <c r="L53" i="39"/>
  <c r="H53" i="39"/>
  <c r="K53" i="39"/>
  <c r="G53" i="39"/>
  <c r="N53" i="39"/>
  <c r="J53" i="39"/>
  <c r="H330" i="38"/>
  <c r="H329" i="38" s="1"/>
  <c r="H327" i="38" s="1"/>
  <c r="H328" i="38" s="1"/>
  <c r="H226" i="38" s="1"/>
  <c r="H225" i="38" s="1"/>
  <c r="H221" i="38" s="1"/>
  <c r="H229" i="38" s="1"/>
  <c r="H253" i="39"/>
  <c r="H254" i="39" s="1"/>
  <c r="H114" i="39" s="1"/>
  <c r="H113" i="39" s="1"/>
  <c r="H109" i="39" s="1"/>
  <c r="H117" i="39" s="1"/>
  <c r="F432" i="39"/>
  <c r="F437" i="39" s="1"/>
  <c r="K443" i="37"/>
  <c r="K453" i="37" s="1"/>
  <c r="K452" i="37"/>
  <c r="K444" i="37"/>
  <c r="K454" i="37" s="1"/>
  <c r="L465" i="37"/>
  <c r="L69" i="37"/>
  <c r="L70" i="37" s="1"/>
  <c r="F177" i="38"/>
  <c r="G179" i="38"/>
  <c r="J463" i="37"/>
  <c r="J325" i="37"/>
  <c r="L82" i="39"/>
  <c r="L5" i="39" s="1"/>
  <c r="L6" i="39"/>
  <c r="L330" i="38"/>
  <c r="L329" i="38"/>
  <c r="M504" i="37"/>
  <c r="I504" i="37"/>
  <c r="M503" i="37"/>
  <c r="I503" i="37"/>
  <c r="M502" i="37"/>
  <c r="I502" i="37"/>
  <c r="M501" i="37"/>
  <c r="I501" i="37"/>
  <c r="M500" i="37"/>
  <c r="I500" i="37"/>
  <c r="M496" i="37"/>
  <c r="I496" i="37"/>
  <c r="M495" i="37"/>
  <c r="I495" i="37"/>
  <c r="M494" i="37"/>
  <c r="I494" i="37"/>
  <c r="M493" i="37"/>
  <c r="I493" i="37"/>
  <c r="M492" i="37"/>
  <c r="I492" i="37"/>
  <c r="L504" i="37"/>
  <c r="H504" i="37"/>
  <c r="L503" i="37"/>
  <c r="H503" i="37"/>
  <c r="L502" i="37"/>
  <c r="H502" i="37"/>
  <c r="L501" i="37"/>
  <c r="H501" i="37"/>
  <c r="L500" i="37"/>
  <c r="H500" i="37"/>
  <c r="L496" i="37"/>
  <c r="H496" i="37"/>
  <c r="L495" i="37"/>
  <c r="H495" i="37"/>
  <c r="L494" i="37"/>
  <c r="H494" i="37"/>
  <c r="L493" i="37"/>
  <c r="H493" i="37"/>
  <c r="L492" i="37"/>
  <c r="H492" i="37"/>
  <c r="K504" i="37"/>
  <c r="G504" i="37"/>
  <c r="K503" i="37"/>
  <c r="G503" i="37"/>
  <c r="K502" i="37"/>
  <c r="G502" i="37"/>
  <c r="K501" i="37"/>
  <c r="G501" i="37"/>
  <c r="K500" i="37"/>
  <c r="G500" i="37"/>
  <c r="K496" i="37"/>
  <c r="G496" i="37"/>
  <c r="K495" i="37"/>
  <c r="G495" i="37"/>
  <c r="K494" i="37"/>
  <c r="G494" i="37"/>
  <c r="K493" i="37"/>
  <c r="G493" i="37"/>
  <c r="K492" i="37"/>
  <c r="G492" i="37"/>
  <c r="N504" i="37"/>
  <c r="J504" i="37"/>
  <c r="N503" i="37"/>
  <c r="J503" i="37"/>
  <c r="N502" i="37"/>
  <c r="J502" i="37"/>
  <c r="N501" i="37"/>
  <c r="J501" i="37"/>
  <c r="N500" i="37"/>
  <c r="J500" i="37"/>
  <c r="N496" i="37"/>
  <c r="J496" i="37"/>
  <c r="N495" i="37"/>
  <c r="J495" i="37"/>
  <c r="N494" i="37"/>
  <c r="J494" i="37"/>
  <c r="N493" i="37"/>
  <c r="J493" i="37"/>
  <c r="N492" i="37"/>
  <c r="J492" i="37"/>
  <c r="H469" i="39"/>
  <c r="H468" i="39" s="1"/>
  <c r="H466" i="39" s="1"/>
  <c r="H467" i="39" s="1"/>
  <c r="H327" i="39" s="1"/>
  <c r="H326" i="39" s="1"/>
  <c r="H322" i="39" s="1"/>
  <c r="H330" i="39" s="1"/>
  <c r="I82" i="39"/>
  <c r="I5" i="39" s="1"/>
  <c r="I6" i="39"/>
  <c r="N66" i="39"/>
  <c r="J66" i="39"/>
  <c r="M66" i="39"/>
  <c r="I66" i="39"/>
  <c r="L66" i="39"/>
  <c r="H66" i="39"/>
  <c r="K66" i="39"/>
  <c r="G66" i="39"/>
  <c r="J463" i="39"/>
  <c r="J70" i="39"/>
  <c r="J71" i="39" s="1"/>
  <c r="N461" i="39"/>
  <c r="F323" i="39"/>
  <c r="K330" i="38"/>
  <c r="K329" i="38"/>
  <c r="K327" i="38" s="1"/>
  <c r="K328" i="38" s="1"/>
  <c r="K226" i="38" s="1"/>
  <c r="K225" i="38" s="1"/>
  <c r="K221" i="38" s="1"/>
  <c r="K229" i="38" s="1"/>
  <c r="G322" i="38"/>
  <c r="G304" i="38"/>
  <c r="F304" i="38" s="1"/>
  <c r="F314" i="38" s="1"/>
  <c r="G314" i="38" s="1"/>
  <c r="G227" i="38" s="1"/>
  <c r="F227" i="38" s="1"/>
  <c r="F453" i="39"/>
  <c r="G453" i="39" s="1"/>
  <c r="G328" i="39" s="1"/>
  <c r="M469" i="39"/>
  <c r="M468" i="39" s="1"/>
  <c r="M466" i="39" s="1"/>
  <c r="M467" i="39" s="1"/>
  <c r="M327" i="39" s="1"/>
  <c r="M326" i="39" s="1"/>
  <c r="M322" i="39" s="1"/>
  <c r="M330" i="39" s="1"/>
  <c r="J326" i="37"/>
  <c r="N463" i="37"/>
  <c r="N325" i="37"/>
  <c r="G20" i="37"/>
  <c r="G21" i="37" s="1"/>
  <c r="N20" i="37"/>
  <c r="J20" i="37"/>
  <c r="I20" i="37"/>
  <c r="L20" i="37"/>
  <c r="H20" i="37"/>
  <c r="H21" i="37" s="1"/>
  <c r="I464" i="37"/>
  <c r="I437" i="37"/>
  <c r="L256" i="37"/>
  <c r="L251" i="37"/>
  <c r="K82" i="39"/>
  <c r="K5" i="39" s="1"/>
  <c r="K6" i="39"/>
  <c r="G326" i="38"/>
  <c r="F326" i="38" s="1"/>
  <c r="F323" i="38"/>
  <c r="L327" i="38"/>
  <c r="L328" i="38" s="1"/>
  <c r="L226" i="38" s="1"/>
  <c r="L225" i="38" s="1"/>
  <c r="L221" i="38" s="1"/>
  <c r="L229" i="38" s="1"/>
  <c r="F63" i="39"/>
  <c r="N328" i="39"/>
  <c r="K109" i="37"/>
  <c r="K248" i="37"/>
  <c r="F81" i="39"/>
  <c r="G4" i="39"/>
  <c r="F4" i="39" s="1"/>
  <c r="L463" i="39"/>
  <c r="F76" i="39"/>
  <c r="G77" i="39"/>
  <c r="G80" i="39"/>
  <c r="G248" i="39"/>
  <c r="K461" i="39"/>
  <c r="N250" i="37"/>
  <c r="N82" i="39"/>
  <c r="N5" i="39" s="1"/>
  <c r="N6" i="39"/>
  <c r="I93" i="1"/>
  <c r="I8" i="1" s="1"/>
  <c r="I47" i="9"/>
  <c r="M48" i="1"/>
  <c r="H15" i="37" l="1"/>
  <c r="H13" i="37" s="1"/>
  <c r="H30" i="1"/>
  <c r="M20" i="37"/>
  <c r="H63" i="37"/>
  <c r="H77" i="37"/>
  <c r="H80" i="37" s="1"/>
  <c r="H4" i="37" s="1"/>
  <c r="G15" i="37"/>
  <c r="F21" i="37"/>
  <c r="K108" i="37"/>
  <c r="K102" i="37" s="1"/>
  <c r="K113" i="37" s="1"/>
  <c r="G105" i="37"/>
  <c r="G215" i="37"/>
  <c r="F200" i="37"/>
  <c r="N497" i="37"/>
  <c r="K497" i="37"/>
  <c r="L497" i="37"/>
  <c r="M497" i="37"/>
  <c r="J505" i="37"/>
  <c r="G505" i="37"/>
  <c r="G415" i="37" s="1"/>
  <c r="H505" i="37"/>
  <c r="H415" i="37" s="1"/>
  <c r="I505" i="37"/>
  <c r="M324" i="37"/>
  <c r="M318" i="37" s="1"/>
  <c r="M329" i="37" s="1"/>
  <c r="N505" i="37"/>
  <c r="K505" i="37"/>
  <c r="L505" i="37"/>
  <c r="M505" i="37"/>
  <c r="J497" i="37"/>
  <c r="G497" i="37"/>
  <c r="H497" i="37"/>
  <c r="I497" i="37"/>
  <c r="K326" i="37"/>
  <c r="K463" i="39"/>
  <c r="K70" i="39"/>
  <c r="K71" i="39" s="1"/>
  <c r="I467" i="37"/>
  <c r="K250" i="37"/>
  <c r="N463" i="39"/>
  <c r="N70" i="39"/>
  <c r="N71" i="39" s="1"/>
  <c r="G461" i="39"/>
  <c r="M465" i="37"/>
  <c r="M69" i="37"/>
  <c r="M70" i="37" s="1"/>
  <c r="F80" i="39"/>
  <c r="G82" i="39"/>
  <c r="G6" i="39"/>
  <c r="F6" i="39" s="1"/>
  <c r="N251" i="37"/>
  <c r="N256" i="37"/>
  <c r="G250" i="39"/>
  <c r="F248" i="39"/>
  <c r="L469" i="39"/>
  <c r="L468" i="39" s="1"/>
  <c r="L466" i="39" s="1"/>
  <c r="L467" i="39" s="1"/>
  <c r="L327" i="39" s="1"/>
  <c r="L326" i="39" s="1"/>
  <c r="L322" i="39" s="1"/>
  <c r="L330" i="39" s="1"/>
  <c r="N324" i="37"/>
  <c r="N318" i="37" s="1"/>
  <c r="N329" i="37" s="1"/>
  <c r="F66" i="39"/>
  <c r="F67" i="39" s="1"/>
  <c r="J324" i="37"/>
  <c r="J318" i="37" s="1"/>
  <c r="J329" i="37" s="1"/>
  <c r="L466" i="37"/>
  <c r="L471" i="37"/>
  <c r="H256" i="37"/>
  <c r="H251" i="37"/>
  <c r="J251" i="37"/>
  <c r="J256" i="37"/>
  <c r="I442" i="37"/>
  <c r="N465" i="37"/>
  <c r="N69" i="37"/>
  <c r="N70" i="37" s="1"/>
  <c r="F322" i="38"/>
  <c r="G324" i="38"/>
  <c r="G50" i="38"/>
  <c r="J469" i="39"/>
  <c r="J468" i="39" s="1"/>
  <c r="J466" i="39" s="1"/>
  <c r="J467" i="39" s="1"/>
  <c r="J327" i="39" s="1"/>
  <c r="J326" i="39" s="1"/>
  <c r="J322" i="39" s="1"/>
  <c r="J330" i="39" s="1"/>
  <c r="J465" i="37"/>
  <c r="J69" i="37"/>
  <c r="J70" i="37" s="1"/>
  <c r="G72" i="39"/>
  <c r="F72" i="39" s="1"/>
  <c r="F69" i="39"/>
  <c r="K53" i="38"/>
  <c r="G53" i="38"/>
  <c r="J53" i="38"/>
  <c r="I53" i="38"/>
  <c r="L53" i="38"/>
  <c r="H53" i="38"/>
  <c r="G79" i="39"/>
  <c r="F79" i="39" s="1"/>
  <c r="F77" i="39"/>
  <c r="F328" i="39"/>
  <c r="F179" i="38"/>
  <c r="G185" i="38"/>
  <c r="F185" i="38"/>
  <c r="K325" i="37"/>
  <c r="K463" i="37"/>
  <c r="F462" i="39"/>
  <c r="G465" i="39"/>
  <c r="F465" i="39" s="1"/>
  <c r="H304" i="35"/>
  <c r="H305" i="35"/>
  <c r="H306" i="35"/>
  <c r="H307" i="35"/>
  <c r="H308" i="35"/>
  <c r="H309" i="35"/>
  <c r="H310" i="35"/>
  <c r="H311" i="35"/>
  <c r="H312" i="35"/>
  <c r="H313" i="35"/>
  <c r="H303" i="35"/>
  <c r="H293" i="35"/>
  <c r="H294" i="35"/>
  <c r="H295" i="35"/>
  <c r="H296" i="35"/>
  <c r="H297" i="35"/>
  <c r="H298" i="35"/>
  <c r="H299" i="35"/>
  <c r="H300" i="35"/>
  <c r="H301" i="35"/>
  <c r="H302" i="35"/>
  <c r="H292" i="35"/>
  <c r="H282" i="35"/>
  <c r="H283" i="35"/>
  <c r="H284" i="35"/>
  <c r="H285" i="35"/>
  <c r="H286" i="35"/>
  <c r="H287" i="35"/>
  <c r="H288" i="35"/>
  <c r="H289" i="35"/>
  <c r="H290" i="35"/>
  <c r="H291" i="35"/>
  <c r="H281" i="35"/>
  <c r="H280" i="35"/>
  <c r="H279" i="35"/>
  <c r="G199" i="35"/>
  <c r="G173" i="35"/>
  <c r="G147" i="35"/>
  <c r="G121" i="35"/>
  <c r="H418" i="37" l="1"/>
  <c r="H50" i="37" s="1"/>
  <c r="H416" i="37"/>
  <c r="K324" i="37"/>
  <c r="K318" i="37" s="1"/>
  <c r="K329" i="37" s="1"/>
  <c r="G13" i="37"/>
  <c r="F15" i="37"/>
  <c r="G216" i="37"/>
  <c r="F215" i="37"/>
  <c r="G416" i="37"/>
  <c r="G418" i="37"/>
  <c r="G104" i="37"/>
  <c r="F105" i="37"/>
  <c r="E183" i="38"/>
  <c r="F53" i="38"/>
  <c r="F54" i="38" s="1"/>
  <c r="F324" i="38"/>
  <c r="G330" i="38"/>
  <c r="F330" i="38" s="1"/>
  <c r="K468" i="39"/>
  <c r="K466" i="39" s="1"/>
  <c r="K467" i="39" s="1"/>
  <c r="K327" i="39" s="1"/>
  <c r="K326" i="39" s="1"/>
  <c r="K322" i="39" s="1"/>
  <c r="K330" i="39" s="1"/>
  <c r="K469" i="39"/>
  <c r="I444" i="37"/>
  <c r="I443" i="37"/>
  <c r="I452" i="37"/>
  <c r="N469" i="39"/>
  <c r="N468" i="39" s="1"/>
  <c r="N466" i="39" s="1"/>
  <c r="N467" i="39" s="1"/>
  <c r="N327" i="39" s="1"/>
  <c r="N326" i="39" s="1"/>
  <c r="N322" i="39" s="1"/>
  <c r="N330" i="39" s="1"/>
  <c r="K465" i="37"/>
  <c r="K69" i="37"/>
  <c r="K70" i="37" s="1"/>
  <c r="N466" i="37"/>
  <c r="N471" i="37"/>
  <c r="M67" i="39"/>
  <c r="I67" i="39"/>
  <c r="L67" i="39"/>
  <c r="H67" i="39"/>
  <c r="K67" i="39"/>
  <c r="G67" i="39"/>
  <c r="N67" i="39"/>
  <c r="J67" i="39"/>
  <c r="K251" i="37"/>
  <c r="K256" i="37"/>
  <c r="J466" i="37"/>
  <c r="J471" i="37"/>
  <c r="F50" i="38"/>
  <c r="G256" i="39"/>
  <c r="F250" i="39"/>
  <c r="F256" i="39"/>
  <c r="F82" i="39"/>
  <c r="G5" i="39"/>
  <c r="F5" i="39" s="1"/>
  <c r="M471" i="37"/>
  <c r="M466" i="37"/>
  <c r="F461" i="39"/>
  <c r="G463" i="39"/>
  <c r="G70" i="39"/>
  <c r="I46" i="1"/>
  <c r="I44" i="1"/>
  <c r="I43" i="1"/>
  <c r="I42" i="1"/>
  <c r="I41" i="1"/>
  <c r="I40" i="1"/>
  <c r="I39" i="1"/>
  <c r="I38" i="1"/>
  <c r="I37" i="1"/>
  <c r="I36" i="1"/>
  <c r="I35" i="1"/>
  <c r="I34" i="1"/>
  <c r="I33" i="1"/>
  <c r="I31" i="1"/>
  <c r="I30" i="1"/>
  <c r="I32" i="1" s="1"/>
  <c r="I29" i="1"/>
  <c r="H48" i="37" l="1"/>
  <c r="H61" i="37" s="1"/>
  <c r="H431" i="37"/>
  <c r="H432" i="37" s="1"/>
  <c r="H321" i="37"/>
  <c r="H320" i="37" s="1"/>
  <c r="H319" i="37" s="1"/>
  <c r="G63" i="37"/>
  <c r="F63" i="37" s="1"/>
  <c r="F13" i="37"/>
  <c r="G77" i="37"/>
  <c r="G48" i="37"/>
  <c r="F416" i="37"/>
  <c r="F48" i="37" s="1"/>
  <c r="G321" i="37"/>
  <c r="G431" i="37"/>
  <c r="F418" i="37"/>
  <c r="F50" i="37" s="1"/>
  <c r="G50" i="37"/>
  <c r="G103" i="37"/>
  <c r="F103" i="37" s="1"/>
  <c r="F104" i="37"/>
  <c r="G222" i="37"/>
  <c r="G249" i="37"/>
  <c r="F216" i="37"/>
  <c r="E328" i="38"/>
  <c r="E254" i="39"/>
  <c r="G469" i="39"/>
  <c r="F469" i="39" s="1"/>
  <c r="F463" i="39"/>
  <c r="I454" i="37"/>
  <c r="L54" i="38"/>
  <c r="H54" i="38"/>
  <c r="K54" i="38"/>
  <c r="G54" i="38"/>
  <c r="G55" i="38" s="1"/>
  <c r="J54" i="38"/>
  <c r="I54" i="38"/>
  <c r="E184" i="38"/>
  <c r="E185" i="38" s="1"/>
  <c r="G184" i="38" s="1"/>
  <c r="I325" i="37"/>
  <c r="F70" i="39"/>
  <c r="G71" i="39"/>
  <c r="F71" i="39" s="1"/>
  <c r="K466" i="37"/>
  <c r="K471" i="37"/>
  <c r="I453" i="37"/>
  <c r="I45" i="1"/>
  <c r="I47" i="1" s="1"/>
  <c r="I19" i="1" s="1"/>
  <c r="H437" i="37" l="1"/>
  <c r="H442" i="37" s="1"/>
  <c r="H464" i="37"/>
  <c r="H467" i="37" s="1"/>
  <c r="G80" i="37"/>
  <c r="F77" i="37"/>
  <c r="G320" i="37"/>
  <c r="F321" i="37"/>
  <c r="G432" i="37"/>
  <c r="F431" i="37"/>
  <c r="F249" i="37"/>
  <c r="G252" i="37"/>
  <c r="F252" i="37" s="1"/>
  <c r="I326" i="37"/>
  <c r="I324" i="37" s="1"/>
  <c r="I318" i="37" s="1"/>
  <c r="I329" i="37" s="1"/>
  <c r="F222" i="37"/>
  <c r="F224" i="37" s="1"/>
  <c r="G227" i="37"/>
  <c r="G61" i="37"/>
  <c r="F184" i="38"/>
  <c r="G182" i="38"/>
  <c r="E467" i="39"/>
  <c r="M73" i="39"/>
  <c r="L73" i="39"/>
  <c r="K73" i="39"/>
  <c r="G73" i="39"/>
  <c r="J73" i="39"/>
  <c r="I73" i="39"/>
  <c r="N73" i="39"/>
  <c r="H73" i="39"/>
  <c r="F55" i="38"/>
  <c r="G56" i="38"/>
  <c r="E255" i="39"/>
  <c r="E256" i="39" s="1"/>
  <c r="G255" i="39" s="1"/>
  <c r="E329" i="38"/>
  <c r="E330" i="38" s="1"/>
  <c r="G329" i="38" s="1"/>
  <c r="I463" i="37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2" i="1"/>
  <c r="H6" i="35"/>
  <c r="H444" i="37" l="1"/>
  <c r="H443" i="37"/>
  <c r="F80" i="37"/>
  <c r="G4" i="37"/>
  <c r="F4" i="37" s="1"/>
  <c r="G62" i="37"/>
  <c r="F62" i="37" s="1"/>
  <c r="F61" i="37"/>
  <c r="G437" i="37"/>
  <c r="G464" i="37"/>
  <c r="F432" i="37"/>
  <c r="F227" i="37"/>
  <c r="G229" i="37"/>
  <c r="F229" i="37" s="1"/>
  <c r="F239" i="37" s="1"/>
  <c r="G239" i="37" s="1"/>
  <c r="G228" i="37"/>
  <c r="F228" i="37" s="1"/>
  <c r="F238" i="37" s="1"/>
  <c r="G238" i="37" s="1"/>
  <c r="G294" i="37"/>
  <c r="G293" i="37"/>
  <c r="G295" i="37"/>
  <c r="G319" i="37"/>
  <c r="F319" i="37" s="1"/>
  <c r="F320" i="37"/>
  <c r="F329" i="38"/>
  <c r="G327" i="38"/>
  <c r="F255" i="39"/>
  <c r="G253" i="39"/>
  <c r="G57" i="38"/>
  <c r="F56" i="38"/>
  <c r="G60" i="38"/>
  <c r="F73" i="39"/>
  <c r="F74" i="39" s="1"/>
  <c r="E468" i="39"/>
  <c r="E469" i="39" s="1"/>
  <c r="G468" i="39" s="1"/>
  <c r="F182" i="38"/>
  <c r="G183" i="38"/>
  <c r="G81" i="38" s="1"/>
  <c r="I465" i="37"/>
  <c r="I69" i="37"/>
  <c r="I70" i="37" s="1"/>
  <c r="I70" i="1"/>
  <c r="G110" i="37" l="1"/>
  <c r="F110" i="37" s="1"/>
  <c r="G442" i="37"/>
  <c r="F437" i="37"/>
  <c r="F439" i="37" s="1"/>
  <c r="G467" i="37"/>
  <c r="F467" i="37" s="1"/>
  <c r="F464" i="37"/>
  <c r="G296" i="37"/>
  <c r="E227" i="37" s="1"/>
  <c r="E237" i="37" s="1"/>
  <c r="F237" i="37" s="1"/>
  <c r="G237" i="37" s="1"/>
  <c r="M64" i="37"/>
  <c r="K64" i="37"/>
  <c r="H64" i="37"/>
  <c r="I64" i="37"/>
  <c r="G64" i="37"/>
  <c r="L64" i="37"/>
  <c r="J64" i="37"/>
  <c r="N64" i="37"/>
  <c r="I7" i="1"/>
  <c r="I16" i="1" s="1"/>
  <c r="F468" i="39"/>
  <c r="G466" i="39"/>
  <c r="I471" i="37"/>
  <c r="I466" i="37"/>
  <c r="L74" i="39"/>
  <c r="H74" i="39"/>
  <c r="K74" i="39"/>
  <c r="G74" i="39"/>
  <c r="J74" i="39"/>
  <c r="I74" i="39"/>
  <c r="N74" i="39"/>
  <c r="M74" i="39"/>
  <c r="F253" i="39"/>
  <c r="G254" i="39"/>
  <c r="G114" i="39" s="1"/>
  <c r="G80" i="38"/>
  <c r="F81" i="38"/>
  <c r="F60" i="38"/>
  <c r="G62" i="38"/>
  <c r="G6" i="38"/>
  <c r="F6" i="38" s="1"/>
  <c r="F327" i="38"/>
  <c r="G328" i="38"/>
  <c r="G226" i="38" s="1"/>
  <c r="F57" i="38"/>
  <c r="G59" i="38"/>
  <c r="F59" i="38" s="1"/>
  <c r="F64" i="37" l="1"/>
  <c r="F65" i="37" s="1"/>
  <c r="G248" i="37"/>
  <c r="G509" i="37"/>
  <c r="G508" i="37"/>
  <c r="G510" i="37"/>
  <c r="G444" i="37"/>
  <c r="F444" i="37" s="1"/>
  <c r="F454" i="37" s="1"/>
  <c r="G443" i="37"/>
  <c r="F443" i="37" s="1"/>
  <c r="F453" i="37" s="1"/>
  <c r="F442" i="37"/>
  <c r="F62" i="38"/>
  <c r="G5" i="38"/>
  <c r="F5" i="38" s="1"/>
  <c r="F80" i="38"/>
  <c r="G76" i="38"/>
  <c r="F226" i="38"/>
  <c r="G225" i="38"/>
  <c r="F114" i="39"/>
  <c r="G113" i="39"/>
  <c r="F466" i="39"/>
  <c r="G467" i="39"/>
  <c r="G327" i="39" s="1"/>
  <c r="H453" i="37" l="1"/>
  <c r="H454" i="37"/>
  <c r="G454" i="37" s="1"/>
  <c r="G511" i="37"/>
  <c r="E442" i="37" s="1"/>
  <c r="E452" i="37" s="1"/>
  <c r="F452" i="37" s="1"/>
  <c r="F248" i="37"/>
  <c r="G250" i="37"/>
  <c r="L65" i="37"/>
  <c r="N65" i="37"/>
  <c r="H65" i="37"/>
  <c r="H66" i="37" s="1"/>
  <c r="J65" i="37"/>
  <c r="G65" i="37"/>
  <c r="G66" i="37" s="1"/>
  <c r="K65" i="37"/>
  <c r="M65" i="37"/>
  <c r="I65" i="37"/>
  <c r="F327" i="39"/>
  <c r="G326" i="39"/>
  <c r="F76" i="38"/>
  <c r="G84" i="38"/>
  <c r="F84" i="38" s="1"/>
  <c r="F113" i="39"/>
  <c r="G109" i="39"/>
  <c r="F225" i="38"/>
  <c r="G221" i="38"/>
  <c r="K7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6" i="33"/>
  <c r="H67" i="37" l="1"/>
  <c r="H70" i="37" s="1"/>
  <c r="H326" i="37"/>
  <c r="H452" i="37"/>
  <c r="G453" i="37"/>
  <c r="G326" i="37" s="1"/>
  <c r="H71" i="37"/>
  <c r="F66" i="37"/>
  <c r="G67" i="37"/>
  <c r="G256" i="37"/>
  <c r="F250" i="37"/>
  <c r="G251" i="37"/>
  <c r="F109" i="39"/>
  <c r="G117" i="39"/>
  <c r="F117" i="39" s="1"/>
  <c r="F221" i="38"/>
  <c r="G229" i="38"/>
  <c r="F229" i="38" s="1"/>
  <c r="F326" i="39"/>
  <c r="G322" i="39"/>
  <c r="H320" i="35"/>
  <c r="G320" i="35" s="1"/>
  <c r="D316" i="35"/>
  <c r="D315" i="35"/>
  <c r="G312" i="35"/>
  <c r="G297" i="35"/>
  <c r="G296" i="35"/>
  <c r="G294" i="35"/>
  <c r="G293" i="35"/>
  <c r="G292" i="35"/>
  <c r="G291" i="35"/>
  <c r="G290" i="35"/>
  <c r="G289" i="35"/>
  <c r="G288" i="35"/>
  <c r="G287" i="35"/>
  <c r="G286" i="35"/>
  <c r="G285" i="35"/>
  <c r="G284" i="35"/>
  <c r="G283" i="35"/>
  <c r="G282" i="35"/>
  <c r="G280" i="35"/>
  <c r="G279" i="35"/>
  <c r="H95" i="35"/>
  <c r="G90" i="35"/>
  <c r="G72" i="35"/>
  <c r="G71" i="35"/>
  <c r="G70" i="35"/>
  <c r="G69" i="35"/>
  <c r="G68" i="35"/>
  <c r="G67" i="35"/>
  <c r="G66" i="35"/>
  <c r="G65" i="35"/>
  <c r="G64" i="35"/>
  <c r="G63" i="35"/>
  <c r="G62" i="35"/>
  <c r="H56" i="35"/>
  <c r="H73" i="35" s="1"/>
  <c r="G73" i="35" s="1"/>
  <c r="G52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H7" i="35"/>
  <c r="F326" i="37" l="1"/>
  <c r="H463" i="37"/>
  <c r="G452" i="37"/>
  <c r="G463" i="37" s="1"/>
  <c r="G71" i="37"/>
  <c r="F71" i="37" s="1"/>
  <c r="F67" i="37"/>
  <c r="E254" i="37"/>
  <c r="F322" i="39"/>
  <c r="G330" i="39"/>
  <c r="F330" i="39" s="1"/>
  <c r="G17" i="35"/>
  <c r="I11" i="33"/>
  <c r="I15" i="33"/>
  <c r="I19" i="33"/>
  <c r="I23" i="33"/>
  <c r="I24" i="33"/>
  <c r="I18" i="33"/>
  <c r="I7" i="33"/>
  <c r="I12" i="33"/>
  <c r="I16" i="33"/>
  <c r="I20" i="33"/>
  <c r="I10" i="33"/>
  <c r="I22" i="33"/>
  <c r="I9" i="33"/>
  <c r="I13" i="33"/>
  <c r="I17" i="33"/>
  <c r="I21" i="33"/>
  <c r="I6" i="33"/>
  <c r="I14" i="33"/>
  <c r="G7" i="35"/>
  <c r="G56" i="35"/>
  <c r="G69" i="37" l="1"/>
  <c r="G70" i="37" s="1"/>
  <c r="F70" i="37" s="1"/>
  <c r="G72" i="37" s="1"/>
  <c r="F463" i="37"/>
  <c r="F69" i="37" s="1"/>
  <c r="G465" i="37"/>
  <c r="H465" i="37"/>
  <c r="H69" i="37"/>
  <c r="M72" i="37"/>
  <c r="K72" i="37"/>
  <c r="E255" i="37"/>
  <c r="F255" i="37" s="1"/>
  <c r="M25" i="33"/>
  <c r="I72" i="37" l="1"/>
  <c r="L72" i="37"/>
  <c r="H72" i="37"/>
  <c r="N72" i="37"/>
  <c r="J72" i="37"/>
  <c r="H466" i="37"/>
  <c r="H471" i="37"/>
  <c r="G466" i="37"/>
  <c r="G471" i="37"/>
  <c r="F465" i="37"/>
  <c r="E256" i="37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F72" i="37" l="1"/>
  <c r="F73" i="37" s="1"/>
  <c r="E469" i="37"/>
  <c r="E470" i="37" s="1"/>
  <c r="F470" i="37" s="1"/>
  <c r="N73" i="37"/>
  <c r="J73" i="37"/>
  <c r="M73" i="37"/>
  <c r="I73" i="37"/>
  <c r="K73" i="37"/>
  <c r="G73" i="37"/>
  <c r="G74" i="37" s="1"/>
  <c r="H73" i="37"/>
  <c r="H74" i="37" s="1"/>
  <c r="L73" i="37"/>
  <c r="M255" i="37"/>
  <c r="M253" i="37" s="1"/>
  <c r="M254" i="37" s="1"/>
  <c r="K255" i="37"/>
  <c r="K253" i="37" s="1"/>
  <c r="K254" i="37" s="1"/>
  <c r="I255" i="37"/>
  <c r="I253" i="37" s="1"/>
  <c r="I254" i="37" s="1"/>
  <c r="L255" i="37"/>
  <c r="L253" i="37" s="1"/>
  <c r="L254" i="37" s="1"/>
  <c r="J255" i="37"/>
  <c r="J253" i="37" s="1"/>
  <c r="J254" i="37" s="1"/>
  <c r="N255" i="37"/>
  <c r="N253" i="37" s="1"/>
  <c r="N254" i="37" s="1"/>
  <c r="H255" i="37"/>
  <c r="H253" i="37" s="1"/>
  <c r="H254" i="37" s="1"/>
  <c r="F256" i="37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T26" i="32" s="1"/>
  <c r="S8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6" i="32"/>
  <c r="E471" i="37" l="1"/>
  <c r="H75" i="37"/>
  <c r="H79" i="37" s="1"/>
  <c r="I20" i="1"/>
  <c r="I21" i="1" s="1"/>
  <c r="I22" i="1" s="1"/>
  <c r="I24" i="1" s="1"/>
  <c r="H76" i="37"/>
  <c r="H78" i="37" s="1"/>
  <c r="F74" i="37"/>
  <c r="G75" i="37"/>
  <c r="G255" i="37"/>
  <c r="G253" i="37" s="1"/>
  <c r="F253" i="37" s="1"/>
  <c r="V32" i="30"/>
  <c r="U32" i="30"/>
  <c r="V31" i="30"/>
  <c r="U31" i="30"/>
  <c r="W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H21" i="30"/>
  <c r="AA9" i="30"/>
  <c r="Z9" i="30"/>
  <c r="U5" i="30" s="1"/>
  <c r="Y9" i="30"/>
  <c r="X9" i="30"/>
  <c r="S5" i="30" s="1"/>
  <c r="W9" i="30"/>
  <c r="V4" i="30" s="1"/>
  <c r="V9" i="30"/>
  <c r="U4" i="30" s="1"/>
  <c r="U9" i="30"/>
  <c r="T4" i="30" s="1"/>
  <c r="T9" i="30"/>
  <c r="S4" i="30" s="1"/>
  <c r="S9" i="30"/>
  <c r="V2" i="30" s="1"/>
  <c r="R9" i="30"/>
  <c r="Q9" i="30"/>
  <c r="T2" i="30" s="1"/>
  <c r="P9" i="30"/>
  <c r="O9" i="30"/>
  <c r="N4" i="30" s="1"/>
  <c r="N9" i="30"/>
  <c r="M4" i="30" s="1"/>
  <c r="M9" i="30"/>
  <c r="L4" i="30" s="1"/>
  <c r="L9" i="30"/>
  <c r="K4" i="30" s="1"/>
  <c r="K9" i="30"/>
  <c r="N3" i="30" s="1"/>
  <c r="J9" i="30"/>
  <c r="M3" i="30" s="1"/>
  <c r="I9" i="30"/>
  <c r="L3" i="30" s="1"/>
  <c r="H9" i="30"/>
  <c r="K3" i="30" s="1"/>
  <c r="V5" i="30"/>
  <c r="T5" i="30"/>
  <c r="J470" i="37" l="1"/>
  <c r="J468" i="37" s="1"/>
  <c r="J469" i="37" s="1"/>
  <c r="F471" i="37"/>
  <c r="I470" i="37"/>
  <c r="I468" i="37" s="1"/>
  <c r="I469" i="37" s="1"/>
  <c r="L470" i="37"/>
  <c r="L468" i="37" s="1"/>
  <c r="L469" i="37" s="1"/>
  <c r="H470" i="37"/>
  <c r="H468" i="37" s="1"/>
  <c r="H469" i="37" s="1"/>
  <c r="H325" i="37" s="1"/>
  <c r="H324" i="37" s="1"/>
  <c r="H318" i="37" s="1"/>
  <c r="H329" i="37" s="1"/>
  <c r="M470" i="37"/>
  <c r="M468" i="37" s="1"/>
  <c r="M469" i="37" s="1"/>
  <c r="K470" i="37"/>
  <c r="K468" i="37" s="1"/>
  <c r="K469" i="37" s="1"/>
  <c r="N470" i="37"/>
  <c r="N468" i="37" s="1"/>
  <c r="N469" i="37" s="1"/>
  <c r="H6" i="37"/>
  <c r="H81" i="37"/>
  <c r="H5" i="37" s="1"/>
  <c r="G79" i="37"/>
  <c r="F75" i="37"/>
  <c r="G76" i="37"/>
  <c r="G254" i="37"/>
  <c r="G109" i="37" s="1"/>
  <c r="F109" i="37" s="1"/>
  <c r="U2" i="30"/>
  <c r="U3" i="30"/>
  <c r="M2" i="30"/>
  <c r="L2" i="30"/>
  <c r="N2" i="30"/>
  <c r="V3" i="30"/>
  <c r="T3" i="30"/>
  <c r="S2" i="30"/>
  <c r="S3" i="30"/>
  <c r="K2" i="30"/>
  <c r="U27" i="30"/>
  <c r="V27" i="30"/>
  <c r="G470" i="37" l="1"/>
  <c r="G468" i="37" s="1"/>
  <c r="G108" i="37"/>
  <c r="F79" i="37"/>
  <c r="G6" i="37"/>
  <c r="F6" i="37" s="1"/>
  <c r="G81" i="37"/>
  <c r="F76" i="37"/>
  <c r="F78" i="37"/>
  <c r="F108" i="37"/>
  <c r="G102" i="37"/>
  <c r="O136" i="8"/>
  <c r="F468" i="37" l="1"/>
  <c r="G469" i="37"/>
  <c r="G325" i="37" s="1"/>
  <c r="G5" i="37"/>
  <c r="F5" i="37" s="1"/>
  <c r="F81" i="37"/>
  <c r="F102" i="37"/>
  <c r="G113" i="37"/>
  <c r="F113" i="37" s="1"/>
  <c r="N27" i="3"/>
  <c r="F325" i="37" l="1"/>
  <c r="G324" i="37"/>
  <c r="G18" i="35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G318" i="37" l="1"/>
  <c r="F324" i="37"/>
  <c r="S135" i="8"/>
  <c r="S136" i="8" s="1"/>
  <c r="T135" i="8"/>
  <c r="T136" i="8" s="1"/>
  <c r="V1" i="32"/>
  <c r="G329" i="37" l="1"/>
  <c r="F329" i="37" s="1"/>
  <c r="F318" i="37"/>
  <c r="R25" i="32"/>
  <c r="Q25" i="32" s="1"/>
  <c r="R24" i="32"/>
  <c r="Q24" i="32" s="1"/>
  <c r="R23" i="32"/>
  <c r="Q23" i="32" s="1"/>
  <c r="R22" i="32"/>
  <c r="Q22" i="32" s="1"/>
  <c r="R21" i="32"/>
  <c r="Q21" i="32" s="1"/>
  <c r="R20" i="32"/>
  <c r="Q20" i="32" s="1"/>
  <c r="R19" i="32"/>
  <c r="Q19" i="32" s="1"/>
  <c r="R18" i="32"/>
  <c r="Q18" i="32" s="1"/>
  <c r="R17" i="32"/>
  <c r="Q17" i="32" s="1"/>
  <c r="R16" i="32"/>
  <c r="Q16" i="32" s="1"/>
  <c r="R15" i="32"/>
  <c r="Q15" i="32" s="1"/>
  <c r="R14" i="32"/>
  <c r="Q14" i="32" s="1"/>
  <c r="R13" i="32"/>
  <c r="Q13" i="32" s="1"/>
  <c r="R12" i="32"/>
  <c r="Q12" i="32" s="1"/>
  <c r="R11" i="32"/>
  <c r="Q11" i="32" s="1"/>
  <c r="R10" i="32"/>
  <c r="Q10" i="32" s="1"/>
  <c r="R9" i="32"/>
  <c r="S9" i="32" s="1"/>
  <c r="R8" i="32"/>
  <c r="Q8" i="32" s="1"/>
  <c r="R7" i="32"/>
  <c r="R6" i="32"/>
  <c r="Q6" i="32" s="1"/>
  <c r="S7" i="32" l="1"/>
  <c r="S26" i="32" s="1"/>
  <c r="T27" i="32"/>
  <c r="S27" i="32"/>
  <c r="Q7" i="32" l="1"/>
  <c r="Q9" i="32"/>
  <c r="I21" i="31"/>
  <c r="L43" i="6"/>
  <c r="L45" i="6" s="1"/>
  <c r="G32" i="6"/>
  <c r="G34" i="6"/>
  <c r="G35" i="6"/>
  <c r="G36" i="6"/>
  <c r="G37" i="6"/>
  <c r="G38" i="6"/>
  <c r="G39" i="6"/>
  <c r="G40" i="6"/>
  <c r="G41" i="6"/>
  <c r="G42" i="6"/>
  <c r="G30" i="6"/>
  <c r="H32" i="6"/>
  <c r="H34" i="6"/>
  <c r="H35" i="6"/>
  <c r="H36" i="6"/>
  <c r="H37" i="6"/>
  <c r="H38" i="6"/>
  <c r="H39" i="6"/>
  <c r="H40" i="6"/>
  <c r="H41" i="6"/>
  <c r="H42" i="6"/>
  <c r="H30" i="6"/>
  <c r="F32" i="6"/>
  <c r="F34" i="6"/>
  <c r="F35" i="6"/>
  <c r="F36" i="6"/>
  <c r="F37" i="6"/>
  <c r="F38" i="6"/>
  <c r="F39" i="6"/>
  <c r="F40" i="6"/>
  <c r="F41" i="6"/>
  <c r="F42" i="6"/>
  <c r="F30" i="6"/>
  <c r="N4" i="3"/>
  <c r="O4" i="3" s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N19" i="3"/>
  <c r="O19" i="3" s="1"/>
  <c r="N18" i="3"/>
  <c r="O18" i="3" s="1"/>
  <c r="N17" i="3"/>
  <c r="O17" i="3" s="1"/>
  <c r="N16" i="3"/>
  <c r="O16" i="3" s="1"/>
  <c r="N15" i="3"/>
  <c r="O15" i="3" s="1"/>
  <c r="N14" i="3"/>
  <c r="O14" i="3" s="1"/>
  <c r="N13" i="3"/>
  <c r="O13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N6" i="3"/>
  <c r="O6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N136" i="8"/>
  <c r="H2" i="8"/>
  <c r="H14" i="8"/>
  <c r="P48" i="6"/>
  <c r="M48" i="6" s="1"/>
  <c r="Q48" i="6"/>
  <c r="N48" i="6" s="1"/>
  <c r="M25" i="1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D26" i="3"/>
  <c r="C5" i="1"/>
  <c r="M48" i="9"/>
  <c r="I22" i="9"/>
  <c r="C5" i="9"/>
  <c r="F25" i="9"/>
  <c r="N25" i="9" s="1"/>
  <c r="M25" i="9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47" i="31" s="1"/>
  <c r="AB47" i="31" s="1"/>
  <c r="AA13" i="7" s="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N25" i="31"/>
  <c r="F13" i="7"/>
  <c r="E13" i="7"/>
  <c r="D13" i="7"/>
  <c r="F12" i="7"/>
  <c r="E12" i="7"/>
  <c r="D12" i="7"/>
  <c r="F2" i="33" l="1"/>
  <c r="F25" i="33" s="1"/>
  <c r="G31" i="6"/>
  <c r="F31" i="6"/>
  <c r="H31" i="6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N48" i="9" s="1"/>
  <c r="J2" i="9" s="1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M26" i="3"/>
  <c r="K26" i="3"/>
  <c r="I26" i="3"/>
  <c r="Q1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O106" i="8" s="1"/>
  <c r="N82" i="8" s="1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L47" i="6"/>
  <c r="G45" i="6"/>
  <c r="F45" i="6"/>
  <c r="H45" i="6"/>
  <c r="G6" i="35" l="1"/>
  <c r="N25" i="33"/>
  <c r="O26" i="3"/>
  <c r="N2" i="3" s="1"/>
  <c r="N5" i="3" s="1"/>
  <c r="O5" i="3" s="1"/>
  <c r="J2" i="33" l="1"/>
  <c r="F2" i="1"/>
  <c r="F25" i="1" s="1"/>
  <c r="F48" i="1" s="1"/>
  <c r="F71" i="1" s="1"/>
  <c r="F94" i="1" s="1"/>
  <c r="F117" i="1" s="1"/>
  <c r="N117" i="1" l="1"/>
  <c r="F140" i="1"/>
  <c r="N140" i="1" s="1"/>
  <c r="N94" i="1"/>
  <c r="N71" i="1"/>
  <c r="N48" i="1"/>
  <c r="G5" i="35"/>
  <c r="H8" i="35"/>
  <c r="N25" i="1"/>
  <c r="G8" i="35" l="1"/>
  <c r="F163" i="1" l="1"/>
  <c r="N163" i="1" s="1"/>
  <c r="J2" i="1" s="1"/>
  <c r="F2" i="41" s="1"/>
  <c r="F25" i="41" s="1"/>
  <c r="G225" i="35"/>
  <c r="H85" i="35"/>
  <c r="H81" i="35"/>
  <c r="H83" i="35"/>
  <c r="H48" i="35"/>
  <c r="H80" i="35"/>
  <c r="H79" i="35"/>
  <c r="H87" i="35"/>
  <c r="H82" i="35"/>
  <c r="H88" i="35"/>
  <c r="H51" i="35"/>
  <c r="H50" i="35"/>
  <c r="H49" i="35"/>
  <c r="H86" i="35"/>
  <c r="H13" i="35"/>
  <c r="H89" i="35"/>
  <c r="H47" i="35"/>
  <c r="N25" i="41" l="1"/>
  <c r="F48" i="41"/>
  <c r="K16" i="1"/>
  <c r="J16" i="1"/>
  <c r="G12" i="35"/>
  <c r="H14" i="35"/>
  <c r="H9" i="35"/>
  <c r="G13" i="35"/>
  <c r="H10" i="35"/>
  <c r="G51" i="35"/>
  <c r="H84" i="35"/>
  <c r="G88" i="35"/>
  <c r="G49" i="35"/>
  <c r="G89" i="35"/>
  <c r="G50" i="35"/>
  <c r="G87" i="35"/>
  <c r="H78" i="35"/>
  <c r="G48" i="35"/>
  <c r="G47" i="35"/>
  <c r="F71" i="41" l="1"/>
  <c r="N48" i="41"/>
  <c r="G10" i="35"/>
  <c r="G14" i="35"/>
  <c r="H11" i="35"/>
  <c r="G84" i="35"/>
  <c r="H91" i="35"/>
  <c r="G78" i="35"/>
  <c r="N71" i="41" l="1"/>
  <c r="F94" i="41"/>
  <c r="G91" i="35"/>
  <c r="G11" i="35"/>
  <c r="H27" i="35"/>
  <c r="N94" i="41" l="1"/>
  <c r="F117" i="41"/>
  <c r="H53" i="35"/>
  <c r="H92" i="35" s="1"/>
  <c r="N117" i="41" l="1"/>
  <c r="F140" i="41"/>
  <c r="N140" i="41" s="1"/>
  <c r="J2" i="41" s="1"/>
  <c r="H18" i="8" s="1"/>
  <c r="G9" i="35"/>
  <c r="J16" i="41" l="1"/>
  <c r="K16" i="41"/>
  <c r="G21" i="35"/>
  <c r="G27" i="35"/>
  <c r="G92" i="35" l="1"/>
  <c r="G53" i="35"/>
  <c r="G23" i="35" l="1"/>
  <c r="G22" i="35" l="1"/>
  <c r="H16" i="35"/>
  <c r="G16" i="35" l="1"/>
  <c r="H15" i="35"/>
  <c r="H25" i="6" l="1"/>
  <c r="H2" i="41" s="1"/>
  <c r="H25" i="41" s="1"/>
  <c r="H254" i="35"/>
  <c r="G254" i="35" s="1"/>
  <c r="H270" i="35"/>
  <c r="G270" i="35" s="1"/>
  <c r="H259" i="35"/>
  <c r="G259" i="35" s="1"/>
  <c r="H261" i="35"/>
  <c r="G261" i="35" s="1"/>
  <c r="H268" i="35"/>
  <c r="G268" i="35" s="1"/>
  <c r="H255" i="35"/>
  <c r="G255" i="35" s="1"/>
  <c r="H258" i="35"/>
  <c r="G258" i="35" s="1"/>
  <c r="H253" i="35"/>
  <c r="G253" i="35" s="1"/>
  <c r="H263" i="35"/>
  <c r="G263" i="35" s="1"/>
  <c r="H256" i="35"/>
  <c r="G256" i="35" s="1"/>
  <c r="H257" i="35"/>
  <c r="G257" i="35" s="1"/>
  <c r="H264" i="35"/>
  <c r="G264" i="35" s="1"/>
  <c r="H262" i="35"/>
  <c r="G262" i="35" s="1"/>
  <c r="H265" i="35"/>
  <c r="G265" i="35" s="1"/>
  <c r="H267" i="35"/>
  <c r="G267" i="35" s="1"/>
  <c r="H260" i="35"/>
  <c r="G260" i="35" s="1"/>
  <c r="H269" i="35"/>
  <c r="G269" i="35" s="1"/>
  <c r="H266" i="35"/>
  <c r="G266" i="35" s="1"/>
  <c r="H271" i="35"/>
  <c r="G271" i="35" s="1"/>
  <c r="H277" i="35"/>
  <c r="G277" i="35" s="1"/>
  <c r="H273" i="35"/>
  <c r="G273" i="35" s="1"/>
  <c r="H274" i="35"/>
  <c r="G274" i="35" s="1"/>
  <c r="H276" i="35"/>
  <c r="G276" i="35" s="1"/>
  <c r="H272" i="35"/>
  <c r="G272" i="35" s="1"/>
  <c r="H275" i="35"/>
  <c r="G275" i="35" s="1"/>
  <c r="H252" i="35"/>
  <c r="G252" i="35" s="1"/>
  <c r="H227" i="35"/>
  <c r="G227" i="35" s="1"/>
  <c r="H243" i="35"/>
  <c r="G243" i="35" s="1"/>
  <c r="H236" i="35"/>
  <c r="G236" i="35" s="1"/>
  <c r="H229" i="35"/>
  <c r="G229" i="35" s="1"/>
  <c r="H245" i="35"/>
  <c r="G245" i="35" s="1"/>
  <c r="H232" i="35"/>
  <c r="G232" i="35" s="1"/>
  <c r="H231" i="35"/>
  <c r="G231" i="35" s="1"/>
  <c r="H234" i="35"/>
  <c r="G234" i="35" s="1"/>
  <c r="H240" i="35"/>
  <c r="G240" i="35" s="1"/>
  <c r="H233" i="35"/>
  <c r="G233" i="35" s="1"/>
  <c r="H230" i="35"/>
  <c r="G230" i="35" s="1"/>
  <c r="H241" i="35"/>
  <c r="G241" i="35" s="1"/>
  <c r="H235" i="35"/>
  <c r="G235" i="35" s="1"/>
  <c r="H228" i="35"/>
  <c r="G228" i="35" s="1"/>
  <c r="H244" i="35"/>
  <c r="G244" i="35" s="1"/>
  <c r="H237" i="35"/>
  <c r="G237" i="35" s="1"/>
  <c r="H238" i="35"/>
  <c r="G238" i="35" s="1"/>
  <c r="H239" i="35"/>
  <c r="G239" i="35" s="1"/>
  <c r="H242" i="35"/>
  <c r="G242" i="35" s="1"/>
  <c r="H251" i="35"/>
  <c r="G251" i="35" s="1"/>
  <c r="H247" i="35"/>
  <c r="G247" i="35" s="1"/>
  <c r="H248" i="35"/>
  <c r="G248" i="35" s="1"/>
  <c r="H250" i="35"/>
  <c r="G250" i="35" s="1"/>
  <c r="H246" i="35"/>
  <c r="G246" i="35" s="1"/>
  <c r="H249" i="35"/>
  <c r="G249" i="35" s="1"/>
  <c r="H226" i="35"/>
  <c r="G226" i="35" s="1"/>
  <c r="H203" i="35"/>
  <c r="G203" i="35" s="1"/>
  <c r="H219" i="35"/>
  <c r="G219" i="35" s="1"/>
  <c r="H208" i="35"/>
  <c r="G208" i="35" s="1"/>
  <c r="H201" i="35"/>
  <c r="G201" i="35" s="1"/>
  <c r="H217" i="35"/>
  <c r="G217" i="35" s="1"/>
  <c r="H204" i="35"/>
  <c r="G204" i="35" s="1"/>
  <c r="H207" i="35"/>
  <c r="G207" i="35" s="1"/>
  <c r="H206" i="35"/>
  <c r="G206" i="35" s="1"/>
  <c r="H212" i="35"/>
  <c r="G212" i="35" s="1"/>
  <c r="H205" i="35"/>
  <c r="G205" i="35" s="1"/>
  <c r="H202" i="35"/>
  <c r="G202" i="35" s="1"/>
  <c r="H210" i="35"/>
  <c r="G210" i="35" s="1"/>
  <c r="H211" i="35"/>
  <c r="G211" i="35" s="1"/>
  <c r="H218" i="35"/>
  <c r="G218" i="35" s="1"/>
  <c r="H216" i="35"/>
  <c r="G216" i="35" s="1"/>
  <c r="H209" i="35"/>
  <c r="G209" i="35" s="1"/>
  <c r="H214" i="35"/>
  <c r="G214" i="35" s="1"/>
  <c r="H215" i="35"/>
  <c r="G215" i="35" s="1"/>
  <c r="H213" i="35"/>
  <c r="G213" i="35" s="1"/>
  <c r="H221" i="35"/>
  <c r="G221" i="35" s="1"/>
  <c r="H222" i="35"/>
  <c r="G222" i="35" s="1"/>
  <c r="H224" i="35"/>
  <c r="G224" i="35" s="1"/>
  <c r="H220" i="35"/>
  <c r="G220" i="35" s="1"/>
  <c r="H223" i="35"/>
  <c r="G223" i="35" s="1"/>
  <c r="H200" i="35"/>
  <c r="G200" i="35" s="1"/>
  <c r="H177" i="35"/>
  <c r="G177" i="35" s="1"/>
  <c r="H193" i="35"/>
  <c r="G193" i="35" s="1"/>
  <c r="H182" i="35"/>
  <c r="G182" i="35" s="1"/>
  <c r="H175" i="35"/>
  <c r="G175" i="35" s="1"/>
  <c r="H191" i="35"/>
  <c r="G191" i="35" s="1"/>
  <c r="H178" i="35"/>
  <c r="G178" i="35" s="1"/>
  <c r="H181" i="35"/>
  <c r="G181" i="35" s="1"/>
  <c r="H176" i="35"/>
  <c r="G176" i="35" s="1"/>
  <c r="H186" i="35"/>
  <c r="G186" i="35" s="1"/>
  <c r="H179" i="35"/>
  <c r="G179" i="35" s="1"/>
  <c r="H180" i="35"/>
  <c r="G180" i="35" s="1"/>
  <c r="H187" i="35"/>
  <c r="G187" i="35" s="1"/>
  <c r="H185" i="35"/>
  <c r="G185" i="35" s="1"/>
  <c r="H184" i="35"/>
  <c r="G184" i="35" s="1"/>
  <c r="H190" i="35"/>
  <c r="G190" i="35" s="1"/>
  <c r="H183" i="35"/>
  <c r="G183" i="35" s="1"/>
  <c r="H188" i="35"/>
  <c r="G188" i="35" s="1"/>
  <c r="H189" i="35"/>
  <c r="G189" i="35" s="1"/>
  <c r="H192" i="35"/>
  <c r="G192" i="35" s="1"/>
  <c r="H198" i="35"/>
  <c r="G198" i="35" s="1"/>
  <c r="H194" i="35"/>
  <c r="G194" i="35" s="1"/>
  <c r="H197" i="35"/>
  <c r="G197" i="35" s="1"/>
  <c r="H195" i="35"/>
  <c r="G195" i="35" s="1"/>
  <c r="H196" i="35"/>
  <c r="G196" i="35" s="1"/>
  <c r="H174" i="35"/>
  <c r="G174" i="35" s="1"/>
  <c r="H150" i="35"/>
  <c r="G150" i="35" s="1"/>
  <c r="H166" i="35"/>
  <c r="G166" i="35" s="1"/>
  <c r="H159" i="35"/>
  <c r="G159" i="35" s="1"/>
  <c r="H165" i="35"/>
  <c r="G165" i="35" s="1"/>
  <c r="H164" i="35"/>
  <c r="G164" i="35" s="1"/>
  <c r="H162" i="35"/>
  <c r="G162" i="35" s="1"/>
  <c r="H160" i="35"/>
  <c r="G160" i="35" s="1"/>
  <c r="H154" i="35"/>
  <c r="G154" i="35" s="1"/>
  <c r="H157" i="35"/>
  <c r="G157" i="35" s="1"/>
  <c r="H163" i="35"/>
  <c r="G163" i="35" s="1"/>
  <c r="H152" i="35"/>
  <c r="G152" i="35" s="1"/>
  <c r="H149" i="35"/>
  <c r="G149" i="35" s="1"/>
  <c r="H161" i="35"/>
  <c r="G161" i="35" s="1"/>
  <c r="H153" i="35"/>
  <c r="G153" i="35" s="1"/>
  <c r="H158" i="35"/>
  <c r="G158" i="35" s="1"/>
  <c r="H151" i="35"/>
  <c r="G151" i="35" s="1"/>
  <c r="H167" i="35"/>
  <c r="G167" i="35" s="1"/>
  <c r="H156" i="35"/>
  <c r="G156" i="35" s="1"/>
  <c r="H155" i="35"/>
  <c r="G155" i="35" s="1"/>
  <c r="H169" i="35"/>
  <c r="G169" i="35" s="1"/>
  <c r="H170" i="35"/>
  <c r="G170" i="35" s="1"/>
  <c r="H172" i="35"/>
  <c r="G172" i="35" s="1"/>
  <c r="H168" i="35"/>
  <c r="G168" i="35" s="1"/>
  <c r="H171" i="35"/>
  <c r="G171" i="35" s="1"/>
  <c r="H148" i="35"/>
  <c r="G148" i="35" s="1"/>
  <c r="H325" i="35"/>
  <c r="G123" i="35"/>
  <c r="G139" i="35"/>
  <c r="G128" i="35"/>
  <c r="G130" i="35"/>
  <c r="G137" i="35"/>
  <c r="G141" i="35"/>
  <c r="G133" i="35"/>
  <c r="G127" i="35"/>
  <c r="G126" i="35"/>
  <c r="G132" i="35"/>
  <c r="G125" i="35"/>
  <c r="G124" i="35"/>
  <c r="G131" i="35"/>
  <c r="G134" i="35"/>
  <c r="G136" i="35"/>
  <c r="G129" i="35"/>
  <c r="G138" i="35"/>
  <c r="G135" i="35"/>
  <c r="G140" i="35"/>
  <c r="G143" i="35"/>
  <c r="G144" i="35"/>
  <c r="G146" i="35"/>
  <c r="G142" i="35"/>
  <c r="G145" i="35"/>
  <c r="G122" i="35"/>
  <c r="H323" i="35"/>
  <c r="G323" i="35" s="1"/>
  <c r="H322" i="35"/>
  <c r="H319" i="35"/>
  <c r="G319" i="35" s="1"/>
  <c r="H318" i="35"/>
  <c r="G318" i="35" s="1"/>
  <c r="H317" i="35"/>
  <c r="G317" i="35" s="1"/>
  <c r="H316" i="35"/>
  <c r="G316" i="35" s="1"/>
  <c r="H315" i="35"/>
  <c r="G298" i="35"/>
  <c r="G295" i="35"/>
  <c r="G299" i="35"/>
  <c r="G301" i="35"/>
  <c r="G310" i="35"/>
  <c r="G309" i="35"/>
  <c r="G311" i="35"/>
  <c r="G304" i="35"/>
  <c r="G302" i="35"/>
  <c r="G303" i="35"/>
  <c r="G308" i="35"/>
  <c r="G305" i="35"/>
  <c r="G307" i="35"/>
  <c r="G300" i="35"/>
  <c r="G306" i="35"/>
  <c r="G313" i="35"/>
  <c r="H96" i="35"/>
  <c r="H97" i="35"/>
  <c r="G97" i="35" s="1"/>
  <c r="H113" i="35"/>
  <c r="G113" i="35" s="1"/>
  <c r="H102" i="35"/>
  <c r="G102" i="35" s="1"/>
  <c r="H104" i="35"/>
  <c r="G104" i="35" s="1"/>
  <c r="H111" i="35"/>
  <c r="G111" i="35" s="1"/>
  <c r="H98" i="35"/>
  <c r="G98" i="35" s="1"/>
  <c r="H101" i="35"/>
  <c r="G101" i="35" s="1"/>
  <c r="H108" i="35"/>
  <c r="G108" i="35" s="1"/>
  <c r="H106" i="35"/>
  <c r="G106" i="35" s="1"/>
  <c r="H99" i="35"/>
  <c r="G99" i="35" s="1"/>
  <c r="H115" i="35"/>
  <c r="G115" i="35" s="1"/>
  <c r="H107" i="35"/>
  <c r="G107" i="35" s="1"/>
  <c r="H105" i="35"/>
  <c r="G105" i="35" s="1"/>
  <c r="H112" i="35"/>
  <c r="G112" i="35" s="1"/>
  <c r="H110" i="35"/>
  <c r="G110" i="35" s="1"/>
  <c r="H103" i="35"/>
  <c r="G103" i="35" s="1"/>
  <c r="H100" i="35"/>
  <c r="G100" i="35" s="1"/>
  <c r="H109" i="35"/>
  <c r="G109" i="35" s="1"/>
  <c r="H114" i="35"/>
  <c r="G114" i="35" s="1"/>
  <c r="H119" i="35"/>
  <c r="G119" i="35" s="1"/>
  <c r="H116" i="35"/>
  <c r="G116" i="35" s="1"/>
  <c r="H117" i="35"/>
  <c r="G117" i="35" s="1"/>
  <c r="H118" i="35"/>
  <c r="G118" i="35" s="1"/>
  <c r="H120" i="35"/>
  <c r="G120" i="35" s="1"/>
  <c r="H19" i="35"/>
  <c r="G15" i="35"/>
  <c r="H48" i="41" l="1"/>
  <c r="H71" i="41" s="1"/>
  <c r="G19" i="35"/>
  <c r="H326" i="35"/>
  <c r="G326" i="35" s="1"/>
  <c r="I8" i="33"/>
  <c r="H278" i="35"/>
  <c r="H27" i="8"/>
  <c r="H2" i="33"/>
  <c r="H25" i="33" s="1"/>
  <c r="H2" i="1"/>
  <c r="H25" i="1" s="1"/>
  <c r="H48" i="1" s="1"/>
  <c r="H71" i="1" s="1"/>
  <c r="H94" i="1" s="1"/>
  <c r="H2" i="9"/>
  <c r="H25" i="9" s="1"/>
  <c r="H48" i="6"/>
  <c r="J48" i="6" s="1"/>
  <c r="G281" i="35"/>
  <c r="H314" i="35"/>
  <c r="G314" i="35" s="1"/>
  <c r="H321" i="35"/>
  <c r="G321" i="35" s="1"/>
  <c r="G315" i="35"/>
  <c r="G96" i="35"/>
  <c r="H327" i="35"/>
  <c r="G327" i="35" s="1"/>
  <c r="G325" i="35"/>
  <c r="H324" i="35"/>
  <c r="G324" i="35" s="1"/>
  <c r="G322" i="35"/>
  <c r="H94" i="41" l="1"/>
  <c r="H117" i="1"/>
  <c r="H48" i="9"/>
  <c r="H71" i="9"/>
  <c r="H328" i="35"/>
  <c r="G278" i="35"/>
  <c r="H117" i="41" l="1"/>
  <c r="H140" i="41" s="1"/>
  <c r="H140" i="1"/>
  <c r="H163" i="1" s="1"/>
  <c r="H24" i="35"/>
  <c r="H329" i="35"/>
  <c r="G328" i="35"/>
  <c r="G329" i="35" s="1"/>
  <c r="G24" i="35" l="1"/>
</calcChain>
</file>

<file path=xl/comments1.xml><?xml version="1.0" encoding="utf-8"?>
<comments xmlns="http://schemas.openxmlformats.org/spreadsheetml/2006/main">
  <authors>
    <author>佐藤　裕孝</author>
  </authors>
  <commentList>
    <comment ref="N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設計書番号を入力
（2019-は自動で追記されるので入力不要）
</t>
        </r>
      </text>
    </comment>
  </commentList>
</comments>
</file>

<file path=xl/comments2.xml><?xml version="1.0" encoding="utf-8"?>
<comments xmlns="http://schemas.openxmlformats.org/spreadsheetml/2006/main">
  <authors>
    <author>若島　寛子</author>
  </authors>
  <commentList>
    <comment ref="I1" authorId="0" shapeId="0">
      <text>
        <r>
          <rPr>
            <b/>
            <sz val="14"/>
            <color indexed="10"/>
            <rFont val="MS P ゴシック"/>
            <family val="3"/>
            <charset val="128"/>
          </rPr>
          <t>Ｉ列は入力・削除等の操作を行わないでください。</t>
        </r>
      </text>
    </comment>
    <comment ref="I2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クリーム色着色部分：
該当する場合のみ直接入力してください。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4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建物附属設備は、各工事シートで選択されたものが自動集計される。</t>
        </r>
      </text>
    </comment>
    <comment ref="I6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クリーム色着色部分：
該当する場合のみ直接入力してください。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工具・器具・備品は、各工事シートで選択されたものが自動集計される。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佐藤　裕孝</author>
    <author>profile</author>
    <author>今井　得裕</author>
  </authors>
  <commentList>
    <comment ref="G4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=IF(G42=0,IF(G35=0,IF(G8=G65,0,G43+G46+G47),G43+G46+G47),G42)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92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C117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117" authorId="1" shapeId="0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143" authorId="1" shapeId="0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154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20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</text>
    </comment>
    <comment ref="G225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6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8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34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C237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G250" authorId="1" shapeId="0">
      <text>
        <r>
          <rPr>
            <sz val="9"/>
            <color indexed="81"/>
            <rFont val="ＭＳ Ｐゴシック"/>
            <family val="3"/>
            <charset val="128"/>
          </rPr>
          <t>H23）設備明細の直工金額を入力</t>
        </r>
      </text>
    </comment>
    <comment ref="G251" authorId="1" shapeId="0">
      <text>
        <r>
          <rPr>
            <sz val="9"/>
            <color indexed="81"/>
            <rFont val="ＭＳ Ｐゴシック"/>
            <family val="3"/>
            <charset val="128"/>
          </rPr>
          <t>H23）設備明細の共仮金額を入力</t>
        </r>
      </text>
    </comment>
    <comment ref="C262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262" authorId="1" shapeId="0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288" authorId="1" shapeId="0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299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9214806</author>
  </authors>
  <commentList>
    <comment ref="G7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8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<sst xmlns="http://schemas.openxmlformats.org/spreadsheetml/2006/main" count="5670" uniqueCount="3112">
  <si>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</si>
  <si>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</si>
  <si>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</si>
  <si>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</si>
  <si>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</si>
  <si>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</si>
  <si>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</si>
  <si>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</si>
  <si>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</si>
  <si>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</si>
  <si>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2"/>
  </si>
  <si>
    <t>円</t>
    <rPh sb="0" eb="1">
      <t>エン</t>
    </rPh>
    <phoneticPr fontId="2"/>
  </si>
  <si>
    <t>作業時間</t>
    <phoneticPr fontId="2"/>
  </si>
  <si>
    <t>消費税及び地方消費税相当額</t>
  </si>
  <si>
    <t>○○工事の部</t>
    <rPh sb="2" eb="4">
      <t>コウジ</t>
    </rPh>
    <rPh sb="5" eb="6">
      <t>ブ</t>
    </rPh>
    <phoneticPr fontId="2"/>
  </si>
  <si>
    <t>〇〇工事   見積り金額比較表</t>
  </si>
  <si>
    <t>作業</t>
    <rPh sb="0" eb="2">
      <t>サギョウ</t>
    </rPh>
    <phoneticPr fontId="2"/>
  </si>
  <si>
    <t>時間</t>
    <rPh sb="0" eb="2">
      <t>ジカン</t>
    </rPh>
    <phoneticPr fontId="2"/>
  </si>
  <si>
    <t>運搬</t>
    <rPh sb="0" eb="2">
      <t>ウンパン</t>
    </rPh>
    <phoneticPr fontId="2"/>
  </si>
  <si>
    <t>名　　　　称</t>
    <rPh sb="0" eb="1">
      <t>メイ</t>
    </rPh>
    <rPh sb="5" eb="6">
      <t>ショウ</t>
    </rPh>
    <phoneticPr fontId="2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</si>
  <si>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</si>
  <si>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</si>
  <si>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</si>
  <si>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1">
      <t>タン</t>
    </rPh>
    <rPh sb="2" eb="3">
      <t>アタイ</t>
    </rPh>
    <phoneticPr fontId="2"/>
  </si>
  <si>
    <t>金　額</t>
    <rPh sb="0" eb="1">
      <t>キン</t>
    </rPh>
    <rPh sb="2" eb="3">
      <t>ガク</t>
    </rPh>
    <phoneticPr fontId="2"/>
  </si>
  <si>
    <t>C:</t>
    <phoneticPr fontId="2"/>
  </si>
  <si>
    <t>ｺｰﾄﾞNo</t>
    <phoneticPr fontId="2"/>
  </si>
  <si>
    <t>調整単価</t>
    <rPh sb="0" eb="2">
      <t>チョウセイ</t>
    </rPh>
    <rPh sb="2" eb="3">
      <t>タン</t>
    </rPh>
    <rPh sb="3" eb="4">
      <t>アタイ</t>
    </rPh>
    <phoneticPr fontId="2"/>
  </si>
  <si>
    <t>採用単価</t>
    <rPh sb="0" eb="2">
      <t>サイヨウ</t>
    </rPh>
    <rPh sb="2" eb="4">
      <t>タンカ</t>
    </rPh>
    <phoneticPr fontId="2"/>
  </si>
  <si>
    <t>最小値→</t>
    <rPh sb="0" eb="3">
      <t>サイショウチ</t>
    </rPh>
    <phoneticPr fontId="2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</si>
  <si>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</si>
  <si>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</si>
  <si>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</si>
  <si>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</si>
  <si>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</si>
  <si>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</si>
  <si>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</si>
  <si>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</si>
  <si>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</si>
  <si>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2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</si>
  <si>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2"/>
  </si>
  <si>
    <t>標準単価ファイル名</t>
    <rPh sb="0" eb="2">
      <t>ヒョウジュン</t>
    </rPh>
    <rPh sb="2" eb="4">
      <t>タンカ</t>
    </rPh>
    <rPh sb="8" eb="9">
      <t>メイ</t>
    </rPh>
    <phoneticPr fontId="2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</si>
  <si>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2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</si>
  <si>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2"/>
  </si>
  <si>
    <t>運搬時間</t>
    <phoneticPr fontId="2"/>
  </si>
  <si>
    <t>cells(8,8)</t>
    <phoneticPr fontId="2"/>
  </si>
  <si>
    <t>cells(10,8)</t>
    <phoneticPr fontId="2"/>
  </si>
  <si>
    <t>cells(12,8)</t>
    <phoneticPr fontId="2"/>
  </si>
  <si>
    <t>　計</t>
    <rPh sb="1" eb="2">
      <t>ケイ</t>
    </rPh>
    <phoneticPr fontId="2"/>
  </si>
  <si>
    <t>/</t>
    <phoneticPr fontId="2"/>
  </si>
  <si>
    <t>前シートのページ数</t>
    <rPh sb="0" eb="1">
      <t>ゼン</t>
    </rPh>
    <rPh sb="8" eb="9">
      <t>スウ</t>
    </rPh>
    <phoneticPr fontId="2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</si>
  <si>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2"/>
  </si>
  <si>
    <t>cells(14,8)</t>
    <phoneticPr fontId="2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</si>
  <si>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2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</si>
  <si>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2"/>
  </si>
  <si>
    <t>cells(18,8)</t>
    <phoneticPr fontId="2"/>
  </si>
  <si>
    <t>このシートの最終ページ数</t>
    <rPh sb="6" eb="8">
      <t>サイシュウ</t>
    </rPh>
    <rPh sb="11" eb="12">
      <t>スウ</t>
    </rPh>
    <phoneticPr fontId="2"/>
  </si>
  <si>
    <t>代価一覧のデータ数</t>
    <rPh sb="0" eb="2">
      <t>ダイカ</t>
    </rPh>
    <rPh sb="2" eb="4">
      <t>イチラン</t>
    </rPh>
    <rPh sb="8" eb="9">
      <t>スウ</t>
    </rPh>
    <phoneticPr fontId="2"/>
  </si>
  <si>
    <t>cells(20,8)</t>
    <phoneticPr fontId="2"/>
  </si>
  <si>
    <t>名称(空白は不可)</t>
    <rPh sb="3" eb="5">
      <t>クウハク</t>
    </rPh>
    <rPh sb="6" eb="8">
      <t>フカ</t>
    </rPh>
    <phoneticPr fontId="2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</si>
  <si>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</si>
  <si>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2"/>
  </si>
  <si>
    <t>全ページ数</t>
    <rPh sb="0" eb="1">
      <t>ゼン</t>
    </rPh>
    <rPh sb="4" eb="5">
      <t>スウ</t>
    </rPh>
    <phoneticPr fontId="2"/>
  </si>
  <si>
    <t>この参考明細のバージョン</t>
    <rPh sb="2" eb="4">
      <t>サンコウ</t>
    </rPh>
    <rPh sb="4" eb="6">
      <t>メイサイ</t>
    </rPh>
    <phoneticPr fontId="2"/>
  </si>
  <si>
    <t>cells(25,8)</t>
    <phoneticPr fontId="2"/>
  </si>
  <si>
    <t>(</t>
  </si>
  <si>
    <t>)</t>
  </si>
  <si>
    <t>材料</t>
    <rPh sb="0" eb="2">
      <t>ザイリョウ</t>
    </rPh>
    <phoneticPr fontId="2"/>
  </si>
  <si>
    <t>形状寸法</t>
    <rPh sb="0" eb="2">
      <t>ケイジョウ</t>
    </rPh>
    <rPh sb="2" eb="4">
      <t>スンポウ</t>
    </rPh>
    <phoneticPr fontId="2"/>
  </si>
  <si>
    <t>重量</t>
    <rPh sb="0" eb="2">
      <t>ジュウリョウ</t>
    </rPh>
    <phoneticPr fontId="2"/>
  </si>
  <si>
    <t>(</t>
    <phoneticPr fontId="2"/>
  </si>
  <si>
    <t>)</t>
    <phoneticPr fontId="2"/>
  </si>
  <si>
    <t>(</t>
    <phoneticPr fontId="2"/>
  </si>
  <si>
    <t>)</t>
    <phoneticPr fontId="2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</si>
  <si>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</si>
  <si>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</si>
  <si>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</si>
  <si>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</si>
  <si>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</si>
  <si>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</si>
  <si>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</si>
  <si>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2"/>
  </si>
  <si>
    <t>c:\積算\</t>
    <rPh sb="3" eb="5">
      <t>セキサン</t>
    </rPh>
    <phoneticPr fontId="2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</si>
  <si>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2"/>
  </si>
  <si>
    <t>シートの保護を有効にするか(Yes=1 No=0)</t>
    <rPh sb="4" eb="6">
      <t>ホゴ</t>
    </rPh>
    <rPh sb="7" eb="9">
      <t>ユウコウ</t>
    </rPh>
    <phoneticPr fontId="2"/>
  </si>
  <si>
    <t>cells(29,8)</t>
    <phoneticPr fontId="2"/>
  </si>
  <si>
    <t>Fc=24,sl=15</t>
  </si>
  <si>
    <t>調整率</t>
    <rPh sb="0" eb="2">
      <t>チョウセイ</t>
    </rPh>
    <rPh sb="2" eb="3">
      <t>リツ</t>
    </rPh>
    <phoneticPr fontId="2"/>
  </si>
  <si>
    <t>page</t>
    <phoneticPr fontId="2"/>
  </si>
  <si>
    <t>/</t>
    <phoneticPr fontId="2"/>
  </si>
  <si>
    <t>(</t>
    <phoneticPr fontId="2"/>
  </si>
  <si>
    <t>)</t>
    <phoneticPr fontId="2"/>
  </si>
  <si>
    <t>1A-3A</t>
    <phoneticPr fontId="2"/>
  </si>
  <si>
    <t>1A-4A</t>
    <phoneticPr fontId="2"/>
  </si>
  <si>
    <t>Ｄ１０</t>
    <phoneticPr fontId="2"/>
  </si>
  <si>
    <t>t</t>
    <phoneticPr fontId="2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</si>
  <si>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2"/>
  </si>
  <si>
    <t>cells(4,4)</t>
    <phoneticPr fontId="2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</si>
  <si>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2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</si>
  <si>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2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</si>
  <si>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2"/>
  </si>
  <si>
    <t>cells(6,4)</t>
    <phoneticPr fontId="2"/>
  </si>
  <si>
    <t>cells(8,4)</t>
    <phoneticPr fontId="2"/>
  </si>
  <si>
    <t>cells(10,4)</t>
    <phoneticPr fontId="2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</si>
  <si>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2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</si>
  <si>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2"/>
  </si>
  <si>
    <t>現在のEXCELのバージョン</t>
    <rPh sb="0" eb="2">
      <t>ゲンザイ</t>
    </rPh>
    <phoneticPr fontId="2"/>
  </si>
  <si>
    <t>cells(12,4)</t>
    <phoneticPr fontId="2"/>
  </si>
  <si>
    <t>Fc=24,sl=18</t>
  </si>
  <si>
    <t>cells(14,4)</t>
    <phoneticPr fontId="2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</si>
  <si>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2"/>
  </si>
  <si>
    <t>鉄筋 SD295A</t>
    <rPh sb="0" eb="2">
      <t>テッキン</t>
    </rPh>
    <phoneticPr fontId="2"/>
  </si>
  <si>
    <t>鉄筋 SD345</t>
    <rPh sb="0" eb="2">
      <t>テッキン</t>
    </rPh>
    <phoneticPr fontId="2"/>
  </si>
  <si>
    <t>cells(2,4)</t>
    <phoneticPr fontId="2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</si>
  <si>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2"/>
  </si>
  <si>
    <t>ヵ所</t>
    <rPh sb="1" eb="2">
      <t>ショ</t>
    </rPh>
    <phoneticPr fontId="2"/>
  </si>
  <si>
    <t>諸経費表ファイル名</t>
    <rPh sb="0" eb="3">
      <t>ショケイヒ</t>
    </rPh>
    <rPh sb="3" eb="4">
      <t>ヒョウ</t>
    </rPh>
    <rPh sb="8" eb="9">
      <t>メイ</t>
    </rPh>
    <phoneticPr fontId="2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</si>
  <si>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2"/>
  </si>
  <si>
    <t>諸経費表のシート名（１－３）</t>
    <rPh sb="0" eb="3">
      <t>ショケイヒ</t>
    </rPh>
    <rPh sb="3" eb="4">
      <t>ヒョウ</t>
    </rPh>
    <rPh sb="8" eb="9">
      <t>メイ</t>
    </rPh>
    <phoneticPr fontId="2"/>
  </si>
  <si>
    <t>cells(31,8)</t>
    <phoneticPr fontId="2"/>
  </si>
  <si>
    <t>cells(32,8)</t>
    <phoneticPr fontId="2"/>
  </si>
  <si>
    <t>cells(33,8)</t>
    <phoneticPr fontId="2"/>
  </si>
  <si>
    <t>cells(27,8(9))</t>
    <phoneticPr fontId="2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</si>
  <si>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2"/>
  </si>
  <si>
    <t>廃プラ</t>
  </si>
  <si>
    <t>がれき</t>
  </si>
  <si>
    <t>繊維くず</t>
  </si>
  <si>
    <t>繊維くず</t>
    <rPh sb="0" eb="2">
      <t>センイ</t>
    </rPh>
    <phoneticPr fontId="2"/>
  </si>
  <si>
    <t>ガラス
陶磁器</t>
    <rPh sb="4" eb="7">
      <t>トウジキ</t>
    </rPh>
    <phoneticPr fontId="2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</si>
  <si>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2"/>
  </si>
  <si>
    <t>鉄</t>
    <rPh sb="0" eb="1">
      <t>テツ</t>
    </rPh>
    <phoneticPr fontId="2"/>
  </si>
  <si>
    <t>アルミ</t>
    <phoneticPr fontId="2"/>
  </si>
  <si>
    <t>銅</t>
    <rPh sb="0" eb="1">
      <t>ドウ</t>
    </rPh>
    <phoneticPr fontId="2"/>
  </si>
  <si>
    <t>ｽﾃﾝﾚｽ</t>
    <phoneticPr fontId="2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</si>
  <si>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2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</si>
  <si>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</si>
  <si>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</si>
  <si>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</si>
  <si>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</si>
  <si>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</si>
  <si>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2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</si>
  <si>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</si>
  <si>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2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</si>
  <si>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2"/>
  </si>
  <si>
    <t>ｽｸﾗｯﾌﾟ重量</t>
    <rPh sb="6" eb="8">
      <t>ジュウリョウ</t>
    </rPh>
    <phoneticPr fontId="2"/>
  </si>
  <si>
    <t>m2</t>
  </si>
  <si>
    <t>１．直接工事費</t>
    <rPh sb="2" eb="4">
      <t>チョクセツ</t>
    </rPh>
    <rPh sb="4" eb="7">
      <t>コウジヒ</t>
    </rPh>
    <phoneticPr fontId="2"/>
  </si>
  <si>
    <t>２．共通費</t>
    <rPh sb="2" eb="4">
      <t>キョウツウ</t>
    </rPh>
    <rPh sb="4" eb="5">
      <t>ヒ</t>
    </rPh>
    <phoneticPr fontId="2"/>
  </si>
  <si>
    <t>現場管理費・一般管理費等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トウ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</si>
  <si>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</si>
  <si>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共通仮設費</t>
    <rPh sb="4" eb="5">
      <t>ヒ</t>
    </rPh>
    <phoneticPr fontId="2"/>
  </si>
  <si>
    <t>作業時間</t>
    <phoneticPr fontId="2"/>
  </si>
  <si>
    <t>page</t>
    <phoneticPr fontId="2"/>
  </si>
  <si>
    <t>/</t>
    <phoneticPr fontId="2"/>
  </si>
  <si>
    <t>会所４００角</t>
    <rPh sb="0" eb="2">
      <t>カイショ</t>
    </rPh>
    <rPh sb="5" eb="6">
      <t>カク</t>
    </rPh>
    <phoneticPr fontId="2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</si>
  <si>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</si>
  <si>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</si>
  <si>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</si>
  <si>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</si>
  <si>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</si>
  <si>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2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</si>
  <si>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</si>
  <si>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</si>
  <si>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</si>
  <si>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</si>
  <si>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</si>
  <si>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</si>
  <si>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</si>
  <si>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</si>
  <si>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</si>
  <si>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</si>
  <si>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</si>
  <si>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</si>
  <si>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</si>
  <si>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</si>
  <si>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</si>
  <si>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</si>
  <si>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</si>
  <si>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</si>
  <si>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2"/>
  </si>
  <si>
    <t>　適当に記載してます。</t>
    <rPh sb="1" eb="3">
      <t>テキトウ</t>
    </rPh>
    <rPh sb="4" eb="6">
      <t>キサイ</t>
    </rPh>
    <phoneticPr fontId="2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</si>
  <si>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2"/>
  </si>
  <si>
    <t>　重量さえいれてあれば機能します</t>
    <rPh sb="1" eb="3">
      <t>ジュウリョウ</t>
    </rPh>
    <rPh sb="11" eb="13">
      <t>キノウ</t>
    </rPh>
    <phoneticPr fontId="2"/>
  </si>
  <si>
    <t>2層以下</t>
    <phoneticPr fontId="2"/>
  </si>
  <si>
    <t>m2</t>
    <phoneticPr fontId="2"/>
  </si>
  <si>
    <t>1,2階程度の転用率</t>
    <phoneticPr fontId="2"/>
  </si>
  <si>
    <t>SD-1 両面鋼製フラッシュ扉</t>
    <rPh sb="5" eb="7">
      <t>リョウメン</t>
    </rPh>
    <rPh sb="7" eb="9">
      <t>コウセイ</t>
    </rPh>
    <rPh sb="14" eb="15">
      <t>トビラ</t>
    </rPh>
    <phoneticPr fontId="2"/>
  </si>
  <si>
    <t>W900×H2000</t>
    <phoneticPr fontId="2"/>
  </si>
  <si>
    <t>箇所</t>
    <rPh sb="0" eb="2">
      <t>カショ</t>
    </rPh>
    <phoneticPr fontId="2"/>
  </si>
  <si>
    <t>A:三和シャッター工業㈱</t>
    <rPh sb="2" eb="4">
      <t>サンワ</t>
    </rPh>
    <rPh sb="9" eb="11">
      <t>コウギョウ</t>
    </rPh>
    <phoneticPr fontId="2"/>
  </si>
  <si>
    <t>B:YKKap㈱</t>
    <phoneticPr fontId="2"/>
  </si>
  <si>
    <t>Fc=27,sl=18</t>
  </si>
  <si>
    <t>---</t>
  </si>
  <si>
    <t>代価1</t>
    <phoneticPr fontId="2"/>
  </si>
  <si>
    <t>このページはメニューからページの削除で削除してから使用してください.</t>
    <phoneticPr fontId="2"/>
  </si>
  <si>
    <t>1:02:04</t>
    <phoneticPr fontId="2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</si>
  <si>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2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</si>
  <si>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2"/>
  </si>
  <si>
    <t>全項数</t>
    <rPh sb="0" eb="1">
      <t>ゼン</t>
    </rPh>
    <rPh sb="1" eb="2">
      <t>コウ</t>
    </rPh>
    <rPh sb="2" eb="3">
      <t>スウ</t>
    </rPh>
    <phoneticPr fontId="2"/>
  </si>
  <si>
    <t>cells(16,4)</t>
    <phoneticPr fontId="2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</si>
  <si>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2"/>
  </si>
  <si>
    <t>cells(18,4)</t>
    <phoneticPr fontId="2"/>
  </si>
  <si>
    <t>cells(19,4)</t>
    <phoneticPr fontId="2"/>
  </si>
  <si>
    <t>cells(25,4)</t>
    <phoneticPr fontId="2"/>
  </si>
  <si>
    <t>前回userform終了時のlistbox.fontサイズ</t>
    <rPh sb="0" eb="2">
      <t>ゼンカイ</t>
    </rPh>
    <rPh sb="10" eb="13">
      <t>シュウリョウジ</t>
    </rPh>
    <phoneticPr fontId="2"/>
  </si>
  <si>
    <t>前回userform終了時のlistbox.columWidth</t>
    <rPh sb="0" eb="2">
      <t>ゼンカイ</t>
    </rPh>
    <rPh sb="10" eb="13">
      <t>シュウリョウジ</t>
    </rPh>
    <phoneticPr fontId="2"/>
  </si>
  <si>
    <t>C045150150050170035035035035035035035</t>
    <phoneticPr fontId="2"/>
  </si>
  <si>
    <t>このファイルを初使用？(yes=1 no=0)</t>
    <rPh sb="7" eb="8">
      <t>ハツ</t>
    </rPh>
    <rPh sb="8" eb="10">
      <t>シヨウ</t>
    </rPh>
    <phoneticPr fontId="2"/>
  </si>
  <si>
    <t>cells(16,8)</t>
    <phoneticPr fontId="2"/>
  </si>
  <si>
    <t>見積業者：</t>
    <rPh sb="0" eb="2">
      <t>ミツモリ</t>
    </rPh>
    <rPh sb="2" eb="4">
      <t>ギョウシャ</t>
    </rPh>
    <phoneticPr fontId="2"/>
  </si>
  <si>
    <t>㈱</t>
    <phoneticPr fontId="2"/>
  </si>
  <si>
    <t>元　　設　　計</t>
    <rPh sb="0" eb="1">
      <t>モト</t>
    </rPh>
    <rPh sb="3" eb="4">
      <t>セツ</t>
    </rPh>
    <rPh sb="6" eb="7">
      <t>ケイ</t>
    </rPh>
    <phoneticPr fontId="2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</si>
  <si>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2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</si>
  <si>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2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</si>
  <si>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2"/>
  </si>
  <si>
    <t>No</t>
    <phoneticPr fontId="2"/>
  </si>
  <si>
    <t>ｱｽﾌｧﾙﾄ</t>
  </si>
  <si>
    <t>木くず</t>
    <rPh sb="0" eb="1">
      <t>キ</t>
    </rPh>
    <phoneticPr fontId="2"/>
  </si>
  <si>
    <t>木くず
再生</t>
    <rPh sb="0" eb="1">
      <t>キ</t>
    </rPh>
    <rPh sb="4" eb="6">
      <t>サイセイ</t>
    </rPh>
    <phoneticPr fontId="2"/>
  </si>
  <si>
    <t>木くず
合板</t>
    <rPh sb="0" eb="1">
      <t>キ</t>
    </rPh>
    <rPh sb="4" eb="6">
      <t>ゴウハン</t>
    </rPh>
    <phoneticPr fontId="2"/>
  </si>
  <si>
    <t>石膏ボード</t>
    <rPh sb="0" eb="2">
      <t>セッコウ</t>
    </rPh>
    <phoneticPr fontId="2"/>
  </si>
  <si>
    <t>セメント板</t>
    <rPh sb="4" eb="5">
      <t>イタ</t>
    </rPh>
    <phoneticPr fontId="2"/>
  </si>
  <si>
    <t>家具・
備品</t>
    <rPh sb="0" eb="2">
      <t>カグ</t>
    </rPh>
    <rPh sb="4" eb="6">
      <t>ビヒン</t>
    </rPh>
    <phoneticPr fontId="2"/>
  </si>
  <si>
    <t>混合
廃棄物</t>
  </si>
  <si>
    <t>再生</t>
    <rPh sb="0" eb="2">
      <t>サイセイ</t>
    </rPh>
    <phoneticPr fontId="2"/>
  </si>
  <si>
    <t>合板</t>
    <rPh sb="0" eb="2">
      <t>ゴウハン</t>
    </rPh>
    <phoneticPr fontId="2"/>
  </si>
  <si>
    <t>陶磁器</t>
    <rPh sb="0" eb="3">
      <t>トウジキ</t>
    </rPh>
    <phoneticPr fontId="2"/>
  </si>
  <si>
    <t>繊維</t>
    <rPh sb="0" eb="2">
      <t>センイ</t>
    </rPh>
    <phoneticPr fontId="2"/>
  </si>
  <si>
    <t>石膏</t>
    <rPh sb="0" eb="2">
      <t>セッコウ</t>
    </rPh>
    <phoneticPr fontId="2"/>
  </si>
  <si>
    <t>家具・</t>
    <rPh sb="0" eb="2">
      <t>カグ</t>
    </rPh>
    <phoneticPr fontId="2"/>
  </si>
  <si>
    <t>備品</t>
    <rPh sb="0" eb="2">
      <t>ビヒン</t>
    </rPh>
    <phoneticPr fontId="2"/>
  </si>
  <si>
    <t>混合</t>
    <rPh sb="0" eb="2">
      <t>コンゴウ</t>
    </rPh>
    <phoneticPr fontId="2"/>
  </si>
  <si>
    <t>廃棄物</t>
    <rPh sb="0" eb="3">
      <t>ハイキブツ</t>
    </rPh>
    <phoneticPr fontId="2"/>
  </si>
  <si>
    <t>型枠　運搬費</t>
    <phoneticPr fontId="2"/>
  </si>
  <si>
    <t>木くず
再生</t>
  </si>
  <si>
    <t>木くず
合板</t>
  </si>
  <si>
    <t>石膏ボード</t>
  </si>
  <si>
    <t>セメント板</t>
  </si>
  <si>
    <t>家具・
備品</t>
  </si>
  <si>
    <t>合　計</t>
    <rPh sb="0" eb="1">
      <t>ゴウ</t>
    </rPh>
    <rPh sb="2" eb="3">
      <t>ケイ</t>
    </rPh>
    <phoneticPr fontId="2"/>
  </si>
  <si>
    <t>変更工事価格</t>
    <rPh sb="0" eb="2">
      <t>ヘンコウ</t>
    </rPh>
    <rPh sb="2" eb="4">
      <t>コウジ</t>
    </rPh>
    <rPh sb="4" eb="6">
      <t>カカク</t>
    </rPh>
    <phoneticPr fontId="2"/>
  </si>
  <si>
    <t>○○工事</t>
    <rPh sb="2" eb="4">
      <t>コウジ</t>
    </rPh>
    <phoneticPr fontId="2"/>
  </si>
  <si>
    <t>A:</t>
    <phoneticPr fontId="2"/>
  </si>
  <si>
    <t>B:</t>
    <phoneticPr fontId="2"/>
  </si>
  <si>
    <t>C:</t>
    <phoneticPr fontId="2"/>
  </si>
  <si>
    <t>ｺｰﾄﾞNo</t>
    <phoneticPr fontId="2"/>
  </si>
  <si>
    <t>金属工事   見積金額比較表</t>
    <rPh sb="0" eb="2">
      <t>キンゾク</t>
    </rPh>
    <phoneticPr fontId="2"/>
  </si>
  <si>
    <t>調整率＝＞</t>
    <rPh sb="0" eb="2">
      <t>チョウセイ</t>
    </rPh>
    <rPh sb="2" eb="3">
      <t>リツ</t>
    </rPh>
    <phoneticPr fontId="2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</si>
  <si>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</si>
  <si>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</si>
  <si>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</si>
  <si>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2"/>
  </si>
  <si>
    <t>（△印は減額）</t>
    <rPh sb="2" eb="3">
      <t>シルシ</t>
    </rPh>
    <rPh sb="4" eb="6">
      <t>ゲンガク</t>
    </rPh>
    <phoneticPr fontId="2"/>
  </si>
  <si>
    <t>作業時間</t>
  </si>
  <si>
    <t>名　　　　　　　　　　　称</t>
    <rPh sb="0" eb="1">
      <t>メイ</t>
    </rPh>
    <rPh sb="12" eb="13">
      <t>ショウ</t>
    </rPh>
    <phoneticPr fontId="2"/>
  </si>
  <si>
    <t>数　　　量</t>
    <rPh sb="0" eb="1">
      <t>カズ</t>
    </rPh>
    <rPh sb="4" eb="5">
      <t>リョウ</t>
    </rPh>
    <phoneticPr fontId="2"/>
  </si>
  <si>
    <t>単　　価</t>
    <rPh sb="0" eb="1">
      <t>タン</t>
    </rPh>
    <rPh sb="3" eb="4">
      <t>アタイ</t>
    </rPh>
    <phoneticPr fontId="2"/>
  </si>
  <si>
    <t>金　　　　　　　　額</t>
    <rPh sb="0" eb="1">
      <t>キン</t>
    </rPh>
    <rPh sb="9" eb="10">
      <t>ガク</t>
    </rPh>
    <phoneticPr fontId="2"/>
  </si>
  <si>
    <t>差引増減</t>
    <rPh sb="0" eb="2">
      <t>サシヒキ</t>
    </rPh>
    <rPh sb="2" eb="4">
      <t>ゾウゲン</t>
    </rPh>
    <phoneticPr fontId="2"/>
  </si>
  <si>
    <t>摘　　　　　　要</t>
    <rPh sb="0" eb="1">
      <t>チャク</t>
    </rPh>
    <rPh sb="7" eb="8">
      <t>ヨウ</t>
    </rPh>
    <phoneticPr fontId="2"/>
  </si>
  <si>
    <t>増</t>
    <rPh sb="0" eb="1">
      <t>ゾウ</t>
    </rPh>
    <phoneticPr fontId="2"/>
  </si>
  <si>
    <t>減</t>
    <rPh sb="0" eb="1">
      <t>ゲン</t>
    </rPh>
    <phoneticPr fontId="2"/>
  </si>
  <si>
    <t>既発注工事費</t>
    <rPh sb="0" eb="3">
      <t>キハッチュウ</t>
    </rPh>
    <rPh sb="3" eb="6">
      <t>コウジヒ</t>
    </rPh>
    <phoneticPr fontId="2"/>
  </si>
  <si>
    <t>今回工事費</t>
    <rPh sb="0" eb="2">
      <t>コンカイ</t>
    </rPh>
    <rPh sb="2" eb="5">
      <t>コウジヒ</t>
    </rPh>
    <phoneticPr fontId="2"/>
  </si>
  <si>
    <t>金　　　額</t>
    <rPh sb="0" eb="1">
      <t>キン</t>
    </rPh>
    <rPh sb="4" eb="5">
      <t>ガク</t>
    </rPh>
    <phoneticPr fontId="2"/>
  </si>
  <si>
    <t>共通費共</t>
    <rPh sb="0" eb="2">
      <t>キョウツウ</t>
    </rPh>
    <rPh sb="2" eb="3">
      <t>ヒ</t>
    </rPh>
    <rPh sb="3" eb="4">
      <t>トモ</t>
    </rPh>
    <phoneticPr fontId="2"/>
  </si>
  <si>
    <t xml:space="preserve">  計</t>
    <phoneticPr fontId="2"/>
  </si>
  <si>
    <t xml:space="preserve">  合   計</t>
    <phoneticPr fontId="2"/>
  </si>
  <si>
    <t>page</t>
    <phoneticPr fontId="2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</si>
  <si>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2"/>
  </si>
  <si>
    <t>鉄骨階段</t>
    <rPh sb="0" eb="2">
      <t>テッコツ</t>
    </rPh>
    <rPh sb="2" eb="4">
      <t>カイダン</t>
    </rPh>
    <phoneticPr fontId="2"/>
  </si>
  <si>
    <t>W900×L2650×H1100</t>
    <phoneticPr fontId="2"/>
  </si>
  <si>
    <t>ヶ所</t>
    <rPh sb="1" eb="2">
      <t>ショ</t>
    </rPh>
    <phoneticPr fontId="2"/>
  </si>
  <si>
    <t>図面・仕様書どおり</t>
    <rPh sb="0" eb="2">
      <t>ズメン</t>
    </rPh>
    <rPh sb="3" eb="6">
      <t>シヨウショ</t>
    </rPh>
    <phoneticPr fontId="2"/>
  </si>
  <si>
    <t>材料運搬重量</t>
    <rPh sb="0" eb="2">
      <t>ザイリョウ</t>
    </rPh>
    <rPh sb="2" eb="4">
      <t>ウンパン</t>
    </rPh>
    <rPh sb="4" eb="6">
      <t>ジュウリョウ</t>
    </rPh>
    <phoneticPr fontId="2"/>
  </si>
  <si>
    <t>ｺﾝｸﾘｰﾄ</t>
    <phoneticPr fontId="2"/>
  </si>
  <si>
    <t>廃プラ</t>
    <phoneticPr fontId="2"/>
  </si>
  <si>
    <t>がれき</t>
    <phoneticPr fontId="2"/>
  </si>
  <si>
    <t>廃プラ
(ｱｽﾍﾞ)</t>
    <phoneticPr fontId="2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</si>
  <si>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</si>
  <si>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</si>
  <si>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</si>
  <si>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</si>
  <si>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ボード</t>
    <phoneticPr fontId="2"/>
  </si>
  <si>
    <t>　ト板</t>
    <phoneticPr fontId="2"/>
  </si>
  <si>
    <t>(ｱｽﾍﾞ)</t>
    <phoneticPr fontId="2"/>
  </si>
  <si>
    <t>EOL2</t>
    <phoneticPr fontId="2"/>
  </si>
  <si>
    <t>廃プラ(ｱｽﾍﾞ)</t>
    <phoneticPr fontId="2"/>
  </si>
  <si>
    <t>4.00β</t>
  </si>
  <si>
    <t>元設計類似</t>
    <rPh sb="0" eb="1">
      <t>モト</t>
    </rPh>
    <rPh sb="1" eb="3">
      <t>セッケイ</t>
    </rPh>
    <rPh sb="3" eb="5">
      <t>ルイジ</t>
    </rPh>
    <phoneticPr fontId="2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</si>
  <si>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2"/>
  </si>
  <si>
    <t>差引金額</t>
    <rPh sb="0" eb="2">
      <t>サシヒキ</t>
    </rPh>
    <rPh sb="2" eb="4">
      <t>キンガク</t>
    </rPh>
    <phoneticPr fontId="2"/>
  </si>
  <si>
    <t>類似単価</t>
    <rPh sb="0" eb="2">
      <t>ルイジ</t>
    </rPh>
    <rPh sb="2" eb="4">
      <t>タンカ</t>
    </rPh>
    <phoneticPr fontId="2"/>
  </si>
  <si>
    <t>計</t>
    <rPh sb="0" eb="1">
      <t>ケイ</t>
    </rPh>
    <phoneticPr fontId="2"/>
  </si>
  <si>
    <t>変　　更　　後</t>
    <phoneticPr fontId="2"/>
  </si>
  <si>
    <t>㈱</t>
    <phoneticPr fontId="2"/>
  </si>
  <si>
    <t>前ﾍﾟｰｼﾞから続きの場合「１」を入力　→</t>
    <phoneticPr fontId="2"/>
  </si>
  <si>
    <t>累計</t>
    <rPh sb="0" eb="2">
      <t>ルイケイケイ</t>
    </rPh>
    <phoneticPr fontId="2"/>
  </si>
  <si>
    <t>累計</t>
    <rPh sb="0" eb="1">
      <t>ルイ</t>
    </rPh>
    <rPh sb="1" eb="2">
      <t>ケイ</t>
    </rPh>
    <phoneticPr fontId="2"/>
  </si>
  <si>
    <t>W900×L1000×H1100</t>
    <phoneticPr fontId="2"/>
  </si>
  <si>
    <t>1A</t>
    <phoneticPr fontId="2"/>
  </si>
  <si>
    <t>2A</t>
    <phoneticPr fontId="2"/>
  </si>
  <si>
    <t>3A</t>
    <phoneticPr fontId="2"/>
  </si>
  <si>
    <t>4A</t>
    <phoneticPr fontId="2"/>
  </si>
  <si>
    <t>小運搬重量（材料＋残材）</t>
    <phoneticPr fontId="2"/>
  </si>
  <si>
    <t>材料運搬重量</t>
    <phoneticPr fontId="2"/>
  </si>
  <si>
    <t>残材小運搬重量</t>
    <phoneticPr fontId="2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</si>
  <si>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2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</si>
  <si>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2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</si>
  <si>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2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</si>
  <si>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</si>
  <si>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ｱｽﾍﾞ重量</t>
    <rPh sb="4" eb="6">
      <t>ジュウリョウ</t>
    </rPh>
    <phoneticPr fontId="2"/>
  </si>
  <si>
    <t>total　</t>
    <phoneticPr fontId="2"/>
  </si>
  <si>
    <t>==&gt;&gt;</t>
    <phoneticPr fontId="2"/>
  </si>
  <si>
    <t>EOL1</t>
    <phoneticPr fontId="2"/>
  </si>
  <si>
    <t>スクラップ</t>
    <phoneticPr fontId="2"/>
  </si>
  <si>
    <t>ｺﾝｸﾘｰﾄ</t>
    <phoneticPr fontId="2"/>
  </si>
  <si>
    <t>ｱｽﾌｧﾙﾄ</t>
    <phoneticPr fontId="2"/>
  </si>
  <si>
    <t>廃プラ</t>
    <phoneticPr fontId="2"/>
  </si>
  <si>
    <t>ガラス</t>
    <phoneticPr fontId="2"/>
  </si>
  <si>
    <t>セメン</t>
    <phoneticPr fontId="2"/>
  </si>
  <si>
    <t>ｱﾙﾐ</t>
    <phoneticPr fontId="2"/>
  </si>
  <si>
    <t>くず</t>
    <phoneticPr fontId="2"/>
  </si>
  <si>
    <t>（ｱｽﾍﾞ）</t>
    <phoneticPr fontId="2"/>
  </si>
  <si>
    <t>がれき</t>
    <phoneticPr fontId="2"/>
  </si>
  <si>
    <t>廃プラ
(ｱｽﾍﾞ)</t>
    <phoneticPr fontId="2"/>
  </si>
  <si>
    <t>石膏ボード（ｱｽﾍﾞ）</t>
    <rPh sb="0" eb="2">
      <t>セッコウ</t>
    </rPh>
    <phoneticPr fontId="2"/>
  </si>
  <si>
    <t>セメント板　　　（ｱｽﾍﾞ）</t>
    <rPh sb="4" eb="5">
      <t>バン</t>
    </rPh>
    <phoneticPr fontId="2"/>
  </si>
  <si>
    <t>ｽﾃﾝﾚｽ</t>
    <phoneticPr fontId="2"/>
  </si>
  <si>
    <t>アルミ</t>
    <phoneticPr fontId="2"/>
  </si>
  <si>
    <t>　　　　　　　　　　設　計　変　更　工　事　費　内　訳　書</t>
    <rPh sb="10" eb="11">
      <t>セツ</t>
    </rPh>
    <rPh sb="12" eb="13">
      <t>ケイ</t>
    </rPh>
    <rPh sb="14" eb="15">
      <t>ヘン</t>
    </rPh>
    <rPh sb="16" eb="17">
      <t>サラ</t>
    </rPh>
    <rPh sb="18" eb="19">
      <t>タクミ</t>
    </rPh>
    <rPh sb="20" eb="21">
      <t>コト</t>
    </rPh>
    <rPh sb="22" eb="23">
      <t>ヒ</t>
    </rPh>
    <rPh sb="24" eb="25">
      <t>ウチ</t>
    </rPh>
    <rPh sb="26" eb="27">
      <t>ヤク</t>
    </rPh>
    <rPh sb="28" eb="29">
      <t>ショ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</si>
  <si>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0" eb="11">
      <t>コト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</si>
  <si>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</si>
  <si>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ワケ</t>
    </rPh>
    <rPh sb="18" eb="19">
      <t>ショ</t>
    </rPh>
    <phoneticPr fontId="2"/>
  </si>
  <si>
    <t>内訳書決裁欄</t>
    <rPh sb="0" eb="3">
      <t>ウチワケショ</t>
    </rPh>
    <rPh sb="3" eb="5">
      <t>ケッサイ</t>
    </rPh>
    <rPh sb="5" eb="6">
      <t>ラン</t>
    </rPh>
    <phoneticPr fontId="2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</si>
  <si>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2"/>
  </si>
  <si>
    <t>建築課長</t>
    <rPh sb="0" eb="2">
      <t>ケンチク</t>
    </rPh>
    <rPh sb="2" eb="4">
      <t>カチョウ</t>
    </rPh>
    <phoneticPr fontId="2"/>
  </si>
  <si>
    <t>係員</t>
    <rPh sb="0" eb="2">
      <t>カカリイン</t>
    </rPh>
    <phoneticPr fontId="2"/>
  </si>
  <si>
    <t>係長</t>
    <rPh sb="0" eb="2">
      <t>カカリチョウ</t>
    </rPh>
    <phoneticPr fontId="2"/>
  </si>
  <si>
    <t>単価台帳ver</t>
    <rPh sb="0" eb="2">
      <t>タンカ</t>
    </rPh>
    <rPh sb="2" eb="4">
      <t>ダイチョウ</t>
    </rPh>
    <phoneticPr fontId="2"/>
  </si>
  <si>
    <t>工事稟議番号</t>
    <rPh sb="0" eb="2">
      <t>コウジ</t>
    </rPh>
    <rPh sb="2" eb="4">
      <t>リンギ</t>
    </rPh>
    <rPh sb="4" eb="6">
      <t>バンゴウ</t>
    </rPh>
    <phoneticPr fontId="2"/>
  </si>
  <si>
    <t>明細コード</t>
    <rPh sb="0" eb="2">
      <t>メイサイ</t>
    </rPh>
    <phoneticPr fontId="2"/>
  </si>
  <si>
    <t>内訳書決裁日</t>
    <rPh sb="0" eb="3">
      <t>ウチワケショ</t>
    </rPh>
    <rPh sb="3" eb="5">
      <t>ケッサイ</t>
    </rPh>
    <rPh sb="5" eb="6">
      <t>ヒ</t>
    </rPh>
    <phoneticPr fontId="2"/>
  </si>
  <si>
    <t>工事担当係長</t>
    <rPh sb="0" eb="2">
      <t>コウジ</t>
    </rPh>
    <rPh sb="2" eb="4">
      <t>タントウ</t>
    </rPh>
    <rPh sb="4" eb="6">
      <t>カカリチョウ</t>
    </rPh>
    <phoneticPr fontId="2"/>
  </si>
  <si>
    <t>工事担当者</t>
    <rPh sb="0" eb="2">
      <t>コウジ</t>
    </rPh>
    <rPh sb="2" eb="5">
      <t>タントウシャ</t>
    </rPh>
    <phoneticPr fontId="2"/>
  </si>
  <si>
    <t>明細情報</t>
    <rPh sb="0" eb="2">
      <t>メイサイ</t>
    </rPh>
    <rPh sb="2" eb="4">
      <t>ジョウホウ</t>
    </rPh>
    <phoneticPr fontId="2"/>
  </si>
  <si>
    <t>標準単価金額無2018.xls</t>
    <phoneticPr fontId="2"/>
  </si>
  <si>
    <t>このシートのページ数を変更したい場合は、必要ページ数を入力↓</t>
    <rPh sb="9" eb="10">
      <t>スウ</t>
    </rPh>
    <rPh sb="11" eb="13">
      <t>ヘンコウ</t>
    </rPh>
    <rPh sb="16" eb="18">
      <t>バアイ</t>
    </rPh>
    <rPh sb="20" eb="22">
      <t>ヒツヨウ</t>
    </rPh>
    <rPh sb="25" eb="26">
      <t>スウ</t>
    </rPh>
    <rPh sb="27" eb="29">
      <t>ニュウリョク</t>
    </rPh>
    <phoneticPr fontId="2"/>
  </si>
  <si>
    <t>内装仕上げ工事</t>
    <rPh sb="0" eb="2">
      <t>ナイソウ</t>
    </rPh>
    <rPh sb="2" eb="4">
      <t>シア</t>
    </rPh>
    <rPh sb="5" eb="7">
      <t>コウジ</t>
    </rPh>
    <phoneticPr fontId="2"/>
  </si>
  <si>
    <t>建具工事</t>
    <rPh sb="0" eb="2">
      <t>タテグ</t>
    </rPh>
    <rPh sb="2" eb="4">
      <t>コウジ</t>
    </rPh>
    <phoneticPr fontId="2"/>
  </si>
  <si>
    <t>資産管理明細書</t>
    <rPh sb="0" eb="2">
      <t>シサン</t>
    </rPh>
    <rPh sb="2" eb="4">
      <t>カンリ</t>
    </rPh>
    <rPh sb="4" eb="7">
      <t>メイサイショ</t>
    </rPh>
    <phoneticPr fontId="2"/>
  </si>
  <si>
    <t>事業案
稟議番号</t>
    <rPh sb="0" eb="2">
      <t>ジギョウ</t>
    </rPh>
    <rPh sb="2" eb="3">
      <t>アン</t>
    </rPh>
    <rPh sb="4" eb="6">
      <t>リンギ</t>
    </rPh>
    <rPh sb="6" eb="8">
      <t>バンゴウ</t>
    </rPh>
    <phoneticPr fontId="2"/>
  </si>
  <si>
    <t>プロジェクトコード</t>
    <phoneticPr fontId="2"/>
  </si>
  <si>
    <t>番号</t>
    <rPh sb="0" eb="2">
      <t>バンゴウ</t>
    </rPh>
    <phoneticPr fontId="2"/>
  </si>
  <si>
    <t>費目名称
工事種別名称</t>
    <rPh sb="0" eb="2">
      <t>ヒモク</t>
    </rPh>
    <rPh sb="2" eb="4">
      <t>メイショウ</t>
    </rPh>
    <rPh sb="5" eb="7">
      <t>コウジ</t>
    </rPh>
    <rPh sb="7" eb="9">
      <t>シュベツ</t>
    </rPh>
    <rPh sb="9" eb="11">
      <t>メイショウ</t>
    </rPh>
    <phoneticPr fontId="2"/>
  </si>
  <si>
    <t>資産名称</t>
    <rPh sb="0" eb="2">
      <t>シサン</t>
    </rPh>
    <rPh sb="2" eb="4">
      <t>メイショウ</t>
    </rPh>
    <phoneticPr fontId="2"/>
  </si>
  <si>
    <t>財務分類</t>
    <rPh sb="0" eb="2">
      <t>ザイム</t>
    </rPh>
    <rPh sb="2" eb="4">
      <t>ブンルイ</t>
    </rPh>
    <phoneticPr fontId="2"/>
  </si>
  <si>
    <t>予算掌理部</t>
    <rPh sb="0" eb="2">
      <t>ヨサン</t>
    </rPh>
    <rPh sb="2" eb="4">
      <t>ショウリ</t>
    </rPh>
    <rPh sb="4" eb="5">
      <t>ブ</t>
    </rPh>
    <phoneticPr fontId="2"/>
  </si>
  <si>
    <t>1</t>
  </si>
  <si>
    <t>経営戦略・グループ戦略部</t>
    <rPh sb="0" eb="2">
      <t>ケイエイ</t>
    </rPh>
    <rPh sb="2" eb="4">
      <t>センリャク</t>
    </rPh>
    <rPh sb="9" eb="11">
      <t>センリャク</t>
    </rPh>
    <rPh sb="11" eb="12">
      <t>ブ</t>
    </rPh>
    <phoneticPr fontId="38"/>
  </si>
  <si>
    <t>2</t>
  </si>
  <si>
    <t>新規事業開発部</t>
    <rPh sb="0" eb="2">
      <t>シンキ</t>
    </rPh>
    <rPh sb="2" eb="4">
      <t>ジギョウ</t>
    </rPh>
    <rPh sb="4" eb="7">
      <t>カイハツブ</t>
    </rPh>
    <phoneticPr fontId="38"/>
  </si>
  <si>
    <t>3</t>
  </si>
  <si>
    <t>総務部</t>
  </si>
  <si>
    <t>4</t>
  </si>
  <si>
    <t>財務部</t>
  </si>
  <si>
    <t>5</t>
  </si>
  <si>
    <t>調達部</t>
  </si>
  <si>
    <t>7</t>
  </si>
  <si>
    <t>駅務部</t>
    <rPh sb="0" eb="2">
      <t>エキム</t>
    </rPh>
    <rPh sb="2" eb="3">
      <t>ブ</t>
    </rPh>
    <phoneticPr fontId="38"/>
  </si>
  <si>
    <t>8</t>
  </si>
  <si>
    <t>運転部</t>
  </si>
  <si>
    <t>9</t>
  </si>
  <si>
    <t>営業部</t>
  </si>
  <si>
    <t>A</t>
  </si>
  <si>
    <t>電気部</t>
    <rPh sb="0" eb="2">
      <t>デンキ</t>
    </rPh>
    <rPh sb="2" eb="3">
      <t>ブ</t>
    </rPh>
    <phoneticPr fontId="38"/>
  </si>
  <si>
    <t>B</t>
  </si>
  <si>
    <t>車両部</t>
    <rPh sb="0" eb="2">
      <t>シャリョウ</t>
    </rPh>
    <rPh sb="2" eb="3">
      <t>ブ</t>
    </rPh>
    <phoneticPr fontId="38"/>
  </si>
  <si>
    <t>C</t>
  </si>
  <si>
    <t>工務部</t>
    <rPh sb="0" eb="2">
      <t>コウム</t>
    </rPh>
    <rPh sb="2" eb="3">
      <t>ブ</t>
    </rPh>
    <phoneticPr fontId="38"/>
  </si>
  <si>
    <t>D</t>
  </si>
  <si>
    <t>建築部</t>
    <rPh sb="0" eb="2">
      <t>ケンチク</t>
    </rPh>
    <rPh sb="2" eb="3">
      <t>ブ</t>
    </rPh>
    <phoneticPr fontId="38"/>
  </si>
  <si>
    <t>E</t>
  </si>
  <si>
    <t>安全推進室</t>
    <rPh sb="0" eb="4">
      <t>アンゼンスイシン</t>
    </rPh>
    <rPh sb="4" eb="5">
      <t>シツ</t>
    </rPh>
    <phoneticPr fontId="42"/>
  </si>
  <si>
    <t>F</t>
  </si>
  <si>
    <t>監査室</t>
    <rPh sb="0" eb="2">
      <t>カンサ</t>
    </rPh>
    <rPh sb="2" eb="3">
      <t>シツ</t>
    </rPh>
    <phoneticPr fontId="38"/>
  </si>
  <si>
    <t>G</t>
  </si>
  <si>
    <t>人事部</t>
    <rPh sb="0" eb="2">
      <t>ジンジ</t>
    </rPh>
    <rPh sb="2" eb="3">
      <t>ブ</t>
    </rPh>
    <phoneticPr fontId="38"/>
  </si>
  <si>
    <t>H</t>
  </si>
  <si>
    <t>監査役室</t>
  </si>
  <si>
    <t>【資産区分】
空白の場合は
建物-鉄コン造で計上</t>
    <rPh sb="1" eb="3">
      <t>シサン</t>
    </rPh>
    <rPh sb="3" eb="5">
      <t>クブン</t>
    </rPh>
    <rPh sb="7" eb="9">
      <t>クウハク</t>
    </rPh>
    <rPh sb="10" eb="12">
      <t>バアイ</t>
    </rPh>
    <rPh sb="14" eb="16">
      <t>タテモノ</t>
    </rPh>
    <rPh sb="17" eb="18">
      <t>テツ</t>
    </rPh>
    <rPh sb="20" eb="21">
      <t>ツク</t>
    </rPh>
    <rPh sb="22" eb="24">
      <t>ケイジョウ</t>
    </rPh>
    <phoneticPr fontId="2"/>
  </si>
  <si>
    <t>【資産区分】
空白の場合は
建物-鉄コン造で計上</t>
    <phoneticPr fontId="2"/>
  </si>
  <si>
    <t>資　産　ク　ラ　ス　分　割　表</t>
    <rPh sb="0" eb="1">
      <t>シ</t>
    </rPh>
    <rPh sb="2" eb="3">
      <t>サン</t>
    </rPh>
    <rPh sb="10" eb="11">
      <t>ブン</t>
    </rPh>
    <rPh sb="12" eb="13">
      <t>ワリ</t>
    </rPh>
    <rPh sb="14" eb="15">
      <t>ヒョウ</t>
    </rPh>
    <phoneticPr fontId="2"/>
  </si>
  <si>
    <t>計上区分　資産or費用を選択⇒</t>
    <rPh sb="0" eb="2">
      <t>ケイジョウ</t>
    </rPh>
    <rPh sb="2" eb="4">
      <t>クブン</t>
    </rPh>
    <rPh sb="5" eb="7">
      <t>シサン</t>
    </rPh>
    <rPh sb="9" eb="11">
      <t>ヒヨウ</t>
    </rPh>
    <rPh sb="12" eb="14">
      <t>センタク</t>
    </rPh>
    <phoneticPr fontId="2"/>
  </si>
  <si>
    <t>資産</t>
  </si>
  <si>
    <t>直接工事費</t>
    <rPh sb="0" eb="2">
      <t>チョクセツ</t>
    </rPh>
    <rPh sb="2" eb="5">
      <t>コウジヒ</t>
    </rPh>
    <phoneticPr fontId="2"/>
  </si>
  <si>
    <t>直接仮設費</t>
    <rPh sb="0" eb="2">
      <t>チョクセツ</t>
    </rPh>
    <rPh sb="2" eb="4">
      <t>カセツ</t>
    </rPh>
    <rPh sb="4" eb="5">
      <t>ヒ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</si>
  <si>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</si>
  <si>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2"/>
  </si>
  <si>
    <t>資産</t>
    <rPh sb="0" eb="2">
      <t>シサン</t>
    </rPh>
    <phoneticPr fontId="2"/>
  </si>
  <si>
    <t>うち部分撤去工事</t>
    <rPh sb="2" eb="4">
      <t>ブブン</t>
    </rPh>
    <rPh sb="4" eb="6">
      <t>テッキョ</t>
    </rPh>
    <rPh sb="6" eb="8">
      <t>コウジ</t>
    </rPh>
    <phoneticPr fontId="2"/>
  </si>
  <si>
    <t>費用</t>
    <rPh sb="0" eb="2">
      <t>ヒヨウ</t>
    </rPh>
    <phoneticPr fontId="2"/>
  </si>
  <si>
    <t>共通費</t>
    <rPh sb="0" eb="2">
      <t>キョウツウ</t>
    </rPh>
    <rPh sb="2" eb="3">
      <t>ヒ</t>
    </rPh>
    <phoneticPr fontId="2"/>
  </si>
  <si>
    <t>　　うち、共通仮設費 　</t>
    <rPh sb="5" eb="7">
      <t>キョウツウ</t>
    </rPh>
    <rPh sb="7" eb="9">
      <t>カセツ</t>
    </rPh>
    <rPh sb="9" eb="10">
      <t>ヒ</t>
    </rPh>
    <phoneticPr fontId="2"/>
  </si>
  <si>
    <t xml:space="preserve">　　うち、現場管理費　 </t>
    <rPh sb="5" eb="7">
      <t>ゲンバ</t>
    </rPh>
    <rPh sb="7" eb="10">
      <t>カンリヒ</t>
    </rPh>
    <phoneticPr fontId="2"/>
  </si>
  <si>
    <t>　　うち、一般管理費等</t>
    <rPh sb="5" eb="7">
      <t>イッパン</t>
    </rPh>
    <rPh sb="7" eb="10">
      <t>カンリヒ</t>
    </rPh>
    <rPh sb="10" eb="11">
      <t>トウ</t>
    </rPh>
    <phoneticPr fontId="2"/>
  </si>
  <si>
    <t>工事価格</t>
    <rPh sb="0" eb="2">
      <t>コウジ</t>
    </rPh>
    <rPh sb="2" eb="4">
      <t>カカク</t>
    </rPh>
    <phoneticPr fontId="2"/>
  </si>
  <si>
    <t>０５建物　直接工事費</t>
    <rPh sb="2" eb="4">
      <t>タテモノ</t>
    </rPh>
    <rPh sb="5" eb="7">
      <t>チョクセツ</t>
    </rPh>
    <rPh sb="7" eb="10">
      <t>コウジヒ</t>
    </rPh>
    <phoneticPr fontId="2"/>
  </si>
  <si>
    <t>耐用年数</t>
    <rPh sb="0" eb="2">
      <t>タイヨウ</t>
    </rPh>
    <rPh sb="2" eb="4">
      <t>ネンスウ</t>
    </rPh>
    <phoneticPr fontId="2"/>
  </si>
  <si>
    <t>勘定科目「項」--&gt;</t>
    <rPh sb="5" eb="6">
      <t>コウ</t>
    </rPh>
    <phoneticPr fontId="2"/>
  </si>
  <si>
    <t>05建物</t>
    <rPh sb="2" eb="4">
      <t>タテモノ</t>
    </rPh>
    <phoneticPr fontId="2"/>
  </si>
  <si>
    <t>（直接仮設・部分撤去・費用を除く）</t>
    <phoneticPr fontId="2"/>
  </si>
  <si>
    <t>勘定科目「目」を選択--&gt;</t>
    <rPh sb="5" eb="6">
      <t>モク</t>
    </rPh>
    <phoneticPr fontId="2"/>
  </si>
  <si>
    <t>007停車場建物</t>
  </si>
  <si>
    <t>01</t>
    <phoneticPr fontId="2"/>
  </si>
  <si>
    <t>建築仕上げ</t>
    <rPh sb="0" eb="2">
      <t>ケンチク</t>
    </rPh>
    <rPh sb="2" eb="4">
      <t>シア</t>
    </rPh>
    <phoneticPr fontId="2"/>
  </si>
  <si>
    <t>鉄コン造</t>
    <phoneticPr fontId="2"/>
  </si>
  <si>
    <t>02</t>
    <phoneticPr fontId="2"/>
  </si>
  <si>
    <t>れんが石ブロック造</t>
    <phoneticPr fontId="2"/>
  </si>
  <si>
    <t>03</t>
    <phoneticPr fontId="2"/>
  </si>
  <si>
    <t>金属造(4mm超)</t>
    <phoneticPr fontId="2"/>
  </si>
  <si>
    <t>04</t>
    <phoneticPr fontId="2"/>
  </si>
  <si>
    <t>金属造(3mm超4mm以下)</t>
    <phoneticPr fontId="2"/>
  </si>
  <si>
    <t>05</t>
    <phoneticPr fontId="2"/>
  </si>
  <si>
    <t>金属造(肉厚が3mm以下)</t>
    <phoneticPr fontId="2"/>
  </si>
  <si>
    <t>06</t>
    <phoneticPr fontId="2"/>
  </si>
  <si>
    <t>木造又は合成樹脂造</t>
    <phoneticPr fontId="2"/>
  </si>
  <si>
    <t>07</t>
    <phoneticPr fontId="2"/>
  </si>
  <si>
    <t>木骨モルタル造</t>
    <phoneticPr fontId="2"/>
  </si>
  <si>
    <t>08</t>
    <phoneticPr fontId="2"/>
  </si>
  <si>
    <t>簡易建物(木製主要柱10cm角以下)</t>
    <phoneticPr fontId="2"/>
  </si>
  <si>
    <t>09</t>
    <phoneticPr fontId="2"/>
  </si>
  <si>
    <t>簡易建物(掘立造　仮設のもの)</t>
    <phoneticPr fontId="2"/>
  </si>
  <si>
    <t>10</t>
    <phoneticPr fontId="2"/>
  </si>
  <si>
    <t>当該課確認</t>
    <rPh sb="0" eb="2">
      <t>トウガイ</t>
    </rPh>
    <rPh sb="2" eb="3">
      <t>カ</t>
    </rPh>
    <rPh sb="3" eb="5">
      <t>カクニン</t>
    </rPh>
    <phoneticPr fontId="2"/>
  </si>
  <si>
    <t>電気設備(照明設備を含む)-蓄電池電源設備</t>
    <phoneticPr fontId="2"/>
  </si>
  <si>
    <t>11</t>
    <phoneticPr fontId="2"/>
  </si>
  <si>
    <t>電気設備(照明設備を含む)-その他のもの</t>
    <phoneticPr fontId="2"/>
  </si>
  <si>
    <t>12</t>
    <phoneticPr fontId="2"/>
  </si>
  <si>
    <t>給排水又は衛生設備及びガス設備</t>
    <phoneticPr fontId="2"/>
  </si>
  <si>
    <t>13</t>
    <phoneticPr fontId="2"/>
  </si>
  <si>
    <t>冷暖房・通風・ボイラー設備-22kw以下</t>
    <phoneticPr fontId="2"/>
  </si>
  <si>
    <t>14</t>
    <phoneticPr fontId="2"/>
  </si>
  <si>
    <t>冷暖房・通風・ボイラー設備-その他のもの</t>
    <phoneticPr fontId="2"/>
  </si>
  <si>
    <t>15</t>
    <phoneticPr fontId="2"/>
  </si>
  <si>
    <t>昇降機設備-エレベーター</t>
    <phoneticPr fontId="2"/>
  </si>
  <si>
    <t>16</t>
    <phoneticPr fontId="2"/>
  </si>
  <si>
    <t>昇降機設備-エスカレーター</t>
    <phoneticPr fontId="2"/>
  </si>
  <si>
    <t>17</t>
    <phoneticPr fontId="2"/>
  </si>
  <si>
    <t>消火・排煙・災害報知設備及び格納式避難設備</t>
    <phoneticPr fontId="2"/>
  </si>
  <si>
    <t>18</t>
    <phoneticPr fontId="2"/>
  </si>
  <si>
    <t>建物附属設備</t>
    <rPh sb="0" eb="2">
      <t>タテモノ</t>
    </rPh>
    <rPh sb="2" eb="4">
      <t>フゾク</t>
    </rPh>
    <rPh sb="4" eb="6">
      <t>セツビ</t>
    </rPh>
    <phoneticPr fontId="2"/>
  </si>
  <si>
    <t>エヤーカーテン又はドアー自動開閉設備</t>
    <phoneticPr fontId="2"/>
  </si>
  <si>
    <t>19</t>
    <phoneticPr fontId="2"/>
  </si>
  <si>
    <t>アーケード又は日よけ設備-金属製</t>
    <phoneticPr fontId="2"/>
  </si>
  <si>
    <t>20</t>
    <phoneticPr fontId="2"/>
  </si>
  <si>
    <t>アーケード又は日よけ設備-その他のもの-停車場建物</t>
  </si>
  <si>
    <t>21</t>
    <phoneticPr fontId="2"/>
  </si>
  <si>
    <t>店用簡易設備-停車場建物</t>
  </si>
  <si>
    <t>22</t>
    <phoneticPr fontId="2"/>
  </si>
  <si>
    <t>可動簡易装備-簡易なもの</t>
    <phoneticPr fontId="2"/>
  </si>
  <si>
    <t>23</t>
    <phoneticPr fontId="2"/>
  </si>
  <si>
    <t>可動簡易装備-その他のもの</t>
    <phoneticPr fontId="2"/>
  </si>
  <si>
    <t>24</t>
    <phoneticPr fontId="2"/>
  </si>
  <si>
    <t>前掲以外・前掲区分外-主として金属製のもの</t>
    <phoneticPr fontId="2"/>
  </si>
  <si>
    <t>25</t>
    <phoneticPr fontId="2"/>
  </si>
  <si>
    <t>前掲以外・前掲区分外-その他のもの</t>
    <phoneticPr fontId="2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</si>
  <si>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2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</si>
  <si>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2"/>
  </si>
  <si>
    <t>10構築物</t>
    <rPh sb="2" eb="5">
      <t>コウチクブツ</t>
    </rPh>
    <phoneticPr fontId="2"/>
  </si>
  <si>
    <t>（直接仮設・部分撤去・費用を除く）</t>
    <phoneticPr fontId="2"/>
  </si>
  <si>
    <t>勘定科目「目」--&gt;</t>
    <rPh sb="5" eb="6">
      <t>モク</t>
    </rPh>
    <phoneticPr fontId="2"/>
  </si>
  <si>
    <t>024雑設備</t>
    <rPh sb="3" eb="4">
      <t>ザツ</t>
    </rPh>
    <rPh sb="4" eb="6">
      <t>セツビ</t>
    </rPh>
    <phoneticPr fontId="2"/>
  </si>
  <si>
    <t>（停車場設備）</t>
    <rPh sb="1" eb="4">
      <t>テイシャジョウ</t>
    </rPh>
    <rPh sb="4" eb="6">
      <t>セツビ</t>
    </rPh>
    <phoneticPr fontId="2"/>
  </si>
  <si>
    <t>01</t>
    <phoneticPr fontId="2"/>
  </si>
  <si>
    <t>舗装</t>
    <rPh sb="0" eb="2">
      <t>ホソウ</t>
    </rPh>
    <phoneticPr fontId="2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</si>
  <si>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2"/>
  </si>
  <si>
    <t>02</t>
  </si>
  <si>
    <t>その他</t>
    <phoneticPr fontId="2"/>
  </si>
  <si>
    <t>その他</t>
    <phoneticPr fontId="2"/>
  </si>
  <si>
    <t>（諸構築物）</t>
    <phoneticPr fontId="2"/>
  </si>
  <si>
    <t>コンクリ・ブロック・レンガ・石敷</t>
    <rPh sb="14" eb="15">
      <t>イシ</t>
    </rPh>
    <rPh sb="15" eb="16">
      <t>シキ</t>
    </rPh>
    <phoneticPr fontId="2"/>
  </si>
  <si>
    <t>アスファルト・木れんか敷</t>
    <rPh sb="7" eb="8">
      <t>キ</t>
    </rPh>
    <rPh sb="11" eb="12">
      <t>シキ</t>
    </rPh>
    <phoneticPr fontId="2"/>
  </si>
  <si>
    <t>03</t>
  </si>
  <si>
    <t>ビチューマルス敷</t>
    <rPh sb="7" eb="8">
      <t>シキ</t>
    </rPh>
    <phoneticPr fontId="2"/>
  </si>
  <si>
    <t>04</t>
  </si>
  <si>
    <t>へい</t>
    <phoneticPr fontId="2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</si>
  <si>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</si>
  <si>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05</t>
  </si>
  <si>
    <t>その他</t>
    <rPh sb="2" eb="3">
      <t>タ</t>
    </rPh>
    <phoneticPr fontId="2"/>
  </si>
  <si>
    <t>06</t>
  </si>
  <si>
    <t>へい</t>
    <phoneticPr fontId="2"/>
  </si>
  <si>
    <t>コン造・コンクリートブロック造</t>
    <rPh sb="2" eb="3">
      <t>ゾウ</t>
    </rPh>
    <rPh sb="14" eb="15">
      <t>ゾウ</t>
    </rPh>
    <phoneticPr fontId="2"/>
  </si>
  <si>
    <t>07</t>
  </si>
  <si>
    <t>08</t>
  </si>
  <si>
    <t>金属造</t>
    <rPh sb="0" eb="2">
      <t>キンゾク</t>
    </rPh>
    <rPh sb="2" eb="3">
      <t>ゾウ</t>
    </rPh>
    <phoneticPr fontId="2"/>
  </si>
  <si>
    <t>09</t>
  </si>
  <si>
    <t>10</t>
    <phoneticPr fontId="2"/>
  </si>
  <si>
    <t>木造</t>
    <rPh sb="0" eb="1">
      <t>モク</t>
    </rPh>
    <rPh sb="1" eb="2">
      <t>ゾウ</t>
    </rPh>
    <phoneticPr fontId="2"/>
  </si>
  <si>
    <t>11</t>
    <phoneticPr fontId="2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</si>
  <si>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2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</si>
  <si>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2"/>
  </si>
  <si>
    <t>25工具・器具・備品</t>
    <phoneticPr fontId="2"/>
  </si>
  <si>
    <t>（直接仮設・部分撤去・費用を除く）</t>
    <phoneticPr fontId="2"/>
  </si>
  <si>
    <t>059工具・器具・備品</t>
    <phoneticPr fontId="2"/>
  </si>
  <si>
    <t>12505958</t>
  </si>
  <si>
    <t>看板・広告機器-(主として金属製)</t>
    <phoneticPr fontId="2"/>
  </si>
  <si>
    <t>01</t>
    <phoneticPr fontId="2"/>
  </si>
  <si>
    <t>電照サイン</t>
    <rPh sb="0" eb="2">
      <t>デンショウ</t>
    </rPh>
    <phoneticPr fontId="2"/>
  </si>
  <si>
    <t>＊器具本体・金属枠・板面共</t>
    <rPh sb="1" eb="3">
      <t>キグ</t>
    </rPh>
    <rPh sb="3" eb="5">
      <t>ホンタイ</t>
    </rPh>
    <rPh sb="6" eb="8">
      <t>キンゾク</t>
    </rPh>
    <rPh sb="8" eb="9">
      <t>ワク</t>
    </rPh>
    <rPh sb="10" eb="12">
      <t>バンメン</t>
    </rPh>
    <rPh sb="12" eb="13">
      <t>トモ</t>
    </rPh>
    <phoneticPr fontId="2"/>
  </si>
  <si>
    <t>非電照サイン</t>
    <rPh sb="0" eb="1">
      <t>ヒ</t>
    </rPh>
    <rPh sb="1" eb="3">
      <t>デンショウ</t>
    </rPh>
    <phoneticPr fontId="2"/>
  </si>
  <si>
    <t>電照広告</t>
    <rPh sb="0" eb="2">
      <t>デンショウ</t>
    </rPh>
    <rPh sb="2" eb="4">
      <t>コウコク</t>
    </rPh>
    <phoneticPr fontId="2"/>
  </si>
  <si>
    <t>非電照広告</t>
    <rPh sb="0" eb="1">
      <t>ヒ</t>
    </rPh>
    <rPh sb="1" eb="2">
      <t>デン</t>
    </rPh>
    <rPh sb="2" eb="3">
      <t>テ</t>
    </rPh>
    <rPh sb="3" eb="5">
      <t>コウコク</t>
    </rPh>
    <phoneticPr fontId="2"/>
  </si>
  <si>
    <t>電気設備</t>
    <rPh sb="0" eb="2">
      <t>デンキ</t>
    </rPh>
    <rPh sb="2" eb="4">
      <t>セツビ</t>
    </rPh>
    <phoneticPr fontId="2"/>
  </si>
  <si>
    <t>12505959</t>
  </si>
  <si>
    <t>看板・広告機器-その他のもの</t>
    <phoneticPr fontId="2"/>
  </si>
  <si>
    <t>＊枠無し板面のみ</t>
    <rPh sb="1" eb="2">
      <t>ワク</t>
    </rPh>
    <rPh sb="2" eb="3">
      <t>ナ</t>
    </rPh>
    <rPh sb="4" eb="5">
      <t>イタ</t>
    </rPh>
    <rPh sb="5" eb="6">
      <t>メン</t>
    </rPh>
    <phoneticPr fontId="2"/>
  </si>
  <si>
    <t>非電照広告</t>
    <rPh sb="0" eb="1">
      <t>ヒ</t>
    </rPh>
    <rPh sb="1" eb="3">
      <t>デンショウ</t>
    </rPh>
    <rPh sb="3" eb="5">
      <t>コウコク</t>
    </rPh>
    <phoneticPr fontId="2"/>
  </si>
  <si>
    <t>12505988</t>
    <phoneticPr fontId="2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</si>
  <si>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2"/>
  </si>
  <si>
    <t>12505990</t>
    <phoneticPr fontId="2"/>
  </si>
  <si>
    <t>その他（金造製）</t>
    <rPh sb="2" eb="3">
      <t>タ</t>
    </rPh>
    <rPh sb="4" eb="5">
      <t>キン</t>
    </rPh>
    <rPh sb="6" eb="7">
      <t>セイ</t>
    </rPh>
    <phoneticPr fontId="2"/>
  </si>
  <si>
    <t>12505991</t>
    <phoneticPr fontId="2"/>
  </si>
  <si>
    <t>その他（その他）</t>
    <rPh sb="2" eb="3">
      <t>タ</t>
    </rPh>
    <rPh sb="6" eb="7">
      <t>タ</t>
    </rPh>
    <phoneticPr fontId="2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</si>
  <si>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2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</si>
  <si>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2"/>
  </si>
  <si>
    <t>資　産　ク　ラ　ス　・　計　上　区　分</t>
    <rPh sb="0" eb="1">
      <t>シ</t>
    </rPh>
    <rPh sb="2" eb="3">
      <t>サン</t>
    </rPh>
    <rPh sb="12" eb="13">
      <t>ケイ</t>
    </rPh>
    <rPh sb="14" eb="15">
      <t>ウエ</t>
    </rPh>
    <rPh sb="16" eb="17">
      <t>ク</t>
    </rPh>
    <rPh sb="18" eb="19">
      <t>ブン</t>
    </rPh>
    <phoneticPr fontId="2"/>
  </si>
  <si>
    <t>合計</t>
    <rPh sb="0" eb="2">
      <t>ゴウケイ</t>
    </rPh>
    <phoneticPr fontId="2"/>
  </si>
  <si>
    <t>鉄骨鉄筋コンクリート造又は鉄筋コンクリート造-停車場建物</t>
    <phoneticPr fontId="2"/>
  </si>
  <si>
    <t>れんが造、石造又はブロック造-停車場建物</t>
    <phoneticPr fontId="2"/>
  </si>
  <si>
    <t>金属造(骨格材の肉厚が4mm超)-停車場建物</t>
    <phoneticPr fontId="2"/>
  </si>
  <si>
    <t>金属造(骨格材の肉厚が3mm超4mm以下)-停車場建物</t>
    <phoneticPr fontId="2"/>
  </si>
  <si>
    <t>金属造(骨格材の肉厚が3mm以下)-停車場建物</t>
    <phoneticPr fontId="2"/>
  </si>
  <si>
    <t>木造又は合成樹脂造-停車場建物</t>
    <phoneticPr fontId="2"/>
  </si>
  <si>
    <t>木骨モルタル造-停車場建物</t>
    <phoneticPr fontId="2"/>
  </si>
  <si>
    <t>簡易建物(木製主要柱が10cm角以下で土居、杉皮ぶき等)-停車場建物</t>
    <phoneticPr fontId="2"/>
  </si>
  <si>
    <t>簡易建物(掘立造のもの及び仮設のもの)-停車場建物</t>
    <phoneticPr fontId="2"/>
  </si>
  <si>
    <t>電気設備(照明設備を含む)-蓄電池電源設備-停車場建物</t>
    <phoneticPr fontId="2"/>
  </si>
  <si>
    <t>電気設備(照明設備を含む)-その他のもの-停車場建物</t>
    <phoneticPr fontId="2"/>
  </si>
  <si>
    <t>給排水又は衛生設備及びガス設備-停車場建物</t>
    <phoneticPr fontId="2"/>
  </si>
  <si>
    <t>冷暖房・通風・ボイラー設備-22kw以下-停車場建物</t>
    <phoneticPr fontId="2"/>
  </si>
  <si>
    <t>冷暖房・通風・ボイラー設備-その他のもの-停車場建物</t>
    <phoneticPr fontId="2"/>
  </si>
  <si>
    <t>昇降機設備-エレベーター-停車場建物</t>
    <phoneticPr fontId="2"/>
  </si>
  <si>
    <t>昇降機設備-エスカレーター-停車場建物</t>
    <phoneticPr fontId="2"/>
  </si>
  <si>
    <t>消火・排煙・災害報知設備及び格納式避難設備-停車場建物</t>
    <phoneticPr fontId="2"/>
  </si>
  <si>
    <t>エヤーカーテン又はドアー自動開閉設備-停車場建物</t>
    <phoneticPr fontId="2"/>
  </si>
  <si>
    <t>アーケード又は日よけ設備-金属製-停車場建物</t>
    <phoneticPr fontId="2"/>
  </si>
  <si>
    <t>アーケード又は日よけ設備-その他のもの-停車場建物</t>
    <phoneticPr fontId="2"/>
  </si>
  <si>
    <t>店用簡易設備-停車場建物</t>
    <phoneticPr fontId="2"/>
  </si>
  <si>
    <t>可動簡易装備-簡易なもの-停車場建物</t>
    <phoneticPr fontId="2"/>
  </si>
  <si>
    <t>可動簡易装備-その他のもの-停車場建物</t>
    <phoneticPr fontId="2"/>
  </si>
  <si>
    <t>前掲以外・前掲区分外-主として金属製のもの-停車場建物</t>
    <phoneticPr fontId="2"/>
  </si>
  <si>
    <t>前掲以外・前掲区分外-その他のもの-停車場建物</t>
    <phoneticPr fontId="2"/>
  </si>
  <si>
    <t>鉄骨鉄筋コンクリート造又は鉄筋コンクリート造-変電所建物</t>
    <phoneticPr fontId="2"/>
  </si>
  <si>
    <t>れんが造、石造又はブロック造-変電所建物</t>
    <phoneticPr fontId="2"/>
  </si>
  <si>
    <t>金属造(骨格材の肉厚が4mm超)-変電所建物</t>
    <phoneticPr fontId="2"/>
  </si>
  <si>
    <t>金属造(骨格材の肉厚が3mm超4mm以下)-変電所建物</t>
    <phoneticPr fontId="2"/>
  </si>
  <si>
    <t>金属造(骨格材の肉厚が3mm以下)-変電所建物</t>
    <phoneticPr fontId="2"/>
  </si>
  <si>
    <t>木造又は合成樹脂造-変電所建物</t>
    <phoneticPr fontId="2"/>
  </si>
  <si>
    <t>木骨モルタル造-変電所建物</t>
    <phoneticPr fontId="2"/>
  </si>
  <si>
    <t>簡易建物(木製主要柱が10cm角以下で土居、杉皮ぶき等)-変電所建物</t>
    <phoneticPr fontId="2"/>
  </si>
  <si>
    <t>簡易建物(掘立造のもの及び仮設のもの)-変電所建物</t>
    <phoneticPr fontId="2"/>
  </si>
  <si>
    <t>電気設備(照明設備を含む)-蓄電池電源設備-変電所建物</t>
    <phoneticPr fontId="2"/>
  </si>
  <si>
    <t>電気設備(照明設備を含む)-その他のもの-変電所建物</t>
    <phoneticPr fontId="2"/>
  </si>
  <si>
    <t>給排水又は衛生設備及びガス設備-変電所建物</t>
    <phoneticPr fontId="2"/>
  </si>
  <si>
    <t>冷暖房・通風・ボイラー設備-22kw以下-変電所建物</t>
    <phoneticPr fontId="2"/>
  </si>
  <si>
    <t>冷暖房・通風・ボイラー設備-その他のもの-変電所建物</t>
    <phoneticPr fontId="2"/>
  </si>
  <si>
    <t>昇降機設備-エレベーター-変電所建物</t>
    <phoneticPr fontId="2"/>
  </si>
  <si>
    <t>昇降機設備-エスカレーター-変電所建物</t>
    <phoneticPr fontId="2"/>
  </si>
  <si>
    <t>消火・排煙・災害報知設備及び格納式避難設備-変電所建物</t>
    <phoneticPr fontId="2"/>
  </si>
  <si>
    <t>エヤーカーテン又はドアー自動開閉設備-変電所建物</t>
    <phoneticPr fontId="2"/>
  </si>
  <si>
    <t>アーケード又は日よけ設備-金属製-変電所建物</t>
    <phoneticPr fontId="2"/>
  </si>
  <si>
    <t>アーケード又は日よけ設備-その他のもの-変電所建物</t>
    <phoneticPr fontId="2"/>
  </si>
  <si>
    <t>店用簡易設備-変電所建物</t>
    <phoneticPr fontId="2"/>
  </si>
  <si>
    <t>可動簡易装備-簡易なもの-変電所建物</t>
    <phoneticPr fontId="2"/>
  </si>
  <si>
    <t>可動簡易装備-その他のもの-変電所建物</t>
    <phoneticPr fontId="2"/>
  </si>
  <si>
    <t>前掲以外・前掲区分外-主として金属製のもの-変電所建物</t>
    <phoneticPr fontId="2"/>
  </si>
  <si>
    <t>前掲以外・前掲区分外-その他のもの-変電所建物</t>
    <phoneticPr fontId="2"/>
  </si>
  <si>
    <t>鉄骨鉄筋コンクリート造又は鉄筋コンクリート造-車庫・工場</t>
    <phoneticPr fontId="2"/>
  </si>
  <si>
    <t>れんが造、石造又はブロック造-車庫・工場</t>
    <phoneticPr fontId="2"/>
  </si>
  <si>
    <t>金属造(骨格材の肉厚が4mm超)-車庫・工場</t>
    <phoneticPr fontId="2"/>
  </si>
  <si>
    <t>金属造(骨格材の肉厚が3mm超4mm以下)-車庫・工場</t>
    <phoneticPr fontId="2"/>
  </si>
  <si>
    <t>金属造(骨格材の肉厚が3mm以下)-車庫・工場</t>
    <phoneticPr fontId="2"/>
  </si>
  <si>
    <t>木造又は合成樹脂造-車庫・工場</t>
    <phoneticPr fontId="2"/>
  </si>
  <si>
    <t>木骨モルタル造-車庫・工場</t>
    <phoneticPr fontId="2"/>
  </si>
  <si>
    <t>簡易建物(木製主要柱が10cm角以下で土居、杉皮ぶき等)-車庫・工場</t>
    <phoneticPr fontId="2"/>
  </si>
  <si>
    <t>簡易建物(掘立造のもの及び仮設のもの)-車庫・工場</t>
    <phoneticPr fontId="2"/>
  </si>
  <si>
    <t>電気設備(照明設備を含む)-蓄電池電源設備-車庫・工場</t>
    <phoneticPr fontId="2"/>
  </si>
  <si>
    <t>電気設備(照明設備を含む)-その他のもの-車庫・工場</t>
    <phoneticPr fontId="2"/>
  </si>
  <si>
    <t>給排水又は衛生設備及びガス設備-車庫・工場</t>
    <phoneticPr fontId="2"/>
  </si>
  <si>
    <t>冷暖房・通風・ボイラー設備-22kw以下-車庫・工場</t>
    <phoneticPr fontId="2"/>
  </si>
  <si>
    <t>冷暖房・通風・ボイラー設備-その他のもの-車庫・工場</t>
    <phoneticPr fontId="2"/>
  </si>
  <si>
    <t>鉄有固-運送施設 建物付属設備-</t>
    <phoneticPr fontId="2"/>
  </si>
  <si>
    <t>昇降機設備-エスカレーター-車庫・工場</t>
    <phoneticPr fontId="2"/>
  </si>
  <si>
    <t>消火・排煙・災害報知設備及び格納式避難設備-車庫・工場</t>
    <phoneticPr fontId="2"/>
  </si>
  <si>
    <t>エヤーカーテン又はドアー自動開閉設備-車庫・工場</t>
    <phoneticPr fontId="2"/>
  </si>
  <si>
    <t>アーケード又は日よけ設備-金属製-車庫・工場</t>
    <phoneticPr fontId="2"/>
  </si>
  <si>
    <t>アーケード又は日よけ設備-その他のもの-車庫・工場</t>
    <phoneticPr fontId="2"/>
  </si>
  <si>
    <t>店用簡易設備-車庫・工場</t>
    <phoneticPr fontId="2"/>
  </si>
  <si>
    <t>可動簡易装備-簡易なもの-車庫・工場</t>
    <phoneticPr fontId="2"/>
  </si>
  <si>
    <t>可動簡易装備-その他のもの-車庫・工場</t>
    <phoneticPr fontId="2"/>
  </si>
  <si>
    <t>前掲以外・前掲区分外-主として金属製のもの-車庫・工場</t>
    <phoneticPr fontId="2"/>
  </si>
  <si>
    <t>前掲以外・前掲区分外-その他のもの-車庫・工場</t>
    <phoneticPr fontId="2"/>
  </si>
  <si>
    <t>鉄骨鉄筋コンクリート造又は鉄筋コンクリート造-倉庫建物</t>
    <phoneticPr fontId="2"/>
  </si>
  <si>
    <t>れんが造、石造又はブロック造-倉庫建物</t>
    <phoneticPr fontId="2"/>
  </si>
  <si>
    <t>金属造(骨格材の肉厚が4mm超)-倉庫建物</t>
    <phoneticPr fontId="2"/>
  </si>
  <si>
    <t>金属造(骨格材の肉厚が3mm超4mm以下)-倉庫建物</t>
    <phoneticPr fontId="2"/>
  </si>
  <si>
    <t>金属造(骨格材の肉厚が3mm以下)-倉庫建物</t>
    <phoneticPr fontId="2"/>
  </si>
  <si>
    <t>木造又は合成樹脂造-倉庫建物</t>
    <phoneticPr fontId="2"/>
  </si>
  <si>
    <t>木骨モルタル造-倉庫建物</t>
    <phoneticPr fontId="2"/>
  </si>
  <si>
    <t>簡易建物(木製主要柱が10cm角以下で土居、杉皮ぶき等)-倉庫建物</t>
    <phoneticPr fontId="2"/>
  </si>
  <si>
    <t>簡易建物(掘立造のもの及び仮設のもの)-倉庫建物</t>
    <phoneticPr fontId="2"/>
  </si>
  <si>
    <t>電気設備(照明設備を含む)-蓄電池電源設備-倉庫建物</t>
    <phoneticPr fontId="2"/>
  </si>
  <si>
    <t>電気設備(照明設備を含む)-その他のもの-倉庫建物</t>
    <phoneticPr fontId="2"/>
  </si>
  <si>
    <t>給排水又は衛生設備及びガス設備-倉庫建物</t>
    <phoneticPr fontId="2"/>
  </si>
  <si>
    <t>冷暖房・通風・ボイラー設備-22kw以下-倉庫建物</t>
    <phoneticPr fontId="2"/>
  </si>
  <si>
    <t>冷暖房・通風・ボイラー設備-その他のもの-倉庫建物</t>
    <phoneticPr fontId="2"/>
  </si>
  <si>
    <t>昇降機設備-エレベーター-倉庫建物</t>
    <phoneticPr fontId="2"/>
  </si>
  <si>
    <t>昇降機設備-エスカレーター-倉庫建物</t>
    <phoneticPr fontId="2"/>
  </si>
  <si>
    <t>消火・排煙・災害報知設備及び格納式避難設備-倉庫建物</t>
    <phoneticPr fontId="2"/>
  </si>
  <si>
    <t>エヤーカーテン又はドアー自動開閉設備-倉庫建物</t>
    <phoneticPr fontId="2"/>
  </si>
  <si>
    <t>アーケード又は日よけ設備-金属製-倉庫建物</t>
    <phoneticPr fontId="2"/>
  </si>
  <si>
    <t>アーケード又は日よけ設備-その他のもの-倉庫建物</t>
    <phoneticPr fontId="2"/>
  </si>
  <si>
    <t>店用簡易設備-倉庫建物</t>
    <phoneticPr fontId="2"/>
  </si>
  <si>
    <t>可動簡易装備-簡易なもの-倉庫建物</t>
    <phoneticPr fontId="2"/>
  </si>
  <si>
    <t>可動簡易装備-その他のもの-倉庫建物</t>
    <phoneticPr fontId="2"/>
  </si>
  <si>
    <t>前掲以外・前掲区分外-主として金属製のもの-倉庫建物</t>
    <phoneticPr fontId="2"/>
  </si>
  <si>
    <t>前掲以外・前掲区分外-その他のもの-倉庫建物</t>
    <phoneticPr fontId="2"/>
  </si>
  <si>
    <t>鉄骨鉄筋コンクリート造又は鉄筋コンクリート造-詰所建物</t>
    <phoneticPr fontId="2"/>
  </si>
  <si>
    <t>れんが造、石造又はブロック造-詰所建物</t>
    <phoneticPr fontId="2"/>
  </si>
  <si>
    <t>金属造(骨格材の肉厚が4mm超)-詰所建物</t>
    <phoneticPr fontId="2"/>
  </si>
  <si>
    <t>金属造(骨格材の肉厚が3mm超4mm以下)-詰所建物</t>
    <phoneticPr fontId="2"/>
  </si>
  <si>
    <t>金属造(骨格材の肉厚が3mm以下)-詰所建物</t>
    <phoneticPr fontId="2"/>
  </si>
  <si>
    <t>木造又は合成樹脂造-詰所建物</t>
    <phoneticPr fontId="2"/>
  </si>
  <si>
    <t>木骨モルタル造-詰所建物</t>
    <phoneticPr fontId="2"/>
  </si>
  <si>
    <t>簡易建物(木製主要柱が10cm角以下で土居、杉皮ぶき等)-詰所建物</t>
    <phoneticPr fontId="2"/>
  </si>
  <si>
    <t>簡易建物(掘立造のもの及び仮設のもの)-詰所建物</t>
    <phoneticPr fontId="2"/>
  </si>
  <si>
    <t>電気設備(照明設備を含む)-蓄電池電源設備-詰所建物</t>
    <phoneticPr fontId="2"/>
  </si>
  <si>
    <t>電気設備(照明設備を含む)-その他のもの-詰所建物</t>
    <phoneticPr fontId="2"/>
  </si>
  <si>
    <t>給排水又は衛生設備及びガス設備-詰所建物</t>
    <phoneticPr fontId="2"/>
  </si>
  <si>
    <t>冷暖房・通風・ボイラー設備-22kw以下-詰所建物</t>
    <phoneticPr fontId="2"/>
  </si>
  <si>
    <t>冷暖房・通風・ボイラー設備-その他のもの-詰所建物</t>
    <phoneticPr fontId="2"/>
  </si>
  <si>
    <t>昇降機設備-エレベーター-詰所建物</t>
    <phoneticPr fontId="2"/>
  </si>
  <si>
    <t>昇降機設備-エスカレーター-詰所建物</t>
    <phoneticPr fontId="2"/>
  </si>
  <si>
    <t>消火・排煙・災害報知設備及び格納式避難設備-詰所建物</t>
    <phoneticPr fontId="2"/>
  </si>
  <si>
    <t>エヤーカーテン又はドアー自動開閉設備-詰所建物</t>
    <phoneticPr fontId="2"/>
  </si>
  <si>
    <t>アーケード又は日よけ設備-金属製-詰所建物</t>
    <phoneticPr fontId="2"/>
  </si>
  <si>
    <t>アーケード又は日よけ設備-その他のもの-詰所建物</t>
    <phoneticPr fontId="2"/>
  </si>
  <si>
    <t>店用簡易設備-詰所建物</t>
    <phoneticPr fontId="2"/>
  </si>
  <si>
    <t>可動簡易装備-簡易なもの-詰所建物</t>
    <phoneticPr fontId="2"/>
  </si>
  <si>
    <t>可動簡易装備-その他のもの-詰所建物</t>
    <phoneticPr fontId="2"/>
  </si>
  <si>
    <t>前掲以外・前掲区分外-主として金属製のもの-詰所建物</t>
    <phoneticPr fontId="2"/>
  </si>
  <si>
    <t>前掲以外・前掲区分外-その他のもの-詰所建物</t>
    <phoneticPr fontId="2"/>
  </si>
  <si>
    <t>鉄骨鉄筋コンクリート造又は鉄筋コンクリート造-事務所建物</t>
    <phoneticPr fontId="2"/>
  </si>
  <si>
    <t>れんが造、石造又はブロック造-事務所建物</t>
    <phoneticPr fontId="2"/>
  </si>
  <si>
    <t>金属造(骨格材の肉厚が4mm超)-事務所建物</t>
    <phoneticPr fontId="2"/>
  </si>
  <si>
    <t>金属造(骨格材の肉厚が3mm超4mm以下)-事務所建物</t>
    <phoneticPr fontId="2"/>
  </si>
  <si>
    <t>金属造(骨格材の肉厚が3mm以下)-事務所建物</t>
    <phoneticPr fontId="2"/>
  </si>
  <si>
    <t>木造又は合成樹脂造-事務所建物</t>
    <phoneticPr fontId="2"/>
  </si>
  <si>
    <t>木骨モルタル造-事務所建物</t>
    <phoneticPr fontId="2"/>
  </si>
  <si>
    <t>簡易建物(木製主要柱が10cm角以下で土居、杉皮ぶき等)-事務所建物</t>
    <phoneticPr fontId="2"/>
  </si>
  <si>
    <t>簡易建物(掘立造のもの及び仮設のもの)-事務所建物</t>
    <phoneticPr fontId="2"/>
  </si>
  <si>
    <t>電気設備(照明設備を含む)-蓄電池電源設備-事務所建物</t>
    <phoneticPr fontId="2"/>
  </si>
  <si>
    <t>電気設備(照明設備を含む)-その他のもの-事務所建物</t>
    <phoneticPr fontId="2"/>
  </si>
  <si>
    <t>給排水又は衛生設備及びガス設備-事務所建物</t>
    <phoneticPr fontId="2"/>
  </si>
  <si>
    <t>冷暖房・通風・ボイラー設備-22kw以下-事務所建物</t>
    <phoneticPr fontId="2"/>
  </si>
  <si>
    <t>冷暖房・通風・ボイラー設備-その他のもの-事務所建物</t>
    <phoneticPr fontId="2"/>
  </si>
  <si>
    <t>昇降機設備-エレベーター-事務所建物</t>
    <phoneticPr fontId="2"/>
  </si>
  <si>
    <t>昇降機設備-エスカレーター-事務所建物</t>
    <phoneticPr fontId="2"/>
  </si>
  <si>
    <t>消火・排煙・災害報知設備及び格納式避難設備-事務所建物</t>
    <phoneticPr fontId="2"/>
  </si>
  <si>
    <t>エヤーカーテン又はドアー自動開閉設備-事務所建物</t>
    <phoneticPr fontId="2"/>
  </si>
  <si>
    <t>アーケード又は日よけ設備-金属製-事務所建物</t>
    <phoneticPr fontId="2"/>
  </si>
  <si>
    <t>アーケード又は日よけ設備-その他のもの-事務所建物</t>
    <phoneticPr fontId="2"/>
  </si>
  <si>
    <t>店用簡易設備-事務所建物</t>
    <phoneticPr fontId="2"/>
  </si>
  <si>
    <t>可動簡易装備-簡易なもの-事務所建物</t>
    <phoneticPr fontId="2"/>
  </si>
  <si>
    <t>可動簡易装備-その他のもの-事務所建物</t>
    <phoneticPr fontId="2"/>
  </si>
  <si>
    <t>前掲以外・前掲区分外-主として金属製のもの-事務所建物</t>
    <phoneticPr fontId="2"/>
  </si>
  <si>
    <t>前掲以外・前掲区分外-その他のもの-事務所建物</t>
    <phoneticPr fontId="2"/>
  </si>
  <si>
    <t>鉄骨鉄筋コンクリート造又は鉄筋コンクリート造-社宅・寮建物</t>
    <phoneticPr fontId="2"/>
  </si>
  <si>
    <t>れんが造、石造又はブロック造-社宅・寮建物</t>
    <phoneticPr fontId="2"/>
  </si>
  <si>
    <t>金属造(骨格材の肉厚が4mm超)-社宅・寮建物</t>
    <phoneticPr fontId="2"/>
  </si>
  <si>
    <t>金属造(骨格材の肉厚が3mm超4mm以下)-社宅・寮建物</t>
    <phoneticPr fontId="2"/>
  </si>
  <si>
    <t>金属造(骨格材の肉厚が3mm以下)-社宅・寮建物</t>
    <phoneticPr fontId="2"/>
  </si>
  <si>
    <t>木造又は合成樹脂造-社宅・寮建物</t>
    <phoneticPr fontId="2"/>
  </si>
  <si>
    <t>木骨モルタル造-社宅・寮建物</t>
    <phoneticPr fontId="2"/>
  </si>
  <si>
    <t>簡易建物(木製主要柱が10cm角以下で土居、杉皮ぶき等)-社宅・寮建物</t>
    <phoneticPr fontId="2"/>
  </si>
  <si>
    <t>簡易建物(掘立造のもの及び仮設のもの)-社宅・寮建物</t>
    <phoneticPr fontId="2"/>
  </si>
  <si>
    <t>電気設備(照明設備を含む)-蓄電池電源設備-社宅・寮建物</t>
    <phoneticPr fontId="2"/>
  </si>
  <si>
    <t>電気設備(照明設備を含む)-その他のもの-社宅・寮建物</t>
    <phoneticPr fontId="2"/>
  </si>
  <si>
    <t>給排水又は衛生設備及びガス設備-社宅・寮建物</t>
    <phoneticPr fontId="2"/>
  </si>
  <si>
    <t>冷暖房・通風・ボイラー設備-22kw以下-社宅・寮建物</t>
    <phoneticPr fontId="2"/>
  </si>
  <si>
    <t>冷暖房・通風・ボイラー設備-その他のもの-社宅・寮建物</t>
    <phoneticPr fontId="2"/>
  </si>
  <si>
    <t>昇降機設備-エレベーター-社宅・寮建物</t>
    <phoneticPr fontId="2"/>
  </si>
  <si>
    <t>昇降機設備-エスカレーター-社宅・寮建物</t>
    <phoneticPr fontId="2"/>
  </si>
  <si>
    <t>消火・排煙・災害報知設備及び格納式避難設備-社宅・寮建物</t>
    <phoneticPr fontId="2"/>
  </si>
  <si>
    <t>エヤーカーテン又はドアー自動開閉設備-社宅・寮建物</t>
    <phoneticPr fontId="2"/>
  </si>
  <si>
    <t>アーケード又は日よけ設備-金属製-社宅・寮建物</t>
    <phoneticPr fontId="2"/>
  </si>
  <si>
    <t>アーケード又は日よけ設備-その他のもの-社宅・寮建物</t>
    <phoneticPr fontId="2"/>
  </si>
  <si>
    <t>店用簡易設備-社宅・寮建物</t>
    <phoneticPr fontId="2"/>
  </si>
  <si>
    <t>可動簡易装備-簡易なもの-社宅・寮建物</t>
    <phoneticPr fontId="2"/>
  </si>
  <si>
    <t>可動簡易装備-その他のもの-社宅・寮建物</t>
    <phoneticPr fontId="2"/>
  </si>
  <si>
    <t>前掲以外・前掲区分外-主として金属製のもの-社宅・寮建物</t>
    <phoneticPr fontId="2"/>
  </si>
  <si>
    <t>前掲以外・前掲区分外-その他のもの-社宅・寮建物</t>
    <phoneticPr fontId="2"/>
  </si>
  <si>
    <t>雑設備-駅前広場舗装等</t>
    <rPh sb="4" eb="6">
      <t>エキマエ</t>
    </rPh>
    <rPh sb="6" eb="8">
      <t>ヒロバ</t>
    </rPh>
    <rPh sb="8" eb="10">
      <t>ホソウ</t>
    </rPh>
    <rPh sb="10" eb="11">
      <t>トウ</t>
    </rPh>
    <phoneticPr fontId="2"/>
  </si>
  <si>
    <t>雑設備-その他</t>
    <rPh sb="6" eb="7">
      <t>タ</t>
    </rPh>
    <phoneticPr fontId="2"/>
  </si>
  <si>
    <t>舗装道路・舗装路面-コンクリート敷、ブロック敷、煉瓦敷、石敷-車庫工場構築物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</si>
  <si>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</si>
  <si>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</si>
  <si>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</si>
  <si>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</si>
  <si>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コン造・コンクリートブロック造-へい-車庫工場構築物</t>
    <rPh sb="2" eb="3">
      <t>ゾウ</t>
    </rPh>
    <rPh sb="14" eb="15">
      <t>ゾウ</t>
    </rPh>
    <phoneticPr fontId="2"/>
  </si>
  <si>
    <t>コン造・コンクリートブロック造-その他-車庫工場構築物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</si>
  <si>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金属造-つり橋、煙突、焼却炉、打ち込み井戸、へい、街路及びガードレール-車庫工場構築物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</si>
  <si>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金属造-その他-車庫工場構築物</t>
    <rPh sb="0" eb="2">
      <t>キンゾク</t>
    </rPh>
    <rPh sb="2" eb="3">
      <t>ゾウ</t>
    </rPh>
    <rPh sb="6" eb="7">
      <t>タ</t>
    </rPh>
    <phoneticPr fontId="2"/>
  </si>
  <si>
    <t>木造-へい-車庫工場構築物</t>
    <rPh sb="0" eb="2">
      <t>モクゾウ</t>
    </rPh>
    <phoneticPr fontId="2"/>
  </si>
  <si>
    <t>木造-その他-車庫工場構築物</t>
    <rPh sb="0" eb="2">
      <t>モクゾウ</t>
    </rPh>
    <rPh sb="5" eb="6">
      <t>タ</t>
    </rPh>
    <phoneticPr fontId="2"/>
  </si>
  <si>
    <t>舗装道路・舗装路面-コンクリート敷、ブロック敷、煉瓦敷、石敷-変電所構築物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</si>
  <si>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</si>
  <si>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</si>
  <si>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</si>
  <si>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</si>
  <si>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コン造・コンクリートブロック造-へい-変電所構築物</t>
    <rPh sb="2" eb="3">
      <t>ゾウ</t>
    </rPh>
    <rPh sb="14" eb="15">
      <t>ゾウ</t>
    </rPh>
    <phoneticPr fontId="2"/>
  </si>
  <si>
    <t>コン造・コンクリートブロック造-その他-変電所構築物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</si>
  <si>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金属造-つり橋、煙突、焼却炉、打ち込み井戸、へい、街路及びガードレール-変電所構築物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</si>
  <si>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金属造-その他-変電所構築物</t>
    <rPh sb="0" eb="2">
      <t>キンゾク</t>
    </rPh>
    <rPh sb="2" eb="3">
      <t>ゾウ</t>
    </rPh>
    <rPh sb="6" eb="7">
      <t>タ</t>
    </rPh>
    <phoneticPr fontId="2"/>
  </si>
  <si>
    <t>木造-へい-変電所構築物</t>
    <rPh sb="0" eb="2">
      <t>モクゾウ</t>
    </rPh>
    <phoneticPr fontId="2"/>
  </si>
  <si>
    <t>木造-その他-変電所構築物</t>
    <rPh sb="0" eb="2">
      <t>モクゾウ</t>
    </rPh>
    <rPh sb="5" eb="6">
      <t>タ</t>
    </rPh>
    <phoneticPr fontId="2"/>
  </si>
  <si>
    <t>舗装道路・舗装路面-コンクリート敷、ブロック敷、煉瓦敷、石敷-雑構築物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</si>
  <si>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</si>
  <si>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舗装道路・舗装路面-ビチューマルチ敷のもの-雑構築物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</si>
  <si>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</si>
  <si>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</si>
  <si>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コン造・コンクリートブロック造-へい-雑構築物</t>
    <rPh sb="2" eb="3">
      <t>ゾウ</t>
    </rPh>
    <rPh sb="14" eb="15">
      <t>ゾウ</t>
    </rPh>
    <phoneticPr fontId="2"/>
  </si>
  <si>
    <t>コン造・コンクリートブロック造-その他-雑構築物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</si>
  <si>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金属造-つり橋、煙突、焼却炉、打ち込み井戸、へい、街路及びガードレール-雑構築物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</si>
  <si>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金属造-その他-雑構築物</t>
    <rPh sb="0" eb="2">
      <t>キンゾク</t>
    </rPh>
    <rPh sb="2" eb="3">
      <t>ゾウ</t>
    </rPh>
    <rPh sb="6" eb="7">
      <t>タ</t>
    </rPh>
    <phoneticPr fontId="2"/>
  </si>
  <si>
    <t>木造-へい-雑構築物</t>
    <rPh sb="0" eb="2">
      <t>モクゾウ</t>
    </rPh>
    <phoneticPr fontId="2"/>
  </si>
  <si>
    <t>木造-その他-雑構築物</t>
    <rPh sb="0" eb="2">
      <t>モクゾウ</t>
    </rPh>
    <rPh sb="5" eb="6">
      <t>タ</t>
    </rPh>
    <phoneticPr fontId="2"/>
  </si>
  <si>
    <t>－</t>
    <phoneticPr fontId="2"/>
  </si>
  <si>
    <t>－</t>
    <phoneticPr fontId="2"/>
  </si>
  <si>
    <t>部分撤去工事　工事価格　計</t>
    <rPh sb="0" eb="2">
      <t>ブブン</t>
    </rPh>
    <rPh sb="2" eb="4">
      <t>テッキョ</t>
    </rPh>
    <rPh sb="4" eb="6">
      <t>コウジ</t>
    </rPh>
    <rPh sb="7" eb="9">
      <t>コウジ</t>
    </rPh>
    <rPh sb="9" eb="11">
      <t>カカク</t>
    </rPh>
    <rPh sb="12" eb="13">
      <t>ケイ</t>
    </rPh>
    <phoneticPr fontId="2"/>
  </si>
  <si>
    <t>工事価格合計</t>
    <rPh sb="0" eb="2">
      <t>コウジ</t>
    </rPh>
    <rPh sb="2" eb="4">
      <t>カカク</t>
    </rPh>
    <rPh sb="4" eb="6">
      <t>ゴウケイ</t>
    </rPh>
    <phoneticPr fontId="2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</si>
  <si>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</si>
  <si>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</si>
  <si>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</si>
  <si>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</si>
  <si>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</si>
  <si>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</si>
  <si>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</si>
  <si>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</si>
  <si>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</si>
  <si>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</si>
  <si>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</si>
  <si>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</si>
  <si>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</si>
  <si>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</si>
  <si>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</si>
  <si>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</si>
  <si>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</si>
  <si>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</si>
  <si>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</si>
  <si>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</si>
  <si>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</si>
  <si>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</si>
  <si>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</si>
  <si>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</si>
  <si>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</si>
  <si>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</si>
  <si>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</si>
  <si>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</si>
  <si>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</si>
  <si>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</si>
  <si>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</si>
  <si>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</si>
  <si>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</si>
  <si>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</si>
  <si>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</si>
  <si>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</si>
  <si>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</si>
  <si>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</si>
  <si>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</si>
  <si>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</si>
  <si>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</si>
  <si>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</si>
  <si>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</si>
  <si>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</si>
  <si>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</si>
  <si>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</si>
  <si>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</si>
  <si>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</si>
  <si>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</si>
  <si>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</si>
  <si>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</si>
  <si>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</si>
  <si>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</si>
  <si>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</si>
  <si>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</si>
  <si>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</si>
  <si>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</si>
  <si>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</si>
  <si>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</si>
  <si>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</si>
  <si>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</si>
  <si>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</si>
  <si>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</si>
  <si>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</si>
  <si>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</si>
  <si>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</si>
  <si>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</si>
  <si>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</si>
  <si>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</si>
  <si>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</si>
  <si>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</si>
  <si>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</si>
  <si>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</si>
  <si>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</si>
  <si>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</si>
  <si>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</si>
  <si>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</si>
  <si>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</si>
  <si>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</si>
  <si>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</si>
  <si>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</si>
  <si>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</si>
  <si>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</si>
  <si>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</si>
  <si>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</si>
  <si>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</si>
  <si>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</si>
  <si>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</si>
  <si>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</si>
  <si>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</si>
  <si>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</si>
  <si>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</si>
  <si>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</si>
  <si>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</si>
  <si>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</si>
  <si>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</si>
  <si>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</si>
  <si>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</si>
  <si>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</si>
  <si>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</si>
  <si>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</si>
  <si>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</si>
  <si>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</si>
  <si>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</si>
  <si>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</si>
  <si>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</si>
  <si>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</si>
  <si>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</si>
  <si>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</si>
  <si>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</si>
  <si>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</si>
  <si>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</si>
  <si>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</si>
  <si>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</si>
  <si>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</si>
  <si>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</si>
  <si>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</si>
  <si>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</si>
  <si>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</si>
  <si>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</si>
  <si>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</si>
  <si>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</si>
  <si>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</si>
  <si>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</si>
  <si>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</si>
  <si>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</si>
  <si>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</si>
  <si>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</si>
  <si>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</si>
  <si>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</si>
  <si>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</si>
  <si>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</si>
  <si>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</si>
  <si>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</si>
  <si>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</si>
  <si>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</si>
  <si>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</si>
  <si>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</si>
  <si>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</si>
  <si>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</si>
  <si>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</si>
  <si>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</si>
  <si>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</si>
  <si>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</si>
  <si>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</si>
  <si>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</si>
  <si>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</si>
  <si>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</si>
  <si>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</si>
  <si>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</si>
  <si>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</si>
  <si>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</si>
  <si>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</si>
  <si>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</si>
  <si>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</si>
  <si>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</si>
  <si>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</si>
  <si>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</si>
  <si>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</si>
  <si>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</si>
  <si>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</si>
  <si>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</si>
  <si>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</si>
  <si>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</si>
  <si>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</si>
  <si>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</si>
  <si>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</si>
  <si>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</si>
  <si>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</si>
  <si>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</si>
  <si>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</si>
  <si>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</si>
  <si>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</si>
  <si>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</si>
  <si>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</si>
  <si>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</si>
  <si>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</si>
  <si>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</si>
  <si>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</si>
  <si>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</si>
  <si>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</si>
  <si>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</si>
  <si>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</si>
  <si>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</si>
  <si>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</si>
  <si>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</si>
  <si>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</si>
  <si>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</si>
  <si>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</si>
  <si>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</si>
  <si>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</si>
  <si>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</si>
  <si>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</si>
  <si>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</si>
  <si>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</si>
  <si>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</si>
  <si>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</si>
  <si>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</si>
  <si>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</si>
  <si>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</si>
  <si>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</si>
  <si>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</si>
  <si>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</si>
  <si>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</si>
  <si>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</si>
  <si>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</si>
  <si>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</si>
  <si>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</si>
  <si>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</si>
  <si>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</si>
  <si>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</si>
  <si>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</si>
  <si>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</si>
  <si>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</si>
  <si>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</si>
  <si>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</si>
  <si>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</si>
  <si>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</si>
  <si>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</si>
  <si>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</si>
  <si>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</si>
  <si>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</si>
  <si>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</si>
  <si>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</si>
  <si>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</si>
  <si>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</si>
  <si>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</si>
  <si>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</si>
  <si>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</si>
  <si>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</si>
  <si>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</si>
  <si>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</si>
  <si>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</si>
  <si>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</si>
  <si>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</si>
  <si>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</si>
  <si>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</si>
  <si>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</si>
  <si>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</si>
  <si>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</si>
  <si>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</si>
  <si>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</si>
  <si>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</si>
  <si>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</si>
  <si>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</si>
  <si>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</si>
  <si>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</si>
  <si>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</si>
  <si>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</si>
  <si>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</si>
  <si>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</si>
  <si>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</si>
  <si>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</si>
  <si>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</si>
  <si>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</si>
  <si>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</si>
  <si>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</si>
  <si>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</si>
  <si>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</si>
  <si>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</si>
  <si>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</si>
  <si>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</si>
  <si>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</si>
  <si>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</si>
  <si>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</si>
  <si>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</si>
  <si>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</si>
  <si>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</si>
  <si>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</si>
  <si>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</si>
  <si>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</si>
  <si>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</si>
  <si>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</si>
  <si>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</si>
  <si>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</si>
  <si>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</si>
  <si>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</si>
  <si>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</si>
  <si>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</si>
  <si>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</si>
  <si>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</si>
  <si>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</si>
  <si>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</si>
  <si>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</si>
  <si>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</si>
  <si>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</si>
  <si>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</si>
  <si>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</si>
  <si>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</si>
  <si>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</si>
  <si>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</si>
  <si>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</si>
  <si>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</si>
  <si>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</si>
  <si>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</si>
  <si>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</si>
  <si>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</si>
  <si>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</si>
  <si>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</si>
  <si>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</si>
  <si>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</si>
  <si>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</si>
  <si>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</si>
  <si>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</si>
  <si>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</si>
  <si>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</si>
  <si>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</si>
  <si>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</si>
  <si>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</si>
  <si>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</si>
  <si>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</si>
  <si>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</si>
  <si>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</si>
  <si>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</si>
  <si>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</si>
  <si>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</si>
  <si>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</si>
  <si>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</si>
  <si>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</si>
  <si>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</si>
  <si>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</si>
  <si>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</si>
  <si>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</si>
  <si>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</si>
  <si>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</si>
  <si>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</si>
  <si>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</si>
  <si>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</si>
  <si>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</si>
  <si>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</si>
  <si>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</si>
  <si>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</si>
  <si>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</si>
  <si>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</si>
  <si>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</si>
  <si>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</si>
  <si>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</si>
  <si>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</si>
  <si>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</si>
  <si>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</si>
  <si>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</si>
  <si>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</si>
  <si>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</si>
  <si>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</si>
  <si>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</si>
  <si>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</si>
  <si>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</si>
  <si>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</si>
  <si>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</si>
  <si>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</si>
  <si>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</si>
  <si>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</si>
  <si>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</si>
  <si>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</si>
  <si>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</si>
  <si>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</si>
  <si>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</si>
  <si>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</si>
  <si>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</si>
  <si>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</si>
  <si>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</si>
  <si>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</si>
  <si>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</si>
  <si>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</si>
  <si>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</si>
  <si>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</si>
  <si>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</si>
  <si>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</si>
  <si>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</si>
  <si>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</si>
  <si>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</si>
  <si>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</si>
  <si>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</si>
  <si>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</si>
  <si>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</si>
  <si>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</si>
  <si>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</si>
  <si>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</si>
  <si>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</si>
  <si>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</si>
  <si>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</si>
  <si>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</si>
  <si>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</si>
  <si>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</si>
  <si>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</si>
  <si>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</si>
  <si>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</si>
  <si>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</si>
  <si>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</si>
  <si>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</si>
  <si>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</si>
  <si>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</si>
  <si>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</si>
  <si>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</si>
  <si>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</si>
  <si>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</si>
  <si>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</si>
  <si>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</si>
  <si>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</si>
  <si>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</si>
  <si>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</si>
  <si>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</si>
  <si>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</si>
  <si>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</si>
  <si>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</si>
  <si>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</si>
  <si>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</si>
  <si>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</si>
  <si>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</si>
  <si>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</si>
  <si>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</si>
  <si>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</si>
  <si>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</si>
  <si>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</si>
  <si>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</si>
  <si>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</si>
  <si>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</si>
  <si>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</si>
  <si>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</si>
  <si>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</si>
  <si>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</si>
  <si>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</si>
  <si>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</si>
  <si>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</si>
  <si>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</si>
  <si>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</si>
  <si>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</si>
  <si>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</si>
  <si>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</si>
  <si>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</si>
  <si>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</si>
  <si>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</si>
  <si>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</si>
  <si>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</si>
  <si>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</si>
  <si>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</si>
  <si>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</si>
  <si>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</si>
  <si>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</si>
  <si>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</si>
  <si>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</si>
  <si>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</si>
  <si>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</si>
  <si>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</si>
  <si>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</si>
  <si>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</si>
  <si>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</si>
  <si>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</si>
  <si>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</si>
  <si>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</si>
  <si>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</si>
  <si>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</si>
  <si>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</si>
  <si>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</si>
  <si>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</si>
  <si>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</si>
  <si>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</si>
  <si>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</si>
  <si>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</si>
  <si>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</si>
  <si>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</si>
  <si>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</si>
  <si>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</si>
  <si>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</si>
  <si>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</si>
  <si>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</si>
  <si>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</si>
  <si>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</si>
  <si>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</si>
  <si>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</si>
  <si>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</si>
  <si>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</si>
  <si>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</si>
  <si>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</si>
  <si>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</si>
  <si>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</si>
  <si>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</si>
  <si>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</si>
  <si>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</si>
  <si>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</si>
  <si>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</si>
  <si>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</si>
  <si>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</si>
  <si>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</si>
  <si>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</si>
  <si>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</si>
  <si>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</si>
  <si>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</si>
  <si>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</si>
  <si>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</si>
  <si>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</si>
  <si>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</si>
  <si>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</si>
  <si>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</si>
  <si>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</si>
  <si>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</si>
  <si>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</si>
  <si>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</si>
  <si>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</si>
  <si>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</si>
  <si>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</si>
  <si>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</si>
  <si>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</si>
  <si>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</si>
  <si>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</si>
  <si>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</si>
  <si>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</si>
  <si>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</si>
  <si>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</si>
  <si>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</si>
  <si>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</si>
  <si>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</si>
  <si>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</si>
  <si>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</si>
  <si>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</si>
  <si>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</si>
  <si>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</si>
  <si>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</si>
  <si>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</si>
  <si>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</si>
  <si>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</si>
  <si>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</si>
  <si>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</si>
  <si>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</si>
  <si>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</si>
  <si>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</si>
  <si>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</si>
  <si>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</si>
  <si>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</si>
  <si>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</si>
  <si>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</si>
  <si>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</si>
  <si>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</si>
  <si>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</si>
  <si>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</si>
  <si>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</si>
  <si>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</si>
  <si>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</si>
  <si>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</si>
  <si>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</si>
  <si>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</si>
  <si>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</si>
  <si>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</si>
  <si>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</si>
  <si>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</si>
  <si>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</si>
  <si>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</si>
  <si>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</si>
  <si>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</si>
  <si>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</si>
  <si>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</si>
  <si>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</si>
  <si>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</si>
  <si>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</si>
  <si>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</si>
  <si>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</si>
  <si>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</si>
  <si>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</si>
  <si>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</si>
  <si>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</si>
  <si>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</si>
  <si>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</si>
  <si>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</si>
  <si>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</si>
  <si>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</si>
  <si>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</si>
  <si>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</si>
  <si>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</si>
  <si>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</si>
  <si>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</si>
  <si>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</si>
  <si>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</si>
  <si>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</si>
  <si>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</si>
  <si>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</si>
  <si>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</si>
  <si>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</si>
  <si>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</si>
  <si>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</si>
  <si>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</si>
  <si>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</si>
  <si>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</si>
  <si>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</si>
  <si>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</si>
  <si>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</si>
  <si>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</si>
  <si>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</si>
  <si>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</si>
  <si>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</si>
  <si>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</si>
  <si>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</si>
  <si>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</si>
  <si>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</si>
  <si>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</si>
  <si>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</si>
  <si>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</si>
  <si>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</si>
  <si>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</si>
  <si>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</si>
  <si>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</si>
  <si>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</si>
  <si>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</si>
  <si>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</si>
  <si>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</si>
  <si>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</si>
  <si>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</si>
  <si>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</si>
  <si>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</si>
  <si>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</si>
  <si>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</si>
  <si>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</si>
  <si>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</si>
  <si>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</si>
  <si>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</si>
  <si>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</si>
  <si>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</si>
  <si>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</si>
  <si>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</si>
  <si>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</si>
  <si>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</si>
  <si>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</si>
  <si>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</si>
  <si>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</si>
  <si>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</si>
  <si>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</si>
  <si>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</si>
  <si>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</si>
  <si>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</si>
  <si>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</si>
  <si>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</si>
  <si>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</si>
  <si>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</si>
  <si>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</si>
  <si>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</si>
  <si>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</si>
  <si>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</si>
  <si>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</si>
  <si>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</si>
  <si>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</si>
  <si>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</si>
  <si>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</si>
  <si>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</si>
  <si>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</si>
  <si>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</si>
  <si>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</si>
  <si>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</si>
  <si>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</si>
  <si>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</si>
  <si>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</si>
  <si>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</si>
  <si>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</si>
  <si>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</si>
  <si>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</si>
  <si>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</si>
  <si>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</si>
  <si>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</si>
  <si>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</si>
  <si>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</si>
  <si>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</si>
  <si>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</si>
  <si>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</si>
  <si>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</si>
  <si>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</si>
  <si>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</si>
  <si>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</si>
  <si>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</si>
  <si>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</si>
  <si>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</si>
  <si>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</si>
  <si>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</si>
  <si>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</si>
  <si>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</si>
  <si>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</si>
  <si>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</si>
  <si>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</si>
  <si>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</si>
  <si>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</si>
  <si>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</si>
  <si>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</si>
  <si>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</si>
  <si>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</si>
  <si>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</si>
  <si>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</si>
  <si>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</si>
  <si>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</si>
  <si>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</si>
  <si>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</si>
  <si>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</si>
  <si>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</si>
  <si>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</si>
  <si>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</si>
  <si>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</si>
  <si>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</si>
  <si>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</si>
  <si>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</si>
  <si>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</si>
  <si>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</si>
  <si>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</si>
  <si>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</si>
  <si>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</si>
  <si>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</si>
  <si>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</si>
  <si>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</si>
  <si>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</si>
  <si>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</si>
  <si>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</si>
  <si>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</si>
  <si>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</si>
  <si>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</si>
  <si>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</si>
  <si>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</si>
  <si>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</si>
  <si>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</si>
  <si>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</si>
  <si>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</si>
  <si>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</si>
  <si>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</si>
  <si>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</si>
  <si>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</si>
  <si>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</si>
  <si>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</si>
  <si>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</si>
  <si>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</si>
  <si>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</si>
  <si>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</si>
  <si>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</si>
  <si>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</si>
  <si>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</si>
  <si>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</si>
  <si>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</si>
  <si>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</si>
  <si>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</si>
  <si>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</si>
  <si>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</si>
  <si>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</si>
  <si>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</si>
  <si>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</si>
  <si>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</si>
  <si>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</si>
  <si>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</si>
  <si>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</si>
  <si>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</si>
  <si>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</si>
  <si>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</si>
  <si>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</si>
  <si>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</si>
  <si>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</si>
  <si>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</si>
  <si>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</si>
  <si>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</si>
  <si>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</si>
  <si>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</si>
  <si>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</si>
  <si>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</si>
  <si>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</si>
  <si>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</si>
  <si>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</si>
  <si>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</si>
  <si>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</si>
  <si>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</si>
  <si>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</si>
  <si>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</si>
  <si>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</si>
  <si>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</si>
  <si>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</si>
  <si>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</si>
  <si>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</si>
  <si>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</si>
  <si>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</si>
  <si>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</si>
  <si>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</si>
  <si>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</si>
  <si>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</si>
  <si>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</si>
  <si>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</si>
  <si>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</si>
  <si>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</si>
  <si>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</si>
  <si>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</si>
  <si>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</si>
  <si>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</si>
  <si>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</si>
  <si>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</si>
  <si>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</si>
  <si>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</si>
  <si>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</si>
  <si>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</si>
  <si>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</si>
  <si>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</si>
  <si>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</si>
  <si>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</si>
  <si>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</si>
  <si>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</si>
  <si>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</si>
  <si>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</si>
  <si>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</si>
  <si>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</si>
  <si>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</si>
  <si>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</si>
  <si>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</si>
  <si>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</si>
  <si>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</si>
  <si>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</si>
  <si>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</si>
  <si>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</si>
  <si>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</si>
  <si>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</si>
  <si>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</si>
  <si>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</si>
  <si>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</si>
  <si>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</si>
  <si>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</si>
  <si>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</si>
  <si>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</si>
  <si>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</si>
  <si>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</si>
  <si>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</si>
  <si>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</si>
  <si>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</si>
  <si>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</si>
  <si>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</si>
  <si>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</si>
  <si>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</si>
  <si>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</si>
  <si>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</si>
  <si>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</si>
  <si>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</si>
  <si>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</si>
  <si>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</si>
  <si>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</si>
  <si>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</si>
  <si>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</si>
  <si>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</si>
  <si>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</si>
  <si>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</si>
  <si>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</si>
  <si>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</si>
  <si>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</si>
  <si>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</si>
  <si>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</si>
  <si>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</si>
  <si>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</si>
  <si>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</si>
  <si>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</si>
  <si>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</si>
  <si>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</si>
  <si>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</si>
  <si>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</si>
  <si>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</si>
  <si>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</si>
  <si>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</si>
  <si>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</si>
  <si>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</si>
  <si>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</si>
  <si>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</si>
  <si>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</si>
  <si>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</si>
  <si>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</si>
  <si>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</si>
  <si>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</si>
  <si>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</si>
  <si>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</si>
  <si>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</si>
  <si>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</si>
  <si>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</si>
  <si>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</si>
  <si>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</si>
  <si>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</si>
  <si>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</si>
  <si>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</si>
  <si>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</si>
  <si>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</si>
  <si>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</si>
  <si>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</si>
  <si>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</si>
  <si>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</si>
  <si>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</si>
  <si>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</si>
  <si>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</si>
  <si>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</si>
  <si>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</si>
  <si>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</si>
  <si>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</si>
  <si>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</si>
  <si>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</si>
  <si>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</si>
  <si>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</si>
  <si>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</si>
  <si>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</si>
  <si>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</si>
  <si>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</si>
  <si>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</si>
  <si>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</si>
  <si>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</si>
  <si>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</si>
  <si>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</si>
  <si>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</si>
  <si>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</si>
  <si>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</si>
  <si>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</si>
  <si>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</si>
  <si>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</si>
  <si>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</si>
  <si>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</si>
  <si>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</si>
  <si>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</si>
  <si>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</si>
  <si>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</si>
  <si>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</si>
  <si>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</si>
  <si>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</si>
  <si>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</si>
  <si>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</si>
  <si>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</si>
  <si>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</si>
  <si>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</si>
  <si>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</si>
  <si>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</si>
  <si>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</si>
  <si>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</si>
  <si>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</si>
  <si>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</si>
  <si>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</si>
  <si>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</si>
  <si>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</si>
  <si>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</si>
  <si>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</si>
  <si>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</si>
  <si>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</si>
  <si>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</si>
  <si>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</si>
  <si>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</si>
  <si>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</si>
  <si>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</si>
  <si>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</si>
  <si>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</si>
  <si>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</si>
  <si>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</si>
  <si>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</si>
  <si>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</si>
  <si>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</si>
  <si>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</si>
  <si>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</si>
  <si>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</si>
  <si>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</si>
  <si>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</si>
  <si>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</si>
  <si>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</si>
  <si>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</si>
  <si>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</si>
  <si>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</si>
  <si>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</si>
  <si>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</si>
  <si>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</si>
  <si>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</si>
  <si>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</si>
  <si>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</si>
  <si>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</si>
  <si>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</si>
  <si>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</si>
  <si>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</si>
  <si>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</si>
  <si>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</si>
  <si>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</si>
  <si>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</si>
  <si>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</si>
  <si>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</si>
  <si>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</si>
  <si>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</si>
  <si>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</si>
  <si>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</si>
  <si>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</si>
  <si>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</si>
  <si>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</si>
  <si>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</si>
  <si>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</si>
  <si>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</si>
  <si>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</si>
  <si>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</si>
  <si>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</si>
  <si>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</si>
  <si>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</si>
  <si>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</si>
  <si>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</si>
  <si>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</si>
  <si>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</si>
  <si>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</si>
  <si>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</si>
  <si>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</si>
  <si>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</si>
  <si>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</si>
  <si>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</si>
  <si>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</si>
  <si>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</si>
  <si>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</si>
  <si>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</si>
  <si>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</si>
  <si>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</si>
  <si>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</si>
  <si>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</si>
  <si>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</si>
  <si>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</si>
  <si>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</si>
  <si>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</si>
  <si>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</si>
  <si>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</si>
  <si>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</si>
  <si>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</si>
  <si>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</si>
  <si>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</si>
  <si>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</si>
  <si>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</si>
  <si>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</si>
  <si>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</si>
  <si>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</si>
  <si>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</si>
  <si>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</si>
  <si>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</si>
  <si>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</si>
  <si>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</si>
  <si>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</si>
  <si>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</si>
  <si>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</si>
  <si>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</si>
  <si>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</si>
  <si>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</si>
  <si>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</si>
  <si>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</si>
  <si>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</si>
  <si>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</si>
  <si>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</si>
  <si>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</si>
  <si>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</si>
  <si>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</si>
  <si>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</si>
  <si>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</si>
  <si>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</si>
  <si>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</si>
  <si>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</si>
  <si>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</si>
  <si>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</si>
  <si>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</si>
  <si>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</si>
  <si>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</si>
  <si>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</si>
  <si>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</si>
  <si>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</si>
  <si>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</si>
  <si>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</si>
  <si>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</si>
  <si>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</si>
  <si>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</si>
  <si>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</si>
  <si>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</si>
  <si>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</si>
  <si>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</si>
  <si>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</si>
  <si>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</si>
  <si>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</si>
  <si>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</si>
  <si>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</si>
  <si>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</si>
  <si>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</si>
  <si>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</si>
  <si>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</si>
  <si>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</si>
  <si>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</si>
  <si>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</si>
  <si>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</si>
  <si>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</si>
  <si>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</si>
  <si>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</si>
  <si>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</si>
  <si>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</si>
  <si>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</si>
  <si>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</si>
  <si>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</si>
  <si>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</si>
  <si>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</si>
  <si>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</si>
  <si>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</si>
  <si>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</si>
  <si>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</si>
  <si>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</si>
  <si>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</si>
  <si>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</si>
  <si>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</si>
  <si>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</si>
  <si>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</si>
  <si>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</si>
  <si>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</si>
  <si>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</si>
  <si>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</si>
  <si>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</si>
  <si>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</si>
  <si>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</si>
  <si>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</si>
  <si>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</si>
  <si>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</si>
  <si>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</si>
  <si>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</si>
  <si>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</si>
  <si>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</si>
  <si>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</si>
  <si>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</si>
  <si>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</si>
  <si>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</si>
  <si>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</si>
  <si>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</si>
  <si>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</si>
  <si>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</si>
  <si>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</si>
  <si>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</si>
  <si>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</si>
  <si>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</si>
  <si>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</si>
  <si>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</si>
  <si>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</si>
  <si>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</si>
  <si>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</si>
  <si>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</si>
  <si>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</si>
  <si>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</si>
  <si>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</si>
  <si>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</si>
  <si>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</si>
  <si>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</si>
  <si>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</si>
  <si>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</si>
  <si>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</si>
  <si>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</si>
  <si>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</si>
  <si>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</si>
  <si>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</si>
  <si>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</si>
  <si>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</si>
  <si>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</si>
  <si>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</si>
  <si>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</si>
  <si>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</si>
  <si>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</si>
  <si>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</si>
  <si>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</si>
  <si>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</si>
  <si>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</si>
  <si>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</si>
  <si>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</si>
  <si>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</si>
  <si>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</si>
  <si>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</si>
  <si>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</si>
  <si>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</si>
  <si>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</si>
  <si>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</si>
  <si>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</si>
  <si>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</si>
  <si>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</si>
  <si>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</si>
  <si>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</si>
  <si>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</si>
  <si>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</si>
  <si>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</si>
  <si>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</si>
  <si>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</si>
  <si>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</si>
  <si>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</si>
  <si>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</si>
  <si>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</si>
  <si>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</si>
  <si>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</si>
  <si>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</si>
  <si>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</si>
  <si>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</si>
  <si>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</si>
  <si>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</si>
  <si>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</si>
  <si>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</si>
  <si>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</si>
  <si>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</si>
  <si>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</si>
  <si>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</si>
  <si>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</si>
  <si>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</si>
  <si>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</si>
  <si>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</si>
  <si>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</si>
  <si>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</si>
  <si>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</si>
  <si>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</si>
  <si>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</si>
  <si>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</si>
  <si>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</si>
  <si>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</si>
  <si>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</si>
  <si>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</si>
  <si>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</si>
  <si>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</si>
  <si>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</si>
  <si>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</si>
  <si>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</si>
  <si>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</si>
  <si>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</si>
  <si>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</si>
  <si>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</si>
  <si>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</si>
  <si>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</si>
  <si>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</si>
  <si>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</si>
  <si>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</si>
  <si>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</si>
  <si>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</si>
  <si>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</si>
  <si>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</si>
  <si>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</si>
  <si>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</si>
  <si>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</si>
  <si>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</si>
  <si>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</si>
  <si>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</si>
  <si>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</si>
  <si>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</si>
  <si>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</si>
  <si>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</si>
  <si>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</si>
  <si>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</si>
  <si>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</si>
  <si>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</si>
  <si>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</si>
  <si>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</si>
  <si>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</si>
  <si>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</si>
  <si>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</si>
  <si>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</si>
  <si>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</si>
  <si>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</si>
  <si>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</si>
  <si>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</si>
  <si>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</si>
  <si>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</si>
  <si>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</si>
  <si>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</si>
  <si>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</si>
  <si>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</si>
  <si>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</si>
  <si>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</si>
  <si>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</si>
  <si>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</si>
  <si>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</si>
  <si>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</si>
  <si>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</si>
  <si>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</si>
  <si>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</si>
  <si>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</si>
  <si>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</si>
  <si>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</si>
  <si>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</si>
  <si>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</si>
  <si>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</si>
  <si>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</si>
  <si>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</si>
  <si>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</si>
  <si>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</si>
  <si>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</si>
  <si>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</si>
  <si>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</si>
  <si>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</si>
  <si>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</si>
  <si>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</si>
  <si>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</si>
  <si>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</si>
  <si>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</si>
  <si>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</si>
  <si>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</si>
  <si>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</si>
  <si>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</si>
  <si>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</si>
  <si>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</si>
  <si>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</si>
  <si>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</si>
  <si>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</si>
  <si>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</si>
  <si>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</si>
  <si>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</si>
  <si>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</si>
  <si>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</si>
  <si>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</si>
  <si>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</si>
  <si>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</si>
  <si>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</si>
  <si>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</si>
  <si>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</si>
  <si>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</si>
  <si>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</si>
  <si>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</si>
  <si>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</si>
  <si>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</si>
  <si>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</si>
  <si>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</si>
  <si>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</si>
  <si>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</si>
  <si>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</si>
  <si>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</si>
  <si>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</si>
  <si>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</si>
  <si>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</si>
  <si>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</si>
  <si>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</si>
  <si>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</si>
  <si>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</si>
  <si>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</si>
  <si>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</si>
  <si>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</si>
  <si>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</si>
  <si>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</si>
  <si>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</si>
  <si>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</si>
  <si>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</si>
  <si>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</si>
  <si>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</si>
  <si>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</si>
  <si>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</si>
  <si>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</si>
  <si>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</si>
  <si>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</si>
  <si>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</si>
  <si>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</si>
  <si>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</si>
  <si>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</si>
  <si>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</si>
  <si>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</si>
  <si>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</si>
  <si>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</si>
  <si>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</si>
  <si>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</si>
  <si>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</si>
  <si>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</si>
  <si>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</si>
  <si>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</si>
  <si>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</si>
  <si>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</si>
  <si>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</si>
  <si>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</si>
  <si>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</si>
  <si>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</si>
  <si>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</si>
  <si>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</si>
  <si>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</si>
  <si>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</si>
  <si>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</si>
  <si>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</si>
  <si>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</si>
  <si>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</si>
  <si>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</si>
  <si>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</si>
  <si>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</si>
  <si>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</si>
  <si>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</si>
  <si>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</si>
  <si>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</si>
  <si>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</si>
  <si>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</si>
  <si>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</si>
  <si>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</si>
  <si>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</si>
  <si>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</si>
  <si>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</si>
  <si>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</si>
  <si>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</si>
  <si>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</si>
  <si>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</si>
  <si>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</si>
  <si>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</si>
  <si>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</si>
  <si>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</si>
  <si>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</si>
  <si>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</si>
  <si>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</si>
  <si>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</si>
  <si>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</si>
  <si>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</si>
  <si>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</si>
  <si>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</si>
  <si>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</si>
  <si>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</si>
  <si>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</si>
  <si>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</si>
  <si>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</si>
  <si>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</si>
  <si>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</si>
  <si>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</si>
  <si>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</si>
  <si>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</si>
  <si>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</si>
  <si>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</si>
  <si>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</si>
  <si>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</si>
  <si>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</si>
  <si>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</si>
  <si>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</si>
  <si>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</si>
  <si>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</si>
  <si>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</si>
  <si>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</si>
  <si>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</si>
  <si>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</si>
  <si>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</si>
  <si>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</si>
  <si>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</si>
  <si>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</si>
  <si>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</si>
  <si>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</si>
  <si>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</si>
  <si>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</si>
  <si>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</si>
  <si>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</si>
  <si>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</si>
  <si>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</si>
  <si>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</si>
  <si>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</si>
  <si>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</si>
  <si>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</si>
  <si>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</si>
  <si>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</si>
  <si>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</si>
  <si>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</si>
  <si>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</si>
  <si>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</si>
  <si>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</si>
  <si>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</si>
  <si>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</si>
  <si>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</si>
  <si>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</si>
  <si>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</si>
  <si>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</si>
  <si>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</si>
  <si>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</si>
  <si>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</si>
  <si>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</si>
  <si>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</si>
  <si>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</si>
  <si>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</si>
  <si>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</si>
  <si>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</si>
  <si>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</si>
  <si>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</si>
  <si>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</si>
  <si>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</si>
  <si>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</si>
  <si>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</si>
  <si>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</si>
  <si>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</si>
  <si>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</si>
  <si>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</si>
  <si>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</si>
  <si>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</si>
  <si>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</si>
  <si>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</si>
  <si>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</si>
  <si>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</si>
  <si>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</si>
  <si>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</si>
  <si>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</si>
  <si>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</si>
  <si>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</si>
  <si>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</si>
  <si>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</si>
  <si>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</si>
  <si>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</si>
  <si>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</si>
  <si>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</si>
  <si>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</si>
  <si>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</si>
  <si>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</si>
  <si>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</si>
  <si>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</si>
  <si>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</si>
  <si>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</si>
  <si>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</si>
  <si>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</si>
  <si>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</si>
  <si>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</si>
  <si>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</si>
  <si>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</si>
  <si>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</si>
  <si>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</si>
  <si>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</si>
  <si>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</si>
  <si>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</si>
  <si>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</si>
  <si>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</si>
  <si>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</si>
  <si>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</si>
  <si>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</si>
  <si>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</si>
  <si>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</si>
  <si>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</si>
  <si>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</si>
  <si>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</si>
  <si>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</si>
  <si>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</si>
  <si>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</si>
  <si>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</si>
  <si>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</si>
  <si>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</si>
  <si>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</si>
  <si>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</si>
  <si>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</si>
  <si>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</si>
  <si>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</si>
  <si>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</si>
  <si>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</si>
  <si>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</si>
  <si>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</si>
  <si>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</si>
  <si>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</si>
  <si>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</si>
  <si>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</si>
  <si>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</si>
  <si>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</si>
  <si>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</si>
  <si>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</si>
  <si>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</si>
  <si>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</si>
  <si>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</si>
  <si>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</si>
  <si>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</si>
  <si>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</si>
  <si>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</si>
  <si>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</si>
  <si>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</si>
  <si>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</si>
  <si>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</si>
  <si>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</si>
  <si>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</si>
  <si>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</si>
  <si>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</si>
  <si>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</si>
  <si>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</si>
  <si>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</si>
  <si>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</si>
  <si>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</si>
  <si>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</si>
  <si>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</si>
  <si>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</si>
  <si>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</si>
  <si>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</si>
  <si>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</si>
  <si>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</si>
  <si>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</si>
  <si>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</si>
  <si>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</si>
  <si>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</si>
  <si>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</si>
  <si>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</si>
  <si>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</si>
  <si>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</si>
  <si>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</si>
  <si>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</si>
  <si>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</si>
  <si>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</si>
  <si>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</si>
  <si>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</si>
  <si>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</si>
  <si>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</si>
  <si>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</si>
  <si>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</si>
  <si>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</si>
  <si>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</si>
  <si>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</si>
  <si>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</si>
  <si>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</si>
  <si>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</si>
  <si>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</si>
  <si>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</si>
  <si>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</si>
  <si>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</si>
  <si>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</si>
  <si>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</si>
  <si>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</si>
  <si>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</si>
  <si>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</si>
  <si>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</si>
  <si>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</si>
  <si>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</si>
  <si>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</si>
  <si>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</si>
  <si>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</si>
  <si>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</si>
  <si>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</si>
  <si>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</si>
  <si>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</si>
  <si>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</si>
  <si>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</si>
  <si>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</si>
  <si>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</si>
  <si>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</si>
  <si>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</si>
  <si>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</si>
  <si>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</si>
  <si>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</si>
  <si>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</si>
  <si>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</si>
  <si>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</si>
  <si>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</si>
  <si>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</si>
  <si>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</si>
  <si>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</si>
  <si>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</si>
  <si>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</si>
  <si>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</si>
  <si>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</si>
  <si>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</si>
  <si>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</si>
  <si>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</si>
  <si>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</si>
  <si>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</si>
  <si>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</si>
  <si>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</si>
  <si>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</si>
  <si>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</si>
  <si>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</si>
  <si>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</si>
  <si>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</si>
  <si>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</si>
  <si>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</si>
  <si>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</si>
  <si>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</si>
  <si>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</si>
  <si>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</si>
  <si>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</si>
  <si>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</si>
  <si>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</si>
  <si>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</si>
  <si>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</si>
  <si>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</si>
  <si>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</si>
  <si>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</si>
  <si>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</si>
  <si>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</si>
  <si>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</si>
  <si>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</si>
  <si>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</si>
  <si>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</si>
  <si>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</si>
  <si>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</si>
  <si>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</si>
  <si>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</si>
  <si>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</si>
  <si>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</si>
  <si>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</si>
  <si>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</si>
  <si>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</si>
  <si>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</si>
  <si>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</si>
  <si>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</si>
  <si>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</si>
  <si>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</si>
  <si>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</si>
  <si>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</si>
  <si>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</si>
  <si>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第２階層ｺｰﾄﾞ</t>
    <rPh sb="0" eb="1">
      <t>ダイ</t>
    </rPh>
    <rPh sb="2" eb="4">
      <t>カイソウ</t>
    </rPh>
    <phoneticPr fontId="2"/>
  </si>
  <si>
    <t>既発注金額</t>
    <rPh sb="0" eb="1">
      <t>キ</t>
    </rPh>
    <rPh sb="1" eb="3">
      <t>ハッチュウ</t>
    </rPh>
    <rPh sb="3" eb="5">
      <t>キンガク</t>
    </rPh>
    <phoneticPr fontId="2"/>
  </si>
  <si>
    <t>今回変更金額</t>
    <rPh sb="0" eb="2">
      <t>コンカイ</t>
    </rPh>
    <rPh sb="2" eb="4">
      <t>ヘンコウ</t>
    </rPh>
    <rPh sb="4" eb="6">
      <t>キンガク</t>
    </rPh>
    <phoneticPr fontId="2"/>
  </si>
  <si>
    <t>コード</t>
  </si>
  <si>
    <t>名称</t>
    <rPh sb="0" eb="2">
      <t>メイショウ</t>
    </rPh>
    <phoneticPr fontId="5"/>
  </si>
  <si>
    <t>鉄有固-構築物-橋りょう-その他のもの</t>
    <rPh sb="2" eb="3">
      <t>カタム</t>
    </rPh>
    <rPh sb="15" eb="16">
      <t>タ</t>
    </rPh>
    <phoneticPr fontId="1"/>
  </si>
  <si>
    <t>鉄有固-構築物-高架橋-鉄骨造り</t>
    <rPh sb="12" eb="14">
      <t>テッコツ</t>
    </rPh>
    <phoneticPr fontId="1"/>
  </si>
  <si>
    <t>鉄有固-構築物-高架橋-その他のもの</t>
    <rPh sb="8" eb="11">
      <t>コウカキョウ</t>
    </rPh>
    <rPh sb="14" eb="15">
      <t>タ</t>
    </rPh>
    <phoneticPr fontId="1"/>
  </si>
  <si>
    <t>鉄有固-構築物-トンネル-その他のもの</t>
    <rPh sb="15" eb="16">
      <t>タ</t>
    </rPh>
    <phoneticPr fontId="1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</si>
  <si>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1"/>
  </si>
  <si>
    <t>鉄有固-構築物-線路諸設備-さくがき</t>
    <rPh sb="0" eb="1">
      <t>テツ</t>
    </rPh>
    <rPh sb="1" eb="2">
      <t>ユウ</t>
    </rPh>
    <rPh sb="2" eb="3">
      <t>カタム</t>
    </rPh>
    <phoneticPr fontId="1"/>
  </si>
  <si>
    <t>鉄有固-構築物-線路諸設備-雑設備</t>
    <rPh sb="0" eb="1">
      <t>テツ</t>
    </rPh>
    <phoneticPr fontId="1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</si>
  <si>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</si>
  <si>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</si>
  <si>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</si>
  <si>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</si>
  <si>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</si>
  <si>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</si>
  <si>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</si>
  <si>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</si>
  <si>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</si>
  <si>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</si>
  <si>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</si>
  <si>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</si>
  <si>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</si>
  <si>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</si>
  <si>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</si>
  <si>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</si>
  <si>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</si>
  <si>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</si>
  <si>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</si>
  <si>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</si>
  <si>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</si>
  <si>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</si>
  <si>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</si>
  <si>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</si>
  <si>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</si>
  <si>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</si>
  <si>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</si>
  <si>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</si>
  <si>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</si>
  <si>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</si>
  <si>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</si>
  <si>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</si>
  <si>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</si>
  <si>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</si>
  <si>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1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</si>
  <si>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</si>
  <si>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</si>
  <si>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</si>
  <si>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</si>
  <si>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</si>
  <si>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1"/>
  </si>
  <si>
    <t>鉄有固-車両-予備品</t>
    <rPh sb="7" eb="10">
      <t>ヨビヒン</t>
    </rPh>
    <phoneticPr fontId="1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</si>
  <si>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1"/>
  </si>
  <si>
    <t>鉄有固-工具器具及び備品-工器備-美術品-償却(主として金属製のもの)</t>
    <rPh sb="17" eb="19">
      <t>ビジュツ</t>
    </rPh>
    <rPh sb="19" eb="20">
      <t>ヒン</t>
    </rPh>
    <phoneticPr fontId="1"/>
  </si>
  <si>
    <t>鉄有固-工具器具及び備品-工器備-美術品-償却(その他のもの)</t>
    <rPh sb="17" eb="19">
      <t>ビジュツ</t>
    </rPh>
    <rPh sb="19" eb="20">
      <t>ヒン</t>
    </rPh>
    <phoneticPr fontId="1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</si>
  <si>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1"/>
  </si>
  <si>
    <t>鉄有固-案内宣伝施設 建物-簡易建物(木製主要柱が10cm角以下で土居、杉皮ぶき等)-社宅・寮建物</t>
    <rPh sb="47" eb="49">
      <t>タテモノ</t>
    </rPh>
    <phoneticPr fontId="1"/>
  </si>
  <si>
    <t>建設仮勘定-広告事業-ソフトウェア</t>
    <rPh sb="6" eb="8">
      <t>コウコク</t>
    </rPh>
    <phoneticPr fontId="1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</si>
  <si>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1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</si>
  <si>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1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</si>
  <si>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1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</si>
  <si>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1"/>
  </si>
  <si>
    <t>各事業有固-工具器具及び備品-工器備-美術品-償却(主として金属製のもの)</t>
    <rPh sb="19" eb="21">
      <t>ビジュツ</t>
    </rPh>
    <rPh sb="21" eb="22">
      <t>ヒン</t>
    </rPh>
    <phoneticPr fontId="1"/>
  </si>
  <si>
    <t>各事業有固-工具器具及び備品-工器備-美術品-償却(その他のもの)</t>
    <rPh sb="19" eb="21">
      <t>ビジュツ</t>
    </rPh>
    <rPh sb="21" eb="22">
      <t>ヒン</t>
    </rPh>
    <phoneticPr fontId="1"/>
  </si>
  <si>
    <t>各事業無固-借地権</t>
    <rPh sb="6" eb="8">
      <t>シャクチ</t>
    </rPh>
    <rPh sb="8" eb="9">
      <t>ケン</t>
    </rPh>
    <phoneticPr fontId="1"/>
  </si>
  <si>
    <t>各事業無固-地上権</t>
    <rPh sb="6" eb="9">
      <t>チジョウケン</t>
    </rPh>
    <phoneticPr fontId="1"/>
  </si>
  <si>
    <t>各事業無固-商標権</t>
    <rPh sb="6" eb="9">
      <t>ショウヒョウケン</t>
    </rPh>
    <phoneticPr fontId="1"/>
  </si>
  <si>
    <t>資産クラス</t>
    <rPh sb="0" eb="2">
      <t>シサン</t>
    </rPh>
    <phoneticPr fontId="2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</si>
  <si>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2"/>
  </si>
  <si>
    <t>式</t>
    <rPh sb="0" eb="1">
      <t>シキ</t>
    </rPh>
    <phoneticPr fontId="2"/>
  </si>
  <si>
    <t>純工事費（×Ｒ）</t>
    <rPh sb="0" eb="1">
      <t>ジュン</t>
    </rPh>
    <rPh sb="1" eb="4">
      <t>コウジヒ</t>
    </rPh>
    <phoneticPr fontId="2"/>
  </si>
  <si>
    <t>変更工事価格（×Ｒ）</t>
    <rPh sb="0" eb="2">
      <t>ヘンコウ</t>
    </rPh>
    <rPh sb="2" eb="4">
      <t>コウジ</t>
    </rPh>
    <rPh sb="4" eb="6">
      <t>カカク</t>
    </rPh>
    <phoneticPr fontId="2"/>
  </si>
  <si>
    <t>廃プラ</t>
    <phoneticPr fontId="2"/>
  </si>
  <si>
    <t>がれき</t>
    <phoneticPr fontId="2"/>
  </si>
  <si>
    <t>廃プラ
(ｱｽﾍﾞ)</t>
    <phoneticPr fontId="2"/>
  </si>
  <si>
    <t>運搬時間</t>
    <phoneticPr fontId="2"/>
  </si>
  <si>
    <t>廃プラ</t>
    <phoneticPr fontId="2"/>
  </si>
  <si>
    <t>がれき</t>
    <phoneticPr fontId="2"/>
  </si>
  <si>
    <t>ｽﾃﾝﾚｽ</t>
    <phoneticPr fontId="2"/>
  </si>
  <si>
    <t>作業時間</t>
    <phoneticPr fontId="2"/>
  </si>
  <si>
    <t>ｺﾝｸﾘｰﾄ</t>
    <phoneticPr fontId="2"/>
  </si>
  <si>
    <t>ｱｽﾌｧﾙﾄ</t>
    <phoneticPr fontId="2"/>
  </si>
  <si>
    <t>廃プラ
(ｱｽﾍﾞ)</t>
    <phoneticPr fontId="2"/>
  </si>
  <si>
    <t>アルミ</t>
    <phoneticPr fontId="2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</si>
  <si>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2"/>
  </si>
  <si>
    <t>小々計</t>
    <rPh sb="0" eb="1">
      <t>ショウ</t>
    </rPh>
    <rPh sb="2" eb="3">
      <t>ケイ</t>
    </rPh>
    <phoneticPr fontId="2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</si>
  <si>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2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</si>
  <si>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2"/>
  </si>
  <si>
    <t>工事用用水費</t>
    <rPh sb="0" eb="3">
      <t>コウジヨウ</t>
    </rPh>
    <rPh sb="3" eb="5">
      <t>ヨウスイ</t>
    </rPh>
    <rPh sb="5" eb="6">
      <t>ヒ</t>
    </rPh>
    <phoneticPr fontId="2"/>
  </si>
  <si>
    <t>機械器具費</t>
    <rPh sb="0" eb="2">
      <t>キカイ</t>
    </rPh>
    <rPh sb="2" eb="4">
      <t>キグ</t>
    </rPh>
    <rPh sb="4" eb="5">
      <t>ヒ</t>
    </rPh>
    <phoneticPr fontId="2"/>
  </si>
  <si>
    <t>周辺安全対策費</t>
    <rPh sb="0" eb="2">
      <t>シュウヘン</t>
    </rPh>
    <rPh sb="2" eb="4">
      <t>アンゼン</t>
    </rPh>
    <rPh sb="4" eb="7">
      <t>タイサクヒ</t>
    </rPh>
    <phoneticPr fontId="2"/>
  </si>
  <si>
    <t>仮囲い</t>
    <rPh sb="0" eb="1">
      <t>カリ</t>
    </rPh>
    <rPh sb="1" eb="2">
      <t>カコ</t>
    </rPh>
    <phoneticPr fontId="2"/>
  </si>
  <si>
    <t>試験調査費</t>
    <rPh sb="0" eb="2">
      <t>シケン</t>
    </rPh>
    <rPh sb="2" eb="5">
      <t>チョウサヒ</t>
    </rPh>
    <phoneticPr fontId="2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</si>
  <si>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2"/>
  </si>
  <si>
    <t>警備員費</t>
    <rPh sb="0" eb="3">
      <t>ケイビイン</t>
    </rPh>
    <rPh sb="3" eb="4">
      <t>ヒ</t>
    </rPh>
    <phoneticPr fontId="2"/>
  </si>
  <si>
    <t>巡視員</t>
    <rPh sb="0" eb="3">
      <t>ジュンシイン</t>
    </rPh>
    <phoneticPr fontId="2"/>
  </si>
  <si>
    <t>小々計</t>
    <rPh sb="0" eb="2">
      <t>ショウショウ</t>
    </rPh>
    <rPh sb="2" eb="3">
      <t>ケイ</t>
    </rPh>
    <phoneticPr fontId="2"/>
  </si>
  <si>
    <t>資産クラス別変更工事価格×（Ｒ）</t>
    <rPh sb="0" eb="2">
      <t>シサン</t>
    </rPh>
    <rPh sb="5" eb="6">
      <t>ベツ</t>
    </rPh>
    <rPh sb="6" eb="8">
      <t>ヘンコウ</t>
    </rPh>
    <rPh sb="8" eb="10">
      <t>コウジ</t>
    </rPh>
    <rPh sb="10" eb="12">
      <t>カカク</t>
    </rPh>
    <phoneticPr fontId="2"/>
  </si>
  <si>
    <t>建物　変更工事価格×（Ｒ）　計</t>
    <rPh sb="0" eb="2">
      <t>タテモノ</t>
    </rPh>
    <rPh sb="3" eb="5">
      <t>ヘンコウ</t>
    </rPh>
    <rPh sb="5" eb="7">
      <t>コウジ</t>
    </rPh>
    <rPh sb="7" eb="9">
      <t>カカク</t>
    </rPh>
    <rPh sb="14" eb="15">
      <t>ケイ</t>
    </rPh>
    <phoneticPr fontId="2"/>
  </si>
  <si>
    <t>構築物　変更工事価格×（Ｒ）　計</t>
    <rPh sb="0" eb="3">
      <t>コウチクブツ</t>
    </rPh>
    <rPh sb="4" eb="6">
      <t>ヘンコウ</t>
    </rPh>
    <rPh sb="6" eb="8">
      <t>コウジ</t>
    </rPh>
    <rPh sb="8" eb="10">
      <t>カカク</t>
    </rPh>
    <rPh sb="15" eb="16">
      <t>ケイ</t>
    </rPh>
    <phoneticPr fontId="2"/>
  </si>
  <si>
    <t>工具・器具・備品　変更工事価格（Ｒ）　計</t>
    <rPh sb="0" eb="2">
      <t>コウグ</t>
    </rPh>
    <rPh sb="3" eb="5">
      <t>キグ</t>
    </rPh>
    <rPh sb="6" eb="8">
      <t>ビヒン</t>
    </rPh>
    <rPh sb="9" eb="11">
      <t>ヘンコウ</t>
    </rPh>
    <rPh sb="11" eb="13">
      <t>コウジ</t>
    </rPh>
    <rPh sb="13" eb="15">
      <t>カカク</t>
    </rPh>
    <rPh sb="19" eb="20">
      <t>ケイ</t>
    </rPh>
    <phoneticPr fontId="2"/>
  </si>
  <si>
    <t>部分撤去工事のうち、資産計上した変更工事価格×（Ｒ）</t>
    <rPh sb="10" eb="12">
      <t>シサン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</si>
  <si>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部分撤去工事のうち、費用計上した変更工事価格×（Ｒ）</t>
    <rPh sb="10" eb="12">
      <t>ヒヨウ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</si>
  <si>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資産計上区分の中で、費用として計上した変更工事価格（部分撤去工事を除く）×（Ｒ）</t>
    <rPh sb="10" eb="12">
      <t>ヒヨウ</t>
    </rPh>
    <rPh sb="15" eb="17">
      <t>ケイジョウ</t>
    </rPh>
    <rPh sb="19" eb="21">
      <t>ヘンコウ</t>
    </rPh>
    <rPh sb="21" eb="23">
      <t>コウジ</t>
    </rPh>
    <rPh sb="23" eb="25">
      <t>カカク</t>
    </rPh>
    <rPh sb="26" eb="28">
      <t>ブブン</t>
    </rPh>
    <rPh sb="28" eb="30">
      <t>テッキョ</t>
    </rPh>
    <rPh sb="30" eb="32">
      <t>コウジ</t>
    </rPh>
    <rPh sb="33" eb="34">
      <t>ノゾ</t>
    </rPh>
    <phoneticPr fontId="2"/>
  </si>
  <si>
    <t>費用計上した変更工事価格×（Ｒ）</t>
    <rPh sb="0" eb="2">
      <t>ヒヨウ</t>
    </rPh>
    <rPh sb="2" eb="4">
      <t>ケイジョウ</t>
    </rPh>
    <rPh sb="6" eb="8">
      <t>ヘンコウ</t>
    </rPh>
    <rPh sb="8" eb="10">
      <t>コウジ</t>
    </rPh>
    <rPh sb="10" eb="12">
      <t>カカク</t>
    </rPh>
    <phoneticPr fontId="2"/>
  </si>
  <si>
    <t>内訳書起案日</t>
    <rPh sb="0" eb="3">
      <t>ウチワケショ</t>
    </rPh>
    <rPh sb="3" eb="5">
      <t>キアン</t>
    </rPh>
    <rPh sb="5" eb="6">
      <t>ビ</t>
    </rPh>
    <phoneticPr fontId="2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</si>
  <si>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2"/>
  </si>
  <si>
    <t>落札率</t>
    <rPh sb="0" eb="2">
      <t>ラクサツ</t>
    </rPh>
    <rPh sb="2" eb="3">
      <t>リツ</t>
    </rPh>
    <phoneticPr fontId="2"/>
  </si>
  <si>
    <t>資産クラス分割表</t>
    <rPh sb="0" eb="2">
      <t>シサン</t>
    </rPh>
    <rPh sb="5" eb="7">
      <t>ブンカツ</t>
    </rPh>
    <rPh sb="7" eb="8">
      <t>ヒョウ</t>
    </rPh>
    <phoneticPr fontId="2"/>
  </si>
  <si>
    <t>部分撤去工事</t>
  </si>
  <si>
    <t>直接仮設工事</t>
  </si>
  <si>
    <t>直接仮設工事</t>
    <rPh sb="0" eb="2">
      <t>チョクセツ</t>
    </rPh>
    <rPh sb="2" eb="4">
      <t>カセツ</t>
    </rPh>
    <rPh sb="4" eb="6">
      <t>コウジ</t>
    </rPh>
    <phoneticPr fontId="2"/>
  </si>
  <si>
    <t>諸経費（×Ｒ）</t>
    <rPh sb="0" eb="3">
      <t>ショケイヒ</t>
    </rPh>
    <phoneticPr fontId="2"/>
  </si>
  <si>
    <t>標準単価2019.xls</t>
  </si>
  <si>
    <t>変更諸経費表2018.xls</t>
    <phoneticPr fontId="2"/>
  </si>
  <si>
    <t>変更諸経費表</t>
    <phoneticPr fontId="2"/>
  </si>
  <si>
    <t>変更諸経費表(専業)元</t>
    <phoneticPr fontId="2"/>
  </si>
  <si>
    <t>変更諸経費表(専業)</t>
    <phoneticPr fontId="2"/>
  </si>
  <si>
    <t>工事名称：</t>
  </si>
  <si>
    <t>P-1</t>
  </si>
  <si>
    <t>変更共通費集計表</t>
    <rPh sb="0" eb="2">
      <t>ヘンコウ</t>
    </rPh>
    <rPh sb="2" eb="4">
      <t>キョウツウ</t>
    </rPh>
    <rPh sb="4" eb="5">
      <t>ヒ</t>
    </rPh>
    <rPh sb="5" eb="8">
      <t>シュウケイヒョウ</t>
    </rPh>
    <phoneticPr fontId="2"/>
  </si>
  <si>
    <t>落札率：R＝＞</t>
    <rPh sb="0" eb="2">
      <t>ラクサツ</t>
    </rPh>
    <rPh sb="2" eb="3">
      <t>リツ</t>
    </rPh>
    <phoneticPr fontId="2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</si>
  <si>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</si>
  <si>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2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</si>
  <si>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2"/>
  </si>
  <si>
    <t>（↓工期(Ｔ)の変更が有った場合は修正すること）</t>
    <rPh sb="2" eb="4">
      <t>コウキ</t>
    </rPh>
    <rPh sb="8" eb="10">
      <t>ヘンコウ</t>
    </rPh>
    <rPh sb="11" eb="12">
      <t>ア</t>
    </rPh>
    <rPh sb="14" eb="16">
      <t>バアイ</t>
    </rPh>
    <rPh sb="17" eb="19">
      <t>シュウセイ</t>
    </rPh>
    <phoneticPr fontId="2"/>
  </si>
  <si>
    <t>（△印は減額）</t>
  </si>
  <si>
    <t>工期（Ｔ）か月--&gt;</t>
    <rPh sb="0" eb="2">
      <t>コウキ</t>
    </rPh>
    <rPh sb="6" eb="7">
      <t>ゲツ</t>
    </rPh>
    <phoneticPr fontId="2"/>
  </si>
  <si>
    <t>既発注工事入力欄より---&gt;</t>
    <rPh sb="0" eb="1">
      <t>スデ</t>
    </rPh>
    <rPh sb="1" eb="3">
      <t>ハッチュウ</t>
    </rPh>
    <rPh sb="3" eb="5">
      <t>コウジ</t>
    </rPh>
    <rPh sb="5" eb="7">
      <t>ニュウリョク</t>
    </rPh>
    <rPh sb="7" eb="8">
      <t>ラン</t>
    </rPh>
    <phoneticPr fontId="2"/>
  </si>
  <si>
    <t>諸経費率--&gt;</t>
    <rPh sb="0" eb="3">
      <t>ショケイヒ</t>
    </rPh>
    <rPh sb="3" eb="4">
      <t>リツ</t>
    </rPh>
    <phoneticPr fontId="2"/>
  </si>
  <si>
    <t>共通仮設費　算出方法--&gt;</t>
    <phoneticPr fontId="2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</si>
  <si>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2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</si>
  <si>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2"/>
  </si>
  <si>
    <t>　純　　工　　事　　費　　　　合　　計</t>
    <phoneticPr fontId="2"/>
  </si>
  <si>
    <t>(直接工事費 直接仮設・別途算定を含む)</t>
    <rPh sb="12" eb="14">
      <t>ベット</t>
    </rPh>
    <rPh sb="14" eb="16">
      <t>サンテイ</t>
    </rPh>
    <phoneticPr fontId="2"/>
  </si>
  <si>
    <t>(共通仮設費) 総計</t>
    <rPh sb="8" eb="10">
      <t>ソウケイ</t>
    </rPh>
    <phoneticPr fontId="2"/>
  </si>
  <si>
    <t>内、率算出による総額</t>
    <rPh sb="8" eb="9">
      <t>ソウ</t>
    </rPh>
    <phoneticPr fontId="2"/>
  </si>
  <si>
    <t>調整対象額</t>
    <rPh sb="0" eb="2">
      <t>チョウセイ</t>
    </rPh>
    <rPh sb="2" eb="4">
      <t>タイショウ</t>
    </rPh>
    <rPh sb="4" eb="5">
      <t>ガク</t>
    </rPh>
    <phoneticPr fontId="2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</si>
  <si>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2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</si>
  <si>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2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</si>
  <si>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2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</si>
  <si>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2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</si>
  <si>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2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</si>
  <si>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2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</si>
  <si>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2"/>
  </si>
  <si>
    <t>一般・その他等  直接工事費</t>
    <rPh sb="9" eb="11">
      <t>チョクセツ</t>
    </rPh>
    <rPh sb="11" eb="13">
      <t>コウジ</t>
    </rPh>
    <rPh sb="13" eb="14">
      <t>ヒ</t>
    </rPh>
    <phoneticPr fontId="2"/>
  </si>
  <si>
    <t>標準</t>
    <phoneticPr fontId="2"/>
  </si>
  <si>
    <t>(1)新築一般建築工事</t>
  </si>
  <si>
    <t>(2)改修一般建築工事</t>
  </si>
  <si>
    <t>(3)新築主体工事の鉄骨工事(機械費含む)</t>
    <phoneticPr fontId="2"/>
  </si>
  <si>
    <t>(4)改修主体工事の鉄骨工事(機械費含む)</t>
    <rPh sb="15" eb="17">
      <t>キカイ</t>
    </rPh>
    <rPh sb="17" eb="18">
      <t>ヒ</t>
    </rPh>
    <rPh sb="18" eb="19">
      <t>フク</t>
    </rPh>
    <phoneticPr fontId="2"/>
  </si>
  <si>
    <t>そ　の　他　工　事</t>
    <rPh sb="4" eb="5">
      <t>タ</t>
    </rPh>
    <rPh sb="6" eb="9">
      <t>コウジ</t>
    </rPh>
    <phoneticPr fontId="2"/>
  </si>
  <si>
    <t>(5)造園工事、舗装工事(排水除く)</t>
    <phoneticPr fontId="2"/>
  </si>
  <si>
    <t>(6)とりこわし工事(部分撤去、処分費除く)</t>
    <rPh sb="11" eb="13">
      <t>ブブン</t>
    </rPh>
    <rPh sb="13" eb="15">
      <t>テッキョ</t>
    </rPh>
    <phoneticPr fontId="2"/>
  </si>
  <si>
    <t>(7)特殊な室内装備品工事</t>
  </si>
  <si>
    <t>　家具・流し・実験台</t>
    <phoneticPr fontId="2"/>
  </si>
  <si>
    <t>　黒板・書架・ｶｳﾝﾀｰ・ﾛｰﾊﾟｰﾃｨｯｼｮﾝ等</t>
  </si>
  <si>
    <t>(8)プレハブ工事</t>
  </si>
  <si>
    <t>(9)</t>
    <phoneticPr fontId="2"/>
  </si>
  <si>
    <t>(10)</t>
    <phoneticPr fontId="2"/>
  </si>
  <si>
    <t>(11)近隣家屋調査及び地質調査</t>
  </si>
  <si>
    <t>除　外</t>
    <rPh sb="0" eb="1">
      <t>ジョ</t>
    </rPh>
    <rPh sb="2" eb="3">
      <t>ガイ</t>
    </rPh>
    <phoneticPr fontId="2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</si>
  <si>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2"/>
  </si>
  <si>
    <t>(12)残材処分費及び残土処分費(共通仮設)</t>
    <rPh sb="17" eb="19">
      <t>キョウツウ</t>
    </rPh>
    <rPh sb="19" eb="21">
      <t>カセツ</t>
    </rPh>
    <phoneticPr fontId="2"/>
  </si>
  <si>
    <t>(14)リース料,借地借家料(共通仮設）</t>
    <rPh sb="15" eb="17">
      <t>キョウツウ</t>
    </rPh>
    <rPh sb="17" eb="19">
      <t>カセツ</t>
    </rPh>
    <phoneticPr fontId="2"/>
  </si>
  <si>
    <t>(14)リース料,借地借家料(直工費のみ）</t>
    <rPh sb="15" eb="16">
      <t>チョク</t>
    </rPh>
    <rPh sb="16" eb="17">
      <t>コウ</t>
    </rPh>
    <rPh sb="17" eb="18">
      <t>ヒ</t>
    </rPh>
    <phoneticPr fontId="2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</si>
  <si>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</si>
  <si>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</si>
  <si>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</si>
  <si>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</si>
  <si>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</si>
  <si>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</si>
  <si>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2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</si>
  <si>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2"/>
  </si>
  <si>
    <t>(9)予備</t>
    <rPh sb="3" eb="5">
      <t>ヨビ</t>
    </rPh>
    <phoneticPr fontId="2"/>
  </si>
  <si>
    <t>(10)予備</t>
    <rPh sb="4" eb="6">
      <t>ヨビ</t>
    </rPh>
    <phoneticPr fontId="2"/>
  </si>
  <si>
    <t>除外</t>
    <phoneticPr fontId="2"/>
  </si>
  <si>
    <t>(12)～(17)</t>
    <phoneticPr fontId="2"/>
  </si>
  <si>
    <t>別途</t>
    <rPh sb="0" eb="2">
      <t>ベット</t>
    </rPh>
    <phoneticPr fontId="2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</si>
  <si>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</si>
  <si>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算定</t>
    <rPh sb="0" eb="2">
      <t>サンテイ</t>
    </rPh>
    <phoneticPr fontId="2"/>
  </si>
  <si>
    <t>※別途工事により算定</t>
    <rPh sb="1" eb="3">
      <t>ベット</t>
    </rPh>
    <phoneticPr fontId="2"/>
  </si>
  <si>
    <t>現場管理費計</t>
    <phoneticPr fontId="2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</si>
  <si>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2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</si>
  <si>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2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</si>
  <si>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2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</si>
  <si>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</si>
  <si>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現場管理費　改計</t>
    <rPh sb="6" eb="7">
      <t>カイ</t>
    </rPh>
    <phoneticPr fontId="2"/>
  </si>
  <si>
    <t>一般管理費等</t>
    <rPh sb="0" eb="2">
      <t>イッパン</t>
    </rPh>
    <rPh sb="2" eb="5">
      <t>カンリヒ</t>
    </rPh>
    <rPh sb="5" eb="6">
      <t>トウ</t>
    </rPh>
    <phoneticPr fontId="2"/>
  </si>
  <si>
    <t>対象工事原価→</t>
    <rPh sb="0" eb="2">
      <t>タイショウ</t>
    </rPh>
    <rPh sb="2" eb="4">
      <t>コウジ</t>
    </rPh>
    <rPh sb="4" eb="6">
      <t>ゲンカ</t>
    </rPh>
    <phoneticPr fontId="2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</si>
  <si>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2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</si>
  <si>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2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</si>
  <si>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2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</si>
  <si>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2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</si>
  <si>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</si>
  <si>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2"/>
  </si>
  <si>
    <t>工事価格（①）</t>
    <rPh sb="0" eb="2">
      <t>コウジ</t>
    </rPh>
    <rPh sb="2" eb="4">
      <t>カカク</t>
    </rPh>
    <phoneticPr fontId="2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</si>
  <si>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2"/>
  </si>
  <si>
    <t>内訳</t>
    <rPh sb="0" eb="2">
      <t>ウチワケ</t>
    </rPh>
    <phoneticPr fontId="2"/>
  </si>
  <si>
    <t>純工事費</t>
    <rPh sb="0" eb="1">
      <t>ジュン</t>
    </rPh>
    <rPh sb="1" eb="4">
      <t>コウジヒ</t>
    </rPh>
    <phoneticPr fontId="2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</si>
  <si>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2"/>
  </si>
  <si>
    <t>変更工事価格（①×R）</t>
    <rPh sb="0" eb="2">
      <t>ヘンコウ</t>
    </rPh>
    <rPh sb="2" eb="4">
      <t>コウジ</t>
    </rPh>
    <rPh sb="4" eb="6">
      <t>カカク</t>
    </rPh>
    <phoneticPr fontId="2"/>
  </si>
  <si>
    <t>P-2</t>
    <phoneticPr fontId="2"/>
  </si>
  <si>
    <t>随意契約＝＞</t>
    <rPh sb="0" eb="2">
      <t>ズイイ</t>
    </rPh>
    <rPh sb="2" eb="4">
      <t>ケイヤク</t>
    </rPh>
    <phoneticPr fontId="2"/>
  </si>
  <si>
    <t>無し</t>
    <rPh sb="0" eb="1">
      <t>ナ</t>
    </rPh>
    <phoneticPr fontId="2"/>
  </si>
  <si>
    <t>小数点以下1桁---&gt;</t>
    <rPh sb="0" eb="3">
      <t>ショウスウテン</t>
    </rPh>
    <rPh sb="3" eb="5">
      <t>イカ</t>
    </rPh>
    <rPh sb="6" eb="7">
      <t>ケタ</t>
    </rPh>
    <phoneticPr fontId="2"/>
  </si>
  <si>
    <t>改修・新営を選択---&gt;</t>
    <rPh sb="0" eb="2">
      <t>カイシュウ</t>
    </rPh>
    <rPh sb="3" eb="4">
      <t>シン</t>
    </rPh>
    <rPh sb="6" eb="8">
      <t>センタク</t>
    </rPh>
    <phoneticPr fontId="2"/>
  </si>
  <si>
    <t>前　払 い 有り・無し--&gt;</t>
    <phoneticPr fontId="2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</si>
  <si>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</si>
  <si>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</si>
  <si>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2"/>
  </si>
  <si>
    <t>積上げ・率処理併用</t>
  </si>
  <si>
    <t>駅施設</t>
  </si>
  <si>
    <t>無し</t>
  </si>
  <si>
    <t>　純　　工　　事　　費　　　　合　　計</t>
    <phoneticPr fontId="2"/>
  </si>
  <si>
    <t>現場管理費より控除する専門・除外の工事費---&gt;</t>
    <phoneticPr fontId="2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</si>
  <si>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</si>
  <si>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2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</si>
  <si>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2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</si>
  <si>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2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</si>
  <si>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</si>
  <si>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2"/>
  </si>
  <si>
    <t>[内率算出による標準額]</t>
  </si>
  <si>
    <t>[内固定率・除外（設備含む）の額]</t>
    <rPh sb="9" eb="11">
      <t>セツビ</t>
    </rPh>
    <rPh sb="11" eb="12">
      <t>フク</t>
    </rPh>
    <phoneticPr fontId="2"/>
  </si>
  <si>
    <t>内、別途算定によるもの</t>
    <rPh sb="0" eb="1">
      <t>ウチ</t>
    </rPh>
    <rPh sb="2" eb="4">
      <t>ベット</t>
    </rPh>
    <rPh sb="4" eb="6">
      <t>サンテイ</t>
    </rPh>
    <phoneticPr fontId="2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</si>
  <si>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</si>
  <si>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</si>
  <si>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</si>
  <si>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2"/>
  </si>
  <si>
    <t>　工 　事 　価 　格</t>
    <phoneticPr fontId="2"/>
  </si>
  <si>
    <t>共 通 費 算 定 用 入 力 欄</t>
    <rPh sb="0" eb="1">
      <t>トモ</t>
    </rPh>
    <rPh sb="2" eb="3">
      <t>ツウ</t>
    </rPh>
    <phoneticPr fontId="2"/>
  </si>
  <si>
    <t>（緑色部分に入力）</t>
  </si>
  <si>
    <t>(5)造園工事、舗装工事(排水除く)</t>
    <phoneticPr fontId="2"/>
  </si>
  <si>
    <t>(9)</t>
    <phoneticPr fontId="2"/>
  </si>
  <si>
    <t>共 通 費 算 定 表 (0)</t>
    <rPh sb="0" eb="1">
      <t>トモ</t>
    </rPh>
    <rPh sb="2" eb="3">
      <t>ツウ</t>
    </rPh>
    <phoneticPr fontId="2"/>
  </si>
  <si>
    <t>P-2-2</t>
    <phoneticPr fontId="2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</si>
  <si>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2"/>
  </si>
  <si>
    <t>補正率</t>
  </si>
  <si>
    <t>当該率</t>
    <phoneticPr fontId="2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</si>
  <si>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2"/>
  </si>
  <si>
    <t>対象直接工事費（（12）(15)～（17）除く）</t>
    <rPh sb="2" eb="4">
      <t>チョクセツ</t>
    </rPh>
    <rPh sb="21" eb="22">
      <t>ノゾ</t>
    </rPh>
    <phoneticPr fontId="2"/>
  </si>
  <si>
    <t>標準</t>
    <phoneticPr fontId="2"/>
  </si>
  <si>
    <t>-</t>
    <phoneticPr fontId="2"/>
  </si>
  <si>
    <t>-</t>
    <phoneticPr fontId="2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</si>
  <si>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</si>
  <si>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</si>
  <si>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</si>
  <si>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2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</si>
  <si>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</si>
  <si>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2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</si>
  <si>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2"/>
  </si>
  <si>
    <t>当該率---&gt;</t>
    <phoneticPr fontId="2"/>
  </si>
  <si>
    <t>当該率---&gt;</t>
    <phoneticPr fontId="2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</si>
  <si>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</si>
  <si>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</si>
  <si>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</si>
  <si>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</si>
  <si>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</si>
  <si>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2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</si>
  <si>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</si>
  <si>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</si>
  <si>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</si>
  <si>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当該率</t>
    <phoneticPr fontId="2"/>
  </si>
  <si>
    <t>現場管理費対象純工事費</t>
  </si>
  <si>
    <t>対象純工事費（（12）(15）(16））除く</t>
    <rPh sb="20" eb="21">
      <t>ノゾ</t>
    </rPh>
    <phoneticPr fontId="2"/>
  </si>
  <si>
    <t>　家具・流し・実験台</t>
    <phoneticPr fontId="2"/>
  </si>
  <si>
    <t>(12)～（17）</t>
    <phoneticPr fontId="2"/>
  </si>
  <si>
    <t>現場管理費</t>
    <phoneticPr fontId="2"/>
  </si>
  <si>
    <t>(10)</t>
    <phoneticPr fontId="2"/>
  </si>
  <si>
    <t>(11)近隣家屋調査及び地質調査</t>
    <phoneticPr fontId="2"/>
  </si>
  <si>
    <t>別途算定</t>
    <rPh sb="0" eb="2">
      <t>ベット</t>
    </rPh>
    <rPh sb="2" eb="4">
      <t>サンテイ</t>
    </rPh>
    <phoneticPr fontId="2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</si>
  <si>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2"/>
  </si>
  <si>
    <t>(12)～（17）</t>
    <phoneticPr fontId="2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</si>
  <si>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</si>
  <si>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</si>
  <si>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2"/>
  </si>
  <si>
    <t>P-4</t>
    <phoneticPr fontId="2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</si>
  <si>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</si>
  <si>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</si>
  <si>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2"/>
  </si>
  <si>
    <t>対象工事原価（下水道使用料・各種負担金を除く）</t>
    <rPh sb="14" eb="16">
      <t>カクシュ</t>
    </rPh>
    <rPh sb="16" eb="19">
      <t>フタンキン</t>
    </rPh>
    <phoneticPr fontId="2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</si>
  <si>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</si>
  <si>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</si>
  <si>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</si>
  <si>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2"/>
  </si>
  <si>
    <t>補正</t>
    <rPh sb="1" eb="2">
      <t>セイ</t>
    </rPh>
    <phoneticPr fontId="2"/>
  </si>
  <si>
    <t>前　払　い無し時の補正</t>
  </si>
  <si>
    <t>契約保証費有り時の補正</t>
  </si>
  <si>
    <t>除外</t>
    <rPh sb="1" eb="2">
      <t>ガイ</t>
    </rPh>
    <phoneticPr fontId="2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</si>
  <si>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</si>
  <si>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2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</si>
  <si>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2"/>
  </si>
  <si>
    <t>.</t>
    <phoneticPr fontId="2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</si>
  <si>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</si>
  <si>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</si>
  <si>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</si>
  <si>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</si>
  <si>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</si>
  <si>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2"/>
  </si>
  <si>
    <t>Ｔ（か月）</t>
    <rPh sb="3" eb="4">
      <t>ツキ</t>
    </rPh>
    <phoneticPr fontId="2"/>
  </si>
  <si>
    <t>新営建築工事</t>
    <rPh sb="0" eb="2">
      <t>シンエイ</t>
    </rPh>
    <rPh sb="2" eb="4">
      <t>ケンチク</t>
    </rPh>
    <rPh sb="4" eb="6">
      <t>コウジ</t>
    </rPh>
    <phoneticPr fontId="2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</si>
  <si>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</si>
  <si>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Ｋｒ</t>
    <phoneticPr fontId="2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</si>
  <si>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2"/>
  </si>
  <si>
    <t>上限</t>
    <rPh sb="0" eb="2">
      <t>ジョウゲン</t>
    </rPh>
    <phoneticPr fontId="2"/>
  </si>
  <si>
    <t>下限</t>
    <rPh sb="0" eb="1">
      <t>シタ</t>
    </rPh>
    <rPh sb="1" eb="2">
      <t>カギ</t>
    </rPh>
    <phoneticPr fontId="2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</si>
  <si>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2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</si>
  <si>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2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</si>
  <si>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2"/>
  </si>
  <si>
    <t>改修建築工事</t>
    <rPh sb="0" eb="2">
      <t>カイシュウ</t>
    </rPh>
    <rPh sb="2" eb="4">
      <t>ケンチク</t>
    </rPh>
    <rPh sb="4" eb="6">
      <t>コウジ</t>
    </rPh>
    <phoneticPr fontId="2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</si>
  <si>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</si>
  <si>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2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</si>
  <si>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2"/>
  </si>
  <si>
    <t>現場管理費率  算定欄</t>
    <rPh sb="5" eb="6">
      <t>リツ</t>
    </rPh>
    <rPh sb="8" eb="10">
      <t>サンテイ</t>
    </rPh>
    <rPh sb="10" eb="11">
      <t>ラン</t>
    </rPh>
    <phoneticPr fontId="2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</si>
  <si>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</si>
  <si>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Jo</t>
    <phoneticPr fontId="2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</si>
  <si>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2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</si>
  <si>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2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</si>
  <si>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2"/>
  </si>
  <si>
    <t>Jo</t>
    <phoneticPr fontId="2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</si>
  <si>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2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</si>
  <si>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2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</si>
  <si>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2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</si>
  <si>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2"/>
  </si>
  <si>
    <t>Gp</t>
    <phoneticPr fontId="2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</si>
  <si>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2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</si>
  <si>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2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</si>
  <si>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2"/>
  </si>
  <si>
    <t>P-5</t>
    <phoneticPr fontId="2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</si>
  <si>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2"/>
  </si>
  <si>
    <t>無し</t>
    <rPh sb="0" eb="1">
      <t>ナシ</t>
    </rPh>
    <phoneticPr fontId="2"/>
  </si>
  <si>
    <t>内、リース料</t>
    <rPh sb="0" eb="1">
      <t>ウチ</t>
    </rPh>
    <rPh sb="5" eb="6">
      <t>リョウ</t>
    </rPh>
    <phoneticPr fontId="2"/>
  </si>
  <si>
    <t>　工 　事 　価 　格</t>
    <phoneticPr fontId="2"/>
  </si>
  <si>
    <t>(14)リース料,借地借家料(直工のみ）</t>
    <rPh sb="15" eb="16">
      <t>チョク</t>
    </rPh>
    <rPh sb="16" eb="17">
      <t>コウ</t>
    </rPh>
    <phoneticPr fontId="2"/>
  </si>
  <si>
    <t>P-5-2</t>
    <phoneticPr fontId="2"/>
  </si>
  <si>
    <t>対象直接工事費（（12）～（17）除く）</t>
    <rPh sb="2" eb="4">
      <t>チョクセツ</t>
    </rPh>
    <rPh sb="17" eb="18">
      <t>ノゾ</t>
    </rPh>
    <phoneticPr fontId="2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</si>
  <si>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2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</si>
  <si>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2"/>
  </si>
  <si>
    <t>P-6</t>
    <phoneticPr fontId="2"/>
  </si>
  <si>
    <t>※(1)及び(2) ---&gt; 新築・改修工事が一括発注の場合は、合計額に対する各々の率</t>
    <phoneticPr fontId="2"/>
  </si>
  <si>
    <t>(6)とりこわし工事</t>
    <phoneticPr fontId="2"/>
  </si>
  <si>
    <t>共 通 費 算 定 表 (2)</t>
    <rPh sb="0" eb="1">
      <t>トモ</t>
    </rPh>
    <rPh sb="2" eb="3">
      <t>ツウ</t>
    </rPh>
    <phoneticPr fontId="2"/>
  </si>
  <si>
    <t>P-7</t>
    <phoneticPr fontId="2"/>
  </si>
  <si>
    <t>P-1</t>
    <phoneticPr fontId="2"/>
  </si>
  <si>
    <t>●●工事</t>
    <rPh sb="2" eb="4">
      <t>コウジ</t>
    </rPh>
    <phoneticPr fontId="2"/>
  </si>
  <si>
    <t>（着色部分に入力）</t>
    <rPh sb="1" eb="3">
      <t>チャクショク</t>
    </rPh>
    <phoneticPr fontId="2"/>
  </si>
  <si>
    <t>直接工事費（下請経費共）　合   計</t>
    <rPh sb="0" eb="1">
      <t>チョク</t>
    </rPh>
    <rPh sb="1" eb="2">
      <t>セツ</t>
    </rPh>
    <phoneticPr fontId="2"/>
  </si>
  <si>
    <t>共通仮設費（下請経費共）　合　 計</t>
    <rPh sb="0" eb="2">
      <t>キョウツウ</t>
    </rPh>
    <rPh sb="2" eb="4">
      <t>カセツ</t>
    </rPh>
    <rPh sb="4" eb="5">
      <t>ヒ</t>
    </rPh>
    <rPh sb="6" eb="8">
      <t>シタウ</t>
    </rPh>
    <rPh sb="8" eb="10">
      <t>ケイヒ</t>
    </rPh>
    <rPh sb="10" eb="11">
      <t>トモ</t>
    </rPh>
    <rPh sb="13" eb="14">
      <t>ア</t>
    </rPh>
    <rPh sb="16" eb="17">
      <t>ケイ</t>
    </rPh>
    <phoneticPr fontId="2"/>
  </si>
  <si>
    <t>うち　警備員費　　</t>
    <rPh sb="3" eb="6">
      <t>ケイビイン</t>
    </rPh>
    <rPh sb="6" eb="7">
      <t>ヒ</t>
    </rPh>
    <phoneticPr fontId="2"/>
  </si>
  <si>
    <t>直接工事費（下請経費除く）　合   計</t>
    <rPh sb="0" eb="1">
      <t>チョク</t>
    </rPh>
    <rPh sb="1" eb="2">
      <t>セツ</t>
    </rPh>
    <rPh sb="10" eb="11">
      <t>ノゾ</t>
    </rPh>
    <phoneticPr fontId="2"/>
  </si>
  <si>
    <t>共通仮設費（下請経費共）　合   計</t>
    <rPh sb="0" eb="2">
      <t>キョウツウ</t>
    </rPh>
    <rPh sb="2" eb="4">
      <t>カセツ</t>
    </rPh>
    <phoneticPr fontId="2"/>
  </si>
  <si>
    <t>共通仮設費（下請経費除く）　合   計</t>
    <rPh sb="0" eb="2">
      <t>キョウツウ</t>
    </rPh>
    <rPh sb="2" eb="4">
      <t>カセツ</t>
    </rPh>
    <rPh sb="4" eb="5">
      <t>ヒ</t>
    </rPh>
    <rPh sb="10" eb="11">
      <t>ノゾ</t>
    </rPh>
    <phoneticPr fontId="2"/>
  </si>
  <si>
    <r>
      <t xml:space="preserve">専業・一般・その他等 </t>
    </r>
    <r>
      <rPr>
        <b/>
        <sz val="10"/>
        <rFont val="ＭＳ Ｐ明朝"/>
        <family val="1"/>
        <charset val="128"/>
      </rPr>
      <t xml:space="preserve"> 純工事費</t>
    </r>
    <rPh sb="0" eb="2">
      <t>センギョウ</t>
    </rPh>
    <phoneticPr fontId="2"/>
  </si>
  <si>
    <t>専業工事</t>
    <rPh sb="0" eb="2">
      <t>センギョウ</t>
    </rPh>
    <rPh sb="2" eb="4">
      <t>コウジ</t>
    </rPh>
    <phoneticPr fontId="2"/>
  </si>
  <si>
    <t>純工事費計（下請経費共）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トモ</t>
    </rPh>
    <phoneticPr fontId="2"/>
  </si>
  <si>
    <t>純工事費計（下請経費除く）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ノゾ</t>
    </rPh>
    <phoneticPr fontId="2"/>
  </si>
  <si>
    <t>請現場管理費</t>
    <rPh sb="0" eb="1">
      <t>ショウ</t>
    </rPh>
    <rPh sb="1" eb="3">
      <t>ゲンバ</t>
    </rPh>
    <phoneticPr fontId="2"/>
  </si>
  <si>
    <t>標準</t>
    <rPh sb="0" eb="1">
      <t>ヒョウジュン</t>
    </rPh>
    <phoneticPr fontId="2"/>
  </si>
  <si>
    <t>(1)(2)</t>
    <phoneticPr fontId="2"/>
  </si>
  <si>
    <t>専業</t>
    <rPh sb="0" eb="1">
      <t>センギョウ</t>
    </rPh>
    <phoneticPr fontId="2"/>
  </si>
  <si>
    <t>(3)～(8)</t>
    <phoneticPr fontId="2"/>
  </si>
  <si>
    <t>(9)～(11)</t>
    <phoneticPr fontId="2"/>
  </si>
  <si>
    <t>（12）～（18）除外</t>
    <rPh sb="9" eb="11">
      <t>ジョガイ</t>
    </rPh>
    <phoneticPr fontId="2"/>
  </si>
  <si>
    <t>（19）別途算定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</si>
  <si>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現場管理費改計</t>
    <rPh sb="5" eb="6">
      <t>カイ</t>
    </rPh>
    <phoneticPr fontId="2"/>
  </si>
  <si>
    <t>対象工事原価→</t>
  </si>
  <si>
    <t>純工事費（下請経費除く）</t>
    <rPh sb="0" eb="1">
      <t>ジュン</t>
    </rPh>
    <rPh sb="1" eb="4">
      <t>コウジヒ</t>
    </rPh>
    <rPh sb="5" eb="7">
      <t>シタウケ</t>
    </rPh>
    <rPh sb="7" eb="9">
      <t>ケイヒ</t>
    </rPh>
    <rPh sb="9" eb="10">
      <t>ノゾ</t>
    </rPh>
    <phoneticPr fontId="2"/>
  </si>
  <si>
    <t>P-2</t>
    <phoneticPr fontId="2"/>
  </si>
  <si>
    <t>共通費集計表</t>
  </si>
  <si>
    <t>発注形態　元請・下請け--&gt;</t>
  </si>
  <si>
    <t>元請</t>
    <rPh sb="0" eb="2">
      <t>モトウケ</t>
    </rPh>
    <phoneticPr fontId="2"/>
  </si>
  <si>
    <t>前　払 い 有り・無し--&gt;</t>
  </si>
  <si>
    <t>共通仮設費（下請経費共）　合   計</t>
    <rPh sb="0" eb="2">
      <t>キョウツウ</t>
    </rPh>
    <rPh sb="2" eb="4">
      <t>カセツ</t>
    </rPh>
    <rPh sb="4" eb="5">
      <t>ヒ</t>
    </rPh>
    <phoneticPr fontId="2"/>
  </si>
  <si>
    <t>　純　工　事　費　　　　　　合　　計</t>
    <phoneticPr fontId="2"/>
  </si>
  <si>
    <r>
      <t>(直接工事費 直接仮設</t>
    </r>
    <r>
      <rPr>
        <sz val="10"/>
        <rFont val="ＭＳ Ｐ明朝"/>
        <family val="1"/>
        <charset val="128"/>
      </rPr>
      <t>を含む)</t>
    </r>
    <rPh sb="12" eb="13">
      <t>フク</t>
    </rPh>
    <phoneticPr fontId="2"/>
  </si>
  <si>
    <t>現場管理費より控除する専門・除外の工事費---&gt;</t>
  </si>
  <si>
    <t>(共通仮設費)</t>
  </si>
  <si>
    <t>　現場管理費・一般管理費等　　合　　計</t>
  </si>
  <si>
    <t>　工 　事 　価 　格</t>
    <phoneticPr fontId="2"/>
  </si>
  <si>
    <t>一般・その他等  純工事費</t>
    <phoneticPr fontId="2"/>
  </si>
  <si>
    <t>標準</t>
    <phoneticPr fontId="2"/>
  </si>
  <si>
    <t>(3)共通仮設工事（下請経費共）(警備員等除く)</t>
    <rPh sb="17" eb="20">
      <t>ケイビイン</t>
    </rPh>
    <rPh sb="20" eb="21">
      <t>トウ</t>
    </rPh>
    <rPh sb="21" eb="22">
      <t>ノゾ</t>
    </rPh>
    <phoneticPr fontId="2"/>
  </si>
  <si>
    <t>(4)直接仮設工事（下請経費共）</t>
  </si>
  <si>
    <t>(5)塗装工事（下請経費共）</t>
    <rPh sb="3" eb="5">
      <t>トソウ</t>
    </rPh>
    <rPh sb="5" eb="7">
      <t>コウジ</t>
    </rPh>
    <phoneticPr fontId="2"/>
  </si>
  <si>
    <t>(6)場内小運搬費（下請経費共）</t>
  </si>
  <si>
    <t>(7)〃人力積込み費（下請経費共）</t>
  </si>
  <si>
    <t>(8)</t>
    <phoneticPr fontId="2"/>
  </si>
  <si>
    <t>(9)近隣家屋調査及び地質調査</t>
    <phoneticPr fontId="2"/>
  </si>
  <si>
    <t>(10)とりこわし工事</t>
    <rPh sb="9" eb="11">
      <t>コウジ</t>
    </rPh>
    <phoneticPr fontId="2"/>
  </si>
  <si>
    <t>(11)</t>
    <phoneticPr fontId="2"/>
  </si>
  <si>
    <t>(12)残材処分費及び残土処分費</t>
    <phoneticPr fontId="2"/>
  </si>
  <si>
    <t>(14)リース料（共通仮設）</t>
    <rPh sb="9" eb="11">
      <t>キョウツウ</t>
    </rPh>
    <rPh sb="11" eb="13">
      <t>カセツ</t>
    </rPh>
    <phoneticPr fontId="2"/>
  </si>
  <si>
    <t>(15)借地借家料（共通仮設）</t>
    <rPh sb="10" eb="12">
      <t>キョウツウ</t>
    </rPh>
    <rPh sb="12" eb="14">
      <t>カセツ</t>
    </rPh>
    <phoneticPr fontId="2"/>
  </si>
  <si>
    <t>(16)別途算定（直工費）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</si>
  <si>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(17)別途算定（共通仮設）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</si>
  <si>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(18)下水道使用料、各種負担金（共通仮設）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</si>
  <si>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</si>
  <si>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</si>
  <si>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対象純工事費（下水道,専業を除く）</t>
    <rPh sb="11" eb="13">
      <t>センギョウ</t>
    </rPh>
    <phoneticPr fontId="2"/>
  </si>
  <si>
    <t>標準</t>
    <phoneticPr fontId="2"/>
  </si>
  <si>
    <t>-</t>
  </si>
  <si>
    <t>(3)共通仮設工事</t>
    <phoneticPr fontId="2"/>
  </si>
  <si>
    <t>(4)直接仮設工事</t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</si>
  <si>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</si>
  <si>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</si>
  <si>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</si>
  <si>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</si>
  <si>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</si>
  <si>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</si>
  <si>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</si>
  <si>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※専業工事の現場管理費は、便宜上、下請経費の1/2とする。</t>
  </si>
  <si>
    <t>標準</t>
    <phoneticPr fontId="2"/>
  </si>
  <si>
    <t>-</t>
    <phoneticPr fontId="2"/>
  </si>
  <si>
    <t>当該率---&gt;</t>
    <phoneticPr fontId="2"/>
  </si>
  <si>
    <t>-</t>
    <phoneticPr fontId="2"/>
  </si>
  <si>
    <t>当該率---&gt;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</si>
  <si>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</si>
  <si>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</si>
  <si>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</si>
  <si>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(16)(17)包含設備工事　現場管理費</t>
    <rPh sb="8" eb="10">
      <t>ホウガン</t>
    </rPh>
    <rPh sb="10" eb="12">
      <t>セツビ</t>
    </rPh>
    <rPh sb="12" eb="14">
      <t>コウジ</t>
    </rPh>
    <rPh sb="15" eb="17">
      <t>ゲンバ</t>
    </rPh>
    <rPh sb="17" eb="20">
      <t>カンリヒ</t>
    </rPh>
    <phoneticPr fontId="2"/>
  </si>
  <si>
    <t>　※各設備工事により算定</t>
    <rPh sb="2" eb="3">
      <t>カク</t>
    </rPh>
    <rPh sb="3" eb="5">
      <t>セツビ</t>
    </rPh>
    <rPh sb="5" eb="7">
      <t>コウジ</t>
    </rPh>
    <rPh sb="10" eb="12">
      <t>サンテイ</t>
    </rPh>
    <phoneticPr fontId="2"/>
  </si>
  <si>
    <t>(12)(13)(14)(15)(18)</t>
    <phoneticPr fontId="2"/>
  </si>
  <si>
    <t>P-4</t>
    <phoneticPr fontId="2"/>
  </si>
  <si>
    <t>工事原価</t>
    <phoneticPr fontId="2"/>
  </si>
  <si>
    <t>一般管理費等対象工事原価（下水道,専業を除く）</t>
    <phoneticPr fontId="2"/>
  </si>
  <si>
    <t>(1)建築工事～(15)借地借家料</t>
  </si>
  <si>
    <t>専業</t>
    <rPh sb="0" eb="2">
      <t>センギョウ</t>
    </rPh>
    <phoneticPr fontId="2"/>
  </si>
  <si>
    <t>(3)～(8)専業工事</t>
    <phoneticPr fontId="2"/>
  </si>
  <si>
    <t>(18)下水道使用料、各種負担金</t>
    <rPh sb="11" eb="13">
      <t>カクシュ</t>
    </rPh>
    <rPh sb="13" eb="16">
      <t>フタンキン</t>
    </rPh>
    <phoneticPr fontId="2"/>
  </si>
  <si>
    <t>一般建築工事＋その他等</t>
    <phoneticPr fontId="2"/>
  </si>
  <si>
    <t>※専業工事の一般管理費等は、便宜上、下請経費の1/2とする。</t>
  </si>
  <si>
    <t>(3)～(8)専業工事</t>
    <phoneticPr fontId="2"/>
  </si>
  <si>
    <t>Jo</t>
    <phoneticPr fontId="2"/>
  </si>
  <si>
    <t>Gp</t>
    <phoneticPr fontId="2"/>
  </si>
  <si>
    <t>営繕工事</t>
  </si>
  <si>
    <t>P-5</t>
    <phoneticPr fontId="2"/>
  </si>
  <si>
    <t>◇◇◇改造工事の部</t>
    <phoneticPr fontId="2"/>
  </si>
  <si>
    <t>◇◇◇改造工事の部</t>
  </si>
  <si>
    <t>　純　工　事　費　　　　　　合　　計</t>
    <phoneticPr fontId="2"/>
  </si>
  <si>
    <t>諸 経 費 算 定 用 入 力 欄</t>
  </si>
  <si>
    <t>一般・その他等  純工事費</t>
    <phoneticPr fontId="2"/>
  </si>
  <si>
    <t>(5)塗装工事（下請経費共）</t>
  </si>
  <si>
    <t>(8)</t>
    <phoneticPr fontId="2"/>
  </si>
  <si>
    <t>(9)近隣家屋調査及び地質調査</t>
    <phoneticPr fontId="2"/>
  </si>
  <si>
    <t>(10)</t>
    <phoneticPr fontId="2"/>
  </si>
  <si>
    <t>(11)</t>
    <phoneticPr fontId="2"/>
  </si>
  <si>
    <t>(12)残材処分費及び残土処分費</t>
  </si>
  <si>
    <t>(14)リース料</t>
  </si>
  <si>
    <t>(15)借地借家料</t>
  </si>
  <si>
    <t>P-6</t>
    <phoneticPr fontId="2"/>
  </si>
  <si>
    <t>※(1)及び(2) ---&gt; 新築・改修工事が一括発注の場合は、合計額に対する各々の率</t>
    <phoneticPr fontId="2"/>
  </si>
  <si>
    <t>標準</t>
    <phoneticPr fontId="2"/>
  </si>
  <si>
    <t>(3)共通仮設工事</t>
    <phoneticPr fontId="2"/>
  </si>
  <si>
    <t>(4)直接仮設工事</t>
    <phoneticPr fontId="2"/>
  </si>
  <si>
    <t>(5)建具工事</t>
    <rPh sb="3" eb="5">
      <t>タテグ</t>
    </rPh>
    <rPh sb="5" eb="7">
      <t>コウジ</t>
    </rPh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</si>
  <si>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</si>
  <si>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</si>
  <si>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</si>
  <si>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</si>
  <si>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</si>
  <si>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</si>
  <si>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</si>
  <si>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-</t>
    <phoneticPr fontId="2"/>
  </si>
  <si>
    <t>当該率---&gt;</t>
    <phoneticPr fontId="2"/>
  </si>
  <si>
    <t>当該率---&gt;</t>
    <phoneticPr fontId="2"/>
  </si>
  <si>
    <t>P-7</t>
    <phoneticPr fontId="2"/>
  </si>
  <si>
    <t>工事原価</t>
    <phoneticPr fontId="2"/>
  </si>
  <si>
    <t>一般管理費等対象工事原価（下水道,専業を除く）</t>
    <phoneticPr fontId="2"/>
  </si>
  <si>
    <t>(3)～(8)専業工事</t>
    <phoneticPr fontId="2"/>
  </si>
  <si>
    <t>一般建築工事＋その他等</t>
    <phoneticPr fontId="2"/>
  </si>
  <si>
    <t>Jo</t>
    <phoneticPr fontId="2"/>
  </si>
  <si>
    <t>Jo</t>
    <phoneticPr fontId="2"/>
  </si>
  <si>
    <t>Gp</t>
    <phoneticPr fontId="2"/>
  </si>
  <si>
    <t>工事のシート名を入力(例：工事１)---&gt;</t>
    <rPh sb="0" eb="2">
      <t>コウジ</t>
    </rPh>
    <rPh sb="6" eb="7">
      <t>メイ</t>
    </rPh>
    <rPh sb="8" eb="10">
      <t>ニュウリョク</t>
    </rPh>
    <rPh sb="11" eb="12">
      <t>レイ</t>
    </rPh>
    <rPh sb="13" eb="15">
      <t>コウジ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</si>
  <si>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4">
      <t>ヨミコミ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</si>
  <si>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3">
      <t>ヨ</t>
    </rPh>
    <rPh sb="13" eb="14">
      <t>コ</t>
    </rPh>
    <phoneticPr fontId="2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</si>
  <si>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2"/>
  </si>
  <si>
    <t>建物種別補正（"駅施設"又は"地上建物"を選択）--&gt;
(規定値は既発注入力欄を読込み）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2">
      <t>キテイチ</t>
    </rPh>
    <rPh sb="33" eb="34">
      <t>キ</t>
    </rPh>
    <rPh sb="34" eb="36">
      <t>ハッチュウ</t>
    </rPh>
    <rPh sb="36" eb="38">
      <t>ニュウリョク</t>
    </rPh>
    <rPh sb="38" eb="39">
      <t>ラン</t>
    </rPh>
    <rPh sb="40" eb="42">
      <t>ヨミコミ</t>
    </rPh>
    <phoneticPr fontId="2"/>
  </si>
  <si>
    <t>監督員事務所の有無--&gt;
(規定値は既発注入力欄を読込み）</t>
    <rPh sb="0" eb="3">
      <t>カントクイン</t>
    </rPh>
    <rPh sb="3" eb="5">
      <t>ジム</t>
    </rPh>
    <rPh sb="5" eb="6">
      <t>ショ</t>
    </rPh>
    <rPh sb="7" eb="9">
      <t>ウム</t>
    </rPh>
    <rPh sb="14" eb="17">
      <t>キテイチ</t>
    </rPh>
    <rPh sb="18" eb="19">
      <t>キ</t>
    </rPh>
    <rPh sb="19" eb="21">
      <t>ハッチュウ</t>
    </rPh>
    <rPh sb="21" eb="23">
      <t>ニュウリョク</t>
    </rPh>
    <rPh sb="23" eb="24">
      <t>ラン</t>
    </rPh>
    <rPh sb="25" eb="27">
      <t>ヨミコミ</t>
    </rPh>
    <phoneticPr fontId="2"/>
  </si>
  <si>
    <t>内、警備員費</t>
    <rPh sb="2" eb="5">
      <t>ケイビイン</t>
    </rPh>
    <rPh sb="5" eb="6">
      <t>ヒ</t>
    </rPh>
    <phoneticPr fontId="2"/>
  </si>
  <si>
    <r>
      <t xml:space="preserve">専業・一般・その他等 </t>
    </r>
    <r>
      <rPr>
        <b/>
        <sz val="10"/>
        <rFont val="Meiryo UI"/>
        <family val="3"/>
        <charset val="128"/>
      </rPr>
      <t xml:space="preserve"> 純工事費</t>
    </r>
    <rPh sb="0" eb="2">
      <t>センギョウ</t>
    </rPh>
    <phoneticPr fontId="2"/>
  </si>
  <si>
    <t>共通仮設費</t>
    <rPh sb="0" eb="2">
      <t>キョウツウ</t>
    </rPh>
    <rPh sb="2" eb="4">
      <t>カセツ</t>
    </rPh>
    <phoneticPr fontId="2"/>
  </si>
  <si>
    <t>共通仮設費計</t>
    <rPh sb="0" eb="2">
      <t>キョウツウ</t>
    </rPh>
    <rPh sb="2" eb="4">
      <t>カセツ</t>
    </rPh>
    <phoneticPr fontId="2"/>
  </si>
  <si>
    <t>共通仮設費調整額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phoneticPr fontId="2"/>
  </si>
  <si>
    <t>共通仮設費調整額端数調整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</si>
  <si>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共通仮設費改計</t>
    <rPh sb="0" eb="2">
      <t>キョウツウ</t>
    </rPh>
    <rPh sb="2" eb="4">
      <t>カセツ</t>
    </rPh>
    <rPh sb="4" eb="5">
      <t>ヒ</t>
    </rPh>
    <rPh sb="5" eb="6">
      <t>カイ</t>
    </rPh>
    <phoneticPr fontId="2"/>
  </si>
  <si>
    <t>現場管理費</t>
    <rPh sb="0" eb="2">
      <t>ゲンバ</t>
    </rPh>
    <phoneticPr fontId="2"/>
  </si>
  <si>
    <t>P-2</t>
    <phoneticPr fontId="2"/>
  </si>
  <si>
    <t>専業諸経費集計表</t>
    <rPh sb="0" eb="2">
      <t>センギョウ</t>
    </rPh>
    <rPh sb="2" eb="5">
      <t>ショケイヒ</t>
    </rPh>
    <rPh sb="5" eb="8">
      <t>シュウケイヒョウ</t>
    </rPh>
    <phoneticPr fontId="2"/>
  </si>
  <si>
    <t>改修・新営を選択--&gt;</t>
    <phoneticPr fontId="2"/>
  </si>
  <si>
    <t>内、ﾘｰｽ料</t>
    <rPh sb="0" eb="1">
      <t>ウチ</t>
    </rPh>
    <rPh sb="5" eb="6">
      <t>リョウ</t>
    </rPh>
    <phoneticPr fontId="2"/>
  </si>
  <si>
    <t>内、借地借家料</t>
    <rPh sb="0" eb="1">
      <t>ウチ</t>
    </rPh>
    <rPh sb="2" eb="4">
      <t>シャクチ</t>
    </rPh>
    <rPh sb="4" eb="6">
      <t>シャクヤ</t>
    </rPh>
    <rPh sb="6" eb="7">
      <t>リョウ</t>
    </rPh>
    <phoneticPr fontId="2"/>
  </si>
  <si>
    <t>内、各種負担金</t>
    <rPh sb="0" eb="1">
      <t>ウチ</t>
    </rPh>
    <rPh sb="2" eb="4">
      <t>カクシュ</t>
    </rPh>
    <rPh sb="4" eb="7">
      <t>フタンキン</t>
    </rPh>
    <phoneticPr fontId="2"/>
  </si>
  <si>
    <t>(直接工事費 直接仮設を含む)</t>
    <rPh sb="12" eb="13">
      <t>フク</t>
    </rPh>
    <phoneticPr fontId="2"/>
  </si>
  <si>
    <t>（２）改修一般建築工事</t>
    <rPh sb="3" eb="5">
      <t>カイシュウ</t>
    </rPh>
    <rPh sb="5" eb="7">
      <t>イッパン</t>
    </rPh>
    <rPh sb="7" eb="9">
      <t>ケンチク</t>
    </rPh>
    <rPh sb="9" eb="11">
      <t>コウジ</t>
    </rPh>
    <phoneticPr fontId="2"/>
  </si>
  <si>
    <t>（３）警備員費（共通仮設費）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</si>
  <si>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(4-1)率算出共通仮設工事</t>
    <rPh sb="5" eb="6">
      <t>リツ</t>
    </rPh>
    <rPh sb="6" eb="8">
      <t>サンシュツ</t>
    </rPh>
    <phoneticPr fontId="2"/>
  </si>
  <si>
    <t>(4-2)積上げ共通仮設工事※警備員費・率除外項目除く</t>
    <rPh sb="5" eb="7">
      <t>ツミア</t>
    </rPh>
    <rPh sb="8" eb="10">
      <t>キョウツウ</t>
    </rPh>
    <rPh sb="10" eb="12">
      <t>カセツ</t>
    </rPh>
    <rPh sb="12" eb="14">
      <t>コウジ</t>
    </rPh>
    <rPh sb="15" eb="18">
      <t>ケイビイン</t>
    </rPh>
    <rPh sb="18" eb="19">
      <t>ヒ</t>
    </rPh>
    <rPh sb="20" eb="21">
      <t>リツ</t>
    </rPh>
    <rPh sb="21" eb="23">
      <t>ジョガイ</t>
    </rPh>
    <rPh sb="23" eb="25">
      <t>コウモク</t>
    </rPh>
    <rPh sb="25" eb="26">
      <t>ノゾ</t>
    </rPh>
    <phoneticPr fontId="2"/>
  </si>
  <si>
    <t>(5)直接仮設工事（下請経費共）</t>
    <phoneticPr fontId="2"/>
  </si>
  <si>
    <t>(6)建具工事（下請経費共）</t>
    <rPh sb="3" eb="5">
      <t>タテグ</t>
    </rPh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</si>
  <si>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</si>
  <si>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</si>
  <si>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</si>
  <si>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(10)その他工事</t>
    <rPh sb="6" eb="7">
      <t>タ</t>
    </rPh>
    <rPh sb="7" eb="9">
      <t>コウジ</t>
    </rPh>
    <phoneticPr fontId="2"/>
  </si>
  <si>
    <t>(11)</t>
    <phoneticPr fontId="2"/>
  </si>
  <si>
    <t>(12)</t>
    <phoneticPr fontId="2"/>
  </si>
  <si>
    <t>(13)残材処分費及び残土処分費（直工費のみ）</t>
    <rPh sb="17" eb="18">
      <t>チョク</t>
    </rPh>
    <rPh sb="18" eb="19">
      <t>コウ</t>
    </rPh>
    <rPh sb="19" eb="20">
      <t>ヒ</t>
    </rPh>
    <phoneticPr fontId="2"/>
  </si>
  <si>
    <t>(14)残材処分費及び残土処分費(共通仮設)</t>
    <rPh sb="17" eb="19">
      <t>キョウツウ</t>
    </rPh>
    <rPh sb="19" eb="21">
      <t>カセツ</t>
    </rPh>
    <phoneticPr fontId="2"/>
  </si>
  <si>
    <t>(15)リース料</t>
    <phoneticPr fontId="2"/>
  </si>
  <si>
    <t>(16)借地借家料（共通仮設）</t>
    <rPh sb="10" eb="12">
      <t>キョウツウ</t>
    </rPh>
    <rPh sb="12" eb="14">
      <t>カセツ</t>
    </rPh>
    <phoneticPr fontId="2"/>
  </si>
  <si>
    <t>(17)別途算定（直工費）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</si>
  <si>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(18)別途算定（共通仮設）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</si>
  <si>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(19)下水道使用料、各種負担金（共通仮設）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</si>
  <si>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</si>
  <si>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当該率</t>
    <phoneticPr fontId="2"/>
  </si>
  <si>
    <r>
      <t>対象直接工事費</t>
    </r>
    <r>
      <rPr>
        <sz val="10"/>
        <color indexed="36"/>
        <rFont val="Meiryo UI"/>
        <family val="3"/>
        <charset val="128"/>
      </rPr>
      <t>（（9）～(14)、(16)～(19)除く）</t>
    </r>
    <rPh sb="2" eb="4">
      <t>チョクセツ</t>
    </rPh>
    <rPh sb="26" eb="27">
      <t>ノゾ</t>
    </rPh>
    <phoneticPr fontId="2"/>
  </si>
  <si>
    <t>標準</t>
    <phoneticPr fontId="2"/>
  </si>
  <si>
    <t>-</t>
    <phoneticPr fontId="2"/>
  </si>
  <si>
    <t>(5)直接仮設工事</t>
    <phoneticPr fontId="2"/>
  </si>
  <si>
    <t>(6)建具工事</t>
    <rPh sb="3" eb="5">
      <t>タテグ</t>
    </rPh>
    <phoneticPr fontId="2"/>
  </si>
  <si>
    <t>(7)場内小運搬費</t>
    <phoneticPr fontId="2"/>
  </si>
  <si>
    <t>(8)〃人力積込み費</t>
    <phoneticPr fontId="2"/>
  </si>
  <si>
    <t>(9)〃搬出準備費</t>
    <phoneticPr fontId="2"/>
  </si>
  <si>
    <t>(10)近隣家屋調査及び地質調査</t>
    <rPh sb="4" eb="6">
      <t>キンリン</t>
    </rPh>
    <rPh sb="6" eb="8">
      <t>カオク</t>
    </rPh>
    <rPh sb="8" eb="10">
      <t>チョウサ</t>
    </rPh>
    <rPh sb="10" eb="11">
      <t>オヨ</t>
    </rPh>
    <rPh sb="12" eb="14">
      <t>チシツ</t>
    </rPh>
    <rPh sb="14" eb="16">
      <t>チョウサ</t>
    </rPh>
    <phoneticPr fontId="2"/>
  </si>
  <si>
    <t>(11)</t>
  </si>
  <si>
    <t>（13）（17）</t>
    <phoneticPr fontId="2"/>
  </si>
  <si>
    <t>当該率---&gt;</t>
    <phoneticPr fontId="2"/>
  </si>
  <si>
    <t>諸 経 費 算 定 表 (1)</t>
  </si>
  <si>
    <t>P-4</t>
    <phoneticPr fontId="2"/>
  </si>
  <si>
    <t>※(1)及び(2) ---&gt; 新築・改修工事が一括発注の場合は、合計額に対する各々の率</t>
    <phoneticPr fontId="2"/>
  </si>
  <si>
    <t>(3）警備員費（共通仮設費）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</si>
  <si>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(6)建具工事</t>
    <rPh sb="3" eb="5">
      <t>タテグ</t>
    </rPh>
    <rPh sb="5" eb="7">
      <t>コウジ</t>
    </rPh>
    <phoneticPr fontId="2"/>
  </si>
  <si>
    <t>(10)近隣家屋調査及び地質調査</t>
    <phoneticPr fontId="2"/>
  </si>
  <si>
    <t>(11)　---</t>
    <phoneticPr fontId="2"/>
  </si>
  <si>
    <t>(12)　---</t>
    <phoneticPr fontId="2"/>
  </si>
  <si>
    <t>(13)～(19)</t>
    <phoneticPr fontId="2"/>
  </si>
  <si>
    <t>共通仮設費(現場管理費計上対象）</t>
    <rPh sb="0" eb="2">
      <t>キョウツウ</t>
    </rPh>
    <rPh sb="2" eb="4">
      <t>カセツ</t>
    </rPh>
    <rPh sb="4" eb="5">
      <t>ヒ</t>
    </rPh>
    <rPh sb="6" eb="8">
      <t>ゲンバ</t>
    </rPh>
    <rPh sb="8" eb="11">
      <t>カンリヒ</t>
    </rPh>
    <rPh sb="11" eb="13">
      <t>ケイジョウ</t>
    </rPh>
    <rPh sb="13" eb="15">
      <t>タイショウ</t>
    </rPh>
    <phoneticPr fontId="2"/>
  </si>
  <si>
    <t>(3)警備員費（共通仮設費）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</si>
  <si>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(4-1）率対象共通仮設費</t>
    <rPh sb="5" eb="6">
      <t>リツ</t>
    </rPh>
    <rPh sb="6" eb="8">
      <t>タイショウ</t>
    </rPh>
    <rPh sb="8" eb="10">
      <t>キョウツウ</t>
    </rPh>
    <rPh sb="10" eb="12">
      <t>カセツ</t>
    </rPh>
    <rPh sb="12" eb="13">
      <t>ヒ</t>
    </rPh>
    <phoneticPr fontId="2"/>
  </si>
  <si>
    <t>(12)　---</t>
    <phoneticPr fontId="2"/>
  </si>
  <si>
    <t>(17)包含設備工事　現場管理費</t>
    <rPh sb="4" eb="6">
      <t>ホウガン</t>
    </rPh>
    <rPh sb="6" eb="8">
      <t>セツビ</t>
    </rPh>
    <rPh sb="8" eb="10">
      <t>コウジ</t>
    </rPh>
    <rPh sb="11" eb="13">
      <t>ゲンバ</t>
    </rPh>
    <rPh sb="13" eb="16">
      <t>カンリヒ</t>
    </rPh>
    <phoneticPr fontId="2"/>
  </si>
  <si>
    <t>(13)(14)(15)(16)(19)</t>
    <phoneticPr fontId="2"/>
  </si>
  <si>
    <t>諸 経 費 算 定 表 (2)</t>
  </si>
  <si>
    <t>P-5</t>
    <phoneticPr fontId="2"/>
  </si>
  <si>
    <t>工事原価</t>
    <phoneticPr fontId="2"/>
  </si>
  <si>
    <t>一般管理費等対象工事原価（下水道,専業を除く）</t>
    <phoneticPr fontId="2"/>
  </si>
  <si>
    <t>(1)建築工事～(17)別途算定</t>
    <rPh sb="12" eb="14">
      <t>ベット</t>
    </rPh>
    <rPh sb="14" eb="16">
      <t>サンテイ</t>
    </rPh>
    <phoneticPr fontId="2"/>
  </si>
  <si>
    <t>(3-2)～(8)専業工事</t>
    <phoneticPr fontId="2"/>
  </si>
  <si>
    <t>一般建築工事＋その他等</t>
    <phoneticPr fontId="2"/>
  </si>
  <si>
    <t>(3)～(8)専業工事</t>
    <phoneticPr fontId="2"/>
  </si>
  <si>
    <t>Ｋｒ</t>
    <phoneticPr fontId="2"/>
  </si>
  <si>
    <t>Jo</t>
    <phoneticPr fontId="2"/>
  </si>
  <si>
    <t>Gp</t>
    <phoneticPr fontId="2"/>
  </si>
  <si>
    <t>工事１</t>
    <rPh sb="0" eb="2">
      <t>コウジ</t>
    </rPh>
    <phoneticPr fontId="2"/>
  </si>
  <si>
    <t>工事２</t>
    <rPh sb="0" eb="2">
      <t>コウジ</t>
    </rPh>
    <phoneticPr fontId="2"/>
  </si>
  <si>
    <t>工事３</t>
    <rPh sb="0" eb="2">
      <t>コウジ</t>
    </rPh>
    <phoneticPr fontId="2"/>
  </si>
  <si>
    <t>工事４</t>
    <rPh sb="0" eb="2">
      <t>コウジ</t>
    </rPh>
    <phoneticPr fontId="2"/>
  </si>
  <si>
    <t>工事５</t>
    <rPh sb="0" eb="2">
      <t>コウジ</t>
    </rPh>
    <phoneticPr fontId="2"/>
  </si>
  <si>
    <t>工事６</t>
    <rPh sb="0" eb="2">
      <t>コウジ</t>
    </rPh>
    <phoneticPr fontId="2"/>
  </si>
  <si>
    <t>内、警備員費</t>
    <rPh sb="0" eb="1">
      <t>ウチ</t>
    </rPh>
    <rPh sb="2" eb="5">
      <t>ケイビイン</t>
    </rPh>
    <rPh sb="5" eb="6">
      <t>ヒ</t>
    </rPh>
    <phoneticPr fontId="2"/>
  </si>
  <si>
    <t>　純　工　事　費　　　　　　合　　計</t>
    <phoneticPr fontId="2"/>
  </si>
  <si>
    <t>一般・その他等  純工事費</t>
    <phoneticPr fontId="2"/>
  </si>
  <si>
    <t>(5)直接仮設工事（下請経費共）</t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</si>
  <si>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</si>
  <si>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</si>
  <si>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</si>
  <si>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</si>
  <si>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</si>
  <si>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(15)リース料</t>
    <phoneticPr fontId="2"/>
  </si>
  <si>
    <t>P-7</t>
    <phoneticPr fontId="2"/>
  </si>
  <si>
    <t>(7)場内小運搬費</t>
    <phoneticPr fontId="2"/>
  </si>
  <si>
    <t>（13）（17）</t>
    <phoneticPr fontId="2"/>
  </si>
  <si>
    <t>P-8</t>
    <phoneticPr fontId="2"/>
  </si>
  <si>
    <t>※(1)及び(2) ---&gt; 新築・改修工事が一括発注の場合は、合計額に対する各々の率</t>
    <phoneticPr fontId="2"/>
  </si>
  <si>
    <t>標準</t>
    <phoneticPr fontId="2"/>
  </si>
  <si>
    <t>(5)直接仮設工事</t>
    <phoneticPr fontId="2"/>
  </si>
  <si>
    <t>P-9</t>
    <phoneticPr fontId="2"/>
  </si>
  <si>
    <t>第　1　回　設　計　変　更　工　事　費　内　訳　書</t>
    <rPh sb="0" eb="1">
      <t>ダイ</t>
    </rPh>
    <rPh sb="4" eb="5">
      <t>カイ</t>
    </rPh>
    <rPh sb="6" eb="7">
      <t>セツ</t>
    </rPh>
    <rPh sb="8" eb="9">
      <t>ケイ</t>
    </rPh>
    <rPh sb="10" eb="11">
      <t>ヘン</t>
    </rPh>
    <rPh sb="12" eb="13">
      <t>サラ</t>
    </rPh>
    <rPh sb="14" eb="15">
      <t>タクミ</t>
    </rPh>
    <rPh sb="16" eb="17">
      <t>コト</t>
    </rPh>
    <rPh sb="18" eb="19">
      <t>ヒ</t>
    </rPh>
    <rPh sb="20" eb="21">
      <t>ウチ</t>
    </rPh>
    <rPh sb="22" eb="23">
      <t>ヤク</t>
    </rPh>
    <rPh sb="24" eb="25">
      <t>ショ</t>
    </rPh>
    <phoneticPr fontId="2"/>
  </si>
  <si>
    <t>大阪ビジネスパーク駅中階天井改良工事</t>
    <rPh sb="0" eb="2">
      <t>オオサカ</t>
    </rPh>
    <rPh sb="9" eb="10">
      <t>エキ</t>
    </rPh>
    <rPh sb="10" eb="11">
      <t>ナカ</t>
    </rPh>
    <rPh sb="11" eb="12">
      <t>カイ</t>
    </rPh>
    <rPh sb="12" eb="14">
      <t>テンジョウ</t>
    </rPh>
    <rPh sb="14" eb="16">
      <t>カイリョウ</t>
    </rPh>
    <phoneticPr fontId="2"/>
  </si>
  <si>
    <t>D4201003</t>
  </si>
  <si>
    <t>防水工事</t>
  </si>
  <si>
    <t>防水工事</t>
    <rPh sb="0" eb="2">
      <t>ボウスイ</t>
    </rPh>
    <rPh sb="2" eb="4">
      <t>コウジ</t>
    </rPh>
    <phoneticPr fontId="2"/>
  </si>
  <si>
    <t>ｼﾘｺｰﾝ系(SR-1)ｼｰﾘﾝｸﾞ</t>
  </si>
  <si>
    <t>金属工事</t>
  </si>
  <si>
    <t>内装工事</t>
  </si>
  <si>
    <t>壁紙貼り(素地ごしらえ共）</t>
  </si>
  <si>
    <t>壁面（ﾓﾙﾀﾙ・ﾌﾟﾗｽﾀｰ面）</t>
  </si>
  <si>
    <t>床ﾋﾞﾆﾙｼｰﾄ張 無地 厚2.0</t>
  </si>
  <si>
    <t>床ﾋﾞﾆﾙｼｰﾄ張 無地 厚2.0</t>
    <phoneticPr fontId="2"/>
  </si>
  <si>
    <t>ｴﾎﾟｷｼ系接着剤 熱溶接工法</t>
  </si>
  <si>
    <t>ｴﾎﾟｷｼ系接着剤 熱溶接工法</t>
    <phoneticPr fontId="2"/>
  </si>
  <si>
    <t>種類FS　多湿部</t>
    <phoneticPr fontId="2"/>
  </si>
  <si>
    <t>内外装部分撤去</t>
  </si>
  <si>
    <t>壁クロス</t>
  </si>
  <si>
    <t>ビニル床シート</t>
  </si>
  <si>
    <t>運搬費</t>
  </si>
  <si>
    <t>場内小運搬（ｶﾞﾗ運搬共）</t>
  </si>
  <si>
    <t>距離ランクを記入</t>
  </si>
  <si>
    <t>鹿島</t>
    <rPh sb="0" eb="2">
      <t>カシマ</t>
    </rPh>
    <phoneticPr fontId="2"/>
  </si>
  <si>
    <t>猪野</t>
    <rPh sb="0" eb="2">
      <t>イノ</t>
    </rPh>
    <phoneticPr fontId="2"/>
  </si>
  <si>
    <t>大阪ビジネスパーク駅中階天井改良工事　第1回設計変更</t>
    <rPh sb="0" eb="2">
      <t>オオサカ</t>
    </rPh>
    <rPh sb="9" eb="10">
      <t>エキ</t>
    </rPh>
    <rPh sb="10" eb="12">
      <t>チュウカイ</t>
    </rPh>
    <rPh sb="12" eb="14">
      <t>テンジョウ</t>
    </rPh>
    <rPh sb="14" eb="16">
      <t>カイリョウ</t>
    </rPh>
    <rPh sb="16" eb="18">
      <t>コウジ</t>
    </rPh>
    <rPh sb="19" eb="20">
      <t>ダイ</t>
    </rPh>
    <rPh sb="21" eb="22">
      <t>カイ</t>
    </rPh>
    <rPh sb="22" eb="24">
      <t>セッケイ</t>
    </rPh>
    <rPh sb="24" eb="26">
      <t>ヘンコウ</t>
    </rPh>
    <phoneticPr fontId="2"/>
  </si>
  <si>
    <t>運搬費</t>
    <phoneticPr fontId="2"/>
  </si>
  <si>
    <t>材料運搬</t>
    <phoneticPr fontId="2"/>
  </si>
  <si>
    <t>ｔ</t>
    <phoneticPr fontId="2"/>
  </si>
  <si>
    <t>（1Ａ）は不要</t>
    <phoneticPr fontId="2"/>
  </si>
  <si>
    <t>残材運搬費 部分撤去用</t>
    <phoneticPr fontId="2"/>
  </si>
  <si>
    <t>２t車</t>
    <phoneticPr fontId="2"/>
  </si>
  <si>
    <t>台</t>
    <phoneticPr fontId="2"/>
  </si>
  <si>
    <t>積込み費別途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</si>
  <si>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</si>
  <si>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</si>
  <si>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</si>
  <si>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</si>
  <si>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廃プラスチック類・ゴムくず</t>
    <phoneticPr fontId="2"/>
  </si>
  <si>
    <t>繊維くず</t>
    <phoneticPr fontId="2"/>
  </si>
  <si>
    <t>内外装部分撤去</t>
    <phoneticPr fontId="2"/>
  </si>
  <si>
    <t>壁クロス</t>
    <phoneticPr fontId="2"/>
  </si>
  <si>
    <t>ｍ2</t>
    <phoneticPr fontId="2"/>
  </si>
  <si>
    <t>ビニル床シート</t>
    <phoneticPr fontId="2"/>
  </si>
  <si>
    <t>壁紙貼り(素地ごしらえ共）</t>
    <phoneticPr fontId="2"/>
  </si>
  <si>
    <t>壁面（ﾓﾙﾀﾙ・ﾌﾟﾗｽﾀｰ面）</t>
    <phoneticPr fontId="2"/>
  </si>
  <si>
    <t>㎡</t>
    <phoneticPr fontId="2"/>
  </si>
  <si>
    <t>不燃</t>
    <phoneticPr fontId="2"/>
  </si>
  <si>
    <t>1350001程度</t>
    <rPh sb="7" eb="9">
      <t>テイド</t>
    </rPh>
    <phoneticPr fontId="2"/>
  </si>
  <si>
    <t>床ジュータン押え</t>
  </si>
  <si>
    <t>床ジュータン押え</t>
    <rPh sb="0" eb="1">
      <t>ユカ</t>
    </rPh>
    <rPh sb="6" eb="7">
      <t>オサ</t>
    </rPh>
    <phoneticPr fontId="2"/>
  </si>
  <si>
    <t>ｼﾘｺｰﾝ系(SR-1)ｼｰﾘﾝｸﾞ</t>
    <phoneticPr fontId="2"/>
  </si>
  <si>
    <t>材）+@67*54</t>
    <phoneticPr fontId="2"/>
  </si>
  <si>
    <t>労）@23200(防水工)*1.19</t>
  </si>
  <si>
    <t>幅10以下 54m</t>
  </si>
  <si>
    <t>幅10以下 54m</t>
    <phoneticPr fontId="2"/>
  </si>
  <si>
    <t>式</t>
    <phoneticPr fontId="2"/>
  </si>
  <si>
    <t>材）+@1274*0.9</t>
  </si>
  <si>
    <t>労）@22500(左官)*0.5*1.2</t>
  </si>
  <si>
    <t>ステンレス    幅35 0.9m</t>
  </si>
  <si>
    <t>ステンレス    幅35 0.9m</t>
    <phoneticPr fontId="2"/>
  </si>
  <si>
    <t>処</t>
    <rPh sb="0" eb="1">
      <t>ショ</t>
    </rPh>
    <phoneticPr fontId="2"/>
  </si>
  <si>
    <t>養生</t>
    <rPh sb="0" eb="2">
      <t>ヨウジョウ</t>
    </rPh>
    <phoneticPr fontId="2"/>
  </si>
  <si>
    <t>片付清掃</t>
    <rPh sb="0" eb="2">
      <t>カタヅケ</t>
    </rPh>
    <rPh sb="2" eb="4">
      <t>セイソウ</t>
    </rPh>
    <phoneticPr fontId="2"/>
  </si>
  <si>
    <t>内部足場</t>
    <rPh sb="0" eb="2">
      <t>ナイブ</t>
    </rPh>
    <rPh sb="2" eb="4">
      <t>アシバ</t>
    </rPh>
    <phoneticPr fontId="2"/>
  </si>
  <si>
    <t>1工種</t>
    <rPh sb="1" eb="3">
      <t>コウシュ</t>
    </rPh>
    <phoneticPr fontId="2"/>
  </si>
  <si>
    <t>〃</t>
    <phoneticPr fontId="2"/>
  </si>
  <si>
    <t>架払い(既設除去有り)</t>
    <rPh sb="0" eb="1">
      <t>カ</t>
    </rPh>
    <rPh sb="1" eb="2">
      <t>ハラ</t>
    </rPh>
    <rPh sb="4" eb="6">
      <t>キセツ</t>
    </rPh>
    <rPh sb="6" eb="8">
      <t>ジョキョ</t>
    </rPh>
    <rPh sb="8" eb="9">
      <t>ア</t>
    </rPh>
    <phoneticPr fontId="2"/>
  </si>
  <si>
    <t>計</t>
    <rPh sb="0" eb="1">
      <t>ケイ</t>
    </rPh>
    <phoneticPr fontId="2"/>
  </si>
  <si>
    <t>R＝</t>
    <phoneticPr fontId="2"/>
  </si>
  <si>
    <t>改修</t>
  </si>
  <si>
    <t>天井改良</t>
    <rPh sb="0" eb="2">
      <t>テンジョウ</t>
    </rPh>
    <rPh sb="2" eb="4">
      <t>カイリョウ</t>
    </rPh>
    <phoneticPr fontId="2"/>
  </si>
  <si>
    <t>天井改良工事</t>
    <phoneticPr fontId="2"/>
  </si>
  <si>
    <t>居室内装修理工事</t>
    <rPh sb="0" eb="2">
      <t>キョシツ</t>
    </rPh>
    <rPh sb="2" eb="4">
      <t>ナイソウ</t>
    </rPh>
    <rPh sb="4" eb="6">
      <t>シュウリ</t>
    </rPh>
    <rPh sb="6" eb="8">
      <t>コウジ</t>
    </rPh>
    <phoneticPr fontId="2"/>
  </si>
  <si>
    <t>タイル工事</t>
  </si>
  <si>
    <t>タイル工事</t>
    <rPh sb="3" eb="5">
      <t>コウジ</t>
    </rPh>
    <phoneticPr fontId="2"/>
  </si>
  <si>
    <t>大野　美喜子</t>
    <rPh sb="0" eb="2">
      <t>オオノ</t>
    </rPh>
    <rPh sb="3" eb="6">
      <t>ミキコ</t>
    </rPh>
    <phoneticPr fontId="2"/>
  </si>
  <si>
    <t>山内　太貴</t>
    <rPh sb="0" eb="2">
      <t>ヤマウチ</t>
    </rPh>
    <rPh sb="3" eb="5">
      <t>タイキ</t>
    </rPh>
    <phoneticPr fontId="2"/>
  </si>
  <si>
    <t>左官工事</t>
  </si>
  <si>
    <t>壁  ユニットタイル  施釉</t>
    <phoneticPr fontId="2"/>
  </si>
  <si>
    <t>50二丁平　マスク張り 0.3m2</t>
    <phoneticPr fontId="2"/>
  </si>
  <si>
    <t>材）+@1754*0.3</t>
  </si>
  <si>
    <t>労）@24700(タイル工)*1.2</t>
  </si>
  <si>
    <t>壁  ユニットタイル  施釉</t>
  </si>
  <si>
    <t>材）+@1754*0.4</t>
  </si>
  <si>
    <t>50二丁平　マスク張り 0.4m2</t>
  </si>
  <si>
    <t>50二丁平　マスク張り 0.4m2</t>
    <phoneticPr fontId="2"/>
  </si>
  <si>
    <t>内壁  下地モルタル塗り</t>
    <phoneticPr fontId="2"/>
  </si>
  <si>
    <t>タイル下地  ユニットタイル張り 0.3m2</t>
    <phoneticPr fontId="2"/>
  </si>
  <si>
    <t>材）+@246*0.3</t>
    <phoneticPr fontId="2"/>
  </si>
  <si>
    <t>労）@26200(左官)*1.23</t>
  </si>
  <si>
    <t>内壁  下地モルタル塗り</t>
  </si>
  <si>
    <t>材）+@246*0.4</t>
    <phoneticPr fontId="2"/>
  </si>
  <si>
    <t>タイル下地  ユニットタイル張り 0.4m2</t>
  </si>
  <si>
    <t>タイル下地  ユニットタイル張り 0.4m2</t>
    <phoneticPr fontId="2"/>
  </si>
  <si>
    <t>軽鉄天井下地補強 JIS19型</t>
  </si>
  <si>
    <t>亜鉛  600角 天井点検口用</t>
  </si>
  <si>
    <t>ヵ所</t>
  </si>
  <si>
    <t>スパンドレル切込み別途</t>
  </si>
  <si>
    <t>天井点検口　製品代</t>
  </si>
  <si>
    <t xml:space="preserve">600*600 ｱﾙﾐA-BE </t>
  </si>
  <si>
    <t>天井点検口　据付手間</t>
  </si>
  <si>
    <t>600*600</t>
  </si>
  <si>
    <t>点検口落下防止ワイヤー</t>
  </si>
  <si>
    <t>600角以下</t>
  </si>
  <si>
    <t>台</t>
  </si>
  <si>
    <t>[標図] Ａ-14-19a</t>
  </si>
  <si>
    <t>新設ｱﾙﾐｽﾊﾟﾝﾄﾞﾚﾙ穴あけ加工</t>
  </si>
  <si>
    <t>天井面　600*600</t>
  </si>
  <si>
    <t>[標図]</t>
  </si>
  <si>
    <t>亜鉛  450角 天井点検口用</t>
  </si>
  <si>
    <t xml:space="preserve">450*450 ｱﾙﾐA-BE </t>
  </si>
  <si>
    <t>450*450</t>
  </si>
  <si>
    <t>既設ｱﾙﾐｽﾊﾟﾝﾄﾞﾚﾙ穴あけ加工</t>
  </si>
  <si>
    <t>天井面　450*450</t>
  </si>
  <si>
    <t>壁タイル（下地共）</t>
  </si>
  <si>
    <t>壁タイル（下地共）</t>
    <phoneticPr fontId="2"/>
  </si>
  <si>
    <t>ガラスくず及び陶磁器くず</t>
    <phoneticPr fontId="2"/>
  </si>
  <si>
    <t>ｺﾝｸﾘｰﾄ類再生処理</t>
    <phoneticPr fontId="2"/>
  </si>
  <si>
    <t>場内小運搬（ｶﾞﾗ運搬共）</t>
    <phoneticPr fontId="2"/>
  </si>
  <si>
    <t>距離ランクを記入</t>
    <phoneticPr fontId="2"/>
  </si>
  <si>
    <t>50二丁平　マスク張り 0.3m2</t>
  </si>
  <si>
    <t>タイル下地  ユニットタイル張り 0.3m2</t>
  </si>
  <si>
    <t>費用</t>
  </si>
  <si>
    <t>工事2</t>
    <rPh sb="0" eb="2">
      <t>コウジ</t>
    </rPh>
    <phoneticPr fontId="3"/>
  </si>
  <si>
    <t>居室内装修理</t>
    <rPh sb="0" eb="2">
      <t>キョシツ</t>
    </rPh>
    <rPh sb="2" eb="4">
      <t>ナイソウ</t>
    </rPh>
    <rPh sb="4" eb="6">
      <t>シュウリ</t>
    </rPh>
    <phoneticPr fontId="2"/>
  </si>
  <si>
    <t>工事1</t>
    <rPh sb="0" eb="2">
      <t>コウジ</t>
    </rPh>
    <phoneticPr fontId="2"/>
  </si>
  <si>
    <t>―</t>
    <phoneticPr fontId="2"/>
  </si>
  <si>
    <t>居室内装修理工事</t>
  </si>
  <si>
    <t>天井改良工事</t>
    <rPh sb="0" eb="2">
      <t>テンジョウ</t>
    </rPh>
    <rPh sb="2" eb="4">
      <t>カイリョウ</t>
    </rPh>
    <rPh sb="4" eb="6">
      <t>コウジ</t>
    </rPh>
    <phoneticPr fontId="2"/>
  </si>
  <si>
    <t>工事2</t>
    <rPh sb="0" eb="2">
      <t>コウジ</t>
    </rPh>
    <phoneticPr fontId="2"/>
  </si>
  <si>
    <t>工事1</t>
    <rPh sb="0" eb="2">
      <t>コウジ</t>
    </rPh>
    <phoneticPr fontId="2"/>
  </si>
  <si>
    <t>※別紙「工事管理シート」による。</t>
    <rPh sb="1" eb="3">
      <t>ベッシ</t>
    </rPh>
    <rPh sb="4" eb="6">
      <t>コウジ</t>
    </rPh>
    <rPh sb="6" eb="8">
      <t>カンリ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</si>
</sst>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0&quot;式&quot;"/>
    <numFmt numFmtId="190" formatCode="#,##0.0;[Red]\-#,##0.0"/>
    <numFmt numFmtId="191" formatCode="0.0_ "/>
    <numFmt numFmtId="192" formatCode="0.00_ "/>
    <numFmt numFmtId="193" formatCode="0.0"/>
    <numFmt numFmtId="194" formatCode="#,##0_ ;[Red]\-#,##0\ "/>
    <numFmt numFmtId="195" formatCode="&quot;2020-&quot;####"/>
  </numFmts>
  <fonts count="1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b/>
      <sz val="18"/>
      <color indexed="8"/>
      <name val="ＭＳ Ｐゴシック"/>
      <family val="3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7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theme="3"/>
      <name val="ＭＳ Ｐゴシック"/>
      <family val="2"/>
      <charset val="128"/>
      <scheme val="major"/>
    </font>
    <font>
      <b/>
      <u/>
      <sz val="20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Meiryo UI"/>
      <family val="3"/>
      <charset val="128"/>
    </font>
    <font>
      <b/>
      <i/>
      <sz val="16"/>
      <name val="Helv"/>
      <family val="2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14"/>
      <color indexed="10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8"/>
      <color indexed="8"/>
      <name val="ＭＳ Ｐ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9"/>
      <color rgb="FF0070C0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indexed="10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indexed="8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B05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name val="Meiryo UI"/>
      <family val="3"/>
      <charset val="128"/>
    </font>
    <font>
      <b/>
      <sz val="10"/>
      <color indexed="8"/>
      <name val="Meiryo UI"/>
      <family val="3"/>
      <charset val="128"/>
    </font>
    <font>
      <b/>
      <sz val="10"/>
      <name val="Meiryo UI"/>
      <family val="3"/>
      <charset val="128"/>
    </font>
    <font>
      <b/>
      <sz val="11"/>
      <color indexed="8"/>
      <name val="Meiryo UI"/>
      <family val="3"/>
      <charset val="128"/>
    </font>
    <font>
      <sz val="10"/>
      <color rgb="FF7030A0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indexed="8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color indexed="10"/>
      <name val="Meiryo UI"/>
      <family val="3"/>
      <charset val="128"/>
    </font>
    <font>
      <b/>
      <sz val="11"/>
      <name val="Meiryo UI"/>
      <family val="3"/>
      <charset val="128"/>
    </font>
    <font>
      <sz val="10"/>
      <color indexed="9"/>
      <name val="Meiryo UI"/>
      <family val="3"/>
      <charset val="128"/>
    </font>
    <font>
      <sz val="9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b/>
      <sz val="10"/>
      <color rgb="FF00B050"/>
      <name val="Meiryo UI"/>
      <family val="3"/>
      <charset val="128"/>
    </font>
    <font>
      <sz val="9"/>
      <color rgb="FF00B050"/>
      <name val="Meiryo UI"/>
      <family val="3"/>
      <charset val="128"/>
    </font>
    <font>
      <sz val="10"/>
      <color indexed="36"/>
      <name val="Meiryo UI"/>
      <family val="3"/>
      <charset val="128"/>
    </font>
    <font>
      <b/>
      <sz val="10"/>
      <color indexed="10"/>
      <name val="Meiryo UI"/>
      <family val="3"/>
      <charset val="128"/>
    </font>
    <font>
      <sz val="10"/>
      <color theme="0"/>
      <name val="Meiryo UI"/>
      <family val="3"/>
      <charset val="128"/>
    </font>
    <font>
      <sz val="8"/>
      <color rgb="FFFF0000"/>
      <name val="Meiryo UI"/>
      <family val="3"/>
      <charset val="128"/>
    </font>
    <font>
      <sz val="8"/>
      <color indexed="8"/>
      <name val="Meiryo UI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rgb="FFCC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</fills>
  <borders count="316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940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top" textRotation="255" shrinkToFit="1"/>
    </xf>
    <xf numFmtId="0" fontId="3" fillId="0" borderId="0" xfId="0" applyFont="1" applyAlignment="1">
      <alignment vertical="center" shrinkToFit="1"/>
    </xf>
    <xf numFmtId="178" fontId="4" fillId="0" borderId="0" xfId="0" applyNumberFormat="1" applyFont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vertical="top" textRotation="255" shrinkToFit="1"/>
    </xf>
    <xf numFmtId="0" fontId="5" fillId="0" borderId="0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78" fontId="4" fillId="0" borderId="0" xfId="0" applyNumberFormat="1" applyFont="1" applyBorder="1" applyAlignment="1">
      <alignment vertical="center" shrinkToFit="1"/>
    </xf>
    <xf numFmtId="0" fontId="6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right" vertical="center"/>
    </xf>
    <xf numFmtId="177" fontId="5" fillId="0" borderId="0" xfId="0" applyNumberFormat="1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right" vertical="center"/>
    </xf>
    <xf numFmtId="0" fontId="17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79" fontId="17" fillId="0" borderId="0" xfId="0" applyNumberFormat="1" applyFont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0" borderId="0" xfId="0" applyFont="1" applyAlignment="1">
      <alignment horizontal="right" vertical="center" wrapText="1"/>
    </xf>
    <xf numFmtId="0" fontId="3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0" fontId="14" fillId="0" borderId="0" xfId="0" applyFont="1" applyAlignment="1" applyProtection="1">
      <alignment vertical="center"/>
      <protection locked="0"/>
    </xf>
    <xf numFmtId="178" fontId="4" fillId="0" borderId="0" xfId="0" applyNumberFormat="1" applyFont="1" applyAlignment="1" applyProtection="1">
      <alignment vertical="center" shrinkToFi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0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5" fillId="0" borderId="0" xfId="0" applyNumberFormat="1" applyFont="1" applyBorder="1" applyAlignment="1" applyProtection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 applyProtection="1">
      <alignment vertical="center"/>
      <protection locked="0"/>
    </xf>
    <xf numFmtId="0" fontId="23" fillId="0" borderId="23" xfId="0" applyFont="1" applyBorder="1" applyAlignment="1">
      <alignment horizontal="center" shrinkToFit="1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177" fontId="5" fillId="0" borderId="38" xfId="0" applyNumberFormat="1" applyFont="1" applyBorder="1" applyAlignment="1" applyProtection="1">
      <alignment horizontal="center" vertical="center" shrinkToFit="1"/>
    </xf>
    <xf numFmtId="0" fontId="5" fillId="0" borderId="38" xfId="0" applyFont="1" applyBorder="1" applyAlignment="1" applyProtection="1">
      <alignment horizontal="center" vertical="center" wrapText="1"/>
    </xf>
    <xf numFmtId="181" fontId="13" fillId="0" borderId="39" xfId="0" applyNumberFormat="1" applyFont="1" applyBorder="1" applyAlignment="1" applyProtection="1">
      <alignment horizontal="left" vertical="center"/>
      <protection locked="0"/>
    </xf>
    <xf numFmtId="0" fontId="13" fillId="0" borderId="39" xfId="0" applyFont="1" applyBorder="1" applyAlignment="1" applyProtection="1">
      <alignment vertical="center"/>
      <protection locked="0"/>
    </xf>
    <xf numFmtId="0" fontId="13" fillId="0" borderId="40" xfId="0" applyFont="1" applyBorder="1" applyAlignment="1" applyProtection="1">
      <alignment vertical="center"/>
      <protection locked="0"/>
    </xf>
    <xf numFmtId="0" fontId="17" fillId="0" borderId="41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17" fillId="0" borderId="43" xfId="0" applyFont="1" applyBorder="1" applyAlignment="1" applyProtection="1">
      <alignment vertical="center"/>
      <protection locked="0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/>
      <protection locked="0"/>
    </xf>
    <xf numFmtId="0" fontId="17" fillId="0" borderId="53" xfId="0" applyFont="1" applyBorder="1" applyAlignment="1" applyProtection="1">
      <alignment vertical="center"/>
      <protection locked="0"/>
    </xf>
    <xf numFmtId="177" fontId="5" fillId="0" borderId="0" xfId="0" applyNumberFormat="1" applyFont="1" applyBorder="1" applyAlignment="1" applyProtection="1">
      <alignment vertical="center" shrinkToFit="1"/>
      <protection locked="0"/>
    </xf>
    <xf numFmtId="0" fontId="23" fillId="0" borderId="0" xfId="0" applyFont="1" applyAlignment="1">
      <alignment shrinkToFit="1"/>
    </xf>
    <xf numFmtId="0" fontId="3" fillId="0" borderId="0" xfId="0" applyFont="1" applyAlignment="1" applyProtection="1">
      <alignment vertical="center"/>
    </xf>
    <xf numFmtId="177" fontId="8" fillId="0" borderId="63" xfId="0" applyNumberFormat="1" applyFont="1" applyBorder="1" applyAlignment="1" applyProtection="1">
      <alignment horizontal="right" vertical="top" shrinkToFit="1"/>
    </xf>
    <xf numFmtId="0" fontId="5" fillId="0" borderId="64" xfId="0" applyFont="1" applyBorder="1" applyAlignment="1" applyProtection="1">
      <alignment horizontal="centerContinuous" vertical="center"/>
    </xf>
    <xf numFmtId="0" fontId="5" fillId="0" borderId="65" xfId="0" applyFont="1" applyBorder="1" applyAlignment="1" applyProtection="1">
      <alignment horizontal="centerContinuous" vertical="center"/>
    </xf>
    <xf numFmtId="0" fontId="5" fillId="0" borderId="66" xfId="0" applyFont="1" applyBorder="1" applyAlignment="1" applyProtection="1">
      <alignment horizontal="centerContinuous" vertical="center"/>
    </xf>
    <xf numFmtId="178" fontId="17" fillId="0" borderId="67" xfId="0" applyNumberFormat="1" applyFont="1" applyBorder="1" applyAlignment="1" applyProtection="1">
      <alignment horizontal="center" vertical="center"/>
      <protection locked="0"/>
    </xf>
    <xf numFmtId="178" fontId="17" fillId="0" borderId="41" xfId="0" applyNumberFormat="1" applyFont="1" applyBorder="1" applyAlignment="1" applyProtection="1">
      <alignment horizontal="center" vertical="center"/>
      <protection locked="0"/>
    </xf>
    <xf numFmtId="178" fontId="17" fillId="0" borderId="68" xfId="0" applyNumberFormat="1" applyFont="1" applyBorder="1" applyAlignment="1" applyProtection="1">
      <alignment horizontal="center" vertical="center"/>
      <protection locked="0"/>
    </xf>
    <xf numFmtId="178" fontId="17" fillId="0" borderId="42" xfId="0" applyNumberFormat="1" applyFont="1" applyBorder="1" applyAlignment="1" applyProtection="1">
      <alignment horizontal="center" vertical="center"/>
      <protection locked="0"/>
    </xf>
    <xf numFmtId="178" fontId="17" fillId="0" borderId="69" xfId="0" applyNumberFormat="1" applyFont="1" applyBorder="1" applyAlignment="1" applyProtection="1">
      <alignment horizontal="center" vertical="center"/>
      <protection locked="0"/>
    </xf>
    <xf numFmtId="178" fontId="17" fillId="0" borderId="43" xfId="0" applyNumberFormat="1" applyFont="1" applyBorder="1" applyAlignment="1" applyProtection="1">
      <alignment horizontal="center" vertical="center"/>
      <protection locked="0"/>
    </xf>
    <xf numFmtId="38" fontId="8" fillId="0" borderId="63" xfId="0" applyNumberFormat="1" applyFont="1" applyBorder="1" applyAlignment="1" applyProtection="1">
      <alignment horizontal="right" vertical="top"/>
      <protection locked="0"/>
    </xf>
    <xf numFmtId="38" fontId="8" fillId="0" borderId="63" xfId="0" applyNumberFormat="1" applyFont="1" applyBorder="1" applyAlignment="1" applyProtection="1">
      <alignment horizontal="right" vertical="top" shrinkToFit="1"/>
      <protection locked="0"/>
    </xf>
    <xf numFmtId="0" fontId="13" fillId="0" borderId="70" xfId="0" applyFont="1" applyBorder="1" applyAlignment="1" applyProtection="1">
      <alignment vertical="center"/>
      <protection locked="0"/>
    </xf>
    <xf numFmtId="0" fontId="23" fillId="0" borderId="0" xfId="0" applyNumberFormat="1" applyFont="1" applyAlignment="1">
      <alignment shrinkToFit="1"/>
    </xf>
    <xf numFmtId="177" fontId="5" fillId="5" borderId="71" xfId="0" applyNumberFormat="1" applyFont="1" applyFill="1" applyBorder="1" applyAlignment="1" applyProtection="1">
      <alignment vertical="center" shrinkToFit="1"/>
    </xf>
    <xf numFmtId="0" fontId="3" fillId="0" borderId="0" xfId="0" applyNumberFormat="1" applyFont="1" applyAlignment="1">
      <alignment vertical="center"/>
    </xf>
    <xf numFmtId="0" fontId="13" fillId="0" borderId="72" xfId="0" applyFont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alignment vertical="center" wrapText="1"/>
      <protection locked="0"/>
    </xf>
    <xf numFmtId="0" fontId="13" fillId="0" borderId="63" xfId="0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vertical="center" wrapText="1"/>
      <protection locked="0"/>
    </xf>
    <xf numFmtId="0" fontId="13" fillId="0" borderId="73" xfId="0" applyFont="1" applyBorder="1" applyAlignment="1" applyProtection="1">
      <alignment vertical="center"/>
      <protection locked="0"/>
    </xf>
    <xf numFmtId="177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Font="1" applyBorder="1" applyAlignment="1" applyProtection="1">
      <alignment horizontal="right" vertical="center"/>
      <protection locked="0"/>
    </xf>
    <xf numFmtId="0" fontId="13" fillId="0" borderId="75" xfId="0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wrapText="1"/>
      <protection locked="0"/>
    </xf>
    <xf numFmtId="177" fontId="13" fillId="0" borderId="76" xfId="0" applyNumberFormat="1" applyFont="1" applyBorder="1" applyAlignment="1" applyProtection="1">
      <alignment vertical="center" shrinkToFit="1"/>
      <protection locked="0"/>
    </xf>
    <xf numFmtId="0" fontId="12" fillId="0" borderId="65" xfId="0" applyFont="1" applyBorder="1" applyAlignment="1" applyProtection="1">
      <alignment horizontal="centerContinuous" vertical="center"/>
    </xf>
    <xf numFmtId="0" fontId="12" fillId="0" borderId="38" xfId="0" applyFont="1" applyBorder="1" applyAlignment="1" applyProtection="1">
      <alignment horizontal="center" vertical="center" wrapText="1"/>
    </xf>
    <xf numFmtId="0" fontId="12" fillId="0" borderId="38" xfId="0" applyFont="1" applyBorder="1" applyAlignment="1" applyProtection="1">
      <alignment horizontal="center" vertical="center"/>
    </xf>
    <xf numFmtId="177" fontId="12" fillId="0" borderId="38" xfId="0" applyNumberFormat="1" applyFont="1" applyBorder="1" applyAlignment="1" applyProtection="1">
      <alignment horizontal="center" vertical="center" shrinkToFit="1"/>
    </xf>
    <xf numFmtId="0" fontId="12" fillId="0" borderId="64" xfId="0" applyFont="1" applyBorder="1" applyAlignment="1" applyProtection="1">
      <alignment horizontal="centerContinuous" vertical="center"/>
    </xf>
    <xf numFmtId="0" fontId="11" fillId="0" borderId="77" xfId="0" applyFont="1" applyBorder="1" applyAlignment="1" applyProtection="1">
      <alignment vertical="center"/>
    </xf>
    <xf numFmtId="0" fontId="13" fillId="0" borderId="72" xfId="0" applyFont="1" applyBorder="1" applyAlignment="1" applyProtection="1">
      <alignment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73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39" xfId="0" quotePrefix="1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shrinkToFit="1"/>
      <protection locked="0"/>
    </xf>
    <xf numFmtId="0" fontId="13" fillId="0" borderId="76" xfId="0" applyFont="1" applyBorder="1" applyAlignment="1" applyProtection="1">
      <alignment horizontal="center" vertical="center" shrinkToFit="1"/>
      <protection locked="0"/>
    </xf>
    <xf numFmtId="177" fontId="13" fillId="0" borderId="76" xfId="0" applyNumberFormat="1" applyFont="1" applyBorder="1" applyAlignment="1" applyProtection="1">
      <alignment horizontal="right" vertical="center" shrinkToFit="1"/>
      <protection locked="0"/>
    </xf>
    <xf numFmtId="0" fontId="13" fillId="0" borderId="78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horizontal="center" vertical="center"/>
    </xf>
    <xf numFmtId="177" fontId="4" fillId="0" borderId="0" xfId="0" applyNumberFormat="1" applyFont="1" applyAlignment="1">
      <alignment vertical="center" shrinkToFit="1"/>
    </xf>
    <xf numFmtId="180" fontId="13" fillId="0" borderId="74" xfId="0" applyNumberFormat="1" applyFont="1" applyBorder="1" applyAlignment="1" applyProtection="1">
      <alignment horizontal="right" vertical="center" shrinkToFit="1"/>
      <protection locked="0"/>
    </xf>
    <xf numFmtId="0" fontId="13" fillId="0" borderId="39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right" vertical="center" shrinkToFit="1"/>
      <protection locked="0"/>
    </xf>
    <xf numFmtId="38" fontId="13" fillId="0" borderId="76" xfId="0" applyNumberFormat="1" applyFont="1" applyBorder="1" applyAlignment="1" applyProtection="1">
      <alignment horizontal="right" vertical="center" shrinkToFit="1"/>
      <protection locked="0"/>
    </xf>
    <xf numFmtId="182" fontId="11" fillId="0" borderId="77" xfId="0" applyNumberFormat="1" applyFont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vertical="center" shrinkToFit="1"/>
      <protection locked="0"/>
    </xf>
    <xf numFmtId="0" fontId="13" fillId="0" borderId="63" xfId="0" applyFont="1" applyBorder="1" applyAlignment="1" applyProtection="1">
      <alignment vertical="center" shrinkToFit="1"/>
      <protection locked="0"/>
    </xf>
    <xf numFmtId="38" fontId="13" fillId="0" borderId="73" xfId="0" applyNumberFormat="1" applyFont="1" applyBorder="1" applyAlignment="1" applyProtection="1">
      <alignment horizontal="right" vertical="center" shrinkToFit="1"/>
      <protection locked="0"/>
    </xf>
    <xf numFmtId="0" fontId="13" fillId="0" borderId="63" xfId="0" applyFont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shrinkToFit="1"/>
    </xf>
    <xf numFmtId="0" fontId="1" fillId="4" borderId="0" xfId="0" applyFont="1" applyFill="1" applyProtection="1">
      <protection locked="0"/>
    </xf>
    <xf numFmtId="0" fontId="1" fillId="6" borderId="0" xfId="0" applyFont="1" applyFill="1" applyProtection="1"/>
    <xf numFmtId="0" fontId="18" fillId="6" borderId="0" xfId="0" applyFont="1" applyFill="1" applyProtection="1"/>
    <xf numFmtId="0" fontId="0" fillId="0" borderId="0" xfId="0" applyProtection="1"/>
    <xf numFmtId="0" fontId="26" fillId="4" borderId="0" xfId="0" applyFont="1" applyFill="1" applyProtection="1">
      <protection locked="0"/>
    </xf>
    <xf numFmtId="0" fontId="26" fillId="3" borderId="12" xfId="0" applyFont="1" applyFill="1" applyBorder="1" applyProtection="1">
      <protection locked="0"/>
    </xf>
    <xf numFmtId="0" fontId="27" fillId="0" borderId="0" xfId="0" applyFont="1" applyAlignment="1">
      <alignment vertical="center"/>
    </xf>
    <xf numFmtId="0" fontId="26" fillId="0" borderId="0" xfId="0" applyFont="1" applyProtection="1">
      <protection locked="0"/>
    </xf>
    <xf numFmtId="0" fontId="19" fillId="3" borderId="0" xfId="0" applyFont="1" applyFill="1" applyProtection="1">
      <protection locked="0"/>
    </xf>
    <xf numFmtId="0" fontId="23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3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/>
      <protection locked="0"/>
    </xf>
    <xf numFmtId="0" fontId="3" fillId="0" borderId="80" xfId="0" applyFont="1" applyBorder="1" applyAlignment="1" applyProtection="1">
      <alignment vertical="center"/>
      <protection locked="0"/>
    </xf>
    <xf numFmtId="0" fontId="28" fillId="0" borderId="79" xfId="0" applyFont="1" applyBorder="1" applyAlignment="1">
      <alignment vertical="center" wrapText="1"/>
    </xf>
    <xf numFmtId="0" fontId="23" fillId="0" borderId="0" xfId="0" applyFont="1" applyBorder="1" applyAlignment="1">
      <alignment shrinkToFit="1"/>
    </xf>
    <xf numFmtId="0" fontId="29" fillId="0" borderId="0" xfId="0" applyFont="1" applyAlignment="1">
      <alignment vertical="center"/>
    </xf>
    <xf numFmtId="0" fontId="23" fillId="0" borderId="52" xfId="0" applyFont="1" applyBorder="1" applyAlignment="1">
      <alignment horizontal="center" shrinkToFit="1"/>
    </xf>
    <xf numFmtId="0" fontId="23" fillId="0" borderId="52" xfId="0" applyFont="1" applyBorder="1" applyAlignment="1">
      <alignment shrinkToFit="1"/>
    </xf>
    <xf numFmtId="0" fontId="23" fillId="0" borderId="24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23" fillId="0" borderId="24" xfId="0" applyFont="1" applyBorder="1" applyAlignment="1">
      <alignment shrinkToFit="1"/>
    </xf>
    <xf numFmtId="0" fontId="23" fillId="0" borderId="81" xfId="0" applyFont="1" applyBorder="1" applyAlignment="1">
      <alignment shrinkToFit="1"/>
    </xf>
    <xf numFmtId="0" fontId="23" fillId="0" borderId="82" xfId="0" applyFont="1" applyBorder="1" applyAlignment="1">
      <alignment shrinkToFit="1"/>
    </xf>
    <xf numFmtId="0" fontId="23" fillId="0" borderId="83" xfId="0" applyFont="1" applyBorder="1" applyAlignment="1">
      <alignment shrinkToFit="1"/>
    </xf>
    <xf numFmtId="0" fontId="23" fillId="0" borderId="0" xfId="0" applyFont="1" applyBorder="1" applyAlignment="1">
      <alignment vertical="center" shrinkToFit="1"/>
    </xf>
    <xf numFmtId="0" fontId="23" fillId="0" borderId="84" xfId="0" applyFont="1" applyBorder="1" applyAlignment="1">
      <alignment vertical="center" shrinkToFit="1"/>
    </xf>
    <xf numFmtId="0" fontId="23" fillId="0" borderId="85" xfId="0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86" xfId="0" applyFont="1" applyBorder="1" applyAlignment="1">
      <alignment vertical="center" shrinkToFit="1"/>
    </xf>
    <xf numFmtId="0" fontId="1" fillId="0" borderId="0" xfId="0" applyFont="1" applyAlignment="1"/>
    <xf numFmtId="0" fontId="1" fillId="0" borderId="87" xfId="0" applyFont="1" applyFill="1" applyBorder="1" applyAlignment="1"/>
    <xf numFmtId="0" fontId="23" fillId="0" borderId="88" xfId="0" applyFont="1" applyBorder="1" applyAlignment="1">
      <alignment shrinkToFit="1"/>
    </xf>
    <xf numFmtId="0" fontId="23" fillId="0" borderId="89" xfId="0" applyFont="1" applyBorder="1" applyAlignment="1">
      <alignment shrinkToFit="1"/>
    </xf>
    <xf numFmtId="0" fontId="23" fillId="0" borderId="24" xfId="0" applyFont="1" applyBorder="1" applyAlignment="1">
      <alignment vertical="center" shrinkToFit="1"/>
    </xf>
    <xf numFmtId="0" fontId="23" fillId="0" borderId="23" xfId="0" applyFont="1" applyBorder="1" applyAlignment="1">
      <alignment vertical="center" shrinkToFit="1"/>
    </xf>
    <xf numFmtId="0" fontId="25" fillId="0" borderId="52" xfId="0" applyFont="1" applyBorder="1" applyAlignment="1">
      <alignment vertical="center" shrinkToFit="1"/>
    </xf>
    <xf numFmtId="0" fontId="23" fillId="0" borderId="81" xfId="0" applyNumberFormat="1" applyFont="1" applyBorder="1" applyAlignment="1">
      <alignment shrinkToFit="1"/>
    </xf>
    <xf numFmtId="0" fontId="23" fillId="0" borderId="24" xfId="0" applyNumberFormat="1" applyFont="1" applyBorder="1" applyAlignment="1">
      <alignment shrinkToFit="1"/>
    </xf>
    <xf numFmtId="0" fontId="25" fillId="0" borderId="93" xfId="0" applyFont="1" applyBorder="1" applyAlignment="1">
      <alignment shrinkToFit="1"/>
    </xf>
    <xf numFmtId="0" fontId="23" fillId="0" borderId="94" xfId="0" applyFont="1" applyBorder="1" applyAlignment="1">
      <alignment vertical="center" shrinkToFit="1"/>
    </xf>
    <xf numFmtId="0" fontId="23" fillId="0" borderId="95" xfId="0" applyFont="1" applyBorder="1" applyAlignment="1">
      <alignment vertical="center" shrinkToFit="1"/>
    </xf>
    <xf numFmtId="0" fontId="25" fillId="0" borderId="96" xfId="0" applyFont="1" applyBorder="1" applyAlignment="1">
      <alignment vertical="center" shrinkToFit="1"/>
    </xf>
    <xf numFmtId="0" fontId="29" fillId="0" borderId="39" xfId="0" applyFont="1" applyBorder="1" applyAlignment="1" applyProtection="1">
      <alignment vertical="center" shrinkToFit="1"/>
      <protection locked="0"/>
    </xf>
    <xf numFmtId="183" fontId="23" fillId="0" borderId="94" xfId="0" quotePrefix="1" applyNumberFormat="1" applyFont="1" applyBorder="1" applyAlignment="1">
      <alignment vertical="center" shrinkToFit="1"/>
    </xf>
    <xf numFmtId="183" fontId="23" fillId="0" borderId="24" xfId="0" quotePrefix="1" applyNumberFormat="1" applyFont="1" applyBorder="1" applyAlignment="1">
      <alignment vertical="center" shrinkToFit="1"/>
    </xf>
    <xf numFmtId="183" fontId="23" fillId="0" borderId="88" xfId="0" applyNumberFormat="1" applyFont="1" applyBorder="1" applyAlignment="1">
      <alignment shrinkToFit="1"/>
    </xf>
    <xf numFmtId="0" fontId="13" fillId="0" borderId="74" xfId="0" applyFont="1" applyBorder="1" applyAlignment="1" applyProtection="1">
      <alignment vertical="center"/>
      <protection locked="0"/>
    </xf>
    <xf numFmtId="177" fontId="13" fillId="0" borderId="39" xfId="0" applyNumberFormat="1" applyFont="1" applyBorder="1" applyAlignment="1" applyProtection="1">
      <alignment vertical="center"/>
      <protection locked="0"/>
    </xf>
    <xf numFmtId="184" fontId="23" fillId="0" borderId="84" xfId="0" applyNumberFormat="1" applyFont="1" applyBorder="1" applyAlignment="1">
      <alignment vertical="center" shrinkToFit="1"/>
    </xf>
    <xf numFmtId="184" fontId="23" fillId="0" borderId="85" xfId="0" applyNumberFormat="1" applyFont="1" applyBorder="1" applyAlignment="1">
      <alignment vertical="center" shrinkToFit="1"/>
    </xf>
    <xf numFmtId="184" fontId="23" fillId="0" borderId="98" xfId="0" applyNumberFormat="1" applyFont="1" applyBorder="1" applyAlignment="1">
      <alignment vertical="center" shrinkToFit="1"/>
    </xf>
    <xf numFmtId="185" fontId="23" fillId="0" borderId="94" xfId="0" applyNumberFormat="1" applyFont="1" applyBorder="1" applyAlignment="1">
      <alignment vertical="center" shrinkToFit="1"/>
    </xf>
    <xf numFmtId="185" fontId="23" fillId="0" borderId="95" xfId="0" applyNumberFormat="1" applyFont="1" applyBorder="1" applyAlignment="1">
      <alignment vertical="center" shrinkToFit="1"/>
    </xf>
    <xf numFmtId="185" fontId="23" fillId="0" borderId="99" xfId="0" applyNumberFormat="1" applyFont="1" applyBorder="1" applyAlignment="1">
      <alignment vertical="center" shrinkToFit="1"/>
    </xf>
    <xf numFmtId="185" fontId="23" fillId="0" borderId="24" xfId="0" applyNumberFormat="1" applyFont="1" applyBorder="1" applyAlignment="1">
      <alignment vertical="center" shrinkToFit="1"/>
    </xf>
    <xf numFmtId="185" fontId="23" fillId="0" borderId="23" xfId="0" applyNumberFormat="1" applyFont="1" applyBorder="1" applyAlignment="1">
      <alignment vertical="center" shrinkToFit="1"/>
    </xf>
    <xf numFmtId="185" fontId="23" fillId="0" borderId="31" xfId="0" applyNumberFormat="1" applyFont="1" applyBorder="1" applyAlignment="1">
      <alignment vertical="center" shrinkToFit="1"/>
    </xf>
    <xf numFmtId="185" fontId="23" fillId="0" borderId="88" xfId="0" applyNumberFormat="1" applyFont="1" applyBorder="1" applyAlignment="1">
      <alignment shrinkToFit="1"/>
    </xf>
    <xf numFmtId="185" fontId="23" fillId="0" borderId="89" xfId="0" applyNumberFormat="1" applyFont="1" applyBorder="1" applyAlignment="1">
      <alignment shrinkToFit="1"/>
    </xf>
    <xf numFmtId="185" fontId="23" fillId="0" borderId="100" xfId="0" applyNumberFormat="1" applyFont="1" applyBorder="1" applyAlignment="1">
      <alignment shrinkToFit="1"/>
    </xf>
    <xf numFmtId="0" fontId="3" fillId="0" borderId="23" xfId="0" applyFont="1" applyBorder="1" applyAlignment="1">
      <alignment vertical="center"/>
    </xf>
    <xf numFmtId="0" fontId="3" fillId="0" borderId="82" xfId="0" applyFont="1" applyBorder="1" applyAlignment="1">
      <alignment vertical="center"/>
    </xf>
    <xf numFmtId="179" fontId="13" fillId="7" borderId="76" xfId="0" applyNumberFormat="1" applyFont="1" applyFill="1" applyBorder="1" applyAlignment="1" applyProtection="1">
      <alignment vertical="center" shrinkToFit="1"/>
      <protection locked="0"/>
    </xf>
    <xf numFmtId="21" fontId="13" fillId="0" borderId="73" xfId="0" applyNumberFormat="1" applyFont="1" applyBorder="1" applyAlignment="1" applyProtection="1">
      <alignment vertical="center" wrapText="1"/>
      <protection locked="0"/>
    </xf>
    <xf numFmtId="179" fontId="13" fillId="7" borderId="72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/>
      <protection locked="0"/>
    </xf>
    <xf numFmtId="179" fontId="13" fillId="7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79" fontId="23" fillId="0" borderId="0" xfId="0" applyNumberFormat="1" applyFont="1" applyAlignment="1">
      <alignment vertical="center"/>
    </xf>
    <xf numFmtId="9" fontId="10" fillId="8" borderId="0" xfId="0" applyNumberFormat="1" applyFont="1" applyFill="1" applyAlignment="1">
      <alignment horizontal="center" vertical="center"/>
    </xf>
    <xf numFmtId="21" fontId="13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28" fillId="0" borderId="14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79" xfId="0" applyFont="1" applyBorder="1" applyAlignment="1" applyProtection="1">
      <alignment vertical="center" shrinkToFit="1"/>
      <protection locked="0"/>
    </xf>
    <xf numFmtId="0" fontId="3" fillId="0" borderId="80" xfId="0" applyFont="1" applyBorder="1" applyAlignment="1" applyProtection="1">
      <alignment vertical="center" shrinkToFit="1"/>
      <protection locked="0"/>
    </xf>
    <xf numFmtId="0" fontId="3" fillId="0" borderId="11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3" fillId="0" borderId="80" xfId="0" applyFont="1" applyBorder="1" applyAlignment="1">
      <alignment vertical="center" shrinkToFit="1"/>
    </xf>
    <xf numFmtId="0" fontId="3" fillId="0" borderId="79" xfId="0" applyFont="1" applyBorder="1" applyAlignment="1">
      <alignment vertical="center" shrinkToFit="1"/>
    </xf>
    <xf numFmtId="0" fontId="23" fillId="0" borderId="94" xfId="0" applyFont="1" applyBorder="1" applyAlignment="1">
      <alignment shrinkToFit="1"/>
    </xf>
    <xf numFmtId="0" fontId="23" fillId="0" borderId="95" xfId="0" applyFont="1" applyBorder="1" applyAlignment="1">
      <alignment shrinkToFit="1"/>
    </xf>
    <xf numFmtId="0" fontId="23" fillId="0" borderId="96" xfId="0" applyFont="1" applyBorder="1" applyAlignment="1">
      <alignment shrinkToFit="1"/>
    </xf>
    <xf numFmtId="178" fontId="4" fillId="7" borderId="0" xfId="0" applyNumberFormat="1" applyFont="1" applyFill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9" fontId="23" fillId="0" borderId="0" xfId="0" applyNumberFormat="1" applyFont="1" applyFill="1" applyAlignment="1">
      <alignment horizontal="center" vertical="center"/>
    </xf>
    <xf numFmtId="0" fontId="17" fillId="0" borderId="2" xfId="0" applyFont="1" applyBorder="1" applyAlignment="1">
      <alignment horizontal="center" vertical="center" shrinkToFit="1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0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104" xfId="0" applyFont="1" applyBorder="1" applyAlignment="1">
      <alignment horizontal="center" vertical="center" shrinkToFit="1"/>
    </xf>
    <xf numFmtId="0" fontId="17" fillId="0" borderId="50" xfId="0" applyFont="1" applyBorder="1" applyAlignment="1">
      <alignment horizontal="center" vertical="center" shrinkToFit="1"/>
    </xf>
    <xf numFmtId="179" fontId="17" fillId="0" borderId="105" xfId="0" applyNumberFormat="1" applyFont="1" applyBorder="1" applyAlignment="1">
      <alignment horizontal="center" vertical="center" shrinkToFit="1"/>
    </xf>
    <xf numFmtId="179" fontId="17" fillId="0" borderId="106" xfId="0" applyNumberFormat="1" applyFont="1" applyBorder="1" applyAlignment="1">
      <alignment horizontal="center" vertical="center" shrinkToFit="1"/>
    </xf>
    <xf numFmtId="0" fontId="17" fillId="0" borderId="107" xfId="0" applyFont="1" applyBorder="1" applyAlignment="1">
      <alignment horizontal="center" vertical="center" shrinkToFit="1"/>
    </xf>
    <xf numFmtId="0" fontId="17" fillId="0" borderId="108" xfId="0" applyFont="1" applyBorder="1" applyAlignment="1">
      <alignment horizontal="center" vertical="center" shrinkToFit="1"/>
    </xf>
    <xf numFmtId="179" fontId="17" fillId="0" borderId="109" xfId="0" applyNumberFormat="1" applyFont="1" applyBorder="1" applyAlignment="1" applyProtection="1">
      <alignment horizontal="center" vertical="center" shrinkToFit="1"/>
    </xf>
    <xf numFmtId="0" fontId="17" fillId="0" borderId="17" xfId="0" applyFont="1" applyBorder="1" applyAlignment="1" applyProtection="1">
      <alignment horizontal="center" vertical="center" shrinkToFit="1"/>
      <protection locked="0"/>
    </xf>
    <xf numFmtId="178" fontId="17" fillId="0" borderId="67" xfId="0" applyNumberFormat="1" applyFont="1" applyBorder="1" applyAlignment="1" applyProtection="1">
      <alignment horizontal="center" vertical="center" shrinkToFit="1"/>
      <protection locked="0"/>
    </xf>
    <xf numFmtId="178" fontId="17" fillId="0" borderId="41" xfId="0" applyNumberFormat="1" applyFont="1" applyBorder="1" applyAlignment="1" applyProtection="1">
      <alignment horizontal="center" vertical="center" shrinkToFit="1"/>
      <protection locked="0"/>
    </xf>
    <xf numFmtId="0" fontId="17" fillId="0" borderId="110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vertical="center" shrinkToFit="1"/>
      <protection locked="0"/>
    </xf>
    <xf numFmtId="0" fontId="17" fillId="0" borderId="111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horizontal="center" vertical="center" shrinkToFit="1"/>
      <protection locked="0"/>
    </xf>
    <xf numFmtId="179" fontId="17" fillId="9" borderId="112" xfId="0" applyNumberFormat="1" applyFont="1" applyFill="1" applyBorder="1" applyAlignment="1" applyProtection="1">
      <alignment vertical="center" shrinkToFit="1"/>
      <protection locked="0"/>
    </xf>
    <xf numFmtId="178" fontId="17" fillId="0" borderId="113" xfId="0" applyNumberFormat="1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178" fontId="17" fillId="0" borderId="68" xfId="0" applyNumberFormat="1" applyFont="1" applyBorder="1" applyAlignment="1" applyProtection="1">
      <alignment horizontal="center" vertical="center" shrinkToFit="1"/>
      <protection locked="0"/>
    </xf>
    <xf numFmtId="178" fontId="17" fillId="0" borderId="42" xfId="0" applyNumberFormat="1" applyFont="1" applyBorder="1" applyAlignment="1" applyProtection="1">
      <alignment horizontal="center" vertical="center" shrinkToFit="1"/>
      <protection locked="0"/>
    </xf>
    <xf numFmtId="0" fontId="17" fillId="0" borderId="114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vertical="center" shrinkToFit="1"/>
      <protection locked="0"/>
    </xf>
    <xf numFmtId="0" fontId="17" fillId="0" borderId="23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horizontal="center" vertical="center" shrinkToFit="1"/>
      <protection locked="0"/>
    </xf>
    <xf numFmtId="179" fontId="17" fillId="9" borderId="115" xfId="0" applyNumberFormat="1" applyFont="1" applyFill="1" applyBorder="1" applyAlignment="1" applyProtection="1">
      <alignment vertical="center" shrinkToFit="1"/>
      <protection locked="0"/>
    </xf>
    <xf numFmtId="178" fontId="17" fillId="0" borderId="116" xfId="0" applyNumberFormat="1" applyFont="1" applyBorder="1" applyAlignment="1" applyProtection="1">
      <alignment horizontal="center" vertical="center" shrinkToFit="1"/>
      <protection locked="0"/>
    </xf>
    <xf numFmtId="179" fontId="17" fillId="0" borderId="117" xfId="0" applyNumberFormat="1" applyFont="1" applyBorder="1" applyAlignment="1" applyProtection="1">
      <alignment vertical="center" shrinkToFit="1"/>
    </xf>
    <xf numFmtId="0" fontId="13" fillId="0" borderId="0" xfId="0" applyFont="1" applyAlignment="1">
      <alignment vertical="center"/>
    </xf>
    <xf numFmtId="186" fontId="13" fillId="0" borderId="63" xfId="0" applyNumberFormat="1" applyFont="1" applyBorder="1" applyAlignment="1" applyProtection="1">
      <alignment vertical="center"/>
      <protection locked="0"/>
    </xf>
    <xf numFmtId="186" fontId="13" fillId="0" borderId="73" xfId="0" applyNumberFormat="1" applyFont="1" applyBorder="1" applyAlignment="1" applyProtection="1">
      <alignment vertical="center" shrinkToFit="1"/>
      <protection locked="0"/>
    </xf>
    <xf numFmtId="186" fontId="13" fillId="0" borderId="76" xfId="0" applyNumberFormat="1" applyFont="1" applyBorder="1" applyAlignment="1" applyProtection="1">
      <alignment vertical="center" shrinkToFit="1"/>
      <protection locked="0"/>
    </xf>
    <xf numFmtId="0" fontId="28" fillId="0" borderId="11" xfId="0" applyFont="1" applyBorder="1" applyAlignment="1">
      <alignment vertical="center" wrapText="1"/>
    </xf>
    <xf numFmtId="0" fontId="23" fillId="0" borderId="119" xfId="0" applyFont="1" applyBorder="1" applyAlignment="1">
      <alignment horizontal="center" shrinkToFit="1"/>
    </xf>
    <xf numFmtId="0" fontId="23" fillId="0" borderId="120" xfId="0" applyFont="1" applyBorder="1" applyAlignment="1">
      <alignment horizontal="center" shrinkToFit="1"/>
    </xf>
    <xf numFmtId="0" fontId="31" fillId="0" borderId="120" xfId="0" applyNumberFormat="1" applyFont="1" applyBorder="1" applyAlignment="1">
      <alignment horizontal="center"/>
    </xf>
    <xf numFmtId="0" fontId="23" fillId="0" borderId="121" xfId="0" applyFont="1" applyBorder="1" applyAlignment="1">
      <alignment horizontal="center" shrinkToFit="1"/>
    </xf>
    <xf numFmtId="184" fontId="23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3" fillId="0" borderId="120" xfId="0" applyFont="1" applyBorder="1" applyAlignment="1">
      <alignment shrinkToFit="1"/>
    </xf>
    <xf numFmtId="185" fontId="23" fillId="0" borderId="23" xfId="0" quotePrefix="1" applyNumberFormat="1" applyFont="1" applyBorder="1" applyAlignment="1">
      <alignment vertical="center" shrinkToFit="1"/>
    </xf>
    <xf numFmtId="185" fontId="23" fillId="0" borderId="85" xfId="0" applyNumberFormat="1" applyFont="1" applyBorder="1" applyAlignment="1">
      <alignment shrinkToFit="1"/>
    </xf>
    <xf numFmtId="184" fontId="23" fillId="0" borderId="85" xfId="0" quotePrefix="1" applyNumberFormat="1" applyFont="1" applyBorder="1" applyAlignment="1">
      <alignment vertical="center" shrinkToFit="1"/>
    </xf>
    <xf numFmtId="0" fontId="3" fillId="0" borderId="123" xfId="0" applyFont="1" applyBorder="1" applyAlignment="1" applyProtection="1">
      <alignment vertical="center"/>
      <protection locked="0"/>
    </xf>
    <xf numFmtId="179" fontId="3" fillId="7" borderId="79" xfId="0" applyNumberFormat="1" applyFont="1" applyFill="1" applyBorder="1" applyAlignment="1" applyProtection="1">
      <alignment vertical="center"/>
    </xf>
    <xf numFmtId="179" fontId="3" fillId="7" borderId="80" xfId="0" applyNumberFormat="1" applyFont="1" applyFill="1" applyBorder="1" applyAlignment="1" applyProtection="1">
      <alignment vertical="center"/>
    </xf>
    <xf numFmtId="179" fontId="3" fillId="7" borderId="123" xfId="0" applyNumberFormat="1" applyFont="1" applyFill="1" applyBorder="1" applyAlignment="1" applyProtection="1">
      <alignment vertical="center"/>
    </xf>
    <xf numFmtId="179" fontId="3" fillId="7" borderId="11" xfId="0" applyNumberFormat="1" applyFont="1" applyFill="1" applyBorder="1" applyAlignment="1" applyProtection="1">
      <alignment vertical="center"/>
    </xf>
    <xf numFmtId="186" fontId="13" fillId="0" borderId="63" xfId="0" applyNumberFormat="1" applyFont="1" applyBorder="1" applyAlignment="1" applyProtection="1">
      <alignment vertical="center"/>
    </xf>
    <xf numFmtId="0" fontId="17" fillId="0" borderId="125" xfId="0" applyFont="1" applyBorder="1" applyAlignment="1">
      <alignment horizontal="center" vertical="center" shrinkToFit="1"/>
    </xf>
    <xf numFmtId="0" fontId="17" fillId="0" borderId="126" xfId="0" applyFont="1" applyBorder="1" applyAlignment="1" applyProtection="1">
      <alignment horizontal="center" vertical="center" shrinkToFit="1"/>
      <protection locked="0"/>
    </xf>
    <xf numFmtId="178" fontId="17" fillId="0" borderId="127" xfId="0" applyNumberFormat="1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vertical="center" shrinkToFit="1"/>
      <protection locked="0"/>
    </xf>
    <xf numFmtId="0" fontId="17" fillId="0" borderId="128" xfId="0" applyFont="1" applyBorder="1" applyAlignment="1" applyProtection="1">
      <alignment horizontal="right" vertical="center" shrinkToFit="1"/>
      <protection locked="0"/>
    </xf>
    <xf numFmtId="179" fontId="17" fillId="10" borderId="129" xfId="0" applyNumberFormat="1" applyFont="1" applyFill="1" applyBorder="1" applyAlignment="1" applyProtection="1">
      <alignment vertical="center" shrinkToFit="1"/>
      <protection locked="0"/>
    </xf>
    <xf numFmtId="0" fontId="17" fillId="0" borderId="1" xfId="0" applyFont="1" applyBorder="1" applyAlignment="1" applyProtection="1">
      <alignment horizontal="center" vertical="center" shrinkToFit="1"/>
      <protection locked="0"/>
    </xf>
    <xf numFmtId="178" fontId="17" fillId="0" borderId="2" xfId="0" applyNumberFormat="1" applyFont="1" applyBorder="1" applyAlignment="1" applyProtection="1">
      <alignment horizontal="center" vertical="center" shrinkToFit="1"/>
      <protection locked="0"/>
    </xf>
    <xf numFmtId="178" fontId="17" fillId="0" borderId="3" xfId="0" applyNumberFormat="1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horizontal="right" vertical="center" shrinkToFit="1"/>
      <protection locked="0"/>
    </xf>
    <xf numFmtId="0" fontId="17" fillId="0" borderId="131" xfId="0" applyFont="1" applyBorder="1" applyAlignment="1" applyProtection="1">
      <alignment horizontal="right" vertical="center" shrinkToFit="1"/>
      <protection locked="0"/>
    </xf>
    <xf numFmtId="0" fontId="17" fillId="0" borderId="132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vertical="center" shrinkToFit="1"/>
      <protection locked="0"/>
    </xf>
    <xf numFmtId="0" fontId="17" fillId="0" borderId="133" xfId="0" applyFont="1" applyBorder="1" applyAlignment="1" applyProtection="1">
      <alignment vertical="center" shrinkToFit="1"/>
      <protection locked="0"/>
    </xf>
    <xf numFmtId="176" fontId="17" fillId="0" borderId="134" xfId="0" applyNumberFormat="1" applyFont="1" applyBorder="1" applyAlignment="1" applyProtection="1">
      <alignment vertical="center" shrinkToFit="1"/>
    </xf>
    <xf numFmtId="0" fontId="17" fillId="0" borderId="135" xfId="0" applyFont="1" applyBorder="1" applyAlignment="1">
      <alignment horizontal="center" vertical="center" shrinkToFit="1"/>
    </xf>
    <xf numFmtId="0" fontId="17" fillId="0" borderId="136" xfId="0" applyFont="1" applyBorder="1" applyAlignment="1">
      <alignment horizontal="center" vertical="center" shrinkToFit="1"/>
    </xf>
    <xf numFmtId="179" fontId="17" fillId="10" borderId="137" xfId="0" applyNumberFormat="1" applyFont="1" applyFill="1" applyBorder="1" applyAlignment="1" applyProtection="1">
      <alignment vertical="center" shrinkToFit="1"/>
      <protection locked="0"/>
    </xf>
    <xf numFmtId="179" fontId="17" fillId="10" borderId="138" xfId="0" applyNumberFormat="1" applyFont="1" applyFill="1" applyBorder="1" applyAlignment="1" applyProtection="1">
      <alignment vertical="center" shrinkToFit="1"/>
      <protection locked="0"/>
    </xf>
    <xf numFmtId="0" fontId="32" fillId="0" borderId="0" xfId="0" applyFont="1"/>
    <xf numFmtId="0" fontId="2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 indent="1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39" xfId="0" applyFont="1" applyBorder="1" applyAlignment="1">
      <alignment horizontal="center" vertical="center"/>
    </xf>
    <xf numFmtId="178" fontId="17" fillId="0" borderId="0" xfId="0" applyNumberFormat="1" applyFont="1" applyAlignment="1">
      <alignment vertical="center" shrinkToFit="1"/>
    </xf>
    <xf numFmtId="0" fontId="33" fillId="0" borderId="77" xfId="0" applyFont="1" applyBorder="1" applyAlignment="1" applyProtection="1">
      <alignment vertical="center"/>
    </xf>
    <xf numFmtId="0" fontId="3" fillId="0" borderId="140" xfId="0" applyNumberFormat="1" applyFont="1" applyBorder="1" applyAlignment="1">
      <alignment vertical="center"/>
    </xf>
    <xf numFmtId="0" fontId="3" fillId="0" borderId="23" xfId="0" applyNumberFormat="1" applyFont="1" applyBorder="1" applyAlignment="1">
      <alignment vertical="center"/>
    </xf>
    <xf numFmtId="0" fontId="3" fillId="0" borderId="141" xfId="0" applyFont="1" applyBorder="1"/>
    <xf numFmtId="0" fontId="3" fillId="0" borderId="23" xfId="0" applyFont="1" applyBorder="1"/>
    <xf numFmtId="0" fontId="3" fillId="0" borderId="23" xfId="0" applyFont="1" applyBorder="1" applyAlignment="1">
      <alignment horizontal="center"/>
    </xf>
    <xf numFmtId="0" fontId="28" fillId="0" borderId="23" xfId="0" applyFont="1" applyBorder="1" applyAlignment="1">
      <alignment horizontal="right" vertical="top"/>
    </xf>
    <xf numFmtId="0" fontId="4" fillId="0" borderId="141" xfId="0" applyFont="1" applyBorder="1" applyAlignment="1">
      <alignment horizontal="right" vertical="top"/>
    </xf>
    <xf numFmtId="0" fontId="4" fillId="0" borderId="142" xfId="0" applyFont="1" applyBorder="1" applyAlignment="1">
      <alignment horizontal="center" vertical="center"/>
    </xf>
    <xf numFmtId="0" fontId="4" fillId="0" borderId="143" xfId="0" applyFont="1" applyBorder="1" applyAlignment="1">
      <alignment horizontal="center" vertical="center"/>
    </xf>
    <xf numFmtId="178" fontId="17" fillId="0" borderId="0" xfId="0" applyNumberFormat="1" applyFont="1" applyAlignment="1" applyProtection="1">
      <alignment vertical="center" shrinkToFit="1"/>
      <protection locked="0"/>
    </xf>
    <xf numFmtId="0" fontId="3" fillId="0" borderId="144" xfId="0" applyNumberFormat="1" applyFont="1" applyBorder="1" applyAlignment="1">
      <alignment vertical="center" shrinkToFit="1"/>
    </xf>
    <xf numFmtId="187" fontId="3" fillId="0" borderId="142" xfId="0" applyNumberFormat="1" applyFont="1" applyBorder="1" applyAlignment="1">
      <alignment vertical="center"/>
    </xf>
    <xf numFmtId="187" fontId="3" fillId="0" borderId="23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center" vertical="center"/>
    </xf>
    <xf numFmtId="177" fontId="3" fillId="0" borderId="23" xfId="0" applyNumberFormat="1" applyFont="1" applyBorder="1" applyAlignment="1">
      <alignment vertical="center"/>
    </xf>
    <xf numFmtId="177" fontId="4" fillId="0" borderId="142" xfId="0" applyNumberFormat="1" applyFont="1" applyBorder="1" applyAlignment="1">
      <alignment vertical="center"/>
    </xf>
    <xf numFmtId="177" fontId="4" fillId="0" borderId="143" xfId="0" applyNumberFormat="1" applyFont="1" applyBorder="1" applyAlignment="1">
      <alignment vertical="center"/>
    </xf>
    <xf numFmtId="0" fontId="3" fillId="0" borderId="140" xfId="0" applyNumberFormat="1" applyFont="1" applyBorder="1" applyAlignment="1">
      <alignment horizontal="center" vertical="center"/>
    </xf>
    <xf numFmtId="0" fontId="9" fillId="0" borderId="145" xfId="0" applyFont="1" applyBorder="1" applyAlignment="1" applyProtection="1">
      <alignment vertical="center"/>
      <protection locked="0"/>
    </xf>
    <xf numFmtId="177" fontId="3" fillId="0" borderId="142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right" vertical="center"/>
    </xf>
    <xf numFmtId="177" fontId="3" fillId="0" borderId="143" xfId="0" applyNumberFormat="1" applyFont="1" applyBorder="1" applyAlignment="1">
      <alignment vertical="center"/>
    </xf>
    <xf numFmtId="0" fontId="3" fillId="0" borderId="126" xfId="0" applyNumberFormat="1" applyFont="1" applyBorder="1" applyAlignment="1">
      <alignment vertical="center" shrinkToFit="1"/>
    </xf>
    <xf numFmtId="0" fontId="9" fillId="0" borderId="146" xfId="0" applyFont="1" applyBorder="1" applyAlignment="1" applyProtection="1">
      <alignment vertical="center"/>
      <protection locked="0"/>
    </xf>
    <xf numFmtId="0" fontId="3" fillId="0" borderId="118" xfId="0" applyNumberFormat="1" applyFont="1" applyBorder="1" applyAlignment="1">
      <alignment vertical="center"/>
    </xf>
    <xf numFmtId="177" fontId="3" fillId="0" borderId="127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horizontal="center" vertical="center"/>
    </xf>
    <xf numFmtId="177" fontId="3" fillId="0" borderId="147" xfId="0" applyNumberFormat="1" applyFont="1" applyBorder="1" applyAlignment="1">
      <alignment vertical="center"/>
    </xf>
    <xf numFmtId="176" fontId="3" fillId="0" borderId="0" xfId="0" applyNumberFormat="1" applyFont="1" applyAlignment="1">
      <alignment horizontal="left" vertical="center" shrinkToFit="1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5" fillId="0" borderId="0" xfId="0" applyNumberFormat="1" applyFont="1" applyBorder="1" applyAlignment="1" applyProtection="1">
      <alignment vertical="center" shrinkToFit="1"/>
    </xf>
    <xf numFmtId="176" fontId="13" fillId="0" borderId="0" xfId="0" applyNumberFormat="1" applyFont="1" applyBorder="1" applyAlignment="1" applyProtection="1">
      <alignment horizontal="right" vertical="center"/>
    </xf>
    <xf numFmtId="0" fontId="17" fillId="0" borderId="49" xfId="0" applyFont="1" applyBorder="1" applyAlignment="1" applyProtection="1">
      <alignment horizontal="center" vertical="center" shrinkToFit="1"/>
      <protection locked="0"/>
    </xf>
    <xf numFmtId="0" fontId="25" fillId="0" borderId="84" xfId="0" applyFont="1" applyBorder="1" applyAlignment="1">
      <alignment horizontal="right" vertical="center" shrinkToFit="1"/>
    </xf>
    <xf numFmtId="0" fontId="23" fillId="0" borderId="149" xfId="0" applyNumberFormat="1" applyFont="1" applyBorder="1" applyAlignment="1">
      <alignment horizontal="center" shrinkToFit="1"/>
    </xf>
    <xf numFmtId="0" fontId="23" fillId="11" borderId="14" xfId="0" applyFont="1" applyFill="1" applyBorder="1" applyAlignment="1">
      <alignment vertical="center" shrinkToFit="1"/>
    </xf>
    <xf numFmtId="0" fontId="23" fillId="11" borderId="15" xfId="0" applyFont="1" applyFill="1" applyBorder="1" applyAlignment="1">
      <alignment vertical="center" shrinkToFit="1"/>
    </xf>
    <xf numFmtId="0" fontId="23" fillId="11" borderId="123" xfId="0" applyFont="1" applyFill="1" applyBorder="1" applyAlignment="1">
      <alignment vertical="center" shrinkToFit="1"/>
    </xf>
    <xf numFmtId="0" fontId="23" fillId="11" borderId="150" xfId="0" applyFont="1" applyFill="1" applyBorder="1" applyAlignment="1">
      <alignment horizontal="center" shrinkToFit="1"/>
    </xf>
    <xf numFmtId="0" fontId="23" fillId="11" borderId="151" xfId="0" applyFont="1" applyFill="1" applyBorder="1" applyAlignment="1">
      <alignment horizontal="center" shrinkToFit="1"/>
    </xf>
    <xf numFmtId="0" fontId="23" fillId="11" borderId="152" xfId="0" applyFont="1" applyFill="1" applyBorder="1" applyAlignment="1">
      <alignment horizontal="center" shrinkToFit="1"/>
    </xf>
    <xf numFmtId="0" fontId="23" fillId="11" borderId="14" xfId="0" applyFont="1" applyFill="1" applyBorder="1" applyAlignment="1">
      <alignment shrinkToFit="1"/>
    </xf>
    <xf numFmtId="0" fontId="23" fillId="11" borderId="15" xfId="0" applyFont="1" applyFill="1" applyBorder="1" applyAlignment="1">
      <alignment shrinkToFit="1"/>
    </xf>
    <xf numFmtId="0" fontId="23" fillId="11" borderId="123" xfId="0" applyFont="1" applyFill="1" applyBorder="1" applyAlignment="1">
      <alignment shrinkToFit="1"/>
    </xf>
    <xf numFmtId="0" fontId="23" fillId="0" borderId="0" xfId="0" applyFont="1" applyBorder="1" applyAlignment="1">
      <alignment horizontal="center" shrinkToFit="1"/>
    </xf>
    <xf numFmtId="0" fontId="23" fillId="0" borderId="0" xfId="0" applyNumberFormat="1" applyFont="1" applyBorder="1" applyAlignment="1">
      <alignment shrinkToFit="1"/>
    </xf>
    <xf numFmtId="184" fontId="23" fillId="11" borderId="94" xfId="0" applyNumberFormat="1" applyFont="1" applyFill="1" applyBorder="1" applyAlignment="1">
      <alignment vertical="center" shrinkToFit="1"/>
    </xf>
    <xf numFmtId="184" fontId="23" fillId="11" borderId="95" xfId="0" applyNumberFormat="1" applyFont="1" applyFill="1" applyBorder="1" applyAlignment="1">
      <alignment vertical="center" shrinkToFit="1"/>
    </xf>
    <xf numFmtId="184" fontId="23" fillId="11" borderId="99" xfId="0" applyNumberFormat="1" applyFont="1" applyFill="1" applyBorder="1" applyAlignment="1">
      <alignment vertical="center" shrinkToFit="1"/>
    </xf>
    <xf numFmtId="0" fontId="23" fillId="0" borderId="0" xfId="0" applyFont="1" applyAlignment="1">
      <alignment horizontal="center" shrinkToFit="1"/>
    </xf>
    <xf numFmtId="184" fontId="23" fillId="11" borderId="24" xfId="0" applyNumberFormat="1" applyFont="1" applyFill="1" applyBorder="1" applyAlignment="1">
      <alignment vertical="center" shrinkToFit="1"/>
    </xf>
    <xf numFmtId="184" fontId="23" fillId="11" borderId="23" xfId="0" applyNumberFormat="1" applyFont="1" applyFill="1" applyBorder="1" applyAlignment="1">
      <alignment vertical="center" shrinkToFit="1"/>
    </xf>
    <xf numFmtId="184" fontId="23" fillId="11" borderId="31" xfId="0" applyNumberFormat="1" applyFont="1" applyFill="1" applyBorder="1" applyAlignment="1">
      <alignment vertical="center" shrinkToFit="1"/>
    </xf>
    <xf numFmtId="184" fontId="23" fillId="11" borderId="85" xfId="0" applyNumberFormat="1" applyFont="1" applyFill="1" applyBorder="1" applyAlignment="1">
      <alignment vertical="center" shrinkToFit="1"/>
    </xf>
    <xf numFmtId="184" fontId="23" fillId="11" borderId="98" xfId="0" applyNumberFormat="1" applyFont="1" applyFill="1" applyBorder="1" applyAlignment="1">
      <alignment vertical="center" shrinkToFit="1"/>
    </xf>
    <xf numFmtId="0" fontId="23" fillId="0" borderId="87" xfId="0" applyNumberFormat="1" applyFont="1" applyBorder="1" applyAlignment="1">
      <alignment shrinkToFit="1"/>
    </xf>
    <xf numFmtId="0" fontId="23" fillId="0" borderId="87" xfId="0" applyFont="1" applyBorder="1" applyAlignment="1">
      <alignment shrinkToFit="1"/>
    </xf>
    <xf numFmtId="177" fontId="30" fillId="0" borderId="87" xfId="0" applyNumberFormat="1" applyFont="1" applyBorder="1" applyAlignment="1">
      <alignment shrinkToFit="1"/>
    </xf>
    <xf numFmtId="0" fontId="30" fillId="0" borderId="87" xfId="0" applyFont="1" applyBorder="1" applyAlignment="1"/>
    <xf numFmtId="177" fontId="23" fillId="0" borderId="87" xfId="0" applyNumberFormat="1" applyFont="1" applyBorder="1" applyAlignment="1">
      <alignment shrinkToFit="1"/>
    </xf>
    <xf numFmtId="184" fontId="23" fillId="0" borderId="0" xfId="0" applyNumberFormat="1" applyFont="1" applyFill="1" applyBorder="1" applyAlignment="1">
      <alignment vertical="center" shrinkToFit="1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vertical="center" wrapText="1"/>
    </xf>
    <xf numFmtId="0" fontId="23" fillId="6" borderId="0" xfId="0" applyFont="1" applyFill="1"/>
    <xf numFmtId="179" fontId="17" fillId="0" borderId="161" xfId="0" applyNumberFormat="1" applyFont="1" applyBorder="1" applyAlignment="1" applyProtection="1">
      <alignment horizontal="center" vertical="center" shrinkToFit="1"/>
      <protection locked="0"/>
    </xf>
    <xf numFmtId="179" fontId="17" fillId="0" borderId="127" xfId="0" applyNumberFormat="1" applyFont="1" applyBorder="1" applyAlignment="1">
      <alignment horizontal="center" vertical="center" shrinkToFit="1"/>
    </xf>
    <xf numFmtId="0" fontId="17" fillId="0" borderId="134" xfId="0" applyNumberFormat="1" applyFont="1" applyFill="1" applyBorder="1" applyAlignment="1" applyProtection="1">
      <alignment vertical="center" shrinkToFit="1"/>
    </xf>
    <xf numFmtId="0" fontId="17" fillId="0" borderId="185" xfId="0" applyFont="1" applyBorder="1" applyAlignment="1" applyProtection="1">
      <alignment horizontal="center" vertical="center" shrinkToFit="1"/>
      <protection locked="0"/>
    </xf>
    <xf numFmtId="178" fontId="17" fillId="0" borderId="186" xfId="0" applyNumberFormat="1" applyFont="1" applyBorder="1" applyAlignment="1" applyProtection="1">
      <alignment horizontal="center" vertical="center" shrinkToFit="1"/>
      <protection locked="0"/>
    </xf>
    <xf numFmtId="178" fontId="17" fillId="0" borderId="187" xfId="0" applyNumberFormat="1" applyFont="1" applyBorder="1" applyAlignment="1" applyProtection="1">
      <alignment horizontal="center" vertical="center" shrinkToFit="1"/>
      <protection locked="0"/>
    </xf>
    <xf numFmtId="0" fontId="17" fillId="0" borderId="188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vertical="center" shrinkToFit="1"/>
      <protection locked="0"/>
    </xf>
    <xf numFmtId="0" fontId="17" fillId="0" borderId="120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horizontal="center" vertical="center" shrinkToFit="1"/>
      <protection locked="0"/>
    </xf>
    <xf numFmtId="179" fontId="17" fillId="9" borderId="189" xfId="0" applyNumberFormat="1" applyFont="1" applyFill="1" applyBorder="1" applyAlignment="1" applyProtection="1">
      <alignment vertical="center" shrinkToFit="1"/>
      <protection locked="0"/>
    </xf>
    <xf numFmtId="178" fontId="17" fillId="0" borderId="190" xfId="0" applyNumberFormat="1" applyFont="1" applyBorder="1" applyAlignment="1" applyProtection="1">
      <alignment horizontal="center" vertical="center" shrinkToFit="1"/>
      <protection locked="0"/>
    </xf>
    <xf numFmtId="0" fontId="17" fillId="0" borderId="191" xfId="0" applyFont="1" applyBorder="1" applyAlignment="1" applyProtection="1">
      <alignment horizontal="center" vertical="center" shrinkToFit="1"/>
      <protection locked="0"/>
    </xf>
    <xf numFmtId="178" fontId="17" fillId="0" borderId="192" xfId="0" applyNumberFormat="1" applyFont="1" applyBorder="1" applyAlignment="1" applyProtection="1">
      <alignment horizontal="center" vertical="center" shrinkToFit="1"/>
      <protection locked="0"/>
    </xf>
    <xf numFmtId="0" fontId="17" fillId="0" borderId="192" xfId="0" applyFont="1" applyBorder="1" applyAlignment="1" applyProtection="1">
      <alignment vertical="center" shrinkToFit="1"/>
      <protection locked="0"/>
    </xf>
    <xf numFmtId="0" fontId="17" fillId="0" borderId="192" xfId="0" applyFont="1" applyBorder="1" applyAlignment="1" applyProtection="1">
      <alignment horizontal="center" vertical="center" shrinkToFit="1"/>
      <protection locked="0"/>
    </xf>
    <xf numFmtId="179" fontId="17" fillId="12" borderId="192" xfId="0" applyNumberFormat="1" applyFont="1" applyFill="1" applyBorder="1" applyAlignment="1" applyProtection="1">
      <alignment vertical="center" shrinkToFit="1"/>
      <protection locked="0"/>
    </xf>
    <xf numFmtId="179" fontId="17" fillId="13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84" xfId="0" applyNumberFormat="1" applyFont="1" applyBorder="1" applyAlignment="1" applyProtection="1">
      <alignment vertical="center" shrinkToFit="1"/>
    </xf>
    <xf numFmtId="179" fontId="17" fillId="0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94" xfId="0" applyNumberFormat="1" applyFont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14" borderId="117" xfId="0" applyNumberFormat="1" applyFont="1" applyFill="1" applyBorder="1" applyAlignment="1" applyProtection="1">
      <alignment vertical="center" shrinkToFit="1"/>
    </xf>
    <xf numFmtId="179" fontId="17" fillId="14" borderId="142" xfId="0" applyNumberFormat="1" applyFont="1" applyFill="1" applyBorder="1" applyAlignment="1" applyProtection="1">
      <alignment vertical="center" shrinkToFit="1"/>
      <protection locked="0"/>
    </xf>
    <xf numFmtId="179" fontId="17" fillId="14" borderId="193" xfId="0" applyNumberFormat="1" applyFont="1" applyFill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0" borderId="124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95" xfId="0" applyNumberFormat="1" applyFont="1" applyFill="1" applyBorder="1" applyAlignment="1" applyProtection="1">
      <alignment vertical="center" shrinkToFit="1"/>
      <protection locked="0"/>
    </xf>
    <xf numFmtId="179" fontId="17" fillId="0" borderId="196" xfId="0" applyNumberFormat="1" applyFont="1" applyFill="1" applyBorder="1" applyAlignment="1" applyProtection="1">
      <alignment vertical="center" shrinkToFit="1"/>
      <protection locked="0"/>
    </xf>
    <xf numFmtId="179" fontId="17" fillId="0" borderId="44" xfId="0" applyNumberFormat="1" applyFont="1" applyBorder="1" applyAlignment="1" applyProtection="1">
      <alignment horizontal="center" vertical="center" shrinkToFit="1"/>
      <protection locked="0"/>
    </xf>
    <xf numFmtId="179" fontId="17" fillId="0" borderId="197" xfId="0" applyNumberFormat="1" applyFont="1" applyBorder="1" applyAlignment="1" applyProtection="1">
      <alignment vertical="center" shrinkToFit="1"/>
    </xf>
    <xf numFmtId="0" fontId="17" fillId="0" borderId="198" xfId="0" applyFont="1" applyBorder="1" applyAlignment="1">
      <alignment vertical="center"/>
    </xf>
    <xf numFmtId="0" fontId="4" fillId="0" borderId="198" xfId="0" applyFont="1" applyBorder="1" applyAlignment="1">
      <alignment vertical="center"/>
    </xf>
    <xf numFmtId="0" fontId="0" fillId="0" borderId="192" xfId="0" applyBorder="1" applyAlignment="1">
      <alignment vertical="center"/>
    </xf>
    <xf numFmtId="0" fontId="0" fillId="0" borderId="199" xfId="0" applyBorder="1" applyAlignment="1">
      <alignment horizontal="right" vertical="center"/>
    </xf>
    <xf numFmtId="179" fontId="17" fillId="0" borderId="192" xfId="0" applyNumberFormat="1" applyFont="1" applyFill="1" applyBorder="1" applyAlignment="1" applyProtection="1">
      <alignment vertical="center" shrinkToFit="1"/>
    </xf>
    <xf numFmtId="0" fontId="17" fillId="0" borderId="111" xfId="0" applyFont="1" applyFill="1" applyBorder="1" applyAlignment="1" applyProtection="1">
      <alignment vertical="center" shrinkToFit="1"/>
      <protection locked="0"/>
    </xf>
    <xf numFmtId="0" fontId="17" fillId="0" borderId="23" xfId="0" applyFont="1" applyFill="1" applyBorder="1" applyAlignment="1" applyProtection="1">
      <alignment vertical="center" shrinkToFit="1"/>
      <protection locked="0"/>
    </xf>
    <xf numFmtId="0" fontId="17" fillId="0" borderId="120" xfId="0" applyFont="1" applyFill="1" applyBorder="1" applyAlignment="1" applyProtection="1">
      <alignment vertical="center" shrinkToFit="1"/>
      <protection locked="0"/>
    </xf>
    <xf numFmtId="0" fontId="23" fillId="0" borderId="178" xfId="0" applyNumberFormat="1" applyFont="1" applyBorder="1" applyAlignment="1">
      <alignment shrinkToFit="1"/>
    </xf>
    <xf numFmtId="0" fontId="23" fillId="0" borderId="200" xfId="0" applyNumberFormat="1" applyFont="1" applyBorder="1" applyAlignment="1">
      <alignment shrinkToFit="1"/>
    </xf>
    <xf numFmtId="0" fontId="23" fillId="0" borderId="142" xfId="0" applyNumberFormat="1" applyFont="1" applyBorder="1" applyAlignment="1">
      <alignment shrinkToFit="1"/>
    </xf>
    <xf numFmtId="0" fontId="23" fillId="0" borderId="31" xfId="0" applyNumberFormat="1" applyFont="1" applyBorder="1" applyAlignment="1">
      <alignment shrinkToFit="1"/>
    </xf>
    <xf numFmtId="0" fontId="23" fillId="0" borderId="176" xfId="0" quotePrefix="1" applyNumberFormat="1" applyFont="1" applyBorder="1" applyAlignment="1">
      <alignment vertical="center" shrinkToFit="1"/>
    </xf>
    <xf numFmtId="0" fontId="23" fillId="0" borderId="98" xfId="0" quotePrefix="1" applyNumberFormat="1" applyFont="1" applyBorder="1" applyAlignment="1">
      <alignment vertical="center" shrinkToFit="1"/>
    </xf>
    <xf numFmtId="183" fontId="23" fillId="0" borderId="141" xfId="0" quotePrefix="1" applyNumberFormat="1" applyFont="1" applyBorder="1" applyAlignment="1">
      <alignment vertical="center" shrinkToFit="1"/>
    </xf>
    <xf numFmtId="183" fontId="23" fillId="0" borderId="99" xfId="0" quotePrefix="1" applyNumberFormat="1" applyFont="1" applyBorder="1" applyAlignment="1">
      <alignment vertical="center" shrinkToFit="1"/>
    </xf>
    <xf numFmtId="183" fontId="23" fillId="0" borderId="142" xfId="0" quotePrefix="1" applyNumberFormat="1" applyFont="1" applyBorder="1" applyAlignment="1">
      <alignment vertical="center" shrinkToFit="1"/>
    </xf>
    <xf numFmtId="183" fontId="23" fillId="0" borderId="31" xfId="0" quotePrefix="1" applyNumberFormat="1" applyFont="1" applyBorder="1" applyAlignment="1">
      <alignment vertical="center" shrinkToFit="1"/>
    </xf>
    <xf numFmtId="183" fontId="23" fillId="0" borderId="87" xfId="0" applyNumberFormat="1" applyFont="1" applyBorder="1" applyAlignment="1">
      <alignment shrinkToFit="1"/>
    </xf>
    <xf numFmtId="183" fontId="23" fillId="0" borderId="100" xfId="0" applyNumberFormat="1" applyFont="1" applyBorder="1" applyAlignment="1">
      <alignment shrinkToFit="1"/>
    </xf>
    <xf numFmtId="0" fontId="23" fillId="0" borderId="169" xfId="0" applyFont="1" applyBorder="1" applyAlignment="1">
      <alignment shrinkToFit="1"/>
    </xf>
    <xf numFmtId="0" fontId="23" fillId="0" borderId="169" xfId="0" applyFont="1" applyBorder="1" applyAlignment="1">
      <alignment horizontal="center" shrinkToFit="1"/>
    </xf>
    <xf numFmtId="0" fontId="23" fillId="0" borderId="122" xfId="0" applyFont="1" applyBorder="1" applyAlignment="1">
      <alignment horizontal="center" shrinkToFit="1"/>
    </xf>
    <xf numFmtId="0" fontId="23" fillId="0" borderId="201" xfId="0" applyFont="1" applyBorder="1" applyAlignment="1">
      <alignment horizontal="center" shrinkToFit="1"/>
    </xf>
    <xf numFmtId="0" fontId="23" fillId="0" borderId="202" xfId="0" applyFont="1" applyBorder="1" applyAlignment="1">
      <alignment horizontal="center" shrinkToFit="1"/>
    </xf>
    <xf numFmtId="0" fontId="23" fillId="0" borderId="99" xfId="0" applyFont="1" applyBorder="1" applyAlignment="1">
      <alignment shrinkToFit="1"/>
    </xf>
    <xf numFmtId="0" fontId="23" fillId="0" borderId="156" xfId="0" applyFont="1" applyBorder="1" applyAlignment="1">
      <alignment shrinkToFit="1"/>
    </xf>
    <xf numFmtId="0" fontId="23" fillId="0" borderId="96" xfId="0" applyFont="1" applyBorder="1" applyAlignment="1">
      <alignment horizontal="center" shrinkToFit="1"/>
    </xf>
    <xf numFmtId="184" fontId="23" fillId="0" borderId="86" xfId="0" applyNumberFormat="1" applyFont="1" applyBorder="1" applyAlignment="1">
      <alignment vertical="center" shrinkToFit="1"/>
    </xf>
    <xf numFmtId="184" fontId="23" fillId="0" borderId="203" xfId="0" applyNumberFormat="1" applyFont="1" applyBorder="1" applyAlignment="1">
      <alignment vertical="center" shrinkToFit="1"/>
    </xf>
    <xf numFmtId="185" fontId="23" fillId="0" borderId="52" xfId="0" applyNumberFormat="1" applyFont="1" applyBorder="1" applyAlignment="1">
      <alignment vertical="center" shrinkToFit="1"/>
    </xf>
    <xf numFmtId="185" fontId="23" fillId="0" borderId="140" xfId="0" applyNumberFormat="1" applyFont="1" applyBorder="1" applyAlignment="1">
      <alignment vertical="center" shrinkToFit="1"/>
    </xf>
    <xf numFmtId="0" fontId="23" fillId="0" borderId="204" xfId="0" applyFont="1" applyBorder="1" applyAlignment="1">
      <alignment vertical="center" shrinkToFit="1"/>
    </xf>
    <xf numFmtId="0" fontId="23" fillId="0" borderId="31" xfId="0" applyFont="1" applyBorder="1" applyAlignment="1">
      <alignment vertical="center" shrinkToFit="1"/>
    </xf>
    <xf numFmtId="185" fontId="23" fillId="0" borderId="86" xfId="0" applyNumberFormat="1" applyFont="1" applyBorder="1" applyAlignment="1">
      <alignment shrinkToFit="1"/>
    </xf>
    <xf numFmtId="185" fontId="23" fillId="0" borderId="205" xfId="0" applyNumberFormat="1" applyFont="1" applyBorder="1" applyAlignment="1">
      <alignment shrinkToFit="1"/>
    </xf>
    <xf numFmtId="185" fontId="23" fillId="0" borderId="93" xfId="0" applyNumberFormat="1" applyFont="1" applyBorder="1" applyAlignment="1">
      <alignment shrinkToFit="1"/>
    </xf>
    <xf numFmtId="0" fontId="23" fillId="0" borderId="100" xfId="0" applyFont="1" applyBorder="1" applyAlignment="1">
      <alignment shrinkToFit="1"/>
    </xf>
    <xf numFmtId="0" fontId="28" fillId="0" borderId="11" xfId="0" applyFont="1" applyBorder="1" applyAlignment="1">
      <alignment horizontal="center" vertical="center" wrapText="1"/>
    </xf>
    <xf numFmtId="0" fontId="28" fillId="0" borderId="206" xfId="0" applyFont="1" applyBorder="1" applyAlignment="1">
      <alignment horizontal="center" vertical="center" wrapText="1"/>
    </xf>
    <xf numFmtId="0" fontId="3" fillId="0" borderId="123" xfId="0" applyFont="1" applyBorder="1" applyAlignment="1">
      <alignment horizontal="center" vertical="center"/>
    </xf>
    <xf numFmtId="0" fontId="3" fillId="0" borderId="206" xfId="0" applyFont="1" applyBorder="1" applyAlignment="1">
      <alignment vertical="center" shrinkToFit="1"/>
    </xf>
    <xf numFmtId="0" fontId="3" fillId="0" borderId="123" xfId="0" applyFont="1" applyBorder="1" applyAlignment="1">
      <alignment vertical="center" shrinkToFit="1"/>
    </xf>
    <xf numFmtId="0" fontId="3" fillId="0" borderId="11" xfId="0" applyFont="1" applyBorder="1" applyAlignment="1">
      <alignment vertical="center"/>
    </xf>
    <xf numFmtId="0" fontId="0" fillId="0" borderId="199" xfId="0" applyBorder="1" applyAlignment="1">
      <alignment horizontal="right" vertical="center" shrinkToFit="1"/>
    </xf>
    <xf numFmtId="0" fontId="17" fillId="0" borderId="0" xfId="0" applyFont="1" applyAlignment="1">
      <alignment vertical="center" shrinkToFit="1"/>
    </xf>
    <xf numFmtId="179" fontId="17" fillId="0" borderId="0" xfId="0" applyNumberFormat="1" applyFont="1" applyAlignment="1">
      <alignment vertical="center" shrinkToFit="1"/>
    </xf>
    <xf numFmtId="179" fontId="17" fillId="0" borderId="26" xfId="0" applyNumberFormat="1" applyFont="1" applyBorder="1" applyAlignment="1">
      <alignment horizontal="center" vertical="center" shrinkToFit="1"/>
    </xf>
    <xf numFmtId="179" fontId="17" fillId="0" borderId="27" xfId="0" applyNumberFormat="1" applyFont="1" applyBorder="1" applyAlignment="1">
      <alignment horizontal="center" vertical="center" shrinkToFit="1"/>
    </xf>
    <xf numFmtId="179" fontId="17" fillId="0" borderId="36" xfId="0" applyNumberFormat="1" applyFont="1" applyBorder="1" applyAlignment="1">
      <alignment horizontal="center" vertical="center" shrinkToFit="1"/>
    </xf>
    <xf numFmtId="179" fontId="17" fillId="0" borderId="58" xfId="0" applyNumberFormat="1" applyFont="1" applyBorder="1" applyAlignment="1">
      <alignment horizontal="center" vertical="center" shrinkToFit="1"/>
    </xf>
    <xf numFmtId="179" fontId="17" fillId="0" borderId="28" xfId="0" applyNumberFormat="1" applyFont="1" applyBorder="1" applyAlignment="1" applyProtection="1">
      <alignment vertical="center" shrinkToFit="1"/>
      <protection locked="0"/>
    </xf>
    <xf numFmtId="179" fontId="17" fillId="0" borderId="29" xfId="0" applyNumberFormat="1" applyFont="1" applyBorder="1" applyAlignment="1">
      <alignment vertical="center" shrinkToFit="1"/>
    </xf>
    <xf numFmtId="179" fontId="17" fillId="0" borderId="22" xfId="0" applyNumberFormat="1" applyFont="1" applyBorder="1" applyAlignment="1" applyProtection="1">
      <alignment vertical="center" shrinkToFit="1"/>
      <protection locked="0"/>
    </xf>
    <xf numFmtId="179" fontId="17" fillId="0" borderId="54" xfId="0" applyNumberFormat="1" applyFont="1" applyBorder="1" applyAlignment="1">
      <alignment vertical="center" shrinkToFit="1"/>
    </xf>
    <xf numFmtId="179" fontId="17" fillId="0" borderId="59" xfId="0" applyNumberFormat="1" applyFont="1" applyBorder="1" applyAlignment="1">
      <alignment vertical="center" shrinkToFit="1"/>
    </xf>
    <xf numFmtId="179" fontId="17" fillId="0" borderId="30" xfId="0" applyNumberFormat="1" applyFont="1" applyBorder="1" applyAlignment="1" applyProtection="1">
      <alignment vertical="center" shrinkToFit="1"/>
      <protection locked="0"/>
    </xf>
    <xf numFmtId="179" fontId="17" fillId="0" borderId="31" xfId="0" applyNumberFormat="1" applyFont="1" applyBorder="1" applyAlignment="1">
      <alignment vertical="center" shrinkToFit="1"/>
    </xf>
    <xf numFmtId="179" fontId="17" fillId="0" borderId="24" xfId="0" applyNumberFormat="1" applyFont="1" applyBorder="1" applyAlignment="1" applyProtection="1">
      <alignment vertical="center" shrinkToFit="1"/>
      <protection locked="0"/>
    </xf>
    <xf numFmtId="179" fontId="17" fillId="0" borderId="55" xfId="0" applyNumberFormat="1" applyFont="1" applyBorder="1" applyAlignment="1">
      <alignment vertical="center" shrinkToFit="1"/>
    </xf>
    <xf numFmtId="179" fontId="17" fillId="0" borderId="60" xfId="0" applyNumberFormat="1" applyFont="1" applyBorder="1" applyAlignment="1">
      <alignment vertical="center" shrinkToFit="1"/>
    </xf>
    <xf numFmtId="179" fontId="17" fillId="0" borderId="32" xfId="0" applyNumberFormat="1" applyFont="1" applyBorder="1" applyAlignment="1" applyProtection="1">
      <alignment vertical="center" shrinkToFit="1"/>
      <protection locked="0"/>
    </xf>
    <xf numFmtId="179" fontId="17" fillId="0" borderId="33" xfId="0" applyNumberFormat="1" applyFont="1" applyBorder="1" applyAlignment="1">
      <alignment vertical="center" shrinkToFit="1"/>
    </xf>
    <xf numFmtId="179" fontId="17" fillId="0" borderId="25" xfId="0" applyNumberFormat="1" applyFont="1" applyBorder="1" applyAlignment="1" applyProtection="1">
      <alignment vertical="center" shrinkToFit="1"/>
      <protection locked="0"/>
    </xf>
    <xf numFmtId="179" fontId="17" fillId="0" borderId="56" xfId="0" applyNumberFormat="1" applyFont="1" applyBorder="1" applyAlignment="1">
      <alignment vertical="center" shrinkToFit="1"/>
    </xf>
    <xf numFmtId="179" fontId="17" fillId="0" borderId="61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vertical="center" shrinkToFit="1"/>
    </xf>
    <xf numFmtId="179" fontId="17" fillId="0" borderId="35" xfId="0" applyNumberFormat="1" applyFont="1" applyBorder="1" applyAlignment="1">
      <alignment vertical="center" shrinkToFit="1"/>
    </xf>
    <xf numFmtId="179" fontId="17" fillId="0" borderId="37" xfId="0" applyNumberFormat="1" applyFont="1" applyBorder="1" applyAlignment="1">
      <alignment vertical="center" shrinkToFit="1"/>
    </xf>
    <xf numFmtId="179" fontId="17" fillId="0" borderId="57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horizontal="right" vertical="center" shrinkToFit="1"/>
    </xf>
    <xf numFmtId="179" fontId="17" fillId="0" borderId="62" xfId="0" applyNumberFormat="1" applyFont="1" applyBorder="1" applyAlignment="1">
      <alignment vertical="center" shrinkToFit="1"/>
    </xf>
    <xf numFmtId="0" fontId="24" fillId="0" borderId="0" xfId="0" applyFont="1" applyBorder="1" applyAlignment="1" applyProtection="1">
      <alignment vertical="center" wrapText="1"/>
    </xf>
    <xf numFmtId="0" fontId="24" fillId="0" borderId="207" xfId="0" applyFont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26" fillId="18" borderId="12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177" fontId="5" fillId="5" borderId="0" xfId="0" applyNumberFormat="1" applyFont="1" applyFill="1" applyBorder="1" applyAlignment="1" applyProtection="1">
      <alignment vertical="center" shrinkToFit="1"/>
    </xf>
    <xf numFmtId="0" fontId="40" fillId="17" borderId="211" xfId="0" applyFont="1" applyFill="1" applyBorder="1" applyAlignment="1" applyProtection="1">
      <alignment horizontal="center" vertical="center" wrapText="1"/>
    </xf>
    <xf numFmtId="0" fontId="40" fillId="17" borderId="212" xfId="0" applyFont="1" applyFill="1" applyBorder="1" applyAlignment="1" applyProtection="1">
      <alignment horizontal="center" vertical="center" shrinkToFit="1"/>
    </xf>
    <xf numFmtId="0" fontId="40" fillId="17" borderId="213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13" fillId="19" borderId="214" xfId="0" applyFont="1" applyFill="1" applyBorder="1" applyAlignment="1" applyProtection="1">
      <alignment horizontal="center" vertical="center" wrapText="1"/>
    </xf>
    <xf numFmtId="0" fontId="13" fillId="19" borderId="38" xfId="0" applyFont="1" applyFill="1" applyBorder="1" applyAlignment="1" applyProtection="1">
      <alignment horizontal="center" vertical="center" wrapText="1"/>
    </xf>
    <xf numFmtId="0" fontId="3" fillId="19" borderId="38" xfId="0" applyFont="1" applyFill="1" applyBorder="1" applyAlignment="1">
      <alignment horizontal="center" vertical="center" shrinkToFit="1"/>
    </xf>
    <xf numFmtId="177" fontId="13" fillId="19" borderId="65" xfId="0" applyNumberFormat="1" applyFont="1" applyFill="1" applyBorder="1" applyAlignment="1" applyProtection="1">
      <alignment horizontal="center" vertical="center" shrinkToFit="1"/>
    </xf>
    <xf numFmtId="0" fontId="3" fillId="0" borderId="215" xfId="0" applyFont="1" applyBorder="1" applyAlignment="1">
      <alignment vertical="center"/>
    </xf>
    <xf numFmtId="178" fontId="4" fillId="0" borderId="73" xfId="0" applyNumberFormat="1" applyFont="1" applyBorder="1" applyAlignment="1" applyProtection="1">
      <alignment vertical="center" shrinkToFit="1"/>
      <protection locked="0"/>
    </xf>
    <xf numFmtId="189" fontId="3" fillId="0" borderId="73" xfId="0" applyNumberFormat="1" applyFont="1" applyBorder="1" applyAlignment="1">
      <alignment horizontal="center" vertical="center" shrinkToFit="1"/>
    </xf>
    <xf numFmtId="49" fontId="41" fillId="21" borderId="0" xfId="0" applyNumberFormat="1" applyFont="1" applyFill="1" applyAlignment="1">
      <alignment vertical="center"/>
    </xf>
    <xf numFmtId="0" fontId="41" fillId="21" borderId="0" xfId="0" applyFont="1" applyFill="1" applyAlignment="1">
      <alignment vertical="center"/>
    </xf>
    <xf numFmtId="0" fontId="13" fillId="0" borderId="216" xfId="0" applyFont="1" applyBorder="1" applyAlignment="1" applyProtection="1">
      <alignment vertical="center" shrinkToFit="1"/>
      <protection locked="0"/>
    </xf>
    <xf numFmtId="178" fontId="4" fillId="0" borderId="76" xfId="0" applyNumberFormat="1" applyFont="1" applyBorder="1" applyAlignment="1" applyProtection="1">
      <alignment vertical="center" shrinkToFit="1"/>
      <protection locked="0"/>
    </xf>
    <xf numFmtId="189" fontId="3" fillId="0" borderId="76" xfId="0" applyNumberFormat="1" applyFont="1" applyBorder="1" applyAlignment="1">
      <alignment horizontal="center" vertical="center" shrinkToFit="1"/>
    </xf>
    <xf numFmtId="0" fontId="0" fillId="0" borderId="218" xfId="0" applyBorder="1" applyAlignment="1">
      <alignment vertical="center" shrinkToFit="1"/>
    </xf>
    <xf numFmtId="0" fontId="3" fillId="0" borderId="219" xfId="0" applyFont="1" applyBorder="1" applyAlignment="1" applyProtection="1">
      <alignment vertical="center"/>
      <protection locked="0"/>
    </xf>
    <xf numFmtId="0" fontId="28" fillId="0" borderId="220" xfId="0" applyFont="1" applyBorder="1" applyAlignment="1" applyProtection="1">
      <alignment horizontal="center" vertical="center" wrapText="1"/>
      <protection locked="0"/>
    </xf>
    <xf numFmtId="0" fontId="3" fillId="0" borderId="221" xfId="0" applyFont="1" applyBorder="1" applyAlignment="1" applyProtection="1">
      <alignment vertical="center"/>
      <protection locked="0"/>
    </xf>
    <xf numFmtId="0" fontId="3" fillId="0" borderId="218" xfId="0" applyFont="1" applyBorder="1" applyAlignment="1" applyProtection="1">
      <alignment vertical="center"/>
      <protection locked="0"/>
    </xf>
    <xf numFmtId="0" fontId="3" fillId="0" borderId="221" xfId="0" applyFont="1" applyBorder="1" applyAlignment="1">
      <alignment vertical="center"/>
    </xf>
    <xf numFmtId="0" fontId="3" fillId="0" borderId="222" xfId="0" applyFont="1" applyBorder="1" applyAlignment="1">
      <alignment vertical="center"/>
    </xf>
    <xf numFmtId="0" fontId="0" fillId="0" borderId="223" xfId="0" applyBorder="1"/>
    <xf numFmtId="0" fontId="13" fillId="21" borderId="0" xfId="0" applyFont="1" applyFill="1" applyBorder="1" applyAlignment="1">
      <alignment horizontal="right"/>
    </xf>
    <xf numFmtId="0" fontId="13" fillId="21" borderId="0" xfId="0" applyFont="1" applyFill="1" applyBorder="1" applyAlignment="1">
      <alignment horizontal="center"/>
    </xf>
    <xf numFmtId="0" fontId="11" fillId="21" borderId="0" xfId="0" applyFont="1" applyFill="1" applyBorder="1" applyAlignment="1">
      <alignment horizontal="left"/>
    </xf>
    <xf numFmtId="0" fontId="11" fillId="21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21" borderId="0" xfId="0" applyFont="1" applyFill="1" applyBorder="1" applyAlignment="1"/>
    <xf numFmtId="0" fontId="13" fillId="17" borderId="0" xfId="0" applyFont="1" applyFill="1" applyBorder="1" applyAlignment="1">
      <alignment horizontal="center" shrinkToFit="1"/>
    </xf>
    <xf numFmtId="0" fontId="13" fillId="21" borderId="151" xfId="0" applyFont="1" applyFill="1" applyBorder="1" applyAlignment="1">
      <alignment horizontal="center"/>
    </xf>
    <xf numFmtId="0" fontId="3" fillId="21" borderId="151" xfId="0" applyFont="1" applyFill="1" applyBorder="1" applyAlignment="1">
      <alignment horizontal="right"/>
    </xf>
    <xf numFmtId="0" fontId="13" fillId="22" borderId="152" xfId="0" applyFont="1" applyFill="1" applyBorder="1" applyAlignment="1">
      <alignment horizontal="center" shrinkToFit="1"/>
    </xf>
    <xf numFmtId="0" fontId="3" fillId="21" borderId="226" xfId="0" applyFont="1" applyFill="1" applyBorder="1" applyAlignment="1">
      <alignment horizontal="right"/>
    </xf>
    <xf numFmtId="0" fontId="3" fillId="21" borderId="0" xfId="0" applyFont="1" applyFill="1" applyBorder="1" applyAlignment="1">
      <alignment horizontal="right"/>
    </xf>
    <xf numFmtId="0" fontId="3" fillId="21" borderId="0" xfId="0" applyFont="1" applyFill="1" applyBorder="1" applyAlignment="1">
      <alignment horizontal="center" vertical="center"/>
    </xf>
    <xf numFmtId="0" fontId="3" fillId="21" borderId="227" xfId="0" applyFont="1" applyFill="1" applyBorder="1" applyAlignment="1"/>
    <xf numFmtId="0" fontId="44" fillId="21" borderId="227" xfId="0" applyFont="1" applyFill="1" applyBorder="1" applyAlignment="1"/>
    <xf numFmtId="0" fontId="3" fillId="21" borderId="151" xfId="0" applyFont="1" applyFill="1" applyBorder="1" applyAlignment="1">
      <alignment horizontal="center"/>
    </xf>
    <xf numFmtId="38" fontId="3" fillId="21" borderId="151" xfId="0" applyNumberFormat="1" applyFont="1" applyFill="1" applyBorder="1" applyAlignment="1">
      <alignment horizontal="right"/>
    </xf>
    <xf numFmtId="38" fontId="3" fillId="17" borderId="152" xfId="0" applyNumberFormat="1" applyFont="1" applyFill="1" applyBorder="1" applyAlignment="1">
      <alignment horizontal="right" shrinkToFit="1"/>
    </xf>
    <xf numFmtId="0" fontId="45" fillId="0" borderId="0" xfId="0" applyFont="1" applyFill="1" applyBorder="1" applyAlignment="1"/>
    <xf numFmtId="0" fontId="45" fillId="21" borderId="0" xfId="0" applyFont="1" applyFill="1" applyBorder="1" applyAlignment="1"/>
    <xf numFmtId="0" fontId="3" fillId="21" borderId="0" xfId="0" applyFont="1" applyFill="1" applyBorder="1" applyAlignment="1">
      <alignment horizontal="left" vertical="center"/>
    </xf>
    <xf numFmtId="0" fontId="3" fillId="21" borderId="156" xfId="0" applyFont="1" applyFill="1" applyBorder="1" applyAlignment="1"/>
    <xf numFmtId="0" fontId="44" fillId="21" borderId="156" xfId="0" applyFont="1" applyFill="1" applyBorder="1" applyAlignment="1"/>
    <xf numFmtId="0" fontId="3" fillId="21" borderId="95" xfId="0" applyFont="1" applyFill="1" applyBorder="1" applyAlignment="1">
      <alignment horizontal="right"/>
    </xf>
    <xf numFmtId="38" fontId="3" fillId="21" borderId="95" xfId="0" applyNumberFormat="1" applyFont="1" applyFill="1" applyBorder="1" applyAlignment="1">
      <alignment horizontal="right"/>
    </xf>
    <xf numFmtId="38" fontId="3" fillId="0" borderId="99" xfId="0" applyNumberFormat="1" applyFont="1" applyFill="1" applyBorder="1" applyAlignment="1">
      <alignment horizontal="right" shrinkToFit="1"/>
    </xf>
    <xf numFmtId="0" fontId="3" fillId="0" borderId="228" xfId="0" applyFont="1" applyFill="1" applyBorder="1" applyAlignment="1"/>
    <xf numFmtId="0" fontId="44" fillId="0" borderId="228" xfId="0" applyFont="1" applyFill="1" applyBorder="1" applyAlignment="1"/>
    <xf numFmtId="0" fontId="3" fillId="0" borderId="121" xfId="0" applyFont="1" applyFill="1" applyBorder="1" applyAlignment="1">
      <alignment horizontal="right"/>
    </xf>
    <xf numFmtId="38" fontId="3" fillId="0" borderId="95" xfId="0" applyNumberFormat="1" applyFont="1" applyFill="1" applyBorder="1" applyAlignment="1">
      <alignment horizontal="right"/>
    </xf>
    <xf numFmtId="38" fontId="3" fillId="0" borderId="204" xfId="1" applyFont="1" applyFill="1" applyBorder="1" applyAlignment="1">
      <alignment horizontal="right"/>
    </xf>
    <xf numFmtId="0" fontId="3" fillId="21" borderId="203" xfId="0" applyFont="1" applyFill="1" applyBorder="1" applyAlignment="1"/>
    <xf numFmtId="0" fontId="44" fillId="21" borderId="203" xfId="0" applyFont="1" applyFill="1" applyBorder="1" applyAlignment="1"/>
    <xf numFmtId="0" fontId="3" fillId="0" borderId="85" xfId="0" applyFont="1" applyFill="1" applyBorder="1" applyAlignment="1">
      <alignment horizontal="right"/>
    </xf>
    <xf numFmtId="38" fontId="3" fillId="0" borderId="89" xfId="0" applyNumberFormat="1" applyFont="1" applyFill="1" applyBorder="1" applyAlignment="1">
      <alignment horizontal="right"/>
    </xf>
    <xf numFmtId="38" fontId="3" fillId="0" borderId="98" xfId="1" applyFont="1" applyFill="1" applyBorder="1" applyAlignment="1">
      <alignment horizontal="right"/>
    </xf>
    <xf numFmtId="0" fontId="3" fillId="21" borderId="229" xfId="0" applyFont="1" applyFill="1" applyBorder="1" applyAlignment="1">
      <alignment horizontal="right" vertical="center" textRotation="255"/>
    </xf>
    <xf numFmtId="0" fontId="3" fillId="0" borderId="82" xfId="0" applyFont="1" applyFill="1" applyBorder="1" applyAlignment="1">
      <alignment horizontal="right"/>
    </xf>
    <xf numFmtId="0" fontId="0" fillId="0" borderId="228" xfId="0" applyBorder="1" applyAlignment="1">
      <alignment horizontal="right" vertical="center" textRotation="255"/>
    </xf>
    <xf numFmtId="0" fontId="3" fillId="0" borderId="23" xfId="0" applyFont="1" applyFill="1" applyBorder="1" applyAlignment="1">
      <alignment horizontal="right"/>
    </xf>
    <xf numFmtId="0" fontId="3" fillId="0" borderId="86" xfId="0" applyFont="1" applyFill="1" applyBorder="1" applyAlignment="1">
      <alignment horizontal="right"/>
    </xf>
    <xf numFmtId="0" fontId="3" fillId="21" borderId="228" xfId="0" applyFont="1" applyFill="1" applyBorder="1" applyAlignment="1">
      <alignment horizontal="right" vertical="center" textRotation="255"/>
    </xf>
    <xf numFmtId="38" fontId="3" fillId="0" borderId="82" xfId="0" applyNumberFormat="1" applyFont="1" applyFill="1" applyBorder="1" applyAlignment="1">
      <alignment horizontal="right"/>
    </xf>
    <xf numFmtId="38" fontId="3" fillId="0" borderId="200" xfId="0" applyNumberFormat="1" applyFont="1" applyFill="1" applyBorder="1" applyAlignment="1">
      <alignment horizontal="right" shrinkToFit="1"/>
    </xf>
    <xf numFmtId="38" fontId="3" fillId="0" borderId="23" xfId="0" applyNumberFormat="1" applyFont="1" applyFill="1" applyBorder="1" applyAlignment="1">
      <alignment horizontal="right"/>
    </xf>
    <xf numFmtId="38" fontId="3" fillId="0" borderId="122" xfId="1" applyFont="1" applyFill="1" applyBorder="1" applyAlignment="1">
      <alignment horizontal="right"/>
    </xf>
    <xf numFmtId="0" fontId="0" fillId="0" borderId="205" xfId="0" applyBorder="1" applyAlignment="1">
      <alignment horizontal="right" vertical="center" textRotation="255"/>
    </xf>
    <xf numFmtId="0" fontId="3" fillId="0" borderId="86" xfId="0" applyFont="1" applyFill="1" applyBorder="1" applyAlignment="1">
      <alignment horizontal="right" shrinkToFit="1"/>
    </xf>
    <xf numFmtId="38" fontId="3" fillId="0" borderId="85" xfId="0" applyNumberFormat="1" applyFont="1" applyFill="1" applyBorder="1" applyAlignment="1">
      <alignment horizontal="right"/>
    </xf>
    <xf numFmtId="0" fontId="3" fillId="21" borderId="0" xfId="0" applyFont="1" applyFill="1" applyBorder="1" applyAlignment="1">
      <alignment horizontal="distributed" vertical="center"/>
    </xf>
    <xf numFmtId="38" fontId="3" fillId="0" borderId="152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/>
    <xf numFmtId="0" fontId="44" fillId="21" borderId="140" xfId="0" applyFont="1" applyFill="1" applyBorder="1" applyAlignment="1"/>
    <xf numFmtId="0" fontId="3" fillId="21" borderId="23" xfId="0" applyFont="1" applyFill="1" applyBorder="1" applyAlignment="1">
      <alignment horizontal="right"/>
    </xf>
    <xf numFmtId="38" fontId="3" fillId="21" borderId="23" xfId="0" applyNumberFormat="1" applyFont="1" applyFill="1" applyBorder="1" applyAlignment="1">
      <alignment horizontal="right"/>
    </xf>
    <xf numFmtId="38" fontId="3" fillId="17" borderId="31" xfId="0" applyNumberFormat="1" applyFont="1" applyFill="1" applyBorder="1" applyAlignment="1">
      <alignment horizontal="right" shrinkToFit="1"/>
    </xf>
    <xf numFmtId="0" fontId="3" fillId="21" borderId="85" xfId="0" applyFont="1" applyFill="1" applyBorder="1" applyAlignment="1">
      <alignment horizontal="right"/>
    </xf>
    <xf numFmtId="38" fontId="3" fillId="21" borderId="85" xfId="0" applyNumberFormat="1" applyFont="1" applyFill="1" applyBorder="1" applyAlignment="1">
      <alignment horizontal="right"/>
    </xf>
    <xf numFmtId="38" fontId="3" fillId="17" borderId="98" xfId="0" applyNumberFormat="1" applyFont="1" applyFill="1" applyBorder="1" applyAlignment="1">
      <alignment horizontal="right" shrinkToFit="1"/>
    </xf>
    <xf numFmtId="0" fontId="46" fillId="21" borderId="0" xfId="0" applyFont="1" applyFill="1" applyBorder="1" applyAlignment="1"/>
    <xf numFmtId="0" fontId="46" fillId="21" borderId="230" xfId="0" applyFont="1" applyFill="1" applyBorder="1" applyAlignment="1">
      <alignment horizontal="right"/>
    </xf>
    <xf numFmtId="0" fontId="46" fillId="21" borderId="87" xfId="0" applyFont="1" applyFill="1" applyBorder="1" applyAlignment="1">
      <alignment horizontal="right"/>
    </xf>
    <xf numFmtId="0" fontId="3" fillId="21" borderId="87" xfId="0" applyFont="1" applyFill="1" applyBorder="1" applyAlignment="1">
      <alignment horizontal="left" vertical="center"/>
    </xf>
    <xf numFmtId="0" fontId="3" fillId="21" borderId="87" xfId="0" applyFont="1" applyFill="1" applyBorder="1" applyAlignment="1">
      <alignment horizontal="left"/>
    </xf>
    <xf numFmtId="0" fontId="46" fillId="21" borderId="151" xfId="0" applyFont="1" applyFill="1" applyBorder="1" applyAlignment="1">
      <alignment horizontal="right"/>
    </xf>
    <xf numFmtId="0" fontId="3" fillId="21" borderId="89" xfId="0" applyFont="1" applyFill="1" applyBorder="1" applyAlignment="1">
      <alignment horizontal="center"/>
    </xf>
    <xf numFmtId="38" fontId="3" fillId="21" borderId="89" xfId="0" applyNumberFormat="1" applyFont="1" applyFill="1" applyBorder="1" applyAlignment="1">
      <alignment horizontal="right" shrinkToFit="1"/>
    </xf>
    <xf numFmtId="38" fontId="3" fillId="21" borderId="100" xfId="0" applyNumberFormat="1" applyFont="1" applyFill="1" applyBorder="1" applyAlignment="1">
      <alignment horizontal="right" shrinkToFit="1"/>
    </xf>
    <xf numFmtId="0" fontId="46" fillId="0" borderId="0" xfId="0" applyFont="1" applyFill="1" applyBorder="1" applyAlignment="1"/>
    <xf numFmtId="0" fontId="46" fillId="21" borderId="15" xfId="0" applyFont="1" applyFill="1" applyBorder="1" applyAlignment="1">
      <alignment horizontal="right"/>
    </xf>
    <xf numFmtId="0" fontId="44" fillId="21" borderId="224" xfId="0" applyFont="1" applyFill="1" applyBorder="1" applyAlignment="1">
      <alignment horizontal="left"/>
    </xf>
    <xf numFmtId="0" fontId="46" fillId="21" borderId="225" xfId="0" applyFont="1" applyFill="1" applyBorder="1" applyAlignment="1">
      <alignment horizontal="right"/>
    </xf>
    <xf numFmtId="0" fontId="45" fillId="21" borderId="225" xfId="0" applyFont="1" applyFill="1" applyBorder="1" applyAlignment="1">
      <alignment horizontal="distributed"/>
    </xf>
    <xf numFmtId="0" fontId="3" fillId="21" borderId="231" xfId="0" applyFont="1" applyFill="1" applyBorder="1" applyAlignment="1">
      <alignment horizontal="center"/>
    </xf>
    <xf numFmtId="0" fontId="3" fillId="0" borderId="231" xfId="0" applyFont="1" applyFill="1" applyBorder="1" applyAlignment="1">
      <alignment horizontal="right"/>
    </xf>
    <xf numFmtId="38" fontId="3" fillId="0" borderId="232" xfId="0" applyNumberFormat="1" applyFont="1" applyFill="1" applyBorder="1" applyAlignment="1">
      <alignment horizontal="center" shrinkToFit="1"/>
    </xf>
    <xf numFmtId="0" fontId="44" fillId="21" borderId="230" xfId="0" applyFont="1" applyFill="1" applyBorder="1" applyAlignment="1">
      <alignment horizontal="left" vertical="center"/>
    </xf>
    <xf numFmtId="0" fontId="0" fillId="21" borderId="89" xfId="0" applyFont="1" applyFill="1" applyBorder="1" applyAlignment="1">
      <alignment horizontal="center"/>
    </xf>
    <xf numFmtId="0" fontId="3" fillId="21" borderId="89" xfId="0" applyFont="1" applyFill="1" applyBorder="1" applyAlignment="1">
      <alignment horizontal="right"/>
    </xf>
    <xf numFmtId="38" fontId="3" fillId="22" borderId="100" xfId="0" applyNumberFormat="1" applyFont="1" applyFill="1" applyBorder="1" applyAlignment="1">
      <alignment horizontal="center" shrinkToFit="1"/>
    </xf>
    <xf numFmtId="0" fontId="3" fillId="21" borderId="0" xfId="0" applyFont="1" applyFill="1" applyBorder="1" applyAlignment="1">
      <alignment horizontal="left"/>
    </xf>
    <xf numFmtId="49" fontId="3" fillId="21" borderId="141" xfId="0" applyNumberFormat="1" applyFont="1" applyFill="1" applyBorder="1" applyAlignment="1">
      <alignment horizontal="right"/>
    </xf>
    <xf numFmtId="0" fontId="3" fillId="21" borderId="233" xfId="0" applyFont="1" applyFill="1" applyBorder="1" applyAlignment="1">
      <alignment horizontal="left"/>
    </xf>
    <xf numFmtId="0" fontId="3" fillId="21" borderId="233" xfId="0" applyFont="1" applyFill="1" applyBorder="1" applyAlignment="1">
      <alignment horizontal="center"/>
    </xf>
    <xf numFmtId="0" fontId="3" fillId="21" borderId="82" xfId="0" applyFont="1" applyFill="1" applyBorder="1" applyAlignment="1">
      <alignment horizontal="left" shrinkToFit="1"/>
    </xf>
    <xf numFmtId="38" fontId="13" fillId="21" borderId="82" xfId="0" applyNumberFormat="1" applyFont="1" applyFill="1" applyBorder="1" applyAlignment="1">
      <alignment horizontal="right"/>
    </xf>
    <xf numFmtId="49" fontId="3" fillId="21" borderId="142" xfId="0" applyNumberFormat="1" applyFont="1" applyFill="1" applyBorder="1" applyAlignment="1">
      <alignment horizontal="right"/>
    </xf>
    <xf numFmtId="0" fontId="3" fillId="21" borderId="140" xfId="0" applyFont="1" applyFill="1" applyBorder="1" applyAlignment="1">
      <alignment horizontal="left"/>
    </xf>
    <xf numFmtId="0" fontId="3" fillId="21" borderId="140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left" shrinkToFit="1"/>
    </xf>
    <xf numFmtId="38" fontId="13" fillId="21" borderId="23" xfId="0" applyNumberFormat="1" applyFont="1" applyFill="1" applyBorder="1" applyAlignment="1">
      <alignment horizontal="right"/>
    </xf>
    <xf numFmtId="38" fontId="3" fillId="23" borderId="31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>
      <alignment horizontal="right"/>
    </xf>
    <xf numFmtId="0" fontId="3" fillId="0" borderId="23" xfId="0" applyFont="1" applyFill="1" applyBorder="1" applyAlignment="1">
      <alignment horizontal="left" shrinkToFit="1"/>
    </xf>
    <xf numFmtId="38" fontId="13" fillId="0" borderId="23" xfId="0" applyNumberFormat="1" applyFont="1" applyFill="1" applyBorder="1" applyAlignment="1">
      <alignment horizontal="right"/>
    </xf>
    <xf numFmtId="38" fontId="3" fillId="0" borderId="31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>
      <alignment horizontal="center" shrinkToFit="1"/>
    </xf>
    <xf numFmtId="49" fontId="3" fillId="23" borderId="141" xfId="0" applyNumberFormat="1" applyFont="1" applyFill="1" applyBorder="1" applyAlignment="1">
      <alignment horizontal="right"/>
    </xf>
    <xf numFmtId="0" fontId="3" fillId="23" borderId="140" xfId="0" applyFont="1" applyFill="1" applyBorder="1" applyAlignment="1">
      <alignment horizontal="left"/>
    </xf>
    <xf numFmtId="0" fontId="3" fillId="23" borderId="140" xfId="0" applyFont="1" applyFill="1" applyBorder="1" applyAlignment="1">
      <alignment horizontal="center" shrinkToFit="1"/>
    </xf>
    <xf numFmtId="0" fontId="3" fillId="23" borderId="23" xfId="0" applyFont="1" applyFill="1" applyBorder="1" applyAlignment="1">
      <alignment horizontal="left" shrinkToFit="1"/>
    </xf>
    <xf numFmtId="38" fontId="13" fillId="23" borderId="23" xfId="0" applyNumberFormat="1" applyFont="1" applyFill="1" applyBorder="1" applyAlignment="1">
      <alignment horizontal="right"/>
    </xf>
    <xf numFmtId="0" fontId="3" fillId="21" borderId="14" xfId="0" applyFont="1" applyFill="1" applyBorder="1" applyAlignment="1">
      <alignment horizontal="right"/>
    </xf>
    <xf numFmtId="0" fontId="3" fillId="21" borderId="15" xfId="0" applyFont="1" applyFill="1" applyBorder="1" applyAlignment="1">
      <alignment horizontal="left"/>
    </xf>
    <xf numFmtId="0" fontId="3" fillId="21" borderId="151" xfId="0" applyFont="1" applyFill="1" applyBorder="1" applyAlignment="1">
      <alignment horizontal="left"/>
    </xf>
    <xf numFmtId="0" fontId="44" fillId="21" borderId="151" xfId="0" applyFont="1" applyFill="1" applyBorder="1" applyAlignment="1">
      <alignment horizontal="right"/>
    </xf>
    <xf numFmtId="38" fontId="13" fillId="21" borderId="151" xfId="0" applyNumberFormat="1" applyFont="1" applyFill="1" applyBorder="1" applyAlignment="1">
      <alignment horizontal="right"/>
    </xf>
    <xf numFmtId="38" fontId="3" fillId="21" borderId="152" xfId="0" applyNumberFormat="1" applyFont="1" applyFill="1" applyBorder="1" applyAlignment="1">
      <alignment horizontal="right" shrinkToFit="1"/>
    </xf>
    <xf numFmtId="38" fontId="3" fillId="0" borderId="100" xfId="0" applyNumberFormat="1" applyFont="1" applyFill="1" applyBorder="1" applyAlignment="1">
      <alignment horizontal="center" shrinkToFit="1"/>
    </xf>
    <xf numFmtId="49" fontId="3" fillId="21" borderId="139" xfId="0" applyNumberFormat="1" applyFont="1" applyFill="1" applyBorder="1" applyAlignment="1">
      <alignment horizontal="right"/>
    </xf>
    <xf numFmtId="0" fontId="3" fillId="21" borderId="201" xfId="0" applyFont="1" applyFill="1" applyBorder="1" applyAlignment="1">
      <alignment horizontal="left"/>
    </xf>
    <xf numFmtId="0" fontId="3" fillId="21" borderId="201" xfId="0" applyFont="1" applyFill="1" applyBorder="1" applyAlignment="1">
      <alignment horizontal="center"/>
    </xf>
    <xf numFmtId="0" fontId="3" fillId="21" borderId="120" xfId="0" applyFont="1" applyFill="1" applyBorder="1" applyAlignment="1">
      <alignment horizontal="left" shrinkToFit="1"/>
    </xf>
    <xf numFmtId="38" fontId="13" fillId="21" borderId="120" xfId="0" applyNumberFormat="1" applyFont="1" applyFill="1" applyBorder="1" applyAlignment="1">
      <alignment horizontal="right"/>
    </xf>
    <xf numFmtId="38" fontId="3" fillId="23" borderId="122" xfId="0" applyNumberFormat="1" applyFont="1" applyFill="1" applyBorder="1" applyAlignment="1">
      <alignment horizontal="right" shrinkToFit="1"/>
    </xf>
    <xf numFmtId="0" fontId="3" fillId="21" borderId="225" xfId="0" applyFont="1" applyFill="1" applyBorder="1" applyAlignment="1">
      <alignment horizontal="right"/>
    </xf>
    <xf numFmtId="0" fontId="3" fillId="21" borderId="229" xfId="0" applyFont="1" applyFill="1" applyBorder="1" applyAlignment="1">
      <alignment horizontal="left"/>
    </xf>
    <xf numFmtId="0" fontId="3" fillId="21" borderId="229" xfId="0" applyFont="1" applyFill="1" applyBorder="1" applyAlignment="1">
      <alignment horizontal="center"/>
    </xf>
    <xf numFmtId="0" fontId="3" fillId="21" borderId="231" xfId="0" applyFont="1" applyFill="1" applyBorder="1" applyAlignment="1">
      <alignment horizontal="left" shrinkToFit="1"/>
    </xf>
    <xf numFmtId="38" fontId="13" fillId="21" borderId="231" xfId="0" applyNumberFormat="1" applyFont="1" applyFill="1" applyBorder="1" applyAlignment="1">
      <alignment horizontal="right"/>
    </xf>
    <xf numFmtId="38" fontId="3" fillId="21" borderId="232" xfId="0" applyNumberFormat="1" applyFont="1" applyFill="1" applyBorder="1" applyAlignment="1">
      <alignment horizontal="center" shrinkToFit="1"/>
    </xf>
    <xf numFmtId="0" fontId="3" fillId="21" borderId="87" xfId="0" applyFont="1" applyFill="1" applyBorder="1" applyAlignment="1">
      <alignment horizontal="right"/>
    </xf>
    <xf numFmtId="0" fontId="3" fillId="21" borderId="205" xfId="0" applyFont="1" applyFill="1" applyBorder="1" applyAlignment="1">
      <alignment horizontal="left"/>
    </xf>
    <xf numFmtId="0" fontId="3" fillId="21" borderId="205" xfId="0" applyFont="1" applyFill="1" applyBorder="1" applyAlignment="1">
      <alignment horizontal="center"/>
    </xf>
    <xf numFmtId="0" fontId="3" fillId="21" borderId="89" xfId="0" applyFont="1" applyFill="1" applyBorder="1" applyAlignment="1">
      <alignment horizontal="left" shrinkToFit="1"/>
    </xf>
    <xf numFmtId="38" fontId="3" fillId="22" borderId="100" xfId="0" applyNumberFormat="1" applyFont="1" applyFill="1" applyBorder="1" applyAlignment="1">
      <alignment horizontal="right" shrinkToFit="1"/>
    </xf>
    <xf numFmtId="0" fontId="3" fillId="21" borderId="156" xfId="0" applyFont="1" applyFill="1" applyBorder="1" applyAlignment="1">
      <alignment horizontal="left"/>
    </xf>
    <xf numFmtId="0" fontId="3" fillId="21" borderId="156" xfId="0" applyFont="1" applyFill="1" applyBorder="1" applyAlignment="1">
      <alignment horizontal="center"/>
    </xf>
    <xf numFmtId="0" fontId="3" fillId="21" borderId="95" xfId="0" applyFont="1" applyFill="1" applyBorder="1" applyAlignment="1">
      <alignment horizontal="left" shrinkToFit="1"/>
    </xf>
    <xf numFmtId="38" fontId="13" fillId="0" borderId="95" xfId="0" applyNumberFormat="1" applyFont="1" applyFill="1" applyBorder="1" applyAlignment="1">
      <alignment horizontal="right"/>
    </xf>
    <xf numFmtId="0" fontId="44" fillId="21" borderId="0" xfId="0" applyFont="1" applyFill="1" applyBorder="1" applyAlignment="1">
      <alignment horizontal="right"/>
    </xf>
    <xf numFmtId="38" fontId="13" fillId="21" borderId="0" xfId="0" applyNumberFormat="1" applyFont="1" applyFill="1" applyBorder="1" applyAlignment="1">
      <alignment horizontal="right"/>
    </xf>
    <xf numFmtId="38" fontId="3" fillId="21" borderId="234" xfId="0" applyNumberFormat="1" applyFont="1" applyFill="1" applyBorder="1" applyAlignment="1">
      <alignment horizontal="right" shrinkToFit="1"/>
    </xf>
    <xf numFmtId="0" fontId="44" fillId="21" borderId="87" xfId="0" applyFont="1" applyFill="1" applyBorder="1" applyAlignment="1">
      <alignment horizontal="right"/>
    </xf>
    <xf numFmtId="38" fontId="13" fillId="21" borderId="87" xfId="0" applyNumberFormat="1" applyFont="1" applyFill="1" applyBorder="1" applyAlignment="1">
      <alignment horizontal="right"/>
    </xf>
    <xf numFmtId="38" fontId="3" fillId="21" borderId="235" xfId="0" applyNumberFormat="1" applyFont="1" applyFill="1" applyBorder="1" applyAlignment="1">
      <alignment horizontal="right" shrinkToFit="1"/>
    </xf>
    <xf numFmtId="0" fontId="44" fillId="21" borderId="224" xfId="0" applyFont="1" applyFill="1" applyBorder="1" applyAlignment="1">
      <alignment horizontal="left" vertical="center"/>
    </xf>
    <xf numFmtId="0" fontId="3" fillId="21" borderId="141" xfId="0" applyFont="1" applyFill="1" applyBorder="1" applyAlignment="1"/>
    <xf numFmtId="0" fontId="3" fillId="21" borderId="82" xfId="0" applyFont="1" applyFill="1" applyBorder="1" applyAlignment="1">
      <alignment horizontal="left"/>
    </xf>
    <xf numFmtId="0" fontId="3" fillId="21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left"/>
    </xf>
    <xf numFmtId="0" fontId="3" fillId="21" borderId="142" xfId="0" applyFont="1" applyFill="1" applyBorder="1" applyAlignment="1">
      <alignment vertical="center"/>
    </xf>
    <xf numFmtId="0" fontId="3" fillId="21" borderId="142" xfId="0" quotePrefix="1" applyFont="1" applyFill="1" applyBorder="1" applyAlignment="1">
      <alignment vertical="center"/>
    </xf>
    <xf numFmtId="0" fontId="3" fillId="23" borderId="142" xfId="0" applyFont="1" applyFill="1" applyBorder="1" applyAlignment="1"/>
    <xf numFmtId="0" fontId="3" fillId="23" borderId="140" xfId="0" applyFont="1" applyFill="1" applyBorder="1" applyAlignment="1">
      <alignment horizontal="center"/>
    </xf>
    <xf numFmtId="0" fontId="3" fillId="23" borderId="23" xfId="0" applyFont="1" applyFill="1" applyBorder="1" applyAlignment="1">
      <alignment horizontal="left"/>
    </xf>
    <xf numFmtId="38" fontId="13" fillId="23" borderId="85" xfId="0" applyNumberFormat="1" applyFont="1" applyFill="1" applyBorder="1" applyAlignment="1">
      <alignment horizontal="right"/>
    </xf>
    <xf numFmtId="0" fontId="3" fillId="21" borderId="236" xfId="0" applyFont="1" applyFill="1" applyBorder="1" applyAlignment="1">
      <alignment horizontal="right"/>
    </xf>
    <xf numFmtId="0" fontId="3" fillId="21" borderId="237" xfId="0" applyFont="1" applyFill="1" applyBorder="1" applyAlignment="1">
      <alignment horizontal="left"/>
    </xf>
    <xf numFmtId="0" fontId="44" fillId="21" borderId="238" xfId="0" applyFont="1" applyFill="1" applyBorder="1" applyAlignment="1">
      <alignment horizontal="right"/>
    </xf>
    <xf numFmtId="38" fontId="13" fillId="21" borderId="238" xfId="0" applyNumberFormat="1" applyFont="1" applyFill="1" applyBorder="1" applyAlignment="1">
      <alignment horizontal="right"/>
    </xf>
    <xf numFmtId="38" fontId="3" fillId="21" borderId="239" xfId="0" applyNumberFormat="1" applyFont="1" applyFill="1" applyBorder="1" applyAlignment="1">
      <alignment horizontal="right" shrinkToFit="1"/>
    </xf>
    <xf numFmtId="0" fontId="3" fillId="21" borderId="240" xfId="0" applyFont="1" applyFill="1" applyBorder="1" applyAlignment="1">
      <alignment horizontal="right"/>
    </xf>
    <xf numFmtId="0" fontId="3" fillId="21" borderId="241" xfId="0" applyFont="1" applyFill="1" applyBorder="1" applyAlignment="1">
      <alignment horizontal="left"/>
    </xf>
    <xf numFmtId="0" fontId="44" fillId="21" borderId="242" xfId="0" applyFont="1" applyFill="1" applyBorder="1" applyAlignment="1">
      <alignment horizontal="right"/>
    </xf>
    <xf numFmtId="38" fontId="3" fillId="21" borderId="242" xfId="0" applyNumberFormat="1" applyFont="1" applyFill="1" applyBorder="1" applyAlignment="1">
      <alignment horizontal="right" shrinkToFit="1"/>
    </xf>
    <xf numFmtId="38" fontId="3" fillId="21" borderId="243" xfId="0" applyNumberFormat="1" applyFont="1" applyFill="1" applyBorder="1" applyAlignment="1">
      <alignment horizontal="right" shrinkToFit="1"/>
    </xf>
    <xf numFmtId="38" fontId="3" fillId="21" borderId="0" xfId="0" applyNumberFormat="1" applyFont="1" applyFill="1" applyBorder="1" applyAlignment="1">
      <alignment horizontal="right" shrinkToFit="1"/>
    </xf>
    <xf numFmtId="0" fontId="13" fillId="21" borderId="87" xfId="0" applyFont="1" applyFill="1" applyBorder="1" applyAlignment="1">
      <alignment horizontal="right"/>
    </xf>
    <xf numFmtId="0" fontId="13" fillId="21" borderId="0" xfId="0" applyFont="1" applyFill="1" applyBorder="1" applyAlignment="1">
      <alignment horizontal="left"/>
    </xf>
    <xf numFmtId="0" fontId="13" fillId="21" borderId="234" xfId="0" applyFont="1" applyFill="1" applyBorder="1" applyAlignment="1">
      <alignment horizontal="center" shrinkToFit="1"/>
    </xf>
    <xf numFmtId="0" fontId="3" fillId="0" borderId="224" xfId="0" applyFont="1" applyFill="1" applyBorder="1" applyAlignment="1">
      <alignment horizontal="center"/>
    </xf>
    <xf numFmtId="0" fontId="3" fillId="0" borderId="225" xfId="0" applyFont="1" applyFill="1" applyBorder="1" applyAlignment="1">
      <alignment horizontal="right" vertical="center" textRotation="255"/>
    </xf>
    <xf numFmtId="0" fontId="3" fillId="0" borderId="178" xfId="0" applyFont="1" applyFill="1" applyBorder="1" applyAlignment="1">
      <alignment horizontal="left" shrinkToFit="1"/>
    </xf>
    <xf numFmtId="0" fontId="4" fillId="0" borderId="178" xfId="0" applyFont="1" applyFill="1" applyBorder="1" applyAlignment="1">
      <alignment horizontal="left"/>
    </xf>
    <xf numFmtId="0" fontId="4" fillId="0" borderId="178" xfId="0" applyFont="1" applyFill="1" applyBorder="1" applyAlignment="1">
      <alignment horizontal="left" shrinkToFit="1"/>
    </xf>
    <xf numFmtId="0" fontId="4" fillId="0" borderId="233" xfId="0" applyFont="1" applyFill="1" applyBorder="1" applyAlignment="1">
      <alignment horizontal="right"/>
    </xf>
    <xf numFmtId="38" fontId="13" fillId="0" borderId="82" xfId="0" applyNumberFormat="1" applyFont="1" applyFill="1" applyBorder="1" applyAlignment="1">
      <alignment horizontal="right"/>
    </xf>
    <xf numFmtId="0" fontId="3" fillId="0" borderId="22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 vertical="center" textRotation="255"/>
    </xf>
    <xf numFmtId="0" fontId="3" fillId="0" borderId="142" xfId="0" applyFont="1" applyFill="1" applyBorder="1" applyAlignment="1">
      <alignment horizontal="left" shrinkToFit="1"/>
    </xf>
    <xf numFmtId="0" fontId="4" fillId="0" borderId="142" xfId="0" applyFont="1" applyFill="1" applyBorder="1" applyAlignment="1">
      <alignment horizontal="left"/>
    </xf>
    <xf numFmtId="0" fontId="4" fillId="0" borderId="142" xfId="0" applyFont="1" applyFill="1" applyBorder="1" applyAlignment="1">
      <alignment horizontal="left" shrinkToFit="1"/>
    </xf>
    <xf numFmtId="0" fontId="4" fillId="0" borderId="140" xfId="0" applyFont="1" applyFill="1" applyBorder="1" applyAlignment="1">
      <alignment horizontal="right"/>
    </xf>
    <xf numFmtId="0" fontId="3" fillId="21" borderId="226" xfId="0" applyFont="1" applyFill="1" applyBorder="1" applyAlignment="1">
      <alignment horizontal="center"/>
    </xf>
    <xf numFmtId="0" fontId="3" fillId="21" borderId="0" xfId="0" applyFont="1" applyFill="1" applyBorder="1" applyAlignment="1">
      <alignment horizontal="right" vertical="center" textRotation="255"/>
    </xf>
    <xf numFmtId="0" fontId="3" fillId="21" borderId="142" xfId="0" applyFont="1" applyFill="1" applyBorder="1" applyAlignment="1">
      <alignment horizontal="left" shrinkToFit="1"/>
    </xf>
    <xf numFmtId="0" fontId="4" fillId="21" borderId="142" xfId="0" applyFont="1" applyFill="1" applyBorder="1" applyAlignment="1">
      <alignment horizontal="left"/>
    </xf>
    <xf numFmtId="0" fontId="4" fillId="21" borderId="142" xfId="0" applyFont="1" applyFill="1" applyBorder="1" applyAlignment="1">
      <alignment horizontal="left" shrinkToFit="1"/>
    </xf>
    <xf numFmtId="0" fontId="4" fillId="21" borderId="140" xfId="0" applyFont="1" applyFill="1" applyBorder="1" applyAlignment="1">
      <alignment horizontal="right"/>
    </xf>
    <xf numFmtId="38" fontId="3" fillId="21" borderId="31" xfId="0" applyNumberFormat="1" applyFont="1" applyFill="1" applyBorder="1" applyAlignment="1">
      <alignment horizontal="right" shrinkToFit="1"/>
    </xf>
    <xf numFmtId="0" fontId="3" fillId="23" borderId="142" xfId="0" quotePrefix="1" applyFont="1" applyFill="1" applyBorder="1" applyAlignment="1">
      <alignment vertical="center"/>
    </xf>
    <xf numFmtId="0" fontId="3" fillId="23" borderId="142" xfId="0" applyFont="1" applyFill="1" applyBorder="1" applyAlignment="1">
      <alignment horizontal="left"/>
    </xf>
    <xf numFmtId="0" fontId="3" fillId="23" borderId="142" xfId="0" applyFont="1" applyFill="1" applyBorder="1" applyAlignment="1">
      <alignment horizontal="center"/>
    </xf>
    <xf numFmtId="0" fontId="3" fillId="23" borderId="140" xfId="0" applyFont="1" applyFill="1" applyBorder="1" applyAlignment="1">
      <alignment horizontal="right"/>
    </xf>
    <xf numFmtId="0" fontId="3" fillId="23" borderId="31" xfId="0" applyFont="1" applyFill="1" applyBorder="1" applyAlignment="1">
      <alignment horizontal="right"/>
    </xf>
    <xf numFmtId="38" fontId="3" fillId="21" borderId="99" xfId="0" applyNumberFormat="1" applyFont="1" applyFill="1" applyBorder="1" applyAlignment="1">
      <alignment horizontal="right" shrinkToFit="1"/>
    </xf>
    <xf numFmtId="0" fontId="3" fillId="23" borderId="98" xfId="0" applyFont="1" applyFill="1" applyBorder="1" applyAlignment="1">
      <alignment horizontal="right"/>
    </xf>
    <xf numFmtId="0" fontId="3" fillId="19" borderId="14" xfId="0" applyFont="1" applyFill="1" applyBorder="1" applyAlignment="1">
      <alignment horizontal="right"/>
    </xf>
    <xf numFmtId="0" fontId="3" fillId="19" borderId="15" xfId="0" applyFont="1" applyFill="1" applyBorder="1" applyAlignment="1">
      <alignment horizontal="left"/>
    </xf>
    <xf numFmtId="0" fontId="3" fillId="19" borderId="227" xfId="0" applyFont="1" applyFill="1" applyBorder="1" applyAlignment="1">
      <alignment horizontal="right"/>
    </xf>
    <xf numFmtId="38" fontId="13" fillId="19" borderId="151" xfId="0" applyNumberFormat="1" applyFont="1" applyFill="1" applyBorder="1" applyAlignment="1">
      <alignment horizontal="right"/>
    </xf>
    <xf numFmtId="38" fontId="3" fillId="19" borderId="152" xfId="0" applyNumberFormat="1" applyFont="1" applyFill="1" applyBorder="1" applyAlignment="1">
      <alignment horizontal="right" shrinkToFit="1"/>
    </xf>
    <xf numFmtId="0" fontId="3" fillId="24" borderId="0" xfId="0" applyFont="1" applyFill="1" applyBorder="1" applyAlignment="1"/>
    <xf numFmtId="0" fontId="3" fillId="21" borderId="0" xfId="0" applyFont="1" applyFill="1" applyBorder="1" applyAlignment="1">
      <alignment horizontal="left" vertical="center" textRotation="255"/>
    </xf>
    <xf numFmtId="38" fontId="13" fillId="19" borderId="152" xfId="0" applyNumberFormat="1" applyFont="1" applyFill="1" applyBorder="1" applyAlignment="1">
      <alignment horizontal="right"/>
    </xf>
    <xf numFmtId="0" fontId="3" fillId="21" borderId="141" xfId="0" applyFont="1" applyFill="1" applyBorder="1" applyAlignment="1">
      <alignment horizontal="left"/>
    </xf>
    <xf numFmtId="0" fontId="3" fillId="21" borderId="178" xfId="0" applyFont="1" applyFill="1" applyBorder="1" applyAlignment="1">
      <alignment horizontal="left"/>
    </xf>
    <xf numFmtId="0" fontId="3" fillId="21" borderId="142" xfId="0" applyFont="1" applyFill="1" applyBorder="1" applyAlignment="1">
      <alignment horizontal="left" vertical="center"/>
    </xf>
    <xf numFmtId="0" fontId="3" fillId="21" borderId="142" xfId="0" applyFont="1" applyFill="1" applyBorder="1" applyAlignment="1">
      <alignment horizontal="left"/>
    </xf>
    <xf numFmtId="0" fontId="3" fillId="21" borderId="142" xfId="0" quotePrefix="1" applyFont="1" applyFill="1" applyBorder="1" applyAlignment="1">
      <alignment horizontal="left" vertical="center"/>
    </xf>
    <xf numFmtId="0" fontId="3" fillId="19" borderId="236" xfId="0" applyFont="1" applyFill="1" applyBorder="1" applyAlignment="1">
      <alignment horizontal="right"/>
    </xf>
    <xf numFmtId="0" fontId="3" fillId="19" borderId="237" xfId="0" applyFont="1" applyFill="1" applyBorder="1" applyAlignment="1">
      <alignment horizontal="left"/>
    </xf>
    <xf numFmtId="0" fontId="3" fillId="19" borderId="244" xfId="0" applyFont="1" applyFill="1" applyBorder="1" applyAlignment="1">
      <alignment horizontal="right"/>
    </xf>
    <xf numFmtId="38" fontId="13" fillId="19" borderId="238" xfId="0" applyNumberFormat="1" applyFont="1" applyFill="1" applyBorder="1" applyAlignment="1">
      <alignment horizontal="right"/>
    </xf>
    <xf numFmtId="38" fontId="3" fillId="19" borderId="239" xfId="0" applyNumberFormat="1" applyFont="1" applyFill="1" applyBorder="1" applyAlignment="1">
      <alignment horizontal="right" shrinkToFit="1"/>
    </xf>
    <xf numFmtId="0" fontId="3" fillId="21" borderId="156" xfId="0" applyFont="1" applyFill="1" applyBorder="1" applyAlignment="1">
      <alignment horizontal="right"/>
    </xf>
    <xf numFmtId="0" fontId="3" fillId="25" borderId="236" xfId="0" applyFont="1" applyFill="1" applyBorder="1" applyAlignment="1">
      <alignment horizontal="left"/>
    </xf>
    <xf numFmtId="0" fontId="3" fillId="25" borderId="237" xfId="0" applyFont="1" applyFill="1" applyBorder="1" applyAlignment="1">
      <alignment horizontal="left"/>
    </xf>
    <xf numFmtId="0" fontId="3" fillId="25" borderId="244" xfId="0" applyFont="1" applyFill="1" applyBorder="1" applyAlignment="1">
      <alignment horizontal="right"/>
    </xf>
    <xf numFmtId="38" fontId="13" fillId="25" borderId="238" xfId="0" applyNumberFormat="1" applyFont="1" applyFill="1" applyBorder="1" applyAlignment="1">
      <alignment horizontal="right"/>
    </xf>
    <xf numFmtId="0" fontId="3" fillId="24" borderId="236" xfId="0" applyFont="1" applyFill="1" applyBorder="1" applyAlignment="1">
      <alignment horizontal="right"/>
    </xf>
    <xf numFmtId="0" fontId="3" fillId="24" borderId="237" xfId="0" applyFont="1" applyFill="1" applyBorder="1" applyAlignment="1">
      <alignment horizontal="left"/>
    </xf>
    <xf numFmtId="0" fontId="3" fillId="24" borderId="244" xfId="0" applyFont="1" applyFill="1" applyBorder="1" applyAlignment="1">
      <alignment horizontal="right"/>
    </xf>
    <xf numFmtId="38" fontId="13" fillId="24" borderId="238" xfId="0" applyNumberFormat="1" applyFont="1" applyFill="1" applyBorder="1" applyAlignment="1">
      <alignment horizontal="right"/>
    </xf>
    <xf numFmtId="38" fontId="13" fillId="24" borderId="239" xfId="0" applyNumberFormat="1" applyFont="1" applyFill="1" applyBorder="1" applyAlignment="1">
      <alignment horizontal="right"/>
    </xf>
    <xf numFmtId="0" fontId="3" fillId="21" borderId="240" xfId="0" applyFont="1" applyFill="1" applyBorder="1" applyAlignment="1"/>
    <xf numFmtId="0" fontId="3" fillId="21" borderId="241" xfId="0" applyFont="1" applyFill="1" applyBorder="1" applyAlignment="1"/>
    <xf numFmtId="0" fontId="44" fillId="21" borderId="245" xfId="0" applyFont="1" applyFill="1" applyBorder="1" applyAlignment="1">
      <alignment horizontal="right"/>
    </xf>
    <xf numFmtId="38" fontId="3" fillId="21" borderId="242" xfId="0" applyNumberFormat="1" applyFont="1" applyFill="1" applyBorder="1" applyAlignment="1"/>
    <xf numFmtId="38" fontId="3" fillId="21" borderId="243" xfId="0" applyNumberFormat="1" applyFont="1" applyFill="1" applyBorder="1" applyAlignment="1"/>
    <xf numFmtId="0" fontId="3" fillId="21" borderId="230" xfId="0" applyFont="1" applyFill="1" applyBorder="1" applyAlignment="1"/>
    <xf numFmtId="0" fontId="3" fillId="21" borderId="87" xfId="0" applyFont="1" applyFill="1" applyBorder="1" applyAlignment="1"/>
    <xf numFmtId="38" fontId="45" fillId="21" borderId="87" xfId="0" applyNumberFormat="1" applyFont="1" applyFill="1" applyBorder="1" applyAlignment="1">
      <alignment shrinkToFit="1"/>
    </xf>
    <xf numFmtId="38" fontId="45" fillId="21" borderId="87" xfId="0" applyNumberFormat="1" applyFont="1" applyFill="1" applyBorder="1" applyAlignment="1"/>
    <xf numFmtId="0" fontId="3" fillId="21" borderId="0" xfId="0" applyFont="1" applyFill="1" applyBorder="1" applyAlignment="1">
      <alignment shrinkToFit="1"/>
    </xf>
    <xf numFmtId="0" fontId="49" fillId="17" borderId="213" xfId="0" applyFont="1" applyFill="1" applyBorder="1" applyAlignment="1" applyProtection="1">
      <alignment horizontal="center" vertical="center" wrapText="1" shrinkToFit="1"/>
    </xf>
    <xf numFmtId="3" fontId="13" fillId="0" borderId="164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217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/>
    <xf numFmtId="177" fontId="13" fillId="19" borderId="166" xfId="0" applyNumberFormat="1" applyFont="1" applyFill="1" applyBorder="1" applyAlignment="1" applyProtection="1">
      <alignment horizontal="center" vertical="center" shrinkToFit="1"/>
    </xf>
    <xf numFmtId="0" fontId="13" fillId="0" borderId="73" xfId="1" applyNumberFormat="1" applyFont="1" applyBorder="1" applyAlignment="1" applyProtection="1">
      <alignment horizontal="center" vertical="center" shrinkToFit="1"/>
      <protection locked="0"/>
    </xf>
    <xf numFmtId="0" fontId="13" fillId="0" borderId="76" xfId="1" applyNumberFormat="1" applyFont="1" applyBorder="1" applyAlignment="1" applyProtection="1">
      <alignment horizontal="center" vertical="center" shrinkToFit="1"/>
      <protection locked="0"/>
    </xf>
    <xf numFmtId="38" fontId="3" fillId="0" borderId="200" xfId="1" applyFont="1" applyFill="1" applyBorder="1" applyAlignment="1">
      <alignment horizontal="right"/>
    </xf>
    <xf numFmtId="38" fontId="3" fillId="0" borderId="31" xfId="1" applyFont="1" applyFill="1" applyBorder="1" applyAlignment="1">
      <alignment horizontal="right"/>
    </xf>
    <xf numFmtId="0" fontId="3" fillId="21" borderId="87" xfId="0" applyFont="1" applyFill="1" applyBorder="1" applyAlignment="1">
      <alignment horizontal="center"/>
    </xf>
    <xf numFmtId="0" fontId="3" fillId="21" borderId="225" xfId="0" applyFont="1" applyFill="1" applyBorder="1" applyAlignment="1">
      <alignment horizontal="left" vertical="center"/>
    </xf>
    <xf numFmtId="0" fontId="3" fillId="21" borderId="225" xfId="0" applyFont="1" applyFill="1" applyBorder="1" applyAlignment="1">
      <alignment horizontal="left"/>
    </xf>
    <xf numFmtId="0" fontId="3" fillId="21" borderId="225" xfId="0" applyFont="1" applyFill="1" applyBorder="1" applyAlignment="1">
      <alignment horizontal="center"/>
    </xf>
    <xf numFmtId="38" fontId="3" fillId="21" borderId="225" xfId="0" applyNumberFormat="1" applyFont="1" applyFill="1" applyBorder="1" applyAlignment="1">
      <alignment horizontal="right" shrinkToFit="1"/>
    </xf>
    <xf numFmtId="38" fontId="3" fillId="21" borderId="248" xfId="0" applyNumberFormat="1" applyFont="1" applyFill="1" applyBorder="1" applyAlignment="1">
      <alignment horizontal="right" shrinkToFit="1"/>
    </xf>
    <xf numFmtId="0" fontId="46" fillId="21" borderId="0" xfId="0" applyFont="1" applyFill="1" applyBorder="1" applyAlignment="1">
      <alignment horizontal="right"/>
    </xf>
    <xf numFmtId="38" fontId="3" fillId="21" borderId="98" xfId="0" applyNumberFormat="1" applyFont="1" applyFill="1" applyBorder="1" applyAlignment="1">
      <alignment horizontal="right" shrinkToFit="1"/>
    </xf>
    <xf numFmtId="38" fontId="3" fillId="0" borderId="98" xfId="0" applyNumberFormat="1" applyFont="1" applyFill="1" applyBorder="1" applyAlignment="1">
      <alignment horizontal="right" shrinkToFit="1"/>
    </xf>
    <xf numFmtId="0" fontId="3" fillId="21" borderId="225" xfId="0" applyFont="1" applyFill="1" applyBorder="1" applyAlignment="1">
      <alignment horizontal="center" vertical="center"/>
    </xf>
    <xf numFmtId="0" fontId="45" fillId="21" borderId="87" xfId="0" applyFont="1" applyFill="1" applyBorder="1" applyAlignment="1">
      <alignment horizontal="distributed"/>
    </xf>
    <xf numFmtId="0" fontId="45" fillId="21" borderId="87" xfId="0" applyFont="1" applyFill="1" applyBorder="1" applyAlignment="1">
      <alignment horizontal="right"/>
    </xf>
    <xf numFmtId="0" fontId="45" fillId="21" borderId="235" xfId="0" applyFont="1" applyFill="1" applyBorder="1" applyAlignment="1">
      <alignment horizontal="center"/>
    </xf>
    <xf numFmtId="38" fontId="3" fillId="0" borderId="89" xfId="0" applyNumberFormat="1" applyFont="1" applyFill="1" applyBorder="1" applyAlignment="1">
      <alignment horizontal="right" shrinkToFit="1"/>
    </xf>
    <xf numFmtId="0" fontId="3" fillId="21" borderId="233" xfId="0" applyFont="1" applyFill="1" applyBorder="1" applyAlignment="1"/>
    <xf numFmtId="0" fontId="44" fillId="21" borderId="233" xfId="0" applyFont="1" applyFill="1" applyBorder="1" applyAlignment="1"/>
    <xf numFmtId="0" fontId="46" fillId="21" borderId="85" xfId="0" applyFont="1" applyFill="1" applyBorder="1" applyAlignment="1">
      <alignment horizontal="right"/>
    </xf>
    <xf numFmtId="38" fontId="3" fillId="0" borderId="85" xfId="0" applyNumberFormat="1" applyFont="1" applyFill="1" applyBorder="1" applyAlignment="1">
      <alignment horizontal="right" shrinkToFit="1"/>
    </xf>
    <xf numFmtId="0" fontId="46" fillId="21" borderId="89" xfId="0" applyFont="1" applyFill="1" applyBorder="1" applyAlignment="1">
      <alignment horizontal="right"/>
    </xf>
    <xf numFmtId="0" fontId="3" fillId="21" borderId="176" xfId="0" applyFont="1" applyFill="1" applyBorder="1" applyAlignment="1">
      <alignment horizontal="left"/>
    </xf>
    <xf numFmtId="0" fontId="46" fillId="21" borderId="226" xfId="0" applyFont="1" applyFill="1" applyBorder="1" applyAlignment="1">
      <alignment horizontal="right"/>
    </xf>
    <xf numFmtId="0" fontId="3" fillId="21" borderId="82" xfId="0" applyFont="1" applyFill="1" applyBorder="1" applyAlignment="1">
      <alignment horizontal="right"/>
    </xf>
    <xf numFmtId="0" fontId="34" fillId="0" borderId="39" xfId="0" applyFont="1" applyBorder="1" applyAlignment="1" applyProtection="1">
      <alignment vertical="center" shrinkToFit="1"/>
      <protection locked="0"/>
    </xf>
    <xf numFmtId="0" fontId="3" fillId="0" borderId="226" xfId="0" applyFont="1" applyFill="1" applyBorder="1" applyAlignment="1">
      <alignment vertical="center" shrinkToFit="1"/>
    </xf>
    <xf numFmtId="38" fontId="3" fillId="17" borderId="200" xfId="0" applyNumberFormat="1" applyFont="1" applyFill="1" applyBorder="1" applyAlignment="1">
      <alignment horizontal="right" shrinkToFit="1"/>
    </xf>
    <xf numFmtId="38" fontId="3" fillId="17" borderId="100" xfId="0" applyNumberFormat="1" applyFont="1" applyFill="1" applyBorder="1" applyAlignment="1">
      <alignment horizontal="right" shrinkToFit="1"/>
    </xf>
    <xf numFmtId="0" fontId="13" fillId="0" borderId="250" xfId="0" applyNumberFormat="1" applyFont="1" applyBorder="1" applyAlignment="1" applyProtection="1">
      <alignment horizontal="right" vertical="center"/>
      <protection locked="0"/>
    </xf>
    <xf numFmtId="0" fontId="13" fillId="0" borderId="251" xfId="0" applyFont="1" applyBorder="1" applyAlignment="1" applyProtection="1">
      <alignment vertical="center"/>
      <protection locked="0"/>
    </xf>
    <xf numFmtId="0" fontId="13" fillId="0" borderId="252" xfId="0" applyFont="1" applyBorder="1" applyAlignment="1" applyProtection="1">
      <alignment vertical="center" wrapText="1"/>
      <protection locked="0"/>
    </xf>
    <xf numFmtId="186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2" xfId="0" applyFont="1" applyBorder="1" applyAlignment="1" applyProtection="1">
      <alignment horizontal="center" vertical="center" shrinkToFit="1"/>
      <protection locked="0"/>
    </xf>
    <xf numFmtId="38" fontId="13" fillId="0" borderId="252" xfId="0" applyNumberFormat="1" applyFont="1" applyBorder="1" applyAlignment="1" applyProtection="1">
      <alignment vertical="center" shrinkToFit="1"/>
      <protection locked="0"/>
    </xf>
    <xf numFmtId="177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3" xfId="0" applyFont="1" applyBorder="1" applyAlignment="1" applyProtection="1">
      <alignment vertical="center"/>
      <protection locked="0"/>
    </xf>
    <xf numFmtId="0" fontId="13" fillId="0" borderId="77" xfId="0" applyFont="1" applyBorder="1" applyAlignment="1" applyProtection="1">
      <alignment horizontal="right" vertical="center"/>
      <protection locked="0"/>
    </xf>
    <xf numFmtId="186" fontId="13" fillId="0" borderId="63" xfId="0" applyNumberFormat="1" applyFont="1" applyBorder="1" applyAlignment="1" applyProtection="1">
      <alignment vertical="center" shrinkToFit="1"/>
      <protection locked="0"/>
    </xf>
    <xf numFmtId="38" fontId="13" fillId="0" borderId="63" xfId="0" applyNumberFormat="1" applyFont="1" applyBorder="1" applyAlignment="1" applyProtection="1">
      <alignment vertical="center" shrinkToFit="1"/>
      <protection locked="0"/>
    </xf>
    <xf numFmtId="177" fontId="13" fillId="0" borderId="63" xfId="0" applyNumberFormat="1" applyFont="1" applyBorder="1" applyAlignment="1" applyProtection="1">
      <alignment vertical="center" shrinkToFit="1"/>
      <protection locked="0"/>
    </xf>
    <xf numFmtId="0" fontId="13" fillId="0" borderId="254" xfId="0" applyFont="1" applyBorder="1" applyAlignment="1" applyProtection="1">
      <alignment vertical="center"/>
      <protection locked="0"/>
    </xf>
    <xf numFmtId="0" fontId="13" fillId="0" borderId="250" xfId="0" applyFont="1" applyBorder="1" applyAlignment="1" applyProtection="1">
      <alignment horizontal="right" vertical="center"/>
      <protection locked="0"/>
    </xf>
    <xf numFmtId="38" fontId="13" fillId="0" borderId="247" xfId="1" applyFont="1" applyBorder="1" applyAlignment="1" applyProtection="1">
      <alignment horizontal="center" vertical="center" shrinkToFit="1"/>
    </xf>
    <xf numFmtId="38" fontId="13" fillId="0" borderId="217" xfId="1" applyFont="1" applyBorder="1" applyAlignment="1" applyProtection="1">
      <alignment horizontal="center" vertical="center" shrinkToFit="1"/>
    </xf>
    <xf numFmtId="0" fontId="11" fillId="0" borderId="0" xfId="0" applyFont="1" applyFill="1" applyBorder="1" applyAlignment="1">
      <alignment horizontal="center"/>
    </xf>
    <xf numFmtId="0" fontId="11" fillId="21" borderId="227" xfId="0" applyFont="1" applyFill="1" applyBorder="1" applyAlignment="1">
      <alignment horizontal="center"/>
    </xf>
    <xf numFmtId="0" fontId="3" fillId="21" borderId="205" xfId="0" applyFont="1" applyFill="1" applyBorder="1" applyAlignment="1"/>
    <xf numFmtId="0" fontId="11" fillId="21" borderId="0" xfId="0" applyFont="1" applyFill="1" applyBorder="1" applyAlignment="1"/>
    <xf numFmtId="0" fontId="11" fillId="26" borderId="14" xfId="0" applyFont="1" applyFill="1" applyBorder="1" applyAlignment="1"/>
    <xf numFmtId="0" fontId="11" fillId="26" borderId="15" xfId="0" applyFont="1" applyFill="1" applyBorder="1" applyAlignment="1"/>
    <xf numFmtId="0" fontId="11" fillId="26" borderId="11" xfId="0" applyFont="1" applyFill="1" applyBorder="1" applyAlignment="1">
      <alignment horizontal="center"/>
    </xf>
    <xf numFmtId="0" fontId="3" fillId="23" borderId="23" xfId="0" applyFont="1" applyFill="1" applyBorder="1" applyAlignment="1">
      <alignment horizontal="right"/>
    </xf>
    <xf numFmtId="0" fontId="3" fillId="0" borderId="206" xfId="0" applyFont="1" applyBorder="1" applyAlignment="1">
      <alignment horizontal="center" vertic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" fillId="0" borderId="215" xfId="0" applyFont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0" borderId="257" xfId="0" applyFont="1" applyBorder="1" applyAlignment="1">
      <alignment vertical="center"/>
    </xf>
    <xf numFmtId="0" fontId="13" fillId="27" borderId="39" xfId="0" applyFont="1" applyFill="1" applyBorder="1" applyAlignment="1" applyProtection="1">
      <alignment vertical="center"/>
      <protection locked="0"/>
    </xf>
    <xf numFmtId="38" fontId="13" fillId="27" borderId="39" xfId="1" applyFont="1" applyFill="1" applyBorder="1" applyAlignment="1" applyProtection="1">
      <alignment vertical="center"/>
      <protection locked="0"/>
    </xf>
    <xf numFmtId="176" fontId="13" fillId="28" borderId="78" xfId="0" applyNumberFormat="1" applyFont="1" applyFill="1" applyBorder="1" applyAlignment="1" applyProtection="1">
      <alignment vertical="center"/>
      <protection locked="0"/>
    </xf>
    <xf numFmtId="179" fontId="13" fillId="28" borderId="70" xfId="0" applyNumberFormat="1" applyFont="1" applyFill="1" applyBorder="1" applyAlignment="1" applyProtection="1">
      <alignment vertical="center"/>
      <protection locked="0"/>
    </xf>
    <xf numFmtId="0" fontId="13" fillId="28" borderId="70" xfId="0" applyFont="1" applyFill="1" applyBorder="1" applyAlignment="1" applyProtection="1">
      <alignment vertical="center"/>
      <protection locked="0"/>
    </xf>
    <xf numFmtId="38" fontId="13" fillId="25" borderId="239" xfId="0" applyNumberFormat="1" applyFont="1" applyFill="1" applyBorder="1" applyAlignment="1">
      <alignment horizontal="right"/>
    </xf>
    <xf numFmtId="38" fontId="45" fillId="0" borderId="31" xfId="0" applyNumberFormat="1" applyFont="1" applyFill="1" applyBorder="1" applyAlignment="1">
      <alignment horizontal="right" shrinkToFit="1"/>
    </xf>
    <xf numFmtId="0" fontId="26" fillId="29" borderId="0" xfId="0" applyFont="1" applyFill="1" applyProtection="1">
      <protection locked="0"/>
    </xf>
    <xf numFmtId="0" fontId="26" fillId="29" borderId="12" xfId="0" applyFont="1" applyFill="1" applyBorder="1" applyProtection="1">
      <protection locked="0"/>
    </xf>
    <xf numFmtId="0" fontId="26" fillId="29" borderId="13" xfId="0" applyFont="1" applyFill="1" applyBorder="1" applyProtection="1">
      <protection locked="0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 shrinkToFit="1"/>
    </xf>
    <xf numFmtId="0" fontId="51" fillId="0" borderId="0" xfId="0" applyFont="1" applyFill="1" applyBorder="1" applyAlignment="1">
      <alignment horizontal="right" shrinkToFit="1"/>
    </xf>
    <xf numFmtId="0" fontId="51" fillId="0" borderId="0" xfId="0" applyFont="1" applyFill="1" applyBorder="1" applyAlignment="1">
      <alignment horizontal="center" shrinkToFit="1"/>
    </xf>
    <xf numFmtId="0" fontId="4" fillId="0" borderId="0" xfId="0" applyFont="1" applyBorder="1" applyAlignment="1">
      <alignment vertical="center"/>
    </xf>
    <xf numFmtId="0" fontId="52" fillId="28" borderId="12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 shrinkToFit="1"/>
    </xf>
    <xf numFmtId="0" fontId="9" fillId="0" borderId="224" xfId="0" applyFont="1" applyFill="1" applyBorder="1" applyAlignment="1">
      <alignment horizontal="right" vertical="center"/>
    </xf>
    <xf numFmtId="0" fontId="9" fillId="0" borderId="225" xfId="0" applyFont="1" applyFill="1" applyBorder="1" applyAlignment="1">
      <alignment horizontal="right" vertical="center"/>
    </xf>
    <xf numFmtId="0" fontId="4" fillId="0" borderId="225" xfId="0" applyFont="1" applyBorder="1" applyAlignment="1">
      <alignment vertical="center"/>
    </xf>
    <xf numFmtId="0" fontId="53" fillId="0" borderId="225" xfId="0" applyFont="1" applyFill="1" applyBorder="1" applyAlignment="1">
      <alignment horizontal="center" vertical="center"/>
    </xf>
    <xf numFmtId="0" fontId="9" fillId="0" borderId="225" xfId="0" applyFont="1" applyFill="1" applyBorder="1" applyAlignment="1">
      <alignment horizontal="center" vertical="center"/>
    </xf>
    <xf numFmtId="0" fontId="9" fillId="30" borderId="231" xfId="0" applyFont="1" applyFill="1" applyBorder="1" applyAlignment="1">
      <alignment horizontal="center" vertical="center"/>
    </xf>
    <xf numFmtId="177" fontId="54" fillId="0" borderId="82" xfId="0" applyNumberFormat="1" applyFont="1" applyFill="1" applyBorder="1" applyAlignment="1">
      <alignment horizontal="center" vertical="center" shrinkToFit="1"/>
    </xf>
    <xf numFmtId="177" fontId="9" fillId="0" borderId="231" xfId="0" applyNumberFormat="1" applyFont="1" applyFill="1" applyBorder="1" applyAlignment="1">
      <alignment horizontal="right" vertical="center"/>
    </xf>
    <xf numFmtId="177" fontId="9" fillId="0" borderId="231" xfId="0" applyNumberFormat="1" applyFont="1" applyFill="1" applyBorder="1" applyAlignment="1">
      <alignment vertical="center" shrinkToFit="1"/>
    </xf>
    <xf numFmtId="177" fontId="9" fillId="0" borderId="231" xfId="0" applyNumberFormat="1" applyFont="1" applyFill="1" applyBorder="1" applyAlignment="1">
      <alignment horizontal="right" vertical="center" shrinkToFit="1"/>
    </xf>
    <xf numFmtId="177" fontId="9" fillId="0" borderId="248" xfId="0" applyNumberFormat="1" applyFont="1" applyFill="1" applyBorder="1" applyAlignment="1">
      <alignment vertical="center" shrinkToFit="1"/>
    </xf>
    <xf numFmtId="0" fontId="9" fillId="0" borderId="226" xfId="0" applyFont="1" applyFill="1" applyBorder="1" applyAlignment="1">
      <alignment horizontal="right" vertical="center"/>
    </xf>
    <xf numFmtId="0" fontId="9" fillId="0" borderId="139" xfId="0" applyFont="1" applyFill="1" applyBorder="1" applyAlignment="1">
      <alignment horizontal="center" vertical="center"/>
    </xf>
    <xf numFmtId="177" fontId="9" fillId="0" borderId="120" xfId="0" applyNumberFormat="1" applyFont="1" applyFill="1" applyBorder="1" applyAlignment="1">
      <alignment horizontal="right" vertical="center"/>
    </xf>
    <xf numFmtId="177" fontId="9" fillId="0" borderId="120" xfId="0" applyNumberFormat="1" applyFont="1" applyFill="1" applyBorder="1" applyAlignment="1">
      <alignment vertical="center" shrinkToFit="1"/>
    </xf>
    <xf numFmtId="177" fontId="9" fillId="0" borderId="120" xfId="0" applyNumberFormat="1" applyFont="1" applyFill="1" applyBorder="1" applyAlignment="1">
      <alignment horizontal="right" vertical="center" shrinkToFit="1"/>
    </xf>
    <xf numFmtId="177" fontId="9" fillId="0" borderId="259" xfId="0" applyNumberFormat="1" applyFont="1" applyFill="1" applyBorder="1" applyAlignment="1">
      <alignment vertical="center" shrinkToFit="1"/>
    </xf>
    <xf numFmtId="0" fontId="9" fillId="0" borderId="14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center" vertical="center"/>
    </xf>
    <xf numFmtId="177" fontId="9" fillId="0" borderId="151" xfId="0" applyNumberFormat="1" applyFont="1" applyFill="1" applyBorder="1" applyAlignment="1">
      <alignment horizontal="right" vertical="center"/>
    </xf>
    <xf numFmtId="177" fontId="9" fillId="0" borderId="151" xfId="0" applyNumberFormat="1" applyFont="1" applyFill="1" applyBorder="1" applyAlignment="1">
      <alignment vertical="center" shrinkToFit="1"/>
    </xf>
    <xf numFmtId="177" fontId="9" fillId="0" borderId="151" xfId="0" applyNumberFormat="1" applyFont="1" applyFill="1" applyBorder="1" applyAlignment="1">
      <alignment horizontal="right" vertical="center" shrinkToFit="1"/>
    </xf>
    <xf numFmtId="177" fontId="9" fillId="0" borderId="123" xfId="0" applyNumberFormat="1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distributed" vertical="center"/>
    </xf>
    <xf numFmtId="0" fontId="11" fillId="0" borderId="0" xfId="0" applyFont="1" applyFill="1" applyBorder="1" applyAlignment="1">
      <alignment horizontal="left" vertical="center"/>
    </xf>
    <xf numFmtId="0" fontId="53" fillId="0" borderId="0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224" xfId="0" applyFont="1" applyFill="1" applyBorder="1" applyAlignment="1">
      <alignment horizontal="right"/>
    </xf>
    <xf numFmtId="0" fontId="4" fillId="0" borderId="225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distributed"/>
    </xf>
    <xf numFmtId="0" fontId="44" fillId="0" borderId="178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right"/>
    </xf>
    <xf numFmtId="190" fontId="4" fillId="0" borderId="82" xfId="0" applyNumberFormat="1" applyFont="1" applyFill="1" applyBorder="1" applyAlignment="1">
      <alignment horizontal="center" shrinkToFit="1"/>
    </xf>
    <xf numFmtId="190" fontId="4" fillId="0" borderId="200" xfId="0" applyNumberFormat="1" applyFont="1" applyFill="1" applyBorder="1" applyAlignment="1">
      <alignment horizontal="center" shrinkToFit="1"/>
    </xf>
    <xf numFmtId="0" fontId="51" fillId="0" borderId="0" xfId="0" applyFont="1" applyFill="1" applyBorder="1" applyAlignment="1"/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141" xfId="0" applyFont="1" applyFill="1" applyBorder="1" applyAlignment="1">
      <alignment horizontal="distributed"/>
    </xf>
    <xf numFmtId="0" fontId="44" fillId="0" borderId="141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right"/>
    </xf>
    <xf numFmtId="190" fontId="4" fillId="0" borderId="95" xfId="0" applyNumberFormat="1" applyFont="1" applyFill="1" applyBorder="1" applyAlignment="1">
      <alignment horizontal="center" shrinkToFit="1"/>
    </xf>
    <xf numFmtId="190" fontId="4" fillId="0" borderId="99" xfId="0" applyNumberFormat="1" applyFont="1" applyFill="1" applyBorder="1" applyAlignment="1">
      <alignment horizontal="center" shrinkToFit="1"/>
    </xf>
    <xf numFmtId="38" fontId="9" fillId="0" borderId="120" xfId="0" applyNumberFormat="1" applyFont="1" applyFill="1" applyBorder="1" applyAlignment="1">
      <alignment horizontal="center" shrinkToFit="1"/>
    </xf>
    <xf numFmtId="38" fontId="9" fillId="0" borderId="122" xfId="0" applyNumberFormat="1" applyFont="1" applyFill="1" applyBorder="1" applyAlignment="1">
      <alignment horizontal="center" shrinkToFit="1"/>
    </xf>
    <xf numFmtId="0" fontId="4" fillId="0" borderId="0" xfId="0" applyFont="1" applyFill="1" applyBorder="1" applyAlignment="1"/>
    <xf numFmtId="38" fontId="4" fillId="11" borderId="95" xfId="0" applyNumberFormat="1" applyFont="1" applyFill="1" applyBorder="1" applyAlignment="1">
      <alignment horizontal="center" vertical="center" shrinkToFit="1"/>
    </xf>
    <xf numFmtId="38" fontId="4" fillId="11" borderId="99" xfId="0" applyNumberFormat="1" applyFont="1" applyFill="1" applyBorder="1" applyAlignment="1">
      <alignment horizontal="center" vertical="center" shrinkToFit="1"/>
    </xf>
    <xf numFmtId="38" fontId="4" fillId="11" borderId="89" xfId="0" applyNumberFormat="1" applyFont="1" applyFill="1" applyBorder="1" applyAlignment="1">
      <alignment horizontal="center" vertical="center" shrinkToFit="1"/>
    </xf>
    <xf numFmtId="38" fontId="4" fillId="11" borderId="100" xfId="0" applyNumberFormat="1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1" xfId="0" applyFont="1" applyFill="1" applyBorder="1" applyAlignment="1">
      <alignment horizontal="center"/>
    </xf>
    <xf numFmtId="38" fontId="9" fillId="0" borderId="151" xfId="0" applyNumberFormat="1" applyFont="1" applyFill="1" applyBorder="1" applyAlignment="1">
      <alignment horizontal="right"/>
    </xf>
    <xf numFmtId="38" fontId="9" fillId="0" borderId="151" xfId="0" applyNumberFormat="1" applyFont="1" applyFill="1" applyBorder="1" applyAlignment="1">
      <alignment horizontal="right" shrinkToFit="1"/>
    </xf>
    <xf numFmtId="38" fontId="9" fillId="0" borderId="152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/>
    </xf>
    <xf numFmtId="38" fontId="9" fillId="28" borderId="82" xfId="0" applyNumberFormat="1" applyFont="1" applyFill="1" applyBorder="1" applyAlignment="1">
      <alignment horizontal="right" shrinkToFit="1"/>
    </xf>
    <xf numFmtId="38" fontId="9" fillId="28" borderId="200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 shrinkToFit="1"/>
    </xf>
    <xf numFmtId="38" fontId="9" fillId="0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/>
    </xf>
    <xf numFmtId="38" fontId="9" fillId="0" borderId="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 shrinkToFit="1"/>
    </xf>
    <xf numFmtId="177" fontId="24" fillId="0" borderId="23" xfId="0" applyNumberFormat="1" applyFont="1" applyFill="1" applyBorder="1" applyAlignment="1">
      <alignment horizontal="right" vertical="center" shrinkToFit="1"/>
    </xf>
    <xf numFmtId="177" fontId="24" fillId="0" borderId="31" xfId="0" applyNumberFormat="1" applyFont="1" applyFill="1" applyBorder="1" applyAlignment="1">
      <alignment horizontal="right" vertical="center" shrinkToFit="1"/>
    </xf>
    <xf numFmtId="177" fontId="24" fillId="0" borderId="0" xfId="0" applyNumberFormat="1" applyFont="1" applyFill="1" applyBorder="1" applyAlignment="1">
      <alignment horizontal="right" vertical="center" shrinkToFit="1"/>
    </xf>
    <xf numFmtId="38" fontId="9" fillId="28" borderId="23" xfId="0" applyNumberFormat="1" applyFont="1" applyFill="1" applyBorder="1" applyAlignment="1">
      <alignment horizontal="right" shrinkToFit="1"/>
    </xf>
    <xf numFmtId="38" fontId="9" fillId="28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right"/>
    </xf>
    <xf numFmtId="38" fontId="9" fillId="0" borderId="121" xfId="0" applyNumberFormat="1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 shrinkToFit="1"/>
    </xf>
    <xf numFmtId="38" fontId="9" fillId="28" borderId="204" xfId="0" applyNumberFormat="1" applyFont="1" applyFill="1" applyBorder="1" applyAlignment="1">
      <alignment horizontal="right" shrinkToFit="1"/>
    </xf>
    <xf numFmtId="0" fontId="44" fillId="0" borderId="226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left"/>
    </xf>
    <xf numFmtId="0" fontId="56" fillId="0" borderId="258" xfId="0" applyFont="1" applyFill="1" applyBorder="1" applyAlignment="1">
      <alignment horizontal="left"/>
    </xf>
    <xf numFmtId="0" fontId="4" fillId="0" borderId="89" xfId="0" applyFont="1" applyFill="1" applyBorder="1" applyAlignment="1">
      <alignment horizontal="center"/>
    </xf>
    <xf numFmtId="0" fontId="9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right" shrinkToFit="1"/>
    </xf>
    <xf numFmtId="0" fontId="9" fillId="0" borderId="100" xfId="0" applyFont="1" applyFill="1" applyBorder="1" applyAlignment="1">
      <alignment horizontal="right" shrinkToFit="1"/>
    </xf>
    <xf numFmtId="0" fontId="17" fillId="0" borderId="142" xfId="0" applyFont="1" applyFill="1" applyBorder="1" applyAlignment="1">
      <alignment horizontal="left"/>
    </xf>
    <xf numFmtId="0" fontId="4" fillId="0" borderId="142" xfId="0" quotePrefix="1" applyFont="1" applyFill="1" applyBorder="1" applyAlignment="1">
      <alignment horizontal="left" shrinkToFit="1"/>
    </xf>
    <xf numFmtId="0" fontId="4" fillId="0" borderId="142" xfId="0" quotePrefix="1" applyFont="1" applyFill="1" applyBorder="1" applyAlignment="1">
      <alignment horizontal="left"/>
    </xf>
    <xf numFmtId="0" fontId="51" fillId="0" borderId="139" xfId="0" applyFont="1" applyFill="1" applyBorder="1" applyAlignment="1">
      <alignment horizontal="left" shrinkToFit="1"/>
    </xf>
    <xf numFmtId="0" fontId="4" fillId="0" borderId="139" xfId="0" applyFont="1" applyFill="1" applyBorder="1" applyAlignment="1">
      <alignment horizontal="left" shrinkToFit="1"/>
    </xf>
    <xf numFmtId="0" fontId="4" fillId="0" borderId="120" xfId="0" applyFont="1" applyFill="1" applyBorder="1" applyAlignment="1">
      <alignment horizontal="right"/>
    </xf>
    <xf numFmtId="177" fontId="24" fillId="31" borderId="23" xfId="0" applyNumberFormat="1" applyFont="1" applyFill="1" applyBorder="1" applyAlignment="1">
      <alignment horizontal="right" vertical="center" shrinkToFit="1"/>
    </xf>
    <xf numFmtId="177" fontId="24" fillId="31" borderId="31" xfId="0" applyNumberFormat="1" applyFont="1" applyFill="1" applyBorder="1" applyAlignment="1">
      <alignment horizontal="right" vertical="center" shrinkToFit="1"/>
    </xf>
    <xf numFmtId="0" fontId="4" fillId="0" borderId="176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/>
    </xf>
    <xf numFmtId="38" fontId="9" fillId="0" borderId="85" xfId="0" applyNumberFormat="1" applyFont="1" applyFill="1" applyBorder="1" applyAlignment="1">
      <alignment horizontal="right"/>
    </xf>
    <xf numFmtId="38" fontId="9" fillId="28" borderId="85" xfId="0" applyNumberFormat="1" applyFont="1" applyFill="1" applyBorder="1" applyAlignment="1">
      <alignment horizontal="right" shrinkToFit="1"/>
    </xf>
    <xf numFmtId="38" fontId="9" fillId="28" borderId="98" xfId="0" applyNumberFormat="1" applyFont="1" applyFill="1" applyBorder="1" applyAlignment="1">
      <alignment horizontal="right" shrinkToFit="1"/>
    </xf>
    <xf numFmtId="0" fontId="24" fillId="0" borderId="89" xfId="0" applyFont="1" applyFill="1" applyBorder="1" applyAlignment="1">
      <alignment horizontal="center" vertical="center" wrapText="1"/>
    </xf>
    <xf numFmtId="0" fontId="57" fillId="0" borderId="89" xfId="0" applyFont="1" applyFill="1" applyBorder="1" applyAlignment="1">
      <alignment horizontal="left" vertical="center"/>
    </xf>
    <xf numFmtId="38" fontId="24" fillId="0" borderId="89" xfId="0" applyNumberFormat="1" applyFont="1" applyFill="1" applyBorder="1" applyAlignment="1">
      <alignment horizontal="right" vertical="center"/>
    </xf>
    <xf numFmtId="38" fontId="24" fillId="0" borderId="89" xfId="0" applyNumberFormat="1" applyFont="1" applyFill="1" applyBorder="1" applyAlignment="1">
      <alignment horizontal="right" vertical="center" shrinkToFit="1"/>
    </xf>
    <xf numFmtId="38" fontId="24" fillId="0" borderId="261" xfId="0" applyNumberFormat="1" applyFont="1" applyFill="1" applyBorder="1" applyAlignment="1">
      <alignment horizontal="right" vertical="center" shrinkToFit="1"/>
    </xf>
    <xf numFmtId="0" fontId="24" fillId="0" borderId="82" xfId="0" applyFont="1" applyFill="1" applyBorder="1" applyAlignment="1">
      <alignment horizontal="left" vertical="center" shrinkToFit="1"/>
    </xf>
    <xf numFmtId="0" fontId="24" fillId="0" borderId="23" xfId="0" applyNumberFormat="1" applyFont="1" applyFill="1" applyBorder="1" applyAlignment="1">
      <alignment horizontal="right" vertical="center" shrinkToFit="1"/>
    </xf>
    <xf numFmtId="10" fontId="24" fillId="0" borderId="23" xfId="0" quotePrefix="1" applyNumberFormat="1" applyFont="1" applyFill="1" applyBorder="1" applyAlignment="1">
      <alignment horizontal="right" vertical="center" shrinkToFit="1"/>
    </xf>
    <xf numFmtId="177" fontId="24" fillId="0" borderId="23" xfId="0" applyNumberFormat="1" applyFont="1" applyFill="1" applyBorder="1" applyAlignment="1">
      <alignment horizontal="right" vertical="center"/>
    </xf>
    <xf numFmtId="177" fontId="24" fillId="0" borderId="31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24" fillId="0" borderId="23" xfId="0" applyFont="1" applyFill="1" applyBorder="1" applyAlignment="1">
      <alignment horizontal="left" vertical="center" shrinkToFit="1"/>
    </xf>
    <xf numFmtId="10" fontId="24" fillId="0" borderId="23" xfId="0" applyNumberFormat="1" applyFont="1" applyFill="1" applyBorder="1" applyAlignment="1">
      <alignment horizontal="right" vertical="center" shrinkToFit="1"/>
    </xf>
    <xf numFmtId="49" fontId="24" fillId="0" borderId="142" xfId="0" applyNumberFormat="1" applyFont="1" applyFill="1" applyBorder="1" applyAlignment="1">
      <alignment horizontal="left" vertical="center" shrinkToFit="1"/>
    </xf>
    <xf numFmtId="0" fontId="24" fillId="0" borderId="23" xfId="0" applyFont="1" applyFill="1" applyBorder="1" applyAlignment="1">
      <alignment vertical="center" shrinkToFit="1"/>
    </xf>
    <xf numFmtId="0" fontId="24" fillId="0" borderId="23" xfId="0" quotePrefix="1" applyFont="1" applyFill="1" applyBorder="1" applyAlignment="1">
      <alignment horizontal="left" vertical="center" shrinkToFit="1"/>
    </xf>
    <xf numFmtId="0" fontId="58" fillId="30" borderId="120" xfId="0" applyFont="1" applyFill="1" applyBorder="1" applyAlignment="1">
      <alignment horizontal="center" vertical="center" shrinkToFit="1"/>
    </xf>
    <xf numFmtId="0" fontId="58" fillId="30" borderId="23" xfId="0" applyFont="1" applyFill="1" applyBorder="1" applyAlignment="1">
      <alignment horizontal="left" vertical="center" shrinkToFit="1"/>
    </xf>
    <xf numFmtId="0" fontId="58" fillId="30" borderId="262" xfId="0" applyFont="1" applyFill="1" applyBorder="1" applyAlignment="1">
      <alignment horizontal="center" vertical="center" shrinkToFit="1"/>
    </xf>
    <xf numFmtId="0" fontId="59" fillId="30" borderId="120" xfId="0" applyFont="1" applyFill="1" applyBorder="1" applyAlignment="1">
      <alignment horizontal="left" vertical="center" shrinkToFit="1"/>
    </xf>
    <xf numFmtId="0" fontId="24" fillId="0" borderId="120" xfId="0" applyNumberFormat="1" applyFont="1" applyFill="1" applyBorder="1" applyAlignment="1">
      <alignment horizontal="right" vertical="center" shrinkToFit="1"/>
    </xf>
    <xf numFmtId="10" fontId="24" fillId="0" borderId="120" xfId="0" applyNumberFormat="1" applyFont="1" applyFill="1" applyBorder="1" applyAlignment="1">
      <alignment horizontal="right" vertical="center" shrinkToFit="1"/>
    </xf>
    <xf numFmtId="177" fontId="24" fillId="0" borderId="120" xfId="0" applyNumberFormat="1" applyFont="1" applyFill="1" applyBorder="1" applyAlignment="1">
      <alignment horizontal="right" vertical="center"/>
    </xf>
    <xf numFmtId="177" fontId="24" fillId="0" borderId="120" xfId="0" applyNumberFormat="1" applyFont="1" applyFill="1" applyBorder="1" applyAlignment="1">
      <alignment horizontal="right" vertical="center" shrinkToFit="1"/>
    </xf>
    <xf numFmtId="177" fontId="24" fillId="0" borderId="263" xfId="0" applyNumberFormat="1" applyFont="1" applyFill="1" applyBorder="1" applyAlignment="1">
      <alignment horizontal="right" vertical="center" shrinkToFit="1"/>
    </xf>
    <xf numFmtId="0" fontId="24" fillId="0" borderId="226" xfId="0" applyFont="1" applyFill="1" applyBorder="1" applyAlignment="1">
      <alignment horizontal="right" vertical="center"/>
    </xf>
    <xf numFmtId="0" fontId="24" fillId="0" borderId="266" xfId="0" applyFont="1" applyFill="1" applyBorder="1" applyAlignment="1">
      <alignment horizontal="left" vertical="center"/>
    </xf>
    <xf numFmtId="0" fontId="24" fillId="0" borderId="266" xfId="0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 shrinkToFit="1"/>
    </xf>
    <xf numFmtId="177" fontId="24" fillId="0" borderId="267" xfId="0" applyNumberFormat="1" applyFont="1" applyFill="1" applyBorder="1" applyAlignment="1">
      <alignment horizontal="right" vertical="center" shrinkToFit="1"/>
    </xf>
    <xf numFmtId="177" fontId="24" fillId="22" borderId="266" xfId="0" applyNumberFormat="1" applyFont="1" applyFill="1" applyBorder="1" applyAlignment="1">
      <alignment horizontal="right" vertical="center" shrinkToFit="1"/>
    </xf>
    <xf numFmtId="177" fontId="17" fillId="17" borderId="266" xfId="0" applyNumberFormat="1" applyFont="1" applyFill="1" applyBorder="1" applyAlignment="1">
      <alignment horizontal="right" vertical="center" shrinkToFit="1"/>
    </xf>
    <xf numFmtId="0" fontId="24" fillId="0" borderId="270" xfId="0" applyFont="1" applyFill="1" applyBorder="1" applyAlignment="1">
      <alignment horizontal="left" vertical="center"/>
    </xf>
    <xf numFmtId="0" fontId="24" fillId="0" borderId="270" xfId="0" applyFont="1" applyFill="1" applyBorder="1" applyAlignment="1">
      <alignment horizontal="right" vertical="center"/>
    </xf>
    <xf numFmtId="177" fontId="24" fillId="0" borderId="270" xfId="0" applyNumberFormat="1" applyFont="1" applyFill="1" applyBorder="1" applyAlignment="1">
      <alignment horizontal="right" vertical="center" shrinkToFit="1"/>
    </xf>
    <xf numFmtId="0" fontId="56" fillId="0" borderId="224" xfId="0" applyFont="1" applyBorder="1" applyAlignment="1">
      <alignment vertical="center"/>
    </xf>
    <xf numFmtId="0" fontId="17" fillId="0" borderId="225" xfId="0" applyFont="1" applyBorder="1" applyAlignment="1">
      <alignment vertical="center"/>
    </xf>
    <xf numFmtId="0" fontId="17" fillId="0" borderId="231" xfId="0" applyFont="1" applyBorder="1" applyAlignment="1">
      <alignment vertical="center"/>
    </xf>
    <xf numFmtId="0" fontId="17" fillId="0" borderId="231" xfId="0" applyFont="1" applyFill="1" applyBorder="1" applyAlignment="1">
      <alignment horizontal="right" vertical="center"/>
    </xf>
    <xf numFmtId="177" fontId="17" fillId="0" borderId="231" xfId="0" applyNumberFormat="1" applyFont="1" applyBorder="1" applyAlignment="1">
      <alignment vertical="center"/>
    </xf>
    <xf numFmtId="177" fontId="17" fillId="0" borderId="231" xfId="0" applyNumberFormat="1" applyFont="1" applyBorder="1" applyAlignment="1">
      <alignment vertical="center" shrinkToFit="1"/>
    </xf>
    <xf numFmtId="0" fontId="17" fillId="0" borderId="226" xfId="0" applyFont="1" applyBorder="1" applyAlignment="1">
      <alignment vertical="center"/>
    </xf>
    <xf numFmtId="0" fontId="24" fillId="0" borderId="273" xfId="0" applyNumberFormat="1" applyFont="1" applyFill="1" applyBorder="1" applyAlignment="1">
      <alignment horizontal="right" vertical="center" shrinkToFit="1"/>
    </xf>
    <xf numFmtId="10" fontId="24" fillId="0" borderId="273" xfId="0" quotePrefix="1" applyNumberFormat="1" applyFont="1" applyFill="1" applyBorder="1" applyAlignment="1">
      <alignment horizontal="right" vertical="center" shrinkToFit="1"/>
    </xf>
    <xf numFmtId="177" fontId="17" fillId="0" borderId="273" xfId="0" applyNumberFormat="1" applyFont="1" applyBorder="1" applyAlignment="1">
      <alignment vertical="center"/>
    </xf>
    <xf numFmtId="177" fontId="17" fillId="31" borderId="273" xfId="0" applyNumberFormat="1" applyFont="1" applyFill="1" applyBorder="1" applyAlignment="1">
      <alignment vertical="center" shrinkToFit="1"/>
    </xf>
    <xf numFmtId="177" fontId="17" fillId="31" borderId="274" xfId="0" applyNumberFormat="1" applyFont="1" applyFill="1" applyBorder="1" applyAlignment="1">
      <alignment vertical="center" shrinkToFit="1"/>
    </xf>
    <xf numFmtId="0" fontId="17" fillId="0" borderId="275" xfId="0" applyFont="1" applyBorder="1" applyAlignment="1">
      <alignment vertical="center"/>
    </xf>
    <xf numFmtId="0" fontId="17" fillId="0" borderId="276" xfId="0" applyFont="1" applyBorder="1" applyAlignment="1">
      <alignment vertical="center"/>
    </xf>
    <xf numFmtId="0" fontId="17" fillId="0" borderId="277" xfId="0" applyFont="1" applyBorder="1" applyAlignment="1">
      <alignment vertical="center"/>
    </xf>
    <xf numFmtId="0" fontId="17" fillId="0" borderId="277" xfId="0" applyFont="1" applyFill="1" applyBorder="1" applyAlignment="1">
      <alignment horizontal="right" vertical="center"/>
    </xf>
    <xf numFmtId="177" fontId="17" fillId="0" borderId="277" xfId="0" applyNumberFormat="1" applyFont="1" applyBorder="1" applyAlignment="1">
      <alignment vertical="center"/>
    </xf>
    <xf numFmtId="177" fontId="17" fillId="0" borderId="278" xfId="0" applyNumberFormat="1" applyFont="1" applyBorder="1" applyAlignment="1">
      <alignment vertical="center"/>
    </xf>
    <xf numFmtId="177" fontId="24" fillId="25" borderId="266" xfId="0" applyNumberFormat="1" applyFont="1" applyFill="1" applyBorder="1" applyAlignment="1">
      <alignment horizontal="right" vertical="center" shrinkToFit="1"/>
    </xf>
    <xf numFmtId="177" fontId="24" fillId="17" borderId="266" xfId="0" applyNumberFormat="1" applyFont="1" applyFill="1" applyBorder="1" applyAlignment="1">
      <alignment horizontal="right" vertical="center" shrinkToFit="1"/>
    </xf>
    <xf numFmtId="0" fontId="58" fillId="0" borderId="268" xfId="0" applyFont="1" applyBorder="1" applyAlignment="1">
      <alignment vertical="center"/>
    </xf>
    <xf numFmtId="0" fontId="17" fillId="0" borderId="279" xfId="0" applyFont="1" applyBorder="1" applyAlignment="1">
      <alignment vertical="center"/>
    </xf>
    <xf numFmtId="0" fontId="17" fillId="0" borderId="270" xfId="0" applyFont="1" applyBorder="1" applyAlignment="1">
      <alignment vertical="center"/>
    </xf>
    <xf numFmtId="0" fontId="17" fillId="0" borderId="270" xfId="0" applyFont="1" applyFill="1" applyBorder="1" applyAlignment="1">
      <alignment horizontal="right" vertical="center"/>
    </xf>
    <xf numFmtId="0" fontId="56" fillId="0" borderId="236" xfId="0" applyFont="1" applyBorder="1" applyAlignment="1">
      <alignment vertical="center"/>
    </xf>
    <xf numFmtId="0" fontId="60" fillId="0" borderId="237" xfId="0" applyFont="1" applyFill="1" applyBorder="1" applyAlignment="1">
      <alignment vertical="center" shrinkToFit="1"/>
    </xf>
    <xf numFmtId="0" fontId="24" fillId="0" borderId="237" xfId="0" applyFont="1" applyFill="1" applyBorder="1" applyAlignment="1">
      <alignment vertical="center" shrinkToFit="1"/>
    </xf>
    <xf numFmtId="191" fontId="24" fillId="0" borderId="238" xfId="0" applyNumberFormat="1" applyFont="1" applyFill="1" applyBorder="1" applyAlignment="1">
      <alignment horizontal="right" vertical="center" shrinkToFit="1"/>
    </xf>
    <xf numFmtId="10" fontId="24" fillId="0" borderId="238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Border="1" applyAlignment="1">
      <alignment vertical="center"/>
    </xf>
    <xf numFmtId="177" fontId="17" fillId="0" borderId="238" xfId="0" applyNumberFormat="1" applyFont="1" applyBorder="1" applyAlignment="1">
      <alignment vertical="center" shrinkToFit="1"/>
    </xf>
    <xf numFmtId="0" fontId="56" fillId="0" borderId="280" xfId="0" applyFont="1" applyBorder="1" applyAlignment="1">
      <alignment vertical="center"/>
    </xf>
    <xf numFmtId="0" fontId="17" fillId="0" borderId="281" xfId="0" applyFont="1" applyBorder="1" applyAlignment="1">
      <alignment vertical="center"/>
    </xf>
    <xf numFmtId="0" fontId="28" fillId="0" borderId="281" xfId="0" applyFont="1" applyBorder="1" applyAlignment="1">
      <alignment horizontal="right" vertical="center"/>
    </xf>
    <xf numFmtId="177" fontId="17" fillId="0" borderId="242" xfId="0" applyNumberFormat="1" applyFont="1" applyBorder="1" applyAlignment="1">
      <alignment vertical="center"/>
    </xf>
    <xf numFmtId="177" fontId="17" fillId="0" borderId="242" xfId="0" applyNumberFormat="1" applyFont="1" applyBorder="1" applyAlignment="1">
      <alignment vertical="center" shrinkToFit="1"/>
    </xf>
    <xf numFmtId="177" fontId="17" fillId="0" borderId="282" xfId="0" applyNumberFormat="1" applyFont="1" applyBorder="1" applyAlignment="1">
      <alignment vertical="center" shrinkToFit="1"/>
    </xf>
    <xf numFmtId="0" fontId="61" fillId="0" borderId="226" xfId="0" applyFont="1" applyBorder="1" applyAlignment="1">
      <alignment vertical="center"/>
    </xf>
    <xf numFmtId="0" fontId="17" fillId="0" borderId="82" xfId="0" applyFont="1" applyBorder="1" applyAlignment="1">
      <alignment vertical="center"/>
    </xf>
    <xf numFmtId="177" fontId="17" fillId="0" borderId="82" xfId="0" applyNumberFormat="1" applyFont="1" applyBorder="1" applyAlignment="1">
      <alignment vertical="center"/>
    </xf>
    <xf numFmtId="177" fontId="17" fillId="0" borderId="82" xfId="0" applyNumberFormat="1" applyFont="1" applyBorder="1" applyAlignment="1">
      <alignment vertical="center" shrinkToFit="1"/>
    </xf>
    <xf numFmtId="177" fontId="17" fillId="0" borderId="200" xfId="0" applyNumberFormat="1" applyFont="1" applyBorder="1" applyAlignment="1">
      <alignment vertical="center" shrinkToFit="1"/>
    </xf>
    <xf numFmtId="0" fontId="17" fillId="0" borderId="283" xfId="0" applyFont="1" applyBorder="1" applyAlignment="1">
      <alignment vertical="center"/>
    </xf>
    <xf numFmtId="0" fontId="17" fillId="0" borderId="85" xfId="0" applyFont="1" applyBorder="1" applyAlignment="1">
      <alignment vertical="center"/>
    </xf>
    <xf numFmtId="177" fontId="17" fillId="0" borderId="85" xfId="0" applyNumberFormat="1" applyFont="1" applyBorder="1" applyAlignment="1">
      <alignment vertical="center"/>
    </xf>
    <xf numFmtId="177" fontId="17" fillId="0" borderId="85" xfId="0" applyNumberFormat="1" applyFont="1" applyBorder="1" applyAlignment="1">
      <alignment vertical="center" shrinkToFit="1"/>
    </xf>
    <xf numFmtId="177" fontId="17" fillId="0" borderId="98" xfId="0" applyNumberFormat="1" applyFont="1" applyBorder="1" applyAlignment="1">
      <alignment vertical="center" shrinkToFit="1"/>
    </xf>
    <xf numFmtId="0" fontId="51" fillId="0" borderId="0" xfId="0" applyFont="1" applyFill="1" applyBorder="1" applyAlignment="1">
      <alignment horizontal="right"/>
    </xf>
    <xf numFmtId="0" fontId="5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right"/>
    </xf>
    <xf numFmtId="0" fontId="64" fillId="0" borderId="0" xfId="0" applyFont="1" applyFill="1" applyBorder="1" applyAlignment="1">
      <alignment horizontal="left"/>
    </xf>
    <xf numFmtId="0" fontId="65" fillId="0" borderId="0" xfId="0" applyFont="1" applyFill="1" applyBorder="1" applyAlignment="1">
      <alignment horizontal="center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 applyAlignment="1">
      <alignment horizontal="right" shrinkToFit="1"/>
    </xf>
    <xf numFmtId="0" fontId="9" fillId="0" borderId="258" xfId="0" applyFont="1" applyFill="1" applyBorder="1" applyAlignment="1">
      <alignment horizontal="right"/>
    </xf>
    <xf numFmtId="0" fontId="64" fillId="0" borderId="0" xfId="0" applyFont="1" applyFill="1" applyBorder="1" applyAlignment="1">
      <alignment horizontal="distributed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0" borderId="12" xfId="0" applyFont="1" applyFill="1" applyBorder="1" applyAlignment="1">
      <alignment horizontal="center" shrinkToFit="1"/>
    </xf>
    <xf numFmtId="0" fontId="9" fillId="0" borderId="226" xfId="0" applyFont="1" applyFill="1" applyBorder="1" applyAlignment="1">
      <alignment horizontal="right" shrinkToFit="1"/>
    </xf>
    <xf numFmtId="0" fontId="9" fillId="0" borderId="0" xfId="0" applyFont="1" applyFill="1" applyBorder="1" applyAlignment="1">
      <alignment horizontal="right" shrinkToFit="1"/>
    </xf>
    <xf numFmtId="38" fontId="9" fillId="0" borderId="258" xfId="0" applyNumberFormat="1" applyFont="1" applyFill="1" applyBorder="1" applyAlignment="1">
      <alignment horizontal="center" vertical="center" shrinkToFit="1"/>
    </xf>
    <xf numFmtId="190" fontId="4" fillId="24" borderId="82" xfId="0" applyNumberFormat="1" applyFont="1" applyFill="1" applyBorder="1" applyAlignment="1">
      <alignment horizontal="center" shrinkToFit="1"/>
    </xf>
    <xf numFmtId="190" fontId="4" fillId="24" borderId="200" xfId="0" applyNumberFormat="1" applyFont="1" applyFill="1" applyBorder="1" applyAlignment="1">
      <alignment horizontal="center" shrinkToFit="1"/>
    </xf>
    <xf numFmtId="190" fontId="4" fillId="24" borderId="95" xfId="0" applyNumberFormat="1" applyFont="1" applyFill="1" applyBorder="1" applyAlignment="1">
      <alignment horizontal="center" shrinkToFit="1"/>
    </xf>
    <xf numFmtId="190" fontId="4" fillId="24" borderId="31" xfId="0" applyNumberFormat="1" applyFont="1" applyFill="1" applyBorder="1" applyAlignment="1">
      <alignment horizontal="center" shrinkToFit="1"/>
    </xf>
    <xf numFmtId="0" fontId="4" fillId="24" borderId="121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4" fillId="30" borderId="120" xfId="0" applyFont="1" applyFill="1" applyBorder="1" applyAlignment="1">
      <alignment horizontal="center" shrinkToFit="1"/>
    </xf>
    <xf numFmtId="0" fontId="4" fillId="30" borderId="204" xfId="0" applyFont="1" applyFill="1" applyBorder="1" applyAlignment="1">
      <alignment horizontal="center" shrinkToFit="1"/>
    </xf>
    <xf numFmtId="0" fontId="66" fillId="0" borderId="95" xfId="0" applyFont="1" applyFill="1" applyBorder="1" applyAlignment="1"/>
    <xf numFmtId="0" fontId="9" fillId="0" borderId="95" xfId="0" applyFont="1" applyFill="1" applyBorder="1" applyAlignment="1">
      <alignment horizontal="center" shrinkToFit="1"/>
    </xf>
    <xf numFmtId="0" fontId="9" fillId="0" borderId="99" xfId="0" applyFont="1" applyFill="1" applyBorder="1" applyAlignment="1">
      <alignment horizontal="center" shrinkToFit="1"/>
    </xf>
    <xf numFmtId="38" fontId="4" fillId="11" borderId="23" xfId="0" applyNumberFormat="1" applyFont="1" applyFill="1" applyBorder="1" applyAlignment="1">
      <alignment horizontal="center" shrinkToFit="1"/>
    </xf>
    <xf numFmtId="38" fontId="4" fillId="11" borderId="31" xfId="0" applyNumberFormat="1" applyFont="1" applyFill="1" applyBorder="1" applyAlignment="1">
      <alignment horizontal="center" shrinkToFit="1"/>
    </xf>
    <xf numFmtId="38" fontId="9" fillId="24" borderId="82" xfId="0" applyNumberFormat="1" applyFont="1" applyFill="1" applyBorder="1" applyAlignment="1">
      <alignment horizontal="right" shrinkToFit="1"/>
    </xf>
    <xf numFmtId="38" fontId="9" fillId="24" borderId="20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/>
    <xf numFmtId="38" fontId="4" fillId="0" borderId="23" xfId="0" applyNumberFormat="1" applyFont="1" applyFill="1" applyBorder="1" applyAlignment="1">
      <alignment horizontal="right"/>
    </xf>
    <xf numFmtId="38" fontId="9" fillId="24" borderId="23" xfId="0" applyNumberFormat="1" applyFont="1" applyFill="1" applyBorder="1" applyAlignment="1">
      <alignment horizontal="right" shrinkToFit="1"/>
    </xf>
    <xf numFmtId="38" fontId="9" fillId="24" borderId="31" xfId="0" applyNumberFormat="1" applyFont="1" applyFill="1" applyBorder="1" applyAlignment="1">
      <alignment horizontal="right" shrinkToFit="1"/>
    </xf>
    <xf numFmtId="38" fontId="9" fillId="24" borderId="121" xfId="0" applyNumberFormat="1" applyFont="1" applyFill="1" applyBorder="1" applyAlignment="1">
      <alignment horizontal="right" shrinkToFit="1"/>
    </xf>
    <xf numFmtId="38" fontId="9" fillId="24" borderId="204" xfId="0" applyNumberFormat="1" applyFont="1" applyFill="1" applyBorder="1" applyAlignment="1">
      <alignment horizontal="right" shrinkToFit="1"/>
    </xf>
    <xf numFmtId="0" fontId="4" fillId="0" borderId="283" xfId="0" applyFont="1" applyFill="1" applyBorder="1" applyAlignment="1">
      <alignment horizontal="right"/>
    </xf>
    <xf numFmtId="0" fontId="4" fillId="0" borderId="258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center"/>
    </xf>
    <xf numFmtId="0" fontId="4" fillId="0" borderId="176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right" shrinkToFit="1"/>
    </xf>
    <xf numFmtId="38" fontId="9" fillId="0" borderId="98" xfId="0" applyNumberFormat="1" applyFont="1" applyFill="1" applyBorder="1" applyAlignment="1">
      <alignment horizontal="right" shrinkToFit="1"/>
    </xf>
    <xf numFmtId="38" fontId="9" fillId="0" borderId="121" xfId="0" applyNumberFormat="1" applyFont="1" applyFill="1" applyBorder="1" applyAlignment="1">
      <alignment horizontal="right" shrinkToFit="1"/>
    </xf>
    <xf numFmtId="38" fontId="9" fillId="0" borderId="204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 shrinkToFit="1"/>
    </xf>
    <xf numFmtId="38" fontId="9" fillId="0" borderId="200" xfId="0" applyNumberFormat="1" applyFont="1" applyFill="1" applyBorder="1" applyAlignment="1">
      <alignment horizontal="right" shrinkToFit="1"/>
    </xf>
    <xf numFmtId="0" fontId="4" fillId="0" borderId="141" xfId="0" applyFont="1" applyFill="1" applyBorder="1" applyAlignment="1">
      <alignment horizontal="left"/>
    </xf>
    <xf numFmtId="38" fontId="4" fillId="0" borderId="95" xfId="0" applyNumberFormat="1" applyFont="1" applyFill="1" applyBorder="1" applyAlignment="1">
      <alignment horizontal="right" shrinkToFit="1"/>
    </xf>
    <xf numFmtId="38" fontId="4" fillId="0" borderId="99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right"/>
    </xf>
    <xf numFmtId="38" fontId="4" fillId="0" borderId="0" xfId="0" applyNumberFormat="1" applyFont="1" applyFill="1" applyBorder="1" applyAlignment="1">
      <alignment horizontal="right"/>
    </xf>
    <xf numFmtId="0" fontId="4" fillId="0" borderId="14" xfId="0" applyFont="1" applyFill="1" applyBorder="1" applyAlignment="1">
      <alignment horizontal="right"/>
    </xf>
    <xf numFmtId="0" fontId="4" fillId="0" borderId="151" xfId="0" applyFont="1" applyFill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shrinkToFit="1"/>
    </xf>
    <xf numFmtId="0" fontId="9" fillId="0" borderId="0" xfId="0" applyFont="1" applyFill="1" applyBorder="1" applyAlignment="1"/>
    <xf numFmtId="0" fontId="4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 shrinkToFit="1"/>
    </xf>
    <xf numFmtId="0" fontId="9" fillId="0" borderId="232" xfId="0" applyFont="1" applyFill="1" applyBorder="1" applyAlignment="1">
      <alignment horizontal="center" shrinkToFit="1"/>
    </xf>
    <xf numFmtId="177" fontId="24" fillId="32" borderId="23" xfId="0" applyNumberFormat="1" applyFont="1" applyFill="1" applyBorder="1" applyAlignment="1">
      <alignment horizontal="right" vertical="center" shrinkToFit="1"/>
    </xf>
    <xf numFmtId="177" fontId="24" fillId="32" borderId="31" xfId="0" applyNumberFormat="1" applyFont="1" applyFill="1" applyBorder="1" applyAlignment="1">
      <alignment horizontal="right" vertical="center" shrinkToFit="1"/>
    </xf>
    <xf numFmtId="38" fontId="9" fillId="24" borderId="85" xfId="0" applyNumberFormat="1" applyFont="1" applyFill="1" applyBorder="1" applyAlignment="1">
      <alignment horizontal="right" shrinkToFit="1"/>
    </xf>
    <xf numFmtId="38" fontId="9" fillId="24" borderId="98" xfId="0" applyNumberFormat="1" applyFont="1" applyFill="1" applyBorder="1" applyAlignment="1">
      <alignment horizontal="right" shrinkToFit="1"/>
    </xf>
    <xf numFmtId="0" fontId="44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shrinkToFit="1"/>
    </xf>
    <xf numFmtId="38" fontId="9" fillId="0" borderId="89" xfId="0" applyNumberFormat="1" applyFont="1" applyFill="1" applyBorder="1" applyAlignment="1">
      <alignment horizontal="right"/>
    </xf>
    <xf numFmtId="38" fontId="9" fillId="0" borderId="89" xfId="0" applyNumberFormat="1" applyFont="1" applyFill="1" applyBorder="1" applyAlignment="1">
      <alignment horizontal="right" shrinkToFit="1"/>
    </xf>
    <xf numFmtId="38" fontId="9" fillId="0" borderId="100" xfId="0" applyNumberFormat="1" applyFont="1" applyFill="1" applyBorder="1" applyAlignment="1">
      <alignment horizontal="right" shrinkToFit="1"/>
    </xf>
    <xf numFmtId="0" fontId="4" fillId="0" borderId="83" xfId="0" applyFont="1" applyFill="1" applyBorder="1" applyAlignment="1"/>
    <xf numFmtId="0" fontId="4" fillId="0" borderId="233" xfId="0" applyFont="1" applyFill="1" applyBorder="1" applyAlignment="1"/>
    <xf numFmtId="0" fontId="4" fillId="0" borderId="231" xfId="0" applyFont="1" applyFill="1" applyBorder="1" applyAlignment="1">
      <alignment horizontal="center" shrinkToFit="1"/>
    </xf>
    <xf numFmtId="10" fontId="4" fillId="0" borderId="231" xfId="0" applyNumberFormat="1" applyFont="1" applyFill="1" applyBorder="1" applyAlignment="1">
      <alignment horizontal="right" shrinkToFit="1"/>
    </xf>
    <xf numFmtId="38" fontId="9" fillId="0" borderId="231" xfId="0" applyNumberFormat="1" applyFont="1" applyFill="1" applyBorder="1" applyAlignment="1">
      <alignment horizontal="right"/>
    </xf>
    <xf numFmtId="38" fontId="9" fillId="0" borderId="231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 shrinkToFit="1"/>
    </xf>
    <xf numFmtId="192" fontId="4" fillId="0" borderId="23" xfId="0" applyNumberFormat="1" applyFont="1" applyFill="1" applyBorder="1" applyAlignment="1">
      <alignment horizontal="right" shrinkToFit="1"/>
    </xf>
    <xf numFmtId="10" fontId="4" fillId="0" borderId="23" xfId="0" quotePrefix="1" applyNumberFormat="1" applyFont="1" applyFill="1" applyBorder="1" applyAlignment="1">
      <alignment horizontal="center" shrinkToFit="1"/>
    </xf>
    <xf numFmtId="10" fontId="4" fillId="0" borderId="23" xfId="0" applyNumberFormat="1" applyFont="1" applyFill="1" applyBorder="1" applyAlignment="1">
      <alignment horizontal="right" shrinkToFit="1"/>
    </xf>
    <xf numFmtId="0" fontId="4" fillId="0" borderId="23" xfId="0" quotePrefix="1" applyFont="1" applyFill="1" applyBorder="1" applyAlignment="1">
      <alignment horizontal="left" shrinkToFit="1"/>
    </xf>
    <xf numFmtId="0" fontId="4" fillId="0" borderId="203" xfId="0" applyFont="1" applyFill="1" applyBorder="1" applyAlignment="1">
      <alignment horizontal="center" vertical="center" shrinkToFit="1"/>
    </xf>
    <xf numFmtId="49" fontId="51" fillId="0" borderId="85" xfId="0" applyNumberFormat="1" applyFont="1" applyFill="1" applyBorder="1" applyAlignment="1">
      <alignment horizontal="left" shrinkToFit="1"/>
    </xf>
    <xf numFmtId="192" fontId="4" fillId="0" borderId="85" xfId="0" applyNumberFormat="1" applyFont="1" applyFill="1" applyBorder="1" applyAlignment="1">
      <alignment horizontal="right" shrinkToFit="1"/>
    </xf>
    <xf numFmtId="10" fontId="4" fillId="0" borderId="85" xfId="0" applyNumberFormat="1" applyFont="1" applyFill="1" applyBorder="1" applyAlignment="1">
      <alignment horizontal="right" shrinkToFit="1"/>
    </xf>
    <xf numFmtId="0" fontId="4" fillId="0" borderId="224" xfId="0" applyFont="1" applyFill="1" applyBorder="1" applyAlignment="1">
      <alignment horizontal="center" shrinkToFit="1"/>
    </xf>
    <xf numFmtId="0" fontId="4" fillId="0" borderId="225" xfId="0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 shrinkToFit="1"/>
    </xf>
    <xf numFmtId="38" fontId="9" fillId="0" borderId="232" xfId="0" applyNumberFormat="1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left" shrinkToFit="1"/>
    </xf>
    <xf numFmtId="192" fontId="4" fillId="0" borderId="231" xfId="0" applyNumberFormat="1" applyFont="1" applyFill="1" applyBorder="1" applyAlignment="1">
      <alignment vertical="center" shrinkToFit="1"/>
    </xf>
    <xf numFmtId="10" fontId="4" fillId="0" borderId="82" xfId="0" applyNumberFormat="1" applyFont="1" applyFill="1" applyBorder="1" applyAlignment="1">
      <alignment horizontal="center" vertical="center"/>
    </xf>
    <xf numFmtId="38" fontId="17" fillId="0" borderId="82" xfId="0" applyNumberFormat="1" applyFont="1" applyFill="1" applyBorder="1" applyAlignment="1">
      <alignment horizontal="right"/>
    </xf>
    <xf numFmtId="10" fontId="4" fillId="0" borderId="82" xfId="0" applyNumberFormat="1" applyFont="1" applyFill="1" applyBorder="1" applyAlignment="1">
      <alignment horizontal="left" vertical="center" shrinkToFit="1"/>
    </xf>
    <xf numFmtId="10" fontId="4" fillId="0" borderId="200" xfId="0" applyNumberFormat="1" applyFont="1" applyFill="1" applyBorder="1" applyAlignment="1">
      <alignment horizontal="left" vertical="center" shrinkToFit="1"/>
    </xf>
    <xf numFmtId="0" fontId="4" fillId="0" borderId="95" xfId="0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vertical="top" shrinkToFit="1"/>
    </xf>
    <xf numFmtId="10" fontId="4" fillId="0" borderId="23" xfId="0" applyNumberFormat="1" applyFont="1" applyFill="1" applyBorder="1" applyAlignment="1">
      <alignment horizontal="center" vertical="center"/>
    </xf>
    <xf numFmtId="0" fontId="4" fillId="0" borderId="120" xfId="0" applyFont="1" applyFill="1" applyBorder="1" applyAlignment="1">
      <alignment horizontal="left" shrinkToFit="1"/>
    </xf>
    <xf numFmtId="0" fontId="4" fillId="0" borderId="139" xfId="0" applyFont="1" applyFill="1" applyBorder="1" applyAlignment="1"/>
    <xf numFmtId="38" fontId="17" fillId="0" borderId="23" xfId="0" applyNumberFormat="1" applyFont="1" applyFill="1" applyBorder="1" applyAlignment="1">
      <alignment horizontal="right"/>
    </xf>
    <xf numFmtId="10" fontId="4" fillId="0" borderId="23" xfId="0" applyNumberFormat="1" applyFont="1" applyFill="1" applyBorder="1" applyAlignment="1">
      <alignment horizontal="left" shrinkToFit="1"/>
    </xf>
    <xf numFmtId="10" fontId="4" fillId="0" borderId="31" xfId="0" applyNumberFormat="1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shrinkToFit="1"/>
    </xf>
    <xf numFmtId="192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left" vertical="center" shrinkToFit="1"/>
    </xf>
    <xf numFmtId="0" fontId="4" fillId="0" borderId="288" xfId="0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left" shrinkToFit="1"/>
    </xf>
    <xf numFmtId="192" fontId="4" fillId="0" borderId="289" xfId="0" applyNumberFormat="1" applyFont="1" applyFill="1" applyBorder="1" applyAlignment="1">
      <alignment shrinkToFit="1"/>
    </xf>
    <xf numFmtId="10" fontId="4" fillId="0" borderId="289" xfId="0" applyNumberFormat="1" applyFont="1" applyFill="1" applyBorder="1" applyAlignment="1">
      <alignment horizontal="right" shrinkToFit="1"/>
    </xf>
    <xf numFmtId="38" fontId="9" fillId="0" borderId="289" xfId="0" applyNumberFormat="1" applyFont="1" applyFill="1" applyBorder="1" applyAlignment="1">
      <alignment horizontal="right"/>
    </xf>
    <xf numFmtId="0" fontId="4" fillId="0" borderId="240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 shrinkToFit="1"/>
    </xf>
    <xf numFmtId="38" fontId="9" fillId="0" borderId="243" xfId="0" applyNumberFormat="1" applyFont="1" applyFill="1" applyBorder="1" applyAlignment="1">
      <alignment horizontal="right" shrinkToFit="1"/>
    </xf>
    <xf numFmtId="38" fontId="9" fillId="0" borderId="0" xfId="0" applyNumberFormat="1" applyFont="1" applyFill="1" applyBorder="1" applyAlignment="1">
      <alignment horizontal="right"/>
    </xf>
    <xf numFmtId="0" fontId="4" fillId="0" borderId="85" xfId="0" applyFont="1" applyFill="1" applyBorder="1" applyAlignment="1">
      <alignment horizontal="left" shrinkToFit="1"/>
    </xf>
    <xf numFmtId="10" fontId="4" fillId="0" borderId="23" xfId="2" applyNumberFormat="1" applyFont="1" applyFill="1" applyBorder="1" applyAlignment="1">
      <alignment horizontal="left" shrinkToFit="1"/>
    </xf>
    <xf numFmtId="192" fontId="4" fillId="0" borderId="120" xfId="0" applyNumberFormat="1" applyFont="1" applyFill="1" applyBorder="1" applyAlignment="1">
      <alignment shrinkToFit="1"/>
    </xf>
    <xf numFmtId="10" fontId="4" fillId="0" borderId="120" xfId="0" applyNumberFormat="1" applyFont="1" applyFill="1" applyBorder="1" applyAlignment="1">
      <alignment horizontal="right" shrinkToFit="1"/>
    </xf>
    <xf numFmtId="38" fontId="9" fillId="31" borderId="23" xfId="0" applyNumberFormat="1" applyFont="1" applyFill="1" applyBorder="1" applyAlignment="1">
      <alignment horizontal="right" shrinkToFit="1"/>
    </xf>
    <xf numFmtId="38" fontId="9" fillId="31" borderId="31" xfId="0" applyNumberFormat="1" applyFont="1" applyFill="1" applyBorder="1" applyAlignment="1">
      <alignment horizontal="right" shrinkToFit="1"/>
    </xf>
    <xf numFmtId="0" fontId="28" fillId="0" borderId="23" xfId="0" applyFont="1" applyFill="1" applyBorder="1" applyAlignment="1">
      <alignment horizontal="left" shrinkToFit="1"/>
    </xf>
    <xf numFmtId="0" fontId="4" fillId="0" borderId="201" xfId="0" applyFont="1" applyFill="1" applyBorder="1" applyAlignment="1">
      <alignment horizontal="center" vertical="center" shrinkToFit="1"/>
    </xf>
    <xf numFmtId="38" fontId="4" fillId="0" borderId="290" xfId="0" applyNumberFormat="1" applyFont="1" applyFill="1" applyBorder="1" applyAlignment="1">
      <alignment horizontal="right" shrinkToFit="1"/>
    </xf>
    <xf numFmtId="0" fontId="4" fillId="0" borderId="291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 shrinkToFit="1"/>
    </xf>
    <xf numFmtId="38" fontId="9" fillId="0" borderId="293" xfId="0" applyNumberFormat="1" applyFont="1" applyFill="1" applyBorder="1" applyAlignment="1">
      <alignment horizontal="right" shrinkToFit="1"/>
    </xf>
    <xf numFmtId="0" fontId="4" fillId="0" borderId="175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right"/>
    </xf>
    <xf numFmtId="0" fontId="4" fillId="0" borderId="85" xfId="0" applyFont="1" applyFill="1" applyBorder="1" applyAlignment="1">
      <alignment horizontal="left"/>
    </xf>
    <xf numFmtId="0" fontId="9" fillId="0" borderId="258" xfId="0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center" wrapText="1"/>
    </xf>
    <xf numFmtId="0" fontId="10" fillId="0" borderId="89" xfId="0" applyFont="1" applyFill="1" applyBorder="1" applyAlignment="1">
      <alignment horizontal="center" wrapText="1"/>
    </xf>
    <xf numFmtId="0" fontId="4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center" shrinkToFit="1"/>
    </xf>
    <xf numFmtId="0" fontId="9" fillId="0" borderId="100" xfId="0" applyFont="1" applyFill="1" applyBorder="1" applyAlignment="1">
      <alignment horizontal="center" shrinkToFit="1"/>
    </xf>
    <xf numFmtId="0" fontId="4" fillId="0" borderId="177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right"/>
    </xf>
    <xf numFmtId="0" fontId="4" fillId="0" borderId="233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83" xfId="0" applyFont="1" applyFill="1" applyBorder="1" applyAlignment="1">
      <alignment horizontal="center"/>
    </xf>
    <xf numFmtId="38" fontId="9" fillId="0" borderId="184" xfId="0" applyNumberFormat="1" applyFont="1" applyFill="1" applyBorder="1" applyAlignment="1">
      <alignment horizontal="right"/>
    </xf>
    <xf numFmtId="38" fontId="9" fillId="0" borderId="233" xfId="0" applyNumberFormat="1" applyFont="1" applyFill="1" applyBorder="1" applyAlignment="1">
      <alignment horizontal="right"/>
    </xf>
    <xf numFmtId="38" fontId="9" fillId="0" borderId="200" xfId="0" applyNumberFormat="1" applyFont="1" applyFill="1" applyBorder="1" applyAlignment="1">
      <alignment horizontal="right"/>
    </xf>
    <xf numFmtId="0" fontId="4" fillId="0" borderId="228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center"/>
    </xf>
    <xf numFmtId="38" fontId="9" fillId="0" borderId="204" xfId="0" applyNumberFormat="1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/>
    </xf>
    <xf numFmtId="0" fontId="44" fillId="0" borderId="89" xfId="0" applyFont="1" applyFill="1" applyBorder="1" applyAlignment="1">
      <alignment horizontal="left"/>
    </xf>
    <xf numFmtId="0" fontId="4" fillId="0" borderId="85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 shrinkToFit="1"/>
    </xf>
    <xf numFmtId="0" fontId="4" fillId="0" borderId="82" xfId="0" applyFont="1" applyFill="1" applyBorder="1" applyAlignment="1">
      <alignment horizontal="left" shrinkToFit="1"/>
    </xf>
    <xf numFmtId="0" fontId="4" fillId="0" borderId="82" xfId="0" applyFont="1" applyFill="1" applyBorder="1" applyAlignment="1">
      <alignment shrinkToFit="1"/>
    </xf>
    <xf numFmtId="10" fontId="4" fillId="0" borderId="82" xfId="0" quotePrefix="1" applyNumberFormat="1" applyFont="1" applyFill="1" applyBorder="1" applyAlignment="1">
      <alignment horizontal="right" shrinkToFit="1"/>
    </xf>
    <xf numFmtId="0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right" shrinkToFit="1"/>
    </xf>
    <xf numFmtId="0" fontId="4" fillId="0" borderId="23" xfId="0" applyFont="1" applyFill="1" applyBorder="1" applyAlignment="1">
      <alignment shrinkToFit="1"/>
    </xf>
    <xf numFmtId="9" fontId="4" fillId="0" borderId="23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9" fontId="4" fillId="0" borderId="85" xfId="0" applyNumberFormat="1" applyFont="1" applyFill="1" applyBorder="1" applyAlignment="1">
      <alignment horizontal="right" shrinkToFit="1"/>
    </xf>
    <xf numFmtId="0" fontId="4" fillId="0" borderId="229" xfId="0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 shrinkToFit="1"/>
    </xf>
    <xf numFmtId="0" fontId="4" fillId="0" borderId="82" xfId="0" applyFont="1" applyFill="1" applyBorder="1" applyAlignment="1">
      <alignment horizontal="right" shrinkToFit="1"/>
    </xf>
    <xf numFmtId="0" fontId="44" fillId="0" borderId="89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 shrinkToFit="1"/>
    </xf>
    <xf numFmtId="38" fontId="66" fillId="0" borderId="85" xfId="0" applyNumberFormat="1" applyFont="1" applyFill="1" applyBorder="1" applyAlignment="1">
      <alignment horizontal="right" shrinkToFit="1"/>
    </xf>
    <xf numFmtId="0" fontId="4" fillId="0" borderId="95" xfId="0" applyFont="1" applyFill="1" applyBorder="1" applyAlignment="1">
      <alignment horizontal="center" shrinkToFit="1"/>
    </xf>
    <xf numFmtId="10" fontId="4" fillId="0" borderId="82" xfId="0" applyNumberFormat="1" applyFont="1" applyFill="1" applyBorder="1" applyAlignment="1">
      <alignment horizontal="right" shrinkToFit="1"/>
    </xf>
    <xf numFmtId="0" fontId="4" fillId="0" borderId="149" xfId="0" applyFont="1" applyFill="1" applyBorder="1" applyAlignment="1">
      <alignment horizontal="right"/>
    </xf>
    <xf numFmtId="192" fontId="4" fillId="0" borderId="121" xfId="0" applyNumberFormat="1" applyFont="1" applyFill="1" applyBorder="1" applyAlignment="1">
      <alignment shrinkToFit="1"/>
    </xf>
    <xf numFmtId="10" fontId="4" fillId="0" borderId="121" xfId="0" applyNumberFormat="1" applyFont="1" applyFill="1" applyBorder="1" applyAlignment="1">
      <alignment horizontal="right" shrinkToFit="1"/>
    </xf>
    <xf numFmtId="38" fontId="4" fillId="0" borderId="95" xfId="0" applyNumberFormat="1" applyFont="1" applyFill="1" applyBorder="1" applyAlignment="1">
      <alignment horizontal="right"/>
    </xf>
    <xf numFmtId="38" fontId="9" fillId="31" borderId="95" xfId="0" applyNumberFormat="1" applyFont="1" applyFill="1" applyBorder="1" applyAlignment="1">
      <alignment horizontal="right" shrinkToFit="1"/>
    </xf>
    <xf numFmtId="38" fontId="9" fillId="31" borderId="99" xfId="0" applyNumberFormat="1" applyFont="1" applyFill="1" applyBorder="1" applyAlignment="1">
      <alignment horizontal="right" shrinkToFit="1"/>
    </xf>
    <xf numFmtId="0" fontId="59" fillId="0" borderId="23" xfId="0" applyFont="1" applyFill="1" applyBorder="1" applyAlignment="1">
      <alignment horizontal="left" shrinkToFit="1"/>
    </xf>
    <xf numFmtId="0" fontId="4" fillId="0" borderId="115" xfId="0" applyFont="1" applyFill="1" applyBorder="1" applyAlignment="1">
      <alignment horizontal="right"/>
    </xf>
    <xf numFmtId="0" fontId="4" fillId="0" borderId="294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right"/>
    </xf>
    <xf numFmtId="38" fontId="9" fillId="0" borderId="289" xfId="0" applyNumberFormat="1" applyFont="1" applyFill="1" applyBorder="1" applyAlignment="1">
      <alignment horizontal="right" shrinkToFit="1"/>
    </xf>
    <xf numFmtId="38" fontId="9" fillId="0" borderId="33" xfId="0" applyNumberFormat="1" applyFont="1" applyFill="1" applyBorder="1" applyAlignment="1">
      <alignment horizontal="right" shrinkToFit="1"/>
    </xf>
    <xf numFmtId="176" fontId="9" fillId="0" borderId="121" xfId="0" applyNumberFormat="1" applyFont="1" applyFill="1" applyBorder="1" applyAlignment="1">
      <alignment horizontal="right" shrinkToFit="1"/>
    </xf>
    <xf numFmtId="176" fontId="9" fillId="0" borderId="296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>
      <alignment shrinkToFit="1"/>
    </xf>
    <xf numFmtId="38" fontId="4" fillId="0" borderId="23" xfId="0" applyNumberFormat="1" applyFont="1" applyFill="1" applyBorder="1" applyAlignment="1">
      <alignment shrinkToFit="1"/>
    </xf>
    <xf numFmtId="38" fontId="4" fillId="0" borderId="31" xfId="0" applyNumberFormat="1" applyFont="1" applyFill="1" applyBorder="1" applyAlignment="1">
      <alignment shrinkToFit="1"/>
    </xf>
    <xf numFmtId="0" fontId="4" fillId="0" borderId="115" xfId="0" applyFont="1" applyFill="1" applyBorder="1" applyAlignment="1"/>
    <xf numFmtId="0" fontId="4" fillId="0" borderId="23" xfId="0" applyFont="1" applyFill="1" applyBorder="1" applyAlignment="1"/>
    <xf numFmtId="38" fontId="4" fillId="0" borderId="23" xfId="0" applyNumberFormat="1" applyFont="1" applyFill="1" applyBorder="1" applyAlignment="1"/>
    <xf numFmtId="0" fontId="4" fillId="0" borderId="283" xfId="0" applyFont="1" applyFill="1" applyBorder="1" applyAlignment="1"/>
    <xf numFmtId="0" fontId="4" fillId="0" borderId="258" xfId="0" applyFont="1" applyFill="1" applyBorder="1" applyAlignment="1"/>
    <xf numFmtId="0" fontId="4" fillId="0" borderId="89" xfId="0" applyFont="1" applyFill="1" applyBorder="1" applyAlignment="1"/>
    <xf numFmtId="176" fontId="4" fillId="0" borderId="89" xfId="0" applyNumberFormat="1" applyFont="1" applyFill="1" applyBorder="1" applyAlignment="1">
      <alignment shrinkToFit="1"/>
    </xf>
    <xf numFmtId="176" fontId="4" fillId="0" borderId="89" xfId="0" applyNumberFormat="1" applyFont="1" applyFill="1" applyBorder="1" applyAlignment="1"/>
    <xf numFmtId="176" fontId="4" fillId="0" borderId="100" xfId="0" applyNumberFormat="1" applyFont="1" applyFill="1" applyBorder="1" applyAlignment="1">
      <alignment shrinkToFit="1"/>
    </xf>
    <xf numFmtId="38" fontId="4" fillId="0" borderId="0" xfId="3" applyFont="1" applyFill="1" applyBorder="1" applyAlignment="1"/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shrinkToFit="1"/>
    </xf>
    <xf numFmtId="0" fontId="4" fillId="0" borderId="125" xfId="0" applyFont="1" applyFill="1" applyBorder="1" applyAlignment="1"/>
    <xf numFmtId="0" fontId="4" fillId="0" borderId="297" xfId="0" applyFont="1" applyFill="1" applyBorder="1" applyAlignment="1"/>
    <xf numFmtId="0" fontId="56" fillId="0" borderId="51" xfId="0" applyFont="1" applyFill="1" applyBorder="1" applyAlignment="1"/>
    <xf numFmtId="0" fontId="4" fillId="0" borderId="124" xfId="0" applyFont="1" applyFill="1" applyBorder="1" applyAlignment="1"/>
    <xf numFmtId="0" fontId="4" fillId="0" borderId="111" xfId="0" applyFont="1" applyFill="1" applyBorder="1" applyAlignment="1">
      <alignment horizontal="center" vertical="center" shrinkToFit="1"/>
    </xf>
    <xf numFmtId="193" fontId="4" fillId="0" borderId="111" xfId="0" applyNumberFormat="1" applyFont="1" applyFill="1" applyBorder="1" applyAlignment="1">
      <alignment horizontal="center"/>
    </xf>
    <xf numFmtId="193" fontId="4" fillId="0" borderId="59" xfId="0" applyNumberFormat="1" applyFont="1" applyFill="1" applyBorder="1" applyAlignment="1">
      <alignment horizontal="center"/>
    </xf>
    <xf numFmtId="0" fontId="28" fillId="0" borderId="52" xfId="0" applyFont="1" applyFill="1" applyBorder="1" applyAlignment="1">
      <alignment shrinkToFit="1"/>
    </xf>
    <xf numFmtId="0" fontId="4" fillId="0" borderId="140" xfId="0" applyFont="1" applyFill="1" applyBorder="1" applyAlignment="1"/>
    <xf numFmtId="0" fontId="4" fillId="0" borderId="23" xfId="0" applyFont="1" applyFill="1" applyBorder="1" applyAlignment="1">
      <alignment horizontal="center" vertical="center"/>
    </xf>
    <xf numFmtId="192" fontId="4" fillId="17" borderId="23" xfId="0" applyNumberFormat="1" applyFont="1" applyFill="1" applyBorder="1" applyAlignment="1" applyProtection="1">
      <alignment horizontal="center" vertical="center"/>
    </xf>
    <xf numFmtId="0" fontId="4" fillId="0" borderId="201" xfId="0" applyFont="1" applyFill="1" applyBorder="1" applyAlignment="1"/>
    <xf numFmtId="192" fontId="4" fillId="0" borderId="23" xfId="2" applyNumberFormat="1" applyFont="1" applyFill="1" applyBorder="1" applyAlignment="1" applyProtection="1">
      <alignment horizontal="center" vertical="center"/>
    </xf>
    <xf numFmtId="0" fontId="4" fillId="0" borderId="141" xfId="0" applyFont="1" applyFill="1" applyBorder="1" applyAlignment="1"/>
    <xf numFmtId="0" fontId="4" fillId="0" borderId="156" xfId="0" applyFont="1" applyFill="1" applyBorder="1" applyAlignment="1"/>
    <xf numFmtId="2" fontId="4" fillId="0" borderId="23" xfId="0" applyNumberFormat="1" applyFont="1" applyFill="1" applyBorder="1" applyAlignment="1" applyProtection="1">
      <alignment horizontal="center" vertical="center"/>
    </xf>
    <xf numFmtId="2" fontId="4" fillId="0" borderId="135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shrinkToFit="1"/>
    </xf>
    <xf numFmtId="0" fontId="4" fillId="0" borderId="23" xfId="0" applyFont="1" applyFill="1" applyBorder="1" applyAlignment="1" applyProtection="1">
      <alignment horizontal="center" vertical="center"/>
    </xf>
    <xf numFmtId="0" fontId="4" fillId="0" borderId="157" xfId="0" applyFont="1" applyFill="1" applyBorder="1" applyAlignment="1"/>
    <xf numFmtId="0" fontId="4" fillId="0" borderId="128" xfId="0" applyFont="1" applyFill="1" applyBorder="1" applyAlignment="1"/>
    <xf numFmtId="2" fontId="4" fillId="0" borderId="118" xfId="0" applyNumberFormat="1" applyFont="1" applyFill="1" applyBorder="1" applyAlignment="1" applyProtection="1">
      <alignment horizontal="center" vertical="center"/>
    </xf>
    <xf numFmtId="0" fontId="4" fillId="0" borderId="127" xfId="0" applyFont="1" applyFill="1" applyBorder="1" applyAlignment="1"/>
    <xf numFmtId="0" fontId="4" fillId="0" borderId="118" xfId="0" applyFont="1" applyFill="1" applyBorder="1" applyAlignment="1" applyProtection="1">
      <alignment horizontal="center" vertical="center"/>
    </xf>
    <xf numFmtId="193" fontId="4" fillId="0" borderId="51" xfId="0" applyNumberFormat="1" applyFont="1" applyFill="1" applyBorder="1" applyAlignment="1">
      <alignment horizontal="center"/>
    </xf>
    <xf numFmtId="193" fontId="4" fillId="0" borderId="299" xfId="0" applyNumberFormat="1" applyFont="1" applyFill="1" applyBorder="1" applyAlignment="1">
      <alignment horizontal="center"/>
    </xf>
    <xf numFmtId="193" fontId="4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192" fontId="4" fillId="0" borderId="299" xfId="0" applyNumberFormat="1" applyFont="1" applyFill="1" applyBorder="1" applyAlignment="1" applyProtection="1">
      <alignment horizontal="center" vertical="center"/>
    </xf>
    <xf numFmtId="192" fontId="4" fillId="0" borderId="0" xfId="0" applyNumberFormat="1" applyFont="1" applyFill="1" applyBorder="1" applyAlignment="1" applyProtection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140" xfId="0" applyFont="1" applyFill="1" applyBorder="1" applyAlignment="1">
      <alignment horizontal="center" vertical="center"/>
    </xf>
    <xf numFmtId="192" fontId="4" fillId="0" borderId="52" xfId="2" applyNumberFormat="1" applyFont="1" applyFill="1" applyBorder="1" applyAlignment="1" applyProtection="1">
      <alignment horizontal="center" vertical="center"/>
    </xf>
    <xf numFmtId="192" fontId="4" fillId="0" borderId="299" xfId="2" applyNumberFormat="1" applyFont="1" applyFill="1" applyBorder="1" applyAlignment="1" applyProtection="1">
      <alignment horizontal="center" vertical="center"/>
    </xf>
    <xf numFmtId="192" fontId="4" fillId="0" borderId="0" xfId="2" applyNumberFormat="1" applyFont="1" applyFill="1" applyBorder="1" applyAlignment="1" applyProtection="1">
      <alignment horizontal="center" vertical="center"/>
    </xf>
    <xf numFmtId="2" fontId="4" fillId="0" borderId="299" xfId="0" applyNumberFormat="1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195" xfId="0" applyFont="1" applyFill="1" applyBorder="1" applyAlignment="1" applyProtection="1">
      <alignment horizontal="center" vertical="center"/>
    </xf>
    <xf numFmtId="0" fontId="4" fillId="0" borderId="299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shrinkToFit="1"/>
    </xf>
    <xf numFmtId="190" fontId="4" fillId="0" borderId="23" xfId="0" applyNumberFormat="1" applyFont="1" applyFill="1" applyBorder="1" applyAlignment="1">
      <alignment horizontal="center" shrinkToFit="1"/>
    </xf>
    <xf numFmtId="177" fontId="4" fillId="0" borderId="121" xfId="0" applyNumberFormat="1" applyFont="1" applyFill="1" applyBorder="1" applyAlignment="1">
      <alignment horizontal="center" shrinkToFit="1"/>
    </xf>
    <xf numFmtId="177" fontId="4" fillId="0" borderId="122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center" shrinkToFit="1"/>
    </xf>
    <xf numFmtId="0" fontId="9" fillId="0" borderId="204" xfId="0" applyFont="1" applyFill="1" applyBorder="1" applyAlignment="1">
      <alignment horizontal="center" shrinkToFit="1"/>
    </xf>
    <xf numFmtId="38" fontId="9" fillId="33" borderId="23" xfId="0" applyNumberFormat="1" applyFont="1" applyFill="1" applyBorder="1" applyAlignment="1">
      <alignment horizontal="center" vertical="center" shrinkToFit="1"/>
    </xf>
    <xf numFmtId="38" fontId="9" fillId="33" borderId="31" xfId="0" applyNumberFormat="1" applyFont="1" applyFill="1" applyBorder="1" applyAlignment="1">
      <alignment horizontal="center" vertical="center" shrinkToFit="1"/>
    </xf>
    <xf numFmtId="38" fontId="9" fillId="33" borderId="95" xfId="0" applyNumberFormat="1" applyFont="1" applyFill="1" applyBorder="1" applyAlignment="1">
      <alignment horizontal="center" vertical="center" shrinkToFit="1"/>
    </xf>
    <xf numFmtId="38" fontId="9" fillId="33" borderId="99" xfId="0" applyNumberFormat="1" applyFont="1" applyFill="1" applyBorder="1" applyAlignment="1">
      <alignment horizontal="center" vertical="center" shrinkToFit="1"/>
    </xf>
    <xf numFmtId="38" fontId="9" fillId="33" borderId="82" xfId="0" applyNumberFormat="1" applyFont="1" applyFill="1" applyBorder="1" applyAlignment="1">
      <alignment horizontal="right" shrinkToFit="1"/>
    </xf>
    <xf numFmtId="38" fontId="9" fillId="33" borderId="200" xfId="0" applyNumberFormat="1" applyFont="1" applyFill="1" applyBorder="1" applyAlignment="1">
      <alignment horizontal="right" shrinkToFit="1"/>
    </xf>
    <xf numFmtId="38" fontId="9" fillId="33" borderId="23" xfId="0" applyNumberFormat="1" applyFont="1" applyFill="1" applyBorder="1" applyAlignment="1">
      <alignment horizontal="right" shrinkToFit="1"/>
    </xf>
    <xf numFmtId="38" fontId="9" fillId="33" borderId="31" xfId="0" applyNumberFormat="1" applyFont="1" applyFill="1" applyBorder="1" applyAlignment="1">
      <alignment horizontal="right" shrinkToFit="1"/>
    </xf>
    <xf numFmtId="177" fontId="9" fillId="0" borderId="231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right"/>
    </xf>
    <xf numFmtId="0" fontId="9" fillId="0" borderId="121" xfId="0" applyFont="1" applyFill="1" applyBorder="1" applyAlignment="1">
      <alignment horizontal="right" shrinkToFit="1"/>
    </xf>
    <xf numFmtId="0" fontId="9" fillId="0" borderId="204" xfId="0" applyFont="1" applyFill="1" applyBorder="1" applyAlignment="1">
      <alignment horizontal="right" shrinkToFit="1"/>
    </xf>
    <xf numFmtId="38" fontId="9" fillId="33" borderId="85" xfId="0" applyNumberFormat="1" applyFont="1" applyFill="1" applyBorder="1" applyAlignment="1">
      <alignment horizontal="right" shrinkToFit="1"/>
    </xf>
    <xf numFmtId="38" fontId="9" fillId="33" borderId="98" xfId="0" applyNumberFormat="1" applyFont="1" applyFill="1" applyBorder="1" applyAlignment="1">
      <alignment horizontal="right" shrinkToFit="1"/>
    </xf>
    <xf numFmtId="0" fontId="44" fillId="0" borderId="225" xfId="0" applyFont="1" applyFill="1" applyBorder="1" applyAlignment="1">
      <alignment horizontal="center"/>
    </xf>
    <xf numFmtId="0" fontId="4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 shrinkToFit="1"/>
    </xf>
    <xf numFmtId="0" fontId="9" fillId="0" borderId="225" xfId="0" applyFont="1" applyFill="1" applyBorder="1" applyAlignment="1">
      <alignment horizontal="right" shrinkToFit="1"/>
    </xf>
    <xf numFmtId="0" fontId="9" fillId="0" borderId="248" xfId="0" applyFont="1" applyFill="1" applyBorder="1" applyAlignment="1">
      <alignment horizontal="center" shrinkToFit="1"/>
    </xf>
    <xf numFmtId="0" fontId="9" fillId="0" borderId="234" xfId="0" applyFont="1" applyFill="1" applyBorder="1" applyAlignment="1">
      <alignment horizontal="right" shrinkToFit="1"/>
    </xf>
    <xf numFmtId="38" fontId="9" fillId="0" borderId="95" xfId="0" applyNumberFormat="1" applyFont="1" applyFill="1" applyBorder="1" applyAlignment="1">
      <alignment horizontal="right" shrinkToFit="1"/>
    </xf>
    <xf numFmtId="38" fontId="9" fillId="0" borderId="99" xfId="0" applyNumberFormat="1" applyFont="1" applyFill="1" applyBorder="1" applyAlignment="1">
      <alignment horizontal="right" shrinkToFit="1"/>
    </xf>
    <xf numFmtId="38" fontId="4" fillId="0" borderId="0" xfId="3" applyFont="1" applyBorder="1" applyAlignment="1"/>
    <xf numFmtId="0" fontId="4" fillId="0" borderId="0" xfId="0" applyFont="1" applyBorder="1" applyAlignment="1">
      <alignment horizontal="center" vertical="center" shrinkToFit="1"/>
    </xf>
    <xf numFmtId="0" fontId="4" fillId="0" borderId="125" xfId="0" applyFont="1" applyBorder="1" applyAlignment="1"/>
    <xf numFmtId="0" fontId="4" fillId="0" borderId="297" xfId="0" applyFont="1" applyBorder="1" applyAlignment="1"/>
    <xf numFmtId="0" fontId="56" fillId="0" borderId="51" xfId="0" applyFont="1" applyBorder="1" applyAlignment="1"/>
    <xf numFmtId="0" fontId="4" fillId="0" borderId="124" xfId="0" applyFont="1" applyBorder="1" applyAlignment="1"/>
    <xf numFmtId="0" fontId="4" fillId="0" borderId="111" xfId="0" applyFont="1" applyBorder="1" applyAlignment="1">
      <alignment horizontal="center" vertical="center" shrinkToFit="1"/>
    </xf>
    <xf numFmtId="192" fontId="4" fillId="17" borderId="60" xfId="0" applyNumberFormat="1" applyFont="1" applyFill="1" applyBorder="1" applyAlignment="1" applyProtection="1">
      <alignment horizontal="center" vertical="center"/>
    </xf>
    <xf numFmtId="192" fontId="4" fillId="0" borderId="60" xfId="2" applyNumberFormat="1" applyFont="1" applyFill="1" applyBorder="1" applyAlignment="1" applyProtection="1">
      <alignment horizontal="center" vertical="center"/>
    </xf>
    <xf numFmtId="2" fontId="4" fillId="0" borderId="60" xfId="0" applyNumberFormat="1" applyFont="1" applyFill="1" applyBorder="1" applyAlignment="1" applyProtection="1">
      <alignment horizontal="center" vertical="center"/>
    </xf>
    <xf numFmtId="0" fontId="4" fillId="0" borderId="60" xfId="0" applyFont="1" applyFill="1" applyBorder="1" applyAlignment="1" applyProtection="1">
      <alignment horizontal="center" vertical="center"/>
    </xf>
    <xf numFmtId="2" fontId="4" fillId="0" borderId="58" xfId="0" applyNumberFormat="1" applyFont="1" applyFill="1" applyBorder="1" applyAlignment="1" applyProtection="1">
      <alignment horizontal="center" vertical="center"/>
    </xf>
    <xf numFmtId="0" fontId="4" fillId="0" borderId="58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>
      <alignment horizontal="right" vertical="center"/>
    </xf>
    <xf numFmtId="0" fontId="67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 shrinkToFit="1"/>
    </xf>
    <xf numFmtId="0" fontId="52" fillId="28" borderId="231" xfId="0" applyFont="1" applyFill="1" applyBorder="1" applyAlignment="1">
      <alignment horizontal="center" vertical="center" shrinkToFit="1"/>
    </xf>
    <xf numFmtId="0" fontId="52" fillId="28" borderId="248" xfId="0" applyFont="1" applyFill="1" applyBorder="1" applyAlignment="1">
      <alignment horizontal="center" vertical="center" shrinkToFit="1"/>
    </xf>
    <xf numFmtId="0" fontId="9" fillId="30" borderId="0" xfId="0" applyFont="1" applyFill="1" applyBorder="1" applyAlignment="1">
      <alignment horizontal="right" vertical="center"/>
    </xf>
    <xf numFmtId="0" fontId="11" fillId="30" borderId="0" xfId="0" applyFont="1" applyFill="1" applyBorder="1" applyAlignment="1">
      <alignment horizontal="distributed" vertical="center"/>
    </xf>
    <xf numFmtId="0" fontId="11" fillId="30" borderId="0" xfId="0" applyFont="1" applyFill="1" applyBorder="1" applyAlignment="1">
      <alignment horizontal="left" vertical="center"/>
    </xf>
    <xf numFmtId="0" fontId="53" fillId="30" borderId="0" xfId="0" applyFont="1" applyFill="1" applyBorder="1" applyAlignment="1">
      <alignment horizontal="center" vertical="center"/>
    </xf>
    <xf numFmtId="0" fontId="9" fillId="30" borderId="0" xfId="0" applyFont="1" applyFill="1" applyBorder="1" applyAlignment="1">
      <alignment horizontal="center" vertical="center"/>
    </xf>
    <xf numFmtId="0" fontId="9" fillId="30" borderId="0" xfId="0" applyFont="1" applyFill="1" applyBorder="1" applyAlignment="1">
      <alignment horizontal="left" vertical="center" shrinkToFit="1"/>
    </xf>
    <xf numFmtId="0" fontId="9" fillId="30" borderId="0" xfId="0" applyFont="1" applyFill="1" applyBorder="1" applyAlignment="1">
      <alignment vertical="center"/>
    </xf>
    <xf numFmtId="0" fontId="9" fillId="30" borderId="0" xfId="0" applyFont="1" applyFill="1" applyBorder="1" applyAlignment="1">
      <alignment horizontal="right" vertical="center" shrinkToFit="1"/>
    </xf>
    <xf numFmtId="190" fontId="4" fillId="28" borderId="82" xfId="0" applyNumberFormat="1" applyFont="1" applyFill="1" applyBorder="1" applyAlignment="1">
      <alignment horizontal="center" shrinkToFit="1"/>
    </xf>
    <xf numFmtId="190" fontId="4" fillId="28" borderId="152" xfId="0" applyNumberFormat="1" applyFont="1" applyFill="1" applyBorder="1" applyAlignment="1">
      <alignment horizontal="center" shrinkToFit="1"/>
    </xf>
    <xf numFmtId="0" fontId="9" fillId="30" borderId="224" xfId="0" applyFont="1" applyFill="1" applyBorder="1" applyAlignment="1">
      <alignment horizontal="right"/>
    </xf>
    <xf numFmtId="0" fontId="4" fillId="30" borderId="178" xfId="0" applyFont="1" applyFill="1" applyBorder="1" applyAlignment="1"/>
    <xf numFmtId="0" fontId="9" fillId="30" borderId="178" xfId="0" applyFont="1" applyFill="1" applyBorder="1" applyAlignment="1">
      <alignment horizontal="right"/>
    </xf>
    <xf numFmtId="0" fontId="9" fillId="0" borderId="83" xfId="0" applyFont="1" applyFill="1" applyBorder="1" applyAlignment="1">
      <alignment horizontal="center"/>
    </xf>
    <xf numFmtId="38" fontId="9" fillId="30" borderId="82" xfId="0" applyNumberFormat="1" applyFont="1" applyFill="1" applyBorder="1" applyAlignment="1">
      <alignment horizontal="right"/>
    </xf>
    <xf numFmtId="179" fontId="9" fillId="28" borderId="82" xfId="0" applyNumberFormat="1" applyFont="1" applyFill="1" applyBorder="1" applyAlignment="1">
      <alignment shrinkToFit="1"/>
    </xf>
    <xf numFmtId="179" fontId="9" fillId="28" borderId="200" xfId="0" applyNumberFormat="1" applyFont="1" applyFill="1" applyBorder="1" applyAlignment="1">
      <alignment shrinkToFit="1"/>
    </xf>
    <xf numFmtId="0" fontId="9" fillId="30" borderId="226" xfId="0" applyFont="1" applyFill="1" applyBorder="1" applyAlignment="1">
      <alignment horizontal="right"/>
    </xf>
    <xf numFmtId="0" fontId="4" fillId="30" borderId="142" xfId="0" applyFont="1" applyFill="1" applyBorder="1" applyAlignment="1"/>
    <xf numFmtId="0" fontId="9" fillId="30" borderId="142" xfId="0" applyFont="1" applyFill="1" applyBorder="1" applyAlignment="1">
      <alignment horizontal="right"/>
    </xf>
    <xf numFmtId="0" fontId="9" fillId="0" borderId="52" xfId="0" applyFont="1" applyFill="1" applyBorder="1" applyAlignment="1">
      <alignment horizontal="center"/>
    </xf>
    <xf numFmtId="38" fontId="9" fillId="30" borderId="23" xfId="0" applyNumberFormat="1" applyFont="1" applyFill="1" applyBorder="1" applyAlignment="1">
      <alignment horizontal="right"/>
    </xf>
    <xf numFmtId="179" fontId="9" fillId="28" borderId="23" xfId="0" applyNumberFormat="1" applyFont="1" applyFill="1" applyBorder="1" applyAlignment="1">
      <alignment shrinkToFit="1"/>
    </xf>
    <xf numFmtId="179" fontId="9" fillId="28" borderId="52" xfId="0" applyNumberFormat="1" applyFont="1" applyFill="1" applyBorder="1" applyAlignment="1">
      <alignment shrinkToFit="1"/>
    </xf>
    <xf numFmtId="0" fontId="4" fillId="30" borderId="176" xfId="0" applyFont="1" applyFill="1" applyBorder="1" applyAlignment="1"/>
    <xf numFmtId="0" fontId="9" fillId="30" borderId="176" xfId="0" applyFont="1" applyFill="1" applyBorder="1" applyAlignment="1">
      <alignment horizontal="right"/>
    </xf>
    <xf numFmtId="0" fontId="9" fillId="0" borderId="86" xfId="0" applyFont="1" applyFill="1" applyBorder="1" applyAlignment="1">
      <alignment horizontal="center"/>
    </xf>
    <xf numFmtId="38" fontId="9" fillId="30" borderId="85" xfId="0" applyNumberFormat="1" applyFont="1" applyFill="1" applyBorder="1" applyAlignment="1">
      <alignment horizontal="right"/>
    </xf>
    <xf numFmtId="179" fontId="9" fillId="28" borderId="85" xfId="0" applyNumberFormat="1" applyFont="1" applyFill="1" applyBorder="1" applyAlignment="1">
      <alignment shrinkToFit="1"/>
    </xf>
    <xf numFmtId="179" fontId="9" fillId="28" borderId="86" xfId="0" applyNumberFormat="1" applyFont="1" applyFill="1" applyBorder="1" applyAlignment="1">
      <alignment shrinkToFit="1"/>
    </xf>
    <xf numFmtId="0" fontId="9" fillId="30" borderId="174" xfId="0" applyFont="1" applyFill="1" applyBorder="1" applyAlignment="1">
      <alignment horizontal="right"/>
    </xf>
    <xf numFmtId="0" fontId="17" fillId="30" borderId="141" xfId="0" applyFont="1" applyFill="1" applyBorder="1" applyAlignment="1"/>
    <xf numFmtId="0" fontId="9" fillId="30" borderId="141" xfId="0" applyFont="1" applyFill="1" applyBorder="1" applyAlignment="1">
      <alignment horizontal="right"/>
    </xf>
    <xf numFmtId="0" fontId="9" fillId="0" borderId="96" xfId="0" applyFont="1" applyFill="1" applyBorder="1" applyAlignment="1">
      <alignment horizontal="center"/>
    </xf>
    <xf numFmtId="38" fontId="9" fillId="30" borderId="95" xfId="0" applyNumberFormat="1" applyFont="1" applyFill="1" applyBorder="1" applyAlignment="1">
      <alignment horizontal="right"/>
    </xf>
    <xf numFmtId="179" fontId="9" fillId="0" borderId="95" xfId="0" applyNumberFormat="1" applyFont="1" applyFill="1" applyBorder="1" applyAlignment="1">
      <alignment shrinkToFit="1"/>
    </xf>
    <xf numFmtId="0" fontId="17" fillId="30" borderId="176" xfId="0" applyFont="1" applyFill="1" applyBorder="1" applyAlignment="1"/>
    <xf numFmtId="194" fontId="9" fillId="30" borderId="85" xfId="0" applyNumberFormat="1" applyFont="1" applyFill="1" applyBorder="1" applyAlignment="1">
      <alignment horizontal="right"/>
    </xf>
    <xf numFmtId="179" fontId="9" fillId="0" borderId="85" xfId="0" applyNumberFormat="1" applyFont="1" applyFill="1" applyBorder="1" applyAlignment="1">
      <alignment shrinkToFit="1"/>
    </xf>
    <xf numFmtId="0" fontId="53" fillId="30" borderId="224" xfId="0" applyFont="1" applyFill="1" applyBorder="1" applyAlignment="1">
      <alignment horizontal="left" vertical="center"/>
    </xf>
    <xf numFmtId="0" fontId="24" fillId="30" borderId="225" xfId="0" applyFont="1" applyFill="1" applyBorder="1" applyAlignment="1">
      <alignment horizontal="right" vertical="center"/>
    </xf>
    <xf numFmtId="0" fontId="17" fillId="30" borderId="229" xfId="0" applyFont="1" applyFill="1" applyBorder="1" applyAlignment="1">
      <alignment horizontal="right" vertical="center"/>
    </xf>
    <xf numFmtId="0" fontId="17" fillId="0" borderId="151" xfId="0" applyFont="1" applyBorder="1" applyAlignment="1">
      <alignment vertical="center"/>
    </xf>
    <xf numFmtId="0" fontId="17" fillId="0" borderId="152" xfId="0" applyFont="1" applyBorder="1" applyAlignment="1">
      <alignment vertical="center"/>
    </xf>
    <xf numFmtId="0" fontId="24" fillId="30" borderId="149" xfId="0" applyFont="1" applyFill="1" applyBorder="1" applyAlignment="1">
      <alignment horizontal="center" vertical="center"/>
    </xf>
    <xf numFmtId="0" fontId="24" fillId="21" borderId="82" xfId="0" applyFont="1" applyFill="1" applyBorder="1" applyAlignment="1">
      <alignment horizontal="left" vertical="center" shrinkToFit="1"/>
    </xf>
    <xf numFmtId="0" fontId="24" fillId="30" borderId="82" xfId="0" applyFont="1" applyFill="1" applyBorder="1" applyAlignment="1">
      <alignment horizontal="right" vertical="center"/>
    </xf>
    <xf numFmtId="177" fontId="24" fillId="30" borderId="82" xfId="0" applyNumberFormat="1" applyFont="1" applyFill="1" applyBorder="1" applyAlignment="1">
      <alignment horizontal="right" vertical="center"/>
    </xf>
    <xf numFmtId="177" fontId="24" fillId="28" borderId="82" xfId="0" applyNumberFormat="1" applyFont="1" applyFill="1" applyBorder="1" applyAlignment="1">
      <alignment horizontal="right" vertical="center" shrinkToFit="1"/>
    </xf>
    <xf numFmtId="177" fontId="24" fillId="28" borderId="200" xfId="0" applyNumberFormat="1" applyFont="1" applyFill="1" applyBorder="1" applyAlignment="1">
      <alignment horizontal="right" vertical="center" shrinkToFit="1"/>
    </xf>
    <xf numFmtId="0" fontId="24" fillId="21" borderId="23" xfId="0" applyFont="1" applyFill="1" applyBorder="1" applyAlignment="1">
      <alignment horizontal="left" vertical="center" shrinkToFit="1"/>
    </xf>
    <xf numFmtId="0" fontId="24" fillId="30" borderId="23" xfId="0" applyFont="1" applyFill="1" applyBorder="1" applyAlignment="1">
      <alignment horizontal="right" vertical="center"/>
    </xf>
    <xf numFmtId="177" fontId="24" fillId="30" borderId="23" xfId="0" applyNumberFormat="1" applyFont="1" applyFill="1" applyBorder="1" applyAlignment="1">
      <alignment horizontal="right" vertical="center"/>
    </xf>
    <xf numFmtId="9" fontId="24" fillId="30" borderId="23" xfId="0" applyNumberFormat="1" applyFont="1" applyFill="1" applyBorder="1" applyAlignment="1">
      <alignment horizontal="right" vertical="center"/>
    </xf>
    <xf numFmtId="177" fontId="24" fillId="28" borderId="23" xfId="0" applyNumberFormat="1" applyFont="1" applyFill="1" applyBorder="1" applyAlignment="1">
      <alignment horizontal="right" vertical="center" shrinkToFit="1"/>
    </xf>
    <xf numFmtId="177" fontId="24" fillId="28" borderId="31" xfId="0" applyNumberFormat="1" applyFont="1" applyFill="1" applyBorder="1" applyAlignment="1">
      <alignment horizontal="right" vertical="center" shrinkToFit="1"/>
    </xf>
    <xf numFmtId="0" fontId="9" fillId="21" borderId="23" xfId="0" applyFont="1" applyFill="1" applyBorder="1" applyAlignment="1">
      <alignment horizontal="left" shrinkToFit="1"/>
    </xf>
    <xf numFmtId="0" fontId="24" fillId="30" borderId="120" xfId="0" applyFont="1" applyFill="1" applyBorder="1" applyAlignment="1">
      <alignment horizontal="left" vertical="center" shrinkToFit="1"/>
    </xf>
    <xf numFmtId="0" fontId="24" fillId="30" borderId="120" xfId="0" applyFont="1" applyFill="1" applyBorder="1" applyAlignment="1">
      <alignment horizontal="right" vertical="center"/>
    </xf>
    <xf numFmtId="177" fontId="24" fillId="30" borderId="120" xfId="0" applyNumberFormat="1" applyFont="1" applyFill="1" applyBorder="1" applyAlignment="1">
      <alignment horizontal="right" vertical="center"/>
    </xf>
    <xf numFmtId="177" fontId="24" fillId="28" borderId="120" xfId="0" applyNumberFormat="1" applyFont="1" applyFill="1" applyBorder="1" applyAlignment="1">
      <alignment horizontal="right" vertical="center" shrinkToFit="1"/>
    </xf>
    <xf numFmtId="177" fontId="24" fillId="28" borderId="122" xfId="0" applyNumberFormat="1" applyFont="1" applyFill="1" applyBorder="1" applyAlignment="1">
      <alignment horizontal="right" vertical="center" shrinkToFit="1"/>
    </xf>
    <xf numFmtId="38" fontId="9" fillId="32" borderId="23" xfId="0" applyNumberFormat="1" applyFont="1" applyFill="1" applyBorder="1" applyAlignment="1">
      <alignment horizontal="right" shrinkToFit="1"/>
    </xf>
    <xf numFmtId="38" fontId="9" fillId="32" borderId="31" xfId="0" applyNumberFormat="1" applyFont="1" applyFill="1" applyBorder="1" applyAlignment="1">
      <alignment horizontal="right" shrinkToFit="1"/>
    </xf>
    <xf numFmtId="0" fontId="24" fillId="21" borderId="120" xfId="0" applyFont="1" applyFill="1" applyBorder="1" applyAlignment="1">
      <alignment horizontal="left" vertical="center" shrinkToFit="1"/>
    </xf>
    <xf numFmtId="0" fontId="24" fillId="30" borderId="300" xfId="0" applyFont="1" applyFill="1" applyBorder="1" applyAlignment="1">
      <alignment horizontal="center" vertical="center"/>
    </xf>
    <xf numFmtId="0" fontId="9" fillId="30" borderId="301" xfId="0" applyFont="1" applyFill="1" applyBorder="1" applyAlignment="1">
      <alignment horizontal="center" vertical="center" textRotation="255"/>
    </xf>
    <xf numFmtId="0" fontId="17" fillId="21" borderId="302" xfId="0" applyFont="1" applyFill="1" applyBorder="1" applyAlignment="1">
      <alignment horizontal="left" vertical="center" shrinkToFit="1"/>
    </xf>
    <xf numFmtId="0" fontId="24" fillId="21" borderId="303" xfId="0" applyFont="1" applyFill="1" applyBorder="1" applyAlignment="1">
      <alignment horizontal="left" vertical="center" shrinkToFit="1"/>
    </xf>
    <xf numFmtId="0" fontId="24" fillId="30" borderId="303" xfId="0" applyFont="1" applyFill="1" applyBorder="1" applyAlignment="1">
      <alignment horizontal="right" vertical="center"/>
    </xf>
    <xf numFmtId="177" fontId="24" fillId="30" borderId="303" xfId="0" applyNumberFormat="1" applyFont="1" applyFill="1" applyBorder="1" applyAlignment="1">
      <alignment horizontal="right" vertical="center"/>
    </xf>
    <xf numFmtId="177" fontId="24" fillId="0" borderId="303" xfId="0" applyNumberFormat="1" applyFont="1" applyFill="1" applyBorder="1" applyAlignment="1">
      <alignment horizontal="right" vertical="center" shrinkToFit="1"/>
    </xf>
    <xf numFmtId="177" fontId="24" fillId="0" borderId="304" xfId="0" applyNumberFormat="1" applyFont="1" applyFill="1" applyBorder="1" applyAlignment="1">
      <alignment horizontal="right" vertical="center" shrinkToFit="1"/>
    </xf>
    <xf numFmtId="0" fontId="24" fillId="30" borderId="305" xfId="0" applyFont="1" applyFill="1" applyBorder="1" applyAlignment="1">
      <alignment horizontal="center" vertical="center"/>
    </xf>
    <xf numFmtId="0" fontId="9" fillId="30" borderId="279" xfId="0" applyFont="1" applyFill="1" applyBorder="1" applyAlignment="1">
      <alignment horizontal="center" vertical="center" textRotation="255"/>
    </xf>
    <xf numFmtId="0" fontId="24" fillId="21" borderId="269" xfId="0" applyFont="1" applyFill="1" applyBorder="1" applyAlignment="1">
      <alignment horizontal="left" vertical="center" shrinkToFit="1"/>
    </xf>
    <xf numFmtId="0" fontId="24" fillId="21" borderId="270" xfId="0" applyFont="1" applyFill="1" applyBorder="1" applyAlignment="1">
      <alignment horizontal="left" vertical="center" shrinkToFit="1"/>
    </xf>
    <xf numFmtId="0" fontId="24" fillId="30" borderId="270" xfId="0" applyFont="1" applyFill="1" applyBorder="1" applyAlignment="1">
      <alignment horizontal="right" vertical="center"/>
    </xf>
    <xf numFmtId="177" fontId="24" fillId="30" borderId="270" xfId="0" applyNumberFormat="1" applyFont="1" applyFill="1" applyBorder="1" applyAlignment="1">
      <alignment horizontal="right" vertical="center"/>
    </xf>
    <xf numFmtId="177" fontId="24" fillId="0" borderId="306" xfId="0" applyNumberFormat="1" applyFont="1" applyFill="1" applyBorder="1" applyAlignment="1">
      <alignment horizontal="right" vertical="center" shrinkToFit="1"/>
    </xf>
    <xf numFmtId="38" fontId="24" fillId="0" borderId="100" xfId="0" applyNumberFormat="1" applyFont="1" applyFill="1" applyBorder="1" applyAlignment="1">
      <alignment horizontal="right" vertical="center" shrinkToFit="1"/>
    </xf>
    <xf numFmtId="0" fontId="24" fillId="30" borderId="231" xfId="0" quotePrefix="1" applyFont="1" applyFill="1" applyBorder="1" applyAlignment="1">
      <alignment horizontal="center" vertical="center"/>
    </xf>
    <xf numFmtId="0" fontId="24" fillId="30" borderId="233" xfId="0" applyFont="1" applyFill="1" applyBorder="1" applyAlignment="1">
      <alignment horizontal="left" vertical="center" shrinkToFit="1"/>
    </xf>
    <xf numFmtId="177" fontId="24" fillId="21" borderId="23" xfId="0" applyNumberFormat="1" applyFont="1" applyFill="1" applyBorder="1" applyAlignment="1">
      <alignment horizontal="right" vertical="center"/>
    </xf>
    <xf numFmtId="0" fontId="24" fillId="30" borderId="23" xfId="0" quotePrefix="1" applyFont="1" applyFill="1" applyBorder="1" applyAlignment="1">
      <alignment horizontal="center" vertical="center"/>
    </xf>
    <xf numFmtId="0" fontId="24" fillId="30" borderId="140" xfId="0" applyFont="1" applyFill="1" applyBorder="1" applyAlignment="1">
      <alignment horizontal="left" vertical="center" shrinkToFit="1"/>
    </xf>
    <xf numFmtId="0" fontId="0" fillId="0" borderId="121" xfId="0" applyBorder="1" applyAlignment="1">
      <alignment horizontal="center" vertical="center" shrinkToFit="1"/>
    </xf>
    <xf numFmtId="0" fontId="17" fillId="30" borderId="140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right" vertical="center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177" fontId="24" fillId="17" borderId="23" xfId="0" applyNumberFormat="1" applyFont="1" applyFill="1" applyBorder="1" applyAlignment="1">
      <alignment horizontal="right" vertical="center" shrinkToFit="1"/>
    </xf>
    <xf numFmtId="0" fontId="24" fillId="0" borderId="85" xfId="0" applyFont="1" applyFill="1" applyBorder="1" applyAlignment="1">
      <alignment horizontal="left" vertical="center"/>
    </xf>
    <xf numFmtId="0" fontId="24" fillId="0" borderId="85" xfId="0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 shrinkToFit="1"/>
    </xf>
    <xf numFmtId="177" fontId="24" fillId="0" borderId="98" xfId="0" applyNumberFormat="1" applyFont="1" applyFill="1" applyBorder="1" applyAlignment="1">
      <alignment horizontal="right" vertical="center" shrinkToFit="1"/>
    </xf>
    <xf numFmtId="0" fontId="17" fillId="0" borderId="307" xfId="0" applyFont="1" applyBorder="1" applyAlignment="1">
      <alignment vertical="center"/>
    </xf>
    <xf numFmtId="0" fontId="17" fillId="0" borderId="229" xfId="0" applyFont="1" applyBorder="1" applyAlignment="1">
      <alignment vertical="center"/>
    </xf>
    <xf numFmtId="0" fontId="17" fillId="0" borderId="151" xfId="0" applyFont="1" applyFill="1" applyBorder="1" applyAlignment="1">
      <alignment horizontal="right" vertical="center"/>
    </xf>
    <xf numFmtId="177" fontId="17" fillId="0" borderId="151" xfId="0" applyNumberFormat="1" applyFont="1" applyFill="1" applyBorder="1" applyAlignment="1">
      <alignment vertical="center" shrinkToFit="1"/>
    </xf>
    <xf numFmtId="177" fontId="17" fillId="0" borderId="152" xfId="0" applyNumberFormat="1" applyFont="1" applyFill="1" applyBorder="1" applyAlignment="1">
      <alignment vertical="center" shrinkToFit="1"/>
    </xf>
    <xf numFmtId="0" fontId="24" fillId="0" borderId="231" xfId="0" applyNumberFormat="1" applyFont="1" applyFill="1" applyBorder="1" applyAlignment="1">
      <alignment horizontal="right" vertical="center" shrinkToFit="1"/>
    </xf>
    <xf numFmtId="10" fontId="24" fillId="0" borderId="231" xfId="0" quotePrefix="1" applyNumberFormat="1" applyFont="1" applyFill="1" applyBorder="1" applyAlignment="1">
      <alignment horizontal="right" vertical="center" shrinkToFit="1"/>
    </xf>
    <xf numFmtId="177" fontId="17" fillId="0" borderId="232" xfId="0" applyNumberFormat="1" applyFont="1" applyBorder="1" applyAlignment="1">
      <alignment vertical="center" shrinkToFit="1"/>
    </xf>
    <xf numFmtId="0" fontId="24" fillId="0" borderId="83" xfId="0" applyFont="1" applyFill="1" applyBorder="1" applyAlignment="1">
      <alignment vertical="center" shrinkToFit="1"/>
    </xf>
    <xf numFmtId="0" fontId="24" fillId="0" borderId="233" xfId="0" applyFont="1" applyFill="1" applyBorder="1" applyAlignment="1">
      <alignment vertical="center" shrinkToFit="1"/>
    </xf>
    <xf numFmtId="0" fontId="24" fillId="0" borderId="82" xfId="0" applyNumberFormat="1" applyFont="1" applyFill="1" applyBorder="1" applyAlignment="1">
      <alignment horizontal="right" vertical="center" shrinkToFit="1"/>
    </xf>
    <xf numFmtId="10" fontId="24" fillId="0" borderId="82" xfId="0" quotePrefix="1" applyNumberFormat="1" applyFont="1" applyFill="1" applyBorder="1" applyAlignment="1">
      <alignment horizontal="right" vertical="center" shrinkToFit="1"/>
    </xf>
    <xf numFmtId="0" fontId="24" fillId="0" borderId="52" xfId="0" applyFont="1" applyFill="1" applyBorder="1" applyAlignment="1">
      <alignment vertical="center" shrinkToFit="1"/>
    </xf>
    <xf numFmtId="0" fontId="24" fillId="0" borderId="140" xfId="0" applyFont="1" applyFill="1" applyBorder="1" applyAlignment="1">
      <alignment vertical="center" shrinkToFit="1"/>
    </xf>
    <xf numFmtId="177" fontId="17" fillId="0" borderId="23" xfId="0" applyNumberFormat="1" applyFont="1" applyBorder="1" applyAlignment="1">
      <alignment vertical="center"/>
    </xf>
    <xf numFmtId="177" fontId="17" fillId="0" borderId="23" xfId="0" applyNumberFormat="1" applyFont="1" applyBorder="1" applyAlignment="1">
      <alignment vertical="center" shrinkToFit="1"/>
    </xf>
    <xf numFmtId="177" fontId="17" fillId="0" borderId="31" xfId="0" applyNumberFormat="1" applyFont="1" applyBorder="1" applyAlignment="1">
      <alignment vertical="center" shrinkToFit="1"/>
    </xf>
    <xf numFmtId="0" fontId="24" fillId="0" borderId="85" xfId="0" applyNumberFormat="1" applyFont="1" applyFill="1" applyBorder="1" applyAlignment="1">
      <alignment horizontal="right" vertical="center" shrinkToFit="1"/>
    </xf>
    <xf numFmtId="10" fontId="24" fillId="0" borderId="85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Fill="1" applyBorder="1" applyAlignment="1">
      <alignment vertical="center" shrinkToFit="1"/>
    </xf>
    <xf numFmtId="177" fontId="17" fillId="0" borderId="239" xfId="0" applyNumberFormat="1" applyFont="1" applyBorder="1" applyAlignment="1">
      <alignment vertical="center" shrinkToFit="1"/>
    </xf>
    <xf numFmtId="177" fontId="17" fillId="0" borderId="296" xfId="0" applyNumberFormat="1" applyFont="1" applyBorder="1" applyAlignment="1">
      <alignment vertical="center" shrinkToFit="1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left"/>
    </xf>
    <xf numFmtId="0" fontId="53" fillId="0" borderId="0" xfId="0" applyFont="1" applyFill="1" applyBorder="1" applyAlignment="1">
      <alignment horizontal="left"/>
    </xf>
    <xf numFmtId="0" fontId="72" fillId="0" borderId="0" xfId="0" applyFont="1" applyFill="1" applyBorder="1" applyAlignment="1">
      <alignment horizontal="distributed"/>
    </xf>
    <xf numFmtId="38" fontId="9" fillId="11" borderId="12" xfId="0" applyNumberFormat="1" applyFont="1" applyFill="1" applyBorder="1" applyAlignment="1">
      <alignment horizontal="center" vertical="center" shrinkToFit="1"/>
    </xf>
    <xf numFmtId="0" fontId="4" fillId="30" borderId="224" xfId="0" applyFont="1" applyFill="1" applyBorder="1" applyAlignment="1">
      <alignment horizontal="right"/>
    </xf>
    <xf numFmtId="0" fontId="4" fillId="30" borderId="225" xfId="0" applyFont="1" applyFill="1" applyBorder="1" applyAlignment="1">
      <alignment horizontal="right"/>
    </xf>
    <xf numFmtId="190" fontId="4" fillId="11" borderId="82" xfId="0" applyNumberFormat="1" applyFont="1" applyFill="1" applyBorder="1" applyAlignment="1">
      <alignment horizontal="center" shrinkToFit="1"/>
    </xf>
    <xf numFmtId="190" fontId="4" fillId="11" borderId="200" xfId="0" applyNumberFormat="1" applyFont="1" applyFill="1" applyBorder="1" applyAlignment="1">
      <alignment horizontal="center" shrinkToFit="1"/>
    </xf>
    <xf numFmtId="0" fontId="9" fillId="30" borderId="225" xfId="0" applyFont="1" applyFill="1" applyBorder="1" applyAlignment="1">
      <alignment horizontal="right"/>
    </xf>
    <xf numFmtId="0" fontId="9" fillId="11" borderId="231" xfId="0" applyFont="1" applyFill="1" applyBorder="1" applyAlignment="1">
      <alignment horizontal="center"/>
    </xf>
    <xf numFmtId="0" fontId="9" fillId="30" borderId="231" xfId="0" applyFont="1" applyFill="1" applyBorder="1" applyAlignment="1">
      <alignment horizontal="center"/>
    </xf>
    <xf numFmtId="0" fontId="9" fillId="30" borderId="231" xfId="0" applyFont="1" applyFill="1" applyBorder="1" applyAlignment="1">
      <alignment horizontal="center" shrinkToFit="1"/>
    </xf>
    <xf numFmtId="0" fontId="9" fillId="30" borderId="232" xfId="0" applyFont="1" applyFill="1" applyBorder="1" applyAlignment="1">
      <alignment horizontal="center" shrinkToFit="1"/>
    </xf>
    <xf numFmtId="0" fontId="9" fillId="30" borderId="0" xfId="0" applyFont="1" applyFill="1" applyBorder="1" applyAlignment="1">
      <alignment horizontal="right"/>
    </xf>
    <xf numFmtId="0" fontId="9" fillId="11" borderId="121" xfId="0" applyFont="1" applyFill="1" applyBorder="1" applyAlignment="1">
      <alignment horizontal="center"/>
    </xf>
    <xf numFmtId="0" fontId="73" fillId="30" borderId="121" xfId="0" applyFont="1" applyFill="1" applyBorder="1" applyAlignment="1"/>
    <xf numFmtId="0" fontId="9" fillId="30" borderId="121" xfId="0" applyFont="1" applyFill="1" applyBorder="1" applyAlignment="1">
      <alignment horizontal="center" shrinkToFit="1"/>
    </xf>
    <xf numFmtId="0" fontId="9" fillId="30" borderId="261" xfId="0" applyFont="1" applyFill="1" applyBorder="1" applyAlignment="1">
      <alignment horizontal="center" shrinkToFit="1"/>
    </xf>
    <xf numFmtId="0" fontId="9" fillId="30" borderId="225" xfId="0" applyFont="1" applyFill="1" applyBorder="1" applyAlignment="1"/>
    <xf numFmtId="0" fontId="9" fillId="30" borderId="15" xfId="0" applyFont="1" applyFill="1" applyBorder="1" applyAlignment="1">
      <alignment horizontal="right"/>
    </xf>
    <xf numFmtId="0" fontId="9" fillId="0" borderId="308" xfId="0" applyFont="1" applyFill="1" applyBorder="1" applyAlignment="1">
      <alignment horizontal="center"/>
    </xf>
    <xf numFmtId="38" fontId="9" fillId="30" borderId="151" xfId="0" applyNumberFormat="1" applyFont="1" applyFill="1" applyBorder="1" applyAlignment="1">
      <alignment horizontal="right"/>
    </xf>
    <xf numFmtId="179" fontId="9" fillId="11" borderId="151" xfId="0" applyNumberFormat="1" applyFont="1" applyFill="1" applyBorder="1" applyAlignment="1">
      <alignment shrinkToFit="1"/>
    </xf>
    <xf numFmtId="179" fontId="9" fillId="11" borderId="152" xfId="0" applyNumberFormat="1" applyFont="1" applyFill="1" applyBorder="1" applyAlignment="1">
      <alignment shrinkToFit="1"/>
    </xf>
    <xf numFmtId="0" fontId="9" fillId="30" borderId="0" xfId="0" applyFont="1" applyFill="1" applyBorder="1" applyAlignment="1"/>
    <xf numFmtId="179" fontId="9" fillId="24" borderId="82" xfId="0" applyNumberFormat="1" applyFont="1" applyFill="1" applyBorder="1" applyAlignment="1">
      <alignment shrinkToFit="1"/>
    </xf>
    <xf numFmtId="179" fontId="9" fillId="24" borderId="200" xfId="0" applyNumberFormat="1" applyFont="1" applyFill="1" applyBorder="1" applyAlignment="1">
      <alignment shrinkToFit="1"/>
    </xf>
    <xf numFmtId="0" fontId="9" fillId="30" borderId="258" xfId="0" applyFont="1" applyFill="1" applyBorder="1" applyAlignment="1">
      <alignment horizontal="right"/>
    </xf>
    <xf numFmtId="0" fontId="9" fillId="0" borderId="93" xfId="0" applyFont="1" applyFill="1" applyBorder="1" applyAlignment="1">
      <alignment horizontal="center"/>
    </xf>
    <xf numFmtId="38" fontId="9" fillId="30" borderId="89" xfId="0" applyNumberFormat="1" applyFont="1" applyFill="1" applyBorder="1" applyAlignment="1">
      <alignment horizontal="right"/>
    </xf>
    <xf numFmtId="179" fontId="9" fillId="24" borderId="89" xfId="0" applyNumberFormat="1" applyFont="1" applyFill="1" applyBorder="1" applyAlignment="1">
      <alignment shrinkToFit="1"/>
    </xf>
    <xf numFmtId="179" fontId="9" fillId="24" borderId="100" xfId="0" applyNumberFormat="1" applyFont="1" applyFill="1" applyBorder="1" applyAlignment="1">
      <alignment shrinkToFit="1"/>
    </xf>
    <xf numFmtId="0" fontId="9" fillId="30" borderId="225" xfId="0" applyFont="1" applyFill="1" applyBorder="1" applyAlignment="1">
      <alignment horizontal="left"/>
    </xf>
    <xf numFmtId="0" fontId="9" fillId="30" borderId="15" xfId="0" applyFont="1" applyFill="1" applyBorder="1" applyAlignment="1">
      <alignment horizontal="left"/>
    </xf>
    <xf numFmtId="0" fontId="9" fillId="30" borderId="151" xfId="0" applyFont="1" applyFill="1" applyBorder="1" applyAlignment="1">
      <alignment horizontal="center"/>
    </xf>
    <xf numFmtId="0" fontId="4" fillId="30" borderId="178" xfId="0" applyFont="1" applyFill="1" applyBorder="1" applyAlignment="1">
      <alignment horizontal="left"/>
    </xf>
    <xf numFmtId="0" fontId="9" fillId="30" borderId="178" xfId="0" applyFont="1" applyFill="1" applyBorder="1" applyAlignment="1">
      <alignment horizontal="left" shrinkToFit="1"/>
    </xf>
    <xf numFmtId="0" fontId="9" fillId="30" borderId="82" xfId="0" applyFont="1" applyFill="1" applyBorder="1" applyAlignment="1">
      <alignment horizontal="center"/>
    </xf>
    <xf numFmtId="38" fontId="9" fillId="30" borderId="82" xfId="0" applyNumberFormat="1" applyFont="1" applyFill="1" applyBorder="1" applyAlignment="1">
      <alignment horizontal="right" shrinkToFit="1"/>
    </xf>
    <xf numFmtId="38" fontId="9" fillId="30" borderId="200" xfId="0" applyNumberFormat="1" applyFont="1" applyFill="1" applyBorder="1" applyAlignment="1">
      <alignment horizontal="right" shrinkToFit="1"/>
    </xf>
    <xf numFmtId="0" fontId="4" fillId="0" borderId="142" xfId="0" applyFont="1" applyBorder="1" applyAlignment="1"/>
    <xf numFmtId="0" fontId="9" fillId="30" borderId="23" xfId="0" applyFont="1" applyFill="1" applyBorder="1" applyAlignment="1">
      <alignment horizontal="right"/>
    </xf>
    <xf numFmtId="38" fontId="9" fillId="30" borderId="23" xfId="0" applyNumberFormat="1" applyFont="1" applyFill="1" applyBorder="1" applyAlignment="1">
      <alignment horizontal="right" shrinkToFit="1"/>
    </xf>
    <xf numFmtId="38" fontId="9" fillId="30" borderId="31" xfId="0" applyNumberFormat="1" applyFont="1" applyFill="1" applyBorder="1" applyAlignment="1">
      <alignment horizontal="right" shrinkToFit="1"/>
    </xf>
    <xf numFmtId="0" fontId="9" fillId="30" borderId="283" xfId="0" applyFont="1" applyFill="1" applyBorder="1" applyAlignment="1">
      <alignment horizontal="right"/>
    </xf>
    <xf numFmtId="0" fontId="9" fillId="30" borderId="176" xfId="0" applyFont="1" applyFill="1" applyBorder="1" applyAlignment="1">
      <alignment horizontal="left"/>
    </xf>
    <xf numFmtId="0" fontId="9" fillId="30" borderId="85" xfId="0" applyFont="1" applyFill="1" applyBorder="1" applyAlignment="1">
      <alignment horizontal="right"/>
    </xf>
    <xf numFmtId="0" fontId="9" fillId="30" borderId="0" xfId="0" applyFont="1" applyFill="1" applyBorder="1" applyAlignment="1">
      <alignment horizontal="left"/>
    </xf>
    <xf numFmtId="0" fontId="9" fillId="30" borderId="121" xfId="0" applyFont="1" applyFill="1" applyBorder="1" applyAlignment="1">
      <alignment horizontal="right"/>
    </xf>
    <xf numFmtId="38" fontId="9" fillId="30" borderId="121" xfId="0" applyNumberFormat="1" applyFont="1" applyFill="1" applyBorder="1" applyAlignment="1">
      <alignment horizontal="right"/>
    </xf>
    <xf numFmtId="38" fontId="9" fillId="30" borderId="121" xfId="0" applyNumberFormat="1" applyFont="1" applyFill="1" applyBorder="1" applyAlignment="1">
      <alignment horizontal="right" shrinkToFit="1"/>
    </xf>
    <xf numFmtId="38" fontId="9" fillId="30" borderId="204" xfId="0" applyNumberFormat="1" applyFont="1" applyFill="1" applyBorder="1" applyAlignment="1">
      <alignment horizontal="right" shrinkToFit="1"/>
    </xf>
    <xf numFmtId="0" fontId="9" fillId="30" borderId="178" xfId="0" applyFont="1" applyFill="1" applyBorder="1" applyAlignment="1">
      <alignment horizontal="left"/>
    </xf>
    <xf numFmtId="0" fontId="9" fillId="30" borderId="82" xfId="0" applyFont="1" applyFill="1" applyBorder="1" applyAlignment="1">
      <alignment horizontal="right"/>
    </xf>
    <xf numFmtId="0" fontId="9" fillId="21" borderId="226" xfId="0" applyFont="1" applyFill="1" applyBorder="1" applyAlignment="1">
      <alignment horizontal="right"/>
    </xf>
    <xf numFmtId="0" fontId="9" fillId="21" borderId="0" xfId="0" applyFont="1" applyFill="1" applyBorder="1" applyAlignment="1">
      <alignment horizontal="right"/>
    </xf>
    <xf numFmtId="0" fontId="9" fillId="21" borderId="142" xfId="0" applyFont="1" applyFill="1" applyBorder="1" applyAlignment="1">
      <alignment horizontal="left"/>
    </xf>
    <xf numFmtId="0" fontId="9" fillId="21" borderId="23" xfId="0" applyFont="1" applyFill="1" applyBorder="1" applyAlignment="1">
      <alignment horizontal="right"/>
    </xf>
    <xf numFmtId="38" fontId="9" fillId="21" borderId="23" xfId="0" applyNumberFormat="1" applyFont="1" applyFill="1" applyBorder="1" applyAlignment="1">
      <alignment horizontal="right"/>
    </xf>
    <xf numFmtId="38" fontId="9" fillId="21" borderId="23" xfId="0" applyNumberFormat="1" applyFont="1" applyFill="1" applyBorder="1" applyAlignment="1">
      <alignment horizontal="right" shrinkToFit="1"/>
    </xf>
    <xf numFmtId="38" fontId="9" fillId="21" borderId="31" xfId="0" applyNumberFormat="1" applyFont="1" applyFill="1" applyBorder="1" applyAlignment="1">
      <alignment horizontal="right" shrinkToFit="1"/>
    </xf>
    <xf numFmtId="0" fontId="4" fillId="21" borderId="0" xfId="0" applyFont="1" applyFill="1" applyBorder="1" applyAlignment="1"/>
    <xf numFmtId="0" fontId="9" fillId="21" borderId="142" xfId="0" applyFont="1" applyFill="1" applyBorder="1" applyAlignment="1">
      <alignment horizontal="right"/>
    </xf>
    <xf numFmtId="0" fontId="9" fillId="21" borderId="258" xfId="0" applyFont="1" applyFill="1" applyBorder="1" applyAlignment="1">
      <alignment horizontal="right"/>
    </xf>
    <xf numFmtId="0" fontId="9" fillId="21" borderId="139" xfId="0" applyFont="1" applyFill="1" applyBorder="1" applyAlignment="1">
      <alignment horizontal="right"/>
    </xf>
    <xf numFmtId="0" fontId="9" fillId="21" borderId="120" xfId="0" applyFont="1" applyFill="1" applyBorder="1" applyAlignment="1">
      <alignment horizontal="right"/>
    </xf>
    <xf numFmtId="38" fontId="9" fillId="21" borderId="120" xfId="0" applyNumberFormat="1" applyFont="1" applyFill="1" applyBorder="1" applyAlignment="1">
      <alignment horizontal="right"/>
    </xf>
    <xf numFmtId="38" fontId="9" fillId="21" borderId="120" xfId="0" applyNumberFormat="1" applyFont="1" applyFill="1" applyBorder="1" applyAlignment="1">
      <alignment horizontal="right" shrinkToFit="1"/>
    </xf>
    <xf numFmtId="38" fontId="9" fillId="21" borderId="122" xfId="0" applyNumberFormat="1" applyFont="1" applyFill="1" applyBorder="1" applyAlignment="1">
      <alignment horizontal="right" shrinkToFit="1"/>
    </xf>
    <xf numFmtId="0" fontId="9" fillId="30" borderId="14" xfId="0" applyFont="1" applyFill="1" applyBorder="1" applyAlignment="1">
      <alignment horizontal="right"/>
    </xf>
    <xf numFmtId="0" fontId="9" fillId="30" borderId="14" xfId="0" applyFont="1" applyFill="1" applyBorder="1" applyAlignment="1">
      <alignment horizontal="left"/>
    </xf>
    <xf numFmtId="0" fontId="9" fillId="30" borderId="151" xfId="0" applyFont="1" applyFill="1" applyBorder="1" applyAlignment="1">
      <alignment horizontal="right"/>
    </xf>
    <xf numFmtId="38" fontId="9" fillId="30" borderId="151" xfId="0" applyNumberFormat="1" applyFont="1" applyFill="1" applyBorder="1" applyAlignment="1">
      <alignment horizontal="right" shrinkToFit="1"/>
    </xf>
    <xf numFmtId="38" fontId="9" fillId="30" borderId="152" xfId="0" applyNumberFormat="1" applyFont="1" applyFill="1" applyBorder="1" applyAlignment="1">
      <alignment horizontal="right" shrinkToFit="1"/>
    </xf>
    <xf numFmtId="0" fontId="11" fillId="30" borderId="0" xfId="0" applyFont="1" applyFill="1" applyBorder="1" applyAlignment="1">
      <alignment horizontal="left"/>
    </xf>
    <xf numFmtId="0" fontId="53" fillId="30" borderId="0" xfId="0" applyFont="1" applyFill="1" applyBorder="1" applyAlignment="1">
      <alignment horizontal="center"/>
    </xf>
    <xf numFmtId="0" fontId="9" fillId="30" borderId="0" xfId="0" applyFont="1" applyFill="1" applyBorder="1" applyAlignment="1">
      <alignment horizontal="center"/>
    </xf>
    <xf numFmtId="0" fontId="9" fillId="30" borderId="0" xfId="0" applyFont="1" applyFill="1" applyBorder="1" applyAlignment="1">
      <alignment horizontal="left" shrinkToFit="1"/>
    </xf>
    <xf numFmtId="0" fontId="9" fillId="30" borderId="0" xfId="0" applyFont="1" applyFill="1" applyBorder="1" applyAlignment="1">
      <alignment horizontal="right" shrinkToFit="1"/>
    </xf>
    <xf numFmtId="0" fontId="11" fillId="30" borderId="283" xfId="0" applyFont="1" applyFill="1" applyBorder="1" applyAlignment="1">
      <alignment horizontal="left"/>
    </xf>
    <xf numFmtId="0" fontId="53" fillId="30" borderId="0" xfId="0" applyFont="1" applyFill="1" applyBorder="1" applyAlignment="1">
      <alignment horizontal="left"/>
    </xf>
    <xf numFmtId="0" fontId="53" fillId="30" borderId="258" xfId="0" applyFont="1" applyFill="1" applyBorder="1" applyAlignment="1">
      <alignment horizontal="left"/>
    </xf>
    <xf numFmtId="0" fontId="9" fillId="30" borderId="89" xfId="0" applyFont="1" applyFill="1" applyBorder="1" applyAlignment="1">
      <alignment horizontal="center"/>
    </xf>
    <xf numFmtId="0" fontId="9" fillId="30" borderId="89" xfId="0" applyFont="1" applyFill="1" applyBorder="1" applyAlignment="1">
      <alignment horizontal="right"/>
    </xf>
    <xf numFmtId="0" fontId="9" fillId="30" borderId="89" xfId="0" applyFont="1" applyFill="1" applyBorder="1" applyAlignment="1">
      <alignment horizontal="right" shrinkToFit="1"/>
    </xf>
    <xf numFmtId="0" fontId="9" fillId="30" borderId="100" xfId="0" applyFont="1" applyFill="1" applyBorder="1" applyAlignment="1">
      <alignment horizontal="right" shrinkToFit="1"/>
    </xf>
    <xf numFmtId="0" fontId="9" fillId="0" borderId="178" xfId="0" applyFont="1" applyFill="1" applyBorder="1" applyAlignment="1">
      <alignment horizontal="left" shrinkToFit="1"/>
    </xf>
    <xf numFmtId="38" fontId="9" fillId="11" borderId="82" xfId="0" applyNumberFormat="1" applyFont="1" applyFill="1" applyBorder="1" applyAlignment="1">
      <alignment horizontal="right" shrinkToFit="1"/>
    </xf>
    <xf numFmtId="38" fontId="9" fillId="11" borderId="200" xfId="0" applyNumberFormat="1" applyFont="1" applyFill="1" applyBorder="1" applyAlignment="1">
      <alignment horizontal="right" shrinkToFit="1"/>
    </xf>
    <xf numFmtId="0" fontId="9" fillId="0" borderId="142" xfId="0" applyFont="1" applyFill="1" applyBorder="1" applyAlignment="1">
      <alignment horizontal="left" shrinkToFit="1"/>
    </xf>
    <xf numFmtId="0" fontId="9" fillId="30" borderId="142" xfId="0" applyFont="1" applyFill="1" applyBorder="1" applyAlignment="1">
      <alignment horizontal="left" shrinkToFit="1"/>
    </xf>
    <xf numFmtId="0" fontId="24" fillId="0" borderId="142" xfId="0" applyFont="1" applyFill="1" applyBorder="1" applyAlignment="1">
      <alignment horizontal="left"/>
    </xf>
    <xf numFmtId="38" fontId="9" fillId="11" borderId="23" xfId="0" applyNumberFormat="1" applyFont="1" applyFill="1" applyBorder="1" applyAlignment="1">
      <alignment horizontal="right" shrinkToFit="1"/>
    </xf>
    <xf numFmtId="38" fontId="9" fillId="11" borderId="31" xfId="0" applyNumberFormat="1" applyFont="1" applyFill="1" applyBorder="1" applyAlignment="1">
      <alignment horizontal="right" shrinkToFit="1"/>
    </xf>
    <xf numFmtId="0" fontId="74" fillId="28" borderId="142" xfId="0" applyFont="1" applyFill="1" applyBorder="1" applyAlignment="1">
      <alignment horizontal="left" shrinkToFit="1"/>
    </xf>
    <xf numFmtId="0" fontId="9" fillId="28" borderId="142" xfId="0" applyFont="1" applyFill="1" applyBorder="1" applyAlignment="1">
      <alignment horizontal="left" shrinkToFit="1"/>
    </xf>
    <xf numFmtId="0" fontId="9" fillId="0" borderId="142" xfId="0" quotePrefix="1" applyFont="1" applyFill="1" applyBorder="1" applyAlignment="1">
      <alignment horizontal="left" shrinkToFit="1"/>
    </xf>
    <xf numFmtId="0" fontId="9" fillId="30" borderId="52" xfId="0" applyFont="1" applyFill="1" applyBorder="1" applyAlignment="1">
      <alignment horizontal="left" vertical="center" shrinkToFit="1"/>
    </xf>
    <xf numFmtId="191" fontId="9" fillId="0" borderId="140" xfId="0" applyNumberFormat="1" applyFont="1" applyFill="1" applyBorder="1" applyAlignment="1">
      <alignment shrinkToFit="1"/>
    </xf>
    <xf numFmtId="10" fontId="9" fillId="0" borderId="23" xfId="0" applyNumberFormat="1" applyFont="1" applyFill="1" applyBorder="1" applyAlignment="1">
      <alignment horizontal="right" shrinkToFit="1"/>
    </xf>
    <xf numFmtId="0" fontId="9" fillId="30" borderId="142" xfId="0" quotePrefix="1" applyFont="1" applyFill="1" applyBorder="1" applyAlignment="1">
      <alignment horizontal="left" shrinkToFit="1"/>
    </xf>
    <xf numFmtId="0" fontId="4" fillId="30" borderId="142" xfId="0" applyFont="1" applyFill="1" applyBorder="1" applyAlignment="1">
      <alignment horizontal="left" shrinkToFit="1"/>
    </xf>
    <xf numFmtId="0" fontId="4" fillId="30" borderId="23" xfId="0" applyFont="1" applyFill="1" applyBorder="1" applyAlignment="1">
      <alignment horizontal="right"/>
    </xf>
    <xf numFmtId="0" fontId="4" fillId="30" borderId="176" xfId="0" applyFont="1" applyFill="1" applyBorder="1" applyAlignment="1">
      <alignment horizontal="left" shrinkToFit="1"/>
    </xf>
    <xf numFmtId="0" fontId="9" fillId="30" borderId="176" xfId="0" applyFont="1" applyFill="1" applyBorder="1" applyAlignment="1">
      <alignment horizontal="left" shrinkToFit="1"/>
    </xf>
    <xf numFmtId="38" fontId="9" fillId="11" borderId="85" xfId="0" applyNumberFormat="1" applyFont="1" applyFill="1" applyBorder="1" applyAlignment="1">
      <alignment horizontal="right" shrinkToFit="1"/>
    </xf>
    <xf numFmtId="38" fontId="9" fillId="11" borderId="98" xfId="0" applyNumberFormat="1" applyFont="1" applyFill="1" applyBorder="1" applyAlignment="1">
      <alignment horizontal="right" shrinkToFit="1"/>
    </xf>
    <xf numFmtId="0" fontId="68" fillId="0" borderId="0" xfId="0" applyFont="1" applyFill="1" applyBorder="1" applyAlignment="1">
      <alignment horizontal="center"/>
    </xf>
    <xf numFmtId="0" fontId="75" fillId="0" borderId="0" xfId="0" applyFont="1" applyFill="1" applyBorder="1" applyAlignment="1">
      <alignment horizontal="left"/>
    </xf>
    <xf numFmtId="0" fontId="9" fillId="0" borderId="224" xfId="0" applyFont="1" applyFill="1" applyBorder="1" applyAlignment="1">
      <alignment horizontal="right"/>
    </xf>
    <xf numFmtId="0" fontId="9" fillId="0" borderId="225" xfId="0" applyFont="1" applyFill="1" applyBorder="1" applyAlignment="1">
      <alignment horizontal="right"/>
    </xf>
    <xf numFmtId="38" fontId="9" fillId="0" borderId="261" xfId="0" applyNumberFormat="1" applyFont="1" applyFill="1" applyBorder="1" applyAlignment="1">
      <alignment horizontal="right" shrinkToFit="1"/>
    </xf>
    <xf numFmtId="0" fontId="11" fillId="0" borderId="226" xfId="0" applyFont="1" applyFill="1" applyBorder="1" applyAlignment="1">
      <alignment horizontal="left" shrinkToFit="1"/>
    </xf>
    <xf numFmtId="0" fontId="9" fillId="0" borderId="83" xfId="0" applyFont="1" applyFill="1" applyBorder="1" applyAlignment="1"/>
    <xf numFmtId="0" fontId="9" fillId="0" borderId="233" xfId="0" applyFont="1" applyFill="1" applyBorder="1" applyAlignment="1"/>
    <xf numFmtId="10" fontId="9" fillId="0" borderId="231" xfId="0" applyNumberFormat="1" applyFont="1" applyFill="1" applyBorder="1" applyAlignment="1">
      <alignment horizontal="right" shrinkToFit="1"/>
    </xf>
    <xf numFmtId="38" fontId="9" fillId="0" borderId="248" xfId="0" applyNumberFormat="1" applyFont="1" applyFill="1" applyBorder="1" applyAlignment="1">
      <alignment horizontal="right" shrinkToFit="1"/>
    </xf>
    <xf numFmtId="0" fontId="9" fillId="0" borderId="286" xfId="0" applyFont="1" applyFill="1" applyBorder="1" applyAlignment="1">
      <alignment horizontal="center" shrinkToFit="1"/>
    </xf>
    <xf numFmtId="10" fontId="9" fillId="0" borderId="82" xfId="0" quotePrefix="1" applyNumberFormat="1" applyFont="1" applyFill="1" applyBorder="1" applyAlignment="1">
      <alignment horizontal="center" shrinkToFit="1"/>
    </xf>
    <xf numFmtId="38" fontId="9" fillId="0" borderId="82" xfId="3" applyNumberFormat="1" applyFont="1" applyFill="1" applyBorder="1" applyAlignment="1">
      <alignment horizontal="right" shrinkToFit="1"/>
    </xf>
    <xf numFmtId="0" fontId="9" fillId="0" borderId="149" xfId="0" applyFont="1" applyFill="1" applyBorder="1" applyAlignment="1">
      <alignment horizontal="center" shrinkToFit="1"/>
    </xf>
    <xf numFmtId="191" fontId="9" fillId="0" borderId="23" xfId="0" applyNumberFormat="1" applyFont="1" applyFill="1" applyBorder="1" applyAlignment="1">
      <alignment horizontal="right" shrinkToFit="1"/>
    </xf>
    <xf numFmtId="10" fontId="9" fillId="0" borderId="23" xfId="0" quotePrefix="1" applyNumberFormat="1" applyFont="1" applyFill="1" applyBorder="1" applyAlignment="1">
      <alignment horizontal="center" shrinkToFit="1"/>
    </xf>
    <xf numFmtId="38" fontId="9" fillId="0" borderId="23" xfId="3" applyNumberFormat="1" applyFont="1" applyFill="1" applyBorder="1" applyAlignment="1">
      <alignment horizontal="right" shrinkToFit="1"/>
    </xf>
    <xf numFmtId="0" fontId="74" fillId="30" borderId="142" xfId="0" applyFont="1" applyFill="1" applyBorder="1" applyAlignment="1">
      <alignment horizontal="left" shrinkToFit="1"/>
    </xf>
    <xf numFmtId="10" fontId="9" fillId="11" borderId="23" xfId="0" applyNumberFormat="1" applyFont="1" applyFill="1" applyBorder="1" applyAlignment="1">
      <alignment horizontal="right" shrinkToFit="1"/>
    </xf>
    <xf numFmtId="0" fontId="9" fillId="30" borderId="203" xfId="0" applyFont="1" applyFill="1" applyBorder="1" applyAlignment="1">
      <alignment horizontal="center" vertical="center" shrinkToFit="1"/>
    </xf>
    <xf numFmtId="0" fontId="51" fillId="30" borderId="85" xfId="0" applyFont="1" applyFill="1" applyBorder="1" applyAlignment="1">
      <alignment horizontal="left" shrinkToFit="1"/>
    </xf>
    <xf numFmtId="38" fontId="9" fillId="0" borderId="85" xfId="3" applyNumberFormat="1" applyFont="1" applyFill="1" applyBorder="1" applyAlignment="1">
      <alignment horizontal="right" shrinkToFit="1"/>
    </xf>
    <xf numFmtId="0" fontId="11" fillId="0" borderId="14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 shrinkToFit="1"/>
    </xf>
    <xf numFmtId="0" fontId="9" fillId="0" borderId="15" xfId="0" applyFont="1" applyFill="1" applyBorder="1" applyAlignment="1"/>
    <xf numFmtId="38" fontId="9" fillId="0" borderId="15" xfId="0" applyNumberFormat="1" applyFont="1" applyFill="1" applyBorder="1" applyAlignment="1">
      <alignment horizontal="right"/>
    </xf>
    <xf numFmtId="38" fontId="9" fillId="0" borderId="15" xfId="0" applyNumberFormat="1" applyFont="1" applyFill="1" applyBorder="1" applyAlignment="1">
      <alignment horizontal="right" shrinkToFit="1"/>
    </xf>
    <xf numFmtId="38" fontId="9" fillId="0" borderId="123" xfId="0" applyNumberFormat="1" applyFont="1" applyFill="1" applyBorder="1" applyAlignment="1">
      <alignment horizontal="right" shrinkToFit="1"/>
    </xf>
    <xf numFmtId="192" fontId="66" fillId="0" borderId="95" xfId="0" applyNumberFormat="1" applyFont="1" applyFill="1" applyBorder="1" applyAlignment="1">
      <alignment vertical="top" shrinkToFit="1"/>
    </xf>
    <xf numFmtId="10" fontId="4" fillId="0" borderId="31" xfId="2" applyNumberFormat="1" applyFont="1" applyFill="1" applyBorder="1" applyAlignment="1">
      <alignment horizontal="left" shrinkToFit="1"/>
    </xf>
    <xf numFmtId="192" fontId="66" fillId="0" borderId="95" xfId="0" applyNumberFormat="1" applyFont="1" applyFill="1" applyBorder="1" applyAlignment="1">
      <alignment shrinkToFit="1"/>
    </xf>
    <xf numFmtId="191" fontId="9" fillId="0" borderId="23" xfId="0" applyNumberFormat="1" applyFont="1" applyFill="1" applyBorder="1" applyAlignment="1">
      <alignment shrinkToFit="1"/>
    </xf>
    <xf numFmtId="10" fontId="51" fillId="0" borderId="23" xfId="0" applyNumberFormat="1" applyFont="1" applyFill="1" applyBorder="1" applyAlignment="1">
      <alignment horizontal="right" shrinkToFit="1"/>
    </xf>
    <xf numFmtId="9" fontId="9" fillId="0" borderId="23" xfId="0" applyNumberFormat="1" applyFont="1" applyFill="1" applyBorder="1" applyAlignment="1">
      <alignment horizontal="right" shrinkToFit="1"/>
    </xf>
    <xf numFmtId="0" fontId="51" fillId="30" borderId="121" xfId="0" applyFont="1" applyFill="1" applyBorder="1" applyAlignment="1">
      <alignment vertical="center" shrinkToFit="1"/>
    </xf>
    <xf numFmtId="0" fontId="51" fillId="32" borderId="23" xfId="0" applyFont="1" applyFill="1" applyBorder="1" applyAlignment="1">
      <alignment horizontal="left" shrinkToFit="1"/>
    </xf>
    <xf numFmtId="192" fontId="9" fillId="0" borderId="23" xfId="0" applyNumberFormat="1" applyFont="1" applyFill="1" applyBorder="1" applyAlignment="1">
      <alignment shrinkToFit="1"/>
    </xf>
    <xf numFmtId="0" fontId="51" fillId="30" borderId="95" xfId="0" applyFont="1" applyFill="1" applyBorder="1" applyAlignment="1">
      <alignment vertical="center" shrinkToFit="1"/>
    </xf>
    <xf numFmtId="0" fontId="59" fillId="32" borderId="23" xfId="0" applyFont="1" applyFill="1" applyBorder="1" applyAlignment="1">
      <alignment horizontal="left" shrinkToFit="1"/>
    </xf>
    <xf numFmtId="0" fontId="9" fillId="30" borderId="201" xfId="0" applyFont="1" applyFill="1" applyBorder="1" applyAlignment="1">
      <alignment horizontal="center" vertical="center" shrinkToFit="1"/>
    </xf>
    <xf numFmtId="0" fontId="51" fillId="30" borderId="120" xfId="0" applyFont="1" applyFill="1" applyBorder="1" applyAlignment="1">
      <alignment horizontal="left" shrinkToFit="1"/>
    </xf>
    <xf numFmtId="191" fontId="9" fillId="0" borderId="120" xfId="0" applyNumberFormat="1" applyFont="1" applyFill="1" applyBorder="1" applyAlignment="1">
      <alignment shrinkToFit="1"/>
    </xf>
    <xf numFmtId="10" fontId="9" fillId="0" borderId="120" xfId="0" applyNumberFormat="1" applyFont="1" applyFill="1" applyBorder="1" applyAlignment="1">
      <alignment horizontal="right" shrinkToFit="1"/>
    </xf>
    <xf numFmtId="0" fontId="9" fillId="0" borderId="287" xfId="0" applyFont="1" applyFill="1" applyBorder="1" applyAlignment="1">
      <alignment horizontal="center" shrinkToFit="1"/>
    </xf>
    <xf numFmtId="0" fontId="9" fillId="30" borderId="288" xfId="0" applyFont="1" applyFill="1" applyBorder="1" applyAlignment="1">
      <alignment horizontal="center" vertical="center" shrinkToFit="1"/>
    </xf>
    <xf numFmtId="0" fontId="9" fillId="30" borderId="289" xfId="0" applyFont="1" applyFill="1" applyBorder="1" applyAlignment="1">
      <alignment horizontal="left" shrinkToFit="1"/>
    </xf>
    <xf numFmtId="191" fontId="9" fillId="0" borderId="289" xfId="0" applyNumberFormat="1" applyFont="1" applyFill="1" applyBorder="1" applyAlignment="1">
      <alignment shrinkToFit="1"/>
    </xf>
    <xf numFmtId="0" fontId="9" fillId="0" borderId="291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right"/>
    </xf>
    <xf numFmtId="0" fontId="9" fillId="0" borderId="175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right"/>
    </xf>
    <xf numFmtId="0" fontId="74" fillId="0" borderId="231" xfId="0" applyFont="1" applyFill="1" applyBorder="1" applyAlignment="1">
      <alignment horizontal="center" wrapText="1"/>
    </xf>
    <xf numFmtId="0" fontId="9" fillId="0" borderId="89" xfId="0" applyFont="1" applyFill="1" applyBorder="1" applyAlignment="1">
      <alignment horizontal="center"/>
    </xf>
    <xf numFmtId="0" fontId="9" fillId="0" borderId="177" xfId="0" applyFont="1" applyFill="1" applyBorder="1" applyAlignment="1">
      <alignment horizontal="right"/>
    </xf>
    <xf numFmtId="0" fontId="9" fillId="0" borderId="178" xfId="0" applyFont="1" applyFill="1" applyBorder="1" applyAlignment="1">
      <alignment horizontal="right"/>
    </xf>
    <xf numFmtId="0" fontId="9" fillId="0" borderId="233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/>
    </xf>
    <xf numFmtId="0" fontId="9" fillId="0" borderId="115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right"/>
    </xf>
    <xf numFmtId="0" fontId="8" fillId="0" borderId="14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left"/>
    </xf>
    <xf numFmtId="0" fontId="24" fillId="0" borderId="23" xfId="0" applyFont="1" applyFill="1" applyBorder="1" applyAlignment="1">
      <alignment horizontal="right"/>
    </xf>
    <xf numFmtId="0" fontId="24" fillId="0" borderId="2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right"/>
    </xf>
    <xf numFmtId="0" fontId="11" fillId="0" borderId="89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 shrinkToFit="1"/>
    </xf>
    <xf numFmtId="0" fontId="9" fillId="0" borderId="82" xfId="0" applyFont="1" applyFill="1" applyBorder="1" applyAlignment="1">
      <alignment horizontal="left" shrinkToFit="1"/>
    </xf>
    <xf numFmtId="0" fontId="9" fillId="0" borderId="82" xfId="0" applyFont="1" applyFill="1" applyBorder="1" applyAlignment="1">
      <alignment shrinkToFit="1"/>
    </xf>
    <xf numFmtId="10" fontId="9" fillId="34" borderId="82" xfId="0" quotePrefix="1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>
      <alignment horizontal="right"/>
    </xf>
    <xf numFmtId="180" fontId="9" fillId="0" borderId="23" xfId="0" applyNumberFormat="1" applyFont="1" applyFill="1" applyBorder="1" applyAlignment="1">
      <alignment horizontal="right" shrinkToFit="1"/>
    </xf>
    <xf numFmtId="0" fontId="9" fillId="0" borderId="23" xfId="0" applyNumberFormat="1" applyFont="1" applyFill="1" applyBorder="1" applyAlignment="1">
      <alignment shrinkToFit="1"/>
    </xf>
    <xf numFmtId="0" fontId="9" fillId="0" borderId="23" xfId="0" applyFont="1" applyFill="1" applyBorder="1" applyAlignment="1">
      <alignment horizontal="right" shrinkToFit="1"/>
    </xf>
    <xf numFmtId="0" fontId="9" fillId="0" borderId="23" xfId="0" quotePrefix="1" applyFont="1" applyFill="1" applyBorder="1" applyAlignment="1"/>
    <xf numFmtId="0" fontId="9" fillId="0" borderId="23" xfId="0" applyFont="1" applyFill="1" applyBorder="1" applyAlignment="1">
      <alignment shrinkToFit="1"/>
    </xf>
    <xf numFmtId="0" fontId="9" fillId="0" borderId="23" xfId="0" applyFont="1" applyFill="1" applyBorder="1" applyAlignment="1">
      <alignment horizontal="left" shrinkToFit="1"/>
    </xf>
    <xf numFmtId="0" fontId="9" fillId="0" borderId="120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 shrinkToFit="1"/>
    </xf>
    <xf numFmtId="9" fontId="9" fillId="0" borderId="85" xfId="0" applyNumberFormat="1" applyFont="1" applyFill="1" applyBorder="1" applyAlignment="1">
      <alignment horizontal="right" shrinkToFit="1"/>
    </xf>
    <xf numFmtId="0" fontId="9" fillId="0" borderId="229" xfId="0" applyFont="1" applyFill="1" applyBorder="1" applyAlignment="1">
      <alignment horizontal="right"/>
    </xf>
    <xf numFmtId="0" fontId="9" fillId="0" borderId="231" xfId="0" applyFont="1" applyFill="1" applyBorder="1" applyAlignment="1">
      <alignment horizontal="right" shrinkToFit="1"/>
    </xf>
    <xf numFmtId="0" fontId="9" fillId="0" borderId="82" xfId="0" applyFont="1" applyFill="1" applyBorder="1" applyAlignment="1">
      <alignment horizontal="right" shrinkToFit="1"/>
    </xf>
    <xf numFmtId="0" fontId="11" fillId="0" borderId="89" xfId="0" applyFont="1" applyFill="1" applyBorder="1" applyAlignment="1">
      <alignment horizontal="left" shrinkToFit="1"/>
    </xf>
    <xf numFmtId="0" fontId="9" fillId="0" borderId="85" xfId="0" applyFont="1" applyFill="1" applyBorder="1" applyAlignment="1">
      <alignment horizontal="right" shrinkToFit="1"/>
    </xf>
    <xf numFmtId="0" fontId="9" fillId="0" borderId="226" xfId="0" applyFont="1" applyFill="1" applyBorder="1" applyAlignment="1">
      <alignment horizontal="right"/>
    </xf>
    <xf numFmtId="0" fontId="9" fillId="0" borderId="95" xfId="0" quotePrefix="1" applyFont="1" applyFill="1" applyBorder="1" applyAlignment="1">
      <alignment horizontal="left" shrinkToFit="1"/>
    </xf>
    <xf numFmtId="10" fontId="9" fillId="0" borderId="82" xfId="0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/>
    <xf numFmtId="0" fontId="9" fillId="0" borderId="283" xfId="0" applyFont="1" applyFill="1" applyBorder="1" applyAlignment="1">
      <alignment horizontal="right"/>
    </xf>
    <xf numFmtId="0" fontId="9" fillId="0" borderId="82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left"/>
    </xf>
    <xf numFmtId="0" fontId="9" fillId="0" borderId="294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right"/>
    </xf>
    <xf numFmtId="38" fontId="9" fillId="0" borderId="234" xfId="0" applyNumberFormat="1" applyFont="1" applyFill="1" applyBorder="1" applyAlignment="1">
      <alignment horizontal="right" shrinkToFit="1"/>
    </xf>
    <xf numFmtId="38" fontId="9" fillId="0" borderId="91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/>
    <xf numFmtId="38" fontId="4" fillId="0" borderId="91" xfId="0" applyNumberFormat="1" applyFont="1" applyFill="1" applyBorder="1" applyAlignment="1">
      <alignment shrinkToFit="1"/>
    </xf>
    <xf numFmtId="176" fontId="4" fillId="0" borderId="261" xfId="0" applyNumberFormat="1" applyFont="1" applyFill="1" applyBorder="1" applyAlignment="1">
      <alignment shrinkToFit="1"/>
    </xf>
    <xf numFmtId="193" fontId="4" fillId="31" borderId="111" xfId="0" applyNumberFormat="1" applyFont="1" applyFill="1" applyBorder="1" applyAlignment="1">
      <alignment horizontal="center"/>
    </xf>
    <xf numFmtId="192" fontId="4" fillId="31" borderId="23" xfId="0" applyNumberFormat="1" applyFont="1" applyFill="1" applyBorder="1" applyAlignment="1" applyProtection="1">
      <alignment horizontal="center" vertical="center"/>
    </xf>
    <xf numFmtId="192" fontId="4" fillId="31" borderId="23" xfId="2" applyNumberFormat="1" applyFont="1" applyFill="1" applyBorder="1" applyAlignment="1" applyProtection="1">
      <alignment horizontal="center" vertical="center"/>
    </xf>
    <xf numFmtId="2" fontId="4" fillId="31" borderId="23" xfId="0" applyNumberFormat="1" applyFont="1" applyFill="1" applyBorder="1" applyAlignment="1" applyProtection="1">
      <alignment horizontal="center" vertical="center"/>
    </xf>
    <xf numFmtId="0" fontId="4" fillId="26" borderId="157" xfId="0" applyFont="1" applyFill="1" applyBorder="1" applyAlignment="1"/>
    <xf numFmtId="0" fontId="4" fillId="26" borderId="128" xfId="0" applyFont="1" applyFill="1" applyBorder="1" applyAlignment="1"/>
    <xf numFmtId="2" fontId="4" fillId="17" borderId="118" xfId="0" applyNumberFormat="1" applyFont="1" applyFill="1" applyBorder="1" applyAlignment="1" applyProtection="1">
      <alignment horizontal="center" vertical="center"/>
    </xf>
    <xf numFmtId="0" fontId="4" fillId="26" borderId="127" xfId="0" applyFont="1" applyFill="1" applyBorder="1" applyAlignment="1"/>
    <xf numFmtId="0" fontId="4" fillId="17" borderId="118" xfId="0" applyFont="1" applyFill="1" applyBorder="1" applyAlignment="1" applyProtection="1">
      <alignment horizontal="center" vertical="center"/>
    </xf>
    <xf numFmtId="0" fontId="4" fillId="31" borderId="0" xfId="0" applyFont="1" applyFill="1" applyAlignment="1">
      <alignment horizontal="center" vertical="center"/>
    </xf>
    <xf numFmtId="192" fontId="4" fillId="31" borderId="52" xfId="2" applyNumberFormat="1" applyFont="1" applyFill="1" applyBorder="1" applyAlignment="1" applyProtection="1">
      <alignment horizontal="center" vertical="center"/>
    </xf>
    <xf numFmtId="0" fontId="4" fillId="17" borderId="127" xfId="0" applyFont="1" applyFill="1" applyBorder="1" applyAlignment="1"/>
    <xf numFmtId="0" fontId="4" fillId="17" borderId="128" xfId="0" applyFont="1" applyFill="1" applyBorder="1" applyAlignment="1"/>
    <xf numFmtId="0" fontId="4" fillId="31" borderId="195" xfId="0" applyFont="1" applyFill="1" applyBorder="1" applyAlignment="1" applyProtection="1">
      <alignment horizontal="center" vertical="center"/>
    </xf>
    <xf numFmtId="0" fontId="4" fillId="17" borderId="299" xfId="0" applyFont="1" applyFill="1" applyBorder="1" applyAlignment="1" applyProtection="1">
      <alignment horizontal="center" vertical="center"/>
    </xf>
    <xf numFmtId="0" fontId="4" fillId="17" borderId="0" xfId="0" applyFont="1" applyFill="1" applyBorder="1" applyAlignment="1" applyProtection="1">
      <alignment horizontal="center" vertical="center"/>
    </xf>
    <xf numFmtId="38" fontId="9" fillId="0" borderId="12" xfId="0" applyNumberFormat="1" applyFont="1" applyFill="1" applyBorder="1" applyAlignment="1">
      <alignment horizontal="center" vertical="center" shrinkToFit="1"/>
    </xf>
    <xf numFmtId="190" fontId="4" fillId="0" borderId="152" xfId="0" applyNumberFormat="1" applyFont="1" applyFill="1" applyBorder="1" applyAlignment="1">
      <alignment horizontal="center" shrinkToFit="1"/>
    </xf>
    <xf numFmtId="0" fontId="9" fillId="30" borderId="248" xfId="0" applyFont="1" applyFill="1" applyBorder="1" applyAlignment="1">
      <alignment horizontal="center" shrinkToFit="1"/>
    </xf>
    <xf numFmtId="0" fontId="9" fillId="30" borderId="234" xfId="0" applyFont="1" applyFill="1" applyBorder="1" applyAlignment="1">
      <alignment horizontal="center" shrinkToFit="1"/>
    </xf>
    <xf numFmtId="179" fontId="9" fillId="33" borderId="151" xfId="0" applyNumberFormat="1" applyFont="1" applyFill="1" applyBorder="1" applyAlignment="1">
      <alignment shrinkToFit="1"/>
    </xf>
    <xf numFmtId="179" fontId="9" fillId="33" borderId="152" xfId="0" applyNumberFormat="1" applyFont="1" applyFill="1" applyBorder="1" applyAlignment="1">
      <alignment shrinkToFit="1"/>
    </xf>
    <xf numFmtId="179" fontId="9" fillId="33" borderId="82" xfId="0" applyNumberFormat="1" applyFont="1" applyFill="1" applyBorder="1" applyAlignment="1">
      <alignment shrinkToFit="1"/>
    </xf>
    <xf numFmtId="179" fontId="9" fillId="33" borderId="89" xfId="0" applyNumberFormat="1" applyFont="1" applyFill="1" applyBorder="1" applyAlignment="1">
      <alignment shrinkToFit="1"/>
    </xf>
    <xf numFmtId="38" fontId="9" fillId="35" borderId="23" xfId="0" applyNumberFormat="1" applyFont="1" applyFill="1" applyBorder="1" applyAlignment="1">
      <alignment horizontal="right" shrinkToFit="1"/>
    </xf>
    <xf numFmtId="0" fontId="24" fillId="30" borderId="142" xfId="0" applyFont="1" applyFill="1" applyBorder="1" applyAlignment="1">
      <alignment horizontal="left"/>
    </xf>
    <xf numFmtId="0" fontId="51" fillId="0" borderId="23" xfId="0" applyFont="1" applyFill="1" applyBorder="1" applyAlignment="1">
      <alignment horizontal="left" shrinkToFit="1"/>
    </xf>
    <xf numFmtId="0" fontId="9" fillId="0" borderId="261" xfId="0" applyFont="1" applyFill="1" applyBorder="1" applyAlignment="1">
      <alignment horizontal="center" shrinkToFit="1"/>
    </xf>
    <xf numFmtId="38" fontId="9" fillId="0" borderId="90" xfId="0" applyNumberFormat="1" applyFont="1" applyFill="1" applyBorder="1" applyAlignment="1">
      <alignment horizontal="right"/>
    </xf>
    <xf numFmtId="38" fontId="9" fillId="0" borderId="92" xfId="0" applyNumberFormat="1" applyFont="1" applyFill="1" applyBorder="1" applyAlignment="1">
      <alignment horizontal="right" shrinkToFit="1"/>
    </xf>
    <xf numFmtId="38" fontId="9" fillId="0" borderId="90" xfId="0" applyNumberFormat="1" applyFont="1" applyFill="1" applyBorder="1" applyAlignment="1">
      <alignment horizontal="right" shrinkToFit="1"/>
    </xf>
    <xf numFmtId="38" fontId="9" fillId="0" borderId="310" xfId="0" applyNumberFormat="1" applyFont="1" applyFill="1" applyBorder="1" applyAlignment="1">
      <alignment horizontal="right" shrinkToFit="1"/>
    </xf>
    <xf numFmtId="193" fontId="4" fillId="31" borderId="59" xfId="0" applyNumberFormat="1" applyFont="1" applyFill="1" applyBorder="1" applyAlignment="1">
      <alignment horizontal="center"/>
    </xf>
    <xf numFmtId="192" fontId="4" fillId="31" borderId="60" xfId="0" applyNumberFormat="1" applyFont="1" applyFill="1" applyBorder="1" applyAlignment="1" applyProtection="1">
      <alignment horizontal="center" vertical="center"/>
    </xf>
    <xf numFmtId="192" fontId="4" fillId="31" borderId="60" xfId="2" applyNumberFormat="1" applyFont="1" applyFill="1" applyBorder="1" applyAlignment="1" applyProtection="1">
      <alignment horizontal="center" vertical="center"/>
    </xf>
    <xf numFmtId="2" fontId="4" fillId="31" borderId="60" xfId="0" applyNumberFormat="1" applyFont="1" applyFill="1" applyBorder="1" applyAlignment="1" applyProtection="1">
      <alignment horizontal="center" vertical="center"/>
    </xf>
    <xf numFmtId="2" fontId="4" fillId="17" borderId="58" xfId="0" applyNumberFormat="1" applyFont="1" applyFill="1" applyBorder="1" applyAlignment="1" applyProtection="1">
      <alignment horizontal="center" vertical="center"/>
    </xf>
    <xf numFmtId="0" fontId="4" fillId="17" borderId="58" xfId="0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78" fillId="0" borderId="0" xfId="0" applyFont="1" applyFill="1" applyBorder="1" applyAlignment="1">
      <alignment horizontal="right" vertical="center"/>
    </xf>
    <xf numFmtId="0" fontId="78" fillId="0" borderId="0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right" vertical="center"/>
    </xf>
    <xf numFmtId="0" fontId="80" fillId="0" borderId="0" xfId="0" applyFont="1" applyFill="1" applyBorder="1" applyAlignment="1">
      <alignment horizontal="left" vertical="center"/>
    </xf>
    <xf numFmtId="0" fontId="81" fillId="0" borderId="0" xfId="0" applyFont="1" applyAlignment="1">
      <alignment vertical="center" shrinkToFit="1"/>
    </xf>
    <xf numFmtId="0" fontId="82" fillId="0" borderId="0" xfId="0" applyFont="1" applyFill="1" applyBorder="1" applyAlignment="1">
      <alignment horizontal="right" shrinkToFit="1"/>
    </xf>
    <xf numFmtId="0" fontId="83" fillId="36" borderId="225" xfId="0" applyFont="1" applyFill="1" applyBorder="1" applyAlignment="1">
      <alignment horizontal="center" vertical="center" shrinkToFit="1"/>
    </xf>
    <xf numFmtId="0" fontId="81" fillId="0" borderId="0" xfId="0" applyFont="1" applyFill="1"/>
    <xf numFmtId="0" fontId="81" fillId="0" borderId="0" xfId="0" applyFont="1" applyFill="1" applyBorder="1"/>
    <xf numFmtId="0" fontId="86" fillId="28" borderId="12" xfId="0" applyFont="1" applyFill="1" applyBorder="1" applyAlignment="1">
      <alignment horizontal="center" vertical="center" shrinkToFit="1"/>
    </xf>
    <xf numFmtId="0" fontId="78" fillId="0" borderId="0" xfId="0" applyFont="1" applyFill="1" applyBorder="1" applyAlignment="1">
      <alignment horizontal="right" vertical="center" shrinkToFit="1"/>
    </xf>
    <xf numFmtId="0" fontId="78" fillId="0" borderId="224" xfId="0" applyFont="1" applyFill="1" applyBorder="1" applyAlignment="1">
      <alignment horizontal="right" vertical="center"/>
    </xf>
    <xf numFmtId="0" fontId="78" fillId="0" borderId="225" xfId="0" applyFont="1" applyFill="1" applyBorder="1" applyAlignment="1">
      <alignment horizontal="right" vertical="center"/>
    </xf>
    <xf numFmtId="0" fontId="87" fillId="0" borderId="225" xfId="0" applyFont="1" applyBorder="1" applyAlignment="1">
      <alignment vertical="center"/>
    </xf>
    <xf numFmtId="0" fontId="88" fillId="0" borderId="225" xfId="0" applyFont="1" applyFill="1" applyBorder="1" applyAlignment="1">
      <alignment horizontal="center" vertical="center"/>
    </xf>
    <xf numFmtId="0" fontId="78" fillId="0" borderId="225" xfId="0" applyFont="1" applyFill="1" applyBorder="1" applyAlignment="1">
      <alignment horizontal="center" vertical="center"/>
    </xf>
    <xf numFmtId="0" fontId="87" fillId="0" borderId="82" xfId="0" applyFont="1" applyFill="1" applyBorder="1" applyAlignment="1">
      <alignment horizontal="right"/>
    </xf>
    <xf numFmtId="0" fontId="86" fillId="28" borderId="231" xfId="0" applyFont="1" applyFill="1" applyBorder="1" applyAlignment="1">
      <alignment horizontal="center" vertical="center" shrinkToFit="1"/>
    </xf>
    <xf numFmtId="0" fontId="86" fillId="28" borderId="248" xfId="0" applyFont="1" applyFill="1" applyBorder="1" applyAlignment="1">
      <alignment horizontal="center" vertical="center" shrinkToFit="1"/>
    </xf>
    <xf numFmtId="177" fontId="78" fillId="0" borderId="231" xfId="0" applyNumberFormat="1" applyFont="1" applyFill="1" applyBorder="1" applyAlignment="1">
      <alignment horizontal="right" vertical="center"/>
    </xf>
    <xf numFmtId="177" fontId="78" fillId="0" borderId="231" xfId="0" applyNumberFormat="1" applyFont="1" applyFill="1" applyBorder="1" applyAlignment="1">
      <alignment vertical="center" shrinkToFit="1"/>
    </xf>
    <xf numFmtId="177" fontId="78" fillId="0" borderId="231" xfId="0" applyNumberFormat="1" applyFont="1" applyFill="1" applyBorder="1" applyAlignment="1">
      <alignment horizontal="right" vertical="center" shrinkToFit="1"/>
    </xf>
    <xf numFmtId="177" fontId="78" fillId="0" borderId="248" xfId="0" applyNumberFormat="1" applyFont="1" applyFill="1" applyBorder="1" applyAlignment="1">
      <alignment vertical="center" shrinkToFit="1"/>
    </xf>
    <xf numFmtId="0" fontId="78" fillId="0" borderId="226" xfId="0" applyFont="1" applyFill="1" applyBorder="1" applyAlignment="1">
      <alignment horizontal="right" vertical="center"/>
    </xf>
    <xf numFmtId="0" fontId="78" fillId="0" borderId="139" xfId="0" applyFont="1" applyFill="1" applyBorder="1" applyAlignment="1">
      <alignment horizontal="center" vertical="center"/>
    </xf>
    <xf numFmtId="177" fontId="78" fillId="0" borderId="120" xfId="0" applyNumberFormat="1" applyFont="1" applyFill="1" applyBorder="1" applyAlignment="1">
      <alignment horizontal="right" vertical="center"/>
    </xf>
    <xf numFmtId="177" fontId="78" fillId="0" borderId="120" xfId="0" applyNumberFormat="1" applyFont="1" applyFill="1" applyBorder="1" applyAlignment="1">
      <alignment vertical="center" shrinkToFit="1"/>
    </xf>
    <xf numFmtId="177" fontId="78" fillId="0" borderId="120" xfId="0" applyNumberFormat="1" applyFont="1" applyFill="1" applyBorder="1" applyAlignment="1">
      <alignment horizontal="right" vertical="center" shrinkToFit="1"/>
    </xf>
    <xf numFmtId="177" fontId="78" fillId="0" borderId="259" xfId="0" applyNumberFormat="1" applyFont="1" applyFill="1" applyBorder="1" applyAlignment="1">
      <alignment vertical="center" shrinkToFit="1"/>
    </xf>
    <xf numFmtId="0" fontId="78" fillId="0" borderId="14" xfId="0" applyFont="1" applyFill="1" applyBorder="1" applyAlignment="1">
      <alignment horizontal="right" vertical="center"/>
    </xf>
    <xf numFmtId="0" fontId="78" fillId="0" borderId="15" xfId="0" applyFont="1" applyFill="1" applyBorder="1" applyAlignment="1">
      <alignment horizontal="center" vertical="center"/>
    </xf>
    <xf numFmtId="177" fontId="78" fillId="0" borderId="151" xfId="0" applyNumberFormat="1" applyFont="1" applyFill="1" applyBorder="1" applyAlignment="1">
      <alignment horizontal="right" vertical="center"/>
    </xf>
    <xf numFmtId="177" fontId="78" fillId="0" borderId="151" xfId="0" applyNumberFormat="1" applyFont="1" applyFill="1" applyBorder="1" applyAlignment="1">
      <alignment vertical="center" shrinkToFit="1"/>
    </xf>
    <xf numFmtId="177" fontId="78" fillId="0" borderId="151" xfId="0" applyNumberFormat="1" applyFont="1" applyFill="1" applyBorder="1" applyAlignment="1">
      <alignment horizontal="right" vertical="center" shrinkToFit="1"/>
    </xf>
    <xf numFmtId="177" fontId="78" fillId="0" borderId="123" xfId="0" applyNumberFormat="1" applyFont="1" applyFill="1" applyBorder="1" applyAlignment="1">
      <alignment vertical="center" shrinkToFit="1"/>
    </xf>
    <xf numFmtId="0" fontId="78" fillId="30" borderId="0" xfId="0" applyFont="1" applyFill="1" applyBorder="1" applyAlignment="1">
      <alignment horizontal="right" vertical="center"/>
    </xf>
    <xf numFmtId="0" fontId="90" fillId="30" borderId="0" xfId="0" applyFont="1" applyFill="1" applyBorder="1" applyAlignment="1">
      <alignment horizontal="distributed" vertical="center"/>
    </xf>
    <xf numFmtId="0" fontId="90" fillId="30" borderId="0" xfId="0" applyFont="1" applyFill="1" applyBorder="1" applyAlignment="1">
      <alignment horizontal="left" vertical="center"/>
    </xf>
    <xf numFmtId="0" fontId="88" fillId="30" borderId="0" xfId="0" applyFont="1" applyFill="1" applyBorder="1" applyAlignment="1">
      <alignment horizontal="center" vertical="center"/>
    </xf>
    <xf numFmtId="0" fontId="78" fillId="3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left" vertical="center"/>
    </xf>
    <xf numFmtId="0" fontId="78" fillId="30" borderId="0" xfId="0" applyFont="1" applyFill="1" applyBorder="1" applyAlignment="1">
      <alignment vertical="center"/>
    </xf>
    <xf numFmtId="0" fontId="78" fillId="30" borderId="0" xfId="0" applyFont="1" applyFill="1" applyBorder="1" applyAlignment="1">
      <alignment horizontal="right" vertical="center" shrinkToFit="1"/>
    </xf>
    <xf numFmtId="0" fontId="78" fillId="30" borderId="234" xfId="0" applyFont="1" applyFill="1" applyBorder="1" applyAlignment="1">
      <alignment horizontal="right" vertical="center" shrinkToFit="1"/>
    </xf>
    <xf numFmtId="0" fontId="87" fillId="0" borderId="177" xfId="0" applyFont="1" applyFill="1" applyBorder="1" applyAlignment="1">
      <alignment horizontal="right"/>
    </xf>
    <xf numFmtId="0" fontId="87" fillId="0" borderId="178" xfId="0" applyFont="1" applyFill="1" applyBorder="1" applyAlignment="1">
      <alignment horizontal="right"/>
    </xf>
    <xf numFmtId="0" fontId="87" fillId="0" borderId="178" xfId="0" applyFont="1" applyFill="1" applyBorder="1" applyAlignment="1">
      <alignment horizontal="distributed"/>
    </xf>
    <xf numFmtId="190" fontId="87" fillId="0" borderId="82" xfId="0" applyNumberFormat="1" applyFont="1" applyFill="1" applyBorder="1" applyAlignment="1">
      <alignment horizontal="center" shrinkToFit="1"/>
    </xf>
    <xf numFmtId="190" fontId="87" fillId="0" borderId="200" xfId="0" applyNumberFormat="1" applyFont="1" applyFill="1" applyBorder="1" applyAlignment="1">
      <alignment horizontal="center" shrinkToFit="1"/>
    </xf>
    <xf numFmtId="0" fontId="87" fillId="0" borderId="175" xfId="0" applyFont="1" applyFill="1" applyBorder="1" applyAlignment="1">
      <alignment horizontal="right"/>
    </xf>
    <xf numFmtId="0" fontId="87" fillId="0" borderId="176" xfId="0" applyFont="1" applyFill="1" applyBorder="1" applyAlignment="1">
      <alignment horizontal="right"/>
    </xf>
    <xf numFmtId="0" fontId="87" fillId="0" borderId="176" xfId="0" applyFont="1" applyFill="1" applyBorder="1" applyAlignment="1">
      <alignment horizontal="distributed" vertical="center"/>
    </xf>
    <xf numFmtId="190" fontId="87" fillId="0" borderId="85" xfId="0" applyNumberFormat="1" applyFont="1" applyFill="1" applyBorder="1" applyAlignment="1">
      <alignment horizontal="center" shrinkToFit="1"/>
    </xf>
    <xf numFmtId="190" fontId="87" fillId="0" borderId="98" xfId="0" applyNumberFormat="1" applyFont="1" applyFill="1" applyBorder="1" applyAlignment="1">
      <alignment horizontal="center" shrinkToFit="1"/>
    </xf>
    <xf numFmtId="0" fontId="78" fillId="30" borderId="226" xfId="0" applyFont="1" applyFill="1" applyBorder="1" applyAlignment="1">
      <alignment horizontal="right" vertical="center"/>
    </xf>
    <xf numFmtId="38" fontId="83" fillId="0" borderId="23" xfId="0" applyNumberFormat="1" applyFont="1" applyFill="1" applyBorder="1" applyAlignment="1">
      <alignment horizontal="center" shrinkToFit="1"/>
    </xf>
    <xf numFmtId="38" fontId="83" fillId="0" borderId="200" xfId="0" applyNumberFormat="1" applyFont="1" applyFill="1" applyBorder="1" applyAlignment="1">
      <alignment horizontal="center" shrinkToFit="1"/>
    </xf>
    <xf numFmtId="0" fontId="87" fillId="0" borderId="0" xfId="0" applyFont="1" applyFill="1" applyBorder="1" applyAlignment="1">
      <alignment vertical="center"/>
    </xf>
    <xf numFmtId="38" fontId="87" fillId="0" borderId="95" xfId="0" applyNumberFormat="1" applyFont="1" applyFill="1" applyBorder="1" applyAlignment="1">
      <alignment horizontal="center" vertical="center" shrinkToFit="1"/>
    </xf>
    <xf numFmtId="38" fontId="87" fillId="0" borderId="99" xfId="0" applyNumberFormat="1" applyFont="1" applyFill="1" applyBorder="1" applyAlignment="1">
      <alignment horizontal="center" vertical="center" shrinkToFit="1"/>
    </xf>
    <xf numFmtId="38" fontId="87" fillId="0" borderId="89" xfId="0" applyNumberFormat="1" applyFont="1" applyFill="1" applyBorder="1" applyAlignment="1">
      <alignment horizontal="center" vertical="center" shrinkToFit="1"/>
    </xf>
    <xf numFmtId="38" fontId="87" fillId="0" borderId="98" xfId="0" applyNumberFormat="1" applyFont="1" applyFill="1" applyBorder="1" applyAlignment="1">
      <alignment horizontal="center" vertical="center" shrinkToFit="1"/>
    </xf>
    <xf numFmtId="0" fontId="78" fillId="30" borderId="224" xfId="0" applyFont="1" applyFill="1" applyBorder="1" applyAlignment="1">
      <alignment horizontal="right"/>
    </xf>
    <xf numFmtId="0" fontId="87" fillId="30" borderId="178" xfId="0" applyFont="1" applyFill="1" applyBorder="1" applyAlignment="1"/>
    <xf numFmtId="0" fontId="78" fillId="30" borderId="178" xfId="0" applyFont="1" applyFill="1" applyBorder="1" applyAlignment="1">
      <alignment horizontal="right"/>
    </xf>
    <xf numFmtId="0" fontId="78" fillId="0" borderId="83" xfId="0" applyFont="1" applyFill="1" applyBorder="1" applyAlignment="1">
      <alignment horizontal="center"/>
    </xf>
    <xf numFmtId="38" fontId="78" fillId="30" borderId="82" xfId="0" applyNumberFormat="1" applyFont="1" applyFill="1" applyBorder="1" applyAlignment="1">
      <alignment horizontal="right"/>
    </xf>
    <xf numFmtId="179" fontId="78" fillId="28" borderId="82" xfId="0" applyNumberFormat="1" applyFont="1" applyFill="1" applyBorder="1" applyAlignment="1">
      <alignment shrinkToFit="1"/>
    </xf>
    <xf numFmtId="179" fontId="78" fillId="28" borderId="200" xfId="0" applyNumberFormat="1" applyFont="1" applyFill="1" applyBorder="1" applyAlignment="1">
      <alignment shrinkToFit="1"/>
    </xf>
    <xf numFmtId="0" fontId="87" fillId="0" borderId="0" xfId="0" applyFont="1" applyFill="1" applyBorder="1" applyAlignment="1"/>
    <xf numFmtId="0" fontId="78" fillId="30" borderId="226" xfId="0" applyFont="1" applyFill="1" applyBorder="1" applyAlignment="1">
      <alignment horizontal="right"/>
    </xf>
    <xf numFmtId="0" fontId="87" fillId="30" borderId="142" xfId="0" applyFont="1" applyFill="1" applyBorder="1" applyAlignment="1"/>
    <xf numFmtId="0" fontId="78" fillId="30" borderId="142" xfId="0" applyFont="1" applyFill="1" applyBorder="1" applyAlignment="1">
      <alignment horizontal="right"/>
    </xf>
    <xf numFmtId="0" fontId="78" fillId="0" borderId="52" xfId="0" applyFont="1" applyFill="1" applyBorder="1" applyAlignment="1">
      <alignment horizontal="center"/>
    </xf>
    <xf numFmtId="38" fontId="78" fillId="30" borderId="23" xfId="0" applyNumberFormat="1" applyFont="1" applyFill="1" applyBorder="1" applyAlignment="1">
      <alignment horizontal="right"/>
    </xf>
    <xf numFmtId="179" fontId="78" fillId="17" borderId="23" xfId="0" applyNumberFormat="1" applyFont="1" applyFill="1" applyBorder="1" applyAlignment="1">
      <alignment shrinkToFit="1"/>
    </xf>
    <xf numFmtId="179" fontId="78" fillId="17" borderId="31" xfId="0" applyNumberFormat="1" applyFont="1" applyFill="1" applyBorder="1" applyAlignment="1">
      <alignment shrinkToFit="1"/>
    </xf>
    <xf numFmtId="0" fontId="87" fillId="21" borderId="142" xfId="0" applyFont="1" applyFill="1" applyBorder="1" applyAlignment="1">
      <alignment horizontal="left" vertical="center"/>
    </xf>
    <xf numFmtId="0" fontId="78" fillId="21" borderId="139" xfId="0" applyFont="1" applyFill="1" applyBorder="1" applyAlignment="1">
      <alignment horizontal="right"/>
    </xf>
    <xf numFmtId="0" fontId="78" fillId="0" borderId="169" xfId="0" applyFont="1" applyFill="1" applyBorder="1" applyAlignment="1">
      <alignment horizontal="center"/>
    </xf>
    <xf numFmtId="38" fontId="78" fillId="21" borderId="120" xfId="0" applyNumberFormat="1" applyFont="1" applyFill="1" applyBorder="1" applyAlignment="1">
      <alignment horizontal="right"/>
    </xf>
    <xf numFmtId="179" fontId="78" fillId="17" borderId="120" xfId="0" applyNumberFormat="1" applyFont="1" applyFill="1" applyBorder="1" applyAlignment="1">
      <alignment shrinkToFit="1"/>
    </xf>
    <xf numFmtId="179" fontId="78" fillId="17" borderId="122" xfId="0" applyNumberFormat="1" applyFont="1" applyFill="1" applyBorder="1" applyAlignment="1">
      <alignment shrinkToFit="1"/>
    </xf>
    <xf numFmtId="179" fontId="78" fillId="28" borderId="120" xfId="0" applyNumberFormat="1" applyFont="1" applyFill="1" applyBorder="1" applyAlignment="1">
      <alignment shrinkToFit="1"/>
    </xf>
    <xf numFmtId="179" fontId="78" fillId="28" borderId="122" xfId="0" applyNumberFormat="1" applyFont="1" applyFill="1" applyBorder="1" applyAlignment="1">
      <alignment shrinkToFit="1"/>
    </xf>
    <xf numFmtId="0" fontId="87" fillId="0" borderId="176" xfId="0" applyFont="1" applyBorder="1" applyAlignment="1">
      <alignment vertical="center"/>
    </xf>
    <xf numFmtId="0" fontId="78" fillId="30" borderId="176" xfId="0" applyFont="1" applyFill="1" applyBorder="1" applyAlignment="1">
      <alignment horizontal="right"/>
    </xf>
    <xf numFmtId="0" fontId="78" fillId="0" borderId="86" xfId="0" applyFont="1" applyFill="1" applyBorder="1" applyAlignment="1">
      <alignment horizontal="center"/>
    </xf>
    <xf numFmtId="38" fontId="78" fillId="30" borderId="85" xfId="0" applyNumberFormat="1" applyFont="1" applyFill="1" applyBorder="1" applyAlignment="1">
      <alignment horizontal="right"/>
    </xf>
    <xf numFmtId="179" fontId="78" fillId="28" borderId="85" xfId="0" applyNumberFormat="1" applyFont="1" applyFill="1" applyBorder="1" applyAlignment="1">
      <alignment shrinkToFit="1"/>
    </xf>
    <xf numFmtId="179" fontId="78" fillId="28" borderId="98" xfId="0" applyNumberFormat="1" applyFont="1" applyFill="1" applyBorder="1" applyAlignment="1">
      <alignment shrinkToFit="1"/>
    </xf>
    <xf numFmtId="0" fontId="78" fillId="30" borderId="174" xfId="0" applyFont="1" applyFill="1" applyBorder="1" applyAlignment="1">
      <alignment horizontal="right"/>
    </xf>
    <xf numFmtId="0" fontId="92" fillId="30" borderId="141" xfId="0" applyFont="1" applyFill="1" applyBorder="1" applyAlignment="1"/>
    <xf numFmtId="0" fontId="78" fillId="30" borderId="141" xfId="0" applyFont="1" applyFill="1" applyBorder="1" applyAlignment="1">
      <alignment horizontal="right"/>
    </xf>
    <xf numFmtId="0" fontId="78" fillId="0" borderId="96" xfId="0" applyFont="1" applyFill="1" applyBorder="1" applyAlignment="1">
      <alignment horizontal="center"/>
    </xf>
    <xf numFmtId="38" fontId="78" fillId="30" borderId="95" xfId="0" applyNumberFormat="1" applyFont="1" applyFill="1" applyBorder="1" applyAlignment="1">
      <alignment horizontal="right"/>
    </xf>
    <xf numFmtId="179" fontId="78" fillId="17" borderId="95" xfId="0" applyNumberFormat="1" applyFont="1" applyFill="1" applyBorder="1" applyAlignment="1">
      <alignment shrinkToFit="1"/>
    </xf>
    <xf numFmtId="179" fontId="78" fillId="17" borderId="99" xfId="0" applyNumberFormat="1" applyFont="1" applyFill="1" applyBorder="1" applyAlignment="1">
      <alignment shrinkToFit="1"/>
    </xf>
    <xf numFmtId="179" fontId="78" fillId="0" borderId="95" xfId="0" applyNumberFormat="1" applyFont="1" applyFill="1" applyBorder="1" applyAlignment="1">
      <alignment shrinkToFit="1"/>
    </xf>
    <xf numFmtId="179" fontId="78" fillId="0" borderId="99" xfId="0" applyNumberFormat="1" applyFont="1" applyFill="1" applyBorder="1" applyAlignment="1">
      <alignment shrinkToFit="1"/>
    </xf>
    <xf numFmtId="0" fontId="92" fillId="30" borderId="176" xfId="0" applyFont="1" applyFill="1" applyBorder="1" applyAlignment="1"/>
    <xf numFmtId="194" fontId="78" fillId="30" borderId="85" xfId="0" applyNumberFormat="1" applyFont="1" applyFill="1" applyBorder="1" applyAlignment="1">
      <alignment horizontal="right"/>
    </xf>
    <xf numFmtId="179" fontId="78" fillId="17" borderId="85" xfId="0" applyNumberFormat="1" applyFont="1" applyFill="1" applyBorder="1" applyAlignment="1">
      <alignment shrinkToFit="1"/>
    </xf>
    <xf numFmtId="179" fontId="78" fillId="17" borderId="98" xfId="0" applyNumberFormat="1" applyFont="1" applyFill="1" applyBorder="1" applyAlignment="1">
      <alignment shrinkToFit="1"/>
    </xf>
    <xf numFmtId="0" fontId="88" fillId="30" borderId="224" xfId="0" applyFont="1" applyFill="1" applyBorder="1" applyAlignment="1">
      <alignment horizontal="left" vertical="center"/>
    </xf>
    <xf numFmtId="0" fontId="93" fillId="30" borderId="225" xfId="0" applyFont="1" applyFill="1" applyBorder="1" applyAlignment="1">
      <alignment horizontal="right" vertical="center"/>
    </xf>
    <xf numFmtId="0" fontId="92" fillId="30" borderId="229" xfId="0" applyFont="1" applyFill="1" applyBorder="1" applyAlignment="1">
      <alignment horizontal="right" vertical="center"/>
    </xf>
    <xf numFmtId="0" fontId="92" fillId="0" borderId="231" xfId="0" applyFont="1" applyBorder="1" applyAlignment="1">
      <alignment vertical="center"/>
    </xf>
    <xf numFmtId="0" fontId="92" fillId="0" borderId="232" xfId="0" applyFont="1" applyBorder="1" applyAlignment="1">
      <alignment vertical="center"/>
    </xf>
    <xf numFmtId="0" fontId="93" fillId="30" borderId="149" xfId="0" applyFont="1" applyFill="1" applyBorder="1" applyAlignment="1">
      <alignment horizontal="center" vertical="center"/>
    </xf>
    <xf numFmtId="0" fontId="93" fillId="21" borderId="82" xfId="0" applyFont="1" applyFill="1" applyBorder="1" applyAlignment="1">
      <alignment horizontal="left" vertical="center" shrinkToFit="1"/>
    </xf>
    <xf numFmtId="0" fontId="93" fillId="30" borderId="82" xfId="0" applyFont="1" applyFill="1" applyBorder="1" applyAlignment="1">
      <alignment horizontal="right" vertical="center"/>
    </xf>
    <xf numFmtId="177" fontId="93" fillId="30" borderId="82" xfId="0" applyNumberFormat="1" applyFont="1" applyFill="1" applyBorder="1" applyAlignment="1">
      <alignment horizontal="right" vertical="center"/>
    </xf>
    <xf numFmtId="177" fontId="93" fillId="17" borderId="82" xfId="0" applyNumberFormat="1" applyFont="1" applyFill="1" applyBorder="1" applyAlignment="1">
      <alignment horizontal="right" vertical="center" shrinkToFit="1"/>
    </xf>
    <xf numFmtId="177" fontId="93" fillId="17" borderId="200" xfId="0" applyNumberFormat="1" applyFont="1" applyFill="1" applyBorder="1" applyAlignment="1">
      <alignment horizontal="right" vertical="center" shrinkToFit="1"/>
    </xf>
    <xf numFmtId="0" fontId="93" fillId="21" borderId="23" xfId="0" applyFont="1" applyFill="1" applyBorder="1" applyAlignment="1">
      <alignment horizontal="left" vertical="center" shrinkToFit="1"/>
    </xf>
    <xf numFmtId="0" fontId="93" fillId="21" borderId="95" xfId="0" applyFont="1" applyFill="1" applyBorder="1" applyAlignment="1">
      <alignment horizontal="left" vertical="center" shrinkToFit="1"/>
    </xf>
    <xf numFmtId="0" fontId="93" fillId="30" borderId="95" xfId="0" applyFont="1" applyFill="1" applyBorder="1" applyAlignment="1">
      <alignment horizontal="right" vertical="center"/>
    </xf>
    <xf numFmtId="177" fontId="93" fillId="30" borderId="23" xfId="0" applyNumberFormat="1" applyFont="1" applyFill="1" applyBorder="1" applyAlignment="1">
      <alignment horizontal="right" vertical="center"/>
    </xf>
    <xf numFmtId="177" fontId="93" fillId="17" borderId="95" xfId="0" applyNumberFormat="1" applyFont="1" applyFill="1" applyBorder="1" applyAlignment="1">
      <alignment horizontal="right" vertical="center" shrinkToFit="1"/>
    </xf>
    <xf numFmtId="177" fontId="93" fillId="17" borderId="99" xfId="0" applyNumberFormat="1" applyFont="1" applyFill="1" applyBorder="1" applyAlignment="1">
      <alignment horizontal="right" vertical="center" shrinkToFit="1"/>
    </xf>
    <xf numFmtId="0" fontId="93" fillId="21" borderId="85" xfId="0" applyFont="1" applyFill="1" applyBorder="1" applyAlignment="1">
      <alignment horizontal="left" vertical="center" shrinkToFit="1"/>
    </xf>
    <xf numFmtId="0" fontId="93" fillId="30" borderId="85" xfId="0" applyFont="1" applyFill="1" applyBorder="1" applyAlignment="1">
      <alignment horizontal="right" vertical="center"/>
    </xf>
    <xf numFmtId="177" fontId="93" fillId="30" borderId="85" xfId="0" applyNumberFormat="1" applyFont="1" applyFill="1" applyBorder="1" applyAlignment="1">
      <alignment horizontal="right" vertical="center"/>
    </xf>
    <xf numFmtId="177" fontId="93" fillId="17" borderId="85" xfId="0" applyNumberFormat="1" applyFont="1" applyFill="1" applyBorder="1" applyAlignment="1">
      <alignment horizontal="right" vertical="center" shrinkToFit="1"/>
    </xf>
    <xf numFmtId="177" fontId="93" fillId="17" borderId="98" xfId="0" applyNumberFormat="1" applyFont="1" applyFill="1" applyBorder="1" applyAlignment="1">
      <alignment horizontal="right" vertical="center" shrinkToFit="1"/>
    </xf>
    <xf numFmtId="9" fontId="93" fillId="30" borderId="82" xfId="0" applyNumberFormat="1" applyFont="1" applyFill="1" applyBorder="1" applyAlignment="1">
      <alignment horizontal="right" vertical="center"/>
    </xf>
    <xf numFmtId="9" fontId="93" fillId="30" borderId="23" xfId="0" applyNumberFormat="1" applyFont="1" applyFill="1" applyBorder="1" applyAlignment="1">
      <alignment horizontal="right" vertical="center"/>
    </xf>
    <xf numFmtId="177" fontId="93" fillId="28" borderId="23" xfId="0" applyNumberFormat="1" applyFont="1" applyFill="1" applyBorder="1" applyAlignment="1">
      <alignment horizontal="right" vertical="center" shrinkToFit="1"/>
    </xf>
    <xf numFmtId="177" fontId="93" fillId="28" borderId="31" xfId="0" applyNumberFormat="1" applyFont="1" applyFill="1" applyBorder="1" applyAlignment="1">
      <alignment horizontal="right" vertical="center" shrinkToFit="1"/>
    </xf>
    <xf numFmtId="177" fontId="93" fillId="0" borderId="23" xfId="0" applyNumberFormat="1" applyFont="1" applyFill="1" applyBorder="1" applyAlignment="1">
      <alignment horizontal="right" vertical="center" shrinkToFit="1"/>
    </xf>
    <xf numFmtId="177" fontId="93" fillId="0" borderId="31" xfId="0" applyNumberFormat="1" applyFont="1" applyFill="1" applyBorder="1" applyAlignment="1">
      <alignment horizontal="right" vertical="center" shrinkToFit="1"/>
    </xf>
    <xf numFmtId="177" fontId="93" fillId="0" borderId="85" xfId="0" applyNumberFormat="1" applyFont="1" applyFill="1" applyBorder="1" applyAlignment="1">
      <alignment horizontal="right" vertical="center" shrinkToFit="1"/>
    </xf>
    <xf numFmtId="177" fontId="93" fillId="0" borderId="98" xfId="0" applyNumberFormat="1" applyFont="1" applyFill="1" applyBorder="1" applyAlignment="1">
      <alignment horizontal="right" vertical="center" shrinkToFit="1"/>
    </xf>
    <xf numFmtId="177" fontId="93" fillId="28" borderId="82" xfId="0" applyNumberFormat="1" applyFont="1" applyFill="1" applyBorder="1" applyAlignment="1">
      <alignment horizontal="right" vertical="center" shrinkToFit="1"/>
    </xf>
    <xf numFmtId="177" fontId="93" fillId="28" borderId="200" xfId="0" applyNumberFormat="1" applyFont="1" applyFill="1" applyBorder="1" applyAlignment="1">
      <alignment horizontal="right" vertical="center" shrinkToFit="1"/>
    </xf>
    <xf numFmtId="0" fontId="93" fillId="30" borderId="23" xfId="0" applyFont="1" applyFill="1" applyBorder="1" applyAlignment="1">
      <alignment horizontal="right" vertical="center"/>
    </xf>
    <xf numFmtId="177" fontId="93" fillId="28" borderId="85" xfId="0" applyNumberFormat="1" applyFont="1" applyFill="1" applyBorder="1" applyAlignment="1">
      <alignment horizontal="right" vertical="center" shrinkToFit="1"/>
    </xf>
    <xf numFmtId="177" fontId="93" fillId="28" borderId="98" xfId="0" applyNumberFormat="1" applyFont="1" applyFill="1" applyBorder="1" applyAlignment="1">
      <alignment horizontal="right" vertical="center" shrinkToFit="1"/>
    </xf>
    <xf numFmtId="0" fontId="93" fillId="30" borderId="120" xfId="0" applyFont="1" applyFill="1" applyBorder="1" applyAlignment="1">
      <alignment horizontal="left" vertical="center" shrinkToFit="1"/>
    </xf>
    <xf numFmtId="0" fontId="93" fillId="30" borderId="120" xfId="0" applyFont="1" applyFill="1" applyBorder="1" applyAlignment="1">
      <alignment horizontal="right" vertical="center"/>
    </xf>
    <xf numFmtId="177" fontId="93" fillId="30" borderId="120" xfId="0" applyNumberFormat="1" applyFont="1" applyFill="1" applyBorder="1" applyAlignment="1">
      <alignment horizontal="right" vertical="center"/>
    </xf>
    <xf numFmtId="177" fontId="93" fillId="28" borderId="120" xfId="0" applyNumberFormat="1" applyFont="1" applyFill="1" applyBorder="1" applyAlignment="1">
      <alignment horizontal="right" vertical="center" shrinkToFit="1"/>
    </xf>
    <xf numFmtId="177" fontId="93" fillId="28" borderId="122" xfId="0" applyNumberFormat="1" applyFont="1" applyFill="1" applyBorder="1" applyAlignment="1">
      <alignment horizontal="right" vertical="center" shrinkToFit="1"/>
    </xf>
    <xf numFmtId="38" fontId="78" fillId="32" borderId="23" xfId="0" applyNumberFormat="1" applyFont="1" applyFill="1" applyBorder="1" applyAlignment="1">
      <alignment horizontal="right" shrinkToFit="1"/>
    </xf>
    <xf numFmtId="38" fontId="78" fillId="32" borderId="31" xfId="0" applyNumberFormat="1" applyFont="1" applyFill="1" applyBorder="1" applyAlignment="1">
      <alignment horizontal="right" shrinkToFit="1"/>
    </xf>
    <xf numFmtId="0" fontId="93" fillId="30" borderId="260" xfId="0" applyFont="1" applyFill="1" applyBorder="1" applyAlignment="1">
      <alignment horizontal="center" vertical="center"/>
    </xf>
    <xf numFmtId="0" fontId="93" fillId="0" borderId="151" xfId="0" applyFont="1" applyFill="1" applyBorder="1" applyAlignment="1">
      <alignment horizontal="center" vertical="center" wrapText="1"/>
    </xf>
    <xf numFmtId="0" fontId="94" fillId="0" borderId="151" xfId="0" applyFont="1" applyFill="1" applyBorder="1" applyAlignment="1">
      <alignment horizontal="left" vertical="center"/>
    </xf>
    <xf numFmtId="38" fontId="93" fillId="0" borderId="151" xfId="0" applyNumberFormat="1" applyFont="1" applyFill="1" applyBorder="1" applyAlignment="1">
      <alignment horizontal="right" vertical="center"/>
    </xf>
    <xf numFmtId="38" fontId="93" fillId="0" borderId="151" xfId="0" applyNumberFormat="1" applyFont="1" applyFill="1" applyBorder="1" applyAlignment="1">
      <alignment horizontal="right" vertical="center" shrinkToFit="1"/>
    </xf>
    <xf numFmtId="38" fontId="93" fillId="0" borderId="152" xfId="0" applyNumberFormat="1" applyFont="1" applyFill="1" applyBorder="1" applyAlignment="1">
      <alignment horizontal="right" vertical="center" shrinkToFit="1"/>
    </xf>
    <xf numFmtId="0" fontId="93" fillId="30" borderId="231" xfId="0" quotePrefix="1" applyFont="1" applyFill="1" applyBorder="1" applyAlignment="1">
      <alignment horizontal="center" vertical="center"/>
    </xf>
    <xf numFmtId="0" fontId="93" fillId="30" borderId="233" xfId="0" applyFont="1" applyFill="1" applyBorder="1" applyAlignment="1">
      <alignment horizontal="left" vertical="center" shrinkToFit="1"/>
    </xf>
    <xf numFmtId="0" fontId="93" fillId="0" borderId="23" xfId="0" applyNumberFormat="1" applyFont="1" applyFill="1" applyBorder="1" applyAlignment="1">
      <alignment horizontal="right" vertical="center" shrinkToFit="1"/>
    </xf>
    <xf numFmtId="10" fontId="93" fillId="0" borderId="23" xfId="0" applyNumberFormat="1" applyFont="1" applyFill="1" applyBorder="1" applyAlignment="1">
      <alignment horizontal="right" vertical="center" shrinkToFit="1"/>
    </xf>
    <xf numFmtId="177" fontId="93" fillId="21" borderId="23" xfId="0" applyNumberFormat="1" applyFont="1" applyFill="1" applyBorder="1" applyAlignment="1">
      <alignment horizontal="right" vertical="center"/>
    </xf>
    <xf numFmtId="177" fontId="93" fillId="17" borderId="23" xfId="0" applyNumberFormat="1" applyFont="1" applyFill="1" applyBorder="1" applyAlignment="1">
      <alignment horizontal="right" vertical="center" shrinkToFit="1"/>
    </xf>
    <xf numFmtId="177" fontId="93" fillId="17" borderId="31" xfId="0" applyNumberFormat="1" applyFont="1" applyFill="1" applyBorder="1" applyAlignment="1">
      <alignment horizontal="right" vertical="center" shrinkToFit="1"/>
    </xf>
    <xf numFmtId="0" fontId="93" fillId="30" borderId="23" xfId="0" quotePrefix="1" applyFont="1" applyFill="1" applyBorder="1" applyAlignment="1">
      <alignment horizontal="center" vertical="center"/>
    </xf>
    <xf numFmtId="0" fontId="93" fillId="30" borderId="140" xfId="0" applyFont="1" applyFill="1" applyBorder="1" applyAlignment="1">
      <alignment horizontal="left" vertical="center" shrinkToFit="1"/>
    </xf>
    <xf numFmtId="0" fontId="81" fillId="0" borderId="121" xfId="0" applyFont="1" applyBorder="1" applyAlignment="1">
      <alignment horizontal="center" vertical="center" shrinkToFit="1"/>
    </xf>
    <xf numFmtId="0" fontId="93" fillId="30" borderId="120" xfId="0" applyFont="1" applyFill="1" applyBorder="1" applyAlignment="1">
      <alignment horizontal="center" vertical="center" wrapText="1" shrinkToFit="1"/>
    </xf>
    <xf numFmtId="0" fontId="92" fillId="30" borderId="140" xfId="0" applyFont="1" applyFill="1" applyBorder="1" applyAlignment="1">
      <alignment horizontal="left" vertical="center"/>
    </xf>
    <xf numFmtId="0" fontId="93" fillId="0" borderId="120" xfId="0" applyNumberFormat="1" applyFont="1" applyFill="1" applyBorder="1" applyAlignment="1">
      <alignment horizontal="right" vertical="center" shrinkToFit="1"/>
    </xf>
    <xf numFmtId="10" fontId="93" fillId="0" borderId="120" xfId="0" applyNumberFormat="1" applyFont="1" applyFill="1" applyBorder="1" applyAlignment="1">
      <alignment horizontal="right" vertical="center" shrinkToFit="1"/>
    </xf>
    <xf numFmtId="177" fontId="93" fillId="0" borderId="120" xfId="0" applyNumberFormat="1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shrinkToFit="1"/>
    </xf>
    <xf numFmtId="38" fontId="78" fillId="17" borderId="31" xfId="0" applyNumberFormat="1" applyFont="1" applyFill="1" applyBorder="1" applyAlignment="1">
      <alignment horizontal="right" shrinkToFit="1"/>
    </xf>
    <xf numFmtId="0" fontId="93" fillId="0" borderId="226" xfId="0" applyFont="1" applyFill="1" applyBorder="1" applyAlignment="1">
      <alignment horizontal="right" vertical="center"/>
    </xf>
    <xf numFmtId="0" fontId="93" fillId="0" borderId="23" xfId="0" applyFont="1" applyFill="1" applyBorder="1" applyAlignment="1">
      <alignment horizontal="left" vertical="center"/>
    </xf>
    <xf numFmtId="0" fontId="93" fillId="0" borderId="23" xfId="0" applyFont="1" applyFill="1" applyBorder="1" applyAlignment="1">
      <alignment horizontal="right" vertical="center"/>
    </xf>
    <xf numFmtId="177" fontId="93" fillId="0" borderId="23" xfId="0" applyNumberFormat="1" applyFont="1" applyFill="1" applyBorder="1" applyAlignment="1">
      <alignment horizontal="right" vertical="center"/>
    </xf>
    <xf numFmtId="0" fontId="93" fillId="0" borderId="52" xfId="0" applyFont="1" applyFill="1" applyBorder="1" applyAlignment="1">
      <alignment horizontal="left" vertical="center"/>
    </xf>
    <xf numFmtId="0" fontId="92" fillId="0" borderId="140" xfId="0" applyFont="1" applyBorder="1" applyAlignment="1">
      <alignment horizontal="left" vertical="center"/>
    </xf>
    <xf numFmtId="0" fontId="93" fillId="0" borderId="85" xfId="0" applyFont="1" applyFill="1" applyBorder="1" applyAlignment="1">
      <alignment horizontal="left" vertical="center"/>
    </xf>
    <xf numFmtId="0" fontId="93" fillId="0" borderId="85" xfId="0" applyFont="1" applyFill="1" applyBorder="1" applyAlignment="1">
      <alignment horizontal="right" vertical="center"/>
    </xf>
    <xf numFmtId="177" fontId="93" fillId="0" borderId="85" xfId="0" applyNumberFormat="1" applyFont="1" applyFill="1" applyBorder="1" applyAlignment="1">
      <alignment horizontal="right" vertical="center"/>
    </xf>
    <xf numFmtId="0" fontId="93" fillId="30" borderId="300" xfId="0" applyFont="1" applyFill="1" applyBorder="1" applyAlignment="1">
      <alignment horizontal="center" vertical="center"/>
    </xf>
    <xf numFmtId="0" fontId="78" fillId="30" borderId="311" xfId="0" applyFont="1" applyFill="1" applyBorder="1" applyAlignment="1">
      <alignment horizontal="center" vertical="center" textRotation="255"/>
    </xf>
    <xf numFmtId="0" fontId="92" fillId="21" borderId="312" xfId="0" applyFont="1" applyFill="1" applyBorder="1" applyAlignment="1">
      <alignment horizontal="left" vertical="center" shrinkToFit="1"/>
    </xf>
    <xf numFmtId="0" fontId="93" fillId="21" borderId="262" xfId="0" applyFont="1" applyFill="1" applyBorder="1" applyAlignment="1">
      <alignment horizontal="left" vertical="center" shrinkToFit="1"/>
    </xf>
    <xf numFmtId="0" fontId="93" fillId="30" borderId="262" xfId="0" applyFont="1" applyFill="1" applyBorder="1" applyAlignment="1">
      <alignment horizontal="right" vertical="center"/>
    </xf>
    <xf numFmtId="177" fontId="93" fillId="30" borderId="262" xfId="0" applyNumberFormat="1" applyFont="1" applyFill="1" applyBorder="1" applyAlignment="1">
      <alignment horizontal="right" vertical="center"/>
    </xf>
    <xf numFmtId="177" fontId="93" fillId="17" borderId="262" xfId="0" applyNumberFormat="1" applyFont="1" applyFill="1" applyBorder="1" applyAlignment="1">
      <alignment horizontal="right" vertical="center" shrinkToFit="1"/>
    </xf>
    <xf numFmtId="177" fontId="93" fillId="17" borderId="313" xfId="0" applyNumberFormat="1" applyFont="1" applyFill="1" applyBorder="1" applyAlignment="1">
      <alignment horizontal="right" vertical="center" shrinkToFit="1"/>
    </xf>
    <xf numFmtId="0" fontId="93" fillId="30" borderId="305" xfId="0" applyFont="1" applyFill="1" applyBorder="1" applyAlignment="1">
      <alignment horizontal="center" vertical="center"/>
    </xf>
    <xf numFmtId="0" fontId="78" fillId="30" borderId="279" xfId="0" applyFont="1" applyFill="1" applyBorder="1" applyAlignment="1">
      <alignment horizontal="center" vertical="center" textRotation="255"/>
    </xf>
    <xf numFmtId="0" fontId="93" fillId="21" borderId="269" xfId="0" applyFont="1" applyFill="1" applyBorder="1" applyAlignment="1">
      <alignment horizontal="left" vertical="center" shrinkToFit="1"/>
    </xf>
    <xf numFmtId="0" fontId="93" fillId="21" borderId="270" xfId="0" applyFont="1" applyFill="1" applyBorder="1" applyAlignment="1">
      <alignment horizontal="left" vertical="center" shrinkToFit="1"/>
    </xf>
    <xf numFmtId="0" fontId="93" fillId="30" borderId="270" xfId="0" applyFont="1" applyFill="1" applyBorder="1" applyAlignment="1">
      <alignment horizontal="right" vertical="center"/>
    </xf>
    <xf numFmtId="177" fontId="93" fillId="30" borderId="270" xfId="0" applyNumberFormat="1" applyFont="1" applyFill="1" applyBorder="1" applyAlignment="1">
      <alignment horizontal="right" vertical="center"/>
    </xf>
    <xf numFmtId="177" fontId="93" fillId="17" borderId="270" xfId="0" applyNumberFormat="1" applyFont="1" applyFill="1" applyBorder="1" applyAlignment="1">
      <alignment horizontal="right" vertical="center" shrinkToFit="1"/>
    </xf>
    <xf numFmtId="177" fontId="93" fillId="17" borderId="306" xfId="0" applyNumberFormat="1" applyFont="1" applyFill="1" applyBorder="1" applyAlignment="1">
      <alignment horizontal="right" vertical="center" shrinkToFit="1"/>
    </xf>
    <xf numFmtId="0" fontId="93" fillId="0" borderId="89" xfId="0" applyFont="1" applyFill="1" applyBorder="1" applyAlignment="1">
      <alignment horizontal="center" vertical="center" wrapText="1"/>
    </xf>
    <xf numFmtId="0" fontId="94" fillId="0" borderId="89" xfId="0" applyFont="1" applyFill="1" applyBorder="1" applyAlignment="1">
      <alignment horizontal="left" vertical="center"/>
    </xf>
    <xf numFmtId="38" fontId="93" fillId="0" borderId="89" xfId="0" applyNumberFormat="1" applyFont="1" applyFill="1" applyBorder="1" applyAlignment="1">
      <alignment horizontal="right" vertical="center"/>
    </xf>
    <xf numFmtId="38" fontId="93" fillId="0" borderId="89" xfId="0" applyNumberFormat="1" applyFont="1" applyFill="1" applyBorder="1" applyAlignment="1">
      <alignment horizontal="right" vertical="center" shrinkToFit="1"/>
    </xf>
    <xf numFmtId="38" fontId="93" fillId="0" borderId="100" xfId="0" applyNumberFormat="1" applyFont="1" applyFill="1" applyBorder="1" applyAlignment="1">
      <alignment horizontal="right" vertical="center" shrinkToFit="1"/>
    </xf>
    <xf numFmtId="38" fontId="78" fillId="0" borderId="23" xfId="0" applyNumberFormat="1" applyFont="1" applyFill="1" applyBorder="1" applyAlignment="1">
      <alignment horizontal="right" shrinkToFit="1"/>
    </xf>
    <xf numFmtId="38" fontId="78" fillId="0" borderId="31" xfId="0" applyNumberFormat="1" applyFont="1" applyFill="1" applyBorder="1" applyAlignment="1">
      <alignment horizontal="right" shrinkToFit="1"/>
    </xf>
    <xf numFmtId="0" fontId="89" fillId="0" borderId="224" xfId="0" applyFont="1" applyBorder="1" applyAlignment="1">
      <alignment vertical="center"/>
    </xf>
    <xf numFmtId="0" fontId="92" fillId="0" borderId="307" xfId="0" applyFont="1" applyBorder="1" applyAlignment="1">
      <alignment vertical="center"/>
    </xf>
    <xf numFmtId="0" fontId="92" fillId="0" borderId="229" xfId="0" applyFont="1" applyBorder="1" applyAlignment="1">
      <alignment vertical="center"/>
    </xf>
    <xf numFmtId="0" fontId="92" fillId="0" borderId="151" xfId="0" applyFont="1" applyBorder="1" applyAlignment="1">
      <alignment vertical="center"/>
    </xf>
    <xf numFmtId="0" fontId="92" fillId="0" borderId="151" xfId="0" applyFont="1" applyFill="1" applyBorder="1" applyAlignment="1">
      <alignment horizontal="right" vertical="center"/>
    </xf>
    <xf numFmtId="177" fontId="92" fillId="0" borderId="231" xfId="0" applyNumberFormat="1" applyFont="1" applyBorder="1" applyAlignment="1">
      <alignment vertical="center"/>
    </xf>
    <xf numFmtId="177" fontId="92" fillId="17" borderId="151" xfId="0" applyNumberFormat="1" applyFont="1" applyFill="1" applyBorder="1" applyAlignment="1">
      <alignment vertical="center" shrinkToFit="1"/>
    </xf>
    <xf numFmtId="177" fontId="92" fillId="17" borderId="152" xfId="0" applyNumberFormat="1" applyFont="1" applyFill="1" applyBorder="1" applyAlignment="1">
      <alignment vertical="center" shrinkToFit="1"/>
    </xf>
    <xf numFmtId="0" fontId="92" fillId="0" borderId="226" xfId="0" applyFont="1" applyBorder="1" applyAlignment="1">
      <alignment vertical="center"/>
    </xf>
    <xf numFmtId="0" fontId="93" fillId="0" borderId="231" xfId="0" applyNumberFormat="1" applyFont="1" applyFill="1" applyBorder="1" applyAlignment="1">
      <alignment horizontal="right" vertical="center" shrinkToFit="1"/>
    </xf>
    <xf numFmtId="10" fontId="93" fillId="0" borderId="231" xfId="0" quotePrefix="1" applyNumberFormat="1" applyFont="1" applyFill="1" applyBorder="1" applyAlignment="1">
      <alignment horizontal="right" vertical="center" shrinkToFit="1"/>
    </xf>
    <xf numFmtId="177" fontId="92" fillId="0" borderId="231" xfId="0" applyNumberFormat="1" applyFont="1" applyBorder="1" applyAlignment="1">
      <alignment vertical="center" shrinkToFit="1"/>
    </xf>
    <xf numFmtId="177" fontId="92" fillId="0" borderId="232" xfId="0" applyNumberFormat="1" applyFont="1" applyBorder="1" applyAlignment="1">
      <alignment vertical="center" shrinkToFit="1"/>
    </xf>
    <xf numFmtId="0" fontId="93" fillId="0" borderId="83" xfId="0" applyFont="1" applyFill="1" applyBorder="1" applyAlignment="1">
      <alignment vertical="center" shrinkToFit="1"/>
    </xf>
    <xf numFmtId="0" fontId="93" fillId="0" borderId="233" xfId="0" applyFont="1" applyFill="1" applyBorder="1" applyAlignment="1">
      <alignment vertical="center" shrinkToFit="1"/>
    </xf>
    <xf numFmtId="0" fontId="93" fillId="0" borderId="82" xfId="0" applyNumberFormat="1" applyFont="1" applyFill="1" applyBorder="1" applyAlignment="1">
      <alignment horizontal="right" vertical="center" shrinkToFit="1"/>
    </xf>
    <xf numFmtId="10" fontId="93" fillId="0" borderId="82" xfId="0" quotePrefix="1" applyNumberFormat="1" applyFont="1" applyFill="1" applyBorder="1" applyAlignment="1">
      <alignment horizontal="right" vertical="center" shrinkToFit="1"/>
    </xf>
    <xf numFmtId="177" fontId="92" fillId="0" borderId="82" xfId="0" applyNumberFormat="1" applyFont="1" applyBorder="1" applyAlignment="1">
      <alignment vertical="center"/>
    </xf>
    <xf numFmtId="177" fontId="92" fillId="17" borderId="82" xfId="0" applyNumberFormat="1" applyFont="1" applyFill="1" applyBorder="1" applyAlignment="1">
      <alignment vertical="center" shrinkToFit="1"/>
    </xf>
    <xf numFmtId="177" fontId="92" fillId="17" borderId="200" xfId="0" applyNumberFormat="1" applyFont="1" applyFill="1" applyBorder="1" applyAlignment="1">
      <alignment vertical="center" shrinkToFit="1"/>
    </xf>
    <xf numFmtId="0" fontId="93" fillId="0" borderId="52" xfId="0" applyFont="1" applyFill="1" applyBorder="1" applyAlignment="1">
      <alignment vertical="center" shrinkToFit="1"/>
    </xf>
    <xf numFmtId="0" fontId="93" fillId="0" borderId="140" xfId="0" applyFont="1" applyFill="1" applyBorder="1" applyAlignment="1">
      <alignment vertical="center" shrinkToFit="1"/>
    </xf>
    <xf numFmtId="10" fontId="93" fillId="0" borderId="23" xfId="0" quotePrefix="1" applyNumberFormat="1" applyFont="1" applyFill="1" applyBorder="1" applyAlignment="1">
      <alignment horizontal="right" vertical="center" shrinkToFit="1"/>
    </xf>
    <xf numFmtId="177" fontId="92" fillId="0" borderId="23" xfId="0" applyNumberFormat="1" applyFont="1" applyBorder="1" applyAlignment="1">
      <alignment vertical="center"/>
    </xf>
    <xf numFmtId="177" fontId="92" fillId="0" borderId="23" xfId="0" applyNumberFormat="1" applyFont="1" applyBorder="1" applyAlignment="1">
      <alignment vertical="center" shrinkToFit="1"/>
    </xf>
    <xf numFmtId="177" fontId="92" fillId="0" borderId="31" xfId="0" applyNumberFormat="1" applyFont="1" applyBorder="1" applyAlignment="1">
      <alignment vertical="center" shrinkToFit="1"/>
    </xf>
    <xf numFmtId="0" fontId="93" fillId="0" borderId="85" xfId="0" applyNumberFormat="1" applyFont="1" applyFill="1" applyBorder="1" applyAlignment="1">
      <alignment horizontal="right" vertical="center" shrinkToFit="1"/>
    </xf>
    <xf numFmtId="10" fontId="93" fillId="0" borderId="85" xfId="0" quotePrefix="1" applyNumberFormat="1" applyFont="1" applyFill="1" applyBorder="1" applyAlignment="1">
      <alignment horizontal="right" vertical="center" shrinkToFit="1"/>
    </xf>
    <xf numFmtId="177" fontId="92" fillId="0" borderId="85" xfId="0" applyNumberFormat="1" applyFont="1" applyBorder="1" applyAlignment="1">
      <alignment vertical="center"/>
    </xf>
    <xf numFmtId="177" fontId="92" fillId="17" borderId="85" xfId="0" applyNumberFormat="1" applyFont="1" applyFill="1" applyBorder="1" applyAlignment="1">
      <alignment vertical="center" shrinkToFit="1"/>
    </xf>
    <xf numFmtId="177" fontId="92" fillId="17" borderId="98" xfId="0" applyNumberFormat="1" applyFont="1" applyFill="1" applyBorder="1" applyAlignment="1">
      <alignment vertical="center" shrinkToFit="1"/>
    </xf>
    <xf numFmtId="0" fontId="89" fillId="0" borderId="236" xfId="0" applyFont="1" applyBorder="1" applyAlignment="1">
      <alignment vertical="center"/>
    </xf>
    <xf numFmtId="0" fontId="96" fillId="0" borderId="237" xfId="0" applyFont="1" applyFill="1" applyBorder="1" applyAlignment="1">
      <alignment vertical="center" shrinkToFit="1"/>
    </xf>
    <xf numFmtId="0" fontId="93" fillId="0" borderId="237" xfId="0" applyFont="1" applyFill="1" applyBorder="1" applyAlignment="1">
      <alignment vertical="center" shrinkToFit="1"/>
    </xf>
    <xf numFmtId="191" fontId="93" fillId="0" borderId="238" xfId="0" applyNumberFormat="1" applyFont="1" applyFill="1" applyBorder="1" applyAlignment="1">
      <alignment horizontal="right" vertical="center" shrinkToFit="1"/>
    </xf>
    <xf numFmtId="10" fontId="93" fillId="0" borderId="238" xfId="0" quotePrefix="1" applyNumberFormat="1" applyFont="1" applyFill="1" applyBorder="1" applyAlignment="1">
      <alignment horizontal="right" vertical="center" shrinkToFit="1"/>
    </xf>
    <xf numFmtId="177" fontId="92" fillId="0" borderId="238" xfId="0" applyNumberFormat="1" applyFont="1" applyBorder="1" applyAlignment="1">
      <alignment vertical="center"/>
    </xf>
    <xf numFmtId="177" fontId="92" fillId="17" borderId="238" xfId="0" applyNumberFormat="1" applyFont="1" applyFill="1" applyBorder="1" applyAlignment="1">
      <alignment vertical="center" shrinkToFit="1"/>
    </xf>
    <xf numFmtId="177" fontId="92" fillId="17" borderId="239" xfId="0" applyNumberFormat="1" applyFont="1" applyFill="1" applyBorder="1" applyAlignment="1">
      <alignment vertical="center" shrinkToFit="1"/>
    </xf>
    <xf numFmtId="0" fontId="89" fillId="0" borderId="280" xfId="0" applyFont="1" applyBorder="1" applyAlignment="1">
      <alignment vertical="center"/>
    </xf>
    <xf numFmtId="0" fontId="92" fillId="0" borderId="281" xfId="0" applyFont="1" applyBorder="1" applyAlignment="1">
      <alignment vertical="center"/>
    </xf>
    <xf numFmtId="0" fontId="97" fillId="0" borderId="281" xfId="0" applyFont="1" applyBorder="1" applyAlignment="1">
      <alignment horizontal="right" vertical="center"/>
    </xf>
    <xf numFmtId="177" fontId="92" fillId="0" borderId="242" xfId="0" applyNumberFormat="1" applyFont="1" applyBorder="1" applyAlignment="1">
      <alignment vertical="center"/>
    </xf>
    <xf numFmtId="177" fontId="92" fillId="0" borderId="242" xfId="0" applyNumberFormat="1" applyFont="1" applyBorder="1" applyAlignment="1">
      <alignment vertical="center" shrinkToFit="1"/>
    </xf>
    <xf numFmtId="177" fontId="92" fillId="0" borderId="296" xfId="0" applyNumberFormat="1" applyFont="1" applyBorder="1" applyAlignment="1">
      <alignment vertical="center" shrinkToFit="1"/>
    </xf>
    <xf numFmtId="0" fontId="98" fillId="0" borderId="226" xfId="0" applyFont="1" applyBorder="1" applyAlignment="1">
      <alignment vertical="center"/>
    </xf>
    <xf numFmtId="0" fontId="92" fillId="0" borderId="82" xfId="0" applyFont="1" applyBorder="1" applyAlignment="1">
      <alignment vertical="center"/>
    </xf>
    <xf numFmtId="0" fontId="92" fillId="0" borderId="283" xfId="0" applyFont="1" applyBorder="1" applyAlignment="1">
      <alignment vertical="center"/>
    </xf>
    <xf numFmtId="0" fontId="92" fillId="0" borderId="85" xfId="0" applyFont="1" applyBorder="1" applyAlignment="1">
      <alignment vertical="center"/>
    </xf>
    <xf numFmtId="177" fontId="92" fillId="0" borderId="85" xfId="0" applyNumberFormat="1" applyFont="1" applyBorder="1" applyAlignment="1">
      <alignment vertical="center" shrinkToFit="1"/>
    </xf>
    <xf numFmtId="177" fontId="92" fillId="0" borderId="98" xfId="0" applyNumberFormat="1" applyFont="1" applyBorder="1" applyAlignment="1">
      <alignment vertical="center" shrinkToFit="1"/>
    </xf>
    <xf numFmtId="177" fontId="92" fillId="0" borderId="243" xfId="0" applyNumberFormat="1" applyFont="1" applyBorder="1" applyAlignment="1">
      <alignment vertical="center" shrinkToFit="1"/>
    </xf>
    <xf numFmtId="177" fontId="92" fillId="0" borderId="82" xfId="0" applyNumberFormat="1" applyFont="1" applyBorder="1" applyAlignment="1">
      <alignment vertical="center" shrinkToFit="1"/>
    </xf>
    <xf numFmtId="177" fontId="92" fillId="0" borderId="200" xfId="0" applyNumberFormat="1" applyFont="1" applyBorder="1" applyAlignment="1">
      <alignment vertical="center" shrinkToFit="1"/>
    </xf>
    <xf numFmtId="0" fontId="79" fillId="0" borderId="0" xfId="0" applyFont="1" applyFill="1" applyBorder="1" applyAlignment="1">
      <alignment horizontal="left" vertical="center"/>
    </xf>
    <xf numFmtId="0" fontId="88" fillId="0" borderId="0" xfId="0" applyFont="1" applyFill="1" applyBorder="1" applyAlignment="1">
      <alignment horizontal="left" vertical="center"/>
    </xf>
    <xf numFmtId="0" fontId="82" fillId="0" borderId="0" xfId="0" applyFont="1" applyFill="1" applyBorder="1" applyAlignment="1">
      <alignment horizontal="right" vertical="center" shrinkToFit="1"/>
    </xf>
    <xf numFmtId="0" fontId="99" fillId="0" borderId="0" xfId="0" applyFont="1" applyFill="1" applyBorder="1" applyAlignment="1">
      <alignment horizontal="distributed" vertical="center"/>
    </xf>
    <xf numFmtId="0" fontId="90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 shrinkToFit="1"/>
    </xf>
    <xf numFmtId="38" fontId="78" fillId="0" borderId="258" xfId="0" applyNumberFormat="1" applyFont="1" applyFill="1" applyBorder="1" applyAlignment="1">
      <alignment horizontal="center" vertical="center" shrinkToFit="1"/>
    </xf>
    <xf numFmtId="0" fontId="87" fillId="30" borderId="224" xfId="0" applyFont="1" applyFill="1" applyBorder="1" applyAlignment="1">
      <alignment horizontal="right" vertical="center"/>
    </xf>
    <xf numFmtId="0" fontId="87" fillId="30" borderId="225" xfId="0" applyFont="1" applyFill="1" applyBorder="1" applyAlignment="1">
      <alignment horizontal="right" vertical="center"/>
    </xf>
    <xf numFmtId="0" fontId="87" fillId="0" borderId="225" xfId="0" applyFont="1" applyFill="1" applyBorder="1" applyAlignment="1">
      <alignment horizontal="distributed" vertical="center"/>
    </xf>
    <xf numFmtId="0" fontId="100" fillId="0" borderId="225" xfId="0" applyFont="1" applyFill="1" applyBorder="1" applyAlignment="1">
      <alignment horizontal="center" vertical="center"/>
    </xf>
    <xf numFmtId="0" fontId="87" fillId="0" borderId="231" xfId="0" applyFont="1" applyFill="1" applyBorder="1" applyAlignment="1">
      <alignment horizontal="center" vertical="center"/>
    </xf>
    <xf numFmtId="0" fontId="87" fillId="0" borderId="231" xfId="0" applyFont="1" applyFill="1" applyBorder="1" applyAlignment="1">
      <alignment horizontal="right" vertical="center"/>
    </xf>
    <xf numFmtId="190" fontId="87" fillId="11" borderId="231" xfId="0" applyNumberFormat="1" applyFont="1" applyFill="1" applyBorder="1" applyAlignment="1">
      <alignment horizontal="center" shrinkToFit="1"/>
    </xf>
    <xf numFmtId="190" fontId="87" fillId="11" borderId="231" xfId="0" applyNumberFormat="1" applyFont="1" applyFill="1" applyBorder="1" applyAlignment="1">
      <alignment horizontal="center" vertical="center" shrinkToFit="1"/>
    </xf>
    <xf numFmtId="190" fontId="87" fillId="11" borderId="200" xfId="0" applyNumberFormat="1" applyFont="1" applyFill="1" applyBorder="1" applyAlignment="1">
      <alignment horizontal="center" vertical="center" shrinkToFit="1"/>
    </xf>
    <xf numFmtId="0" fontId="87" fillId="30" borderId="283" xfId="0" applyFont="1" applyFill="1" applyBorder="1" applyAlignment="1">
      <alignment horizontal="right" vertical="center"/>
    </xf>
    <xf numFmtId="0" fontId="87" fillId="30" borderId="258" xfId="0" applyFont="1" applyFill="1" applyBorder="1" applyAlignment="1">
      <alignment horizontal="right" vertical="center"/>
    </xf>
    <xf numFmtId="0" fontId="87" fillId="0" borderId="142" xfId="0" applyFont="1" applyFill="1" applyBorder="1" applyAlignment="1">
      <alignment horizontal="distributed" vertical="center"/>
    </xf>
    <xf numFmtId="0" fontId="100" fillId="0" borderId="142" xfId="0" applyFont="1" applyFill="1" applyBorder="1" applyAlignment="1">
      <alignment horizontal="center" vertical="center"/>
    </xf>
    <xf numFmtId="0" fontId="87" fillId="0" borderId="23" xfId="0" applyFont="1" applyFill="1" applyBorder="1" applyAlignment="1">
      <alignment horizontal="center" vertical="center"/>
    </xf>
    <xf numFmtId="0" fontId="87" fillId="0" borderId="52" xfId="0" applyFont="1" applyFill="1" applyBorder="1" applyAlignment="1">
      <alignment horizontal="right" vertical="center"/>
    </xf>
    <xf numFmtId="0" fontId="78" fillId="37" borderId="23" xfId="0" applyFont="1" applyFill="1" applyBorder="1" applyAlignment="1">
      <alignment horizontal="center" shrinkToFit="1"/>
    </xf>
    <xf numFmtId="0" fontId="78" fillId="37" borderId="98" xfId="0" applyFont="1" applyFill="1" applyBorder="1" applyAlignment="1">
      <alignment horizontal="center" shrinkToFit="1"/>
    </xf>
    <xf numFmtId="0" fontId="78" fillId="30" borderId="224" xfId="0" applyFont="1" applyFill="1" applyBorder="1" applyAlignment="1">
      <alignment horizontal="right" vertical="center"/>
    </xf>
    <xf numFmtId="0" fontId="78" fillId="30" borderId="225" xfId="0" applyFont="1" applyFill="1" applyBorder="1" applyAlignment="1">
      <alignment horizontal="right" vertical="center"/>
    </xf>
    <xf numFmtId="0" fontId="78" fillId="11" borderId="231" xfId="0" applyFont="1" applyFill="1" applyBorder="1" applyAlignment="1">
      <alignment horizontal="center" vertical="center"/>
    </xf>
    <xf numFmtId="0" fontId="78" fillId="30" borderId="231" xfId="0" applyFont="1" applyFill="1" applyBorder="1" applyAlignment="1">
      <alignment horizontal="center" vertical="center"/>
    </xf>
    <xf numFmtId="0" fontId="78" fillId="30" borderId="231" xfId="0" applyFont="1" applyFill="1" applyBorder="1" applyAlignment="1">
      <alignment horizontal="center" shrinkToFit="1"/>
    </xf>
    <xf numFmtId="0" fontId="78" fillId="30" borderId="231" xfId="0" applyFont="1" applyFill="1" applyBorder="1" applyAlignment="1">
      <alignment horizontal="center" vertical="center" shrinkToFit="1"/>
    </xf>
    <xf numFmtId="0" fontId="78" fillId="30" borderId="232" xfId="0" applyFont="1" applyFill="1" applyBorder="1" applyAlignment="1">
      <alignment horizontal="center" vertical="center" shrinkToFit="1"/>
    </xf>
    <xf numFmtId="0" fontId="78" fillId="30" borderId="141" xfId="0" applyFont="1" applyFill="1" applyBorder="1" applyAlignment="1">
      <alignment horizontal="right" vertical="center"/>
    </xf>
    <xf numFmtId="0" fontId="78" fillId="11" borderId="95" xfId="0" applyFont="1" applyFill="1" applyBorder="1" applyAlignment="1">
      <alignment horizontal="center" vertical="center"/>
    </xf>
    <xf numFmtId="0" fontId="101" fillId="30" borderId="95" xfId="0" applyFont="1" applyFill="1" applyBorder="1" applyAlignment="1">
      <alignment vertical="center"/>
    </xf>
    <xf numFmtId="0" fontId="78" fillId="30" borderId="95" xfId="0" applyFont="1" applyFill="1" applyBorder="1" applyAlignment="1">
      <alignment horizontal="center" vertical="center" shrinkToFit="1"/>
    </xf>
    <xf numFmtId="0" fontId="78" fillId="30" borderId="99" xfId="0" applyFont="1" applyFill="1" applyBorder="1" applyAlignment="1">
      <alignment horizontal="center" vertical="center" shrinkToFit="1"/>
    </xf>
    <xf numFmtId="38" fontId="83" fillId="11" borderId="23" xfId="0" applyNumberFormat="1" applyFont="1" applyFill="1" applyBorder="1" applyAlignment="1">
      <alignment horizontal="center" shrinkToFit="1"/>
    </xf>
    <xf numFmtId="38" fontId="83" fillId="11" borderId="31" xfId="0" applyNumberFormat="1" applyFont="1" applyFill="1" applyBorder="1" applyAlignment="1">
      <alignment horizontal="center" shrinkToFit="1"/>
    </xf>
    <xf numFmtId="38" fontId="87" fillId="11" borderId="95" xfId="0" applyNumberFormat="1" applyFont="1" applyFill="1" applyBorder="1" applyAlignment="1">
      <alignment horizontal="center" vertical="center" shrinkToFit="1"/>
    </xf>
    <xf numFmtId="38" fontId="87" fillId="11" borderId="99" xfId="0" applyNumberFormat="1" applyFont="1" applyFill="1" applyBorder="1" applyAlignment="1">
      <alignment horizontal="center" vertical="center" shrinkToFit="1"/>
    </xf>
    <xf numFmtId="38" fontId="87" fillId="11" borderId="89" xfId="0" applyNumberFormat="1" applyFont="1" applyFill="1" applyBorder="1" applyAlignment="1">
      <alignment horizontal="center" vertical="center" shrinkToFit="1"/>
    </xf>
    <xf numFmtId="38" fontId="87" fillId="11" borderId="100" xfId="0" applyNumberFormat="1" applyFont="1" applyFill="1" applyBorder="1" applyAlignment="1">
      <alignment horizontal="center" vertical="center" shrinkToFit="1"/>
    </xf>
    <xf numFmtId="0" fontId="78" fillId="30" borderId="225" xfId="0" applyFont="1" applyFill="1" applyBorder="1" applyAlignment="1">
      <alignment vertical="center"/>
    </xf>
    <xf numFmtId="0" fontId="78" fillId="30" borderId="15" xfId="0" applyFont="1" applyFill="1" applyBorder="1" applyAlignment="1">
      <alignment horizontal="right" vertical="center"/>
    </xf>
    <xf numFmtId="0" fontId="78" fillId="0" borderId="308" xfId="0" applyFont="1" applyFill="1" applyBorder="1" applyAlignment="1">
      <alignment horizontal="center" vertical="center"/>
    </xf>
    <xf numFmtId="38" fontId="78" fillId="30" borderId="151" xfId="0" applyNumberFormat="1" applyFont="1" applyFill="1" applyBorder="1" applyAlignment="1">
      <alignment horizontal="right" vertical="center"/>
    </xf>
    <xf numFmtId="179" fontId="78" fillId="11" borderId="151" xfId="0" applyNumberFormat="1" applyFont="1" applyFill="1" applyBorder="1" applyAlignment="1">
      <alignment shrinkToFit="1"/>
    </xf>
    <xf numFmtId="179" fontId="78" fillId="11" borderId="151" xfId="0" applyNumberFormat="1" applyFont="1" applyFill="1" applyBorder="1" applyAlignment="1">
      <alignment vertical="center" shrinkToFit="1"/>
    </xf>
    <xf numFmtId="179" fontId="78" fillId="11" borderId="152" xfId="0" applyNumberFormat="1" applyFont="1" applyFill="1" applyBorder="1" applyAlignment="1">
      <alignment vertical="center" shrinkToFit="1"/>
    </xf>
    <xf numFmtId="0" fontId="78" fillId="30" borderId="178" xfId="0" applyFont="1" applyFill="1" applyBorder="1" applyAlignment="1">
      <alignment horizontal="right" vertical="center"/>
    </xf>
    <xf numFmtId="0" fontId="78" fillId="30" borderId="233" xfId="0" applyFont="1" applyFill="1" applyBorder="1" applyAlignment="1">
      <alignment horizontal="right" vertical="center"/>
    </xf>
    <xf numFmtId="0" fontId="78" fillId="0" borderId="83" xfId="0" applyFont="1" applyFill="1" applyBorder="1" applyAlignment="1">
      <alignment horizontal="center" vertical="center"/>
    </xf>
    <xf numFmtId="38" fontId="78" fillId="30" borderId="82" xfId="0" applyNumberFormat="1" applyFont="1" applyFill="1" applyBorder="1" applyAlignment="1">
      <alignment horizontal="right" vertical="center"/>
    </xf>
    <xf numFmtId="179" fontId="78" fillId="0" borderId="82" xfId="0" applyNumberFormat="1" applyFont="1" applyFill="1" applyBorder="1" applyAlignment="1">
      <alignment vertical="center" shrinkToFit="1"/>
    </xf>
    <xf numFmtId="179" fontId="78" fillId="0" borderId="200" xfId="0" applyNumberFormat="1" applyFont="1" applyFill="1" applyBorder="1" applyAlignment="1">
      <alignment vertical="center" shrinkToFit="1"/>
    </xf>
    <xf numFmtId="0" fontId="78" fillId="0" borderId="96" xfId="0" applyFont="1" applyFill="1" applyBorder="1" applyAlignment="1">
      <alignment horizontal="center" vertical="center"/>
    </xf>
    <xf numFmtId="38" fontId="78" fillId="30" borderId="95" xfId="0" applyNumberFormat="1" applyFont="1" applyFill="1" applyBorder="1" applyAlignment="1">
      <alignment horizontal="right" vertical="center"/>
    </xf>
    <xf numFmtId="179" fontId="78" fillId="0" borderId="95" xfId="0" applyNumberFormat="1" applyFont="1" applyFill="1" applyBorder="1" applyAlignment="1">
      <alignment vertical="center" shrinkToFit="1"/>
    </xf>
    <xf numFmtId="179" fontId="78" fillId="0" borderId="99" xfId="0" applyNumberFormat="1" applyFont="1" applyFill="1" applyBorder="1" applyAlignment="1">
      <alignment vertical="center" shrinkToFit="1"/>
    </xf>
    <xf numFmtId="38" fontId="87" fillId="30" borderId="95" xfId="0" applyNumberFormat="1" applyFont="1" applyFill="1" applyBorder="1" applyAlignment="1">
      <alignment horizontal="right" vertical="center"/>
    </xf>
    <xf numFmtId="179" fontId="78" fillId="37" borderId="95" xfId="0" applyNumberFormat="1" applyFont="1" applyFill="1" applyBorder="1" applyAlignment="1">
      <alignment shrinkToFit="1"/>
    </xf>
    <xf numFmtId="179" fontId="78" fillId="37" borderId="95" xfId="0" applyNumberFormat="1" applyFont="1" applyFill="1" applyBorder="1" applyAlignment="1">
      <alignment vertical="center" shrinkToFit="1"/>
    </xf>
    <xf numFmtId="179" fontId="78" fillId="37" borderId="99" xfId="0" applyNumberFormat="1" applyFont="1" applyFill="1" applyBorder="1" applyAlignment="1">
      <alignment vertical="center" shrinkToFit="1"/>
    </xf>
    <xf numFmtId="0" fontId="87" fillId="0" borderId="0" xfId="0" applyFont="1" applyBorder="1" applyAlignment="1">
      <alignment vertical="center"/>
    </xf>
    <xf numFmtId="0" fontId="87" fillId="30" borderId="139" xfId="0" applyFont="1" applyFill="1" applyBorder="1" applyAlignment="1">
      <alignment horizontal="left" vertical="center"/>
    </xf>
    <xf numFmtId="0" fontId="78" fillId="21" borderId="139" xfId="0" applyFont="1" applyFill="1" applyBorder="1" applyAlignment="1">
      <alignment horizontal="right" vertical="center"/>
    </xf>
    <xf numFmtId="0" fontId="78" fillId="0" borderId="169" xfId="0" applyFont="1" applyFill="1" applyBorder="1" applyAlignment="1">
      <alignment horizontal="center" vertical="center"/>
    </xf>
    <xf numFmtId="38" fontId="87" fillId="21" borderId="120" xfId="0" applyNumberFormat="1" applyFont="1" applyFill="1" applyBorder="1" applyAlignment="1">
      <alignment horizontal="right" vertical="center"/>
    </xf>
    <xf numFmtId="179" fontId="78" fillId="37" borderId="120" xfId="0" applyNumberFormat="1" applyFont="1" applyFill="1" applyBorder="1" applyAlignment="1">
      <alignment shrinkToFit="1"/>
    </xf>
    <xf numFmtId="179" fontId="78" fillId="37" borderId="120" xfId="0" applyNumberFormat="1" applyFont="1" applyFill="1" applyBorder="1" applyAlignment="1">
      <alignment vertical="center" shrinkToFit="1"/>
    </xf>
    <xf numFmtId="179" fontId="78" fillId="37" borderId="122" xfId="0" applyNumberFormat="1" applyFont="1" applyFill="1" applyBorder="1" applyAlignment="1">
      <alignment vertical="center" shrinkToFit="1"/>
    </xf>
    <xf numFmtId="0" fontId="78" fillId="0" borderId="115" xfId="0" applyFont="1" applyFill="1" applyBorder="1" applyAlignment="1">
      <alignment horizontal="right" vertical="center"/>
    </xf>
    <xf numFmtId="0" fontId="87" fillId="0" borderId="142" xfId="0" applyFont="1" applyFill="1" applyBorder="1" applyAlignment="1">
      <alignment vertical="center"/>
    </xf>
    <xf numFmtId="0" fontId="87" fillId="0" borderId="142" xfId="0" applyFont="1" applyFill="1" applyBorder="1" applyAlignment="1">
      <alignment horizontal="left" vertical="center"/>
    </xf>
    <xf numFmtId="0" fontId="78" fillId="0" borderId="142" xfId="0" applyFont="1" applyFill="1" applyBorder="1" applyAlignment="1">
      <alignment horizontal="right" vertical="center"/>
    </xf>
    <xf numFmtId="0" fontId="78" fillId="0" borderId="52" xfId="0" applyFont="1" applyFill="1" applyBorder="1" applyAlignment="1">
      <alignment horizontal="center" vertical="center"/>
    </xf>
    <xf numFmtId="38" fontId="87" fillId="0" borderId="23" xfId="0" applyNumberFormat="1" applyFont="1" applyFill="1" applyBorder="1" applyAlignment="1">
      <alignment horizontal="right" vertical="center"/>
    </xf>
    <xf numFmtId="179" fontId="78" fillId="37" borderId="23" xfId="0" applyNumberFormat="1" applyFont="1" applyFill="1" applyBorder="1" applyAlignment="1">
      <alignment shrinkToFit="1"/>
    </xf>
    <xf numFmtId="179" fontId="78" fillId="37" borderId="23" xfId="0" applyNumberFormat="1" applyFont="1" applyFill="1" applyBorder="1" applyAlignment="1">
      <alignment vertical="center" shrinkToFit="1"/>
    </xf>
    <xf numFmtId="179" fontId="78" fillId="37" borderId="31" xfId="0" applyNumberFormat="1" applyFont="1" applyFill="1" applyBorder="1" applyAlignment="1">
      <alignment vertical="center" shrinkToFit="1"/>
    </xf>
    <xf numFmtId="0" fontId="78" fillId="0" borderId="189" xfId="0" applyFont="1" applyFill="1" applyBorder="1" applyAlignment="1">
      <alignment horizontal="right" vertical="center"/>
    </xf>
    <xf numFmtId="0" fontId="87" fillId="0" borderId="139" xfId="0" applyFont="1" applyFill="1" applyBorder="1" applyAlignment="1">
      <alignment vertical="center"/>
    </xf>
    <xf numFmtId="0" fontId="87" fillId="0" borderId="139" xfId="0" applyFont="1" applyFill="1" applyBorder="1" applyAlignment="1">
      <alignment horizontal="left" vertical="center"/>
    </xf>
    <xf numFmtId="0" fontId="78" fillId="0" borderId="139" xfId="0" applyFont="1" applyFill="1" applyBorder="1" applyAlignment="1">
      <alignment horizontal="right" vertical="center"/>
    </xf>
    <xf numFmtId="38" fontId="87" fillId="0" borderId="120" xfId="0" applyNumberFormat="1" applyFont="1" applyFill="1" applyBorder="1" applyAlignment="1">
      <alignment horizontal="right" vertical="center"/>
    </xf>
    <xf numFmtId="0" fontId="78" fillId="0" borderId="175" xfId="0" applyFont="1" applyFill="1" applyBorder="1" applyAlignment="1">
      <alignment horizontal="right" vertical="center"/>
    </xf>
    <xf numFmtId="0" fontId="87" fillId="0" borderId="176" xfId="0" applyFont="1" applyFill="1" applyBorder="1" applyAlignment="1">
      <alignment vertical="center"/>
    </xf>
    <xf numFmtId="0" fontId="87" fillId="0" borderId="176" xfId="0" applyFont="1" applyFill="1" applyBorder="1" applyAlignment="1">
      <alignment horizontal="left" vertical="center"/>
    </xf>
    <xf numFmtId="0" fontId="78" fillId="0" borderId="176" xfId="0" applyFont="1" applyFill="1" applyBorder="1" applyAlignment="1">
      <alignment horizontal="right" vertical="center"/>
    </xf>
    <xf numFmtId="0" fontId="78" fillId="0" borderId="86" xfId="0" applyFont="1" applyFill="1" applyBorder="1" applyAlignment="1">
      <alignment horizontal="center" vertical="center"/>
    </xf>
    <xf numFmtId="38" fontId="87" fillId="0" borderId="85" xfId="0" applyNumberFormat="1" applyFont="1" applyFill="1" applyBorder="1" applyAlignment="1">
      <alignment horizontal="right" vertical="center"/>
    </xf>
    <xf numFmtId="179" fontId="78" fillId="37" borderId="85" xfId="0" applyNumberFormat="1" applyFont="1" applyFill="1" applyBorder="1" applyAlignment="1">
      <alignment shrinkToFit="1"/>
    </xf>
    <xf numFmtId="179" fontId="78" fillId="37" borderId="85" xfId="0" applyNumberFormat="1" applyFont="1" applyFill="1" applyBorder="1" applyAlignment="1">
      <alignment vertical="center" shrinkToFit="1"/>
    </xf>
    <xf numFmtId="179" fontId="78" fillId="37" borderId="98" xfId="0" applyNumberFormat="1" applyFont="1" applyFill="1" applyBorder="1" applyAlignment="1">
      <alignment vertical="center" shrinkToFit="1"/>
    </xf>
    <xf numFmtId="0" fontId="78" fillId="30" borderId="225" xfId="0" applyFont="1" applyFill="1" applyBorder="1" applyAlignment="1">
      <alignment horizontal="left" vertical="center"/>
    </xf>
    <xf numFmtId="0" fontId="78" fillId="30" borderId="15" xfId="0" applyFont="1" applyFill="1" applyBorder="1" applyAlignment="1">
      <alignment horizontal="left" vertical="center"/>
    </xf>
    <xf numFmtId="0" fontId="78" fillId="30" borderId="151" xfId="0" applyFont="1" applyFill="1" applyBorder="1" applyAlignment="1">
      <alignment horizontal="center" vertical="center"/>
    </xf>
    <xf numFmtId="38" fontId="78" fillId="0" borderId="151" xfId="0" applyNumberFormat="1" applyFont="1" applyFill="1" applyBorder="1" applyAlignment="1">
      <alignment horizontal="right" vertical="center" shrinkToFit="1"/>
    </xf>
    <xf numFmtId="38" fontId="78" fillId="0" borderId="152" xfId="0" applyNumberFormat="1" applyFont="1" applyFill="1" applyBorder="1" applyAlignment="1">
      <alignment horizontal="right" vertical="center" shrinkToFit="1"/>
    </xf>
    <xf numFmtId="0" fontId="87" fillId="30" borderId="178" xfId="0" applyFont="1" applyFill="1" applyBorder="1" applyAlignment="1">
      <alignment horizontal="left" vertical="center"/>
    </xf>
    <xf numFmtId="0" fontId="78" fillId="30" borderId="178" xfId="0" applyFont="1" applyFill="1" applyBorder="1" applyAlignment="1">
      <alignment horizontal="left" vertical="center" shrinkToFit="1"/>
    </xf>
    <xf numFmtId="0" fontId="78" fillId="30" borderId="82" xfId="0" applyFont="1" applyFill="1" applyBorder="1" applyAlignment="1">
      <alignment horizontal="center" vertical="center"/>
    </xf>
    <xf numFmtId="38" fontId="78" fillId="21" borderId="82" xfId="0" applyNumberFormat="1" applyFont="1" applyFill="1" applyBorder="1" applyAlignment="1">
      <alignment horizontal="right" vertical="center" shrinkToFit="1"/>
    </xf>
    <xf numFmtId="38" fontId="78" fillId="21" borderId="200" xfId="0" applyNumberFormat="1" applyFont="1" applyFill="1" applyBorder="1" applyAlignment="1">
      <alignment horizontal="right" vertical="center" shrinkToFit="1"/>
    </xf>
    <xf numFmtId="0" fontId="87" fillId="0" borderId="142" xfId="0" applyFont="1" applyBorder="1" applyAlignment="1">
      <alignment vertical="center"/>
    </xf>
    <xf numFmtId="0" fontId="78" fillId="30" borderId="23" xfId="0" applyFont="1" applyFill="1" applyBorder="1" applyAlignment="1">
      <alignment horizontal="right" vertical="center"/>
    </xf>
    <xf numFmtId="38" fontId="78" fillId="30" borderId="23" xfId="0" applyNumberFormat="1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vertical="center" shrinkToFit="1"/>
    </xf>
    <xf numFmtId="38" fontId="78" fillId="17" borderId="31" xfId="0" applyNumberFormat="1" applyFont="1" applyFill="1" applyBorder="1" applyAlignment="1">
      <alignment horizontal="right" vertical="center" shrinkToFit="1"/>
    </xf>
    <xf numFmtId="0" fontId="78" fillId="30" borderId="283" xfId="0" applyFont="1" applyFill="1" applyBorder="1" applyAlignment="1">
      <alignment horizontal="right" vertical="center"/>
    </xf>
    <xf numFmtId="0" fontId="78" fillId="30" borderId="258" xfId="0" applyFont="1" applyFill="1" applyBorder="1" applyAlignment="1">
      <alignment horizontal="right" vertical="center"/>
    </xf>
    <xf numFmtId="0" fontId="78" fillId="30" borderId="176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right" vertical="center"/>
    </xf>
    <xf numFmtId="38" fontId="78" fillId="17" borderId="85" xfId="0" applyNumberFormat="1" applyFont="1" applyFill="1" applyBorder="1" applyAlignment="1">
      <alignment horizontal="right" vertical="center"/>
    </xf>
    <xf numFmtId="38" fontId="91" fillId="17" borderId="85" xfId="0" applyNumberFormat="1" applyFont="1" applyFill="1" applyBorder="1" applyAlignment="1">
      <alignment horizontal="right" vertical="center" shrinkToFit="1"/>
    </xf>
    <xf numFmtId="38" fontId="91" fillId="17" borderId="98" xfId="0" applyNumberFormat="1" applyFont="1" applyFill="1" applyBorder="1" applyAlignment="1">
      <alignment horizontal="right" vertical="center" shrinkToFit="1"/>
    </xf>
    <xf numFmtId="0" fontId="78" fillId="30" borderId="0" xfId="0" applyFont="1" applyFill="1" applyBorder="1" applyAlignment="1">
      <alignment horizontal="left" vertical="center"/>
    </xf>
    <xf numFmtId="0" fontId="78" fillId="30" borderId="121" xfId="0" applyFont="1" applyFill="1" applyBorder="1" applyAlignment="1">
      <alignment horizontal="right" vertical="center"/>
    </xf>
    <xf numFmtId="38" fontId="78" fillId="30" borderId="121" xfId="0" applyNumberFormat="1" applyFont="1" applyFill="1" applyBorder="1" applyAlignment="1">
      <alignment horizontal="right" vertical="center"/>
    </xf>
    <xf numFmtId="38" fontId="78" fillId="30" borderId="121" xfId="0" applyNumberFormat="1" applyFont="1" applyFill="1" applyBorder="1" applyAlignment="1">
      <alignment horizontal="right" vertical="center" shrinkToFit="1"/>
    </xf>
    <xf numFmtId="38" fontId="78" fillId="30" borderId="204" xfId="0" applyNumberFormat="1" applyFont="1" applyFill="1" applyBorder="1" applyAlignment="1">
      <alignment horizontal="right" vertical="center" shrinkToFit="1"/>
    </xf>
    <xf numFmtId="0" fontId="78" fillId="30" borderId="178" xfId="0" applyFont="1" applyFill="1" applyBorder="1" applyAlignment="1">
      <alignment horizontal="left" vertical="center"/>
    </xf>
    <xf numFmtId="0" fontId="78" fillId="30" borderId="82" xfId="0" applyFont="1" applyFill="1" applyBorder="1" applyAlignment="1">
      <alignment horizontal="right" vertical="center"/>
    </xf>
    <xf numFmtId="0" fontId="78" fillId="30" borderId="142" xfId="0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vertical="center"/>
    </xf>
    <xf numFmtId="0" fontId="78" fillId="21" borderId="226" xfId="0" applyFont="1" applyFill="1" applyBorder="1" applyAlignment="1">
      <alignment horizontal="right" vertical="center"/>
    </xf>
    <xf numFmtId="0" fontId="78" fillId="21" borderId="0" xfId="0" applyFont="1" applyFill="1" applyBorder="1" applyAlignment="1">
      <alignment horizontal="right" vertical="center"/>
    </xf>
    <xf numFmtId="0" fontId="78" fillId="21" borderId="142" xfId="0" applyFont="1" applyFill="1" applyBorder="1" applyAlignment="1">
      <alignment horizontal="left" vertical="center"/>
    </xf>
    <xf numFmtId="0" fontId="78" fillId="21" borderId="23" xfId="0" applyFont="1" applyFill="1" applyBorder="1" applyAlignment="1">
      <alignment horizontal="right" vertical="center"/>
    </xf>
    <xf numFmtId="38" fontId="78" fillId="21" borderId="23" xfId="0" applyNumberFormat="1" applyFont="1" applyFill="1" applyBorder="1" applyAlignment="1">
      <alignment horizontal="right" vertical="center"/>
    </xf>
    <xf numFmtId="38" fontId="78" fillId="21" borderId="23" xfId="0" applyNumberFormat="1" applyFont="1" applyFill="1" applyBorder="1" applyAlignment="1">
      <alignment horizontal="right" vertical="center" shrinkToFit="1"/>
    </xf>
    <xf numFmtId="38" fontId="78" fillId="21" borderId="31" xfId="0" applyNumberFormat="1" applyFont="1" applyFill="1" applyBorder="1" applyAlignment="1">
      <alignment horizontal="right" vertical="center" shrinkToFit="1"/>
    </xf>
    <xf numFmtId="0" fontId="78" fillId="21" borderId="142" xfId="0" applyFont="1" applyFill="1" applyBorder="1" applyAlignment="1">
      <alignment horizontal="right" vertical="center"/>
    </xf>
    <xf numFmtId="0" fontId="78" fillId="21" borderId="258" xfId="0" applyFont="1" applyFill="1" applyBorder="1" applyAlignment="1">
      <alignment horizontal="right" vertical="center"/>
    </xf>
    <xf numFmtId="0" fontId="78" fillId="21" borderId="120" xfId="0" applyFont="1" applyFill="1" applyBorder="1" applyAlignment="1">
      <alignment horizontal="right" vertical="center"/>
    </xf>
    <xf numFmtId="38" fontId="78" fillId="21" borderId="120" xfId="0" applyNumberFormat="1" applyFont="1" applyFill="1" applyBorder="1" applyAlignment="1">
      <alignment horizontal="right" vertical="center"/>
    </xf>
    <xf numFmtId="38" fontId="78" fillId="21" borderId="120" xfId="0" applyNumberFormat="1" applyFont="1" applyFill="1" applyBorder="1" applyAlignment="1">
      <alignment horizontal="right" vertical="center" shrinkToFit="1"/>
    </xf>
    <xf numFmtId="38" fontId="78" fillId="21" borderId="122" xfId="0" applyNumberFormat="1" applyFont="1" applyFill="1" applyBorder="1" applyAlignment="1">
      <alignment horizontal="right" vertical="center" shrinkToFit="1"/>
    </xf>
    <xf numFmtId="0" fontId="78" fillId="30" borderId="14" xfId="0" applyFont="1" applyFill="1" applyBorder="1" applyAlignment="1">
      <alignment horizontal="right" vertical="center"/>
    </xf>
    <xf numFmtId="0" fontId="78" fillId="30" borderId="14" xfId="0" applyFont="1" applyFill="1" applyBorder="1" applyAlignment="1">
      <alignment horizontal="left" vertical="center"/>
    </xf>
    <xf numFmtId="0" fontId="78" fillId="30" borderId="151" xfId="0" applyFont="1" applyFill="1" applyBorder="1" applyAlignment="1">
      <alignment horizontal="right" vertical="center"/>
    </xf>
    <xf numFmtId="38" fontId="78" fillId="30" borderId="151" xfId="0" applyNumberFormat="1" applyFont="1" applyFill="1" applyBorder="1" applyAlignment="1">
      <alignment horizontal="right" vertical="center" shrinkToFit="1"/>
    </xf>
    <xf numFmtId="38" fontId="78" fillId="30" borderId="152" xfId="0" applyNumberFormat="1" applyFont="1" applyFill="1" applyBorder="1" applyAlignment="1">
      <alignment horizontal="right" vertical="center" shrinkToFit="1"/>
    </xf>
    <xf numFmtId="0" fontId="90" fillId="30" borderId="15" xfId="0" applyFont="1" applyFill="1" applyBorder="1" applyAlignment="1">
      <alignment horizontal="left" vertical="center"/>
    </xf>
    <xf numFmtId="0" fontId="88" fillId="30" borderId="15" xfId="0" applyFont="1" applyFill="1" applyBorder="1" applyAlignment="1">
      <alignment horizontal="center" vertical="center"/>
    </xf>
    <xf numFmtId="0" fontId="78" fillId="30" borderId="15" xfId="0" applyFont="1" applyFill="1" applyBorder="1" applyAlignment="1">
      <alignment horizontal="center" vertical="center"/>
    </xf>
    <xf numFmtId="0" fontId="78" fillId="30" borderId="15" xfId="0" applyFont="1" applyFill="1" applyBorder="1" applyAlignment="1">
      <alignment horizontal="left" vertical="center" shrinkToFit="1"/>
    </xf>
    <xf numFmtId="0" fontId="78" fillId="30" borderId="15" xfId="0" applyFont="1" applyFill="1" applyBorder="1" applyAlignment="1">
      <alignment horizontal="right" vertical="center" shrinkToFit="1"/>
    </xf>
    <xf numFmtId="0" fontId="78" fillId="30" borderId="229" xfId="0" applyFont="1" applyFill="1" applyBorder="1" applyAlignment="1">
      <alignment horizontal="right" vertical="center"/>
    </xf>
    <xf numFmtId="0" fontId="90" fillId="30" borderId="283" xfId="0" applyFont="1" applyFill="1" applyBorder="1" applyAlignment="1">
      <alignment horizontal="left" vertical="center"/>
    </xf>
    <xf numFmtId="0" fontId="88" fillId="30" borderId="226" xfId="0" applyFont="1" applyFill="1" applyBorder="1" applyAlignment="1">
      <alignment horizontal="left" vertical="center"/>
    </xf>
    <xf numFmtId="0" fontId="88" fillId="30" borderId="258" xfId="0" applyFont="1" applyFill="1" applyBorder="1" applyAlignment="1">
      <alignment horizontal="left" vertical="center"/>
    </xf>
    <xf numFmtId="0" fontId="78" fillId="30" borderId="89" xfId="0" applyFont="1" applyFill="1" applyBorder="1" applyAlignment="1">
      <alignment horizontal="center" vertical="center"/>
    </xf>
    <xf numFmtId="0" fontId="78" fillId="30" borderId="89" xfId="0" applyFont="1" applyFill="1" applyBorder="1" applyAlignment="1">
      <alignment horizontal="right" vertical="center"/>
    </xf>
    <xf numFmtId="0" fontId="78" fillId="30" borderId="89" xfId="0" applyFont="1" applyFill="1" applyBorder="1" applyAlignment="1">
      <alignment horizontal="right" vertical="center" shrinkToFit="1"/>
    </xf>
    <xf numFmtId="0" fontId="78" fillId="30" borderId="100" xfId="0" applyFont="1" applyFill="1" applyBorder="1" applyAlignment="1">
      <alignment horizontal="right" vertical="center" shrinkToFit="1"/>
    </xf>
    <xf numFmtId="38" fontId="78" fillId="11" borderId="82" xfId="0" applyNumberFormat="1" applyFont="1" applyFill="1" applyBorder="1" applyAlignment="1">
      <alignment horizontal="right" vertical="center" shrinkToFit="1"/>
    </xf>
    <xf numFmtId="38" fontId="78" fillId="11" borderId="200" xfId="0" applyNumberFormat="1" applyFont="1" applyFill="1" applyBorder="1" applyAlignment="1">
      <alignment horizontal="right" vertical="center" shrinkToFit="1"/>
    </xf>
    <xf numFmtId="0" fontId="78" fillId="17" borderId="141" xfId="0" applyFont="1" applyFill="1" applyBorder="1" applyAlignment="1">
      <alignment horizontal="left" vertical="center" shrinkToFit="1"/>
    </xf>
    <xf numFmtId="0" fontId="78" fillId="17" borderId="95" xfId="0" applyFont="1" applyFill="1" applyBorder="1" applyAlignment="1">
      <alignment horizontal="right" vertical="center"/>
    </xf>
    <xf numFmtId="38" fontId="78" fillId="17" borderId="95" xfId="0" applyNumberFormat="1" applyFont="1" applyFill="1" applyBorder="1" applyAlignment="1">
      <alignment horizontal="right" vertical="center"/>
    </xf>
    <xf numFmtId="38" fontId="87" fillId="17" borderId="95" xfId="0" applyNumberFormat="1" applyFont="1" applyFill="1" applyBorder="1" applyAlignment="1">
      <alignment horizontal="right" vertical="center" shrinkToFit="1"/>
    </xf>
    <xf numFmtId="38" fontId="87" fillId="17" borderId="99" xfId="0" applyNumberFormat="1" applyFont="1" applyFill="1" applyBorder="1" applyAlignment="1">
      <alignment horizontal="right" vertical="center" shrinkToFit="1"/>
    </xf>
    <xf numFmtId="0" fontId="78" fillId="17" borderId="142" xfId="0" applyFont="1" applyFill="1" applyBorder="1" applyAlignment="1">
      <alignment horizontal="left" vertical="center" shrinkToFit="1"/>
    </xf>
    <xf numFmtId="0" fontId="78" fillId="17" borderId="23" xfId="0" applyFont="1" applyFill="1" applyBorder="1" applyAlignment="1">
      <alignment horizontal="right" vertical="center"/>
    </xf>
    <xf numFmtId="0" fontId="102" fillId="30" borderId="142" xfId="0" applyFont="1" applyFill="1" applyBorder="1" applyAlignment="1">
      <alignment horizontal="left" vertical="center"/>
    </xf>
    <xf numFmtId="0" fontId="78" fillId="30" borderId="142" xfId="0" applyFont="1" applyFill="1" applyBorder="1" applyAlignment="1">
      <alignment horizontal="left" vertical="center" shrinkToFit="1"/>
    </xf>
    <xf numFmtId="38" fontId="91" fillId="25" borderId="23" xfId="0" applyNumberFormat="1" applyFont="1" applyFill="1" applyBorder="1" applyAlignment="1">
      <alignment horizontal="right" vertical="center" shrinkToFit="1"/>
    </xf>
    <xf numFmtId="38" fontId="91" fillId="25" borderId="31" xfId="0" applyNumberFormat="1" applyFont="1" applyFill="1" applyBorder="1" applyAlignment="1">
      <alignment horizontal="right" vertical="center" shrinkToFit="1"/>
    </xf>
    <xf numFmtId="38" fontId="91" fillId="17" borderId="23" xfId="0" applyNumberFormat="1" applyFont="1" applyFill="1" applyBorder="1" applyAlignment="1">
      <alignment horizontal="right" vertical="center" shrinkToFit="1"/>
    </xf>
    <xf numFmtId="38" fontId="91" fillId="17" borderId="31" xfId="0" applyNumberFormat="1" applyFont="1" applyFill="1" applyBorder="1" applyAlignment="1">
      <alignment horizontal="right" vertical="center" shrinkToFit="1"/>
    </xf>
    <xf numFmtId="38" fontId="78" fillId="11" borderId="23" xfId="0" applyNumberFormat="1" applyFont="1" applyFill="1" applyBorder="1" applyAlignment="1">
      <alignment horizontal="right" shrinkToFit="1"/>
    </xf>
    <xf numFmtId="38" fontId="78" fillId="11" borderId="23" xfId="0" applyNumberFormat="1" applyFont="1" applyFill="1" applyBorder="1" applyAlignment="1">
      <alignment horizontal="right" vertical="center" shrinkToFit="1"/>
    </xf>
    <xf numFmtId="38" fontId="78" fillId="11" borderId="31" xfId="0" applyNumberFormat="1" applyFont="1" applyFill="1" applyBorder="1" applyAlignment="1">
      <alignment horizontal="right" vertical="center" shrinkToFit="1"/>
    </xf>
    <xf numFmtId="0" fontId="103" fillId="30" borderId="142" xfId="0" applyFont="1" applyFill="1" applyBorder="1" applyAlignment="1">
      <alignment horizontal="left" vertical="center" shrinkToFit="1"/>
    </xf>
    <xf numFmtId="0" fontId="91" fillId="30" borderId="142" xfId="0" applyFont="1" applyFill="1" applyBorder="1" applyAlignment="1">
      <alignment horizontal="left" vertical="center" shrinkToFit="1"/>
    </xf>
    <xf numFmtId="38" fontId="78" fillId="0" borderId="23" xfId="0" applyNumberFormat="1" applyFont="1" applyFill="1" applyBorder="1" applyAlignment="1">
      <alignment horizontal="right" vertical="center" shrinkToFit="1"/>
    </xf>
    <xf numFmtId="38" fontId="78" fillId="0" borderId="31" xfId="0" applyNumberFormat="1" applyFont="1" applyFill="1" applyBorder="1" applyAlignment="1">
      <alignment horizontal="right" vertical="center" shrinkToFit="1"/>
    </xf>
    <xf numFmtId="0" fontId="78" fillId="30" borderId="52" xfId="0" applyFont="1" applyFill="1" applyBorder="1" applyAlignment="1">
      <alignment horizontal="left" vertical="center" shrinkToFit="1"/>
    </xf>
    <xf numFmtId="191" fontId="78" fillId="0" borderId="140" xfId="0" applyNumberFormat="1" applyFont="1" applyFill="1" applyBorder="1" applyAlignment="1">
      <alignment vertical="center" shrinkToFit="1"/>
    </xf>
    <xf numFmtId="10" fontId="78" fillId="0" borderId="23" xfId="0" applyNumberFormat="1" applyFont="1" applyFill="1" applyBorder="1" applyAlignment="1">
      <alignment horizontal="right" vertical="center" shrinkToFit="1"/>
    </xf>
    <xf numFmtId="0" fontId="78" fillId="31" borderId="142" xfId="0" applyFont="1" applyFill="1" applyBorder="1" applyAlignment="1">
      <alignment horizontal="left" vertical="center" shrinkToFit="1"/>
    </xf>
    <xf numFmtId="0" fontId="78" fillId="30" borderId="142" xfId="0" quotePrefix="1" applyFont="1" applyFill="1" applyBorder="1" applyAlignment="1">
      <alignment horizontal="left" vertical="center" shrinkToFit="1"/>
    </xf>
    <xf numFmtId="0" fontId="92" fillId="30" borderId="142" xfId="0" applyFont="1" applyFill="1" applyBorder="1" applyAlignment="1">
      <alignment horizontal="left" vertical="center"/>
    </xf>
    <xf numFmtId="0" fontId="92" fillId="31" borderId="142" xfId="0" applyFont="1" applyFill="1" applyBorder="1" applyAlignment="1">
      <alignment horizontal="left" vertical="center"/>
    </xf>
    <xf numFmtId="38" fontId="78" fillId="25" borderId="23" xfId="0" applyNumberFormat="1" applyFont="1" applyFill="1" applyBorder="1" applyAlignment="1">
      <alignment horizontal="right" vertical="center" shrinkToFit="1"/>
    </xf>
    <xf numFmtId="38" fontId="78" fillId="25" borderId="31" xfId="0" applyNumberFormat="1" applyFont="1" applyFill="1" applyBorder="1" applyAlignment="1">
      <alignment horizontal="right" vertical="center" shrinkToFit="1"/>
    </xf>
    <xf numFmtId="0" fontId="87" fillId="30" borderId="142" xfId="0" applyFont="1" applyFill="1" applyBorder="1" applyAlignment="1">
      <alignment horizontal="left" vertical="center" shrinkToFit="1"/>
    </xf>
    <xf numFmtId="0" fontId="87" fillId="30" borderId="23" xfId="0" applyFont="1" applyFill="1" applyBorder="1" applyAlignment="1">
      <alignment horizontal="right" vertical="center"/>
    </xf>
    <xf numFmtId="38" fontId="78" fillId="32" borderId="23" xfId="0" applyNumberFormat="1" applyFont="1" applyFill="1" applyBorder="1" applyAlignment="1">
      <alignment horizontal="right" vertical="center" shrinkToFit="1"/>
    </xf>
    <xf numFmtId="38" fontId="78" fillId="32" borderId="31" xfId="0" applyNumberFormat="1" applyFont="1" applyFill="1" applyBorder="1" applyAlignment="1">
      <alignment horizontal="right" vertical="center" shrinkToFit="1"/>
    </xf>
    <xf numFmtId="0" fontId="87" fillId="31" borderId="142" xfId="0" applyFont="1" applyFill="1" applyBorder="1" applyAlignment="1">
      <alignment horizontal="left" vertical="center" shrinkToFit="1"/>
    </xf>
    <xf numFmtId="0" fontId="92" fillId="31" borderId="176" xfId="0" applyFont="1" applyFill="1" applyBorder="1" applyAlignment="1">
      <alignment horizontal="left" vertical="center"/>
    </xf>
    <xf numFmtId="0" fontId="78" fillId="30" borderId="176" xfId="0" applyFont="1" applyFill="1" applyBorder="1" applyAlignment="1">
      <alignment horizontal="left" vertical="center" shrinkToFit="1"/>
    </xf>
    <xf numFmtId="38" fontId="78" fillId="30" borderId="85" xfId="0" applyNumberFormat="1" applyFont="1" applyFill="1" applyBorder="1" applyAlignment="1">
      <alignment horizontal="right" vertical="center"/>
    </xf>
    <xf numFmtId="38" fontId="78" fillId="25" borderId="85" xfId="0" applyNumberFormat="1" applyFont="1" applyFill="1" applyBorder="1" applyAlignment="1">
      <alignment horizontal="right" vertical="center" shrinkToFit="1"/>
    </xf>
    <xf numFmtId="38" fontId="78" fillId="25" borderId="98" xfId="0" applyNumberFormat="1" applyFont="1" applyFill="1" applyBorder="1" applyAlignment="1">
      <alignment horizontal="right" vertical="center" shrinkToFit="1"/>
    </xf>
    <xf numFmtId="0" fontId="83" fillId="0" borderId="0" xfId="0" applyFont="1" applyFill="1" applyBorder="1" applyAlignment="1">
      <alignment horizontal="right" vertical="center"/>
    </xf>
    <xf numFmtId="0" fontId="104" fillId="0" borderId="0" xfId="0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right" vertical="center" shrinkToFit="1"/>
    </xf>
    <xf numFmtId="0" fontId="83" fillId="0" borderId="0" xfId="0" applyFont="1" applyFill="1" applyBorder="1" applyAlignment="1">
      <alignment horizontal="center" vertical="center" shrinkToFit="1"/>
    </xf>
    <xf numFmtId="0" fontId="83" fillId="0" borderId="0" xfId="0" applyFont="1" applyFill="1" applyBorder="1" applyAlignment="1">
      <alignment vertical="center"/>
    </xf>
    <xf numFmtId="0" fontId="105" fillId="0" borderId="0" xfId="0" applyFont="1" applyFill="1" applyBorder="1" applyAlignment="1">
      <alignment horizontal="left" vertical="center"/>
    </xf>
    <xf numFmtId="0" fontId="83" fillId="0" borderId="258" xfId="0" applyFont="1" applyFill="1" applyBorder="1" applyAlignment="1">
      <alignment horizontal="right" vertical="center" shrinkToFit="1"/>
    </xf>
    <xf numFmtId="0" fontId="83" fillId="0" borderId="224" xfId="0" applyFont="1" applyFill="1" applyBorder="1" applyAlignment="1">
      <alignment horizontal="right" vertical="center"/>
    </xf>
    <xf numFmtId="0" fontId="83" fillId="0" borderId="225" xfId="0" applyFont="1" applyFill="1" applyBorder="1" applyAlignment="1">
      <alignment horizontal="right" vertical="center"/>
    </xf>
    <xf numFmtId="0" fontId="83" fillId="0" borderId="231" xfId="0" applyFont="1" applyFill="1" applyBorder="1" applyAlignment="1">
      <alignment horizontal="center" vertical="center"/>
    </xf>
    <xf numFmtId="0" fontId="83" fillId="0" borderId="231" xfId="0" applyFont="1" applyFill="1" applyBorder="1" applyAlignment="1">
      <alignment horizontal="center" vertical="center" shrinkToFit="1"/>
    </xf>
    <xf numFmtId="0" fontId="83" fillId="0" borderId="232" xfId="0" applyFont="1" applyFill="1" applyBorder="1" applyAlignment="1">
      <alignment horizontal="center" vertical="center" shrinkToFit="1"/>
    </xf>
    <xf numFmtId="38" fontId="83" fillId="0" borderId="89" xfId="0" applyNumberFormat="1" applyFont="1" applyFill="1" applyBorder="1" applyAlignment="1">
      <alignment horizontal="right" vertical="center"/>
    </xf>
    <xf numFmtId="38" fontId="83" fillId="0" borderId="89" xfId="0" applyNumberFormat="1" applyFont="1" applyFill="1" applyBorder="1" applyAlignment="1">
      <alignment horizontal="right" vertical="center" shrinkToFit="1"/>
    </xf>
    <xf numFmtId="38" fontId="83" fillId="0" borderId="100" xfId="0" applyNumberFormat="1" applyFont="1" applyFill="1" applyBorder="1" applyAlignment="1">
      <alignment horizontal="right" vertical="center" shrinkToFit="1"/>
    </xf>
    <xf numFmtId="38" fontId="83" fillId="0" borderId="0" xfId="0" applyNumberFormat="1" applyFont="1" applyFill="1" applyBorder="1" applyAlignment="1">
      <alignment horizontal="right" vertical="center" shrinkToFit="1"/>
    </xf>
    <xf numFmtId="0" fontId="83" fillId="0" borderId="83" xfId="0" applyFont="1" applyFill="1" applyBorder="1" applyAlignment="1">
      <alignment vertical="center"/>
    </xf>
    <xf numFmtId="0" fontId="83" fillId="0" borderId="178" xfId="0" applyFont="1" applyFill="1" applyBorder="1" applyAlignment="1">
      <alignment vertical="center" shrinkToFit="1"/>
    </xf>
    <xf numFmtId="0" fontId="83" fillId="0" borderId="233" xfId="0" applyFont="1" applyFill="1" applyBorder="1" applyAlignment="1">
      <alignment vertical="center" shrinkToFit="1"/>
    </xf>
    <xf numFmtId="38" fontId="91" fillId="0" borderId="231" xfId="0" applyNumberFormat="1" applyFont="1" applyFill="1" applyBorder="1" applyAlignment="1">
      <alignment horizontal="right" vertical="center"/>
    </xf>
    <xf numFmtId="38" fontId="91" fillId="0" borderId="231" xfId="0" applyNumberFormat="1" applyFont="1" applyFill="1" applyBorder="1" applyAlignment="1">
      <alignment horizontal="right" vertical="center" shrinkToFit="1"/>
    </xf>
    <xf numFmtId="38" fontId="91" fillId="0" borderId="232" xfId="0" applyNumberFormat="1" applyFont="1" applyFill="1" applyBorder="1" applyAlignment="1">
      <alignment horizontal="right" vertical="center" shrinkToFit="1"/>
    </xf>
    <xf numFmtId="38" fontId="82" fillId="0" borderId="0" xfId="0" applyNumberFormat="1" applyFont="1" applyFill="1" applyBorder="1" applyAlignment="1">
      <alignment horizontal="right" vertical="center" shrinkToFit="1"/>
    </xf>
    <xf numFmtId="0" fontId="83" fillId="0" borderId="23" xfId="0" applyFont="1" applyFill="1" applyBorder="1" applyAlignment="1">
      <alignment horizontal="left" vertical="center" shrinkToFit="1"/>
    </xf>
    <xf numFmtId="192" fontId="83" fillId="0" borderId="23" xfId="0" applyNumberFormat="1" applyFont="1" applyFill="1" applyBorder="1" applyAlignment="1">
      <alignment horizontal="right" vertical="center" shrinkToFit="1"/>
    </xf>
    <xf numFmtId="10" fontId="83" fillId="0" borderId="23" xfId="0" quotePrefix="1" applyNumberFormat="1" applyFont="1" applyFill="1" applyBorder="1" applyAlignment="1">
      <alignment horizontal="center" vertical="center" shrinkToFit="1"/>
    </xf>
    <xf numFmtId="38" fontId="91" fillId="0" borderId="23" xfId="0" applyNumberFormat="1" applyFont="1" applyFill="1" applyBorder="1" applyAlignment="1">
      <alignment horizontal="right" vertical="center"/>
    </xf>
    <xf numFmtId="38" fontId="91" fillId="0" borderId="23" xfId="0" applyNumberFormat="1" applyFont="1" applyFill="1" applyBorder="1" applyAlignment="1">
      <alignment horizontal="right" vertical="center" shrinkToFit="1"/>
    </xf>
    <xf numFmtId="38" fontId="91" fillId="0" borderId="31" xfId="0" applyNumberFormat="1" applyFont="1" applyFill="1" applyBorder="1" applyAlignment="1">
      <alignment horizontal="right" vertical="center" shrinkToFit="1"/>
    </xf>
    <xf numFmtId="10" fontId="91" fillId="0" borderId="23" xfId="0" applyNumberFormat="1" applyFont="1" applyFill="1" applyBorder="1" applyAlignment="1">
      <alignment horizontal="right" vertical="center" shrinkToFit="1"/>
    </xf>
    <xf numFmtId="10" fontId="91" fillId="11" borderId="23" xfId="0" applyNumberFormat="1" applyFont="1" applyFill="1" applyBorder="1" applyAlignment="1">
      <alignment horizontal="right" vertical="center" shrinkToFit="1"/>
    </xf>
    <xf numFmtId="192" fontId="91" fillId="0" borderId="23" xfId="0" applyNumberFormat="1" applyFont="1" applyFill="1" applyBorder="1" applyAlignment="1">
      <alignment horizontal="right" vertical="center" shrinkToFit="1"/>
    </xf>
    <xf numFmtId="0" fontId="83" fillId="30" borderId="23" xfId="0" quotePrefix="1" applyFont="1" applyFill="1" applyBorder="1" applyAlignment="1">
      <alignment horizontal="left" vertical="center" shrinkToFit="1"/>
    </xf>
    <xf numFmtId="10" fontId="83" fillId="0" borderId="23" xfId="0" applyNumberFormat="1" applyFont="1" applyFill="1" applyBorder="1" applyAlignment="1">
      <alignment horizontal="right" vertical="center" shrinkToFit="1"/>
    </xf>
    <xf numFmtId="38" fontId="83" fillId="0" borderId="23" xfId="0" applyNumberFormat="1" applyFont="1" applyFill="1" applyBorder="1" applyAlignment="1">
      <alignment horizontal="right" vertical="center" shrinkToFit="1"/>
    </xf>
    <xf numFmtId="38" fontId="83" fillId="0" borderId="31" xfId="0" applyNumberFormat="1" applyFont="1" applyFill="1" applyBorder="1" applyAlignment="1">
      <alignment horizontal="right" vertical="center" shrinkToFit="1"/>
    </xf>
    <xf numFmtId="0" fontId="83" fillId="30" borderId="203" xfId="0" applyFont="1" applyFill="1" applyBorder="1" applyAlignment="1">
      <alignment horizontal="center" vertical="center" shrinkToFit="1"/>
    </xf>
    <xf numFmtId="49" fontId="91" fillId="0" borderId="85" xfId="0" applyNumberFormat="1" applyFont="1" applyFill="1" applyBorder="1" applyAlignment="1">
      <alignment horizontal="left" vertical="center" shrinkToFit="1"/>
    </xf>
    <xf numFmtId="192" fontId="83" fillId="0" borderId="85" xfId="0" applyNumberFormat="1" applyFont="1" applyFill="1" applyBorder="1" applyAlignment="1">
      <alignment horizontal="right" vertical="center" shrinkToFit="1"/>
    </xf>
    <xf numFmtId="10" fontId="83" fillId="0" borderId="85" xfId="0" applyNumberFormat="1" applyFont="1" applyFill="1" applyBorder="1" applyAlignment="1">
      <alignment horizontal="right" vertical="center" shrinkToFit="1"/>
    </xf>
    <xf numFmtId="38" fontId="91" fillId="25" borderId="85" xfId="0" applyNumberFormat="1" applyFont="1" applyFill="1" applyBorder="1" applyAlignment="1">
      <alignment horizontal="right" vertical="center"/>
    </xf>
    <xf numFmtId="38" fontId="91" fillId="25" borderId="85" xfId="0" applyNumberFormat="1" applyFont="1" applyFill="1" applyBorder="1" applyAlignment="1">
      <alignment horizontal="right" vertical="center" shrinkToFit="1"/>
    </xf>
    <xf numFmtId="38" fontId="91" fillId="25" borderId="98" xfId="0" applyNumberFormat="1" applyFont="1" applyFill="1" applyBorder="1" applyAlignment="1">
      <alignment horizontal="right" vertical="center" shrinkToFit="1"/>
    </xf>
    <xf numFmtId="0" fontId="83" fillId="0" borderId="224" xfId="0" applyFont="1" applyFill="1" applyBorder="1" applyAlignment="1">
      <alignment horizontal="center" vertical="center" shrinkToFit="1"/>
    </xf>
    <xf numFmtId="0" fontId="83" fillId="30" borderId="225" xfId="0" applyFont="1" applyFill="1" applyBorder="1" applyAlignment="1">
      <alignment horizontal="center" vertical="center" shrinkToFit="1"/>
    </xf>
    <xf numFmtId="0" fontId="83" fillId="30" borderId="225" xfId="0" applyFont="1" applyFill="1" applyBorder="1" applyAlignment="1">
      <alignment horizontal="left" vertical="center" shrinkToFit="1"/>
    </xf>
    <xf numFmtId="38" fontId="83" fillId="0" borderId="231" xfId="0" applyNumberFormat="1" applyFont="1" applyFill="1" applyBorder="1" applyAlignment="1">
      <alignment horizontal="right" vertical="center"/>
    </xf>
    <xf numFmtId="38" fontId="83" fillId="0" borderId="231" xfId="0" applyNumberFormat="1" applyFont="1" applyFill="1" applyBorder="1" applyAlignment="1">
      <alignment horizontal="right" vertical="center" shrinkToFit="1"/>
    </xf>
    <xf numFmtId="38" fontId="83" fillId="0" borderId="232" xfId="0" applyNumberFormat="1" applyFont="1" applyFill="1" applyBorder="1" applyAlignment="1">
      <alignment horizontal="right" vertical="center" shrinkToFit="1"/>
    </xf>
    <xf numFmtId="0" fontId="83" fillId="0" borderId="231" xfId="0" applyFont="1" applyFill="1" applyBorder="1" applyAlignment="1">
      <alignment horizontal="left" vertical="center" shrinkToFit="1"/>
    </xf>
    <xf numFmtId="192" fontId="83" fillId="0" borderId="231" xfId="0" applyNumberFormat="1" applyFont="1" applyFill="1" applyBorder="1" applyAlignment="1">
      <alignment vertical="center" shrinkToFit="1"/>
    </xf>
    <xf numFmtId="10" fontId="83" fillId="0" borderId="82" xfId="0" applyNumberFormat="1" applyFont="1" applyFill="1" applyBorder="1" applyAlignment="1">
      <alignment horizontal="center" vertical="center"/>
    </xf>
    <xf numFmtId="38" fontId="106" fillId="0" borderId="82" xfId="0" applyNumberFormat="1" applyFont="1" applyFill="1" applyBorder="1" applyAlignment="1">
      <alignment horizontal="right" vertical="center"/>
    </xf>
    <xf numFmtId="10" fontId="83" fillId="0" borderId="82" xfId="0" applyNumberFormat="1" applyFont="1" applyFill="1" applyBorder="1" applyAlignment="1">
      <alignment horizontal="left" vertical="center" shrinkToFit="1"/>
    </xf>
    <xf numFmtId="10" fontId="83" fillId="0" borderId="200" xfId="0" applyNumberFormat="1" applyFont="1" applyFill="1" applyBorder="1" applyAlignment="1">
      <alignment horizontal="left" vertical="center" shrinkToFit="1"/>
    </xf>
    <xf numFmtId="10" fontId="83" fillId="0" borderId="0" xfId="0" applyNumberFormat="1" applyFont="1" applyFill="1" applyBorder="1" applyAlignment="1">
      <alignment horizontal="left" vertical="center" shrinkToFit="1"/>
    </xf>
    <xf numFmtId="0" fontId="83" fillId="0" borderId="95" xfId="0" applyFont="1" applyFill="1" applyBorder="1" applyAlignment="1">
      <alignment horizontal="left" vertical="center" shrinkToFit="1"/>
    </xf>
    <xf numFmtId="192" fontId="83" fillId="0" borderId="95" xfId="0" applyNumberFormat="1" applyFont="1" applyFill="1" applyBorder="1" applyAlignment="1">
      <alignment vertical="center" shrinkToFit="1"/>
    </xf>
    <xf numFmtId="10" fontId="83" fillId="0" borderId="23" xfId="0" applyNumberFormat="1" applyFont="1" applyFill="1" applyBorder="1" applyAlignment="1">
      <alignment horizontal="center" vertical="center"/>
    </xf>
    <xf numFmtId="38" fontId="83" fillId="0" borderId="23" xfId="0" applyNumberFormat="1" applyFont="1" applyFill="1" applyBorder="1" applyAlignment="1">
      <alignment horizontal="right" vertical="center"/>
    </xf>
    <xf numFmtId="38" fontId="83" fillId="0" borderId="95" xfId="0" applyNumberFormat="1" applyFont="1" applyFill="1" applyBorder="1" applyAlignment="1">
      <alignment horizontal="right" vertical="center" shrinkToFit="1"/>
    </xf>
    <xf numFmtId="0" fontId="83" fillId="0" borderId="120" xfId="0" applyFont="1" applyFill="1" applyBorder="1" applyAlignment="1">
      <alignment horizontal="left" vertical="center" shrinkToFit="1"/>
    </xf>
    <xf numFmtId="0" fontId="83" fillId="0" borderId="139" xfId="0" applyFont="1" applyFill="1" applyBorder="1" applyAlignment="1">
      <alignment vertical="center"/>
    </xf>
    <xf numFmtId="38" fontId="106" fillId="0" borderId="23" xfId="0" applyNumberFormat="1" applyFont="1" applyFill="1" applyBorder="1" applyAlignment="1">
      <alignment horizontal="right" vertical="center"/>
    </xf>
    <xf numFmtId="10" fontId="83" fillId="0" borderId="23" xfId="0" applyNumberFormat="1" applyFont="1" applyFill="1" applyBorder="1" applyAlignment="1">
      <alignment horizontal="left" vertical="center" shrinkToFit="1"/>
    </xf>
    <xf numFmtId="10" fontId="83" fillId="0" borderId="31" xfId="0" applyNumberFormat="1" applyFont="1" applyFill="1" applyBorder="1" applyAlignment="1">
      <alignment horizontal="left" vertical="center" shrinkToFit="1"/>
    </xf>
    <xf numFmtId="38" fontId="83" fillId="0" borderId="99" xfId="0" applyNumberFormat="1" applyFont="1" applyFill="1" applyBorder="1" applyAlignment="1">
      <alignment horizontal="right" vertical="center" shrinkToFit="1"/>
    </xf>
    <xf numFmtId="10" fontId="83" fillId="0" borderId="95" xfId="0" applyNumberFormat="1" applyFont="1" applyFill="1" applyBorder="1" applyAlignment="1">
      <alignment horizontal="center" vertical="center"/>
    </xf>
    <xf numFmtId="0" fontId="83" fillId="30" borderId="228" xfId="0" applyFont="1" applyFill="1" applyBorder="1" applyAlignment="1">
      <alignment horizontal="center" vertical="center" textRotation="255"/>
    </xf>
    <xf numFmtId="38" fontId="91" fillId="0" borderId="95" xfId="0" applyNumberFormat="1" applyFont="1" applyFill="1" applyBorder="1" applyAlignment="1">
      <alignment horizontal="right" vertical="center" shrinkToFit="1"/>
    </xf>
    <xf numFmtId="38" fontId="91" fillId="0" borderId="99" xfId="0" applyNumberFormat="1" applyFont="1" applyFill="1" applyBorder="1" applyAlignment="1">
      <alignment horizontal="right" vertical="center" shrinkToFit="1"/>
    </xf>
    <xf numFmtId="192" fontId="83" fillId="0" borderId="23" xfId="0" applyNumberFormat="1" applyFont="1" applyFill="1" applyBorder="1" applyAlignment="1">
      <alignment vertical="center" shrinkToFit="1"/>
    </xf>
    <xf numFmtId="0" fontId="83" fillId="30" borderId="288" xfId="0" applyFont="1" applyFill="1" applyBorder="1" applyAlignment="1">
      <alignment horizontal="center" vertical="center" shrinkToFit="1"/>
    </xf>
    <xf numFmtId="192" fontId="83" fillId="0" borderId="289" xfId="0" applyNumberFormat="1" applyFont="1" applyFill="1" applyBorder="1" applyAlignment="1">
      <alignment vertical="center" shrinkToFit="1"/>
    </xf>
    <xf numFmtId="10" fontId="83" fillId="0" borderId="289" xfId="0" applyNumberFormat="1" applyFont="1" applyFill="1" applyBorder="1" applyAlignment="1">
      <alignment horizontal="right" vertical="center" shrinkToFit="1"/>
    </xf>
    <xf numFmtId="0" fontId="83" fillId="0" borderId="240" xfId="0" applyFont="1" applyFill="1" applyBorder="1" applyAlignment="1">
      <alignment horizontal="right" vertical="center"/>
    </xf>
    <xf numFmtId="0" fontId="83" fillId="0" borderId="241" xfId="0" applyFont="1" applyFill="1" applyBorder="1" applyAlignment="1">
      <alignment horizontal="right" vertical="center"/>
    </xf>
    <xf numFmtId="0" fontId="83" fillId="0" borderId="241" xfId="0" applyFont="1" applyFill="1" applyBorder="1" applyAlignment="1">
      <alignment horizontal="left" vertical="center"/>
    </xf>
    <xf numFmtId="0" fontId="83" fillId="0" borderId="242" xfId="0" applyFont="1" applyFill="1" applyBorder="1" applyAlignment="1">
      <alignment horizontal="left" vertical="center"/>
    </xf>
    <xf numFmtId="0" fontId="83" fillId="0" borderId="242" xfId="0" applyFont="1" applyFill="1" applyBorder="1" applyAlignment="1">
      <alignment horizontal="right" vertical="center"/>
    </xf>
    <xf numFmtId="38" fontId="83" fillId="0" borderId="242" xfId="0" applyNumberFormat="1" applyFont="1" applyFill="1" applyBorder="1" applyAlignment="1">
      <alignment horizontal="right" vertical="center"/>
    </xf>
    <xf numFmtId="38" fontId="83" fillId="0" borderId="242" xfId="0" applyNumberFormat="1" applyFont="1" applyFill="1" applyBorder="1" applyAlignment="1">
      <alignment horizontal="right" vertical="center" shrinkToFit="1"/>
    </xf>
    <xf numFmtId="38" fontId="83" fillId="0" borderId="243" xfId="0" applyNumberFormat="1" applyFont="1" applyFill="1" applyBorder="1" applyAlignment="1">
      <alignment horizontal="right" vertical="center" shrinkToFit="1"/>
    </xf>
    <xf numFmtId="0" fontId="78" fillId="30" borderId="0" xfId="0" applyFont="1" applyFill="1" applyBorder="1" applyAlignment="1">
      <alignment horizontal="center" vertical="center" textRotation="255"/>
    </xf>
    <xf numFmtId="0" fontId="87" fillId="30" borderId="0" xfId="0" applyFont="1" applyFill="1" applyBorder="1" applyAlignment="1">
      <alignment horizontal="left" vertical="center" shrinkToFit="1"/>
    </xf>
    <xf numFmtId="0" fontId="78" fillId="30" borderId="0" xfId="0" applyFont="1" applyFill="1" applyBorder="1" applyAlignment="1">
      <alignment horizontal="left" vertical="center" shrinkToFit="1"/>
    </xf>
    <xf numFmtId="38" fontId="78" fillId="30" borderId="0" xfId="0" applyNumberFormat="1" applyFont="1" applyFill="1" applyBorder="1" applyAlignment="1">
      <alignment horizontal="right" vertical="center"/>
    </xf>
    <xf numFmtId="38" fontId="78" fillId="11" borderId="0" xfId="0" applyNumberFormat="1" applyFont="1" applyFill="1" applyBorder="1" applyAlignment="1">
      <alignment horizontal="right" vertical="center" shrinkToFit="1"/>
    </xf>
    <xf numFmtId="0" fontId="108" fillId="0" borderId="0" xfId="0" applyFont="1" applyFill="1" applyBorder="1" applyAlignment="1">
      <alignment horizontal="left" vertical="center"/>
    </xf>
    <xf numFmtId="0" fontId="78" fillId="0" borderId="231" xfId="0" applyFont="1" applyFill="1" applyBorder="1" applyAlignment="1">
      <alignment horizontal="center" vertical="center"/>
    </xf>
    <xf numFmtId="0" fontId="78" fillId="0" borderId="231" xfId="0" applyFont="1" applyFill="1" applyBorder="1" applyAlignment="1">
      <alignment horizontal="center" vertical="center" shrinkToFit="1"/>
    </xf>
    <xf numFmtId="0" fontId="78" fillId="0" borderId="248" xfId="0" applyFont="1" applyFill="1" applyBorder="1" applyAlignment="1">
      <alignment horizontal="center" vertical="center" shrinkToFit="1"/>
    </xf>
    <xf numFmtId="38" fontId="78" fillId="0" borderId="89" xfId="0" applyNumberFormat="1" applyFont="1" applyFill="1" applyBorder="1" applyAlignment="1">
      <alignment horizontal="right" vertical="center"/>
    </xf>
    <xf numFmtId="38" fontId="78" fillId="0" borderId="89" xfId="0" applyNumberFormat="1" applyFont="1" applyFill="1" applyBorder="1" applyAlignment="1">
      <alignment horizontal="right" vertical="center" shrinkToFit="1"/>
    </xf>
    <xf numFmtId="38" fontId="78" fillId="0" borderId="261" xfId="0" applyNumberFormat="1" applyFont="1" applyFill="1" applyBorder="1" applyAlignment="1">
      <alignment horizontal="right" vertical="center" shrinkToFit="1"/>
    </xf>
    <xf numFmtId="0" fontId="90" fillId="0" borderId="226" xfId="0" applyFont="1" applyFill="1" applyBorder="1" applyAlignment="1">
      <alignment horizontal="left" vertical="center" shrinkToFit="1"/>
    </xf>
    <xf numFmtId="0" fontId="78" fillId="0" borderId="83" xfId="0" applyFont="1" applyFill="1" applyBorder="1" applyAlignment="1">
      <alignment vertical="center"/>
    </xf>
    <xf numFmtId="0" fontId="78" fillId="0" borderId="233" xfId="0" applyFont="1" applyFill="1" applyBorder="1" applyAlignment="1">
      <alignment vertical="center"/>
    </xf>
    <xf numFmtId="10" fontId="78" fillId="0" borderId="231" xfId="0" applyNumberFormat="1" applyFont="1" applyFill="1" applyBorder="1" applyAlignment="1">
      <alignment horizontal="right" vertical="center" shrinkToFit="1"/>
    </xf>
    <xf numFmtId="38" fontId="78" fillId="0" borderId="231" xfId="0" applyNumberFormat="1" applyFont="1" applyFill="1" applyBorder="1" applyAlignment="1">
      <alignment horizontal="right" vertical="center"/>
    </xf>
    <xf numFmtId="38" fontId="91" fillId="25" borderId="231" xfId="0" applyNumberFormat="1" applyFont="1" applyFill="1" applyBorder="1" applyAlignment="1">
      <alignment horizontal="right" vertical="center" shrinkToFit="1"/>
    </xf>
    <xf numFmtId="38" fontId="91" fillId="25" borderId="232" xfId="0" applyNumberFormat="1" applyFont="1" applyFill="1" applyBorder="1" applyAlignment="1">
      <alignment horizontal="right" vertical="center" shrinkToFit="1"/>
    </xf>
    <xf numFmtId="0" fontId="78" fillId="0" borderId="286" xfId="0" applyFont="1" applyFill="1" applyBorder="1" applyAlignment="1">
      <alignment horizontal="center" vertical="center" shrinkToFit="1"/>
    </xf>
    <xf numFmtId="10" fontId="78" fillId="0" borderId="82" xfId="0" quotePrefix="1" applyNumberFormat="1" applyFont="1" applyFill="1" applyBorder="1" applyAlignment="1">
      <alignment horizontal="center" vertical="center" shrinkToFit="1"/>
    </xf>
    <xf numFmtId="38" fontId="78" fillId="0" borderId="82" xfId="0" applyNumberFormat="1" applyFont="1" applyFill="1" applyBorder="1" applyAlignment="1">
      <alignment horizontal="right" vertical="center" shrinkToFit="1"/>
    </xf>
    <xf numFmtId="38" fontId="78" fillId="0" borderId="200" xfId="0" applyNumberFormat="1" applyFont="1" applyFill="1" applyBorder="1" applyAlignment="1">
      <alignment horizontal="right" vertical="center" shrinkToFit="1"/>
    </xf>
    <xf numFmtId="0" fontId="78" fillId="0" borderId="149" xfId="0" applyFont="1" applyFill="1" applyBorder="1" applyAlignment="1">
      <alignment horizontal="center" vertical="center" shrinkToFit="1"/>
    </xf>
    <xf numFmtId="191" fontId="78" fillId="0" borderId="23" xfId="0" applyNumberFormat="1" applyFont="1" applyFill="1" applyBorder="1" applyAlignment="1">
      <alignment horizontal="right" vertical="center" shrinkToFit="1"/>
    </xf>
    <xf numFmtId="10" fontId="78" fillId="0" borderId="23" xfId="0" quotePrefix="1" applyNumberFormat="1" applyFont="1" applyFill="1" applyBorder="1" applyAlignment="1">
      <alignment horizontal="center" vertical="center" shrinkToFit="1"/>
    </xf>
    <xf numFmtId="38" fontId="78" fillId="0" borderId="23" xfId="0" applyNumberFormat="1" applyFont="1" applyFill="1" applyBorder="1" applyAlignment="1">
      <alignment horizontal="right" vertical="center"/>
    </xf>
    <xf numFmtId="0" fontId="93" fillId="30" borderId="142" xfId="0" applyFont="1" applyFill="1" applyBorder="1" applyAlignment="1">
      <alignment horizontal="left" vertical="center"/>
    </xf>
    <xf numFmtId="0" fontId="93" fillId="30" borderId="142" xfId="0" applyFont="1" applyFill="1" applyBorder="1" applyAlignment="1">
      <alignment horizontal="left" vertical="center" shrinkToFit="1"/>
    </xf>
    <xf numFmtId="10" fontId="78" fillId="11" borderId="23" xfId="0" applyNumberFormat="1" applyFont="1" applyFill="1" applyBorder="1" applyAlignment="1">
      <alignment horizontal="right" vertical="center" shrinkToFit="1"/>
    </xf>
    <xf numFmtId="0" fontId="78" fillId="0" borderId="260" xfId="0" applyFont="1" applyFill="1" applyBorder="1" applyAlignment="1">
      <alignment horizontal="center" vertical="center" shrinkToFit="1"/>
    </xf>
    <xf numFmtId="0" fontId="78" fillId="30" borderId="203" xfId="0" applyFont="1" applyFill="1" applyBorder="1" applyAlignment="1">
      <alignment horizontal="center" vertical="center" shrinkToFit="1"/>
    </xf>
    <xf numFmtId="0" fontId="82" fillId="30" borderId="85" xfId="0" applyFont="1" applyFill="1" applyBorder="1" applyAlignment="1">
      <alignment horizontal="left" vertical="center" shrinkToFit="1"/>
    </xf>
    <xf numFmtId="191" fontId="78" fillId="0" borderId="85" xfId="0" applyNumberFormat="1" applyFont="1" applyFill="1" applyBorder="1" applyAlignment="1">
      <alignment horizontal="right" vertical="center" shrinkToFit="1"/>
    </xf>
    <xf numFmtId="10" fontId="78" fillId="0" borderId="85" xfId="0" applyNumberFormat="1" applyFont="1" applyFill="1" applyBorder="1" applyAlignment="1">
      <alignment horizontal="right" vertical="center" shrinkToFit="1"/>
    </xf>
    <xf numFmtId="38" fontId="78" fillId="0" borderId="85" xfId="0" applyNumberFormat="1" applyFont="1" applyFill="1" applyBorder="1" applyAlignment="1">
      <alignment horizontal="right" vertical="center"/>
    </xf>
    <xf numFmtId="38" fontId="78" fillId="0" borderId="85" xfId="0" applyNumberFormat="1" applyFont="1" applyFill="1" applyBorder="1" applyAlignment="1">
      <alignment horizontal="right" vertical="center" shrinkToFit="1"/>
    </xf>
    <xf numFmtId="38" fontId="78" fillId="0" borderId="98" xfId="0" applyNumberFormat="1" applyFont="1" applyFill="1" applyBorder="1" applyAlignment="1">
      <alignment horizontal="right" vertical="center" shrinkToFit="1"/>
    </xf>
    <xf numFmtId="0" fontId="90" fillId="0" borderId="14" xfId="0" applyFont="1" applyFill="1" applyBorder="1" applyAlignment="1">
      <alignment horizontal="left" vertical="center"/>
    </xf>
    <xf numFmtId="0" fontId="90" fillId="0" borderId="15" xfId="0" applyFont="1" applyFill="1" applyBorder="1" applyAlignment="1">
      <alignment horizontal="left" vertical="center"/>
    </xf>
    <xf numFmtId="0" fontId="90" fillId="0" borderId="15" xfId="0" applyFont="1" applyFill="1" applyBorder="1" applyAlignment="1">
      <alignment horizontal="left" vertical="center" shrinkToFit="1"/>
    </xf>
    <xf numFmtId="0" fontId="78" fillId="0" borderId="15" xfId="0" applyFont="1" applyFill="1" applyBorder="1" applyAlignment="1">
      <alignment vertical="center"/>
    </xf>
    <xf numFmtId="38" fontId="78" fillId="0" borderId="15" xfId="0" applyNumberFormat="1" applyFont="1" applyFill="1" applyBorder="1" applyAlignment="1">
      <alignment horizontal="right" vertical="center"/>
    </xf>
    <xf numFmtId="38" fontId="78" fillId="0" borderId="15" xfId="0" applyNumberFormat="1" applyFont="1" applyFill="1" applyBorder="1" applyAlignment="1">
      <alignment horizontal="right" vertical="center" shrinkToFit="1"/>
    </xf>
    <xf numFmtId="38" fontId="78" fillId="0" borderId="123" xfId="0" applyNumberFormat="1" applyFont="1" applyFill="1" applyBorder="1" applyAlignment="1">
      <alignment horizontal="right" vertical="center" shrinkToFit="1"/>
    </xf>
    <xf numFmtId="0" fontId="87" fillId="0" borderId="229" xfId="0" applyFont="1" applyFill="1" applyBorder="1" applyAlignment="1">
      <alignment horizontal="left" vertical="center" shrinkToFit="1"/>
    </xf>
    <xf numFmtId="192" fontId="87" fillId="0" borderId="231" xfId="0" applyNumberFormat="1" applyFont="1" applyFill="1" applyBorder="1" applyAlignment="1">
      <alignment vertical="center" shrinkToFit="1"/>
    </xf>
    <xf numFmtId="10" fontId="87" fillId="0" borderId="82" xfId="0" applyNumberFormat="1" applyFont="1" applyFill="1" applyBorder="1" applyAlignment="1">
      <alignment horizontal="center" vertical="center"/>
    </xf>
    <xf numFmtId="38" fontId="92" fillId="0" borderId="82" xfId="0" applyNumberFormat="1" applyFont="1" applyFill="1" applyBorder="1" applyAlignment="1">
      <alignment horizontal="right" vertical="center"/>
    </xf>
    <xf numFmtId="10" fontId="87" fillId="0" borderId="82" xfId="0" applyNumberFormat="1" applyFont="1" applyFill="1" applyBorder="1" applyAlignment="1">
      <alignment horizontal="left" vertical="center" shrinkToFit="1"/>
    </xf>
    <xf numFmtId="10" fontId="87" fillId="0" borderId="200" xfId="0" applyNumberFormat="1" applyFont="1" applyFill="1" applyBorder="1" applyAlignment="1">
      <alignment horizontal="left" vertical="center" shrinkToFit="1"/>
    </xf>
    <xf numFmtId="0" fontId="87" fillId="0" borderId="156" xfId="0" applyFont="1" applyFill="1" applyBorder="1" applyAlignment="1">
      <alignment horizontal="left" vertical="center" shrinkToFit="1"/>
    </xf>
    <xf numFmtId="192" fontId="109" fillId="0" borderId="95" xfId="0" applyNumberFormat="1" applyFont="1" applyFill="1" applyBorder="1" applyAlignment="1">
      <alignment vertical="center" shrinkToFit="1"/>
    </xf>
    <xf numFmtId="10" fontId="87" fillId="0" borderId="23" xfId="0" applyNumberFormat="1" applyFont="1" applyFill="1" applyBorder="1" applyAlignment="1">
      <alignment horizontal="center" vertical="center"/>
    </xf>
    <xf numFmtId="38" fontId="87" fillId="0" borderId="95" xfId="0" applyNumberFormat="1" applyFont="1" applyFill="1" applyBorder="1" applyAlignment="1">
      <alignment horizontal="right" vertical="center" shrinkToFit="1"/>
    </xf>
    <xf numFmtId="38" fontId="87" fillId="0" borderId="99" xfId="0" applyNumberFormat="1" applyFont="1" applyFill="1" applyBorder="1" applyAlignment="1">
      <alignment horizontal="right" vertical="center" shrinkToFit="1"/>
    </xf>
    <xf numFmtId="0" fontId="87" fillId="0" borderId="201" xfId="0" applyFont="1" applyFill="1" applyBorder="1" applyAlignment="1">
      <alignment horizontal="left" vertical="center" shrinkToFit="1"/>
    </xf>
    <xf numFmtId="38" fontId="92" fillId="0" borderId="23" xfId="0" applyNumberFormat="1" applyFont="1" applyFill="1" applyBorder="1" applyAlignment="1">
      <alignment horizontal="right" vertical="center"/>
    </xf>
    <xf numFmtId="10" fontId="87" fillId="0" borderId="23" xfId="2" applyNumberFormat="1" applyFont="1" applyFill="1" applyBorder="1" applyAlignment="1">
      <alignment horizontal="left" vertical="center" shrinkToFit="1"/>
    </xf>
    <xf numFmtId="10" fontId="87" fillId="0" borderId="31" xfId="2" applyNumberFormat="1" applyFont="1" applyFill="1" applyBorder="1" applyAlignment="1">
      <alignment horizontal="left" vertical="center" shrinkToFit="1"/>
    </xf>
    <xf numFmtId="0" fontId="87" fillId="17" borderId="120" xfId="0" applyFont="1" applyFill="1" applyBorder="1" applyAlignment="1">
      <alignment horizontal="left" vertical="center" shrinkToFit="1"/>
    </xf>
    <xf numFmtId="192" fontId="109" fillId="17" borderId="120" xfId="0" applyNumberFormat="1" applyFont="1" applyFill="1" applyBorder="1" applyAlignment="1">
      <alignment vertical="center" shrinkToFit="1"/>
    </xf>
    <xf numFmtId="10" fontId="87" fillId="17" borderId="23" xfId="0" applyNumberFormat="1" applyFont="1" applyFill="1" applyBorder="1" applyAlignment="1">
      <alignment horizontal="center" vertical="center"/>
    </xf>
    <xf numFmtId="38" fontId="87" fillId="17" borderId="23" xfId="0" applyNumberFormat="1" applyFont="1" applyFill="1" applyBorder="1" applyAlignment="1">
      <alignment horizontal="right" vertical="center"/>
    </xf>
    <xf numFmtId="10" fontId="87" fillId="17" borderId="95" xfId="0" applyNumberFormat="1" applyFont="1" applyFill="1" applyBorder="1" applyAlignment="1">
      <alignment horizontal="left" vertical="center" shrinkToFit="1"/>
    </xf>
    <xf numFmtId="10" fontId="87" fillId="17" borderId="99" xfId="0" applyNumberFormat="1" applyFont="1" applyFill="1" applyBorder="1" applyAlignment="1">
      <alignment horizontal="left" vertical="center" shrinkToFit="1"/>
    </xf>
    <xf numFmtId="0" fontId="87" fillId="17" borderId="121" xfId="0" applyFont="1" applyFill="1" applyBorder="1" applyAlignment="1">
      <alignment horizontal="left" vertical="center" shrinkToFit="1"/>
    </xf>
    <xf numFmtId="192" fontId="109" fillId="17" borderId="121" xfId="0" applyNumberFormat="1" applyFont="1" applyFill="1" applyBorder="1" applyAlignment="1">
      <alignment vertical="center" shrinkToFit="1"/>
    </xf>
    <xf numFmtId="0" fontId="78" fillId="17" borderId="95" xfId="0" applyFont="1" applyFill="1" applyBorder="1" applyAlignment="1">
      <alignment horizontal="left" vertical="center" shrinkToFit="1"/>
    </xf>
    <xf numFmtId="191" fontId="78" fillId="17" borderId="95" xfId="0" applyNumberFormat="1" applyFont="1" applyFill="1" applyBorder="1" applyAlignment="1">
      <alignment vertical="center" shrinkToFit="1"/>
    </xf>
    <xf numFmtId="10" fontId="78" fillId="17" borderId="23" xfId="0" applyNumberFormat="1" applyFont="1" applyFill="1" applyBorder="1" applyAlignment="1">
      <alignment horizontal="right" vertical="center" shrinkToFit="1"/>
    </xf>
    <xf numFmtId="38" fontId="91" fillId="17" borderId="23" xfId="0" applyNumberFormat="1" applyFont="1" applyFill="1" applyBorder="1" applyAlignment="1">
      <alignment horizontal="right" vertical="center"/>
    </xf>
    <xf numFmtId="191" fontId="78" fillId="0" borderId="23" xfId="0" applyNumberFormat="1" applyFont="1" applyFill="1" applyBorder="1" applyAlignment="1">
      <alignment vertical="center" shrinkToFit="1"/>
    </xf>
    <xf numFmtId="10" fontId="82" fillId="0" borderId="23" xfId="0" applyNumberFormat="1" applyFont="1" applyFill="1" applyBorder="1" applyAlignment="1">
      <alignment horizontal="right" vertical="center" shrinkToFit="1"/>
    </xf>
    <xf numFmtId="38" fontId="78" fillId="0" borderId="91" xfId="0" applyNumberFormat="1" applyFont="1" applyFill="1" applyBorder="1" applyAlignment="1">
      <alignment horizontal="right" vertical="center" shrinkToFit="1"/>
    </xf>
    <xf numFmtId="9" fontId="78" fillId="0" borderId="23" xfId="0" applyNumberFormat="1" applyFont="1" applyFill="1" applyBorder="1" applyAlignment="1">
      <alignment horizontal="right" vertical="center" shrinkToFit="1"/>
    </xf>
    <xf numFmtId="0" fontId="82" fillId="30" borderId="121" xfId="0" applyFont="1" applyFill="1" applyBorder="1" applyAlignment="1">
      <alignment vertical="center" shrinkToFit="1"/>
    </xf>
    <xf numFmtId="0" fontId="82" fillId="32" borderId="23" xfId="0" applyFont="1" applyFill="1" applyBorder="1" applyAlignment="1">
      <alignment horizontal="left" vertical="center" shrinkToFit="1"/>
    </xf>
    <xf numFmtId="192" fontId="78" fillId="0" borderId="23" xfId="0" applyNumberFormat="1" applyFont="1" applyFill="1" applyBorder="1" applyAlignment="1">
      <alignment vertical="center" shrinkToFit="1"/>
    </xf>
    <xf numFmtId="38" fontId="87" fillId="32" borderId="23" xfId="0" applyNumberFormat="1" applyFont="1" applyFill="1" applyBorder="1" applyAlignment="1">
      <alignment horizontal="right" vertical="center"/>
    </xf>
    <xf numFmtId="0" fontId="82" fillId="30" borderId="95" xfId="0" applyFont="1" applyFill="1" applyBorder="1" applyAlignment="1">
      <alignment vertical="center" shrinkToFit="1"/>
    </xf>
    <xf numFmtId="0" fontId="110" fillId="32" borderId="23" xfId="0" applyFont="1" applyFill="1" applyBorder="1" applyAlignment="1">
      <alignment horizontal="left" vertical="center" shrinkToFit="1"/>
    </xf>
    <xf numFmtId="0" fontId="78" fillId="30" borderId="201" xfId="0" applyFont="1" applyFill="1" applyBorder="1" applyAlignment="1">
      <alignment horizontal="center" vertical="center" shrinkToFit="1"/>
    </xf>
    <xf numFmtId="0" fontId="82" fillId="30" borderId="120" xfId="0" applyFont="1" applyFill="1" applyBorder="1" applyAlignment="1">
      <alignment horizontal="left" vertical="center" shrinkToFit="1"/>
    </xf>
    <xf numFmtId="191" fontId="78" fillId="0" borderId="120" xfId="0" applyNumberFormat="1" applyFont="1" applyFill="1" applyBorder="1" applyAlignment="1">
      <alignment vertical="center" shrinkToFit="1"/>
    </xf>
    <xf numFmtId="10" fontId="78" fillId="0" borderId="120" xfId="0" applyNumberFormat="1" applyFont="1" applyFill="1" applyBorder="1" applyAlignment="1">
      <alignment horizontal="right" vertical="center" shrinkToFit="1"/>
    </xf>
    <xf numFmtId="0" fontId="78" fillId="0" borderId="287" xfId="0" applyFont="1" applyFill="1" applyBorder="1" applyAlignment="1">
      <alignment horizontal="center" vertical="center" shrinkToFit="1"/>
    </xf>
    <xf numFmtId="0" fontId="78" fillId="30" borderId="288" xfId="0" applyFont="1" applyFill="1" applyBorder="1" applyAlignment="1">
      <alignment horizontal="center" vertical="center" shrinkToFit="1"/>
    </xf>
    <xf numFmtId="0" fontId="78" fillId="30" borderId="289" xfId="0" applyFont="1" applyFill="1" applyBorder="1" applyAlignment="1">
      <alignment horizontal="left" vertical="center" shrinkToFit="1"/>
    </xf>
    <xf numFmtId="191" fontId="78" fillId="0" borderId="289" xfId="0" applyNumberFormat="1" applyFont="1" applyFill="1" applyBorder="1" applyAlignment="1">
      <alignment vertical="center" shrinkToFit="1"/>
    </xf>
    <xf numFmtId="38" fontId="78" fillId="0" borderId="289" xfId="0" applyNumberFormat="1" applyFont="1" applyFill="1" applyBorder="1" applyAlignment="1">
      <alignment horizontal="right" vertical="center"/>
    </xf>
    <xf numFmtId="38" fontId="78" fillId="0" borderId="289" xfId="0" applyNumberFormat="1" applyFont="1" applyFill="1" applyBorder="1" applyAlignment="1">
      <alignment horizontal="right" vertical="center" shrinkToFit="1"/>
    </xf>
    <xf numFmtId="38" fontId="78" fillId="0" borderId="33" xfId="0" applyNumberFormat="1" applyFont="1" applyFill="1" applyBorder="1" applyAlignment="1">
      <alignment horizontal="right" vertical="center" shrinkToFit="1"/>
    </xf>
    <xf numFmtId="0" fontId="78" fillId="0" borderId="240" xfId="0" applyFont="1" applyFill="1" applyBorder="1" applyAlignment="1">
      <alignment horizontal="right" vertical="center"/>
    </xf>
    <xf numFmtId="0" fontId="78" fillId="0" borderId="241" xfId="0" applyFont="1" applyFill="1" applyBorder="1" applyAlignment="1">
      <alignment horizontal="right" vertical="center"/>
    </xf>
    <xf numFmtId="0" fontId="78" fillId="0" borderId="241" xfId="0" applyFont="1" applyFill="1" applyBorder="1" applyAlignment="1">
      <alignment horizontal="left" vertical="center"/>
    </xf>
    <xf numFmtId="0" fontId="78" fillId="0" borderId="242" xfId="0" applyFont="1" applyFill="1" applyBorder="1" applyAlignment="1">
      <alignment horizontal="left" vertical="center"/>
    </xf>
    <xf numFmtId="0" fontId="78" fillId="0" borderId="242" xfId="0" applyFont="1" applyFill="1" applyBorder="1" applyAlignment="1">
      <alignment horizontal="right" vertical="center"/>
    </xf>
    <xf numFmtId="38" fontId="78" fillId="0" borderId="242" xfId="0" applyNumberFormat="1" applyFont="1" applyFill="1" applyBorder="1" applyAlignment="1">
      <alignment horizontal="right" vertical="center" shrinkToFit="1"/>
    </xf>
    <xf numFmtId="38" fontId="78" fillId="0" borderId="243" xfId="0" applyNumberFormat="1" applyFont="1" applyFill="1" applyBorder="1" applyAlignment="1">
      <alignment horizontal="right" vertical="center" shrinkToFit="1"/>
    </xf>
    <xf numFmtId="0" fontId="78" fillId="0" borderId="283" xfId="0" applyFont="1" applyFill="1" applyBorder="1" applyAlignment="1">
      <alignment horizontal="right" vertical="center"/>
    </xf>
    <xf numFmtId="0" fontId="78" fillId="0" borderId="258" xfId="0" applyFont="1" applyFill="1" applyBorder="1" applyAlignment="1">
      <alignment horizontal="right" vertical="center"/>
    </xf>
    <xf numFmtId="0" fontId="78" fillId="0" borderId="258" xfId="0" applyFont="1" applyFill="1" applyBorder="1" applyAlignment="1">
      <alignment horizontal="left" vertical="center"/>
    </xf>
    <xf numFmtId="0" fontId="78" fillId="0" borderId="89" xfId="0" applyFont="1" applyFill="1" applyBorder="1" applyAlignment="1">
      <alignment horizontal="left" vertical="center"/>
    </xf>
    <xf numFmtId="0" fontId="78" fillId="0" borderId="89" xfId="0" applyFont="1" applyFill="1" applyBorder="1" applyAlignment="1">
      <alignment horizontal="right" vertical="center"/>
    </xf>
    <xf numFmtId="38" fontId="78" fillId="0" borderId="100" xfId="0" applyNumberFormat="1" applyFont="1" applyFill="1" applyBorder="1" applyAlignment="1">
      <alignment horizontal="right" vertical="center" shrinkToFit="1"/>
    </xf>
    <xf numFmtId="0" fontId="103" fillId="0" borderId="231" xfId="0" applyFont="1" applyFill="1" applyBorder="1" applyAlignment="1">
      <alignment horizontal="center" vertical="center" wrapText="1"/>
    </xf>
    <xf numFmtId="0" fontId="78" fillId="0" borderId="232" xfId="0" applyFont="1" applyFill="1" applyBorder="1" applyAlignment="1">
      <alignment horizontal="center" vertical="center" shrinkToFit="1"/>
    </xf>
    <xf numFmtId="0" fontId="87" fillId="0" borderId="89" xfId="0" applyFont="1" applyFill="1" applyBorder="1" applyAlignment="1">
      <alignment horizontal="center" vertical="center" wrapText="1"/>
    </xf>
    <xf numFmtId="0" fontId="78" fillId="0" borderId="89" xfId="0" applyFont="1" applyFill="1" applyBorder="1" applyAlignment="1">
      <alignment horizontal="center" vertical="center"/>
    </xf>
    <xf numFmtId="0" fontId="78" fillId="0" borderId="89" xfId="0" applyFont="1" applyFill="1" applyBorder="1" applyAlignment="1">
      <alignment horizontal="center" vertical="center" shrinkToFit="1"/>
    </xf>
    <xf numFmtId="0" fontId="78" fillId="0" borderId="100" xfId="0" applyFont="1" applyFill="1" applyBorder="1" applyAlignment="1">
      <alignment horizontal="center" vertical="center" shrinkToFit="1"/>
    </xf>
    <xf numFmtId="0" fontId="78" fillId="0" borderId="177" xfId="0" applyFont="1" applyFill="1" applyBorder="1" applyAlignment="1">
      <alignment horizontal="right" vertical="center"/>
    </xf>
    <xf numFmtId="0" fontId="78" fillId="0" borderId="178" xfId="0" applyFont="1" applyFill="1" applyBorder="1" applyAlignment="1">
      <alignment horizontal="right" vertical="center"/>
    </xf>
    <xf numFmtId="0" fontId="78" fillId="0" borderId="233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center" vertical="center"/>
    </xf>
    <xf numFmtId="38" fontId="78" fillId="0" borderId="82" xfId="0" applyNumberFormat="1" applyFont="1" applyFill="1" applyBorder="1" applyAlignment="1">
      <alignment horizontal="right" vertical="center"/>
    </xf>
    <xf numFmtId="38" fontId="78" fillId="0" borderId="200" xfId="0" applyNumberFormat="1" applyFont="1" applyFill="1" applyBorder="1" applyAlignment="1">
      <alignment horizontal="right" vertical="center"/>
    </xf>
    <xf numFmtId="0" fontId="111" fillId="0" borderId="140" xfId="0" applyFont="1" applyFill="1" applyBorder="1" applyAlignment="1">
      <alignment horizontal="left" vertical="center"/>
    </xf>
    <xf numFmtId="0" fontId="78" fillId="0" borderId="23" xfId="0" applyFont="1" applyFill="1" applyBorder="1" applyAlignment="1">
      <alignment horizontal="left" vertical="center"/>
    </xf>
    <xf numFmtId="38" fontId="78" fillId="25" borderId="23" xfId="0" applyNumberFormat="1" applyFont="1" applyFill="1" applyBorder="1" applyAlignment="1">
      <alignment horizontal="right" vertical="center"/>
    </xf>
    <xf numFmtId="0" fontId="93" fillId="0" borderId="285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center" vertical="center"/>
    </xf>
    <xf numFmtId="0" fontId="78" fillId="0" borderId="231" xfId="0" applyFont="1" applyFill="1" applyBorder="1" applyAlignment="1">
      <alignment horizontal="right" vertical="center"/>
    </xf>
    <xf numFmtId="0" fontId="90" fillId="0" borderId="89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center" vertical="center" shrinkToFit="1"/>
    </xf>
    <xf numFmtId="0" fontId="91" fillId="25" borderId="82" xfId="0" applyFont="1" applyFill="1" applyBorder="1" applyAlignment="1">
      <alignment horizontal="left" vertical="center" shrinkToFit="1"/>
    </xf>
    <xf numFmtId="0" fontId="78" fillId="0" borderId="82" xfId="0" applyFont="1" applyFill="1" applyBorder="1" applyAlignment="1">
      <alignment vertical="center" shrinkToFit="1"/>
    </xf>
    <xf numFmtId="10" fontId="78" fillId="0" borderId="231" xfId="0" quotePrefix="1" applyNumberFormat="1" applyFont="1" applyFill="1" applyBorder="1" applyAlignment="1">
      <alignment horizontal="right" vertical="center" shrinkToFit="1"/>
    </xf>
    <xf numFmtId="38" fontId="91" fillId="25" borderId="82" xfId="0" applyNumberFormat="1" applyFont="1" applyFill="1" applyBorder="1" applyAlignment="1">
      <alignment horizontal="right" vertical="center" shrinkToFit="1"/>
    </xf>
    <xf numFmtId="38" fontId="91" fillId="25" borderId="200" xfId="0" applyNumberFormat="1" applyFont="1" applyFill="1" applyBorder="1" applyAlignment="1">
      <alignment horizontal="right" vertical="center" shrinkToFit="1"/>
    </xf>
    <xf numFmtId="0" fontId="78" fillId="0" borderId="23" xfId="0" applyFont="1" applyFill="1" applyBorder="1" applyAlignment="1">
      <alignment horizontal="right" vertical="center"/>
    </xf>
    <xf numFmtId="10" fontId="91" fillId="25" borderId="23" xfId="0" quotePrefix="1" applyNumberFormat="1" applyFont="1" applyFill="1" applyBorder="1" applyAlignment="1">
      <alignment horizontal="right" vertical="center" shrinkToFit="1"/>
    </xf>
    <xf numFmtId="0" fontId="78" fillId="0" borderId="23" xfId="0" applyNumberFormat="1" applyFont="1" applyFill="1" applyBorder="1" applyAlignment="1">
      <alignment vertical="center" shrinkToFit="1"/>
    </xf>
    <xf numFmtId="0" fontId="78" fillId="0" borderId="23" xfId="0" applyFont="1" applyFill="1" applyBorder="1" applyAlignment="1">
      <alignment horizontal="right" vertical="center" shrinkToFit="1"/>
    </xf>
    <xf numFmtId="0" fontId="91" fillId="25" borderId="23" xfId="0" quotePrefix="1" applyFont="1" applyFill="1" applyBorder="1" applyAlignment="1">
      <alignment vertical="center"/>
    </xf>
    <xf numFmtId="0" fontId="87" fillId="0" borderId="23" xfId="0" applyFont="1" applyFill="1" applyBorder="1" applyAlignment="1">
      <alignment horizontal="left" vertical="center"/>
    </xf>
    <xf numFmtId="0" fontId="78" fillId="0" borderId="23" xfId="0" applyFont="1" applyFill="1" applyBorder="1" applyAlignment="1">
      <alignment vertical="center" shrinkToFit="1"/>
    </xf>
    <xf numFmtId="0" fontId="78" fillId="0" borderId="23" xfId="0" applyFont="1" applyFill="1" applyBorder="1" applyAlignment="1">
      <alignment horizontal="left" vertical="center" shrinkToFit="1"/>
    </xf>
    <xf numFmtId="0" fontId="78" fillId="0" borderId="120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left" vertical="center" shrinkToFit="1"/>
    </xf>
    <xf numFmtId="9" fontId="78" fillId="0" borderId="85" xfId="0" applyNumberFormat="1" applyFont="1" applyFill="1" applyBorder="1" applyAlignment="1">
      <alignment horizontal="right" vertical="center" shrinkToFit="1"/>
    </xf>
    <xf numFmtId="0" fontId="78" fillId="0" borderId="229" xfId="0" applyFont="1" applyFill="1" applyBorder="1" applyAlignment="1">
      <alignment horizontal="right" vertical="center"/>
    </xf>
    <xf numFmtId="0" fontId="78" fillId="0" borderId="231" xfId="0" applyFont="1" applyFill="1" applyBorder="1" applyAlignment="1">
      <alignment horizontal="right" vertical="center" shrinkToFit="1"/>
    </xf>
    <xf numFmtId="0" fontId="78" fillId="0" borderId="82" xfId="0" applyFont="1" applyFill="1" applyBorder="1" applyAlignment="1">
      <alignment horizontal="right" vertical="center" shrinkToFit="1"/>
    </xf>
    <xf numFmtId="0" fontId="90" fillId="0" borderId="89" xfId="0" applyFont="1" applyFill="1" applyBorder="1" applyAlignment="1">
      <alignment horizontal="left" vertical="center" shrinkToFit="1"/>
    </xf>
    <xf numFmtId="0" fontId="78" fillId="0" borderId="85" xfId="0" applyFont="1" applyFill="1" applyBorder="1" applyAlignment="1">
      <alignment horizontal="right" vertical="center" shrinkToFit="1"/>
    </xf>
    <xf numFmtId="0" fontId="78" fillId="0" borderId="95" xfId="0" applyFont="1" applyFill="1" applyBorder="1" applyAlignment="1">
      <alignment horizontal="center" vertical="center" shrinkToFit="1"/>
    </xf>
    <xf numFmtId="0" fontId="78" fillId="0" borderId="95" xfId="0" quotePrefix="1" applyFont="1" applyFill="1" applyBorder="1" applyAlignment="1">
      <alignment horizontal="left" vertical="center" shrinkToFit="1"/>
    </xf>
    <xf numFmtId="10" fontId="78" fillId="0" borderId="82" xfId="0" applyNumberFormat="1" applyFont="1" applyFill="1" applyBorder="1" applyAlignment="1">
      <alignment horizontal="right" vertical="center" shrinkToFit="1"/>
    </xf>
    <xf numFmtId="0" fontId="78" fillId="0" borderId="23" xfId="0" applyFont="1" applyFill="1" applyBorder="1" applyAlignment="1">
      <alignment vertical="center"/>
    </xf>
    <xf numFmtId="0" fontId="78" fillId="0" borderId="23" xfId="0" quotePrefix="1" applyFont="1" applyFill="1" applyBorder="1" applyAlignment="1">
      <alignment vertical="center"/>
    </xf>
    <xf numFmtId="0" fontId="78" fillId="0" borderId="82" xfId="0" applyFont="1" applyFill="1" applyBorder="1" applyAlignment="1">
      <alignment horizontal="right" vertical="center"/>
    </xf>
    <xf numFmtId="0" fontId="78" fillId="0" borderId="142" xfId="0" applyFont="1" applyFill="1" applyBorder="1" applyAlignment="1">
      <alignment horizontal="left" vertical="center"/>
    </xf>
    <xf numFmtId="0" fontId="78" fillId="0" borderId="294" xfId="0" applyFont="1" applyFill="1" applyBorder="1" applyAlignment="1">
      <alignment horizontal="right" vertical="center"/>
    </xf>
    <xf numFmtId="0" fontId="78" fillId="0" borderId="295" xfId="0" applyFont="1" applyFill="1" applyBorder="1" applyAlignment="1">
      <alignment horizontal="right" vertical="center"/>
    </xf>
    <xf numFmtId="0" fontId="78" fillId="0" borderId="295" xfId="0" applyFont="1" applyFill="1" applyBorder="1" applyAlignment="1">
      <alignment horizontal="left" vertical="center"/>
    </xf>
    <xf numFmtId="0" fontId="78" fillId="0" borderId="289" xfId="0" applyFont="1" applyFill="1" applyBorder="1" applyAlignment="1">
      <alignment horizontal="left" vertical="center"/>
    </xf>
    <xf numFmtId="0" fontId="78" fillId="0" borderId="289" xfId="0" applyFont="1" applyFill="1" applyBorder="1" applyAlignment="1">
      <alignment horizontal="right" vertical="center"/>
    </xf>
    <xf numFmtId="0" fontId="78" fillId="0" borderId="121" xfId="0" applyFont="1" applyFill="1" applyBorder="1" applyAlignment="1">
      <alignment horizontal="right" vertical="center"/>
    </xf>
    <xf numFmtId="38" fontId="78" fillId="0" borderId="121" xfId="0" applyNumberFormat="1" applyFont="1" applyFill="1" applyBorder="1" applyAlignment="1">
      <alignment horizontal="right" vertical="center"/>
    </xf>
    <xf numFmtId="38" fontId="78" fillId="0" borderId="121" xfId="0" applyNumberFormat="1" applyFont="1" applyFill="1" applyBorder="1" applyAlignment="1">
      <alignment horizontal="right" vertical="center" shrinkToFit="1"/>
    </xf>
    <xf numFmtId="38" fontId="78" fillId="0" borderId="204" xfId="0" applyNumberFormat="1" applyFont="1" applyFill="1" applyBorder="1" applyAlignment="1">
      <alignment horizontal="right" vertical="center" shrinkToFit="1"/>
    </xf>
    <xf numFmtId="176" fontId="87" fillId="0" borderId="23" xfId="0" applyNumberFormat="1" applyFont="1" applyFill="1" applyBorder="1" applyAlignment="1">
      <alignment vertical="center"/>
    </xf>
    <xf numFmtId="0" fontId="87" fillId="0" borderId="115" xfId="0" applyFont="1" applyFill="1" applyBorder="1" applyAlignment="1">
      <alignment vertical="center"/>
    </xf>
    <xf numFmtId="0" fontId="87" fillId="0" borderId="23" xfId="0" applyFont="1" applyFill="1" applyBorder="1" applyAlignment="1">
      <alignment vertical="center"/>
    </xf>
    <xf numFmtId="38" fontId="87" fillId="0" borderId="23" xfId="0" applyNumberFormat="1" applyFont="1" applyFill="1" applyBorder="1" applyAlignment="1">
      <alignment vertical="center"/>
    </xf>
    <xf numFmtId="38" fontId="87" fillId="0" borderId="23" xfId="0" applyNumberFormat="1" applyFont="1" applyFill="1" applyBorder="1" applyAlignment="1">
      <alignment vertical="center" shrinkToFit="1"/>
    </xf>
    <xf numFmtId="38" fontId="87" fillId="0" borderId="31" xfId="0" applyNumberFormat="1" applyFont="1" applyFill="1" applyBorder="1" applyAlignment="1">
      <alignment vertical="center" shrinkToFit="1"/>
    </xf>
    <xf numFmtId="0" fontId="87" fillId="0" borderId="283" xfId="0" applyFont="1" applyFill="1" applyBorder="1" applyAlignment="1">
      <alignment vertical="center"/>
    </xf>
    <xf numFmtId="0" fontId="87" fillId="0" borderId="258" xfId="0" applyFont="1" applyFill="1" applyBorder="1" applyAlignment="1">
      <alignment vertical="center"/>
    </xf>
    <xf numFmtId="0" fontId="87" fillId="0" borderId="89" xfId="0" applyFont="1" applyFill="1" applyBorder="1" applyAlignment="1">
      <alignment vertical="center"/>
    </xf>
    <xf numFmtId="176" fontId="87" fillId="0" borderId="89" xfId="0" applyNumberFormat="1" applyFont="1" applyFill="1" applyBorder="1" applyAlignment="1">
      <alignment vertical="center"/>
    </xf>
    <xf numFmtId="176" fontId="87" fillId="0" borderId="89" xfId="0" applyNumberFormat="1" applyFont="1" applyFill="1" applyBorder="1" applyAlignment="1">
      <alignment vertical="center" shrinkToFit="1"/>
    </xf>
    <xf numFmtId="176" fontId="87" fillId="0" borderId="100" xfId="0" applyNumberFormat="1" applyFont="1" applyFill="1" applyBorder="1" applyAlignment="1">
      <alignment vertical="center" shrinkToFit="1"/>
    </xf>
    <xf numFmtId="0" fontId="87" fillId="0" borderId="225" xfId="0" applyFont="1" applyFill="1" applyBorder="1" applyAlignment="1">
      <alignment vertical="center"/>
    </xf>
    <xf numFmtId="176" fontId="87" fillId="0" borderId="225" xfId="0" applyNumberFormat="1" applyFont="1" applyFill="1" applyBorder="1" applyAlignment="1">
      <alignment vertical="center"/>
    </xf>
    <xf numFmtId="176" fontId="87" fillId="0" borderId="225" xfId="0" applyNumberFormat="1" applyFont="1" applyFill="1" applyBorder="1" applyAlignment="1">
      <alignment vertical="center" shrinkToFit="1"/>
    </xf>
    <xf numFmtId="0" fontId="87" fillId="0" borderId="125" xfId="0" applyFont="1" applyBorder="1" applyAlignment="1">
      <alignment vertical="center"/>
    </xf>
    <xf numFmtId="0" fontId="87" fillId="0" borderId="297" xfId="0" applyFont="1" applyBorder="1" applyAlignment="1">
      <alignment vertical="center"/>
    </xf>
    <xf numFmtId="0" fontId="89" fillId="0" borderId="51" xfId="0" applyFont="1" applyBorder="1" applyAlignment="1">
      <alignment vertical="center"/>
    </xf>
    <xf numFmtId="0" fontId="87" fillId="0" borderId="124" xfId="0" applyFont="1" applyBorder="1" applyAlignment="1">
      <alignment vertical="center"/>
    </xf>
    <xf numFmtId="0" fontId="87" fillId="0" borderId="111" xfId="0" applyFont="1" applyBorder="1" applyAlignment="1">
      <alignment horizontal="center" vertical="center" shrinkToFit="1"/>
    </xf>
    <xf numFmtId="193" fontId="87" fillId="0" borderId="111" xfId="0" applyNumberFormat="1" applyFont="1" applyFill="1" applyBorder="1" applyAlignment="1">
      <alignment horizontal="center" vertical="center"/>
    </xf>
    <xf numFmtId="193" fontId="87" fillId="0" borderId="59" xfId="0" applyNumberFormat="1" applyFont="1" applyFill="1" applyBorder="1" applyAlignment="1">
      <alignment horizontal="center" vertical="center"/>
    </xf>
    <xf numFmtId="193" fontId="87" fillId="0" borderId="0" xfId="0" applyNumberFormat="1" applyFont="1" applyFill="1" applyBorder="1" applyAlignment="1">
      <alignment horizontal="center" vertical="center"/>
    </xf>
    <xf numFmtId="0" fontId="97" fillId="0" borderId="52" xfId="0" applyFont="1" applyBorder="1" applyAlignment="1">
      <alignment vertical="center" shrinkToFit="1"/>
    </xf>
    <xf numFmtId="0" fontId="87" fillId="0" borderId="140" xfId="0" applyFont="1" applyBorder="1" applyAlignment="1">
      <alignment vertical="center"/>
    </xf>
    <xf numFmtId="0" fontId="87" fillId="0" borderId="23" xfId="0" applyFont="1" applyBorder="1" applyAlignment="1">
      <alignment horizontal="center" vertical="center"/>
    </xf>
    <xf numFmtId="192" fontId="87" fillId="17" borderId="23" xfId="0" applyNumberFormat="1" applyFont="1" applyFill="1" applyBorder="1" applyAlignment="1" applyProtection="1">
      <alignment horizontal="center" vertical="center"/>
    </xf>
    <xf numFmtId="192" fontId="87" fillId="17" borderId="60" xfId="0" applyNumberFormat="1" applyFont="1" applyFill="1" applyBorder="1" applyAlignment="1" applyProtection="1">
      <alignment horizontal="center" vertical="center"/>
    </xf>
    <xf numFmtId="192" fontId="87" fillId="0" borderId="0" xfId="0" applyNumberFormat="1" applyFont="1" applyFill="1" applyBorder="1" applyAlignment="1" applyProtection="1">
      <alignment horizontal="center" vertical="center"/>
    </xf>
    <xf numFmtId="0" fontId="87" fillId="0" borderId="139" xfId="0" applyFont="1" applyBorder="1" applyAlignment="1">
      <alignment vertical="center"/>
    </xf>
    <xf numFmtId="0" fontId="87" fillId="0" borderId="201" xfId="0" applyFont="1" applyBorder="1" applyAlignment="1">
      <alignment vertical="center"/>
    </xf>
    <xf numFmtId="192" fontId="87" fillId="0" borderId="23" xfId="2" applyNumberFormat="1" applyFont="1" applyBorder="1" applyAlignment="1" applyProtection="1">
      <alignment horizontal="center" vertical="center"/>
    </xf>
    <xf numFmtId="192" fontId="87" fillId="0" borderId="60" xfId="2" applyNumberFormat="1" applyFont="1" applyBorder="1" applyAlignment="1" applyProtection="1">
      <alignment horizontal="center" vertical="center"/>
    </xf>
    <xf numFmtId="192" fontId="87" fillId="0" borderId="0" xfId="2" applyNumberFormat="1" applyFont="1" applyFill="1" applyBorder="1" applyAlignment="1" applyProtection="1">
      <alignment horizontal="center" vertical="center"/>
    </xf>
    <xf numFmtId="0" fontId="87" fillId="0" borderId="141" xfId="0" applyFont="1" applyBorder="1" applyAlignment="1">
      <alignment vertical="center"/>
    </xf>
    <xf numFmtId="0" fontId="87" fillId="0" borderId="156" xfId="0" applyFont="1" applyBorder="1" applyAlignment="1">
      <alignment vertical="center"/>
    </xf>
    <xf numFmtId="2" fontId="87" fillId="0" borderId="23" xfId="0" applyNumberFormat="1" applyFont="1" applyBorder="1" applyAlignment="1" applyProtection="1">
      <alignment horizontal="center" vertical="center"/>
    </xf>
    <xf numFmtId="2" fontId="87" fillId="0" borderId="60" xfId="0" applyNumberFormat="1" applyFont="1" applyBorder="1" applyAlignment="1" applyProtection="1">
      <alignment horizontal="center" vertical="center"/>
    </xf>
    <xf numFmtId="2" fontId="87" fillId="0" borderId="0" xfId="0" applyNumberFormat="1" applyFont="1" applyFill="1" applyBorder="1" applyAlignment="1" applyProtection="1">
      <alignment horizontal="center" vertical="center"/>
    </xf>
    <xf numFmtId="2" fontId="87" fillId="31" borderId="23" xfId="0" applyNumberFormat="1" applyFont="1" applyFill="1" applyBorder="1" applyAlignment="1" applyProtection="1">
      <alignment horizontal="center" vertical="center"/>
    </xf>
    <xf numFmtId="2" fontId="87" fillId="31" borderId="60" xfId="0" applyNumberFormat="1" applyFont="1" applyFill="1" applyBorder="1" applyAlignment="1" applyProtection="1">
      <alignment horizontal="center" vertical="center"/>
    </xf>
    <xf numFmtId="2" fontId="87" fillId="31" borderId="135" xfId="0" applyNumberFormat="1" applyFont="1" applyFill="1" applyBorder="1" applyAlignment="1" applyProtection="1">
      <alignment horizontal="center" vertical="center"/>
    </xf>
    <xf numFmtId="2" fontId="87" fillId="31" borderId="315" xfId="0" applyNumberFormat="1" applyFont="1" applyFill="1" applyBorder="1" applyAlignment="1" applyProtection="1">
      <alignment horizontal="center" vertical="center"/>
    </xf>
    <xf numFmtId="0" fontId="87" fillId="31" borderId="0" xfId="0" applyFont="1" applyFill="1" applyBorder="1" applyAlignment="1">
      <alignment horizontal="left" vertical="center"/>
    </xf>
    <xf numFmtId="0" fontId="81" fillId="31" borderId="0" xfId="0" applyFont="1" applyFill="1" applyBorder="1" applyAlignment="1">
      <alignment horizontal="left" vertical="center"/>
    </xf>
    <xf numFmtId="2" fontId="87" fillId="31" borderId="0" xfId="0" applyNumberFormat="1" applyFont="1" applyFill="1" applyBorder="1" applyAlignment="1" applyProtection="1">
      <alignment horizontal="center" vertical="center"/>
    </xf>
    <xf numFmtId="0" fontId="87" fillId="0" borderId="125" xfId="0" applyFont="1" applyFill="1" applyBorder="1" applyAlignment="1">
      <alignment vertical="center"/>
    </xf>
    <xf numFmtId="0" fontId="87" fillId="0" borderId="297" xfId="0" applyFont="1" applyFill="1" applyBorder="1" applyAlignment="1">
      <alignment vertical="center"/>
    </xf>
    <xf numFmtId="0" fontId="89" fillId="0" borderId="51" xfId="0" applyFont="1" applyFill="1" applyBorder="1" applyAlignment="1">
      <alignment vertical="center"/>
    </xf>
    <xf numFmtId="0" fontId="87" fillId="0" borderId="124" xfId="0" applyFont="1" applyFill="1" applyBorder="1" applyAlignment="1">
      <alignment vertical="center"/>
    </xf>
    <xf numFmtId="0" fontId="87" fillId="0" borderId="111" xfId="0" applyFont="1" applyFill="1" applyBorder="1" applyAlignment="1">
      <alignment horizontal="center" vertical="center" shrinkToFit="1"/>
    </xf>
    <xf numFmtId="0" fontId="97" fillId="0" borderId="52" xfId="0" applyFont="1" applyFill="1" applyBorder="1" applyAlignment="1">
      <alignment vertical="center" shrinkToFit="1"/>
    </xf>
    <xf numFmtId="0" fontId="87" fillId="0" borderId="140" xfId="0" applyFont="1" applyFill="1" applyBorder="1" applyAlignment="1">
      <alignment vertical="center"/>
    </xf>
    <xf numFmtId="0" fontId="87" fillId="0" borderId="201" xfId="0" applyFont="1" applyFill="1" applyBorder="1" applyAlignment="1">
      <alignment vertical="center"/>
    </xf>
    <xf numFmtId="192" fontId="87" fillId="0" borderId="23" xfId="2" applyNumberFormat="1" applyFont="1" applyFill="1" applyBorder="1" applyAlignment="1" applyProtection="1">
      <alignment horizontal="center" vertical="center"/>
    </xf>
    <xf numFmtId="192" fontId="87" fillId="0" borderId="60" xfId="2" applyNumberFormat="1" applyFont="1" applyFill="1" applyBorder="1" applyAlignment="1" applyProtection="1">
      <alignment horizontal="center" vertical="center"/>
    </xf>
    <xf numFmtId="0" fontId="87" fillId="0" borderId="141" xfId="0" applyFont="1" applyFill="1" applyBorder="1" applyAlignment="1">
      <alignment vertical="center"/>
    </xf>
    <xf numFmtId="0" fontId="87" fillId="0" borderId="156" xfId="0" applyFont="1" applyFill="1" applyBorder="1" applyAlignment="1">
      <alignment vertical="center"/>
    </xf>
    <xf numFmtId="2" fontId="87" fillId="0" borderId="23" xfId="0" applyNumberFormat="1" applyFont="1" applyFill="1" applyBorder="1" applyAlignment="1" applyProtection="1">
      <alignment horizontal="center" vertical="center"/>
    </xf>
    <xf numFmtId="2" fontId="87" fillId="0" borderId="60" xfId="0" applyNumberFormat="1" applyFont="1" applyFill="1" applyBorder="1" applyAlignment="1" applyProtection="1">
      <alignment horizontal="center" vertical="center"/>
    </xf>
    <xf numFmtId="0" fontId="87" fillId="31" borderId="23" xfId="0" applyFont="1" applyFill="1" applyBorder="1" applyAlignment="1" applyProtection="1">
      <alignment horizontal="center" vertical="center"/>
    </xf>
    <xf numFmtId="0" fontId="87" fillId="31" borderId="60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 applyProtection="1">
      <alignment horizontal="center" vertical="center"/>
    </xf>
    <xf numFmtId="176" fontId="87" fillId="0" borderId="0" xfId="0" applyNumberFormat="1" applyFont="1" applyFill="1" applyBorder="1" applyAlignment="1">
      <alignment vertical="center"/>
    </xf>
    <xf numFmtId="176" fontId="87" fillId="0" borderId="0" xfId="0" applyNumberFormat="1" applyFont="1" applyFill="1" applyBorder="1" applyAlignment="1">
      <alignment vertical="center" shrinkToFit="1"/>
    </xf>
    <xf numFmtId="193" fontId="87" fillId="33" borderId="111" xfId="0" applyNumberFormat="1" applyFont="1" applyFill="1" applyBorder="1" applyAlignment="1">
      <alignment horizontal="center" vertical="center"/>
    </xf>
    <xf numFmtId="193" fontId="87" fillId="33" borderId="59" xfId="0" applyNumberFormat="1" applyFont="1" applyFill="1" applyBorder="1" applyAlignment="1">
      <alignment horizontal="center" vertical="center"/>
    </xf>
    <xf numFmtId="192" fontId="87" fillId="33" borderId="23" xfId="2" applyNumberFormat="1" applyFont="1" applyFill="1" applyBorder="1" applyAlignment="1" applyProtection="1">
      <alignment horizontal="center" vertical="center"/>
    </xf>
    <xf numFmtId="192" fontId="87" fillId="33" borderId="60" xfId="2" applyNumberFormat="1" applyFont="1" applyFill="1" applyBorder="1" applyAlignment="1" applyProtection="1">
      <alignment horizontal="center" vertical="center"/>
    </xf>
    <xf numFmtId="2" fontId="87" fillId="33" borderId="23" xfId="0" applyNumberFormat="1" applyFont="1" applyFill="1" applyBorder="1" applyAlignment="1" applyProtection="1">
      <alignment horizontal="center" vertical="center"/>
    </xf>
    <xf numFmtId="2" fontId="87" fillId="33" borderId="60" xfId="0" applyNumberFormat="1" applyFont="1" applyFill="1" applyBorder="1" applyAlignment="1" applyProtection="1">
      <alignment horizontal="center" vertical="center"/>
    </xf>
    <xf numFmtId="0" fontId="87" fillId="26" borderId="157" xfId="0" applyFont="1" applyFill="1" applyBorder="1" applyAlignment="1">
      <alignment vertical="center"/>
    </xf>
    <xf numFmtId="0" fontId="87" fillId="26" borderId="128" xfId="0" applyFont="1" applyFill="1" applyBorder="1" applyAlignment="1">
      <alignment vertical="center"/>
    </xf>
    <xf numFmtId="2" fontId="87" fillId="33" borderId="118" xfId="0" applyNumberFormat="1" applyFont="1" applyFill="1" applyBorder="1" applyAlignment="1" applyProtection="1">
      <alignment horizontal="center" vertical="center"/>
    </xf>
    <xf numFmtId="2" fontId="87" fillId="33" borderId="58" xfId="0" applyNumberFormat="1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horizontal="center" vertical="center" shrinkToFit="1"/>
    </xf>
    <xf numFmtId="0" fontId="87" fillId="26" borderId="127" xfId="0" applyFont="1" applyFill="1" applyBorder="1" applyAlignment="1">
      <alignment vertical="center"/>
    </xf>
    <xf numFmtId="0" fontId="87" fillId="33" borderId="118" xfId="0" applyFont="1" applyFill="1" applyBorder="1" applyAlignment="1" applyProtection="1">
      <alignment horizontal="center" vertical="center"/>
    </xf>
    <xf numFmtId="0" fontId="87" fillId="33" borderId="58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vertical="center" shrinkToFit="1"/>
    </xf>
    <xf numFmtId="193" fontId="87" fillId="0" borderId="51" xfId="0" applyNumberFormat="1" applyFont="1" applyFill="1" applyBorder="1" applyAlignment="1">
      <alignment horizontal="center" vertical="center"/>
    </xf>
    <xf numFmtId="193" fontId="87" fillId="0" borderId="299" xfId="0" applyNumberFormat="1" applyFont="1" applyFill="1" applyBorder="1" applyAlignment="1">
      <alignment horizontal="center" vertical="center"/>
    </xf>
    <xf numFmtId="0" fontId="87" fillId="33" borderId="0" xfId="0" applyFont="1" applyFill="1" applyAlignment="1">
      <alignment horizontal="center" vertical="center"/>
    </xf>
    <xf numFmtId="192" fontId="87" fillId="0" borderId="299" xfId="0" applyNumberFormat="1" applyFont="1" applyFill="1" applyBorder="1" applyAlignment="1" applyProtection="1">
      <alignment horizontal="center" vertical="center"/>
    </xf>
    <xf numFmtId="0" fontId="87" fillId="0" borderId="169" xfId="0" applyFont="1" applyFill="1" applyBorder="1" applyAlignment="1">
      <alignment vertical="center"/>
    </xf>
    <xf numFmtId="0" fontId="87" fillId="0" borderId="140" xfId="0" applyFont="1" applyFill="1" applyBorder="1" applyAlignment="1">
      <alignment horizontal="center" vertical="center"/>
    </xf>
    <xf numFmtId="192" fontId="87" fillId="33" borderId="52" xfId="2" applyNumberFormat="1" applyFont="1" applyFill="1" applyBorder="1" applyAlignment="1" applyProtection="1">
      <alignment horizontal="center" vertical="center"/>
    </xf>
    <xf numFmtId="192" fontId="87" fillId="0" borderId="299" xfId="2" applyNumberFormat="1" applyFont="1" applyFill="1" applyBorder="1" applyAlignment="1" applyProtection="1">
      <alignment horizontal="center" vertical="center"/>
    </xf>
    <xf numFmtId="0" fontId="81" fillId="0" borderId="0" xfId="0" applyFont="1" applyFill="1" applyAlignment="1">
      <alignment vertical="center"/>
    </xf>
    <xf numFmtId="2" fontId="87" fillId="0" borderId="299" xfId="0" applyNumberFormat="1" applyFont="1" applyFill="1" applyBorder="1" applyAlignment="1" applyProtection="1">
      <alignment horizontal="center" vertical="center"/>
    </xf>
    <xf numFmtId="0" fontId="87" fillId="17" borderId="127" xfId="0" applyFont="1" applyFill="1" applyBorder="1" applyAlignment="1">
      <alignment vertical="center"/>
    </xf>
    <xf numFmtId="0" fontId="87" fillId="17" borderId="128" xfId="0" applyFont="1" applyFill="1" applyBorder="1" applyAlignment="1">
      <alignment vertical="center"/>
    </xf>
    <xf numFmtId="0" fontId="87" fillId="33" borderId="195" xfId="0" applyFont="1" applyFill="1" applyBorder="1" applyAlignment="1" applyProtection="1">
      <alignment horizontal="center" vertical="center"/>
    </xf>
    <xf numFmtId="0" fontId="87" fillId="17" borderId="299" xfId="0" applyFont="1" applyFill="1" applyBorder="1" applyAlignment="1" applyProtection="1">
      <alignment horizontal="center" vertical="center"/>
    </xf>
    <xf numFmtId="0" fontId="87" fillId="17" borderId="0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center" vertical="center"/>
    </xf>
    <xf numFmtId="190" fontId="87" fillId="33" borderId="231" xfId="0" applyNumberFormat="1" applyFont="1" applyFill="1" applyBorder="1" applyAlignment="1">
      <alignment horizontal="center" shrinkToFit="1"/>
    </xf>
    <xf numFmtId="190" fontId="87" fillId="33" borderId="232" xfId="0" applyNumberFormat="1" applyFont="1" applyFill="1" applyBorder="1" applyAlignment="1">
      <alignment horizontal="center" shrinkToFit="1"/>
    </xf>
    <xf numFmtId="190" fontId="78" fillId="33" borderId="23" xfId="0" applyNumberFormat="1" applyFont="1" applyFill="1" applyBorder="1" applyAlignment="1">
      <alignment horizontal="center" shrinkToFit="1"/>
    </xf>
    <xf numFmtId="190" fontId="78" fillId="33" borderId="98" xfId="0" applyNumberFormat="1" applyFont="1" applyFill="1" applyBorder="1" applyAlignment="1">
      <alignment horizontal="center" shrinkToFit="1"/>
    </xf>
    <xf numFmtId="38" fontId="83" fillId="33" borderId="23" xfId="0" applyNumberFormat="1" applyFont="1" applyFill="1" applyBorder="1" applyAlignment="1">
      <alignment horizontal="center" shrinkToFit="1"/>
    </xf>
    <xf numFmtId="38" fontId="83" fillId="33" borderId="31" xfId="0" applyNumberFormat="1" applyFont="1" applyFill="1" applyBorder="1" applyAlignment="1">
      <alignment horizontal="center" shrinkToFit="1"/>
    </xf>
    <xf numFmtId="38" fontId="87" fillId="33" borderId="95" xfId="0" applyNumberFormat="1" applyFont="1" applyFill="1" applyBorder="1" applyAlignment="1">
      <alignment horizontal="center" vertical="center" shrinkToFit="1"/>
    </xf>
    <xf numFmtId="38" fontId="87" fillId="33" borderId="99" xfId="0" applyNumberFormat="1" applyFont="1" applyFill="1" applyBorder="1" applyAlignment="1">
      <alignment horizontal="center" vertical="center" shrinkToFit="1"/>
    </xf>
    <xf numFmtId="38" fontId="87" fillId="33" borderId="89" xfId="0" applyNumberFormat="1" applyFont="1" applyFill="1" applyBorder="1" applyAlignment="1">
      <alignment horizontal="center" vertical="center" shrinkToFit="1"/>
    </xf>
    <xf numFmtId="38" fontId="87" fillId="33" borderId="100" xfId="0" applyNumberFormat="1" applyFont="1" applyFill="1" applyBorder="1" applyAlignment="1">
      <alignment horizontal="center" vertical="center" shrinkToFit="1"/>
    </xf>
    <xf numFmtId="179" fontId="78" fillId="33" borderId="151" xfId="0" applyNumberFormat="1" applyFont="1" applyFill="1" applyBorder="1" applyAlignment="1">
      <alignment shrinkToFit="1"/>
    </xf>
    <xf numFmtId="179" fontId="78" fillId="33" borderId="152" xfId="0" applyNumberFormat="1" applyFont="1" applyFill="1" applyBorder="1" applyAlignment="1">
      <alignment shrinkToFit="1"/>
    </xf>
    <xf numFmtId="179" fontId="78" fillId="33" borderId="95" xfId="0" applyNumberFormat="1" applyFont="1" applyFill="1" applyBorder="1" applyAlignment="1">
      <alignment shrinkToFit="1"/>
    </xf>
    <xf numFmtId="179" fontId="78" fillId="33" borderId="99" xfId="0" applyNumberFormat="1" applyFont="1" applyFill="1" applyBorder="1" applyAlignment="1">
      <alignment shrinkToFit="1"/>
    </xf>
    <xf numFmtId="179" fontId="78" fillId="33" borderId="120" xfId="0" applyNumberFormat="1" applyFont="1" applyFill="1" applyBorder="1" applyAlignment="1">
      <alignment shrinkToFit="1"/>
    </xf>
    <xf numFmtId="179" fontId="78" fillId="33" borderId="122" xfId="0" applyNumberFormat="1" applyFont="1" applyFill="1" applyBorder="1" applyAlignment="1">
      <alignment shrinkToFit="1"/>
    </xf>
    <xf numFmtId="38" fontId="78" fillId="33" borderId="82" xfId="0" applyNumberFormat="1" applyFont="1" applyFill="1" applyBorder="1" applyAlignment="1">
      <alignment horizontal="right" vertical="center" shrinkToFit="1"/>
    </xf>
    <xf numFmtId="38" fontId="78" fillId="33" borderId="200" xfId="0" applyNumberFormat="1" applyFont="1" applyFill="1" applyBorder="1" applyAlignment="1">
      <alignment horizontal="right" vertical="center" shrinkToFit="1"/>
    </xf>
    <xf numFmtId="38" fontId="78" fillId="33" borderId="23" xfId="0" applyNumberFormat="1" applyFont="1" applyFill="1" applyBorder="1" applyAlignment="1">
      <alignment horizontal="right" vertical="center" shrinkToFit="1"/>
    </xf>
    <xf numFmtId="38" fontId="78" fillId="33" borderId="31" xfId="0" applyNumberFormat="1" applyFont="1" applyFill="1" applyBorder="1" applyAlignment="1">
      <alignment horizontal="right" vertical="center" shrinkToFit="1"/>
    </xf>
    <xf numFmtId="38" fontId="78" fillId="33" borderId="23" xfId="0" applyNumberFormat="1" applyFont="1" applyFill="1" applyBorder="1" applyAlignment="1">
      <alignment horizontal="right" shrinkToFit="1"/>
    </xf>
    <xf numFmtId="38" fontId="78" fillId="33" borderId="31" xfId="0" applyNumberFormat="1" applyFont="1" applyFill="1" applyBorder="1" applyAlignment="1">
      <alignment horizontal="right" shrinkToFit="1"/>
    </xf>
    <xf numFmtId="38" fontId="78" fillId="33" borderId="85" xfId="0" applyNumberFormat="1" applyFont="1" applyFill="1" applyBorder="1" applyAlignment="1">
      <alignment horizontal="right" shrinkToFit="1"/>
    </xf>
    <xf numFmtId="38" fontId="78" fillId="33" borderId="98" xfId="0" applyNumberFormat="1" applyFont="1" applyFill="1" applyBorder="1" applyAlignment="1">
      <alignment horizontal="right" shrinkToFit="1"/>
    </xf>
    <xf numFmtId="0" fontId="104" fillId="0" borderId="225" xfId="0" applyFont="1" applyFill="1" applyBorder="1" applyAlignment="1">
      <alignment horizontal="center" vertical="center"/>
    </xf>
    <xf numFmtId="0" fontId="83" fillId="0" borderId="225" xfId="0" applyFont="1" applyFill="1" applyBorder="1" applyAlignment="1">
      <alignment horizontal="center" vertical="center"/>
    </xf>
    <xf numFmtId="0" fontId="83" fillId="0" borderId="225" xfId="0" applyFont="1" applyFill="1" applyBorder="1" applyAlignment="1">
      <alignment horizontal="right" vertical="center" shrinkToFit="1"/>
    </xf>
    <xf numFmtId="0" fontId="83" fillId="0" borderId="258" xfId="0" applyFont="1" applyFill="1" applyBorder="1" applyAlignment="1">
      <alignment horizontal="right" vertical="center"/>
    </xf>
    <xf numFmtId="0" fontId="105" fillId="0" borderId="258" xfId="0" applyFont="1" applyFill="1" applyBorder="1" applyAlignment="1">
      <alignment horizontal="left" vertical="center"/>
    </xf>
    <xf numFmtId="0" fontId="83" fillId="0" borderId="258" xfId="0" applyFont="1" applyFill="1" applyBorder="1" applyAlignment="1">
      <alignment horizontal="center" vertical="center"/>
    </xf>
    <xf numFmtId="0" fontId="87" fillId="0" borderId="0" xfId="0" applyFont="1" applyBorder="1" applyAlignment="1">
      <alignment vertical="center" shrinkToFit="1"/>
    </xf>
    <xf numFmtId="0" fontId="26" fillId="3" borderId="309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right" vertical="center"/>
      <protection locked="0"/>
    </xf>
    <xf numFmtId="0" fontId="13" fillId="0" borderId="39" xfId="0" applyFont="1" applyBorder="1" applyAlignment="1" applyProtection="1">
      <alignment horizontal="left" vertical="center"/>
      <protection locked="0"/>
    </xf>
    <xf numFmtId="0" fontId="4" fillId="37" borderId="23" xfId="0" applyFont="1" applyFill="1" applyBorder="1" applyAlignment="1">
      <alignment horizontal="center" shrinkToFit="1"/>
    </xf>
    <xf numFmtId="178" fontId="4" fillId="0" borderId="0" xfId="0" applyNumberFormat="1" applyFont="1" applyFill="1" applyAlignment="1" applyProtection="1">
      <alignment vertical="center" shrinkToFit="1"/>
      <protection locked="0"/>
    </xf>
    <xf numFmtId="0" fontId="3" fillId="0" borderId="206" xfId="0" applyFont="1" applyBorder="1" applyAlignment="1" applyProtection="1">
      <alignment vertical="center" shrinkToFit="1"/>
      <protection locked="0"/>
    </xf>
    <xf numFmtId="0" fontId="34" fillId="0" borderId="39" xfId="0" applyFont="1" applyFill="1" applyBorder="1" applyAlignment="1" applyProtection="1">
      <alignment vertical="center" shrinkToFit="1"/>
      <protection locked="0"/>
    </xf>
    <xf numFmtId="191" fontId="13" fillId="0" borderId="40" xfId="0" applyNumberFormat="1" applyFont="1" applyBorder="1" applyAlignment="1" applyProtection="1">
      <alignment horizontal="left" vertical="center"/>
      <protection locked="0"/>
    </xf>
    <xf numFmtId="0" fontId="24" fillId="0" borderId="158" xfId="0" applyFont="1" applyBorder="1" applyAlignment="1" applyProtection="1">
      <alignment horizontal="center" vertical="center" wrapText="1"/>
    </xf>
    <xf numFmtId="0" fontId="24" fillId="0" borderId="160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textRotation="255" shrinkToFit="1"/>
    </xf>
    <xf numFmtId="0" fontId="0" fillId="0" borderId="153" xfId="0" applyBorder="1" applyAlignment="1">
      <alignment horizontal="center" vertical="center" textRotation="255" shrinkToFit="1"/>
    </xf>
    <xf numFmtId="0" fontId="3" fillId="0" borderId="154" xfId="0" applyFont="1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55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/>
    </xf>
    <xf numFmtId="0" fontId="3" fillId="0" borderId="133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13" fillId="0" borderId="209" xfId="0" applyFont="1" applyBorder="1" applyAlignment="1" applyProtection="1">
      <alignment horizontal="center" vertical="center" wrapText="1"/>
    </xf>
    <xf numFmtId="0" fontId="13" fillId="0" borderId="210" xfId="0" applyFont="1" applyBorder="1" applyAlignment="1" applyProtection="1">
      <alignment horizontal="center" vertical="center" wrapText="1"/>
    </xf>
    <xf numFmtId="0" fontId="13" fillId="0" borderId="208" xfId="0" applyFont="1" applyBorder="1" applyAlignment="1" applyProtection="1">
      <alignment horizontal="center" vertical="center" wrapText="1"/>
    </xf>
    <xf numFmtId="58" fontId="16" fillId="0" borderId="0" xfId="0" applyNumberFormat="1" applyFont="1" applyBorder="1" applyAlignment="1" applyProtection="1">
      <alignment horizontal="center" vertical="center" shrinkToFit="1"/>
      <protection locked="0"/>
    </xf>
    <xf numFmtId="0" fontId="15" fillId="15" borderId="157" xfId="0" applyFont="1" applyFill="1" applyBorder="1" applyAlignment="1" applyProtection="1">
      <alignment horizontal="distributed" vertical="center" justifyLastLine="1"/>
      <protection locked="0"/>
    </xf>
    <xf numFmtId="0" fontId="43" fillId="0" borderId="0" xfId="0" applyFont="1" applyBorder="1" applyAlignment="1" applyProtection="1">
      <alignment horizontal="center" vertical="center"/>
    </xf>
    <xf numFmtId="0" fontId="9" fillId="16" borderId="23" xfId="0" applyFont="1" applyFill="1" applyBorder="1" applyAlignment="1" applyProtection="1">
      <alignment horizontal="center" vertical="center" shrinkToFit="1"/>
    </xf>
    <xf numFmtId="0" fontId="17" fillId="0" borderId="23" xfId="0" applyFont="1" applyBorder="1" applyAlignment="1">
      <alignment horizontal="center" vertical="center"/>
    </xf>
    <xf numFmtId="177" fontId="24" fillId="0" borderId="23" xfId="0" applyNumberFormat="1" applyFont="1" applyBorder="1" applyAlignment="1" applyProtection="1">
      <alignment horizontal="center" vertical="center"/>
    </xf>
    <xf numFmtId="195" fontId="35" fillId="17" borderId="23" xfId="0" applyNumberFormat="1" applyFont="1" applyFill="1" applyBorder="1" applyAlignment="1" applyProtection="1">
      <alignment horizontal="center" vertical="center" shrinkToFit="1"/>
      <protection locked="0"/>
    </xf>
    <xf numFmtId="55" fontId="24" fillId="0" borderId="23" xfId="0" applyNumberFormat="1" applyFont="1" applyBorder="1" applyAlignment="1" applyProtection="1">
      <alignment horizontal="center" vertical="center" wrapText="1"/>
    </xf>
    <xf numFmtId="188" fontId="24" fillId="0" borderId="23" xfId="0" applyNumberFormat="1" applyFont="1" applyFill="1" applyBorder="1" applyAlignment="1" applyProtection="1">
      <alignment horizontal="center" vertical="center"/>
      <protection locked="0"/>
    </xf>
    <xf numFmtId="0" fontId="37" fillId="16" borderId="23" xfId="0" applyFont="1" applyFill="1" applyBorder="1" applyAlignment="1" applyProtection="1">
      <alignment horizontal="center" vertical="center" shrinkToFit="1"/>
    </xf>
    <xf numFmtId="0" fontId="3" fillId="0" borderId="49" xfId="0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63" xfId="0" applyBorder="1" applyAlignment="1">
      <alignment horizontal="center" vertical="center"/>
    </xf>
    <xf numFmtId="0" fontId="3" fillId="0" borderId="161" xfId="0" applyFont="1" applyBorder="1" applyAlignment="1">
      <alignment horizontal="center" vertical="center"/>
    </xf>
    <xf numFmtId="0" fontId="13" fillId="0" borderId="179" xfId="0" applyFont="1" applyBorder="1" applyAlignment="1" applyProtection="1">
      <alignment horizontal="center" vertical="center" wrapText="1"/>
    </xf>
    <xf numFmtId="0" fontId="13" fillId="0" borderId="180" xfId="0" applyFont="1" applyBorder="1" applyAlignment="1" applyProtection="1">
      <alignment horizontal="center" vertical="center" wrapText="1"/>
    </xf>
    <xf numFmtId="0" fontId="13" fillId="0" borderId="181" xfId="0" applyFont="1" applyBorder="1" applyAlignment="1" applyProtection="1">
      <alignment horizontal="center" vertical="center" wrapText="1"/>
    </xf>
    <xf numFmtId="0" fontId="13" fillId="0" borderId="148" xfId="0" applyFont="1" applyBorder="1" applyAlignment="1" applyProtection="1">
      <alignment horizontal="center" vertical="center" wrapText="1"/>
    </xf>
    <xf numFmtId="0" fontId="13" fillId="0" borderId="182" xfId="0" applyFont="1" applyBorder="1" applyAlignment="1" applyProtection="1">
      <alignment horizontal="center" vertical="center" wrapText="1"/>
    </xf>
    <xf numFmtId="0" fontId="13" fillId="0" borderId="183" xfId="0" applyFont="1" applyBorder="1" applyAlignment="1" applyProtection="1">
      <alignment horizontal="center" vertical="center" wrapText="1"/>
    </xf>
    <xf numFmtId="0" fontId="24" fillId="0" borderId="158" xfId="0" applyFont="1" applyBorder="1" applyAlignment="1" applyProtection="1">
      <alignment horizontal="center" vertical="center" shrinkToFit="1"/>
    </xf>
    <xf numFmtId="0" fontId="24" fillId="0" borderId="159" xfId="0" applyFont="1" applyBorder="1" applyAlignment="1" applyProtection="1">
      <alignment horizontal="center" vertical="center" shrinkToFit="1"/>
    </xf>
    <xf numFmtId="0" fontId="24" fillId="0" borderId="160" xfId="0" applyFont="1" applyBorder="1" applyAlignment="1" applyProtection="1">
      <alignment horizontal="center" vertical="center" shrinkToFit="1"/>
    </xf>
    <xf numFmtId="0" fontId="24" fillId="0" borderId="209" xfId="0" applyFont="1" applyBorder="1" applyAlignment="1" applyProtection="1">
      <alignment horizontal="center" vertical="center" wrapText="1"/>
    </xf>
    <xf numFmtId="0" fontId="24" fillId="0" borderId="208" xfId="0" applyFont="1" applyBorder="1" applyAlignment="1" applyProtection="1">
      <alignment horizontal="center" vertical="center" wrapText="1"/>
    </xf>
    <xf numFmtId="177" fontId="9" fillId="16" borderId="23" xfId="0" applyNumberFormat="1" applyFont="1" applyFill="1" applyBorder="1" applyAlignment="1" applyProtection="1">
      <alignment horizontal="center" vertical="center" shrinkToFit="1"/>
    </xf>
    <xf numFmtId="0" fontId="39" fillId="0" borderId="0" xfId="0" applyFont="1" applyFill="1" applyBorder="1" applyAlignment="1" applyProtection="1">
      <alignment horizontal="center" vertical="center"/>
    </xf>
    <xf numFmtId="0" fontId="39" fillId="0" borderId="246" xfId="0" applyFont="1" applyFill="1" applyBorder="1" applyAlignment="1" applyProtection="1">
      <alignment horizontal="center" vertical="center"/>
    </xf>
    <xf numFmtId="178" fontId="4" fillId="0" borderId="144" xfId="0" applyNumberFormat="1" applyFont="1" applyBorder="1" applyAlignment="1" applyProtection="1">
      <alignment horizontal="center" vertical="center" shrinkToFit="1"/>
      <protection locked="0"/>
    </xf>
    <xf numFmtId="178" fontId="4" fillId="0" borderId="142" xfId="0" applyNumberFormat="1" applyFont="1" applyBorder="1" applyAlignment="1" applyProtection="1">
      <alignment horizontal="center" vertical="center" shrinkToFit="1"/>
      <protection locked="0"/>
    </xf>
    <xf numFmtId="0" fontId="28" fillId="20" borderId="164" xfId="0" applyFont="1" applyFill="1" applyBorder="1" applyAlignment="1">
      <alignment horizontal="left" vertical="center" wrapText="1"/>
    </xf>
    <xf numFmtId="0" fontId="28" fillId="20" borderId="40" xfId="0" applyFont="1" applyFill="1" applyBorder="1" applyAlignment="1">
      <alignment horizontal="left" vertical="center" wrapText="1"/>
    </xf>
    <xf numFmtId="0" fontId="13" fillId="19" borderId="125" xfId="0" applyFont="1" applyFill="1" applyBorder="1" applyAlignment="1" applyProtection="1">
      <alignment horizontal="center" vertical="center"/>
    </xf>
    <xf numFmtId="0" fontId="13" fillId="19" borderId="124" xfId="0" applyFont="1" applyFill="1" applyBorder="1" applyAlignment="1" applyProtection="1">
      <alignment horizontal="center" vertical="center"/>
    </xf>
    <xf numFmtId="0" fontId="13" fillId="19" borderId="166" xfId="0" applyFont="1" applyFill="1" applyBorder="1" applyAlignment="1" applyProtection="1">
      <alignment horizontal="center" vertical="center"/>
    </xf>
    <xf numFmtId="0" fontId="13" fillId="19" borderId="65" xfId="0" applyFont="1" applyFill="1" applyBorder="1" applyAlignment="1" applyProtection="1">
      <alignment horizontal="center" vertical="center"/>
    </xf>
    <xf numFmtId="0" fontId="13" fillId="19" borderId="66" xfId="0" applyFont="1" applyFill="1" applyBorder="1" applyAlignment="1" applyProtection="1">
      <alignment horizontal="center" vertical="center"/>
    </xf>
    <xf numFmtId="178" fontId="4" fillId="0" borderId="126" xfId="0" applyNumberFormat="1" applyFont="1" applyBorder="1" applyAlignment="1" applyProtection="1">
      <alignment horizontal="center" vertical="center" shrinkToFit="1"/>
      <protection locked="0"/>
    </xf>
    <xf numFmtId="178" fontId="4" fillId="0" borderId="127" xfId="0" applyNumberFormat="1" applyFont="1" applyBorder="1" applyAlignment="1" applyProtection="1">
      <alignment horizontal="center" vertical="center" shrinkToFit="1"/>
      <protection locked="0"/>
    </xf>
    <xf numFmtId="0" fontId="28" fillId="20" borderId="217" xfId="0" applyFont="1" applyFill="1" applyBorder="1" applyAlignment="1">
      <alignment horizontal="left" vertical="center" wrapText="1"/>
    </xf>
    <xf numFmtId="0" fontId="28" fillId="20" borderId="78" xfId="0" applyFont="1" applyFill="1" applyBorder="1" applyAlignment="1">
      <alignment horizontal="left" vertical="center" wrapText="1"/>
    </xf>
    <xf numFmtId="0" fontId="11" fillId="17" borderId="0" xfId="0" applyFont="1" applyFill="1" applyBorder="1" applyAlignment="1">
      <alignment horizontal="right"/>
    </xf>
    <xf numFmtId="0" fontId="11" fillId="17" borderId="234" xfId="0" applyFont="1" applyFill="1" applyBorder="1" applyAlignment="1">
      <alignment horizontal="right"/>
    </xf>
    <xf numFmtId="0" fontId="3" fillId="21" borderId="249" xfId="0" applyFont="1" applyFill="1" applyBorder="1" applyAlignment="1">
      <alignment horizontal="left" shrinkToFit="1"/>
    </xf>
    <xf numFmtId="0" fontId="3" fillId="21" borderId="255" xfId="0" applyFont="1" applyFill="1" applyBorder="1" applyAlignment="1">
      <alignment horizontal="left" shrinkToFit="1"/>
    </xf>
    <xf numFmtId="0" fontId="28" fillId="21" borderId="231" xfId="0" applyFont="1" applyFill="1" applyBorder="1" applyAlignment="1">
      <alignment horizontal="center" wrapText="1"/>
    </xf>
    <xf numFmtId="0" fontId="31" fillId="0" borderId="89" xfId="0" applyFont="1" applyBorder="1" applyAlignment="1">
      <alignment horizontal="center" wrapText="1"/>
    </xf>
    <xf numFmtId="0" fontId="3" fillId="21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205" xfId="0" applyFont="1" applyBorder="1" applyAlignment="1">
      <alignment shrinkToFit="1"/>
    </xf>
    <xf numFmtId="0" fontId="3" fillId="21" borderId="229" xfId="0" applyFont="1" applyFill="1" applyBorder="1" applyAlignment="1">
      <alignment horizontal="center" vertical="center" textRotation="255"/>
    </xf>
    <xf numFmtId="0" fontId="0" fillId="0" borderId="228" xfId="0" applyBorder="1" applyAlignment="1">
      <alignment horizontal="center" vertical="center" textRotation="255"/>
    </xf>
    <xf numFmtId="0" fontId="0" fillId="0" borderId="205" xfId="0" applyBorder="1" applyAlignment="1">
      <alignment horizontal="center" vertical="center" textRotation="255"/>
    </xf>
    <xf numFmtId="181" fontId="24" fillId="0" borderId="164" xfId="0" applyNumberFormat="1" applyFont="1" applyBorder="1" applyAlignment="1" applyProtection="1">
      <alignment horizontal="left" vertical="center" wrapText="1"/>
      <protection locked="0"/>
    </xf>
    <xf numFmtId="181" fontId="24" fillId="0" borderId="39" xfId="0" applyNumberFormat="1" applyFont="1" applyBorder="1" applyAlignment="1" applyProtection="1">
      <alignment horizontal="left" vertical="center" wrapText="1"/>
      <protection locked="0"/>
    </xf>
    <xf numFmtId="181" fontId="24" fillId="0" borderId="40" xfId="0" applyNumberFormat="1" applyFont="1" applyBorder="1" applyAlignment="1" applyProtection="1">
      <alignment horizontal="left" vertical="center" wrapText="1"/>
      <protection locked="0"/>
    </xf>
    <xf numFmtId="0" fontId="12" fillId="0" borderId="166" xfId="0" applyFont="1" applyBorder="1" applyAlignment="1" applyProtection="1">
      <alignment horizontal="center" vertical="center"/>
    </xf>
    <xf numFmtId="0" fontId="12" fillId="0" borderId="65" xfId="0" applyFont="1" applyBorder="1" applyAlignment="1" applyProtection="1">
      <alignment horizontal="center" vertical="center"/>
    </xf>
    <xf numFmtId="0" fontId="12" fillId="0" borderId="66" xfId="0" applyFont="1" applyBorder="1" applyAlignment="1" applyProtection="1">
      <alignment horizontal="center" vertical="center"/>
    </xf>
    <xf numFmtId="0" fontId="7" fillId="0" borderId="165" xfId="0" applyFont="1" applyBorder="1" applyAlignment="1" applyProtection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23" fillId="0" borderId="177" xfId="0" applyFont="1" applyBorder="1" applyAlignment="1">
      <alignment horizontal="center" vertical="center" shrinkToFit="1"/>
    </xf>
    <xf numFmtId="0" fontId="23" fillId="0" borderId="178" xfId="0" applyFont="1" applyBorder="1" applyAlignment="1">
      <alignment horizontal="center" vertical="center" shrinkToFit="1"/>
    </xf>
    <xf numFmtId="0" fontId="23" fillId="0" borderId="90" xfId="0" applyFont="1" applyBorder="1" applyAlignment="1">
      <alignment horizontal="center" vertical="center" shrinkToFit="1"/>
    </xf>
    <xf numFmtId="0" fontId="23" fillId="0" borderId="177" xfId="0" applyFont="1" applyBorder="1" applyAlignment="1">
      <alignment horizontal="center" shrinkToFit="1"/>
    </xf>
    <xf numFmtId="0" fontId="23" fillId="0" borderId="178" xfId="0" applyFont="1" applyBorder="1" applyAlignment="1">
      <alignment horizontal="center" shrinkToFit="1"/>
    </xf>
    <xf numFmtId="0" fontId="0" fillId="0" borderId="178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8" xfId="0" applyBorder="1" applyAlignment="1">
      <alignment shrinkToFit="1"/>
    </xf>
    <xf numFmtId="0" fontId="0" fillId="0" borderId="90" xfId="0" applyBorder="1" applyAlignment="1">
      <alignment shrinkToFit="1"/>
    </xf>
    <xf numFmtId="0" fontId="23" fillId="11" borderId="175" xfId="0" applyFont="1" applyFill="1" applyBorder="1" applyAlignment="1">
      <alignment horizontal="center" vertical="center" shrinkToFit="1"/>
    </xf>
    <xf numFmtId="0" fontId="23" fillId="11" borderId="176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23" fillId="11" borderId="174" xfId="0" applyFont="1" applyFill="1" applyBorder="1" applyAlignment="1">
      <alignment horizontal="center" vertical="center"/>
    </xf>
    <xf numFmtId="0" fontId="23" fillId="11" borderId="141" xfId="0" applyFont="1" applyFill="1" applyBorder="1" applyAlignment="1">
      <alignment horizontal="center" vertical="center"/>
    </xf>
    <xf numFmtId="0" fontId="23" fillId="11" borderId="97" xfId="0" applyFont="1" applyFill="1" applyBorder="1" applyAlignment="1">
      <alignment horizontal="center" vertical="center"/>
    </xf>
    <xf numFmtId="0" fontId="23" fillId="11" borderId="174" xfId="0" applyFont="1" applyFill="1" applyBorder="1" applyAlignment="1">
      <alignment horizontal="center" vertical="center" shrinkToFit="1"/>
    </xf>
    <xf numFmtId="0" fontId="23" fillId="11" borderId="141" xfId="0" applyFont="1" applyFill="1" applyBorder="1" applyAlignment="1">
      <alignment horizontal="center" vertical="center" shrinkToFit="1"/>
    </xf>
    <xf numFmtId="0" fontId="23" fillId="11" borderId="97" xfId="0" applyFont="1" applyFill="1" applyBorder="1" applyAlignment="1">
      <alignment horizontal="center" vertical="center" shrinkToFit="1"/>
    </xf>
    <xf numFmtId="0" fontId="23" fillId="11" borderId="115" xfId="0" applyFont="1" applyFill="1" applyBorder="1" applyAlignment="1">
      <alignment horizontal="center" vertical="center"/>
    </xf>
    <xf numFmtId="0" fontId="23" fillId="11" borderId="142" xfId="0" applyFont="1" applyFill="1" applyBorder="1" applyAlignment="1">
      <alignment horizontal="center" vertical="center"/>
    </xf>
    <xf numFmtId="0" fontId="23" fillId="11" borderId="91" xfId="0" applyFont="1" applyFill="1" applyBorder="1" applyAlignment="1">
      <alignment horizontal="center" vertical="center"/>
    </xf>
    <xf numFmtId="0" fontId="23" fillId="11" borderId="115" xfId="0" applyFont="1" applyFill="1" applyBorder="1" applyAlignment="1">
      <alignment horizontal="center" vertical="center" shrinkToFit="1"/>
    </xf>
    <xf numFmtId="0" fontId="23" fillId="11" borderId="142" xfId="0" applyFont="1" applyFill="1" applyBorder="1" applyAlignment="1">
      <alignment horizontal="center" vertical="center" shrinkToFit="1"/>
    </xf>
    <xf numFmtId="0" fontId="23" fillId="11" borderId="91" xfId="0" applyFont="1" applyFill="1" applyBorder="1" applyAlignment="1">
      <alignment horizontal="center" vertical="center" shrinkToFit="1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0" fontId="4" fillId="0" borderId="298" xfId="0" applyFont="1" applyFill="1" applyBorder="1" applyAlignment="1">
      <alignment vertical="center" wrapText="1"/>
    </xf>
    <xf numFmtId="0" fontId="4" fillId="0" borderId="256" xfId="0" applyFont="1" applyFill="1" applyBorder="1" applyAlignment="1">
      <alignment vertical="center" wrapText="1"/>
    </xf>
    <xf numFmtId="0" fontId="4" fillId="0" borderId="155" xfId="0" applyFont="1" applyFill="1" applyBorder="1" applyAlignment="1">
      <alignment vertical="center" wrapText="1"/>
    </xf>
    <xf numFmtId="0" fontId="61" fillId="0" borderId="201" xfId="0" applyFont="1" applyFill="1" applyBorder="1" applyAlignment="1">
      <alignment vertical="center" wrapText="1"/>
    </xf>
    <xf numFmtId="0" fontId="61" fillId="0" borderId="228" xfId="0" applyFont="1" applyFill="1" applyBorder="1" applyAlignment="1">
      <alignment vertical="center" wrapText="1"/>
    </xf>
    <xf numFmtId="0" fontId="61" fillId="0" borderId="156" xfId="0" applyFont="1" applyFill="1" applyBorder="1" applyAlignment="1">
      <alignment vertical="center" wrapText="1"/>
    </xf>
    <xf numFmtId="0" fontId="4" fillId="0" borderId="126" xfId="0" applyFont="1" applyFill="1" applyBorder="1" applyAlignment="1">
      <alignment horizontal="center" vertical="center"/>
    </xf>
    <xf numFmtId="0" fontId="4" fillId="0" borderId="127" xfId="0" applyFont="1" applyFill="1" applyBorder="1" applyAlignment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96" xfId="0" applyFont="1" applyFill="1" applyBorder="1" applyAlignment="1">
      <alignment vertical="center"/>
    </xf>
    <xf numFmtId="0" fontId="4" fillId="0" borderId="144" xfId="0" applyFont="1" applyFill="1" applyBorder="1" applyAlignment="1">
      <alignment horizontal="left" vertical="center"/>
    </xf>
    <xf numFmtId="0" fontId="4" fillId="0" borderId="142" xfId="0" applyFont="1" applyFill="1" applyBorder="1" applyAlignment="1">
      <alignment horizontal="left" vertical="center"/>
    </xf>
    <xf numFmtId="0" fontId="4" fillId="0" borderId="140" xfId="0" applyFont="1" applyFill="1" applyBorder="1" applyAlignment="1">
      <alignment horizontal="left" vertical="center"/>
    </xf>
    <xf numFmtId="0" fontId="4" fillId="0" borderId="126" xfId="0" applyFont="1" applyFill="1" applyBorder="1" applyAlignment="1">
      <alignment horizontal="left" vertical="center"/>
    </xf>
    <xf numFmtId="0" fontId="4" fillId="0" borderId="127" xfId="0" applyFont="1" applyFill="1" applyBorder="1" applyAlignment="1">
      <alignment horizontal="left" vertical="center"/>
    </xf>
    <xf numFmtId="0" fontId="4" fillId="0" borderId="128" xfId="0" applyFont="1" applyFill="1" applyBorder="1" applyAlignment="1">
      <alignment horizontal="left" vertical="center"/>
    </xf>
    <xf numFmtId="0" fontId="44" fillId="0" borderId="283" xfId="0" applyFont="1" applyFill="1" applyBorder="1" applyAlignment="1">
      <alignment horizontal="left"/>
    </xf>
    <xf numFmtId="0" fontId="44" fillId="0" borderId="258" xfId="0" applyFont="1" applyFill="1" applyBorder="1" applyAlignment="1">
      <alignment horizontal="left"/>
    </xf>
    <xf numFmtId="0" fontId="44" fillId="0" borderId="285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center" vertical="center" textRotation="255"/>
    </xf>
    <xf numFmtId="0" fontId="4" fillId="0" borderId="95" xfId="0" applyFont="1" applyFill="1" applyBorder="1" applyAlignment="1">
      <alignment horizontal="center" vertical="center" textRotation="255"/>
    </xf>
    <xf numFmtId="0" fontId="4" fillId="0" borderId="121" xfId="0" applyFont="1" applyFill="1" applyBorder="1" applyAlignment="1">
      <alignment horizontal="center" vertical="center" textRotation="255"/>
    </xf>
    <xf numFmtId="0" fontId="28" fillId="0" borderId="120" xfId="0" applyFont="1" applyFill="1" applyBorder="1" applyAlignment="1">
      <alignment horizontal="center" vertical="center" textRotation="255" wrapText="1"/>
    </xf>
    <xf numFmtId="0" fontId="28" fillId="0" borderId="89" xfId="0" applyFont="1" applyFill="1" applyBorder="1" applyAlignment="1">
      <alignment horizontal="center" vertical="center" textRotation="255" wrapText="1"/>
    </xf>
    <xf numFmtId="38" fontId="9" fillId="0" borderId="83" xfId="0" applyNumberFormat="1" applyFont="1" applyFill="1" applyBorder="1" applyAlignment="1">
      <alignment horizontal="left"/>
    </xf>
    <xf numFmtId="38" fontId="9" fillId="0" borderId="233" xfId="0" applyNumberFormat="1" applyFont="1" applyFill="1" applyBorder="1" applyAlignment="1">
      <alignment horizontal="left"/>
    </xf>
    <xf numFmtId="38" fontId="9" fillId="0" borderId="86" xfId="0" applyNumberFormat="1" applyFont="1" applyFill="1" applyBorder="1" applyAlignment="1">
      <alignment horizontal="left"/>
    </xf>
    <xf numFmtId="38" fontId="9" fillId="0" borderId="203" xfId="0" applyNumberFormat="1" applyFont="1" applyFill="1" applyBorder="1" applyAlignment="1">
      <alignment horizontal="left"/>
    </xf>
    <xf numFmtId="0" fontId="4" fillId="0" borderId="286" xfId="0" applyFont="1" applyFill="1" applyBorder="1" applyAlignment="1">
      <alignment horizontal="center"/>
    </xf>
    <xf numFmtId="0" fontId="4" fillId="0" borderId="149" xfId="0" applyFont="1" applyFill="1" applyBorder="1" applyAlignment="1">
      <alignment horizontal="center"/>
    </xf>
    <xf numFmtId="0" fontId="4" fillId="0" borderId="260" xfId="0" applyFont="1" applyFill="1" applyBorder="1" applyAlignment="1">
      <alignment horizontal="center"/>
    </xf>
    <xf numFmtId="0" fontId="4" fillId="0" borderId="89" xfId="0" applyFont="1" applyFill="1" applyBorder="1" applyAlignment="1">
      <alignment horizontal="center" vertical="center" textRotation="255"/>
    </xf>
    <xf numFmtId="0" fontId="4" fillId="0" borderId="286" xfId="0" applyFont="1" applyFill="1" applyBorder="1" applyAlignment="1">
      <alignment horizontal="center" shrinkToFit="1"/>
    </xf>
    <xf numFmtId="0" fontId="4" fillId="0" borderId="149" xfId="0" applyFont="1" applyFill="1" applyBorder="1" applyAlignment="1">
      <alignment horizontal="center" shrinkToFit="1"/>
    </xf>
    <xf numFmtId="0" fontId="4" fillId="0" borderId="287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textRotation="255"/>
    </xf>
    <xf numFmtId="0" fontId="28" fillId="0" borderId="95" xfId="0" applyFont="1" applyFill="1" applyBorder="1" applyAlignment="1">
      <alignment horizontal="center" vertical="center" textRotation="255" wrapText="1"/>
    </xf>
    <xf numFmtId="0" fontId="4" fillId="0" borderId="224" xfId="0" applyFont="1" applyFill="1" applyBorder="1" applyAlignment="1">
      <alignment horizontal="center" wrapText="1"/>
    </xf>
    <xf numFmtId="0" fontId="4" fillId="0" borderId="225" xfId="0" applyFont="1" applyFill="1" applyBorder="1" applyAlignment="1">
      <alignment horizontal="center" wrapText="1"/>
    </xf>
    <xf numFmtId="0" fontId="4" fillId="0" borderId="229" xfId="0" applyFont="1" applyFill="1" applyBorder="1" applyAlignment="1">
      <alignment horizontal="center" wrapText="1"/>
    </xf>
    <xf numFmtId="0" fontId="4" fillId="0" borderId="283" xfId="0" applyFont="1" applyFill="1" applyBorder="1" applyAlignment="1">
      <alignment horizontal="center" wrapText="1"/>
    </xf>
    <xf numFmtId="0" fontId="4" fillId="0" borderId="258" xfId="0" applyFont="1" applyFill="1" applyBorder="1" applyAlignment="1">
      <alignment horizontal="center" wrapText="1"/>
    </xf>
    <xf numFmtId="0" fontId="4" fillId="0" borderId="285" xfId="0" applyFont="1" applyFill="1" applyBorder="1" applyAlignment="1">
      <alignment horizontal="center" wrapText="1"/>
    </xf>
    <xf numFmtId="0" fontId="17" fillId="0" borderId="176" xfId="0" applyFont="1" applyFill="1" applyBorder="1" applyAlignment="1">
      <alignment horizontal="left" shrinkToFit="1"/>
    </xf>
    <xf numFmtId="0" fontId="17" fillId="0" borderId="203" xfId="0" applyFont="1" applyFill="1" applyBorder="1" applyAlignment="1">
      <alignment horizontal="left" shrinkToFit="1"/>
    </xf>
    <xf numFmtId="0" fontId="4" fillId="0" borderId="260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/>
    </xf>
    <xf numFmtId="0" fontId="44" fillId="0" borderId="283" xfId="0" applyFont="1" applyFill="1" applyBorder="1" applyAlignment="1">
      <alignment horizontal="left" shrinkToFit="1"/>
    </xf>
    <xf numFmtId="0" fontId="44" fillId="0" borderId="258" xfId="0" applyFont="1" applyFill="1" applyBorder="1" applyAlignment="1">
      <alignment horizontal="left" shrinkToFit="1"/>
    </xf>
    <xf numFmtId="0" fontId="44" fillId="0" borderId="285" xfId="0" applyFont="1" applyFill="1" applyBorder="1" applyAlignment="1">
      <alignment horizontal="left" shrinkToFit="1"/>
    </xf>
    <xf numFmtId="0" fontId="17" fillId="0" borderId="231" xfId="0" applyFont="1" applyFill="1" applyBorder="1" applyAlignment="1">
      <alignment horizontal="center" vertical="center" wrapText="1"/>
    </xf>
    <xf numFmtId="0" fontId="17" fillId="0" borderId="89" xfId="0" applyFont="1" applyFill="1" applyBorder="1" applyAlignment="1">
      <alignment horizontal="center" vertical="center" wrapTex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228" xfId="0" applyFont="1" applyFill="1" applyBorder="1" applyAlignment="1">
      <alignment horizontal="right"/>
    </xf>
    <xf numFmtId="0" fontId="55" fillId="0" borderId="115" xfId="0" applyFont="1" applyBorder="1" applyAlignment="1">
      <alignment horizontal="right" vertical="center" wrapText="1" shrinkToFit="1"/>
    </xf>
    <xf numFmtId="0" fontId="55" fillId="0" borderId="142" xfId="0" applyFont="1" applyBorder="1" applyAlignment="1">
      <alignment horizontal="right" vertical="center" wrapText="1" shrinkToFit="1"/>
    </xf>
    <xf numFmtId="0" fontId="55" fillId="0" borderId="140" xfId="0" applyFont="1" applyBorder="1" applyAlignment="1">
      <alignment horizontal="right" vertical="center" wrapText="1" shrinkToFit="1"/>
    </xf>
    <xf numFmtId="0" fontId="55" fillId="0" borderId="226" xfId="0" applyFont="1" applyBorder="1" applyAlignment="1">
      <alignment horizontal="right" vertical="center" wrapText="1" shrinkToFit="1"/>
    </xf>
    <xf numFmtId="0" fontId="55" fillId="0" borderId="0" xfId="0" applyFont="1" applyBorder="1" applyAlignment="1">
      <alignment horizontal="right" vertical="center" wrapText="1" shrinkToFit="1"/>
    </xf>
    <xf numFmtId="0" fontId="55" fillId="0" borderId="228" xfId="0" applyFont="1" applyBorder="1" applyAlignment="1">
      <alignment horizontal="right" vertical="center" wrapText="1" shrinkToFit="1"/>
    </xf>
    <xf numFmtId="0" fontId="55" fillId="0" borderId="189" xfId="0" applyFont="1" applyBorder="1" applyAlignment="1">
      <alignment horizontal="right" vertical="center" wrapText="1" shrinkToFit="1"/>
    </xf>
    <xf numFmtId="0" fontId="55" fillId="0" borderId="139" xfId="0" applyFont="1" applyBorder="1" applyAlignment="1">
      <alignment horizontal="right" vertical="center" wrapText="1" shrinkToFit="1"/>
    </xf>
    <xf numFmtId="0" fontId="55" fillId="0" borderId="201" xfId="0" applyFont="1" applyBorder="1" applyAlignment="1">
      <alignment horizontal="right" vertical="center" wrapText="1" shrinkToFit="1"/>
    </xf>
    <xf numFmtId="0" fontId="24" fillId="0" borderId="264" xfId="0" applyFont="1" applyFill="1" applyBorder="1" applyAlignment="1">
      <alignment horizontal="center" vertical="center"/>
    </xf>
    <xf numFmtId="0" fontId="24" fillId="0" borderId="265" xfId="0" applyFont="1" applyFill="1" applyBorder="1" applyAlignment="1">
      <alignment horizontal="center" vertical="center"/>
    </xf>
    <xf numFmtId="0" fontId="17" fillId="0" borderId="231" xfId="0" applyFont="1" applyBorder="1" applyAlignment="1">
      <alignment vertical="center" textRotation="255"/>
    </xf>
    <xf numFmtId="0" fontId="17" fillId="0" borderId="284" xfId="0" applyFont="1" applyBorder="1" applyAlignment="1">
      <alignment vertical="center" textRotation="255"/>
    </xf>
    <xf numFmtId="0" fontId="17" fillId="0" borderId="89" xfId="0" applyFont="1" applyBorder="1" applyAlignment="1">
      <alignment vertical="center" textRotation="255"/>
    </xf>
    <xf numFmtId="0" fontId="55" fillId="0" borderId="226" xfId="0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5" fillId="0" borderId="228" xfId="0" applyFont="1" applyFill="1" applyBorder="1" applyAlignment="1">
      <alignment horizontal="right"/>
    </xf>
    <xf numFmtId="0" fontId="58" fillId="0" borderId="268" xfId="0" applyFont="1" applyFill="1" applyBorder="1" applyAlignment="1">
      <alignment horizontal="left" vertical="center"/>
    </xf>
    <xf numFmtId="0" fontId="58" fillId="0" borderId="269" xfId="0" applyFont="1" applyFill="1" applyBorder="1" applyAlignment="1">
      <alignment horizontal="left" vertical="center"/>
    </xf>
    <xf numFmtId="0" fontId="58" fillId="0" borderId="271" xfId="0" applyFont="1" applyFill="1" applyBorder="1" applyAlignment="1">
      <alignment vertical="center" shrinkToFit="1"/>
    </xf>
    <xf numFmtId="0" fontId="58" fillId="0" borderId="272" xfId="0" applyFont="1" applyFill="1" applyBorder="1" applyAlignment="1">
      <alignment vertical="center" shrinkToFit="1"/>
    </xf>
    <xf numFmtId="0" fontId="50" fillId="0" borderId="0" xfId="0" applyFont="1" applyFill="1" applyBorder="1" applyAlignment="1">
      <alignment horizontal="left" vertical="center" shrinkToFit="1"/>
    </xf>
    <xf numFmtId="0" fontId="11" fillId="0" borderId="258" xfId="0" applyFont="1" applyFill="1" applyBorder="1" applyAlignment="1">
      <alignment horizontal="distributed" vertical="center"/>
    </xf>
    <xf numFmtId="0" fontId="53" fillId="0" borderId="178" xfId="0" applyFont="1" applyFill="1" applyBorder="1" applyAlignment="1">
      <alignment horizontal="distributed" vertical="center"/>
    </xf>
    <xf numFmtId="0" fontId="53" fillId="0" borderId="176" xfId="0" applyFont="1" applyFill="1" applyBorder="1" applyAlignment="1">
      <alignment horizontal="distributed" vertical="center"/>
    </xf>
    <xf numFmtId="0" fontId="53" fillId="0" borderId="15" xfId="0" applyFont="1" applyFill="1" applyBorder="1" applyAlignment="1">
      <alignment horizontal="distributed" vertical="center"/>
    </xf>
    <xf numFmtId="0" fontId="53" fillId="0" borderId="224" xfId="0" applyFont="1" applyFill="1" applyBorder="1" applyAlignment="1">
      <alignment horizontal="left" vertical="center" shrinkToFit="1"/>
    </xf>
    <xf numFmtId="0" fontId="53" fillId="0" borderId="225" xfId="0" applyFont="1" applyFill="1" applyBorder="1" applyAlignment="1">
      <alignment horizontal="left" vertical="center" shrinkToFit="1"/>
    </xf>
    <xf numFmtId="0" fontId="53" fillId="0" borderId="229" xfId="0" applyFont="1" applyFill="1" applyBorder="1" applyAlignment="1">
      <alignment horizontal="left" vertical="center" shrinkToFit="1"/>
    </xf>
    <xf numFmtId="0" fontId="24" fillId="0" borderId="149" xfId="0" applyFont="1" applyFill="1" applyBorder="1" applyAlignment="1">
      <alignment horizontal="center" vertical="center" shrinkToFit="1"/>
    </xf>
    <xf numFmtId="0" fontId="24" fillId="0" borderId="231" xfId="0" applyFont="1" applyFill="1" applyBorder="1" applyAlignment="1">
      <alignment horizontal="center" vertical="center" textRotation="255"/>
    </xf>
    <xf numFmtId="0" fontId="24" fillId="0" borderId="121" xfId="0" applyFont="1" applyFill="1" applyBorder="1" applyAlignment="1">
      <alignment horizontal="center" vertical="center" textRotation="255"/>
    </xf>
    <xf numFmtId="0" fontId="24" fillId="0" borderId="95" xfId="0" applyFont="1" applyFill="1" applyBorder="1" applyAlignment="1">
      <alignment horizontal="center" vertical="center" textRotation="255"/>
    </xf>
    <xf numFmtId="0" fontId="24" fillId="0" borderId="120" xfId="0" applyFont="1" applyFill="1" applyBorder="1" applyAlignment="1">
      <alignment horizontal="center" vertical="center" textRotation="255"/>
    </xf>
    <xf numFmtId="179" fontId="17" fillId="0" borderId="171" xfId="0" applyNumberFormat="1" applyFont="1" applyBorder="1" applyAlignment="1">
      <alignment horizontal="center" vertical="center" shrinkToFit="1"/>
    </xf>
    <xf numFmtId="179" fontId="17" fillId="0" borderId="172" xfId="0" applyNumberFormat="1" applyFont="1" applyBorder="1" applyAlignment="1">
      <alignment horizontal="center" vertical="center" shrinkToFit="1"/>
    </xf>
    <xf numFmtId="0" fontId="21" fillId="0" borderId="0" xfId="0" applyFont="1" applyAlignment="1" applyProtection="1">
      <alignment horizontal="center" vertical="center"/>
      <protection locked="0"/>
    </xf>
    <xf numFmtId="179" fontId="17" fillId="0" borderId="167" xfId="0" applyNumberFormat="1" applyFont="1" applyBorder="1" applyAlignment="1" applyProtection="1">
      <alignment horizontal="center" vertical="center" shrinkToFit="1"/>
      <protection locked="0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179" fontId="17" fillId="0" borderId="168" xfId="0" applyNumberFormat="1" applyFont="1" applyBorder="1" applyAlignment="1" applyProtection="1">
      <alignment horizontal="center" vertical="center" shrinkToFit="1"/>
      <protection locked="0"/>
    </xf>
    <xf numFmtId="0" fontId="21" fillId="0" borderId="157" xfId="0" applyFont="1" applyBorder="1" applyAlignment="1" applyProtection="1">
      <alignment horizontal="center" vertical="center"/>
      <protection locked="0"/>
    </xf>
    <xf numFmtId="0" fontId="21" fillId="9" borderId="157" xfId="0" applyFont="1" applyFill="1" applyBorder="1" applyAlignment="1" applyProtection="1">
      <alignment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9" fontId="17" fillId="10" borderId="169" xfId="0" applyNumberFormat="1" applyFont="1" applyFill="1" applyBorder="1" applyAlignment="1" applyProtection="1">
      <alignment horizontal="center" vertical="center" shrinkToFit="1"/>
      <protection locked="0"/>
    </xf>
    <xf numFmtId="9" fontId="0" fillId="10" borderId="139" xfId="0" applyNumberFormat="1" applyFill="1" applyBorder="1" applyAlignment="1">
      <alignment horizontal="center" vertical="center" shrinkToFit="1"/>
    </xf>
    <xf numFmtId="0" fontId="17" fillId="0" borderId="171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178" fontId="17" fillId="0" borderId="170" xfId="0" applyNumberFormat="1" applyFont="1" applyBorder="1" applyAlignment="1" applyProtection="1">
      <alignment horizontal="left" vertical="center" shrinkToFit="1"/>
      <protection locked="0"/>
    </xf>
    <xf numFmtId="178" fontId="17" fillId="0" borderId="127" xfId="0" applyNumberFormat="1" applyFont="1" applyBorder="1" applyAlignment="1" applyProtection="1">
      <alignment horizontal="left" vertical="center" shrinkToFit="1"/>
      <protection locked="0"/>
    </xf>
    <xf numFmtId="178" fontId="17" fillId="0" borderId="147" xfId="0" applyNumberFormat="1" applyFont="1" applyBorder="1" applyAlignment="1" applyProtection="1">
      <alignment horizontal="left" vertical="center" shrinkToFit="1"/>
      <protection locked="0"/>
    </xf>
    <xf numFmtId="0" fontId="4" fillId="17" borderId="126" xfId="0" applyFont="1" applyFill="1" applyBorder="1" applyAlignment="1">
      <alignment horizontal="center" vertical="center"/>
    </xf>
    <xf numFmtId="0" fontId="0" fillId="17" borderId="127" xfId="0" applyFont="1" applyFill="1" applyBorder="1" applyAlignment="1">
      <alignment horizontal="center" vertical="center"/>
    </xf>
    <xf numFmtId="0" fontId="4" fillId="26" borderId="126" xfId="0" applyFont="1" applyFill="1" applyBorder="1" applyAlignment="1">
      <alignment horizontal="center" vertical="center"/>
    </xf>
    <xf numFmtId="0" fontId="0" fillId="26" borderId="127" xfId="0" applyFont="1" applyFill="1" applyBorder="1" applyAlignment="1">
      <alignment horizontal="center" vertical="center"/>
    </xf>
    <xf numFmtId="0" fontId="0" fillId="26" borderId="157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vertical="center"/>
    </xf>
    <xf numFmtId="0" fontId="9" fillId="0" borderId="120" xfId="0" applyFont="1" applyFill="1" applyBorder="1" applyAlignment="1">
      <alignment horizontal="center" vertical="center" textRotation="255"/>
    </xf>
    <xf numFmtId="0" fontId="9" fillId="0" borderId="95" xfId="0" applyFont="1" applyFill="1" applyBorder="1" applyAlignment="1">
      <alignment horizontal="center" vertical="center" textRotation="255"/>
    </xf>
    <xf numFmtId="0" fontId="9" fillId="0" borderId="23" xfId="0" applyFont="1" applyFill="1" applyBorder="1" applyAlignment="1">
      <alignment horizontal="center" vertical="center" textRotation="255"/>
    </xf>
    <xf numFmtId="0" fontId="9" fillId="0" borderId="85" xfId="0" applyFont="1" applyFill="1" applyBorder="1" applyAlignment="1">
      <alignment horizontal="center" vertical="center" textRotation="255"/>
    </xf>
    <xf numFmtId="0" fontId="9" fillId="30" borderId="231" xfId="0" applyFont="1" applyFill="1" applyBorder="1" applyAlignment="1">
      <alignment horizontal="center" vertical="center" textRotation="255"/>
    </xf>
    <xf numFmtId="0" fontId="9" fillId="30" borderId="121" xfId="0" applyFont="1" applyFill="1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9" fillId="30" borderId="120" xfId="0" applyFont="1" applyFill="1" applyBorder="1" applyAlignment="1">
      <alignment horizontal="center" vertical="center" textRotation="255"/>
    </xf>
    <xf numFmtId="0" fontId="9" fillId="30" borderId="95" xfId="0" applyFont="1" applyFill="1" applyBorder="1" applyAlignment="1">
      <alignment horizontal="center" vertical="center" textRotation="255"/>
    </xf>
    <xf numFmtId="0" fontId="74" fillId="0" borderId="224" xfId="0" applyFont="1" applyFill="1" applyBorder="1" applyAlignment="1">
      <alignment horizontal="center" wrapText="1"/>
    </xf>
    <xf numFmtId="0" fontId="74" fillId="0" borderId="225" xfId="0" applyFont="1" applyFill="1" applyBorder="1" applyAlignment="1">
      <alignment horizontal="center" wrapText="1"/>
    </xf>
    <xf numFmtId="0" fontId="10" fillId="0" borderId="283" xfId="0" applyFont="1" applyFill="1" applyBorder="1" applyAlignment="1">
      <alignment horizontal="center" wrapText="1"/>
    </xf>
    <xf numFmtId="0" fontId="10" fillId="0" borderId="258" xfId="0" applyFont="1" applyFill="1" applyBorder="1" applyAlignment="1">
      <alignment horizontal="center" wrapText="1"/>
    </xf>
    <xf numFmtId="0" fontId="9" fillId="0" borderId="224" xfId="0" applyFont="1" applyFill="1" applyBorder="1" applyAlignment="1">
      <alignment horizontal="center"/>
    </xf>
    <xf numFmtId="0" fontId="9" fillId="0" borderId="226" xfId="0" applyFont="1" applyFill="1" applyBorder="1" applyAlignment="1">
      <alignment horizontal="center"/>
    </xf>
    <xf numFmtId="0" fontId="11" fillId="0" borderId="309" xfId="0" applyFont="1" applyFill="1" applyBorder="1" applyAlignment="1">
      <alignment horizontal="left"/>
    </xf>
    <xf numFmtId="0" fontId="11" fillId="0" borderId="260" xfId="0" applyFont="1" applyFill="1" applyBorder="1" applyAlignment="1">
      <alignment horizontal="left"/>
    </xf>
    <xf numFmtId="38" fontId="9" fillId="0" borderId="82" xfId="0" applyNumberFormat="1" applyFont="1" applyFill="1" applyBorder="1" applyAlignment="1">
      <alignment horizontal="left"/>
    </xf>
    <xf numFmtId="0" fontId="11" fillId="0" borderId="283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left"/>
    </xf>
    <xf numFmtId="0" fontId="9" fillId="0" borderId="231" xfId="0" applyFont="1" applyFill="1" applyBorder="1" applyAlignment="1">
      <alignment horizontal="center" vertical="center" wrapText="1"/>
    </xf>
    <xf numFmtId="0" fontId="9" fillId="0" borderId="89" xfId="0" applyFont="1" applyFill="1" applyBorder="1" applyAlignment="1">
      <alignment horizontal="center" vertical="center" wrapText="1"/>
    </xf>
    <xf numFmtId="0" fontId="11" fillId="0" borderId="283" xfId="0" applyFont="1" applyFill="1" applyBorder="1" applyAlignment="1">
      <alignment horizontal="left" shrinkToFit="1"/>
    </xf>
    <xf numFmtId="0" fontId="11" fillId="0" borderId="258" xfId="0" applyFont="1" applyFill="1" applyBorder="1" applyAlignment="1">
      <alignment horizontal="left" shrinkToFit="1"/>
    </xf>
    <xf numFmtId="0" fontId="9" fillId="30" borderId="286" xfId="0" applyFont="1" applyFill="1" applyBorder="1" applyAlignment="1">
      <alignment horizontal="center"/>
    </xf>
    <xf numFmtId="0" fontId="9" fillId="30" borderId="149" xfId="0" applyFont="1" applyFill="1" applyBorder="1" applyAlignment="1">
      <alignment horizontal="center"/>
    </xf>
    <xf numFmtId="0" fontId="9" fillId="30" borderId="260" xfId="0" applyFont="1" applyFill="1" applyBorder="1" applyAlignment="1">
      <alignment horizontal="center"/>
    </xf>
    <xf numFmtId="0" fontId="9" fillId="30" borderId="23" xfId="0" applyFont="1" applyFill="1" applyBorder="1" applyAlignment="1">
      <alignment horizontal="center" vertical="center" textRotation="255"/>
    </xf>
    <xf numFmtId="0" fontId="9" fillId="30" borderId="85" xfId="0" applyFont="1" applyFill="1" applyBorder="1" applyAlignment="1">
      <alignment horizontal="center" vertical="center" textRotation="255"/>
    </xf>
    <xf numFmtId="0" fontId="71" fillId="0" borderId="86" xfId="0" applyFont="1" applyBorder="1" applyAlignment="1">
      <alignment horizontal="left" vertical="center"/>
    </xf>
    <xf numFmtId="0" fontId="0" fillId="0" borderId="203" xfId="0" applyBorder="1" applyAlignment="1">
      <alignment horizontal="left" vertical="center"/>
    </xf>
    <xf numFmtId="0" fontId="24" fillId="0" borderId="307" xfId="0" applyFont="1" applyFill="1" applyBorder="1" applyAlignment="1">
      <alignment vertical="center" shrinkToFit="1"/>
    </xf>
    <xf numFmtId="0" fontId="24" fillId="0" borderId="229" xfId="0" applyFont="1" applyFill="1" applyBorder="1" applyAlignment="1">
      <alignment vertical="center" shrinkToFit="1"/>
    </xf>
    <xf numFmtId="0" fontId="58" fillId="0" borderId="86" xfId="0" applyFont="1" applyFill="1" applyBorder="1" applyAlignment="1">
      <alignment horizontal="left" vertical="center" shrinkToFit="1"/>
    </xf>
    <xf numFmtId="0" fontId="0" fillId="0" borderId="203" xfId="0" applyBorder="1" applyAlignment="1">
      <alignment horizontal="left" vertical="center" shrinkToFit="1"/>
    </xf>
    <xf numFmtId="0" fontId="17" fillId="0" borderId="231" xfId="0" applyFont="1" applyBorder="1" applyAlignment="1">
      <alignment horizontal="center" vertical="center" textRotation="255"/>
    </xf>
    <xf numFmtId="0" fontId="17" fillId="0" borderId="284" xfId="0" applyFont="1" applyBorder="1" applyAlignment="1">
      <alignment horizontal="center" vertical="center" textRotation="255"/>
    </xf>
    <xf numFmtId="0" fontId="17" fillId="0" borderId="89" xfId="0" applyFont="1" applyBorder="1" applyAlignment="1">
      <alignment horizontal="center" vertical="center" textRotation="255"/>
    </xf>
    <xf numFmtId="0" fontId="9" fillId="30" borderId="89" xfId="0" applyFont="1" applyFill="1" applyBorder="1" applyAlignment="1">
      <alignment horizontal="center" vertical="center" textRotation="255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0" fontId="68" fillId="0" borderId="0" xfId="0" applyFont="1" applyFill="1" applyBorder="1" applyAlignment="1">
      <alignment horizontal="distributed" vertical="center"/>
    </xf>
    <xf numFmtId="0" fontId="69" fillId="0" borderId="0" xfId="0" applyFont="1" applyAlignment="1">
      <alignment vertical="center"/>
    </xf>
    <xf numFmtId="0" fontId="53" fillId="0" borderId="225" xfId="0" applyFont="1" applyFill="1" applyBorder="1" applyAlignment="1">
      <alignment horizontal="distributed" vertical="center"/>
    </xf>
    <xf numFmtId="0" fontId="70" fillId="0" borderId="225" xfId="0" applyFont="1" applyBorder="1" applyAlignment="1">
      <alignment vertical="center"/>
    </xf>
    <xf numFmtId="0" fontId="53" fillId="0" borderId="139" xfId="0" applyFont="1" applyFill="1" applyBorder="1" applyAlignment="1">
      <alignment horizontal="distributed" vertical="center"/>
    </xf>
    <xf numFmtId="0" fontId="70" fillId="0" borderId="139" xfId="0" applyFont="1" applyBorder="1" applyAlignment="1">
      <alignment vertical="center"/>
    </xf>
    <xf numFmtId="0" fontId="70" fillId="0" borderId="15" xfId="0" applyFont="1" applyBorder="1" applyAlignment="1">
      <alignment vertical="center"/>
    </xf>
    <xf numFmtId="0" fontId="53" fillId="0" borderId="12" xfId="0" applyFont="1" applyFill="1" applyBorder="1" applyAlignment="1">
      <alignment horizontal="left" vertical="center" shrinkToFit="1"/>
    </xf>
    <xf numFmtId="0" fontId="53" fillId="0" borderId="286" xfId="0" applyFont="1" applyFill="1" applyBorder="1" applyAlignment="1">
      <alignment horizontal="left" vertical="center" shrinkToFit="1"/>
    </xf>
    <xf numFmtId="0" fontId="24" fillId="30" borderId="120" xfId="0" applyFont="1" applyFill="1" applyBorder="1" applyAlignment="1">
      <alignment horizontal="center" vertical="center" wrapText="1" shrinkToFit="1"/>
    </xf>
    <xf numFmtId="0" fontId="0" fillId="0" borderId="95" xfId="0" applyBorder="1" applyAlignment="1">
      <alignment horizontal="center" vertical="center" wrapText="1" shrinkToFit="1"/>
    </xf>
    <xf numFmtId="0" fontId="87" fillId="0" borderId="298" xfId="0" applyFont="1" applyFill="1" applyBorder="1" applyAlignment="1">
      <alignment vertical="center" wrapText="1"/>
    </xf>
    <xf numFmtId="0" fontId="87" fillId="0" borderId="256" xfId="0" applyFont="1" applyFill="1" applyBorder="1" applyAlignment="1">
      <alignment vertical="center" wrapText="1"/>
    </xf>
    <xf numFmtId="0" fontId="98" fillId="0" borderId="201" xfId="0" applyFont="1" applyFill="1" applyBorder="1" applyAlignment="1">
      <alignment vertical="center" wrapText="1"/>
    </xf>
    <xf numFmtId="0" fontId="98" fillId="0" borderId="228" xfId="0" applyFont="1" applyFill="1" applyBorder="1" applyAlignment="1">
      <alignment vertical="center" wrapText="1"/>
    </xf>
    <xf numFmtId="0" fontId="87" fillId="17" borderId="126" xfId="0" applyFont="1" applyFill="1" applyBorder="1" applyAlignment="1">
      <alignment horizontal="center" vertical="center"/>
    </xf>
    <xf numFmtId="0" fontId="81" fillId="17" borderId="127" xfId="0" applyFont="1" applyFill="1" applyBorder="1" applyAlignment="1">
      <alignment horizontal="center" vertical="center"/>
    </xf>
    <xf numFmtId="0" fontId="87" fillId="26" borderId="126" xfId="0" applyFont="1" applyFill="1" applyBorder="1" applyAlignment="1">
      <alignment horizontal="center" vertical="center"/>
    </xf>
    <xf numFmtId="0" fontId="81" fillId="26" borderId="127" xfId="0" applyFont="1" applyFill="1" applyBorder="1" applyAlignment="1">
      <alignment horizontal="center" vertical="center"/>
    </xf>
    <xf numFmtId="0" fontId="81" fillId="26" borderId="157" xfId="0" applyFont="1" applyFill="1" applyBorder="1" applyAlignment="1">
      <alignment horizontal="center" vertical="center"/>
    </xf>
    <xf numFmtId="0" fontId="87" fillId="0" borderId="155" xfId="0" applyFont="1" applyFill="1" applyBorder="1" applyAlignment="1">
      <alignment vertical="center" wrapText="1"/>
    </xf>
    <xf numFmtId="0" fontId="98" fillId="0" borderId="156" xfId="0" applyFont="1" applyFill="1" applyBorder="1" applyAlignment="1">
      <alignment vertical="center" wrapText="1"/>
    </xf>
    <xf numFmtId="0" fontId="87" fillId="0" borderId="169" xfId="0" applyFont="1" applyFill="1" applyBorder="1" applyAlignment="1">
      <alignment vertical="center"/>
    </xf>
    <xf numFmtId="0" fontId="81" fillId="0" borderId="96" xfId="0" applyFont="1" applyFill="1" applyBorder="1" applyAlignment="1">
      <alignment vertical="center"/>
    </xf>
    <xf numFmtId="0" fontId="87" fillId="31" borderId="144" xfId="0" applyFont="1" applyFill="1" applyBorder="1" applyAlignment="1">
      <alignment horizontal="left" vertical="center"/>
    </xf>
    <xf numFmtId="0" fontId="81" fillId="31" borderId="142" xfId="0" applyFont="1" applyFill="1" applyBorder="1" applyAlignment="1">
      <alignment horizontal="left" vertical="center"/>
    </xf>
    <xf numFmtId="0" fontId="81" fillId="31" borderId="140" xfId="0" applyFont="1" applyFill="1" applyBorder="1" applyAlignment="1">
      <alignment horizontal="left" vertical="center"/>
    </xf>
    <xf numFmtId="0" fontId="87" fillId="31" borderId="314" xfId="0" applyFont="1" applyFill="1" applyBorder="1" applyAlignment="1">
      <alignment horizontal="left" vertical="center"/>
    </xf>
    <xf numFmtId="0" fontId="81" fillId="31" borderId="157" xfId="0" applyFont="1" applyFill="1" applyBorder="1" applyAlignment="1">
      <alignment horizontal="left" vertical="center"/>
    </xf>
    <xf numFmtId="0" fontId="81" fillId="31" borderId="108" xfId="0" applyFont="1" applyFill="1" applyBorder="1" applyAlignment="1">
      <alignment horizontal="left" vertical="center"/>
    </xf>
    <xf numFmtId="0" fontId="78" fillId="0" borderId="120" xfId="0" applyFont="1" applyFill="1" applyBorder="1" applyAlignment="1">
      <alignment horizontal="center" vertical="center" textRotation="255"/>
    </xf>
    <xf numFmtId="0" fontId="78" fillId="0" borderId="95" xfId="0" applyFont="1" applyFill="1" applyBorder="1" applyAlignment="1">
      <alignment horizontal="center" vertical="center" textRotation="255"/>
    </xf>
    <xf numFmtId="0" fontId="78" fillId="0" borderId="23" xfId="0" applyFont="1" applyFill="1" applyBorder="1" applyAlignment="1">
      <alignment horizontal="center" vertical="center" textRotation="255"/>
    </xf>
    <xf numFmtId="0" fontId="78" fillId="0" borderId="85" xfId="0" applyFont="1" applyFill="1" applyBorder="1" applyAlignment="1">
      <alignment horizontal="center" vertical="center" textRotation="255"/>
    </xf>
    <xf numFmtId="0" fontId="87" fillId="0" borderId="298" xfId="0" applyFont="1" applyBorder="1" applyAlignment="1">
      <alignment vertical="center" wrapText="1"/>
    </xf>
    <xf numFmtId="0" fontId="87" fillId="0" borderId="256" xfId="0" applyFont="1" applyBorder="1" applyAlignment="1">
      <alignment vertical="center" wrapText="1"/>
    </xf>
    <xf numFmtId="0" fontId="87" fillId="0" borderId="155" xfId="0" applyFont="1" applyBorder="1" applyAlignment="1">
      <alignment vertical="center" wrapText="1"/>
    </xf>
    <xf numFmtId="0" fontId="98" fillId="0" borderId="201" xfId="0" applyFont="1" applyBorder="1" applyAlignment="1">
      <alignment vertical="center" wrapText="1"/>
    </xf>
    <xf numFmtId="0" fontId="98" fillId="0" borderId="228" xfId="0" applyFont="1" applyBorder="1" applyAlignment="1">
      <alignment vertical="center" wrapText="1"/>
    </xf>
    <xf numFmtId="0" fontId="98" fillId="0" borderId="156" xfId="0" applyFont="1" applyBorder="1" applyAlignment="1">
      <alignment vertical="center" wrapText="1"/>
    </xf>
    <xf numFmtId="0" fontId="87" fillId="0" borderId="169" xfId="0" applyFont="1" applyBorder="1" applyAlignment="1">
      <alignment vertical="center"/>
    </xf>
    <xf numFmtId="0" fontId="81" fillId="0" borderId="96" xfId="0" applyFont="1" applyBorder="1" applyAlignment="1">
      <alignment vertical="center"/>
    </xf>
    <xf numFmtId="0" fontId="78" fillId="0" borderId="224" xfId="0" applyFont="1" applyFill="1" applyBorder="1" applyAlignment="1">
      <alignment horizontal="center" vertical="center"/>
    </xf>
    <xf numFmtId="0" fontId="78" fillId="0" borderId="226" xfId="0" applyFont="1" applyFill="1" applyBorder="1" applyAlignment="1">
      <alignment horizontal="center" vertical="center"/>
    </xf>
    <xf numFmtId="0" fontId="90" fillId="0" borderId="309" xfId="0" applyFont="1" applyFill="1" applyBorder="1" applyAlignment="1">
      <alignment horizontal="left" vertical="center"/>
    </xf>
    <xf numFmtId="0" fontId="90" fillId="0" borderId="260" xfId="0" applyFont="1" applyFill="1" applyBorder="1" applyAlignment="1">
      <alignment horizontal="left" vertical="center"/>
    </xf>
    <xf numFmtId="0" fontId="78" fillId="30" borderId="231" xfId="0" applyFont="1" applyFill="1" applyBorder="1" applyAlignment="1">
      <alignment horizontal="center" vertical="center" textRotation="255"/>
    </xf>
    <xf numFmtId="0" fontId="78" fillId="30" borderId="121" xfId="0" applyFont="1" applyFill="1" applyBorder="1" applyAlignment="1">
      <alignment horizontal="center" vertical="center" textRotation="255"/>
    </xf>
    <xf numFmtId="0" fontId="81" fillId="0" borderId="121" xfId="0" applyFont="1" applyBorder="1" applyAlignment="1">
      <alignment horizontal="center" vertical="center" textRotation="255"/>
    </xf>
    <xf numFmtId="0" fontId="81" fillId="0" borderId="95" xfId="0" applyFont="1" applyBorder="1" applyAlignment="1">
      <alignment vertical="center"/>
    </xf>
    <xf numFmtId="0" fontId="78" fillId="30" borderId="120" xfId="0" applyFont="1" applyFill="1" applyBorder="1" applyAlignment="1">
      <alignment horizontal="center" vertical="center" textRotation="255"/>
    </xf>
    <xf numFmtId="0" fontId="81" fillId="0" borderId="95" xfId="0" applyFont="1" applyBorder="1" applyAlignment="1">
      <alignment horizontal="center" vertical="center" textRotation="255"/>
    </xf>
    <xf numFmtId="0" fontId="78" fillId="30" borderId="95" xfId="0" applyFont="1" applyFill="1" applyBorder="1" applyAlignment="1">
      <alignment horizontal="center" vertical="center" textRotation="255"/>
    </xf>
    <xf numFmtId="0" fontId="103" fillId="0" borderId="224" xfId="0" applyFont="1" applyFill="1" applyBorder="1" applyAlignment="1">
      <alignment horizontal="center" vertical="center" wrapText="1"/>
    </xf>
    <xf numFmtId="0" fontId="103" fillId="0" borderId="225" xfId="0" applyFont="1" applyFill="1" applyBorder="1" applyAlignment="1">
      <alignment horizontal="center" vertical="center" wrapText="1"/>
    </xf>
    <xf numFmtId="0" fontId="87" fillId="0" borderId="283" xfId="0" applyFont="1" applyFill="1" applyBorder="1" applyAlignment="1">
      <alignment horizontal="center" vertical="center" wrapText="1"/>
    </xf>
    <xf numFmtId="0" fontId="87" fillId="0" borderId="258" xfId="0" applyFont="1" applyFill="1" applyBorder="1" applyAlignment="1">
      <alignment horizontal="center" vertical="center" wrapText="1"/>
    </xf>
    <xf numFmtId="38" fontId="78" fillId="0" borderId="82" xfId="0" applyNumberFormat="1" applyFont="1" applyFill="1" applyBorder="1" applyAlignment="1">
      <alignment horizontal="left" vertical="center"/>
    </xf>
    <xf numFmtId="0" fontId="90" fillId="0" borderId="283" xfId="0" applyFont="1" applyFill="1" applyBorder="1" applyAlignment="1">
      <alignment horizontal="left" vertical="center"/>
    </xf>
    <xf numFmtId="38" fontId="78" fillId="0" borderId="85" xfId="0" applyNumberFormat="1" applyFont="1" applyFill="1" applyBorder="1" applyAlignment="1">
      <alignment horizontal="left" vertical="center"/>
    </xf>
    <xf numFmtId="0" fontId="78" fillId="0" borderId="231" xfId="0" applyFont="1" applyFill="1" applyBorder="1" applyAlignment="1">
      <alignment horizontal="center" vertical="center" wrapText="1"/>
    </xf>
    <xf numFmtId="0" fontId="78" fillId="0" borderId="89" xfId="0" applyFont="1" applyFill="1" applyBorder="1" applyAlignment="1">
      <alignment horizontal="center" vertical="center" wrapText="1"/>
    </xf>
    <xf numFmtId="0" fontId="90" fillId="0" borderId="283" xfId="0" applyFont="1" applyFill="1" applyBorder="1" applyAlignment="1">
      <alignment horizontal="left" vertical="center" shrinkToFit="1"/>
    </xf>
    <xf numFmtId="0" fontId="90" fillId="0" borderId="258" xfId="0" applyFont="1" applyFill="1" applyBorder="1" applyAlignment="1">
      <alignment horizontal="left" vertical="center" shrinkToFit="1"/>
    </xf>
    <xf numFmtId="0" fontId="83" fillId="0" borderId="231" xfId="0" applyFont="1" applyFill="1" applyBorder="1" applyAlignment="1">
      <alignment horizontal="center" vertical="center" wrapText="1"/>
    </xf>
    <xf numFmtId="0" fontId="83" fillId="0" borderId="89" xfId="0" applyFont="1" applyFill="1" applyBorder="1" applyAlignment="1">
      <alignment horizontal="center" vertical="center" wrapText="1"/>
    </xf>
    <xf numFmtId="0" fontId="104" fillId="0" borderId="309" xfId="0" applyFont="1" applyFill="1" applyBorder="1" applyAlignment="1">
      <alignment horizontal="left" vertical="center" shrinkToFit="1"/>
    </xf>
    <xf numFmtId="0" fontId="104" fillId="0" borderId="283" xfId="0" applyFont="1" applyFill="1" applyBorder="1" applyAlignment="1">
      <alignment horizontal="left" vertical="center" shrinkToFit="1"/>
    </xf>
    <xf numFmtId="0" fontId="83" fillId="0" borderId="286" xfId="0" applyFont="1" applyFill="1" applyBorder="1" applyAlignment="1">
      <alignment horizontal="center" vertical="center" shrinkToFit="1"/>
    </xf>
    <xf numFmtId="0" fontId="83" fillId="0" borderId="149" xfId="0" applyFont="1" applyFill="1" applyBorder="1" applyAlignment="1">
      <alignment horizontal="center" vertical="center" shrinkToFit="1"/>
    </xf>
    <xf numFmtId="0" fontId="83" fillId="0" borderId="287" xfId="0" applyFont="1" applyFill="1" applyBorder="1" applyAlignment="1">
      <alignment horizontal="center" vertical="center" shrinkToFit="1"/>
    </xf>
    <xf numFmtId="0" fontId="83" fillId="30" borderId="231" xfId="0" applyFont="1" applyFill="1" applyBorder="1" applyAlignment="1">
      <alignment horizontal="center" vertical="center" textRotation="255"/>
    </xf>
    <xf numFmtId="0" fontId="83" fillId="30" borderId="121" xfId="0" applyFont="1" applyFill="1" applyBorder="1" applyAlignment="1">
      <alignment horizontal="center" vertical="center" textRotation="255"/>
    </xf>
    <xf numFmtId="0" fontId="83" fillId="30" borderId="95" xfId="0" applyFont="1" applyFill="1" applyBorder="1" applyAlignment="1">
      <alignment horizontal="center" vertical="center" textRotation="255"/>
    </xf>
    <xf numFmtId="0" fontId="83" fillId="30" borderId="120" xfId="0" applyFont="1" applyFill="1" applyBorder="1" applyAlignment="1">
      <alignment horizontal="center" vertical="center" textRotation="255"/>
    </xf>
    <xf numFmtId="0" fontId="83" fillId="30" borderId="140" xfId="0" applyFont="1" applyFill="1" applyBorder="1" applyAlignment="1">
      <alignment horizontal="center" vertical="center" textRotation="255"/>
    </xf>
    <xf numFmtId="0" fontId="106" fillId="0" borderId="231" xfId="0" applyFont="1" applyFill="1" applyBorder="1" applyAlignment="1">
      <alignment horizontal="center" vertical="center" wrapText="1"/>
    </xf>
    <xf numFmtId="0" fontId="106" fillId="0" borderId="89" xfId="0" applyFont="1" applyFill="1" applyBorder="1" applyAlignment="1">
      <alignment horizontal="center" vertical="center" wrapText="1"/>
    </xf>
    <xf numFmtId="0" fontId="104" fillId="0" borderId="258" xfId="0" applyFont="1" applyFill="1" applyBorder="1" applyAlignment="1">
      <alignment horizontal="left" vertical="center" shrinkToFit="1"/>
    </xf>
    <xf numFmtId="0" fontId="83" fillId="0" borderId="260" xfId="0" applyFont="1" applyFill="1" applyBorder="1" applyAlignment="1">
      <alignment horizontal="center" vertical="center" shrinkToFit="1"/>
    </xf>
    <xf numFmtId="0" fontId="78" fillId="30" borderId="224" xfId="0" applyFont="1" applyFill="1" applyBorder="1" applyAlignment="1">
      <alignment horizontal="center" vertical="center"/>
    </xf>
    <xf numFmtId="0" fontId="78" fillId="30" borderId="226" xfId="0" applyFont="1" applyFill="1" applyBorder="1" applyAlignment="1">
      <alignment horizontal="center" vertical="center"/>
    </xf>
    <xf numFmtId="0" fontId="78" fillId="30" borderId="283" xfId="0" applyFont="1" applyFill="1" applyBorder="1" applyAlignment="1">
      <alignment horizontal="center" vertical="center"/>
    </xf>
    <xf numFmtId="0" fontId="78" fillId="30" borderId="286" xfId="0" applyFont="1" applyFill="1" applyBorder="1" applyAlignment="1">
      <alignment horizontal="center" vertical="center" textRotation="255"/>
    </xf>
    <xf numFmtId="0" fontId="78" fillId="30" borderId="149" xfId="0" applyFont="1" applyFill="1" applyBorder="1" applyAlignment="1">
      <alignment horizontal="center" vertical="center" textRotation="255"/>
    </xf>
    <xf numFmtId="0" fontId="78" fillId="30" borderId="94" xfId="0" applyFont="1" applyFill="1" applyBorder="1" applyAlignment="1">
      <alignment horizontal="center" vertical="center" textRotation="255"/>
    </xf>
    <xf numFmtId="0" fontId="78" fillId="30" borderId="119" xfId="0" applyFont="1" applyFill="1" applyBorder="1" applyAlignment="1">
      <alignment horizontal="center" vertical="center" textRotation="255"/>
    </xf>
    <xf numFmtId="0" fontId="93" fillId="17" borderId="52" xfId="0" applyFont="1" applyFill="1" applyBorder="1" applyAlignment="1">
      <alignment horizontal="left" vertical="center" shrinkToFit="1"/>
    </xf>
    <xf numFmtId="0" fontId="93" fillId="17" borderId="142" xfId="0" applyFont="1" applyFill="1" applyBorder="1" applyAlignment="1">
      <alignment horizontal="left" vertical="center" shrinkToFit="1"/>
    </xf>
    <xf numFmtId="0" fontId="93" fillId="17" borderId="140" xfId="0" applyFont="1" applyFill="1" applyBorder="1" applyAlignment="1">
      <alignment horizontal="left" vertical="center" shrinkToFit="1"/>
    </xf>
    <xf numFmtId="0" fontId="78" fillId="30" borderId="24" xfId="0" applyFont="1" applyFill="1" applyBorder="1" applyAlignment="1">
      <alignment horizontal="center" vertical="center" textRotation="255"/>
    </xf>
    <xf numFmtId="0" fontId="78" fillId="30" borderId="84" xfId="0" applyFont="1" applyFill="1" applyBorder="1" applyAlignment="1">
      <alignment horizontal="center" vertical="center" textRotation="255"/>
    </xf>
    <xf numFmtId="0" fontId="91" fillId="0" borderId="142" xfId="0" applyFont="1" applyBorder="1" applyAlignment="1">
      <alignment horizontal="right" vertical="center"/>
    </xf>
    <xf numFmtId="0" fontId="91" fillId="0" borderId="140" xfId="0" applyFont="1" applyBorder="1" applyAlignment="1">
      <alignment horizontal="right" vertical="center"/>
    </xf>
    <xf numFmtId="0" fontId="91" fillId="0" borderId="174" xfId="0" applyFont="1" applyBorder="1" applyAlignment="1">
      <alignment horizontal="right" vertical="center" wrapText="1" shrinkToFit="1"/>
    </xf>
    <xf numFmtId="0" fontId="91" fillId="0" borderId="141" xfId="0" applyFont="1" applyBorder="1" applyAlignment="1">
      <alignment horizontal="right" vertical="center" shrinkToFit="1"/>
    </xf>
    <xf numFmtId="0" fontId="91" fillId="0" borderId="156" xfId="0" applyFont="1" applyBorder="1" applyAlignment="1">
      <alignment horizontal="right" vertical="center" shrinkToFit="1"/>
    </xf>
    <xf numFmtId="0" fontId="91" fillId="0" borderId="283" xfId="0" applyFont="1" applyBorder="1" applyAlignment="1">
      <alignment horizontal="right" vertical="center" wrapText="1" shrinkToFit="1"/>
    </xf>
    <xf numFmtId="0" fontId="91" fillId="0" borderId="258" xfId="0" applyFont="1" applyBorder="1" applyAlignment="1">
      <alignment horizontal="right" vertical="center" shrinkToFit="1"/>
    </xf>
    <xf numFmtId="0" fontId="91" fillId="0" borderId="285" xfId="0" applyFont="1" applyBorder="1" applyAlignment="1">
      <alignment horizontal="right" vertical="center" shrinkToFit="1"/>
    </xf>
    <xf numFmtId="0" fontId="92" fillId="0" borderId="231" xfId="0" applyFont="1" applyBorder="1" applyAlignment="1">
      <alignment horizontal="center" vertical="center" textRotation="255"/>
    </xf>
    <xf numFmtId="0" fontId="92" fillId="0" borderId="284" xfId="0" applyFont="1" applyBorder="1" applyAlignment="1">
      <alignment horizontal="center" vertical="center" textRotation="255"/>
    </xf>
    <xf numFmtId="0" fontId="92" fillId="0" borderId="89" xfId="0" applyFont="1" applyBorder="1" applyAlignment="1">
      <alignment horizontal="center" vertical="center" textRotation="255"/>
    </xf>
    <xf numFmtId="0" fontId="93" fillId="0" borderId="149" xfId="0" applyFont="1" applyFill="1" applyBorder="1" applyAlignment="1">
      <alignment horizontal="center" vertical="center" shrinkToFit="1"/>
    </xf>
    <xf numFmtId="0" fontId="93" fillId="30" borderId="120" xfId="0" applyFont="1" applyFill="1" applyBorder="1" applyAlignment="1">
      <alignment horizontal="center" vertical="center" wrapText="1" shrinkToFit="1"/>
    </xf>
    <xf numFmtId="0" fontId="81" fillId="0" borderId="95" xfId="0" applyFont="1" applyBorder="1" applyAlignment="1">
      <alignment horizontal="center" vertical="center" wrapText="1" shrinkToFit="1"/>
    </xf>
    <xf numFmtId="0" fontId="93" fillId="0" borderId="52" xfId="0" applyFont="1" applyFill="1" applyBorder="1" applyAlignment="1">
      <alignment horizontal="left" vertical="center"/>
    </xf>
    <xf numFmtId="0" fontId="92" fillId="0" borderId="140" xfId="0" applyFont="1" applyBorder="1" applyAlignment="1">
      <alignment horizontal="left" vertical="center"/>
    </xf>
    <xf numFmtId="0" fontId="95" fillId="0" borderId="86" xfId="0" applyFont="1" applyBorder="1" applyAlignment="1">
      <alignment horizontal="left" vertical="center"/>
    </xf>
    <xf numFmtId="0" fontId="81" fillId="0" borderId="203" xfId="0" applyFont="1" applyBorder="1" applyAlignment="1">
      <alignment horizontal="left" vertical="center"/>
    </xf>
    <xf numFmtId="0" fontId="93" fillId="0" borderId="307" xfId="0" applyFont="1" applyFill="1" applyBorder="1" applyAlignment="1">
      <alignment vertical="center" shrinkToFit="1"/>
    </xf>
    <xf numFmtId="0" fontId="93" fillId="0" borderId="229" xfId="0" applyFont="1" applyFill="1" applyBorder="1" applyAlignment="1">
      <alignment vertical="center" shrinkToFit="1"/>
    </xf>
    <xf numFmtId="0" fontId="95" fillId="0" borderId="86" xfId="0" applyFont="1" applyFill="1" applyBorder="1" applyAlignment="1">
      <alignment horizontal="left" vertical="center" shrinkToFit="1"/>
    </xf>
    <xf numFmtId="0" fontId="81" fillId="0" borderId="203" xfId="0" applyFont="1" applyBorder="1" applyAlignment="1">
      <alignment horizontal="left" vertical="center" shrinkToFit="1"/>
    </xf>
    <xf numFmtId="0" fontId="78" fillId="30" borderId="89" xfId="0" applyFont="1" applyFill="1" applyBorder="1" applyAlignment="1">
      <alignment horizontal="center" vertical="center" textRotation="255"/>
    </xf>
    <xf numFmtId="0" fontId="88" fillId="0" borderId="12" xfId="0" applyFont="1" applyFill="1" applyBorder="1" applyAlignment="1">
      <alignment horizontal="left" vertical="center" shrinkToFit="1"/>
    </xf>
    <xf numFmtId="0" fontId="88" fillId="0" borderId="286" xfId="0" applyFont="1" applyFill="1" applyBorder="1" applyAlignment="1">
      <alignment horizontal="left" vertical="center" shrinkToFit="1"/>
    </xf>
    <xf numFmtId="0" fontId="91" fillId="0" borderId="178" xfId="0" applyFont="1" applyBorder="1" applyAlignment="1">
      <alignment horizontal="right" vertical="center"/>
    </xf>
    <xf numFmtId="0" fontId="91" fillId="0" borderId="233" xfId="0" applyFont="1" applyBorder="1" applyAlignment="1">
      <alignment horizontal="right" vertical="center"/>
    </xf>
    <xf numFmtId="0" fontId="91" fillId="0" borderId="141" xfId="0" applyFont="1" applyBorder="1" applyAlignment="1">
      <alignment horizontal="right" vertical="center" wrapText="1" shrinkToFit="1"/>
    </xf>
    <xf numFmtId="0" fontId="91" fillId="0" borderId="156" xfId="0" applyFont="1" applyBorder="1" applyAlignment="1">
      <alignment horizontal="right" vertical="center" wrapText="1" shrinkToFit="1"/>
    </xf>
    <xf numFmtId="0" fontId="91" fillId="0" borderId="175" xfId="0" applyFont="1" applyBorder="1" applyAlignment="1">
      <alignment horizontal="right" vertical="center" wrapText="1" shrinkToFit="1"/>
    </xf>
    <xf numFmtId="0" fontId="91" fillId="0" borderId="176" xfId="0" applyFont="1" applyBorder="1" applyAlignment="1">
      <alignment horizontal="right" vertical="center" wrapText="1" shrinkToFit="1"/>
    </xf>
    <xf numFmtId="0" fontId="91" fillId="0" borderId="203" xfId="0" applyFont="1" applyBorder="1" applyAlignment="1">
      <alignment horizontal="right" vertical="center" wrapText="1" shrinkToFit="1"/>
    </xf>
    <xf numFmtId="0" fontId="84" fillId="0" borderId="0" xfId="0" applyFont="1" applyFill="1" applyBorder="1" applyAlignment="1">
      <alignment horizontal="distributed" vertical="center"/>
    </xf>
    <xf numFmtId="0" fontId="85" fillId="0" borderId="0" xfId="0" applyFont="1" applyAlignment="1">
      <alignment vertical="center"/>
    </xf>
    <xf numFmtId="0" fontId="88" fillId="0" borderId="225" xfId="0" applyFont="1" applyFill="1" applyBorder="1" applyAlignment="1">
      <alignment horizontal="distributed" vertical="center"/>
    </xf>
    <xf numFmtId="0" fontId="89" fillId="0" borderId="225" xfId="0" applyFont="1" applyBorder="1" applyAlignment="1">
      <alignment vertical="center"/>
    </xf>
    <xf numFmtId="0" fontId="88" fillId="0" borderId="139" xfId="0" applyFont="1" applyFill="1" applyBorder="1" applyAlignment="1">
      <alignment horizontal="distributed" vertical="center"/>
    </xf>
    <xf numFmtId="0" fontId="89" fillId="0" borderId="139" xfId="0" applyFont="1" applyBorder="1" applyAlignment="1">
      <alignment vertical="center"/>
    </xf>
    <xf numFmtId="0" fontId="88" fillId="0" borderId="15" xfId="0" applyFont="1" applyFill="1" applyBorder="1" applyAlignment="1">
      <alignment horizontal="distributed" vertical="center"/>
    </xf>
    <xf numFmtId="0" fontId="89" fillId="0" borderId="15" xfId="0" applyFont="1" applyBorder="1" applyAlignment="1">
      <alignment vertical="center"/>
    </xf>
    <xf numFmtId="0" fontId="87" fillId="0" borderId="178" xfId="0" applyFont="1" applyFill="1" applyBorder="1" applyAlignment="1">
      <alignment horizontal="right" vertical="center" shrinkToFit="1"/>
    </xf>
    <xf numFmtId="0" fontId="87" fillId="0" borderId="233" xfId="0" applyFont="1" applyFill="1" applyBorder="1" applyAlignment="1">
      <alignment horizontal="right" vertical="center" shrinkToFit="1"/>
    </xf>
    <xf numFmtId="0" fontId="87" fillId="0" borderId="176" xfId="0" applyFont="1" applyFill="1" applyBorder="1" applyAlignment="1">
      <alignment horizontal="right" vertical="center" shrinkToFit="1"/>
    </xf>
    <xf numFmtId="0" fontId="87" fillId="0" borderId="203" xfId="0" applyFont="1" applyFill="1" applyBorder="1" applyAlignment="1">
      <alignment horizontal="right" vertical="center" shrinkToFit="1"/>
    </xf>
    <xf numFmtId="179" fontId="17" fillId="0" borderId="112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71" xfId="0" applyNumberFormat="1" applyFont="1" applyBorder="1" applyAlignment="1" applyProtection="1">
      <alignment horizontal="center" vertical="center" shrinkToFit="1"/>
      <protection locked="0"/>
    </xf>
    <xf numFmtId="179" fontId="17" fillId="0" borderId="173" xfId="0" applyNumberFormat="1" applyFont="1" applyBorder="1" applyAlignment="1" applyProtection="1">
      <alignment horizontal="center" vertical="center" shrinkToFit="1"/>
      <protection locked="0"/>
    </xf>
  </cellXfs>
  <cellStyles count="4">
    <cellStyle name="パーセント 2" xfId="2"/>
    <cellStyle name="桁区切り" xfId="1" builtinId="6"/>
    <cellStyle name="桁区切り 2" xfId="3"/>
    <cellStyle name="標準" xfId="0" builtinId="0"/>
  </cellStyles>
  <dxfs count="1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828675</xdr:colOff>
      <xdr:row>0</xdr:row>
      <xdr:rowOff>57151</xdr:rowOff>
    </xdr:from>
    <xdr:to>
      <xdr:col>4</xdr:col>
      <xdr:colOff>200025</xdr:colOff>
      <xdr:row>1</xdr:row>
      <xdr:rowOff>114300</xdr:rowOff>
    </xdr:to>
    <xdr:sp macro="" textlink="">
      <xdr:nvSpPr>
        <xdr:cNvPr id="2" name="Text Box 213"/>
        <xdr:cNvSpPr txBox="1">
          <a:spLocks noChangeArrowheads="1"/>
        </xdr:cNvSpPr>
      </xdr:nvSpPr>
      <xdr:spPr bwMode="auto">
        <a:xfrm>
          <a:off x="1295400" y="57151"/>
          <a:ext cx="3162300" cy="304799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  <xdr:twoCellAnchor>
    <xdr:from>
      <xdr:col>16</xdr:col>
      <xdr:colOff>649941</xdr:colOff>
      <xdr:row>3</xdr:row>
      <xdr:rowOff>313765</xdr:rowOff>
    </xdr:from>
    <xdr:to>
      <xdr:col>19</xdr:col>
      <xdr:colOff>1109382</xdr:colOff>
      <xdr:row>6</xdr:row>
      <xdr:rowOff>134470</xdr:rowOff>
    </xdr:to>
    <xdr:sp macro="" textlink="">
      <xdr:nvSpPr>
        <xdr:cNvPr id="3" name="左矢印吹き出し 2"/>
        <xdr:cNvSpPr/>
      </xdr:nvSpPr>
      <xdr:spPr bwMode="auto">
        <a:xfrm>
          <a:off x="13289616" y="809065"/>
          <a:ext cx="4031316" cy="982755"/>
        </a:xfrm>
        <a:prstGeom prst="leftArrowCallout">
          <a:avLst>
            <a:gd name="adj1" fmla="val 25000"/>
            <a:gd name="adj2" fmla="val 25000"/>
            <a:gd name="adj3" fmla="val 25000"/>
            <a:gd name="adj4" fmla="val 93348"/>
          </a:avLst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ja-JP" altLang="en-US" sz="1000"/>
            <a:t>資産管理明細書は事業単位で作成して下さい。</a:t>
          </a:r>
          <a:endParaRPr kumimoji="1" lang="en-US" altLang="ja-JP" sz="1000"/>
        </a:p>
        <a:p>
          <a:pPr algn="l"/>
          <a:r>
            <a:rPr kumimoji="1" lang="ja-JP" altLang="en-US" sz="1000"/>
            <a:t>例：２つの事業を一つの工事で発注する場合（ＷＢＳ管理シートが２枚有る場合）はＬ２セルに２を入力し、資産管理明細書を２枚作成。</a:t>
          </a:r>
          <a:r>
            <a:rPr kumimoji="1" lang="en-US" altLang="ja-JP" sz="1000"/>
            <a:t>※</a:t>
          </a:r>
          <a:r>
            <a:rPr kumimoji="1" lang="ja-JP" altLang="en-US" sz="1000"/>
            <a:t>１事業で分類が多く、複数枚に跨るのはＯＫ。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68</xdr:row>
      <xdr:rowOff>28575</xdr:rowOff>
    </xdr:from>
    <xdr:to>
      <xdr:col>18</xdr:col>
      <xdr:colOff>85725</xdr:colOff>
      <xdr:row>78</xdr:row>
      <xdr:rowOff>76200</xdr:rowOff>
    </xdr:to>
    <xdr:sp macro="" textlink="">
      <xdr:nvSpPr>
        <xdr:cNvPr id="4" name="テキスト ボックス 3"/>
        <xdr:cNvSpPr txBox="1"/>
      </xdr:nvSpPr>
      <xdr:spPr>
        <a:xfrm>
          <a:off x="8782050" y="11001375"/>
          <a:ext cx="5829300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費用分類</a:t>
          </a:r>
          <a:r>
            <a:rPr kumimoji="1" lang="en-US" altLang="ja-JP" sz="1100"/>
            <a:t>】,</a:t>
          </a:r>
          <a:r>
            <a:rPr kumimoji="1" lang="ja-JP" altLang="en-US" sz="1100"/>
            <a:t>費用</a:t>
          </a:r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,【</a:t>
          </a:r>
          <a:r>
            <a:rPr kumimoji="1" lang="ja-JP" altLang="en-US" sz="1100"/>
            <a:t>資産区分</a:t>
          </a:r>
          <a:r>
            <a:rPr kumimoji="1" lang="en-US" altLang="ja-JP" sz="1100"/>
            <a:t>】,</a:t>
          </a:r>
          <a:r>
            <a:rPr kumimoji="1" lang="ja-JP" altLang="en-US" sz="1100"/>
            <a:t>＜建物附属設備＞</a:t>
          </a:r>
          <a:r>
            <a:rPr kumimoji="1" lang="en-US" altLang="ja-JP" sz="1100"/>
            <a:t>,</a:t>
          </a:r>
          <a:r>
            <a:rPr kumimoji="1" lang="ja-JP" altLang="en-US" sz="1100"/>
            <a:t>店舗用簡易設備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簡易なもの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その他</a:t>
          </a:r>
          <a:r>
            <a:rPr kumimoji="1" lang="en-US" altLang="ja-JP" sz="1100"/>
            <a:t>,</a:t>
          </a:r>
          <a:r>
            <a:rPr kumimoji="1" lang="ja-JP" altLang="en-US" sz="1100"/>
            <a:t>シャッター・止水鉄扉等（金属製）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</a:t>
          </a:r>
          <a:r>
            <a:rPr kumimoji="1" lang="ja-JP" altLang="en-US" sz="1100"/>
            <a:t>＜工具・器具・備品＞</a:t>
          </a:r>
          <a:r>
            <a:rPr kumimoji="1" lang="en-US" altLang="ja-JP" sz="1100"/>
            <a:t>,</a:t>
          </a:r>
          <a:r>
            <a:rPr kumimoji="1" lang="ja-JP" altLang="en-US" sz="1100"/>
            <a:t>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電気設備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非電照サイン（その他）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非電照広告（その他）</a:t>
          </a:r>
          <a:r>
            <a:rPr kumimoji="1" lang="en-US" altLang="ja-JP" sz="1100"/>
            <a:t>,</a:t>
          </a:r>
          <a:r>
            <a:rPr kumimoji="1" lang="ja-JP" altLang="en-US" sz="1100"/>
            <a:t>無人駐車管理装置</a:t>
          </a:r>
          <a:r>
            <a:rPr kumimoji="1" lang="en-US" altLang="ja-JP" sz="1100"/>
            <a:t>,</a:t>
          </a:r>
          <a:r>
            <a:rPr kumimoji="1" lang="ja-JP" altLang="en-US" sz="1100"/>
            <a:t>その他（金属製）</a:t>
          </a:r>
          <a:r>
            <a:rPr kumimoji="1" lang="en-US" altLang="ja-JP" sz="1100"/>
            <a:t>,</a:t>
          </a:r>
          <a:r>
            <a:rPr kumimoji="1" lang="ja-JP" altLang="en-US" sz="1100"/>
            <a:t>その他（その他）</a:t>
          </a:r>
        </a:p>
      </xdr:txBody>
    </xdr:sp>
    <xdr:clientData/>
  </xdr:twoCellAnchor>
  <xdr:twoCellAnchor>
    <xdr:from>
      <xdr:col>0</xdr:col>
      <xdr:colOff>0</xdr:colOff>
      <xdr:row>6</xdr:row>
      <xdr:rowOff>1</xdr:rowOff>
    </xdr:from>
    <xdr:to>
      <xdr:col>3</xdr:col>
      <xdr:colOff>690618</xdr:colOff>
      <xdr:row>9</xdr:row>
      <xdr:rowOff>71736</xdr:rowOff>
    </xdr:to>
    <xdr:sp macro="[0]!諸経費表からリンク" textlink="">
      <xdr:nvSpPr>
        <xdr:cNvPr id="2" name="正方形/長方形 1"/>
        <xdr:cNvSpPr/>
      </xdr:nvSpPr>
      <xdr:spPr bwMode="auto">
        <a:xfrm>
          <a:off x="0" y="1008530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手順①</a:t>
          </a:r>
        </a:p>
        <a:p>
          <a:pPr algn="l"/>
          <a:r>
            <a:rPr kumimoji="1" lang="ja-JP" altLang="en-US" sz="1000"/>
            <a:t>諸経費表が完成したらクリック</a:t>
          </a:r>
        </a:p>
      </xdr:txBody>
    </xdr:sp>
    <xdr:clientData/>
  </xdr:twoCellAnchor>
  <xdr:twoCellAnchor>
    <xdr:from>
      <xdr:col>0</xdr:col>
      <xdr:colOff>0</xdr:colOff>
      <xdr:row>9</xdr:row>
      <xdr:rowOff>156881</xdr:rowOff>
    </xdr:from>
    <xdr:to>
      <xdr:col>3</xdr:col>
      <xdr:colOff>690618</xdr:colOff>
      <xdr:row>13</xdr:row>
      <xdr:rowOff>60528</xdr:rowOff>
    </xdr:to>
    <xdr:sp macro="[0]!H列をコピーして追加" textlink="">
      <xdr:nvSpPr>
        <xdr:cNvPr id="3" name="正方形/長方形 2"/>
        <xdr:cNvSpPr/>
      </xdr:nvSpPr>
      <xdr:spPr bwMode="auto">
        <a:xfrm>
          <a:off x="0" y="1669675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手順②</a:t>
          </a:r>
        </a:p>
        <a:p>
          <a:pPr algn="l"/>
          <a:r>
            <a:rPr kumimoji="1" lang="ja-JP" altLang="en-US" sz="1000"/>
            <a:t>Ｈ列が完成したらクリック（工事２以降がある場合）</a:t>
          </a:r>
          <a:endParaRPr kumimoji="1" lang="en-US" altLang="ja-JP" sz="1000" baseline="0"/>
        </a:p>
      </xdr:txBody>
    </xdr:sp>
    <xdr:clientData/>
  </xdr:twoCellAnchor>
  <xdr:twoCellAnchor>
    <xdr:from>
      <xdr:col>0</xdr:col>
      <xdr:colOff>0</xdr:colOff>
      <xdr:row>13</xdr:row>
      <xdr:rowOff>156882</xdr:rowOff>
    </xdr:from>
    <xdr:to>
      <xdr:col>3</xdr:col>
      <xdr:colOff>690618</xdr:colOff>
      <xdr:row>17</xdr:row>
      <xdr:rowOff>60529</xdr:rowOff>
    </xdr:to>
    <xdr:sp macro="[0]!表示設定" textlink="">
      <xdr:nvSpPr>
        <xdr:cNvPr id="5" name="正方形/長方形 4"/>
        <xdr:cNvSpPr/>
      </xdr:nvSpPr>
      <xdr:spPr bwMode="auto">
        <a:xfrm>
          <a:off x="0" y="2342029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手順③</a:t>
          </a:r>
        </a:p>
        <a:p>
          <a:pPr algn="l"/>
          <a:r>
            <a:rPr kumimoji="1" lang="ja-JP" altLang="en-US" sz="1000"/>
            <a:t>本表の金額入力が完了したらクリック（不要な行を非表示）</a:t>
          </a:r>
          <a:endParaRPr kumimoji="1" lang="en-US" altLang="ja-JP" sz="10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0</xdr:row>
      <xdr:rowOff>85725</xdr:rowOff>
    </xdr:from>
    <xdr:to>
      <xdr:col>4</xdr:col>
      <xdr:colOff>1647825</xdr:colOff>
      <xdr:row>1</xdr:row>
      <xdr:rowOff>238125</xdr:rowOff>
    </xdr:to>
    <xdr:sp macro="" textlink="">
      <xdr:nvSpPr>
        <xdr:cNvPr id="2261" name="Text Box 213"/>
        <xdr:cNvSpPr txBox="1">
          <a:spLocks noChangeArrowheads="1"/>
        </xdr:cNvSpPr>
      </xdr:nvSpPr>
      <xdr:spPr bwMode="auto">
        <a:xfrm>
          <a:off x="2019300" y="85725"/>
          <a:ext cx="2867025" cy="47625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18</xdr:row>
      <xdr:rowOff>57150</xdr:rowOff>
    </xdr:from>
    <xdr:to>
      <xdr:col>8</xdr:col>
      <xdr:colOff>114300</xdr:colOff>
      <xdr:row>21</xdr:row>
      <xdr:rowOff>9525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1771650" y="2867025"/>
          <a:ext cx="3486150" cy="457200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1285875</xdr:colOff>
      <xdr:row>20</xdr:row>
      <xdr:rowOff>123825</xdr:rowOff>
    </xdr:from>
    <xdr:to>
      <xdr:col>7</xdr:col>
      <xdr:colOff>19050</xdr:colOff>
      <xdr:row>23</xdr:row>
      <xdr:rowOff>123825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1285875" y="3219450"/>
          <a:ext cx="3486150" cy="457200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160805</xdr:colOff>
      <xdr:row>4</xdr:row>
      <xdr:rowOff>98053</xdr:rowOff>
    </xdr:from>
    <xdr:to>
      <xdr:col>4</xdr:col>
      <xdr:colOff>265579</xdr:colOff>
      <xdr:row>10</xdr:row>
      <xdr:rowOff>318248</xdr:rowOff>
    </xdr:to>
    <xdr:sp macro="" textlink="">
      <xdr:nvSpPr>
        <xdr:cNvPr id="2" name="角丸四角形 1"/>
        <xdr:cNvSpPr/>
      </xdr:nvSpPr>
      <xdr:spPr>
        <a:xfrm>
          <a:off x="351305" y="764803"/>
          <a:ext cx="2314574" cy="1248895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0</xdr:col>
      <xdr:colOff>0</xdr:colOff>
      <xdr:row>307</xdr:row>
      <xdr:rowOff>166407</xdr:rowOff>
    </xdr:from>
    <xdr:to>
      <xdr:col>5</xdr:col>
      <xdr:colOff>200025</xdr:colOff>
      <xdr:row>316</xdr:row>
      <xdr:rowOff>44824</xdr:rowOff>
    </xdr:to>
    <xdr:sp macro="" textlink="">
      <xdr:nvSpPr>
        <xdr:cNvPr id="3" name="角丸四角形 2"/>
        <xdr:cNvSpPr/>
      </xdr:nvSpPr>
      <xdr:spPr>
        <a:xfrm>
          <a:off x="0" y="47115132"/>
          <a:ext cx="3009900" cy="159291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/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/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24</xdr:row>
      <xdr:rowOff>19050</xdr:rowOff>
    </xdr:from>
    <xdr:to>
      <xdr:col>6</xdr:col>
      <xdr:colOff>400050</xdr:colOff>
      <xdr:row>27</xdr:row>
      <xdr:rowOff>0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24</xdr:row>
      <xdr:rowOff>19050</xdr:rowOff>
    </xdr:from>
    <xdr:to>
      <xdr:col>6</xdr:col>
      <xdr:colOff>400050</xdr:colOff>
      <xdr:row>27</xdr:row>
      <xdr:rowOff>0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/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/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82</xdr:row>
      <xdr:rowOff>85725</xdr:rowOff>
    </xdr:from>
    <xdr:to>
      <xdr:col>4</xdr:col>
      <xdr:colOff>390525</xdr:colOff>
      <xdr:row>85</xdr:row>
      <xdr:rowOff>133351</xdr:rowOff>
    </xdr:to>
    <xdr:sp macro="" textlink="">
      <xdr:nvSpPr>
        <xdr:cNvPr id="2" name="角丸四角形 1"/>
        <xdr:cNvSpPr/>
      </xdr:nvSpPr>
      <xdr:spPr>
        <a:xfrm>
          <a:off x="76200" y="14030325"/>
          <a:ext cx="2886075" cy="56197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/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/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/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/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/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file92\k1_eizen$\&#24314;&#31689;\&#31309;&#31639;\&#12415;&#12435;&#12394;&#12398;&#12527;&#12540;&#12463;&#12501;&#12457;&#12523;&#12480;\&#33509;&#23798;&#23515;&#23376;0410533\&#22266;&#23450;&#36039;&#29987;\&#32933;&#24460;&#27211;&#22806;2&#39365;&#12488;&#12452;&#12524;&#25913;&#36896;&#24037;&#20107;&#12288;&#21442;&#32771;&#26126;&#32048;Ver500c&#65288;&#20837;&#21147;&#34920;&#20316;&#25104;&#35201;&#38936;&#12395;&#20351;&#29992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量内訳書表紙"/>
      <sheetName val="表紙"/>
      <sheetName val="資産クラス"/>
      <sheetName val="諸経費表"/>
      <sheetName val="工事1"/>
      <sheetName val="工事2"/>
      <sheetName val="工事3"/>
      <sheetName val="工事4"/>
      <sheetName val="工事5"/>
      <sheetName val="Sheet2"/>
      <sheetName val="見積比較"/>
      <sheetName val="工事6"/>
      <sheetName val="工事7"/>
      <sheetName val="工事8"/>
      <sheetName val="工事9"/>
      <sheetName val="工事10"/>
      <sheetName val="工事11"/>
      <sheetName val="工事12"/>
      <sheetName val="工事13"/>
      <sheetName val="工事14"/>
      <sheetName val="工事15"/>
      <sheetName val="代価"/>
      <sheetName val="小運搬"/>
      <sheetName val="代価一覧"/>
      <sheetName val="諸経費表(専業工事用)"/>
      <sheetName val="随契差引諸経費表"/>
      <sheetName val="work"/>
      <sheetName val="新規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＜分類＞</v>
          </cell>
          <cell r="D1" t="str">
            <v>＜区分＞</v>
          </cell>
        </row>
        <row r="2">
          <cell r="A2" t="str">
            <v>費用</v>
          </cell>
          <cell r="D2" t="str">
            <v>＜建物附属設備＞</v>
          </cell>
        </row>
        <row r="3">
          <cell r="D3" t="str">
            <v>エヤーカーテンまたはドアー自動開閉設備</v>
          </cell>
        </row>
        <row r="4">
          <cell r="D4" t="str">
            <v>アーケード又は日よけ設備（金属製）</v>
          </cell>
        </row>
        <row r="5">
          <cell r="D5" t="str">
            <v>アーケード又は日よけ設備（その他）</v>
          </cell>
        </row>
        <row r="6">
          <cell r="D6" t="str">
            <v>店舗用簡易設備</v>
          </cell>
        </row>
        <row r="7">
          <cell r="D7" t="str">
            <v>可動間仕切り-簡易なもの</v>
          </cell>
        </row>
        <row r="8">
          <cell r="D8" t="str">
            <v>可動間仕切り-その他</v>
          </cell>
        </row>
        <row r="9">
          <cell r="D9" t="str">
            <v>金属製シャッター・止水パネル等（金属製）</v>
          </cell>
        </row>
        <row r="10">
          <cell r="D10" t="str">
            <v>シートシャッター・止水シート等(その他）</v>
          </cell>
        </row>
        <row r="12">
          <cell r="D12" t="str">
            <v>＜工具・器具・備品＞</v>
          </cell>
        </row>
        <row r="13">
          <cell r="D13" t="str">
            <v>電照サイン（金属製）</v>
          </cell>
        </row>
        <row r="14">
          <cell r="D14" t="str">
            <v>非電照サイン（金属製）</v>
          </cell>
        </row>
        <row r="15">
          <cell r="D15" t="str">
            <v>電照広告（金属製）</v>
          </cell>
        </row>
        <row r="16">
          <cell r="D16" t="str">
            <v>非電照広告（金属製）</v>
          </cell>
        </row>
        <row r="17">
          <cell r="D17" t="str">
            <v>電気設備</v>
          </cell>
        </row>
        <row r="18">
          <cell r="D18" t="str">
            <v>非電照サイン（その他）</v>
          </cell>
        </row>
        <row r="19">
          <cell r="D19" t="str">
            <v>非電照広告（その他）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48"/>
  <sheetViews>
    <sheetView tabSelected="1" topLeftCell="A25" zoomScaleNormal="100" zoomScaleSheetLayoutView="75" workbookViewId="0">
      <selection activeCell="K34" sqref="K34"/>
    </sheetView>
  </sheetViews>
  <sheetFormatPr defaultColWidth="6.625" defaultRowHeight="26.1" customHeight="1"/>
  <cols>
    <col min="1" max="2" width="2.625" style="6" customWidth="1"/>
    <col min="3" max="3" width="6.625" style="1" customWidth="1"/>
    <col min="4" max="4" width="21.625" style="1" customWidth="1"/>
    <col min="5" max="5" width="21.625" style="2" customWidth="1"/>
    <col min="6" max="6" width="7.125" style="1" customWidth="1"/>
    <col min="7" max="7" width="7.125" style="3" customWidth="1"/>
    <col min="8" max="8" width="5.625" style="4" customWidth="1"/>
    <col min="9" max="9" width="9.125" style="4" customWidth="1"/>
    <col min="10" max="12" width="11.625" style="1" customWidth="1"/>
    <col min="13" max="13" width="2" style="1" customWidth="1"/>
    <col min="14" max="14" width="10.25" style="1" customWidth="1"/>
    <col min="15" max="15" width="11.625" style="1" customWidth="1"/>
    <col min="16" max="16" width="6.625" style="1" customWidth="1"/>
    <col min="17" max="17" width="9.25" style="1" customWidth="1"/>
    <col min="18" max="18" width="13.625" style="1" customWidth="1"/>
    <col min="19" max="19" width="19.875" style="1" customWidth="1"/>
    <col min="20" max="20" width="7.75" style="1" customWidth="1"/>
    <col min="21" max="22" width="11.625" style="1" customWidth="1"/>
    <col min="23" max="23" width="16.625" style="1" customWidth="1"/>
    <col min="24" max="24" width="15.5" style="1" customWidth="1"/>
    <col min="25" max="16384" width="6.625" style="1"/>
  </cols>
  <sheetData>
    <row r="1" spans="1:23" ht="14.1" customHeight="1">
      <c r="J1" s="225"/>
      <c r="K1" s="225"/>
      <c r="L1" s="2562" t="s">
        <v>345</v>
      </c>
      <c r="M1" s="2562"/>
      <c r="N1" s="2562"/>
      <c r="O1" s="2562"/>
    </row>
    <row r="2" spans="1:23" ht="14.1" customHeight="1">
      <c r="A2" s="8"/>
      <c r="B2" s="8"/>
      <c r="C2" s="2553"/>
      <c r="D2" s="2553"/>
      <c r="E2" s="18"/>
      <c r="F2" s="18"/>
      <c r="G2" s="18"/>
      <c r="H2" s="18"/>
      <c r="I2" s="18"/>
      <c r="J2" s="225"/>
      <c r="K2" s="225"/>
      <c r="L2" s="2581" t="s">
        <v>343</v>
      </c>
      <c r="M2" s="2581"/>
      <c r="N2" s="2558" t="s">
        <v>3055</v>
      </c>
      <c r="O2" s="2558"/>
    </row>
    <row r="3" spans="1:23" ht="14.1" customHeight="1">
      <c r="A3" s="9"/>
      <c r="B3" s="9"/>
      <c r="C3" s="2553"/>
      <c r="D3" s="2553"/>
      <c r="E3" s="10"/>
      <c r="F3" s="11"/>
      <c r="G3" s="11"/>
      <c r="J3" s="225"/>
      <c r="K3" s="225"/>
      <c r="L3" s="2556" t="s">
        <v>344</v>
      </c>
      <c r="M3" s="2556"/>
      <c r="N3" s="2561" t="s">
        <v>3056</v>
      </c>
      <c r="O3" s="2561"/>
    </row>
    <row r="4" spans="1:23" ht="14.1" customHeight="1">
      <c r="A4" s="12"/>
      <c r="B4" s="12"/>
      <c r="C4" s="13"/>
      <c r="D4" s="14"/>
      <c r="E4" s="15"/>
      <c r="F4" s="14"/>
      <c r="G4" s="11"/>
      <c r="J4" s="225"/>
      <c r="K4" s="225"/>
      <c r="L4" s="2556" t="s">
        <v>2509</v>
      </c>
      <c r="M4" s="2556"/>
      <c r="N4" s="2561">
        <v>44104</v>
      </c>
      <c r="O4" s="2561"/>
    </row>
    <row r="5" spans="1:23" ht="14.1" customHeight="1">
      <c r="A5" s="12"/>
      <c r="B5" s="12"/>
      <c r="C5" s="16"/>
      <c r="D5" s="14"/>
      <c r="E5" s="15"/>
      <c r="F5" s="14"/>
      <c r="G5" s="11"/>
      <c r="H5" s="17"/>
      <c r="I5" s="17"/>
      <c r="J5" s="225"/>
      <c r="K5" s="225"/>
      <c r="L5" s="2556" t="s">
        <v>342</v>
      </c>
      <c r="M5" s="2556"/>
      <c r="N5" s="2561">
        <v>44109</v>
      </c>
      <c r="O5" s="2561"/>
      <c r="Q5" s="828" t="s">
        <v>41</v>
      </c>
      <c r="R5" s="828"/>
      <c r="S5" s="829" t="s">
        <v>346</v>
      </c>
      <c r="U5" s="144" t="s">
        <v>105</v>
      </c>
      <c r="V5" s="144"/>
      <c r="W5" s="496" t="s">
        <v>2517</v>
      </c>
    </row>
    <row r="6" spans="1:23" ht="14.1" customHeight="1">
      <c r="A6" s="12"/>
      <c r="B6" s="12"/>
      <c r="C6" s="16"/>
      <c r="D6" s="14"/>
      <c r="E6" s="15"/>
      <c r="F6" s="14"/>
      <c r="G6" s="11"/>
      <c r="H6" s="17"/>
      <c r="I6" s="17"/>
      <c r="J6" s="225"/>
      <c r="K6" s="225"/>
      <c r="L6" s="2556" t="s">
        <v>339</v>
      </c>
      <c r="M6" s="2556"/>
      <c r="N6" s="2560">
        <v>43617</v>
      </c>
      <c r="O6" s="2560"/>
      <c r="Q6" s="828" t="s">
        <v>42</v>
      </c>
      <c r="R6" s="828"/>
      <c r="S6" s="830" t="s">
        <v>82</v>
      </c>
      <c r="U6" s="144" t="s">
        <v>42</v>
      </c>
      <c r="V6" s="144"/>
      <c r="W6" s="2532" t="s">
        <v>82</v>
      </c>
    </row>
    <row r="7" spans="1:23" ht="14.1" customHeight="1">
      <c r="A7" s="12"/>
      <c r="B7" s="12"/>
      <c r="C7" s="16"/>
      <c r="D7" s="14"/>
      <c r="E7" s="15"/>
      <c r="F7" s="14"/>
      <c r="G7" s="11"/>
      <c r="H7" s="17"/>
      <c r="I7" s="17"/>
      <c r="J7" s="225"/>
      <c r="K7" s="225"/>
      <c r="L7" s="2556" t="s">
        <v>340</v>
      </c>
      <c r="M7" s="2556"/>
      <c r="N7" s="2557" t="s">
        <v>2983</v>
      </c>
      <c r="O7" s="2557"/>
      <c r="Q7" s="146"/>
      <c r="R7" s="146"/>
      <c r="S7" s="146"/>
    </row>
    <row r="8" spans="1:23" ht="14.1" customHeight="1">
      <c r="A8" s="12"/>
      <c r="B8" s="12"/>
      <c r="C8" s="16"/>
      <c r="D8" s="14"/>
      <c r="E8" s="15"/>
      <c r="F8" s="14"/>
      <c r="G8" s="11"/>
      <c r="H8" s="17"/>
      <c r="I8" s="17"/>
      <c r="J8" s="225"/>
      <c r="K8" s="225"/>
      <c r="L8" s="2556" t="s">
        <v>341</v>
      </c>
      <c r="M8" s="2556"/>
      <c r="N8" s="2559">
        <v>1032</v>
      </c>
      <c r="O8" s="2559"/>
      <c r="Q8" s="147" t="s">
        <v>51</v>
      </c>
      <c r="U8" s="144" t="s">
        <v>116</v>
      </c>
      <c r="V8" s="144"/>
      <c r="W8" s="145" t="s">
        <v>2518</v>
      </c>
    </row>
    <row r="9" spans="1:23" ht="14.1" customHeight="1">
      <c r="A9" s="12"/>
      <c r="B9" s="12"/>
      <c r="C9" s="16"/>
      <c r="D9" s="14"/>
      <c r="E9" s="15"/>
      <c r="F9" s="14"/>
      <c r="G9" s="11"/>
      <c r="H9" s="17"/>
      <c r="I9" s="17"/>
      <c r="J9" s="225"/>
      <c r="K9" s="225"/>
      <c r="L9" s="2556"/>
      <c r="M9" s="2556"/>
      <c r="N9" s="2559"/>
      <c r="O9" s="2559"/>
      <c r="S9" s="148">
        <v>1</v>
      </c>
      <c r="U9" s="144" t="s">
        <v>117</v>
      </c>
      <c r="V9" s="144"/>
      <c r="W9" s="2532" t="s">
        <v>82</v>
      </c>
    </row>
    <row r="10" spans="1:23" ht="45" customHeigh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14"/>
    </row>
    <row r="11" spans="1:23" ht="24.95" customHeight="1" thickBot="1">
      <c r="A11" s="12"/>
      <c r="B11" s="12"/>
      <c r="C11" s="16"/>
      <c r="D11" s="2554" t="s">
        <v>2982</v>
      </c>
      <c r="E11" s="2554"/>
      <c r="F11" s="2554"/>
      <c r="G11" s="2554"/>
      <c r="H11" s="2554"/>
      <c r="I11" s="2554"/>
      <c r="J11" s="2554"/>
      <c r="K11" s="2554"/>
      <c r="L11" s="2554"/>
      <c r="M11" s="2554"/>
      <c r="N11" s="2554"/>
    </row>
    <row r="12" spans="1:23" ht="37.5" customHeight="1">
      <c r="A12" s="12"/>
      <c r="B12" s="12"/>
      <c r="C12" s="16"/>
      <c r="D12" s="14"/>
      <c r="E12" s="15"/>
      <c r="F12" s="14"/>
      <c r="G12" s="11"/>
      <c r="H12" s="17"/>
      <c r="I12" s="17"/>
      <c r="J12" s="14"/>
      <c r="K12" s="14"/>
      <c r="L12" s="14"/>
    </row>
    <row r="13" spans="1:23" ht="24.95" customHeight="1">
      <c r="A13" s="12"/>
      <c r="B13" s="12"/>
      <c r="C13" s="2555" t="s">
        <v>2981</v>
      </c>
      <c r="D13" s="2555"/>
      <c r="E13" s="2555"/>
      <c r="F13" s="2555"/>
      <c r="G13" s="2555"/>
      <c r="H13" s="2555"/>
      <c r="I13" s="2555"/>
      <c r="J13" s="2555"/>
      <c r="K13" s="2555"/>
      <c r="L13" s="2555"/>
      <c r="M13" s="2555"/>
      <c r="N13" s="2555"/>
      <c r="O13" s="2555"/>
    </row>
    <row r="14" spans="1:23" ht="30" customHeight="1">
      <c r="A14" s="12"/>
      <c r="B14" s="12"/>
      <c r="C14" s="16"/>
      <c r="D14" s="14"/>
      <c r="E14" s="15"/>
      <c r="F14" s="14"/>
      <c r="G14" s="11"/>
      <c r="H14" s="17"/>
      <c r="I14" s="17"/>
      <c r="J14" s="14"/>
      <c r="K14" s="14"/>
      <c r="L14" s="14"/>
    </row>
    <row r="15" spans="1:23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</row>
    <row r="16" spans="1:23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15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576" t="s">
        <v>334</v>
      </c>
      <c r="M17" s="2577"/>
      <c r="N17" s="2577"/>
      <c r="O17" s="2578"/>
    </row>
    <row r="18" spans="1:15" ht="18" customHeight="1">
      <c r="A18" s="12"/>
      <c r="B18" s="12"/>
      <c r="C18" s="16"/>
      <c r="D18" s="14"/>
      <c r="E18" s="15"/>
      <c r="F18" s="14"/>
      <c r="G18" s="11"/>
      <c r="H18" s="17"/>
      <c r="L18" s="2576" t="s">
        <v>335</v>
      </c>
      <c r="M18" s="2577"/>
      <c r="N18" s="2578"/>
      <c r="O18" s="2579" t="s">
        <v>336</v>
      </c>
    </row>
    <row r="19" spans="1:15" ht="18" customHeight="1">
      <c r="A19" s="12"/>
      <c r="B19" s="12"/>
      <c r="C19" s="16"/>
      <c r="D19" s="14"/>
      <c r="E19" s="15"/>
      <c r="F19" s="14"/>
      <c r="G19" s="11"/>
      <c r="H19" s="17"/>
      <c r="L19" s="493" t="s">
        <v>337</v>
      </c>
      <c r="M19" s="2540" t="s">
        <v>338</v>
      </c>
      <c r="N19" s="2541"/>
      <c r="O19" s="2580"/>
    </row>
    <row r="20" spans="1:15" ht="20.100000000000001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550" t="s">
        <v>3106</v>
      </c>
      <c r="M20" s="2570" t="s">
        <v>3002</v>
      </c>
      <c r="N20" s="2571"/>
      <c r="O20" s="2550" t="s">
        <v>3003</v>
      </c>
    </row>
    <row r="21" spans="1:15" ht="20.100000000000001" customHeight="1">
      <c r="A21" s="12"/>
      <c r="B21" s="12"/>
      <c r="C21" s="16"/>
      <c r="D21" s="14"/>
      <c r="E21" s="15"/>
      <c r="F21" s="14"/>
      <c r="G21" s="11"/>
      <c r="H21" s="17"/>
      <c r="I21" s="17"/>
      <c r="J21" s="494"/>
      <c r="K21" s="495"/>
      <c r="L21" s="2551"/>
      <c r="M21" s="2572"/>
      <c r="N21" s="2573"/>
      <c r="O21" s="2551"/>
    </row>
    <row r="22" spans="1:15" ht="20.100000000000001" customHeigh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552"/>
      <c r="M22" s="2574"/>
      <c r="N22" s="2575"/>
      <c r="O22" s="2552"/>
    </row>
    <row r="23" spans="1:15" ht="20.100000000000001" customHeight="1">
      <c r="A23" s="12"/>
      <c r="B23" s="12"/>
      <c r="C23" s="16"/>
      <c r="D23" s="14"/>
      <c r="E23" s="15"/>
      <c r="F23" s="50"/>
      <c r="G23" s="11"/>
      <c r="H23" s="17"/>
      <c r="I23" s="17"/>
      <c r="L23" s="492"/>
      <c r="M23" s="492"/>
      <c r="N23" s="492"/>
      <c r="O23" s="492"/>
    </row>
    <row r="24" spans="1:15" ht="20.100000000000001" customHeight="1">
      <c r="B24" s="1"/>
      <c r="E24" s="15"/>
      <c r="F24" s="50">
        <v>0</v>
      </c>
      <c r="H24" s="17"/>
      <c r="I24" s="1"/>
      <c r="J24" s="19"/>
      <c r="K24" s="14"/>
      <c r="L24" s="14"/>
    </row>
    <row r="25" spans="1:15" ht="20.100000000000001" customHeight="1">
      <c r="B25" s="14" t="s">
        <v>269</v>
      </c>
      <c r="E25" s="15"/>
      <c r="F25" s="50"/>
      <c r="H25" s="354">
        <f>work!H18</f>
        <v>15</v>
      </c>
      <c r="I25" s="97">
        <v>1</v>
      </c>
      <c r="J25" s="355"/>
      <c r="K25" s="14"/>
      <c r="L25" s="14"/>
    </row>
    <row r="26" spans="1:15" customFormat="1" ht="26.25" customHeight="1" thickBot="1">
      <c r="E26" s="312" t="s">
        <v>330</v>
      </c>
      <c r="L26" s="313" t="s">
        <v>252</v>
      </c>
      <c r="M26" s="314"/>
      <c r="N26" s="315"/>
      <c r="O26" s="316"/>
    </row>
    <row r="27" spans="1:15" customFormat="1" ht="21" customHeight="1">
      <c r="A27" s="2542" t="s">
        <v>253</v>
      </c>
      <c r="B27" s="2543" t="s">
        <v>9</v>
      </c>
      <c r="C27" s="2544" t="s">
        <v>254</v>
      </c>
      <c r="D27" s="2545"/>
      <c r="E27" s="2548" t="s">
        <v>20</v>
      </c>
      <c r="F27" s="2569" t="s">
        <v>255</v>
      </c>
      <c r="G27" s="2569"/>
      <c r="H27" s="2548" t="s">
        <v>22</v>
      </c>
      <c r="I27" s="2548" t="s">
        <v>256</v>
      </c>
      <c r="J27" s="2569" t="s">
        <v>257</v>
      </c>
      <c r="K27" s="2569"/>
      <c r="L27" s="317" t="s">
        <v>258</v>
      </c>
      <c r="M27" s="2563" t="s">
        <v>259</v>
      </c>
      <c r="N27" s="2564"/>
      <c r="O27" s="2565"/>
    </row>
    <row r="28" spans="1:15" customFormat="1" ht="21" customHeight="1">
      <c r="A28" s="2542"/>
      <c r="B28" s="2543"/>
      <c r="C28" s="2546"/>
      <c r="D28" s="2547"/>
      <c r="E28" s="2549"/>
      <c r="F28" s="318" t="s">
        <v>260</v>
      </c>
      <c r="G28" s="319" t="s">
        <v>261</v>
      </c>
      <c r="H28" s="2549"/>
      <c r="I28" s="2549"/>
      <c r="J28" s="319" t="s">
        <v>262</v>
      </c>
      <c r="K28" s="318" t="s">
        <v>263</v>
      </c>
      <c r="L28" s="224" t="s">
        <v>264</v>
      </c>
      <c r="M28" s="2566"/>
      <c r="N28" s="2567"/>
      <c r="O28" s="2568"/>
    </row>
    <row r="29" spans="1:15" customFormat="1" ht="24.95" customHeight="1">
      <c r="A29" s="320"/>
      <c r="B29" s="320"/>
      <c r="C29" s="321"/>
      <c r="D29" s="322"/>
      <c r="E29" s="323"/>
      <c r="F29" s="324"/>
      <c r="G29" s="325"/>
      <c r="H29" s="326"/>
      <c r="I29" s="327" t="s">
        <v>11</v>
      </c>
      <c r="J29" s="327" t="s">
        <v>11</v>
      </c>
      <c r="K29" s="327" t="s">
        <v>11</v>
      </c>
      <c r="L29" s="327" t="s">
        <v>11</v>
      </c>
      <c r="M29" s="328"/>
      <c r="N29" s="329"/>
      <c r="O29" s="330"/>
    </row>
    <row r="30" spans="1:15" customFormat="1" ht="24.95" customHeight="1">
      <c r="A30" s="331"/>
      <c r="B30" s="331"/>
      <c r="C30" s="332"/>
      <c r="D30" s="322"/>
      <c r="E30" s="323"/>
      <c r="F30" s="333" t="str">
        <f>IF(L30="","",IF(L30&lt;0,"",1))</f>
        <v/>
      </c>
      <c r="G30" s="334" t="str">
        <f>IF(L30="","",IF(L30&lt;0,1,""))</f>
        <v/>
      </c>
      <c r="H30" s="335" t="str">
        <f>IF(L30="","","式")</f>
        <v/>
      </c>
      <c r="I30" s="336"/>
      <c r="J30" s="336"/>
      <c r="K30" s="336"/>
      <c r="L30" s="336"/>
      <c r="M30" s="337"/>
      <c r="N30" s="337"/>
      <c r="O30" s="338"/>
    </row>
    <row r="31" spans="1:15" customFormat="1" ht="24.95" customHeight="1">
      <c r="A31" s="331"/>
      <c r="B31" s="331"/>
      <c r="C31" s="332"/>
      <c r="D31" s="322" t="s">
        <v>3108</v>
      </c>
      <c r="E31" s="323" t="s">
        <v>273</v>
      </c>
      <c r="F31" s="333">
        <f>IF(L31="","",IF(L31&lt;0,"",1))</f>
        <v>1</v>
      </c>
      <c r="G31" s="334" t="str">
        <f>IF(L31="","",IF(L31&lt;0,1,""))</f>
        <v/>
      </c>
      <c r="H31" s="335" t="str">
        <f t="shared" ref="H31:H42" si="0">IF(L31="","","式")</f>
        <v>式</v>
      </c>
      <c r="I31" s="336"/>
      <c r="J31" s="336">
        <v>8320000</v>
      </c>
      <c r="K31" s="336">
        <f>+J31+L31</f>
        <v>8337000</v>
      </c>
      <c r="L31" s="336">
        <f>+工事2!I24</f>
        <v>17000</v>
      </c>
      <c r="M31" s="337" t="s">
        <v>265</v>
      </c>
      <c r="N31" s="337"/>
      <c r="O31" s="338" t="s">
        <v>3109</v>
      </c>
    </row>
    <row r="32" spans="1:15" customFormat="1" ht="24.95" customHeight="1">
      <c r="A32" s="331"/>
      <c r="B32" s="331"/>
      <c r="C32" s="332"/>
      <c r="D32" s="322"/>
      <c r="E32" s="323"/>
      <c r="F32" s="333" t="str">
        <f t="shared" ref="F32:F42" si="1">IF(L32="","",IF(L32&lt;0,"",1))</f>
        <v/>
      </c>
      <c r="G32" s="334" t="str">
        <f t="shared" ref="G32:G42" si="2">IF(L32="","",IF(L32&lt;0,1,""))</f>
        <v/>
      </c>
      <c r="H32" s="335" t="str">
        <f t="shared" si="0"/>
        <v/>
      </c>
      <c r="I32" s="336"/>
      <c r="J32" s="336"/>
      <c r="K32" s="336"/>
      <c r="L32" s="336"/>
      <c r="M32" s="337"/>
      <c r="N32" s="337"/>
      <c r="O32" s="338"/>
    </row>
    <row r="33" spans="1:17" customFormat="1" ht="24.95" customHeight="1">
      <c r="A33" s="331"/>
      <c r="B33" s="331"/>
      <c r="C33" s="332"/>
      <c r="D33" s="322" t="s">
        <v>3107</v>
      </c>
      <c r="E33" s="323" t="s">
        <v>273</v>
      </c>
      <c r="F33" s="333">
        <f>IF(L33="","",IF(L33&lt;0,"",1))</f>
        <v>1</v>
      </c>
      <c r="G33" s="334" t="str">
        <f>IF(L33="","",IF(L33&lt;0,1,""))</f>
        <v/>
      </c>
      <c r="H33" s="335" t="str">
        <f t="shared" ref="H33" si="3">IF(L33="","","式")</f>
        <v>式</v>
      </c>
      <c r="I33" s="336"/>
      <c r="J33" s="336">
        <v>0</v>
      </c>
      <c r="K33" s="336">
        <f>+J33+L33</f>
        <v>411000</v>
      </c>
      <c r="L33" s="336">
        <f>+工事1!I24</f>
        <v>411000</v>
      </c>
      <c r="M33" s="337" t="s">
        <v>265</v>
      </c>
      <c r="N33" s="337"/>
      <c r="O33" s="338" t="s">
        <v>3110</v>
      </c>
    </row>
    <row r="34" spans="1:17" customFormat="1" ht="24.95" customHeight="1">
      <c r="A34" s="331"/>
      <c r="B34" s="331"/>
      <c r="C34" s="332"/>
      <c r="D34" s="322"/>
      <c r="E34" s="323"/>
      <c r="F34" s="333" t="str">
        <f t="shared" si="1"/>
        <v/>
      </c>
      <c r="G34" s="334" t="str">
        <f t="shared" si="2"/>
        <v/>
      </c>
      <c r="H34" s="335" t="str">
        <f t="shared" si="0"/>
        <v/>
      </c>
      <c r="I34" s="336"/>
      <c r="J34" s="336"/>
      <c r="K34" s="336"/>
      <c r="L34" s="336"/>
      <c r="M34" s="337"/>
      <c r="N34" s="337"/>
      <c r="O34" s="338"/>
    </row>
    <row r="35" spans="1:17" customFormat="1" ht="24.95" customHeight="1">
      <c r="A35" s="331"/>
      <c r="B35" s="331"/>
      <c r="C35" s="332"/>
      <c r="D35" s="322"/>
      <c r="E35" s="323"/>
      <c r="F35" s="333" t="str">
        <f t="shared" si="1"/>
        <v/>
      </c>
      <c r="G35" s="334" t="str">
        <f t="shared" si="2"/>
        <v/>
      </c>
      <c r="H35" s="335" t="str">
        <f t="shared" si="0"/>
        <v/>
      </c>
      <c r="I35" s="336"/>
      <c r="J35" s="336"/>
      <c r="K35" s="336"/>
      <c r="L35" s="336"/>
      <c r="M35" s="337"/>
      <c r="N35" s="337"/>
      <c r="O35" s="338"/>
    </row>
    <row r="36" spans="1:17" customFormat="1" ht="24.95" customHeight="1">
      <c r="A36" s="331"/>
      <c r="B36" s="331"/>
      <c r="C36" s="332"/>
      <c r="D36" s="322"/>
      <c r="E36" s="323"/>
      <c r="F36" s="333" t="str">
        <f t="shared" si="1"/>
        <v/>
      </c>
      <c r="G36" s="334" t="str">
        <f t="shared" si="2"/>
        <v/>
      </c>
      <c r="H36" s="335" t="str">
        <f t="shared" si="0"/>
        <v/>
      </c>
      <c r="I36" s="336"/>
      <c r="J36" s="336"/>
      <c r="K36" s="336"/>
      <c r="L36" s="336"/>
      <c r="M36" s="337"/>
      <c r="N36" s="337"/>
      <c r="O36" s="338"/>
    </row>
    <row r="37" spans="1:17" customFormat="1" ht="24.95" customHeight="1">
      <c r="A37" s="331"/>
      <c r="B37" s="331"/>
      <c r="C37" s="332"/>
      <c r="D37" s="322"/>
      <c r="E37" s="323"/>
      <c r="F37" s="333" t="str">
        <f t="shared" si="1"/>
        <v/>
      </c>
      <c r="G37" s="334" t="str">
        <f t="shared" si="2"/>
        <v/>
      </c>
      <c r="H37" s="335" t="str">
        <f t="shared" si="0"/>
        <v/>
      </c>
      <c r="I37" s="336"/>
      <c r="J37" s="336"/>
      <c r="K37" s="336"/>
      <c r="L37" s="336"/>
      <c r="M37" s="337"/>
      <c r="N37" s="337"/>
      <c r="O37" s="338"/>
    </row>
    <row r="38" spans="1:17" customFormat="1" ht="24.95" customHeight="1">
      <c r="A38" s="331"/>
      <c r="B38" s="331"/>
      <c r="C38" s="332"/>
      <c r="D38" s="322"/>
      <c r="E38" s="323"/>
      <c r="F38" s="333" t="str">
        <f t="shared" si="1"/>
        <v/>
      </c>
      <c r="G38" s="334" t="str">
        <f t="shared" si="2"/>
        <v/>
      </c>
      <c r="H38" s="335" t="str">
        <f t="shared" si="0"/>
        <v/>
      </c>
      <c r="I38" s="336"/>
      <c r="J38" s="336"/>
      <c r="K38" s="336"/>
      <c r="L38" s="336"/>
      <c r="M38" s="337"/>
      <c r="N38" s="337"/>
      <c r="O38" s="338"/>
    </row>
    <row r="39" spans="1:17" customFormat="1" ht="24.95" customHeight="1">
      <c r="A39" s="331"/>
      <c r="B39" s="331"/>
      <c r="C39" s="332"/>
      <c r="D39" s="322"/>
      <c r="E39" s="323"/>
      <c r="F39" s="333" t="str">
        <f t="shared" si="1"/>
        <v/>
      </c>
      <c r="G39" s="334" t="str">
        <f t="shared" si="2"/>
        <v/>
      </c>
      <c r="H39" s="335" t="str">
        <f t="shared" si="0"/>
        <v/>
      </c>
      <c r="I39" s="336"/>
      <c r="J39" s="336"/>
      <c r="K39" s="336"/>
      <c r="L39" s="336"/>
      <c r="M39" s="337"/>
      <c r="N39" s="337"/>
      <c r="O39" s="338"/>
    </row>
    <row r="40" spans="1:17" customFormat="1" ht="24.95" customHeight="1">
      <c r="A40" s="331"/>
      <c r="B40" s="331"/>
      <c r="C40" s="332"/>
      <c r="D40" s="322"/>
      <c r="E40" s="323"/>
      <c r="F40" s="333" t="str">
        <f t="shared" si="1"/>
        <v/>
      </c>
      <c r="G40" s="334" t="str">
        <f t="shared" si="2"/>
        <v/>
      </c>
      <c r="H40" s="335" t="str">
        <f t="shared" si="0"/>
        <v/>
      </c>
      <c r="I40" s="336"/>
      <c r="J40" s="336"/>
      <c r="K40" s="336"/>
      <c r="L40" s="336"/>
      <c r="M40" s="337"/>
      <c r="N40" s="337"/>
      <c r="O40" s="338"/>
    </row>
    <row r="41" spans="1:17" customFormat="1" ht="24.95" customHeight="1">
      <c r="A41" s="331"/>
      <c r="B41" s="331"/>
      <c r="C41" s="332"/>
      <c r="D41" s="322"/>
      <c r="E41" s="323"/>
      <c r="F41" s="333" t="str">
        <f t="shared" si="1"/>
        <v/>
      </c>
      <c r="G41" s="334" t="str">
        <f t="shared" si="2"/>
        <v/>
      </c>
      <c r="H41" s="335" t="str">
        <f t="shared" si="0"/>
        <v/>
      </c>
      <c r="I41" s="336"/>
      <c r="J41" s="336"/>
      <c r="K41" s="336"/>
      <c r="L41" s="336"/>
      <c r="M41" s="337"/>
      <c r="N41" s="337"/>
      <c r="O41" s="338"/>
    </row>
    <row r="42" spans="1:17" customFormat="1" ht="24.95" customHeight="1">
      <c r="A42" s="331"/>
      <c r="B42" s="331"/>
      <c r="C42" s="332"/>
      <c r="D42" s="339"/>
      <c r="E42" s="323"/>
      <c r="F42" s="333" t="str">
        <f t="shared" si="1"/>
        <v/>
      </c>
      <c r="G42" s="334" t="str">
        <f t="shared" si="2"/>
        <v/>
      </c>
      <c r="H42" s="335" t="str">
        <f t="shared" si="0"/>
        <v/>
      </c>
      <c r="I42" s="336"/>
      <c r="J42" s="336"/>
      <c r="K42" s="336"/>
      <c r="L42" s="336"/>
      <c r="M42" s="337"/>
      <c r="N42" s="337"/>
      <c r="O42" s="338"/>
    </row>
    <row r="43" spans="1:17" customFormat="1" ht="24.95" customHeight="1">
      <c r="A43" s="331"/>
      <c r="B43" s="331"/>
      <c r="C43" s="332"/>
      <c r="D43" s="340" t="s">
        <v>266</v>
      </c>
      <c r="E43" s="323"/>
      <c r="F43" s="333"/>
      <c r="G43" s="334"/>
      <c r="H43" s="335"/>
      <c r="I43" s="336"/>
      <c r="J43" s="336">
        <f t="shared" ref="J43:K43" si="4">SUM(J31:J42)</f>
        <v>8320000</v>
      </c>
      <c r="K43" s="336">
        <f t="shared" si="4"/>
        <v>8748000</v>
      </c>
      <c r="L43" s="336">
        <f>SUM(L31:L42)</f>
        <v>428000</v>
      </c>
      <c r="M43" s="337"/>
      <c r="N43" s="337"/>
      <c r="O43" s="338"/>
    </row>
    <row r="44" spans="1:17" customFormat="1" ht="24.95" customHeight="1">
      <c r="A44" s="331"/>
      <c r="B44" s="331"/>
      <c r="C44" s="332"/>
      <c r="D44" s="340"/>
      <c r="E44" s="323"/>
      <c r="F44" s="333"/>
      <c r="G44" s="334"/>
      <c r="H44" s="335"/>
      <c r="I44" s="336"/>
      <c r="J44" s="336"/>
      <c r="K44" s="336"/>
      <c r="L44" s="336"/>
      <c r="M44" s="337"/>
      <c r="N44" s="337"/>
      <c r="O44" s="338"/>
    </row>
    <row r="45" spans="1:17" customFormat="1" ht="24.95" customHeight="1">
      <c r="A45" s="331"/>
      <c r="B45" s="331"/>
      <c r="C45" s="332"/>
      <c r="D45" s="340" t="s">
        <v>13</v>
      </c>
      <c r="E45" s="323"/>
      <c r="F45" s="333">
        <f>IF(L45="","",IF(L45&lt;0,"",1))</f>
        <v>1</v>
      </c>
      <c r="G45" s="334" t="str">
        <f>IF(L45="","",IF(L45&lt;0,1,""))</f>
        <v/>
      </c>
      <c r="H45" s="335" t="str">
        <f>IF(L45="","","式")</f>
        <v>式</v>
      </c>
      <c r="I45" s="336"/>
      <c r="J45" s="336">
        <f t="shared" ref="J45:K45" si="5">+J43*0.1</f>
        <v>832000</v>
      </c>
      <c r="K45" s="336">
        <f t="shared" si="5"/>
        <v>874800</v>
      </c>
      <c r="L45" s="336">
        <f>+L43*0.1</f>
        <v>42800</v>
      </c>
      <c r="M45" s="337"/>
      <c r="N45" s="337"/>
      <c r="O45" s="338"/>
    </row>
    <row r="46" spans="1:17" customFormat="1" ht="24.95" customHeight="1">
      <c r="A46" s="331"/>
      <c r="B46" s="331"/>
      <c r="C46" s="332"/>
      <c r="D46" s="340"/>
      <c r="E46" s="323"/>
      <c r="F46" s="341"/>
      <c r="G46" s="336"/>
      <c r="H46" s="335"/>
      <c r="I46" s="336"/>
      <c r="J46" s="336"/>
      <c r="K46" s="342"/>
      <c r="L46" s="336"/>
      <c r="M46" s="341"/>
      <c r="N46" s="341"/>
      <c r="O46" s="343"/>
    </row>
    <row r="47" spans="1:17" customFormat="1" ht="24.95" customHeight="1" thickBot="1">
      <c r="A47" s="331"/>
      <c r="B47" s="331"/>
      <c r="C47" s="344"/>
      <c r="D47" s="345" t="s">
        <v>267</v>
      </c>
      <c r="E47" s="346"/>
      <c r="F47" s="347"/>
      <c r="G47" s="348"/>
      <c r="H47" s="349"/>
      <c r="I47" s="348"/>
      <c r="J47" s="348">
        <f t="shared" ref="J47:K47" si="6">+J45+J43</f>
        <v>9152000</v>
      </c>
      <c r="K47" s="348">
        <f t="shared" si="6"/>
        <v>9622800</v>
      </c>
      <c r="L47" s="348">
        <f>+L45+L43</f>
        <v>470800</v>
      </c>
      <c r="M47" s="347"/>
      <c r="N47" s="347"/>
      <c r="O47" s="350"/>
    </row>
    <row r="48" spans="1:17" ht="14.25" customHeight="1">
      <c r="E48" s="34" t="s">
        <v>268</v>
      </c>
      <c r="F48" s="98">
        <f>F25+1</f>
        <v>1</v>
      </c>
      <c r="G48" s="35"/>
      <c r="H48" s="351">
        <f>+H25</f>
        <v>15</v>
      </c>
      <c r="I48" s="1" t="s">
        <v>49</v>
      </c>
      <c r="J48" s="352">
        <f>+H48</f>
        <v>15</v>
      </c>
      <c r="M48" s="353" t="str">
        <f>P48</f>
        <v>EOL</v>
      </c>
      <c r="N48" s="353">
        <f>Q48</f>
        <v>1</v>
      </c>
      <c r="P48" s="40" t="str">
        <f>IF(A50="","EOL","")</f>
        <v>EOL</v>
      </c>
      <c r="Q48" s="1">
        <f>+F48</f>
        <v>1</v>
      </c>
    </row>
  </sheetData>
  <mergeCells count="35">
    <mergeCell ref="L1:O1"/>
    <mergeCell ref="M27:O28"/>
    <mergeCell ref="F27:G27"/>
    <mergeCell ref="H27:H28"/>
    <mergeCell ref="I27:I28"/>
    <mergeCell ref="J27:K27"/>
    <mergeCell ref="M20:N22"/>
    <mergeCell ref="O20:O22"/>
    <mergeCell ref="L17:O17"/>
    <mergeCell ref="L18:N18"/>
    <mergeCell ref="O18:O19"/>
    <mergeCell ref="L2:M2"/>
    <mergeCell ref="L7:M7"/>
    <mergeCell ref="N3:O3"/>
    <mergeCell ref="N4:O4"/>
    <mergeCell ref="L5:M5"/>
    <mergeCell ref="C2:D2"/>
    <mergeCell ref="C3:D3"/>
    <mergeCell ref="D11:N11"/>
    <mergeCell ref="C13:O13"/>
    <mergeCell ref="L3:M3"/>
    <mergeCell ref="L4:M4"/>
    <mergeCell ref="N7:O7"/>
    <mergeCell ref="N2:O2"/>
    <mergeCell ref="L8:M9"/>
    <mergeCell ref="N8:O9"/>
    <mergeCell ref="L6:M6"/>
    <mergeCell ref="N6:O6"/>
    <mergeCell ref="N5:O5"/>
    <mergeCell ref="M19:N19"/>
    <mergeCell ref="A27:A28"/>
    <mergeCell ref="B27:B28"/>
    <mergeCell ref="C27:D28"/>
    <mergeCell ref="E27:E28"/>
    <mergeCell ref="L20:L22"/>
  </mergeCells>
  <phoneticPr fontId="2"/>
  <dataValidations disablePrompts="1" count="1">
    <dataValidation type="list" allowBlank="1" showInputMessage="1" showErrorMessage="1" sqref="W5">
      <formula1>"標準単価金額無2019.xls,標準単価2019.xls"</formula1>
    </dataValidation>
  </dataValidations>
  <printOptions horizontalCentered="1" verticalCentered="1"/>
  <pageMargins left="0.98425196850393704" right="0.39370078740157499" top="0.78740157480314998" bottom="0.78740157480314998" header="0.511811023622047" footer="0.511811023622047"/>
  <pageSetup paperSize="9" scale="35" orientation="portrait" horizontalDpi="300" verticalDpi="300" r:id="rId1"/>
  <headerFooter alignWithMargins="0"/>
  <rowBreaks count="1" manualBreakCount="1">
    <brk id="25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Z25"/>
  <sheetViews>
    <sheetView zoomScaleNormal="100" zoomScaleSheetLayoutView="85" workbookViewId="0">
      <selection activeCell="G8" sqref="G8"/>
    </sheetView>
  </sheetViews>
  <sheetFormatPr defaultColWidth="6.625" defaultRowHeight="26.1" customHeight="1"/>
  <cols>
    <col min="1" max="1" width="2.625" style="6" customWidth="1"/>
    <col min="2" max="2" width="3.5" style="6" customWidth="1"/>
    <col min="3" max="3" width="24.75" style="1" customWidth="1"/>
    <col min="4" max="4" width="20.625" style="1" customWidth="1"/>
    <col min="5" max="5" width="15.625" style="2" customWidth="1"/>
    <col min="6" max="6" width="9.125" style="1" customWidth="1"/>
    <col min="7" max="7" width="11.625" style="3" customWidth="1"/>
    <col min="8" max="9" width="11.625" style="4" customWidth="1"/>
    <col min="10" max="10" width="9.625" style="1" customWidth="1"/>
    <col min="11" max="12" width="13.125" style="1" customWidth="1"/>
    <col min="13" max="13" width="6.625" style="1" customWidth="1"/>
    <col min="14" max="14" width="6.75" style="1" customWidth="1"/>
    <col min="15" max="16" width="4.875" style="1" customWidth="1"/>
    <col min="17" max="23" width="15.625" style="1" customWidth="1"/>
    <col min="24" max="25" width="6.625" style="1"/>
    <col min="26" max="26" width="6.625" style="499"/>
    <col min="27" max="16384" width="6.625" style="1"/>
  </cols>
  <sheetData>
    <row r="1" spans="1:26" ht="20.100000000000001" customHeight="1">
      <c r="B1" s="1"/>
      <c r="E1" s="15"/>
      <c r="F1" s="50">
        <v>0</v>
      </c>
      <c r="H1" s="17"/>
      <c r="I1" s="1"/>
      <c r="J1" s="19"/>
      <c r="K1" s="497"/>
      <c r="L1" s="498" t="s">
        <v>347</v>
      </c>
      <c r="Z1" s="499" t="s">
        <v>348</v>
      </c>
    </row>
    <row r="2" spans="1:26" ht="20.100000000000001" customHeight="1">
      <c r="C2" s="37" t="s">
        <v>81</v>
      </c>
      <c r="E2" s="36" t="s">
        <v>50</v>
      </c>
      <c r="F2" s="500">
        <f>VLOOKUP("EOL",表紙!$M$25:$N$65526,2,FALSE)</f>
        <v>1</v>
      </c>
      <c r="G2" s="1" t="s">
        <v>198</v>
      </c>
      <c r="H2" s="4">
        <f>表紙!H25</f>
        <v>15</v>
      </c>
      <c r="I2" s="4" t="s">
        <v>56</v>
      </c>
      <c r="J2" s="39">
        <f>VLOOKUP("EOL",$M$4:$N$65766,2,FALSE)</f>
        <v>2</v>
      </c>
      <c r="K2" s="501"/>
      <c r="L2" s="502">
        <v>1</v>
      </c>
      <c r="Z2" s="499" t="s">
        <v>349</v>
      </c>
    </row>
    <row r="3" spans="1:26" ht="26.1" customHeight="1" thickBot="1">
      <c r="A3" s="2582" t="s">
        <v>350</v>
      </c>
      <c r="B3" s="2582"/>
      <c r="C3" s="2582"/>
      <c r="D3" s="2582"/>
      <c r="E3" s="2582"/>
      <c r="F3" s="2582"/>
      <c r="G3" s="2582"/>
      <c r="H3" s="2582"/>
      <c r="I3" s="2582"/>
      <c r="J3" s="2582"/>
      <c r="K3" s="2582"/>
      <c r="L3" s="2582"/>
    </row>
    <row r="4" spans="1:26" s="506" customFormat="1" ht="26.1" customHeight="1" thickBot="1">
      <c r="A4" s="2582"/>
      <c r="B4" s="2582"/>
      <c r="C4" s="2582"/>
      <c r="D4" s="2582"/>
      <c r="E4" s="2582"/>
      <c r="F4" s="2583"/>
      <c r="G4" s="503" t="s">
        <v>351</v>
      </c>
      <c r="H4" s="504"/>
      <c r="I4" s="505" t="s">
        <v>352</v>
      </c>
      <c r="J4" s="504"/>
      <c r="K4" s="756" t="s">
        <v>2402</v>
      </c>
      <c r="L4" s="504"/>
      <c r="Z4" s="507"/>
    </row>
    <row r="5" spans="1:26" ht="42" customHeight="1">
      <c r="A5" s="2588" t="s">
        <v>353</v>
      </c>
      <c r="B5" s="2589"/>
      <c r="C5" s="508" t="s">
        <v>354</v>
      </c>
      <c r="D5" s="509" t="s">
        <v>355</v>
      </c>
      <c r="E5" s="509" t="s">
        <v>356</v>
      </c>
      <c r="F5" s="510" t="s">
        <v>357</v>
      </c>
      <c r="G5" s="510" t="s">
        <v>2403</v>
      </c>
      <c r="H5" s="511" t="s">
        <v>2404</v>
      </c>
      <c r="I5" s="761" t="s">
        <v>291</v>
      </c>
      <c r="J5" s="2590" t="s">
        <v>2471</v>
      </c>
      <c r="K5" s="2591"/>
      <c r="L5" s="2592"/>
      <c r="M5" s="512"/>
      <c r="N5" s="225"/>
      <c r="O5" s="225"/>
      <c r="P5" s="225"/>
      <c r="Q5" s="3"/>
    </row>
    <row r="6" spans="1:26" ht="24" customHeight="1">
      <c r="A6" s="2584"/>
      <c r="B6" s="2585"/>
      <c r="C6" s="134"/>
      <c r="D6" s="134"/>
      <c r="E6" s="513"/>
      <c r="F6" s="514"/>
      <c r="G6" s="757"/>
      <c r="H6" s="757"/>
      <c r="I6" s="806" t="str">
        <f>IFERROR(INDEX(資産クラス!$A$90:$K$328,MATCH(資産管理明細書!J6,資産クラス!$C$90:$C$328,0),MATCH(資産管理明細書!A6,資産クラス!$A$95:$K$95,0)),"")</f>
        <v/>
      </c>
      <c r="J6" s="762"/>
      <c r="K6" s="2586" t="str">
        <f>IFERROR(VLOOKUP(J6,資産クラス一覧表!A$2:D$1687,2,FALSE),"")</f>
        <v/>
      </c>
      <c r="L6" s="2587"/>
      <c r="P6" s="515" t="s">
        <v>358</v>
      </c>
      <c r="Q6" s="516" t="s">
        <v>359</v>
      </c>
    </row>
    <row r="7" spans="1:26" ht="24" customHeight="1">
      <c r="A7" s="2584"/>
      <c r="B7" s="2585"/>
      <c r="C7" s="134"/>
      <c r="D7" s="134"/>
      <c r="E7" s="513"/>
      <c r="F7" s="514"/>
      <c r="G7" s="757"/>
      <c r="H7" s="757"/>
      <c r="I7" s="806" t="str">
        <f>IFERROR(INDEX(資産クラス!$A$90:$K$328,MATCH(資産管理明細書!J7,資産クラス!$C$90:$C$328,0),MATCH(資産管理明細書!A7,資産クラス!$A$95:$K$95,0)),"")</f>
        <v/>
      </c>
      <c r="J7" s="762"/>
      <c r="K7" s="2586" t="str">
        <f>IFERROR(VLOOKUP(J7,資産クラス一覧表!A$2:D$1687,2,FALSE),"")</f>
        <v/>
      </c>
      <c r="L7" s="2587"/>
      <c r="P7" s="515" t="s">
        <v>360</v>
      </c>
      <c r="Q7" s="516" t="s">
        <v>361</v>
      </c>
    </row>
    <row r="8" spans="1:26" ht="24" customHeight="1">
      <c r="A8" s="2584"/>
      <c r="B8" s="2585"/>
      <c r="C8" s="134" t="s">
        <v>3111</v>
      </c>
      <c r="D8" s="134"/>
      <c r="E8" s="513"/>
      <c r="F8" s="514"/>
      <c r="G8" s="757"/>
      <c r="H8" s="757"/>
      <c r="I8" s="806" t="str">
        <f>IFERROR(INDEX(資産クラス!$A$90:$K$328,MATCH(資産管理明細書!J8,資産クラス!$C$90:$C$328,0),MATCH(資産管理明細書!A8,資産クラス!$A$95:$K$95,0)),"")</f>
        <v/>
      </c>
      <c r="J8" s="762"/>
      <c r="K8" s="2586"/>
      <c r="L8" s="2587"/>
      <c r="N8" s="513"/>
      <c r="P8" s="515" t="s">
        <v>362</v>
      </c>
      <c r="Q8" s="516" t="s">
        <v>363</v>
      </c>
    </row>
    <row r="9" spans="1:26" ht="24" customHeight="1">
      <c r="A9" s="2584"/>
      <c r="B9" s="2585"/>
      <c r="C9" s="134"/>
      <c r="D9" s="134"/>
      <c r="E9" s="513"/>
      <c r="F9" s="514"/>
      <c r="G9" s="757"/>
      <c r="H9" s="757"/>
      <c r="I9" s="806" t="str">
        <f>IFERROR(INDEX(資産クラス!$A$90:$K$328,MATCH(資産管理明細書!J9,資産クラス!$C$90:$C$328,0),MATCH(資産管理明細書!A9,資産クラス!$A$95:$K$95,0)),"")</f>
        <v/>
      </c>
      <c r="J9" s="762"/>
      <c r="K9" s="2586" t="str">
        <f>IFERROR(VLOOKUP(J9,資産クラス一覧表!A$2:D$1687,2,FALSE),"")</f>
        <v/>
      </c>
      <c r="L9" s="2587"/>
      <c r="P9" s="515" t="s">
        <v>364</v>
      </c>
      <c r="Q9" s="516" t="s">
        <v>365</v>
      </c>
    </row>
    <row r="10" spans="1:26" ht="24" customHeight="1">
      <c r="A10" s="2584"/>
      <c r="B10" s="2585"/>
      <c r="C10" s="134"/>
      <c r="D10" s="134"/>
      <c r="E10" s="513"/>
      <c r="F10" s="514"/>
      <c r="G10" s="757"/>
      <c r="H10" s="757"/>
      <c r="I10" s="806" t="str">
        <f>IFERROR(INDEX(資産クラス!$A$90:$K$328,MATCH(資産管理明細書!J10,資産クラス!$C$90:$C$328,0),MATCH(資産管理明細書!A10,資産クラス!$A$95:$K$95,0)),"")</f>
        <v/>
      </c>
      <c r="J10" s="762"/>
      <c r="K10" s="2586" t="str">
        <f>IFERROR(VLOOKUP(J10,資産クラス一覧表!A$2:D$1687,2,FALSE),"")</f>
        <v/>
      </c>
      <c r="L10" s="2587"/>
      <c r="P10" s="515" t="s">
        <v>366</v>
      </c>
      <c r="Q10" s="516" t="s">
        <v>367</v>
      </c>
    </row>
    <row r="11" spans="1:26" ht="24" customHeight="1">
      <c r="A11" s="2584"/>
      <c r="B11" s="2585"/>
      <c r="C11" s="134"/>
      <c r="D11" s="134"/>
      <c r="E11" s="513"/>
      <c r="F11" s="514"/>
      <c r="G11" s="757"/>
      <c r="H11" s="757"/>
      <c r="I11" s="806" t="str">
        <f>IFERROR(INDEX(資産クラス!$A$90:$K$328,MATCH(資産管理明細書!J11,資産クラス!$C$90:$C$328,0),MATCH(資産管理明細書!A11,資産クラス!$A$95:$K$95,0)),"")</f>
        <v/>
      </c>
      <c r="J11" s="762"/>
      <c r="K11" s="2586" t="str">
        <f>IFERROR(VLOOKUP(J11,資産クラス一覧表!A$2:D$1687,2,FALSE),"")</f>
        <v/>
      </c>
      <c r="L11" s="2587"/>
      <c r="P11" s="515" t="s">
        <v>368</v>
      </c>
      <c r="Q11" s="516" t="s">
        <v>369</v>
      </c>
    </row>
    <row r="12" spans="1:26" ht="24" customHeight="1">
      <c r="A12" s="2584"/>
      <c r="B12" s="2585"/>
      <c r="C12" s="134"/>
      <c r="D12" s="134"/>
      <c r="E12" s="513"/>
      <c r="F12" s="514"/>
      <c r="G12" s="757"/>
      <c r="H12" s="757"/>
      <c r="I12" s="806" t="str">
        <f>IFERROR(INDEX(資産クラス!$A$90:$K$328,MATCH(資産管理明細書!J12,資産クラス!$C$90:$C$328,0),MATCH(資産管理明細書!A12,資産クラス!$A$95:$K$95,0)),"")</f>
        <v/>
      </c>
      <c r="J12" s="762"/>
      <c r="K12" s="2586" t="str">
        <f>IFERROR(VLOOKUP(J12,資産クラス一覧表!A$2:D$1687,2,FALSE),"")</f>
        <v/>
      </c>
      <c r="L12" s="2587"/>
      <c r="P12" s="515" t="s">
        <v>370</v>
      </c>
      <c r="Q12" s="516" t="s">
        <v>371</v>
      </c>
    </row>
    <row r="13" spans="1:26" ht="24" customHeight="1">
      <c r="A13" s="2584"/>
      <c r="B13" s="2585"/>
      <c r="C13" s="134"/>
      <c r="D13" s="134"/>
      <c r="E13" s="513"/>
      <c r="F13" s="514"/>
      <c r="G13" s="757"/>
      <c r="H13" s="757"/>
      <c r="I13" s="806" t="str">
        <f>IFERROR(INDEX(資産クラス!$A$90:$K$328,MATCH(資産管理明細書!J13,資産クラス!$C$90:$C$328,0),MATCH(資産管理明細書!A13,資産クラス!$A$95:$K$95,0)),"")</f>
        <v/>
      </c>
      <c r="J13" s="762"/>
      <c r="K13" s="2586" t="str">
        <f>IFERROR(VLOOKUP(J13,資産クラス一覧表!A$2:D$1687,2,FALSE),"")</f>
        <v/>
      </c>
      <c r="L13" s="2587"/>
      <c r="P13" s="515" t="s">
        <v>372</v>
      </c>
      <c r="Q13" s="516" t="s">
        <v>373</v>
      </c>
    </row>
    <row r="14" spans="1:26" ht="24" customHeight="1">
      <c r="A14" s="2584"/>
      <c r="B14" s="2585"/>
      <c r="C14" s="134"/>
      <c r="D14" s="134"/>
      <c r="E14" s="513"/>
      <c r="F14" s="514"/>
      <c r="G14" s="757"/>
      <c r="H14" s="757"/>
      <c r="I14" s="806" t="str">
        <f>IFERROR(INDEX(資産クラス!$A$90:$K$328,MATCH(資産管理明細書!J14,資産クラス!$C$90:$C$328,0),MATCH(資産管理明細書!A14,資産クラス!$A$95:$K$95,0)),"")</f>
        <v/>
      </c>
      <c r="J14" s="762"/>
      <c r="K14" s="2586" t="str">
        <f>IFERROR(VLOOKUP(J14,資産クラス一覧表!A$2:D$1687,2,FALSE),"")</f>
        <v/>
      </c>
      <c r="L14" s="2587"/>
      <c r="P14" s="515" t="s">
        <v>374</v>
      </c>
      <c r="Q14" s="516" t="s">
        <v>375</v>
      </c>
    </row>
    <row r="15" spans="1:26" ht="24" customHeight="1">
      <c r="A15" s="2584"/>
      <c r="B15" s="2585"/>
      <c r="C15" s="134"/>
      <c r="D15" s="134"/>
      <c r="E15" s="513"/>
      <c r="F15" s="514"/>
      <c r="G15" s="757"/>
      <c r="H15" s="757"/>
      <c r="I15" s="806" t="str">
        <f>IFERROR(INDEX(資産クラス!$A$90:$K$328,MATCH(資産管理明細書!J15,資産クラス!$C$90:$C$328,0),MATCH(資産管理明細書!A15,資産クラス!$A$95:$K$95,0)),"")</f>
        <v/>
      </c>
      <c r="J15" s="762"/>
      <c r="K15" s="2586" t="str">
        <f>IFERROR(VLOOKUP(J15,資産クラス一覧表!A$2:D$1687,2,FALSE),"")</f>
        <v/>
      </c>
      <c r="L15" s="2587"/>
      <c r="P15" s="515" t="s">
        <v>376</v>
      </c>
      <c r="Q15" s="516" t="s">
        <v>377</v>
      </c>
    </row>
    <row r="16" spans="1:26" ht="24" customHeight="1">
      <c r="A16" s="2584"/>
      <c r="B16" s="2585"/>
      <c r="C16" s="134"/>
      <c r="D16" s="134"/>
      <c r="E16" s="513"/>
      <c r="F16" s="514"/>
      <c r="G16" s="757"/>
      <c r="H16" s="757"/>
      <c r="I16" s="806" t="str">
        <f>IFERROR(INDEX(資産クラス!$A$90:$K$328,MATCH(資産管理明細書!J16,資産クラス!$C$90:$C$328,0),MATCH(資産管理明細書!A16,資産クラス!$A$95:$K$95,0)),"")</f>
        <v/>
      </c>
      <c r="J16" s="762"/>
      <c r="K16" s="2586" t="str">
        <f>IFERROR(VLOOKUP(J16,資産クラス一覧表!A$2:D$1687,2,FALSE),"")</f>
        <v/>
      </c>
      <c r="L16" s="2587"/>
      <c r="P16" s="515" t="s">
        <v>378</v>
      </c>
      <c r="Q16" s="516" t="s">
        <v>379</v>
      </c>
    </row>
    <row r="17" spans="1:17" ht="24" customHeight="1">
      <c r="A17" s="2584"/>
      <c r="B17" s="2585"/>
      <c r="C17" s="134"/>
      <c r="D17" s="134"/>
      <c r="E17" s="513"/>
      <c r="F17" s="514"/>
      <c r="G17" s="757"/>
      <c r="H17" s="757"/>
      <c r="I17" s="806" t="str">
        <f>IFERROR(INDEX(資産クラス!$A$90:$K$328,MATCH(資産管理明細書!J17,資産クラス!$C$90:$C$328,0),MATCH(資産管理明細書!A17,資産クラス!$A$95:$K$95,0)),"")</f>
        <v/>
      </c>
      <c r="J17" s="762"/>
      <c r="K17" s="2586" t="str">
        <f>IFERROR(VLOOKUP(J17,資産クラス一覧表!A$2:D$1687,2,FALSE),"")</f>
        <v/>
      </c>
      <c r="L17" s="2587"/>
      <c r="P17" s="515" t="s">
        <v>380</v>
      </c>
      <c r="Q17" s="516" t="s">
        <v>381</v>
      </c>
    </row>
    <row r="18" spans="1:17" ht="24" customHeight="1">
      <c r="A18" s="2584"/>
      <c r="B18" s="2585"/>
      <c r="C18" s="134"/>
      <c r="D18" s="134"/>
      <c r="E18" s="513"/>
      <c r="F18" s="514"/>
      <c r="G18" s="757"/>
      <c r="H18" s="757"/>
      <c r="I18" s="806" t="str">
        <f>IFERROR(INDEX(資産クラス!$A$90:$K$328,MATCH(資産管理明細書!J18,資産クラス!$C$90:$C$328,0),MATCH(資産管理明細書!A18,資産クラス!$A$95:$K$95,0)),"")</f>
        <v/>
      </c>
      <c r="J18" s="762"/>
      <c r="K18" s="2586" t="str">
        <f>IFERROR(VLOOKUP(J18,資産クラス一覧表!A$2:D$1687,2,FALSE),"")</f>
        <v/>
      </c>
      <c r="L18" s="2587"/>
      <c r="P18" s="515" t="s">
        <v>382</v>
      </c>
      <c r="Q18" s="516" t="s">
        <v>383</v>
      </c>
    </row>
    <row r="19" spans="1:17" ht="24" customHeight="1">
      <c r="A19" s="2584"/>
      <c r="B19" s="2585"/>
      <c r="C19" s="134"/>
      <c r="D19" s="134"/>
      <c r="E19" s="513"/>
      <c r="F19" s="514"/>
      <c r="G19" s="757"/>
      <c r="H19" s="757"/>
      <c r="I19" s="806" t="str">
        <f>IFERROR(INDEX(資産クラス!$A$90:$K$328,MATCH(資産管理明細書!J19,資産クラス!$C$90:$C$328,0),MATCH(資産管理明細書!A19,資産クラス!$A$95:$K$95,0)),"")</f>
        <v/>
      </c>
      <c r="J19" s="762"/>
      <c r="K19" s="2586" t="str">
        <f>IFERROR(VLOOKUP(J19,資産クラス一覧表!A$2:D$1687,2,FALSE),"")</f>
        <v/>
      </c>
      <c r="L19" s="2587"/>
      <c r="P19" s="515" t="s">
        <v>384</v>
      </c>
      <c r="Q19" s="516" t="s">
        <v>385</v>
      </c>
    </row>
    <row r="20" spans="1:17" ht="24" customHeight="1">
      <c r="A20" s="2584"/>
      <c r="B20" s="2585"/>
      <c r="C20" s="134"/>
      <c r="D20" s="134"/>
      <c r="E20" s="513"/>
      <c r="F20" s="514"/>
      <c r="G20" s="757"/>
      <c r="H20" s="757"/>
      <c r="I20" s="806" t="str">
        <f>IFERROR(INDEX(資産クラス!$A$90:$K$328,MATCH(資産管理明細書!J20,資産クラス!$C$90:$C$328,0),MATCH(資産管理明細書!A20,資産クラス!$A$95:$K$95,0)),"")</f>
        <v/>
      </c>
      <c r="J20" s="762"/>
      <c r="K20" s="2586" t="str">
        <f>IFERROR(VLOOKUP(J20,資産クラス一覧表!A$2:D$1687,2,FALSE),"")</f>
        <v/>
      </c>
      <c r="L20" s="2587"/>
      <c r="P20" s="515" t="s">
        <v>386</v>
      </c>
      <c r="Q20" s="516" t="s">
        <v>387</v>
      </c>
    </row>
    <row r="21" spans="1:17" ht="24" customHeight="1">
      <c r="A21" s="2584"/>
      <c r="B21" s="2585"/>
      <c r="C21" s="134"/>
      <c r="D21" s="134"/>
      <c r="E21" s="513"/>
      <c r="F21" s="514"/>
      <c r="G21" s="757"/>
      <c r="H21" s="757"/>
      <c r="I21" s="806" t="str">
        <f>IFERROR(INDEX(資産クラス!$A$90:$K$328,MATCH(資産管理明細書!J21,資産クラス!$C$90:$C$328,0),MATCH(資産管理明細書!A21,資産クラス!$A$95:$K$95,0)),"")</f>
        <v/>
      </c>
      <c r="J21" s="762"/>
      <c r="K21" s="2586" t="str">
        <f>IFERROR(VLOOKUP(J21,資産クラス一覧表!A$2:D$1687,2,FALSE),"")</f>
        <v/>
      </c>
      <c r="L21" s="2587"/>
      <c r="P21" s="515" t="s">
        <v>388</v>
      </c>
      <c r="Q21" s="516" t="s">
        <v>389</v>
      </c>
    </row>
    <row r="22" spans="1:17" ht="24" customHeight="1">
      <c r="A22" s="2584"/>
      <c r="B22" s="2585"/>
      <c r="C22" s="134"/>
      <c r="D22" s="134"/>
      <c r="E22" s="513"/>
      <c r="F22" s="514"/>
      <c r="G22" s="757"/>
      <c r="H22" s="757"/>
      <c r="I22" s="806" t="str">
        <f>IFERROR(INDEX(資産クラス!$A$90:$K$328,MATCH(資産管理明細書!J22,資産クラス!$C$90:$C$328,0),MATCH(資産管理明細書!A22,資産クラス!$A$95:$K$95,0)),"")</f>
        <v/>
      </c>
      <c r="J22" s="762"/>
      <c r="K22" s="2586" t="str">
        <f>IFERROR(VLOOKUP(J22,資産クラス一覧表!A$2:D$1687,2,FALSE),"")</f>
        <v/>
      </c>
      <c r="L22" s="2587"/>
    </row>
    <row r="23" spans="1:17" ht="24" customHeight="1">
      <c r="A23" s="2584"/>
      <c r="B23" s="2585"/>
      <c r="C23" s="134"/>
      <c r="D23" s="117"/>
      <c r="E23" s="513"/>
      <c r="F23" s="514"/>
      <c r="G23" s="757"/>
      <c r="H23" s="757"/>
      <c r="I23" s="806" t="str">
        <f>IFERROR(INDEX(資産クラス!$A$90:$K$328,MATCH(資産管理明細書!J23,資産クラス!$C$90:$C$328,0),MATCH(資産管理明細書!A23,資産クラス!$A$95:$K$95,0)),"")</f>
        <v/>
      </c>
      <c r="J23" s="762"/>
      <c r="K23" s="2586" t="str">
        <f>IFERROR(VLOOKUP(J23,資産クラス一覧表!A$2:D$1687,2,FALSE),"")</f>
        <v/>
      </c>
      <c r="L23" s="2587"/>
    </row>
    <row r="24" spans="1:17" ht="24" customHeight="1" thickBot="1">
      <c r="A24" s="2593"/>
      <c r="B24" s="2594"/>
      <c r="C24" s="517"/>
      <c r="D24" s="120"/>
      <c r="E24" s="518"/>
      <c r="F24" s="519"/>
      <c r="G24" s="759"/>
      <c r="H24" s="758"/>
      <c r="I24" s="807" t="str">
        <f>IFERROR(INDEX(資産クラス!$A$90:$K$328,MATCH(資産管理明細書!J24,資産クラス!$C$90:$C$328,0),MATCH(資産管理明細書!A24,資産クラス!$A$95:$K$95,0)),"")</f>
        <v/>
      </c>
      <c r="J24" s="763"/>
      <c r="K24" s="2595" t="str">
        <f>IFERROR(VLOOKUP(J24,資産クラス一覧表!A$2:D$1687,2,FALSE),"")</f>
        <v/>
      </c>
      <c r="L24" s="2596"/>
    </row>
    <row r="25" spans="1:17" ht="14.25" customHeight="1">
      <c r="E25" s="34" t="s">
        <v>88</v>
      </c>
      <c r="F25" s="98">
        <f>F2+1</f>
        <v>2</v>
      </c>
      <c r="G25" s="35" t="s">
        <v>89</v>
      </c>
      <c r="H25" s="4">
        <f>H2</f>
        <v>15</v>
      </c>
      <c r="M25" s="33" t="str">
        <f>IF(A27="","EOL","")</f>
        <v>EOL</v>
      </c>
      <c r="N25" s="1">
        <f>+F25</f>
        <v>2</v>
      </c>
    </row>
  </sheetData>
  <sheetProtection formatCells="0" formatColumns="0" formatRows="0" insertColumns="0" insertRows="0" insertHyperlinks="0" deleteColumns="0" deleteRows="0" sort="0" autoFilter="0" pivotTables="0"/>
  <mergeCells count="42">
    <mergeCell ref="A19:B19"/>
    <mergeCell ref="A20:B20"/>
    <mergeCell ref="A21:B21"/>
    <mergeCell ref="K19:L19"/>
    <mergeCell ref="K20:L20"/>
    <mergeCell ref="K21:L21"/>
    <mergeCell ref="A22:B22"/>
    <mergeCell ref="A23:B23"/>
    <mergeCell ref="A24:B24"/>
    <mergeCell ref="K22:L22"/>
    <mergeCell ref="K23:L23"/>
    <mergeCell ref="K24:L24"/>
    <mergeCell ref="A13:B13"/>
    <mergeCell ref="A14:B14"/>
    <mergeCell ref="A15:B15"/>
    <mergeCell ref="K13:L13"/>
    <mergeCell ref="K14:L14"/>
    <mergeCell ref="K15:L15"/>
    <mergeCell ref="A16:B16"/>
    <mergeCell ref="A17:B17"/>
    <mergeCell ref="A18:B18"/>
    <mergeCell ref="K16:L16"/>
    <mergeCell ref="K17:L17"/>
    <mergeCell ref="K18:L18"/>
    <mergeCell ref="A12:B12"/>
    <mergeCell ref="A8:B8"/>
    <mergeCell ref="A9:B9"/>
    <mergeCell ref="A10:B10"/>
    <mergeCell ref="K8:L8"/>
    <mergeCell ref="K9:L9"/>
    <mergeCell ref="K10:L10"/>
    <mergeCell ref="K11:L11"/>
    <mergeCell ref="K12:L12"/>
    <mergeCell ref="A4:F4"/>
    <mergeCell ref="A3:L3"/>
    <mergeCell ref="A7:B7"/>
    <mergeCell ref="A11:B11"/>
    <mergeCell ref="K7:L7"/>
    <mergeCell ref="A5:B5"/>
    <mergeCell ref="J5:L5"/>
    <mergeCell ref="A6:B6"/>
    <mergeCell ref="K6:L6"/>
  </mergeCells>
  <phoneticPr fontId="2"/>
  <dataValidations count="4">
    <dataValidation type="list" allowBlank="1" showInputMessage="1" showErrorMessage="1" sqref="N8 E6:E24">
      <formula1>"１　資産【自己調達資金】,２　費用（撤去費）【自己調達資金】,３　費用（修繕費）【自己調達資金】,４　費用（保守費）【自己調達資金】,６　資産【その他調達資金】,７　費用（撤去費）　【その他調達資金】,８　費用（修繕費）【その他調達資金】,９　費用（保守費）【その他調達資金】,Ａ　他流動資産（受託工事）,Ｂ　資産【補助対象】,Ｃ　費用（撤去費）【補助金対象】,Ｄ　費用（修繕費）【補助金対象】,Ｅ　費用（保守費）【補助金対象】,Ｗ　費用（原価企画）【自己調達資金】,Ｘ　費用【その他調達資金】"</formula1>
    </dataValidation>
    <dataValidation type="list" allowBlank="1" showInputMessage="1" sqref="K1">
      <formula1>"有り,無し"</formula1>
    </dataValidation>
    <dataValidation type="list" allowBlank="1" showInputMessage="1" showErrorMessage="1" sqref="F6:F24">
      <formula1>"1　経営戦略・グループ戦略部,2　新規事業開発部,3　総務部,4　財務部,5　調達部,6　統括部,7　駅務部,8　運転部,9　営業部,A　電気部,B　車両部,C　工務部,D　建築部,E　安全推進室,F　監査室,G　人事部,H　監査役室"</formula1>
    </dataValidation>
    <dataValidation type="list" allowBlank="1" showInputMessage="1" showErrorMessage="1" sqref="A6:B24">
      <formula1>"工事1,工事2,工事3,工事4,工事5,工事6,工事7,工事8,工事10,工事11,工事12,工事13,工事14,工事15,工事16,工事17,工事18,工事19,工事20"</formula1>
    </dataValidation>
  </dataValidations>
  <printOptions horizontalCentered="1" verticalCentered="1"/>
  <pageMargins left="0.98425196850393704" right="0.39370078740157499" top="0.78740157480314998" bottom="0.78740157480314998" header="0.51181102362204722" footer="0.51181102362204722"/>
  <pageSetup paperSize="9" scale="61" orientation="portrait" cellComments="asDisplayed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Q329"/>
  <sheetViews>
    <sheetView view="pageBreakPreview" topLeftCell="A7" zoomScale="85" zoomScaleNormal="100" zoomScaleSheetLayoutView="85" workbookViewId="0">
      <selection activeCell="N11" sqref="N11"/>
    </sheetView>
  </sheetViews>
  <sheetFormatPr defaultRowHeight="13.5" customHeight="1"/>
  <cols>
    <col min="1" max="2" width="2.5" style="533" customWidth="1"/>
    <col min="3" max="3" width="9.625" style="533" customWidth="1"/>
    <col min="4" max="4" width="13.875" style="533" customWidth="1"/>
    <col min="5" max="5" width="4.25" style="533" customWidth="1"/>
    <col min="6" max="6" width="45.125" style="533" customWidth="1"/>
    <col min="7" max="7" width="15.25" style="533" customWidth="1"/>
    <col min="8" max="8" width="14.25" style="755" customWidth="1"/>
    <col min="9" max="9" width="2.25" style="532" customWidth="1"/>
    <col min="10" max="227" width="9" style="533"/>
    <col min="228" max="228" width="2.5" style="533" customWidth="1"/>
    <col min="229" max="229" width="3.5" style="533" customWidth="1"/>
    <col min="230" max="230" width="21.5" style="533" customWidth="1"/>
    <col min="231" max="231" width="4" style="533" customWidth="1"/>
    <col min="232" max="232" width="5.375" style="533" customWidth="1"/>
    <col min="233" max="233" width="15.25" style="533" customWidth="1"/>
    <col min="234" max="241" width="14.25" style="533" customWidth="1"/>
    <col min="242" max="483" width="9" style="533"/>
    <col min="484" max="484" width="2.5" style="533" customWidth="1"/>
    <col min="485" max="485" width="3.5" style="533" customWidth="1"/>
    <col min="486" max="486" width="21.5" style="533" customWidth="1"/>
    <col min="487" max="487" width="4" style="533" customWidth="1"/>
    <col min="488" max="488" width="5.375" style="533" customWidth="1"/>
    <col min="489" max="489" width="15.25" style="533" customWidth="1"/>
    <col min="490" max="497" width="14.25" style="533" customWidth="1"/>
    <col min="498" max="739" width="9" style="533"/>
    <col min="740" max="740" width="2.5" style="533" customWidth="1"/>
    <col min="741" max="741" width="3.5" style="533" customWidth="1"/>
    <col min="742" max="742" width="21.5" style="533" customWidth="1"/>
    <col min="743" max="743" width="4" style="533" customWidth="1"/>
    <col min="744" max="744" width="5.375" style="533" customWidth="1"/>
    <col min="745" max="745" width="15.25" style="533" customWidth="1"/>
    <col min="746" max="753" width="14.25" style="533" customWidth="1"/>
    <col min="754" max="995" width="9" style="533"/>
    <col min="996" max="996" width="2.5" style="533" customWidth="1"/>
    <col min="997" max="997" width="3.5" style="533" customWidth="1"/>
    <col min="998" max="998" width="21.5" style="533" customWidth="1"/>
    <col min="999" max="999" width="4" style="533" customWidth="1"/>
    <col min="1000" max="1000" width="5.375" style="533" customWidth="1"/>
    <col min="1001" max="1001" width="15.25" style="533" customWidth="1"/>
    <col min="1002" max="1009" width="14.25" style="533" customWidth="1"/>
    <col min="1010" max="1251" width="9" style="533"/>
    <col min="1252" max="1252" width="2.5" style="533" customWidth="1"/>
    <col min="1253" max="1253" width="3.5" style="533" customWidth="1"/>
    <col min="1254" max="1254" width="21.5" style="533" customWidth="1"/>
    <col min="1255" max="1255" width="4" style="533" customWidth="1"/>
    <col min="1256" max="1256" width="5.375" style="533" customWidth="1"/>
    <col min="1257" max="1257" width="15.25" style="533" customWidth="1"/>
    <col min="1258" max="1265" width="14.25" style="533" customWidth="1"/>
    <col min="1266" max="1507" width="9" style="533"/>
    <col min="1508" max="1508" width="2.5" style="533" customWidth="1"/>
    <col min="1509" max="1509" width="3.5" style="533" customWidth="1"/>
    <col min="1510" max="1510" width="21.5" style="533" customWidth="1"/>
    <col min="1511" max="1511" width="4" style="533" customWidth="1"/>
    <col min="1512" max="1512" width="5.375" style="533" customWidth="1"/>
    <col min="1513" max="1513" width="15.25" style="533" customWidth="1"/>
    <col min="1514" max="1521" width="14.25" style="533" customWidth="1"/>
    <col min="1522" max="1763" width="9" style="533"/>
    <col min="1764" max="1764" width="2.5" style="533" customWidth="1"/>
    <col min="1765" max="1765" width="3.5" style="533" customWidth="1"/>
    <col min="1766" max="1766" width="21.5" style="533" customWidth="1"/>
    <col min="1767" max="1767" width="4" style="533" customWidth="1"/>
    <col min="1768" max="1768" width="5.375" style="533" customWidth="1"/>
    <col min="1769" max="1769" width="15.25" style="533" customWidth="1"/>
    <col min="1770" max="1777" width="14.25" style="533" customWidth="1"/>
    <col min="1778" max="2019" width="9" style="533"/>
    <col min="2020" max="2020" width="2.5" style="533" customWidth="1"/>
    <col min="2021" max="2021" width="3.5" style="533" customWidth="1"/>
    <col min="2022" max="2022" width="21.5" style="533" customWidth="1"/>
    <col min="2023" max="2023" width="4" style="533" customWidth="1"/>
    <col min="2024" max="2024" width="5.375" style="533" customWidth="1"/>
    <col min="2025" max="2025" width="15.25" style="533" customWidth="1"/>
    <col min="2026" max="2033" width="14.25" style="533" customWidth="1"/>
    <col min="2034" max="2275" width="9" style="533"/>
    <col min="2276" max="2276" width="2.5" style="533" customWidth="1"/>
    <col min="2277" max="2277" width="3.5" style="533" customWidth="1"/>
    <col min="2278" max="2278" width="21.5" style="533" customWidth="1"/>
    <col min="2279" max="2279" width="4" style="533" customWidth="1"/>
    <col min="2280" max="2280" width="5.375" style="533" customWidth="1"/>
    <col min="2281" max="2281" width="15.25" style="533" customWidth="1"/>
    <col min="2282" max="2289" width="14.25" style="533" customWidth="1"/>
    <col min="2290" max="2531" width="9" style="533"/>
    <col min="2532" max="2532" width="2.5" style="533" customWidth="1"/>
    <col min="2533" max="2533" width="3.5" style="533" customWidth="1"/>
    <col min="2534" max="2534" width="21.5" style="533" customWidth="1"/>
    <col min="2535" max="2535" width="4" style="533" customWidth="1"/>
    <col min="2536" max="2536" width="5.375" style="533" customWidth="1"/>
    <col min="2537" max="2537" width="15.25" style="533" customWidth="1"/>
    <col min="2538" max="2545" width="14.25" style="533" customWidth="1"/>
    <col min="2546" max="2787" width="9" style="533"/>
    <col min="2788" max="2788" width="2.5" style="533" customWidth="1"/>
    <col min="2789" max="2789" width="3.5" style="533" customWidth="1"/>
    <col min="2790" max="2790" width="21.5" style="533" customWidth="1"/>
    <col min="2791" max="2791" width="4" style="533" customWidth="1"/>
    <col min="2792" max="2792" width="5.375" style="533" customWidth="1"/>
    <col min="2793" max="2793" width="15.25" style="533" customWidth="1"/>
    <col min="2794" max="2801" width="14.25" style="533" customWidth="1"/>
    <col min="2802" max="3043" width="9" style="533"/>
    <col min="3044" max="3044" width="2.5" style="533" customWidth="1"/>
    <col min="3045" max="3045" width="3.5" style="533" customWidth="1"/>
    <col min="3046" max="3046" width="21.5" style="533" customWidth="1"/>
    <col min="3047" max="3047" width="4" style="533" customWidth="1"/>
    <col min="3048" max="3048" width="5.375" style="533" customWidth="1"/>
    <col min="3049" max="3049" width="15.25" style="533" customWidth="1"/>
    <col min="3050" max="3057" width="14.25" style="533" customWidth="1"/>
    <col min="3058" max="3299" width="9" style="533"/>
    <col min="3300" max="3300" width="2.5" style="533" customWidth="1"/>
    <col min="3301" max="3301" width="3.5" style="533" customWidth="1"/>
    <col min="3302" max="3302" width="21.5" style="533" customWidth="1"/>
    <col min="3303" max="3303" width="4" style="533" customWidth="1"/>
    <col min="3304" max="3304" width="5.375" style="533" customWidth="1"/>
    <col min="3305" max="3305" width="15.25" style="533" customWidth="1"/>
    <col min="3306" max="3313" width="14.25" style="533" customWidth="1"/>
    <col min="3314" max="3555" width="9" style="533"/>
    <col min="3556" max="3556" width="2.5" style="533" customWidth="1"/>
    <col min="3557" max="3557" width="3.5" style="533" customWidth="1"/>
    <col min="3558" max="3558" width="21.5" style="533" customWidth="1"/>
    <col min="3559" max="3559" width="4" style="533" customWidth="1"/>
    <col min="3560" max="3560" width="5.375" style="533" customWidth="1"/>
    <col min="3561" max="3561" width="15.25" style="533" customWidth="1"/>
    <col min="3562" max="3569" width="14.25" style="533" customWidth="1"/>
    <col min="3570" max="3811" width="9" style="533"/>
    <col min="3812" max="3812" width="2.5" style="533" customWidth="1"/>
    <col min="3813" max="3813" width="3.5" style="533" customWidth="1"/>
    <col min="3814" max="3814" width="21.5" style="533" customWidth="1"/>
    <col min="3815" max="3815" width="4" style="533" customWidth="1"/>
    <col min="3816" max="3816" width="5.375" style="533" customWidth="1"/>
    <col min="3817" max="3817" width="15.25" style="533" customWidth="1"/>
    <col min="3818" max="3825" width="14.25" style="533" customWidth="1"/>
    <col min="3826" max="4067" width="9" style="533"/>
    <col min="4068" max="4068" width="2.5" style="533" customWidth="1"/>
    <col min="4069" max="4069" width="3.5" style="533" customWidth="1"/>
    <col min="4070" max="4070" width="21.5" style="533" customWidth="1"/>
    <col min="4071" max="4071" width="4" style="533" customWidth="1"/>
    <col min="4072" max="4072" width="5.375" style="533" customWidth="1"/>
    <col min="4073" max="4073" width="15.25" style="533" customWidth="1"/>
    <col min="4074" max="4081" width="14.25" style="533" customWidth="1"/>
    <col min="4082" max="4323" width="9" style="533"/>
    <col min="4324" max="4324" width="2.5" style="533" customWidth="1"/>
    <col min="4325" max="4325" width="3.5" style="533" customWidth="1"/>
    <col min="4326" max="4326" width="21.5" style="533" customWidth="1"/>
    <col min="4327" max="4327" width="4" style="533" customWidth="1"/>
    <col min="4328" max="4328" width="5.375" style="533" customWidth="1"/>
    <col min="4329" max="4329" width="15.25" style="533" customWidth="1"/>
    <col min="4330" max="4337" width="14.25" style="533" customWidth="1"/>
    <col min="4338" max="4579" width="9" style="533"/>
    <col min="4580" max="4580" width="2.5" style="533" customWidth="1"/>
    <col min="4581" max="4581" width="3.5" style="533" customWidth="1"/>
    <col min="4582" max="4582" width="21.5" style="533" customWidth="1"/>
    <col min="4583" max="4583" width="4" style="533" customWidth="1"/>
    <col min="4584" max="4584" width="5.375" style="533" customWidth="1"/>
    <col min="4585" max="4585" width="15.25" style="533" customWidth="1"/>
    <col min="4586" max="4593" width="14.25" style="533" customWidth="1"/>
    <col min="4594" max="4835" width="9" style="533"/>
    <col min="4836" max="4836" width="2.5" style="533" customWidth="1"/>
    <col min="4837" max="4837" width="3.5" style="533" customWidth="1"/>
    <col min="4838" max="4838" width="21.5" style="533" customWidth="1"/>
    <col min="4839" max="4839" width="4" style="533" customWidth="1"/>
    <col min="4840" max="4840" width="5.375" style="533" customWidth="1"/>
    <col min="4841" max="4841" width="15.25" style="533" customWidth="1"/>
    <col min="4842" max="4849" width="14.25" style="533" customWidth="1"/>
    <col min="4850" max="5091" width="9" style="533"/>
    <col min="5092" max="5092" width="2.5" style="533" customWidth="1"/>
    <col min="5093" max="5093" width="3.5" style="533" customWidth="1"/>
    <col min="5094" max="5094" width="21.5" style="533" customWidth="1"/>
    <col min="5095" max="5095" width="4" style="533" customWidth="1"/>
    <col min="5096" max="5096" width="5.375" style="533" customWidth="1"/>
    <col min="5097" max="5097" width="15.25" style="533" customWidth="1"/>
    <col min="5098" max="5105" width="14.25" style="533" customWidth="1"/>
    <col min="5106" max="5347" width="9" style="533"/>
    <col min="5348" max="5348" width="2.5" style="533" customWidth="1"/>
    <col min="5349" max="5349" width="3.5" style="533" customWidth="1"/>
    <col min="5350" max="5350" width="21.5" style="533" customWidth="1"/>
    <col min="5351" max="5351" width="4" style="533" customWidth="1"/>
    <col min="5352" max="5352" width="5.375" style="533" customWidth="1"/>
    <col min="5353" max="5353" width="15.25" style="533" customWidth="1"/>
    <col min="5354" max="5361" width="14.25" style="533" customWidth="1"/>
    <col min="5362" max="5603" width="9" style="533"/>
    <col min="5604" max="5604" width="2.5" style="533" customWidth="1"/>
    <col min="5605" max="5605" width="3.5" style="533" customWidth="1"/>
    <col min="5606" max="5606" width="21.5" style="533" customWidth="1"/>
    <col min="5607" max="5607" width="4" style="533" customWidth="1"/>
    <col min="5608" max="5608" width="5.375" style="533" customWidth="1"/>
    <col min="5609" max="5609" width="15.25" style="533" customWidth="1"/>
    <col min="5610" max="5617" width="14.25" style="533" customWidth="1"/>
    <col min="5618" max="5859" width="9" style="533"/>
    <col min="5860" max="5860" width="2.5" style="533" customWidth="1"/>
    <col min="5861" max="5861" width="3.5" style="533" customWidth="1"/>
    <col min="5862" max="5862" width="21.5" style="533" customWidth="1"/>
    <col min="5863" max="5863" width="4" style="533" customWidth="1"/>
    <col min="5864" max="5864" width="5.375" style="533" customWidth="1"/>
    <col min="5865" max="5865" width="15.25" style="533" customWidth="1"/>
    <col min="5866" max="5873" width="14.25" style="533" customWidth="1"/>
    <col min="5874" max="6115" width="9" style="533"/>
    <col min="6116" max="6116" width="2.5" style="533" customWidth="1"/>
    <col min="6117" max="6117" width="3.5" style="533" customWidth="1"/>
    <col min="6118" max="6118" width="21.5" style="533" customWidth="1"/>
    <col min="6119" max="6119" width="4" style="533" customWidth="1"/>
    <col min="6120" max="6120" width="5.375" style="533" customWidth="1"/>
    <col min="6121" max="6121" width="15.25" style="533" customWidth="1"/>
    <col min="6122" max="6129" width="14.25" style="533" customWidth="1"/>
    <col min="6130" max="6371" width="9" style="533"/>
    <col min="6372" max="6372" width="2.5" style="533" customWidth="1"/>
    <col min="6373" max="6373" width="3.5" style="533" customWidth="1"/>
    <col min="6374" max="6374" width="21.5" style="533" customWidth="1"/>
    <col min="6375" max="6375" width="4" style="533" customWidth="1"/>
    <col min="6376" max="6376" width="5.375" style="533" customWidth="1"/>
    <col min="6377" max="6377" width="15.25" style="533" customWidth="1"/>
    <col min="6378" max="6385" width="14.25" style="533" customWidth="1"/>
    <col min="6386" max="6627" width="9" style="533"/>
    <col min="6628" max="6628" width="2.5" style="533" customWidth="1"/>
    <col min="6629" max="6629" width="3.5" style="533" customWidth="1"/>
    <col min="6630" max="6630" width="21.5" style="533" customWidth="1"/>
    <col min="6631" max="6631" width="4" style="533" customWidth="1"/>
    <col min="6632" max="6632" width="5.375" style="533" customWidth="1"/>
    <col min="6633" max="6633" width="15.25" style="533" customWidth="1"/>
    <col min="6634" max="6641" width="14.25" style="533" customWidth="1"/>
    <col min="6642" max="6883" width="9" style="533"/>
    <col min="6884" max="6884" width="2.5" style="533" customWidth="1"/>
    <col min="6885" max="6885" width="3.5" style="533" customWidth="1"/>
    <col min="6886" max="6886" width="21.5" style="533" customWidth="1"/>
    <col min="6887" max="6887" width="4" style="533" customWidth="1"/>
    <col min="6888" max="6888" width="5.375" style="533" customWidth="1"/>
    <col min="6889" max="6889" width="15.25" style="533" customWidth="1"/>
    <col min="6890" max="6897" width="14.25" style="533" customWidth="1"/>
    <col min="6898" max="7139" width="9" style="533"/>
    <col min="7140" max="7140" width="2.5" style="533" customWidth="1"/>
    <col min="7141" max="7141" width="3.5" style="533" customWidth="1"/>
    <col min="7142" max="7142" width="21.5" style="533" customWidth="1"/>
    <col min="7143" max="7143" width="4" style="533" customWidth="1"/>
    <col min="7144" max="7144" width="5.375" style="533" customWidth="1"/>
    <col min="7145" max="7145" width="15.25" style="533" customWidth="1"/>
    <col min="7146" max="7153" width="14.25" style="533" customWidth="1"/>
    <col min="7154" max="7395" width="9" style="533"/>
    <col min="7396" max="7396" width="2.5" style="533" customWidth="1"/>
    <col min="7397" max="7397" width="3.5" style="533" customWidth="1"/>
    <col min="7398" max="7398" width="21.5" style="533" customWidth="1"/>
    <col min="7399" max="7399" width="4" style="533" customWidth="1"/>
    <col min="7400" max="7400" width="5.375" style="533" customWidth="1"/>
    <col min="7401" max="7401" width="15.25" style="533" customWidth="1"/>
    <col min="7402" max="7409" width="14.25" style="533" customWidth="1"/>
    <col min="7410" max="7651" width="9" style="533"/>
    <col min="7652" max="7652" width="2.5" style="533" customWidth="1"/>
    <col min="7653" max="7653" width="3.5" style="533" customWidth="1"/>
    <col min="7654" max="7654" width="21.5" style="533" customWidth="1"/>
    <col min="7655" max="7655" width="4" style="533" customWidth="1"/>
    <col min="7656" max="7656" width="5.375" style="533" customWidth="1"/>
    <col min="7657" max="7657" width="15.25" style="533" customWidth="1"/>
    <col min="7658" max="7665" width="14.25" style="533" customWidth="1"/>
    <col min="7666" max="7907" width="9" style="533"/>
    <col min="7908" max="7908" width="2.5" style="533" customWidth="1"/>
    <col min="7909" max="7909" width="3.5" style="533" customWidth="1"/>
    <col min="7910" max="7910" width="21.5" style="533" customWidth="1"/>
    <col min="7911" max="7911" width="4" style="533" customWidth="1"/>
    <col min="7912" max="7912" width="5.375" style="533" customWidth="1"/>
    <col min="7913" max="7913" width="15.25" style="533" customWidth="1"/>
    <col min="7914" max="7921" width="14.25" style="533" customWidth="1"/>
    <col min="7922" max="8163" width="9" style="533"/>
    <col min="8164" max="8164" width="2.5" style="533" customWidth="1"/>
    <col min="8165" max="8165" width="3.5" style="533" customWidth="1"/>
    <col min="8166" max="8166" width="21.5" style="533" customWidth="1"/>
    <col min="8167" max="8167" width="4" style="533" customWidth="1"/>
    <col min="8168" max="8168" width="5.375" style="533" customWidth="1"/>
    <col min="8169" max="8169" width="15.25" style="533" customWidth="1"/>
    <col min="8170" max="8177" width="14.25" style="533" customWidth="1"/>
    <col min="8178" max="8419" width="9" style="533"/>
    <col min="8420" max="8420" width="2.5" style="533" customWidth="1"/>
    <col min="8421" max="8421" width="3.5" style="533" customWidth="1"/>
    <col min="8422" max="8422" width="21.5" style="533" customWidth="1"/>
    <col min="8423" max="8423" width="4" style="533" customWidth="1"/>
    <col min="8424" max="8424" width="5.375" style="533" customWidth="1"/>
    <col min="8425" max="8425" width="15.25" style="533" customWidth="1"/>
    <col min="8426" max="8433" width="14.25" style="533" customWidth="1"/>
    <col min="8434" max="8675" width="9" style="533"/>
    <col min="8676" max="8676" width="2.5" style="533" customWidth="1"/>
    <col min="8677" max="8677" width="3.5" style="533" customWidth="1"/>
    <col min="8678" max="8678" width="21.5" style="533" customWidth="1"/>
    <col min="8679" max="8679" width="4" style="533" customWidth="1"/>
    <col min="8680" max="8680" width="5.375" style="533" customWidth="1"/>
    <col min="8681" max="8681" width="15.25" style="533" customWidth="1"/>
    <col min="8682" max="8689" width="14.25" style="533" customWidth="1"/>
    <col min="8690" max="8931" width="9" style="533"/>
    <col min="8932" max="8932" width="2.5" style="533" customWidth="1"/>
    <col min="8933" max="8933" width="3.5" style="533" customWidth="1"/>
    <col min="8934" max="8934" width="21.5" style="533" customWidth="1"/>
    <col min="8935" max="8935" width="4" style="533" customWidth="1"/>
    <col min="8936" max="8936" width="5.375" style="533" customWidth="1"/>
    <col min="8937" max="8937" width="15.25" style="533" customWidth="1"/>
    <col min="8938" max="8945" width="14.25" style="533" customWidth="1"/>
    <col min="8946" max="9187" width="9" style="533"/>
    <col min="9188" max="9188" width="2.5" style="533" customWidth="1"/>
    <col min="9189" max="9189" width="3.5" style="533" customWidth="1"/>
    <col min="9190" max="9190" width="21.5" style="533" customWidth="1"/>
    <col min="9191" max="9191" width="4" style="533" customWidth="1"/>
    <col min="9192" max="9192" width="5.375" style="533" customWidth="1"/>
    <col min="9193" max="9193" width="15.25" style="533" customWidth="1"/>
    <col min="9194" max="9201" width="14.25" style="533" customWidth="1"/>
    <col min="9202" max="9443" width="9" style="533"/>
    <col min="9444" max="9444" width="2.5" style="533" customWidth="1"/>
    <col min="9445" max="9445" width="3.5" style="533" customWidth="1"/>
    <col min="9446" max="9446" width="21.5" style="533" customWidth="1"/>
    <col min="9447" max="9447" width="4" style="533" customWidth="1"/>
    <col min="9448" max="9448" width="5.375" style="533" customWidth="1"/>
    <col min="9449" max="9449" width="15.25" style="533" customWidth="1"/>
    <col min="9450" max="9457" width="14.25" style="533" customWidth="1"/>
    <col min="9458" max="9699" width="9" style="533"/>
    <col min="9700" max="9700" width="2.5" style="533" customWidth="1"/>
    <col min="9701" max="9701" width="3.5" style="533" customWidth="1"/>
    <col min="9702" max="9702" width="21.5" style="533" customWidth="1"/>
    <col min="9703" max="9703" width="4" style="533" customWidth="1"/>
    <col min="9704" max="9704" width="5.375" style="533" customWidth="1"/>
    <col min="9705" max="9705" width="15.25" style="533" customWidth="1"/>
    <col min="9706" max="9713" width="14.25" style="533" customWidth="1"/>
    <col min="9714" max="9955" width="9" style="533"/>
    <col min="9956" max="9956" width="2.5" style="533" customWidth="1"/>
    <col min="9957" max="9957" width="3.5" style="533" customWidth="1"/>
    <col min="9958" max="9958" width="21.5" style="533" customWidth="1"/>
    <col min="9959" max="9959" width="4" style="533" customWidth="1"/>
    <col min="9960" max="9960" width="5.375" style="533" customWidth="1"/>
    <col min="9961" max="9961" width="15.25" style="533" customWidth="1"/>
    <col min="9962" max="9969" width="14.25" style="533" customWidth="1"/>
    <col min="9970" max="10211" width="9" style="533"/>
    <col min="10212" max="10212" width="2.5" style="533" customWidth="1"/>
    <col min="10213" max="10213" width="3.5" style="533" customWidth="1"/>
    <col min="10214" max="10214" width="21.5" style="533" customWidth="1"/>
    <col min="10215" max="10215" width="4" style="533" customWidth="1"/>
    <col min="10216" max="10216" width="5.375" style="533" customWidth="1"/>
    <col min="10217" max="10217" width="15.25" style="533" customWidth="1"/>
    <col min="10218" max="10225" width="14.25" style="533" customWidth="1"/>
    <col min="10226" max="10467" width="9" style="533"/>
    <col min="10468" max="10468" width="2.5" style="533" customWidth="1"/>
    <col min="10469" max="10469" width="3.5" style="533" customWidth="1"/>
    <col min="10470" max="10470" width="21.5" style="533" customWidth="1"/>
    <col min="10471" max="10471" width="4" style="533" customWidth="1"/>
    <col min="10472" max="10472" width="5.375" style="533" customWidth="1"/>
    <col min="10473" max="10473" width="15.25" style="533" customWidth="1"/>
    <col min="10474" max="10481" width="14.25" style="533" customWidth="1"/>
    <col min="10482" max="10723" width="9" style="533"/>
    <col min="10724" max="10724" width="2.5" style="533" customWidth="1"/>
    <col min="10725" max="10725" width="3.5" style="533" customWidth="1"/>
    <col min="10726" max="10726" width="21.5" style="533" customWidth="1"/>
    <col min="10727" max="10727" width="4" style="533" customWidth="1"/>
    <col min="10728" max="10728" width="5.375" style="533" customWidth="1"/>
    <col min="10729" max="10729" width="15.25" style="533" customWidth="1"/>
    <col min="10730" max="10737" width="14.25" style="533" customWidth="1"/>
    <col min="10738" max="10979" width="9" style="533"/>
    <col min="10980" max="10980" width="2.5" style="533" customWidth="1"/>
    <col min="10981" max="10981" width="3.5" style="533" customWidth="1"/>
    <col min="10982" max="10982" width="21.5" style="533" customWidth="1"/>
    <col min="10983" max="10983" width="4" style="533" customWidth="1"/>
    <col min="10984" max="10984" width="5.375" style="533" customWidth="1"/>
    <col min="10985" max="10985" width="15.25" style="533" customWidth="1"/>
    <col min="10986" max="10993" width="14.25" style="533" customWidth="1"/>
    <col min="10994" max="11235" width="9" style="533"/>
    <col min="11236" max="11236" width="2.5" style="533" customWidth="1"/>
    <col min="11237" max="11237" width="3.5" style="533" customWidth="1"/>
    <col min="11238" max="11238" width="21.5" style="533" customWidth="1"/>
    <col min="11239" max="11239" width="4" style="533" customWidth="1"/>
    <col min="11240" max="11240" width="5.375" style="533" customWidth="1"/>
    <col min="11241" max="11241" width="15.25" style="533" customWidth="1"/>
    <col min="11242" max="11249" width="14.25" style="533" customWidth="1"/>
    <col min="11250" max="11491" width="9" style="533"/>
    <col min="11492" max="11492" width="2.5" style="533" customWidth="1"/>
    <col min="11493" max="11493" width="3.5" style="533" customWidth="1"/>
    <col min="11494" max="11494" width="21.5" style="533" customWidth="1"/>
    <col min="11495" max="11495" width="4" style="533" customWidth="1"/>
    <col min="11496" max="11496" width="5.375" style="533" customWidth="1"/>
    <col min="11497" max="11497" width="15.25" style="533" customWidth="1"/>
    <col min="11498" max="11505" width="14.25" style="533" customWidth="1"/>
    <col min="11506" max="11747" width="9" style="533"/>
    <col min="11748" max="11748" width="2.5" style="533" customWidth="1"/>
    <col min="11749" max="11749" width="3.5" style="533" customWidth="1"/>
    <col min="11750" max="11750" width="21.5" style="533" customWidth="1"/>
    <col min="11751" max="11751" width="4" style="533" customWidth="1"/>
    <col min="11752" max="11752" width="5.375" style="533" customWidth="1"/>
    <col min="11753" max="11753" width="15.25" style="533" customWidth="1"/>
    <col min="11754" max="11761" width="14.25" style="533" customWidth="1"/>
    <col min="11762" max="12003" width="9" style="533"/>
    <col min="12004" max="12004" width="2.5" style="533" customWidth="1"/>
    <col min="12005" max="12005" width="3.5" style="533" customWidth="1"/>
    <col min="12006" max="12006" width="21.5" style="533" customWidth="1"/>
    <col min="12007" max="12007" width="4" style="533" customWidth="1"/>
    <col min="12008" max="12008" width="5.375" style="533" customWidth="1"/>
    <col min="12009" max="12009" width="15.25" style="533" customWidth="1"/>
    <col min="12010" max="12017" width="14.25" style="533" customWidth="1"/>
    <col min="12018" max="12259" width="9" style="533"/>
    <col min="12260" max="12260" width="2.5" style="533" customWidth="1"/>
    <col min="12261" max="12261" width="3.5" style="533" customWidth="1"/>
    <col min="12262" max="12262" width="21.5" style="533" customWidth="1"/>
    <col min="12263" max="12263" width="4" style="533" customWidth="1"/>
    <col min="12264" max="12264" width="5.375" style="533" customWidth="1"/>
    <col min="12265" max="12265" width="15.25" style="533" customWidth="1"/>
    <col min="12266" max="12273" width="14.25" style="533" customWidth="1"/>
    <col min="12274" max="12515" width="9" style="533"/>
    <col min="12516" max="12516" width="2.5" style="533" customWidth="1"/>
    <col min="12517" max="12517" width="3.5" style="533" customWidth="1"/>
    <col min="12518" max="12518" width="21.5" style="533" customWidth="1"/>
    <col min="12519" max="12519" width="4" style="533" customWidth="1"/>
    <col min="12520" max="12520" width="5.375" style="533" customWidth="1"/>
    <col min="12521" max="12521" width="15.25" style="533" customWidth="1"/>
    <col min="12522" max="12529" width="14.25" style="533" customWidth="1"/>
    <col min="12530" max="12771" width="9" style="533"/>
    <col min="12772" max="12772" width="2.5" style="533" customWidth="1"/>
    <col min="12773" max="12773" width="3.5" style="533" customWidth="1"/>
    <col min="12774" max="12774" width="21.5" style="533" customWidth="1"/>
    <col min="12775" max="12775" width="4" style="533" customWidth="1"/>
    <col min="12776" max="12776" width="5.375" style="533" customWidth="1"/>
    <col min="12777" max="12777" width="15.25" style="533" customWidth="1"/>
    <col min="12778" max="12785" width="14.25" style="533" customWidth="1"/>
    <col min="12786" max="13027" width="9" style="533"/>
    <col min="13028" max="13028" width="2.5" style="533" customWidth="1"/>
    <col min="13029" max="13029" width="3.5" style="533" customWidth="1"/>
    <col min="13030" max="13030" width="21.5" style="533" customWidth="1"/>
    <col min="13031" max="13031" width="4" style="533" customWidth="1"/>
    <col min="13032" max="13032" width="5.375" style="533" customWidth="1"/>
    <col min="13033" max="13033" width="15.25" style="533" customWidth="1"/>
    <col min="13034" max="13041" width="14.25" style="533" customWidth="1"/>
    <col min="13042" max="13283" width="9" style="533"/>
    <col min="13284" max="13284" width="2.5" style="533" customWidth="1"/>
    <col min="13285" max="13285" width="3.5" style="533" customWidth="1"/>
    <col min="13286" max="13286" width="21.5" style="533" customWidth="1"/>
    <col min="13287" max="13287" width="4" style="533" customWidth="1"/>
    <col min="13288" max="13288" width="5.375" style="533" customWidth="1"/>
    <col min="13289" max="13289" width="15.25" style="533" customWidth="1"/>
    <col min="13290" max="13297" width="14.25" style="533" customWidth="1"/>
    <col min="13298" max="13539" width="9" style="533"/>
    <col min="13540" max="13540" width="2.5" style="533" customWidth="1"/>
    <col min="13541" max="13541" width="3.5" style="533" customWidth="1"/>
    <col min="13542" max="13542" width="21.5" style="533" customWidth="1"/>
    <col min="13543" max="13543" width="4" style="533" customWidth="1"/>
    <col min="13544" max="13544" width="5.375" style="533" customWidth="1"/>
    <col min="13545" max="13545" width="15.25" style="533" customWidth="1"/>
    <col min="13546" max="13553" width="14.25" style="533" customWidth="1"/>
    <col min="13554" max="13795" width="9" style="533"/>
    <col min="13796" max="13796" width="2.5" style="533" customWidth="1"/>
    <col min="13797" max="13797" width="3.5" style="533" customWidth="1"/>
    <col min="13798" max="13798" width="21.5" style="533" customWidth="1"/>
    <col min="13799" max="13799" width="4" style="533" customWidth="1"/>
    <col min="13800" max="13800" width="5.375" style="533" customWidth="1"/>
    <col min="13801" max="13801" width="15.25" style="533" customWidth="1"/>
    <col min="13802" max="13809" width="14.25" style="533" customWidth="1"/>
    <col min="13810" max="14051" width="9" style="533"/>
    <col min="14052" max="14052" width="2.5" style="533" customWidth="1"/>
    <col min="14053" max="14053" width="3.5" style="533" customWidth="1"/>
    <col min="14054" max="14054" width="21.5" style="533" customWidth="1"/>
    <col min="14055" max="14055" width="4" style="533" customWidth="1"/>
    <col min="14056" max="14056" width="5.375" style="533" customWidth="1"/>
    <col min="14057" max="14057" width="15.25" style="533" customWidth="1"/>
    <col min="14058" max="14065" width="14.25" style="533" customWidth="1"/>
    <col min="14066" max="14307" width="9" style="533"/>
    <col min="14308" max="14308" width="2.5" style="533" customWidth="1"/>
    <col min="14309" max="14309" width="3.5" style="533" customWidth="1"/>
    <col min="14310" max="14310" width="21.5" style="533" customWidth="1"/>
    <col min="14311" max="14311" width="4" style="533" customWidth="1"/>
    <col min="14312" max="14312" width="5.375" style="533" customWidth="1"/>
    <col min="14313" max="14313" width="15.25" style="533" customWidth="1"/>
    <col min="14314" max="14321" width="14.25" style="533" customWidth="1"/>
    <col min="14322" max="14563" width="9" style="533"/>
    <col min="14564" max="14564" width="2.5" style="533" customWidth="1"/>
    <col min="14565" max="14565" width="3.5" style="533" customWidth="1"/>
    <col min="14566" max="14566" width="21.5" style="533" customWidth="1"/>
    <col min="14567" max="14567" width="4" style="533" customWidth="1"/>
    <col min="14568" max="14568" width="5.375" style="533" customWidth="1"/>
    <col min="14569" max="14569" width="15.25" style="533" customWidth="1"/>
    <col min="14570" max="14577" width="14.25" style="533" customWidth="1"/>
    <col min="14578" max="14819" width="9" style="533"/>
    <col min="14820" max="14820" width="2.5" style="533" customWidth="1"/>
    <col min="14821" max="14821" width="3.5" style="533" customWidth="1"/>
    <col min="14822" max="14822" width="21.5" style="533" customWidth="1"/>
    <col min="14823" max="14823" width="4" style="533" customWidth="1"/>
    <col min="14824" max="14824" width="5.375" style="533" customWidth="1"/>
    <col min="14825" max="14825" width="15.25" style="533" customWidth="1"/>
    <col min="14826" max="14833" width="14.25" style="533" customWidth="1"/>
    <col min="14834" max="15075" width="9" style="533"/>
    <col min="15076" max="15076" width="2.5" style="533" customWidth="1"/>
    <col min="15077" max="15077" width="3.5" style="533" customWidth="1"/>
    <col min="15078" max="15078" width="21.5" style="533" customWidth="1"/>
    <col min="15079" max="15079" width="4" style="533" customWidth="1"/>
    <col min="15080" max="15080" width="5.375" style="533" customWidth="1"/>
    <col min="15081" max="15081" width="15.25" style="533" customWidth="1"/>
    <col min="15082" max="15089" width="14.25" style="533" customWidth="1"/>
    <col min="15090" max="15331" width="9" style="533"/>
    <col min="15332" max="15332" width="2.5" style="533" customWidth="1"/>
    <col min="15333" max="15333" width="3.5" style="533" customWidth="1"/>
    <col min="15334" max="15334" width="21.5" style="533" customWidth="1"/>
    <col min="15335" max="15335" width="4" style="533" customWidth="1"/>
    <col min="15336" max="15336" width="5.375" style="533" customWidth="1"/>
    <col min="15337" max="15337" width="15.25" style="533" customWidth="1"/>
    <col min="15338" max="15345" width="14.25" style="533" customWidth="1"/>
    <col min="15346" max="15587" width="9" style="533"/>
    <col min="15588" max="15588" width="2.5" style="533" customWidth="1"/>
    <col min="15589" max="15589" width="3.5" style="533" customWidth="1"/>
    <col min="15590" max="15590" width="21.5" style="533" customWidth="1"/>
    <col min="15591" max="15591" width="4" style="533" customWidth="1"/>
    <col min="15592" max="15592" width="5.375" style="533" customWidth="1"/>
    <col min="15593" max="15593" width="15.25" style="533" customWidth="1"/>
    <col min="15594" max="15601" width="14.25" style="533" customWidth="1"/>
    <col min="15602" max="15843" width="9" style="533"/>
    <col min="15844" max="15844" width="2.5" style="533" customWidth="1"/>
    <col min="15845" max="15845" width="3.5" style="533" customWidth="1"/>
    <col min="15846" max="15846" width="21.5" style="533" customWidth="1"/>
    <col min="15847" max="15847" width="4" style="533" customWidth="1"/>
    <col min="15848" max="15848" width="5.375" style="533" customWidth="1"/>
    <col min="15849" max="15849" width="15.25" style="533" customWidth="1"/>
    <col min="15850" max="15857" width="14.25" style="533" customWidth="1"/>
    <col min="15858" max="16099" width="9" style="533"/>
    <col min="16100" max="16100" width="2.5" style="533" customWidth="1"/>
    <col min="16101" max="16101" width="3.5" style="533" customWidth="1"/>
    <col min="16102" max="16102" width="21.5" style="533" customWidth="1"/>
    <col min="16103" max="16103" width="4" style="533" customWidth="1"/>
    <col min="16104" max="16104" width="5.375" style="533" customWidth="1"/>
    <col min="16105" max="16105" width="15.25" style="533" customWidth="1"/>
    <col min="16106" max="16113" width="14.25" style="533" customWidth="1"/>
    <col min="16114" max="16384" width="9" style="533"/>
  </cols>
  <sheetData>
    <row r="1" spans="1:9" ht="13.5" customHeight="1">
      <c r="A1" s="528"/>
      <c r="B1" s="528"/>
      <c r="C1" s="531"/>
      <c r="D1" s="529"/>
      <c r="E1" s="529"/>
      <c r="F1" s="531" t="s">
        <v>2512</v>
      </c>
      <c r="G1" s="808"/>
      <c r="H1" s="808"/>
    </row>
    <row r="2" spans="1:9" ht="13.5" customHeight="1">
      <c r="A2" s="530"/>
      <c r="B2" s="528"/>
      <c r="C2" s="530"/>
      <c r="D2" s="531"/>
      <c r="E2" s="531"/>
      <c r="F2" s="529"/>
      <c r="G2" s="529"/>
      <c r="H2" s="534"/>
    </row>
    <row r="3" spans="1:9" ht="13.5" customHeight="1">
      <c r="A3" s="530"/>
      <c r="B3" s="528"/>
      <c r="C3" s="811"/>
      <c r="D3" s="531"/>
      <c r="E3" s="531"/>
      <c r="F3" s="529"/>
      <c r="G3" s="529"/>
      <c r="H3" s="534"/>
    </row>
    <row r="4" spans="1:9" ht="13.5" customHeight="1">
      <c r="A4" s="812"/>
      <c r="B4" s="813"/>
      <c r="C4" s="813" t="s">
        <v>2511</v>
      </c>
      <c r="D4" s="814"/>
      <c r="E4" s="809"/>
      <c r="F4" s="535"/>
      <c r="G4" s="536" t="s">
        <v>393</v>
      </c>
      <c r="H4" s="537" t="s">
        <v>394</v>
      </c>
    </row>
    <row r="5" spans="1:9" s="547" customFormat="1" ht="13.5" customHeight="1">
      <c r="A5" s="538"/>
      <c r="B5" s="539"/>
      <c r="C5" s="540"/>
      <c r="D5" s="810" t="s">
        <v>395</v>
      </c>
      <c r="E5" s="542"/>
      <c r="F5" s="543"/>
      <c r="G5" s="544">
        <f t="shared" ref="G5:G19" si="0">SUM(H5:I5)</f>
        <v>10000000</v>
      </c>
      <c r="H5" s="545">
        <v>10000000</v>
      </c>
      <c r="I5" s="546"/>
    </row>
    <row r="6" spans="1:9" s="547" customFormat="1" ht="13.5" customHeight="1">
      <c r="A6" s="538"/>
      <c r="B6" s="539"/>
      <c r="C6" s="548"/>
      <c r="D6" s="549"/>
      <c r="E6" s="550"/>
      <c r="F6" s="551" t="s">
        <v>396</v>
      </c>
      <c r="G6" s="552" t="e">
        <f t="shared" ca="1" si="0"/>
        <v>#REF!</v>
      </c>
      <c r="H6" s="553" t="e">
        <f ca="1">IF(COUNTIF(INDIRECT("'"&amp;H$3&amp;"'!＄ｄ:$ｄ"),"直接仮設工事")=0,"0",VLOOKUP("直接仮設工事",INDIRECT("'"&amp;H$3&amp;"'!＄D:$L"),6,FALSE))</f>
        <v>#REF!</v>
      </c>
      <c r="I6" s="532"/>
    </row>
    <row r="7" spans="1:9" s="547" customFormat="1" ht="13.5" customHeight="1">
      <c r="A7" s="538"/>
      <c r="B7" s="539"/>
      <c r="C7" s="548"/>
      <c r="D7" s="554"/>
      <c r="E7" s="555"/>
      <c r="F7" s="556" t="s">
        <v>397</v>
      </c>
      <c r="G7" s="557" t="e">
        <f t="shared" ca="1" si="0"/>
        <v>#REF!</v>
      </c>
      <c r="H7" s="558" t="e">
        <f ca="1">IF(COUNTIF(INDIRECT("'"&amp;H$3&amp;"'!＄ｄ:$ｄ"),"部分撤去工事")=0,"0",VLOOKUP("部分撤去工事",INDIRECT("'"&amp;H$3&amp;"'!＄D:$L"),6,FALSE))</f>
        <v>#REF!</v>
      </c>
      <c r="I7" s="532"/>
    </row>
    <row r="8" spans="1:9" s="547" customFormat="1" ht="13.5" customHeight="1">
      <c r="A8" s="538"/>
      <c r="B8" s="539"/>
      <c r="C8" s="548"/>
      <c r="D8" s="559"/>
      <c r="E8" s="560"/>
      <c r="F8" s="561" t="s">
        <v>398</v>
      </c>
      <c r="G8" s="562" t="e">
        <f t="shared" ca="1" si="0"/>
        <v>#REF!</v>
      </c>
      <c r="H8" s="563" t="e">
        <f ca="1">H5-H6-H7</f>
        <v>#REF!</v>
      </c>
      <c r="I8" s="546"/>
    </row>
    <row r="9" spans="1:9" s="547" customFormat="1" ht="13.5" customHeight="1">
      <c r="A9" s="538"/>
      <c r="B9" s="539"/>
      <c r="C9" s="548"/>
      <c r="D9" s="564"/>
      <c r="E9" s="2606" t="s">
        <v>399</v>
      </c>
      <c r="F9" s="565" t="s">
        <v>395</v>
      </c>
      <c r="G9" s="557" t="e">
        <f t="shared" ca="1" si="0"/>
        <v>#REF!</v>
      </c>
      <c r="H9" s="764" t="e">
        <f ca="1">H5-H12</f>
        <v>#REF!</v>
      </c>
      <c r="I9" s="546"/>
    </row>
    <row r="10" spans="1:9" s="547" customFormat="1" ht="13.5" customHeight="1">
      <c r="A10" s="538"/>
      <c r="B10" s="539"/>
      <c r="C10" s="548"/>
      <c r="D10" s="566"/>
      <c r="E10" s="2607"/>
      <c r="F10" s="567" t="s">
        <v>400</v>
      </c>
      <c r="G10" s="557" t="e">
        <f t="shared" ca="1" si="0"/>
        <v>#REF!</v>
      </c>
      <c r="H10" s="765" t="e">
        <f ca="1">H7-H13</f>
        <v>#REF!</v>
      </c>
      <c r="I10" s="546"/>
    </row>
    <row r="11" spans="1:9" s="547" customFormat="1" ht="13.5" customHeight="1">
      <c r="A11" s="538"/>
      <c r="B11" s="539"/>
      <c r="C11" s="548"/>
      <c r="D11" s="566"/>
      <c r="E11" s="2608"/>
      <c r="F11" s="568" t="s">
        <v>398</v>
      </c>
      <c r="G11" s="557" t="e">
        <f t="shared" ca="1" si="0"/>
        <v>#REF!</v>
      </c>
      <c r="H11" s="563" t="e">
        <f ca="1">H8-H14</f>
        <v>#REF!</v>
      </c>
      <c r="I11" s="546"/>
    </row>
    <row r="12" spans="1:9" s="547" customFormat="1" ht="13.5" customHeight="1">
      <c r="A12" s="538"/>
      <c r="B12" s="539"/>
      <c r="C12" s="548"/>
      <c r="D12" s="569"/>
      <c r="E12" s="2606" t="s">
        <v>401</v>
      </c>
      <c r="F12" s="565" t="s">
        <v>395</v>
      </c>
      <c r="G12" s="570" t="e">
        <f t="shared" ca="1" si="0"/>
        <v>#REF!</v>
      </c>
      <c r="H12" s="571" t="e">
        <f ca="1">IF(H4="費用",H5,SUMIF(INDIRECT(H$3&amp;"!$ｊ:$ｊ"),"うち費用",INDIRECT(H$3&amp;"!$ｋ:$ｋ")))</f>
        <v>#REF!</v>
      </c>
      <c r="I12" s="546"/>
    </row>
    <row r="13" spans="1:9" s="547" customFormat="1" ht="13.5" customHeight="1">
      <c r="A13" s="538"/>
      <c r="B13" s="539"/>
      <c r="C13" s="548"/>
      <c r="D13" s="566"/>
      <c r="E13" s="2607"/>
      <c r="F13" s="567" t="s">
        <v>400</v>
      </c>
      <c r="G13" s="572" t="e">
        <f t="shared" ca="1" si="0"/>
        <v>#REF!</v>
      </c>
      <c r="H13" s="573" t="e">
        <f ca="1">IF(H4="費用",H7,SUMIF(INDIRECT(H$3&amp;"!$ｊ:$ｊ"),"）うち費用",INDIRECT(H$3&amp;"!$ｋ:$ｋ")))</f>
        <v>#REF!</v>
      </c>
      <c r="I13" s="546"/>
    </row>
    <row r="14" spans="1:9" s="547" customFormat="1" ht="13.5" customHeight="1">
      <c r="A14" s="538"/>
      <c r="B14" s="539"/>
      <c r="C14" s="548"/>
      <c r="D14" s="574"/>
      <c r="E14" s="2608"/>
      <c r="F14" s="575" t="s">
        <v>398</v>
      </c>
      <c r="G14" s="576" t="e">
        <f t="shared" ca="1" si="0"/>
        <v>#REF!</v>
      </c>
      <c r="H14" s="563" t="e">
        <f ca="1">IF(H4="費用",H12-H13-H6,H12-H13)</f>
        <v>#REF!</v>
      </c>
      <c r="I14" s="546"/>
    </row>
    <row r="15" spans="1:9" s="547" customFormat="1" ht="13.5" customHeight="1">
      <c r="A15" s="538"/>
      <c r="B15" s="539"/>
      <c r="C15" s="577"/>
      <c r="D15" s="541" t="s">
        <v>402</v>
      </c>
      <c r="E15" s="542"/>
      <c r="F15" s="543"/>
      <c r="G15" s="544" t="e">
        <f t="shared" ca="1" si="0"/>
        <v>#REF!</v>
      </c>
      <c r="H15" s="578" t="e">
        <f ca="1">SUM(H16:H18)</f>
        <v>#REF!</v>
      </c>
      <c r="I15" s="546"/>
    </row>
    <row r="16" spans="1:9" s="547" customFormat="1" ht="13.5" customHeight="1">
      <c r="A16" s="538"/>
      <c r="B16" s="539"/>
      <c r="C16" s="548"/>
      <c r="D16" s="549"/>
      <c r="E16" s="550"/>
      <c r="F16" s="551" t="s">
        <v>403</v>
      </c>
      <c r="G16" s="552" t="e">
        <f t="shared" ca="1" si="0"/>
        <v>#REF!</v>
      </c>
      <c r="H16" s="553" t="e">
        <f ca="1">SUMIF(INDIRECT(H$3&amp;"!$ｄ:$ｄ"),"共通仮設費",INDIRECT(H$3&amp;"!$I:$ｉ"))</f>
        <v>#REF!</v>
      </c>
      <c r="I16" s="546"/>
    </row>
    <row r="17" spans="1:17" ht="13.5" customHeight="1">
      <c r="A17" s="538"/>
      <c r="B17" s="539"/>
      <c r="C17" s="548"/>
      <c r="D17" s="579"/>
      <c r="E17" s="580"/>
      <c r="F17" s="581" t="s">
        <v>404</v>
      </c>
      <c r="G17" s="582">
        <f t="shared" si="0"/>
        <v>5000000</v>
      </c>
      <c r="H17" s="583">
        <v>5000000</v>
      </c>
    </row>
    <row r="18" spans="1:17" ht="13.5" customHeight="1">
      <c r="A18" s="538"/>
      <c r="B18" s="539"/>
      <c r="C18" s="548"/>
      <c r="D18" s="559"/>
      <c r="E18" s="560"/>
      <c r="F18" s="584" t="s">
        <v>405</v>
      </c>
      <c r="G18" s="585">
        <f t="shared" si="0"/>
        <v>3000000</v>
      </c>
      <c r="H18" s="586">
        <v>3000000</v>
      </c>
      <c r="Q18" s="587"/>
    </row>
    <row r="19" spans="1:17" s="587" customFormat="1" ht="13.5" customHeight="1">
      <c r="A19" s="588"/>
      <c r="B19" s="589"/>
      <c r="C19" s="590"/>
      <c r="D19" s="591" t="s">
        <v>406</v>
      </c>
      <c r="E19" s="592"/>
      <c r="F19" s="593"/>
      <c r="G19" s="594" t="e">
        <f t="shared" ca="1" si="0"/>
        <v>#REF!</v>
      </c>
      <c r="H19" s="595" t="e">
        <f ca="1">+H15+H5</f>
        <v>#REF!</v>
      </c>
      <c r="I19" s="596"/>
    </row>
    <row r="20" spans="1:17" s="587" customFormat="1" ht="13.5" customHeight="1">
      <c r="A20" s="597"/>
      <c r="B20" s="599"/>
      <c r="C20" s="767"/>
      <c r="D20" s="768"/>
      <c r="E20" s="599"/>
      <c r="F20" s="769"/>
      <c r="G20" s="770"/>
      <c r="H20" s="771"/>
      <c r="I20" s="596"/>
    </row>
    <row r="21" spans="1:17" s="547" customFormat="1" ht="13.5" customHeight="1">
      <c r="A21" s="538"/>
      <c r="B21" s="643"/>
      <c r="C21" s="775"/>
      <c r="D21" s="780"/>
      <c r="E21" s="781"/>
      <c r="F21" s="787" t="s">
        <v>2474</v>
      </c>
      <c r="G21" s="570">
        <f>SUM(H21:I21)</f>
        <v>0</v>
      </c>
      <c r="H21" s="790"/>
      <c r="I21" s="546"/>
    </row>
    <row r="22" spans="1:17" s="587" customFormat="1" ht="13.5" customHeight="1">
      <c r="A22" s="786"/>
      <c r="B22" s="772"/>
      <c r="C22" s="548"/>
      <c r="D22" s="785"/>
      <c r="E22" s="782"/>
      <c r="F22" s="584" t="s">
        <v>2516</v>
      </c>
      <c r="G22" s="783">
        <f>SUM(H22:I22)</f>
        <v>0</v>
      </c>
      <c r="H22" s="586"/>
      <c r="I22" s="596"/>
    </row>
    <row r="23" spans="1:17" s="587" customFormat="1" ht="13.5" customHeight="1">
      <c r="A23" s="589"/>
      <c r="B23" s="589"/>
      <c r="C23" s="590"/>
      <c r="D23" s="649"/>
      <c r="E23" s="784"/>
      <c r="F23" s="606" t="s">
        <v>2475</v>
      </c>
      <c r="G23" s="779">
        <f>SUM(H23:I23)</f>
        <v>0</v>
      </c>
      <c r="H23" s="791"/>
      <c r="I23" s="596"/>
    </row>
    <row r="24" spans="1:17" s="587" customFormat="1" ht="13.5" customHeight="1">
      <c r="A24" s="597"/>
      <c r="B24" s="589"/>
      <c r="C24" s="776"/>
      <c r="D24" s="589"/>
      <c r="E24" s="589"/>
      <c r="F24" s="766"/>
      <c r="G24" s="777" t="e">
        <f ca="1">IF(G$23=G328,"","工事価格が一致ません。↑")</f>
        <v>#REF!</v>
      </c>
      <c r="H24" s="778" t="e">
        <f ca="1">IF(H$23=H328,"","↑error")</f>
        <v>#REF!</v>
      </c>
      <c r="I24" s="596"/>
    </row>
    <row r="25" spans="1:17" s="587" customFormat="1" ht="13.5" customHeight="1">
      <c r="A25" s="598" t="s">
        <v>407</v>
      </c>
      <c r="B25" s="599"/>
      <c r="C25" s="600"/>
      <c r="D25" s="599"/>
      <c r="E25" s="2601" t="s">
        <v>408</v>
      </c>
      <c r="F25" s="601"/>
      <c r="G25" s="602" t="s">
        <v>409</v>
      </c>
      <c r="H25" s="603" t="s">
        <v>410</v>
      </c>
      <c r="I25" s="596"/>
    </row>
    <row r="26" spans="1:17" s="587" customFormat="1" ht="13.5" customHeight="1">
      <c r="A26" s="604"/>
      <c r="B26" s="2603" t="s">
        <v>411</v>
      </c>
      <c r="C26" s="2604"/>
      <c r="D26" s="2605"/>
      <c r="E26" s="2602"/>
      <c r="F26" s="605"/>
      <c r="G26" s="606" t="s">
        <v>412</v>
      </c>
      <c r="H26" s="607" t="s">
        <v>413</v>
      </c>
      <c r="I26" s="596"/>
    </row>
    <row r="27" spans="1:17" ht="13.5" customHeight="1">
      <c r="A27" s="538"/>
      <c r="B27" s="608"/>
      <c r="C27" s="609" t="s">
        <v>414</v>
      </c>
      <c r="D27" s="610" t="s">
        <v>415</v>
      </c>
      <c r="E27" s="611">
        <v>38</v>
      </c>
      <c r="F27" s="612" t="s">
        <v>416</v>
      </c>
      <c r="G27" s="613" t="e">
        <f t="shared" ref="G27:G53" ca="1" si="1">SUM(H27:I27)</f>
        <v>#REF!</v>
      </c>
      <c r="H27" s="571" t="e">
        <f ca="1">IF(H$4="費用",0,H11-SUM(H28:H52)-H91-H73)</f>
        <v>#REF!</v>
      </c>
    </row>
    <row r="28" spans="1:17" ht="13.5" customHeight="1">
      <c r="A28" s="538"/>
      <c r="B28" s="539"/>
      <c r="C28" s="614" t="s">
        <v>417</v>
      </c>
      <c r="D28" s="615" t="s">
        <v>415</v>
      </c>
      <c r="E28" s="616">
        <v>34</v>
      </c>
      <c r="F28" s="617" t="s">
        <v>418</v>
      </c>
      <c r="G28" s="618">
        <f t="shared" si="1"/>
        <v>0</v>
      </c>
      <c r="H28" s="619"/>
    </row>
    <row r="29" spans="1:17" ht="13.5" customHeight="1">
      <c r="A29" s="538"/>
      <c r="B29" s="539"/>
      <c r="C29" s="609" t="s">
        <v>419</v>
      </c>
      <c r="D29" s="615" t="s">
        <v>415</v>
      </c>
      <c r="E29" s="616">
        <v>31</v>
      </c>
      <c r="F29" s="617" t="s">
        <v>420</v>
      </c>
      <c r="G29" s="618">
        <f t="shared" si="1"/>
        <v>0</v>
      </c>
      <c r="H29" s="619"/>
    </row>
    <row r="30" spans="1:17" ht="13.5" customHeight="1">
      <c r="A30" s="538"/>
      <c r="B30" s="539"/>
      <c r="C30" s="614" t="s">
        <v>421</v>
      </c>
      <c r="D30" s="615" t="s">
        <v>415</v>
      </c>
      <c r="E30" s="616">
        <v>25</v>
      </c>
      <c r="F30" s="617" t="s">
        <v>422</v>
      </c>
      <c r="G30" s="618">
        <f t="shared" si="1"/>
        <v>0</v>
      </c>
      <c r="H30" s="619"/>
    </row>
    <row r="31" spans="1:17" ht="13.5" customHeight="1">
      <c r="A31" s="538"/>
      <c r="B31" s="539"/>
      <c r="C31" s="609" t="s">
        <v>423</v>
      </c>
      <c r="D31" s="615" t="s">
        <v>415</v>
      </c>
      <c r="E31" s="616">
        <v>19</v>
      </c>
      <c r="F31" s="617" t="s">
        <v>424</v>
      </c>
      <c r="G31" s="618">
        <f t="shared" si="1"/>
        <v>0</v>
      </c>
      <c r="H31" s="619"/>
    </row>
    <row r="32" spans="1:17" ht="13.5" customHeight="1">
      <c r="A32" s="538"/>
      <c r="B32" s="539"/>
      <c r="C32" s="614" t="s">
        <v>425</v>
      </c>
      <c r="D32" s="615" t="s">
        <v>415</v>
      </c>
      <c r="E32" s="616">
        <v>17</v>
      </c>
      <c r="F32" s="617" t="s">
        <v>426</v>
      </c>
      <c r="G32" s="618">
        <f t="shared" si="1"/>
        <v>0</v>
      </c>
      <c r="H32" s="619"/>
    </row>
    <row r="33" spans="1:9" ht="13.5" customHeight="1">
      <c r="A33" s="538"/>
      <c r="B33" s="539"/>
      <c r="C33" s="609" t="s">
        <v>427</v>
      </c>
      <c r="D33" s="615" t="s">
        <v>415</v>
      </c>
      <c r="E33" s="616">
        <v>15</v>
      </c>
      <c r="F33" s="617" t="s">
        <v>428</v>
      </c>
      <c r="G33" s="618">
        <f t="shared" si="1"/>
        <v>0</v>
      </c>
      <c r="H33" s="619"/>
    </row>
    <row r="34" spans="1:9" ht="13.5" customHeight="1">
      <c r="A34" s="538"/>
      <c r="B34" s="539"/>
      <c r="C34" s="614" t="s">
        <v>429</v>
      </c>
      <c r="D34" s="615" t="s">
        <v>415</v>
      </c>
      <c r="E34" s="616">
        <v>10</v>
      </c>
      <c r="F34" s="617" t="s">
        <v>430</v>
      </c>
      <c r="G34" s="618">
        <f t="shared" si="1"/>
        <v>0</v>
      </c>
      <c r="H34" s="619"/>
    </row>
    <row r="35" spans="1:9" ht="13.5" customHeight="1">
      <c r="A35" s="538"/>
      <c r="B35" s="539"/>
      <c r="C35" s="609" t="s">
        <v>431</v>
      </c>
      <c r="D35" s="615" t="s">
        <v>415</v>
      </c>
      <c r="E35" s="616">
        <v>7</v>
      </c>
      <c r="F35" s="617" t="s">
        <v>432</v>
      </c>
      <c r="G35" s="618">
        <f t="shared" si="1"/>
        <v>0</v>
      </c>
      <c r="H35" s="619"/>
    </row>
    <row r="36" spans="1:9" s="532" customFormat="1" ht="13.5" customHeight="1">
      <c r="A36" s="538"/>
      <c r="B36" s="539"/>
      <c r="C36" s="614" t="s">
        <v>433</v>
      </c>
      <c r="D36" s="620" t="s">
        <v>434</v>
      </c>
      <c r="E36" s="616">
        <v>6</v>
      </c>
      <c r="F36" s="621" t="s">
        <v>435</v>
      </c>
      <c r="G36" s="622">
        <f t="shared" si="1"/>
        <v>0</v>
      </c>
      <c r="H36" s="623"/>
    </row>
    <row r="37" spans="1:9" s="532" customFormat="1" ht="13.5" customHeight="1">
      <c r="A37" s="538"/>
      <c r="B37" s="539"/>
      <c r="C37" s="609" t="s">
        <v>436</v>
      </c>
      <c r="D37" s="620" t="s">
        <v>434</v>
      </c>
      <c r="E37" s="616">
        <v>15</v>
      </c>
      <c r="F37" s="621" t="s">
        <v>437</v>
      </c>
      <c r="G37" s="622">
        <f t="shared" si="1"/>
        <v>0</v>
      </c>
      <c r="H37" s="623"/>
    </row>
    <row r="38" spans="1:9" s="532" customFormat="1" ht="13.5" customHeight="1">
      <c r="A38" s="538"/>
      <c r="B38" s="539"/>
      <c r="C38" s="614" t="s">
        <v>438</v>
      </c>
      <c r="D38" s="620" t="s">
        <v>434</v>
      </c>
      <c r="E38" s="616">
        <v>15</v>
      </c>
      <c r="F38" s="621" t="s">
        <v>439</v>
      </c>
      <c r="G38" s="622">
        <f t="shared" si="1"/>
        <v>0</v>
      </c>
      <c r="H38" s="623"/>
    </row>
    <row r="39" spans="1:9" s="532" customFormat="1" ht="13.5" customHeight="1">
      <c r="A39" s="538"/>
      <c r="B39" s="539"/>
      <c r="C39" s="609" t="s">
        <v>440</v>
      </c>
      <c r="D39" s="620" t="s">
        <v>434</v>
      </c>
      <c r="E39" s="616">
        <v>13</v>
      </c>
      <c r="F39" s="621" t="s">
        <v>441</v>
      </c>
      <c r="G39" s="622">
        <f t="shared" si="1"/>
        <v>0</v>
      </c>
      <c r="H39" s="623"/>
    </row>
    <row r="40" spans="1:9" s="532" customFormat="1" ht="13.5" customHeight="1">
      <c r="A40" s="538"/>
      <c r="B40" s="539"/>
      <c r="C40" s="614" t="s">
        <v>442</v>
      </c>
      <c r="D40" s="620" t="s">
        <v>434</v>
      </c>
      <c r="E40" s="616">
        <v>15</v>
      </c>
      <c r="F40" s="621" t="s">
        <v>443</v>
      </c>
      <c r="G40" s="622">
        <f t="shared" si="1"/>
        <v>0</v>
      </c>
      <c r="H40" s="623"/>
    </row>
    <row r="41" spans="1:9" s="532" customFormat="1" ht="13.5" customHeight="1">
      <c r="A41" s="538"/>
      <c r="B41" s="539"/>
      <c r="C41" s="609" t="s">
        <v>444</v>
      </c>
      <c r="D41" s="620" t="s">
        <v>434</v>
      </c>
      <c r="E41" s="616">
        <v>17</v>
      </c>
      <c r="F41" s="621" t="s">
        <v>445</v>
      </c>
      <c r="G41" s="622">
        <f t="shared" si="1"/>
        <v>0</v>
      </c>
      <c r="H41" s="623"/>
    </row>
    <row r="42" spans="1:9" s="532" customFormat="1" ht="13.5" customHeight="1">
      <c r="A42" s="538"/>
      <c r="B42" s="539"/>
      <c r="C42" s="614" t="s">
        <v>446</v>
      </c>
      <c r="D42" s="620" t="s">
        <v>434</v>
      </c>
      <c r="E42" s="616">
        <v>15</v>
      </c>
      <c r="F42" s="621" t="s">
        <v>447</v>
      </c>
      <c r="G42" s="622">
        <f t="shared" si="1"/>
        <v>0</v>
      </c>
      <c r="H42" s="623"/>
    </row>
    <row r="43" spans="1:9" ht="13.5" customHeight="1">
      <c r="A43" s="538"/>
      <c r="B43" s="539"/>
      <c r="C43" s="609" t="s">
        <v>448</v>
      </c>
      <c r="D43" s="615"/>
      <c r="E43" s="616">
        <v>8</v>
      </c>
      <c r="F43" s="617" t="s">
        <v>449</v>
      </c>
      <c r="G43" s="618">
        <f t="shared" si="1"/>
        <v>0</v>
      </c>
      <c r="H43" s="619"/>
    </row>
    <row r="44" spans="1:9" ht="13.5" customHeight="1">
      <c r="A44" s="538"/>
      <c r="B44" s="539"/>
      <c r="C44" s="614" t="s">
        <v>450</v>
      </c>
      <c r="D44" s="615" t="s">
        <v>451</v>
      </c>
      <c r="E44" s="616">
        <v>12</v>
      </c>
      <c r="F44" s="617" t="s">
        <v>452</v>
      </c>
      <c r="G44" s="618">
        <f t="shared" si="1"/>
        <v>0</v>
      </c>
      <c r="H44" s="619"/>
    </row>
    <row r="45" spans="1:9" ht="13.5" customHeight="1">
      <c r="A45" s="538"/>
      <c r="B45" s="539"/>
      <c r="C45" s="609" t="s">
        <v>453</v>
      </c>
      <c r="D45" s="615" t="s">
        <v>451</v>
      </c>
      <c r="E45" s="616">
        <v>15</v>
      </c>
      <c r="F45" s="617" t="s">
        <v>454</v>
      </c>
      <c r="G45" s="618">
        <f t="shared" si="1"/>
        <v>0</v>
      </c>
      <c r="H45" s="619"/>
    </row>
    <row r="46" spans="1:9" ht="13.5" customHeight="1">
      <c r="A46" s="538"/>
      <c r="B46" s="539"/>
      <c r="C46" s="614" t="s">
        <v>455</v>
      </c>
      <c r="D46" s="615" t="s">
        <v>451</v>
      </c>
      <c r="E46" s="616">
        <v>8</v>
      </c>
      <c r="F46" s="617" t="s">
        <v>456</v>
      </c>
      <c r="G46" s="618">
        <f t="shared" si="1"/>
        <v>0</v>
      </c>
      <c r="H46" s="619"/>
    </row>
    <row r="47" spans="1:9" ht="13.5" customHeight="1">
      <c r="A47" s="538"/>
      <c r="B47" s="539"/>
      <c r="C47" s="609" t="s">
        <v>457</v>
      </c>
      <c r="D47" s="615" t="s">
        <v>451</v>
      </c>
      <c r="E47" s="616">
        <v>3</v>
      </c>
      <c r="F47" s="617" t="s">
        <v>458</v>
      </c>
      <c r="G47" s="618" t="e">
        <f t="shared" ca="1" si="1"/>
        <v>#REF!</v>
      </c>
      <c r="H47" s="623" t="e">
        <f ca="1">SUMIF(INDIRECT(H$3&amp;"!$ｎ:$ｎ"),"店舗用簡易設備",INDIRECT(H$3&amp;"!$i:$i"))</f>
        <v>#REF!</v>
      </c>
    </row>
    <row r="48" spans="1:9" ht="13.5" customHeight="1">
      <c r="A48" s="538"/>
      <c r="B48" s="539"/>
      <c r="C48" s="614" t="s">
        <v>459</v>
      </c>
      <c r="D48" s="615" t="s">
        <v>451</v>
      </c>
      <c r="E48" s="616">
        <v>3</v>
      </c>
      <c r="F48" s="617" t="s">
        <v>460</v>
      </c>
      <c r="G48" s="618" t="e">
        <f t="shared" ca="1" si="1"/>
        <v>#REF!</v>
      </c>
      <c r="H48" s="623" t="e">
        <f ca="1">SUMIF(INDIRECT(H$3&amp;"!$ｎ:$ｎ"),"可動間仕切り-簡易なもの",INDIRECT(H$3&amp;"!$i:$i"))</f>
        <v>#REF!</v>
      </c>
    </row>
    <row r="49" spans="1:9" ht="13.5" customHeight="1">
      <c r="A49" s="538"/>
      <c r="B49" s="608"/>
      <c r="C49" s="609" t="s">
        <v>461</v>
      </c>
      <c r="D49" s="615" t="s">
        <v>451</v>
      </c>
      <c r="E49" s="616">
        <v>15</v>
      </c>
      <c r="F49" s="617" t="s">
        <v>462</v>
      </c>
      <c r="G49" s="618" t="e">
        <f t="shared" ca="1" si="1"/>
        <v>#REF!</v>
      </c>
      <c r="H49" s="623" t="e">
        <f ca="1">SUMIF(INDIRECT(H$3&amp;"!$ｎ:$ｎ"),"可動間仕切り-その他",INDIRECT(H$3&amp;"!$i:$i"))</f>
        <v>#REF!</v>
      </c>
    </row>
    <row r="50" spans="1:9" ht="13.5" customHeight="1">
      <c r="A50" s="538"/>
      <c r="B50" s="539"/>
      <c r="C50" s="614" t="s">
        <v>463</v>
      </c>
      <c r="D50" s="615" t="s">
        <v>451</v>
      </c>
      <c r="E50" s="616">
        <v>18</v>
      </c>
      <c r="F50" s="617" t="s">
        <v>464</v>
      </c>
      <c r="G50" s="618" t="e">
        <f t="shared" ca="1" si="1"/>
        <v>#REF!</v>
      </c>
      <c r="H50" s="623" t="e">
        <f ca="1">SUMIF(INDIRECT(H$3&amp;"!$ｎ:$ｎ"),"シャッター等（金属製）",INDIRECT(H$3&amp;"!$i:$i"))</f>
        <v>#REF!</v>
      </c>
    </row>
    <row r="51" spans="1:9" ht="13.5" customHeight="1">
      <c r="A51" s="538"/>
      <c r="B51" s="539"/>
      <c r="C51" s="609" t="s">
        <v>465</v>
      </c>
      <c r="D51" s="615" t="s">
        <v>451</v>
      </c>
      <c r="E51" s="624">
        <v>10</v>
      </c>
      <c r="F51" s="617" t="s">
        <v>466</v>
      </c>
      <c r="G51" s="618" t="e">
        <f t="shared" ca="1" si="1"/>
        <v>#REF!</v>
      </c>
      <c r="H51" s="623" t="e">
        <f ca="1">SUMIF(INDIRECT(H$3&amp;"!$ｎ:$ｎ"),"シャッター等（その他）",INDIRECT(H$3&amp;"!$i:$i"))</f>
        <v>#REF!</v>
      </c>
    </row>
    <row r="52" spans="1:9" ht="13.5" customHeight="1">
      <c r="A52" s="538"/>
      <c r="B52" s="539"/>
      <c r="C52" s="625"/>
      <c r="D52" s="626"/>
      <c r="E52" s="627"/>
      <c r="F52" s="628"/>
      <c r="G52" s="629">
        <f t="shared" si="1"/>
        <v>0</v>
      </c>
      <c r="H52" s="619"/>
    </row>
    <row r="53" spans="1:9" ht="13.5" customHeight="1">
      <c r="A53" s="630"/>
      <c r="B53" s="631"/>
      <c r="C53" s="631"/>
      <c r="D53" s="631"/>
      <c r="E53" s="632"/>
      <c r="F53" s="633" t="s">
        <v>467</v>
      </c>
      <c r="G53" s="634" t="e">
        <f t="shared" ca="1" si="1"/>
        <v>#REF!</v>
      </c>
      <c r="H53" s="635" t="e">
        <f ca="1">IF(H$4="費用",0,SUM(H27:H52))</f>
        <v>#REF!</v>
      </c>
    </row>
    <row r="54" spans="1:9" s="587" customFormat="1" ht="13.5" customHeight="1">
      <c r="A54" s="598" t="s">
        <v>468</v>
      </c>
      <c r="B54" s="599"/>
      <c r="C54" s="600"/>
      <c r="D54" s="599"/>
      <c r="E54" s="2601" t="s">
        <v>408</v>
      </c>
      <c r="F54" s="601"/>
      <c r="G54" s="602" t="s">
        <v>409</v>
      </c>
      <c r="H54" s="603" t="s">
        <v>469</v>
      </c>
      <c r="I54" s="596"/>
    </row>
    <row r="55" spans="1:9" s="587" customFormat="1" ht="13.5" customHeight="1">
      <c r="A55" s="604"/>
      <c r="B55" s="2603" t="s">
        <v>470</v>
      </c>
      <c r="C55" s="2604"/>
      <c r="D55" s="2605"/>
      <c r="E55" s="2602"/>
      <c r="F55" s="605"/>
      <c r="G55" s="606" t="s">
        <v>471</v>
      </c>
      <c r="H55" s="636" t="s">
        <v>472</v>
      </c>
      <c r="I55" s="596"/>
    </row>
    <row r="56" spans="1:9" ht="13.5" customHeight="1">
      <c r="A56" s="538"/>
      <c r="B56" s="608"/>
      <c r="C56" s="610" t="s">
        <v>473</v>
      </c>
      <c r="D56" s="610"/>
      <c r="E56" s="611">
        <v>32</v>
      </c>
      <c r="F56" s="612"/>
      <c r="G56" s="618">
        <f>SUM(H56:I56)</f>
        <v>0</v>
      </c>
      <c r="H56" s="623">
        <f>SUM(H57:H58)</f>
        <v>0</v>
      </c>
    </row>
    <row r="57" spans="1:9" ht="13.5" customHeight="1">
      <c r="A57" s="538"/>
      <c r="B57" s="539"/>
      <c r="C57" s="614" t="s">
        <v>474</v>
      </c>
      <c r="D57" s="615" t="s">
        <v>475</v>
      </c>
      <c r="E57" s="616"/>
      <c r="F57" s="617" t="s">
        <v>476</v>
      </c>
      <c r="G57" s="618"/>
      <c r="H57" s="619"/>
    </row>
    <row r="58" spans="1:9" ht="13.5" customHeight="1">
      <c r="A58" s="538"/>
      <c r="B58" s="539"/>
      <c r="C58" s="637" t="s">
        <v>477</v>
      </c>
      <c r="D58" s="638" t="s">
        <v>478</v>
      </c>
      <c r="E58" s="639"/>
      <c r="F58" s="640" t="s">
        <v>479</v>
      </c>
      <c r="G58" s="641"/>
      <c r="H58" s="642"/>
    </row>
    <row r="59" spans="1:9" ht="13.5" customHeight="1">
      <c r="A59" s="538"/>
      <c r="B59" s="539"/>
      <c r="C59" s="643"/>
      <c r="D59" s="644"/>
      <c r="E59" s="645"/>
      <c r="F59" s="646"/>
      <c r="G59" s="647" t="s">
        <v>409</v>
      </c>
      <c r="H59" s="648" t="s">
        <v>469</v>
      </c>
    </row>
    <row r="60" spans="1:9" ht="13.5" customHeight="1">
      <c r="A60" s="538"/>
      <c r="B60" s="539"/>
      <c r="C60" s="649"/>
      <c r="D60" s="650"/>
      <c r="E60" s="651"/>
      <c r="F60" s="652"/>
      <c r="G60" s="606" t="s">
        <v>412</v>
      </c>
      <c r="H60" s="653"/>
    </row>
    <row r="61" spans="1:9" ht="13.5" customHeight="1">
      <c r="A61" s="538"/>
      <c r="B61" s="539"/>
      <c r="C61" s="654" t="s">
        <v>480</v>
      </c>
      <c r="D61" s="654"/>
      <c r="E61" s="655"/>
      <c r="F61" s="656"/>
      <c r="G61" s="657"/>
      <c r="H61" s="553"/>
    </row>
    <row r="62" spans="1:9" ht="13.5" customHeight="1">
      <c r="A62" s="538"/>
      <c r="B62" s="539"/>
      <c r="C62" s="614" t="s">
        <v>474</v>
      </c>
      <c r="D62" s="615" t="s">
        <v>475</v>
      </c>
      <c r="E62" s="616">
        <v>15</v>
      </c>
      <c r="F62" s="617" t="s">
        <v>481</v>
      </c>
      <c r="G62" s="618">
        <f t="shared" ref="G62:G73" si="2">SUM(H62:I62)</f>
        <v>0</v>
      </c>
      <c r="H62" s="619"/>
    </row>
    <row r="63" spans="1:9" ht="13.5" customHeight="1">
      <c r="A63" s="538"/>
      <c r="B63" s="539"/>
      <c r="C63" s="614" t="s">
        <v>477</v>
      </c>
      <c r="D63" s="615" t="s">
        <v>475</v>
      </c>
      <c r="E63" s="616">
        <v>10</v>
      </c>
      <c r="F63" s="617" t="s">
        <v>482</v>
      </c>
      <c r="G63" s="618">
        <f t="shared" si="2"/>
        <v>0</v>
      </c>
      <c r="H63" s="619"/>
    </row>
    <row r="64" spans="1:9" ht="13.5" customHeight="1">
      <c r="A64" s="538"/>
      <c r="B64" s="539"/>
      <c r="C64" s="614" t="s">
        <v>483</v>
      </c>
      <c r="D64" s="615" t="s">
        <v>475</v>
      </c>
      <c r="E64" s="616">
        <v>3</v>
      </c>
      <c r="F64" s="621" t="s">
        <v>484</v>
      </c>
      <c r="G64" s="622">
        <f t="shared" si="2"/>
        <v>0</v>
      </c>
      <c r="H64" s="619"/>
    </row>
    <row r="65" spans="1:9" ht="13.5" customHeight="1">
      <c r="A65" s="538"/>
      <c r="B65" s="539"/>
      <c r="C65" s="614" t="s">
        <v>485</v>
      </c>
      <c r="D65" s="615" t="s">
        <v>486</v>
      </c>
      <c r="E65" s="616">
        <v>30</v>
      </c>
      <c r="F65" s="621" t="s">
        <v>487</v>
      </c>
      <c r="G65" s="622">
        <f t="shared" si="2"/>
        <v>0</v>
      </c>
      <c r="H65" s="619"/>
    </row>
    <row r="66" spans="1:9" ht="13.5" customHeight="1">
      <c r="A66" s="538"/>
      <c r="B66" s="539"/>
      <c r="C66" s="614" t="s">
        <v>488</v>
      </c>
      <c r="D66" s="615" t="s">
        <v>489</v>
      </c>
      <c r="E66" s="616">
        <v>60</v>
      </c>
      <c r="F66" s="621" t="s">
        <v>487</v>
      </c>
      <c r="G66" s="622">
        <f t="shared" si="2"/>
        <v>0</v>
      </c>
      <c r="H66" s="619"/>
    </row>
    <row r="67" spans="1:9" ht="13.5" customHeight="1">
      <c r="A67" s="538"/>
      <c r="B67" s="539"/>
      <c r="C67" s="614" t="s">
        <v>490</v>
      </c>
      <c r="D67" s="615" t="s">
        <v>491</v>
      </c>
      <c r="E67" s="616">
        <v>15</v>
      </c>
      <c r="F67" s="621" t="s">
        <v>492</v>
      </c>
      <c r="G67" s="622">
        <f t="shared" si="2"/>
        <v>0</v>
      </c>
      <c r="H67" s="619"/>
    </row>
    <row r="68" spans="1:9" ht="13.5" customHeight="1">
      <c r="A68" s="538"/>
      <c r="B68" s="539"/>
      <c r="C68" s="614" t="s">
        <v>493</v>
      </c>
      <c r="D68" s="615" t="s">
        <v>489</v>
      </c>
      <c r="E68" s="616">
        <v>40</v>
      </c>
      <c r="F68" s="621" t="s">
        <v>492</v>
      </c>
      <c r="G68" s="622">
        <f t="shared" si="2"/>
        <v>0</v>
      </c>
      <c r="H68" s="619"/>
    </row>
    <row r="69" spans="1:9" ht="13.5" customHeight="1">
      <c r="A69" s="538"/>
      <c r="B69" s="539"/>
      <c r="C69" s="614" t="s">
        <v>494</v>
      </c>
      <c r="D69" s="615" t="s">
        <v>491</v>
      </c>
      <c r="E69" s="616">
        <v>10</v>
      </c>
      <c r="F69" s="621" t="s">
        <v>495</v>
      </c>
      <c r="G69" s="622">
        <f t="shared" si="2"/>
        <v>0</v>
      </c>
      <c r="H69" s="619"/>
    </row>
    <row r="70" spans="1:9" ht="13.5" customHeight="1">
      <c r="A70" s="538"/>
      <c r="B70" s="539"/>
      <c r="C70" s="614" t="s">
        <v>496</v>
      </c>
      <c r="D70" s="615" t="s">
        <v>489</v>
      </c>
      <c r="E70" s="616">
        <v>45</v>
      </c>
      <c r="F70" s="621" t="s">
        <v>495</v>
      </c>
      <c r="G70" s="622">
        <f t="shared" si="2"/>
        <v>0</v>
      </c>
      <c r="H70" s="619"/>
    </row>
    <row r="71" spans="1:9" ht="13.5" customHeight="1">
      <c r="A71" s="538"/>
      <c r="B71" s="539"/>
      <c r="C71" s="614" t="s">
        <v>497</v>
      </c>
      <c r="D71" s="615" t="s">
        <v>491</v>
      </c>
      <c r="E71" s="616">
        <v>10</v>
      </c>
      <c r="F71" s="621" t="s">
        <v>498</v>
      </c>
      <c r="G71" s="622">
        <f t="shared" si="2"/>
        <v>0</v>
      </c>
      <c r="H71" s="619"/>
    </row>
    <row r="72" spans="1:9" ht="13.5" customHeight="1">
      <c r="A72" s="538"/>
      <c r="B72" s="539"/>
      <c r="C72" s="614" t="s">
        <v>499</v>
      </c>
      <c r="D72" s="615" t="s">
        <v>489</v>
      </c>
      <c r="E72" s="616">
        <v>15</v>
      </c>
      <c r="F72" s="621" t="s">
        <v>498</v>
      </c>
      <c r="G72" s="622">
        <f t="shared" si="2"/>
        <v>0</v>
      </c>
      <c r="H72" s="619"/>
    </row>
    <row r="73" spans="1:9" ht="13.5" customHeight="1">
      <c r="A73" s="630"/>
      <c r="B73" s="631"/>
      <c r="C73" s="631"/>
      <c r="D73" s="631"/>
      <c r="E73" s="632"/>
      <c r="F73" s="633" t="s">
        <v>500</v>
      </c>
      <c r="G73" s="634">
        <f t="shared" si="2"/>
        <v>0</v>
      </c>
      <c r="H73" s="635">
        <f>IF(H$4="費用",0,SUM(H56,H62:H72))</f>
        <v>0</v>
      </c>
    </row>
    <row r="74" spans="1:9" ht="13.5" customHeight="1">
      <c r="A74" s="539"/>
      <c r="B74" s="608"/>
      <c r="C74" s="608"/>
      <c r="D74" s="608"/>
      <c r="E74" s="608"/>
      <c r="F74" s="658"/>
      <c r="G74" s="659"/>
      <c r="H74" s="660"/>
    </row>
    <row r="75" spans="1:9" ht="13.5" customHeight="1">
      <c r="A75" s="649"/>
      <c r="B75" s="591"/>
      <c r="C75" s="591"/>
      <c r="D75" s="591"/>
      <c r="E75" s="591"/>
      <c r="F75" s="661"/>
      <c r="G75" s="662"/>
      <c r="H75" s="663"/>
    </row>
    <row r="76" spans="1:9" s="587" customFormat="1" ht="13.5" customHeight="1">
      <c r="A76" s="664" t="s">
        <v>501</v>
      </c>
      <c r="B76" s="599"/>
      <c r="C76" s="600"/>
      <c r="D76" s="599"/>
      <c r="E76" s="2601" t="s">
        <v>408</v>
      </c>
      <c r="F76" s="601"/>
      <c r="G76" s="602" t="s">
        <v>409</v>
      </c>
      <c r="H76" s="603" t="s">
        <v>502</v>
      </c>
      <c r="I76" s="596"/>
    </row>
    <row r="77" spans="1:9" s="587" customFormat="1" ht="13.5" customHeight="1">
      <c r="A77" s="604"/>
      <c r="B77" s="2603" t="s">
        <v>503</v>
      </c>
      <c r="C77" s="2604"/>
      <c r="D77" s="2605"/>
      <c r="E77" s="2602"/>
      <c r="F77" s="605"/>
      <c r="G77" s="606" t="s">
        <v>471</v>
      </c>
      <c r="H77" s="636" t="s">
        <v>504</v>
      </c>
      <c r="I77" s="596"/>
    </row>
    <row r="78" spans="1:9" ht="13.5" customHeight="1">
      <c r="A78" s="538"/>
      <c r="B78" s="608"/>
      <c r="C78" s="665" t="s">
        <v>505</v>
      </c>
      <c r="D78" s="610"/>
      <c r="E78" s="611">
        <v>10</v>
      </c>
      <c r="F78" s="666" t="s">
        <v>506</v>
      </c>
      <c r="G78" s="613" t="e">
        <f ca="1">SUM(H78:I78)</f>
        <v>#REF!</v>
      </c>
      <c r="H78" s="623" t="e">
        <f ca="1">SUM(H79:H83)</f>
        <v>#REF!</v>
      </c>
    </row>
    <row r="79" spans="1:9" ht="13.5" customHeight="1">
      <c r="A79" s="538"/>
      <c r="B79" s="539"/>
      <c r="C79" s="614" t="s">
        <v>507</v>
      </c>
      <c r="D79" s="615" t="s">
        <v>508</v>
      </c>
      <c r="E79" s="616"/>
      <c r="F79" s="667" t="s">
        <v>509</v>
      </c>
      <c r="G79" s="622"/>
      <c r="H79" s="623" t="e">
        <f ca="1">SUMIF(INDIRECT(H$3&amp;"!$ｎ:$ｎ"),"電照サイン（金属製）",INDIRECT(H$3&amp;"!$i:$i"))</f>
        <v>#REF!</v>
      </c>
    </row>
    <row r="80" spans="1:9" ht="13.5" customHeight="1">
      <c r="A80" s="538"/>
      <c r="B80" s="539"/>
      <c r="C80" s="614" t="s">
        <v>477</v>
      </c>
      <c r="D80" s="615" t="s">
        <v>510</v>
      </c>
      <c r="E80" s="616"/>
      <c r="F80" s="667"/>
      <c r="G80" s="622"/>
      <c r="H80" s="623" t="e">
        <f ca="1">SUMIF(INDIRECT(H$3&amp;"!$ｎ:$ｎ"),"非電照サイン（金属製）",INDIRECT(H$3&amp;"!$i:$i"))</f>
        <v>#REF!</v>
      </c>
    </row>
    <row r="81" spans="1:8" ht="13.5" customHeight="1">
      <c r="A81" s="538"/>
      <c r="B81" s="539"/>
      <c r="C81" s="614" t="s">
        <v>483</v>
      </c>
      <c r="D81" s="615" t="s">
        <v>511</v>
      </c>
      <c r="E81" s="616"/>
      <c r="F81" s="667"/>
      <c r="G81" s="622"/>
      <c r="H81" s="623" t="e">
        <f ca="1">SUMIF(INDIRECT(H$3&amp;"!$ｎ:$ｎ"),"電照広告（金属製）",INDIRECT(H$3&amp;"!$i:$i"))</f>
        <v>#REF!</v>
      </c>
    </row>
    <row r="82" spans="1:8" s="532" customFormat="1" ht="13.5" customHeight="1">
      <c r="A82" s="538"/>
      <c r="B82" s="539"/>
      <c r="C82" s="614" t="s">
        <v>485</v>
      </c>
      <c r="D82" s="615" t="s">
        <v>512</v>
      </c>
      <c r="E82" s="668"/>
      <c r="F82" s="669"/>
      <c r="G82" s="622"/>
      <c r="H82" s="623" t="e">
        <f ca="1">SUMIF(INDIRECT(H$3&amp;"!$ｎ:$ｎ"),"非電照広告（金属製）",INDIRECT(H$3&amp;"!$i:$i"))</f>
        <v>#REF!</v>
      </c>
    </row>
    <row r="83" spans="1:8" s="532" customFormat="1" ht="13.5" customHeight="1">
      <c r="A83" s="538"/>
      <c r="B83" s="539"/>
      <c r="C83" s="614" t="s">
        <v>488</v>
      </c>
      <c r="D83" s="670" t="s">
        <v>513</v>
      </c>
      <c r="E83" s="668"/>
      <c r="F83" s="669"/>
      <c r="G83" s="622"/>
      <c r="H83" s="623" t="e">
        <f ca="1">SUMIF(INDIRECT(H$3&amp;"!$ｎ:$ｎ"),"電気設備",INDIRECT(H$3&amp;"!$i:$i"))</f>
        <v>#REF!</v>
      </c>
    </row>
    <row r="84" spans="1:8" ht="13.5" customHeight="1">
      <c r="A84" s="538"/>
      <c r="B84" s="539"/>
      <c r="C84" s="671" t="s">
        <v>514</v>
      </c>
      <c r="D84" s="615"/>
      <c r="E84" s="616">
        <v>5</v>
      </c>
      <c r="F84" s="667" t="s">
        <v>515</v>
      </c>
      <c r="G84" s="618" t="e">
        <f ca="1">SUM(H84:I84)</f>
        <v>#REF!</v>
      </c>
      <c r="H84" s="623" t="e">
        <f ca="1">SUM(H85:H86)</f>
        <v>#REF!</v>
      </c>
    </row>
    <row r="85" spans="1:8" ht="13.5" customHeight="1">
      <c r="A85" s="538"/>
      <c r="B85" s="539"/>
      <c r="C85" s="614" t="s">
        <v>507</v>
      </c>
      <c r="D85" s="615" t="s">
        <v>510</v>
      </c>
      <c r="E85" s="616"/>
      <c r="F85" s="667" t="s">
        <v>516</v>
      </c>
      <c r="G85" s="622"/>
      <c r="H85" s="623" t="e">
        <f ca="1">SUMIF(INDIRECT(H$3&amp;"!$ｎ:$ｎ"),"非電照サイン（その他）",INDIRECT(H$3&amp;"!$i:$i"))</f>
        <v>#REF!</v>
      </c>
    </row>
    <row r="86" spans="1:8" ht="13.5" customHeight="1">
      <c r="A86" s="538"/>
      <c r="B86" s="539"/>
      <c r="C86" s="614" t="s">
        <v>477</v>
      </c>
      <c r="D86" s="615" t="s">
        <v>517</v>
      </c>
      <c r="E86" s="616"/>
      <c r="F86" s="667"/>
      <c r="G86" s="622"/>
      <c r="H86" s="623" t="e">
        <f ca="1">SUMIF(INDIRECT(H$3&amp;"!$ｎ:$ｎ"),"非電照広告（その他）",INDIRECT(H$3&amp;"!$i:$i"))</f>
        <v>#REF!</v>
      </c>
    </row>
    <row r="87" spans="1:8" ht="13.5" customHeight="1">
      <c r="A87" s="538"/>
      <c r="B87" s="539"/>
      <c r="C87" s="672" t="s">
        <v>518</v>
      </c>
      <c r="D87" s="615" t="s">
        <v>519</v>
      </c>
      <c r="E87" s="616">
        <v>5</v>
      </c>
      <c r="F87" s="667"/>
      <c r="G87" s="622" t="e">
        <f t="shared" ref="G87:G92" ca="1" si="3">SUM(H87:I87)</f>
        <v>#REF!</v>
      </c>
      <c r="H87" s="623" t="e">
        <f ca="1">SUMIF(INDIRECT(H$3&amp;"!$ｎ:$ｎ"),"無人駐車管理装置",INDIRECT(H$3&amp;"!$i:$i"))</f>
        <v>#REF!</v>
      </c>
    </row>
    <row r="88" spans="1:8" ht="13.5" customHeight="1">
      <c r="A88" s="538"/>
      <c r="B88" s="539"/>
      <c r="C88" s="672" t="s">
        <v>520</v>
      </c>
      <c r="D88" s="615" t="s">
        <v>521</v>
      </c>
      <c r="E88" s="616">
        <v>10</v>
      </c>
      <c r="F88" s="667"/>
      <c r="G88" s="622" t="e">
        <f t="shared" ca="1" si="3"/>
        <v>#REF!</v>
      </c>
      <c r="H88" s="623" t="e">
        <f ca="1">SUMIF(INDIRECT(H$3&amp;"!$ｎ:$ｎ"),"その他（金造製）",INDIRECT(H$3&amp;"!$i:$i"))</f>
        <v>#REF!</v>
      </c>
    </row>
    <row r="89" spans="1:8" ht="13.5" customHeight="1">
      <c r="A89" s="538"/>
      <c r="B89" s="539"/>
      <c r="C89" s="672" t="s">
        <v>522</v>
      </c>
      <c r="D89" s="615" t="s">
        <v>523</v>
      </c>
      <c r="E89" s="616">
        <v>5</v>
      </c>
      <c r="F89" s="667"/>
      <c r="G89" s="622" t="e">
        <f t="shared" ca="1" si="3"/>
        <v>#REF!</v>
      </c>
      <c r="H89" s="623" t="e">
        <f ca="1">SUMIF(INDIRECT(H$3&amp;"!$ｎ:$ｎ"),"その他（その他）",INDIRECT(H$3&amp;"!$i:$i"))</f>
        <v>#REF!</v>
      </c>
    </row>
    <row r="90" spans="1:8" ht="13.5" customHeight="1">
      <c r="A90" s="538"/>
      <c r="B90" s="539"/>
      <c r="C90" s="673"/>
      <c r="D90" s="626"/>
      <c r="E90" s="674"/>
      <c r="F90" s="675"/>
      <c r="G90" s="676">
        <f t="shared" si="3"/>
        <v>0</v>
      </c>
      <c r="H90" s="619"/>
    </row>
    <row r="91" spans="1:8" ht="13.5" customHeight="1" thickBot="1">
      <c r="A91" s="677"/>
      <c r="B91" s="678"/>
      <c r="C91" s="678"/>
      <c r="D91" s="678"/>
      <c r="E91" s="678"/>
      <c r="F91" s="679" t="s">
        <v>524</v>
      </c>
      <c r="G91" s="680" t="e">
        <f t="shared" ca="1" si="3"/>
        <v>#REF!</v>
      </c>
      <c r="H91" s="681" t="e">
        <f ca="1">IF(H4="費用",0,SUM(H78,H84,H87:H90))</f>
        <v>#REF!</v>
      </c>
    </row>
    <row r="92" spans="1:8" ht="13.5" customHeight="1" thickTop="1">
      <c r="A92" s="682"/>
      <c r="B92" s="683"/>
      <c r="C92" s="683"/>
      <c r="D92" s="683"/>
      <c r="E92" s="683"/>
      <c r="F92" s="684" t="s">
        <v>525</v>
      </c>
      <c r="G92" s="685" t="e">
        <f t="shared" ca="1" si="3"/>
        <v>#REF!</v>
      </c>
      <c r="H92" s="686" t="e">
        <f ca="1">+H91+H53+H73</f>
        <v>#REF!</v>
      </c>
    </row>
    <row r="93" spans="1:8" ht="13.5" customHeight="1">
      <c r="A93" s="539"/>
      <c r="B93" s="608"/>
      <c r="C93" s="608"/>
      <c r="D93" s="608"/>
      <c r="E93" s="608"/>
      <c r="F93" s="658"/>
      <c r="G93" s="687"/>
      <c r="H93" s="660"/>
    </row>
    <row r="94" spans="1:8" ht="13.5" customHeight="1">
      <c r="A94" s="528"/>
      <c r="B94" s="530" t="s">
        <v>392</v>
      </c>
      <c r="C94" s="529"/>
      <c r="D94" s="529"/>
      <c r="E94" s="529"/>
      <c r="F94" s="2597" t="s">
        <v>2501</v>
      </c>
      <c r="G94" s="2597"/>
      <c r="H94" s="2598"/>
    </row>
    <row r="95" spans="1:8" ht="13.5" customHeight="1">
      <c r="A95" s="688"/>
      <c r="C95" s="689"/>
      <c r="D95" s="531"/>
      <c r="E95" s="529" t="s">
        <v>526</v>
      </c>
      <c r="F95" s="529"/>
      <c r="G95" s="529" t="s">
        <v>527</v>
      </c>
      <c r="H95" s="690">
        <f>H3</f>
        <v>0</v>
      </c>
    </row>
    <row r="96" spans="1:8" s="532" customFormat="1" ht="13.5" customHeight="1">
      <c r="A96" s="691"/>
      <c r="B96" s="692"/>
      <c r="C96" s="693">
        <v>10500701</v>
      </c>
      <c r="D96" s="694" t="s">
        <v>528</v>
      </c>
      <c r="E96" s="695"/>
      <c r="F96" s="696"/>
      <c r="G96" s="697" t="e">
        <f t="shared" ref="G96:G159" ca="1" si="4">SUM(H96:I96)</f>
        <v>#REF!</v>
      </c>
      <c r="H96" s="571" t="e">
        <f ca="1">IF(H$26="007停車場建物",ROUND((H27+H27/(H$5-H$6)*H$6+H27/(H$5-H$6)*H$15)*$D$4,-3),"")</f>
        <v>#REF!</v>
      </c>
    </row>
    <row r="97" spans="1:8" s="532" customFormat="1" ht="13.5" customHeight="1">
      <c r="A97" s="698"/>
      <c r="B97" s="699"/>
      <c r="C97" s="700">
        <v>10500702</v>
      </c>
      <c r="D97" s="701" t="s">
        <v>529</v>
      </c>
      <c r="E97" s="702"/>
      <c r="F97" s="703"/>
      <c r="G97" s="622" t="e">
        <f t="shared" ca="1" si="4"/>
        <v>#REF!</v>
      </c>
      <c r="H97" s="623" t="e">
        <f t="shared" ref="H97:H120" ca="1" si="5">IF(H$26="007停車場建物",ROUND((H28+H28/(H$5-H$6)*H$6+H28/(H$5-H$6)*H$15)*$D$4,-3),"")</f>
        <v>#REF!</v>
      </c>
    </row>
    <row r="98" spans="1:8" ht="13.5" customHeight="1">
      <c r="A98" s="704"/>
      <c r="B98" s="705"/>
      <c r="C98" s="706">
        <v>10500703</v>
      </c>
      <c r="D98" s="707" t="s">
        <v>530</v>
      </c>
      <c r="E98" s="708"/>
      <c r="F98" s="709"/>
      <c r="G98" s="618" t="e">
        <f t="shared" ca="1" si="4"/>
        <v>#REF!</v>
      </c>
      <c r="H98" s="623" t="e">
        <f t="shared" ca="1" si="5"/>
        <v>#REF!</v>
      </c>
    </row>
    <row r="99" spans="1:8" ht="13.5" customHeight="1">
      <c r="A99" s="704"/>
      <c r="B99" s="705"/>
      <c r="C99" s="706">
        <v>10500704</v>
      </c>
      <c r="D99" s="707" t="s">
        <v>531</v>
      </c>
      <c r="E99" s="708"/>
      <c r="F99" s="709"/>
      <c r="G99" s="618" t="e">
        <f t="shared" ca="1" si="4"/>
        <v>#REF!</v>
      </c>
      <c r="H99" s="623" t="e">
        <f t="shared" ca="1" si="5"/>
        <v>#REF!</v>
      </c>
    </row>
    <row r="100" spans="1:8" ht="13.5" customHeight="1">
      <c r="A100" s="704"/>
      <c r="B100" s="705"/>
      <c r="C100" s="706">
        <v>10500705</v>
      </c>
      <c r="D100" s="707" t="s">
        <v>532</v>
      </c>
      <c r="E100" s="708"/>
      <c r="F100" s="709"/>
      <c r="G100" s="618" t="e">
        <f t="shared" ca="1" si="4"/>
        <v>#REF!</v>
      </c>
      <c r="H100" s="623" t="e">
        <f t="shared" ca="1" si="5"/>
        <v>#REF!</v>
      </c>
    </row>
    <row r="101" spans="1:8" ht="13.5" customHeight="1">
      <c r="A101" s="704"/>
      <c r="B101" s="705"/>
      <c r="C101" s="706">
        <v>10500706</v>
      </c>
      <c r="D101" s="707" t="s">
        <v>533</v>
      </c>
      <c r="E101" s="708"/>
      <c r="F101" s="709"/>
      <c r="G101" s="618" t="e">
        <f t="shared" ca="1" si="4"/>
        <v>#REF!</v>
      </c>
      <c r="H101" s="623" t="e">
        <f t="shared" ca="1" si="5"/>
        <v>#REF!</v>
      </c>
    </row>
    <row r="102" spans="1:8" ht="13.5" customHeight="1">
      <c r="A102" s="704"/>
      <c r="B102" s="705"/>
      <c r="C102" s="706">
        <v>10500707</v>
      </c>
      <c r="D102" s="707" t="s">
        <v>534</v>
      </c>
      <c r="E102" s="708"/>
      <c r="F102" s="709"/>
      <c r="G102" s="618" t="e">
        <f t="shared" ca="1" si="4"/>
        <v>#REF!</v>
      </c>
      <c r="H102" s="623" t="e">
        <f t="shared" ca="1" si="5"/>
        <v>#REF!</v>
      </c>
    </row>
    <row r="103" spans="1:8" ht="13.5" customHeight="1">
      <c r="A103" s="704"/>
      <c r="B103" s="705"/>
      <c r="C103" s="706">
        <v>10500708</v>
      </c>
      <c r="D103" s="707" t="s">
        <v>535</v>
      </c>
      <c r="E103" s="708"/>
      <c r="F103" s="709"/>
      <c r="G103" s="618" t="e">
        <f t="shared" ca="1" si="4"/>
        <v>#REF!</v>
      </c>
      <c r="H103" s="623" t="e">
        <f t="shared" ca="1" si="5"/>
        <v>#REF!</v>
      </c>
    </row>
    <row r="104" spans="1:8" ht="13.5" customHeight="1">
      <c r="A104" s="704"/>
      <c r="B104" s="705"/>
      <c r="C104" s="706">
        <v>10500709</v>
      </c>
      <c r="D104" s="707" t="s">
        <v>536</v>
      </c>
      <c r="E104" s="708"/>
      <c r="F104" s="709"/>
      <c r="G104" s="618" t="e">
        <f t="shared" ca="1" si="4"/>
        <v>#REF!</v>
      </c>
      <c r="H104" s="623" t="e">
        <f t="shared" ca="1" si="5"/>
        <v>#REF!</v>
      </c>
    </row>
    <row r="105" spans="1:8" ht="13.5" customHeight="1">
      <c r="A105" s="704"/>
      <c r="B105" s="705"/>
      <c r="C105" s="706">
        <v>10500710</v>
      </c>
      <c r="D105" s="707" t="s">
        <v>537</v>
      </c>
      <c r="E105" s="708"/>
      <c r="F105" s="709"/>
      <c r="G105" s="618" t="e">
        <f t="shared" ca="1" si="4"/>
        <v>#REF!</v>
      </c>
      <c r="H105" s="623" t="e">
        <f t="shared" ca="1" si="5"/>
        <v>#REF!</v>
      </c>
    </row>
    <row r="106" spans="1:8" ht="13.5" customHeight="1">
      <c r="A106" s="704"/>
      <c r="B106" s="705"/>
      <c r="C106" s="706">
        <v>10500711</v>
      </c>
      <c r="D106" s="707" t="s">
        <v>538</v>
      </c>
      <c r="E106" s="708"/>
      <c r="F106" s="709"/>
      <c r="G106" s="618" t="e">
        <f t="shared" ca="1" si="4"/>
        <v>#REF!</v>
      </c>
      <c r="H106" s="623" t="e">
        <f t="shared" ca="1" si="5"/>
        <v>#REF!</v>
      </c>
    </row>
    <row r="107" spans="1:8" ht="13.5" customHeight="1">
      <c r="A107" s="704"/>
      <c r="B107" s="705"/>
      <c r="C107" s="706">
        <v>10500712</v>
      </c>
      <c r="D107" s="707" t="s">
        <v>539</v>
      </c>
      <c r="E107" s="708"/>
      <c r="F107" s="709"/>
      <c r="G107" s="618" t="e">
        <f t="shared" ca="1" si="4"/>
        <v>#REF!</v>
      </c>
      <c r="H107" s="623" t="e">
        <f t="shared" ca="1" si="5"/>
        <v>#REF!</v>
      </c>
    </row>
    <row r="108" spans="1:8" ht="13.5" customHeight="1">
      <c r="A108" s="704"/>
      <c r="B108" s="705"/>
      <c r="C108" s="706">
        <v>10500713</v>
      </c>
      <c r="D108" s="707" t="s">
        <v>540</v>
      </c>
      <c r="E108" s="708"/>
      <c r="F108" s="709"/>
      <c r="G108" s="618" t="e">
        <f t="shared" ca="1" si="4"/>
        <v>#REF!</v>
      </c>
      <c r="H108" s="623" t="e">
        <f t="shared" ca="1" si="5"/>
        <v>#REF!</v>
      </c>
    </row>
    <row r="109" spans="1:8" ht="13.5" customHeight="1">
      <c r="A109" s="704"/>
      <c r="B109" s="705"/>
      <c r="C109" s="706">
        <v>10500714</v>
      </c>
      <c r="D109" s="707" t="s">
        <v>541</v>
      </c>
      <c r="E109" s="708"/>
      <c r="F109" s="709"/>
      <c r="G109" s="618" t="e">
        <f t="shared" ca="1" si="4"/>
        <v>#REF!</v>
      </c>
      <c r="H109" s="623" t="e">
        <f t="shared" ca="1" si="5"/>
        <v>#REF!</v>
      </c>
    </row>
    <row r="110" spans="1:8" ht="13.5" customHeight="1">
      <c r="A110" s="704"/>
      <c r="B110" s="705"/>
      <c r="C110" s="706">
        <v>10500715</v>
      </c>
      <c r="D110" s="707" t="s">
        <v>542</v>
      </c>
      <c r="E110" s="708"/>
      <c r="F110" s="709"/>
      <c r="G110" s="618" t="e">
        <f t="shared" ca="1" si="4"/>
        <v>#REF!</v>
      </c>
      <c r="H110" s="623" t="e">
        <f t="shared" ca="1" si="5"/>
        <v>#REF!</v>
      </c>
    </row>
    <row r="111" spans="1:8" ht="13.5" customHeight="1">
      <c r="A111" s="704"/>
      <c r="B111" s="705"/>
      <c r="C111" s="706">
        <v>10500716</v>
      </c>
      <c r="D111" s="707" t="s">
        <v>543</v>
      </c>
      <c r="E111" s="708"/>
      <c r="F111" s="709"/>
      <c r="G111" s="618" t="e">
        <f t="shared" ca="1" si="4"/>
        <v>#REF!</v>
      </c>
      <c r="H111" s="623" t="e">
        <f t="shared" ca="1" si="5"/>
        <v>#REF!</v>
      </c>
    </row>
    <row r="112" spans="1:8" ht="13.5" customHeight="1">
      <c r="A112" s="704"/>
      <c r="B112" s="705"/>
      <c r="C112" s="706">
        <v>10500717</v>
      </c>
      <c r="D112" s="707" t="s">
        <v>544</v>
      </c>
      <c r="E112" s="708"/>
      <c r="F112" s="709"/>
      <c r="G112" s="618" t="e">
        <f t="shared" ca="1" si="4"/>
        <v>#REF!</v>
      </c>
      <c r="H112" s="623" t="e">
        <f t="shared" ca="1" si="5"/>
        <v>#REF!</v>
      </c>
    </row>
    <row r="113" spans="1:8" ht="13.5" customHeight="1">
      <c r="A113" s="704"/>
      <c r="B113" s="705"/>
      <c r="C113" s="706">
        <v>10500718</v>
      </c>
      <c r="D113" s="707" t="s">
        <v>545</v>
      </c>
      <c r="E113" s="708"/>
      <c r="F113" s="709"/>
      <c r="G113" s="618" t="e">
        <f t="shared" ca="1" si="4"/>
        <v>#REF!</v>
      </c>
      <c r="H113" s="623" t="e">
        <f t="shared" ca="1" si="5"/>
        <v>#REF!</v>
      </c>
    </row>
    <row r="114" spans="1:8" ht="13.5" customHeight="1">
      <c r="A114" s="704"/>
      <c r="B114" s="705"/>
      <c r="C114" s="706">
        <v>10500719</v>
      </c>
      <c r="D114" s="707" t="s">
        <v>546</v>
      </c>
      <c r="E114" s="708"/>
      <c r="F114" s="709"/>
      <c r="G114" s="618" t="e">
        <f t="shared" ca="1" si="4"/>
        <v>#REF!</v>
      </c>
      <c r="H114" s="623" t="e">
        <f t="shared" ca="1" si="5"/>
        <v>#REF!</v>
      </c>
    </row>
    <row r="115" spans="1:8" ht="13.5" customHeight="1">
      <c r="A115" s="704"/>
      <c r="B115" s="705"/>
      <c r="C115" s="706">
        <v>10500720</v>
      </c>
      <c r="D115" s="707" t="s">
        <v>547</v>
      </c>
      <c r="E115" s="708"/>
      <c r="F115" s="709"/>
      <c r="G115" s="618" t="e">
        <f t="shared" ca="1" si="4"/>
        <v>#REF!</v>
      </c>
      <c r="H115" s="623" t="e">
        <f t="shared" ca="1" si="5"/>
        <v>#REF!</v>
      </c>
    </row>
    <row r="116" spans="1:8" ht="13.5" customHeight="1">
      <c r="A116" s="704"/>
      <c r="B116" s="705"/>
      <c r="C116" s="706">
        <v>10500721</v>
      </c>
      <c r="D116" s="707" t="s">
        <v>548</v>
      </c>
      <c r="E116" s="708"/>
      <c r="F116" s="709"/>
      <c r="G116" s="618" t="e">
        <f t="shared" ca="1" si="4"/>
        <v>#REF!</v>
      </c>
      <c r="H116" s="623" t="e">
        <f t="shared" ca="1" si="5"/>
        <v>#REF!</v>
      </c>
    </row>
    <row r="117" spans="1:8" ht="13.5" customHeight="1">
      <c r="A117" s="704"/>
      <c r="B117" s="705"/>
      <c r="C117" s="706">
        <v>10500722</v>
      </c>
      <c r="D117" s="707" t="s">
        <v>549</v>
      </c>
      <c r="E117" s="708"/>
      <c r="F117" s="709"/>
      <c r="G117" s="618" t="e">
        <f t="shared" ca="1" si="4"/>
        <v>#REF!</v>
      </c>
      <c r="H117" s="623" t="e">
        <f t="shared" ca="1" si="5"/>
        <v>#REF!</v>
      </c>
    </row>
    <row r="118" spans="1:8" ht="13.5" customHeight="1">
      <c r="A118" s="704"/>
      <c r="B118" s="705"/>
      <c r="C118" s="706">
        <v>10500723</v>
      </c>
      <c r="D118" s="707" t="s">
        <v>550</v>
      </c>
      <c r="E118" s="708"/>
      <c r="F118" s="709"/>
      <c r="G118" s="618" t="e">
        <f t="shared" ca="1" si="4"/>
        <v>#REF!</v>
      </c>
      <c r="H118" s="623" t="e">
        <f t="shared" ca="1" si="5"/>
        <v>#REF!</v>
      </c>
    </row>
    <row r="119" spans="1:8" ht="13.5" customHeight="1">
      <c r="A119" s="704"/>
      <c r="B119" s="705"/>
      <c r="C119" s="706">
        <v>10500724</v>
      </c>
      <c r="D119" s="707" t="s">
        <v>551</v>
      </c>
      <c r="E119" s="708"/>
      <c r="F119" s="709"/>
      <c r="G119" s="618" t="e">
        <f t="shared" ca="1" si="4"/>
        <v>#REF!</v>
      </c>
      <c r="H119" s="623" t="e">
        <f t="shared" ca="1" si="5"/>
        <v>#REF!</v>
      </c>
    </row>
    <row r="120" spans="1:8" ht="13.5" customHeight="1">
      <c r="A120" s="704"/>
      <c r="B120" s="705"/>
      <c r="C120" s="706">
        <v>10500725</v>
      </c>
      <c r="D120" s="707" t="s">
        <v>552</v>
      </c>
      <c r="E120" s="708"/>
      <c r="F120" s="709"/>
      <c r="G120" s="618" t="e">
        <f t="shared" ca="1" si="4"/>
        <v>#REF!</v>
      </c>
      <c r="H120" s="623" t="e">
        <f t="shared" ca="1" si="5"/>
        <v>#REF!</v>
      </c>
    </row>
    <row r="121" spans="1:8" ht="13.5" customHeight="1">
      <c r="A121" s="704"/>
      <c r="B121" s="705"/>
      <c r="C121" s="711"/>
      <c r="D121" s="712"/>
      <c r="E121" s="713"/>
      <c r="F121" s="626"/>
      <c r="G121" s="815">
        <f t="shared" si="4"/>
        <v>0</v>
      </c>
      <c r="H121" s="715"/>
    </row>
    <row r="122" spans="1:8" ht="13.5" customHeight="1">
      <c r="A122" s="704"/>
      <c r="B122" s="705"/>
      <c r="C122" s="706">
        <v>10500801</v>
      </c>
      <c r="D122" s="707" t="s">
        <v>553</v>
      </c>
      <c r="E122" s="708"/>
      <c r="F122" s="709"/>
      <c r="G122" s="618">
        <f t="shared" si="4"/>
        <v>0</v>
      </c>
      <c r="H122" s="623" t="str">
        <f t="shared" ref="H122:H146" si="6">IF(H$26="008変電所建物",ROUND((H27+H27/(H$5-H$6)*H$6+H27/(H$5-H$6)*H$15)*$D$4,-3),"")</f>
        <v/>
      </c>
    </row>
    <row r="123" spans="1:8" ht="13.5" customHeight="1">
      <c r="A123" s="704"/>
      <c r="B123" s="705"/>
      <c r="C123" s="706">
        <v>10500802</v>
      </c>
      <c r="D123" s="707" t="s">
        <v>554</v>
      </c>
      <c r="E123" s="708"/>
      <c r="F123" s="709"/>
      <c r="G123" s="618">
        <f t="shared" si="4"/>
        <v>0</v>
      </c>
      <c r="H123" s="827" t="str">
        <f t="shared" si="6"/>
        <v/>
      </c>
    </row>
    <row r="124" spans="1:8" ht="13.5" customHeight="1">
      <c r="A124" s="704"/>
      <c r="B124" s="705"/>
      <c r="C124" s="706">
        <v>10500803</v>
      </c>
      <c r="D124" s="707" t="s">
        <v>555</v>
      </c>
      <c r="E124" s="708"/>
      <c r="F124" s="709"/>
      <c r="G124" s="618">
        <f t="shared" si="4"/>
        <v>0</v>
      </c>
      <c r="H124" s="827" t="str">
        <f t="shared" si="6"/>
        <v/>
      </c>
    </row>
    <row r="125" spans="1:8" ht="13.5" customHeight="1">
      <c r="A125" s="704"/>
      <c r="B125" s="705"/>
      <c r="C125" s="706">
        <v>10500804</v>
      </c>
      <c r="D125" s="707" t="s">
        <v>556</v>
      </c>
      <c r="E125" s="708"/>
      <c r="F125" s="709"/>
      <c r="G125" s="618">
        <f t="shared" si="4"/>
        <v>0</v>
      </c>
      <c r="H125" s="827" t="str">
        <f t="shared" si="6"/>
        <v/>
      </c>
    </row>
    <row r="126" spans="1:8" ht="13.5" customHeight="1">
      <c r="A126" s="704"/>
      <c r="B126" s="705"/>
      <c r="C126" s="706">
        <v>10500805</v>
      </c>
      <c r="D126" s="707" t="s">
        <v>557</v>
      </c>
      <c r="E126" s="708"/>
      <c r="F126" s="709"/>
      <c r="G126" s="618">
        <f t="shared" si="4"/>
        <v>0</v>
      </c>
      <c r="H126" s="827" t="str">
        <f t="shared" si="6"/>
        <v/>
      </c>
    </row>
    <row r="127" spans="1:8" ht="13.5" customHeight="1">
      <c r="A127" s="704"/>
      <c r="B127" s="705"/>
      <c r="C127" s="706">
        <v>10500806</v>
      </c>
      <c r="D127" s="707" t="s">
        <v>558</v>
      </c>
      <c r="E127" s="708"/>
      <c r="F127" s="709"/>
      <c r="G127" s="618">
        <f t="shared" si="4"/>
        <v>0</v>
      </c>
      <c r="H127" s="827" t="str">
        <f t="shared" si="6"/>
        <v/>
      </c>
    </row>
    <row r="128" spans="1:8" ht="13.5" customHeight="1">
      <c r="A128" s="704"/>
      <c r="B128" s="705"/>
      <c r="C128" s="706">
        <v>10500807</v>
      </c>
      <c r="D128" s="707" t="s">
        <v>559</v>
      </c>
      <c r="E128" s="708"/>
      <c r="F128" s="709"/>
      <c r="G128" s="618">
        <f t="shared" si="4"/>
        <v>0</v>
      </c>
      <c r="H128" s="827" t="str">
        <f t="shared" si="6"/>
        <v/>
      </c>
    </row>
    <row r="129" spans="1:8" ht="13.5" customHeight="1">
      <c r="A129" s="704"/>
      <c r="B129" s="705"/>
      <c r="C129" s="706">
        <v>10500808</v>
      </c>
      <c r="D129" s="707" t="s">
        <v>560</v>
      </c>
      <c r="E129" s="708"/>
      <c r="F129" s="709"/>
      <c r="G129" s="618">
        <f t="shared" si="4"/>
        <v>0</v>
      </c>
      <c r="H129" s="827" t="str">
        <f t="shared" si="6"/>
        <v/>
      </c>
    </row>
    <row r="130" spans="1:8" ht="13.5" customHeight="1">
      <c r="A130" s="704"/>
      <c r="B130" s="705"/>
      <c r="C130" s="706">
        <v>10500809</v>
      </c>
      <c r="D130" s="707" t="s">
        <v>561</v>
      </c>
      <c r="E130" s="708"/>
      <c r="F130" s="709"/>
      <c r="G130" s="618">
        <f t="shared" si="4"/>
        <v>0</v>
      </c>
      <c r="H130" s="827" t="str">
        <f t="shared" si="6"/>
        <v/>
      </c>
    </row>
    <row r="131" spans="1:8" ht="13.5" customHeight="1">
      <c r="A131" s="704"/>
      <c r="B131" s="705"/>
      <c r="C131" s="706">
        <v>10500810</v>
      </c>
      <c r="D131" s="707" t="s">
        <v>562</v>
      </c>
      <c r="E131" s="708"/>
      <c r="F131" s="709"/>
      <c r="G131" s="618">
        <f t="shared" si="4"/>
        <v>0</v>
      </c>
      <c r="H131" s="827" t="str">
        <f t="shared" si="6"/>
        <v/>
      </c>
    </row>
    <row r="132" spans="1:8" ht="13.5" customHeight="1">
      <c r="A132" s="704"/>
      <c r="B132" s="705"/>
      <c r="C132" s="706">
        <v>10500811</v>
      </c>
      <c r="D132" s="707" t="s">
        <v>563</v>
      </c>
      <c r="E132" s="708"/>
      <c r="F132" s="709"/>
      <c r="G132" s="618">
        <f t="shared" si="4"/>
        <v>0</v>
      </c>
      <c r="H132" s="827" t="str">
        <f t="shared" si="6"/>
        <v/>
      </c>
    </row>
    <row r="133" spans="1:8" ht="13.5" customHeight="1">
      <c r="A133" s="704"/>
      <c r="B133" s="705"/>
      <c r="C133" s="706">
        <v>10500812</v>
      </c>
      <c r="D133" s="707" t="s">
        <v>564</v>
      </c>
      <c r="E133" s="708"/>
      <c r="F133" s="709"/>
      <c r="G133" s="618">
        <f t="shared" si="4"/>
        <v>0</v>
      </c>
      <c r="H133" s="827" t="str">
        <f t="shared" si="6"/>
        <v/>
      </c>
    </row>
    <row r="134" spans="1:8" ht="13.5" customHeight="1">
      <c r="A134" s="704"/>
      <c r="B134" s="705"/>
      <c r="C134" s="706">
        <v>10500813</v>
      </c>
      <c r="D134" s="707" t="s">
        <v>565</v>
      </c>
      <c r="E134" s="708"/>
      <c r="F134" s="709"/>
      <c r="G134" s="618">
        <f t="shared" si="4"/>
        <v>0</v>
      </c>
      <c r="H134" s="827" t="str">
        <f t="shared" si="6"/>
        <v/>
      </c>
    </row>
    <row r="135" spans="1:8" ht="13.5" customHeight="1">
      <c r="A135" s="704"/>
      <c r="B135" s="705"/>
      <c r="C135" s="706">
        <v>10500814</v>
      </c>
      <c r="D135" s="707" t="s">
        <v>566</v>
      </c>
      <c r="E135" s="708"/>
      <c r="F135" s="709"/>
      <c r="G135" s="618">
        <f t="shared" si="4"/>
        <v>0</v>
      </c>
      <c r="H135" s="827" t="str">
        <f t="shared" si="6"/>
        <v/>
      </c>
    </row>
    <row r="136" spans="1:8" ht="13.5" customHeight="1">
      <c r="A136" s="704"/>
      <c r="B136" s="705"/>
      <c r="C136" s="706">
        <v>10500815</v>
      </c>
      <c r="D136" s="707" t="s">
        <v>567</v>
      </c>
      <c r="E136" s="708"/>
      <c r="F136" s="709"/>
      <c r="G136" s="618">
        <f t="shared" si="4"/>
        <v>0</v>
      </c>
      <c r="H136" s="827" t="str">
        <f t="shared" si="6"/>
        <v/>
      </c>
    </row>
    <row r="137" spans="1:8" ht="13.5" customHeight="1">
      <c r="A137" s="704"/>
      <c r="B137" s="705"/>
      <c r="C137" s="706">
        <v>10500816</v>
      </c>
      <c r="D137" s="707" t="s">
        <v>568</v>
      </c>
      <c r="E137" s="708"/>
      <c r="F137" s="709"/>
      <c r="G137" s="618">
        <f t="shared" si="4"/>
        <v>0</v>
      </c>
      <c r="H137" s="827" t="str">
        <f t="shared" si="6"/>
        <v/>
      </c>
    </row>
    <row r="138" spans="1:8" ht="13.5" customHeight="1">
      <c r="A138" s="704"/>
      <c r="B138" s="705"/>
      <c r="C138" s="706">
        <v>10500817</v>
      </c>
      <c r="D138" s="707" t="s">
        <v>569</v>
      </c>
      <c r="E138" s="708"/>
      <c r="F138" s="709"/>
      <c r="G138" s="618">
        <f t="shared" si="4"/>
        <v>0</v>
      </c>
      <c r="H138" s="827" t="str">
        <f t="shared" si="6"/>
        <v/>
      </c>
    </row>
    <row r="139" spans="1:8" ht="13.5" customHeight="1">
      <c r="A139" s="704"/>
      <c r="B139" s="705"/>
      <c r="C139" s="706">
        <v>10500818</v>
      </c>
      <c r="D139" s="707" t="s">
        <v>570</v>
      </c>
      <c r="E139" s="708"/>
      <c r="F139" s="709"/>
      <c r="G139" s="618">
        <f t="shared" si="4"/>
        <v>0</v>
      </c>
      <c r="H139" s="827" t="str">
        <f t="shared" si="6"/>
        <v/>
      </c>
    </row>
    <row r="140" spans="1:8" ht="13.5" customHeight="1">
      <c r="A140" s="704"/>
      <c r="B140" s="705"/>
      <c r="C140" s="706">
        <v>10500819</v>
      </c>
      <c r="D140" s="707" t="s">
        <v>571</v>
      </c>
      <c r="E140" s="708"/>
      <c r="F140" s="709"/>
      <c r="G140" s="618">
        <f t="shared" si="4"/>
        <v>0</v>
      </c>
      <c r="H140" s="827" t="str">
        <f t="shared" si="6"/>
        <v/>
      </c>
    </row>
    <row r="141" spans="1:8" ht="13.5" customHeight="1">
      <c r="A141" s="704"/>
      <c r="B141" s="705"/>
      <c r="C141" s="706">
        <v>10500820</v>
      </c>
      <c r="D141" s="707" t="s">
        <v>572</v>
      </c>
      <c r="E141" s="708"/>
      <c r="F141" s="709"/>
      <c r="G141" s="618">
        <f t="shared" si="4"/>
        <v>0</v>
      </c>
      <c r="H141" s="827" t="str">
        <f t="shared" si="6"/>
        <v/>
      </c>
    </row>
    <row r="142" spans="1:8" ht="13.5" customHeight="1">
      <c r="A142" s="704"/>
      <c r="B142" s="705"/>
      <c r="C142" s="706">
        <v>10500821</v>
      </c>
      <c r="D142" s="707" t="s">
        <v>573</v>
      </c>
      <c r="E142" s="708"/>
      <c r="F142" s="709"/>
      <c r="G142" s="618">
        <f t="shared" si="4"/>
        <v>0</v>
      </c>
      <c r="H142" s="827" t="str">
        <f t="shared" si="6"/>
        <v/>
      </c>
    </row>
    <row r="143" spans="1:8" ht="13.5" customHeight="1">
      <c r="A143" s="704"/>
      <c r="B143" s="705"/>
      <c r="C143" s="706">
        <v>10500822</v>
      </c>
      <c r="D143" s="707" t="s">
        <v>574</v>
      </c>
      <c r="E143" s="708"/>
      <c r="F143" s="709"/>
      <c r="G143" s="618">
        <f t="shared" si="4"/>
        <v>0</v>
      </c>
      <c r="H143" s="827" t="str">
        <f t="shared" si="6"/>
        <v/>
      </c>
    </row>
    <row r="144" spans="1:8" ht="13.5" customHeight="1">
      <c r="A144" s="704"/>
      <c r="B144" s="705"/>
      <c r="C144" s="706">
        <v>10500823</v>
      </c>
      <c r="D144" s="707" t="s">
        <v>575</v>
      </c>
      <c r="E144" s="708"/>
      <c r="F144" s="709"/>
      <c r="G144" s="618">
        <f t="shared" si="4"/>
        <v>0</v>
      </c>
      <c r="H144" s="827" t="str">
        <f t="shared" si="6"/>
        <v/>
      </c>
    </row>
    <row r="145" spans="1:8" ht="13.5" customHeight="1">
      <c r="A145" s="704"/>
      <c r="B145" s="705"/>
      <c r="C145" s="706">
        <v>10500824</v>
      </c>
      <c r="D145" s="707" t="s">
        <v>576</v>
      </c>
      <c r="E145" s="708"/>
      <c r="F145" s="709"/>
      <c r="G145" s="618">
        <f t="shared" si="4"/>
        <v>0</v>
      </c>
      <c r="H145" s="827" t="str">
        <f t="shared" si="6"/>
        <v/>
      </c>
    </row>
    <row r="146" spans="1:8" ht="13.5" customHeight="1">
      <c r="A146" s="704"/>
      <c r="B146" s="705"/>
      <c r="C146" s="706">
        <v>10500825</v>
      </c>
      <c r="D146" s="707" t="s">
        <v>577</v>
      </c>
      <c r="E146" s="708"/>
      <c r="F146" s="709"/>
      <c r="G146" s="618">
        <f t="shared" si="4"/>
        <v>0</v>
      </c>
      <c r="H146" s="827" t="str">
        <f t="shared" si="6"/>
        <v/>
      </c>
    </row>
    <row r="147" spans="1:8" ht="13.5" customHeight="1">
      <c r="A147" s="704"/>
      <c r="B147" s="705"/>
      <c r="C147" s="711"/>
      <c r="D147" s="712"/>
      <c r="E147" s="713"/>
      <c r="F147" s="626"/>
      <c r="G147" s="714">
        <f t="shared" si="4"/>
        <v>0</v>
      </c>
      <c r="H147" s="715"/>
    </row>
    <row r="148" spans="1:8" ht="13.5" customHeight="1">
      <c r="A148" s="704"/>
      <c r="B148" s="705"/>
      <c r="C148" s="706">
        <v>10500901</v>
      </c>
      <c r="D148" s="707" t="s">
        <v>578</v>
      </c>
      <c r="E148" s="708"/>
      <c r="F148" s="709"/>
      <c r="G148" s="618">
        <f t="shared" si="4"/>
        <v>0</v>
      </c>
      <c r="H148" s="716" t="str">
        <f>IF(H$26="009車庫、工場建物",ROUND((H27+H27/(H$5-H$6)*H$6+H27/(H$5-H$6)*H$15)*$D$4,-3),"")</f>
        <v/>
      </c>
    </row>
    <row r="149" spans="1:8" ht="13.5" customHeight="1">
      <c r="A149" s="704"/>
      <c r="B149" s="705"/>
      <c r="C149" s="706">
        <v>10500902</v>
      </c>
      <c r="D149" s="707" t="s">
        <v>579</v>
      </c>
      <c r="E149" s="708"/>
      <c r="F149" s="709"/>
      <c r="G149" s="618">
        <f t="shared" si="4"/>
        <v>0</v>
      </c>
      <c r="H149" s="716" t="str">
        <f t="shared" ref="H149:H172" si="7">IF(H$26="009車庫、工場建物",ROUND((H28+H28/(H$5-H$6)*H$6+H28/(H$5-H$6)*H$15)*$D$4,-3),"")</f>
        <v/>
      </c>
    </row>
    <row r="150" spans="1:8" ht="13.5" customHeight="1">
      <c r="A150" s="704"/>
      <c r="B150" s="705"/>
      <c r="C150" s="706">
        <v>10500903</v>
      </c>
      <c r="D150" s="707" t="s">
        <v>580</v>
      </c>
      <c r="E150" s="708"/>
      <c r="F150" s="709"/>
      <c r="G150" s="618">
        <f t="shared" si="4"/>
        <v>0</v>
      </c>
      <c r="H150" s="716" t="str">
        <f t="shared" si="7"/>
        <v/>
      </c>
    </row>
    <row r="151" spans="1:8" ht="13.5" customHeight="1">
      <c r="A151" s="704"/>
      <c r="B151" s="705"/>
      <c r="C151" s="706">
        <v>10500904</v>
      </c>
      <c r="D151" s="707" t="s">
        <v>581</v>
      </c>
      <c r="E151" s="708"/>
      <c r="F151" s="709"/>
      <c r="G151" s="618">
        <f t="shared" si="4"/>
        <v>0</v>
      </c>
      <c r="H151" s="716" t="str">
        <f t="shared" si="7"/>
        <v/>
      </c>
    </row>
    <row r="152" spans="1:8" ht="13.5" customHeight="1">
      <c r="A152" s="704"/>
      <c r="B152" s="705"/>
      <c r="C152" s="706">
        <v>10500905</v>
      </c>
      <c r="D152" s="707" t="s">
        <v>582</v>
      </c>
      <c r="E152" s="708"/>
      <c r="F152" s="709"/>
      <c r="G152" s="618">
        <f t="shared" si="4"/>
        <v>0</v>
      </c>
      <c r="H152" s="716" t="str">
        <f t="shared" si="7"/>
        <v/>
      </c>
    </row>
    <row r="153" spans="1:8" ht="13.5" customHeight="1">
      <c r="A153" s="704"/>
      <c r="B153" s="705"/>
      <c r="C153" s="706">
        <v>10500906</v>
      </c>
      <c r="D153" s="707" t="s">
        <v>583</v>
      </c>
      <c r="E153" s="708"/>
      <c r="F153" s="709"/>
      <c r="G153" s="618">
        <f t="shared" si="4"/>
        <v>0</v>
      </c>
      <c r="H153" s="716" t="str">
        <f t="shared" si="7"/>
        <v/>
      </c>
    </row>
    <row r="154" spans="1:8" ht="13.5" customHeight="1">
      <c r="A154" s="704"/>
      <c r="B154" s="705"/>
      <c r="C154" s="706">
        <v>10500907</v>
      </c>
      <c r="D154" s="707" t="s">
        <v>584</v>
      </c>
      <c r="E154" s="708"/>
      <c r="F154" s="709"/>
      <c r="G154" s="618">
        <f t="shared" si="4"/>
        <v>0</v>
      </c>
      <c r="H154" s="716" t="str">
        <f t="shared" si="7"/>
        <v/>
      </c>
    </row>
    <row r="155" spans="1:8" ht="13.5" customHeight="1">
      <c r="A155" s="704"/>
      <c r="B155" s="705"/>
      <c r="C155" s="706">
        <v>10500908</v>
      </c>
      <c r="D155" s="707" t="s">
        <v>585</v>
      </c>
      <c r="E155" s="708"/>
      <c r="F155" s="709"/>
      <c r="G155" s="618">
        <f t="shared" si="4"/>
        <v>0</v>
      </c>
      <c r="H155" s="716" t="str">
        <f t="shared" si="7"/>
        <v/>
      </c>
    </row>
    <row r="156" spans="1:8" ht="13.5" customHeight="1">
      <c r="A156" s="704"/>
      <c r="B156" s="705"/>
      <c r="C156" s="706">
        <v>10500909</v>
      </c>
      <c r="D156" s="707" t="s">
        <v>586</v>
      </c>
      <c r="E156" s="708"/>
      <c r="F156" s="709"/>
      <c r="G156" s="618">
        <f t="shared" si="4"/>
        <v>0</v>
      </c>
      <c r="H156" s="716" t="str">
        <f t="shared" si="7"/>
        <v/>
      </c>
    </row>
    <row r="157" spans="1:8" ht="13.5" customHeight="1">
      <c r="A157" s="704"/>
      <c r="B157" s="705"/>
      <c r="C157" s="706">
        <v>10500910</v>
      </c>
      <c r="D157" s="707" t="s">
        <v>587</v>
      </c>
      <c r="E157" s="708"/>
      <c r="F157" s="709"/>
      <c r="G157" s="618">
        <f t="shared" si="4"/>
        <v>0</v>
      </c>
      <c r="H157" s="716" t="str">
        <f t="shared" si="7"/>
        <v/>
      </c>
    </row>
    <row r="158" spans="1:8" ht="13.5" customHeight="1">
      <c r="A158" s="704"/>
      <c r="B158" s="705"/>
      <c r="C158" s="706">
        <v>10500911</v>
      </c>
      <c r="D158" s="707" t="s">
        <v>588</v>
      </c>
      <c r="E158" s="708"/>
      <c r="F158" s="709"/>
      <c r="G158" s="618">
        <f t="shared" si="4"/>
        <v>0</v>
      </c>
      <c r="H158" s="716" t="str">
        <f t="shared" si="7"/>
        <v/>
      </c>
    </row>
    <row r="159" spans="1:8" ht="13.5" customHeight="1">
      <c r="A159" s="704"/>
      <c r="B159" s="705"/>
      <c r="C159" s="706">
        <v>10500912</v>
      </c>
      <c r="D159" s="707" t="s">
        <v>589</v>
      </c>
      <c r="E159" s="708"/>
      <c r="F159" s="709"/>
      <c r="G159" s="618">
        <f t="shared" si="4"/>
        <v>0</v>
      </c>
      <c r="H159" s="716" t="str">
        <f t="shared" si="7"/>
        <v/>
      </c>
    </row>
    <row r="160" spans="1:8" ht="13.5" customHeight="1">
      <c r="A160" s="704"/>
      <c r="B160" s="705"/>
      <c r="C160" s="706">
        <v>10500913</v>
      </c>
      <c r="D160" s="707" t="s">
        <v>590</v>
      </c>
      <c r="E160" s="708"/>
      <c r="F160" s="709"/>
      <c r="G160" s="618">
        <f t="shared" ref="G160:G223" si="8">SUM(H160:I160)</f>
        <v>0</v>
      </c>
      <c r="H160" s="716" t="str">
        <f t="shared" si="7"/>
        <v/>
      </c>
    </row>
    <row r="161" spans="1:8" ht="13.5" customHeight="1">
      <c r="A161" s="704"/>
      <c r="B161" s="705"/>
      <c r="C161" s="706">
        <v>10500914</v>
      </c>
      <c r="D161" s="707" t="s">
        <v>591</v>
      </c>
      <c r="E161" s="708"/>
      <c r="F161" s="709"/>
      <c r="G161" s="618">
        <f t="shared" si="8"/>
        <v>0</v>
      </c>
      <c r="H161" s="716" t="str">
        <f t="shared" si="7"/>
        <v/>
      </c>
    </row>
    <row r="162" spans="1:8" ht="13.5" customHeight="1">
      <c r="A162" s="704"/>
      <c r="B162" s="705"/>
      <c r="C162" s="706">
        <v>10500915</v>
      </c>
      <c r="D162" s="707" t="s">
        <v>592</v>
      </c>
      <c r="E162" s="708"/>
      <c r="F162" s="709"/>
      <c r="G162" s="618">
        <f t="shared" si="8"/>
        <v>0</v>
      </c>
      <c r="H162" s="716" t="str">
        <f t="shared" si="7"/>
        <v/>
      </c>
    </row>
    <row r="163" spans="1:8" ht="13.5" customHeight="1">
      <c r="A163" s="704"/>
      <c r="B163" s="705"/>
      <c r="C163" s="706">
        <v>10500916</v>
      </c>
      <c r="D163" s="707" t="s">
        <v>593</v>
      </c>
      <c r="E163" s="708"/>
      <c r="F163" s="709"/>
      <c r="G163" s="618">
        <f t="shared" si="8"/>
        <v>0</v>
      </c>
      <c r="H163" s="716" t="str">
        <f t="shared" si="7"/>
        <v/>
      </c>
    </row>
    <row r="164" spans="1:8" ht="13.5" customHeight="1">
      <c r="A164" s="704"/>
      <c r="B164" s="705"/>
      <c r="C164" s="706">
        <v>10500917</v>
      </c>
      <c r="D164" s="707" t="s">
        <v>594</v>
      </c>
      <c r="E164" s="708"/>
      <c r="F164" s="709"/>
      <c r="G164" s="618">
        <f t="shared" si="8"/>
        <v>0</v>
      </c>
      <c r="H164" s="716" t="str">
        <f t="shared" si="7"/>
        <v/>
      </c>
    </row>
    <row r="165" spans="1:8" ht="13.5" customHeight="1">
      <c r="A165" s="704"/>
      <c r="B165" s="705"/>
      <c r="C165" s="706">
        <v>10500918</v>
      </c>
      <c r="D165" s="707" t="s">
        <v>595</v>
      </c>
      <c r="E165" s="708"/>
      <c r="F165" s="709"/>
      <c r="G165" s="618">
        <f t="shared" si="8"/>
        <v>0</v>
      </c>
      <c r="H165" s="716" t="str">
        <f t="shared" si="7"/>
        <v/>
      </c>
    </row>
    <row r="166" spans="1:8" ht="13.5" customHeight="1">
      <c r="A166" s="704"/>
      <c r="B166" s="705"/>
      <c r="C166" s="706">
        <v>10500919</v>
      </c>
      <c r="D166" s="707" t="s">
        <v>596</v>
      </c>
      <c r="E166" s="708"/>
      <c r="F166" s="709"/>
      <c r="G166" s="618">
        <f t="shared" si="8"/>
        <v>0</v>
      </c>
      <c r="H166" s="716" t="str">
        <f t="shared" si="7"/>
        <v/>
      </c>
    </row>
    <row r="167" spans="1:8" ht="13.5" customHeight="1">
      <c r="A167" s="704"/>
      <c r="B167" s="705"/>
      <c r="C167" s="706">
        <v>10500920</v>
      </c>
      <c r="D167" s="707" t="s">
        <v>597</v>
      </c>
      <c r="E167" s="708"/>
      <c r="F167" s="709"/>
      <c r="G167" s="618">
        <f t="shared" si="8"/>
        <v>0</v>
      </c>
      <c r="H167" s="716" t="str">
        <f t="shared" si="7"/>
        <v/>
      </c>
    </row>
    <row r="168" spans="1:8" ht="13.5" customHeight="1">
      <c r="A168" s="704"/>
      <c r="B168" s="705"/>
      <c r="C168" s="706">
        <v>10500921</v>
      </c>
      <c r="D168" s="707" t="s">
        <v>598</v>
      </c>
      <c r="E168" s="708"/>
      <c r="F168" s="709"/>
      <c r="G168" s="618">
        <f t="shared" si="8"/>
        <v>0</v>
      </c>
      <c r="H168" s="716" t="str">
        <f t="shared" si="7"/>
        <v/>
      </c>
    </row>
    <row r="169" spans="1:8" ht="13.5" customHeight="1">
      <c r="A169" s="704"/>
      <c r="B169" s="705"/>
      <c r="C169" s="706">
        <v>10500922</v>
      </c>
      <c r="D169" s="707" t="s">
        <v>599</v>
      </c>
      <c r="E169" s="708"/>
      <c r="F169" s="709"/>
      <c r="G169" s="618">
        <f t="shared" si="8"/>
        <v>0</v>
      </c>
      <c r="H169" s="716" t="str">
        <f t="shared" si="7"/>
        <v/>
      </c>
    </row>
    <row r="170" spans="1:8" ht="13.5" customHeight="1">
      <c r="A170" s="704"/>
      <c r="B170" s="705"/>
      <c r="C170" s="706">
        <v>10500923</v>
      </c>
      <c r="D170" s="707" t="s">
        <v>600</v>
      </c>
      <c r="E170" s="708"/>
      <c r="F170" s="709"/>
      <c r="G170" s="618">
        <f t="shared" si="8"/>
        <v>0</v>
      </c>
      <c r="H170" s="716" t="str">
        <f t="shared" si="7"/>
        <v/>
      </c>
    </row>
    <row r="171" spans="1:8" ht="13.5" customHeight="1">
      <c r="A171" s="704"/>
      <c r="B171" s="705"/>
      <c r="C171" s="706">
        <v>10500924</v>
      </c>
      <c r="D171" s="707" t="s">
        <v>601</v>
      </c>
      <c r="E171" s="708"/>
      <c r="F171" s="709"/>
      <c r="G171" s="618">
        <f t="shared" si="8"/>
        <v>0</v>
      </c>
      <c r="H171" s="716" t="str">
        <f t="shared" si="7"/>
        <v/>
      </c>
    </row>
    <row r="172" spans="1:8" ht="13.5" customHeight="1">
      <c r="A172" s="704"/>
      <c r="B172" s="705"/>
      <c r="C172" s="706">
        <v>10500925</v>
      </c>
      <c r="D172" s="707" t="s">
        <v>602</v>
      </c>
      <c r="E172" s="708"/>
      <c r="F172" s="709"/>
      <c r="G172" s="618">
        <f t="shared" si="8"/>
        <v>0</v>
      </c>
      <c r="H172" s="716" t="str">
        <f t="shared" si="7"/>
        <v/>
      </c>
    </row>
    <row r="173" spans="1:8" ht="13.5" customHeight="1">
      <c r="A173" s="704"/>
      <c r="B173" s="705"/>
      <c r="C173" s="711"/>
      <c r="D173" s="712"/>
      <c r="E173" s="713"/>
      <c r="F173" s="626"/>
      <c r="G173" s="714">
        <f t="shared" si="8"/>
        <v>0</v>
      </c>
      <c r="H173" s="715"/>
    </row>
    <row r="174" spans="1:8" ht="13.5" customHeight="1">
      <c r="A174" s="704"/>
      <c r="B174" s="539"/>
      <c r="C174" s="706">
        <v>10501001</v>
      </c>
      <c r="D174" s="707" t="s">
        <v>603</v>
      </c>
      <c r="E174" s="708"/>
      <c r="F174" s="709"/>
      <c r="G174" s="618">
        <f t="shared" si="8"/>
        <v>0</v>
      </c>
      <c r="H174" s="716" t="str">
        <f>IF(H$26="010倉庫建物",ROUND((H27+H27/(H$5-H$6)*H$6+H27/(H$5-H$6)*H$15)*$D$4,-3),"")</f>
        <v/>
      </c>
    </row>
    <row r="175" spans="1:8" ht="13.5" customHeight="1">
      <c r="A175" s="704"/>
      <c r="C175" s="706">
        <v>10501002</v>
      </c>
      <c r="D175" s="707" t="s">
        <v>604</v>
      </c>
      <c r="E175" s="708"/>
      <c r="F175" s="709"/>
      <c r="G175" s="618">
        <f t="shared" si="8"/>
        <v>0</v>
      </c>
      <c r="H175" s="716" t="str">
        <f t="shared" ref="H175:H198" si="9">IF(H$26="010倉庫建物",ROUND((H28+H28/(H$5-H$6)*H$6+H28/(H$5-H$6)*H$15)*$D$4,-3),"")</f>
        <v/>
      </c>
    </row>
    <row r="176" spans="1:8" ht="13.5" customHeight="1">
      <c r="A176" s="704"/>
      <c r="C176" s="706">
        <v>10501003</v>
      </c>
      <c r="D176" s="707" t="s">
        <v>605</v>
      </c>
      <c r="E176" s="708"/>
      <c r="F176" s="709"/>
      <c r="G176" s="618">
        <f t="shared" si="8"/>
        <v>0</v>
      </c>
      <c r="H176" s="716" t="str">
        <f t="shared" si="9"/>
        <v/>
      </c>
    </row>
    <row r="177" spans="1:8" ht="13.5" customHeight="1">
      <c r="A177" s="704"/>
      <c r="C177" s="706">
        <v>10501004</v>
      </c>
      <c r="D177" s="707" t="s">
        <v>606</v>
      </c>
      <c r="E177" s="708"/>
      <c r="F177" s="709"/>
      <c r="G177" s="618">
        <f t="shared" si="8"/>
        <v>0</v>
      </c>
      <c r="H177" s="716" t="str">
        <f t="shared" si="9"/>
        <v/>
      </c>
    </row>
    <row r="178" spans="1:8" ht="13.5" customHeight="1">
      <c r="A178" s="704"/>
      <c r="C178" s="706">
        <v>10501005</v>
      </c>
      <c r="D178" s="707" t="s">
        <v>607</v>
      </c>
      <c r="E178" s="708"/>
      <c r="F178" s="709"/>
      <c r="G178" s="618">
        <f t="shared" si="8"/>
        <v>0</v>
      </c>
      <c r="H178" s="716" t="str">
        <f t="shared" si="9"/>
        <v/>
      </c>
    </row>
    <row r="179" spans="1:8" ht="13.5" customHeight="1">
      <c r="A179" s="704"/>
      <c r="C179" s="706">
        <v>10501006</v>
      </c>
      <c r="D179" s="707" t="s">
        <v>608</v>
      </c>
      <c r="E179" s="708"/>
      <c r="F179" s="709"/>
      <c r="G179" s="618">
        <f t="shared" si="8"/>
        <v>0</v>
      </c>
      <c r="H179" s="716" t="str">
        <f t="shared" si="9"/>
        <v/>
      </c>
    </row>
    <row r="180" spans="1:8" ht="13.5" customHeight="1">
      <c r="A180" s="704"/>
      <c r="C180" s="706">
        <v>10501007</v>
      </c>
      <c r="D180" s="707" t="s">
        <v>609</v>
      </c>
      <c r="E180" s="708"/>
      <c r="F180" s="709"/>
      <c r="G180" s="618">
        <f t="shared" si="8"/>
        <v>0</v>
      </c>
      <c r="H180" s="716" t="str">
        <f t="shared" si="9"/>
        <v/>
      </c>
    </row>
    <row r="181" spans="1:8" ht="13.5" customHeight="1">
      <c r="A181" s="704"/>
      <c r="C181" s="706">
        <v>10501008</v>
      </c>
      <c r="D181" s="707" t="s">
        <v>610</v>
      </c>
      <c r="E181" s="708"/>
      <c r="F181" s="709"/>
      <c r="G181" s="618">
        <f t="shared" si="8"/>
        <v>0</v>
      </c>
      <c r="H181" s="716" t="str">
        <f t="shared" si="9"/>
        <v/>
      </c>
    </row>
    <row r="182" spans="1:8" ht="13.5" customHeight="1">
      <c r="A182" s="704"/>
      <c r="C182" s="706">
        <v>10501009</v>
      </c>
      <c r="D182" s="707" t="s">
        <v>611</v>
      </c>
      <c r="E182" s="708"/>
      <c r="F182" s="709"/>
      <c r="G182" s="618">
        <f t="shared" si="8"/>
        <v>0</v>
      </c>
      <c r="H182" s="716" t="str">
        <f t="shared" si="9"/>
        <v/>
      </c>
    </row>
    <row r="183" spans="1:8" ht="13.5" customHeight="1">
      <c r="A183" s="704"/>
      <c r="C183" s="706">
        <v>10501010</v>
      </c>
      <c r="D183" s="707" t="s">
        <v>612</v>
      </c>
      <c r="E183" s="708"/>
      <c r="F183" s="709"/>
      <c r="G183" s="618">
        <f t="shared" si="8"/>
        <v>0</v>
      </c>
      <c r="H183" s="716" t="str">
        <f t="shared" si="9"/>
        <v/>
      </c>
    </row>
    <row r="184" spans="1:8" ht="13.5" customHeight="1">
      <c r="A184" s="704"/>
      <c r="C184" s="706">
        <v>10501011</v>
      </c>
      <c r="D184" s="707" t="s">
        <v>613</v>
      </c>
      <c r="E184" s="708"/>
      <c r="F184" s="709"/>
      <c r="G184" s="618">
        <f t="shared" si="8"/>
        <v>0</v>
      </c>
      <c r="H184" s="716" t="str">
        <f t="shared" si="9"/>
        <v/>
      </c>
    </row>
    <row r="185" spans="1:8" ht="13.5" customHeight="1">
      <c r="A185" s="704"/>
      <c r="C185" s="706">
        <v>10501012</v>
      </c>
      <c r="D185" s="707" t="s">
        <v>614</v>
      </c>
      <c r="E185" s="708"/>
      <c r="F185" s="709"/>
      <c r="G185" s="618">
        <f t="shared" si="8"/>
        <v>0</v>
      </c>
      <c r="H185" s="716" t="str">
        <f t="shared" si="9"/>
        <v/>
      </c>
    </row>
    <row r="186" spans="1:8" ht="13.5" customHeight="1">
      <c r="A186" s="704"/>
      <c r="C186" s="706">
        <v>10501013</v>
      </c>
      <c r="D186" s="707" t="s">
        <v>615</v>
      </c>
      <c r="E186" s="708"/>
      <c r="F186" s="709"/>
      <c r="G186" s="618">
        <f t="shared" si="8"/>
        <v>0</v>
      </c>
      <c r="H186" s="716" t="str">
        <f t="shared" si="9"/>
        <v/>
      </c>
    </row>
    <row r="187" spans="1:8" ht="13.5" customHeight="1">
      <c r="A187" s="704"/>
      <c r="C187" s="706">
        <v>10501014</v>
      </c>
      <c r="D187" s="707" t="s">
        <v>616</v>
      </c>
      <c r="E187" s="708"/>
      <c r="F187" s="709"/>
      <c r="G187" s="618">
        <f t="shared" si="8"/>
        <v>0</v>
      </c>
      <c r="H187" s="716" t="str">
        <f t="shared" si="9"/>
        <v/>
      </c>
    </row>
    <row r="188" spans="1:8" ht="13.5" customHeight="1">
      <c r="A188" s="704"/>
      <c r="C188" s="706">
        <v>10501015</v>
      </c>
      <c r="D188" s="707" t="s">
        <v>617</v>
      </c>
      <c r="E188" s="708"/>
      <c r="F188" s="709"/>
      <c r="G188" s="618">
        <f t="shared" si="8"/>
        <v>0</v>
      </c>
      <c r="H188" s="716" t="str">
        <f t="shared" si="9"/>
        <v/>
      </c>
    </row>
    <row r="189" spans="1:8" ht="13.5" customHeight="1">
      <c r="A189" s="704"/>
      <c r="C189" s="706">
        <v>10501016</v>
      </c>
      <c r="D189" s="707" t="s">
        <v>618</v>
      </c>
      <c r="E189" s="708"/>
      <c r="F189" s="709"/>
      <c r="G189" s="618">
        <f t="shared" si="8"/>
        <v>0</v>
      </c>
      <c r="H189" s="716" t="str">
        <f t="shared" si="9"/>
        <v/>
      </c>
    </row>
    <row r="190" spans="1:8" ht="13.5" customHeight="1">
      <c r="A190" s="704"/>
      <c r="C190" s="706">
        <v>10501017</v>
      </c>
      <c r="D190" s="707" t="s">
        <v>619</v>
      </c>
      <c r="E190" s="708"/>
      <c r="F190" s="709"/>
      <c r="G190" s="618">
        <f t="shared" si="8"/>
        <v>0</v>
      </c>
      <c r="H190" s="716" t="str">
        <f t="shared" si="9"/>
        <v/>
      </c>
    </row>
    <row r="191" spans="1:8" ht="13.5" customHeight="1">
      <c r="A191" s="704"/>
      <c r="C191" s="706">
        <v>10501018</v>
      </c>
      <c r="D191" s="707" t="s">
        <v>620</v>
      </c>
      <c r="E191" s="708"/>
      <c r="F191" s="709"/>
      <c r="G191" s="618">
        <f t="shared" si="8"/>
        <v>0</v>
      </c>
      <c r="H191" s="716" t="str">
        <f t="shared" si="9"/>
        <v/>
      </c>
    </row>
    <row r="192" spans="1:8" ht="13.5" customHeight="1">
      <c r="A192" s="704"/>
      <c r="C192" s="706">
        <v>10501019</v>
      </c>
      <c r="D192" s="707" t="s">
        <v>621</v>
      </c>
      <c r="E192" s="708"/>
      <c r="F192" s="709"/>
      <c r="G192" s="618">
        <f t="shared" si="8"/>
        <v>0</v>
      </c>
      <c r="H192" s="716" t="str">
        <f t="shared" si="9"/>
        <v/>
      </c>
    </row>
    <row r="193" spans="1:8" ht="13.5" customHeight="1">
      <c r="A193" s="704"/>
      <c r="C193" s="706">
        <v>10501020</v>
      </c>
      <c r="D193" s="707" t="s">
        <v>622</v>
      </c>
      <c r="E193" s="708"/>
      <c r="F193" s="709"/>
      <c r="G193" s="618">
        <f t="shared" si="8"/>
        <v>0</v>
      </c>
      <c r="H193" s="716" t="str">
        <f t="shared" si="9"/>
        <v/>
      </c>
    </row>
    <row r="194" spans="1:8" ht="13.5" customHeight="1">
      <c r="A194" s="704"/>
      <c r="C194" s="706">
        <v>10501021</v>
      </c>
      <c r="D194" s="707" t="s">
        <v>623</v>
      </c>
      <c r="E194" s="708"/>
      <c r="F194" s="709"/>
      <c r="G194" s="618">
        <f t="shared" si="8"/>
        <v>0</v>
      </c>
      <c r="H194" s="716" t="str">
        <f t="shared" si="9"/>
        <v/>
      </c>
    </row>
    <row r="195" spans="1:8" ht="13.5" customHeight="1">
      <c r="A195" s="704"/>
      <c r="C195" s="706">
        <v>10501022</v>
      </c>
      <c r="D195" s="707" t="s">
        <v>624</v>
      </c>
      <c r="E195" s="708"/>
      <c r="F195" s="709"/>
      <c r="G195" s="618">
        <f t="shared" si="8"/>
        <v>0</v>
      </c>
      <c r="H195" s="716" t="str">
        <f t="shared" si="9"/>
        <v/>
      </c>
    </row>
    <row r="196" spans="1:8" ht="13.5" customHeight="1">
      <c r="A196" s="704"/>
      <c r="C196" s="706">
        <v>10501023</v>
      </c>
      <c r="D196" s="707" t="s">
        <v>625</v>
      </c>
      <c r="E196" s="708"/>
      <c r="F196" s="709"/>
      <c r="G196" s="618">
        <f t="shared" si="8"/>
        <v>0</v>
      </c>
      <c r="H196" s="716" t="str">
        <f t="shared" si="9"/>
        <v/>
      </c>
    </row>
    <row r="197" spans="1:8" ht="13.5" customHeight="1">
      <c r="A197" s="704"/>
      <c r="C197" s="706">
        <v>10501024</v>
      </c>
      <c r="D197" s="707" t="s">
        <v>626</v>
      </c>
      <c r="E197" s="708"/>
      <c r="F197" s="709"/>
      <c r="G197" s="618">
        <f t="shared" si="8"/>
        <v>0</v>
      </c>
      <c r="H197" s="716" t="str">
        <f t="shared" si="9"/>
        <v/>
      </c>
    </row>
    <row r="198" spans="1:8" ht="13.5" customHeight="1">
      <c r="A198" s="704"/>
      <c r="C198" s="706">
        <v>10501025</v>
      </c>
      <c r="D198" s="707" t="s">
        <v>627</v>
      </c>
      <c r="E198" s="708"/>
      <c r="F198" s="709"/>
      <c r="G198" s="618">
        <f t="shared" si="8"/>
        <v>0</v>
      </c>
      <c r="H198" s="716" t="str">
        <f t="shared" si="9"/>
        <v/>
      </c>
    </row>
    <row r="199" spans="1:8" ht="13.5" customHeight="1">
      <c r="A199" s="704"/>
      <c r="B199" s="705"/>
      <c r="C199" s="711"/>
      <c r="D199" s="712"/>
      <c r="E199" s="713"/>
      <c r="F199" s="626"/>
      <c r="G199" s="714">
        <f t="shared" si="8"/>
        <v>0</v>
      </c>
      <c r="H199" s="715"/>
    </row>
    <row r="200" spans="1:8" ht="13.5" customHeight="1">
      <c r="A200" s="704"/>
      <c r="C200" s="706">
        <v>10501101</v>
      </c>
      <c r="D200" s="707" t="s">
        <v>628</v>
      </c>
      <c r="E200" s="708"/>
      <c r="F200" s="709"/>
      <c r="G200" s="618">
        <f t="shared" si="8"/>
        <v>0</v>
      </c>
      <c r="H200" s="716" t="str">
        <f>IF(H$26="011詰所建物",ROUND((H27+H27/(H$5-H$6)*H$6+H27/(H$5-H$6)*H$15)*$D$4,-3),"")</f>
        <v/>
      </c>
    </row>
    <row r="201" spans="1:8" ht="13.5" customHeight="1">
      <c r="A201" s="704"/>
      <c r="C201" s="706">
        <v>10501102</v>
      </c>
      <c r="D201" s="707" t="s">
        <v>629</v>
      </c>
      <c r="E201" s="708"/>
      <c r="F201" s="709"/>
      <c r="G201" s="618">
        <f t="shared" si="8"/>
        <v>0</v>
      </c>
      <c r="H201" s="716" t="str">
        <f t="shared" ref="H201:H224" si="10">IF(H$26="011詰所建物",ROUND((H28+H28/(H$5-H$6)*H$6+H28/(H$5-H$6)*H$15)*$D$4,-3),"")</f>
        <v/>
      </c>
    </row>
    <row r="202" spans="1:8" ht="13.5" customHeight="1">
      <c r="A202" s="704"/>
      <c r="C202" s="706">
        <v>10501103</v>
      </c>
      <c r="D202" s="707" t="s">
        <v>630</v>
      </c>
      <c r="E202" s="708"/>
      <c r="F202" s="709"/>
      <c r="G202" s="618">
        <f t="shared" si="8"/>
        <v>0</v>
      </c>
      <c r="H202" s="716" t="str">
        <f t="shared" si="10"/>
        <v/>
      </c>
    </row>
    <row r="203" spans="1:8" ht="13.5" customHeight="1">
      <c r="A203" s="704"/>
      <c r="C203" s="706">
        <v>10501104</v>
      </c>
      <c r="D203" s="707" t="s">
        <v>631</v>
      </c>
      <c r="E203" s="708"/>
      <c r="F203" s="709"/>
      <c r="G203" s="618">
        <f t="shared" si="8"/>
        <v>0</v>
      </c>
      <c r="H203" s="716" t="str">
        <f t="shared" si="10"/>
        <v/>
      </c>
    </row>
    <row r="204" spans="1:8" ht="13.5" customHeight="1">
      <c r="A204" s="704"/>
      <c r="C204" s="706">
        <v>10501105</v>
      </c>
      <c r="D204" s="707" t="s">
        <v>632</v>
      </c>
      <c r="E204" s="708"/>
      <c r="F204" s="709"/>
      <c r="G204" s="618">
        <f t="shared" si="8"/>
        <v>0</v>
      </c>
      <c r="H204" s="716" t="str">
        <f t="shared" si="10"/>
        <v/>
      </c>
    </row>
    <row r="205" spans="1:8" ht="13.5" customHeight="1">
      <c r="A205" s="704"/>
      <c r="C205" s="706">
        <v>10501106</v>
      </c>
      <c r="D205" s="707" t="s">
        <v>633</v>
      </c>
      <c r="E205" s="708"/>
      <c r="F205" s="709"/>
      <c r="G205" s="618">
        <f t="shared" si="8"/>
        <v>0</v>
      </c>
      <c r="H205" s="716" t="str">
        <f t="shared" si="10"/>
        <v/>
      </c>
    </row>
    <row r="206" spans="1:8" ht="13.5" customHeight="1">
      <c r="A206" s="704"/>
      <c r="C206" s="706">
        <v>10501107</v>
      </c>
      <c r="D206" s="707" t="s">
        <v>634</v>
      </c>
      <c r="E206" s="708"/>
      <c r="F206" s="709"/>
      <c r="G206" s="618">
        <f t="shared" si="8"/>
        <v>0</v>
      </c>
      <c r="H206" s="716" t="str">
        <f t="shared" si="10"/>
        <v/>
      </c>
    </row>
    <row r="207" spans="1:8" ht="13.5" customHeight="1">
      <c r="A207" s="704"/>
      <c r="C207" s="706">
        <v>10501108</v>
      </c>
      <c r="D207" s="707" t="s">
        <v>635</v>
      </c>
      <c r="E207" s="708"/>
      <c r="F207" s="709"/>
      <c r="G207" s="618">
        <f t="shared" si="8"/>
        <v>0</v>
      </c>
      <c r="H207" s="716" t="str">
        <f t="shared" si="10"/>
        <v/>
      </c>
    </row>
    <row r="208" spans="1:8" ht="13.5" customHeight="1">
      <c r="A208" s="704"/>
      <c r="C208" s="706">
        <v>10501109</v>
      </c>
      <c r="D208" s="707" t="s">
        <v>636</v>
      </c>
      <c r="E208" s="708"/>
      <c r="F208" s="709"/>
      <c r="G208" s="618">
        <f t="shared" si="8"/>
        <v>0</v>
      </c>
      <c r="H208" s="716" t="str">
        <f t="shared" si="10"/>
        <v/>
      </c>
    </row>
    <row r="209" spans="1:8" ht="13.5" customHeight="1">
      <c r="A209" s="704"/>
      <c r="C209" s="706">
        <v>10501110</v>
      </c>
      <c r="D209" s="707" t="s">
        <v>637</v>
      </c>
      <c r="E209" s="708"/>
      <c r="F209" s="709"/>
      <c r="G209" s="618">
        <f t="shared" si="8"/>
        <v>0</v>
      </c>
      <c r="H209" s="716" t="str">
        <f t="shared" si="10"/>
        <v/>
      </c>
    </row>
    <row r="210" spans="1:8" ht="13.5" customHeight="1">
      <c r="A210" s="704"/>
      <c r="C210" s="706">
        <v>10501111</v>
      </c>
      <c r="D210" s="707" t="s">
        <v>638</v>
      </c>
      <c r="E210" s="708"/>
      <c r="F210" s="709"/>
      <c r="G210" s="618">
        <f t="shared" si="8"/>
        <v>0</v>
      </c>
      <c r="H210" s="716" t="str">
        <f t="shared" si="10"/>
        <v/>
      </c>
    </row>
    <row r="211" spans="1:8" ht="13.5" customHeight="1">
      <c r="A211" s="704"/>
      <c r="C211" s="706">
        <v>10501112</v>
      </c>
      <c r="D211" s="707" t="s">
        <v>639</v>
      </c>
      <c r="E211" s="708"/>
      <c r="F211" s="709"/>
      <c r="G211" s="618">
        <f t="shared" si="8"/>
        <v>0</v>
      </c>
      <c r="H211" s="716" t="str">
        <f t="shared" si="10"/>
        <v/>
      </c>
    </row>
    <row r="212" spans="1:8" ht="13.5" customHeight="1">
      <c r="A212" s="704"/>
      <c r="C212" s="706">
        <v>10501113</v>
      </c>
      <c r="D212" s="707" t="s">
        <v>640</v>
      </c>
      <c r="E212" s="708"/>
      <c r="F212" s="709"/>
      <c r="G212" s="618">
        <f t="shared" si="8"/>
        <v>0</v>
      </c>
      <c r="H212" s="716" t="str">
        <f t="shared" si="10"/>
        <v/>
      </c>
    </row>
    <row r="213" spans="1:8" ht="13.5" customHeight="1">
      <c r="A213" s="704"/>
      <c r="C213" s="706">
        <v>10501114</v>
      </c>
      <c r="D213" s="707" t="s">
        <v>641</v>
      </c>
      <c r="E213" s="708"/>
      <c r="F213" s="709"/>
      <c r="G213" s="618">
        <f t="shared" si="8"/>
        <v>0</v>
      </c>
      <c r="H213" s="716" t="str">
        <f t="shared" si="10"/>
        <v/>
      </c>
    </row>
    <row r="214" spans="1:8" ht="13.5" customHeight="1">
      <c r="A214" s="704"/>
      <c r="C214" s="706">
        <v>10501115</v>
      </c>
      <c r="D214" s="707" t="s">
        <v>642</v>
      </c>
      <c r="E214" s="708"/>
      <c r="F214" s="709"/>
      <c r="G214" s="618">
        <f t="shared" si="8"/>
        <v>0</v>
      </c>
      <c r="H214" s="716" t="str">
        <f t="shared" si="10"/>
        <v/>
      </c>
    </row>
    <row r="215" spans="1:8" ht="13.5" customHeight="1">
      <c r="A215" s="704"/>
      <c r="C215" s="706">
        <v>10501116</v>
      </c>
      <c r="D215" s="707" t="s">
        <v>643</v>
      </c>
      <c r="E215" s="708"/>
      <c r="F215" s="709"/>
      <c r="G215" s="618">
        <f t="shared" si="8"/>
        <v>0</v>
      </c>
      <c r="H215" s="716" t="str">
        <f t="shared" si="10"/>
        <v/>
      </c>
    </row>
    <row r="216" spans="1:8" ht="13.5" customHeight="1">
      <c r="A216" s="704"/>
      <c r="C216" s="706">
        <v>10501117</v>
      </c>
      <c r="D216" s="707" t="s">
        <v>644</v>
      </c>
      <c r="E216" s="708"/>
      <c r="F216" s="709"/>
      <c r="G216" s="618">
        <f t="shared" si="8"/>
        <v>0</v>
      </c>
      <c r="H216" s="716" t="str">
        <f t="shared" si="10"/>
        <v/>
      </c>
    </row>
    <row r="217" spans="1:8" ht="13.5" customHeight="1">
      <c r="A217" s="704"/>
      <c r="C217" s="706">
        <v>10501118</v>
      </c>
      <c r="D217" s="707" t="s">
        <v>645</v>
      </c>
      <c r="E217" s="708"/>
      <c r="F217" s="709"/>
      <c r="G217" s="618">
        <f t="shared" si="8"/>
        <v>0</v>
      </c>
      <c r="H217" s="716" t="str">
        <f t="shared" si="10"/>
        <v/>
      </c>
    </row>
    <row r="218" spans="1:8" ht="13.5" customHeight="1">
      <c r="A218" s="704"/>
      <c r="C218" s="706">
        <v>10501119</v>
      </c>
      <c r="D218" s="707" t="s">
        <v>646</v>
      </c>
      <c r="E218" s="708"/>
      <c r="F218" s="709"/>
      <c r="G218" s="618">
        <f t="shared" si="8"/>
        <v>0</v>
      </c>
      <c r="H218" s="716" t="str">
        <f t="shared" si="10"/>
        <v/>
      </c>
    </row>
    <row r="219" spans="1:8" ht="13.5" customHeight="1">
      <c r="A219" s="704"/>
      <c r="C219" s="706">
        <v>10501120</v>
      </c>
      <c r="D219" s="707" t="s">
        <v>647</v>
      </c>
      <c r="E219" s="708"/>
      <c r="F219" s="709"/>
      <c r="G219" s="618">
        <f t="shared" si="8"/>
        <v>0</v>
      </c>
      <c r="H219" s="716" t="str">
        <f t="shared" si="10"/>
        <v/>
      </c>
    </row>
    <row r="220" spans="1:8" ht="13.5" customHeight="1">
      <c r="A220" s="704"/>
      <c r="C220" s="706">
        <v>10501121</v>
      </c>
      <c r="D220" s="707" t="s">
        <v>648</v>
      </c>
      <c r="E220" s="708"/>
      <c r="F220" s="709"/>
      <c r="G220" s="618">
        <f t="shared" si="8"/>
        <v>0</v>
      </c>
      <c r="H220" s="716" t="str">
        <f t="shared" si="10"/>
        <v/>
      </c>
    </row>
    <row r="221" spans="1:8" ht="13.5" customHeight="1">
      <c r="A221" s="704"/>
      <c r="C221" s="706">
        <v>10501122</v>
      </c>
      <c r="D221" s="707" t="s">
        <v>649</v>
      </c>
      <c r="E221" s="708"/>
      <c r="F221" s="709"/>
      <c r="G221" s="618">
        <f t="shared" si="8"/>
        <v>0</v>
      </c>
      <c r="H221" s="716" t="str">
        <f t="shared" si="10"/>
        <v/>
      </c>
    </row>
    <row r="222" spans="1:8" ht="13.5" customHeight="1">
      <c r="A222" s="704"/>
      <c r="C222" s="706">
        <v>10501123</v>
      </c>
      <c r="D222" s="707" t="s">
        <v>650</v>
      </c>
      <c r="E222" s="708"/>
      <c r="F222" s="709"/>
      <c r="G222" s="618">
        <f t="shared" si="8"/>
        <v>0</v>
      </c>
      <c r="H222" s="716" t="str">
        <f t="shared" si="10"/>
        <v/>
      </c>
    </row>
    <row r="223" spans="1:8" ht="13.5" customHeight="1">
      <c r="A223" s="704"/>
      <c r="C223" s="706">
        <v>10501124</v>
      </c>
      <c r="D223" s="707" t="s">
        <v>651</v>
      </c>
      <c r="E223" s="708"/>
      <c r="F223" s="709"/>
      <c r="G223" s="618">
        <f t="shared" si="8"/>
        <v>0</v>
      </c>
      <c r="H223" s="716" t="str">
        <f t="shared" si="10"/>
        <v/>
      </c>
    </row>
    <row r="224" spans="1:8" ht="13.5" customHeight="1">
      <c r="A224" s="704"/>
      <c r="C224" s="706">
        <v>10501125</v>
      </c>
      <c r="D224" s="707" t="s">
        <v>652</v>
      </c>
      <c r="E224" s="708"/>
      <c r="F224" s="709"/>
      <c r="G224" s="618">
        <f t="shared" ref="G224:G287" si="11">SUM(H224:I224)</f>
        <v>0</v>
      </c>
      <c r="H224" s="716" t="str">
        <f t="shared" si="10"/>
        <v/>
      </c>
    </row>
    <row r="225" spans="1:8" ht="13.5" customHeight="1">
      <c r="A225" s="704"/>
      <c r="B225" s="705"/>
      <c r="C225" s="711"/>
      <c r="D225" s="712"/>
      <c r="E225" s="713"/>
      <c r="F225" s="626"/>
      <c r="G225" s="714">
        <f t="shared" si="11"/>
        <v>0</v>
      </c>
      <c r="H225" s="715"/>
    </row>
    <row r="226" spans="1:8" ht="13.5" customHeight="1">
      <c r="A226" s="704"/>
      <c r="C226" s="706">
        <v>10501201</v>
      </c>
      <c r="D226" s="707" t="s">
        <v>653</v>
      </c>
      <c r="E226" s="708"/>
      <c r="F226" s="709"/>
      <c r="G226" s="618">
        <f t="shared" si="11"/>
        <v>0</v>
      </c>
      <c r="H226" s="716" t="str">
        <f>IF(H$26="012事務所建物",ROUND((H27+H27/(H$5-H$6)*H$6+H27/(H$5-H$6)*H$15)*$D$4,-3),"")</f>
        <v/>
      </c>
    </row>
    <row r="227" spans="1:8" ht="13.5" customHeight="1">
      <c r="A227" s="704"/>
      <c r="C227" s="706">
        <v>10501202</v>
      </c>
      <c r="D227" s="707" t="s">
        <v>654</v>
      </c>
      <c r="E227" s="708"/>
      <c r="F227" s="709"/>
      <c r="G227" s="618">
        <f t="shared" si="11"/>
        <v>0</v>
      </c>
      <c r="H227" s="716" t="str">
        <f t="shared" ref="H227:H250" si="12">IF(H$26="012事務所建物",ROUND((H28+H28/(H$5-H$6)*H$6+H28/(H$5-H$6)*H$15)*$D$4,-3),"")</f>
        <v/>
      </c>
    </row>
    <row r="228" spans="1:8" ht="13.5" customHeight="1">
      <c r="A228" s="704"/>
      <c r="C228" s="706">
        <v>10501203</v>
      </c>
      <c r="D228" s="707" t="s">
        <v>655</v>
      </c>
      <c r="E228" s="708"/>
      <c r="F228" s="709"/>
      <c r="G228" s="618">
        <f t="shared" si="11"/>
        <v>0</v>
      </c>
      <c r="H228" s="716" t="str">
        <f t="shared" si="12"/>
        <v/>
      </c>
    </row>
    <row r="229" spans="1:8" ht="13.5" customHeight="1">
      <c r="A229" s="704"/>
      <c r="C229" s="706">
        <v>10501204</v>
      </c>
      <c r="D229" s="707" t="s">
        <v>656</v>
      </c>
      <c r="E229" s="708"/>
      <c r="F229" s="709"/>
      <c r="G229" s="618">
        <f t="shared" si="11"/>
        <v>0</v>
      </c>
      <c r="H229" s="716" t="str">
        <f t="shared" si="12"/>
        <v/>
      </c>
    </row>
    <row r="230" spans="1:8" ht="13.5" customHeight="1">
      <c r="A230" s="704"/>
      <c r="C230" s="706">
        <v>10501205</v>
      </c>
      <c r="D230" s="707" t="s">
        <v>657</v>
      </c>
      <c r="E230" s="708"/>
      <c r="F230" s="709"/>
      <c r="G230" s="618">
        <f t="shared" si="11"/>
        <v>0</v>
      </c>
      <c r="H230" s="716" t="str">
        <f t="shared" si="12"/>
        <v/>
      </c>
    </row>
    <row r="231" spans="1:8" ht="13.5" customHeight="1">
      <c r="A231" s="704"/>
      <c r="C231" s="706">
        <v>10501206</v>
      </c>
      <c r="D231" s="707" t="s">
        <v>658</v>
      </c>
      <c r="E231" s="708"/>
      <c r="F231" s="709"/>
      <c r="G231" s="618">
        <f t="shared" si="11"/>
        <v>0</v>
      </c>
      <c r="H231" s="716" t="str">
        <f t="shared" si="12"/>
        <v/>
      </c>
    </row>
    <row r="232" spans="1:8" ht="13.5" customHeight="1">
      <c r="A232" s="704"/>
      <c r="C232" s="706">
        <v>10501207</v>
      </c>
      <c r="D232" s="707" t="s">
        <v>659</v>
      </c>
      <c r="E232" s="708"/>
      <c r="F232" s="709"/>
      <c r="G232" s="618">
        <f t="shared" si="11"/>
        <v>0</v>
      </c>
      <c r="H232" s="716" t="str">
        <f t="shared" si="12"/>
        <v/>
      </c>
    </row>
    <row r="233" spans="1:8" ht="13.5" customHeight="1">
      <c r="A233" s="704"/>
      <c r="C233" s="706">
        <v>10501208</v>
      </c>
      <c r="D233" s="707" t="s">
        <v>660</v>
      </c>
      <c r="E233" s="708"/>
      <c r="F233" s="709"/>
      <c r="G233" s="618">
        <f t="shared" si="11"/>
        <v>0</v>
      </c>
      <c r="H233" s="716" t="str">
        <f t="shared" si="12"/>
        <v/>
      </c>
    </row>
    <row r="234" spans="1:8" ht="13.5" customHeight="1">
      <c r="A234" s="704"/>
      <c r="C234" s="706">
        <v>10501209</v>
      </c>
      <c r="D234" s="707" t="s">
        <v>661</v>
      </c>
      <c r="E234" s="708"/>
      <c r="F234" s="709"/>
      <c r="G234" s="618">
        <f t="shared" si="11"/>
        <v>0</v>
      </c>
      <c r="H234" s="716" t="str">
        <f t="shared" si="12"/>
        <v/>
      </c>
    </row>
    <row r="235" spans="1:8" ht="13.5" customHeight="1">
      <c r="A235" s="704"/>
      <c r="C235" s="706">
        <v>10501210</v>
      </c>
      <c r="D235" s="707" t="s">
        <v>662</v>
      </c>
      <c r="E235" s="708"/>
      <c r="F235" s="709"/>
      <c r="G235" s="618">
        <f t="shared" si="11"/>
        <v>0</v>
      </c>
      <c r="H235" s="716" t="str">
        <f t="shared" si="12"/>
        <v/>
      </c>
    </row>
    <row r="236" spans="1:8" ht="13.5" customHeight="1">
      <c r="A236" s="704"/>
      <c r="C236" s="706">
        <v>10501211</v>
      </c>
      <c r="D236" s="707" t="s">
        <v>663</v>
      </c>
      <c r="E236" s="708"/>
      <c r="F236" s="709"/>
      <c r="G236" s="618">
        <f t="shared" si="11"/>
        <v>0</v>
      </c>
      <c r="H236" s="716" t="str">
        <f t="shared" si="12"/>
        <v/>
      </c>
    </row>
    <row r="237" spans="1:8" ht="13.5" customHeight="1">
      <c r="A237" s="704"/>
      <c r="C237" s="706">
        <v>10501212</v>
      </c>
      <c r="D237" s="707" t="s">
        <v>664</v>
      </c>
      <c r="E237" s="708"/>
      <c r="F237" s="709"/>
      <c r="G237" s="618">
        <f t="shared" si="11"/>
        <v>0</v>
      </c>
      <c r="H237" s="716" t="str">
        <f t="shared" si="12"/>
        <v/>
      </c>
    </row>
    <row r="238" spans="1:8" ht="13.5" customHeight="1">
      <c r="A238" s="704"/>
      <c r="C238" s="706">
        <v>10501213</v>
      </c>
      <c r="D238" s="707" t="s">
        <v>665</v>
      </c>
      <c r="E238" s="708"/>
      <c r="F238" s="709"/>
      <c r="G238" s="618">
        <f t="shared" si="11"/>
        <v>0</v>
      </c>
      <c r="H238" s="716" t="str">
        <f t="shared" si="12"/>
        <v/>
      </c>
    </row>
    <row r="239" spans="1:8" ht="13.5" customHeight="1">
      <c r="A239" s="704"/>
      <c r="C239" s="706">
        <v>10501214</v>
      </c>
      <c r="D239" s="707" t="s">
        <v>666</v>
      </c>
      <c r="E239" s="708"/>
      <c r="F239" s="709"/>
      <c r="G239" s="618">
        <f t="shared" si="11"/>
        <v>0</v>
      </c>
      <c r="H239" s="716" t="str">
        <f t="shared" si="12"/>
        <v/>
      </c>
    </row>
    <row r="240" spans="1:8" ht="13.5" customHeight="1">
      <c r="A240" s="704"/>
      <c r="C240" s="706">
        <v>10501215</v>
      </c>
      <c r="D240" s="707" t="s">
        <v>667</v>
      </c>
      <c r="E240" s="708"/>
      <c r="F240" s="709"/>
      <c r="G240" s="618">
        <f t="shared" si="11"/>
        <v>0</v>
      </c>
      <c r="H240" s="716" t="str">
        <f t="shared" si="12"/>
        <v/>
      </c>
    </row>
    <row r="241" spans="1:8" ht="13.5" customHeight="1">
      <c r="A241" s="704"/>
      <c r="C241" s="706">
        <v>10501216</v>
      </c>
      <c r="D241" s="707" t="s">
        <v>668</v>
      </c>
      <c r="E241" s="708"/>
      <c r="F241" s="709"/>
      <c r="G241" s="618">
        <f t="shared" si="11"/>
        <v>0</v>
      </c>
      <c r="H241" s="716" t="str">
        <f t="shared" si="12"/>
        <v/>
      </c>
    </row>
    <row r="242" spans="1:8" ht="13.5" customHeight="1">
      <c r="A242" s="704"/>
      <c r="C242" s="706">
        <v>10501217</v>
      </c>
      <c r="D242" s="707" t="s">
        <v>669</v>
      </c>
      <c r="E242" s="708"/>
      <c r="F242" s="709"/>
      <c r="G242" s="618">
        <f t="shared" si="11"/>
        <v>0</v>
      </c>
      <c r="H242" s="716" t="str">
        <f t="shared" si="12"/>
        <v/>
      </c>
    </row>
    <row r="243" spans="1:8" ht="13.5" customHeight="1">
      <c r="A243" s="704"/>
      <c r="C243" s="706">
        <v>10501218</v>
      </c>
      <c r="D243" s="707" t="s">
        <v>670</v>
      </c>
      <c r="E243" s="708"/>
      <c r="F243" s="709"/>
      <c r="G243" s="618">
        <f t="shared" si="11"/>
        <v>0</v>
      </c>
      <c r="H243" s="716" t="str">
        <f t="shared" si="12"/>
        <v/>
      </c>
    </row>
    <row r="244" spans="1:8" ht="13.5" customHeight="1">
      <c r="A244" s="704"/>
      <c r="C244" s="706">
        <v>10501219</v>
      </c>
      <c r="D244" s="707" t="s">
        <v>671</v>
      </c>
      <c r="E244" s="708"/>
      <c r="F244" s="709"/>
      <c r="G244" s="618">
        <f t="shared" si="11"/>
        <v>0</v>
      </c>
      <c r="H244" s="716" t="str">
        <f t="shared" si="12"/>
        <v/>
      </c>
    </row>
    <row r="245" spans="1:8" ht="13.5" customHeight="1">
      <c r="A245" s="704"/>
      <c r="C245" s="706">
        <v>10501220</v>
      </c>
      <c r="D245" s="707" t="s">
        <v>672</v>
      </c>
      <c r="E245" s="708"/>
      <c r="F245" s="709"/>
      <c r="G245" s="618">
        <f t="shared" si="11"/>
        <v>0</v>
      </c>
      <c r="H245" s="716" t="str">
        <f t="shared" si="12"/>
        <v/>
      </c>
    </row>
    <row r="246" spans="1:8" ht="13.5" customHeight="1">
      <c r="A246" s="704"/>
      <c r="C246" s="706">
        <v>10501221</v>
      </c>
      <c r="D246" s="707" t="s">
        <v>673</v>
      </c>
      <c r="E246" s="708"/>
      <c r="F246" s="709"/>
      <c r="G246" s="618">
        <f t="shared" si="11"/>
        <v>0</v>
      </c>
      <c r="H246" s="716" t="str">
        <f t="shared" si="12"/>
        <v/>
      </c>
    </row>
    <row r="247" spans="1:8" ht="13.5" customHeight="1">
      <c r="A247" s="704"/>
      <c r="C247" s="706">
        <v>10501222</v>
      </c>
      <c r="D247" s="707" t="s">
        <v>674</v>
      </c>
      <c r="E247" s="708"/>
      <c r="F247" s="709"/>
      <c r="G247" s="618">
        <f t="shared" si="11"/>
        <v>0</v>
      </c>
      <c r="H247" s="716" t="str">
        <f t="shared" si="12"/>
        <v/>
      </c>
    </row>
    <row r="248" spans="1:8" ht="13.5" customHeight="1">
      <c r="A248" s="704"/>
      <c r="C248" s="706">
        <v>10501223</v>
      </c>
      <c r="D248" s="707" t="s">
        <v>675</v>
      </c>
      <c r="E248" s="708"/>
      <c r="F248" s="709"/>
      <c r="G248" s="618">
        <f t="shared" si="11"/>
        <v>0</v>
      </c>
      <c r="H248" s="716" t="str">
        <f t="shared" si="12"/>
        <v/>
      </c>
    </row>
    <row r="249" spans="1:8" ht="13.5" customHeight="1">
      <c r="A249" s="704"/>
      <c r="C249" s="706">
        <v>10501224</v>
      </c>
      <c r="D249" s="707" t="s">
        <v>676</v>
      </c>
      <c r="E249" s="708"/>
      <c r="F249" s="709"/>
      <c r="G249" s="618">
        <f t="shared" si="11"/>
        <v>0</v>
      </c>
      <c r="H249" s="716" t="str">
        <f t="shared" si="12"/>
        <v/>
      </c>
    </row>
    <row r="250" spans="1:8" ht="13.5" customHeight="1">
      <c r="A250" s="704"/>
      <c r="C250" s="706">
        <v>10501225</v>
      </c>
      <c r="D250" s="707" t="s">
        <v>677</v>
      </c>
      <c r="E250" s="708"/>
      <c r="F250" s="709"/>
      <c r="G250" s="618">
        <f t="shared" si="11"/>
        <v>0</v>
      </c>
      <c r="H250" s="716" t="str">
        <f t="shared" si="12"/>
        <v/>
      </c>
    </row>
    <row r="251" spans="1:8" ht="13.5" customHeight="1">
      <c r="A251" s="704"/>
      <c r="B251" s="705"/>
      <c r="C251" s="711"/>
      <c r="D251" s="712"/>
      <c r="E251" s="713"/>
      <c r="F251" s="626"/>
      <c r="G251" s="714">
        <f t="shared" si="11"/>
        <v>0</v>
      </c>
      <c r="H251" s="715" t="str">
        <f>IF(H$26="012事務所建物",ROUND(H52+H52/(H$5-H$6)*H$6+H52/(H$5-H$6)*H$15,-3),"")</f>
        <v/>
      </c>
    </row>
    <row r="252" spans="1:8" ht="13.5" customHeight="1">
      <c r="A252" s="704"/>
      <c r="C252" s="706">
        <v>10501301</v>
      </c>
      <c r="D252" s="707" t="s">
        <v>678</v>
      </c>
      <c r="E252" s="708"/>
      <c r="F252" s="709"/>
      <c r="G252" s="618">
        <f t="shared" si="11"/>
        <v>0</v>
      </c>
      <c r="H252" s="716" t="str">
        <f>IF(H$26="013社宅及び寮建物",ROUND((H27+H27/(H$5-H$6)*H$6+H27/(H$5-H$6)*H$15)*$D$4,-3),"")</f>
        <v/>
      </c>
    </row>
    <row r="253" spans="1:8" ht="13.5" customHeight="1">
      <c r="A253" s="704"/>
      <c r="C253" s="706">
        <v>10501302</v>
      </c>
      <c r="D253" s="707" t="s">
        <v>679</v>
      </c>
      <c r="E253" s="708"/>
      <c r="F253" s="709"/>
      <c r="G253" s="618">
        <f t="shared" si="11"/>
        <v>0</v>
      </c>
      <c r="H253" s="716" t="str">
        <f t="shared" ref="H253:H276" si="13">IF(H$26="013社宅及び寮建物",ROUND((H28+H28/(H$5-H$6)*H$6+H28/(H$5-H$6)*H$15)*$D$4,-3),"")</f>
        <v/>
      </c>
    </row>
    <row r="254" spans="1:8" ht="13.5" customHeight="1">
      <c r="A254" s="704"/>
      <c r="C254" s="706">
        <v>10501303</v>
      </c>
      <c r="D254" s="707" t="s">
        <v>680</v>
      </c>
      <c r="E254" s="708"/>
      <c r="F254" s="709"/>
      <c r="G254" s="618">
        <f t="shared" si="11"/>
        <v>0</v>
      </c>
      <c r="H254" s="716" t="str">
        <f t="shared" si="13"/>
        <v/>
      </c>
    </row>
    <row r="255" spans="1:8" ht="13.5" customHeight="1">
      <c r="A255" s="704"/>
      <c r="C255" s="706">
        <v>10501304</v>
      </c>
      <c r="D255" s="707" t="s">
        <v>681</v>
      </c>
      <c r="E255" s="708"/>
      <c r="F255" s="709"/>
      <c r="G255" s="618">
        <f t="shared" si="11"/>
        <v>0</v>
      </c>
      <c r="H255" s="716" t="str">
        <f t="shared" si="13"/>
        <v/>
      </c>
    </row>
    <row r="256" spans="1:8" ht="13.5" customHeight="1">
      <c r="A256" s="704"/>
      <c r="C256" s="706">
        <v>10501305</v>
      </c>
      <c r="D256" s="707" t="s">
        <v>682</v>
      </c>
      <c r="E256" s="708"/>
      <c r="F256" s="709"/>
      <c r="G256" s="618">
        <f t="shared" si="11"/>
        <v>0</v>
      </c>
      <c r="H256" s="716" t="str">
        <f t="shared" si="13"/>
        <v/>
      </c>
    </row>
    <row r="257" spans="1:8" ht="13.5" customHeight="1">
      <c r="A257" s="704"/>
      <c r="C257" s="706">
        <v>10501306</v>
      </c>
      <c r="D257" s="707" t="s">
        <v>683</v>
      </c>
      <c r="E257" s="708"/>
      <c r="F257" s="709"/>
      <c r="G257" s="618">
        <f t="shared" si="11"/>
        <v>0</v>
      </c>
      <c r="H257" s="716" t="str">
        <f t="shared" si="13"/>
        <v/>
      </c>
    </row>
    <row r="258" spans="1:8" ht="13.5" customHeight="1">
      <c r="A258" s="704"/>
      <c r="C258" s="706">
        <v>10501307</v>
      </c>
      <c r="D258" s="707" t="s">
        <v>684</v>
      </c>
      <c r="E258" s="708"/>
      <c r="F258" s="709"/>
      <c r="G258" s="618">
        <f t="shared" si="11"/>
        <v>0</v>
      </c>
      <c r="H258" s="716" t="str">
        <f t="shared" si="13"/>
        <v/>
      </c>
    </row>
    <row r="259" spans="1:8" ht="13.5" customHeight="1">
      <c r="A259" s="704"/>
      <c r="C259" s="706">
        <v>10501308</v>
      </c>
      <c r="D259" s="707" t="s">
        <v>685</v>
      </c>
      <c r="E259" s="708"/>
      <c r="F259" s="709"/>
      <c r="G259" s="618">
        <f t="shared" si="11"/>
        <v>0</v>
      </c>
      <c r="H259" s="716" t="str">
        <f t="shared" si="13"/>
        <v/>
      </c>
    </row>
    <row r="260" spans="1:8" ht="13.5" customHeight="1">
      <c r="A260" s="704"/>
      <c r="C260" s="706">
        <v>10501309</v>
      </c>
      <c r="D260" s="707" t="s">
        <v>686</v>
      </c>
      <c r="E260" s="708"/>
      <c r="F260" s="709"/>
      <c r="G260" s="618">
        <f t="shared" si="11"/>
        <v>0</v>
      </c>
      <c r="H260" s="716" t="str">
        <f t="shared" si="13"/>
        <v/>
      </c>
    </row>
    <row r="261" spans="1:8" ht="13.5" customHeight="1">
      <c r="A261" s="704"/>
      <c r="C261" s="706">
        <v>10501310</v>
      </c>
      <c r="D261" s="707" t="s">
        <v>687</v>
      </c>
      <c r="E261" s="708"/>
      <c r="F261" s="709"/>
      <c r="G261" s="618">
        <f t="shared" si="11"/>
        <v>0</v>
      </c>
      <c r="H261" s="716" t="str">
        <f t="shared" si="13"/>
        <v/>
      </c>
    </row>
    <row r="262" spans="1:8" ht="13.5" customHeight="1">
      <c r="A262" s="704"/>
      <c r="C262" s="706">
        <v>10501311</v>
      </c>
      <c r="D262" s="707" t="s">
        <v>688</v>
      </c>
      <c r="E262" s="708"/>
      <c r="F262" s="709"/>
      <c r="G262" s="618">
        <f t="shared" si="11"/>
        <v>0</v>
      </c>
      <c r="H262" s="716" t="str">
        <f t="shared" si="13"/>
        <v/>
      </c>
    </row>
    <row r="263" spans="1:8" ht="13.5" customHeight="1">
      <c r="A263" s="704"/>
      <c r="C263" s="706">
        <v>10501312</v>
      </c>
      <c r="D263" s="707" t="s">
        <v>689</v>
      </c>
      <c r="E263" s="708"/>
      <c r="F263" s="709"/>
      <c r="G263" s="618">
        <f t="shared" si="11"/>
        <v>0</v>
      </c>
      <c r="H263" s="716" t="str">
        <f t="shared" si="13"/>
        <v/>
      </c>
    </row>
    <row r="264" spans="1:8" ht="13.5" customHeight="1">
      <c r="A264" s="704"/>
      <c r="C264" s="706">
        <v>10501313</v>
      </c>
      <c r="D264" s="707" t="s">
        <v>690</v>
      </c>
      <c r="E264" s="708"/>
      <c r="F264" s="709"/>
      <c r="G264" s="618">
        <f t="shared" si="11"/>
        <v>0</v>
      </c>
      <c r="H264" s="716" t="str">
        <f t="shared" si="13"/>
        <v/>
      </c>
    </row>
    <row r="265" spans="1:8" ht="13.5" customHeight="1">
      <c r="A265" s="704"/>
      <c r="C265" s="706">
        <v>10501314</v>
      </c>
      <c r="D265" s="707" t="s">
        <v>691</v>
      </c>
      <c r="E265" s="708"/>
      <c r="F265" s="709"/>
      <c r="G265" s="618">
        <f t="shared" si="11"/>
        <v>0</v>
      </c>
      <c r="H265" s="716" t="str">
        <f t="shared" si="13"/>
        <v/>
      </c>
    </row>
    <row r="266" spans="1:8" ht="13.5" customHeight="1">
      <c r="A266" s="704"/>
      <c r="C266" s="706">
        <v>10501315</v>
      </c>
      <c r="D266" s="707" t="s">
        <v>692</v>
      </c>
      <c r="E266" s="708"/>
      <c r="F266" s="709"/>
      <c r="G266" s="618">
        <f t="shared" si="11"/>
        <v>0</v>
      </c>
      <c r="H266" s="716" t="str">
        <f t="shared" si="13"/>
        <v/>
      </c>
    </row>
    <row r="267" spans="1:8" ht="13.5" customHeight="1">
      <c r="A267" s="704"/>
      <c r="C267" s="706">
        <v>10501316</v>
      </c>
      <c r="D267" s="707" t="s">
        <v>693</v>
      </c>
      <c r="E267" s="708"/>
      <c r="F267" s="709"/>
      <c r="G267" s="618">
        <f t="shared" si="11"/>
        <v>0</v>
      </c>
      <c r="H267" s="716" t="str">
        <f t="shared" si="13"/>
        <v/>
      </c>
    </row>
    <row r="268" spans="1:8" ht="13.5" customHeight="1">
      <c r="A268" s="704"/>
      <c r="C268" s="706">
        <v>10501317</v>
      </c>
      <c r="D268" s="707" t="s">
        <v>694</v>
      </c>
      <c r="E268" s="708"/>
      <c r="F268" s="709"/>
      <c r="G268" s="618">
        <f t="shared" si="11"/>
        <v>0</v>
      </c>
      <c r="H268" s="716" t="str">
        <f t="shared" si="13"/>
        <v/>
      </c>
    </row>
    <row r="269" spans="1:8" ht="13.5" customHeight="1">
      <c r="A269" s="704"/>
      <c r="C269" s="706">
        <v>10501318</v>
      </c>
      <c r="D269" s="707" t="s">
        <v>695</v>
      </c>
      <c r="E269" s="708"/>
      <c r="F269" s="709"/>
      <c r="G269" s="618">
        <f t="shared" si="11"/>
        <v>0</v>
      </c>
      <c r="H269" s="716" t="str">
        <f t="shared" si="13"/>
        <v/>
      </c>
    </row>
    <row r="270" spans="1:8" ht="13.5" customHeight="1">
      <c r="A270" s="704"/>
      <c r="C270" s="706">
        <v>10501319</v>
      </c>
      <c r="D270" s="707" t="s">
        <v>696</v>
      </c>
      <c r="E270" s="708"/>
      <c r="F270" s="709"/>
      <c r="G270" s="618">
        <f t="shared" si="11"/>
        <v>0</v>
      </c>
      <c r="H270" s="716" t="str">
        <f t="shared" si="13"/>
        <v/>
      </c>
    </row>
    <row r="271" spans="1:8" ht="13.5" customHeight="1">
      <c r="A271" s="704"/>
      <c r="C271" s="706">
        <v>10501320</v>
      </c>
      <c r="D271" s="707" t="s">
        <v>697</v>
      </c>
      <c r="E271" s="708"/>
      <c r="F271" s="709"/>
      <c r="G271" s="618">
        <f t="shared" si="11"/>
        <v>0</v>
      </c>
      <c r="H271" s="716" t="str">
        <f t="shared" si="13"/>
        <v/>
      </c>
    </row>
    <row r="272" spans="1:8" ht="13.5" customHeight="1">
      <c r="A272" s="704"/>
      <c r="C272" s="706">
        <v>10501321</v>
      </c>
      <c r="D272" s="707" t="s">
        <v>698</v>
      </c>
      <c r="E272" s="708"/>
      <c r="F272" s="709"/>
      <c r="G272" s="618">
        <f t="shared" si="11"/>
        <v>0</v>
      </c>
      <c r="H272" s="716" t="str">
        <f t="shared" si="13"/>
        <v/>
      </c>
    </row>
    <row r="273" spans="1:9" ht="13.5" customHeight="1">
      <c r="A273" s="704"/>
      <c r="C273" s="706">
        <v>10501322</v>
      </c>
      <c r="D273" s="707" t="s">
        <v>699</v>
      </c>
      <c r="E273" s="708"/>
      <c r="F273" s="709"/>
      <c r="G273" s="618">
        <f t="shared" si="11"/>
        <v>0</v>
      </c>
      <c r="H273" s="716" t="str">
        <f t="shared" si="13"/>
        <v/>
      </c>
    </row>
    <row r="274" spans="1:9" ht="13.5" customHeight="1">
      <c r="A274" s="704"/>
      <c r="C274" s="706">
        <v>10501323</v>
      </c>
      <c r="D274" s="707" t="s">
        <v>700</v>
      </c>
      <c r="E274" s="708"/>
      <c r="F274" s="709"/>
      <c r="G274" s="618">
        <f t="shared" si="11"/>
        <v>0</v>
      </c>
      <c r="H274" s="716" t="str">
        <f t="shared" si="13"/>
        <v/>
      </c>
    </row>
    <row r="275" spans="1:9" ht="13.5" customHeight="1">
      <c r="A275" s="704"/>
      <c r="C275" s="706">
        <v>10501324</v>
      </c>
      <c r="D275" s="707" t="s">
        <v>701</v>
      </c>
      <c r="E275" s="708"/>
      <c r="F275" s="709"/>
      <c r="G275" s="618">
        <f t="shared" si="11"/>
        <v>0</v>
      </c>
      <c r="H275" s="716" t="str">
        <f t="shared" si="13"/>
        <v/>
      </c>
    </row>
    <row r="276" spans="1:9" ht="13.5" customHeight="1">
      <c r="A276" s="704"/>
      <c r="C276" s="706">
        <v>10501325</v>
      </c>
      <c r="D276" s="707" t="s">
        <v>702</v>
      </c>
      <c r="E276" s="708"/>
      <c r="F276" s="709"/>
      <c r="G276" s="618">
        <f t="shared" si="11"/>
        <v>0</v>
      </c>
      <c r="H276" s="716" t="str">
        <f t="shared" si="13"/>
        <v/>
      </c>
    </row>
    <row r="277" spans="1:9" ht="13.5" customHeight="1">
      <c r="A277" s="704"/>
      <c r="B277" s="705"/>
      <c r="C277" s="711"/>
      <c r="D277" s="712"/>
      <c r="E277" s="713"/>
      <c r="F277" s="626"/>
      <c r="G277" s="714">
        <f t="shared" si="11"/>
        <v>0</v>
      </c>
      <c r="H277" s="717" t="str">
        <f>IF(H$26="013社宅及び寮建物",ROUND(H52+H52/(H$5-H$6)*H$6+H52/(H$5-H$6)*H$15,-3),"")</f>
        <v/>
      </c>
    </row>
    <row r="278" spans="1:9" s="723" customFormat="1" ht="13.5" customHeight="1">
      <c r="A278" s="718"/>
      <c r="B278" s="719"/>
      <c r="C278" s="719"/>
      <c r="D278" s="719"/>
      <c r="E278" s="719"/>
      <c r="F278" s="720" t="s">
        <v>2502</v>
      </c>
      <c r="G278" s="721" t="e">
        <f t="shared" ca="1" si="11"/>
        <v>#REF!</v>
      </c>
      <c r="H278" s="722" t="e">
        <f ca="1">IF(H4="費用",0,SUM(H96:H277))</f>
        <v>#REF!</v>
      </c>
      <c r="I278" s="532"/>
    </row>
    <row r="279" spans="1:9" s="532" customFormat="1" ht="13.5" customHeight="1">
      <c r="A279" s="704"/>
      <c r="B279" s="533"/>
      <c r="C279" s="700">
        <v>11002401</v>
      </c>
      <c r="D279" s="707" t="s">
        <v>703</v>
      </c>
      <c r="E279" s="708"/>
      <c r="F279" s="709"/>
      <c r="G279" s="622">
        <f t="shared" si="11"/>
        <v>0</v>
      </c>
      <c r="H279" s="623" t="str">
        <f>IF(H57="","",ROUND((H57+H57/(H$5-H$6)*H$6+H57/(H$5-H$6)*H$15)*$D$4,-3))</f>
        <v/>
      </c>
    </row>
    <row r="280" spans="1:9" s="532" customFormat="1" ht="13.5" customHeight="1">
      <c r="A280" s="704"/>
      <c r="B280" s="533"/>
      <c r="C280" s="700">
        <v>11002402</v>
      </c>
      <c r="D280" s="707" t="s">
        <v>704</v>
      </c>
      <c r="E280" s="708"/>
      <c r="F280" s="709"/>
      <c r="G280" s="622">
        <f t="shared" si="11"/>
        <v>0</v>
      </c>
      <c r="H280" s="774" t="str">
        <f>IF(H58="","",ROUND((H58+H58/(H$5-H$6)*H$6+H58/(H$5-H$6)*H$15)*$D$4,-3))</f>
        <v/>
      </c>
    </row>
    <row r="281" spans="1:9" s="532" customFormat="1" ht="13.5" customHeight="1">
      <c r="A281" s="704"/>
      <c r="B281" s="724"/>
      <c r="C281" s="706">
        <v>11004901</v>
      </c>
      <c r="D281" s="707" t="s">
        <v>705</v>
      </c>
      <c r="E281" s="708"/>
      <c r="F281" s="709"/>
      <c r="G281" s="618">
        <f t="shared" si="11"/>
        <v>0</v>
      </c>
      <c r="H281" s="716" t="str">
        <f>IF(H62="","",ROUND((H62+H62/(H$5-H$6)*H$6+H62/(H$5-H$6)*H$15)*$D$4,-3))</f>
        <v/>
      </c>
    </row>
    <row r="282" spans="1:9" s="532" customFormat="1" ht="13.5" customHeight="1">
      <c r="A282" s="704"/>
      <c r="B282" s="724"/>
      <c r="C282" s="706">
        <v>11004902</v>
      </c>
      <c r="D282" s="707" t="s">
        <v>706</v>
      </c>
      <c r="E282" s="708"/>
      <c r="F282" s="709"/>
      <c r="G282" s="618">
        <f t="shared" si="11"/>
        <v>0</v>
      </c>
      <c r="H282" s="716" t="str">
        <f t="shared" ref="H282:H291" si="14">IF(H63="","",ROUND((H63+H63/(H$5-H$6)*H$6+H63/(H$5-H$6)*H$15)*$D$4,-3))</f>
        <v/>
      </c>
    </row>
    <row r="283" spans="1:9" s="532" customFormat="1" ht="13.5" customHeight="1">
      <c r="A283" s="704"/>
      <c r="B283" s="724"/>
      <c r="C283" s="706">
        <v>11004903</v>
      </c>
      <c r="D283" s="707" t="s">
        <v>707</v>
      </c>
      <c r="E283" s="708"/>
      <c r="F283" s="709"/>
      <c r="G283" s="618">
        <f t="shared" si="11"/>
        <v>0</v>
      </c>
      <c r="H283" s="716" t="str">
        <f t="shared" si="14"/>
        <v/>
      </c>
    </row>
    <row r="284" spans="1:9" s="532" customFormat="1" ht="13.5" customHeight="1">
      <c r="A284" s="704"/>
      <c r="B284" s="724"/>
      <c r="C284" s="706">
        <v>11004904</v>
      </c>
      <c r="D284" s="707" t="s">
        <v>708</v>
      </c>
      <c r="E284" s="708"/>
      <c r="F284" s="709"/>
      <c r="G284" s="618">
        <f t="shared" si="11"/>
        <v>0</v>
      </c>
      <c r="H284" s="716" t="str">
        <f t="shared" si="14"/>
        <v/>
      </c>
    </row>
    <row r="285" spans="1:9" s="532" customFormat="1" ht="13.5" customHeight="1">
      <c r="A285" s="704"/>
      <c r="B285" s="724"/>
      <c r="C285" s="706">
        <v>11004905</v>
      </c>
      <c r="D285" s="707" t="s">
        <v>709</v>
      </c>
      <c r="E285" s="708"/>
      <c r="F285" s="709"/>
      <c r="G285" s="618">
        <f t="shared" si="11"/>
        <v>0</v>
      </c>
      <c r="H285" s="716" t="str">
        <f t="shared" si="14"/>
        <v/>
      </c>
    </row>
    <row r="286" spans="1:9" s="532" customFormat="1" ht="13.5" customHeight="1">
      <c r="A286" s="704"/>
      <c r="B286" s="724"/>
      <c r="C286" s="706">
        <v>11004906</v>
      </c>
      <c r="D286" s="707" t="s">
        <v>710</v>
      </c>
      <c r="E286" s="708"/>
      <c r="F286" s="709"/>
      <c r="G286" s="618">
        <f t="shared" si="11"/>
        <v>0</v>
      </c>
      <c r="H286" s="716" t="str">
        <f t="shared" si="14"/>
        <v/>
      </c>
    </row>
    <row r="287" spans="1:9" s="532" customFormat="1" ht="13.5" customHeight="1">
      <c r="A287" s="704"/>
      <c r="B287" s="724"/>
      <c r="C287" s="706">
        <v>11004907</v>
      </c>
      <c r="D287" s="707" t="s">
        <v>711</v>
      </c>
      <c r="E287" s="708"/>
      <c r="F287" s="709"/>
      <c r="G287" s="618">
        <f t="shared" si="11"/>
        <v>0</v>
      </c>
      <c r="H287" s="716" t="str">
        <f t="shared" si="14"/>
        <v/>
      </c>
    </row>
    <row r="288" spans="1:9" s="532" customFormat="1" ht="13.5" customHeight="1">
      <c r="A288" s="704"/>
      <c r="B288" s="724"/>
      <c r="C288" s="706">
        <v>11004908</v>
      </c>
      <c r="D288" s="707" t="s">
        <v>712</v>
      </c>
      <c r="E288" s="708"/>
      <c r="F288" s="709"/>
      <c r="G288" s="618">
        <f t="shared" ref="G288:G313" si="15">SUM(H288:I288)</f>
        <v>0</v>
      </c>
      <c r="H288" s="716" t="str">
        <f t="shared" si="14"/>
        <v/>
      </c>
    </row>
    <row r="289" spans="1:8" s="532" customFormat="1" ht="13.5" customHeight="1">
      <c r="A289" s="704"/>
      <c r="B289" s="724"/>
      <c r="C289" s="706">
        <v>11004909</v>
      </c>
      <c r="D289" s="707" t="s">
        <v>713</v>
      </c>
      <c r="E289" s="708"/>
      <c r="F289" s="709"/>
      <c r="G289" s="618">
        <f t="shared" si="15"/>
        <v>0</v>
      </c>
      <c r="H289" s="716" t="str">
        <f t="shared" si="14"/>
        <v/>
      </c>
    </row>
    <row r="290" spans="1:8" s="532" customFormat="1" ht="13.5" customHeight="1">
      <c r="A290" s="704"/>
      <c r="B290" s="724"/>
      <c r="C290" s="706">
        <v>11004910</v>
      </c>
      <c r="D290" s="707" t="s">
        <v>714</v>
      </c>
      <c r="E290" s="708"/>
      <c r="F290" s="709"/>
      <c r="G290" s="618">
        <f t="shared" si="15"/>
        <v>0</v>
      </c>
      <c r="H290" s="716" t="str">
        <f t="shared" si="14"/>
        <v/>
      </c>
    </row>
    <row r="291" spans="1:8" s="532" customFormat="1" ht="13.5" customHeight="1">
      <c r="A291" s="704"/>
      <c r="B291" s="724"/>
      <c r="C291" s="706">
        <v>11004911</v>
      </c>
      <c r="D291" s="707" t="s">
        <v>715</v>
      </c>
      <c r="E291" s="708"/>
      <c r="F291" s="709"/>
      <c r="G291" s="618">
        <f t="shared" si="15"/>
        <v>0</v>
      </c>
      <c r="H291" s="773" t="str">
        <f t="shared" si="14"/>
        <v/>
      </c>
    </row>
    <row r="292" spans="1:8" s="532" customFormat="1" ht="13.5" customHeight="1">
      <c r="A292" s="704"/>
      <c r="B292" s="724"/>
      <c r="C292" s="706">
        <v>11005001</v>
      </c>
      <c r="D292" s="707" t="s">
        <v>716</v>
      </c>
      <c r="E292" s="708"/>
      <c r="F292" s="709"/>
      <c r="G292" s="618">
        <f t="shared" si="15"/>
        <v>0</v>
      </c>
      <c r="H292" s="716" t="str">
        <f>IF(H$60="050変電所構築物",ROUND((H62+H62/(H$5-H$6)*H$6+H62/(H$5-H$6)*H$15)*$D$4,-3),"")</f>
        <v/>
      </c>
    </row>
    <row r="293" spans="1:8" s="532" customFormat="1" ht="13.5" customHeight="1">
      <c r="A293" s="704"/>
      <c r="B293" s="724"/>
      <c r="C293" s="706">
        <v>11005002</v>
      </c>
      <c r="D293" s="707" t="s">
        <v>717</v>
      </c>
      <c r="E293" s="708"/>
      <c r="F293" s="709"/>
      <c r="G293" s="618">
        <f t="shared" si="15"/>
        <v>0</v>
      </c>
      <c r="H293" s="716" t="str">
        <f t="shared" ref="H293:H302" si="16">IF(H$60="050変電所構築物",ROUND((H63+H63/(H$5-H$6)*H$6+H63/(H$5-H$6)*H$15)*$D$4,-3),"")</f>
        <v/>
      </c>
    </row>
    <row r="294" spans="1:8" s="532" customFormat="1" ht="13.5" customHeight="1">
      <c r="A294" s="704"/>
      <c r="B294" s="724"/>
      <c r="C294" s="706">
        <v>11005003</v>
      </c>
      <c r="D294" s="707" t="s">
        <v>718</v>
      </c>
      <c r="E294" s="708"/>
      <c r="F294" s="709"/>
      <c r="G294" s="618">
        <f t="shared" si="15"/>
        <v>0</v>
      </c>
      <c r="H294" s="716" t="str">
        <f t="shared" si="16"/>
        <v/>
      </c>
    </row>
    <row r="295" spans="1:8" s="532" customFormat="1" ht="13.5" customHeight="1">
      <c r="A295" s="704"/>
      <c r="B295" s="724"/>
      <c r="C295" s="706">
        <v>11005004</v>
      </c>
      <c r="D295" s="707" t="s">
        <v>719</v>
      </c>
      <c r="E295" s="708"/>
      <c r="F295" s="709"/>
      <c r="G295" s="618">
        <f t="shared" si="15"/>
        <v>0</v>
      </c>
      <c r="H295" s="716" t="str">
        <f t="shared" si="16"/>
        <v/>
      </c>
    </row>
    <row r="296" spans="1:8" s="532" customFormat="1" ht="13.5" customHeight="1">
      <c r="A296" s="704"/>
      <c r="B296" s="724"/>
      <c r="C296" s="706">
        <v>11005005</v>
      </c>
      <c r="D296" s="707" t="s">
        <v>720</v>
      </c>
      <c r="E296" s="708"/>
      <c r="F296" s="709"/>
      <c r="G296" s="618">
        <f t="shared" si="15"/>
        <v>0</v>
      </c>
      <c r="H296" s="716" t="str">
        <f t="shared" si="16"/>
        <v/>
      </c>
    </row>
    <row r="297" spans="1:8" s="532" customFormat="1" ht="13.5" customHeight="1">
      <c r="A297" s="704"/>
      <c r="B297" s="724"/>
      <c r="C297" s="706">
        <v>11005006</v>
      </c>
      <c r="D297" s="707" t="s">
        <v>721</v>
      </c>
      <c r="E297" s="708"/>
      <c r="F297" s="709"/>
      <c r="G297" s="618">
        <f t="shared" si="15"/>
        <v>0</v>
      </c>
      <c r="H297" s="716" t="str">
        <f t="shared" si="16"/>
        <v/>
      </c>
    </row>
    <row r="298" spans="1:8" s="532" customFormat="1" ht="13.5" customHeight="1">
      <c r="A298" s="704"/>
      <c r="B298" s="724"/>
      <c r="C298" s="706">
        <v>11005007</v>
      </c>
      <c r="D298" s="707" t="s">
        <v>722</v>
      </c>
      <c r="E298" s="708"/>
      <c r="F298" s="709"/>
      <c r="G298" s="618">
        <f t="shared" si="15"/>
        <v>0</v>
      </c>
      <c r="H298" s="716" t="str">
        <f t="shared" si="16"/>
        <v/>
      </c>
    </row>
    <row r="299" spans="1:8" s="532" customFormat="1" ht="13.5" customHeight="1">
      <c r="A299" s="704"/>
      <c r="B299" s="724"/>
      <c r="C299" s="706">
        <v>11005008</v>
      </c>
      <c r="D299" s="707" t="s">
        <v>723</v>
      </c>
      <c r="E299" s="708"/>
      <c r="F299" s="709"/>
      <c r="G299" s="618">
        <f t="shared" si="15"/>
        <v>0</v>
      </c>
      <c r="H299" s="716" t="str">
        <f t="shared" si="16"/>
        <v/>
      </c>
    </row>
    <row r="300" spans="1:8" s="532" customFormat="1" ht="13.5" customHeight="1">
      <c r="A300" s="704"/>
      <c r="B300" s="724"/>
      <c r="C300" s="706">
        <v>11005009</v>
      </c>
      <c r="D300" s="707" t="s">
        <v>724</v>
      </c>
      <c r="E300" s="708"/>
      <c r="F300" s="709"/>
      <c r="G300" s="618">
        <f t="shared" si="15"/>
        <v>0</v>
      </c>
      <c r="H300" s="716" t="str">
        <f t="shared" si="16"/>
        <v/>
      </c>
    </row>
    <row r="301" spans="1:8" s="532" customFormat="1" ht="13.5" customHeight="1">
      <c r="A301" s="704"/>
      <c r="B301" s="724"/>
      <c r="C301" s="706">
        <v>11005010</v>
      </c>
      <c r="D301" s="707" t="s">
        <v>725</v>
      </c>
      <c r="E301" s="708"/>
      <c r="F301" s="709"/>
      <c r="G301" s="618">
        <f t="shared" si="15"/>
        <v>0</v>
      </c>
      <c r="H301" s="716" t="str">
        <f t="shared" si="16"/>
        <v/>
      </c>
    </row>
    <row r="302" spans="1:8" s="532" customFormat="1" ht="13.5" customHeight="1">
      <c r="A302" s="704"/>
      <c r="B302" s="724"/>
      <c r="C302" s="706">
        <v>11005011</v>
      </c>
      <c r="D302" s="707" t="s">
        <v>726</v>
      </c>
      <c r="E302" s="708"/>
      <c r="F302" s="709"/>
      <c r="G302" s="618">
        <f t="shared" si="15"/>
        <v>0</v>
      </c>
      <c r="H302" s="716" t="str">
        <f t="shared" si="16"/>
        <v/>
      </c>
    </row>
    <row r="303" spans="1:8" s="532" customFormat="1" ht="13.5" customHeight="1">
      <c r="A303" s="704"/>
      <c r="B303" s="724"/>
      <c r="C303" s="706">
        <v>11099901</v>
      </c>
      <c r="D303" s="707" t="s">
        <v>727</v>
      </c>
      <c r="E303" s="708"/>
      <c r="F303" s="709"/>
      <c r="G303" s="618">
        <f t="shared" si="15"/>
        <v>0</v>
      </c>
      <c r="H303" s="716" t="str">
        <f>IF(H$60="999雑構築物",ROUND((H62+H62/(H$5-H$6)*H$6+H62/(H$5-H$6)*H$15)*$D$4,-3),"")</f>
        <v/>
      </c>
    </row>
    <row r="304" spans="1:8" s="532" customFormat="1" ht="13.5" customHeight="1">
      <c r="A304" s="704"/>
      <c r="B304" s="724"/>
      <c r="C304" s="706">
        <v>11099902</v>
      </c>
      <c r="D304" s="707" t="s">
        <v>728</v>
      </c>
      <c r="E304" s="708"/>
      <c r="F304" s="709"/>
      <c r="G304" s="618">
        <f t="shared" si="15"/>
        <v>0</v>
      </c>
      <c r="H304" s="716" t="str">
        <f t="shared" ref="H304:H313" si="17">IF(H$60="999雑構築物",ROUND((H63+H63/(H$5-H$6)*H$6+H63/(H$5-H$6)*H$15)*$D$4,-3),"")</f>
        <v/>
      </c>
    </row>
    <row r="305" spans="1:9" s="532" customFormat="1" ht="13.5" customHeight="1">
      <c r="A305" s="704"/>
      <c r="B305" s="724"/>
      <c r="C305" s="706">
        <v>11099903</v>
      </c>
      <c r="D305" s="707" t="s">
        <v>729</v>
      </c>
      <c r="E305" s="708"/>
      <c r="F305" s="709"/>
      <c r="G305" s="618">
        <f t="shared" si="15"/>
        <v>0</v>
      </c>
      <c r="H305" s="716" t="str">
        <f t="shared" si="17"/>
        <v/>
      </c>
    </row>
    <row r="306" spans="1:9" s="532" customFormat="1" ht="13.5" customHeight="1">
      <c r="A306" s="704"/>
      <c r="B306" s="724"/>
      <c r="C306" s="706">
        <v>11099904</v>
      </c>
      <c r="D306" s="707" t="s">
        <v>730</v>
      </c>
      <c r="E306" s="708"/>
      <c r="F306" s="709"/>
      <c r="G306" s="618">
        <f t="shared" si="15"/>
        <v>0</v>
      </c>
      <c r="H306" s="716" t="str">
        <f t="shared" si="17"/>
        <v/>
      </c>
    </row>
    <row r="307" spans="1:9" s="532" customFormat="1" ht="13.5" customHeight="1">
      <c r="A307" s="704"/>
      <c r="B307" s="724"/>
      <c r="C307" s="706">
        <v>11099905</v>
      </c>
      <c r="D307" s="707" t="s">
        <v>731</v>
      </c>
      <c r="E307" s="708"/>
      <c r="F307" s="709"/>
      <c r="G307" s="618">
        <f t="shared" si="15"/>
        <v>0</v>
      </c>
      <c r="H307" s="716" t="str">
        <f t="shared" si="17"/>
        <v/>
      </c>
    </row>
    <row r="308" spans="1:9" s="532" customFormat="1" ht="13.5" customHeight="1">
      <c r="A308" s="704"/>
      <c r="B308" s="724"/>
      <c r="C308" s="706">
        <v>11099906</v>
      </c>
      <c r="D308" s="707" t="s">
        <v>732</v>
      </c>
      <c r="E308" s="708"/>
      <c r="F308" s="709"/>
      <c r="G308" s="618">
        <f t="shared" si="15"/>
        <v>0</v>
      </c>
      <c r="H308" s="716" t="str">
        <f t="shared" si="17"/>
        <v/>
      </c>
    </row>
    <row r="309" spans="1:9" s="532" customFormat="1" ht="13.5" customHeight="1">
      <c r="A309" s="704"/>
      <c r="B309" s="724"/>
      <c r="C309" s="706">
        <v>11099907</v>
      </c>
      <c r="D309" s="707" t="s">
        <v>733</v>
      </c>
      <c r="E309" s="708"/>
      <c r="F309" s="709"/>
      <c r="G309" s="618">
        <f t="shared" si="15"/>
        <v>0</v>
      </c>
      <c r="H309" s="716" t="str">
        <f t="shared" si="17"/>
        <v/>
      </c>
    </row>
    <row r="310" spans="1:9" s="532" customFormat="1" ht="13.5" customHeight="1">
      <c r="A310" s="704"/>
      <c r="B310" s="724"/>
      <c r="C310" s="706">
        <v>11099908</v>
      </c>
      <c r="D310" s="707" t="s">
        <v>734</v>
      </c>
      <c r="E310" s="708"/>
      <c r="F310" s="709"/>
      <c r="G310" s="618">
        <f t="shared" si="15"/>
        <v>0</v>
      </c>
      <c r="H310" s="710" t="str">
        <f t="shared" si="17"/>
        <v/>
      </c>
    </row>
    <row r="311" spans="1:9" s="532" customFormat="1" ht="13.5" customHeight="1">
      <c r="A311" s="704"/>
      <c r="B311" s="724"/>
      <c r="C311" s="706">
        <v>11099909</v>
      </c>
      <c r="D311" s="707" t="s">
        <v>735</v>
      </c>
      <c r="E311" s="708"/>
      <c r="F311" s="709"/>
      <c r="G311" s="618">
        <f t="shared" si="15"/>
        <v>0</v>
      </c>
      <c r="H311" s="716" t="str">
        <f t="shared" si="17"/>
        <v/>
      </c>
    </row>
    <row r="312" spans="1:9" s="532" customFormat="1" ht="13.5" customHeight="1">
      <c r="A312" s="704"/>
      <c r="B312" s="724"/>
      <c r="C312" s="706">
        <v>11099910</v>
      </c>
      <c r="D312" s="707" t="s">
        <v>736</v>
      </c>
      <c r="E312" s="708"/>
      <c r="F312" s="709"/>
      <c r="G312" s="618">
        <f t="shared" si="15"/>
        <v>0</v>
      </c>
      <c r="H312" s="716" t="str">
        <f t="shared" si="17"/>
        <v/>
      </c>
    </row>
    <row r="313" spans="1:9" s="532" customFormat="1" ht="13.5" customHeight="1">
      <c r="A313" s="704"/>
      <c r="B313" s="724"/>
      <c r="C313" s="706">
        <v>11099911</v>
      </c>
      <c r="D313" s="707" t="s">
        <v>737</v>
      </c>
      <c r="E313" s="708"/>
      <c r="F313" s="709"/>
      <c r="G313" s="618">
        <f t="shared" si="15"/>
        <v>0</v>
      </c>
      <c r="H313" s="716" t="str">
        <f t="shared" si="17"/>
        <v/>
      </c>
    </row>
    <row r="314" spans="1:9" s="723" customFormat="1" ht="13.5" customHeight="1">
      <c r="A314" s="718"/>
      <c r="B314" s="719"/>
      <c r="C314" s="719"/>
      <c r="D314" s="719"/>
      <c r="E314" s="719"/>
      <c r="F314" s="720" t="s">
        <v>2503</v>
      </c>
      <c r="G314" s="721">
        <f t="shared" ref="G314:G328" si="18">SUM(H314:I314)</f>
        <v>0</v>
      </c>
      <c r="H314" s="725">
        <f>IF(H4="費用",0,SUM(H279:H313))</f>
        <v>0</v>
      </c>
      <c r="I314" s="532"/>
    </row>
    <row r="315" spans="1:9" ht="13.5" customHeight="1">
      <c r="A315" s="538"/>
      <c r="B315" s="608"/>
      <c r="C315" s="726">
        <v>12505958</v>
      </c>
      <c r="D315" s="727" t="str">
        <f>+F78</f>
        <v>看板・広告機器-(主として金属製)</v>
      </c>
      <c r="E315" s="727"/>
      <c r="F315" s="610"/>
      <c r="G315" s="613" t="e">
        <f t="shared" ca="1" si="18"/>
        <v>#REF!</v>
      </c>
      <c r="H315" s="710" t="e">
        <f ca="1">IF(H78="","",ROUND((H78+H78/(H$5-H$6)*H$6+H78/(H$5-H$6)*H$15)*$D$4,-3))</f>
        <v>#REF!</v>
      </c>
    </row>
    <row r="316" spans="1:9" ht="13.5" customHeight="1">
      <c r="A316" s="538"/>
      <c r="B316" s="608"/>
      <c r="C316" s="728">
        <v>12505959</v>
      </c>
      <c r="D316" s="729" t="str">
        <f>+F84</f>
        <v>看板・広告機器-その他のもの</v>
      </c>
      <c r="E316" s="729"/>
      <c r="F316" s="615"/>
      <c r="G316" s="618" t="e">
        <f t="shared" ca="1" si="18"/>
        <v>#REF!</v>
      </c>
      <c r="H316" s="710" t="e">
        <f ca="1">IF(H84="","",ROUND((H84+H84/(H$5-H$6)*H$6+H84/(H$5-H$6)*H$15)*$D$4,-3))</f>
        <v>#REF!</v>
      </c>
    </row>
    <row r="317" spans="1:9" ht="13.5" customHeight="1">
      <c r="A317" s="538"/>
      <c r="B317" s="608"/>
      <c r="C317" s="730">
        <v>12505988</v>
      </c>
      <c r="D317" s="729" t="s">
        <v>519</v>
      </c>
      <c r="E317" s="729"/>
      <c r="F317" s="615"/>
      <c r="G317" s="618" t="e">
        <f t="shared" ca="1" si="18"/>
        <v>#REF!</v>
      </c>
      <c r="H317" s="623" t="e">
        <f ca="1">IF(H87="","",ROUND((H87+H87/(H$5-H$6)*H$6+H87/(H$5-H$6)*H$15)*$D$4,-3))</f>
        <v>#REF!</v>
      </c>
    </row>
    <row r="318" spans="1:9" ht="13.5" customHeight="1">
      <c r="A318" s="538"/>
      <c r="B318" s="608"/>
      <c r="C318" s="730">
        <v>12505990</v>
      </c>
      <c r="D318" s="729" t="s">
        <v>521</v>
      </c>
      <c r="E318" s="729"/>
      <c r="F318" s="615"/>
      <c r="G318" s="618" t="e">
        <f t="shared" ca="1" si="18"/>
        <v>#REF!</v>
      </c>
      <c r="H318" s="623" t="e">
        <f ca="1">IF(H88="","",ROUND((H88+H88/(H$5-H$6)*H$6+H88/(H$5-H$6)*H$15)*$D$4,-3))</f>
        <v>#REF!</v>
      </c>
    </row>
    <row r="319" spans="1:9" ht="13.5" customHeight="1">
      <c r="A319" s="538"/>
      <c r="B319" s="608"/>
      <c r="C319" s="730">
        <v>12505991</v>
      </c>
      <c r="D319" s="729" t="s">
        <v>523</v>
      </c>
      <c r="E319" s="729"/>
      <c r="F319" s="615"/>
      <c r="G319" s="618" t="e">
        <f t="shared" ca="1" si="18"/>
        <v>#REF!</v>
      </c>
      <c r="H319" s="623" t="e">
        <f ca="1">IF(H89="","",ROUND((H89+H89/(H$5-H$6)*H$6+H89/(H$5-H$6)*H$15)*$D$4,-3))</f>
        <v>#REF!</v>
      </c>
    </row>
    <row r="320" spans="1:9" ht="13.5" customHeight="1">
      <c r="A320" s="538"/>
      <c r="B320" s="608"/>
      <c r="C320" s="711"/>
      <c r="D320" s="712"/>
      <c r="E320" s="713"/>
      <c r="F320" s="626"/>
      <c r="G320" s="714">
        <f t="shared" si="18"/>
        <v>0</v>
      </c>
      <c r="H320" s="717" t="str">
        <f>IF(H90="","",ROUND(H90+H90/(H$5-H$6)*H$6+H90/(H$5-H$6)*H$15,-3))</f>
        <v/>
      </c>
    </row>
    <row r="321" spans="1:9" s="723" customFormat="1" ht="13.5" customHeight="1" thickBot="1">
      <c r="A321" s="731"/>
      <c r="B321" s="732"/>
      <c r="C321" s="732"/>
      <c r="D321" s="732"/>
      <c r="E321" s="732"/>
      <c r="F321" s="733" t="s">
        <v>2504</v>
      </c>
      <c r="G321" s="734" t="e">
        <f t="shared" ca="1" si="18"/>
        <v>#REF!</v>
      </c>
      <c r="H321" s="735" t="e">
        <f ca="1">IF(H$4="費用",0,SUM(H315:H319))</f>
        <v>#REF!</v>
      </c>
      <c r="I321" s="532"/>
    </row>
    <row r="322" spans="1:9" ht="13.5" customHeight="1" thickTop="1">
      <c r="A322" s="538"/>
      <c r="B322" s="608"/>
      <c r="C322" s="729" t="s">
        <v>739</v>
      </c>
      <c r="D322" s="726" t="s">
        <v>2505</v>
      </c>
      <c r="E322" s="726"/>
      <c r="F322" s="736"/>
      <c r="G322" s="618" t="e">
        <f t="shared" ca="1" si="18"/>
        <v>#REF!</v>
      </c>
      <c r="H322" s="710" t="e">
        <f ca="1">IF(H10="","",ROUND((H10+H10/(H$5-H$6)*H$6+H10/(H$5-H$6)*H$15)*$D$4,-3))</f>
        <v>#REF!</v>
      </c>
    </row>
    <row r="323" spans="1:9" ht="13.5" customHeight="1">
      <c r="A323" s="538"/>
      <c r="B323" s="608"/>
      <c r="C323" s="729" t="s">
        <v>738</v>
      </c>
      <c r="D323" s="726" t="s">
        <v>2506</v>
      </c>
      <c r="E323" s="729"/>
      <c r="F323" s="620"/>
      <c r="G323" s="618" t="e">
        <f t="shared" ca="1" si="18"/>
        <v>#REF!</v>
      </c>
      <c r="H323" s="710" t="e">
        <f ca="1">IF(H4="費用",0,IF(H13="","",ROUND((H13+H13/(H$5-H$6)*H$6+H13/(H$5-H$6)*H$15)*$D$4,-3)))</f>
        <v>#REF!</v>
      </c>
    </row>
    <row r="324" spans="1:9" s="723" customFormat="1" ht="13.5" customHeight="1" thickBot="1">
      <c r="A324" s="737"/>
      <c r="B324" s="738"/>
      <c r="C324" s="738"/>
      <c r="D324" s="738"/>
      <c r="E324" s="738"/>
      <c r="F324" s="739" t="s">
        <v>740</v>
      </c>
      <c r="G324" s="740" t="e">
        <f t="shared" ca="1" si="18"/>
        <v>#REF!</v>
      </c>
      <c r="H324" s="826" t="e">
        <f ca="1">SUM(H322:H323)</f>
        <v>#REF!</v>
      </c>
      <c r="I324" s="532"/>
    </row>
    <row r="325" spans="1:9" ht="13.5" customHeight="1" thickTop="1">
      <c r="A325" s="538"/>
      <c r="B325" s="608"/>
      <c r="C325" s="729" t="s">
        <v>738</v>
      </c>
      <c r="D325" s="2599" t="s">
        <v>2507</v>
      </c>
      <c r="E325" s="2599"/>
      <c r="F325" s="2600"/>
      <c r="G325" s="618" t="e">
        <f t="shared" ca="1" si="18"/>
        <v>#REF!</v>
      </c>
      <c r="H325" s="710" t="e">
        <f ca="1">IF(H4="費用",0,IF(H12="","",ROUND((H14+H14/(H$5-H$6)*H$6+H14/(H$5-H$6)*H$15)*$D$4,-3)))</f>
        <v>#REF!</v>
      </c>
    </row>
    <row r="326" spans="1:9" ht="13.5" customHeight="1">
      <c r="A326" s="538"/>
      <c r="B326" s="608"/>
      <c r="C326" s="729" t="s">
        <v>738</v>
      </c>
      <c r="D326" s="729" t="s">
        <v>2508</v>
      </c>
      <c r="E326" s="729"/>
      <c r="F326" s="620"/>
      <c r="G326" s="618">
        <f t="shared" si="18"/>
        <v>0</v>
      </c>
      <c r="H326" s="623">
        <f>IF(H$4="費用",IF(H19&gt;0,ROUNDDOWN(H19*$D$4,-3),ROUNDUP(H19*$D$4,-3)),0)</f>
        <v>0</v>
      </c>
    </row>
    <row r="327" spans="1:9" s="723" customFormat="1" ht="13.5" customHeight="1" thickBot="1">
      <c r="A327" s="741"/>
      <c r="B327" s="742"/>
      <c r="C327" s="742"/>
      <c r="D327" s="742"/>
      <c r="E327" s="742"/>
      <c r="F327" s="743" t="str">
        <f>IF(H4="費用","費用計上　工事価格　計","費用計上（部分撤去工事を除く）　工事価格　計")</f>
        <v>費用計上（部分撤去工事を除く）　工事価格　計</v>
      </c>
      <c r="G327" s="744" t="e">
        <f t="shared" ca="1" si="18"/>
        <v>#REF!</v>
      </c>
      <c r="H327" s="745" t="e">
        <f ca="1">SUM(H325:H326)</f>
        <v>#REF!</v>
      </c>
      <c r="I327" s="532"/>
    </row>
    <row r="328" spans="1:9" ht="13.5" customHeight="1" thickTop="1">
      <c r="A328" s="746"/>
      <c r="B328" s="747"/>
      <c r="C328" s="747"/>
      <c r="D328" s="747"/>
      <c r="E328" s="747"/>
      <c r="F328" s="748" t="s">
        <v>741</v>
      </c>
      <c r="G328" s="749" t="e">
        <f t="shared" ca="1" si="18"/>
        <v>#REF!</v>
      </c>
      <c r="H328" s="750" t="e">
        <f ca="1">H278+H314+H321+H324+H327</f>
        <v>#REF!</v>
      </c>
    </row>
    <row r="329" spans="1:9" ht="13.5" customHeight="1">
      <c r="A329" s="751"/>
      <c r="B329" s="752"/>
      <c r="C329" s="752"/>
      <c r="D329" s="752"/>
      <c r="E329" s="752"/>
      <c r="F329" s="661"/>
      <c r="G329" s="753" t="e">
        <f ca="1">IF(G$23=G328,"","工事価格が一致ません。↑")</f>
        <v>#REF!</v>
      </c>
      <c r="H329" s="754" t="e">
        <f ca="1">IF(H$23=H328,"","↑error")</f>
        <v>#REF!</v>
      </c>
    </row>
  </sheetData>
  <sheetProtection selectLockedCells="1" selectUnlockedCells="1"/>
  <mergeCells count="10">
    <mergeCell ref="F94:H94"/>
    <mergeCell ref="D325:F325"/>
    <mergeCell ref="E76:E77"/>
    <mergeCell ref="B77:D77"/>
    <mergeCell ref="E9:E11"/>
    <mergeCell ref="E12:E14"/>
    <mergeCell ref="E25:E26"/>
    <mergeCell ref="B26:D26"/>
    <mergeCell ref="E54:E55"/>
    <mergeCell ref="B55:D55"/>
  </mergeCells>
  <phoneticPr fontId="2"/>
  <conditionalFormatting sqref="G76:G77 G24:G26 H24">
    <cfRule type="expression" dxfId="9" priority="17" stopIfTrue="1">
      <formula>AND($G$53&gt;5000000,OR($F$18="無し",$F$18="なし"))</formula>
    </cfRule>
  </conditionalFormatting>
  <conditionalFormatting sqref="G54">
    <cfRule type="expression" dxfId="8" priority="16" stopIfTrue="1">
      <formula>AND($G$53&gt;5000000,OR($F$18="無し",$F$18="なし"))</formula>
    </cfRule>
  </conditionalFormatting>
  <conditionalFormatting sqref="G55">
    <cfRule type="expression" dxfId="7" priority="15" stopIfTrue="1">
      <formula>AND($G$53&gt;5000000,OR($F$18="無し",$F$18="なし"))</formula>
    </cfRule>
  </conditionalFormatting>
  <conditionalFormatting sqref="G60">
    <cfRule type="expression" dxfId="6" priority="14" stopIfTrue="1">
      <formula>AND($G$53&gt;5000000,OR($F$18="無し",$F$18="なし"))</formula>
    </cfRule>
  </conditionalFormatting>
  <dataValidations count="8">
    <dataValidation type="list" allowBlank="1" showInputMessage="1" showErrorMessage="1" sqref="H4">
      <formula1>"資産,費用"</formula1>
    </dataValidation>
    <dataValidation type="list" allowBlank="1" showInputMessage="1" showErrorMessage="1" sqref="WUL980941:WUS980941 HZ16:IG16 RV16:SC16 ABR16:ABY16 ALN16:ALU16 AVJ16:AVQ16 BFF16:BFM16 BPB16:BPI16 BYX16:BZE16 CIT16:CJA16 CSP16:CSW16 DCL16:DCS16 DMH16:DMO16 DWD16:DWK16 EFZ16:EGG16 EPV16:EQC16 EZR16:EZY16 FJN16:FJU16 FTJ16:FTQ16 GDF16:GDM16 GNB16:GNI16 GWX16:GXE16 HGT16:HHA16 HQP16:HQW16 IAL16:IAS16 IKH16:IKO16 IUD16:IUK16 JDZ16:JEG16 JNV16:JOC16 JXR16:JXY16 KHN16:KHU16 KRJ16:KRQ16 LBF16:LBM16 LLB16:LLI16 LUX16:LVE16 MET16:MFA16 MOP16:MOW16 MYL16:MYS16 NIH16:NIO16 NSD16:NSK16 OBZ16:OCG16 OLV16:OMC16 OVR16:OVY16 PFN16:PFU16 PPJ16:PPQ16 PZF16:PZM16 QJB16:QJI16 QSX16:QTE16 RCT16:RDA16 RMP16:RMW16 RWL16:RWS16 SGH16:SGO16 SQD16:SQK16 SZZ16:TAG16 TJV16:TKC16 TTR16:TTY16 UDN16:UDU16 UNJ16:UNQ16 UXF16:UXM16 VHB16:VHI16 VQX16:VRE16 WAT16:WBA16 WKP16:WKW16 WUL16:WUS16 RCT980941:RDA980941 HZ63437:IG63437 RV63437:SC63437 ABR63437:ABY63437 ALN63437:ALU63437 AVJ63437:AVQ63437 BFF63437:BFM63437 BPB63437:BPI63437 BYX63437:BZE63437 CIT63437:CJA63437 CSP63437:CSW63437 DCL63437:DCS63437 DMH63437:DMO63437 DWD63437:DWK63437 EFZ63437:EGG63437 EPV63437:EQC63437 EZR63437:EZY63437 FJN63437:FJU63437 FTJ63437:FTQ63437 GDF63437:GDM63437 GNB63437:GNI63437 GWX63437:GXE63437 HGT63437:HHA63437 HQP63437:HQW63437 IAL63437:IAS63437 IKH63437:IKO63437 IUD63437:IUK63437 JDZ63437:JEG63437 JNV63437:JOC63437 JXR63437:JXY63437 KHN63437:KHU63437 KRJ63437:KRQ63437 LBF63437:LBM63437 LLB63437:LLI63437 LUX63437:LVE63437 MET63437:MFA63437 MOP63437:MOW63437 MYL63437:MYS63437 NIH63437:NIO63437 NSD63437:NSK63437 OBZ63437:OCG63437 OLV63437:OMC63437 OVR63437:OVY63437 PFN63437:PFU63437 PPJ63437:PPQ63437 PZF63437:PZM63437 QJB63437:QJI63437 QSX63437:QTE63437 RCT63437:RDA63437 RMP63437:RMW63437 RWL63437:RWS63437 SGH63437:SGO63437 SQD63437:SQK63437 SZZ63437:TAG63437 TJV63437:TKC63437 TTR63437:TTY63437 UDN63437:UDU63437 UNJ63437:UNQ63437 UXF63437:UXM63437 VHB63437:VHI63437 VQX63437:VRE63437 WAT63437:WBA63437 WKP63437:WKW63437 WUL63437:WUS63437 RMP980941:RMW980941 HZ128973:IG128973 RV128973:SC128973 ABR128973:ABY128973 ALN128973:ALU128973 AVJ128973:AVQ128973 BFF128973:BFM128973 BPB128973:BPI128973 BYX128973:BZE128973 CIT128973:CJA128973 CSP128973:CSW128973 DCL128973:DCS128973 DMH128973:DMO128973 DWD128973:DWK128973 EFZ128973:EGG128973 EPV128973:EQC128973 EZR128973:EZY128973 FJN128973:FJU128973 FTJ128973:FTQ128973 GDF128973:GDM128973 GNB128973:GNI128973 GWX128973:GXE128973 HGT128973:HHA128973 HQP128973:HQW128973 IAL128973:IAS128973 IKH128973:IKO128973 IUD128973:IUK128973 JDZ128973:JEG128973 JNV128973:JOC128973 JXR128973:JXY128973 KHN128973:KHU128973 KRJ128973:KRQ128973 LBF128973:LBM128973 LLB128973:LLI128973 LUX128973:LVE128973 MET128973:MFA128973 MOP128973:MOW128973 MYL128973:MYS128973 NIH128973:NIO128973 NSD128973:NSK128973 OBZ128973:OCG128973 OLV128973:OMC128973 OVR128973:OVY128973 PFN128973:PFU128973 PPJ128973:PPQ128973 PZF128973:PZM128973 QJB128973:QJI128973 QSX128973:QTE128973 RCT128973:RDA128973 RMP128973:RMW128973 RWL128973:RWS128973 SGH128973:SGO128973 SQD128973:SQK128973 SZZ128973:TAG128973 TJV128973:TKC128973 TTR128973:TTY128973 UDN128973:UDU128973 UNJ128973:UNQ128973 UXF128973:UXM128973 VHB128973:VHI128973 VQX128973:VRE128973 WAT128973:WBA128973 WKP128973:WKW128973 WUL128973:WUS128973 RWL980941:RWS980941 HZ194509:IG194509 RV194509:SC194509 ABR194509:ABY194509 ALN194509:ALU194509 AVJ194509:AVQ194509 BFF194509:BFM194509 BPB194509:BPI194509 BYX194509:BZE194509 CIT194509:CJA194509 CSP194509:CSW194509 DCL194509:DCS194509 DMH194509:DMO194509 DWD194509:DWK194509 EFZ194509:EGG194509 EPV194509:EQC194509 EZR194509:EZY194509 FJN194509:FJU194509 FTJ194509:FTQ194509 GDF194509:GDM194509 GNB194509:GNI194509 GWX194509:GXE194509 HGT194509:HHA194509 HQP194509:HQW194509 IAL194509:IAS194509 IKH194509:IKO194509 IUD194509:IUK194509 JDZ194509:JEG194509 JNV194509:JOC194509 JXR194509:JXY194509 KHN194509:KHU194509 KRJ194509:KRQ194509 LBF194509:LBM194509 LLB194509:LLI194509 LUX194509:LVE194509 MET194509:MFA194509 MOP194509:MOW194509 MYL194509:MYS194509 NIH194509:NIO194509 NSD194509:NSK194509 OBZ194509:OCG194509 OLV194509:OMC194509 OVR194509:OVY194509 PFN194509:PFU194509 PPJ194509:PPQ194509 PZF194509:PZM194509 QJB194509:QJI194509 QSX194509:QTE194509 RCT194509:RDA194509 RMP194509:RMW194509 RWL194509:RWS194509 SGH194509:SGO194509 SQD194509:SQK194509 SZZ194509:TAG194509 TJV194509:TKC194509 TTR194509:TTY194509 UDN194509:UDU194509 UNJ194509:UNQ194509 UXF194509:UXM194509 VHB194509:VHI194509 VQX194509:VRE194509 WAT194509:WBA194509 WKP194509:WKW194509 WUL194509:WUS194509 SGH980941:SGO980941 HZ260045:IG260045 RV260045:SC260045 ABR260045:ABY260045 ALN260045:ALU260045 AVJ260045:AVQ260045 BFF260045:BFM260045 BPB260045:BPI260045 BYX260045:BZE260045 CIT260045:CJA260045 CSP260045:CSW260045 DCL260045:DCS260045 DMH260045:DMO260045 DWD260045:DWK260045 EFZ260045:EGG260045 EPV260045:EQC260045 EZR260045:EZY260045 FJN260045:FJU260045 FTJ260045:FTQ260045 GDF260045:GDM260045 GNB260045:GNI260045 GWX260045:GXE260045 HGT260045:HHA260045 HQP260045:HQW260045 IAL260045:IAS260045 IKH260045:IKO260045 IUD260045:IUK260045 JDZ260045:JEG260045 JNV260045:JOC260045 JXR260045:JXY260045 KHN260045:KHU260045 KRJ260045:KRQ260045 LBF260045:LBM260045 LLB260045:LLI260045 LUX260045:LVE260045 MET260045:MFA260045 MOP260045:MOW260045 MYL260045:MYS260045 NIH260045:NIO260045 NSD260045:NSK260045 OBZ260045:OCG260045 OLV260045:OMC260045 OVR260045:OVY260045 PFN260045:PFU260045 PPJ260045:PPQ260045 PZF260045:PZM260045 QJB260045:QJI260045 QSX260045:QTE260045 RCT260045:RDA260045 RMP260045:RMW260045 RWL260045:RWS260045 SGH260045:SGO260045 SQD260045:SQK260045 SZZ260045:TAG260045 TJV260045:TKC260045 TTR260045:TTY260045 UDN260045:UDU260045 UNJ260045:UNQ260045 UXF260045:UXM260045 VHB260045:VHI260045 VQX260045:VRE260045 WAT260045:WBA260045 WKP260045:WKW260045 WUL260045:WUS260045 SQD980941:SQK980941 HZ325581:IG325581 RV325581:SC325581 ABR325581:ABY325581 ALN325581:ALU325581 AVJ325581:AVQ325581 BFF325581:BFM325581 BPB325581:BPI325581 BYX325581:BZE325581 CIT325581:CJA325581 CSP325581:CSW325581 DCL325581:DCS325581 DMH325581:DMO325581 DWD325581:DWK325581 EFZ325581:EGG325581 EPV325581:EQC325581 EZR325581:EZY325581 FJN325581:FJU325581 FTJ325581:FTQ325581 GDF325581:GDM325581 GNB325581:GNI325581 GWX325581:GXE325581 HGT325581:HHA325581 HQP325581:HQW325581 IAL325581:IAS325581 IKH325581:IKO325581 IUD325581:IUK325581 JDZ325581:JEG325581 JNV325581:JOC325581 JXR325581:JXY325581 KHN325581:KHU325581 KRJ325581:KRQ325581 LBF325581:LBM325581 LLB325581:LLI325581 LUX325581:LVE325581 MET325581:MFA325581 MOP325581:MOW325581 MYL325581:MYS325581 NIH325581:NIO325581 NSD325581:NSK325581 OBZ325581:OCG325581 OLV325581:OMC325581 OVR325581:OVY325581 PFN325581:PFU325581 PPJ325581:PPQ325581 PZF325581:PZM325581 QJB325581:QJI325581 QSX325581:QTE325581 RCT325581:RDA325581 RMP325581:RMW325581 RWL325581:RWS325581 SGH325581:SGO325581 SQD325581:SQK325581 SZZ325581:TAG325581 TJV325581:TKC325581 TTR325581:TTY325581 UDN325581:UDU325581 UNJ325581:UNQ325581 UXF325581:UXM325581 VHB325581:VHI325581 VQX325581:VRE325581 WAT325581:WBA325581 WKP325581:WKW325581 WUL325581:WUS325581 SZZ980941:TAG980941 HZ391117:IG391117 RV391117:SC391117 ABR391117:ABY391117 ALN391117:ALU391117 AVJ391117:AVQ391117 BFF391117:BFM391117 BPB391117:BPI391117 BYX391117:BZE391117 CIT391117:CJA391117 CSP391117:CSW391117 DCL391117:DCS391117 DMH391117:DMO391117 DWD391117:DWK391117 EFZ391117:EGG391117 EPV391117:EQC391117 EZR391117:EZY391117 FJN391117:FJU391117 FTJ391117:FTQ391117 GDF391117:GDM391117 GNB391117:GNI391117 GWX391117:GXE391117 HGT391117:HHA391117 HQP391117:HQW391117 IAL391117:IAS391117 IKH391117:IKO391117 IUD391117:IUK391117 JDZ391117:JEG391117 JNV391117:JOC391117 JXR391117:JXY391117 KHN391117:KHU391117 KRJ391117:KRQ391117 LBF391117:LBM391117 LLB391117:LLI391117 LUX391117:LVE391117 MET391117:MFA391117 MOP391117:MOW391117 MYL391117:MYS391117 NIH391117:NIO391117 NSD391117:NSK391117 OBZ391117:OCG391117 OLV391117:OMC391117 OVR391117:OVY391117 PFN391117:PFU391117 PPJ391117:PPQ391117 PZF391117:PZM391117 QJB391117:QJI391117 QSX391117:QTE391117 RCT391117:RDA391117 RMP391117:RMW391117 RWL391117:RWS391117 SGH391117:SGO391117 SQD391117:SQK391117 SZZ391117:TAG391117 TJV391117:TKC391117 TTR391117:TTY391117 UDN391117:UDU391117 UNJ391117:UNQ391117 UXF391117:UXM391117 VHB391117:VHI391117 VQX391117:VRE391117 WAT391117:WBA391117 WKP391117:WKW391117 WUL391117:WUS391117 TJV980941:TKC980941 HZ456653:IG456653 RV456653:SC456653 ABR456653:ABY456653 ALN456653:ALU456653 AVJ456653:AVQ456653 BFF456653:BFM456653 BPB456653:BPI456653 BYX456653:BZE456653 CIT456653:CJA456653 CSP456653:CSW456653 DCL456653:DCS456653 DMH456653:DMO456653 DWD456653:DWK456653 EFZ456653:EGG456653 EPV456653:EQC456653 EZR456653:EZY456653 FJN456653:FJU456653 FTJ456653:FTQ456653 GDF456653:GDM456653 GNB456653:GNI456653 GWX456653:GXE456653 HGT456653:HHA456653 HQP456653:HQW456653 IAL456653:IAS456653 IKH456653:IKO456653 IUD456653:IUK456653 JDZ456653:JEG456653 JNV456653:JOC456653 JXR456653:JXY456653 KHN456653:KHU456653 KRJ456653:KRQ456653 LBF456653:LBM456653 LLB456653:LLI456653 LUX456653:LVE456653 MET456653:MFA456653 MOP456653:MOW456653 MYL456653:MYS456653 NIH456653:NIO456653 NSD456653:NSK456653 OBZ456653:OCG456653 OLV456653:OMC456653 OVR456653:OVY456653 PFN456653:PFU456653 PPJ456653:PPQ456653 PZF456653:PZM456653 QJB456653:QJI456653 QSX456653:QTE456653 RCT456653:RDA456653 RMP456653:RMW456653 RWL456653:RWS456653 SGH456653:SGO456653 SQD456653:SQK456653 SZZ456653:TAG456653 TJV456653:TKC456653 TTR456653:TTY456653 UDN456653:UDU456653 UNJ456653:UNQ456653 UXF456653:UXM456653 VHB456653:VHI456653 VQX456653:VRE456653 WAT456653:WBA456653 WKP456653:WKW456653 WUL456653:WUS456653 TTR980941:TTY980941 HZ522189:IG522189 RV522189:SC522189 ABR522189:ABY522189 ALN522189:ALU522189 AVJ522189:AVQ522189 BFF522189:BFM522189 BPB522189:BPI522189 BYX522189:BZE522189 CIT522189:CJA522189 CSP522189:CSW522189 DCL522189:DCS522189 DMH522189:DMO522189 DWD522189:DWK522189 EFZ522189:EGG522189 EPV522189:EQC522189 EZR522189:EZY522189 FJN522189:FJU522189 FTJ522189:FTQ522189 GDF522189:GDM522189 GNB522189:GNI522189 GWX522189:GXE522189 HGT522189:HHA522189 HQP522189:HQW522189 IAL522189:IAS522189 IKH522189:IKO522189 IUD522189:IUK522189 JDZ522189:JEG522189 JNV522189:JOC522189 JXR522189:JXY522189 KHN522189:KHU522189 KRJ522189:KRQ522189 LBF522189:LBM522189 LLB522189:LLI522189 LUX522189:LVE522189 MET522189:MFA522189 MOP522189:MOW522189 MYL522189:MYS522189 NIH522189:NIO522189 NSD522189:NSK522189 OBZ522189:OCG522189 OLV522189:OMC522189 OVR522189:OVY522189 PFN522189:PFU522189 PPJ522189:PPQ522189 PZF522189:PZM522189 QJB522189:QJI522189 QSX522189:QTE522189 RCT522189:RDA522189 RMP522189:RMW522189 RWL522189:RWS522189 SGH522189:SGO522189 SQD522189:SQK522189 SZZ522189:TAG522189 TJV522189:TKC522189 TTR522189:TTY522189 UDN522189:UDU522189 UNJ522189:UNQ522189 UXF522189:UXM522189 VHB522189:VHI522189 VQX522189:VRE522189 WAT522189:WBA522189 WKP522189:WKW522189 WUL522189:WUS522189 UDN980941:UDU980941 HZ587725:IG587725 RV587725:SC587725 ABR587725:ABY587725 ALN587725:ALU587725 AVJ587725:AVQ587725 BFF587725:BFM587725 BPB587725:BPI587725 BYX587725:BZE587725 CIT587725:CJA587725 CSP587725:CSW587725 DCL587725:DCS587725 DMH587725:DMO587725 DWD587725:DWK587725 EFZ587725:EGG587725 EPV587725:EQC587725 EZR587725:EZY587725 FJN587725:FJU587725 FTJ587725:FTQ587725 GDF587725:GDM587725 GNB587725:GNI587725 GWX587725:GXE587725 HGT587725:HHA587725 HQP587725:HQW587725 IAL587725:IAS587725 IKH587725:IKO587725 IUD587725:IUK587725 JDZ587725:JEG587725 JNV587725:JOC587725 JXR587725:JXY587725 KHN587725:KHU587725 KRJ587725:KRQ587725 LBF587725:LBM587725 LLB587725:LLI587725 LUX587725:LVE587725 MET587725:MFA587725 MOP587725:MOW587725 MYL587725:MYS587725 NIH587725:NIO587725 NSD587725:NSK587725 OBZ587725:OCG587725 OLV587725:OMC587725 OVR587725:OVY587725 PFN587725:PFU587725 PPJ587725:PPQ587725 PZF587725:PZM587725 QJB587725:QJI587725 QSX587725:QTE587725 RCT587725:RDA587725 RMP587725:RMW587725 RWL587725:RWS587725 SGH587725:SGO587725 SQD587725:SQK587725 SZZ587725:TAG587725 TJV587725:TKC587725 TTR587725:TTY587725 UDN587725:UDU587725 UNJ587725:UNQ587725 UXF587725:UXM587725 VHB587725:VHI587725 VQX587725:VRE587725 WAT587725:WBA587725 WKP587725:WKW587725 WUL587725:WUS587725 UNJ980941:UNQ980941 HZ653261:IG653261 RV653261:SC653261 ABR653261:ABY653261 ALN653261:ALU653261 AVJ653261:AVQ653261 BFF653261:BFM653261 BPB653261:BPI653261 BYX653261:BZE653261 CIT653261:CJA653261 CSP653261:CSW653261 DCL653261:DCS653261 DMH653261:DMO653261 DWD653261:DWK653261 EFZ653261:EGG653261 EPV653261:EQC653261 EZR653261:EZY653261 FJN653261:FJU653261 FTJ653261:FTQ653261 GDF653261:GDM653261 GNB653261:GNI653261 GWX653261:GXE653261 HGT653261:HHA653261 HQP653261:HQW653261 IAL653261:IAS653261 IKH653261:IKO653261 IUD653261:IUK653261 JDZ653261:JEG653261 JNV653261:JOC653261 JXR653261:JXY653261 KHN653261:KHU653261 KRJ653261:KRQ653261 LBF653261:LBM653261 LLB653261:LLI653261 LUX653261:LVE653261 MET653261:MFA653261 MOP653261:MOW653261 MYL653261:MYS653261 NIH653261:NIO653261 NSD653261:NSK653261 OBZ653261:OCG653261 OLV653261:OMC653261 OVR653261:OVY653261 PFN653261:PFU653261 PPJ653261:PPQ653261 PZF653261:PZM653261 QJB653261:QJI653261 QSX653261:QTE653261 RCT653261:RDA653261 RMP653261:RMW653261 RWL653261:RWS653261 SGH653261:SGO653261 SQD653261:SQK653261 SZZ653261:TAG653261 TJV653261:TKC653261 TTR653261:TTY653261 UDN653261:UDU653261 UNJ653261:UNQ653261 UXF653261:UXM653261 VHB653261:VHI653261 VQX653261:VRE653261 WAT653261:WBA653261 WKP653261:WKW653261 WUL653261:WUS653261 UXF980941:UXM980941 HZ718797:IG718797 RV718797:SC718797 ABR718797:ABY718797 ALN718797:ALU718797 AVJ718797:AVQ718797 BFF718797:BFM718797 BPB718797:BPI718797 BYX718797:BZE718797 CIT718797:CJA718797 CSP718797:CSW718797 DCL718797:DCS718797 DMH718797:DMO718797 DWD718797:DWK718797 EFZ718797:EGG718797 EPV718797:EQC718797 EZR718797:EZY718797 FJN718797:FJU718797 FTJ718797:FTQ718797 GDF718797:GDM718797 GNB718797:GNI718797 GWX718797:GXE718797 HGT718797:HHA718797 HQP718797:HQW718797 IAL718797:IAS718797 IKH718797:IKO718797 IUD718797:IUK718797 JDZ718797:JEG718797 JNV718797:JOC718797 JXR718797:JXY718797 KHN718797:KHU718797 KRJ718797:KRQ718797 LBF718797:LBM718797 LLB718797:LLI718797 LUX718797:LVE718797 MET718797:MFA718797 MOP718797:MOW718797 MYL718797:MYS718797 NIH718797:NIO718797 NSD718797:NSK718797 OBZ718797:OCG718797 OLV718797:OMC718797 OVR718797:OVY718797 PFN718797:PFU718797 PPJ718797:PPQ718797 PZF718797:PZM718797 QJB718797:QJI718797 QSX718797:QTE718797 RCT718797:RDA718797 RMP718797:RMW718797 RWL718797:RWS718797 SGH718797:SGO718797 SQD718797:SQK718797 SZZ718797:TAG718797 TJV718797:TKC718797 TTR718797:TTY718797 UDN718797:UDU718797 UNJ718797:UNQ718797 UXF718797:UXM718797 VHB718797:VHI718797 VQX718797:VRE718797 WAT718797:WBA718797 WKP718797:WKW718797 WUL718797:WUS718797 VHB980941:VHI980941 HZ784333:IG784333 RV784333:SC784333 ABR784333:ABY784333 ALN784333:ALU784333 AVJ784333:AVQ784333 BFF784333:BFM784333 BPB784333:BPI784333 BYX784333:BZE784333 CIT784333:CJA784333 CSP784333:CSW784333 DCL784333:DCS784333 DMH784333:DMO784333 DWD784333:DWK784333 EFZ784333:EGG784333 EPV784333:EQC784333 EZR784333:EZY784333 FJN784333:FJU784333 FTJ784333:FTQ784333 GDF784333:GDM784333 GNB784333:GNI784333 GWX784333:GXE784333 HGT784333:HHA784333 HQP784333:HQW784333 IAL784333:IAS784333 IKH784333:IKO784333 IUD784333:IUK784333 JDZ784333:JEG784333 JNV784333:JOC784333 JXR784333:JXY784333 KHN784333:KHU784333 KRJ784333:KRQ784333 LBF784333:LBM784333 LLB784333:LLI784333 LUX784333:LVE784333 MET784333:MFA784333 MOP784333:MOW784333 MYL784333:MYS784333 NIH784333:NIO784333 NSD784333:NSK784333 OBZ784333:OCG784333 OLV784333:OMC784333 OVR784333:OVY784333 PFN784333:PFU784333 PPJ784333:PPQ784333 PZF784333:PZM784333 QJB784333:QJI784333 QSX784333:QTE784333 RCT784333:RDA784333 RMP784333:RMW784333 RWL784333:RWS784333 SGH784333:SGO784333 SQD784333:SQK784333 SZZ784333:TAG784333 TJV784333:TKC784333 TTR784333:TTY784333 UDN784333:UDU784333 UNJ784333:UNQ784333 UXF784333:UXM784333 VHB784333:VHI784333 VQX784333:VRE784333 WAT784333:WBA784333 WKP784333:WKW784333 WUL784333:WUS784333 VQX980941:VRE980941 HZ849869:IG849869 RV849869:SC849869 ABR849869:ABY849869 ALN849869:ALU849869 AVJ849869:AVQ849869 BFF849869:BFM849869 BPB849869:BPI849869 BYX849869:BZE849869 CIT849869:CJA849869 CSP849869:CSW849869 DCL849869:DCS849869 DMH849869:DMO849869 DWD849869:DWK849869 EFZ849869:EGG849869 EPV849869:EQC849869 EZR849869:EZY849869 FJN849869:FJU849869 FTJ849869:FTQ849869 GDF849869:GDM849869 GNB849869:GNI849869 GWX849869:GXE849869 HGT849869:HHA849869 HQP849869:HQW849869 IAL849869:IAS849869 IKH849869:IKO849869 IUD849869:IUK849869 JDZ849869:JEG849869 JNV849869:JOC849869 JXR849869:JXY849869 KHN849869:KHU849869 KRJ849869:KRQ849869 LBF849869:LBM849869 LLB849869:LLI849869 LUX849869:LVE849869 MET849869:MFA849869 MOP849869:MOW849869 MYL849869:MYS849869 NIH849869:NIO849869 NSD849869:NSK849869 OBZ849869:OCG849869 OLV849869:OMC849869 OVR849869:OVY849869 PFN849869:PFU849869 PPJ849869:PPQ849869 PZF849869:PZM849869 QJB849869:QJI849869 QSX849869:QTE849869 RCT849869:RDA849869 RMP849869:RMW849869 RWL849869:RWS849869 SGH849869:SGO849869 SQD849869:SQK849869 SZZ849869:TAG849869 TJV849869:TKC849869 TTR849869:TTY849869 UDN849869:UDU849869 UNJ849869:UNQ849869 UXF849869:UXM849869 VHB849869:VHI849869 VQX849869:VRE849869 WAT849869:WBA849869 WKP849869:WKW849869 WUL849869:WUS849869 WAT980941:WBA980941 HZ915405:IG915405 RV915405:SC915405 ABR915405:ABY915405 ALN915405:ALU915405 AVJ915405:AVQ915405 BFF915405:BFM915405 BPB915405:BPI915405 BYX915405:BZE915405 CIT915405:CJA915405 CSP915405:CSW915405 DCL915405:DCS915405 DMH915405:DMO915405 DWD915405:DWK915405 EFZ915405:EGG915405 EPV915405:EQC915405 EZR915405:EZY915405 FJN915405:FJU915405 FTJ915405:FTQ915405 GDF915405:GDM915405 GNB915405:GNI915405 GWX915405:GXE915405 HGT915405:HHA915405 HQP915405:HQW915405 IAL915405:IAS915405 IKH915405:IKO915405 IUD915405:IUK915405 JDZ915405:JEG915405 JNV915405:JOC915405 JXR915405:JXY915405 KHN915405:KHU915405 KRJ915405:KRQ915405 LBF915405:LBM915405 LLB915405:LLI915405 LUX915405:LVE915405 MET915405:MFA915405 MOP915405:MOW915405 MYL915405:MYS915405 NIH915405:NIO915405 NSD915405:NSK915405 OBZ915405:OCG915405 OLV915405:OMC915405 OVR915405:OVY915405 PFN915405:PFU915405 PPJ915405:PPQ915405 PZF915405:PZM915405 QJB915405:QJI915405 QSX915405:QTE915405 RCT915405:RDA915405 RMP915405:RMW915405 RWL915405:RWS915405 SGH915405:SGO915405 SQD915405:SQK915405 SZZ915405:TAG915405 TJV915405:TKC915405 TTR915405:TTY915405 UDN915405:UDU915405 UNJ915405:UNQ915405 UXF915405:UXM915405 VHB915405:VHI915405 VQX915405:VRE915405 WAT915405:WBA915405 WKP915405:WKW915405 WUL915405:WUS915405 WKP980941:WKW980941 HZ980941:IG980941 RV980941:SC980941 ABR980941:ABY980941 ALN980941:ALU980941 AVJ980941:AVQ980941 BFF980941:BFM980941 BPB980941:BPI980941 BYX980941:BZE980941 CIT980941:CJA980941 CSP980941:CSW980941 DCL980941:DCS980941 DMH980941:DMO980941 DWD980941:DWK980941 EFZ980941:EGG980941 EPV980941:EQC980941 EZR980941:EZY980941 FJN980941:FJU980941 FTJ980941:FTQ980941 GDF980941:GDM980941 GNB980941:GNI980941 GWX980941:GXE980941 HGT980941:HHA980941 HQP980941:HQW980941 IAL980941:IAS980941 IKH980941:IKO980941 IUD980941:IUK980941 JDZ980941:JEG980941 JNV980941:JOC980941 JXR980941:JXY980941 KHN980941:KHU980941 KRJ980941:KRQ980941 LBF980941:LBM980941 LLB980941:LLI980941 LUX980941:LVE980941 MET980941:MFA980941 MOP980941:MOW980941 MYL980941:MYS980941 NIH980941:NIO980941 NSD980941:NSK980941 OBZ980941:OCG980941 OLV980941:OMC980941 OVR980941:OVY980941 PFN980941:PFU980941 PPJ980941:PPQ980941 PZF980941:PZM980941 QJB980941:QJI980941 QSX980941:QTE980941 H980941 H63437 H128973 H194509 H260045 H325581 H391117 H456653 H522189 H587725 H653261 H718797 H784333 H849869 H915405">
      <formula1>"改修,新営"</formula1>
    </dataValidation>
    <dataValidation type="list" allowBlank="1" showInputMessage="1" showErrorMessage="1" sqref="WUL980945:WUS980945 RV26:SC26 ABR26:ABY26 ALN26:ALU26 AVJ26:AVQ26 BFF26:BFM26 BPB26:BPI26 BYX26:BZE26 CIT26:CJA26 CSP26:CSW26 DCL26:DCS26 DMH26:DMO26 DWD26:DWK26 EFZ26:EGG26 EPV26:EQC26 EZR26:EZY26 FJN26:FJU26 FTJ26:FTQ26 GDF26:GDM26 GNB26:GNI26 GWX26:GXE26 HGT26:HHA26 HQP26:HQW26 IAL26:IAS26 IKH26:IKO26 IUD26:IUK26 JDZ26:JEG26 JNV26:JOC26 JXR26:JXY26 KHN26:KHU26 KRJ26:KRQ26 LBF26:LBM26 LLB26:LLI26 LUX26:LVE26 MET26:MFA26 MOP26:MOW26 MYL26:MYS26 NIH26:NIO26 NSD26:NSK26 OBZ26:OCG26 OLV26:OMC26 OVR26:OVY26 PFN26:PFU26 PPJ26:PPQ26 PZF26:PZM26 QJB26:QJI26 QSX26:QTE26 RCT26:RDA26 RMP26:RMW26 RWL26:RWS26 SGH26:SGO26 SQD26:SQK26 SZZ26:TAG26 TJV26:TKC26 TTR26:TTY26 UDN26:UDU26 UNJ26:UNQ26 UXF26:UXM26 VHB26:VHI26 VQX26:VRE26 WAT26:WBA26 WKP26:WKW26 WUL26:WUS26 WKP980945:WKW980945 RWL55:RWS55 HZ63441:IG63441 RV63441:SC63441 ABR63441:ABY63441 ALN63441:ALU63441 AVJ63441:AVQ63441 BFF63441:BFM63441 BPB63441:BPI63441 BYX63441:BZE63441 CIT63441:CJA63441 CSP63441:CSW63441 DCL63441:DCS63441 DMH63441:DMO63441 DWD63441:DWK63441 EFZ63441:EGG63441 EPV63441:EQC63441 EZR63441:EZY63441 FJN63441:FJU63441 FTJ63441:FTQ63441 GDF63441:GDM63441 GNB63441:GNI63441 GWX63441:GXE63441 HGT63441:HHA63441 HQP63441:HQW63441 IAL63441:IAS63441 IKH63441:IKO63441 IUD63441:IUK63441 JDZ63441:JEG63441 JNV63441:JOC63441 JXR63441:JXY63441 KHN63441:KHU63441 KRJ63441:KRQ63441 LBF63441:LBM63441 LLB63441:LLI63441 LUX63441:LVE63441 MET63441:MFA63441 MOP63441:MOW63441 MYL63441:MYS63441 NIH63441:NIO63441 NSD63441:NSK63441 OBZ63441:OCG63441 OLV63441:OMC63441 OVR63441:OVY63441 PFN63441:PFU63441 PPJ63441:PPQ63441 PZF63441:PZM63441 QJB63441:QJI63441 QSX63441:QTE63441 RCT63441:RDA63441 RMP63441:RMW63441 RWL63441:RWS63441 SGH63441:SGO63441 SQD63441:SQK63441 SZZ63441:TAG63441 TJV63441:TKC63441 TTR63441:TTY63441 UDN63441:UDU63441 UNJ63441:UNQ63441 UXF63441:UXM63441 VHB63441:VHI63441 VQX63441:VRE63441 WAT63441:WBA63441 WKP63441:WKW63441 WUL63441:WUS63441 SGH55:SGO55 HZ128977:IG128977 RV128977:SC128977 ABR128977:ABY128977 ALN128977:ALU128977 AVJ128977:AVQ128977 BFF128977:BFM128977 BPB128977:BPI128977 BYX128977:BZE128977 CIT128977:CJA128977 CSP128977:CSW128977 DCL128977:DCS128977 DMH128977:DMO128977 DWD128977:DWK128977 EFZ128977:EGG128977 EPV128977:EQC128977 EZR128977:EZY128977 FJN128977:FJU128977 FTJ128977:FTQ128977 GDF128977:GDM128977 GNB128977:GNI128977 GWX128977:GXE128977 HGT128977:HHA128977 HQP128977:HQW128977 IAL128977:IAS128977 IKH128977:IKO128977 IUD128977:IUK128977 JDZ128977:JEG128977 JNV128977:JOC128977 JXR128977:JXY128977 KHN128977:KHU128977 KRJ128977:KRQ128977 LBF128977:LBM128977 LLB128977:LLI128977 LUX128977:LVE128977 MET128977:MFA128977 MOP128977:MOW128977 MYL128977:MYS128977 NIH128977:NIO128977 NSD128977:NSK128977 OBZ128977:OCG128977 OLV128977:OMC128977 OVR128977:OVY128977 PFN128977:PFU128977 PPJ128977:PPQ128977 PZF128977:PZM128977 QJB128977:QJI128977 QSX128977:QTE128977 RCT128977:RDA128977 RMP128977:RMW128977 RWL128977:RWS128977 SGH128977:SGO128977 SQD128977:SQK128977 SZZ128977:TAG128977 TJV128977:TKC128977 TTR128977:TTY128977 UDN128977:UDU128977 UNJ128977:UNQ128977 UXF128977:UXM128977 VHB128977:VHI128977 VQX128977:VRE128977 WAT128977:WBA128977 WKP128977:WKW128977 WUL128977:WUS128977 SQD55:SQK55 HZ194513:IG194513 RV194513:SC194513 ABR194513:ABY194513 ALN194513:ALU194513 AVJ194513:AVQ194513 BFF194513:BFM194513 BPB194513:BPI194513 BYX194513:BZE194513 CIT194513:CJA194513 CSP194513:CSW194513 DCL194513:DCS194513 DMH194513:DMO194513 DWD194513:DWK194513 EFZ194513:EGG194513 EPV194513:EQC194513 EZR194513:EZY194513 FJN194513:FJU194513 FTJ194513:FTQ194513 GDF194513:GDM194513 GNB194513:GNI194513 GWX194513:GXE194513 HGT194513:HHA194513 HQP194513:HQW194513 IAL194513:IAS194513 IKH194513:IKO194513 IUD194513:IUK194513 JDZ194513:JEG194513 JNV194513:JOC194513 JXR194513:JXY194513 KHN194513:KHU194513 KRJ194513:KRQ194513 LBF194513:LBM194513 LLB194513:LLI194513 LUX194513:LVE194513 MET194513:MFA194513 MOP194513:MOW194513 MYL194513:MYS194513 NIH194513:NIO194513 NSD194513:NSK194513 OBZ194513:OCG194513 OLV194513:OMC194513 OVR194513:OVY194513 PFN194513:PFU194513 PPJ194513:PPQ194513 PZF194513:PZM194513 QJB194513:QJI194513 QSX194513:QTE194513 RCT194513:RDA194513 RMP194513:RMW194513 RWL194513:RWS194513 SGH194513:SGO194513 SQD194513:SQK194513 SZZ194513:TAG194513 TJV194513:TKC194513 TTR194513:TTY194513 UDN194513:UDU194513 UNJ194513:UNQ194513 UXF194513:UXM194513 VHB194513:VHI194513 VQX194513:VRE194513 WAT194513:WBA194513 WKP194513:WKW194513 WUL194513:WUS194513 SZZ55:TAG55 HZ260049:IG260049 RV260049:SC260049 ABR260049:ABY260049 ALN260049:ALU260049 AVJ260049:AVQ260049 BFF260049:BFM260049 BPB260049:BPI260049 BYX260049:BZE260049 CIT260049:CJA260049 CSP260049:CSW260049 DCL260049:DCS260049 DMH260049:DMO260049 DWD260049:DWK260049 EFZ260049:EGG260049 EPV260049:EQC260049 EZR260049:EZY260049 FJN260049:FJU260049 FTJ260049:FTQ260049 GDF260049:GDM260049 GNB260049:GNI260049 GWX260049:GXE260049 HGT260049:HHA260049 HQP260049:HQW260049 IAL260049:IAS260049 IKH260049:IKO260049 IUD260049:IUK260049 JDZ260049:JEG260049 JNV260049:JOC260049 JXR260049:JXY260049 KHN260049:KHU260049 KRJ260049:KRQ260049 LBF260049:LBM260049 LLB260049:LLI260049 LUX260049:LVE260049 MET260049:MFA260049 MOP260049:MOW260049 MYL260049:MYS260049 NIH260049:NIO260049 NSD260049:NSK260049 OBZ260049:OCG260049 OLV260049:OMC260049 OVR260049:OVY260049 PFN260049:PFU260049 PPJ260049:PPQ260049 PZF260049:PZM260049 QJB260049:QJI260049 QSX260049:QTE260049 RCT260049:RDA260049 RMP260049:RMW260049 RWL260049:RWS260049 SGH260049:SGO260049 SQD260049:SQK260049 SZZ260049:TAG260049 TJV260049:TKC260049 TTR260049:TTY260049 UDN260049:UDU260049 UNJ260049:UNQ260049 UXF260049:UXM260049 VHB260049:VHI260049 VQX260049:VRE260049 WAT260049:WBA260049 WKP260049:WKW260049 WUL260049:WUS260049 TJV55:TKC55 HZ325585:IG325585 RV325585:SC325585 ABR325585:ABY325585 ALN325585:ALU325585 AVJ325585:AVQ325585 BFF325585:BFM325585 BPB325585:BPI325585 BYX325585:BZE325585 CIT325585:CJA325585 CSP325585:CSW325585 DCL325585:DCS325585 DMH325585:DMO325585 DWD325585:DWK325585 EFZ325585:EGG325585 EPV325585:EQC325585 EZR325585:EZY325585 FJN325585:FJU325585 FTJ325585:FTQ325585 GDF325585:GDM325585 GNB325585:GNI325585 GWX325585:GXE325585 HGT325585:HHA325585 HQP325585:HQW325585 IAL325585:IAS325585 IKH325585:IKO325585 IUD325585:IUK325585 JDZ325585:JEG325585 JNV325585:JOC325585 JXR325585:JXY325585 KHN325585:KHU325585 KRJ325585:KRQ325585 LBF325585:LBM325585 LLB325585:LLI325585 LUX325585:LVE325585 MET325585:MFA325585 MOP325585:MOW325585 MYL325585:MYS325585 NIH325585:NIO325585 NSD325585:NSK325585 OBZ325585:OCG325585 OLV325585:OMC325585 OVR325585:OVY325585 PFN325585:PFU325585 PPJ325585:PPQ325585 PZF325585:PZM325585 QJB325585:QJI325585 QSX325585:QTE325585 RCT325585:RDA325585 RMP325585:RMW325585 RWL325585:RWS325585 SGH325585:SGO325585 SQD325585:SQK325585 SZZ325585:TAG325585 TJV325585:TKC325585 TTR325585:TTY325585 UDN325585:UDU325585 UNJ325585:UNQ325585 UXF325585:UXM325585 VHB325585:VHI325585 VQX325585:VRE325585 WAT325585:WBA325585 WKP325585:WKW325585 WUL325585:WUS325585 TTR55:TTY55 HZ391121:IG391121 RV391121:SC391121 ABR391121:ABY391121 ALN391121:ALU391121 AVJ391121:AVQ391121 BFF391121:BFM391121 BPB391121:BPI391121 BYX391121:BZE391121 CIT391121:CJA391121 CSP391121:CSW391121 DCL391121:DCS391121 DMH391121:DMO391121 DWD391121:DWK391121 EFZ391121:EGG391121 EPV391121:EQC391121 EZR391121:EZY391121 FJN391121:FJU391121 FTJ391121:FTQ391121 GDF391121:GDM391121 GNB391121:GNI391121 GWX391121:GXE391121 HGT391121:HHA391121 HQP391121:HQW391121 IAL391121:IAS391121 IKH391121:IKO391121 IUD391121:IUK391121 JDZ391121:JEG391121 JNV391121:JOC391121 JXR391121:JXY391121 KHN391121:KHU391121 KRJ391121:KRQ391121 LBF391121:LBM391121 LLB391121:LLI391121 LUX391121:LVE391121 MET391121:MFA391121 MOP391121:MOW391121 MYL391121:MYS391121 NIH391121:NIO391121 NSD391121:NSK391121 OBZ391121:OCG391121 OLV391121:OMC391121 OVR391121:OVY391121 PFN391121:PFU391121 PPJ391121:PPQ391121 PZF391121:PZM391121 QJB391121:QJI391121 QSX391121:QTE391121 RCT391121:RDA391121 RMP391121:RMW391121 RWL391121:RWS391121 SGH391121:SGO391121 SQD391121:SQK391121 SZZ391121:TAG391121 TJV391121:TKC391121 TTR391121:TTY391121 UDN391121:UDU391121 UNJ391121:UNQ391121 UXF391121:UXM391121 VHB391121:VHI391121 VQX391121:VRE391121 WAT391121:WBA391121 WKP391121:WKW391121 WUL391121:WUS391121 UDN55:UDU55 HZ456657:IG456657 RV456657:SC456657 ABR456657:ABY456657 ALN456657:ALU456657 AVJ456657:AVQ456657 BFF456657:BFM456657 BPB456657:BPI456657 BYX456657:BZE456657 CIT456657:CJA456657 CSP456657:CSW456657 DCL456657:DCS456657 DMH456657:DMO456657 DWD456657:DWK456657 EFZ456657:EGG456657 EPV456657:EQC456657 EZR456657:EZY456657 FJN456657:FJU456657 FTJ456657:FTQ456657 GDF456657:GDM456657 GNB456657:GNI456657 GWX456657:GXE456657 HGT456657:HHA456657 HQP456657:HQW456657 IAL456657:IAS456657 IKH456657:IKO456657 IUD456657:IUK456657 JDZ456657:JEG456657 JNV456657:JOC456657 JXR456657:JXY456657 KHN456657:KHU456657 KRJ456657:KRQ456657 LBF456657:LBM456657 LLB456657:LLI456657 LUX456657:LVE456657 MET456657:MFA456657 MOP456657:MOW456657 MYL456657:MYS456657 NIH456657:NIO456657 NSD456657:NSK456657 OBZ456657:OCG456657 OLV456657:OMC456657 OVR456657:OVY456657 PFN456657:PFU456657 PPJ456657:PPQ456657 PZF456657:PZM456657 QJB456657:QJI456657 QSX456657:QTE456657 RCT456657:RDA456657 RMP456657:RMW456657 RWL456657:RWS456657 SGH456657:SGO456657 SQD456657:SQK456657 SZZ456657:TAG456657 TJV456657:TKC456657 TTR456657:TTY456657 UDN456657:UDU456657 UNJ456657:UNQ456657 UXF456657:UXM456657 VHB456657:VHI456657 VQX456657:VRE456657 WAT456657:WBA456657 WKP456657:WKW456657 WUL456657:WUS456657 UNJ55:UNQ55 HZ522193:IG522193 RV522193:SC522193 ABR522193:ABY522193 ALN522193:ALU522193 AVJ522193:AVQ522193 BFF522193:BFM522193 BPB522193:BPI522193 BYX522193:BZE522193 CIT522193:CJA522193 CSP522193:CSW522193 DCL522193:DCS522193 DMH522193:DMO522193 DWD522193:DWK522193 EFZ522193:EGG522193 EPV522193:EQC522193 EZR522193:EZY522193 FJN522193:FJU522193 FTJ522193:FTQ522193 GDF522193:GDM522193 GNB522193:GNI522193 GWX522193:GXE522193 HGT522193:HHA522193 HQP522193:HQW522193 IAL522193:IAS522193 IKH522193:IKO522193 IUD522193:IUK522193 JDZ522193:JEG522193 JNV522193:JOC522193 JXR522193:JXY522193 KHN522193:KHU522193 KRJ522193:KRQ522193 LBF522193:LBM522193 LLB522193:LLI522193 LUX522193:LVE522193 MET522193:MFA522193 MOP522193:MOW522193 MYL522193:MYS522193 NIH522193:NIO522193 NSD522193:NSK522193 OBZ522193:OCG522193 OLV522193:OMC522193 OVR522193:OVY522193 PFN522193:PFU522193 PPJ522193:PPQ522193 PZF522193:PZM522193 QJB522193:QJI522193 QSX522193:QTE522193 RCT522193:RDA522193 RMP522193:RMW522193 RWL522193:RWS522193 SGH522193:SGO522193 SQD522193:SQK522193 SZZ522193:TAG522193 TJV522193:TKC522193 TTR522193:TTY522193 UDN522193:UDU522193 UNJ522193:UNQ522193 UXF522193:UXM522193 VHB522193:VHI522193 VQX522193:VRE522193 WAT522193:WBA522193 WKP522193:WKW522193 WUL522193:WUS522193 UXF55:UXM55 HZ587729:IG587729 RV587729:SC587729 ABR587729:ABY587729 ALN587729:ALU587729 AVJ587729:AVQ587729 BFF587729:BFM587729 BPB587729:BPI587729 BYX587729:BZE587729 CIT587729:CJA587729 CSP587729:CSW587729 DCL587729:DCS587729 DMH587729:DMO587729 DWD587729:DWK587729 EFZ587729:EGG587729 EPV587729:EQC587729 EZR587729:EZY587729 FJN587729:FJU587729 FTJ587729:FTQ587729 GDF587729:GDM587729 GNB587729:GNI587729 GWX587729:GXE587729 HGT587729:HHA587729 HQP587729:HQW587729 IAL587729:IAS587729 IKH587729:IKO587729 IUD587729:IUK587729 JDZ587729:JEG587729 JNV587729:JOC587729 JXR587729:JXY587729 KHN587729:KHU587729 KRJ587729:KRQ587729 LBF587729:LBM587729 LLB587729:LLI587729 LUX587729:LVE587729 MET587729:MFA587729 MOP587729:MOW587729 MYL587729:MYS587729 NIH587729:NIO587729 NSD587729:NSK587729 OBZ587729:OCG587729 OLV587729:OMC587729 OVR587729:OVY587729 PFN587729:PFU587729 PPJ587729:PPQ587729 PZF587729:PZM587729 QJB587729:QJI587729 QSX587729:QTE587729 RCT587729:RDA587729 RMP587729:RMW587729 RWL587729:RWS587729 SGH587729:SGO587729 SQD587729:SQK587729 SZZ587729:TAG587729 TJV587729:TKC587729 TTR587729:TTY587729 UDN587729:UDU587729 UNJ587729:UNQ587729 UXF587729:UXM587729 VHB587729:VHI587729 VQX587729:VRE587729 WAT587729:WBA587729 WKP587729:WKW587729 WUL587729:WUS587729 VHB55:VHI55 HZ653265:IG653265 RV653265:SC653265 ABR653265:ABY653265 ALN653265:ALU653265 AVJ653265:AVQ653265 BFF653265:BFM653265 BPB653265:BPI653265 BYX653265:BZE653265 CIT653265:CJA653265 CSP653265:CSW653265 DCL653265:DCS653265 DMH653265:DMO653265 DWD653265:DWK653265 EFZ653265:EGG653265 EPV653265:EQC653265 EZR653265:EZY653265 FJN653265:FJU653265 FTJ653265:FTQ653265 GDF653265:GDM653265 GNB653265:GNI653265 GWX653265:GXE653265 HGT653265:HHA653265 HQP653265:HQW653265 IAL653265:IAS653265 IKH653265:IKO653265 IUD653265:IUK653265 JDZ653265:JEG653265 JNV653265:JOC653265 JXR653265:JXY653265 KHN653265:KHU653265 KRJ653265:KRQ653265 LBF653265:LBM653265 LLB653265:LLI653265 LUX653265:LVE653265 MET653265:MFA653265 MOP653265:MOW653265 MYL653265:MYS653265 NIH653265:NIO653265 NSD653265:NSK653265 OBZ653265:OCG653265 OLV653265:OMC653265 OVR653265:OVY653265 PFN653265:PFU653265 PPJ653265:PPQ653265 PZF653265:PZM653265 QJB653265:QJI653265 QSX653265:QTE653265 RCT653265:RDA653265 RMP653265:RMW653265 RWL653265:RWS653265 SGH653265:SGO653265 SQD653265:SQK653265 SZZ653265:TAG653265 TJV653265:TKC653265 TTR653265:TTY653265 UDN653265:UDU653265 UNJ653265:UNQ653265 UXF653265:UXM653265 VHB653265:VHI653265 VQX653265:VRE653265 WAT653265:WBA653265 WKP653265:WKW653265 WUL653265:WUS653265 VQX55:VRE55 HZ718801:IG718801 RV718801:SC718801 ABR718801:ABY718801 ALN718801:ALU718801 AVJ718801:AVQ718801 BFF718801:BFM718801 BPB718801:BPI718801 BYX718801:BZE718801 CIT718801:CJA718801 CSP718801:CSW718801 DCL718801:DCS718801 DMH718801:DMO718801 DWD718801:DWK718801 EFZ718801:EGG718801 EPV718801:EQC718801 EZR718801:EZY718801 FJN718801:FJU718801 FTJ718801:FTQ718801 GDF718801:GDM718801 GNB718801:GNI718801 GWX718801:GXE718801 HGT718801:HHA718801 HQP718801:HQW718801 IAL718801:IAS718801 IKH718801:IKO718801 IUD718801:IUK718801 JDZ718801:JEG718801 JNV718801:JOC718801 JXR718801:JXY718801 KHN718801:KHU718801 KRJ718801:KRQ718801 LBF718801:LBM718801 LLB718801:LLI718801 LUX718801:LVE718801 MET718801:MFA718801 MOP718801:MOW718801 MYL718801:MYS718801 NIH718801:NIO718801 NSD718801:NSK718801 OBZ718801:OCG718801 OLV718801:OMC718801 OVR718801:OVY718801 PFN718801:PFU718801 PPJ718801:PPQ718801 PZF718801:PZM718801 QJB718801:QJI718801 QSX718801:QTE718801 RCT718801:RDA718801 RMP718801:RMW718801 RWL718801:RWS718801 SGH718801:SGO718801 SQD718801:SQK718801 SZZ718801:TAG718801 TJV718801:TKC718801 TTR718801:TTY718801 UDN718801:UDU718801 UNJ718801:UNQ718801 UXF718801:UXM718801 VHB718801:VHI718801 VQX718801:VRE718801 WAT718801:WBA718801 WKP718801:WKW718801 WUL718801:WUS718801 WAT55:WBA55 HZ784337:IG784337 RV784337:SC784337 ABR784337:ABY784337 ALN784337:ALU784337 AVJ784337:AVQ784337 BFF784337:BFM784337 BPB784337:BPI784337 BYX784337:BZE784337 CIT784337:CJA784337 CSP784337:CSW784337 DCL784337:DCS784337 DMH784337:DMO784337 DWD784337:DWK784337 EFZ784337:EGG784337 EPV784337:EQC784337 EZR784337:EZY784337 FJN784337:FJU784337 FTJ784337:FTQ784337 GDF784337:GDM784337 GNB784337:GNI784337 GWX784337:GXE784337 HGT784337:HHA784337 HQP784337:HQW784337 IAL784337:IAS784337 IKH784337:IKO784337 IUD784337:IUK784337 JDZ784337:JEG784337 JNV784337:JOC784337 JXR784337:JXY784337 KHN784337:KHU784337 KRJ784337:KRQ784337 LBF784337:LBM784337 LLB784337:LLI784337 LUX784337:LVE784337 MET784337:MFA784337 MOP784337:MOW784337 MYL784337:MYS784337 NIH784337:NIO784337 NSD784337:NSK784337 OBZ784337:OCG784337 OLV784337:OMC784337 OVR784337:OVY784337 PFN784337:PFU784337 PPJ784337:PPQ784337 PZF784337:PZM784337 QJB784337:QJI784337 QSX784337:QTE784337 RCT784337:RDA784337 RMP784337:RMW784337 RWL784337:RWS784337 SGH784337:SGO784337 SQD784337:SQK784337 SZZ784337:TAG784337 TJV784337:TKC784337 TTR784337:TTY784337 UDN784337:UDU784337 UNJ784337:UNQ784337 UXF784337:UXM784337 VHB784337:VHI784337 VQX784337:VRE784337 WAT784337:WBA784337 WKP784337:WKW784337 WUL784337:WUS784337 WKP55:WKW55 HZ849873:IG849873 RV849873:SC849873 ABR849873:ABY849873 ALN849873:ALU849873 AVJ849873:AVQ849873 BFF849873:BFM849873 BPB849873:BPI849873 BYX849873:BZE849873 CIT849873:CJA849873 CSP849873:CSW849873 DCL849873:DCS849873 DMH849873:DMO849873 DWD849873:DWK849873 EFZ849873:EGG849873 EPV849873:EQC849873 EZR849873:EZY849873 FJN849873:FJU849873 FTJ849873:FTQ849873 GDF849873:GDM849873 GNB849873:GNI849873 GWX849873:GXE849873 HGT849873:HHA849873 HQP849873:HQW849873 IAL849873:IAS849873 IKH849873:IKO849873 IUD849873:IUK849873 JDZ849873:JEG849873 JNV849873:JOC849873 JXR849873:JXY849873 KHN849873:KHU849873 KRJ849873:KRQ849873 LBF849873:LBM849873 LLB849873:LLI849873 LUX849873:LVE849873 MET849873:MFA849873 MOP849873:MOW849873 MYL849873:MYS849873 NIH849873:NIO849873 NSD849873:NSK849873 OBZ849873:OCG849873 OLV849873:OMC849873 OVR849873:OVY849873 PFN849873:PFU849873 PPJ849873:PPQ849873 PZF849873:PZM849873 QJB849873:QJI849873 QSX849873:QTE849873 RCT849873:RDA849873 RMP849873:RMW849873 RWL849873:RWS849873 SGH849873:SGO849873 SQD849873:SQK849873 SZZ849873:TAG849873 TJV849873:TKC849873 TTR849873:TTY849873 UDN849873:UDU849873 UNJ849873:UNQ849873 UXF849873:UXM849873 VHB849873:VHI849873 VQX849873:VRE849873 WAT849873:WBA849873 WKP849873:WKW849873 WUL849873:WUS849873 WUL55:WUS55 HZ915409:IG915409 RV915409:SC915409 ABR915409:ABY915409 ALN915409:ALU915409 AVJ915409:AVQ915409 BFF915409:BFM915409 BPB915409:BPI915409 BYX915409:BZE915409 CIT915409:CJA915409 CSP915409:CSW915409 DCL915409:DCS915409 DMH915409:DMO915409 DWD915409:DWK915409 EFZ915409:EGG915409 EPV915409:EQC915409 EZR915409:EZY915409 FJN915409:FJU915409 FTJ915409:FTQ915409 GDF915409:GDM915409 GNB915409:GNI915409 GWX915409:GXE915409 HGT915409:HHA915409 HQP915409:HQW915409 IAL915409:IAS915409 IKH915409:IKO915409 IUD915409:IUK915409 JDZ915409:JEG915409 JNV915409:JOC915409 JXR915409:JXY915409 KHN915409:KHU915409 KRJ915409:KRQ915409 LBF915409:LBM915409 LLB915409:LLI915409 LUX915409:LVE915409 MET915409:MFA915409 MOP915409:MOW915409 MYL915409:MYS915409 NIH915409:NIO915409 NSD915409:NSK915409 OBZ915409:OCG915409 OLV915409:OMC915409 OVR915409:OVY915409 PFN915409:PFU915409 PPJ915409:PPQ915409 PZF915409:PZM915409 QJB915409:QJI915409 QSX915409:QTE915409 RCT915409:RDA915409 RMP915409:RMW915409 RWL915409:RWS915409 SGH915409:SGO915409 SQD915409:SQK915409 SZZ915409:TAG915409 TJV915409:TKC915409 TTR915409:TTY915409 UDN915409:UDU915409 UNJ915409:UNQ915409 UXF915409:UXM915409 VHB915409:VHI915409 VQX915409:VRE915409 WAT915409:WBA915409 WKP915409:WKW915409 WUL915409:WUS915409 HZ55:IG55 HZ980945:IG980945 RV980945:SC980945 ABR980945:ABY980945 ALN980945:ALU980945 AVJ980945:AVQ980945 BFF980945:BFM980945 BPB980945:BPI980945 BYX980945:BZE980945 CIT980945:CJA980945 CSP980945:CSW980945 DCL980945:DCS980945 DMH980945:DMO980945 DWD980945:DWK980945 EFZ980945:EGG980945 EPV980945:EQC980945 EZR980945:EZY980945 FJN980945:FJU980945 FTJ980945:FTQ980945 GDF980945:GDM980945 GNB980945:GNI980945 GWX980945:GXE980945 HGT980945:HHA980945 HQP980945:HQW980945 IAL980945:IAS980945 IKH980945:IKO980945 IUD980945:IUK980945 JDZ980945:JEG980945 JNV980945:JOC980945 JXR980945:JXY980945 KHN980945:KHU980945 KRJ980945:KRQ980945 LBF980945:LBM980945 LLB980945:LLI980945 LUX980945:LVE980945 MET980945:MFA980945 MOP980945:MOW980945 MYL980945:MYS980945 NIH980945:NIO980945 NSD980945:NSK980945 OBZ980945:OCG980945 OLV980945:OMC980945 OVR980945:OVY980945 PFN980945:PFU980945 PPJ980945:PPQ980945 PZF980945:PZM980945 QJB980945:QJI980945 QSX980945:QTE980945 RCT980945:RDA980945 RMP980945:RMW980945 RWL980945:RWS980945 SGH980945:SGO980945 SQD980945:SQK980945 SZZ980945:TAG980945 TJV980945:TKC980945 TTR980945:TTY980945 UDN980945:UDU980945 UNJ980945:UNQ980945 UXF980945:UXM980945 VHB980945:VHI980945 VQX980945:VRE980945 WAT980945:WBA980945 HZ26:IG26 RV77:SC77 ABR77:ABY77 ALN77:ALU77 AVJ77:AVQ77 BFF77:BFM77 BPB77:BPI77 BYX77:BZE77 CIT77:CJA77 CSP77:CSW77 DCL77:DCS77 DMH77:DMO77 DWD77:DWK77 EFZ77:EGG77 EPV77:EQC77 EZR77:EZY77 FJN77:FJU77 FTJ77:FTQ77 GDF77:GDM77 GNB77:GNI77 GWX77:GXE77 HGT77:HHA77 HQP77:HQW77 IAL77:IAS77 IKH77:IKO77 IUD77:IUK77 JDZ77:JEG77 JNV77:JOC77 JXR77:JXY77 KHN77:KHU77 KRJ77:KRQ77 LBF77:LBM77 LLB77:LLI77 LUX77:LVE77 MET77:MFA77 MOP77:MOW77 MYL77:MYS77 NIH77:NIO77 NSD77:NSK77 OBZ77:OCG77 OLV77:OMC77 OVR77:OVY77 PFN77:PFU77 PPJ77:PPQ77 PZF77:PZM77 QJB77:QJI77 QSX77:QTE77 RCT77:RDA77 RMP77:RMW77 RWL77:RWS77 SGH77:SGO77 SQD77:SQK77 SZZ77:TAG77 TJV77:TKC77 TTR77:TTY77 UDN77:UDU77 UNJ77:UNQ77 UXF77:UXM77 VHB77:VHI77 VQX77:VRE77 WAT77:WBA77 WKP77:WKW77 WUL77:WUS77 HZ77:IG77 RV55:SC55 ABR55:ABY55 ALN55:ALU55 AVJ55:AVQ55 BFF55:BFM55 BPB55:BPI55 BYX55:BZE55 CIT55:CJA55 CSP55:CSW55 DCL55:DCS55 DMH55:DMO55 DWD55:DWK55 EFZ55:EGG55 EPV55:EQC55 EZR55:EZY55 FJN55:FJU55 FTJ55:FTQ55 GDF55:GDM55 GNB55:GNI55 GWX55:GXE55 HGT55:HHA55 HQP55:HQW55 IAL55:IAS55 IKH55:IKO55 IUD55:IUK55 JDZ55:JEG55 JNV55:JOC55 JXR55:JXY55 KHN55:KHU55 KRJ55:KRQ55 LBF55:LBM55 LLB55:LLI55 LUX55:LVE55 MET55:MFA55 MOP55:MOW55 MYL55:MYS55 NIH55:NIO55 NSD55:NSK55 OBZ55:OCG55 OLV55:OMC55 OVR55:OVY55 PFN55:PFU55 PPJ55:PPQ55 PZF55:PZM55 QJB55:QJI55 QSX55:QTE55 RCT55:RDA55 RMP55:RMW55 H980945 H63441 H128977 H194513 H260049 H325585 H391121 H456657 H522193 H587729 H653265 H718801 H784337 H849873 H915409">
      <formula1>"　　　,有り"</formula1>
    </dataValidation>
    <dataValidation type="list" allowBlank="1" showInputMessage="1" showErrorMessage="1" sqref="WUL980944:WUS980944 H915408 RMP54:RMW54 HZ63440:IG63440 RV63440:SC63440 ABR63440:ABY63440 ALN63440:ALU63440 AVJ63440:AVQ63440 BFF63440:BFM63440 BPB63440:BPI63440 BYX63440:BZE63440 CIT63440:CJA63440 CSP63440:CSW63440 DCL63440:DCS63440 DMH63440:DMO63440 DWD63440:DWK63440 EFZ63440:EGG63440 EPV63440:EQC63440 EZR63440:EZY63440 FJN63440:FJU63440 FTJ63440:FTQ63440 GDF63440:GDM63440 GNB63440:GNI63440 GWX63440:GXE63440 HGT63440:HHA63440 HQP63440:HQW63440 IAL63440:IAS63440 IKH63440:IKO63440 IUD63440:IUK63440 JDZ63440:JEG63440 JNV63440:JOC63440 JXR63440:JXY63440 KHN63440:KHU63440 KRJ63440:KRQ63440 LBF63440:LBM63440 LLB63440:LLI63440 LUX63440:LVE63440 MET63440:MFA63440 MOP63440:MOW63440 MYL63440:MYS63440 NIH63440:NIO63440 NSD63440:NSK63440 OBZ63440:OCG63440 OLV63440:OMC63440 OVR63440:OVY63440 PFN63440:PFU63440 PPJ63440:PPQ63440 PZF63440:PZM63440 QJB63440:QJI63440 QSX63440:QTE63440 RCT63440:RDA63440 RMP63440:RMW63440 RWL63440:RWS63440 SGH63440:SGO63440 SQD63440:SQK63440 SZZ63440:TAG63440 TJV63440:TKC63440 TTR63440:TTY63440 UDN63440:UDU63440 UNJ63440:UNQ63440 UXF63440:UXM63440 VHB63440:VHI63440 VQX63440:VRE63440 WAT63440:WBA63440 WKP63440:WKW63440 WUL63440:WUS63440 RWL54:RWS54 HZ128976:IG128976 RV128976:SC128976 ABR128976:ABY128976 ALN128976:ALU128976 AVJ128976:AVQ128976 BFF128976:BFM128976 BPB128976:BPI128976 BYX128976:BZE128976 CIT128976:CJA128976 CSP128976:CSW128976 DCL128976:DCS128976 DMH128976:DMO128976 DWD128976:DWK128976 EFZ128976:EGG128976 EPV128976:EQC128976 EZR128976:EZY128976 FJN128976:FJU128976 FTJ128976:FTQ128976 GDF128976:GDM128976 GNB128976:GNI128976 GWX128976:GXE128976 HGT128976:HHA128976 HQP128976:HQW128976 IAL128976:IAS128976 IKH128976:IKO128976 IUD128976:IUK128976 JDZ128976:JEG128976 JNV128976:JOC128976 JXR128976:JXY128976 KHN128976:KHU128976 KRJ128976:KRQ128976 LBF128976:LBM128976 LLB128976:LLI128976 LUX128976:LVE128976 MET128976:MFA128976 MOP128976:MOW128976 MYL128976:MYS128976 NIH128976:NIO128976 NSD128976:NSK128976 OBZ128976:OCG128976 OLV128976:OMC128976 OVR128976:OVY128976 PFN128976:PFU128976 PPJ128976:PPQ128976 PZF128976:PZM128976 QJB128976:QJI128976 QSX128976:QTE128976 RCT128976:RDA128976 RMP128976:RMW128976 RWL128976:RWS128976 SGH128976:SGO128976 SQD128976:SQK128976 SZZ128976:TAG128976 TJV128976:TKC128976 TTR128976:TTY128976 UDN128976:UDU128976 UNJ128976:UNQ128976 UXF128976:UXM128976 VHB128976:VHI128976 VQX128976:VRE128976 WAT128976:WBA128976 WKP128976:WKW128976 WUL128976:WUS128976 SGH54:SGO54 HZ194512:IG194512 RV194512:SC194512 ABR194512:ABY194512 ALN194512:ALU194512 AVJ194512:AVQ194512 BFF194512:BFM194512 BPB194512:BPI194512 BYX194512:BZE194512 CIT194512:CJA194512 CSP194512:CSW194512 DCL194512:DCS194512 DMH194512:DMO194512 DWD194512:DWK194512 EFZ194512:EGG194512 EPV194512:EQC194512 EZR194512:EZY194512 FJN194512:FJU194512 FTJ194512:FTQ194512 GDF194512:GDM194512 GNB194512:GNI194512 GWX194512:GXE194512 HGT194512:HHA194512 HQP194512:HQW194512 IAL194512:IAS194512 IKH194512:IKO194512 IUD194512:IUK194512 JDZ194512:JEG194512 JNV194512:JOC194512 JXR194512:JXY194512 KHN194512:KHU194512 KRJ194512:KRQ194512 LBF194512:LBM194512 LLB194512:LLI194512 LUX194512:LVE194512 MET194512:MFA194512 MOP194512:MOW194512 MYL194512:MYS194512 NIH194512:NIO194512 NSD194512:NSK194512 OBZ194512:OCG194512 OLV194512:OMC194512 OVR194512:OVY194512 PFN194512:PFU194512 PPJ194512:PPQ194512 PZF194512:PZM194512 QJB194512:QJI194512 QSX194512:QTE194512 RCT194512:RDA194512 RMP194512:RMW194512 RWL194512:RWS194512 SGH194512:SGO194512 SQD194512:SQK194512 SZZ194512:TAG194512 TJV194512:TKC194512 TTR194512:TTY194512 UDN194512:UDU194512 UNJ194512:UNQ194512 UXF194512:UXM194512 VHB194512:VHI194512 VQX194512:VRE194512 WAT194512:WBA194512 WKP194512:WKW194512 WUL194512:WUS194512 SQD54:SQK54 HZ260048:IG260048 RV260048:SC260048 ABR260048:ABY260048 ALN260048:ALU260048 AVJ260048:AVQ260048 BFF260048:BFM260048 BPB260048:BPI260048 BYX260048:BZE260048 CIT260048:CJA260048 CSP260048:CSW260048 DCL260048:DCS260048 DMH260048:DMO260048 DWD260048:DWK260048 EFZ260048:EGG260048 EPV260048:EQC260048 EZR260048:EZY260048 FJN260048:FJU260048 FTJ260048:FTQ260048 GDF260048:GDM260048 GNB260048:GNI260048 GWX260048:GXE260048 HGT260048:HHA260048 HQP260048:HQW260048 IAL260048:IAS260048 IKH260048:IKO260048 IUD260048:IUK260048 JDZ260048:JEG260048 JNV260048:JOC260048 JXR260048:JXY260048 KHN260048:KHU260048 KRJ260048:KRQ260048 LBF260048:LBM260048 LLB260048:LLI260048 LUX260048:LVE260048 MET260048:MFA260048 MOP260048:MOW260048 MYL260048:MYS260048 NIH260048:NIO260048 NSD260048:NSK260048 OBZ260048:OCG260048 OLV260048:OMC260048 OVR260048:OVY260048 PFN260048:PFU260048 PPJ260048:PPQ260048 PZF260048:PZM260048 QJB260048:QJI260048 QSX260048:QTE260048 RCT260048:RDA260048 RMP260048:RMW260048 RWL260048:RWS260048 SGH260048:SGO260048 SQD260048:SQK260048 SZZ260048:TAG260048 TJV260048:TKC260048 TTR260048:TTY260048 UDN260048:UDU260048 UNJ260048:UNQ260048 UXF260048:UXM260048 VHB260048:VHI260048 VQX260048:VRE260048 WAT260048:WBA260048 WKP260048:WKW260048 WUL260048:WUS260048 SZZ54:TAG54 HZ325584:IG325584 RV325584:SC325584 ABR325584:ABY325584 ALN325584:ALU325584 AVJ325584:AVQ325584 BFF325584:BFM325584 BPB325584:BPI325584 BYX325584:BZE325584 CIT325584:CJA325584 CSP325584:CSW325584 DCL325584:DCS325584 DMH325584:DMO325584 DWD325584:DWK325584 EFZ325584:EGG325584 EPV325584:EQC325584 EZR325584:EZY325584 FJN325584:FJU325584 FTJ325584:FTQ325584 GDF325584:GDM325584 GNB325584:GNI325584 GWX325584:GXE325584 HGT325584:HHA325584 HQP325584:HQW325584 IAL325584:IAS325584 IKH325584:IKO325584 IUD325584:IUK325584 JDZ325584:JEG325584 JNV325584:JOC325584 JXR325584:JXY325584 KHN325584:KHU325584 KRJ325584:KRQ325584 LBF325584:LBM325584 LLB325584:LLI325584 LUX325584:LVE325584 MET325584:MFA325584 MOP325584:MOW325584 MYL325584:MYS325584 NIH325584:NIO325584 NSD325584:NSK325584 OBZ325584:OCG325584 OLV325584:OMC325584 OVR325584:OVY325584 PFN325584:PFU325584 PPJ325584:PPQ325584 PZF325584:PZM325584 QJB325584:QJI325584 QSX325584:QTE325584 RCT325584:RDA325584 RMP325584:RMW325584 RWL325584:RWS325584 SGH325584:SGO325584 SQD325584:SQK325584 SZZ325584:TAG325584 TJV325584:TKC325584 TTR325584:TTY325584 UDN325584:UDU325584 UNJ325584:UNQ325584 UXF325584:UXM325584 VHB325584:VHI325584 VQX325584:VRE325584 WAT325584:WBA325584 WKP325584:WKW325584 WUL325584:WUS325584 TJV54:TKC54 HZ391120:IG391120 RV391120:SC391120 ABR391120:ABY391120 ALN391120:ALU391120 AVJ391120:AVQ391120 BFF391120:BFM391120 BPB391120:BPI391120 BYX391120:BZE391120 CIT391120:CJA391120 CSP391120:CSW391120 DCL391120:DCS391120 DMH391120:DMO391120 DWD391120:DWK391120 EFZ391120:EGG391120 EPV391120:EQC391120 EZR391120:EZY391120 FJN391120:FJU391120 FTJ391120:FTQ391120 GDF391120:GDM391120 GNB391120:GNI391120 GWX391120:GXE391120 HGT391120:HHA391120 HQP391120:HQW391120 IAL391120:IAS391120 IKH391120:IKO391120 IUD391120:IUK391120 JDZ391120:JEG391120 JNV391120:JOC391120 JXR391120:JXY391120 KHN391120:KHU391120 KRJ391120:KRQ391120 LBF391120:LBM391120 LLB391120:LLI391120 LUX391120:LVE391120 MET391120:MFA391120 MOP391120:MOW391120 MYL391120:MYS391120 NIH391120:NIO391120 NSD391120:NSK391120 OBZ391120:OCG391120 OLV391120:OMC391120 OVR391120:OVY391120 PFN391120:PFU391120 PPJ391120:PPQ391120 PZF391120:PZM391120 QJB391120:QJI391120 QSX391120:QTE391120 RCT391120:RDA391120 RMP391120:RMW391120 RWL391120:RWS391120 SGH391120:SGO391120 SQD391120:SQK391120 SZZ391120:TAG391120 TJV391120:TKC391120 TTR391120:TTY391120 UDN391120:UDU391120 UNJ391120:UNQ391120 UXF391120:UXM391120 VHB391120:VHI391120 VQX391120:VRE391120 WAT391120:WBA391120 WKP391120:WKW391120 WUL391120:WUS391120 TTR54:TTY54 HZ456656:IG456656 RV456656:SC456656 ABR456656:ABY456656 ALN456656:ALU456656 AVJ456656:AVQ456656 BFF456656:BFM456656 BPB456656:BPI456656 BYX456656:BZE456656 CIT456656:CJA456656 CSP456656:CSW456656 DCL456656:DCS456656 DMH456656:DMO456656 DWD456656:DWK456656 EFZ456656:EGG456656 EPV456656:EQC456656 EZR456656:EZY456656 FJN456656:FJU456656 FTJ456656:FTQ456656 GDF456656:GDM456656 GNB456656:GNI456656 GWX456656:GXE456656 HGT456656:HHA456656 HQP456656:HQW456656 IAL456656:IAS456656 IKH456656:IKO456656 IUD456656:IUK456656 JDZ456656:JEG456656 JNV456656:JOC456656 JXR456656:JXY456656 KHN456656:KHU456656 KRJ456656:KRQ456656 LBF456656:LBM456656 LLB456656:LLI456656 LUX456656:LVE456656 MET456656:MFA456656 MOP456656:MOW456656 MYL456656:MYS456656 NIH456656:NIO456656 NSD456656:NSK456656 OBZ456656:OCG456656 OLV456656:OMC456656 OVR456656:OVY456656 PFN456656:PFU456656 PPJ456656:PPQ456656 PZF456656:PZM456656 QJB456656:QJI456656 QSX456656:QTE456656 RCT456656:RDA456656 RMP456656:RMW456656 RWL456656:RWS456656 SGH456656:SGO456656 SQD456656:SQK456656 SZZ456656:TAG456656 TJV456656:TKC456656 TTR456656:TTY456656 UDN456656:UDU456656 UNJ456656:UNQ456656 UXF456656:UXM456656 VHB456656:VHI456656 VQX456656:VRE456656 WAT456656:WBA456656 WKP456656:WKW456656 WUL456656:WUS456656 UDN54:UDU54 HZ522192:IG522192 RV522192:SC522192 ABR522192:ABY522192 ALN522192:ALU522192 AVJ522192:AVQ522192 BFF522192:BFM522192 BPB522192:BPI522192 BYX522192:BZE522192 CIT522192:CJA522192 CSP522192:CSW522192 DCL522192:DCS522192 DMH522192:DMO522192 DWD522192:DWK522192 EFZ522192:EGG522192 EPV522192:EQC522192 EZR522192:EZY522192 FJN522192:FJU522192 FTJ522192:FTQ522192 GDF522192:GDM522192 GNB522192:GNI522192 GWX522192:GXE522192 HGT522192:HHA522192 HQP522192:HQW522192 IAL522192:IAS522192 IKH522192:IKO522192 IUD522192:IUK522192 JDZ522192:JEG522192 JNV522192:JOC522192 JXR522192:JXY522192 KHN522192:KHU522192 KRJ522192:KRQ522192 LBF522192:LBM522192 LLB522192:LLI522192 LUX522192:LVE522192 MET522192:MFA522192 MOP522192:MOW522192 MYL522192:MYS522192 NIH522192:NIO522192 NSD522192:NSK522192 OBZ522192:OCG522192 OLV522192:OMC522192 OVR522192:OVY522192 PFN522192:PFU522192 PPJ522192:PPQ522192 PZF522192:PZM522192 QJB522192:QJI522192 QSX522192:QTE522192 RCT522192:RDA522192 RMP522192:RMW522192 RWL522192:RWS522192 SGH522192:SGO522192 SQD522192:SQK522192 SZZ522192:TAG522192 TJV522192:TKC522192 TTR522192:TTY522192 UDN522192:UDU522192 UNJ522192:UNQ522192 UXF522192:UXM522192 VHB522192:VHI522192 VQX522192:VRE522192 WAT522192:WBA522192 WKP522192:WKW522192 WUL522192:WUS522192 UNJ54:UNQ54 HZ587728:IG587728 RV587728:SC587728 ABR587728:ABY587728 ALN587728:ALU587728 AVJ587728:AVQ587728 BFF587728:BFM587728 BPB587728:BPI587728 BYX587728:BZE587728 CIT587728:CJA587728 CSP587728:CSW587728 DCL587728:DCS587728 DMH587728:DMO587728 DWD587728:DWK587728 EFZ587728:EGG587728 EPV587728:EQC587728 EZR587728:EZY587728 FJN587728:FJU587728 FTJ587728:FTQ587728 GDF587728:GDM587728 GNB587728:GNI587728 GWX587728:GXE587728 HGT587728:HHA587728 HQP587728:HQW587728 IAL587728:IAS587728 IKH587728:IKO587728 IUD587728:IUK587728 JDZ587728:JEG587728 JNV587728:JOC587728 JXR587728:JXY587728 KHN587728:KHU587728 KRJ587728:KRQ587728 LBF587728:LBM587728 LLB587728:LLI587728 LUX587728:LVE587728 MET587728:MFA587728 MOP587728:MOW587728 MYL587728:MYS587728 NIH587728:NIO587728 NSD587728:NSK587728 OBZ587728:OCG587728 OLV587728:OMC587728 OVR587728:OVY587728 PFN587728:PFU587728 PPJ587728:PPQ587728 PZF587728:PZM587728 QJB587728:QJI587728 QSX587728:QTE587728 RCT587728:RDA587728 RMP587728:RMW587728 RWL587728:RWS587728 SGH587728:SGO587728 SQD587728:SQK587728 SZZ587728:TAG587728 TJV587728:TKC587728 TTR587728:TTY587728 UDN587728:UDU587728 UNJ587728:UNQ587728 UXF587728:UXM587728 VHB587728:VHI587728 VQX587728:VRE587728 WAT587728:WBA587728 WKP587728:WKW587728 WUL587728:WUS587728 UXF54:UXM54 HZ653264:IG653264 RV653264:SC653264 ABR653264:ABY653264 ALN653264:ALU653264 AVJ653264:AVQ653264 BFF653264:BFM653264 BPB653264:BPI653264 BYX653264:BZE653264 CIT653264:CJA653264 CSP653264:CSW653264 DCL653264:DCS653264 DMH653264:DMO653264 DWD653264:DWK653264 EFZ653264:EGG653264 EPV653264:EQC653264 EZR653264:EZY653264 FJN653264:FJU653264 FTJ653264:FTQ653264 GDF653264:GDM653264 GNB653264:GNI653264 GWX653264:GXE653264 HGT653264:HHA653264 HQP653264:HQW653264 IAL653264:IAS653264 IKH653264:IKO653264 IUD653264:IUK653264 JDZ653264:JEG653264 JNV653264:JOC653264 JXR653264:JXY653264 KHN653264:KHU653264 KRJ653264:KRQ653264 LBF653264:LBM653264 LLB653264:LLI653264 LUX653264:LVE653264 MET653264:MFA653264 MOP653264:MOW653264 MYL653264:MYS653264 NIH653264:NIO653264 NSD653264:NSK653264 OBZ653264:OCG653264 OLV653264:OMC653264 OVR653264:OVY653264 PFN653264:PFU653264 PPJ653264:PPQ653264 PZF653264:PZM653264 QJB653264:QJI653264 QSX653264:QTE653264 RCT653264:RDA653264 RMP653264:RMW653264 RWL653264:RWS653264 SGH653264:SGO653264 SQD653264:SQK653264 SZZ653264:TAG653264 TJV653264:TKC653264 TTR653264:TTY653264 UDN653264:UDU653264 UNJ653264:UNQ653264 UXF653264:UXM653264 VHB653264:VHI653264 VQX653264:VRE653264 WAT653264:WBA653264 WKP653264:WKW653264 WUL653264:WUS653264 VHB54:VHI54 HZ718800:IG718800 RV718800:SC718800 ABR718800:ABY718800 ALN718800:ALU718800 AVJ718800:AVQ718800 BFF718800:BFM718800 BPB718800:BPI718800 BYX718800:BZE718800 CIT718800:CJA718800 CSP718800:CSW718800 DCL718800:DCS718800 DMH718800:DMO718800 DWD718800:DWK718800 EFZ718800:EGG718800 EPV718800:EQC718800 EZR718800:EZY718800 FJN718800:FJU718800 FTJ718800:FTQ718800 GDF718800:GDM718800 GNB718800:GNI718800 GWX718800:GXE718800 HGT718800:HHA718800 HQP718800:HQW718800 IAL718800:IAS718800 IKH718800:IKO718800 IUD718800:IUK718800 JDZ718800:JEG718800 JNV718800:JOC718800 JXR718800:JXY718800 KHN718800:KHU718800 KRJ718800:KRQ718800 LBF718800:LBM718800 LLB718800:LLI718800 LUX718800:LVE718800 MET718800:MFA718800 MOP718800:MOW718800 MYL718800:MYS718800 NIH718800:NIO718800 NSD718800:NSK718800 OBZ718800:OCG718800 OLV718800:OMC718800 OVR718800:OVY718800 PFN718800:PFU718800 PPJ718800:PPQ718800 PZF718800:PZM718800 QJB718800:QJI718800 QSX718800:QTE718800 RCT718800:RDA718800 RMP718800:RMW718800 RWL718800:RWS718800 SGH718800:SGO718800 SQD718800:SQK718800 SZZ718800:TAG718800 TJV718800:TKC718800 TTR718800:TTY718800 UDN718800:UDU718800 UNJ718800:UNQ718800 UXF718800:UXM718800 VHB718800:VHI718800 VQX718800:VRE718800 WAT718800:WBA718800 WKP718800:WKW718800 WUL718800:WUS718800 VQX54:VRE54 HZ784336:IG784336 RV784336:SC784336 ABR784336:ABY784336 ALN784336:ALU784336 AVJ784336:AVQ784336 BFF784336:BFM784336 BPB784336:BPI784336 BYX784336:BZE784336 CIT784336:CJA784336 CSP784336:CSW784336 DCL784336:DCS784336 DMH784336:DMO784336 DWD784336:DWK784336 EFZ784336:EGG784336 EPV784336:EQC784336 EZR784336:EZY784336 FJN784336:FJU784336 FTJ784336:FTQ784336 GDF784336:GDM784336 GNB784336:GNI784336 GWX784336:GXE784336 HGT784336:HHA784336 HQP784336:HQW784336 IAL784336:IAS784336 IKH784336:IKO784336 IUD784336:IUK784336 JDZ784336:JEG784336 JNV784336:JOC784336 JXR784336:JXY784336 KHN784336:KHU784336 KRJ784336:KRQ784336 LBF784336:LBM784336 LLB784336:LLI784336 LUX784336:LVE784336 MET784336:MFA784336 MOP784336:MOW784336 MYL784336:MYS784336 NIH784336:NIO784336 NSD784336:NSK784336 OBZ784336:OCG784336 OLV784336:OMC784336 OVR784336:OVY784336 PFN784336:PFU784336 PPJ784336:PPQ784336 PZF784336:PZM784336 QJB784336:QJI784336 QSX784336:QTE784336 RCT784336:RDA784336 RMP784336:RMW784336 RWL784336:RWS784336 SGH784336:SGO784336 SQD784336:SQK784336 SZZ784336:TAG784336 TJV784336:TKC784336 TTR784336:TTY784336 UDN784336:UDU784336 UNJ784336:UNQ784336 UXF784336:UXM784336 VHB784336:VHI784336 VQX784336:VRE784336 WAT784336:WBA784336 WKP784336:WKW784336 WUL784336:WUS784336 WAT54:WBA54 HZ849872:IG849872 RV849872:SC849872 ABR849872:ABY849872 ALN849872:ALU849872 AVJ849872:AVQ849872 BFF849872:BFM849872 BPB849872:BPI849872 BYX849872:BZE849872 CIT849872:CJA849872 CSP849872:CSW849872 DCL849872:DCS849872 DMH849872:DMO849872 DWD849872:DWK849872 EFZ849872:EGG849872 EPV849872:EQC849872 EZR849872:EZY849872 FJN849872:FJU849872 FTJ849872:FTQ849872 GDF849872:GDM849872 GNB849872:GNI849872 GWX849872:GXE849872 HGT849872:HHA849872 HQP849872:HQW849872 IAL849872:IAS849872 IKH849872:IKO849872 IUD849872:IUK849872 JDZ849872:JEG849872 JNV849872:JOC849872 JXR849872:JXY849872 KHN849872:KHU849872 KRJ849872:KRQ849872 LBF849872:LBM849872 LLB849872:LLI849872 LUX849872:LVE849872 MET849872:MFA849872 MOP849872:MOW849872 MYL849872:MYS849872 NIH849872:NIO849872 NSD849872:NSK849872 OBZ849872:OCG849872 OLV849872:OMC849872 OVR849872:OVY849872 PFN849872:PFU849872 PPJ849872:PPQ849872 PZF849872:PZM849872 QJB849872:QJI849872 QSX849872:QTE849872 RCT849872:RDA849872 RMP849872:RMW849872 RWL849872:RWS849872 SGH849872:SGO849872 SQD849872:SQK849872 SZZ849872:TAG849872 TJV849872:TKC849872 TTR849872:TTY849872 UDN849872:UDU849872 UNJ849872:UNQ849872 UXF849872:UXM849872 VHB849872:VHI849872 VQX849872:VRE849872 WAT849872:WBA849872 WKP849872:WKW849872 WUL849872:WUS849872 WKP54:WKW54 HZ915408:IG915408 RV915408:SC915408 ABR915408:ABY915408 ALN915408:ALU915408 AVJ915408:AVQ915408 BFF915408:BFM915408 BPB915408:BPI915408 BYX915408:BZE915408 CIT915408:CJA915408 CSP915408:CSW915408 DCL915408:DCS915408 DMH915408:DMO915408 DWD915408:DWK915408 EFZ915408:EGG915408 EPV915408:EQC915408 EZR915408:EZY915408 FJN915408:FJU915408 FTJ915408:FTQ915408 GDF915408:GDM915408 GNB915408:GNI915408 GWX915408:GXE915408 HGT915408:HHA915408 HQP915408:HQW915408 IAL915408:IAS915408 IKH915408:IKO915408 IUD915408:IUK915408 JDZ915408:JEG915408 JNV915408:JOC915408 JXR915408:JXY915408 KHN915408:KHU915408 KRJ915408:KRQ915408 LBF915408:LBM915408 LLB915408:LLI915408 LUX915408:LVE915408 MET915408:MFA915408 MOP915408:MOW915408 MYL915408:MYS915408 NIH915408:NIO915408 NSD915408:NSK915408 OBZ915408:OCG915408 OLV915408:OMC915408 OVR915408:OVY915408 PFN915408:PFU915408 PPJ915408:PPQ915408 PZF915408:PZM915408 QJB915408:QJI915408 QSX915408:QTE915408 RCT915408:RDA915408 RMP915408:RMW915408 RWL915408:RWS915408 SGH915408:SGO915408 SQD915408:SQK915408 SZZ915408:TAG915408 TJV915408:TKC915408 TTR915408:TTY915408 UDN915408:UDU915408 UNJ915408:UNQ915408 UXF915408:UXM915408 VHB915408:VHI915408 VQX915408:VRE915408 WAT915408:WBA915408 WKP915408:WKW915408 WUL915408:WUS915408 WUL54:WUS54 HZ980944:IG980944 RV980944:SC980944 ABR980944:ABY980944 ALN980944:ALU980944 AVJ980944:AVQ980944 BFF980944:BFM980944 BPB980944:BPI980944 BYX980944:BZE980944 CIT980944:CJA980944 CSP980944:CSW980944 DCL980944:DCS980944 DMH980944:DMO980944 DWD980944:DWK980944 EFZ980944:EGG980944 EPV980944:EQC980944 EZR980944:EZY980944 FJN980944:FJU980944 FTJ980944:FTQ980944 GDF980944:GDM980944 GNB980944:GNI980944 GWX980944:GXE980944 HGT980944:HHA980944 HQP980944:HQW980944 IAL980944:IAS980944 IKH980944:IKO980944 IUD980944:IUK980944 JDZ980944:JEG980944 JNV980944:JOC980944 JXR980944:JXY980944 KHN980944:KHU980944 KRJ980944:KRQ980944 LBF980944:LBM980944 LLB980944:LLI980944 LUX980944:LVE980944 MET980944:MFA980944 MOP980944:MOW980944 MYL980944:MYS980944 NIH980944:NIO980944 NSD980944:NSK980944 OBZ980944:OCG980944 OLV980944:OMC980944 OVR980944:OVY980944 PFN980944:PFU980944 PPJ980944:PPQ980944 PZF980944:PZM980944 QJB980944:QJI980944 QSX980944:QTE980944 RCT980944:RDA980944 RMP980944:RMW980944 RWL980944:RWS980944 SGH980944:SGO980944 SQD980944:SQK980944 SZZ980944:TAG980944 TJV980944:TKC980944 TTR980944:TTY980944 UDN980944:UDU980944 UNJ980944:UNQ980944 UXF980944:UXM980944 VHB980944:VHI980944 VQX980944:VRE980944 WAT980944:WBA980944 WKP980944:WKW980944 HZ76:IG76 RV76:SC76 ABR76:ABY76 ALN76:ALU76 AVJ76:AVQ76 BFF76:BFM76 BPB76:BPI76 BYX76:BZE76 CIT76:CJA76 CSP76:CSW76 DCL76:DCS76 DMH76:DMO76 DWD76:DWK76 EFZ76:EGG76 EPV76:EQC76 EZR76:EZY76 FJN76:FJU76 FTJ76:FTQ76 GDF76:GDM76 GNB76:GNI76 GWX76:GXE76 HGT76:HHA76 HQP76:HQW76 IAL76:IAS76 IKH76:IKO76 IUD76:IUK76 JDZ76:JEG76 JNV76:JOC76 JXR76:JXY76 KHN76:KHU76 KRJ76:KRQ76 LBF76:LBM76 LLB76:LLI76 LUX76:LVE76 MET76:MFA76 MOP76:MOW76 MYL76:MYS76 NIH76:NIO76 NSD76:NSK76 OBZ76:OCG76 OLV76:OMC76 OVR76:OVY76 PFN76:PFU76 PPJ76:PPQ76 PZF76:PZM76 QJB76:QJI76 QSX76:QTE76 RCT76:RDA76 RMP76:RMW76 RWL76:RWS76 SGH76:SGO76 SQD76:SQK76 SZZ76:TAG76 TJV76:TKC76 TTR76:TTY76 UDN76:UDU76 UNJ76:UNQ76 UXF76:UXM76 VHB76:VHI76 VQX76:VRE76 WAT76:WBA76 WKP76:WKW76 WUL76:WUS76 HZ54:IG54 RV54:SC54 ABR54:ABY54 ALN54:ALU54 AVJ54:AVQ54 BFF54:BFM54 BPB54:BPI54 BYX54:BZE54 CIT54:CJA54 CSP54:CSW54 DCL54:DCS54 DMH54:DMO54 DWD54:DWK54 EFZ54:EGG54 EPV54:EQC54 EZR54:EZY54 FJN54:FJU54 FTJ54:FTQ54 GDF54:GDM54 GNB54:GNI54 GWX54:GXE54 HGT54:HHA54 HQP54:HQW54 IAL54:IAS54 IKH54:IKO54 IUD54:IUK54 JDZ54:JEG54 JNV54:JOC54 JXR54:JXY54 KHN54:KHU54 KRJ54:KRQ54 LBF54:LBM54 LLB54:LLI54 LUX54:LVE54 MET54:MFA54 MOP54:MOW54 MYL54:MYS54 NIH54:NIO54 NSD54:NSK54 OBZ54:OCG54 OLV54:OMC54 OVR54:OVY54 PFN54:PFU54 PPJ54:PPQ54 PZF54:PZM54 QJB54:QJI54 QSX54:QTE54 RCT54:RDA54 H980944 H63440 H128976 H194512 H260048 H325584 H391120 H456656 H522192 H587728 H653264 H718800 H784336 HZ22:IG25 WUL19:WUS20 WKP19:WKW20 WAT19:WBA20 VQX19:VRE20 VHB19:VHI20 UXF19:UXM20 UNJ19:UNQ20 UDN19:UDU20 TTR19:TTY20 TJV19:TKC20 SZZ19:TAG20 SQD19:SQK20 SGH19:SGO20 RWL19:RWS20 RMP19:RMW20 RCT19:RDA20 QSX19:QTE20 QJB19:QJI20 PZF19:PZM20 PPJ19:PPQ20 PFN19:PFU20 OVR19:OVY20 OLV19:OMC20 OBZ19:OCG20 NSD19:NSK20 NIH19:NIO20 MYL19:MYS20 MOP19:MOW20 MET19:MFA20 LUX19:LVE20 LLB19:LLI20 LBF19:LBM20 KRJ19:KRQ20 KHN19:KHU20 JXR19:JXY20 JNV19:JOC20 JDZ19:JEG20 IUD19:IUK20 IKH19:IKO20 IAL19:IAS20 HQP19:HQW20 HGT19:HHA20 GWX19:GXE20 GNB19:GNI20 GDF19:GDM20 FTJ19:FTQ20 FJN19:FJU20 EZR19:EZY20 EPV19:EQC20 EFZ19:EGG20 DWD19:DWK20 DMH19:DMO20 DCL19:DCS20 CSP19:CSW20 CIT19:CJA20 BYX19:BZE20 BPB19:BPI20 BFF19:BFM20 AVJ19:AVQ20 ALN19:ALU20 ABR19:ABY20 RV19:SC20 HZ19:IG20 RV22:SC25 ABR22:ABY25 ALN22:ALU25 AVJ22:AVQ25 BFF22:BFM25 BPB22:BPI25 BYX22:BZE25 CIT22:CJA25 CSP22:CSW25 DCL22:DCS25 DMH22:DMO25 DWD22:DWK25 EFZ22:EGG25 EPV22:EQC25 EZR22:EZY25 FJN22:FJU25 FTJ22:FTQ25 GDF22:GDM25 GNB22:GNI25 GWX22:GXE25 HGT22:HHA25 HQP22:HQW25 IAL22:IAS25 IKH22:IKO25 IUD22:IUK25 JDZ22:JEG25 JNV22:JOC25 JXR22:JXY25 KHN22:KHU25 KRJ22:KRQ25 LBF22:LBM25 LLB22:LLI25 LUX22:LVE25 MET22:MFA25 MOP22:MOW25 MYL22:MYS25 NIH22:NIO25 NSD22:NSK25 OBZ22:OCG25 OLV22:OMC25 OVR22:OVY25 PFN22:PFU25 PPJ22:PPQ25 PZF22:PZM25 QJB22:QJI25 QSX22:QTE25 RCT22:RDA25 RMP22:RMW25 RWL22:RWS25 SGH22:SGO25 SQD22:SQK25 SZZ22:TAG25 TJV22:TKC25 TTR22:TTY25 UDN22:UDU25 UNJ22:UNQ25 UXF22:UXM25 VHB22:VHI25 VQX22:VRE25 WAT22:WBA25 WKP22:WKW25 WUL22:WUS25 H849872">
      <formula1>"積上げ,積上げ・率処理併用"</formula1>
    </dataValidation>
    <dataValidation type="list" allowBlank="1" showInputMessage="1" showErrorMessage="1" sqref="WUJ980944:WUJ980945 WKN980944:WKN980945 F63440:F63441 HX63440:HX63441 RT63440:RT63441 ABP63440:ABP63441 ALL63440:ALL63441 AVH63440:AVH63441 BFD63440:BFD63441 BOZ63440:BOZ63441 BYV63440:BYV63441 CIR63440:CIR63441 CSN63440:CSN63441 DCJ63440:DCJ63441 DMF63440:DMF63441 DWB63440:DWB63441 EFX63440:EFX63441 EPT63440:EPT63441 EZP63440:EZP63441 FJL63440:FJL63441 FTH63440:FTH63441 GDD63440:GDD63441 GMZ63440:GMZ63441 GWV63440:GWV63441 HGR63440:HGR63441 HQN63440:HQN63441 IAJ63440:IAJ63441 IKF63440:IKF63441 IUB63440:IUB63441 JDX63440:JDX63441 JNT63440:JNT63441 JXP63440:JXP63441 KHL63440:KHL63441 KRH63440:KRH63441 LBD63440:LBD63441 LKZ63440:LKZ63441 LUV63440:LUV63441 MER63440:MER63441 MON63440:MON63441 MYJ63440:MYJ63441 NIF63440:NIF63441 NSB63440:NSB63441 OBX63440:OBX63441 OLT63440:OLT63441 OVP63440:OVP63441 PFL63440:PFL63441 PPH63440:PPH63441 PZD63440:PZD63441 QIZ63440:QIZ63441 QSV63440:QSV63441 RCR63440:RCR63441 RMN63440:RMN63441 RWJ63440:RWJ63441 SGF63440:SGF63441 SQB63440:SQB63441 SZX63440:SZX63441 TJT63440:TJT63441 TTP63440:TTP63441 UDL63440:UDL63441 UNH63440:UNH63441 UXD63440:UXD63441 VGZ63440:VGZ63441 VQV63440:VQV63441 WAR63440:WAR63441 WKN63440:WKN63441 WUJ63440:WUJ63441 F128976:F128977 HX128976:HX128977 RT128976:RT128977 ABP128976:ABP128977 ALL128976:ALL128977 AVH128976:AVH128977 BFD128976:BFD128977 BOZ128976:BOZ128977 BYV128976:BYV128977 CIR128976:CIR128977 CSN128976:CSN128977 DCJ128976:DCJ128977 DMF128976:DMF128977 DWB128976:DWB128977 EFX128976:EFX128977 EPT128976:EPT128977 EZP128976:EZP128977 FJL128976:FJL128977 FTH128976:FTH128977 GDD128976:GDD128977 GMZ128976:GMZ128977 GWV128976:GWV128977 HGR128976:HGR128977 HQN128976:HQN128977 IAJ128976:IAJ128977 IKF128976:IKF128977 IUB128976:IUB128977 JDX128976:JDX128977 JNT128976:JNT128977 JXP128976:JXP128977 KHL128976:KHL128977 KRH128976:KRH128977 LBD128976:LBD128977 LKZ128976:LKZ128977 LUV128976:LUV128977 MER128976:MER128977 MON128976:MON128977 MYJ128976:MYJ128977 NIF128976:NIF128977 NSB128976:NSB128977 OBX128976:OBX128977 OLT128976:OLT128977 OVP128976:OVP128977 PFL128976:PFL128977 PPH128976:PPH128977 PZD128976:PZD128977 QIZ128976:QIZ128977 QSV128976:QSV128977 RCR128976:RCR128977 RMN128976:RMN128977 RWJ128976:RWJ128977 SGF128976:SGF128977 SQB128976:SQB128977 SZX128976:SZX128977 TJT128976:TJT128977 TTP128976:TTP128977 UDL128976:UDL128977 UNH128976:UNH128977 UXD128976:UXD128977 VGZ128976:VGZ128977 VQV128976:VQV128977 WAR128976:WAR128977 WKN128976:WKN128977 WUJ128976:WUJ128977 F194512:F194513 HX194512:HX194513 RT194512:RT194513 ABP194512:ABP194513 ALL194512:ALL194513 AVH194512:AVH194513 BFD194512:BFD194513 BOZ194512:BOZ194513 BYV194512:BYV194513 CIR194512:CIR194513 CSN194512:CSN194513 DCJ194512:DCJ194513 DMF194512:DMF194513 DWB194512:DWB194513 EFX194512:EFX194513 EPT194512:EPT194513 EZP194512:EZP194513 FJL194512:FJL194513 FTH194512:FTH194513 GDD194512:GDD194513 GMZ194512:GMZ194513 GWV194512:GWV194513 HGR194512:HGR194513 HQN194512:HQN194513 IAJ194512:IAJ194513 IKF194512:IKF194513 IUB194512:IUB194513 JDX194512:JDX194513 JNT194512:JNT194513 JXP194512:JXP194513 KHL194512:KHL194513 KRH194512:KRH194513 LBD194512:LBD194513 LKZ194512:LKZ194513 LUV194512:LUV194513 MER194512:MER194513 MON194512:MON194513 MYJ194512:MYJ194513 NIF194512:NIF194513 NSB194512:NSB194513 OBX194512:OBX194513 OLT194512:OLT194513 OVP194512:OVP194513 PFL194512:PFL194513 PPH194512:PPH194513 PZD194512:PZD194513 QIZ194512:QIZ194513 QSV194512:QSV194513 RCR194512:RCR194513 RMN194512:RMN194513 RWJ194512:RWJ194513 SGF194512:SGF194513 SQB194512:SQB194513 SZX194512:SZX194513 TJT194512:TJT194513 TTP194512:TTP194513 UDL194512:UDL194513 UNH194512:UNH194513 UXD194512:UXD194513 VGZ194512:VGZ194513 VQV194512:VQV194513 WAR194512:WAR194513 WKN194512:WKN194513 WUJ194512:WUJ194513 F260048:F260049 HX260048:HX260049 RT260048:RT260049 ABP260048:ABP260049 ALL260048:ALL260049 AVH260048:AVH260049 BFD260048:BFD260049 BOZ260048:BOZ260049 BYV260048:BYV260049 CIR260048:CIR260049 CSN260048:CSN260049 DCJ260048:DCJ260049 DMF260048:DMF260049 DWB260048:DWB260049 EFX260048:EFX260049 EPT260048:EPT260049 EZP260048:EZP260049 FJL260048:FJL260049 FTH260048:FTH260049 GDD260048:GDD260049 GMZ260048:GMZ260049 GWV260048:GWV260049 HGR260048:HGR260049 HQN260048:HQN260049 IAJ260048:IAJ260049 IKF260048:IKF260049 IUB260048:IUB260049 JDX260048:JDX260049 JNT260048:JNT260049 JXP260048:JXP260049 KHL260048:KHL260049 KRH260048:KRH260049 LBD260048:LBD260049 LKZ260048:LKZ260049 LUV260048:LUV260049 MER260048:MER260049 MON260048:MON260049 MYJ260048:MYJ260049 NIF260048:NIF260049 NSB260048:NSB260049 OBX260048:OBX260049 OLT260048:OLT260049 OVP260048:OVP260049 PFL260048:PFL260049 PPH260048:PPH260049 PZD260048:PZD260049 QIZ260048:QIZ260049 QSV260048:QSV260049 RCR260048:RCR260049 RMN260048:RMN260049 RWJ260048:RWJ260049 SGF260048:SGF260049 SQB260048:SQB260049 SZX260048:SZX260049 TJT260048:TJT260049 TTP260048:TTP260049 UDL260048:UDL260049 UNH260048:UNH260049 UXD260048:UXD260049 VGZ260048:VGZ260049 VQV260048:VQV260049 WAR260048:WAR260049 WKN260048:WKN260049 WUJ260048:WUJ260049 F325584:F325585 HX325584:HX325585 RT325584:RT325585 ABP325584:ABP325585 ALL325584:ALL325585 AVH325584:AVH325585 BFD325584:BFD325585 BOZ325584:BOZ325585 BYV325584:BYV325585 CIR325584:CIR325585 CSN325584:CSN325585 DCJ325584:DCJ325585 DMF325584:DMF325585 DWB325584:DWB325585 EFX325584:EFX325585 EPT325584:EPT325585 EZP325584:EZP325585 FJL325584:FJL325585 FTH325584:FTH325585 GDD325584:GDD325585 GMZ325584:GMZ325585 GWV325584:GWV325585 HGR325584:HGR325585 HQN325584:HQN325585 IAJ325584:IAJ325585 IKF325584:IKF325585 IUB325584:IUB325585 JDX325584:JDX325585 JNT325584:JNT325585 JXP325584:JXP325585 KHL325584:KHL325585 KRH325584:KRH325585 LBD325584:LBD325585 LKZ325584:LKZ325585 LUV325584:LUV325585 MER325584:MER325585 MON325584:MON325585 MYJ325584:MYJ325585 NIF325584:NIF325585 NSB325584:NSB325585 OBX325584:OBX325585 OLT325584:OLT325585 OVP325584:OVP325585 PFL325584:PFL325585 PPH325584:PPH325585 PZD325584:PZD325585 QIZ325584:QIZ325585 QSV325584:QSV325585 RCR325584:RCR325585 RMN325584:RMN325585 RWJ325584:RWJ325585 SGF325584:SGF325585 SQB325584:SQB325585 SZX325584:SZX325585 TJT325584:TJT325585 TTP325584:TTP325585 UDL325584:UDL325585 UNH325584:UNH325585 UXD325584:UXD325585 VGZ325584:VGZ325585 VQV325584:VQV325585 WAR325584:WAR325585 WKN325584:WKN325585 WUJ325584:WUJ325585 F391120:F391121 HX391120:HX391121 RT391120:RT391121 ABP391120:ABP391121 ALL391120:ALL391121 AVH391120:AVH391121 BFD391120:BFD391121 BOZ391120:BOZ391121 BYV391120:BYV391121 CIR391120:CIR391121 CSN391120:CSN391121 DCJ391120:DCJ391121 DMF391120:DMF391121 DWB391120:DWB391121 EFX391120:EFX391121 EPT391120:EPT391121 EZP391120:EZP391121 FJL391120:FJL391121 FTH391120:FTH391121 GDD391120:GDD391121 GMZ391120:GMZ391121 GWV391120:GWV391121 HGR391120:HGR391121 HQN391120:HQN391121 IAJ391120:IAJ391121 IKF391120:IKF391121 IUB391120:IUB391121 JDX391120:JDX391121 JNT391120:JNT391121 JXP391120:JXP391121 KHL391120:KHL391121 KRH391120:KRH391121 LBD391120:LBD391121 LKZ391120:LKZ391121 LUV391120:LUV391121 MER391120:MER391121 MON391120:MON391121 MYJ391120:MYJ391121 NIF391120:NIF391121 NSB391120:NSB391121 OBX391120:OBX391121 OLT391120:OLT391121 OVP391120:OVP391121 PFL391120:PFL391121 PPH391120:PPH391121 PZD391120:PZD391121 QIZ391120:QIZ391121 QSV391120:QSV391121 RCR391120:RCR391121 RMN391120:RMN391121 RWJ391120:RWJ391121 SGF391120:SGF391121 SQB391120:SQB391121 SZX391120:SZX391121 TJT391120:TJT391121 TTP391120:TTP391121 UDL391120:UDL391121 UNH391120:UNH391121 UXD391120:UXD391121 VGZ391120:VGZ391121 VQV391120:VQV391121 WAR391120:WAR391121 WKN391120:WKN391121 WUJ391120:WUJ391121 F456656:F456657 HX456656:HX456657 RT456656:RT456657 ABP456656:ABP456657 ALL456656:ALL456657 AVH456656:AVH456657 BFD456656:BFD456657 BOZ456656:BOZ456657 BYV456656:BYV456657 CIR456656:CIR456657 CSN456656:CSN456657 DCJ456656:DCJ456657 DMF456656:DMF456657 DWB456656:DWB456657 EFX456656:EFX456657 EPT456656:EPT456657 EZP456656:EZP456657 FJL456656:FJL456657 FTH456656:FTH456657 GDD456656:GDD456657 GMZ456656:GMZ456657 GWV456656:GWV456657 HGR456656:HGR456657 HQN456656:HQN456657 IAJ456656:IAJ456657 IKF456656:IKF456657 IUB456656:IUB456657 JDX456656:JDX456657 JNT456656:JNT456657 JXP456656:JXP456657 KHL456656:KHL456657 KRH456656:KRH456657 LBD456656:LBD456657 LKZ456656:LKZ456657 LUV456656:LUV456657 MER456656:MER456657 MON456656:MON456657 MYJ456656:MYJ456657 NIF456656:NIF456657 NSB456656:NSB456657 OBX456656:OBX456657 OLT456656:OLT456657 OVP456656:OVP456657 PFL456656:PFL456657 PPH456656:PPH456657 PZD456656:PZD456657 QIZ456656:QIZ456657 QSV456656:QSV456657 RCR456656:RCR456657 RMN456656:RMN456657 RWJ456656:RWJ456657 SGF456656:SGF456657 SQB456656:SQB456657 SZX456656:SZX456657 TJT456656:TJT456657 TTP456656:TTP456657 UDL456656:UDL456657 UNH456656:UNH456657 UXD456656:UXD456657 VGZ456656:VGZ456657 VQV456656:VQV456657 WAR456656:WAR456657 WKN456656:WKN456657 WUJ456656:WUJ456657 F522192:F522193 HX522192:HX522193 RT522192:RT522193 ABP522192:ABP522193 ALL522192:ALL522193 AVH522192:AVH522193 BFD522192:BFD522193 BOZ522192:BOZ522193 BYV522192:BYV522193 CIR522192:CIR522193 CSN522192:CSN522193 DCJ522192:DCJ522193 DMF522192:DMF522193 DWB522192:DWB522193 EFX522192:EFX522193 EPT522192:EPT522193 EZP522192:EZP522193 FJL522192:FJL522193 FTH522192:FTH522193 GDD522192:GDD522193 GMZ522192:GMZ522193 GWV522192:GWV522193 HGR522192:HGR522193 HQN522192:HQN522193 IAJ522192:IAJ522193 IKF522192:IKF522193 IUB522192:IUB522193 JDX522192:JDX522193 JNT522192:JNT522193 JXP522192:JXP522193 KHL522192:KHL522193 KRH522192:KRH522193 LBD522192:LBD522193 LKZ522192:LKZ522193 LUV522192:LUV522193 MER522192:MER522193 MON522192:MON522193 MYJ522192:MYJ522193 NIF522192:NIF522193 NSB522192:NSB522193 OBX522192:OBX522193 OLT522192:OLT522193 OVP522192:OVP522193 PFL522192:PFL522193 PPH522192:PPH522193 PZD522192:PZD522193 QIZ522192:QIZ522193 QSV522192:QSV522193 RCR522192:RCR522193 RMN522192:RMN522193 RWJ522192:RWJ522193 SGF522192:SGF522193 SQB522192:SQB522193 SZX522192:SZX522193 TJT522192:TJT522193 TTP522192:TTP522193 UDL522192:UDL522193 UNH522192:UNH522193 UXD522192:UXD522193 VGZ522192:VGZ522193 VQV522192:VQV522193 WAR522192:WAR522193 WKN522192:WKN522193 WUJ522192:WUJ522193 F587728:F587729 HX587728:HX587729 RT587728:RT587729 ABP587728:ABP587729 ALL587728:ALL587729 AVH587728:AVH587729 BFD587728:BFD587729 BOZ587728:BOZ587729 BYV587728:BYV587729 CIR587728:CIR587729 CSN587728:CSN587729 DCJ587728:DCJ587729 DMF587728:DMF587729 DWB587728:DWB587729 EFX587728:EFX587729 EPT587728:EPT587729 EZP587728:EZP587729 FJL587728:FJL587729 FTH587728:FTH587729 GDD587728:GDD587729 GMZ587728:GMZ587729 GWV587728:GWV587729 HGR587728:HGR587729 HQN587728:HQN587729 IAJ587728:IAJ587729 IKF587728:IKF587729 IUB587728:IUB587729 JDX587728:JDX587729 JNT587728:JNT587729 JXP587728:JXP587729 KHL587728:KHL587729 KRH587728:KRH587729 LBD587728:LBD587729 LKZ587728:LKZ587729 LUV587728:LUV587729 MER587728:MER587729 MON587728:MON587729 MYJ587728:MYJ587729 NIF587728:NIF587729 NSB587728:NSB587729 OBX587728:OBX587729 OLT587728:OLT587729 OVP587728:OVP587729 PFL587728:PFL587729 PPH587728:PPH587729 PZD587728:PZD587729 QIZ587728:QIZ587729 QSV587728:QSV587729 RCR587728:RCR587729 RMN587728:RMN587729 RWJ587728:RWJ587729 SGF587728:SGF587729 SQB587728:SQB587729 SZX587728:SZX587729 TJT587728:TJT587729 TTP587728:TTP587729 UDL587728:UDL587729 UNH587728:UNH587729 UXD587728:UXD587729 VGZ587728:VGZ587729 VQV587728:VQV587729 WAR587728:WAR587729 WKN587728:WKN587729 WUJ587728:WUJ587729 F653264:F653265 HX653264:HX653265 RT653264:RT653265 ABP653264:ABP653265 ALL653264:ALL653265 AVH653264:AVH653265 BFD653264:BFD653265 BOZ653264:BOZ653265 BYV653264:BYV653265 CIR653264:CIR653265 CSN653264:CSN653265 DCJ653264:DCJ653265 DMF653264:DMF653265 DWB653264:DWB653265 EFX653264:EFX653265 EPT653264:EPT653265 EZP653264:EZP653265 FJL653264:FJL653265 FTH653264:FTH653265 GDD653264:GDD653265 GMZ653264:GMZ653265 GWV653264:GWV653265 HGR653264:HGR653265 HQN653264:HQN653265 IAJ653264:IAJ653265 IKF653264:IKF653265 IUB653264:IUB653265 JDX653264:JDX653265 JNT653264:JNT653265 JXP653264:JXP653265 KHL653264:KHL653265 KRH653264:KRH653265 LBD653264:LBD653265 LKZ653264:LKZ653265 LUV653264:LUV653265 MER653264:MER653265 MON653264:MON653265 MYJ653264:MYJ653265 NIF653264:NIF653265 NSB653264:NSB653265 OBX653264:OBX653265 OLT653264:OLT653265 OVP653264:OVP653265 PFL653264:PFL653265 PPH653264:PPH653265 PZD653264:PZD653265 QIZ653264:QIZ653265 QSV653264:QSV653265 RCR653264:RCR653265 RMN653264:RMN653265 RWJ653264:RWJ653265 SGF653264:SGF653265 SQB653264:SQB653265 SZX653264:SZX653265 TJT653264:TJT653265 TTP653264:TTP653265 UDL653264:UDL653265 UNH653264:UNH653265 UXD653264:UXD653265 VGZ653264:VGZ653265 VQV653264:VQV653265 WAR653264:WAR653265 WKN653264:WKN653265 WUJ653264:WUJ653265 F718800:F718801 HX718800:HX718801 RT718800:RT718801 ABP718800:ABP718801 ALL718800:ALL718801 AVH718800:AVH718801 BFD718800:BFD718801 BOZ718800:BOZ718801 BYV718800:BYV718801 CIR718800:CIR718801 CSN718800:CSN718801 DCJ718800:DCJ718801 DMF718800:DMF718801 DWB718800:DWB718801 EFX718800:EFX718801 EPT718800:EPT718801 EZP718800:EZP718801 FJL718800:FJL718801 FTH718800:FTH718801 GDD718800:GDD718801 GMZ718800:GMZ718801 GWV718800:GWV718801 HGR718800:HGR718801 HQN718800:HQN718801 IAJ718800:IAJ718801 IKF718800:IKF718801 IUB718800:IUB718801 JDX718800:JDX718801 JNT718800:JNT718801 JXP718800:JXP718801 KHL718800:KHL718801 KRH718800:KRH718801 LBD718800:LBD718801 LKZ718800:LKZ718801 LUV718800:LUV718801 MER718800:MER718801 MON718800:MON718801 MYJ718800:MYJ718801 NIF718800:NIF718801 NSB718800:NSB718801 OBX718800:OBX718801 OLT718800:OLT718801 OVP718800:OVP718801 PFL718800:PFL718801 PPH718800:PPH718801 PZD718800:PZD718801 QIZ718800:QIZ718801 QSV718800:QSV718801 RCR718800:RCR718801 RMN718800:RMN718801 RWJ718800:RWJ718801 SGF718800:SGF718801 SQB718800:SQB718801 SZX718800:SZX718801 TJT718800:TJT718801 TTP718800:TTP718801 UDL718800:UDL718801 UNH718800:UNH718801 UXD718800:UXD718801 VGZ718800:VGZ718801 VQV718800:VQV718801 WAR718800:WAR718801 WKN718800:WKN718801 WUJ718800:WUJ718801 F784336:F784337 HX784336:HX784337 RT784336:RT784337 ABP784336:ABP784337 ALL784336:ALL784337 AVH784336:AVH784337 BFD784336:BFD784337 BOZ784336:BOZ784337 BYV784336:BYV784337 CIR784336:CIR784337 CSN784336:CSN784337 DCJ784336:DCJ784337 DMF784336:DMF784337 DWB784336:DWB784337 EFX784336:EFX784337 EPT784336:EPT784337 EZP784336:EZP784337 FJL784336:FJL784337 FTH784336:FTH784337 GDD784336:GDD784337 GMZ784336:GMZ784337 GWV784336:GWV784337 HGR784336:HGR784337 HQN784336:HQN784337 IAJ784336:IAJ784337 IKF784336:IKF784337 IUB784336:IUB784337 JDX784336:JDX784337 JNT784336:JNT784337 JXP784336:JXP784337 KHL784336:KHL784337 KRH784336:KRH784337 LBD784336:LBD784337 LKZ784336:LKZ784337 LUV784336:LUV784337 MER784336:MER784337 MON784336:MON784337 MYJ784336:MYJ784337 NIF784336:NIF784337 NSB784336:NSB784337 OBX784336:OBX784337 OLT784336:OLT784337 OVP784336:OVP784337 PFL784336:PFL784337 PPH784336:PPH784337 PZD784336:PZD784337 QIZ784336:QIZ784337 QSV784336:QSV784337 RCR784336:RCR784337 RMN784336:RMN784337 RWJ784336:RWJ784337 SGF784336:SGF784337 SQB784336:SQB784337 SZX784336:SZX784337 TJT784336:TJT784337 TTP784336:TTP784337 UDL784336:UDL784337 UNH784336:UNH784337 UXD784336:UXD784337 VGZ784336:VGZ784337 VQV784336:VQV784337 WAR784336:WAR784337 WKN784336:WKN784337 WUJ784336:WUJ784337 F849872:F849873 HX849872:HX849873 RT849872:RT849873 ABP849872:ABP849873 ALL849872:ALL849873 AVH849872:AVH849873 BFD849872:BFD849873 BOZ849872:BOZ849873 BYV849872:BYV849873 CIR849872:CIR849873 CSN849872:CSN849873 DCJ849872:DCJ849873 DMF849872:DMF849873 DWB849872:DWB849873 EFX849872:EFX849873 EPT849872:EPT849873 EZP849872:EZP849873 FJL849872:FJL849873 FTH849872:FTH849873 GDD849872:GDD849873 GMZ849872:GMZ849873 GWV849872:GWV849873 HGR849872:HGR849873 HQN849872:HQN849873 IAJ849872:IAJ849873 IKF849872:IKF849873 IUB849872:IUB849873 JDX849872:JDX849873 JNT849872:JNT849873 JXP849872:JXP849873 KHL849872:KHL849873 KRH849872:KRH849873 LBD849872:LBD849873 LKZ849872:LKZ849873 LUV849872:LUV849873 MER849872:MER849873 MON849872:MON849873 MYJ849872:MYJ849873 NIF849872:NIF849873 NSB849872:NSB849873 OBX849872:OBX849873 OLT849872:OLT849873 OVP849872:OVP849873 PFL849872:PFL849873 PPH849872:PPH849873 PZD849872:PZD849873 QIZ849872:QIZ849873 QSV849872:QSV849873 RCR849872:RCR849873 RMN849872:RMN849873 RWJ849872:RWJ849873 SGF849872:SGF849873 SQB849872:SQB849873 SZX849872:SZX849873 TJT849872:TJT849873 TTP849872:TTP849873 UDL849872:UDL849873 UNH849872:UNH849873 UXD849872:UXD849873 VGZ849872:VGZ849873 VQV849872:VQV849873 WAR849872:WAR849873 WKN849872:WKN849873 WUJ849872:WUJ849873 F915408:F915409 HX915408:HX915409 RT915408:RT915409 ABP915408:ABP915409 ALL915408:ALL915409 AVH915408:AVH915409 BFD915408:BFD915409 BOZ915408:BOZ915409 BYV915408:BYV915409 CIR915408:CIR915409 CSN915408:CSN915409 DCJ915408:DCJ915409 DMF915408:DMF915409 DWB915408:DWB915409 EFX915408:EFX915409 EPT915408:EPT915409 EZP915408:EZP915409 FJL915408:FJL915409 FTH915408:FTH915409 GDD915408:GDD915409 GMZ915408:GMZ915409 GWV915408:GWV915409 HGR915408:HGR915409 HQN915408:HQN915409 IAJ915408:IAJ915409 IKF915408:IKF915409 IUB915408:IUB915409 JDX915408:JDX915409 JNT915408:JNT915409 JXP915408:JXP915409 KHL915408:KHL915409 KRH915408:KRH915409 LBD915408:LBD915409 LKZ915408:LKZ915409 LUV915408:LUV915409 MER915408:MER915409 MON915408:MON915409 MYJ915408:MYJ915409 NIF915408:NIF915409 NSB915408:NSB915409 OBX915408:OBX915409 OLT915408:OLT915409 OVP915408:OVP915409 PFL915408:PFL915409 PPH915408:PPH915409 PZD915408:PZD915409 QIZ915408:QIZ915409 QSV915408:QSV915409 RCR915408:RCR915409 RMN915408:RMN915409 RWJ915408:RWJ915409 SGF915408:SGF915409 SQB915408:SQB915409 SZX915408:SZX915409 TJT915408:TJT915409 TTP915408:TTP915409 UDL915408:UDL915409 UNH915408:UNH915409 UXD915408:UXD915409 VGZ915408:VGZ915409 VQV915408:VQV915409 WAR915408:WAR915409 WKN915408:WKN915409 WUJ915408:WUJ915409 F980944:F980945 HX980944:HX980945 RT980944:RT980945 ABP980944:ABP980945 ALL980944:ALL980945 AVH980944:AVH980945 BFD980944:BFD980945 BOZ980944:BOZ980945 BYV980944:BYV980945 CIR980944:CIR980945 CSN980944:CSN980945 DCJ980944:DCJ980945 DMF980944:DMF980945 DWB980944:DWB980945 EFX980944:EFX980945 EPT980944:EPT980945 EZP980944:EZP980945 FJL980944:FJL980945 FTH980944:FTH980945 GDD980944:GDD980945 GMZ980944:GMZ980945 GWV980944:GWV980945 HGR980944:HGR980945 HQN980944:HQN980945 IAJ980944:IAJ980945 IKF980944:IKF980945 IUB980944:IUB980945 JDX980944:JDX980945 JNT980944:JNT980945 JXP980944:JXP980945 KHL980944:KHL980945 KRH980944:KRH980945 LBD980944:LBD980945 LKZ980944:LKZ980945 LUV980944:LUV980945 MER980944:MER980945 MON980944:MON980945 MYJ980944:MYJ980945 NIF980944:NIF980945 NSB980944:NSB980945 OBX980944:OBX980945 OLT980944:OLT980945 OVP980944:OVP980945 PFL980944:PFL980945 PPH980944:PPH980945 PZD980944:PZD980945 QIZ980944:QIZ980945 QSV980944:QSV980945 RCR980944:RCR980945 RMN980944:RMN980945 RWJ980944:RWJ980945 SGF980944:SGF980945 SQB980944:SQB980945 SZX980944:SZX980945 TJT980944:TJT980945 TTP980944:TTP980945 UDL980944:UDL980945 UNH980944:UNH980945 UXD980944:UXD980945 VGZ980944:VGZ980945 VQV980944:VQV980945 WAR980944:WAR980945 HX54:HX55 RT76:RT77 ABP76:ABP77 ALL76:ALL77 AVH76:AVH77 BFD76:BFD77 BOZ76:BOZ77 BYV76:BYV77 CIR76:CIR77 CSN76:CSN77 DCJ76:DCJ77 DMF76:DMF77 DWB76:DWB77 EFX76:EFX77 EPT76:EPT77 EZP76:EZP77 FJL76:FJL77 FTH76:FTH77 GDD76:GDD77 GMZ76:GMZ77 GWV76:GWV77 HGR76:HGR77 HQN76:HQN77 IAJ76:IAJ77 IKF76:IKF77 IUB76:IUB77 JDX76:JDX77 JNT76:JNT77 JXP76:JXP77 KHL76:KHL77 KRH76:KRH77 LBD76:LBD77 LKZ76:LKZ77 LUV76:LUV77 MER76:MER77 MON76:MON77 MYJ76:MYJ77 NIF76:NIF77 NSB76:NSB77 OBX76:OBX77 OLT76:OLT77 OVP76:OVP77 PFL76:PFL77 PPH76:PPH77 PZD76:PZD77 QIZ76:QIZ77 QSV76:QSV77 RCR76:RCR77 RMN76:RMN77 RWJ76:RWJ77 SGF76:SGF77 SQB76:SQB77 SZX76:SZX77 TJT76:TJT77 TTP76:TTP77 UDL76:UDL77 UNH76:UNH77 UXD76:UXD77 VGZ76:VGZ77 VQV76:VQV77 WAR76:WAR77 WKN76:WKN77 WUJ76:WUJ77 HX76:HX77 RT54:RT55 ABP54:ABP55 ALL54:ALL55 AVH54:AVH55 BFD54:BFD55 BOZ54:BOZ55 BYV54:BYV55 CIR54:CIR55 CSN54:CSN55 DCJ54:DCJ55 DMF54:DMF55 DWB54:DWB55 EFX54:EFX55 EPT54:EPT55 EZP54:EZP55 FJL54:FJL55 FTH54:FTH55 GDD54:GDD55 GMZ54:GMZ55 GWV54:GWV55 HGR54:HGR55 HQN54:HQN55 IAJ54:IAJ55 IKF54:IKF55 IUB54:IUB55 JDX54:JDX55 JNT54:JNT55 JXP54:JXP55 KHL54:KHL55 KRH54:KRH55 LBD54:LBD55 LKZ54:LKZ55 LUV54:LUV55 MER54:MER55 MON54:MON55 MYJ54:MYJ55 NIF54:NIF55 NSB54:NSB55 OBX54:OBX55 OLT54:OLT55 OVP54:OVP55 PFL54:PFL55 PPH54:PPH55 PZD54:PZD55 QIZ54:QIZ55 QSV54:QSV55 RCR54:RCR55 RMN54:RMN55 RWJ54:RWJ55 SGF54:SGF55 SQB54:SQB55 SZX54:SZX55 TJT54:TJT55 TTP54:TTP55 UDL54:UDL55 UNH54:UNH55 UXD54:UXD55 VGZ54:VGZ55 VQV54:VQV55 WAR54:WAR55 WKN54:WKN55 WUJ54:WUJ55 HX19:HX20 WUJ19:WUJ20 WKN19:WKN20 WAR19:WAR20 VQV19:VQV20 VGZ19:VGZ20 UXD19:UXD20 UNH19:UNH20 UDL19:UDL20 TTP19:TTP20 TJT19:TJT20 SZX19:SZX20 SQB19:SQB20 SGF19:SGF20 RWJ19:RWJ20 RMN19:RMN20 RCR19:RCR20 QSV19:QSV20 QIZ19:QIZ20 PZD19:PZD20 PPH19:PPH20 PFL19:PFL20 OVP19:OVP20 OLT19:OLT20 OBX19:OBX20 NSB19:NSB20 NIF19:NIF20 MYJ19:MYJ20 MON19:MON20 MER19:MER20 LUV19:LUV20 LKZ19:LKZ20 LBD19:LBD20 KRH19:KRH20 KHL19:KHL20 JXP19:JXP20 JNT19:JNT20 JDX19:JDX20 IUB19:IUB20 IKF19:IKF20 IAJ19:IAJ20 HQN19:HQN20 HGR19:HGR20 GWV19:GWV20 GMZ19:GMZ20 GDD19:GDD20 FTH19:FTH20 FJL19:FJL20 EZP19:EZP20 EPT19:EPT20 EFX19:EFX20 DWB19:DWB20 DMF19:DMF20 DCJ19:DCJ20 CSN19:CSN20 CIR19:CIR20 BYV19:BYV20 BOZ19:BOZ20 BFD19:BFD20 AVH19:AVH20 ALL19:ALL20 ABP19:ABP20 RT19:RT20 ABP22:ABP26 ALL22:ALL26 AVH22:AVH26 BFD22:BFD26 BOZ22:BOZ26 BYV22:BYV26 CIR22:CIR26 CSN22:CSN26 DCJ22:DCJ26 DMF22:DMF26 DWB22:DWB26 EFX22:EFX26 EPT22:EPT26 EZP22:EZP26 FJL22:FJL26 FTH22:FTH26 GDD22:GDD26 GMZ22:GMZ26 GWV22:GWV26 HGR22:HGR26 HQN22:HQN26 IAJ22:IAJ26 IKF22:IKF26 IUB22:IUB26 JDX22:JDX26 JNT22:JNT26 JXP22:JXP26 KHL22:KHL26 KRH22:KRH26 LBD22:LBD26 LKZ22:LKZ26 LUV22:LUV26 MER22:MER26 MON22:MON26 MYJ22:MYJ26 NIF22:NIF26 NSB22:NSB26 OBX22:OBX26 OLT22:OLT26 OVP22:OVP26 PFL22:PFL26 PPH22:PPH26 PZD22:PZD26 QIZ22:QIZ26 QSV22:QSV26 RCR22:RCR26 RMN22:RMN26 RWJ22:RWJ26 SGF22:SGF26 SQB22:SQB26 SZX22:SZX26 TJT22:TJT26 TTP22:TTP26 UDL22:UDL26 UNH22:UNH26 UXD22:UXD26 VGZ22:VGZ26 VQV22:VQV26 WAR22:WAR26 WKN22:WKN26 WUJ22:WUJ26 HX22:HX26 RT22:RT26">
      <formula1>"○,×"</formula1>
    </dataValidation>
    <dataValidation type="list" allowBlank="1" showInputMessage="1" showErrorMessage="1" sqref="WUJ980942:WUJ980943 HX17:HX18 RT17:RT18 ABP17:ABP18 ALL17:ALL18 AVH17:AVH18 BFD17:BFD18 BOZ17:BOZ18 BYV17:BYV18 CIR17:CIR18 CSN17:CSN18 DCJ17:DCJ18 DMF17:DMF18 DWB17:DWB18 EFX17:EFX18 EPT17:EPT18 EZP17:EZP18 FJL17:FJL18 FTH17:FTH18 GDD17:GDD18 GMZ17:GMZ18 GWV17:GWV18 HGR17:HGR18 HQN17:HQN18 IAJ17:IAJ18 IKF17:IKF18 IUB17:IUB18 JDX17:JDX18 JNT17:JNT18 JXP17:JXP18 KHL17:KHL18 KRH17:KRH18 LBD17:LBD18 LKZ17:LKZ18 LUV17:LUV18 MER17:MER18 MON17:MON18 MYJ17:MYJ18 NIF17:NIF18 NSB17:NSB18 OBX17:OBX18 OLT17:OLT18 OVP17:OVP18 PFL17:PFL18 PPH17:PPH18 PZD17:PZD18 QIZ17:QIZ18 QSV17:QSV18 RCR17:RCR18 RMN17:RMN18 RWJ17:RWJ18 SGF17:SGF18 SQB17:SQB18 SZX17:SZX18 TJT17:TJT18 TTP17:TTP18 UDL17:UDL18 UNH17:UNH18 UXD17:UXD18 VGZ17:VGZ18 VQV17:VQV18 WAR17:WAR18 WKN17:WKN18 WUJ17:WUJ18 F63438:F63439 HX63438:HX63439 RT63438:RT63439 ABP63438:ABP63439 ALL63438:ALL63439 AVH63438:AVH63439 BFD63438:BFD63439 BOZ63438:BOZ63439 BYV63438:BYV63439 CIR63438:CIR63439 CSN63438:CSN63439 DCJ63438:DCJ63439 DMF63438:DMF63439 DWB63438:DWB63439 EFX63438:EFX63439 EPT63438:EPT63439 EZP63438:EZP63439 FJL63438:FJL63439 FTH63438:FTH63439 GDD63438:GDD63439 GMZ63438:GMZ63439 GWV63438:GWV63439 HGR63438:HGR63439 HQN63438:HQN63439 IAJ63438:IAJ63439 IKF63438:IKF63439 IUB63438:IUB63439 JDX63438:JDX63439 JNT63438:JNT63439 JXP63438:JXP63439 KHL63438:KHL63439 KRH63438:KRH63439 LBD63438:LBD63439 LKZ63438:LKZ63439 LUV63438:LUV63439 MER63438:MER63439 MON63438:MON63439 MYJ63438:MYJ63439 NIF63438:NIF63439 NSB63438:NSB63439 OBX63438:OBX63439 OLT63438:OLT63439 OVP63438:OVP63439 PFL63438:PFL63439 PPH63438:PPH63439 PZD63438:PZD63439 QIZ63438:QIZ63439 QSV63438:QSV63439 RCR63438:RCR63439 RMN63438:RMN63439 RWJ63438:RWJ63439 SGF63438:SGF63439 SQB63438:SQB63439 SZX63438:SZX63439 TJT63438:TJT63439 TTP63438:TTP63439 UDL63438:UDL63439 UNH63438:UNH63439 UXD63438:UXD63439 VGZ63438:VGZ63439 VQV63438:VQV63439 WAR63438:WAR63439 WKN63438:WKN63439 WUJ63438:WUJ63439 F128974:F128975 HX128974:HX128975 RT128974:RT128975 ABP128974:ABP128975 ALL128974:ALL128975 AVH128974:AVH128975 BFD128974:BFD128975 BOZ128974:BOZ128975 BYV128974:BYV128975 CIR128974:CIR128975 CSN128974:CSN128975 DCJ128974:DCJ128975 DMF128974:DMF128975 DWB128974:DWB128975 EFX128974:EFX128975 EPT128974:EPT128975 EZP128974:EZP128975 FJL128974:FJL128975 FTH128974:FTH128975 GDD128974:GDD128975 GMZ128974:GMZ128975 GWV128974:GWV128975 HGR128974:HGR128975 HQN128974:HQN128975 IAJ128974:IAJ128975 IKF128974:IKF128975 IUB128974:IUB128975 JDX128974:JDX128975 JNT128974:JNT128975 JXP128974:JXP128975 KHL128974:KHL128975 KRH128974:KRH128975 LBD128974:LBD128975 LKZ128974:LKZ128975 LUV128974:LUV128975 MER128974:MER128975 MON128974:MON128975 MYJ128974:MYJ128975 NIF128974:NIF128975 NSB128974:NSB128975 OBX128974:OBX128975 OLT128974:OLT128975 OVP128974:OVP128975 PFL128974:PFL128975 PPH128974:PPH128975 PZD128974:PZD128975 QIZ128974:QIZ128975 QSV128974:QSV128975 RCR128974:RCR128975 RMN128974:RMN128975 RWJ128974:RWJ128975 SGF128974:SGF128975 SQB128974:SQB128975 SZX128974:SZX128975 TJT128974:TJT128975 TTP128974:TTP128975 UDL128974:UDL128975 UNH128974:UNH128975 UXD128974:UXD128975 VGZ128974:VGZ128975 VQV128974:VQV128975 WAR128974:WAR128975 WKN128974:WKN128975 WUJ128974:WUJ128975 F194510:F194511 HX194510:HX194511 RT194510:RT194511 ABP194510:ABP194511 ALL194510:ALL194511 AVH194510:AVH194511 BFD194510:BFD194511 BOZ194510:BOZ194511 BYV194510:BYV194511 CIR194510:CIR194511 CSN194510:CSN194511 DCJ194510:DCJ194511 DMF194510:DMF194511 DWB194510:DWB194511 EFX194510:EFX194511 EPT194510:EPT194511 EZP194510:EZP194511 FJL194510:FJL194511 FTH194510:FTH194511 GDD194510:GDD194511 GMZ194510:GMZ194511 GWV194510:GWV194511 HGR194510:HGR194511 HQN194510:HQN194511 IAJ194510:IAJ194511 IKF194510:IKF194511 IUB194510:IUB194511 JDX194510:JDX194511 JNT194510:JNT194511 JXP194510:JXP194511 KHL194510:KHL194511 KRH194510:KRH194511 LBD194510:LBD194511 LKZ194510:LKZ194511 LUV194510:LUV194511 MER194510:MER194511 MON194510:MON194511 MYJ194510:MYJ194511 NIF194510:NIF194511 NSB194510:NSB194511 OBX194510:OBX194511 OLT194510:OLT194511 OVP194510:OVP194511 PFL194510:PFL194511 PPH194510:PPH194511 PZD194510:PZD194511 QIZ194510:QIZ194511 QSV194510:QSV194511 RCR194510:RCR194511 RMN194510:RMN194511 RWJ194510:RWJ194511 SGF194510:SGF194511 SQB194510:SQB194511 SZX194510:SZX194511 TJT194510:TJT194511 TTP194510:TTP194511 UDL194510:UDL194511 UNH194510:UNH194511 UXD194510:UXD194511 VGZ194510:VGZ194511 VQV194510:VQV194511 WAR194510:WAR194511 WKN194510:WKN194511 WUJ194510:WUJ194511 F260046:F260047 HX260046:HX260047 RT260046:RT260047 ABP260046:ABP260047 ALL260046:ALL260047 AVH260046:AVH260047 BFD260046:BFD260047 BOZ260046:BOZ260047 BYV260046:BYV260047 CIR260046:CIR260047 CSN260046:CSN260047 DCJ260046:DCJ260047 DMF260046:DMF260047 DWB260046:DWB260047 EFX260046:EFX260047 EPT260046:EPT260047 EZP260046:EZP260047 FJL260046:FJL260047 FTH260046:FTH260047 GDD260046:GDD260047 GMZ260046:GMZ260047 GWV260046:GWV260047 HGR260046:HGR260047 HQN260046:HQN260047 IAJ260046:IAJ260047 IKF260046:IKF260047 IUB260046:IUB260047 JDX260046:JDX260047 JNT260046:JNT260047 JXP260046:JXP260047 KHL260046:KHL260047 KRH260046:KRH260047 LBD260046:LBD260047 LKZ260046:LKZ260047 LUV260046:LUV260047 MER260046:MER260047 MON260046:MON260047 MYJ260046:MYJ260047 NIF260046:NIF260047 NSB260046:NSB260047 OBX260046:OBX260047 OLT260046:OLT260047 OVP260046:OVP260047 PFL260046:PFL260047 PPH260046:PPH260047 PZD260046:PZD260047 QIZ260046:QIZ260047 QSV260046:QSV260047 RCR260046:RCR260047 RMN260046:RMN260047 RWJ260046:RWJ260047 SGF260046:SGF260047 SQB260046:SQB260047 SZX260046:SZX260047 TJT260046:TJT260047 TTP260046:TTP260047 UDL260046:UDL260047 UNH260046:UNH260047 UXD260046:UXD260047 VGZ260046:VGZ260047 VQV260046:VQV260047 WAR260046:WAR260047 WKN260046:WKN260047 WUJ260046:WUJ260047 F325582:F325583 HX325582:HX325583 RT325582:RT325583 ABP325582:ABP325583 ALL325582:ALL325583 AVH325582:AVH325583 BFD325582:BFD325583 BOZ325582:BOZ325583 BYV325582:BYV325583 CIR325582:CIR325583 CSN325582:CSN325583 DCJ325582:DCJ325583 DMF325582:DMF325583 DWB325582:DWB325583 EFX325582:EFX325583 EPT325582:EPT325583 EZP325582:EZP325583 FJL325582:FJL325583 FTH325582:FTH325583 GDD325582:GDD325583 GMZ325582:GMZ325583 GWV325582:GWV325583 HGR325582:HGR325583 HQN325582:HQN325583 IAJ325582:IAJ325583 IKF325582:IKF325583 IUB325582:IUB325583 JDX325582:JDX325583 JNT325582:JNT325583 JXP325582:JXP325583 KHL325582:KHL325583 KRH325582:KRH325583 LBD325582:LBD325583 LKZ325582:LKZ325583 LUV325582:LUV325583 MER325582:MER325583 MON325582:MON325583 MYJ325582:MYJ325583 NIF325582:NIF325583 NSB325582:NSB325583 OBX325582:OBX325583 OLT325582:OLT325583 OVP325582:OVP325583 PFL325582:PFL325583 PPH325582:PPH325583 PZD325582:PZD325583 QIZ325582:QIZ325583 QSV325582:QSV325583 RCR325582:RCR325583 RMN325582:RMN325583 RWJ325582:RWJ325583 SGF325582:SGF325583 SQB325582:SQB325583 SZX325582:SZX325583 TJT325582:TJT325583 TTP325582:TTP325583 UDL325582:UDL325583 UNH325582:UNH325583 UXD325582:UXD325583 VGZ325582:VGZ325583 VQV325582:VQV325583 WAR325582:WAR325583 WKN325582:WKN325583 WUJ325582:WUJ325583 F391118:F391119 HX391118:HX391119 RT391118:RT391119 ABP391118:ABP391119 ALL391118:ALL391119 AVH391118:AVH391119 BFD391118:BFD391119 BOZ391118:BOZ391119 BYV391118:BYV391119 CIR391118:CIR391119 CSN391118:CSN391119 DCJ391118:DCJ391119 DMF391118:DMF391119 DWB391118:DWB391119 EFX391118:EFX391119 EPT391118:EPT391119 EZP391118:EZP391119 FJL391118:FJL391119 FTH391118:FTH391119 GDD391118:GDD391119 GMZ391118:GMZ391119 GWV391118:GWV391119 HGR391118:HGR391119 HQN391118:HQN391119 IAJ391118:IAJ391119 IKF391118:IKF391119 IUB391118:IUB391119 JDX391118:JDX391119 JNT391118:JNT391119 JXP391118:JXP391119 KHL391118:KHL391119 KRH391118:KRH391119 LBD391118:LBD391119 LKZ391118:LKZ391119 LUV391118:LUV391119 MER391118:MER391119 MON391118:MON391119 MYJ391118:MYJ391119 NIF391118:NIF391119 NSB391118:NSB391119 OBX391118:OBX391119 OLT391118:OLT391119 OVP391118:OVP391119 PFL391118:PFL391119 PPH391118:PPH391119 PZD391118:PZD391119 QIZ391118:QIZ391119 QSV391118:QSV391119 RCR391118:RCR391119 RMN391118:RMN391119 RWJ391118:RWJ391119 SGF391118:SGF391119 SQB391118:SQB391119 SZX391118:SZX391119 TJT391118:TJT391119 TTP391118:TTP391119 UDL391118:UDL391119 UNH391118:UNH391119 UXD391118:UXD391119 VGZ391118:VGZ391119 VQV391118:VQV391119 WAR391118:WAR391119 WKN391118:WKN391119 WUJ391118:WUJ391119 F456654:F456655 HX456654:HX456655 RT456654:RT456655 ABP456654:ABP456655 ALL456654:ALL456655 AVH456654:AVH456655 BFD456654:BFD456655 BOZ456654:BOZ456655 BYV456654:BYV456655 CIR456654:CIR456655 CSN456654:CSN456655 DCJ456654:DCJ456655 DMF456654:DMF456655 DWB456654:DWB456655 EFX456654:EFX456655 EPT456654:EPT456655 EZP456654:EZP456655 FJL456654:FJL456655 FTH456654:FTH456655 GDD456654:GDD456655 GMZ456654:GMZ456655 GWV456654:GWV456655 HGR456654:HGR456655 HQN456654:HQN456655 IAJ456654:IAJ456655 IKF456654:IKF456655 IUB456654:IUB456655 JDX456654:JDX456655 JNT456654:JNT456655 JXP456654:JXP456655 KHL456654:KHL456655 KRH456654:KRH456655 LBD456654:LBD456655 LKZ456654:LKZ456655 LUV456654:LUV456655 MER456654:MER456655 MON456654:MON456655 MYJ456654:MYJ456655 NIF456654:NIF456655 NSB456654:NSB456655 OBX456654:OBX456655 OLT456654:OLT456655 OVP456654:OVP456655 PFL456654:PFL456655 PPH456654:PPH456655 PZD456654:PZD456655 QIZ456654:QIZ456655 QSV456654:QSV456655 RCR456654:RCR456655 RMN456654:RMN456655 RWJ456654:RWJ456655 SGF456654:SGF456655 SQB456654:SQB456655 SZX456654:SZX456655 TJT456654:TJT456655 TTP456654:TTP456655 UDL456654:UDL456655 UNH456654:UNH456655 UXD456654:UXD456655 VGZ456654:VGZ456655 VQV456654:VQV456655 WAR456654:WAR456655 WKN456654:WKN456655 WUJ456654:WUJ456655 F522190:F522191 HX522190:HX522191 RT522190:RT522191 ABP522190:ABP522191 ALL522190:ALL522191 AVH522190:AVH522191 BFD522190:BFD522191 BOZ522190:BOZ522191 BYV522190:BYV522191 CIR522190:CIR522191 CSN522190:CSN522191 DCJ522190:DCJ522191 DMF522190:DMF522191 DWB522190:DWB522191 EFX522190:EFX522191 EPT522190:EPT522191 EZP522190:EZP522191 FJL522190:FJL522191 FTH522190:FTH522191 GDD522190:GDD522191 GMZ522190:GMZ522191 GWV522190:GWV522191 HGR522190:HGR522191 HQN522190:HQN522191 IAJ522190:IAJ522191 IKF522190:IKF522191 IUB522190:IUB522191 JDX522190:JDX522191 JNT522190:JNT522191 JXP522190:JXP522191 KHL522190:KHL522191 KRH522190:KRH522191 LBD522190:LBD522191 LKZ522190:LKZ522191 LUV522190:LUV522191 MER522190:MER522191 MON522190:MON522191 MYJ522190:MYJ522191 NIF522190:NIF522191 NSB522190:NSB522191 OBX522190:OBX522191 OLT522190:OLT522191 OVP522190:OVP522191 PFL522190:PFL522191 PPH522190:PPH522191 PZD522190:PZD522191 QIZ522190:QIZ522191 QSV522190:QSV522191 RCR522190:RCR522191 RMN522190:RMN522191 RWJ522190:RWJ522191 SGF522190:SGF522191 SQB522190:SQB522191 SZX522190:SZX522191 TJT522190:TJT522191 TTP522190:TTP522191 UDL522190:UDL522191 UNH522190:UNH522191 UXD522190:UXD522191 VGZ522190:VGZ522191 VQV522190:VQV522191 WAR522190:WAR522191 WKN522190:WKN522191 WUJ522190:WUJ522191 F587726:F587727 HX587726:HX587727 RT587726:RT587727 ABP587726:ABP587727 ALL587726:ALL587727 AVH587726:AVH587727 BFD587726:BFD587727 BOZ587726:BOZ587727 BYV587726:BYV587727 CIR587726:CIR587727 CSN587726:CSN587727 DCJ587726:DCJ587727 DMF587726:DMF587727 DWB587726:DWB587727 EFX587726:EFX587727 EPT587726:EPT587727 EZP587726:EZP587727 FJL587726:FJL587727 FTH587726:FTH587727 GDD587726:GDD587727 GMZ587726:GMZ587727 GWV587726:GWV587727 HGR587726:HGR587727 HQN587726:HQN587727 IAJ587726:IAJ587727 IKF587726:IKF587727 IUB587726:IUB587727 JDX587726:JDX587727 JNT587726:JNT587727 JXP587726:JXP587727 KHL587726:KHL587727 KRH587726:KRH587727 LBD587726:LBD587727 LKZ587726:LKZ587727 LUV587726:LUV587727 MER587726:MER587727 MON587726:MON587727 MYJ587726:MYJ587727 NIF587726:NIF587727 NSB587726:NSB587727 OBX587726:OBX587727 OLT587726:OLT587727 OVP587726:OVP587727 PFL587726:PFL587727 PPH587726:PPH587727 PZD587726:PZD587727 QIZ587726:QIZ587727 QSV587726:QSV587727 RCR587726:RCR587727 RMN587726:RMN587727 RWJ587726:RWJ587727 SGF587726:SGF587727 SQB587726:SQB587727 SZX587726:SZX587727 TJT587726:TJT587727 TTP587726:TTP587727 UDL587726:UDL587727 UNH587726:UNH587727 UXD587726:UXD587727 VGZ587726:VGZ587727 VQV587726:VQV587727 WAR587726:WAR587727 WKN587726:WKN587727 WUJ587726:WUJ587727 F653262:F653263 HX653262:HX653263 RT653262:RT653263 ABP653262:ABP653263 ALL653262:ALL653263 AVH653262:AVH653263 BFD653262:BFD653263 BOZ653262:BOZ653263 BYV653262:BYV653263 CIR653262:CIR653263 CSN653262:CSN653263 DCJ653262:DCJ653263 DMF653262:DMF653263 DWB653262:DWB653263 EFX653262:EFX653263 EPT653262:EPT653263 EZP653262:EZP653263 FJL653262:FJL653263 FTH653262:FTH653263 GDD653262:GDD653263 GMZ653262:GMZ653263 GWV653262:GWV653263 HGR653262:HGR653263 HQN653262:HQN653263 IAJ653262:IAJ653263 IKF653262:IKF653263 IUB653262:IUB653263 JDX653262:JDX653263 JNT653262:JNT653263 JXP653262:JXP653263 KHL653262:KHL653263 KRH653262:KRH653263 LBD653262:LBD653263 LKZ653262:LKZ653263 LUV653262:LUV653263 MER653262:MER653263 MON653262:MON653263 MYJ653262:MYJ653263 NIF653262:NIF653263 NSB653262:NSB653263 OBX653262:OBX653263 OLT653262:OLT653263 OVP653262:OVP653263 PFL653262:PFL653263 PPH653262:PPH653263 PZD653262:PZD653263 QIZ653262:QIZ653263 QSV653262:QSV653263 RCR653262:RCR653263 RMN653262:RMN653263 RWJ653262:RWJ653263 SGF653262:SGF653263 SQB653262:SQB653263 SZX653262:SZX653263 TJT653262:TJT653263 TTP653262:TTP653263 UDL653262:UDL653263 UNH653262:UNH653263 UXD653262:UXD653263 VGZ653262:VGZ653263 VQV653262:VQV653263 WAR653262:WAR653263 WKN653262:WKN653263 WUJ653262:WUJ653263 F718798:F718799 HX718798:HX718799 RT718798:RT718799 ABP718798:ABP718799 ALL718798:ALL718799 AVH718798:AVH718799 BFD718798:BFD718799 BOZ718798:BOZ718799 BYV718798:BYV718799 CIR718798:CIR718799 CSN718798:CSN718799 DCJ718798:DCJ718799 DMF718798:DMF718799 DWB718798:DWB718799 EFX718798:EFX718799 EPT718798:EPT718799 EZP718798:EZP718799 FJL718798:FJL718799 FTH718798:FTH718799 GDD718798:GDD718799 GMZ718798:GMZ718799 GWV718798:GWV718799 HGR718798:HGR718799 HQN718798:HQN718799 IAJ718798:IAJ718799 IKF718798:IKF718799 IUB718798:IUB718799 JDX718798:JDX718799 JNT718798:JNT718799 JXP718798:JXP718799 KHL718798:KHL718799 KRH718798:KRH718799 LBD718798:LBD718799 LKZ718798:LKZ718799 LUV718798:LUV718799 MER718798:MER718799 MON718798:MON718799 MYJ718798:MYJ718799 NIF718798:NIF718799 NSB718798:NSB718799 OBX718798:OBX718799 OLT718798:OLT718799 OVP718798:OVP718799 PFL718798:PFL718799 PPH718798:PPH718799 PZD718798:PZD718799 QIZ718798:QIZ718799 QSV718798:QSV718799 RCR718798:RCR718799 RMN718798:RMN718799 RWJ718798:RWJ718799 SGF718798:SGF718799 SQB718798:SQB718799 SZX718798:SZX718799 TJT718798:TJT718799 TTP718798:TTP718799 UDL718798:UDL718799 UNH718798:UNH718799 UXD718798:UXD718799 VGZ718798:VGZ718799 VQV718798:VQV718799 WAR718798:WAR718799 WKN718798:WKN718799 WUJ718798:WUJ718799 F784334:F784335 HX784334:HX784335 RT784334:RT784335 ABP784334:ABP784335 ALL784334:ALL784335 AVH784334:AVH784335 BFD784334:BFD784335 BOZ784334:BOZ784335 BYV784334:BYV784335 CIR784334:CIR784335 CSN784334:CSN784335 DCJ784334:DCJ784335 DMF784334:DMF784335 DWB784334:DWB784335 EFX784334:EFX784335 EPT784334:EPT784335 EZP784334:EZP784335 FJL784334:FJL784335 FTH784334:FTH784335 GDD784334:GDD784335 GMZ784334:GMZ784335 GWV784334:GWV784335 HGR784334:HGR784335 HQN784334:HQN784335 IAJ784334:IAJ784335 IKF784334:IKF784335 IUB784334:IUB784335 JDX784334:JDX784335 JNT784334:JNT784335 JXP784334:JXP784335 KHL784334:KHL784335 KRH784334:KRH784335 LBD784334:LBD784335 LKZ784334:LKZ784335 LUV784334:LUV784335 MER784334:MER784335 MON784334:MON784335 MYJ784334:MYJ784335 NIF784334:NIF784335 NSB784334:NSB784335 OBX784334:OBX784335 OLT784334:OLT784335 OVP784334:OVP784335 PFL784334:PFL784335 PPH784334:PPH784335 PZD784334:PZD784335 QIZ784334:QIZ784335 QSV784334:QSV784335 RCR784334:RCR784335 RMN784334:RMN784335 RWJ784334:RWJ784335 SGF784334:SGF784335 SQB784334:SQB784335 SZX784334:SZX784335 TJT784334:TJT784335 TTP784334:TTP784335 UDL784334:UDL784335 UNH784334:UNH784335 UXD784334:UXD784335 VGZ784334:VGZ784335 VQV784334:VQV784335 WAR784334:WAR784335 WKN784334:WKN784335 WUJ784334:WUJ784335 F849870:F849871 HX849870:HX849871 RT849870:RT849871 ABP849870:ABP849871 ALL849870:ALL849871 AVH849870:AVH849871 BFD849870:BFD849871 BOZ849870:BOZ849871 BYV849870:BYV849871 CIR849870:CIR849871 CSN849870:CSN849871 DCJ849870:DCJ849871 DMF849870:DMF849871 DWB849870:DWB849871 EFX849870:EFX849871 EPT849870:EPT849871 EZP849870:EZP849871 FJL849870:FJL849871 FTH849870:FTH849871 GDD849870:GDD849871 GMZ849870:GMZ849871 GWV849870:GWV849871 HGR849870:HGR849871 HQN849870:HQN849871 IAJ849870:IAJ849871 IKF849870:IKF849871 IUB849870:IUB849871 JDX849870:JDX849871 JNT849870:JNT849871 JXP849870:JXP849871 KHL849870:KHL849871 KRH849870:KRH849871 LBD849870:LBD849871 LKZ849870:LKZ849871 LUV849870:LUV849871 MER849870:MER849871 MON849870:MON849871 MYJ849870:MYJ849871 NIF849870:NIF849871 NSB849870:NSB849871 OBX849870:OBX849871 OLT849870:OLT849871 OVP849870:OVP849871 PFL849870:PFL849871 PPH849870:PPH849871 PZD849870:PZD849871 QIZ849870:QIZ849871 QSV849870:QSV849871 RCR849870:RCR849871 RMN849870:RMN849871 RWJ849870:RWJ849871 SGF849870:SGF849871 SQB849870:SQB849871 SZX849870:SZX849871 TJT849870:TJT849871 TTP849870:TTP849871 UDL849870:UDL849871 UNH849870:UNH849871 UXD849870:UXD849871 VGZ849870:VGZ849871 VQV849870:VQV849871 WAR849870:WAR849871 WKN849870:WKN849871 WUJ849870:WUJ849871 F915406:F915407 HX915406:HX915407 RT915406:RT915407 ABP915406:ABP915407 ALL915406:ALL915407 AVH915406:AVH915407 BFD915406:BFD915407 BOZ915406:BOZ915407 BYV915406:BYV915407 CIR915406:CIR915407 CSN915406:CSN915407 DCJ915406:DCJ915407 DMF915406:DMF915407 DWB915406:DWB915407 EFX915406:EFX915407 EPT915406:EPT915407 EZP915406:EZP915407 FJL915406:FJL915407 FTH915406:FTH915407 GDD915406:GDD915407 GMZ915406:GMZ915407 GWV915406:GWV915407 HGR915406:HGR915407 HQN915406:HQN915407 IAJ915406:IAJ915407 IKF915406:IKF915407 IUB915406:IUB915407 JDX915406:JDX915407 JNT915406:JNT915407 JXP915406:JXP915407 KHL915406:KHL915407 KRH915406:KRH915407 LBD915406:LBD915407 LKZ915406:LKZ915407 LUV915406:LUV915407 MER915406:MER915407 MON915406:MON915407 MYJ915406:MYJ915407 NIF915406:NIF915407 NSB915406:NSB915407 OBX915406:OBX915407 OLT915406:OLT915407 OVP915406:OVP915407 PFL915406:PFL915407 PPH915406:PPH915407 PZD915406:PZD915407 QIZ915406:QIZ915407 QSV915406:QSV915407 RCR915406:RCR915407 RMN915406:RMN915407 RWJ915406:RWJ915407 SGF915406:SGF915407 SQB915406:SQB915407 SZX915406:SZX915407 TJT915406:TJT915407 TTP915406:TTP915407 UDL915406:UDL915407 UNH915406:UNH915407 UXD915406:UXD915407 VGZ915406:VGZ915407 VQV915406:VQV915407 WAR915406:WAR915407 WKN915406:WKN915407 WUJ915406:WUJ915407 F980942:F980943 HX980942:HX980943 RT980942:RT980943 ABP980942:ABP980943 ALL980942:ALL980943 AVH980942:AVH980943 BFD980942:BFD980943 BOZ980942:BOZ980943 BYV980942:BYV980943 CIR980942:CIR980943 CSN980942:CSN980943 DCJ980942:DCJ980943 DMF980942:DMF980943 DWB980942:DWB980943 EFX980942:EFX980943 EPT980942:EPT980943 EZP980942:EZP980943 FJL980942:FJL980943 FTH980942:FTH980943 GDD980942:GDD980943 GMZ980942:GMZ980943 GWV980942:GWV980943 HGR980942:HGR980943 HQN980942:HQN980943 IAJ980942:IAJ980943 IKF980942:IKF980943 IUB980942:IUB980943 JDX980942:JDX980943 JNT980942:JNT980943 JXP980942:JXP980943 KHL980942:KHL980943 KRH980942:KRH980943 LBD980942:LBD980943 LKZ980942:LKZ980943 LUV980942:LUV980943 MER980942:MER980943 MON980942:MON980943 MYJ980942:MYJ980943 NIF980942:NIF980943 NSB980942:NSB980943 OBX980942:OBX980943 OLT980942:OLT980943 OVP980942:OVP980943 PFL980942:PFL980943 PPH980942:PPH980943 PZD980942:PZD980943 QIZ980942:QIZ980943 QSV980942:QSV980943 RCR980942:RCR980943 RMN980942:RMN980943 RWJ980942:RWJ980943 SGF980942:SGF980943 SQB980942:SQB980943 SZX980942:SZX980943 TJT980942:TJT980943 TTP980942:TTP980943 UDL980942:UDL980943 UNH980942:UNH980943 UXD980942:UXD980943 VGZ980942:VGZ980943 VQV980942:VQV980943 WAR980942:WAR980943 WKN980942:WKN980943">
      <formula1>"有り,無し"</formula1>
    </dataValidation>
    <dataValidation type="list" allowBlank="1" showInputMessage="1" showErrorMessage="1" sqref="H60">
      <formula1>#REF!</formula1>
    </dataValidation>
    <dataValidation type="list" allowBlank="1" showInputMessage="1" showErrorMessage="1" sqref="H26">
      <formula1>"007停車場建物,008変電所建物,009車庫、工場建物,010倉庫建物,011詰所建物,012事務所建物,013社宅及び寮建物,雑建物"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61" fitToHeight="0" orientation="portrait" cellComments="asDisplayed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I168"/>
  <sheetViews>
    <sheetView topLeftCell="A145" zoomScale="75" zoomScaleNormal="75" workbookViewId="0">
      <selection activeCell="I24" sqref="I24"/>
    </sheetView>
  </sheetViews>
  <sheetFormatPr defaultColWidth="6.625" defaultRowHeight="26.1" customHeight="1"/>
  <cols>
    <col min="1" max="2" width="2.625" style="6" customWidth="1"/>
    <col min="3" max="3" width="8.625" style="1" customWidth="1"/>
    <col min="4" max="4" width="28.625" style="1" customWidth="1"/>
    <col min="5" max="5" width="25" style="2" customWidth="1"/>
    <col min="6" max="6" width="10.625" style="1" customWidth="1"/>
    <col min="7" max="7" width="7.625" style="3" customWidth="1"/>
    <col min="8" max="8" width="11.625" style="4" customWidth="1"/>
    <col min="9" max="9" width="15.625" style="4" customWidth="1"/>
    <col min="10" max="12" width="9.625" style="1" customWidth="1"/>
    <col min="13" max="13" width="5.625" style="1" customWidth="1"/>
    <col min="14" max="14" width="19.75" style="1" customWidth="1"/>
    <col min="15" max="16" width="5.25" style="39" customWidth="1"/>
    <col min="17" max="33" width="5.25" style="1" customWidth="1"/>
    <col min="34" max="34" width="4.5" style="1" customWidth="1"/>
    <col min="35" max="16384" width="6.625" style="1"/>
  </cols>
  <sheetData>
    <row r="2" spans="1:34" ht="26.1" customHeight="1">
      <c r="C2" s="37" t="s">
        <v>3052</v>
      </c>
      <c r="E2" s="36" t="s">
        <v>50</v>
      </c>
      <c r="F2" s="82">
        <f>VLOOKUP("EOL",資産管理明細書!$M$4:$N$65513,2,FALSE)</f>
        <v>2</v>
      </c>
      <c r="G2" s="1" t="s">
        <v>198</v>
      </c>
      <c r="H2" s="4">
        <f>表紙!H25</f>
        <v>15</v>
      </c>
      <c r="I2" s="4" t="s">
        <v>56</v>
      </c>
      <c r="J2" s="39">
        <f>VLOOKUP("EOL",$M$25:$N$65536,2,FALSE)</f>
        <v>9</v>
      </c>
    </row>
    <row r="3" spans="1:34" ht="26.1" customHeight="1" thickBot="1">
      <c r="C3" s="2615" t="s">
        <v>331</v>
      </c>
      <c r="D3" s="2615"/>
      <c r="E3" s="2615"/>
      <c r="F3" s="2615"/>
      <c r="G3" s="2615"/>
      <c r="H3" s="2615"/>
      <c r="I3" s="2615"/>
      <c r="J3" s="2615"/>
      <c r="K3" s="2615"/>
      <c r="L3" s="2615"/>
      <c r="O3" s="2616" t="s">
        <v>134</v>
      </c>
      <c r="P3" s="2616"/>
      <c r="Q3" s="2616"/>
      <c r="R3" s="2616"/>
      <c r="S3" s="2616"/>
      <c r="T3" s="2616"/>
      <c r="U3" s="2616"/>
      <c r="V3" s="2616"/>
      <c r="W3" s="2616"/>
      <c r="X3" s="2616"/>
      <c r="Y3" s="2616"/>
      <c r="Z3" s="2616"/>
      <c r="AA3" s="2616"/>
      <c r="AB3" s="2616"/>
      <c r="AC3" s="2616"/>
      <c r="AD3" s="2616"/>
      <c r="AE3" s="2616"/>
      <c r="AF3" s="2616"/>
      <c r="AG3" s="2616"/>
      <c r="AH3" s="2617"/>
    </row>
    <row r="4" spans="1:34" ht="42" customHeight="1">
      <c r="A4" s="5" t="s">
        <v>10</v>
      </c>
      <c r="B4" s="5" t="s">
        <v>9</v>
      </c>
      <c r="C4" s="113" t="s">
        <v>0</v>
      </c>
      <c r="D4" s="109"/>
      <c r="E4" s="110" t="s">
        <v>1</v>
      </c>
      <c r="F4" s="111" t="s">
        <v>2</v>
      </c>
      <c r="G4" s="111" t="s">
        <v>3</v>
      </c>
      <c r="H4" s="112" t="s">
        <v>4</v>
      </c>
      <c r="I4" s="112" t="s">
        <v>5</v>
      </c>
      <c r="J4" s="2612" t="s">
        <v>6</v>
      </c>
      <c r="K4" s="2613"/>
      <c r="L4" s="2614"/>
      <c r="O4" s="157" t="s">
        <v>67</v>
      </c>
      <c r="P4" s="386" t="s">
        <v>316</v>
      </c>
      <c r="Q4" s="275" t="s">
        <v>317</v>
      </c>
      <c r="R4" s="275" t="s">
        <v>218</v>
      </c>
      <c r="S4" s="275" t="s">
        <v>219</v>
      </c>
      <c r="T4" s="275" t="s">
        <v>318</v>
      </c>
      <c r="U4" s="275" t="s">
        <v>128</v>
      </c>
      <c r="V4" s="156" t="s">
        <v>127</v>
      </c>
      <c r="W4" s="275" t="s">
        <v>324</v>
      </c>
      <c r="X4" s="223" t="s">
        <v>220</v>
      </c>
      <c r="Y4" s="223" t="s">
        <v>221</v>
      </c>
      <c r="Z4" s="223" t="s">
        <v>222</v>
      </c>
      <c r="AA4" s="223" t="s">
        <v>223</v>
      </c>
      <c r="AB4" s="223" t="s">
        <v>325</v>
      </c>
      <c r="AC4" s="458" t="s">
        <v>326</v>
      </c>
      <c r="AD4" s="459" t="s">
        <v>327</v>
      </c>
      <c r="AE4" s="460" t="s">
        <v>130</v>
      </c>
      <c r="AF4" s="155" t="s">
        <v>328</v>
      </c>
      <c r="AG4" s="155" t="s">
        <v>329</v>
      </c>
      <c r="AH4" s="155" t="s">
        <v>132</v>
      </c>
    </row>
    <row r="5" spans="1:34" ht="24" customHeight="1">
      <c r="A5" s="7"/>
      <c r="B5" s="7"/>
      <c r="C5" s="114" t="str">
        <f>+C2</f>
        <v>居室内装修理工事</v>
      </c>
      <c r="D5" s="115"/>
      <c r="E5" s="100"/>
      <c r="F5" s="272"/>
      <c r="G5" s="116"/>
      <c r="H5" s="83" t="s">
        <v>11</v>
      </c>
      <c r="I5" s="83" t="s">
        <v>11</v>
      </c>
      <c r="J5" s="2609"/>
      <c r="K5" s="2610"/>
      <c r="L5" s="2611"/>
      <c r="M5" s="39"/>
      <c r="N5" s="39"/>
      <c r="O5" s="226"/>
      <c r="P5" s="227"/>
      <c r="Q5" s="228"/>
      <c r="R5" s="228"/>
      <c r="S5" s="228"/>
      <c r="T5" s="228"/>
      <c r="U5" s="228"/>
      <c r="V5" s="228"/>
      <c r="W5" s="228"/>
      <c r="X5" s="229"/>
      <c r="Y5" s="229"/>
      <c r="Z5" s="229"/>
      <c r="AA5" s="229"/>
      <c r="AB5" s="229"/>
      <c r="AC5" s="228"/>
      <c r="AD5" s="461"/>
      <c r="AE5" s="462"/>
      <c r="AF5" s="228"/>
      <c r="AG5" s="228"/>
      <c r="AH5" s="463"/>
    </row>
    <row r="6" spans="1:34" ht="24" customHeight="1">
      <c r="A6" s="38"/>
      <c r="B6" s="38"/>
      <c r="C6" s="194" t="s">
        <v>146</v>
      </c>
      <c r="D6" s="65"/>
      <c r="E6" s="102"/>
      <c r="F6" s="273"/>
      <c r="G6" s="118"/>
      <c r="H6" s="104"/>
      <c r="I6" s="104"/>
      <c r="J6" s="65"/>
      <c r="K6" s="65"/>
      <c r="L6" s="66"/>
      <c r="M6" s="39"/>
      <c r="N6" s="39"/>
      <c r="O6" s="226"/>
      <c r="P6" s="227"/>
      <c r="Q6" s="228"/>
      <c r="R6" s="228"/>
      <c r="S6" s="228"/>
      <c r="T6" s="228"/>
      <c r="U6" s="228"/>
      <c r="V6" s="228"/>
      <c r="W6" s="228"/>
      <c r="X6" s="229"/>
      <c r="Y6" s="229"/>
      <c r="Z6" s="229"/>
      <c r="AA6" s="229"/>
      <c r="AB6" s="229"/>
      <c r="AC6" s="228"/>
      <c r="AD6" s="461"/>
      <c r="AE6" s="462"/>
      <c r="AF6" s="228"/>
      <c r="AG6" s="228"/>
      <c r="AH6" s="216"/>
    </row>
    <row r="7" spans="1:34" ht="24" customHeight="1">
      <c r="A7" s="38"/>
      <c r="B7" s="38"/>
      <c r="C7" s="105"/>
      <c r="D7" s="65" t="s">
        <v>2514</v>
      </c>
      <c r="E7" s="102"/>
      <c r="F7" s="273">
        <v>1</v>
      </c>
      <c r="G7" s="118" t="s">
        <v>7</v>
      </c>
      <c r="H7" s="104"/>
      <c r="I7" s="104">
        <f>I70</f>
        <v>39960</v>
      </c>
      <c r="J7" s="65"/>
      <c r="K7" s="65"/>
      <c r="L7" s="66"/>
      <c r="M7" s="39"/>
      <c r="N7" s="39"/>
      <c r="O7" s="226"/>
      <c r="P7" s="227"/>
      <c r="Q7" s="228"/>
      <c r="R7" s="228"/>
      <c r="S7" s="228"/>
      <c r="T7" s="228"/>
      <c r="U7" s="228"/>
      <c r="V7" s="228"/>
      <c r="W7" s="228"/>
      <c r="X7" s="229"/>
      <c r="Y7" s="229"/>
      <c r="Z7" s="229"/>
      <c r="AA7" s="229"/>
      <c r="AB7" s="229"/>
      <c r="AC7" s="228"/>
      <c r="AD7" s="461"/>
      <c r="AE7" s="462"/>
      <c r="AF7" s="228"/>
      <c r="AG7" s="228"/>
      <c r="AH7" s="216"/>
    </row>
    <row r="8" spans="1:34" ht="24" customHeight="1">
      <c r="A8" s="38"/>
      <c r="B8" s="38"/>
      <c r="C8" s="105"/>
      <c r="D8" s="65" t="s">
        <v>2984</v>
      </c>
      <c r="E8" s="102"/>
      <c r="F8" s="273">
        <v>1</v>
      </c>
      <c r="G8" s="118" t="s">
        <v>7</v>
      </c>
      <c r="H8" s="104"/>
      <c r="I8" s="104">
        <f>I93</f>
        <v>31226</v>
      </c>
      <c r="J8" s="65"/>
      <c r="K8" s="65"/>
      <c r="L8" s="66"/>
      <c r="M8" s="39"/>
      <c r="N8" s="39"/>
      <c r="O8" s="226"/>
      <c r="P8" s="227"/>
      <c r="Q8" s="228"/>
      <c r="R8" s="228"/>
      <c r="S8" s="228"/>
      <c r="T8" s="228"/>
      <c r="U8" s="228"/>
      <c r="V8" s="228"/>
      <c r="W8" s="228"/>
      <c r="X8" s="229"/>
      <c r="Y8" s="229"/>
      <c r="Z8" s="229"/>
      <c r="AA8" s="229"/>
      <c r="AB8" s="229"/>
      <c r="AC8" s="228"/>
      <c r="AD8" s="461"/>
      <c r="AE8" s="462"/>
      <c r="AF8" s="228"/>
      <c r="AG8" s="228"/>
      <c r="AH8" s="216"/>
    </row>
    <row r="9" spans="1:34" ht="24" customHeight="1">
      <c r="A9" s="38"/>
      <c r="B9" s="38"/>
      <c r="C9" s="105"/>
      <c r="D9" s="65" t="s">
        <v>2987</v>
      </c>
      <c r="E9" s="102"/>
      <c r="F9" s="273">
        <v>1</v>
      </c>
      <c r="G9" s="118" t="s">
        <v>7</v>
      </c>
      <c r="H9" s="104"/>
      <c r="I9" s="104">
        <f>I116</f>
        <v>14646</v>
      </c>
      <c r="J9" s="65"/>
      <c r="K9" s="65"/>
      <c r="L9" s="66"/>
      <c r="M9" s="39"/>
      <c r="N9" s="39"/>
      <c r="O9" s="226"/>
      <c r="P9" s="227"/>
      <c r="Q9" s="228"/>
      <c r="R9" s="228"/>
      <c r="S9" s="228"/>
      <c r="T9" s="228"/>
      <c r="U9" s="228"/>
      <c r="V9" s="228"/>
      <c r="W9" s="228"/>
      <c r="X9" s="229"/>
      <c r="Y9" s="229"/>
      <c r="Z9" s="229"/>
      <c r="AA9" s="229"/>
      <c r="AB9" s="229"/>
      <c r="AC9" s="228"/>
      <c r="AD9" s="461"/>
      <c r="AE9" s="462"/>
      <c r="AF9" s="228"/>
      <c r="AG9" s="228"/>
      <c r="AH9" s="216"/>
    </row>
    <row r="10" spans="1:34" ht="24" customHeight="1">
      <c r="A10" s="38"/>
      <c r="B10" s="38"/>
      <c r="C10" s="105"/>
      <c r="D10" s="65" t="s">
        <v>2988</v>
      </c>
      <c r="E10" s="102"/>
      <c r="F10" s="273">
        <v>1</v>
      </c>
      <c r="G10" s="118" t="s">
        <v>7</v>
      </c>
      <c r="H10" s="104"/>
      <c r="I10" s="104">
        <f>I139</f>
        <v>220111</v>
      </c>
      <c r="J10" s="65"/>
      <c r="K10" s="65"/>
      <c r="L10" s="66"/>
      <c r="M10" s="39"/>
      <c r="N10" s="39"/>
      <c r="O10" s="226"/>
      <c r="P10" s="227"/>
      <c r="Q10" s="228"/>
      <c r="R10" s="228"/>
      <c r="S10" s="228"/>
      <c r="T10" s="228"/>
      <c r="U10" s="228"/>
      <c r="V10" s="228"/>
      <c r="W10" s="228"/>
      <c r="X10" s="229"/>
      <c r="Y10" s="229"/>
      <c r="Z10" s="229"/>
      <c r="AA10" s="229"/>
      <c r="AB10" s="229"/>
      <c r="AC10" s="228"/>
      <c r="AD10" s="461"/>
      <c r="AE10" s="462"/>
      <c r="AF10" s="228"/>
      <c r="AG10" s="228"/>
      <c r="AH10" s="216"/>
    </row>
    <row r="11" spans="1:34" ht="24" customHeight="1">
      <c r="A11" s="38"/>
      <c r="B11" s="38"/>
      <c r="C11" s="105"/>
      <c r="D11" s="65" t="s">
        <v>2513</v>
      </c>
      <c r="E11" s="102"/>
      <c r="F11" s="273">
        <v>1</v>
      </c>
      <c r="G11" s="118" t="s">
        <v>7</v>
      </c>
      <c r="H11" s="104"/>
      <c r="I11" s="104">
        <f>I162</f>
        <v>103931</v>
      </c>
      <c r="J11" s="65"/>
      <c r="K11" s="65"/>
      <c r="L11" s="66"/>
      <c r="M11" s="39"/>
      <c r="N11" s="39"/>
      <c r="O11" s="226"/>
      <c r="P11" s="227"/>
      <c r="Q11" s="228"/>
      <c r="R11" s="228"/>
      <c r="S11" s="228"/>
      <c r="T11" s="228"/>
      <c r="U11" s="228"/>
      <c r="V11" s="228"/>
      <c r="W11" s="228"/>
      <c r="X11" s="229"/>
      <c r="Y11" s="229"/>
      <c r="Z11" s="229"/>
      <c r="AA11" s="229"/>
      <c r="AB11" s="229"/>
      <c r="AC11" s="228"/>
      <c r="AD11" s="461"/>
      <c r="AE11" s="462"/>
      <c r="AF11" s="228"/>
      <c r="AG11" s="228"/>
      <c r="AH11" s="216"/>
    </row>
    <row r="12" spans="1:34" s="39" customFormat="1" ht="24" customHeight="1">
      <c r="A12" s="38"/>
      <c r="B12" s="38"/>
      <c r="C12" s="105"/>
      <c r="D12" s="65"/>
      <c r="E12" s="102"/>
      <c r="F12" s="273"/>
      <c r="G12" s="118"/>
      <c r="H12" s="104"/>
      <c r="I12" s="104"/>
      <c r="J12" s="65"/>
      <c r="K12" s="65"/>
      <c r="L12" s="66"/>
      <c r="O12" s="226"/>
      <c r="P12" s="227"/>
      <c r="Q12" s="228"/>
      <c r="R12" s="228"/>
      <c r="S12" s="228"/>
      <c r="T12" s="228"/>
      <c r="U12" s="228"/>
      <c r="V12" s="228"/>
      <c r="W12" s="228"/>
      <c r="X12" s="229"/>
      <c r="Y12" s="229"/>
      <c r="Z12" s="229"/>
      <c r="AA12" s="229"/>
      <c r="AB12" s="229"/>
      <c r="AC12" s="228"/>
      <c r="AD12" s="461"/>
      <c r="AE12" s="462"/>
      <c r="AF12" s="228"/>
      <c r="AG12" s="228"/>
      <c r="AH12" s="216"/>
    </row>
    <row r="13" spans="1:34" ht="24" customHeight="1">
      <c r="A13" s="38"/>
      <c r="B13" s="38"/>
      <c r="C13" s="105"/>
      <c r="D13" s="65"/>
      <c r="E13" s="102"/>
      <c r="F13" s="273"/>
      <c r="G13" s="118"/>
      <c r="H13" s="104"/>
      <c r="I13" s="104"/>
      <c r="J13" s="65"/>
      <c r="K13" s="65"/>
      <c r="L13" s="66"/>
      <c r="M13" s="39"/>
      <c r="N13" s="39"/>
      <c r="O13" s="226"/>
      <c r="P13" s="227"/>
      <c r="Q13" s="228"/>
      <c r="R13" s="228"/>
      <c r="S13" s="228"/>
      <c r="T13" s="228"/>
      <c r="U13" s="228"/>
      <c r="V13" s="228"/>
      <c r="W13" s="228"/>
      <c r="X13" s="229"/>
      <c r="Y13" s="229"/>
      <c r="Z13" s="229"/>
      <c r="AA13" s="229"/>
      <c r="AB13" s="229"/>
      <c r="AC13" s="228"/>
      <c r="AD13" s="461"/>
      <c r="AE13" s="462"/>
      <c r="AF13" s="228"/>
      <c r="AG13" s="228"/>
      <c r="AH13" s="216"/>
    </row>
    <row r="14" spans="1:34" ht="24" customHeight="1">
      <c r="A14" s="38"/>
      <c r="B14" s="38"/>
      <c r="C14" s="105"/>
      <c r="D14" s="65"/>
      <c r="E14" s="102"/>
      <c r="F14" s="273"/>
      <c r="G14" s="118"/>
      <c r="H14" s="104"/>
      <c r="I14" s="104"/>
      <c r="J14" s="65"/>
      <c r="K14" s="65"/>
      <c r="L14" s="66"/>
      <c r="M14" s="39"/>
      <c r="N14" s="39"/>
      <c r="O14" s="226"/>
      <c r="P14" s="227"/>
      <c r="Q14" s="228"/>
      <c r="R14" s="228"/>
      <c r="S14" s="228"/>
      <c r="T14" s="228"/>
      <c r="U14" s="228"/>
      <c r="V14" s="228"/>
      <c r="W14" s="228"/>
      <c r="X14" s="229"/>
      <c r="Y14" s="229"/>
      <c r="Z14" s="229"/>
      <c r="AA14" s="229"/>
      <c r="AB14" s="229"/>
      <c r="AC14" s="228"/>
      <c r="AD14" s="461"/>
      <c r="AE14" s="462"/>
      <c r="AF14" s="228"/>
      <c r="AG14" s="228"/>
      <c r="AH14" s="216"/>
    </row>
    <row r="15" spans="1:34" s="39" customFormat="1" ht="24" customHeight="1">
      <c r="A15" s="38"/>
      <c r="B15" s="38"/>
      <c r="C15" s="105"/>
      <c r="D15" s="65"/>
      <c r="E15" s="102"/>
      <c r="F15" s="273"/>
      <c r="G15" s="118"/>
      <c r="H15" s="104"/>
      <c r="I15" s="104"/>
      <c r="J15" s="65"/>
      <c r="K15" s="65"/>
      <c r="L15" s="66"/>
      <c r="O15" s="226"/>
      <c r="P15" s="227"/>
      <c r="Q15" s="228"/>
      <c r="R15" s="228"/>
      <c r="S15" s="228"/>
      <c r="T15" s="228"/>
      <c r="U15" s="228"/>
      <c r="V15" s="228"/>
      <c r="W15" s="228"/>
      <c r="X15" s="229"/>
      <c r="Y15" s="229"/>
      <c r="Z15" s="229"/>
      <c r="AA15" s="229"/>
      <c r="AB15" s="229"/>
      <c r="AC15" s="228"/>
      <c r="AD15" s="461"/>
      <c r="AE15" s="462"/>
      <c r="AF15" s="228"/>
      <c r="AG15" s="228"/>
      <c r="AH15" s="216"/>
    </row>
    <row r="16" spans="1:34" ht="24" customHeight="1">
      <c r="A16" s="38"/>
      <c r="B16" s="38"/>
      <c r="C16" s="105"/>
      <c r="D16" s="65" t="s">
        <v>48</v>
      </c>
      <c r="E16" s="102"/>
      <c r="F16" s="273"/>
      <c r="G16" s="118"/>
      <c r="H16" s="104"/>
      <c r="I16" s="104">
        <f>SUM(I7:I15)</f>
        <v>409874</v>
      </c>
      <c r="J16" s="821" t="str">
        <f>IF(COUNTIF(N:N,"費用")=0,"","うち費用")</f>
        <v/>
      </c>
      <c r="K16" s="822" t="str">
        <f>IF(COUNTIF(N:N,"費用")=0,"",SUMIF(N:N,"費用",I:I))</f>
        <v/>
      </c>
      <c r="L16" s="66"/>
      <c r="M16" s="39"/>
      <c r="N16" s="39"/>
      <c r="O16" s="226"/>
      <c r="P16" s="227"/>
      <c r="Q16" s="228"/>
      <c r="R16" s="228"/>
      <c r="S16" s="228"/>
      <c r="T16" s="228"/>
      <c r="U16" s="228"/>
      <c r="V16" s="228"/>
      <c r="W16" s="228"/>
      <c r="X16" s="229"/>
      <c r="Y16" s="229"/>
      <c r="Z16" s="229"/>
      <c r="AA16" s="229"/>
      <c r="AB16" s="229"/>
      <c r="AC16" s="228"/>
      <c r="AD16" s="461"/>
      <c r="AE16" s="462"/>
      <c r="AF16" s="228"/>
      <c r="AG16" s="228"/>
      <c r="AH16" s="216"/>
    </row>
    <row r="17" spans="1:35" s="39" customFormat="1" ht="24" customHeight="1">
      <c r="A17" s="38"/>
      <c r="B17" s="38"/>
      <c r="C17" s="105"/>
      <c r="D17" s="119"/>
      <c r="E17" s="102"/>
      <c r="F17" s="273"/>
      <c r="G17" s="118"/>
      <c r="H17" s="104"/>
      <c r="I17" s="104"/>
      <c r="J17" s="65"/>
      <c r="K17" s="65"/>
      <c r="L17" s="66"/>
      <c r="O17" s="226"/>
      <c r="P17" s="227"/>
      <c r="Q17" s="228"/>
      <c r="R17" s="228"/>
      <c r="S17" s="228"/>
      <c r="T17" s="228"/>
      <c r="U17" s="228"/>
      <c r="V17" s="228"/>
      <c r="W17" s="228"/>
      <c r="X17" s="229"/>
      <c r="Y17" s="229"/>
      <c r="Z17" s="229"/>
      <c r="AA17" s="229"/>
      <c r="AB17" s="229"/>
      <c r="AC17" s="228"/>
      <c r="AD17" s="461"/>
      <c r="AE17" s="462"/>
      <c r="AF17" s="228"/>
      <c r="AG17" s="228"/>
      <c r="AH17" s="216"/>
    </row>
    <row r="18" spans="1:35" ht="24" customHeight="1">
      <c r="A18" s="38"/>
      <c r="B18" s="38"/>
      <c r="C18" s="194" t="s">
        <v>147</v>
      </c>
      <c r="D18" s="65"/>
      <c r="E18" s="102"/>
      <c r="F18" s="273"/>
      <c r="G18" s="118"/>
      <c r="H18" s="104"/>
      <c r="I18" s="104"/>
      <c r="J18" s="65"/>
      <c r="K18" s="65"/>
      <c r="L18" s="66"/>
      <c r="M18" s="39"/>
      <c r="N18" s="39"/>
      <c r="O18" s="226"/>
      <c r="P18" s="227"/>
      <c r="Q18" s="228"/>
      <c r="R18" s="228"/>
      <c r="S18" s="228"/>
      <c r="T18" s="228"/>
      <c r="U18" s="228"/>
      <c r="V18" s="228"/>
      <c r="W18" s="228"/>
      <c r="X18" s="229"/>
      <c r="Y18" s="229"/>
      <c r="Z18" s="229"/>
      <c r="AA18" s="229"/>
      <c r="AB18" s="229"/>
      <c r="AC18" s="228"/>
      <c r="AD18" s="461"/>
      <c r="AE18" s="462"/>
      <c r="AF18" s="228"/>
      <c r="AG18" s="228"/>
      <c r="AH18" s="216"/>
    </row>
    <row r="19" spans="1:35" ht="24" customHeight="1">
      <c r="A19" s="38"/>
      <c r="B19" s="38"/>
      <c r="C19" s="105"/>
      <c r="D19" s="65" t="s">
        <v>149</v>
      </c>
      <c r="E19" s="102"/>
      <c r="F19" s="273">
        <v>1</v>
      </c>
      <c r="G19" s="118" t="s">
        <v>7</v>
      </c>
      <c r="H19" s="104"/>
      <c r="I19" s="104">
        <f>I47</f>
        <v>13343</v>
      </c>
      <c r="J19" s="65"/>
      <c r="K19" s="65"/>
      <c r="L19" s="66"/>
      <c r="M19" s="39"/>
      <c r="N19" s="39"/>
      <c r="O19" s="226"/>
      <c r="P19" s="227"/>
      <c r="Q19" s="228"/>
      <c r="R19" s="228"/>
      <c r="S19" s="228"/>
      <c r="T19" s="228"/>
      <c r="U19" s="228"/>
      <c r="V19" s="228"/>
      <c r="W19" s="228"/>
      <c r="X19" s="229"/>
      <c r="Y19" s="229"/>
      <c r="Z19" s="229"/>
      <c r="AA19" s="229"/>
      <c r="AB19" s="229"/>
      <c r="AC19" s="228"/>
      <c r="AD19" s="461"/>
      <c r="AE19" s="462"/>
      <c r="AF19" s="228"/>
      <c r="AG19" s="228"/>
      <c r="AH19" s="216"/>
    </row>
    <row r="20" spans="1:35" ht="24" customHeight="1">
      <c r="A20" s="38"/>
      <c r="B20" s="38"/>
      <c r="C20" s="105"/>
      <c r="D20" s="65" t="s">
        <v>148</v>
      </c>
      <c r="E20" s="102"/>
      <c r="F20" s="273">
        <v>1</v>
      </c>
      <c r="G20" s="118" t="s">
        <v>7</v>
      </c>
      <c r="H20" s="104"/>
      <c r="I20" s="104">
        <f>+変更諸経費表!H66+変更諸経費表!H74</f>
        <v>153130</v>
      </c>
      <c r="J20" s="195"/>
      <c r="K20" s="65"/>
      <c r="L20" s="66"/>
      <c r="M20" s="39"/>
      <c r="N20" s="39"/>
      <c r="O20" s="226"/>
      <c r="P20" s="227"/>
      <c r="Q20" s="228"/>
      <c r="R20" s="228"/>
      <c r="S20" s="228"/>
      <c r="T20" s="228"/>
      <c r="U20" s="228"/>
      <c r="V20" s="228"/>
      <c r="W20" s="228"/>
      <c r="X20" s="229"/>
      <c r="Y20" s="229"/>
      <c r="Z20" s="229"/>
      <c r="AA20" s="229"/>
      <c r="AB20" s="229"/>
      <c r="AC20" s="228"/>
      <c r="AD20" s="461"/>
      <c r="AE20" s="462"/>
      <c r="AF20" s="228"/>
      <c r="AG20" s="228"/>
      <c r="AH20" s="216"/>
    </row>
    <row r="21" spans="1:35" ht="24" customHeight="1">
      <c r="A21" s="38"/>
      <c r="B21" s="38"/>
      <c r="C21" s="105"/>
      <c r="D21" s="65" t="s">
        <v>3047</v>
      </c>
      <c r="E21" s="102"/>
      <c r="F21" s="273"/>
      <c r="G21" s="118"/>
      <c r="H21" s="104"/>
      <c r="I21" s="104">
        <f>SUM(I19:I20)</f>
        <v>166473</v>
      </c>
      <c r="J21" s="65"/>
      <c r="K21" s="65"/>
      <c r="L21" s="66"/>
      <c r="M21" s="39"/>
      <c r="N21" s="39"/>
      <c r="O21" s="226"/>
      <c r="P21" s="227"/>
      <c r="Q21" s="228"/>
      <c r="R21" s="228"/>
      <c r="S21" s="228"/>
      <c r="T21" s="228"/>
      <c r="U21" s="228"/>
      <c r="V21" s="228"/>
      <c r="W21" s="228"/>
      <c r="X21" s="229"/>
      <c r="Y21" s="229"/>
      <c r="Z21" s="229"/>
      <c r="AA21" s="229"/>
      <c r="AB21" s="229"/>
      <c r="AC21" s="228"/>
      <c r="AD21" s="461"/>
      <c r="AE21" s="462"/>
      <c r="AF21" s="228"/>
      <c r="AG21" s="228"/>
      <c r="AH21" s="216"/>
    </row>
    <row r="22" spans="1:35" ht="24" customHeight="1">
      <c r="A22" s="38"/>
      <c r="B22" s="38"/>
      <c r="C22" s="105"/>
      <c r="D22" s="65" t="s">
        <v>239</v>
      </c>
      <c r="E22" s="102"/>
      <c r="F22" s="273"/>
      <c r="G22" s="118"/>
      <c r="H22" s="104"/>
      <c r="I22" s="104">
        <f>+I16+I21</f>
        <v>576347</v>
      </c>
      <c r="J22" s="65"/>
      <c r="K22" s="65"/>
      <c r="L22" s="66"/>
      <c r="M22" s="39"/>
      <c r="N22" s="39"/>
      <c r="O22" s="226"/>
      <c r="P22" s="227"/>
      <c r="Q22" s="228"/>
      <c r="R22" s="228"/>
      <c r="S22" s="228"/>
      <c r="T22" s="228"/>
      <c r="U22" s="228"/>
      <c r="V22" s="228"/>
      <c r="W22" s="228"/>
      <c r="X22" s="229"/>
      <c r="Y22" s="229"/>
      <c r="Z22" s="229"/>
      <c r="AA22" s="229"/>
      <c r="AB22" s="229"/>
      <c r="AC22" s="228"/>
      <c r="AD22" s="461"/>
      <c r="AE22" s="462"/>
      <c r="AF22" s="228"/>
      <c r="AG22" s="228"/>
      <c r="AH22" s="216"/>
    </row>
    <row r="23" spans="1:35" s="39" customFormat="1" ht="24" customHeight="1">
      <c r="A23" s="38"/>
      <c r="B23" s="38"/>
      <c r="C23" s="105"/>
      <c r="D23" s="65"/>
      <c r="E23" s="102"/>
      <c r="F23" s="273"/>
      <c r="G23" s="118"/>
      <c r="H23" s="104"/>
      <c r="I23" s="104"/>
      <c r="J23" s="2533" t="s">
        <v>3048</v>
      </c>
      <c r="K23" s="2534">
        <v>0.71350000000000002</v>
      </c>
      <c r="L23" s="66"/>
      <c r="O23" s="226"/>
      <c r="P23" s="227"/>
      <c r="Q23" s="228"/>
      <c r="R23" s="228"/>
      <c r="S23" s="228"/>
      <c r="T23" s="228"/>
      <c r="U23" s="228"/>
      <c r="V23" s="228"/>
      <c r="W23" s="228"/>
      <c r="X23" s="229"/>
      <c r="Y23" s="229"/>
      <c r="Z23" s="229"/>
      <c r="AA23" s="229"/>
      <c r="AB23" s="229"/>
      <c r="AC23" s="228"/>
      <c r="AD23" s="461"/>
      <c r="AE23" s="462"/>
      <c r="AF23" s="228"/>
      <c r="AG23" s="228"/>
      <c r="AH23" s="216"/>
    </row>
    <row r="24" spans="1:35" ht="24" customHeight="1" thickBot="1">
      <c r="A24" s="38"/>
      <c r="B24" s="38"/>
      <c r="C24" s="106"/>
      <c r="D24" s="95" t="s">
        <v>240</v>
      </c>
      <c r="E24" s="107"/>
      <c r="F24" s="274"/>
      <c r="G24" s="121"/>
      <c r="H24" s="122" t="s">
        <v>72</v>
      </c>
      <c r="I24" s="108">
        <f>ROUNDDOWN(I22*K23,-3)</f>
        <v>411000</v>
      </c>
      <c r="J24" s="95" t="s">
        <v>73</v>
      </c>
      <c r="K24" s="95"/>
      <c r="L24" s="123"/>
      <c r="O24" s="226"/>
      <c r="P24" s="227"/>
      <c r="Q24" s="228"/>
      <c r="R24" s="228"/>
      <c r="S24" s="228"/>
      <c r="T24" s="228"/>
      <c r="U24" s="228"/>
      <c r="V24" s="228"/>
      <c r="W24" s="228"/>
      <c r="X24" s="229"/>
      <c r="Y24" s="229"/>
      <c r="Z24" s="229"/>
      <c r="AA24" s="229"/>
      <c r="AB24" s="229"/>
      <c r="AC24" s="228"/>
      <c r="AD24" s="461"/>
      <c r="AE24" s="462"/>
      <c r="AF24" s="228"/>
      <c r="AG24" s="228"/>
      <c r="AH24" s="463"/>
    </row>
    <row r="25" spans="1:35" ht="14.25" customHeight="1">
      <c r="E25" s="124" t="s">
        <v>88</v>
      </c>
      <c r="F25" s="125">
        <f>+F2+1</f>
        <v>3</v>
      </c>
      <c r="G25" s="126" t="s">
        <v>89</v>
      </c>
      <c r="H25" s="127">
        <f>H2</f>
        <v>15</v>
      </c>
      <c r="M25" s="33" t="str">
        <f>IF(A27="","EOL","")</f>
        <v/>
      </c>
      <c r="N25" s="1">
        <f>+F25</f>
        <v>3</v>
      </c>
    </row>
    <row r="26" spans="1:35" ht="26.1" customHeight="1" thickBot="1">
      <c r="C26" s="2615" t="s">
        <v>331</v>
      </c>
      <c r="D26" s="2615"/>
      <c r="E26" s="2615"/>
      <c r="F26" s="2615"/>
      <c r="G26" s="2615"/>
      <c r="H26" s="2615"/>
      <c r="I26" s="2615"/>
      <c r="J26" s="2615"/>
      <c r="K26" s="2615"/>
      <c r="L26" s="2615"/>
      <c r="O26" s="2616" t="s">
        <v>134</v>
      </c>
      <c r="P26" s="2616"/>
      <c r="Q26" s="2616"/>
      <c r="R26" s="2616"/>
      <c r="S26" s="2616"/>
      <c r="T26" s="2616"/>
      <c r="U26" s="2616"/>
      <c r="V26" s="2616"/>
      <c r="W26" s="2616"/>
      <c r="X26" s="2616"/>
      <c r="Y26" s="2616"/>
      <c r="Z26" s="2616"/>
      <c r="AA26" s="2616"/>
      <c r="AB26" s="2616"/>
      <c r="AC26" s="2616"/>
      <c r="AD26" s="2616"/>
      <c r="AE26" s="2616"/>
      <c r="AF26" s="2616"/>
      <c r="AG26" s="2616"/>
      <c r="AH26" s="2617"/>
    </row>
    <row r="27" spans="1:35" ht="42" customHeight="1">
      <c r="A27" s="5" t="s">
        <v>151</v>
      </c>
      <c r="B27" s="5" t="s">
        <v>9</v>
      </c>
      <c r="C27" s="84" t="s">
        <v>0</v>
      </c>
      <c r="D27" s="85"/>
      <c r="E27" s="63" t="s">
        <v>1</v>
      </c>
      <c r="F27" s="61" t="s">
        <v>2</v>
      </c>
      <c r="G27" s="61" t="s">
        <v>3</v>
      </c>
      <c r="H27" s="62" t="s">
        <v>4</v>
      </c>
      <c r="I27" s="62" t="s">
        <v>5</v>
      </c>
      <c r="J27" s="85" t="s">
        <v>6</v>
      </c>
      <c r="K27" s="85"/>
      <c r="L27" s="86"/>
      <c r="M27" s="39"/>
      <c r="N27" s="39"/>
      <c r="O27" s="157" t="s">
        <v>67</v>
      </c>
      <c r="P27" s="386" t="s">
        <v>275</v>
      </c>
      <c r="Q27" s="275" t="s">
        <v>317</v>
      </c>
      <c r="R27" s="275" t="s">
        <v>218</v>
      </c>
      <c r="S27" s="275" t="s">
        <v>219</v>
      </c>
      <c r="T27" s="275" t="s">
        <v>2476</v>
      </c>
      <c r="U27" s="275" t="s">
        <v>128</v>
      </c>
      <c r="V27" s="156" t="s">
        <v>127</v>
      </c>
      <c r="W27" s="275" t="s">
        <v>2477</v>
      </c>
      <c r="X27" s="223" t="s">
        <v>220</v>
      </c>
      <c r="Y27" s="223" t="s">
        <v>221</v>
      </c>
      <c r="Z27" s="223" t="s">
        <v>222</v>
      </c>
      <c r="AA27" s="223" t="s">
        <v>223</v>
      </c>
      <c r="AB27" s="223" t="s">
        <v>2478</v>
      </c>
      <c r="AC27" s="458" t="s">
        <v>326</v>
      </c>
      <c r="AD27" s="459" t="s">
        <v>327</v>
      </c>
      <c r="AE27" s="460" t="s">
        <v>130</v>
      </c>
      <c r="AF27" s="155" t="s">
        <v>133</v>
      </c>
      <c r="AG27" s="155" t="s">
        <v>131</v>
      </c>
      <c r="AH27" s="155" t="s">
        <v>132</v>
      </c>
    </row>
    <row r="28" spans="1:35" ht="24" customHeight="1">
      <c r="A28" s="38"/>
      <c r="B28" s="38"/>
      <c r="C28" s="132" t="s">
        <v>150</v>
      </c>
      <c r="D28" s="99"/>
      <c r="E28" s="100"/>
      <c r="F28" s="272"/>
      <c r="G28" s="136"/>
      <c r="H28" s="94" t="s">
        <v>11</v>
      </c>
      <c r="I28" s="94" t="s">
        <v>11</v>
      </c>
      <c r="J28" s="2609"/>
      <c r="K28" s="2610"/>
      <c r="L28" s="2611"/>
      <c r="O28" s="226"/>
      <c r="P28" s="227"/>
      <c r="Q28" s="228"/>
      <c r="R28" s="228"/>
      <c r="S28" s="228"/>
      <c r="T28" s="228"/>
      <c r="U28" s="228"/>
      <c r="V28" s="228"/>
      <c r="W28" s="228"/>
      <c r="X28" s="229"/>
      <c r="Y28" s="229"/>
      <c r="Z28" s="229"/>
      <c r="AA28" s="229"/>
      <c r="AB28" s="229"/>
      <c r="AC28" s="228"/>
      <c r="AD28" s="461"/>
      <c r="AE28" s="462"/>
      <c r="AF28" s="228"/>
      <c r="AG28" s="228"/>
      <c r="AH28" s="463"/>
    </row>
    <row r="29" spans="1:35" s="39" customFormat="1" ht="24" customHeight="1">
      <c r="A29" s="38"/>
      <c r="B29" s="38"/>
      <c r="C29" s="105"/>
      <c r="D29" s="65" t="s">
        <v>2488</v>
      </c>
      <c r="E29" s="102"/>
      <c r="F29" s="273"/>
      <c r="G29" s="118"/>
      <c r="H29" s="137"/>
      <c r="I29" s="104" t="str">
        <f t="shared" ref="I29:I46" si="0">IF(F29="","",INT(F29*H29))</f>
        <v/>
      </c>
      <c r="J29" s="65"/>
      <c r="K29" s="65"/>
      <c r="L29" s="66"/>
      <c r="O29" s="226"/>
      <c r="P29" s="227"/>
      <c r="Q29" s="228"/>
      <c r="R29" s="228"/>
      <c r="S29" s="228"/>
      <c r="T29" s="228"/>
      <c r="U29" s="228"/>
      <c r="V29" s="228"/>
      <c r="W29" s="228"/>
      <c r="X29" s="229"/>
      <c r="Y29" s="229"/>
      <c r="Z29" s="229"/>
      <c r="AA29" s="229"/>
      <c r="AB29" s="229"/>
      <c r="AC29" s="228"/>
      <c r="AD29" s="461"/>
      <c r="AE29" s="462"/>
      <c r="AF29" s="228"/>
      <c r="AG29" s="228"/>
      <c r="AH29" s="228"/>
      <c r="AI29" s="789"/>
    </row>
    <row r="30" spans="1:35" s="39" customFormat="1" ht="24" customHeight="1">
      <c r="A30" s="38"/>
      <c r="B30" s="38"/>
      <c r="C30" s="105"/>
      <c r="D30" s="65" t="s">
        <v>2472</v>
      </c>
      <c r="E30" s="102"/>
      <c r="F30" s="273">
        <v>1</v>
      </c>
      <c r="G30" s="118" t="s">
        <v>2473</v>
      </c>
      <c r="H30" s="137">
        <f>+変更諸経費表!H21</f>
        <v>13343</v>
      </c>
      <c r="I30" s="104">
        <f t="shared" si="0"/>
        <v>13343</v>
      </c>
      <c r="J30" s="65"/>
      <c r="K30" s="65"/>
      <c r="L30" s="66"/>
      <c r="O30" s="226"/>
      <c r="P30" s="227"/>
      <c r="Q30" s="228"/>
      <c r="R30" s="228"/>
      <c r="S30" s="228"/>
      <c r="T30" s="228"/>
      <c r="U30" s="228"/>
      <c r="V30" s="228"/>
      <c r="W30" s="228"/>
      <c r="X30" s="229"/>
      <c r="Y30" s="229"/>
      <c r="Z30" s="229"/>
      <c r="AA30" s="229"/>
      <c r="AB30" s="229"/>
      <c r="AC30" s="228"/>
      <c r="AD30" s="461"/>
      <c r="AE30" s="462"/>
      <c r="AF30" s="228"/>
      <c r="AG30" s="228"/>
      <c r="AH30" s="228"/>
      <c r="AI30" s="789"/>
    </row>
    <row r="31" spans="1:35" s="39" customFormat="1" ht="24" customHeight="1">
      <c r="A31" s="38"/>
      <c r="B31" s="38"/>
      <c r="C31" s="105"/>
      <c r="D31" s="65"/>
      <c r="E31" s="102"/>
      <c r="F31" s="273"/>
      <c r="G31" s="118"/>
      <c r="H31" s="137"/>
      <c r="I31" s="104" t="str">
        <f t="shared" si="0"/>
        <v/>
      </c>
      <c r="J31" s="65"/>
      <c r="K31" s="65"/>
      <c r="L31" s="66"/>
      <c r="O31" s="226"/>
      <c r="P31" s="227"/>
      <c r="Q31" s="228"/>
      <c r="R31" s="228"/>
      <c r="S31" s="228"/>
      <c r="T31" s="228"/>
      <c r="U31" s="228"/>
      <c r="V31" s="228"/>
      <c r="W31" s="228"/>
      <c r="X31" s="229"/>
      <c r="Y31" s="229"/>
      <c r="Z31" s="229"/>
      <c r="AA31" s="229"/>
      <c r="AB31" s="229"/>
      <c r="AC31" s="228"/>
      <c r="AD31" s="461"/>
      <c r="AE31" s="462"/>
      <c r="AF31" s="228"/>
      <c r="AG31" s="228"/>
      <c r="AH31" s="228"/>
      <c r="AI31" s="789"/>
    </row>
    <row r="32" spans="1:35" s="39" customFormat="1" ht="24" customHeight="1">
      <c r="A32" s="38"/>
      <c r="B32" s="38"/>
      <c r="C32" s="792"/>
      <c r="D32" s="793" t="s">
        <v>2489</v>
      </c>
      <c r="E32" s="794"/>
      <c r="F32" s="795"/>
      <c r="G32" s="796"/>
      <c r="H32" s="797"/>
      <c r="I32" s="798">
        <f>SUM(I30:I31)</f>
        <v>13343</v>
      </c>
      <c r="J32" s="793"/>
      <c r="K32" s="793"/>
      <c r="L32" s="799"/>
      <c r="O32" s="226"/>
      <c r="P32" s="227"/>
      <c r="Q32" s="228"/>
      <c r="R32" s="228"/>
      <c r="S32" s="228"/>
      <c r="T32" s="228"/>
      <c r="U32" s="228"/>
      <c r="V32" s="228"/>
      <c r="W32" s="228"/>
      <c r="X32" s="229"/>
      <c r="Y32" s="229"/>
      <c r="Z32" s="229"/>
      <c r="AA32" s="229"/>
      <c r="AB32" s="229"/>
      <c r="AC32" s="228"/>
      <c r="AD32" s="461"/>
      <c r="AE32" s="462"/>
      <c r="AF32" s="228"/>
      <c r="AG32" s="228"/>
      <c r="AH32" s="228"/>
      <c r="AI32" s="789"/>
    </row>
    <row r="33" spans="1:35" s="39" customFormat="1" ht="24" customHeight="1">
      <c r="A33" s="38"/>
      <c r="B33" s="38"/>
      <c r="C33" s="800"/>
      <c r="D33" s="99"/>
      <c r="E33" s="100"/>
      <c r="F33" s="801"/>
      <c r="G33" s="136"/>
      <c r="H33" s="802"/>
      <c r="I33" s="803" t="str">
        <f t="shared" si="0"/>
        <v/>
      </c>
      <c r="J33" s="99"/>
      <c r="K33" s="99"/>
      <c r="L33" s="804"/>
      <c r="O33" s="226"/>
      <c r="P33" s="227"/>
      <c r="Q33" s="228"/>
      <c r="R33" s="228"/>
      <c r="S33" s="228"/>
      <c r="T33" s="228"/>
      <c r="U33" s="228"/>
      <c r="V33" s="228"/>
      <c r="W33" s="228"/>
      <c r="X33" s="229"/>
      <c r="Y33" s="229"/>
      <c r="Z33" s="229"/>
      <c r="AA33" s="229"/>
      <c r="AB33" s="229"/>
      <c r="AC33" s="228"/>
      <c r="AD33" s="461"/>
      <c r="AE33" s="462"/>
      <c r="AF33" s="228"/>
      <c r="AG33" s="228"/>
      <c r="AH33" s="228"/>
      <c r="AI33" s="789"/>
    </row>
    <row r="34" spans="1:35" s="39" customFormat="1" ht="24" customHeight="1">
      <c r="A34" s="38"/>
      <c r="B34" s="38"/>
      <c r="C34" s="105"/>
      <c r="D34" s="65" t="s">
        <v>2490</v>
      </c>
      <c r="E34" s="102"/>
      <c r="F34" s="273"/>
      <c r="G34" s="118"/>
      <c r="H34" s="137"/>
      <c r="I34" s="104" t="str">
        <f t="shared" si="0"/>
        <v/>
      </c>
      <c r="J34" s="65"/>
      <c r="K34" s="65"/>
      <c r="L34" s="66"/>
      <c r="O34" s="226"/>
      <c r="P34" s="227"/>
      <c r="Q34" s="228"/>
      <c r="R34" s="228"/>
      <c r="S34" s="228"/>
      <c r="T34" s="228"/>
      <c r="U34" s="228"/>
      <c r="V34" s="228"/>
      <c r="W34" s="228"/>
      <c r="X34" s="229"/>
      <c r="Y34" s="229"/>
      <c r="Z34" s="229"/>
      <c r="AA34" s="229"/>
      <c r="AB34" s="229"/>
      <c r="AC34" s="228"/>
      <c r="AD34" s="461"/>
      <c r="AE34" s="462"/>
      <c r="AF34" s="228"/>
      <c r="AG34" s="228"/>
      <c r="AH34" s="228"/>
      <c r="AI34" s="789"/>
    </row>
    <row r="35" spans="1:35" s="39" customFormat="1" ht="24" customHeight="1">
      <c r="A35" s="38"/>
      <c r="B35" s="38"/>
      <c r="C35" s="105"/>
      <c r="D35" s="65" t="s">
        <v>2491</v>
      </c>
      <c r="E35" s="102"/>
      <c r="F35" s="273">
        <v>1</v>
      </c>
      <c r="G35" s="118" t="s">
        <v>7</v>
      </c>
      <c r="H35" s="137"/>
      <c r="I35" s="104">
        <f t="shared" si="0"/>
        <v>0</v>
      </c>
      <c r="J35" s="65"/>
      <c r="K35" s="65"/>
      <c r="L35" s="66"/>
      <c r="O35" s="226"/>
      <c r="P35" s="227"/>
      <c r="Q35" s="228"/>
      <c r="R35" s="228"/>
      <c r="S35" s="228"/>
      <c r="T35" s="228"/>
      <c r="U35" s="228"/>
      <c r="V35" s="228"/>
      <c r="W35" s="228"/>
      <c r="X35" s="229"/>
      <c r="Y35" s="229"/>
      <c r="Z35" s="229"/>
      <c r="AA35" s="229"/>
      <c r="AB35" s="229"/>
      <c r="AC35" s="228"/>
      <c r="AD35" s="461"/>
      <c r="AE35" s="462"/>
      <c r="AF35" s="228"/>
      <c r="AG35" s="228"/>
      <c r="AH35" s="228"/>
      <c r="AI35" s="789"/>
    </row>
    <row r="36" spans="1:35" s="39" customFormat="1" ht="24" customHeight="1">
      <c r="A36" s="38"/>
      <c r="B36" s="38"/>
      <c r="C36" s="105"/>
      <c r="D36" s="65" t="s">
        <v>2492</v>
      </c>
      <c r="E36" s="102"/>
      <c r="F36" s="273">
        <v>1</v>
      </c>
      <c r="G36" s="118" t="s">
        <v>7</v>
      </c>
      <c r="H36" s="137"/>
      <c r="I36" s="104">
        <f t="shared" si="0"/>
        <v>0</v>
      </c>
      <c r="J36" s="65"/>
      <c r="K36" s="65"/>
      <c r="L36" s="66"/>
      <c r="O36" s="226"/>
      <c r="P36" s="227"/>
      <c r="Q36" s="228"/>
      <c r="R36" s="228"/>
      <c r="S36" s="228"/>
      <c r="T36" s="228"/>
      <c r="U36" s="228"/>
      <c r="V36" s="228"/>
      <c r="W36" s="228"/>
      <c r="X36" s="229"/>
      <c r="Y36" s="229"/>
      <c r="Z36" s="229"/>
      <c r="AA36" s="229"/>
      <c r="AB36" s="229"/>
      <c r="AC36" s="228"/>
      <c r="AD36" s="461"/>
      <c r="AE36" s="462"/>
      <c r="AF36" s="228"/>
      <c r="AG36" s="228"/>
      <c r="AH36" s="228"/>
      <c r="AI36" s="789"/>
    </row>
    <row r="37" spans="1:35" s="39" customFormat="1" ht="24" customHeight="1">
      <c r="A37" s="38"/>
      <c r="B37" s="38"/>
      <c r="C37" s="105"/>
      <c r="D37" s="65" t="s">
        <v>2493</v>
      </c>
      <c r="E37" s="102"/>
      <c r="F37" s="273">
        <v>1</v>
      </c>
      <c r="G37" s="118" t="s">
        <v>7</v>
      </c>
      <c r="H37" s="137"/>
      <c r="I37" s="104">
        <f t="shared" si="0"/>
        <v>0</v>
      </c>
      <c r="J37" s="65"/>
      <c r="K37" s="65"/>
      <c r="L37" s="66"/>
      <c r="O37" s="226"/>
      <c r="P37" s="227"/>
      <c r="Q37" s="228"/>
      <c r="R37" s="228"/>
      <c r="S37" s="228"/>
      <c r="T37" s="228"/>
      <c r="U37" s="228"/>
      <c r="V37" s="228"/>
      <c r="W37" s="228"/>
      <c r="X37" s="229"/>
      <c r="Y37" s="229"/>
      <c r="Z37" s="229"/>
      <c r="AA37" s="229"/>
      <c r="AB37" s="229"/>
      <c r="AC37" s="228"/>
      <c r="AD37" s="461"/>
      <c r="AE37" s="462"/>
      <c r="AF37" s="228"/>
      <c r="AG37" s="228"/>
      <c r="AH37" s="228"/>
      <c r="AI37" s="789"/>
    </row>
    <row r="38" spans="1:35" s="39" customFormat="1" ht="24" customHeight="1">
      <c r="A38" s="38"/>
      <c r="B38" s="38"/>
      <c r="C38" s="105"/>
      <c r="D38" s="65" t="s">
        <v>2494</v>
      </c>
      <c r="E38" s="102"/>
      <c r="F38" s="273">
        <v>1</v>
      </c>
      <c r="G38" s="118" t="s">
        <v>7</v>
      </c>
      <c r="H38" s="137"/>
      <c r="I38" s="104">
        <f t="shared" si="0"/>
        <v>0</v>
      </c>
      <c r="J38" s="65"/>
      <c r="K38" s="65"/>
      <c r="L38" s="66"/>
      <c r="O38" s="226"/>
      <c r="P38" s="227"/>
      <c r="Q38" s="228"/>
      <c r="R38" s="228"/>
      <c r="S38" s="228"/>
      <c r="T38" s="228"/>
      <c r="U38" s="228"/>
      <c r="V38" s="228"/>
      <c r="W38" s="228"/>
      <c r="X38" s="229"/>
      <c r="Y38" s="229"/>
      <c r="Z38" s="229"/>
      <c r="AA38" s="229"/>
      <c r="AB38" s="229"/>
      <c r="AC38" s="228"/>
      <c r="AD38" s="461"/>
      <c r="AE38" s="462"/>
      <c r="AF38" s="228"/>
      <c r="AG38" s="228"/>
      <c r="AH38" s="228"/>
      <c r="AI38" s="789"/>
    </row>
    <row r="39" spans="1:35" s="39" customFormat="1" ht="24" customHeight="1">
      <c r="A39" s="38"/>
      <c r="B39" s="38"/>
      <c r="C39" s="105"/>
      <c r="D39" s="65" t="s">
        <v>2495</v>
      </c>
      <c r="E39" s="102"/>
      <c r="F39" s="273">
        <v>1</v>
      </c>
      <c r="G39" s="118" t="s">
        <v>7</v>
      </c>
      <c r="H39" s="137"/>
      <c r="I39" s="104">
        <f t="shared" si="0"/>
        <v>0</v>
      </c>
      <c r="J39" s="65"/>
      <c r="K39" s="65"/>
      <c r="L39" s="66"/>
      <c r="O39" s="226"/>
      <c r="P39" s="227"/>
      <c r="Q39" s="228"/>
      <c r="R39" s="228"/>
      <c r="S39" s="228"/>
      <c r="T39" s="228"/>
      <c r="U39" s="228"/>
      <c r="V39" s="228"/>
      <c r="W39" s="228"/>
      <c r="X39" s="229"/>
      <c r="Y39" s="229"/>
      <c r="Z39" s="229"/>
      <c r="AA39" s="229"/>
      <c r="AB39" s="229"/>
      <c r="AC39" s="228"/>
      <c r="AD39" s="461"/>
      <c r="AE39" s="462"/>
      <c r="AF39" s="228"/>
      <c r="AG39" s="228"/>
      <c r="AH39" s="228"/>
      <c r="AI39" s="789"/>
    </row>
    <row r="40" spans="1:35" s="39" customFormat="1" ht="24" customHeight="1">
      <c r="A40" s="38"/>
      <c r="B40" s="38"/>
      <c r="C40" s="105"/>
      <c r="D40" s="65" t="s">
        <v>2496</v>
      </c>
      <c r="E40" s="102"/>
      <c r="F40" s="273">
        <v>1</v>
      </c>
      <c r="G40" s="118" t="s">
        <v>7</v>
      </c>
      <c r="H40" s="137"/>
      <c r="I40" s="104">
        <f t="shared" si="0"/>
        <v>0</v>
      </c>
      <c r="J40" s="65"/>
      <c r="K40" s="65"/>
      <c r="L40" s="66"/>
      <c r="O40" s="226"/>
      <c r="P40" s="227"/>
      <c r="Q40" s="228"/>
      <c r="R40" s="228"/>
      <c r="S40" s="228"/>
      <c r="T40" s="228"/>
      <c r="U40" s="228"/>
      <c r="V40" s="228"/>
      <c r="W40" s="228"/>
      <c r="X40" s="229"/>
      <c r="Y40" s="229"/>
      <c r="Z40" s="229"/>
      <c r="AA40" s="229"/>
      <c r="AB40" s="229"/>
      <c r="AC40" s="228"/>
      <c r="AD40" s="461"/>
      <c r="AE40" s="462"/>
      <c r="AF40" s="228"/>
      <c r="AG40" s="228"/>
      <c r="AH40" s="228"/>
      <c r="AI40" s="789"/>
    </row>
    <row r="41" spans="1:35" s="39" customFormat="1" ht="24" customHeight="1">
      <c r="A41" s="38"/>
      <c r="B41" s="38"/>
      <c r="C41" s="105"/>
      <c r="D41" s="65" t="s">
        <v>2497</v>
      </c>
      <c r="E41" s="102"/>
      <c r="F41" s="273">
        <v>1</v>
      </c>
      <c r="G41" s="118" t="s">
        <v>7</v>
      </c>
      <c r="H41" s="137"/>
      <c r="I41" s="104">
        <f t="shared" si="0"/>
        <v>0</v>
      </c>
      <c r="J41" s="65"/>
      <c r="K41" s="65"/>
      <c r="L41" s="66"/>
      <c r="O41" s="226"/>
      <c r="P41" s="227"/>
      <c r="Q41" s="228"/>
      <c r="R41" s="228"/>
      <c r="S41" s="228"/>
      <c r="T41" s="228"/>
      <c r="U41" s="228"/>
      <c r="V41" s="228"/>
      <c r="W41" s="228"/>
      <c r="X41" s="229"/>
      <c r="Y41" s="229"/>
      <c r="Z41" s="229"/>
      <c r="AA41" s="229"/>
      <c r="AB41" s="229"/>
      <c r="AC41" s="228"/>
      <c r="AD41" s="461"/>
      <c r="AE41" s="462"/>
      <c r="AF41" s="228"/>
      <c r="AG41" s="228"/>
      <c r="AH41" s="228"/>
      <c r="AI41" s="789"/>
    </row>
    <row r="42" spans="1:35" s="39" customFormat="1" ht="24" customHeight="1">
      <c r="A42" s="38"/>
      <c r="B42" s="38"/>
      <c r="C42" s="105"/>
      <c r="D42" s="65" t="s">
        <v>2498</v>
      </c>
      <c r="E42" s="102"/>
      <c r="F42" s="273">
        <v>1</v>
      </c>
      <c r="G42" s="118" t="s">
        <v>7</v>
      </c>
      <c r="H42" s="137"/>
      <c r="I42" s="104">
        <f t="shared" si="0"/>
        <v>0</v>
      </c>
      <c r="J42" s="65"/>
      <c r="K42" s="65"/>
      <c r="L42" s="66"/>
      <c r="O42" s="226"/>
      <c r="P42" s="227"/>
      <c r="Q42" s="228"/>
      <c r="R42" s="228"/>
      <c r="S42" s="228"/>
      <c r="T42" s="228"/>
      <c r="U42" s="228"/>
      <c r="V42" s="228"/>
      <c r="W42" s="228"/>
      <c r="X42" s="229"/>
      <c r="Y42" s="229"/>
      <c r="Z42" s="229"/>
      <c r="AA42" s="229"/>
      <c r="AB42" s="229"/>
      <c r="AC42" s="228"/>
      <c r="AD42" s="461"/>
      <c r="AE42" s="462"/>
      <c r="AF42" s="228"/>
      <c r="AG42" s="228"/>
      <c r="AH42" s="228"/>
      <c r="AI42" s="789"/>
    </row>
    <row r="43" spans="1:35" s="39" customFormat="1" ht="24" customHeight="1">
      <c r="A43" s="38"/>
      <c r="B43" s="38"/>
      <c r="C43" s="105"/>
      <c r="D43" s="65" t="s">
        <v>2499</v>
      </c>
      <c r="E43" s="102"/>
      <c r="F43" s="273">
        <v>1</v>
      </c>
      <c r="G43" s="118" t="s">
        <v>7</v>
      </c>
      <c r="H43" s="137"/>
      <c r="I43" s="104">
        <f t="shared" si="0"/>
        <v>0</v>
      </c>
      <c r="J43" s="65"/>
      <c r="K43" s="65"/>
      <c r="L43" s="66"/>
      <c r="O43" s="226"/>
      <c r="P43" s="227"/>
      <c r="Q43" s="228"/>
      <c r="R43" s="228"/>
      <c r="S43" s="228"/>
      <c r="T43" s="228"/>
      <c r="U43" s="228"/>
      <c r="V43" s="228"/>
      <c r="W43" s="228"/>
      <c r="X43" s="229"/>
      <c r="Y43" s="229"/>
      <c r="Z43" s="229"/>
      <c r="AA43" s="229"/>
      <c r="AB43" s="229"/>
      <c r="AC43" s="228"/>
      <c r="AD43" s="461"/>
      <c r="AE43" s="462"/>
      <c r="AF43" s="228"/>
      <c r="AG43" s="228"/>
      <c r="AH43" s="228"/>
      <c r="AI43" s="789"/>
    </row>
    <row r="44" spans="1:35" s="39" customFormat="1" ht="24" customHeight="1">
      <c r="A44" s="38"/>
      <c r="B44" s="38"/>
      <c r="C44" s="105"/>
      <c r="D44" s="65"/>
      <c r="E44" s="102"/>
      <c r="F44" s="273"/>
      <c r="G44" s="118"/>
      <c r="H44" s="137"/>
      <c r="I44" s="104" t="str">
        <f t="shared" si="0"/>
        <v/>
      </c>
      <c r="J44" s="65"/>
      <c r="K44" s="65"/>
      <c r="L44" s="66"/>
      <c r="O44" s="226"/>
      <c r="P44" s="227"/>
      <c r="Q44" s="228"/>
      <c r="R44" s="228"/>
      <c r="S44" s="228"/>
      <c r="T44" s="228"/>
      <c r="U44" s="228"/>
      <c r="V44" s="228"/>
      <c r="W44" s="228"/>
      <c r="X44" s="229"/>
      <c r="Y44" s="229"/>
      <c r="Z44" s="229"/>
      <c r="AA44" s="229"/>
      <c r="AB44" s="229"/>
      <c r="AC44" s="228"/>
      <c r="AD44" s="461"/>
      <c r="AE44" s="462"/>
      <c r="AF44" s="228"/>
      <c r="AG44" s="228"/>
      <c r="AH44" s="228"/>
      <c r="AI44" s="789"/>
    </row>
    <row r="45" spans="1:35" s="39" customFormat="1" ht="24" customHeight="1">
      <c r="A45" s="38"/>
      <c r="B45" s="38"/>
      <c r="C45" s="805"/>
      <c r="D45" s="793" t="s">
        <v>2500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9"/>
      <c r="O45" s="226"/>
      <c r="P45" s="227"/>
      <c r="Q45" s="228"/>
      <c r="R45" s="228"/>
      <c r="S45" s="228"/>
      <c r="T45" s="228"/>
      <c r="U45" s="228"/>
      <c r="V45" s="228"/>
      <c r="W45" s="228"/>
      <c r="X45" s="229"/>
      <c r="Y45" s="229"/>
      <c r="Z45" s="229"/>
      <c r="AA45" s="229"/>
      <c r="AB45" s="229"/>
      <c r="AC45" s="228"/>
      <c r="AD45" s="461"/>
      <c r="AE45" s="462"/>
      <c r="AF45" s="228"/>
      <c r="AG45" s="228"/>
      <c r="AH45" s="228"/>
      <c r="AI45" s="789"/>
    </row>
    <row r="46" spans="1:35" s="39" customFormat="1" ht="24" customHeight="1">
      <c r="A46" s="38"/>
      <c r="B46" s="38"/>
      <c r="C46" s="800"/>
      <c r="D46" s="99"/>
      <c r="E46" s="100"/>
      <c r="F46" s="801"/>
      <c r="G46" s="136"/>
      <c r="H46" s="802"/>
      <c r="I46" s="803" t="str">
        <f t="shared" si="0"/>
        <v/>
      </c>
      <c r="J46" s="99"/>
      <c r="K46" s="99"/>
      <c r="L46" s="804"/>
      <c r="O46" s="226"/>
      <c r="P46" s="227"/>
      <c r="Q46" s="228"/>
      <c r="R46" s="228"/>
      <c r="S46" s="228"/>
      <c r="T46" s="228"/>
      <c r="U46" s="228"/>
      <c r="V46" s="228"/>
      <c r="W46" s="228"/>
      <c r="X46" s="229"/>
      <c r="Y46" s="229"/>
      <c r="Z46" s="229"/>
      <c r="AA46" s="229"/>
      <c r="AB46" s="229"/>
      <c r="AC46" s="228"/>
      <c r="AD46" s="461"/>
      <c r="AE46" s="462"/>
      <c r="AF46" s="228"/>
      <c r="AG46" s="228"/>
      <c r="AH46" s="228"/>
      <c r="AI46" s="789"/>
    </row>
    <row r="47" spans="1:35" ht="24" customHeight="1" thickBot="1">
      <c r="A47" s="38"/>
      <c r="B47" s="38"/>
      <c r="C47" s="106"/>
      <c r="D47" s="95" t="s">
        <v>8</v>
      </c>
      <c r="E47" s="107"/>
      <c r="F47" s="274"/>
      <c r="G47" s="121"/>
      <c r="H47" s="131" t="s">
        <v>90</v>
      </c>
      <c r="I47" s="108">
        <f>I32+I45</f>
        <v>13343</v>
      </c>
      <c r="J47" s="825" t="str">
        <f>IF(C28="部分撤去工事","）うち費用",")")</f>
        <v>)</v>
      </c>
      <c r="K47" s="824">
        <f>IF(C28="部分撤去工事",(#REF!+L47),0)</f>
        <v>0</v>
      </c>
      <c r="L47" s="823">
        <f>IF(C28="部分撤去工事",SUMIF(N29:N46,"費用",I29:I46),0)</f>
        <v>0</v>
      </c>
      <c r="M47" s="526"/>
      <c r="O47" s="226"/>
      <c r="P47" s="227"/>
      <c r="Q47" s="228"/>
      <c r="R47" s="228"/>
      <c r="S47" s="228"/>
      <c r="T47" s="228"/>
      <c r="U47" s="228"/>
      <c r="V47" s="228"/>
      <c r="W47" s="228"/>
      <c r="X47" s="229"/>
      <c r="Y47" s="229"/>
      <c r="Z47" s="229"/>
      <c r="AA47" s="229"/>
      <c r="AB47" s="229"/>
      <c r="AC47" s="228"/>
      <c r="AD47" s="461"/>
      <c r="AE47" s="462"/>
      <c r="AF47" s="228"/>
      <c r="AG47" s="228"/>
      <c r="AH47" s="228"/>
      <c r="AI47" s="789"/>
    </row>
    <row r="48" spans="1:35" ht="14.25" customHeight="1">
      <c r="C48" s="163"/>
      <c r="D48" s="163"/>
      <c r="E48" s="124" t="s">
        <v>88</v>
      </c>
      <c r="F48" s="125">
        <f>+F25+1</f>
        <v>4</v>
      </c>
      <c r="G48" s="126" t="s">
        <v>89</v>
      </c>
      <c r="H48" s="127">
        <f>+H25</f>
        <v>15</v>
      </c>
      <c r="I48" s="127"/>
      <c r="M48" s="33" t="str">
        <f>IF(A50="","EOL","")</f>
        <v/>
      </c>
      <c r="N48" s="1">
        <f>+F48</f>
        <v>4</v>
      </c>
      <c r="O48" s="1"/>
      <c r="P48" s="1"/>
    </row>
    <row r="49" spans="1:34" ht="26.1" customHeight="1" thickBot="1">
      <c r="C49" s="2615" t="s">
        <v>333</v>
      </c>
      <c r="D49" s="2615"/>
      <c r="E49" s="2615"/>
      <c r="F49" s="2615"/>
      <c r="G49" s="2615"/>
      <c r="H49" s="2615"/>
      <c r="I49" s="2615"/>
      <c r="J49" s="2615"/>
      <c r="K49" s="2615"/>
      <c r="L49" s="2615"/>
      <c r="O49" s="2616" t="s">
        <v>134</v>
      </c>
      <c r="P49" s="2616"/>
      <c r="Q49" s="2616"/>
      <c r="R49" s="2616"/>
      <c r="S49" s="2616"/>
      <c r="T49" s="2616"/>
      <c r="U49" s="2616"/>
      <c r="V49" s="2616"/>
      <c r="W49" s="2616"/>
      <c r="X49" s="2616"/>
      <c r="Y49" s="2616"/>
      <c r="Z49" s="2616"/>
      <c r="AA49" s="2616"/>
      <c r="AB49" s="2616"/>
      <c r="AC49" s="2616"/>
      <c r="AD49" s="2616"/>
      <c r="AE49" s="2616"/>
      <c r="AF49" s="2616"/>
      <c r="AG49" s="2616"/>
      <c r="AH49" s="2617"/>
    </row>
    <row r="50" spans="1:34" ht="41.25" customHeight="1">
      <c r="A50" s="5" t="s">
        <v>2483</v>
      </c>
      <c r="B50" s="5" t="s">
        <v>2479</v>
      </c>
      <c r="C50" s="113" t="s">
        <v>0</v>
      </c>
      <c r="D50" s="109"/>
      <c r="E50" s="110" t="s">
        <v>1</v>
      </c>
      <c r="F50" s="111" t="s">
        <v>2</v>
      </c>
      <c r="G50" s="111" t="s">
        <v>3</v>
      </c>
      <c r="H50" s="112" t="s">
        <v>4</v>
      </c>
      <c r="I50" s="112" t="s">
        <v>5</v>
      </c>
      <c r="J50" s="2612" t="s">
        <v>6</v>
      </c>
      <c r="K50" s="2613"/>
      <c r="L50" s="2614"/>
      <c r="M50" s="521"/>
      <c r="N50" s="522" t="s">
        <v>390</v>
      </c>
      <c r="O50" s="157" t="s">
        <v>67</v>
      </c>
      <c r="P50" s="386" t="s">
        <v>2484</v>
      </c>
      <c r="Q50" s="275" t="s">
        <v>2485</v>
      </c>
      <c r="R50" s="275" t="s">
        <v>218</v>
      </c>
      <c r="S50" s="275" t="s">
        <v>219</v>
      </c>
      <c r="T50" s="275" t="s">
        <v>2480</v>
      </c>
      <c r="U50" s="275" t="s">
        <v>128</v>
      </c>
      <c r="V50" s="156" t="s">
        <v>127</v>
      </c>
      <c r="W50" s="275" t="s">
        <v>2481</v>
      </c>
      <c r="X50" s="223" t="s">
        <v>220</v>
      </c>
      <c r="Y50" s="223" t="s">
        <v>221</v>
      </c>
      <c r="Z50" s="223" t="s">
        <v>222</v>
      </c>
      <c r="AA50" s="223" t="s">
        <v>223</v>
      </c>
      <c r="AB50" s="223" t="s">
        <v>2486</v>
      </c>
      <c r="AC50" s="458" t="s">
        <v>326</v>
      </c>
      <c r="AD50" s="459" t="s">
        <v>327</v>
      </c>
      <c r="AE50" s="460" t="s">
        <v>130</v>
      </c>
      <c r="AF50" s="155" t="s">
        <v>2482</v>
      </c>
      <c r="AG50" s="155" t="s">
        <v>2487</v>
      </c>
      <c r="AH50" s="155" t="s">
        <v>132</v>
      </c>
    </row>
    <row r="51" spans="1:34" ht="24" customHeight="1">
      <c r="A51" s="38"/>
      <c r="B51" s="38"/>
      <c r="C51" s="132" t="s">
        <v>2515</v>
      </c>
      <c r="D51" s="133"/>
      <c r="E51" s="134"/>
      <c r="F51" s="272"/>
      <c r="G51" s="101"/>
      <c r="H51" s="93" t="s">
        <v>11</v>
      </c>
      <c r="I51" s="93" t="s">
        <v>11</v>
      </c>
      <c r="J51" s="2609"/>
      <c r="K51" s="2610"/>
      <c r="L51" s="2611"/>
      <c r="M51" s="523"/>
      <c r="N51" s="524"/>
      <c r="O51" s="226"/>
      <c r="P51" s="227"/>
      <c r="Q51" s="228"/>
      <c r="R51" s="228"/>
      <c r="S51" s="228"/>
      <c r="T51" s="228"/>
      <c r="U51" s="228"/>
      <c r="V51" s="228"/>
      <c r="W51" s="228"/>
      <c r="X51" s="229"/>
      <c r="Y51" s="229"/>
      <c r="Z51" s="229"/>
      <c r="AA51" s="229"/>
      <c r="AB51" s="229"/>
      <c r="AC51" s="228"/>
      <c r="AD51" s="461"/>
      <c r="AE51" s="462"/>
      <c r="AF51" s="228"/>
      <c r="AG51" s="228"/>
      <c r="AH51" s="463"/>
    </row>
    <row r="52" spans="1:34" s="39" customFormat="1" ht="24" customHeight="1">
      <c r="A52" s="38"/>
      <c r="B52" s="38"/>
      <c r="C52" s="128"/>
      <c r="D52" s="129"/>
      <c r="E52" s="117"/>
      <c r="F52" s="273"/>
      <c r="G52" s="118"/>
      <c r="H52" s="135"/>
      <c r="I52" s="104" t="str">
        <f t="shared" ref="I52:I69" si="1">IF(F52="","",INT(F52*H52))</f>
        <v/>
      </c>
      <c r="J52" s="64"/>
      <c r="K52" s="65"/>
      <c r="L52" s="66"/>
      <c r="M52" s="525"/>
      <c r="N52" s="520"/>
      <c r="O52" s="226"/>
      <c r="P52" s="227"/>
      <c r="Q52" s="228"/>
      <c r="R52" s="228"/>
      <c r="S52" s="228"/>
      <c r="T52" s="228"/>
      <c r="U52" s="228"/>
      <c r="V52" s="228"/>
      <c r="W52" s="228"/>
      <c r="X52" s="229"/>
      <c r="Y52" s="229"/>
      <c r="Z52" s="229"/>
      <c r="AA52" s="229"/>
      <c r="AB52" s="229"/>
      <c r="AC52" s="228"/>
      <c r="AD52" s="461"/>
      <c r="AE52" s="462"/>
      <c r="AF52" s="228"/>
      <c r="AG52" s="228"/>
      <c r="AH52" s="216"/>
    </row>
    <row r="53" spans="1:34" s="39" customFormat="1" ht="24" customHeight="1">
      <c r="A53" s="38"/>
      <c r="B53" s="38"/>
      <c r="C53" s="128"/>
      <c r="D53" s="788" t="s">
        <v>3041</v>
      </c>
      <c r="E53" s="117" t="s">
        <v>3044</v>
      </c>
      <c r="F53" s="273">
        <v>58</v>
      </c>
      <c r="G53" s="118" t="s">
        <v>3025</v>
      </c>
      <c r="H53" s="135">
        <v>90</v>
      </c>
      <c r="I53" s="104">
        <f t="shared" si="1"/>
        <v>5220</v>
      </c>
      <c r="J53" s="64"/>
      <c r="K53" s="65"/>
      <c r="L53" s="66"/>
      <c r="M53" s="525"/>
      <c r="N53" s="520"/>
      <c r="O53" s="226">
        <v>2350</v>
      </c>
      <c r="P53" s="227"/>
      <c r="Q53" s="228"/>
      <c r="R53" s="228"/>
      <c r="S53" s="228"/>
      <c r="T53" s="228"/>
      <c r="U53" s="228"/>
      <c r="V53" s="228"/>
      <c r="W53" s="228"/>
      <c r="X53" s="229"/>
      <c r="Y53" s="229"/>
      <c r="Z53" s="229"/>
      <c r="AA53" s="229"/>
      <c r="AB53" s="229"/>
      <c r="AC53" s="228"/>
      <c r="AD53" s="461"/>
      <c r="AE53" s="462"/>
      <c r="AF53" s="228"/>
      <c r="AG53" s="228"/>
      <c r="AH53" s="216"/>
    </row>
    <row r="54" spans="1:34" s="39" customFormat="1" ht="24" customHeight="1">
      <c r="A54" s="38"/>
      <c r="B54" s="38"/>
      <c r="C54" s="128"/>
      <c r="D54" s="129" t="s">
        <v>3042</v>
      </c>
      <c r="E54" s="117" t="s">
        <v>3045</v>
      </c>
      <c r="F54" s="273">
        <v>58</v>
      </c>
      <c r="G54" s="118" t="s">
        <v>3025</v>
      </c>
      <c r="H54" s="135">
        <v>290</v>
      </c>
      <c r="I54" s="104">
        <f t="shared" si="1"/>
        <v>16820</v>
      </c>
      <c r="J54" s="64"/>
      <c r="K54" s="65"/>
      <c r="L54" s="66"/>
      <c r="M54" s="525"/>
      <c r="N54" s="520"/>
      <c r="O54" s="226"/>
      <c r="P54" s="227"/>
      <c r="Q54" s="228"/>
      <c r="R54" s="228"/>
      <c r="S54" s="228"/>
      <c r="T54" s="228"/>
      <c r="U54" s="228"/>
      <c r="V54" s="228"/>
      <c r="W54" s="228"/>
      <c r="X54" s="229"/>
      <c r="Y54" s="229"/>
      <c r="Z54" s="229"/>
      <c r="AA54" s="229"/>
      <c r="AB54" s="229"/>
      <c r="AC54" s="228"/>
      <c r="AD54" s="461"/>
      <c r="AE54" s="462"/>
      <c r="AF54" s="228"/>
      <c r="AG54" s="228"/>
      <c r="AH54" s="216"/>
    </row>
    <row r="55" spans="1:34" s="39" customFormat="1" ht="24" customHeight="1">
      <c r="A55" s="38"/>
      <c r="B55" s="38"/>
      <c r="C55" s="128"/>
      <c r="D55" s="129" t="s">
        <v>3043</v>
      </c>
      <c r="E55" s="117" t="s">
        <v>3046</v>
      </c>
      <c r="F55" s="273">
        <v>56</v>
      </c>
      <c r="G55" s="118" t="s">
        <v>3025</v>
      </c>
      <c r="H55" s="135">
        <v>320</v>
      </c>
      <c r="I55" s="104">
        <f t="shared" si="1"/>
        <v>17920</v>
      </c>
      <c r="J55" s="64"/>
      <c r="K55" s="65"/>
      <c r="L55" s="66"/>
      <c r="M55" s="525"/>
      <c r="N55" s="520"/>
      <c r="O55" s="226"/>
      <c r="P55" s="227"/>
      <c r="Q55" s="228"/>
      <c r="R55" s="228"/>
      <c r="S55" s="228"/>
      <c r="T55" s="228"/>
      <c r="U55" s="228"/>
      <c r="V55" s="228"/>
      <c r="W55" s="228"/>
      <c r="X55" s="229"/>
      <c r="Y55" s="229"/>
      <c r="Z55" s="229"/>
      <c r="AA55" s="229"/>
      <c r="AB55" s="229"/>
      <c r="AC55" s="228"/>
      <c r="AD55" s="461"/>
      <c r="AE55" s="462"/>
      <c r="AF55" s="228"/>
      <c r="AG55" s="228"/>
      <c r="AH55" s="216"/>
    </row>
    <row r="56" spans="1:34" s="39" customFormat="1" ht="24" customHeight="1">
      <c r="A56" s="38"/>
      <c r="B56" s="38"/>
      <c r="C56" s="128"/>
      <c r="D56" s="129"/>
      <c r="E56" s="117"/>
      <c r="F56" s="273"/>
      <c r="G56" s="118"/>
      <c r="H56" s="135"/>
      <c r="I56" s="104" t="str">
        <f t="shared" si="1"/>
        <v/>
      </c>
      <c r="J56" s="64"/>
      <c r="K56" s="65"/>
      <c r="L56" s="66"/>
      <c r="M56" s="525"/>
      <c r="N56" s="520"/>
      <c r="O56" s="226"/>
      <c r="P56" s="227"/>
      <c r="Q56" s="228"/>
      <c r="R56" s="228"/>
      <c r="S56" s="228"/>
      <c r="T56" s="228"/>
      <c r="U56" s="228"/>
      <c r="V56" s="228"/>
      <c r="W56" s="228"/>
      <c r="X56" s="229"/>
      <c r="Y56" s="229"/>
      <c r="Z56" s="229"/>
      <c r="AA56" s="229"/>
      <c r="AB56" s="229"/>
      <c r="AC56" s="228"/>
      <c r="AD56" s="461"/>
      <c r="AE56" s="462"/>
      <c r="AF56" s="228"/>
      <c r="AG56" s="228"/>
      <c r="AH56" s="216"/>
    </row>
    <row r="57" spans="1:34" s="39" customFormat="1" ht="24" customHeight="1">
      <c r="A57" s="38"/>
      <c r="B57" s="38"/>
      <c r="C57" s="128"/>
      <c r="D57" s="129"/>
      <c r="E57" s="117"/>
      <c r="F57" s="273"/>
      <c r="G57" s="118"/>
      <c r="H57" s="135"/>
      <c r="I57" s="104" t="str">
        <f t="shared" si="1"/>
        <v/>
      </c>
      <c r="J57" s="64"/>
      <c r="K57" s="65"/>
      <c r="L57" s="66"/>
      <c r="M57" s="525"/>
      <c r="N57" s="520"/>
      <c r="O57" s="226"/>
      <c r="P57" s="227"/>
      <c r="Q57" s="228"/>
      <c r="R57" s="228"/>
      <c r="S57" s="228"/>
      <c r="T57" s="228"/>
      <c r="U57" s="228"/>
      <c r="V57" s="228"/>
      <c r="W57" s="228"/>
      <c r="X57" s="229"/>
      <c r="Y57" s="229"/>
      <c r="Z57" s="229"/>
      <c r="AA57" s="229"/>
      <c r="AB57" s="229"/>
      <c r="AC57" s="228"/>
      <c r="AD57" s="461"/>
      <c r="AE57" s="462"/>
      <c r="AF57" s="228"/>
      <c r="AG57" s="228"/>
      <c r="AH57" s="216"/>
    </row>
    <row r="58" spans="1:34" s="39" customFormat="1" ht="24" customHeight="1">
      <c r="A58" s="38"/>
      <c r="B58" s="38"/>
      <c r="C58" s="128"/>
      <c r="D58" s="129"/>
      <c r="E58" s="117"/>
      <c r="F58" s="273"/>
      <c r="G58" s="118"/>
      <c r="H58" s="135"/>
      <c r="I58" s="104" t="str">
        <f t="shared" si="1"/>
        <v/>
      </c>
      <c r="J58" s="64"/>
      <c r="K58" s="65"/>
      <c r="L58" s="66"/>
      <c r="M58" s="525"/>
      <c r="N58" s="520"/>
      <c r="O58" s="226"/>
      <c r="P58" s="227"/>
      <c r="Q58" s="228"/>
      <c r="R58" s="228"/>
      <c r="S58" s="228"/>
      <c r="T58" s="228"/>
      <c r="U58" s="228"/>
      <c r="V58" s="228"/>
      <c r="W58" s="228"/>
      <c r="X58" s="229"/>
      <c r="Y58" s="229"/>
      <c r="Z58" s="229"/>
      <c r="AA58" s="229"/>
      <c r="AB58" s="229"/>
      <c r="AC58" s="228"/>
      <c r="AD58" s="461"/>
      <c r="AE58" s="462"/>
      <c r="AF58" s="228"/>
      <c r="AG58" s="228"/>
      <c r="AH58" s="216"/>
    </row>
    <row r="59" spans="1:34" s="39" customFormat="1" ht="24" customHeight="1">
      <c r="A59" s="38"/>
      <c r="B59" s="38"/>
      <c r="C59" s="128"/>
      <c r="D59" s="129"/>
      <c r="E59" s="117"/>
      <c r="F59" s="273"/>
      <c r="G59" s="118"/>
      <c r="H59" s="135"/>
      <c r="I59" s="104" t="str">
        <f t="shared" si="1"/>
        <v/>
      </c>
      <c r="J59" s="64"/>
      <c r="K59" s="65"/>
      <c r="L59" s="66"/>
      <c r="M59" s="525"/>
      <c r="N59" s="520"/>
      <c r="O59" s="226"/>
      <c r="P59" s="227"/>
      <c r="Q59" s="228"/>
      <c r="R59" s="228"/>
      <c r="S59" s="228"/>
      <c r="T59" s="228"/>
      <c r="U59" s="228"/>
      <c r="V59" s="228"/>
      <c r="W59" s="228"/>
      <c r="X59" s="229"/>
      <c r="Y59" s="229"/>
      <c r="Z59" s="229"/>
      <c r="AA59" s="229"/>
      <c r="AB59" s="229"/>
      <c r="AC59" s="228"/>
      <c r="AD59" s="461"/>
      <c r="AE59" s="462"/>
      <c r="AF59" s="228"/>
      <c r="AG59" s="228"/>
      <c r="AH59" s="216"/>
    </row>
    <row r="60" spans="1:34" s="39" customFormat="1" ht="24" customHeight="1">
      <c r="A60" s="38"/>
      <c r="B60" s="38"/>
      <c r="C60" s="128"/>
      <c r="D60" s="129"/>
      <c r="E60" s="117"/>
      <c r="F60" s="273"/>
      <c r="G60" s="118"/>
      <c r="H60" s="135"/>
      <c r="I60" s="104" t="str">
        <f t="shared" si="1"/>
        <v/>
      </c>
      <c r="J60" s="64"/>
      <c r="K60" s="65"/>
      <c r="L60" s="66"/>
      <c r="M60" s="525"/>
      <c r="N60" s="520"/>
      <c r="O60" s="226"/>
      <c r="P60" s="227"/>
      <c r="Q60" s="228"/>
      <c r="R60" s="228"/>
      <c r="S60" s="228"/>
      <c r="T60" s="228"/>
      <c r="U60" s="228"/>
      <c r="V60" s="228"/>
      <c r="W60" s="228"/>
      <c r="X60" s="229"/>
      <c r="Y60" s="229"/>
      <c r="Z60" s="229"/>
      <c r="AA60" s="229"/>
      <c r="AB60" s="229"/>
      <c r="AC60" s="228"/>
      <c r="AD60" s="461"/>
      <c r="AE60" s="462"/>
      <c r="AF60" s="228"/>
      <c r="AG60" s="228"/>
      <c r="AH60" s="216"/>
    </row>
    <row r="61" spans="1:34" s="39" customFormat="1" ht="24" customHeight="1">
      <c r="A61" s="38"/>
      <c r="B61" s="38"/>
      <c r="C61" s="128"/>
      <c r="D61" s="129"/>
      <c r="E61" s="117"/>
      <c r="F61" s="273"/>
      <c r="G61" s="118"/>
      <c r="H61" s="135"/>
      <c r="I61" s="104" t="str">
        <f t="shared" si="1"/>
        <v/>
      </c>
      <c r="J61" s="64"/>
      <c r="K61" s="65"/>
      <c r="L61" s="66"/>
      <c r="M61" s="525"/>
      <c r="N61" s="520"/>
      <c r="O61" s="226"/>
      <c r="P61" s="227"/>
      <c r="Q61" s="228"/>
      <c r="R61" s="228"/>
      <c r="S61" s="228"/>
      <c r="T61" s="228"/>
      <c r="U61" s="228"/>
      <c r="V61" s="228"/>
      <c r="W61" s="228"/>
      <c r="X61" s="229"/>
      <c r="Y61" s="229"/>
      <c r="Z61" s="229"/>
      <c r="AA61" s="229"/>
      <c r="AB61" s="229"/>
      <c r="AC61" s="228"/>
      <c r="AD61" s="461"/>
      <c r="AE61" s="462"/>
      <c r="AF61" s="228"/>
      <c r="AG61" s="228"/>
      <c r="AH61" s="216"/>
    </row>
    <row r="62" spans="1:34" s="39" customFormat="1" ht="24" customHeight="1">
      <c r="A62" s="38"/>
      <c r="B62" s="38"/>
      <c r="C62" s="128"/>
      <c r="D62" s="129"/>
      <c r="E62" s="117"/>
      <c r="F62" s="273"/>
      <c r="G62" s="118"/>
      <c r="H62" s="135"/>
      <c r="I62" s="104" t="str">
        <f t="shared" si="1"/>
        <v/>
      </c>
      <c r="J62" s="64"/>
      <c r="K62" s="65"/>
      <c r="L62" s="66"/>
      <c r="M62" s="525"/>
      <c r="N62" s="520"/>
      <c r="O62" s="226"/>
      <c r="P62" s="227"/>
      <c r="Q62" s="228"/>
      <c r="R62" s="228"/>
      <c r="S62" s="228"/>
      <c r="T62" s="228"/>
      <c r="U62" s="228"/>
      <c r="V62" s="228"/>
      <c r="W62" s="228"/>
      <c r="X62" s="229"/>
      <c r="Y62" s="229"/>
      <c r="Z62" s="229"/>
      <c r="AA62" s="229"/>
      <c r="AB62" s="229"/>
      <c r="AC62" s="228"/>
      <c r="AD62" s="461"/>
      <c r="AE62" s="462"/>
      <c r="AF62" s="228"/>
      <c r="AG62" s="228"/>
      <c r="AH62" s="216"/>
    </row>
    <row r="63" spans="1:34" s="39" customFormat="1" ht="24" customHeight="1">
      <c r="A63" s="38"/>
      <c r="B63" s="38"/>
      <c r="C63" s="128"/>
      <c r="D63" s="129"/>
      <c r="E63" s="117"/>
      <c r="F63" s="273"/>
      <c r="G63" s="118"/>
      <c r="H63" s="135"/>
      <c r="I63" s="104" t="str">
        <f t="shared" si="1"/>
        <v/>
      </c>
      <c r="J63" s="64"/>
      <c r="K63" s="65"/>
      <c r="L63" s="66"/>
      <c r="M63" s="525"/>
      <c r="N63" s="520"/>
      <c r="O63" s="226"/>
      <c r="P63" s="227"/>
      <c r="Q63" s="228"/>
      <c r="R63" s="228"/>
      <c r="S63" s="228"/>
      <c r="T63" s="228"/>
      <c r="U63" s="228"/>
      <c r="V63" s="228"/>
      <c r="W63" s="228"/>
      <c r="X63" s="229"/>
      <c r="Y63" s="229"/>
      <c r="Z63" s="229"/>
      <c r="AA63" s="229"/>
      <c r="AB63" s="229"/>
      <c r="AC63" s="228"/>
      <c r="AD63" s="461"/>
      <c r="AE63" s="462"/>
      <c r="AF63" s="228"/>
      <c r="AG63" s="228"/>
      <c r="AH63" s="216"/>
    </row>
    <row r="64" spans="1:34" s="39" customFormat="1" ht="24" customHeight="1">
      <c r="A64" s="38"/>
      <c r="B64" s="38"/>
      <c r="C64" s="128"/>
      <c r="D64" s="129"/>
      <c r="E64" s="117"/>
      <c r="F64" s="273"/>
      <c r="G64" s="118"/>
      <c r="H64" s="135"/>
      <c r="I64" s="104" t="str">
        <f t="shared" si="1"/>
        <v/>
      </c>
      <c r="J64" s="64"/>
      <c r="K64" s="65"/>
      <c r="L64" s="66"/>
      <c r="M64" s="525"/>
      <c r="N64" s="520"/>
      <c r="O64" s="226"/>
      <c r="P64" s="227"/>
      <c r="Q64" s="228"/>
      <c r="R64" s="228"/>
      <c r="S64" s="228"/>
      <c r="T64" s="228"/>
      <c r="U64" s="228"/>
      <c r="V64" s="228"/>
      <c r="W64" s="228"/>
      <c r="X64" s="229"/>
      <c r="Y64" s="229"/>
      <c r="Z64" s="229"/>
      <c r="AA64" s="229"/>
      <c r="AB64" s="229"/>
      <c r="AC64" s="228"/>
      <c r="AD64" s="461"/>
      <c r="AE64" s="462"/>
      <c r="AF64" s="228"/>
      <c r="AG64" s="228"/>
      <c r="AH64" s="216"/>
    </row>
    <row r="65" spans="1:34" s="39" customFormat="1" ht="24" customHeight="1">
      <c r="A65" s="38"/>
      <c r="B65" s="38"/>
      <c r="C65" s="128"/>
      <c r="D65" s="129"/>
      <c r="E65" s="117"/>
      <c r="F65" s="273"/>
      <c r="G65" s="118"/>
      <c r="H65" s="135"/>
      <c r="I65" s="104" t="str">
        <f t="shared" si="1"/>
        <v/>
      </c>
      <c r="J65" s="64"/>
      <c r="K65" s="65"/>
      <c r="L65" s="66"/>
      <c r="M65" s="525"/>
      <c r="N65" s="520"/>
      <c r="O65" s="226"/>
      <c r="P65" s="227"/>
      <c r="Q65" s="228"/>
      <c r="R65" s="228"/>
      <c r="S65" s="228"/>
      <c r="T65" s="228"/>
      <c r="U65" s="228"/>
      <c r="V65" s="228"/>
      <c r="W65" s="228"/>
      <c r="X65" s="229"/>
      <c r="Y65" s="229"/>
      <c r="Z65" s="229"/>
      <c r="AA65" s="229"/>
      <c r="AB65" s="229"/>
      <c r="AC65" s="228"/>
      <c r="AD65" s="461"/>
      <c r="AE65" s="462"/>
      <c r="AF65" s="228"/>
      <c r="AG65" s="228"/>
      <c r="AH65" s="216"/>
    </row>
    <row r="66" spans="1:34" s="39" customFormat="1" ht="24" customHeight="1">
      <c r="A66" s="38"/>
      <c r="B66" s="38"/>
      <c r="C66" s="128"/>
      <c r="D66" s="129"/>
      <c r="E66" s="117"/>
      <c r="F66" s="273"/>
      <c r="G66" s="118"/>
      <c r="H66" s="135"/>
      <c r="I66" s="104" t="str">
        <f t="shared" si="1"/>
        <v/>
      </c>
      <c r="J66" s="64"/>
      <c r="K66" s="65"/>
      <c r="L66" s="66"/>
      <c r="M66" s="525"/>
      <c r="N66" s="520"/>
      <c r="O66" s="226"/>
      <c r="P66" s="227"/>
      <c r="Q66" s="228"/>
      <c r="R66" s="228"/>
      <c r="S66" s="228"/>
      <c r="T66" s="228"/>
      <c r="U66" s="228"/>
      <c r="V66" s="228"/>
      <c r="W66" s="228"/>
      <c r="X66" s="229"/>
      <c r="Y66" s="229"/>
      <c r="Z66" s="229"/>
      <c r="AA66" s="229"/>
      <c r="AB66" s="229"/>
      <c r="AC66" s="228"/>
      <c r="AD66" s="461"/>
      <c r="AE66" s="462"/>
      <c r="AF66" s="228"/>
      <c r="AG66" s="228"/>
      <c r="AH66" s="216"/>
    </row>
    <row r="67" spans="1:34" s="39" customFormat="1" ht="24" customHeight="1">
      <c r="A67" s="38"/>
      <c r="B67" s="38"/>
      <c r="C67" s="128"/>
      <c r="D67" s="129"/>
      <c r="E67" s="117"/>
      <c r="F67" s="273"/>
      <c r="G67" s="118"/>
      <c r="H67" s="135"/>
      <c r="I67" s="104" t="str">
        <f t="shared" si="1"/>
        <v/>
      </c>
      <c r="J67" s="64"/>
      <c r="K67" s="65"/>
      <c r="L67" s="66"/>
      <c r="M67" s="525"/>
      <c r="N67" s="520"/>
      <c r="O67" s="226"/>
      <c r="P67" s="227"/>
      <c r="Q67" s="228"/>
      <c r="R67" s="228"/>
      <c r="S67" s="228"/>
      <c r="T67" s="228"/>
      <c r="U67" s="228"/>
      <c r="V67" s="228"/>
      <c r="W67" s="228"/>
      <c r="X67" s="229"/>
      <c r="Y67" s="229"/>
      <c r="Z67" s="229"/>
      <c r="AA67" s="229"/>
      <c r="AB67" s="229"/>
      <c r="AC67" s="228"/>
      <c r="AD67" s="461"/>
      <c r="AE67" s="462"/>
      <c r="AF67" s="228"/>
      <c r="AG67" s="228"/>
      <c r="AH67" s="216"/>
    </row>
    <row r="68" spans="1:34" s="39" customFormat="1" ht="24" customHeight="1">
      <c r="A68" s="38"/>
      <c r="B68" s="38"/>
      <c r="C68" s="128"/>
      <c r="D68" s="129"/>
      <c r="E68" s="117"/>
      <c r="F68" s="273"/>
      <c r="G68" s="118"/>
      <c r="H68" s="135"/>
      <c r="I68" s="104" t="str">
        <f t="shared" si="1"/>
        <v/>
      </c>
      <c r="J68" s="64"/>
      <c r="K68" s="65"/>
      <c r="L68" s="66"/>
      <c r="M68" s="525"/>
      <c r="N68" s="520"/>
      <c r="O68" s="226"/>
      <c r="P68" s="227"/>
      <c r="Q68" s="228"/>
      <c r="R68" s="228"/>
      <c r="S68" s="228"/>
      <c r="T68" s="228"/>
      <c r="U68" s="228"/>
      <c r="V68" s="228"/>
      <c r="W68" s="228"/>
      <c r="X68" s="229"/>
      <c r="Y68" s="229"/>
      <c r="Z68" s="229"/>
      <c r="AA68" s="229"/>
      <c r="AB68" s="229"/>
      <c r="AC68" s="228"/>
      <c r="AD68" s="461"/>
      <c r="AE68" s="462"/>
      <c r="AF68" s="228"/>
      <c r="AG68" s="228"/>
      <c r="AH68" s="216"/>
    </row>
    <row r="69" spans="1:34" s="39" customFormat="1" ht="24" customHeight="1">
      <c r="A69" s="38"/>
      <c r="B69" s="38"/>
      <c r="C69" s="128"/>
      <c r="D69" s="129"/>
      <c r="E69" s="117"/>
      <c r="F69" s="273"/>
      <c r="G69" s="118"/>
      <c r="H69" s="135"/>
      <c r="I69" s="104" t="str">
        <f t="shared" si="1"/>
        <v/>
      </c>
      <c r="J69" s="64"/>
      <c r="K69" s="65"/>
      <c r="L69" s="66"/>
      <c r="M69" s="525"/>
      <c r="N69" s="520"/>
      <c r="O69" s="226"/>
      <c r="P69" s="227"/>
      <c r="Q69" s="228"/>
      <c r="R69" s="228"/>
      <c r="S69" s="228"/>
      <c r="T69" s="228"/>
      <c r="U69" s="228"/>
      <c r="V69" s="228"/>
      <c r="W69" s="228"/>
      <c r="X69" s="229"/>
      <c r="Y69" s="229"/>
      <c r="Z69" s="229"/>
      <c r="AA69" s="229"/>
      <c r="AB69" s="229"/>
      <c r="AC69" s="228"/>
      <c r="AD69" s="461"/>
      <c r="AE69" s="462"/>
      <c r="AF69" s="228"/>
      <c r="AG69" s="228"/>
      <c r="AH69" s="216"/>
    </row>
    <row r="70" spans="1:34" ht="24" customHeight="1" thickBot="1">
      <c r="A70" s="38"/>
      <c r="B70" s="38"/>
      <c r="C70" s="106"/>
      <c r="D70" s="95" t="s">
        <v>8</v>
      </c>
      <c r="E70" s="107"/>
      <c r="F70" s="274"/>
      <c r="G70" s="121"/>
      <c r="H70" s="131" t="s">
        <v>90</v>
      </c>
      <c r="I70" s="108">
        <f>SUM(I52:I69)</f>
        <v>39960</v>
      </c>
      <c r="J70" s="825" t="str">
        <f>IF(C51="部分撤去工事","）うち費用",")")</f>
        <v>)</v>
      </c>
      <c r="K70" s="824">
        <f>IF(C51="部分撤去工事",(#REF!+L70),0)</f>
        <v>0</v>
      </c>
      <c r="L70" s="823">
        <f>IF(C51="部分撤去工事",SUMIF(N52:N69,"費用",I52:I69),0)</f>
        <v>0</v>
      </c>
      <c r="M70" s="526"/>
      <c r="N70" s="527"/>
      <c r="O70" s="226"/>
      <c r="P70" s="227"/>
      <c r="Q70" s="228"/>
      <c r="R70" s="228"/>
      <c r="S70" s="228"/>
      <c r="T70" s="228"/>
      <c r="U70" s="228"/>
      <c r="V70" s="228"/>
      <c r="W70" s="228"/>
      <c r="X70" s="229"/>
      <c r="Y70" s="229"/>
      <c r="Z70" s="229"/>
      <c r="AA70" s="229"/>
      <c r="AB70" s="229"/>
      <c r="AC70" s="228"/>
      <c r="AD70" s="461"/>
      <c r="AE70" s="462"/>
      <c r="AF70" s="228"/>
      <c r="AG70" s="228"/>
      <c r="AH70" s="463"/>
    </row>
    <row r="71" spans="1:34" ht="14.25" customHeight="1">
      <c r="E71" s="124" t="s">
        <v>88</v>
      </c>
      <c r="F71" s="125">
        <f>+F48+1</f>
        <v>5</v>
      </c>
      <c r="G71" s="126" t="s">
        <v>49</v>
      </c>
      <c r="H71" s="127">
        <f>+H48</f>
        <v>15</v>
      </c>
      <c r="I71" s="127"/>
      <c r="M71" s="33" t="str">
        <f>IF(A73="","EOL","")</f>
        <v/>
      </c>
      <c r="N71" s="1">
        <f>+F71</f>
        <v>5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1" customHeight="1" thickBot="1">
      <c r="C72" s="2615" t="s">
        <v>333</v>
      </c>
      <c r="D72" s="2615"/>
      <c r="E72" s="2615"/>
      <c r="F72" s="2615"/>
      <c r="G72" s="2615"/>
      <c r="H72" s="2615"/>
      <c r="I72" s="2615"/>
      <c r="J72" s="2615"/>
      <c r="K72" s="2615"/>
      <c r="L72" s="2615"/>
      <c r="O72" s="2616" t="s">
        <v>134</v>
      </c>
      <c r="P72" s="2616"/>
      <c r="Q72" s="2616"/>
      <c r="R72" s="2616"/>
      <c r="S72" s="2616"/>
      <c r="T72" s="2616"/>
      <c r="U72" s="2616"/>
      <c r="V72" s="2616"/>
      <c r="W72" s="2616"/>
      <c r="X72" s="2616"/>
      <c r="Y72" s="2616"/>
      <c r="Z72" s="2616"/>
      <c r="AA72" s="2616"/>
      <c r="AB72" s="2616"/>
      <c r="AC72" s="2616"/>
      <c r="AD72" s="2616"/>
      <c r="AE72" s="2616"/>
      <c r="AF72" s="2616"/>
      <c r="AG72" s="2616"/>
      <c r="AH72" s="2617"/>
    </row>
    <row r="73" spans="1:34" ht="41.25" customHeight="1">
      <c r="A73" s="5" t="s">
        <v>12</v>
      </c>
      <c r="B73" s="5" t="s">
        <v>44</v>
      </c>
      <c r="C73" s="113" t="s">
        <v>0</v>
      </c>
      <c r="D73" s="109"/>
      <c r="E73" s="110" t="s">
        <v>1</v>
      </c>
      <c r="F73" s="111" t="s">
        <v>2</v>
      </c>
      <c r="G73" s="111" t="s">
        <v>3</v>
      </c>
      <c r="H73" s="112" t="s">
        <v>4</v>
      </c>
      <c r="I73" s="112" t="s">
        <v>5</v>
      </c>
      <c r="J73" s="2612" t="s">
        <v>6</v>
      </c>
      <c r="K73" s="2613"/>
      <c r="L73" s="2614"/>
      <c r="M73" s="521"/>
      <c r="N73" s="522" t="s">
        <v>390</v>
      </c>
      <c r="O73" s="157" t="s">
        <v>67</v>
      </c>
      <c r="P73" s="386" t="s">
        <v>275</v>
      </c>
      <c r="Q73" s="275" t="s">
        <v>317</v>
      </c>
      <c r="R73" s="275" t="s">
        <v>218</v>
      </c>
      <c r="S73" s="275" t="s">
        <v>219</v>
      </c>
      <c r="T73" s="275" t="s">
        <v>276</v>
      </c>
      <c r="U73" s="275" t="s">
        <v>128</v>
      </c>
      <c r="V73" s="156" t="s">
        <v>127</v>
      </c>
      <c r="W73" s="275" t="s">
        <v>277</v>
      </c>
      <c r="X73" s="223" t="s">
        <v>220</v>
      </c>
      <c r="Y73" s="223" t="s">
        <v>221</v>
      </c>
      <c r="Z73" s="223" t="s">
        <v>222</v>
      </c>
      <c r="AA73" s="223" t="s">
        <v>223</v>
      </c>
      <c r="AB73" s="223" t="s">
        <v>278</v>
      </c>
      <c r="AC73" s="458" t="s">
        <v>326</v>
      </c>
      <c r="AD73" s="459" t="s">
        <v>327</v>
      </c>
      <c r="AE73" s="460" t="s">
        <v>130</v>
      </c>
      <c r="AF73" s="155" t="s">
        <v>133</v>
      </c>
      <c r="AG73" s="155" t="s">
        <v>131</v>
      </c>
      <c r="AH73" s="155" t="s">
        <v>132</v>
      </c>
    </row>
    <row r="74" spans="1:34" ht="24" customHeight="1">
      <c r="A74" s="38"/>
      <c r="B74" s="38"/>
      <c r="C74" s="132" t="s">
        <v>2985</v>
      </c>
      <c r="D74" s="133"/>
      <c r="E74" s="134"/>
      <c r="F74" s="272"/>
      <c r="G74" s="101"/>
      <c r="H74" s="93" t="s">
        <v>11</v>
      </c>
      <c r="I74" s="93" t="s">
        <v>11</v>
      </c>
      <c r="J74" s="2609"/>
      <c r="K74" s="2610"/>
      <c r="L74" s="2611"/>
      <c r="M74" s="523"/>
      <c r="N74" s="524"/>
      <c r="O74" s="226"/>
      <c r="P74" s="227"/>
      <c r="Q74" s="228"/>
      <c r="R74" s="228"/>
      <c r="S74" s="228"/>
      <c r="T74" s="228"/>
      <c r="U74" s="228"/>
      <c r="V74" s="228"/>
      <c r="W74" s="228"/>
      <c r="X74" s="229"/>
      <c r="Y74" s="229"/>
      <c r="Z74" s="229"/>
      <c r="AA74" s="229"/>
      <c r="AB74" s="229"/>
      <c r="AC74" s="228"/>
      <c r="AD74" s="461"/>
      <c r="AE74" s="462"/>
      <c r="AF74" s="228"/>
      <c r="AG74" s="228"/>
      <c r="AH74" s="463"/>
    </row>
    <row r="75" spans="1:34" s="39" customFormat="1" ht="24" customHeight="1">
      <c r="A75" s="38"/>
      <c r="B75" s="38"/>
      <c r="C75" s="128"/>
      <c r="D75" s="129"/>
      <c r="E75" s="117"/>
      <c r="F75" s="273"/>
      <c r="G75" s="118"/>
      <c r="H75" s="135"/>
      <c r="I75" s="104" t="str">
        <f t="shared" ref="I75:I92" si="2">IF(F75="","",INT(F75*H75))</f>
        <v/>
      </c>
      <c r="J75" s="64"/>
      <c r="K75" s="65"/>
      <c r="L75" s="66"/>
      <c r="M75" s="525"/>
      <c r="N75" s="520"/>
      <c r="O75" s="226"/>
      <c r="P75" s="227"/>
      <c r="Q75" s="228"/>
      <c r="R75" s="228"/>
      <c r="S75" s="228"/>
      <c r="T75" s="228"/>
      <c r="U75" s="228"/>
      <c r="V75" s="228"/>
      <c r="W75" s="228"/>
      <c r="X75" s="229"/>
      <c r="Y75" s="229"/>
      <c r="Z75" s="229"/>
      <c r="AA75" s="229"/>
      <c r="AB75" s="229"/>
      <c r="AC75" s="228"/>
      <c r="AD75" s="461"/>
      <c r="AE75" s="462"/>
      <c r="AF75" s="228"/>
      <c r="AG75" s="228"/>
      <c r="AH75" s="216"/>
    </row>
    <row r="76" spans="1:34" s="39" customFormat="1" ht="24" customHeight="1">
      <c r="A76" s="38">
        <v>1</v>
      </c>
      <c r="B76" s="38">
        <v>3</v>
      </c>
      <c r="C76" s="128">
        <v>850101</v>
      </c>
      <c r="D76" s="788" t="s">
        <v>3030</v>
      </c>
      <c r="E76" s="117" t="s">
        <v>3034</v>
      </c>
      <c r="F76" s="273">
        <v>1</v>
      </c>
      <c r="G76" s="118" t="s">
        <v>3035</v>
      </c>
      <c r="H76" s="135"/>
      <c r="I76" s="104">
        <v>31226</v>
      </c>
      <c r="J76" s="64" t="s">
        <v>3031</v>
      </c>
      <c r="K76" s="65"/>
      <c r="L76" s="66"/>
      <c r="M76" s="525"/>
      <c r="N76" s="520"/>
      <c r="O76" s="226">
        <v>0.1</v>
      </c>
      <c r="P76" s="227"/>
      <c r="Q76" s="228"/>
      <c r="R76" s="228"/>
      <c r="S76" s="228"/>
      <c r="T76" s="228"/>
      <c r="U76" s="228"/>
      <c r="V76" s="228"/>
      <c r="W76" s="228"/>
      <c r="X76" s="229"/>
      <c r="Y76" s="229"/>
      <c r="Z76" s="229"/>
      <c r="AA76" s="229"/>
      <c r="AB76" s="229"/>
      <c r="AC76" s="228"/>
      <c r="AD76" s="461"/>
      <c r="AE76" s="462"/>
      <c r="AF76" s="228"/>
      <c r="AG76" s="228"/>
      <c r="AH76" s="216"/>
    </row>
    <row r="77" spans="1:34" s="39" customFormat="1" ht="24" customHeight="1">
      <c r="A77" s="38"/>
      <c r="B77" s="38"/>
      <c r="C77" s="128"/>
      <c r="D77" s="129"/>
      <c r="E77" s="117"/>
      <c r="F77" s="273"/>
      <c r="G77" s="118"/>
      <c r="H77" s="135"/>
      <c r="I77" s="104" t="str">
        <f t="shared" si="2"/>
        <v/>
      </c>
      <c r="J77" s="64" t="s">
        <v>3032</v>
      </c>
      <c r="K77" s="65"/>
      <c r="L77" s="66"/>
      <c r="M77" s="525"/>
      <c r="N77" s="520"/>
      <c r="O77" s="226"/>
      <c r="P77" s="227"/>
      <c r="Q77" s="228"/>
      <c r="R77" s="228"/>
      <c r="S77" s="228"/>
      <c r="T77" s="228"/>
      <c r="U77" s="228"/>
      <c r="V77" s="228"/>
      <c r="W77" s="228"/>
      <c r="X77" s="229"/>
      <c r="Y77" s="229"/>
      <c r="Z77" s="229"/>
      <c r="AA77" s="229"/>
      <c r="AB77" s="229"/>
      <c r="AC77" s="228"/>
      <c r="AD77" s="461"/>
      <c r="AE77" s="462"/>
      <c r="AF77" s="228"/>
      <c r="AG77" s="228"/>
      <c r="AH77" s="216"/>
    </row>
    <row r="78" spans="1:34" s="39" customFormat="1" ht="24" customHeight="1">
      <c r="A78" s="38"/>
      <c r="B78" s="38"/>
      <c r="C78" s="128"/>
      <c r="D78" s="129"/>
      <c r="E78" s="117"/>
      <c r="F78" s="273"/>
      <c r="G78" s="118"/>
      <c r="H78" s="135"/>
      <c r="I78" s="104" t="str">
        <f t="shared" si="2"/>
        <v/>
      </c>
      <c r="J78" s="64"/>
      <c r="K78" s="65"/>
      <c r="L78" s="66"/>
      <c r="M78" s="525"/>
      <c r="N78" s="520"/>
      <c r="O78" s="226"/>
      <c r="P78" s="227"/>
      <c r="Q78" s="228"/>
      <c r="R78" s="228"/>
      <c r="S78" s="228"/>
      <c r="T78" s="228"/>
      <c r="U78" s="228"/>
      <c r="V78" s="228"/>
      <c r="W78" s="228"/>
      <c r="X78" s="229"/>
      <c r="Y78" s="229"/>
      <c r="Z78" s="229"/>
      <c r="AA78" s="229"/>
      <c r="AB78" s="229"/>
      <c r="AC78" s="228"/>
      <c r="AD78" s="461"/>
      <c r="AE78" s="462"/>
      <c r="AF78" s="228"/>
      <c r="AG78" s="228"/>
      <c r="AH78" s="216"/>
    </row>
    <row r="79" spans="1:34" s="39" customFormat="1" ht="24" customHeight="1">
      <c r="A79" s="38"/>
      <c r="B79" s="38"/>
      <c r="C79" s="128"/>
      <c r="D79" s="129"/>
      <c r="E79" s="117"/>
      <c r="F79" s="273"/>
      <c r="G79" s="118"/>
      <c r="H79" s="135"/>
      <c r="I79" s="104" t="str">
        <f t="shared" si="2"/>
        <v/>
      </c>
      <c r="J79" s="64"/>
      <c r="K79" s="65"/>
      <c r="L79" s="66"/>
      <c r="M79" s="525"/>
      <c r="N79" s="520"/>
      <c r="O79" s="226"/>
      <c r="P79" s="227"/>
      <c r="Q79" s="228"/>
      <c r="R79" s="228"/>
      <c r="S79" s="228"/>
      <c r="T79" s="228"/>
      <c r="U79" s="228"/>
      <c r="V79" s="228"/>
      <c r="W79" s="228"/>
      <c r="X79" s="229"/>
      <c r="Y79" s="229"/>
      <c r="Z79" s="229"/>
      <c r="AA79" s="229"/>
      <c r="AB79" s="229"/>
      <c r="AC79" s="228"/>
      <c r="AD79" s="461"/>
      <c r="AE79" s="462"/>
      <c r="AF79" s="228"/>
      <c r="AG79" s="228"/>
      <c r="AH79" s="216"/>
    </row>
    <row r="80" spans="1:34" s="39" customFormat="1" ht="24" customHeight="1">
      <c r="A80" s="38"/>
      <c r="B80" s="38"/>
      <c r="C80" s="128"/>
      <c r="D80" s="129"/>
      <c r="E80" s="117"/>
      <c r="F80" s="273"/>
      <c r="G80" s="118"/>
      <c r="H80" s="135"/>
      <c r="I80" s="104" t="str">
        <f t="shared" si="2"/>
        <v/>
      </c>
      <c r="J80" s="64"/>
      <c r="K80" s="65"/>
      <c r="L80" s="66"/>
      <c r="M80" s="525"/>
      <c r="N80" s="520"/>
      <c r="O80" s="226"/>
      <c r="P80" s="227"/>
      <c r="Q80" s="228"/>
      <c r="R80" s="228"/>
      <c r="S80" s="228"/>
      <c r="T80" s="228"/>
      <c r="U80" s="228"/>
      <c r="V80" s="228"/>
      <c r="W80" s="228"/>
      <c r="X80" s="229"/>
      <c r="Y80" s="229"/>
      <c r="Z80" s="229"/>
      <c r="AA80" s="229"/>
      <c r="AB80" s="229"/>
      <c r="AC80" s="228"/>
      <c r="AD80" s="461"/>
      <c r="AE80" s="462"/>
      <c r="AF80" s="228"/>
      <c r="AG80" s="228"/>
      <c r="AH80" s="216"/>
    </row>
    <row r="81" spans="1:34" s="39" customFormat="1" ht="24" customHeight="1">
      <c r="A81" s="38"/>
      <c r="B81" s="38"/>
      <c r="C81" s="128"/>
      <c r="D81" s="129"/>
      <c r="E81" s="117"/>
      <c r="F81" s="273"/>
      <c r="G81" s="118"/>
      <c r="H81" s="135"/>
      <c r="I81" s="104" t="str">
        <f t="shared" si="2"/>
        <v/>
      </c>
      <c r="J81" s="64"/>
      <c r="K81" s="65"/>
      <c r="L81" s="66"/>
      <c r="M81" s="525"/>
      <c r="N81" s="520"/>
      <c r="O81" s="226"/>
      <c r="P81" s="227"/>
      <c r="Q81" s="228"/>
      <c r="R81" s="228"/>
      <c r="S81" s="228"/>
      <c r="T81" s="228"/>
      <c r="U81" s="228"/>
      <c r="V81" s="228"/>
      <c r="W81" s="228"/>
      <c r="X81" s="229"/>
      <c r="Y81" s="229"/>
      <c r="Z81" s="229"/>
      <c r="AA81" s="229"/>
      <c r="AB81" s="229"/>
      <c r="AC81" s="228"/>
      <c r="AD81" s="461"/>
      <c r="AE81" s="462"/>
      <c r="AF81" s="228"/>
      <c r="AG81" s="228"/>
      <c r="AH81" s="216"/>
    </row>
    <row r="82" spans="1:34" s="39" customFormat="1" ht="24" customHeight="1">
      <c r="A82" s="38"/>
      <c r="B82" s="38"/>
      <c r="C82" s="128"/>
      <c r="D82" s="129"/>
      <c r="E82" s="117"/>
      <c r="F82" s="273"/>
      <c r="G82" s="118"/>
      <c r="H82" s="135"/>
      <c r="I82" s="104" t="str">
        <f t="shared" si="2"/>
        <v/>
      </c>
      <c r="J82" s="64"/>
      <c r="K82" s="65"/>
      <c r="L82" s="66"/>
      <c r="M82" s="525"/>
      <c r="N82" s="520"/>
      <c r="O82" s="226"/>
      <c r="P82" s="227"/>
      <c r="Q82" s="228"/>
      <c r="R82" s="228"/>
      <c r="S82" s="228"/>
      <c r="T82" s="228"/>
      <c r="U82" s="228"/>
      <c r="V82" s="228"/>
      <c r="W82" s="228"/>
      <c r="X82" s="229"/>
      <c r="Y82" s="229"/>
      <c r="Z82" s="229"/>
      <c r="AA82" s="229"/>
      <c r="AB82" s="229"/>
      <c r="AC82" s="228"/>
      <c r="AD82" s="461"/>
      <c r="AE82" s="462"/>
      <c r="AF82" s="228"/>
      <c r="AG82" s="228"/>
      <c r="AH82" s="216"/>
    </row>
    <row r="83" spans="1:34" s="39" customFormat="1" ht="24" customHeight="1">
      <c r="A83" s="38"/>
      <c r="B83" s="38"/>
      <c r="C83" s="128"/>
      <c r="D83" s="129"/>
      <c r="E83" s="117"/>
      <c r="F83" s="273"/>
      <c r="G83" s="118"/>
      <c r="H83" s="135"/>
      <c r="I83" s="104" t="str">
        <f t="shared" si="2"/>
        <v/>
      </c>
      <c r="J83" s="64"/>
      <c r="K83" s="65"/>
      <c r="L83" s="66"/>
      <c r="M83" s="525"/>
      <c r="N83" s="520"/>
      <c r="O83" s="226"/>
      <c r="P83" s="227"/>
      <c r="Q83" s="228"/>
      <c r="R83" s="228"/>
      <c r="S83" s="228"/>
      <c r="T83" s="228"/>
      <c r="U83" s="228"/>
      <c r="V83" s="228"/>
      <c r="W83" s="228"/>
      <c r="X83" s="229"/>
      <c r="Y83" s="229"/>
      <c r="Z83" s="229"/>
      <c r="AA83" s="229"/>
      <c r="AB83" s="229"/>
      <c r="AC83" s="228"/>
      <c r="AD83" s="461"/>
      <c r="AE83" s="462"/>
      <c r="AF83" s="228"/>
      <c r="AG83" s="228"/>
      <c r="AH83" s="216"/>
    </row>
    <row r="84" spans="1:34" s="39" customFormat="1" ht="24" customHeight="1">
      <c r="A84" s="38"/>
      <c r="B84" s="38"/>
      <c r="C84" s="128"/>
      <c r="D84" s="129"/>
      <c r="E84" s="117"/>
      <c r="F84" s="273"/>
      <c r="G84" s="118"/>
      <c r="H84" s="135"/>
      <c r="I84" s="104" t="str">
        <f t="shared" si="2"/>
        <v/>
      </c>
      <c r="J84" s="64"/>
      <c r="K84" s="65"/>
      <c r="L84" s="66"/>
      <c r="M84" s="525"/>
      <c r="N84" s="520"/>
      <c r="O84" s="226"/>
      <c r="P84" s="227"/>
      <c r="Q84" s="228"/>
      <c r="R84" s="228"/>
      <c r="S84" s="228"/>
      <c r="T84" s="228"/>
      <c r="U84" s="228"/>
      <c r="V84" s="228"/>
      <c r="W84" s="228"/>
      <c r="X84" s="229"/>
      <c r="Y84" s="229"/>
      <c r="Z84" s="229"/>
      <c r="AA84" s="229"/>
      <c r="AB84" s="229"/>
      <c r="AC84" s="228"/>
      <c r="AD84" s="461"/>
      <c r="AE84" s="462"/>
      <c r="AF84" s="228"/>
      <c r="AG84" s="228"/>
      <c r="AH84" s="216"/>
    </row>
    <row r="85" spans="1:34" s="39" customFormat="1" ht="24" customHeight="1">
      <c r="A85" s="38"/>
      <c r="B85" s="38"/>
      <c r="C85" s="128"/>
      <c r="D85" s="129"/>
      <c r="E85" s="117"/>
      <c r="F85" s="273"/>
      <c r="G85" s="118"/>
      <c r="H85" s="135"/>
      <c r="I85" s="104" t="str">
        <f t="shared" si="2"/>
        <v/>
      </c>
      <c r="J85" s="64"/>
      <c r="K85" s="65"/>
      <c r="L85" s="66"/>
      <c r="M85" s="525"/>
      <c r="N85" s="520"/>
      <c r="O85" s="226"/>
      <c r="P85" s="227"/>
      <c r="Q85" s="228"/>
      <c r="R85" s="228"/>
      <c r="S85" s="228"/>
      <c r="T85" s="228"/>
      <c r="U85" s="228"/>
      <c r="V85" s="228"/>
      <c r="W85" s="228"/>
      <c r="X85" s="229"/>
      <c r="Y85" s="229"/>
      <c r="Z85" s="229"/>
      <c r="AA85" s="229"/>
      <c r="AB85" s="229"/>
      <c r="AC85" s="228"/>
      <c r="AD85" s="461"/>
      <c r="AE85" s="462"/>
      <c r="AF85" s="228"/>
      <c r="AG85" s="228"/>
      <c r="AH85" s="216"/>
    </row>
    <row r="86" spans="1:34" s="39" customFormat="1" ht="24" customHeight="1">
      <c r="A86" s="38"/>
      <c r="B86" s="38"/>
      <c r="C86" s="128"/>
      <c r="D86" s="129"/>
      <c r="E86" s="117"/>
      <c r="F86" s="273"/>
      <c r="G86" s="118"/>
      <c r="H86" s="135"/>
      <c r="I86" s="104" t="str">
        <f t="shared" si="2"/>
        <v/>
      </c>
      <c r="J86" s="64"/>
      <c r="K86" s="65"/>
      <c r="L86" s="66"/>
      <c r="M86" s="525"/>
      <c r="N86" s="520"/>
      <c r="O86" s="226"/>
      <c r="P86" s="227"/>
      <c r="Q86" s="228"/>
      <c r="R86" s="228"/>
      <c r="S86" s="228"/>
      <c r="T86" s="228"/>
      <c r="U86" s="228"/>
      <c r="V86" s="228"/>
      <c r="W86" s="228"/>
      <c r="X86" s="229"/>
      <c r="Y86" s="229"/>
      <c r="Z86" s="229"/>
      <c r="AA86" s="229"/>
      <c r="AB86" s="229"/>
      <c r="AC86" s="228"/>
      <c r="AD86" s="461"/>
      <c r="AE86" s="462"/>
      <c r="AF86" s="228"/>
      <c r="AG86" s="228"/>
      <c r="AH86" s="216"/>
    </row>
    <row r="87" spans="1:34" s="39" customFormat="1" ht="24" customHeight="1">
      <c r="A87" s="38"/>
      <c r="B87" s="38"/>
      <c r="C87" s="128"/>
      <c r="D87" s="129"/>
      <c r="E87" s="117"/>
      <c r="F87" s="273"/>
      <c r="G87" s="118"/>
      <c r="H87" s="135"/>
      <c r="I87" s="104" t="str">
        <f t="shared" si="2"/>
        <v/>
      </c>
      <c r="J87" s="64"/>
      <c r="K87" s="65"/>
      <c r="L87" s="66"/>
      <c r="M87" s="525"/>
      <c r="N87" s="520"/>
      <c r="O87" s="226"/>
      <c r="P87" s="227"/>
      <c r="Q87" s="228"/>
      <c r="R87" s="228"/>
      <c r="S87" s="228"/>
      <c r="T87" s="228"/>
      <c r="U87" s="228"/>
      <c r="V87" s="228"/>
      <c r="W87" s="228"/>
      <c r="X87" s="229"/>
      <c r="Y87" s="229"/>
      <c r="Z87" s="229"/>
      <c r="AA87" s="229"/>
      <c r="AB87" s="229"/>
      <c r="AC87" s="228"/>
      <c r="AD87" s="461"/>
      <c r="AE87" s="462"/>
      <c r="AF87" s="228"/>
      <c r="AG87" s="228"/>
      <c r="AH87" s="216"/>
    </row>
    <row r="88" spans="1:34" s="39" customFormat="1" ht="24" customHeight="1">
      <c r="A88" s="38"/>
      <c r="B88" s="38"/>
      <c r="C88" s="128"/>
      <c r="D88" s="129"/>
      <c r="E88" s="117"/>
      <c r="F88" s="273"/>
      <c r="G88" s="118"/>
      <c r="H88" s="135"/>
      <c r="I88" s="104" t="str">
        <f t="shared" si="2"/>
        <v/>
      </c>
      <c r="J88" s="64"/>
      <c r="K88" s="65"/>
      <c r="L88" s="66"/>
      <c r="M88" s="525"/>
      <c r="N88" s="520"/>
      <c r="O88" s="226"/>
      <c r="P88" s="227"/>
      <c r="Q88" s="228"/>
      <c r="R88" s="228"/>
      <c r="S88" s="228"/>
      <c r="T88" s="228"/>
      <c r="U88" s="228"/>
      <c r="V88" s="228"/>
      <c r="W88" s="228"/>
      <c r="X88" s="229"/>
      <c r="Y88" s="229"/>
      <c r="Z88" s="229"/>
      <c r="AA88" s="229"/>
      <c r="AB88" s="229"/>
      <c r="AC88" s="228"/>
      <c r="AD88" s="461"/>
      <c r="AE88" s="462"/>
      <c r="AF88" s="228"/>
      <c r="AG88" s="228"/>
      <c r="AH88" s="216"/>
    </row>
    <row r="89" spans="1:34" s="39" customFormat="1" ht="24" customHeight="1">
      <c r="A89" s="38"/>
      <c r="B89" s="38"/>
      <c r="C89" s="128"/>
      <c r="D89" s="129"/>
      <c r="E89" s="117"/>
      <c r="F89" s="273"/>
      <c r="G89" s="118"/>
      <c r="H89" s="135"/>
      <c r="I89" s="104" t="str">
        <f t="shared" si="2"/>
        <v/>
      </c>
      <c r="J89" s="64"/>
      <c r="K89" s="65"/>
      <c r="L89" s="66"/>
      <c r="M89" s="525"/>
      <c r="N89" s="520"/>
      <c r="O89" s="226"/>
      <c r="P89" s="227"/>
      <c r="Q89" s="228"/>
      <c r="R89" s="228"/>
      <c r="S89" s="228"/>
      <c r="T89" s="228"/>
      <c r="U89" s="228"/>
      <c r="V89" s="228"/>
      <c r="W89" s="228"/>
      <c r="X89" s="229"/>
      <c r="Y89" s="229"/>
      <c r="Z89" s="229"/>
      <c r="AA89" s="229"/>
      <c r="AB89" s="229"/>
      <c r="AC89" s="228"/>
      <c r="AD89" s="461"/>
      <c r="AE89" s="462"/>
      <c r="AF89" s="228"/>
      <c r="AG89" s="228"/>
      <c r="AH89" s="216"/>
    </row>
    <row r="90" spans="1:34" s="39" customFormat="1" ht="24" customHeight="1">
      <c r="A90" s="38"/>
      <c r="B90" s="38"/>
      <c r="C90" s="128"/>
      <c r="D90" s="129"/>
      <c r="E90" s="117"/>
      <c r="F90" s="273"/>
      <c r="G90" s="118"/>
      <c r="H90" s="135"/>
      <c r="I90" s="104" t="str">
        <f t="shared" si="2"/>
        <v/>
      </c>
      <c r="J90" s="64"/>
      <c r="K90" s="65"/>
      <c r="L90" s="66"/>
      <c r="M90" s="525"/>
      <c r="N90" s="520"/>
      <c r="O90" s="226"/>
      <c r="P90" s="227"/>
      <c r="Q90" s="228"/>
      <c r="R90" s="228"/>
      <c r="S90" s="228"/>
      <c r="T90" s="228"/>
      <c r="U90" s="228"/>
      <c r="V90" s="228"/>
      <c r="W90" s="228"/>
      <c r="X90" s="229"/>
      <c r="Y90" s="229"/>
      <c r="Z90" s="229"/>
      <c r="AA90" s="229"/>
      <c r="AB90" s="229"/>
      <c r="AC90" s="228"/>
      <c r="AD90" s="461"/>
      <c r="AE90" s="462"/>
      <c r="AF90" s="228"/>
      <c r="AG90" s="228"/>
      <c r="AH90" s="216"/>
    </row>
    <row r="91" spans="1:34" s="39" customFormat="1" ht="24" customHeight="1">
      <c r="A91" s="38"/>
      <c r="B91" s="38"/>
      <c r="C91" s="128"/>
      <c r="D91" s="129"/>
      <c r="E91" s="117"/>
      <c r="F91" s="273"/>
      <c r="G91" s="118"/>
      <c r="H91" s="135"/>
      <c r="I91" s="104" t="str">
        <f t="shared" si="2"/>
        <v/>
      </c>
      <c r="J91" s="64"/>
      <c r="K91" s="65"/>
      <c r="L91" s="66"/>
      <c r="M91" s="525"/>
      <c r="N91" s="520"/>
      <c r="O91" s="226"/>
      <c r="P91" s="227"/>
      <c r="Q91" s="228"/>
      <c r="R91" s="228"/>
      <c r="S91" s="228"/>
      <c r="T91" s="228"/>
      <c r="U91" s="228"/>
      <c r="V91" s="228"/>
      <c r="W91" s="228"/>
      <c r="X91" s="229"/>
      <c r="Y91" s="229"/>
      <c r="Z91" s="229"/>
      <c r="AA91" s="229"/>
      <c r="AB91" s="229"/>
      <c r="AC91" s="228"/>
      <c r="AD91" s="461"/>
      <c r="AE91" s="462"/>
      <c r="AF91" s="228"/>
      <c r="AG91" s="228"/>
      <c r="AH91" s="216"/>
    </row>
    <row r="92" spans="1:34" s="39" customFormat="1" ht="24" customHeight="1">
      <c r="A92" s="38"/>
      <c r="B92" s="38"/>
      <c r="C92" s="128"/>
      <c r="D92" s="129"/>
      <c r="E92" s="117"/>
      <c r="F92" s="273"/>
      <c r="G92" s="118"/>
      <c r="H92" s="135"/>
      <c r="I92" s="104" t="str">
        <f t="shared" si="2"/>
        <v/>
      </c>
      <c r="J92" s="64"/>
      <c r="K92" s="65"/>
      <c r="L92" s="66"/>
      <c r="M92" s="525"/>
      <c r="N92" s="520"/>
      <c r="O92" s="226"/>
      <c r="P92" s="227"/>
      <c r="Q92" s="228"/>
      <c r="R92" s="228"/>
      <c r="S92" s="228"/>
      <c r="T92" s="228"/>
      <c r="U92" s="228"/>
      <c r="V92" s="228"/>
      <c r="W92" s="228"/>
      <c r="X92" s="229"/>
      <c r="Y92" s="229"/>
      <c r="Z92" s="229"/>
      <c r="AA92" s="229"/>
      <c r="AB92" s="229"/>
      <c r="AC92" s="228"/>
      <c r="AD92" s="461"/>
      <c r="AE92" s="462"/>
      <c r="AF92" s="228"/>
      <c r="AG92" s="228"/>
      <c r="AH92" s="216"/>
    </row>
    <row r="93" spans="1:34" ht="24" customHeight="1" thickBot="1">
      <c r="A93" s="38"/>
      <c r="B93" s="38"/>
      <c r="C93" s="106"/>
      <c r="D93" s="95" t="s">
        <v>8</v>
      </c>
      <c r="E93" s="107"/>
      <c r="F93" s="274"/>
      <c r="G93" s="121"/>
      <c r="H93" s="131" t="s">
        <v>70</v>
      </c>
      <c r="I93" s="108">
        <f>SUM(I75:I92)</f>
        <v>31226</v>
      </c>
      <c r="J93" s="825" t="str">
        <f>IF(C74="部分撤去工事","）うち費用",")")</f>
        <v>)</v>
      </c>
      <c r="K93" s="824">
        <f>IF(C74="部分撤去工事",(K70+L93),0)</f>
        <v>0</v>
      </c>
      <c r="L93" s="823">
        <f>IF(C74="部分撤去工事",SUMIF(N75:N92,"費用",I75:I92),0)</f>
        <v>0</v>
      </c>
      <c r="M93" s="526"/>
      <c r="N93" s="527"/>
      <c r="O93" s="226"/>
      <c r="P93" s="227"/>
      <c r="Q93" s="228"/>
      <c r="R93" s="228"/>
      <c r="S93" s="228"/>
      <c r="T93" s="228"/>
      <c r="U93" s="228"/>
      <c r="V93" s="228"/>
      <c r="W93" s="228"/>
      <c r="X93" s="229"/>
      <c r="Y93" s="229"/>
      <c r="Z93" s="229"/>
      <c r="AA93" s="229"/>
      <c r="AB93" s="229"/>
      <c r="AC93" s="228"/>
      <c r="AD93" s="461"/>
      <c r="AE93" s="462"/>
      <c r="AF93" s="228"/>
      <c r="AG93" s="228"/>
      <c r="AH93" s="463"/>
    </row>
    <row r="94" spans="1:34" ht="14.25" customHeight="1">
      <c r="E94" s="124" t="s">
        <v>88</v>
      </c>
      <c r="F94" s="125">
        <f>+F71+1</f>
        <v>6</v>
      </c>
      <c r="G94" s="126" t="s">
        <v>49</v>
      </c>
      <c r="H94" s="127">
        <f>+H71</f>
        <v>15</v>
      </c>
      <c r="I94" s="127"/>
      <c r="M94" s="33" t="str">
        <f>IF(A96="","EOL","")</f>
        <v/>
      </c>
      <c r="N94" s="1">
        <f>+F94</f>
        <v>6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1" customHeight="1" thickBot="1">
      <c r="C95" s="2615" t="s">
        <v>333</v>
      </c>
      <c r="D95" s="2615"/>
      <c r="E95" s="2615"/>
      <c r="F95" s="2615"/>
      <c r="G95" s="2615"/>
      <c r="H95" s="2615"/>
      <c r="I95" s="2615"/>
      <c r="J95" s="2615"/>
      <c r="K95" s="2615"/>
      <c r="L95" s="2615"/>
      <c r="O95" s="2616" t="s">
        <v>134</v>
      </c>
      <c r="P95" s="2616"/>
      <c r="Q95" s="2616"/>
      <c r="R95" s="2616"/>
      <c r="S95" s="2616"/>
      <c r="T95" s="2616"/>
      <c r="U95" s="2616"/>
      <c r="V95" s="2616"/>
      <c r="W95" s="2616"/>
      <c r="X95" s="2616"/>
      <c r="Y95" s="2616"/>
      <c r="Z95" s="2616"/>
      <c r="AA95" s="2616"/>
      <c r="AB95" s="2616"/>
      <c r="AC95" s="2616"/>
      <c r="AD95" s="2616"/>
      <c r="AE95" s="2616"/>
      <c r="AF95" s="2616"/>
      <c r="AG95" s="2616"/>
      <c r="AH95" s="2617"/>
    </row>
    <row r="96" spans="1:34" ht="41.25" customHeight="1">
      <c r="A96" s="5" t="s">
        <v>10</v>
      </c>
      <c r="B96" s="5" t="s">
        <v>44</v>
      </c>
      <c r="C96" s="113" t="s">
        <v>0</v>
      </c>
      <c r="D96" s="109"/>
      <c r="E96" s="110" t="s">
        <v>1</v>
      </c>
      <c r="F96" s="111" t="s">
        <v>2</v>
      </c>
      <c r="G96" s="111" t="s">
        <v>3</v>
      </c>
      <c r="H96" s="112" t="s">
        <v>4</v>
      </c>
      <c r="I96" s="112" t="s">
        <v>5</v>
      </c>
      <c r="J96" s="2612" t="s">
        <v>6</v>
      </c>
      <c r="K96" s="2613"/>
      <c r="L96" s="2614"/>
      <c r="M96" s="521"/>
      <c r="N96" s="522" t="s">
        <v>390</v>
      </c>
      <c r="O96" s="157" t="s">
        <v>67</v>
      </c>
      <c r="P96" s="386" t="s">
        <v>275</v>
      </c>
      <c r="Q96" s="275" t="s">
        <v>317</v>
      </c>
      <c r="R96" s="275" t="s">
        <v>218</v>
      </c>
      <c r="S96" s="275" t="s">
        <v>219</v>
      </c>
      <c r="T96" s="275" t="s">
        <v>276</v>
      </c>
      <c r="U96" s="275" t="s">
        <v>128</v>
      </c>
      <c r="V96" s="156" t="s">
        <v>127</v>
      </c>
      <c r="W96" s="275" t="s">
        <v>277</v>
      </c>
      <c r="X96" s="223" t="s">
        <v>220</v>
      </c>
      <c r="Y96" s="223" t="s">
        <v>221</v>
      </c>
      <c r="Z96" s="223" t="s">
        <v>222</v>
      </c>
      <c r="AA96" s="223" t="s">
        <v>223</v>
      </c>
      <c r="AB96" s="223" t="s">
        <v>278</v>
      </c>
      <c r="AC96" s="458" t="s">
        <v>326</v>
      </c>
      <c r="AD96" s="459" t="s">
        <v>327</v>
      </c>
      <c r="AE96" s="460" t="s">
        <v>130</v>
      </c>
      <c r="AF96" s="155" t="s">
        <v>133</v>
      </c>
      <c r="AG96" s="155" t="s">
        <v>131</v>
      </c>
      <c r="AH96" s="155" t="s">
        <v>132</v>
      </c>
    </row>
    <row r="97" spans="1:34" ht="24" customHeight="1">
      <c r="A97" s="38"/>
      <c r="B97" s="38"/>
      <c r="C97" s="132" t="s">
        <v>2987</v>
      </c>
      <c r="D97" s="133"/>
      <c r="E97" s="134"/>
      <c r="F97" s="272"/>
      <c r="G97" s="101"/>
      <c r="H97" s="93" t="s">
        <v>11</v>
      </c>
      <c r="I97" s="93" t="s">
        <v>11</v>
      </c>
      <c r="J97" s="2609"/>
      <c r="K97" s="2610"/>
      <c r="L97" s="2611"/>
      <c r="M97" s="523"/>
      <c r="N97" s="524"/>
      <c r="O97" s="226"/>
      <c r="P97" s="227"/>
      <c r="Q97" s="228"/>
      <c r="R97" s="228"/>
      <c r="S97" s="228"/>
      <c r="T97" s="228"/>
      <c r="U97" s="228"/>
      <c r="V97" s="228"/>
      <c r="W97" s="228"/>
      <c r="X97" s="229"/>
      <c r="Y97" s="229"/>
      <c r="Z97" s="229"/>
      <c r="AA97" s="229"/>
      <c r="AB97" s="229"/>
      <c r="AC97" s="228"/>
      <c r="AD97" s="461"/>
      <c r="AE97" s="462"/>
      <c r="AF97" s="228"/>
      <c r="AG97" s="228"/>
      <c r="AH97" s="463"/>
    </row>
    <row r="98" spans="1:34" s="39" customFormat="1" ht="24" customHeight="1">
      <c r="A98" s="38"/>
      <c r="B98" s="38"/>
      <c r="C98" s="128"/>
      <c r="D98" s="129"/>
      <c r="E98" s="117"/>
      <c r="F98" s="273"/>
      <c r="G98" s="118"/>
      <c r="H98" s="135"/>
      <c r="I98" s="104" t="str">
        <f t="shared" ref="I98:I115" si="3">IF(F98="","",INT(F98*H98))</f>
        <v/>
      </c>
      <c r="J98" s="64" t="s">
        <v>3027</v>
      </c>
      <c r="K98" s="65"/>
      <c r="L98" s="66"/>
      <c r="M98" s="525"/>
      <c r="N98" s="520"/>
      <c r="O98" s="226"/>
      <c r="P98" s="227"/>
      <c r="Q98" s="228"/>
      <c r="R98" s="228"/>
      <c r="S98" s="228"/>
      <c r="T98" s="228"/>
      <c r="U98" s="228"/>
      <c r="V98" s="228"/>
      <c r="W98" s="228"/>
      <c r="X98" s="229"/>
      <c r="Y98" s="229"/>
      <c r="Z98" s="229"/>
      <c r="AA98" s="229"/>
      <c r="AB98" s="229"/>
      <c r="AC98" s="228"/>
      <c r="AD98" s="461"/>
      <c r="AE98" s="462"/>
      <c r="AF98" s="228"/>
      <c r="AG98" s="228"/>
      <c r="AH98" s="216"/>
    </row>
    <row r="99" spans="1:34" s="39" customFormat="1" ht="24" customHeight="1">
      <c r="A99" s="38">
        <v>1</v>
      </c>
      <c r="B99" s="38">
        <v>3</v>
      </c>
      <c r="C99" s="128"/>
      <c r="D99" s="788" t="s">
        <v>3029</v>
      </c>
      <c r="E99" s="117" t="s">
        <v>3039</v>
      </c>
      <c r="F99" s="273">
        <v>1</v>
      </c>
      <c r="G99" s="118" t="s">
        <v>3035</v>
      </c>
      <c r="H99" s="135"/>
      <c r="I99" s="104">
        <v>14646</v>
      </c>
      <c r="J99" s="64" t="s">
        <v>3036</v>
      </c>
      <c r="K99" s="65"/>
      <c r="L99" s="66"/>
      <c r="M99" s="525"/>
      <c r="N99" s="520"/>
      <c r="O99" s="226">
        <v>0.5</v>
      </c>
      <c r="P99" s="227"/>
      <c r="Q99" s="228"/>
      <c r="R99" s="228"/>
      <c r="S99" s="228"/>
      <c r="T99" s="228"/>
      <c r="U99" s="228"/>
      <c r="V99" s="228"/>
      <c r="W99" s="228"/>
      <c r="X99" s="229"/>
      <c r="Y99" s="229"/>
      <c r="Z99" s="229"/>
      <c r="AA99" s="229"/>
      <c r="AB99" s="229"/>
      <c r="AC99" s="228"/>
      <c r="AD99" s="461"/>
      <c r="AE99" s="462"/>
      <c r="AF99" s="228"/>
      <c r="AG99" s="228"/>
      <c r="AH99" s="216"/>
    </row>
    <row r="100" spans="1:34" s="39" customFormat="1" ht="24" customHeight="1">
      <c r="A100" s="38"/>
      <c r="B100" s="38"/>
      <c r="C100" s="128"/>
      <c r="D100" s="129"/>
      <c r="E100" s="117"/>
      <c r="F100" s="273"/>
      <c r="G100" s="118"/>
      <c r="H100" s="135"/>
      <c r="I100" s="104" t="str">
        <f t="shared" si="3"/>
        <v/>
      </c>
      <c r="J100" s="64" t="s">
        <v>3037</v>
      </c>
      <c r="K100" s="65"/>
      <c r="L100" s="66"/>
      <c r="M100" s="525"/>
      <c r="N100" s="520"/>
      <c r="O100" s="226"/>
      <c r="P100" s="227"/>
      <c r="Q100" s="228"/>
      <c r="R100" s="228"/>
      <c r="S100" s="228"/>
      <c r="T100" s="228"/>
      <c r="U100" s="228"/>
      <c r="V100" s="228"/>
      <c r="W100" s="228"/>
      <c r="X100" s="229"/>
      <c r="Y100" s="229"/>
      <c r="Z100" s="229"/>
      <c r="AA100" s="229"/>
      <c r="AB100" s="229"/>
      <c r="AC100" s="228"/>
      <c r="AD100" s="461"/>
      <c r="AE100" s="462"/>
      <c r="AF100" s="228"/>
      <c r="AG100" s="228"/>
      <c r="AH100" s="216"/>
    </row>
    <row r="101" spans="1:34" s="39" customFormat="1" ht="24" customHeight="1">
      <c r="A101" s="38"/>
      <c r="B101" s="38"/>
      <c r="C101" s="128"/>
      <c r="D101" s="129"/>
      <c r="E101" s="117"/>
      <c r="F101" s="273"/>
      <c r="G101" s="118"/>
      <c r="H101" s="135"/>
      <c r="I101" s="104" t="str">
        <f t="shared" si="3"/>
        <v/>
      </c>
      <c r="J101" s="64"/>
      <c r="K101" s="65"/>
      <c r="L101" s="66"/>
      <c r="M101" s="525"/>
      <c r="N101" s="520"/>
      <c r="O101" s="226"/>
      <c r="P101" s="227"/>
      <c r="Q101" s="228"/>
      <c r="R101" s="228"/>
      <c r="S101" s="228"/>
      <c r="T101" s="228"/>
      <c r="U101" s="228"/>
      <c r="V101" s="228"/>
      <c r="W101" s="228"/>
      <c r="X101" s="229"/>
      <c r="Y101" s="229"/>
      <c r="Z101" s="229"/>
      <c r="AA101" s="229"/>
      <c r="AB101" s="229"/>
      <c r="AC101" s="228"/>
      <c r="AD101" s="461"/>
      <c r="AE101" s="462"/>
      <c r="AF101" s="228"/>
      <c r="AG101" s="228"/>
      <c r="AH101" s="216"/>
    </row>
    <row r="102" spans="1:34" s="39" customFormat="1" ht="24" customHeight="1">
      <c r="A102" s="38"/>
      <c r="B102" s="38"/>
      <c r="C102" s="128"/>
      <c r="D102" s="129"/>
      <c r="E102" s="117"/>
      <c r="F102" s="273"/>
      <c r="G102" s="118"/>
      <c r="H102" s="135"/>
      <c r="I102" s="104" t="str">
        <f t="shared" si="3"/>
        <v/>
      </c>
      <c r="J102" s="64"/>
      <c r="K102" s="65"/>
      <c r="L102" s="66"/>
      <c r="M102" s="525"/>
      <c r="N102" s="520"/>
      <c r="O102" s="226"/>
      <c r="P102" s="227"/>
      <c r="Q102" s="228"/>
      <c r="R102" s="228"/>
      <c r="S102" s="228"/>
      <c r="T102" s="228"/>
      <c r="U102" s="228"/>
      <c r="V102" s="228"/>
      <c r="W102" s="228"/>
      <c r="X102" s="229"/>
      <c r="Y102" s="229"/>
      <c r="Z102" s="229"/>
      <c r="AA102" s="229"/>
      <c r="AB102" s="229"/>
      <c r="AC102" s="228"/>
      <c r="AD102" s="461"/>
      <c r="AE102" s="462"/>
      <c r="AF102" s="228"/>
      <c r="AG102" s="228"/>
      <c r="AH102" s="216"/>
    </row>
    <row r="103" spans="1:34" s="39" customFormat="1" ht="24" customHeight="1">
      <c r="A103" s="38"/>
      <c r="B103" s="38"/>
      <c r="C103" s="128"/>
      <c r="D103" s="129"/>
      <c r="E103" s="117"/>
      <c r="F103" s="273"/>
      <c r="G103" s="118"/>
      <c r="H103" s="135"/>
      <c r="I103" s="104" t="str">
        <f t="shared" si="3"/>
        <v/>
      </c>
      <c r="J103" s="64"/>
      <c r="K103" s="65"/>
      <c r="L103" s="66"/>
      <c r="M103" s="525"/>
      <c r="N103" s="520"/>
      <c r="O103" s="226"/>
      <c r="P103" s="227"/>
      <c r="Q103" s="228"/>
      <c r="R103" s="228"/>
      <c r="S103" s="228"/>
      <c r="T103" s="228"/>
      <c r="U103" s="228"/>
      <c r="V103" s="228"/>
      <c r="W103" s="228"/>
      <c r="X103" s="229"/>
      <c r="Y103" s="229"/>
      <c r="Z103" s="229"/>
      <c r="AA103" s="229"/>
      <c r="AB103" s="229"/>
      <c r="AC103" s="228"/>
      <c r="AD103" s="461"/>
      <c r="AE103" s="462"/>
      <c r="AF103" s="228"/>
      <c r="AG103" s="228"/>
      <c r="AH103" s="216"/>
    </row>
    <row r="104" spans="1:34" s="39" customFormat="1" ht="24" customHeight="1">
      <c r="A104" s="38"/>
      <c r="B104" s="38"/>
      <c r="C104" s="128"/>
      <c r="D104" s="129"/>
      <c r="E104" s="117"/>
      <c r="F104" s="273"/>
      <c r="G104" s="118"/>
      <c r="H104" s="135"/>
      <c r="I104" s="104" t="str">
        <f t="shared" si="3"/>
        <v/>
      </c>
      <c r="J104" s="64"/>
      <c r="K104" s="65"/>
      <c r="L104" s="66"/>
      <c r="M104" s="525"/>
      <c r="N104" s="520"/>
      <c r="O104" s="226"/>
      <c r="P104" s="227"/>
      <c r="Q104" s="228"/>
      <c r="R104" s="228"/>
      <c r="S104" s="228"/>
      <c r="T104" s="228"/>
      <c r="U104" s="228"/>
      <c r="V104" s="228"/>
      <c r="W104" s="228"/>
      <c r="X104" s="229"/>
      <c r="Y104" s="229"/>
      <c r="Z104" s="229"/>
      <c r="AA104" s="229"/>
      <c r="AB104" s="229"/>
      <c r="AC104" s="228"/>
      <c r="AD104" s="461"/>
      <c r="AE104" s="462"/>
      <c r="AF104" s="228"/>
      <c r="AG104" s="228"/>
      <c r="AH104" s="216"/>
    </row>
    <row r="105" spans="1:34" s="39" customFormat="1" ht="24" customHeight="1">
      <c r="A105" s="38"/>
      <c r="B105" s="38"/>
      <c r="C105" s="128"/>
      <c r="D105" s="129"/>
      <c r="E105" s="117"/>
      <c r="F105" s="273"/>
      <c r="G105" s="118"/>
      <c r="H105" s="135"/>
      <c r="I105" s="104" t="str">
        <f t="shared" si="3"/>
        <v/>
      </c>
      <c r="J105" s="64"/>
      <c r="K105" s="65"/>
      <c r="L105" s="66"/>
      <c r="M105" s="525"/>
      <c r="N105" s="520"/>
      <c r="O105" s="226"/>
      <c r="P105" s="227"/>
      <c r="Q105" s="228"/>
      <c r="R105" s="228"/>
      <c r="S105" s="228"/>
      <c r="T105" s="228"/>
      <c r="U105" s="228"/>
      <c r="V105" s="228"/>
      <c r="W105" s="228"/>
      <c r="X105" s="229"/>
      <c r="Y105" s="229"/>
      <c r="Z105" s="229"/>
      <c r="AA105" s="229"/>
      <c r="AB105" s="229"/>
      <c r="AC105" s="228"/>
      <c r="AD105" s="461"/>
      <c r="AE105" s="462"/>
      <c r="AF105" s="228"/>
      <c r="AG105" s="228"/>
      <c r="AH105" s="216"/>
    </row>
    <row r="106" spans="1:34" s="39" customFormat="1" ht="24" customHeight="1">
      <c r="A106" s="38"/>
      <c r="B106" s="38"/>
      <c r="C106" s="128"/>
      <c r="D106" s="129"/>
      <c r="E106" s="117"/>
      <c r="F106" s="273"/>
      <c r="G106" s="118"/>
      <c r="H106" s="135"/>
      <c r="I106" s="104" t="str">
        <f t="shared" si="3"/>
        <v/>
      </c>
      <c r="J106" s="64"/>
      <c r="K106" s="65"/>
      <c r="L106" s="66"/>
      <c r="M106" s="525"/>
      <c r="N106" s="520"/>
      <c r="O106" s="226"/>
      <c r="P106" s="227"/>
      <c r="Q106" s="228"/>
      <c r="R106" s="228"/>
      <c r="S106" s="228"/>
      <c r="T106" s="228"/>
      <c r="U106" s="228"/>
      <c r="V106" s="228"/>
      <c r="W106" s="228"/>
      <c r="X106" s="229"/>
      <c r="Y106" s="229"/>
      <c r="Z106" s="229"/>
      <c r="AA106" s="229"/>
      <c r="AB106" s="229"/>
      <c r="AC106" s="228"/>
      <c r="AD106" s="461"/>
      <c r="AE106" s="462"/>
      <c r="AF106" s="228"/>
      <c r="AG106" s="228"/>
      <c r="AH106" s="216"/>
    </row>
    <row r="107" spans="1:34" s="39" customFormat="1" ht="24" customHeight="1">
      <c r="A107" s="38"/>
      <c r="B107" s="38"/>
      <c r="C107" s="128"/>
      <c r="D107" s="129"/>
      <c r="E107" s="117"/>
      <c r="F107" s="273"/>
      <c r="G107" s="118"/>
      <c r="H107" s="135"/>
      <c r="I107" s="104" t="str">
        <f t="shared" si="3"/>
        <v/>
      </c>
      <c r="J107" s="64"/>
      <c r="K107" s="65"/>
      <c r="L107" s="66"/>
      <c r="M107" s="525"/>
      <c r="N107" s="520"/>
      <c r="O107" s="226"/>
      <c r="P107" s="227"/>
      <c r="Q107" s="228"/>
      <c r="R107" s="228"/>
      <c r="S107" s="228"/>
      <c r="T107" s="228"/>
      <c r="U107" s="228"/>
      <c r="V107" s="228"/>
      <c r="W107" s="228"/>
      <c r="X107" s="229"/>
      <c r="Y107" s="229"/>
      <c r="Z107" s="229"/>
      <c r="AA107" s="229"/>
      <c r="AB107" s="229"/>
      <c r="AC107" s="228"/>
      <c r="AD107" s="461"/>
      <c r="AE107" s="462"/>
      <c r="AF107" s="228"/>
      <c r="AG107" s="228"/>
      <c r="AH107" s="216"/>
    </row>
    <row r="108" spans="1:34" s="39" customFormat="1" ht="24" customHeight="1">
      <c r="A108" s="38"/>
      <c r="B108" s="38"/>
      <c r="C108" s="128"/>
      <c r="D108" s="129"/>
      <c r="E108" s="117"/>
      <c r="F108" s="273"/>
      <c r="G108" s="118"/>
      <c r="H108" s="135"/>
      <c r="I108" s="104" t="str">
        <f t="shared" si="3"/>
        <v/>
      </c>
      <c r="J108" s="64"/>
      <c r="K108" s="65"/>
      <c r="L108" s="66"/>
      <c r="M108" s="525"/>
      <c r="N108" s="520"/>
      <c r="O108" s="226"/>
      <c r="P108" s="227"/>
      <c r="Q108" s="228"/>
      <c r="R108" s="228"/>
      <c r="S108" s="228"/>
      <c r="T108" s="228"/>
      <c r="U108" s="228"/>
      <c r="V108" s="228"/>
      <c r="W108" s="228"/>
      <c r="X108" s="229"/>
      <c r="Y108" s="229"/>
      <c r="Z108" s="229"/>
      <c r="AA108" s="229"/>
      <c r="AB108" s="229"/>
      <c r="AC108" s="228"/>
      <c r="AD108" s="461"/>
      <c r="AE108" s="462"/>
      <c r="AF108" s="228"/>
      <c r="AG108" s="228"/>
      <c r="AH108" s="216"/>
    </row>
    <row r="109" spans="1:34" s="39" customFormat="1" ht="24" customHeight="1">
      <c r="A109" s="38"/>
      <c r="B109" s="38"/>
      <c r="C109" s="128"/>
      <c r="D109" s="129"/>
      <c r="E109" s="117"/>
      <c r="F109" s="273"/>
      <c r="G109" s="118"/>
      <c r="H109" s="135"/>
      <c r="I109" s="104" t="str">
        <f t="shared" si="3"/>
        <v/>
      </c>
      <c r="J109" s="64"/>
      <c r="K109" s="65"/>
      <c r="L109" s="66"/>
      <c r="M109" s="525"/>
      <c r="N109" s="520"/>
      <c r="O109" s="226"/>
      <c r="P109" s="227"/>
      <c r="Q109" s="228"/>
      <c r="R109" s="228"/>
      <c r="S109" s="228"/>
      <c r="T109" s="228"/>
      <c r="U109" s="228"/>
      <c r="V109" s="228"/>
      <c r="W109" s="228"/>
      <c r="X109" s="229"/>
      <c r="Y109" s="229"/>
      <c r="Z109" s="229"/>
      <c r="AA109" s="229"/>
      <c r="AB109" s="229"/>
      <c r="AC109" s="228"/>
      <c r="AD109" s="461"/>
      <c r="AE109" s="462"/>
      <c r="AF109" s="228"/>
      <c r="AG109" s="228"/>
      <c r="AH109" s="216"/>
    </row>
    <row r="110" spans="1:34" s="39" customFormat="1" ht="24" customHeight="1">
      <c r="A110" s="38"/>
      <c r="B110" s="38"/>
      <c r="C110" s="128"/>
      <c r="D110" s="129"/>
      <c r="E110" s="117"/>
      <c r="F110" s="273"/>
      <c r="G110" s="118"/>
      <c r="H110" s="135"/>
      <c r="I110" s="104" t="str">
        <f t="shared" si="3"/>
        <v/>
      </c>
      <c r="J110" s="64"/>
      <c r="K110" s="65"/>
      <c r="L110" s="66"/>
      <c r="M110" s="525"/>
      <c r="N110" s="520"/>
      <c r="O110" s="226"/>
      <c r="P110" s="227"/>
      <c r="Q110" s="228"/>
      <c r="R110" s="228"/>
      <c r="S110" s="228"/>
      <c r="T110" s="228"/>
      <c r="U110" s="228"/>
      <c r="V110" s="228"/>
      <c r="W110" s="228"/>
      <c r="X110" s="229"/>
      <c r="Y110" s="229"/>
      <c r="Z110" s="229"/>
      <c r="AA110" s="229"/>
      <c r="AB110" s="229"/>
      <c r="AC110" s="228"/>
      <c r="AD110" s="461"/>
      <c r="AE110" s="462"/>
      <c r="AF110" s="228"/>
      <c r="AG110" s="228"/>
      <c r="AH110" s="216"/>
    </row>
    <row r="111" spans="1:34" s="39" customFormat="1" ht="24" customHeight="1">
      <c r="A111" s="38"/>
      <c r="B111" s="38"/>
      <c r="C111" s="128"/>
      <c r="D111" s="129"/>
      <c r="E111" s="117"/>
      <c r="F111" s="273"/>
      <c r="G111" s="118"/>
      <c r="H111" s="135"/>
      <c r="I111" s="104" t="str">
        <f t="shared" si="3"/>
        <v/>
      </c>
      <c r="J111" s="64"/>
      <c r="K111" s="65"/>
      <c r="L111" s="66"/>
      <c r="M111" s="525"/>
      <c r="N111" s="520"/>
      <c r="O111" s="226"/>
      <c r="P111" s="227"/>
      <c r="Q111" s="228"/>
      <c r="R111" s="228"/>
      <c r="S111" s="228"/>
      <c r="T111" s="228"/>
      <c r="U111" s="228"/>
      <c r="V111" s="228"/>
      <c r="W111" s="228"/>
      <c r="X111" s="229"/>
      <c r="Y111" s="229"/>
      <c r="Z111" s="229"/>
      <c r="AA111" s="229"/>
      <c r="AB111" s="229"/>
      <c r="AC111" s="228"/>
      <c r="AD111" s="461"/>
      <c r="AE111" s="462"/>
      <c r="AF111" s="228"/>
      <c r="AG111" s="228"/>
      <c r="AH111" s="216"/>
    </row>
    <row r="112" spans="1:34" s="39" customFormat="1" ht="24" customHeight="1">
      <c r="A112" s="38"/>
      <c r="B112" s="38"/>
      <c r="C112" s="128"/>
      <c r="D112" s="129"/>
      <c r="E112" s="117"/>
      <c r="F112" s="273"/>
      <c r="G112" s="118"/>
      <c r="H112" s="135"/>
      <c r="I112" s="104" t="str">
        <f t="shared" si="3"/>
        <v/>
      </c>
      <c r="J112" s="64"/>
      <c r="K112" s="65"/>
      <c r="L112" s="66"/>
      <c r="M112" s="525"/>
      <c r="N112" s="520"/>
      <c r="O112" s="226"/>
      <c r="P112" s="227"/>
      <c r="Q112" s="228"/>
      <c r="R112" s="228"/>
      <c r="S112" s="228"/>
      <c r="T112" s="228"/>
      <c r="U112" s="228"/>
      <c r="V112" s="228"/>
      <c r="W112" s="228"/>
      <c r="X112" s="229"/>
      <c r="Y112" s="229"/>
      <c r="Z112" s="229"/>
      <c r="AA112" s="229"/>
      <c r="AB112" s="229"/>
      <c r="AC112" s="228"/>
      <c r="AD112" s="461"/>
      <c r="AE112" s="462"/>
      <c r="AF112" s="228"/>
      <c r="AG112" s="228"/>
      <c r="AH112" s="216"/>
    </row>
    <row r="113" spans="1:34" s="39" customFormat="1" ht="24" customHeight="1">
      <c r="A113" s="38"/>
      <c r="B113" s="38"/>
      <c r="C113" s="128"/>
      <c r="D113" s="129"/>
      <c r="E113" s="117"/>
      <c r="F113" s="273"/>
      <c r="G113" s="118"/>
      <c r="H113" s="135"/>
      <c r="I113" s="104" t="str">
        <f t="shared" si="3"/>
        <v/>
      </c>
      <c r="J113" s="64"/>
      <c r="K113" s="65"/>
      <c r="L113" s="66"/>
      <c r="M113" s="525"/>
      <c r="N113" s="520"/>
      <c r="O113" s="226"/>
      <c r="P113" s="227"/>
      <c r="Q113" s="228"/>
      <c r="R113" s="228"/>
      <c r="S113" s="228"/>
      <c r="T113" s="228"/>
      <c r="U113" s="228"/>
      <c r="V113" s="228"/>
      <c r="W113" s="228"/>
      <c r="X113" s="229"/>
      <c r="Y113" s="229"/>
      <c r="Z113" s="229"/>
      <c r="AA113" s="229"/>
      <c r="AB113" s="229"/>
      <c r="AC113" s="228"/>
      <c r="AD113" s="461"/>
      <c r="AE113" s="462"/>
      <c r="AF113" s="228"/>
      <c r="AG113" s="228"/>
      <c r="AH113" s="216"/>
    </row>
    <row r="114" spans="1:34" s="39" customFormat="1" ht="24" customHeight="1">
      <c r="A114" s="38"/>
      <c r="B114" s="38"/>
      <c r="C114" s="128"/>
      <c r="D114" s="129"/>
      <c r="E114" s="117"/>
      <c r="F114" s="273"/>
      <c r="G114" s="118"/>
      <c r="H114" s="135"/>
      <c r="I114" s="104" t="str">
        <f t="shared" si="3"/>
        <v/>
      </c>
      <c r="J114" s="64"/>
      <c r="K114" s="65"/>
      <c r="L114" s="66"/>
      <c r="M114" s="525"/>
      <c r="N114" s="520"/>
      <c r="O114" s="226"/>
      <c r="P114" s="227"/>
      <c r="Q114" s="228"/>
      <c r="R114" s="228"/>
      <c r="S114" s="228"/>
      <c r="T114" s="228"/>
      <c r="U114" s="228"/>
      <c r="V114" s="228"/>
      <c r="W114" s="228"/>
      <c r="X114" s="229"/>
      <c r="Y114" s="229"/>
      <c r="Z114" s="229"/>
      <c r="AA114" s="229"/>
      <c r="AB114" s="229"/>
      <c r="AC114" s="228"/>
      <c r="AD114" s="461"/>
      <c r="AE114" s="462"/>
      <c r="AF114" s="228"/>
      <c r="AG114" s="228"/>
      <c r="AH114" s="216"/>
    </row>
    <row r="115" spans="1:34" s="39" customFormat="1" ht="24" customHeight="1">
      <c r="A115" s="38"/>
      <c r="B115" s="38"/>
      <c r="C115" s="128"/>
      <c r="D115" s="129"/>
      <c r="E115" s="117"/>
      <c r="F115" s="273"/>
      <c r="G115" s="118"/>
      <c r="H115" s="135"/>
      <c r="I115" s="104" t="str">
        <f t="shared" si="3"/>
        <v/>
      </c>
      <c r="J115" s="64"/>
      <c r="K115" s="65"/>
      <c r="L115" s="66"/>
      <c r="M115" s="525"/>
      <c r="N115" s="520"/>
      <c r="O115" s="226"/>
      <c r="P115" s="227"/>
      <c r="Q115" s="228"/>
      <c r="R115" s="228"/>
      <c r="S115" s="228"/>
      <c r="T115" s="228"/>
      <c r="U115" s="228"/>
      <c r="V115" s="228"/>
      <c r="W115" s="228"/>
      <c r="X115" s="229"/>
      <c r="Y115" s="229"/>
      <c r="Z115" s="229"/>
      <c r="AA115" s="229"/>
      <c r="AB115" s="229"/>
      <c r="AC115" s="228"/>
      <c r="AD115" s="461"/>
      <c r="AE115" s="462"/>
      <c r="AF115" s="228"/>
      <c r="AG115" s="228"/>
      <c r="AH115" s="216"/>
    </row>
    <row r="116" spans="1:34" ht="24" customHeight="1" thickBot="1">
      <c r="A116" s="38"/>
      <c r="B116" s="38"/>
      <c r="C116" s="106"/>
      <c r="D116" s="95" t="s">
        <v>8</v>
      </c>
      <c r="E116" s="107"/>
      <c r="F116" s="274"/>
      <c r="G116" s="121"/>
      <c r="H116" s="131" t="s">
        <v>70</v>
      </c>
      <c r="I116" s="108">
        <f>SUM(I98:I115)</f>
        <v>14646</v>
      </c>
      <c r="J116" s="825" t="str">
        <f>IF(C97="部分撤去工事","）うち費用",")")</f>
        <v>)</v>
      </c>
      <c r="K116" s="824">
        <f>IF(C97="部分撤去工事",(#REF!+L116),0)</f>
        <v>0</v>
      </c>
      <c r="L116" s="823">
        <f>IF(C97="部分撤去工事",SUMIF(N98:N115,"費用",I98:I115),0)</f>
        <v>0</v>
      </c>
      <c r="M116" s="526"/>
      <c r="N116" s="527"/>
      <c r="O116" s="226"/>
      <c r="P116" s="227"/>
      <c r="Q116" s="228"/>
      <c r="R116" s="228"/>
      <c r="S116" s="228"/>
      <c r="T116" s="228"/>
      <c r="U116" s="228"/>
      <c r="V116" s="228"/>
      <c r="W116" s="228"/>
      <c r="X116" s="229"/>
      <c r="Y116" s="229"/>
      <c r="Z116" s="229"/>
      <c r="AA116" s="229"/>
      <c r="AB116" s="229"/>
      <c r="AC116" s="228"/>
      <c r="AD116" s="461"/>
      <c r="AE116" s="462"/>
      <c r="AF116" s="228"/>
      <c r="AG116" s="228"/>
      <c r="AH116" s="463"/>
    </row>
    <row r="117" spans="1:34" ht="14.25" customHeight="1">
      <c r="E117" s="124" t="s">
        <v>88</v>
      </c>
      <c r="F117" s="125">
        <f>+F94+1</f>
        <v>7</v>
      </c>
      <c r="G117" s="126" t="s">
        <v>49</v>
      </c>
      <c r="H117" s="127">
        <f>+H94</f>
        <v>15</v>
      </c>
      <c r="I117" s="127"/>
      <c r="M117" s="33" t="str">
        <f>IF(A119="","EOL","")</f>
        <v/>
      </c>
      <c r="N117" s="1">
        <f>+F117</f>
        <v>7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1" customHeight="1" thickBot="1">
      <c r="C118" s="2615" t="s">
        <v>333</v>
      </c>
      <c r="D118" s="2615"/>
      <c r="E118" s="2615"/>
      <c r="F118" s="2615"/>
      <c r="G118" s="2615"/>
      <c r="H118" s="2615"/>
      <c r="I118" s="2615"/>
      <c r="J118" s="2615"/>
      <c r="K118" s="2615"/>
      <c r="L118" s="2615"/>
      <c r="O118" s="2616" t="s">
        <v>134</v>
      </c>
      <c r="P118" s="2616"/>
      <c r="Q118" s="2616"/>
      <c r="R118" s="2616"/>
      <c r="S118" s="2616"/>
      <c r="T118" s="2616"/>
      <c r="U118" s="2616"/>
      <c r="V118" s="2616"/>
      <c r="W118" s="2616"/>
      <c r="X118" s="2616"/>
      <c r="Y118" s="2616"/>
      <c r="Z118" s="2616"/>
      <c r="AA118" s="2616"/>
      <c r="AB118" s="2616"/>
      <c r="AC118" s="2616"/>
      <c r="AD118" s="2616"/>
      <c r="AE118" s="2616"/>
      <c r="AF118" s="2616"/>
      <c r="AG118" s="2616"/>
      <c r="AH118" s="2617"/>
    </row>
    <row r="119" spans="1:34" ht="41.25" customHeight="1">
      <c r="A119" s="5" t="s">
        <v>10</v>
      </c>
      <c r="B119" s="5" t="s">
        <v>44</v>
      </c>
      <c r="C119" s="113" t="s">
        <v>0</v>
      </c>
      <c r="D119" s="109"/>
      <c r="E119" s="110" t="s">
        <v>1</v>
      </c>
      <c r="F119" s="111" t="s">
        <v>2</v>
      </c>
      <c r="G119" s="111" t="s">
        <v>3</v>
      </c>
      <c r="H119" s="112" t="s">
        <v>4</v>
      </c>
      <c r="I119" s="112" t="s">
        <v>5</v>
      </c>
      <c r="J119" s="2612" t="s">
        <v>6</v>
      </c>
      <c r="K119" s="2613"/>
      <c r="L119" s="2614"/>
      <c r="M119" s="521"/>
      <c r="N119" s="522" t="s">
        <v>390</v>
      </c>
      <c r="O119" s="157" t="s">
        <v>67</v>
      </c>
      <c r="P119" s="386" t="s">
        <v>275</v>
      </c>
      <c r="Q119" s="275" t="s">
        <v>317</v>
      </c>
      <c r="R119" s="275" t="s">
        <v>218</v>
      </c>
      <c r="S119" s="275" t="s">
        <v>219</v>
      </c>
      <c r="T119" s="275" t="s">
        <v>276</v>
      </c>
      <c r="U119" s="275" t="s">
        <v>128</v>
      </c>
      <c r="V119" s="156" t="s">
        <v>127</v>
      </c>
      <c r="W119" s="275" t="s">
        <v>277</v>
      </c>
      <c r="X119" s="223" t="s">
        <v>220</v>
      </c>
      <c r="Y119" s="223" t="s">
        <v>221</v>
      </c>
      <c r="Z119" s="223" t="s">
        <v>222</v>
      </c>
      <c r="AA119" s="223" t="s">
        <v>223</v>
      </c>
      <c r="AB119" s="223" t="s">
        <v>278</v>
      </c>
      <c r="AC119" s="458" t="s">
        <v>326</v>
      </c>
      <c r="AD119" s="459" t="s">
        <v>327</v>
      </c>
      <c r="AE119" s="460" t="s">
        <v>130</v>
      </c>
      <c r="AF119" s="155" t="s">
        <v>133</v>
      </c>
      <c r="AG119" s="155" t="s">
        <v>131</v>
      </c>
      <c r="AH119" s="155" t="s">
        <v>132</v>
      </c>
    </row>
    <row r="120" spans="1:34" ht="24" customHeight="1">
      <c r="A120" s="38"/>
      <c r="B120" s="38"/>
      <c r="C120" s="132" t="s">
        <v>2988</v>
      </c>
      <c r="D120" s="133"/>
      <c r="E120" s="134"/>
      <c r="F120" s="272"/>
      <c r="G120" s="101"/>
      <c r="H120" s="93" t="s">
        <v>11</v>
      </c>
      <c r="I120" s="93" t="s">
        <v>11</v>
      </c>
      <c r="J120" s="2609"/>
      <c r="K120" s="2610"/>
      <c r="L120" s="2611"/>
      <c r="M120" s="523"/>
      <c r="N120" s="524"/>
      <c r="O120" s="226"/>
      <c r="P120" s="227"/>
      <c r="Q120" s="228"/>
      <c r="R120" s="228"/>
      <c r="S120" s="228"/>
      <c r="T120" s="228"/>
      <c r="U120" s="228"/>
      <c r="V120" s="228"/>
      <c r="W120" s="228"/>
      <c r="X120" s="229"/>
      <c r="Y120" s="229"/>
      <c r="Z120" s="229"/>
      <c r="AA120" s="229"/>
      <c r="AB120" s="229"/>
      <c r="AC120" s="228"/>
      <c r="AD120" s="461"/>
      <c r="AE120" s="462"/>
      <c r="AF120" s="228"/>
      <c r="AG120" s="228"/>
      <c r="AH120" s="463"/>
    </row>
    <row r="121" spans="1:34" s="39" customFormat="1" ht="24" customHeight="1">
      <c r="A121" s="38"/>
      <c r="B121" s="38"/>
      <c r="C121" s="128"/>
      <c r="D121" s="129"/>
      <c r="E121" s="117"/>
      <c r="F121" s="273"/>
      <c r="G121" s="118"/>
      <c r="H121" s="135"/>
      <c r="I121" s="104" t="str">
        <f t="shared" ref="I121:I138" si="4">IF(F121="","",INT(F121*H121))</f>
        <v/>
      </c>
      <c r="J121" s="64"/>
      <c r="K121" s="65"/>
      <c r="L121" s="66"/>
      <c r="M121" s="525"/>
      <c r="N121" s="520"/>
      <c r="O121" s="226"/>
      <c r="P121" s="227"/>
      <c r="Q121" s="228"/>
      <c r="R121" s="228"/>
      <c r="S121" s="228"/>
      <c r="T121" s="228"/>
      <c r="U121" s="228"/>
      <c r="V121" s="228"/>
      <c r="W121" s="228"/>
      <c r="X121" s="229"/>
      <c r="Y121" s="229"/>
      <c r="Z121" s="229"/>
      <c r="AA121" s="229"/>
      <c r="AB121" s="229"/>
      <c r="AC121" s="228"/>
      <c r="AD121" s="461"/>
      <c r="AE121" s="462"/>
      <c r="AF121" s="228"/>
      <c r="AG121" s="228"/>
      <c r="AH121" s="216"/>
    </row>
    <row r="122" spans="1:34" s="39" customFormat="1" ht="24" customHeight="1">
      <c r="A122" s="38">
        <v>1</v>
      </c>
      <c r="B122" s="38">
        <v>3</v>
      </c>
      <c r="C122" s="128">
        <v>19530</v>
      </c>
      <c r="D122" s="788" t="s">
        <v>3023</v>
      </c>
      <c r="E122" s="117" t="s">
        <v>3024</v>
      </c>
      <c r="F122" s="273">
        <v>93.6</v>
      </c>
      <c r="G122" s="118" t="s">
        <v>3025</v>
      </c>
      <c r="H122" s="135">
        <v>2310</v>
      </c>
      <c r="I122" s="104">
        <f>IF(F122="","",INT(F122*H122))</f>
        <v>216216</v>
      </c>
      <c r="J122" s="64" t="s">
        <v>3026</v>
      </c>
      <c r="K122" s="65"/>
      <c r="L122" s="66"/>
      <c r="M122" s="525"/>
      <c r="N122" s="520"/>
      <c r="O122" s="226">
        <v>1</v>
      </c>
      <c r="P122" s="227"/>
      <c r="Q122" s="228"/>
      <c r="R122" s="228"/>
      <c r="S122" s="228"/>
      <c r="T122" s="228"/>
      <c r="U122" s="228"/>
      <c r="V122" s="228"/>
      <c r="W122" s="228"/>
      <c r="X122" s="229"/>
      <c r="Y122" s="229"/>
      <c r="Z122" s="229"/>
      <c r="AA122" s="229"/>
      <c r="AB122" s="229"/>
      <c r="AC122" s="228"/>
      <c r="AD122" s="461"/>
      <c r="AE122" s="462"/>
      <c r="AF122" s="228"/>
      <c r="AG122" s="228"/>
      <c r="AH122" s="216"/>
    </row>
    <row r="123" spans="1:34" s="39" customFormat="1" ht="24" customHeight="1">
      <c r="A123" s="38"/>
      <c r="B123" s="38"/>
      <c r="C123" s="128"/>
      <c r="D123" s="129"/>
      <c r="E123" s="117"/>
      <c r="F123" s="273"/>
      <c r="G123" s="118"/>
      <c r="H123" s="135"/>
      <c r="I123" s="104" t="str">
        <f t="shared" si="4"/>
        <v/>
      </c>
      <c r="J123" s="64"/>
      <c r="K123" s="65"/>
      <c r="L123" s="66"/>
      <c r="M123" s="525"/>
      <c r="N123" s="520"/>
      <c r="O123" s="226"/>
      <c r="P123" s="227"/>
      <c r="Q123" s="228"/>
      <c r="R123" s="228"/>
      <c r="S123" s="228"/>
      <c r="T123" s="228"/>
      <c r="U123" s="228"/>
      <c r="V123" s="228"/>
      <c r="W123" s="228"/>
      <c r="X123" s="229"/>
      <c r="Y123" s="229"/>
      <c r="Z123" s="229"/>
      <c r="AA123" s="229"/>
      <c r="AB123" s="229"/>
      <c r="AC123" s="228"/>
      <c r="AD123" s="461"/>
      <c r="AE123" s="462"/>
      <c r="AF123" s="228"/>
      <c r="AG123" s="228"/>
      <c r="AH123" s="216"/>
    </row>
    <row r="124" spans="1:34" s="39" customFormat="1" ht="24" customHeight="1">
      <c r="A124" s="38">
        <v>1</v>
      </c>
      <c r="B124" s="38">
        <v>3</v>
      </c>
      <c r="C124" s="128">
        <v>190240</v>
      </c>
      <c r="D124" s="788" t="s">
        <v>2992</v>
      </c>
      <c r="E124" s="117" t="s">
        <v>2994</v>
      </c>
      <c r="F124" s="273">
        <v>1.9</v>
      </c>
      <c r="G124" s="118" t="s">
        <v>184</v>
      </c>
      <c r="H124" s="135">
        <v>2050</v>
      </c>
      <c r="I124" s="104">
        <f>IF(F124="","",INT(F124*H124))</f>
        <v>3895</v>
      </c>
      <c r="J124" s="64" t="s">
        <v>2995</v>
      </c>
      <c r="K124" s="65"/>
      <c r="L124" s="66"/>
      <c r="M124" s="525"/>
      <c r="N124" s="520"/>
      <c r="O124" s="226">
        <v>4</v>
      </c>
      <c r="P124" s="227"/>
      <c r="Q124" s="228"/>
      <c r="R124" s="228"/>
      <c r="S124" s="228"/>
      <c r="T124" s="228"/>
      <c r="U124" s="228"/>
      <c r="V124" s="228"/>
      <c r="W124" s="228"/>
      <c r="X124" s="229"/>
      <c r="Y124" s="229"/>
      <c r="Z124" s="229"/>
      <c r="AA124" s="229"/>
      <c r="AB124" s="229"/>
      <c r="AC124" s="228"/>
      <c r="AD124" s="461"/>
      <c r="AE124" s="462"/>
      <c r="AF124" s="228"/>
      <c r="AG124" s="228"/>
      <c r="AH124" s="216"/>
    </row>
    <row r="125" spans="1:34" s="39" customFormat="1" ht="24" customHeight="1">
      <c r="A125" s="38"/>
      <c r="B125" s="38"/>
      <c r="C125" s="128"/>
      <c r="D125" s="129"/>
      <c r="E125" s="117"/>
      <c r="F125" s="273"/>
      <c r="G125" s="118"/>
      <c r="H125" s="135"/>
      <c r="I125" s="104" t="str">
        <f t="shared" si="4"/>
        <v/>
      </c>
      <c r="J125" s="64"/>
      <c r="K125" s="65"/>
      <c r="L125" s="66"/>
      <c r="M125" s="525"/>
      <c r="N125" s="520"/>
      <c r="O125" s="226"/>
      <c r="P125" s="227"/>
      <c r="Q125" s="228"/>
      <c r="R125" s="228"/>
      <c r="S125" s="228"/>
      <c r="T125" s="228"/>
      <c r="U125" s="228"/>
      <c r="V125" s="228"/>
      <c r="W125" s="228"/>
      <c r="X125" s="229"/>
      <c r="Y125" s="229"/>
      <c r="Z125" s="229"/>
      <c r="AA125" s="229"/>
      <c r="AB125" s="229"/>
      <c r="AC125" s="228"/>
      <c r="AD125" s="461"/>
      <c r="AE125" s="462"/>
      <c r="AF125" s="228"/>
      <c r="AG125" s="228"/>
      <c r="AH125" s="216"/>
    </row>
    <row r="126" spans="1:34" s="39" customFormat="1" ht="24" customHeight="1">
      <c r="A126" s="38"/>
      <c r="B126" s="38"/>
      <c r="C126" s="128"/>
      <c r="D126" s="129"/>
      <c r="E126" s="117"/>
      <c r="F126" s="273"/>
      <c r="G126" s="118"/>
      <c r="H126" s="135"/>
      <c r="I126" s="104" t="str">
        <f t="shared" si="4"/>
        <v/>
      </c>
      <c r="J126" s="64"/>
      <c r="K126" s="65"/>
      <c r="L126" s="66"/>
      <c r="M126" s="525"/>
      <c r="N126" s="520"/>
      <c r="O126" s="226"/>
      <c r="P126" s="227"/>
      <c r="Q126" s="228"/>
      <c r="R126" s="228"/>
      <c r="S126" s="228"/>
      <c r="T126" s="228"/>
      <c r="U126" s="228"/>
      <c r="V126" s="228"/>
      <c r="W126" s="228"/>
      <c r="X126" s="229"/>
      <c r="Y126" s="229"/>
      <c r="Z126" s="229"/>
      <c r="AA126" s="229"/>
      <c r="AB126" s="229"/>
      <c r="AC126" s="228"/>
      <c r="AD126" s="461"/>
      <c r="AE126" s="462"/>
      <c r="AF126" s="228"/>
      <c r="AG126" s="228"/>
      <c r="AH126" s="216"/>
    </row>
    <row r="127" spans="1:34" s="39" customFormat="1" ht="24" customHeight="1">
      <c r="A127" s="38"/>
      <c r="B127" s="38"/>
      <c r="C127" s="128"/>
      <c r="D127" s="129"/>
      <c r="E127" s="117"/>
      <c r="F127" s="273"/>
      <c r="G127" s="118"/>
      <c r="H127" s="135"/>
      <c r="I127" s="104" t="str">
        <f t="shared" si="4"/>
        <v/>
      </c>
      <c r="J127" s="64"/>
      <c r="K127" s="65"/>
      <c r="L127" s="66"/>
      <c r="M127" s="525"/>
      <c r="N127" s="520"/>
      <c r="O127" s="226"/>
      <c r="P127" s="227"/>
      <c r="Q127" s="228"/>
      <c r="R127" s="228"/>
      <c r="S127" s="228"/>
      <c r="T127" s="228"/>
      <c r="U127" s="228"/>
      <c r="V127" s="228"/>
      <c r="W127" s="228"/>
      <c r="X127" s="229"/>
      <c r="Y127" s="229"/>
      <c r="Z127" s="229"/>
      <c r="AA127" s="229"/>
      <c r="AB127" s="229"/>
      <c r="AC127" s="228"/>
      <c r="AD127" s="461"/>
      <c r="AE127" s="462"/>
      <c r="AF127" s="228"/>
      <c r="AG127" s="228"/>
      <c r="AH127" s="216"/>
    </row>
    <row r="128" spans="1:34" s="39" customFormat="1" ht="24" customHeight="1">
      <c r="A128" s="38"/>
      <c r="B128" s="38"/>
      <c r="C128" s="128"/>
      <c r="D128" s="129"/>
      <c r="E128" s="117"/>
      <c r="F128" s="273"/>
      <c r="G128" s="118"/>
      <c r="H128" s="135"/>
      <c r="I128" s="104" t="str">
        <f t="shared" si="4"/>
        <v/>
      </c>
      <c r="J128" s="64"/>
      <c r="K128" s="65"/>
      <c r="L128" s="66"/>
      <c r="M128" s="525"/>
      <c r="N128" s="520"/>
      <c r="O128" s="226"/>
      <c r="P128" s="227"/>
      <c r="Q128" s="228"/>
      <c r="R128" s="228"/>
      <c r="S128" s="228"/>
      <c r="T128" s="228"/>
      <c r="U128" s="228"/>
      <c r="V128" s="228"/>
      <c r="W128" s="228"/>
      <c r="X128" s="229"/>
      <c r="Y128" s="229"/>
      <c r="Z128" s="229"/>
      <c r="AA128" s="229"/>
      <c r="AB128" s="229"/>
      <c r="AC128" s="228"/>
      <c r="AD128" s="461"/>
      <c r="AE128" s="462"/>
      <c r="AF128" s="228"/>
      <c r="AG128" s="228"/>
      <c r="AH128" s="216"/>
    </row>
    <row r="129" spans="1:34" s="39" customFormat="1" ht="24" customHeight="1">
      <c r="A129" s="38"/>
      <c r="B129" s="38"/>
      <c r="C129" s="128"/>
      <c r="D129" s="129"/>
      <c r="E129" s="117"/>
      <c r="F129" s="273"/>
      <c r="G129" s="118"/>
      <c r="H129" s="135"/>
      <c r="I129" s="104" t="str">
        <f t="shared" si="4"/>
        <v/>
      </c>
      <c r="J129" s="64"/>
      <c r="K129" s="65"/>
      <c r="L129" s="66"/>
      <c r="M129" s="525"/>
      <c r="N129" s="520"/>
      <c r="O129" s="226"/>
      <c r="P129" s="227"/>
      <c r="Q129" s="228"/>
      <c r="R129" s="228"/>
      <c r="S129" s="228"/>
      <c r="T129" s="228"/>
      <c r="U129" s="228"/>
      <c r="V129" s="228"/>
      <c r="W129" s="228"/>
      <c r="X129" s="229"/>
      <c r="Y129" s="229"/>
      <c r="Z129" s="229"/>
      <c r="AA129" s="229"/>
      <c r="AB129" s="229"/>
      <c r="AC129" s="228"/>
      <c r="AD129" s="461"/>
      <c r="AE129" s="462"/>
      <c r="AF129" s="228"/>
      <c r="AG129" s="228"/>
      <c r="AH129" s="216"/>
    </row>
    <row r="130" spans="1:34" s="39" customFormat="1" ht="24" customHeight="1">
      <c r="A130" s="38"/>
      <c r="B130" s="38"/>
      <c r="C130" s="128"/>
      <c r="D130" s="129"/>
      <c r="E130" s="117"/>
      <c r="F130" s="273"/>
      <c r="G130" s="118"/>
      <c r="H130" s="135"/>
      <c r="I130" s="104" t="str">
        <f t="shared" si="4"/>
        <v/>
      </c>
      <c r="J130" s="64"/>
      <c r="K130" s="65"/>
      <c r="L130" s="66"/>
      <c r="M130" s="525"/>
      <c r="N130" s="520"/>
      <c r="O130" s="226"/>
      <c r="P130" s="227"/>
      <c r="Q130" s="228"/>
      <c r="R130" s="228"/>
      <c r="S130" s="228"/>
      <c r="T130" s="228"/>
      <c r="U130" s="228"/>
      <c r="V130" s="228"/>
      <c r="W130" s="228"/>
      <c r="X130" s="229"/>
      <c r="Y130" s="229"/>
      <c r="Z130" s="229"/>
      <c r="AA130" s="229"/>
      <c r="AB130" s="229"/>
      <c r="AC130" s="228"/>
      <c r="AD130" s="461"/>
      <c r="AE130" s="462"/>
      <c r="AF130" s="228"/>
      <c r="AG130" s="228"/>
      <c r="AH130" s="216"/>
    </row>
    <row r="131" spans="1:34" s="39" customFormat="1" ht="24" customHeight="1">
      <c r="A131" s="38"/>
      <c r="B131" s="38"/>
      <c r="C131" s="128"/>
      <c r="D131" s="129"/>
      <c r="E131" s="117"/>
      <c r="F131" s="273"/>
      <c r="G131" s="118"/>
      <c r="H131" s="135"/>
      <c r="I131" s="104" t="str">
        <f t="shared" si="4"/>
        <v/>
      </c>
      <c r="J131" s="64"/>
      <c r="K131" s="65"/>
      <c r="L131" s="66"/>
      <c r="M131" s="525"/>
      <c r="N131" s="520"/>
      <c r="O131" s="226"/>
      <c r="P131" s="227"/>
      <c r="Q131" s="228"/>
      <c r="R131" s="228"/>
      <c r="S131" s="228"/>
      <c r="T131" s="228"/>
      <c r="U131" s="228"/>
      <c r="V131" s="228"/>
      <c r="W131" s="228"/>
      <c r="X131" s="229"/>
      <c r="Y131" s="229"/>
      <c r="Z131" s="229"/>
      <c r="AA131" s="229"/>
      <c r="AB131" s="229"/>
      <c r="AC131" s="228"/>
      <c r="AD131" s="461"/>
      <c r="AE131" s="462"/>
      <c r="AF131" s="228"/>
      <c r="AG131" s="228"/>
      <c r="AH131" s="216"/>
    </row>
    <row r="132" spans="1:34" s="39" customFormat="1" ht="24" customHeight="1">
      <c r="A132" s="38"/>
      <c r="B132" s="38"/>
      <c r="C132" s="128"/>
      <c r="D132" s="129"/>
      <c r="E132" s="117"/>
      <c r="F132" s="273"/>
      <c r="G132" s="118"/>
      <c r="H132" s="135"/>
      <c r="I132" s="104" t="str">
        <f t="shared" si="4"/>
        <v/>
      </c>
      <c r="J132" s="64"/>
      <c r="K132" s="65"/>
      <c r="L132" s="66"/>
      <c r="M132" s="525"/>
      <c r="N132" s="520"/>
      <c r="O132" s="226"/>
      <c r="P132" s="227"/>
      <c r="Q132" s="228"/>
      <c r="R132" s="228"/>
      <c r="S132" s="228"/>
      <c r="T132" s="228"/>
      <c r="U132" s="228"/>
      <c r="V132" s="228"/>
      <c r="W132" s="228"/>
      <c r="X132" s="229"/>
      <c r="Y132" s="229"/>
      <c r="Z132" s="229"/>
      <c r="AA132" s="229"/>
      <c r="AB132" s="229"/>
      <c r="AC132" s="228"/>
      <c r="AD132" s="461"/>
      <c r="AE132" s="462"/>
      <c r="AF132" s="228"/>
      <c r="AG132" s="228"/>
      <c r="AH132" s="216"/>
    </row>
    <row r="133" spans="1:34" s="39" customFormat="1" ht="24" customHeight="1">
      <c r="A133" s="38"/>
      <c r="B133" s="38"/>
      <c r="C133" s="128"/>
      <c r="D133" s="129"/>
      <c r="E133" s="117"/>
      <c r="F133" s="273"/>
      <c r="G133" s="118"/>
      <c r="H133" s="135"/>
      <c r="I133" s="104" t="str">
        <f t="shared" si="4"/>
        <v/>
      </c>
      <c r="J133" s="64"/>
      <c r="K133" s="65"/>
      <c r="L133" s="66"/>
      <c r="M133" s="525"/>
      <c r="N133" s="520"/>
      <c r="O133" s="226"/>
      <c r="P133" s="227"/>
      <c r="Q133" s="228"/>
      <c r="R133" s="228"/>
      <c r="S133" s="228"/>
      <c r="T133" s="228"/>
      <c r="U133" s="228"/>
      <c r="V133" s="228"/>
      <c r="W133" s="228"/>
      <c r="X133" s="229"/>
      <c r="Y133" s="229"/>
      <c r="Z133" s="229"/>
      <c r="AA133" s="229"/>
      <c r="AB133" s="229"/>
      <c r="AC133" s="228"/>
      <c r="AD133" s="461"/>
      <c r="AE133" s="462"/>
      <c r="AF133" s="228"/>
      <c r="AG133" s="228"/>
      <c r="AH133" s="216"/>
    </row>
    <row r="134" spans="1:34" s="39" customFormat="1" ht="24" customHeight="1">
      <c r="A134" s="38"/>
      <c r="B134" s="38"/>
      <c r="C134" s="128"/>
      <c r="D134" s="129"/>
      <c r="E134" s="117"/>
      <c r="F134" s="273"/>
      <c r="G134" s="118"/>
      <c r="H134" s="135"/>
      <c r="I134" s="104" t="str">
        <f t="shared" si="4"/>
        <v/>
      </c>
      <c r="J134" s="64"/>
      <c r="K134" s="65"/>
      <c r="L134" s="66"/>
      <c r="M134" s="525"/>
      <c r="N134" s="520"/>
      <c r="O134" s="226"/>
      <c r="P134" s="227"/>
      <c r="Q134" s="228"/>
      <c r="R134" s="228"/>
      <c r="S134" s="228"/>
      <c r="T134" s="228"/>
      <c r="U134" s="228"/>
      <c r="V134" s="228"/>
      <c r="W134" s="228"/>
      <c r="X134" s="229"/>
      <c r="Y134" s="229"/>
      <c r="Z134" s="229"/>
      <c r="AA134" s="229"/>
      <c r="AB134" s="229"/>
      <c r="AC134" s="228"/>
      <c r="AD134" s="461"/>
      <c r="AE134" s="462"/>
      <c r="AF134" s="228"/>
      <c r="AG134" s="228"/>
      <c r="AH134" s="216"/>
    </row>
    <row r="135" spans="1:34" s="39" customFormat="1" ht="24" customHeight="1">
      <c r="A135" s="38"/>
      <c r="B135" s="38"/>
      <c r="C135" s="128"/>
      <c r="D135" s="129"/>
      <c r="E135" s="117"/>
      <c r="F135" s="273"/>
      <c r="G135" s="118"/>
      <c r="H135" s="135"/>
      <c r="I135" s="104" t="str">
        <f t="shared" si="4"/>
        <v/>
      </c>
      <c r="J135" s="64"/>
      <c r="K135" s="65"/>
      <c r="L135" s="66"/>
      <c r="M135" s="525"/>
      <c r="N135" s="520"/>
      <c r="O135" s="226"/>
      <c r="P135" s="227"/>
      <c r="Q135" s="228"/>
      <c r="R135" s="228"/>
      <c r="S135" s="228"/>
      <c r="T135" s="228"/>
      <c r="U135" s="228"/>
      <c r="V135" s="228"/>
      <c r="W135" s="228"/>
      <c r="X135" s="229"/>
      <c r="Y135" s="229"/>
      <c r="Z135" s="229"/>
      <c r="AA135" s="229"/>
      <c r="AB135" s="229"/>
      <c r="AC135" s="228"/>
      <c r="AD135" s="461"/>
      <c r="AE135" s="462"/>
      <c r="AF135" s="228"/>
      <c r="AG135" s="228"/>
      <c r="AH135" s="216"/>
    </row>
    <row r="136" spans="1:34" s="39" customFormat="1" ht="24" customHeight="1">
      <c r="A136" s="38"/>
      <c r="B136" s="38"/>
      <c r="C136" s="128"/>
      <c r="D136" s="129"/>
      <c r="E136" s="117"/>
      <c r="F136" s="273"/>
      <c r="G136" s="118"/>
      <c r="H136" s="135"/>
      <c r="I136" s="104" t="str">
        <f t="shared" si="4"/>
        <v/>
      </c>
      <c r="J136" s="64"/>
      <c r="K136" s="65"/>
      <c r="L136" s="66"/>
      <c r="M136" s="525"/>
      <c r="N136" s="520"/>
      <c r="O136" s="226"/>
      <c r="P136" s="227"/>
      <c r="Q136" s="228"/>
      <c r="R136" s="228"/>
      <c r="S136" s="228"/>
      <c r="T136" s="228"/>
      <c r="U136" s="228"/>
      <c r="V136" s="228"/>
      <c r="W136" s="228"/>
      <c r="X136" s="229"/>
      <c r="Y136" s="229"/>
      <c r="Z136" s="229"/>
      <c r="AA136" s="229"/>
      <c r="AB136" s="229"/>
      <c r="AC136" s="228"/>
      <c r="AD136" s="461"/>
      <c r="AE136" s="462"/>
      <c r="AF136" s="228"/>
      <c r="AG136" s="228"/>
      <c r="AH136" s="216"/>
    </row>
    <row r="137" spans="1:34" s="39" customFormat="1" ht="24" customHeight="1">
      <c r="A137" s="38"/>
      <c r="B137" s="38"/>
      <c r="C137" s="128"/>
      <c r="D137" s="129"/>
      <c r="E137" s="117"/>
      <c r="F137" s="273"/>
      <c r="G137" s="118"/>
      <c r="H137" s="135"/>
      <c r="I137" s="104" t="str">
        <f t="shared" si="4"/>
        <v/>
      </c>
      <c r="J137" s="64"/>
      <c r="K137" s="65"/>
      <c r="L137" s="66"/>
      <c r="M137" s="525"/>
      <c r="N137" s="520"/>
      <c r="O137" s="226"/>
      <c r="P137" s="227"/>
      <c r="Q137" s="228"/>
      <c r="R137" s="228"/>
      <c r="S137" s="228"/>
      <c r="T137" s="228"/>
      <c r="U137" s="228"/>
      <c r="V137" s="228"/>
      <c r="W137" s="228"/>
      <c r="X137" s="229"/>
      <c r="Y137" s="229"/>
      <c r="Z137" s="229"/>
      <c r="AA137" s="229"/>
      <c r="AB137" s="229"/>
      <c r="AC137" s="228"/>
      <c r="AD137" s="461"/>
      <c r="AE137" s="462"/>
      <c r="AF137" s="228"/>
      <c r="AG137" s="228"/>
      <c r="AH137" s="216"/>
    </row>
    <row r="138" spans="1:34" s="39" customFormat="1" ht="24" customHeight="1">
      <c r="A138" s="38"/>
      <c r="B138" s="38"/>
      <c r="C138" s="128"/>
      <c r="D138" s="129"/>
      <c r="E138" s="117"/>
      <c r="F138" s="273"/>
      <c r="G138" s="118"/>
      <c r="H138" s="135"/>
      <c r="I138" s="104" t="str">
        <f t="shared" si="4"/>
        <v/>
      </c>
      <c r="J138" s="64"/>
      <c r="K138" s="65"/>
      <c r="L138" s="66"/>
      <c r="M138" s="525"/>
      <c r="N138" s="520"/>
      <c r="O138" s="226"/>
      <c r="P138" s="227"/>
      <c r="Q138" s="228"/>
      <c r="R138" s="228"/>
      <c r="S138" s="228"/>
      <c r="T138" s="228"/>
      <c r="U138" s="228"/>
      <c r="V138" s="228"/>
      <c r="W138" s="228"/>
      <c r="X138" s="229"/>
      <c r="Y138" s="229"/>
      <c r="Z138" s="229"/>
      <c r="AA138" s="229"/>
      <c r="AB138" s="229"/>
      <c r="AC138" s="228"/>
      <c r="AD138" s="461"/>
      <c r="AE138" s="462"/>
      <c r="AF138" s="228"/>
      <c r="AG138" s="228"/>
      <c r="AH138" s="216"/>
    </row>
    <row r="139" spans="1:34" ht="24" customHeight="1" thickBot="1">
      <c r="A139" s="38"/>
      <c r="B139" s="38"/>
      <c r="C139" s="106"/>
      <c r="D139" s="95" t="s">
        <v>8</v>
      </c>
      <c r="E139" s="107"/>
      <c r="F139" s="274"/>
      <c r="G139" s="121"/>
      <c r="H139" s="131" t="s">
        <v>70</v>
      </c>
      <c r="I139" s="108">
        <f>SUM(I121:I138)</f>
        <v>220111</v>
      </c>
      <c r="J139" s="825" t="str">
        <f>IF(C120="部分撤去工事","）うち費用",")")</f>
        <v>)</v>
      </c>
      <c r="K139" s="824">
        <f>IF(C120="部分撤去工事",(K116+L139),0)</f>
        <v>0</v>
      </c>
      <c r="L139" s="823">
        <f>IF(C120="部分撤去工事",SUMIF(N121:N138,"費用",I121:I138),0)</f>
        <v>0</v>
      </c>
      <c r="M139" s="526"/>
      <c r="N139" s="527"/>
      <c r="O139" s="226"/>
      <c r="P139" s="227"/>
      <c r="Q139" s="228"/>
      <c r="R139" s="228"/>
      <c r="S139" s="228"/>
      <c r="T139" s="228"/>
      <c r="U139" s="228"/>
      <c r="V139" s="228"/>
      <c r="W139" s="228"/>
      <c r="X139" s="229"/>
      <c r="Y139" s="229"/>
      <c r="Z139" s="229"/>
      <c r="AA139" s="229"/>
      <c r="AB139" s="229"/>
      <c r="AC139" s="228"/>
      <c r="AD139" s="461"/>
      <c r="AE139" s="462"/>
      <c r="AF139" s="228"/>
      <c r="AG139" s="228"/>
      <c r="AH139" s="463"/>
    </row>
    <row r="140" spans="1:34" ht="14.25" customHeight="1">
      <c r="E140" s="124" t="s">
        <v>88</v>
      </c>
      <c r="F140" s="125">
        <f>+F117+1</f>
        <v>8</v>
      </c>
      <c r="G140" s="126" t="s">
        <v>49</v>
      </c>
      <c r="H140" s="127">
        <f>+H117</f>
        <v>15</v>
      </c>
      <c r="I140" s="127"/>
      <c r="M140" s="33" t="str">
        <f>IF(A142="","EOL","")</f>
        <v/>
      </c>
      <c r="N140" s="1">
        <f>+F140</f>
        <v>8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1" customHeight="1" thickBot="1">
      <c r="C141" s="2615" t="s">
        <v>333</v>
      </c>
      <c r="D141" s="2615"/>
      <c r="E141" s="2615"/>
      <c r="F141" s="2615"/>
      <c r="G141" s="2615"/>
      <c r="H141" s="2615"/>
      <c r="I141" s="2615"/>
      <c r="J141" s="2615"/>
      <c r="K141" s="2615"/>
      <c r="L141" s="2615"/>
      <c r="O141" s="2616" t="s">
        <v>134</v>
      </c>
      <c r="P141" s="2616"/>
      <c r="Q141" s="2616"/>
      <c r="R141" s="2616"/>
      <c r="S141" s="2616"/>
      <c r="T141" s="2616"/>
      <c r="U141" s="2616"/>
      <c r="V141" s="2616"/>
      <c r="W141" s="2616"/>
      <c r="X141" s="2616"/>
      <c r="Y141" s="2616"/>
      <c r="Z141" s="2616"/>
      <c r="AA141" s="2616"/>
      <c r="AB141" s="2616"/>
      <c r="AC141" s="2616"/>
      <c r="AD141" s="2616"/>
      <c r="AE141" s="2616"/>
      <c r="AF141" s="2616"/>
      <c r="AG141" s="2616"/>
      <c r="AH141" s="2617"/>
    </row>
    <row r="142" spans="1:34" ht="41.25" customHeight="1">
      <c r="A142" s="5" t="s">
        <v>10</v>
      </c>
      <c r="B142" s="5" t="s">
        <v>44</v>
      </c>
      <c r="C142" s="113" t="s">
        <v>0</v>
      </c>
      <c r="D142" s="109"/>
      <c r="E142" s="110" t="s">
        <v>1</v>
      </c>
      <c r="F142" s="111" t="s">
        <v>2</v>
      </c>
      <c r="G142" s="111" t="s">
        <v>3</v>
      </c>
      <c r="H142" s="112" t="s">
        <v>4</v>
      </c>
      <c r="I142" s="112" t="s">
        <v>5</v>
      </c>
      <c r="J142" s="2612" t="s">
        <v>6</v>
      </c>
      <c r="K142" s="2613"/>
      <c r="L142" s="2614"/>
      <c r="M142" s="521"/>
      <c r="N142" s="522" t="s">
        <v>390</v>
      </c>
      <c r="O142" s="157" t="s">
        <v>67</v>
      </c>
      <c r="P142" s="386" t="s">
        <v>275</v>
      </c>
      <c r="Q142" s="275" t="s">
        <v>317</v>
      </c>
      <c r="R142" s="275" t="s">
        <v>218</v>
      </c>
      <c r="S142" s="275" t="s">
        <v>219</v>
      </c>
      <c r="T142" s="275" t="s">
        <v>276</v>
      </c>
      <c r="U142" s="275" t="s">
        <v>128</v>
      </c>
      <c r="V142" s="156" t="s">
        <v>127</v>
      </c>
      <c r="W142" s="275" t="s">
        <v>277</v>
      </c>
      <c r="X142" s="223" t="s">
        <v>220</v>
      </c>
      <c r="Y142" s="223" t="s">
        <v>221</v>
      </c>
      <c r="Z142" s="223" t="s">
        <v>222</v>
      </c>
      <c r="AA142" s="223" t="s">
        <v>223</v>
      </c>
      <c r="AB142" s="223" t="s">
        <v>278</v>
      </c>
      <c r="AC142" s="458" t="s">
        <v>326</v>
      </c>
      <c r="AD142" s="459" t="s">
        <v>327</v>
      </c>
      <c r="AE142" s="460" t="s">
        <v>130</v>
      </c>
      <c r="AF142" s="155" t="s">
        <v>133</v>
      </c>
      <c r="AG142" s="155" t="s">
        <v>131</v>
      </c>
      <c r="AH142" s="155" t="s">
        <v>132</v>
      </c>
    </row>
    <row r="143" spans="1:34" ht="24" customHeight="1">
      <c r="A143" s="38"/>
      <c r="B143" s="38"/>
      <c r="C143" s="132" t="s">
        <v>2513</v>
      </c>
      <c r="D143" s="133"/>
      <c r="E143" s="134"/>
      <c r="F143" s="272"/>
      <c r="G143" s="101"/>
      <c r="H143" s="93" t="s">
        <v>11</v>
      </c>
      <c r="I143" s="93" t="s">
        <v>11</v>
      </c>
      <c r="J143" s="2609"/>
      <c r="K143" s="2610"/>
      <c r="L143" s="2611"/>
      <c r="M143" s="523"/>
      <c r="N143" s="524"/>
      <c r="O143" s="226"/>
      <c r="P143" s="227"/>
      <c r="Q143" s="228"/>
      <c r="R143" s="228"/>
      <c r="S143" s="228"/>
      <c r="T143" s="228"/>
      <c r="U143" s="228"/>
      <c r="V143" s="228"/>
      <c r="W143" s="228"/>
      <c r="X143" s="229"/>
      <c r="Y143" s="229"/>
      <c r="Z143" s="229"/>
      <c r="AA143" s="229"/>
      <c r="AB143" s="229"/>
      <c r="AC143" s="228"/>
      <c r="AD143" s="461"/>
      <c r="AE143" s="462"/>
      <c r="AF143" s="228"/>
      <c r="AG143" s="228"/>
      <c r="AH143" s="463"/>
    </row>
    <row r="144" spans="1:34" s="39" customFormat="1" ht="24" customHeight="1">
      <c r="A144" s="38"/>
      <c r="B144" s="38"/>
      <c r="C144" s="128"/>
      <c r="D144" s="129"/>
      <c r="E144" s="117"/>
      <c r="F144" s="273"/>
      <c r="G144" s="118"/>
      <c r="H144" s="135"/>
      <c r="I144" s="104" t="str">
        <f t="shared" ref="I144:I161" si="5">IF(F144="","",INT(F144*H144))</f>
        <v/>
      </c>
      <c r="J144" s="64"/>
      <c r="K144" s="65"/>
      <c r="L144" s="66"/>
      <c r="M144" s="525"/>
      <c r="N144" s="520"/>
      <c r="O144" s="226"/>
      <c r="P144" s="227"/>
      <c r="Q144" s="228"/>
      <c r="R144" s="228"/>
      <c r="S144" s="228"/>
      <c r="T144" s="228"/>
      <c r="U144" s="228"/>
      <c r="V144" s="228"/>
      <c r="W144" s="228"/>
      <c r="X144" s="229"/>
      <c r="Y144" s="229"/>
      <c r="Z144" s="229"/>
      <c r="AA144" s="229"/>
      <c r="AB144" s="229"/>
      <c r="AC144" s="228"/>
      <c r="AD144" s="461"/>
      <c r="AE144" s="462"/>
      <c r="AF144" s="228"/>
      <c r="AG144" s="228"/>
      <c r="AH144" s="216"/>
    </row>
    <row r="145" spans="1:34" s="39" customFormat="1" ht="24" customHeight="1">
      <c r="A145" s="38">
        <v>1</v>
      </c>
      <c r="B145" s="38">
        <v>3</v>
      </c>
      <c r="C145" s="128">
        <v>23045</v>
      </c>
      <c r="D145" s="788" t="s">
        <v>3019</v>
      </c>
      <c r="E145" s="117" t="s">
        <v>3020</v>
      </c>
      <c r="F145" s="273">
        <v>93.6</v>
      </c>
      <c r="G145" s="118" t="s">
        <v>3021</v>
      </c>
      <c r="H145" s="135">
        <v>700</v>
      </c>
      <c r="I145" s="104">
        <f>IF(F145="","",INT(F145*H145))</f>
        <v>65520</v>
      </c>
      <c r="J145" s="64"/>
      <c r="K145" s="65"/>
      <c r="L145" s="66"/>
      <c r="M145" s="525"/>
      <c r="N145" s="520"/>
      <c r="O145" s="226"/>
      <c r="P145" s="227"/>
      <c r="Q145" s="228"/>
      <c r="R145" s="228"/>
      <c r="S145" s="228"/>
      <c r="T145" s="228"/>
      <c r="U145" s="228"/>
      <c r="V145" s="228">
        <v>1</v>
      </c>
      <c r="W145" s="228"/>
      <c r="X145" s="229"/>
      <c r="Y145" s="229"/>
      <c r="Z145" s="229"/>
      <c r="AA145" s="229"/>
      <c r="AB145" s="229"/>
      <c r="AC145" s="228"/>
      <c r="AD145" s="461"/>
      <c r="AE145" s="462"/>
      <c r="AF145" s="228"/>
      <c r="AG145" s="228"/>
      <c r="AH145" s="216"/>
    </row>
    <row r="146" spans="1:34" s="39" customFormat="1" ht="24" customHeight="1">
      <c r="A146" s="38"/>
      <c r="B146" s="38"/>
      <c r="C146" s="128"/>
      <c r="D146" s="129"/>
      <c r="E146" s="117"/>
      <c r="F146" s="273"/>
      <c r="G146" s="118"/>
      <c r="H146" s="135"/>
      <c r="I146" s="104" t="str">
        <f t="shared" si="5"/>
        <v/>
      </c>
      <c r="J146" s="64"/>
      <c r="K146" s="65"/>
      <c r="L146" s="66"/>
      <c r="M146" s="525"/>
      <c r="N146" s="520"/>
      <c r="O146" s="226"/>
      <c r="P146" s="227"/>
      <c r="Q146" s="228"/>
      <c r="R146" s="228"/>
      <c r="S146" s="228"/>
      <c r="T146" s="228"/>
      <c r="U146" s="228"/>
      <c r="V146" s="228"/>
      <c r="W146" s="228"/>
      <c r="X146" s="229"/>
      <c r="Y146" s="229"/>
      <c r="Z146" s="229"/>
      <c r="AA146" s="229"/>
      <c r="AB146" s="229"/>
      <c r="AC146" s="228"/>
      <c r="AD146" s="461"/>
      <c r="AE146" s="462"/>
      <c r="AF146" s="228"/>
      <c r="AG146" s="228"/>
      <c r="AH146" s="216"/>
    </row>
    <row r="147" spans="1:34" s="39" customFormat="1" ht="24" customHeight="1">
      <c r="A147" s="38">
        <v>1</v>
      </c>
      <c r="B147" s="38">
        <v>3</v>
      </c>
      <c r="C147" s="128">
        <v>23047</v>
      </c>
      <c r="D147" s="788" t="s">
        <v>3019</v>
      </c>
      <c r="E147" s="117" t="s">
        <v>3022</v>
      </c>
      <c r="F147" s="273">
        <v>1.9</v>
      </c>
      <c r="G147" s="118" t="s">
        <v>3021</v>
      </c>
      <c r="H147" s="135">
        <v>930</v>
      </c>
      <c r="I147" s="104">
        <f>IF(F147="","",INT(F147*H147))</f>
        <v>1767</v>
      </c>
      <c r="J147" s="64"/>
      <c r="K147" s="65"/>
      <c r="L147" s="66"/>
      <c r="M147" s="525"/>
      <c r="N147" s="520"/>
      <c r="O147" s="226"/>
      <c r="P147" s="227"/>
      <c r="Q147" s="228"/>
      <c r="R147" s="228"/>
      <c r="S147" s="228"/>
      <c r="T147" s="228">
        <v>4</v>
      </c>
      <c r="U147" s="228"/>
      <c r="V147" s="228"/>
      <c r="W147" s="228"/>
      <c r="X147" s="229"/>
      <c r="Y147" s="229"/>
      <c r="Z147" s="229"/>
      <c r="AA147" s="229"/>
      <c r="AB147" s="229"/>
      <c r="AC147" s="228"/>
      <c r="AD147" s="461"/>
      <c r="AE147" s="462"/>
      <c r="AF147" s="228"/>
      <c r="AG147" s="228"/>
      <c r="AH147" s="216"/>
    </row>
    <row r="148" spans="1:34" s="39" customFormat="1" ht="24" customHeight="1">
      <c r="A148" s="38"/>
      <c r="B148" s="38"/>
      <c r="C148" s="128"/>
      <c r="D148" s="129"/>
      <c r="E148" s="117"/>
      <c r="F148" s="273"/>
      <c r="G148" s="118"/>
      <c r="H148" s="135"/>
      <c r="I148" s="104" t="str">
        <f t="shared" si="5"/>
        <v/>
      </c>
      <c r="J148" s="64"/>
      <c r="K148" s="65"/>
      <c r="L148" s="66"/>
      <c r="M148" s="525"/>
      <c r="N148" s="520"/>
      <c r="O148" s="226"/>
      <c r="P148" s="227"/>
      <c r="Q148" s="228"/>
      <c r="R148" s="228"/>
      <c r="S148" s="228"/>
      <c r="T148" s="228"/>
      <c r="U148" s="228"/>
      <c r="V148" s="228"/>
      <c r="W148" s="228"/>
      <c r="X148" s="229"/>
      <c r="Y148" s="229"/>
      <c r="Z148" s="229"/>
      <c r="AA148" s="229"/>
      <c r="AB148" s="229"/>
      <c r="AC148" s="228"/>
      <c r="AD148" s="461"/>
      <c r="AE148" s="462"/>
      <c r="AF148" s="228"/>
      <c r="AG148" s="228"/>
      <c r="AH148" s="216"/>
    </row>
    <row r="149" spans="1:34" s="39" customFormat="1" ht="24" customHeight="1">
      <c r="A149" s="38">
        <v>3</v>
      </c>
      <c r="B149" s="38">
        <v>3</v>
      </c>
      <c r="C149" s="128">
        <v>24008</v>
      </c>
      <c r="D149" s="788" t="s">
        <v>3016</v>
      </c>
      <c r="E149" s="117" t="s">
        <v>3017</v>
      </c>
      <c r="F149" s="273">
        <v>8.0000000000000002E-3</v>
      </c>
      <c r="G149" s="118" t="s">
        <v>3007</v>
      </c>
      <c r="H149" s="135">
        <v>14600</v>
      </c>
      <c r="I149" s="104">
        <f>IF(F149="","",INT(F149*H149))</f>
        <v>116</v>
      </c>
      <c r="J149" s="64"/>
      <c r="K149" s="65"/>
      <c r="L149" s="66"/>
      <c r="M149" s="525" t="s">
        <v>3040</v>
      </c>
      <c r="N149" s="520"/>
      <c r="O149" s="226">
        <v>0</v>
      </c>
      <c r="P149" s="227"/>
      <c r="Q149" s="228"/>
      <c r="R149" s="228"/>
      <c r="S149" s="228"/>
      <c r="T149" s="228"/>
      <c r="U149" s="228"/>
      <c r="V149" s="228"/>
      <c r="W149" s="228"/>
      <c r="X149" s="229"/>
      <c r="Y149" s="229"/>
      <c r="Z149" s="229"/>
      <c r="AA149" s="229"/>
      <c r="AB149" s="229"/>
      <c r="AC149" s="228"/>
      <c r="AD149" s="461"/>
      <c r="AE149" s="462"/>
      <c r="AF149" s="228"/>
      <c r="AG149" s="228"/>
      <c r="AH149" s="216"/>
    </row>
    <row r="150" spans="1:34" s="39" customFormat="1" ht="24" customHeight="1">
      <c r="A150" s="38">
        <v>3</v>
      </c>
      <c r="B150" s="38">
        <v>3</v>
      </c>
      <c r="C150" s="128">
        <v>24005</v>
      </c>
      <c r="D150" s="788" t="s">
        <v>3016</v>
      </c>
      <c r="E150" s="117" t="s">
        <v>3018</v>
      </c>
      <c r="F150" s="273">
        <v>0.09</v>
      </c>
      <c r="G150" s="118" t="s">
        <v>3015</v>
      </c>
      <c r="H150" s="135">
        <v>18800</v>
      </c>
      <c r="I150" s="104">
        <f>IF(F150="","",INT(F150*H150))</f>
        <v>1692</v>
      </c>
      <c r="J150" s="64"/>
      <c r="K150" s="65"/>
      <c r="L150" s="66"/>
      <c r="M150" s="525" t="s">
        <v>3040</v>
      </c>
      <c r="N150" s="520"/>
      <c r="O150" s="226">
        <v>0</v>
      </c>
      <c r="P150" s="227"/>
      <c r="Q150" s="228"/>
      <c r="R150" s="228"/>
      <c r="S150" s="228"/>
      <c r="T150" s="228"/>
      <c r="U150" s="228"/>
      <c r="V150" s="228"/>
      <c r="W150" s="228"/>
      <c r="X150" s="229"/>
      <c r="Y150" s="229"/>
      <c r="Z150" s="229"/>
      <c r="AA150" s="229"/>
      <c r="AB150" s="229"/>
      <c r="AC150" s="228"/>
      <c r="AD150" s="461"/>
      <c r="AE150" s="462"/>
      <c r="AF150" s="228"/>
      <c r="AG150" s="228"/>
      <c r="AH150" s="216"/>
    </row>
    <row r="151" spans="1:34" s="39" customFormat="1" ht="24" customHeight="1">
      <c r="A151" s="38"/>
      <c r="B151" s="38"/>
      <c r="C151" s="128"/>
      <c r="D151" s="788"/>
      <c r="E151" s="117"/>
      <c r="F151" s="273"/>
      <c r="G151" s="118"/>
      <c r="H151" s="135"/>
      <c r="I151" s="104" t="str">
        <f>IF(F151="","",INT(F151*H151))</f>
        <v/>
      </c>
      <c r="J151" s="64"/>
      <c r="K151" s="65"/>
      <c r="L151" s="66"/>
      <c r="M151" s="525"/>
      <c r="N151" s="520"/>
      <c r="O151" s="226">
        <v>0</v>
      </c>
      <c r="P151" s="227"/>
      <c r="Q151" s="228"/>
      <c r="R151" s="228"/>
      <c r="S151" s="228"/>
      <c r="T151" s="228"/>
      <c r="U151" s="228"/>
      <c r="V151" s="228"/>
      <c r="W151" s="228"/>
      <c r="X151" s="229"/>
      <c r="Y151" s="229"/>
      <c r="Z151" s="229"/>
      <c r="AA151" s="229"/>
      <c r="AB151" s="229"/>
      <c r="AC151" s="228"/>
      <c r="AD151" s="461"/>
      <c r="AE151" s="462"/>
      <c r="AF151" s="228"/>
      <c r="AG151" s="228"/>
      <c r="AH151" s="216"/>
    </row>
    <row r="152" spans="1:34" s="39" customFormat="1" ht="24" customHeight="1">
      <c r="A152" s="38">
        <v>3</v>
      </c>
      <c r="B152" s="38">
        <v>3</v>
      </c>
      <c r="C152" s="128">
        <v>24020</v>
      </c>
      <c r="D152" s="788" t="s">
        <v>3013</v>
      </c>
      <c r="E152" s="117" t="s">
        <v>3014</v>
      </c>
      <c r="F152" s="273">
        <v>0.1</v>
      </c>
      <c r="G152" s="118" t="s">
        <v>3015</v>
      </c>
      <c r="H152" s="135">
        <v>3410</v>
      </c>
      <c r="I152" s="104">
        <f>IF(F152="","",INT(F152*H152))</f>
        <v>341</v>
      </c>
      <c r="J152" s="64"/>
      <c r="K152" s="65"/>
      <c r="L152" s="66"/>
      <c r="M152" s="525"/>
      <c r="N152" s="520"/>
      <c r="O152" s="226">
        <v>0</v>
      </c>
      <c r="P152" s="227"/>
      <c r="Q152" s="228"/>
      <c r="R152" s="228"/>
      <c r="S152" s="228"/>
      <c r="T152" s="228"/>
      <c r="U152" s="228"/>
      <c r="V152" s="228"/>
      <c r="W152" s="228"/>
      <c r="X152" s="229"/>
      <c r="Y152" s="229"/>
      <c r="Z152" s="229"/>
      <c r="AA152" s="229"/>
      <c r="AB152" s="229"/>
      <c r="AC152" s="228"/>
      <c r="AD152" s="461"/>
      <c r="AE152" s="462"/>
      <c r="AF152" s="228"/>
      <c r="AG152" s="228"/>
      <c r="AH152" s="216"/>
    </row>
    <row r="153" spans="1:34" s="39" customFormat="1" ht="24" customHeight="1">
      <c r="A153" s="38"/>
      <c r="B153" s="38"/>
      <c r="C153" s="128"/>
      <c r="D153" s="129"/>
      <c r="E153" s="117"/>
      <c r="F153" s="273"/>
      <c r="G153" s="118"/>
      <c r="H153" s="135"/>
      <c r="I153" s="104" t="str">
        <f t="shared" si="5"/>
        <v/>
      </c>
      <c r="J153" s="64"/>
      <c r="K153" s="65"/>
      <c r="L153" s="66"/>
      <c r="M153" s="525"/>
      <c r="N153" s="520"/>
      <c r="O153" s="226"/>
      <c r="P153" s="227"/>
      <c r="Q153" s="228"/>
      <c r="R153" s="228"/>
      <c r="S153" s="228"/>
      <c r="T153" s="228"/>
      <c r="U153" s="228"/>
      <c r="V153" s="228"/>
      <c r="W153" s="228"/>
      <c r="X153" s="229"/>
      <c r="Y153" s="229"/>
      <c r="Z153" s="229"/>
      <c r="AA153" s="229"/>
      <c r="AB153" s="229"/>
      <c r="AC153" s="228"/>
      <c r="AD153" s="461"/>
      <c r="AE153" s="462"/>
      <c r="AF153" s="228"/>
      <c r="AG153" s="228"/>
      <c r="AH153" s="216"/>
    </row>
    <row r="154" spans="1:34" s="39" customFormat="1" ht="24" customHeight="1">
      <c r="A154" s="38">
        <v>3</v>
      </c>
      <c r="B154" s="38">
        <v>3</v>
      </c>
      <c r="C154" s="128">
        <v>24011</v>
      </c>
      <c r="D154" s="788" t="s">
        <v>3009</v>
      </c>
      <c r="E154" s="117" t="s">
        <v>3010</v>
      </c>
      <c r="F154" s="273">
        <v>1</v>
      </c>
      <c r="G154" s="118" t="s">
        <v>3011</v>
      </c>
      <c r="H154" s="135">
        <v>23100</v>
      </c>
      <c r="I154" s="104">
        <f>IF(F154="","",INT(F154*H154))</f>
        <v>23100</v>
      </c>
      <c r="J154" s="64" t="s">
        <v>3012</v>
      </c>
      <c r="K154" s="65"/>
      <c r="L154" s="66"/>
      <c r="M154" s="525"/>
      <c r="N154" s="520"/>
      <c r="O154" s="226">
        <v>0</v>
      </c>
      <c r="P154" s="227"/>
      <c r="Q154" s="228"/>
      <c r="R154" s="228"/>
      <c r="S154" s="228"/>
      <c r="T154" s="228"/>
      <c r="U154" s="228"/>
      <c r="V154" s="228"/>
      <c r="W154" s="228"/>
      <c r="X154" s="229"/>
      <c r="Y154" s="229"/>
      <c r="Z154" s="229"/>
      <c r="AA154" s="229"/>
      <c r="AB154" s="229"/>
      <c r="AC154" s="228"/>
      <c r="AD154" s="461"/>
      <c r="AE154" s="462"/>
      <c r="AF154" s="228"/>
      <c r="AG154" s="228"/>
      <c r="AH154" s="216"/>
    </row>
    <row r="155" spans="1:34" s="39" customFormat="1" ht="24" customHeight="1">
      <c r="A155" s="38"/>
      <c r="B155" s="38"/>
      <c r="C155" s="128"/>
      <c r="D155" s="129"/>
      <c r="E155" s="117"/>
      <c r="F155" s="273"/>
      <c r="G155" s="118"/>
      <c r="H155" s="135"/>
      <c r="I155" s="104" t="str">
        <f t="shared" si="5"/>
        <v/>
      </c>
      <c r="J155" s="64"/>
      <c r="K155" s="65"/>
      <c r="L155" s="66"/>
      <c r="M155" s="525"/>
      <c r="N155" s="520"/>
      <c r="O155" s="226"/>
      <c r="P155" s="227"/>
      <c r="Q155" s="228"/>
      <c r="R155" s="228"/>
      <c r="S155" s="228"/>
      <c r="T155" s="228"/>
      <c r="U155" s="228"/>
      <c r="V155" s="228"/>
      <c r="W155" s="228"/>
      <c r="X155" s="229"/>
      <c r="Y155" s="229"/>
      <c r="Z155" s="229"/>
      <c r="AA155" s="229"/>
      <c r="AB155" s="229"/>
      <c r="AC155" s="228"/>
      <c r="AD155" s="461"/>
      <c r="AE155" s="462"/>
      <c r="AF155" s="228"/>
      <c r="AG155" s="228"/>
      <c r="AH155" s="216"/>
    </row>
    <row r="156" spans="1:34" s="39" customFormat="1" ht="24" customHeight="1">
      <c r="A156" s="38">
        <v>3</v>
      </c>
      <c r="B156" s="38">
        <v>3</v>
      </c>
      <c r="C156" s="128">
        <v>20060</v>
      </c>
      <c r="D156" s="788" t="s">
        <v>3005</v>
      </c>
      <c r="E156" s="117" t="s">
        <v>3006</v>
      </c>
      <c r="F156" s="273">
        <v>0.1</v>
      </c>
      <c r="G156" s="118" t="s">
        <v>3007</v>
      </c>
      <c r="H156" s="135">
        <v>950</v>
      </c>
      <c r="I156" s="104">
        <f>IF(F156="","",INT(F156*H156))</f>
        <v>95</v>
      </c>
      <c r="J156" s="64" t="s">
        <v>3008</v>
      </c>
      <c r="K156" s="65"/>
      <c r="L156" s="66"/>
      <c r="M156" s="525"/>
      <c r="N156" s="520"/>
      <c r="O156" s="226">
        <v>0</v>
      </c>
      <c r="P156" s="227"/>
      <c r="Q156" s="228"/>
      <c r="R156" s="228"/>
      <c r="S156" s="228"/>
      <c r="T156" s="228"/>
      <c r="U156" s="228"/>
      <c r="V156" s="228"/>
      <c r="W156" s="228"/>
      <c r="X156" s="229"/>
      <c r="Y156" s="229"/>
      <c r="Z156" s="229"/>
      <c r="AA156" s="229"/>
      <c r="AB156" s="229"/>
      <c r="AC156" s="228"/>
      <c r="AD156" s="461"/>
      <c r="AE156" s="462"/>
      <c r="AF156" s="228"/>
      <c r="AG156" s="228"/>
      <c r="AH156" s="216"/>
    </row>
    <row r="157" spans="1:34" s="39" customFormat="1" ht="24" customHeight="1">
      <c r="A157" s="38">
        <v>3</v>
      </c>
      <c r="B157" s="38">
        <v>3</v>
      </c>
      <c r="C157" s="128">
        <v>20061</v>
      </c>
      <c r="D157" s="788" t="s">
        <v>2999</v>
      </c>
      <c r="E157" s="117" t="s">
        <v>3000</v>
      </c>
      <c r="F157" s="273">
        <v>0.2</v>
      </c>
      <c r="G157" s="118" t="s">
        <v>169</v>
      </c>
      <c r="H157" s="135">
        <f>11300*L157</f>
        <v>56500</v>
      </c>
      <c r="I157" s="104">
        <f>IF(F157="","",INT(F157*H157))</f>
        <v>11300</v>
      </c>
      <c r="J157" s="64" t="s">
        <v>3001</v>
      </c>
      <c r="K157" s="65"/>
      <c r="L157" s="66">
        <v>5</v>
      </c>
      <c r="M157" s="525"/>
      <c r="N157" s="520"/>
      <c r="O157" s="226">
        <v>0</v>
      </c>
      <c r="P157" s="227"/>
      <c r="Q157" s="228"/>
      <c r="R157" s="228"/>
      <c r="S157" s="228"/>
      <c r="T157" s="228"/>
      <c r="U157" s="228"/>
      <c r="V157" s="228"/>
      <c r="W157" s="228"/>
      <c r="X157" s="229"/>
      <c r="Y157" s="229"/>
      <c r="Z157" s="229"/>
      <c r="AA157" s="229"/>
      <c r="AB157" s="229"/>
      <c r="AC157" s="228"/>
      <c r="AD157" s="461"/>
      <c r="AE157" s="462"/>
      <c r="AF157" s="228"/>
      <c r="AG157" s="228"/>
      <c r="AH157" s="216"/>
    </row>
    <row r="158" spans="1:34" s="39" customFormat="1" ht="24" customHeight="1">
      <c r="A158" s="38"/>
      <c r="B158" s="38"/>
      <c r="C158" s="128"/>
      <c r="D158" s="129"/>
      <c r="E158" s="117"/>
      <c r="F158" s="273"/>
      <c r="G158" s="118"/>
      <c r="H158" s="135"/>
      <c r="I158" s="104" t="str">
        <f t="shared" si="5"/>
        <v/>
      </c>
      <c r="J158" s="64"/>
      <c r="K158" s="65"/>
      <c r="L158" s="66"/>
      <c r="M158" s="525"/>
      <c r="N158" s="520"/>
      <c r="O158" s="226"/>
      <c r="P158" s="227"/>
      <c r="Q158" s="228"/>
      <c r="R158" s="228"/>
      <c r="S158" s="228"/>
      <c r="T158" s="228"/>
      <c r="U158" s="228"/>
      <c r="V158" s="228"/>
      <c r="W158" s="228"/>
      <c r="X158" s="229"/>
      <c r="Y158" s="229"/>
      <c r="Z158" s="229"/>
      <c r="AA158" s="229"/>
      <c r="AB158" s="229"/>
      <c r="AC158" s="228"/>
      <c r="AD158" s="461"/>
      <c r="AE158" s="462"/>
      <c r="AF158" s="228"/>
      <c r="AG158" s="228"/>
      <c r="AH158" s="216"/>
    </row>
    <row r="159" spans="1:34" s="39" customFormat="1" ht="24" customHeight="1">
      <c r="A159" s="38"/>
      <c r="B159" s="38"/>
      <c r="C159" s="128"/>
      <c r="D159" s="129"/>
      <c r="E159" s="117"/>
      <c r="F159" s="273"/>
      <c r="G159" s="118"/>
      <c r="H159" s="135"/>
      <c r="I159" s="104" t="str">
        <f t="shared" si="5"/>
        <v/>
      </c>
      <c r="J159" s="64"/>
      <c r="K159" s="65"/>
      <c r="L159" s="66"/>
      <c r="M159" s="525"/>
      <c r="N159" s="520"/>
      <c r="O159" s="226"/>
      <c r="P159" s="227"/>
      <c r="Q159" s="228"/>
      <c r="R159" s="228"/>
      <c r="S159" s="228"/>
      <c r="T159" s="228"/>
      <c r="U159" s="228"/>
      <c r="V159" s="228"/>
      <c r="W159" s="228"/>
      <c r="X159" s="229"/>
      <c r="Y159" s="229"/>
      <c r="Z159" s="229"/>
      <c r="AA159" s="229"/>
      <c r="AB159" s="229"/>
      <c r="AC159" s="228"/>
      <c r="AD159" s="461"/>
      <c r="AE159" s="462"/>
      <c r="AF159" s="228"/>
      <c r="AG159" s="228"/>
      <c r="AH159" s="216"/>
    </row>
    <row r="160" spans="1:34" s="39" customFormat="1" ht="24" customHeight="1">
      <c r="A160" s="38"/>
      <c r="B160" s="38"/>
      <c r="C160" s="128"/>
      <c r="D160" s="129"/>
      <c r="E160" s="117"/>
      <c r="F160" s="273"/>
      <c r="G160" s="118"/>
      <c r="H160" s="135"/>
      <c r="I160" s="104" t="str">
        <f t="shared" si="5"/>
        <v/>
      </c>
      <c r="J160" s="64"/>
      <c r="K160" s="65"/>
      <c r="L160" s="66"/>
      <c r="M160" s="525"/>
      <c r="N160" s="520"/>
      <c r="O160" s="226"/>
      <c r="P160" s="227"/>
      <c r="Q160" s="228"/>
      <c r="R160" s="228"/>
      <c r="S160" s="228"/>
      <c r="T160" s="228"/>
      <c r="U160" s="228"/>
      <c r="V160" s="228"/>
      <c r="W160" s="228"/>
      <c r="X160" s="229"/>
      <c r="Y160" s="229"/>
      <c r="Z160" s="229"/>
      <c r="AA160" s="229"/>
      <c r="AB160" s="229"/>
      <c r="AC160" s="228"/>
      <c r="AD160" s="461"/>
      <c r="AE160" s="462"/>
      <c r="AF160" s="228"/>
      <c r="AG160" s="228"/>
      <c r="AH160" s="216"/>
    </row>
    <row r="161" spans="1:34" s="39" customFormat="1" ht="24" customHeight="1">
      <c r="A161" s="38"/>
      <c r="B161" s="38"/>
      <c r="C161" s="128"/>
      <c r="D161" s="129"/>
      <c r="E161" s="117"/>
      <c r="F161" s="273"/>
      <c r="G161" s="118"/>
      <c r="H161" s="135"/>
      <c r="I161" s="104" t="str">
        <f t="shared" si="5"/>
        <v/>
      </c>
      <c r="J161" s="64"/>
      <c r="K161" s="65"/>
      <c r="L161" s="66"/>
      <c r="M161" s="525"/>
      <c r="N161" s="520"/>
      <c r="O161" s="226"/>
      <c r="P161" s="227"/>
      <c r="Q161" s="228"/>
      <c r="R161" s="228"/>
      <c r="S161" s="228"/>
      <c r="T161" s="228"/>
      <c r="U161" s="228"/>
      <c r="V161" s="228"/>
      <c r="W161" s="228"/>
      <c r="X161" s="229"/>
      <c r="Y161" s="229"/>
      <c r="Z161" s="229"/>
      <c r="AA161" s="229"/>
      <c r="AB161" s="229"/>
      <c r="AC161" s="228"/>
      <c r="AD161" s="461"/>
      <c r="AE161" s="462"/>
      <c r="AF161" s="228"/>
      <c r="AG161" s="228"/>
      <c r="AH161" s="216"/>
    </row>
    <row r="162" spans="1:34" ht="24" customHeight="1" thickBot="1">
      <c r="A162" s="38"/>
      <c r="B162" s="38"/>
      <c r="C162" s="106"/>
      <c r="D162" s="95" t="s">
        <v>8</v>
      </c>
      <c r="E162" s="107"/>
      <c r="F162" s="274"/>
      <c r="G162" s="121"/>
      <c r="H162" s="131" t="s">
        <v>70</v>
      </c>
      <c r="I162" s="108">
        <f>SUM(I144:I161)</f>
        <v>103931</v>
      </c>
      <c r="J162" s="825" t="str">
        <f>IF(C143="部分撤去工事","）うち費用",")")</f>
        <v>）うち費用</v>
      </c>
      <c r="K162" s="824">
        <f>IF(C143="部分撤去工事",(K139+L162),0)</f>
        <v>0</v>
      </c>
      <c r="L162" s="823">
        <f>IF(C143="部分撤去工事",SUMIF(N144:N161,"費用",I144:I161),0)</f>
        <v>0</v>
      </c>
      <c r="M162" s="526"/>
      <c r="N162" s="527"/>
      <c r="O162" s="226"/>
      <c r="P162" s="227"/>
      <c r="Q162" s="228"/>
      <c r="R162" s="228"/>
      <c r="S162" s="228"/>
      <c r="T162" s="228"/>
      <c r="U162" s="228"/>
      <c r="V162" s="228"/>
      <c r="W162" s="228"/>
      <c r="X162" s="229"/>
      <c r="Y162" s="229"/>
      <c r="Z162" s="229"/>
      <c r="AA162" s="229"/>
      <c r="AB162" s="229"/>
      <c r="AC162" s="228"/>
      <c r="AD162" s="461"/>
      <c r="AE162" s="462"/>
      <c r="AF162" s="228"/>
      <c r="AG162" s="228"/>
      <c r="AH162" s="463"/>
    </row>
    <row r="163" spans="1:34" ht="14.25" customHeight="1">
      <c r="E163" s="124" t="s">
        <v>88</v>
      </c>
      <c r="F163" s="125">
        <f>+F140+1</f>
        <v>9</v>
      </c>
      <c r="G163" s="126" t="s">
        <v>49</v>
      </c>
      <c r="H163" s="127">
        <f>+H140</f>
        <v>15</v>
      </c>
      <c r="I163" s="127"/>
      <c r="M163" s="33" t="str">
        <f>IF(A165="","EOL","")</f>
        <v>EOL</v>
      </c>
      <c r="N163" s="1">
        <f>+F163</f>
        <v>9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5" spans="1:34" ht="26.1" customHeight="1">
      <c r="D165" s="271"/>
    </row>
    <row r="166" spans="1:34" ht="26.1" customHeight="1">
      <c r="D166" s="163"/>
    </row>
    <row r="167" spans="1:34" ht="26.1" customHeight="1">
      <c r="D167" s="271"/>
    </row>
    <row r="168" spans="1:34" ht="26.1" customHeight="1">
      <c r="D168" s="271"/>
    </row>
  </sheetData>
  <mergeCells count="27">
    <mergeCell ref="O3:AH3"/>
    <mergeCell ref="O26:AH26"/>
    <mergeCell ref="J28:L28"/>
    <mergeCell ref="J5:L5"/>
    <mergeCell ref="C3:L3"/>
    <mergeCell ref="C26:L26"/>
    <mergeCell ref="J4:L4"/>
    <mergeCell ref="C49:L49"/>
    <mergeCell ref="C72:L72"/>
    <mergeCell ref="O72:AH72"/>
    <mergeCell ref="J73:L73"/>
    <mergeCell ref="J74:L74"/>
    <mergeCell ref="O49:AH49"/>
    <mergeCell ref="J50:L50"/>
    <mergeCell ref="J51:L51"/>
    <mergeCell ref="C95:L95"/>
    <mergeCell ref="O95:AH95"/>
    <mergeCell ref="J96:L96"/>
    <mergeCell ref="J97:L97"/>
    <mergeCell ref="C118:L118"/>
    <mergeCell ref="O118:AH118"/>
    <mergeCell ref="J143:L143"/>
    <mergeCell ref="J119:L119"/>
    <mergeCell ref="J120:L120"/>
    <mergeCell ref="C141:L141"/>
    <mergeCell ref="O141:AH141"/>
    <mergeCell ref="J142:L142"/>
  </mergeCells>
  <phoneticPr fontId="2"/>
  <dataValidations disablePrompts="1" count="1">
    <dataValidation type="list" allowBlank="1" showInputMessage="1" showErrorMessage="1" prompt="費用/建物附属設備/工具・器具・備品の場合、選択してください。" sqref="N52:N69 N75:N92 N98:N115 N121:N138 N144:N161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98425196850393704" right="0.39370078740157499" top="0.78740157480314998" bottom="0.78740157480314998" header="0.511811023622047" footer="0.511811023622047"/>
  <pageSetup paperSize="9" scale="61" orientation="portrait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87"/>
  <sheetViews>
    <sheetView workbookViewId="0">
      <selection activeCell="B22" sqref="B22"/>
    </sheetView>
  </sheetViews>
  <sheetFormatPr defaultRowHeight="13.5"/>
  <cols>
    <col min="1" max="1" width="9.5" bestFit="1" customWidth="1"/>
    <col min="2" max="2" width="93.875" bestFit="1" customWidth="1"/>
  </cols>
  <sheetData>
    <row r="1" spans="1:2">
      <c r="A1" t="s">
        <v>2405</v>
      </c>
      <c r="B1" t="s">
        <v>2406</v>
      </c>
    </row>
    <row r="2" spans="1:2">
      <c r="A2" s="760">
        <v>10100101</v>
      </c>
      <c r="B2" t="s">
        <v>742</v>
      </c>
    </row>
    <row r="3" spans="1:2">
      <c r="A3" s="760">
        <v>10100201</v>
      </c>
      <c r="B3" t="s">
        <v>743</v>
      </c>
    </row>
    <row r="4" spans="1:2">
      <c r="A4" s="760">
        <v>10100301</v>
      </c>
      <c r="B4" t="s">
        <v>744</v>
      </c>
    </row>
    <row r="5" spans="1:2">
      <c r="A5" s="760">
        <v>10100401</v>
      </c>
      <c r="B5" t="s">
        <v>745</v>
      </c>
    </row>
    <row r="6" spans="1:2">
      <c r="A6" s="760">
        <v>10100501</v>
      </c>
      <c r="B6" t="s">
        <v>746</v>
      </c>
    </row>
    <row r="7" spans="1:2">
      <c r="A7" s="760">
        <v>10100601</v>
      </c>
      <c r="B7" t="s">
        <v>747</v>
      </c>
    </row>
    <row r="8" spans="1:2">
      <c r="A8" s="760">
        <v>10199901</v>
      </c>
      <c r="B8" t="s">
        <v>748</v>
      </c>
    </row>
    <row r="9" spans="1:2">
      <c r="A9" s="760">
        <v>10500701</v>
      </c>
      <c r="B9" t="s">
        <v>749</v>
      </c>
    </row>
    <row r="10" spans="1:2">
      <c r="A10" s="760">
        <v>10500702</v>
      </c>
      <c r="B10" t="s">
        <v>750</v>
      </c>
    </row>
    <row r="11" spans="1:2">
      <c r="A11" s="760">
        <v>10500703</v>
      </c>
      <c r="B11" t="s">
        <v>751</v>
      </c>
    </row>
    <row r="12" spans="1:2">
      <c r="A12" s="760">
        <v>10500704</v>
      </c>
      <c r="B12" t="s">
        <v>752</v>
      </c>
    </row>
    <row r="13" spans="1:2">
      <c r="A13" s="760">
        <v>10500705</v>
      </c>
      <c r="B13" t="s">
        <v>753</v>
      </c>
    </row>
    <row r="14" spans="1:2">
      <c r="A14" s="760">
        <v>10500706</v>
      </c>
      <c r="B14" t="s">
        <v>754</v>
      </c>
    </row>
    <row r="15" spans="1:2">
      <c r="A15" s="760">
        <v>10500707</v>
      </c>
      <c r="B15" t="s">
        <v>755</v>
      </c>
    </row>
    <row r="16" spans="1:2">
      <c r="A16" s="760">
        <v>10500708</v>
      </c>
      <c r="B16" t="s">
        <v>756</v>
      </c>
    </row>
    <row r="17" spans="1:2">
      <c r="A17" s="760">
        <v>10500709</v>
      </c>
      <c r="B17" t="s">
        <v>757</v>
      </c>
    </row>
    <row r="18" spans="1:2">
      <c r="A18" s="760">
        <v>10500801</v>
      </c>
      <c r="B18" t="s">
        <v>774</v>
      </c>
    </row>
    <row r="19" spans="1:2">
      <c r="A19" s="760">
        <v>10500802</v>
      </c>
      <c r="B19" t="s">
        <v>775</v>
      </c>
    </row>
    <row r="20" spans="1:2">
      <c r="A20" s="760">
        <v>10500803</v>
      </c>
      <c r="B20" t="s">
        <v>776</v>
      </c>
    </row>
    <row r="21" spans="1:2">
      <c r="A21" s="760">
        <v>10500804</v>
      </c>
      <c r="B21" t="s">
        <v>777</v>
      </c>
    </row>
    <row r="22" spans="1:2">
      <c r="A22" s="760">
        <v>10500805</v>
      </c>
      <c r="B22" t="s">
        <v>778</v>
      </c>
    </row>
    <row r="23" spans="1:2">
      <c r="A23" s="760">
        <v>10500806</v>
      </c>
      <c r="B23" t="s">
        <v>779</v>
      </c>
    </row>
    <row r="24" spans="1:2">
      <c r="A24" s="760">
        <v>10500807</v>
      </c>
      <c r="B24" t="s">
        <v>780</v>
      </c>
    </row>
    <row r="25" spans="1:2">
      <c r="A25">
        <v>10500808</v>
      </c>
      <c r="B25" t="s">
        <v>781</v>
      </c>
    </row>
    <row r="26" spans="1:2">
      <c r="A26">
        <v>10500809</v>
      </c>
      <c r="B26" t="s">
        <v>782</v>
      </c>
    </row>
    <row r="27" spans="1:2">
      <c r="A27" s="760">
        <v>10500901</v>
      </c>
      <c r="B27" t="s">
        <v>799</v>
      </c>
    </row>
    <row r="28" spans="1:2">
      <c r="A28" s="760">
        <v>10500902</v>
      </c>
      <c r="B28" t="s">
        <v>800</v>
      </c>
    </row>
    <row r="29" spans="1:2">
      <c r="A29" s="760">
        <v>10500903</v>
      </c>
      <c r="B29" t="s">
        <v>801</v>
      </c>
    </row>
    <row r="30" spans="1:2">
      <c r="A30" s="760">
        <v>10500904</v>
      </c>
      <c r="B30" t="s">
        <v>802</v>
      </c>
    </row>
    <row r="31" spans="1:2">
      <c r="A31" s="760">
        <v>10500905</v>
      </c>
      <c r="B31" t="s">
        <v>803</v>
      </c>
    </row>
    <row r="32" spans="1:2">
      <c r="A32" s="760">
        <v>10500906</v>
      </c>
      <c r="B32" t="s">
        <v>804</v>
      </c>
    </row>
    <row r="33" spans="1:2">
      <c r="A33" s="760">
        <v>10500907</v>
      </c>
      <c r="B33" t="s">
        <v>805</v>
      </c>
    </row>
    <row r="34" spans="1:2">
      <c r="A34" s="760">
        <v>10500908</v>
      </c>
      <c r="B34" t="s">
        <v>806</v>
      </c>
    </row>
    <row r="35" spans="1:2">
      <c r="A35">
        <v>10500909</v>
      </c>
      <c r="B35" t="s">
        <v>807</v>
      </c>
    </row>
    <row r="36" spans="1:2">
      <c r="A36">
        <v>10501001</v>
      </c>
      <c r="B36" t="s">
        <v>824</v>
      </c>
    </row>
    <row r="37" spans="1:2">
      <c r="A37">
        <v>10501002</v>
      </c>
      <c r="B37" t="s">
        <v>825</v>
      </c>
    </row>
    <row r="38" spans="1:2">
      <c r="A38">
        <v>10501003</v>
      </c>
      <c r="B38" t="s">
        <v>826</v>
      </c>
    </row>
    <row r="39" spans="1:2">
      <c r="A39">
        <v>10501004</v>
      </c>
      <c r="B39" t="s">
        <v>827</v>
      </c>
    </row>
    <row r="40" spans="1:2">
      <c r="A40">
        <v>10501005</v>
      </c>
      <c r="B40" t="s">
        <v>828</v>
      </c>
    </row>
    <row r="41" spans="1:2">
      <c r="A41">
        <v>10501006</v>
      </c>
      <c r="B41" t="s">
        <v>829</v>
      </c>
    </row>
    <row r="42" spans="1:2">
      <c r="A42">
        <v>10501007</v>
      </c>
      <c r="B42" t="s">
        <v>830</v>
      </c>
    </row>
    <row r="43" spans="1:2">
      <c r="A43">
        <v>10501008</v>
      </c>
      <c r="B43" t="s">
        <v>831</v>
      </c>
    </row>
    <row r="44" spans="1:2">
      <c r="A44">
        <v>10501009</v>
      </c>
      <c r="B44" t="s">
        <v>832</v>
      </c>
    </row>
    <row r="45" spans="1:2">
      <c r="A45" s="760">
        <v>10501101</v>
      </c>
      <c r="B45" t="s">
        <v>849</v>
      </c>
    </row>
    <row r="46" spans="1:2">
      <c r="A46" s="760">
        <v>10501102</v>
      </c>
      <c r="B46" t="s">
        <v>850</v>
      </c>
    </row>
    <row r="47" spans="1:2">
      <c r="A47" s="760">
        <v>10501103</v>
      </c>
      <c r="B47" t="s">
        <v>851</v>
      </c>
    </row>
    <row r="48" spans="1:2">
      <c r="A48" s="760">
        <v>10501104</v>
      </c>
      <c r="B48" t="s">
        <v>852</v>
      </c>
    </row>
    <row r="49" spans="1:2">
      <c r="A49" s="760">
        <v>10501105</v>
      </c>
      <c r="B49" t="s">
        <v>853</v>
      </c>
    </row>
    <row r="50" spans="1:2">
      <c r="A50" s="760">
        <v>10501106</v>
      </c>
      <c r="B50" t="s">
        <v>854</v>
      </c>
    </row>
    <row r="51" spans="1:2">
      <c r="A51" s="760">
        <v>10501107</v>
      </c>
      <c r="B51" t="s">
        <v>855</v>
      </c>
    </row>
    <row r="52" spans="1:2">
      <c r="A52">
        <v>10501108</v>
      </c>
      <c r="B52" t="s">
        <v>856</v>
      </c>
    </row>
    <row r="53" spans="1:2">
      <c r="A53">
        <v>10501109</v>
      </c>
      <c r="B53" t="s">
        <v>857</v>
      </c>
    </row>
    <row r="54" spans="1:2">
      <c r="A54">
        <v>10501201</v>
      </c>
      <c r="B54" t="s">
        <v>874</v>
      </c>
    </row>
    <row r="55" spans="1:2">
      <c r="A55">
        <v>10501202</v>
      </c>
      <c r="B55" t="s">
        <v>875</v>
      </c>
    </row>
    <row r="56" spans="1:2">
      <c r="A56">
        <v>10501203</v>
      </c>
      <c r="B56" t="s">
        <v>876</v>
      </c>
    </row>
    <row r="57" spans="1:2">
      <c r="A57">
        <v>10501204</v>
      </c>
      <c r="B57" t="s">
        <v>877</v>
      </c>
    </row>
    <row r="58" spans="1:2">
      <c r="A58">
        <v>10501205</v>
      </c>
      <c r="B58" t="s">
        <v>878</v>
      </c>
    </row>
    <row r="59" spans="1:2">
      <c r="A59">
        <v>10501206</v>
      </c>
      <c r="B59" t="s">
        <v>879</v>
      </c>
    </row>
    <row r="60" spans="1:2">
      <c r="A60">
        <v>10501207</v>
      </c>
      <c r="B60" t="s">
        <v>880</v>
      </c>
    </row>
    <row r="61" spans="1:2">
      <c r="A61">
        <v>10501208</v>
      </c>
      <c r="B61" t="s">
        <v>881</v>
      </c>
    </row>
    <row r="62" spans="1:2">
      <c r="A62">
        <v>10501209</v>
      </c>
      <c r="B62" t="s">
        <v>882</v>
      </c>
    </row>
    <row r="63" spans="1:2">
      <c r="A63">
        <v>10501301</v>
      </c>
      <c r="B63" t="s">
        <v>899</v>
      </c>
    </row>
    <row r="64" spans="1:2">
      <c r="A64">
        <v>10501302</v>
      </c>
      <c r="B64" t="s">
        <v>900</v>
      </c>
    </row>
    <row r="65" spans="1:2">
      <c r="A65">
        <v>10501303</v>
      </c>
      <c r="B65" t="s">
        <v>901</v>
      </c>
    </row>
    <row r="66" spans="1:2">
      <c r="A66">
        <v>10501304</v>
      </c>
      <c r="B66" t="s">
        <v>902</v>
      </c>
    </row>
    <row r="67" spans="1:2">
      <c r="A67">
        <v>10501305</v>
      </c>
      <c r="B67" t="s">
        <v>903</v>
      </c>
    </row>
    <row r="68" spans="1:2">
      <c r="A68">
        <v>10501306</v>
      </c>
      <c r="B68" t="s">
        <v>904</v>
      </c>
    </row>
    <row r="69" spans="1:2">
      <c r="A69">
        <v>10501307</v>
      </c>
      <c r="B69" t="s">
        <v>905</v>
      </c>
    </row>
    <row r="70" spans="1:2">
      <c r="A70">
        <v>10501308</v>
      </c>
      <c r="B70" t="s">
        <v>906</v>
      </c>
    </row>
    <row r="71" spans="1:2">
      <c r="A71">
        <v>10501309</v>
      </c>
      <c r="B71" t="s">
        <v>907</v>
      </c>
    </row>
    <row r="72" spans="1:2">
      <c r="A72">
        <v>10599901</v>
      </c>
      <c r="B72" t="s">
        <v>924</v>
      </c>
    </row>
    <row r="73" spans="1:2">
      <c r="A73">
        <v>10599902</v>
      </c>
      <c r="B73" t="s">
        <v>925</v>
      </c>
    </row>
    <row r="74" spans="1:2">
      <c r="A74">
        <v>10599903</v>
      </c>
      <c r="B74" t="s">
        <v>926</v>
      </c>
    </row>
    <row r="75" spans="1:2">
      <c r="A75">
        <v>10599904</v>
      </c>
      <c r="B75" t="s">
        <v>927</v>
      </c>
    </row>
    <row r="76" spans="1:2">
      <c r="A76">
        <v>10599905</v>
      </c>
      <c r="B76" t="s">
        <v>928</v>
      </c>
    </row>
    <row r="77" spans="1:2">
      <c r="A77">
        <v>10599906</v>
      </c>
      <c r="B77" t="s">
        <v>929</v>
      </c>
    </row>
    <row r="78" spans="1:2">
      <c r="A78">
        <v>10599907</v>
      </c>
      <c r="B78" t="s">
        <v>930</v>
      </c>
    </row>
    <row r="79" spans="1:2">
      <c r="A79">
        <v>10599908</v>
      </c>
      <c r="B79" t="s">
        <v>931</v>
      </c>
    </row>
    <row r="80" spans="1:2">
      <c r="A80">
        <v>10599909</v>
      </c>
      <c r="B80" t="s">
        <v>932</v>
      </c>
    </row>
    <row r="81" spans="1:2">
      <c r="A81">
        <v>10599910</v>
      </c>
      <c r="B81" t="s">
        <v>933</v>
      </c>
    </row>
    <row r="82" spans="1:2">
      <c r="A82">
        <v>10599911</v>
      </c>
      <c r="B82" t="s">
        <v>934</v>
      </c>
    </row>
    <row r="83" spans="1:2">
      <c r="A83">
        <v>10599912</v>
      </c>
      <c r="B83" t="s">
        <v>935</v>
      </c>
    </row>
    <row r="84" spans="1:2">
      <c r="A84">
        <v>10599913</v>
      </c>
      <c r="B84" t="s">
        <v>936</v>
      </c>
    </row>
    <row r="85" spans="1:2">
      <c r="A85">
        <v>10599914</v>
      </c>
      <c r="B85" t="s">
        <v>937</v>
      </c>
    </row>
    <row r="86" spans="1:2">
      <c r="A86">
        <v>10599915</v>
      </c>
      <c r="B86" t="s">
        <v>938</v>
      </c>
    </row>
    <row r="87" spans="1:2">
      <c r="A87">
        <v>10599916</v>
      </c>
      <c r="B87" t="s">
        <v>939</v>
      </c>
    </row>
    <row r="88" spans="1:2">
      <c r="A88">
        <v>10599917</v>
      </c>
      <c r="B88" t="s">
        <v>940</v>
      </c>
    </row>
    <row r="89" spans="1:2">
      <c r="A89">
        <v>10599918</v>
      </c>
      <c r="B89" t="s">
        <v>941</v>
      </c>
    </row>
    <row r="90" spans="1:2">
      <c r="A90">
        <v>10599919</v>
      </c>
      <c r="B90" t="s">
        <v>942</v>
      </c>
    </row>
    <row r="91" spans="1:2">
      <c r="A91">
        <v>10599920</v>
      </c>
      <c r="B91" t="s">
        <v>943</v>
      </c>
    </row>
    <row r="92" spans="1:2">
      <c r="A92">
        <v>10599921</v>
      </c>
      <c r="B92" t="s">
        <v>944</v>
      </c>
    </row>
    <row r="93" spans="1:2">
      <c r="A93">
        <v>10599922</v>
      </c>
      <c r="B93" t="s">
        <v>945</v>
      </c>
    </row>
    <row r="94" spans="1:2">
      <c r="A94">
        <v>10599923</v>
      </c>
      <c r="B94" t="s">
        <v>946</v>
      </c>
    </row>
    <row r="95" spans="1:2">
      <c r="A95">
        <v>10599924</v>
      </c>
      <c r="B95" t="s">
        <v>947</v>
      </c>
    </row>
    <row r="96" spans="1:2">
      <c r="A96">
        <v>10599925</v>
      </c>
      <c r="B96" t="s">
        <v>948</v>
      </c>
    </row>
    <row r="97" spans="1:2">
      <c r="A97">
        <v>10599926</v>
      </c>
      <c r="B97" t="s">
        <v>949</v>
      </c>
    </row>
    <row r="98" spans="1:2">
      <c r="A98">
        <v>10599927</v>
      </c>
      <c r="B98" t="s">
        <v>950</v>
      </c>
    </row>
    <row r="99" spans="1:2">
      <c r="A99">
        <v>10500710</v>
      </c>
      <c r="B99" t="s">
        <v>758</v>
      </c>
    </row>
    <row r="100" spans="1:2">
      <c r="A100">
        <v>10500711</v>
      </c>
      <c r="B100" t="s">
        <v>759</v>
      </c>
    </row>
    <row r="101" spans="1:2">
      <c r="A101">
        <v>10500712</v>
      </c>
      <c r="B101" t="s">
        <v>760</v>
      </c>
    </row>
    <row r="102" spans="1:2">
      <c r="A102">
        <v>10500713</v>
      </c>
      <c r="B102" t="s">
        <v>761</v>
      </c>
    </row>
    <row r="103" spans="1:2">
      <c r="A103">
        <v>10500714</v>
      </c>
      <c r="B103" t="s">
        <v>762</v>
      </c>
    </row>
    <row r="104" spans="1:2">
      <c r="A104">
        <v>10500715</v>
      </c>
      <c r="B104" t="s">
        <v>763</v>
      </c>
    </row>
    <row r="105" spans="1:2">
      <c r="A105">
        <v>10500716</v>
      </c>
      <c r="B105" t="s">
        <v>764</v>
      </c>
    </row>
    <row r="106" spans="1:2">
      <c r="A106">
        <v>10500717</v>
      </c>
      <c r="B106" t="s">
        <v>765</v>
      </c>
    </row>
    <row r="107" spans="1:2">
      <c r="A107">
        <v>10500718</v>
      </c>
      <c r="B107" t="s">
        <v>766</v>
      </c>
    </row>
    <row r="108" spans="1:2">
      <c r="A108">
        <v>10500719</v>
      </c>
      <c r="B108" t="s">
        <v>767</v>
      </c>
    </row>
    <row r="109" spans="1:2">
      <c r="A109">
        <v>10500720</v>
      </c>
      <c r="B109" t="s">
        <v>768</v>
      </c>
    </row>
    <row r="110" spans="1:2">
      <c r="A110">
        <v>10500721</v>
      </c>
      <c r="B110" t="s">
        <v>769</v>
      </c>
    </row>
    <row r="111" spans="1:2">
      <c r="A111">
        <v>10500722</v>
      </c>
      <c r="B111" t="s">
        <v>770</v>
      </c>
    </row>
    <row r="112" spans="1:2">
      <c r="A112">
        <v>10500723</v>
      </c>
      <c r="B112" t="s">
        <v>771</v>
      </c>
    </row>
    <row r="113" spans="1:2">
      <c r="A113">
        <v>10500724</v>
      </c>
      <c r="B113" t="s">
        <v>772</v>
      </c>
    </row>
    <row r="114" spans="1:2">
      <c r="A114">
        <v>10500725</v>
      </c>
      <c r="B114" t="s">
        <v>773</v>
      </c>
    </row>
    <row r="115" spans="1:2">
      <c r="A115">
        <v>10500810</v>
      </c>
      <c r="B115" t="s">
        <v>783</v>
      </c>
    </row>
    <row r="116" spans="1:2">
      <c r="A116">
        <v>10500811</v>
      </c>
      <c r="B116" t="s">
        <v>784</v>
      </c>
    </row>
    <row r="117" spans="1:2">
      <c r="A117">
        <v>10500812</v>
      </c>
      <c r="B117" t="s">
        <v>785</v>
      </c>
    </row>
    <row r="118" spans="1:2">
      <c r="A118">
        <v>10500813</v>
      </c>
      <c r="B118" t="s">
        <v>786</v>
      </c>
    </row>
    <row r="119" spans="1:2">
      <c r="A119">
        <v>10500814</v>
      </c>
      <c r="B119" t="s">
        <v>787</v>
      </c>
    </row>
    <row r="120" spans="1:2">
      <c r="A120">
        <v>10500815</v>
      </c>
      <c r="B120" t="s">
        <v>788</v>
      </c>
    </row>
    <row r="121" spans="1:2">
      <c r="A121">
        <v>10500816</v>
      </c>
      <c r="B121" t="s">
        <v>789</v>
      </c>
    </row>
    <row r="122" spans="1:2">
      <c r="A122">
        <v>10500817</v>
      </c>
      <c r="B122" t="s">
        <v>790</v>
      </c>
    </row>
    <row r="123" spans="1:2">
      <c r="A123">
        <v>10500818</v>
      </c>
      <c r="B123" t="s">
        <v>791</v>
      </c>
    </row>
    <row r="124" spans="1:2">
      <c r="A124">
        <v>10500819</v>
      </c>
      <c r="B124" t="s">
        <v>792</v>
      </c>
    </row>
    <row r="125" spans="1:2">
      <c r="A125">
        <v>10500820</v>
      </c>
      <c r="B125" t="s">
        <v>793</v>
      </c>
    </row>
    <row r="126" spans="1:2">
      <c r="A126">
        <v>10500821</v>
      </c>
      <c r="B126" t="s">
        <v>794</v>
      </c>
    </row>
    <row r="127" spans="1:2">
      <c r="A127">
        <v>10500822</v>
      </c>
      <c r="B127" t="s">
        <v>795</v>
      </c>
    </row>
    <row r="128" spans="1:2">
      <c r="A128">
        <v>10500823</v>
      </c>
      <c r="B128" t="s">
        <v>796</v>
      </c>
    </row>
    <row r="129" spans="1:2">
      <c r="A129">
        <v>10500824</v>
      </c>
      <c r="B129" t="s">
        <v>797</v>
      </c>
    </row>
    <row r="130" spans="1:2">
      <c r="A130">
        <v>10500825</v>
      </c>
      <c r="B130" t="s">
        <v>798</v>
      </c>
    </row>
    <row r="131" spans="1:2">
      <c r="A131">
        <v>10500910</v>
      </c>
      <c r="B131" t="s">
        <v>808</v>
      </c>
    </row>
    <row r="132" spans="1:2">
      <c r="A132">
        <v>10500911</v>
      </c>
      <c r="B132" t="s">
        <v>809</v>
      </c>
    </row>
    <row r="133" spans="1:2">
      <c r="A133">
        <v>10500912</v>
      </c>
      <c r="B133" t="s">
        <v>810</v>
      </c>
    </row>
    <row r="134" spans="1:2">
      <c r="A134">
        <v>10500913</v>
      </c>
      <c r="B134" t="s">
        <v>811</v>
      </c>
    </row>
    <row r="135" spans="1:2">
      <c r="A135">
        <v>10500914</v>
      </c>
      <c r="B135" t="s">
        <v>812</v>
      </c>
    </row>
    <row r="136" spans="1:2">
      <c r="A136">
        <v>10500915</v>
      </c>
      <c r="B136" t="s">
        <v>813</v>
      </c>
    </row>
    <row r="137" spans="1:2">
      <c r="A137">
        <v>10500916</v>
      </c>
      <c r="B137" t="s">
        <v>814</v>
      </c>
    </row>
    <row r="138" spans="1:2">
      <c r="A138">
        <v>10500917</v>
      </c>
      <c r="B138" t="s">
        <v>815</v>
      </c>
    </row>
    <row r="139" spans="1:2">
      <c r="A139">
        <v>10500918</v>
      </c>
      <c r="B139" t="s">
        <v>816</v>
      </c>
    </row>
    <row r="140" spans="1:2">
      <c r="A140">
        <v>10500919</v>
      </c>
      <c r="B140" t="s">
        <v>817</v>
      </c>
    </row>
    <row r="141" spans="1:2">
      <c r="A141">
        <v>10500920</v>
      </c>
      <c r="B141" t="s">
        <v>818</v>
      </c>
    </row>
    <row r="142" spans="1:2">
      <c r="A142">
        <v>10500921</v>
      </c>
      <c r="B142" t="s">
        <v>819</v>
      </c>
    </row>
    <row r="143" spans="1:2">
      <c r="A143">
        <v>10500922</v>
      </c>
      <c r="B143" t="s">
        <v>820</v>
      </c>
    </row>
    <row r="144" spans="1:2">
      <c r="A144">
        <v>10500923</v>
      </c>
      <c r="B144" t="s">
        <v>821</v>
      </c>
    </row>
    <row r="145" spans="1:2">
      <c r="A145">
        <v>10500924</v>
      </c>
      <c r="B145" t="s">
        <v>822</v>
      </c>
    </row>
    <row r="146" spans="1:2">
      <c r="A146">
        <v>10500925</v>
      </c>
      <c r="B146" t="s">
        <v>823</v>
      </c>
    </row>
    <row r="147" spans="1:2">
      <c r="A147">
        <v>10501010</v>
      </c>
      <c r="B147" t="s">
        <v>833</v>
      </c>
    </row>
    <row r="148" spans="1:2">
      <c r="A148">
        <v>10501011</v>
      </c>
      <c r="B148" t="s">
        <v>834</v>
      </c>
    </row>
    <row r="149" spans="1:2">
      <c r="A149">
        <v>10501012</v>
      </c>
      <c r="B149" t="s">
        <v>835</v>
      </c>
    </row>
    <row r="150" spans="1:2">
      <c r="A150">
        <v>10501013</v>
      </c>
      <c r="B150" t="s">
        <v>836</v>
      </c>
    </row>
    <row r="151" spans="1:2">
      <c r="A151">
        <v>10501014</v>
      </c>
      <c r="B151" t="s">
        <v>837</v>
      </c>
    </row>
    <row r="152" spans="1:2">
      <c r="A152">
        <v>10501015</v>
      </c>
      <c r="B152" t="s">
        <v>838</v>
      </c>
    </row>
    <row r="153" spans="1:2">
      <c r="A153">
        <v>10501016</v>
      </c>
      <c r="B153" t="s">
        <v>839</v>
      </c>
    </row>
    <row r="154" spans="1:2">
      <c r="A154">
        <v>10501017</v>
      </c>
      <c r="B154" t="s">
        <v>840</v>
      </c>
    </row>
    <row r="155" spans="1:2">
      <c r="A155">
        <v>10501018</v>
      </c>
      <c r="B155" t="s">
        <v>841</v>
      </c>
    </row>
    <row r="156" spans="1:2">
      <c r="A156">
        <v>10501019</v>
      </c>
      <c r="B156" t="s">
        <v>842</v>
      </c>
    </row>
    <row r="157" spans="1:2">
      <c r="A157">
        <v>10501020</v>
      </c>
      <c r="B157" t="s">
        <v>843</v>
      </c>
    </row>
    <row r="158" spans="1:2">
      <c r="A158">
        <v>10501021</v>
      </c>
      <c r="B158" t="s">
        <v>844</v>
      </c>
    </row>
    <row r="159" spans="1:2">
      <c r="A159">
        <v>10501022</v>
      </c>
      <c r="B159" t="s">
        <v>845</v>
      </c>
    </row>
    <row r="160" spans="1:2">
      <c r="A160">
        <v>10501023</v>
      </c>
      <c r="B160" t="s">
        <v>846</v>
      </c>
    </row>
    <row r="161" spans="1:2">
      <c r="A161">
        <v>10501024</v>
      </c>
      <c r="B161" t="s">
        <v>847</v>
      </c>
    </row>
    <row r="162" spans="1:2">
      <c r="A162">
        <v>10501025</v>
      </c>
      <c r="B162" t="s">
        <v>848</v>
      </c>
    </row>
    <row r="163" spans="1:2">
      <c r="A163">
        <v>10501110</v>
      </c>
      <c r="B163" t="s">
        <v>858</v>
      </c>
    </row>
    <row r="164" spans="1:2">
      <c r="A164">
        <v>10501111</v>
      </c>
      <c r="B164" t="s">
        <v>859</v>
      </c>
    </row>
    <row r="165" spans="1:2">
      <c r="A165">
        <v>10501112</v>
      </c>
      <c r="B165" t="s">
        <v>860</v>
      </c>
    </row>
    <row r="166" spans="1:2">
      <c r="A166">
        <v>10501113</v>
      </c>
      <c r="B166" t="s">
        <v>861</v>
      </c>
    </row>
    <row r="167" spans="1:2">
      <c r="A167">
        <v>10501114</v>
      </c>
      <c r="B167" t="s">
        <v>862</v>
      </c>
    </row>
    <row r="168" spans="1:2">
      <c r="A168">
        <v>10501115</v>
      </c>
      <c r="B168" t="s">
        <v>863</v>
      </c>
    </row>
    <row r="169" spans="1:2">
      <c r="A169">
        <v>10501116</v>
      </c>
      <c r="B169" t="s">
        <v>864</v>
      </c>
    </row>
    <row r="170" spans="1:2">
      <c r="A170">
        <v>10501117</v>
      </c>
      <c r="B170" t="s">
        <v>865</v>
      </c>
    </row>
    <row r="171" spans="1:2">
      <c r="A171">
        <v>10501118</v>
      </c>
      <c r="B171" t="s">
        <v>866</v>
      </c>
    </row>
    <row r="172" spans="1:2">
      <c r="A172">
        <v>10501119</v>
      </c>
      <c r="B172" t="s">
        <v>867</v>
      </c>
    </row>
    <row r="173" spans="1:2">
      <c r="A173">
        <v>10501120</v>
      </c>
      <c r="B173" t="s">
        <v>868</v>
      </c>
    </row>
    <row r="174" spans="1:2">
      <c r="A174">
        <v>10501121</v>
      </c>
      <c r="B174" t="s">
        <v>869</v>
      </c>
    </row>
    <row r="175" spans="1:2">
      <c r="A175">
        <v>10501122</v>
      </c>
      <c r="B175" t="s">
        <v>870</v>
      </c>
    </row>
    <row r="176" spans="1:2">
      <c r="A176">
        <v>10501123</v>
      </c>
      <c r="B176" t="s">
        <v>871</v>
      </c>
    </row>
    <row r="177" spans="1:2">
      <c r="A177">
        <v>10501124</v>
      </c>
      <c r="B177" t="s">
        <v>872</v>
      </c>
    </row>
    <row r="178" spans="1:2">
      <c r="A178">
        <v>10501125</v>
      </c>
      <c r="B178" t="s">
        <v>873</v>
      </c>
    </row>
    <row r="179" spans="1:2">
      <c r="A179">
        <v>10501210</v>
      </c>
      <c r="B179" t="s">
        <v>883</v>
      </c>
    </row>
    <row r="180" spans="1:2">
      <c r="A180">
        <v>10501211</v>
      </c>
      <c r="B180" t="s">
        <v>884</v>
      </c>
    </row>
    <row r="181" spans="1:2">
      <c r="A181">
        <v>10501212</v>
      </c>
      <c r="B181" t="s">
        <v>885</v>
      </c>
    </row>
    <row r="182" spans="1:2">
      <c r="A182">
        <v>10501213</v>
      </c>
      <c r="B182" t="s">
        <v>886</v>
      </c>
    </row>
    <row r="183" spans="1:2">
      <c r="A183">
        <v>10501214</v>
      </c>
      <c r="B183" t="s">
        <v>887</v>
      </c>
    </row>
    <row r="184" spans="1:2">
      <c r="A184">
        <v>10501215</v>
      </c>
      <c r="B184" t="s">
        <v>888</v>
      </c>
    </row>
    <row r="185" spans="1:2">
      <c r="A185">
        <v>10501216</v>
      </c>
      <c r="B185" t="s">
        <v>889</v>
      </c>
    </row>
    <row r="186" spans="1:2">
      <c r="A186">
        <v>10501217</v>
      </c>
      <c r="B186" t="s">
        <v>890</v>
      </c>
    </row>
    <row r="187" spans="1:2">
      <c r="A187">
        <v>10501218</v>
      </c>
      <c r="B187" t="s">
        <v>891</v>
      </c>
    </row>
    <row r="188" spans="1:2">
      <c r="A188">
        <v>10501219</v>
      </c>
      <c r="B188" t="s">
        <v>892</v>
      </c>
    </row>
    <row r="189" spans="1:2">
      <c r="A189">
        <v>10501220</v>
      </c>
      <c r="B189" t="s">
        <v>893</v>
      </c>
    </row>
    <row r="190" spans="1:2">
      <c r="A190">
        <v>10501221</v>
      </c>
      <c r="B190" t="s">
        <v>894</v>
      </c>
    </row>
    <row r="191" spans="1:2">
      <c r="A191">
        <v>10501222</v>
      </c>
      <c r="B191" t="s">
        <v>895</v>
      </c>
    </row>
    <row r="192" spans="1:2">
      <c r="A192">
        <v>10501223</v>
      </c>
      <c r="B192" t="s">
        <v>896</v>
      </c>
    </row>
    <row r="193" spans="1:2">
      <c r="A193">
        <v>10501224</v>
      </c>
      <c r="B193" t="s">
        <v>897</v>
      </c>
    </row>
    <row r="194" spans="1:2">
      <c r="A194">
        <v>10501225</v>
      </c>
      <c r="B194" t="s">
        <v>898</v>
      </c>
    </row>
    <row r="195" spans="1:2">
      <c r="A195">
        <v>10501310</v>
      </c>
      <c r="B195" t="s">
        <v>908</v>
      </c>
    </row>
    <row r="196" spans="1:2">
      <c r="A196">
        <v>10501311</v>
      </c>
      <c r="B196" t="s">
        <v>909</v>
      </c>
    </row>
    <row r="197" spans="1:2">
      <c r="A197">
        <v>10501312</v>
      </c>
      <c r="B197" t="s">
        <v>910</v>
      </c>
    </row>
    <row r="198" spans="1:2">
      <c r="A198">
        <v>10501313</v>
      </c>
      <c r="B198" t="s">
        <v>911</v>
      </c>
    </row>
    <row r="199" spans="1:2">
      <c r="A199">
        <v>10501314</v>
      </c>
      <c r="B199" t="s">
        <v>912</v>
      </c>
    </row>
    <row r="200" spans="1:2">
      <c r="A200">
        <v>10501315</v>
      </c>
      <c r="B200" t="s">
        <v>913</v>
      </c>
    </row>
    <row r="201" spans="1:2">
      <c r="A201">
        <v>10501316</v>
      </c>
      <c r="B201" t="s">
        <v>914</v>
      </c>
    </row>
    <row r="202" spans="1:2">
      <c r="A202">
        <v>10501317</v>
      </c>
      <c r="B202" t="s">
        <v>915</v>
      </c>
    </row>
    <row r="203" spans="1:2">
      <c r="A203">
        <v>10501318</v>
      </c>
      <c r="B203" t="s">
        <v>916</v>
      </c>
    </row>
    <row r="204" spans="1:2">
      <c r="A204">
        <v>10501319</v>
      </c>
      <c r="B204" t="s">
        <v>917</v>
      </c>
    </row>
    <row r="205" spans="1:2">
      <c r="A205">
        <v>10501320</v>
      </c>
      <c r="B205" t="s">
        <v>918</v>
      </c>
    </row>
    <row r="206" spans="1:2">
      <c r="A206">
        <v>10501321</v>
      </c>
      <c r="B206" t="s">
        <v>919</v>
      </c>
    </row>
    <row r="207" spans="1:2">
      <c r="A207">
        <v>10501322</v>
      </c>
      <c r="B207" t="s">
        <v>920</v>
      </c>
    </row>
    <row r="208" spans="1:2">
      <c r="A208">
        <v>10501323</v>
      </c>
      <c r="B208" t="s">
        <v>921</v>
      </c>
    </row>
    <row r="209" spans="1:2">
      <c r="A209">
        <v>10501324</v>
      </c>
      <c r="B209" t="s">
        <v>922</v>
      </c>
    </row>
    <row r="210" spans="1:2">
      <c r="A210">
        <v>10501325</v>
      </c>
      <c r="B210" t="s">
        <v>923</v>
      </c>
    </row>
    <row r="211" spans="1:2">
      <c r="A211">
        <v>10599928</v>
      </c>
      <c r="B211" t="s">
        <v>951</v>
      </c>
    </row>
    <row r="212" spans="1:2">
      <c r="A212">
        <v>10599929</v>
      </c>
      <c r="B212" t="s">
        <v>952</v>
      </c>
    </row>
    <row r="213" spans="1:2">
      <c r="A213">
        <v>10599930</v>
      </c>
      <c r="B213" t="s">
        <v>953</v>
      </c>
    </row>
    <row r="214" spans="1:2">
      <c r="A214">
        <v>10599931</v>
      </c>
      <c r="B214" t="s">
        <v>954</v>
      </c>
    </row>
    <row r="215" spans="1:2">
      <c r="A215">
        <v>10599932</v>
      </c>
      <c r="B215" t="s">
        <v>955</v>
      </c>
    </row>
    <row r="216" spans="1:2">
      <c r="A216">
        <v>10599933</v>
      </c>
      <c r="B216" t="s">
        <v>956</v>
      </c>
    </row>
    <row r="217" spans="1:2">
      <c r="A217">
        <v>10599934</v>
      </c>
      <c r="B217" t="s">
        <v>957</v>
      </c>
    </row>
    <row r="218" spans="1:2">
      <c r="A218">
        <v>10599935</v>
      </c>
      <c r="B218" t="s">
        <v>958</v>
      </c>
    </row>
    <row r="219" spans="1:2">
      <c r="A219">
        <v>10599936</v>
      </c>
      <c r="B219" t="s">
        <v>959</v>
      </c>
    </row>
    <row r="220" spans="1:2">
      <c r="A220">
        <v>10599937</v>
      </c>
      <c r="B220" t="s">
        <v>960</v>
      </c>
    </row>
    <row r="221" spans="1:2">
      <c r="A221">
        <v>10599938</v>
      </c>
      <c r="B221" t="s">
        <v>961</v>
      </c>
    </row>
    <row r="222" spans="1:2">
      <c r="A222">
        <v>10599939</v>
      </c>
      <c r="B222" t="s">
        <v>962</v>
      </c>
    </row>
    <row r="223" spans="1:2">
      <c r="A223">
        <v>10599940</v>
      </c>
      <c r="B223" t="s">
        <v>963</v>
      </c>
    </row>
    <row r="224" spans="1:2">
      <c r="A224">
        <v>10599941</v>
      </c>
      <c r="B224" t="s">
        <v>964</v>
      </c>
    </row>
    <row r="225" spans="1:2">
      <c r="A225">
        <v>10599942</v>
      </c>
      <c r="B225" t="s">
        <v>965</v>
      </c>
    </row>
    <row r="226" spans="1:2">
      <c r="A226">
        <v>10599943</v>
      </c>
      <c r="B226" t="s">
        <v>966</v>
      </c>
    </row>
    <row r="227" spans="1:2">
      <c r="A227">
        <v>11001401</v>
      </c>
      <c r="B227" t="s">
        <v>967</v>
      </c>
    </row>
    <row r="228" spans="1:2">
      <c r="A228">
        <v>11001402</v>
      </c>
      <c r="B228" t="s">
        <v>968</v>
      </c>
    </row>
    <row r="229" spans="1:2">
      <c r="A229">
        <v>11001403</v>
      </c>
      <c r="B229" t="s">
        <v>969</v>
      </c>
    </row>
    <row r="230" spans="1:2">
      <c r="A230">
        <v>11001404</v>
      </c>
      <c r="B230" t="s">
        <v>970</v>
      </c>
    </row>
    <row r="231" spans="1:2">
      <c r="A231">
        <v>11001405</v>
      </c>
      <c r="B231" t="s">
        <v>971</v>
      </c>
    </row>
    <row r="232" spans="1:2">
      <c r="A232">
        <v>11001406</v>
      </c>
      <c r="B232" t="s">
        <v>972</v>
      </c>
    </row>
    <row r="233" spans="1:2">
      <c r="A233">
        <v>11001407</v>
      </c>
      <c r="B233" t="s">
        <v>973</v>
      </c>
    </row>
    <row r="234" spans="1:2">
      <c r="A234">
        <v>11001408</v>
      </c>
      <c r="B234" t="s">
        <v>974</v>
      </c>
    </row>
    <row r="235" spans="1:2">
      <c r="A235">
        <v>11001501</v>
      </c>
      <c r="B235" t="s">
        <v>975</v>
      </c>
    </row>
    <row r="236" spans="1:2">
      <c r="A236">
        <v>11001502</v>
      </c>
      <c r="B236" t="s">
        <v>976</v>
      </c>
    </row>
    <row r="237" spans="1:2">
      <c r="A237">
        <v>11001503</v>
      </c>
      <c r="B237" t="s">
        <v>977</v>
      </c>
    </row>
    <row r="238" spans="1:2">
      <c r="A238">
        <v>11001504</v>
      </c>
      <c r="B238" t="s">
        <v>978</v>
      </c>
    </row>
    <row r="239" spans="1:2">
      <c r="A239">
        <v>11001601</v>
      </c>
      <c r="B239" t="s">
        <v>979</v>
      </c>
    </row>
    <row r="240" spans="1:2">
      <c r="A240">
        <v>11001602</v>
      </c>
      <c r="B240" t="s">
        <v>980</v>
      </c>
    </row>
    <row r="241" spans="1:2">
      <c r="A241">
        <v>11001603</v>
      </c>
      <c r="B241" t="s">
        <v>2407</v>
      </c>
    </row>
    <row r="242" spans="1:2">
      <c r="A242">
        <v>11001701</v>
      </c>
      <c r="B242" t="s">
        <v>981</v>
      </c>
    </row>
    <row r="243" spans="1:2">
      <c r="A243">
        <v>11001702</v>
      </c>
      <c r="B243" t="s">
        <v>2408</v>
      </c>
    </row>
    <row r="244" spans="1:2">
      <c r="A244">
        <v>11001703</v>
      </c>
      <c r="B244" t="s">
        <v>2409</v>
      </c>
    </row>
    <row r="245" spans="1:2">
      <c r="A245">
        <v>11001801</v>
      </c>
      <c r="B245" t="s">
        <v>982</v>
      </c>
    </row>
    <row r="246" spans="1:2">
      <c r="A246">
        <v>11001802</v>
      </c>
      <c r="B246" t="s">
        <v>2410</v>
      </c>
    </row>
    <row r="247" spans="1:2">
      <c r="A247">
        <v>11001901</v>
      </c>
      <c r="B247" t="s">
        <v>983</v>
      </c>
    </row>
    <row r="248" spans="1:2">
      <c r="A248">
        <v>11002001</v>
      </c>
      <c r="B248" t="s">
        <v>984</v>
      </c>
    </row>
    <row r="249" spans="1:2">
      <c r="A249">
        <v>11002002</v>
      </c>
      <c r="B249" t="s">
        <v>985</v>
      </c>
    </row>
    <row r="250" spans="1:2">
      <c r="A250">
        <v>11002101</v>
      </c>
      <c r="B250" t="s">
        <v>2411</v>
      </c>
    </row>
    <row r="251" spans="1:2">
      <c r="A251">
        <v>11002102</v>
      </c>
      <c r="B251" t="s">
        <v>2412</v>
      </c>
    </row>
    <row r="252" spans="1:2">
      <c r="A252">
        <v>11002103</v>
      </c>
      <c r="B252" t="s">
        <v>2413</v>
      </c>
    </row>
    <row r="253" spans="1:2">
      <c r="A253">
        <v>11007701</v>
      </c>
      <c r="B253" t="s">
        <v>1017</v>
      </c>
    </row>
    <row r="254" spans="1:2">
      <c r="A254">
        <v>11007801</v>
      </c>
      <c r="B254" t="s">
        <v>1018</v>
      </c>
    </row>
    <row r="255" spans="1:2">
      <c r="A255">
        <v>11007901</v>
      </c>
      <c r="B255" t="s">
        <v>1019</v>
      </c>
    </row>
    <row r="256" spans="1:2">
      <c r="A256">
        <v>11002201</v>
      </c>
      <c r="B256" t="s">
        <v>986</v>
      </c>
    </row>
    <row r="257" spans="1:2">
      <c r="A257">
        <v>11002301</v>
      </c>
      <c r="B257" t="s">
        <v>987</v>
      </c>
    </row>
    <row r="258" spans="1:2">
      <c r="A258">
        <v>11002401</v>
      </c>
      <c r="B258" t="s">
        <v>2414</v>
      </c>
    </row>
    <row r="259" spans="1:2">
      <c r="A259">
        <v>11002501</v>
      </c>
      <c r="B259" t="s">
        <v>988</v>
      </c>
    </row>
    <row r="260" spans="1:2">
      <c r="A260">
        <v>11002601</v>
      </c>
      <c r="B260" t="s">
        <v>989</v>
      </c>
    </row>
    <row r="261" spans="1:2">
      <c r="A261">
        <v>11002701</v>
      </c>
      <c r="B261" t="s">
        <v>990</v>
      </c>
    </row>
    <row r="262" spans="1:2">
      <c r="A262">
        <v>11002801</v>
      </c>
      <c r="B262" t="s">
        <v>991</v>
      </c>
    </row>
    <row r="263" spans="1:2">
      <c r="A263">
        <v>11002901</v>
      </c>
      <c r="B263" t="s">
        <v>992</v>
      </c>
    </row>
    <row r="264" spans="1:2">
      <c r="A264">
        <v>11003001</v>
      </c>
      <c r="B264" t="s">
        <v>993</v>
      </c>
    </row>
    <row r="265" spans="1:2">
      <c r="A265">
        <v>11003101</v>
      </c>
      <c r="B265" t="s">
        <v>994</v>
      </c>
    </row>
    <row r="266" spans="1:2">
      <c r="A266">
        <v>11003201</v>
      </c>
      <c r="B266" t="s">
        <v>995</v>
      </c>
    </row>
    <row r="267" spans="1:2">
      <c r="A267">
        <v>11003301</v>
      </c>
      <c r="B267" t="s">
        <v>996</v>
      </c>
    </row>
    <row r="268" spans="1:2">
      <c r="A268">
        <v>11003401</v>
      </c>
      <c r="B268" t="s">
        <v>997</v>
      </c>
    </row>
    <row r="269" spans="1:2">
      <c r="A269">
        <v>11003501</v>
      </c>
      <c r="B269" t="s">
        <v>998</v>
      </c>
    </row>
    <row r="270" spans="1:2">
      <c r="A270">
        <v>11003601</v>
      </c>
      <c r="B270" t="s">
        <v>999</v>
      </c>
    </row>
    <row r="271" spans="1:2">
      <c r="A271">
        <v>11003701</v>
      </c>
      <c r="B271" t="s">
        <v>1000</v>
      </c>
    </row>
    <row r="272" spans="1:2">
      <c r="A272">
        <v>11003801</v>
      </c>
      <c r="B272" t="s">
        <v>1001</v>
      </c>
    </row>
    <row r="273" spans="1:2">
      <c r="A273">
        <v>11003901</v>
      </c>
      <c r="B273" t="s">
        <v>1002</v>
      </c>
    </row>
    <row r="274" spans="1:2">
      <c r="A274">
        <v>11004001</v>
      </c>
      <c r="B274" t="s">
        <v>1003</v>
      </c>
    </row>
    <row r="275" spans="1:2">
      <c r="A275">
        <v>11004101</v>
      </c>
      <c r="B275" t="s">
        <v>1004</v>
      </c>
    </row>
    <row r="276" spans="1:2">
      <c r="A276">
        <v>11004201</v>
      </c>
      <c r="B276" t="s">
        <v>1005</v>
      </c>
    </row>
    <row r="277" spans="1:2">
      <c r="A277">
        <v>11004301</v>
      </c>
      <c r="B277" t="s">
        <v>1006</v>
      </c>
    </row>
    <row r="278" spans="1:2">
      <c r="A278">
        <v>11004401</v>
      </c>
      <c r="B278" t="s">
        <v>1007</v>
      </c>
    </row>
    <row r="279" spans="1:2">
      <c r="A279">
        <v>11004501</v>
      </c>
      <c r="B279" t="s">
        <v>1008</v>
      </c>
    </row>
    <row r="280" spans="1:2">
      <c r="A280">
        <v>11004601</v>
      </c>
      <c r="B280" t="s">
        <v>1009</v>
      </c>
    </row>
    <row r="281" spans="1:2">
      <c r="A281">
        <v>11004701</v>
      </c>
      <c r="B281" t="s">
        <v>1010</v>
      </c>
    </row>
    <row r="282" spans="1:2">
      <c r="A282">
        <v>11004801</v>
      </c>
      <c r="B282" t="s">
        <v>1011</v>
      </c>
    </row>
    <row r="283" spans="1:2">
      <c r="A283">
        <v>11004802</v>
      </c>
      <c r="B283" t="s">
        <v>1012</v>
      </c>
    </row>
    <row r="284" spans="1:2">
      <c r="A284">
        <v>11004803</v>
      </c>
      <c r="B284" t="s">
        <v>1013</v>
      </c>
    </row>
    <row r="285" spans="1:2">
      <c r="A285">
        <v>11004804</v>
      </c>
      <c r="B285" t="s">
        <v>1014</v>
      </c>
    </row>
    <row r="286" spans="1:2">
      <c r="A286">
        <v>11004901</v>
      </c>
      <c r="B286" t="s">
        <v>1015</v>
      </c>
    </row>
    <row r="287" spans="1:2">
      <c r="A287">
        <v>11005001</v>
      </c>
      <c r="B287" t="s">
        <v>1016</v>
      </c>
    </row>
    <row r="288" spans="1:2">
      <c r="A288">
        <v>11099901</v>
      </c>
      <c r="B288" t="s">
        <v>1020</v>
      </c>
    </row>
    <row r="289" spans="1:2">
      <c r="A289">
        <v>11004901</v>
      </c>
      <c r="B289" t="s">
        <v>2415</v>
      </c>
    </row>
    <row r="290" spans="1:2">
      <c r="A290">
        <v>11004902</v>
      </c>
      <c r="B290" t="s">
        <v>2416</v>
      </c>
    </row>
    <row r="291" spans="1:2">
      <c r="A291">
        <v>11004903</v>
      </c>
      <c r="B291" t="s">
        <v>2417</v>
      </c>
    </row>
    <row r="292" spans="1:2">
      <c r="A292">
        <v>11004904</v>
      </c>
      <c r="B292" t="s">
        <v>2418</v>
      </c>
    </row>
    <row r="293" spans="1:2">
      <c r="A293">
        <v>11004905</v>
      </c>
      <c r="B293" t="s">
        <v>2419</v>
      </c>
    </row>
    <row r="294" spans="1:2">
      <c r="A294">
        <v>11004906</v>
      </c>
      <c r="B294" t="s">
        <v>2420</v>
      </c>
    </row>
    <row r="295" spans="1:2">
      <c r="A295">
        <v>11004907</v>
      </c>
      <c r="B295" t="s">
        <v>2421</v>
      </c>
    </row>
    <row r="296" spans="1:2">
      <c r="A296">
        <v>11004908</v>
      </c>
      <c r="B296" t="s">
        <v>2422</v>
      </c>
    </row>
    <row r="297" spans="1:2">
      <c r="A297">
        <v>11004909</v>
      </c>
      <c r="B297" t="s">
        <v>2423</v>
      </c>
    </row>
    <row r="298" spans="1:2">
      <c r="A298">
        <v>11004910</v>
      </c>
      <c r="B298" t="s">
        <v>2424</v>
      </c>
    </row>
    <row r="299" spans="1:2">
      <c r="A299">
        <v>11004911</v>
      </c>
      <c r="B299" t="s">
        <v>2425</v>
      </c>
    </row>
    <row r="300" spans="1:2">
      <c r="A300">
        <v>11005001</v>
      </c>
      <c r="B300" t="s">
        <v>2426</v>
      </c>
    </row>
    <row r="301" spans="1:2">
      <c r="A301">
        <v>11005002</v>
      </c>
      <c r="B301" t="s">
        <v>2427</v>
      </c>
    </row>
    <row r="302" spans="1:2">
      <c r="A302">
        <v>11005003</v>
      </c>
      <c r="B302" t="s">
        <v>2428</v>
      </c>
    </row>
    <row r="303" spans="1:2">
      <c r="A303">
        <v>11005004</v>
      </c>
      <c r="B303" t="s">
        <v>2429</v>
      </c>
    </row>
    <row r="304" spans="1:2">
      <c r="A304">
        <v>11005005</v>
      </c>
      <c r="B304" t="s">
        <v>2430</v>
      </c>
    </row>
    <row r="305" spans="1:2">
      <c r="A305">
        <v>11005006</v>
      </c>
      <c r="B305" t="s">
        <v>2431</v>
      </c>
    </row>
    <row r="306" spans="1:2">
      <c r="A306">
        <v>11005007</v>
      </c>
      <c r="B306" t="s">
        <v>2432</v>
      </c>
    </row>
    <row r="307" spans="1:2">
      <c r="A307">
        <v>11005008</v>
      </c>
      <c r="B307" t="s">
        <v>2433</v>
      </c>
    </row>
    <row r="308" spans="1:2">
      <c r="A308">
        <v>11005009</v>
      </c>
      <c r="B308" t="s">
        <v>2434</v>
      </c>
    </row>
    <row r="309" spans="1:2">
      <c r="A309">
        <v>11005010</v>
      </c>
      <c r="B309" t="s">
        <v>2435</v>
      </c>
    </row>
    <row r="310" spans="1:2">
      <c r="A310">
        <v>11005011</v>
      </c>
      <c r="B310" t="s">
        <v>2436</v>
      </c>
    </row>
    <row r="311" spans="1:2">
      <c r="A311">
        <v>11099901</v>
      </c>
      <c r="B311" t="s">
        <v>2437</v>
      </c>
    </row>
    <row r="312" spans="1:2">
      <c r="A312">
        <v>11099902</v>
      </c>
      <c r="B312" t="s">
        <v>2438</v>
      </c>
    </row>
    <row r="313" spans="1:2">
      <c r="A313">
        <v>11099903</v>
      </c>
      <c r="B313" t="s">
        <v>2439</v>
      </c>
    </row>
    <row r="314" spans="1:2">
      <c r="A314">
        <v>11099904</v>
      </c>
      <c r="B314" t="s">
        <v>2440</v>
      </c>
    </row>
    <row r="315" spans="1:2">
      <c r="A315">
        <v>11099905</v>
      </c>
      <c r="B315" t="s">
        <v>2441</v>
      </c>
    </row>
    <row r="316" spans="1:2">
      <c r="A316">
        <v>11099912</v>
      </c>
      <c r="B316" t="s">
        <v>2442</v>
      </c>
    </row>
    <row r="317" spans="1:2">
      <c r="A317">
        <v>11099906</v>
      </c>
      <c r="B317" t="s">
        <v>2443</v>
      </c>
    </row>
    <row r="318" spans="1:2">
      <c r="A318">
        <v>11099907</v>
      </c>
      <c r="B318" t="s">
        <v>2444</v>
      </c>
    </row>
    <row r="319" spans="1:2">
      <c r="A319">
        <v>11099908</v>
      </c>
      <c r="B319" t="s">
        <v>2445</v>
      </c>
    </row>
    <row r="320" spans="1:2">
      <c r="A320">
        <v>11099909</v>
      </c>
      <c r="B320" t="s">
        <v>2446</v>
      </c>
    </row>
    <row r="321" spans="1:2">
      <c r="A321">
        <v>11099913</v>
      </c>
      <c r="B321" t="s">
        <v>2447</v>
      </c>
    </row>
    <row r="322" spans="1:2">
      <c r="A322">
        <v>11099914</v>
      </c>
      <c r="B322" t="s">
        <v>2448</v>
      </c>
    </row>
    <row r="323" spans="1:2">
      <c r="A323">
        <v>11099915</v>
      </c>
      <c r="B323" t="s">
        <v>2449</v>
      </c>
    </row>
    <row r="324" spans="1:2">
      <c r="A324">
        <v>11099910</v>
      </c>
      <c r="B324" t="s">
        <v>2450</v>
      </c>
    </row>
    <row r="325" spans="1:2">
      <c r="A325">
        <v>11099911</v>
      </c>
      <c r="B325" t="s">
        <v>2451</v>
      </c>
    </row>
    <row r="326" spans="1:2">
      <c r="A326">
        <v>11099916</v>
      </c>
      <c r="B326" t="s">
        <v>2452</v>
      </c>
    </row>
    <row r="327" spans="1:2">
      <c r="A327">
        <v>11099917</v>
      </c>
      <c r="B327" t="s">
        <v>2453</v>
      </c>
    </row>
    <row r="328" spans="1:2">
      <c r="A328">
        <v>11099918</v>
      </c>
      <c r="B328" t="s">
        <v>2454</v>
      </c>
    </row>
    <row r="329" spans="1:2">
      <c r="A329">
        <v>11505101</v>
      </c>
      <c r="B329" t="s">
        <v>1021</v>
      </c>
    </row>
    <row r="330" spans="1:2">
      <c r="A330">
        <v>11505201</v>
      </c>
      <c r="B330" t="s">
        <v>1022</v>
      </c>
    </row>
    <row r="331" spans="1:2">
      <c r="A331">
        <v>11505301</v>
      </c>
      <c r="B331" t="s">
        <v>1023</v>
      </c>
    </row>
    <row r="332" spans="1:2">
      <c r="A332">
        <v>11505401</v>
      </c>
      <c r="B332" t="s">
        <v>1024</v>
      </c>
    </row>
    <row r="333" spans="1:2">
      <c r="A333">
        <v>11508001</v>
      </c>
      <c r="B333" t="s">
        <v>2455</v>
      </c>
    </row>
    <row r="334" spans="1:2">
      <c r="A334">
        <v>12005501</v>
      </c>
      <c r="B334" t="s">
        <v>1025</v>
      </c>
    </row>
    <row r="335" spans="1:2">
      <c r="A335">
        <v>12005601</v>
      </c>
      <c r="B335" t="s">
        <v>1026</v>
      </c>
    </row>
    <row r="336" spans="1:2">
      <c r="A336">
        <v>12005602</v>
      </c>
      <c r="B336" t="s">
        <v>1027</v>
      </c>
    </row>
    <row r="337" spans="1:2">
      <c r="A337">
        <v>12005603</v>
      </c>
      <c r="B337" t="s">
        <v>1028</v>
      </c>
    </row>
    <row r="338" spans="1:2">
      <c r="A338">
        <v>12005604</v>
      </c>
      <c r="B338" t="s">
        <v>1029</v>
      </c>
    </row>
    <row r="339" spans="1:2">
      <c r="A339">
        <v>12005701</v>
      </c>
      <c r="B339" t="s">
        <v>1030</v>
      </c>
    </row>
    <row r="340" spans="1:2">
      <c r="A340">
        <v>12005702</v>
      </c>
      <c r="B340" t="s">
        <v>1031</v>
      </c>
    </row>
    <row r="341" spans="1:2">
      <c r="A341">
        <v>12005703</v>
      </c>
      <c r="B341" t="s">
        <v>1032</v>
      </c>
    </row>
    <row r="342" spans="1:2">
      <c r="A342">
        <v>12005801</v>
      </c>
      <c r="B342" t="s">
        <v>1033</v>
      </c>
    </row>
    <row r="343" spans="1:2">
      <c r="A343">
        <v>12099901</v>
      </c>
      <c r="B343" t="s">
        <v>1034</v>
      </c>
    </row>
    <row r="344" spans="1:2">
      <c r="A344">
        <v>12099902</v>
      </c>
      <c r="B344" t="s">
        <v>1035</v>
      </c>
    </row>
    <row r="345" spans="1:2">
      <c r="A345">
        <v>12505901</v>
      </c>
      <c r="B345" t="s">
        <v>1036</v>
      </c>
    </row>
    <row r="346" spans="1:2">
      <c r="A346">
        <v>12505902</v>
      </c>
      <c r="B346" t="s">
        <v>1037</v>
      </c>
    </row>
    <row r="347" spans="1:2">
      <c r="A347">
        <v>12505903</v>
      </c>
      <c r="B347" t="s">
        <v>1038</v>
      </c>
    </row>
    <row r="348" spans="1:2">
      <c r="A348">
        <v>12505904</v>
      </c>
      <c r="B348" t="s">
        <v>1039</v>
      </c>
    </row>
    <row r="349" spans="1:2">
      <c r="A349">
        <v>12505905</v>
      </c>
      <c r="B349" t="s">
        <v>1040</v>
      </c>
    </row>
    <row r="350" spans="1:2">
      <c r="A350">
        <v>12505906</v>
      </c>
      <c r="B350" t="s">
        <v>1041</v>
      </c>
    </row>
    <row r="351" spans="1:2">
      <c r="A351">
        <v>12505907</v>
      </c>
      <c r="B351" t="s">
        <v>1042</v>
      </c>
    </row>
    <row r="352" spans="1:2">
      <c r="A352">
        <v>12505908</v>
      </c>
      <c r="B352" t="s">
        <v>1043</v>
      </c>
    </row>
    <row r="353" spans="1:2">
      <c r="A353">
        <v>12505909</v>
      </c>
      <c r="B353" t="s">
        <v>1044</v>
      </c>
    </row>
    <row r="354" spans="1:2">
      <c r="A354">
        <v>12505910</v>
      </c>
      <c r="B354" t="s">
        <v>1045</v>
      </c>
    </row>
    <row r="355" spans="1:2">
      <c r="A355">
        <v>12505911</v>
      </c>
      <c r="B355" t="s">
        <v>1046</v>
      </c>
    </row>
    <row r="356" spans="1:2">
      <c r="A356">
        <v>12505912</v>
      </c>
      <c r="B356" t="s">
        <v>1047</v>
      </c>
    </row>
    <row r="357" spans="1:2">
      <c r="A357">
        <v>12505913</v>
      </c>
      <c r="B357" t="s">
        <v>1048</v>
      </c>
    </row>
    <row r="358" spans="1:2">
      <c r="A358">
        <v>12505914</v>
      </c>
      <c r="B358" t="s">
        <v>1049</v>
      </c>
    </row>
    <row r="359" spans="1:2">
      <c r="A359">
        <v>12505915</v>
      </c>
      <c r="B359" t="s">
        <v>1050</v>
      </c>
    </row>
    <row r="360" spans="1:2">
      <c r="A360">
        <v>12505916</v>
      </c>
      <c r="B360" t="s">
        <v>1051</v>
      </c>
    </row>
    <row r="361" spans="1:2">
      <c r="A361">
        <v>12505917</v>
      </c>
      <c r="B361" t="s">
        <v>1052</v>
      </c>
    </row>
    <row r="362" spans="1:2">
      <c r="A362">
        <v>12505918</v>
      </c>
      <c r="B362" t="s">
        <v>1053</v>
      </c>
    </row>
    <row r="363" spans="1:2">
      <c r="A363">
        <v>12505919</v>
      </c>
      <c r="B363" t="s">
        <v>1054</v>
      </c>
    </row>
    <row r="364" spans="1:2">
      <c r="A364">
        <v>12505920</v>
      </c>
      <c r="B364" t="s">
        <v>1055</v>
      </c>
    </row>
    <row r="365" spans="1:2">
      <c r="A365">
        <v>12505921</v>
      </c>
      <c r="B365" t="s">
        <v>1056</v>
      </c>
    </row>
    <row r="366" spans="1:2">
      <c r="A366">
        <v>12505922</v>
      </c>
      <c r="B366" t="s">
        <v>1057</v>
      </c>
    </row>
    <row r="367" spans="1:2">
      <c r="A367">
        <v>12505923</v>
      </c>
      <c r="B367" t="s">
        <v>1058</v>
      </c>
    </row>
    <row r="368" spans="1:2">
      <c r="A368">
        <v>12505924</v>
      </c>
      <c r="B368" t="s">
        <v>1059</v>
      </c>
    </row>
    <row r="369" spans="1:2">
      <c r="A369">
        <v>12505925</v>
      </c>
      <c r="B369" t="s">
        <v>1060</v>
      </c>
    </row>
    <row r="370" spans="1:2">
      <c r="A370">
        <v>12505926</v>
      </c>
      <c r="B370" t="s">
        <v>1061</v>
      </c>
    </row>
    <row r="371" spans="1:2">
      <c r="A371">
        <v>12505927</v>
      </c>
      <c r="B371" t="s">
        <v>1062</v>
      </c>
    </row>
    <row r="372" spans="1:2">
      <c r="A372">
        <v>12505928</v>
      </c>
      <c r="B372" t="s">
        <v>1063</v>
      </c>
    </row>
    <row r="373" spans="1:2">
      <c r="A373">
        <v>12505929</v>
      </c>
      <c r="B373" t="s">
        <v>1064</v>
      </c>
    </row>
    <row r="374" spans="1:2">
      <c r="A374">
        <v>12505930</v>
      </c>
      <c r="B374" t="s">
        <v>1065</v>
      </c>
    </row>
    <row r="375" spans="1:2">
      <c r="A375">
        <v>12505931</v>
      </c>
      <c r="B375" t="s">
        <v>1066</v>
      </c>
    </row>
    <row r="376" spans="1:2">
      <c r="A376">
        <v>12505932</v>
      </c>
      <c r="B376" t="s">
        <v>1067</v>
      </c>
    </row>
    <row r="377" spans="1:2">
      <c r="A377">
        <v>12505933</v>
      </c>
      <c r="B377" t="s">
        <v>1068</v>
      </c>
    </row>
    <row r="378" spans="1:2">
      <c r="A378">
        <v>12505934</v>
      </c>
      <c r="B378" t="s">
        <v>1069</v>
      </c>
    </row>
    <row r="379" spans="1:2">
      <c r="A379">
        <v>12505935</v>
      </c>
      <c r="B379" t="s">
        <v>1070</v>
      </c>
    </row>
    <row r="380" spans="1:2">
      <c r="A380">
        <v>12505936</v>
      </c>
      <c r="B380" t="s">
        <v>1071</v>
      </c>
    </row>
    <row r="381" spans="1:2">
      <c r="A381">
        <v>12505937</v>
      </c>
      <c r="B381" t="s">
        <v>1072</v>
      </c>
    </row>
    <row r="382" spans="1:2">
      <c r="A382">
        <v>12505938</v>
      </c>
      <c r="B382" t="s">
        <v>1073</v>
      </c>
    </row>
    <row r="383" spans="1:2">
      <c r="A383">
        <v>12505939</v>
      </c>
      <c r="B383" t="s">
        <v>1074</v>
      </c>
    </row>
    <row r="384" spans="1:2">
      <c r="A384">
        <v>12505940</v>
      </c>
      <c r="B384" t="s">
        <v>1075</v>
      </c>
    </row>
    <row r="385" spans="1:2">
      <c r="A385">
        <v>12505941</v>
      </c>
      <c r="B385" t="s">
        <v>1076</v>
      </c>
    </row>
    <row r="386" spans="1:2">
      <c r="A386">
        <v>12505942</v>
      </c>
      <c r="B386" t="s">
        <v>1077</v>
      </c>
    </row>
    <row r="387" spans="1:2">
      <c r="A387">
        <v>12505943</v>
      </c>
      <c r="B387" t="s">
        <v>1078</v>
      </c>
    </row>
    <row r="388" spans="1:2">
      <c r="A388">
        <v>12505944</v>
      </c>
      <c r="B388" t="s">
        <v>1079</v>
      </c>
    </row>
    <row r="389" spans="1:2">
      <c r="A389">
        <v>12505945</v>
      </c>
      <c r="B389" t="s">
        <v>1080</v>
      </c>
    </row>
    <row r="390" spans="1:2">
      <c r="A390">
        <v>12505946</v>
      </c>
      <c r="B390" t="s">
        <v>1081</v>
      </c>
    </row>
    <row r="391" spans="1:2">
      <c r="A391">
        <v>12505947</v>
      </c>
      <c r="B391" t="s">
        <v>1082</v>
      </c>
    </row>
    <row r="392" spans="1:2">
      <c r="A392">
        <v>12505948</v>
      </c>
      <c r="B392" t="s">
        <v>1083</v>
      </c>
    </row>
    <row r="393" spans="1:2">
      <c r="A393">
        <v>12505949</v>
      </c>
      <c r="B393" t="s">
        <v>1084</v>
      </c>
    </row>
    <row r="394" spans="1:2">
      <c r="A394">
        <v>12505950</v>
      </c>
      <c r="B394" t="s">
        <v>1085</v>
      </c>
    </row>
    <row r="395" spans="1:2">
      <c r="A395">
        <v>12505951</v>
      </c>
      <c r="B395" t="s">
        <v>1086</v>
      </c>
    </row>
    <row r="396" spans="1:2">
      <c r="A396">
        <v>12505952</v>
      </c>
      <c r="B396" t="s">
        <v>1087</v>
      </c>
    </row>
    <row r="397" spans="1:2">
      <c r="A397">
        <v>12505953</v>
      </c>
      <c r="B397" t="s">
        <v>1088</v>
      </c>
    </row>
    <row r="398" spans="1:2">
      <c r="A398">
        <v>12505954</v>
      </c>
      <c r="B398" t="s">
        <v>1089</v>
      </c>
    </row>
    <row r="399" spans="1:2">
      <c r="A399">
        <v>12505955</v>
      </c>
      <c r="B399" t="s">
        <v>1090</v>
      </c>
    </row>
    <row r="400" spans="1:2">
      <c r="A400">
        <v>12505956</v>
      </c>
      <c r="B400" t="s">
        <v>1091</v>
      </c>
    </row>
    <row r="401" spans="1:2">
      <c r="A401">
        <v>12505957</v>
      </c>
      <c r="B401" t="s">
        <v>1092</v>
      </c>
    </row>
    <row r="402" spans="1:2">
      <c r="A402">
        <v>12505958</v>
      </c>
      <c r="B402" t="s">
        <v>1093</v>
      </c>
    </row>
    <row r="403" spans="1:2">
      <c r="A403">
        <v>12505959</v>
      </c>
      <c r="B403" t="s">
        <v>1094</v>
      </c>
    </row>
    <row r="404" spans="1:2">
      <c r="A404">
        <v>12505960</v>
      </c>
      <c r="B404" t="s">
        <v>1095</v>
      </c>
    </row>
    <row r="405" spans="1:2">
      <c r="A405">
        <v>12505961</v>
      </c>
      <c r="B405" t="s">
        <v>1096</v>
      </c>
    </row>
    <row r="406" spans="1:2">
      <c r="A406">
        <v>12505962</v>
      </c>
      <c r="B406" t="s">
        <v>1097</v>
      </c>
    </row>
    <row r="407" spans="1:2">
      <c r="A407">
        <v>12505963</v>
      </c>
      <c r="B407" t="s">
        <v>1098</v>
      </c>
    </row>
    <row r="408" spans="1:2">
      <c r="A408">
        <v>12505964</v>
      </c>
      <c r="B408" t="s">
        <v>1099</v>
      </c>
    </row>
    <row r="409" spans="1:2">
      <c r="A409">
        <v>12505965</v>
      </c>
      <c r="B409" t="s">
        <v>1100</v>
      </c>
    </row>
    <row r="410" spans="1:2">
      <c r="A410">
        <v>12505966</v>
      </c>
      <c r="B410" t="s">
        <v>1101</v>
      </c>
    </row>
    <row r="411" spans="1:2">
      <c r="A411">
        <v>12505967</v>
      </c>
      <c r="B411" t="s">
        <v>1102</v>
      </c>
    </row>
    <row r="412" spans="1:2">
      <c r="A412">
        <v>12505968</v>
      </c>
      <c r="B412" t="s">
        <v>1103</v>
      </c>
    </row>
    <row r="413" spans="1:2">
      <c r="A413">
        <v>12505969</v>
      </c>
      <c r="B413" t="s">
        <v>1104</v>
      </c>
    </row>
    <row r="414" spans="1:2">
      <c r="A414">
        <v>12505970</v>
      </c>
      <c r="B414" t="s">
        <v>1105</v>
      </c>
    </row>
    <row r="415" spans="1:2">
      <c r="A415">
        <v>12505971</v>
      </c>
      <c r="B415" t="s">
        <v>1106</v>
      </c>
    </row>
    <row r="416" spans="1:2">
      <c r="A416">
        <v>12505972</v>
      </c>
      <c r="B416" t="s">
        <v>1107</v>
      </c>
    </row>
    <row r="417" spans="1:2">
      <c r="A417">
        <v>12505973</v>
      </c>
      <c r="B417" t="s">
        <v>1108</v>
      </c>
    </row>
    <row r="418" spans="1:2">
      <c r="A418">
        <v>12505974</v>
      </c>
      <c r="B418" t="s">
        <v>1109</v>
      </c>
    </row>
    <row r="419" spans="1:2">
      <c r="A419">
        <v>12505975</v>
      </c>
      <c r="B419" t="s">
        <v>1110</v>
      </c>
    </row>
    <row r="420" spans="1:2">
      <c r="A420">
        <v>12505976</v>
      </c>
      <c r="B420" t="s">
        <v>1111</v>
      </c>
    </row>
    <row r="421" spans="1:2">
      <c r="A421">
        <v>12505977</v>
      </c>
      <c r="B421" t="s">
        <v>1112</v>
      </c>
    </row>
    <row r="422" spans="1:2">
      <c r="A422">
        <v>12505978</v>
      </c>
      <c r="B422" t="s">
        <v>1113</v>
      </c>
    </row>
    <row r="423" spans="1:2">
      <c r="A423">
        <v>12505979</v>
      </c>
      <c r="B423" t="s">
        <v>1114</v>
      </c>
    </row>
    <row r="424" spans="1:2">
      <c r="A424">
        <v>12505980</v>
      </c>
      <c r="B424" t="s">
        <v>1115</v>
      </c>
    </row>
    <row r="425" spans="1:2">
      <c r="A425">
        <v>12505981</v>
      </c>
      <c r="B425" t="s">
        <v>1116</v>
      </c>
    </row>
    <row r="426" spans="1:2">
      <c r="A426">
        <v>12505982</v>
      </c>
      <c r="B426" t="s">
        <v>1117</v>
      </c>
    </row>
    <row r="427" spans="1:2">
      <c r="A427">
        <v>12505983</v>
      </c>
      <c r="B427" t="s">
        <v>1118</v>
      </c>
    </row>
    <row r="428" spans="1:2">
      <c r="A428">
        <v>12505984</v>
      </c>
      <c r="B428" t="s">
        <v>1119</v>
      </c>
    </row>
    <row r="429" spans="1:2">
      <c r="A429">
        <v>12505985</v>
      </c>
      <c r="B429" t="s">
        <v>1120</v>
      </c>
    </row>
    <row r="430" spans="1:2">
      <c r="A430">
        <v>12505986</v>
      </c>
      <c r="B430" t="s">
        <v>1121</v>
      </c>
    </row>
    <row r="431" spans="1:2">
      <c r="A431">
        <v>12505987</v>
      </c>
      <c r="B431" t="s">
        <v>1122</v>
      </c>
    </row>
    <row r="432" spans="1:2">
      <c r="A432">
        <v>12505988</v>
      </c>
      <c r="B432" t="s">
        <v>1123</v>
      </c>
    </row>
    <row r="433" spans="1:2">
      <c r="A433">
        <v>12505989</v>
      </c>
      <c r="B433" t="s">
        <v>1124</v>
      </c>
    </row>
    <row r="434" spans="1:2">
      <c r="A434">
        <v>12505990</v>
      </c>
      <c r="B434" t="s">
        <v>1125</v>
      </c>
    </row>
    <row r="435" spans="1:2">
      <c r="A435">
        <v>12505991</v>
      </c>
      <c r="B435" t="s">
        <v>1126</v>
      </c>
    </row>
    <row r="436" spans="1:2">
      <c r="A436">
        <v>12505992</v>
      </c>
      <c r="B436" t="s">
        <v>2456</v>
      </c>
    </row>
    <row r="437" spans="1:2">
      <c r="A437">
        <v>12505993</v>
      </c>
      <c r="B437" t="s">
        <v>2457</v>
      </c>
    </row>
    <row r="438" spans="1:2">
      <c r="A438">
        <v>12505994</v>
      </c>
      <c r="B438" t="s">
        <v>2458</v>
      </c>
    </row>
    <row r="439" spans="1:2">
      <c r="A439">
        <v>12506001</v>
      </c>
      <c r="B439" t="s">
        <v>1127</v>
      </c>
    </row>
    <row r="440" spans="1:2">
      <c r="A440">
        <v>12506002</v>
      </c>
      <c r="B440" t="s">
        <v>1128</v>
      </c>
    </row>
    <row r="441" spans="1:2">
      <c r="A441">
        <v>12506003</v>
      </c>
      <c r="B441" t="s">
        <v>1129</v>
      </c>
    </row>
    <row r="442" spans="1:2">
      <c r="A442">
        <v>12506004</v>
      </c>
      <c r="B442" t="s">
        <v>1130</v>
      </c>
    </row>
    <row r="443" spans="1:2">
      <c r="A443">
        <v>12506005</v>
      </c>
      <c r="B443" t="s">
        <v>1131</v>
      </c>
    </row>
    <row r="444" spans="1:2">
      <c r="A444">
        <v>12506006</v>
      </c>
      <c r="B444" t="s">
        <v>1132</v>
      </c>
    </row>
    <row r="445" spans="1:2">
      <c r="A445">
        <v>12506007</v>
      </c>
      <c r="B445" t="s">
        <v>1133</v>
      </c>
    </row>
    <row r="446" spans="1:2">
      <c r="A446">
        <v>12506008</v>
      </c>
      <c r="B446" t="s">
        <v>1134</v>
      </c>
    </row>
    <row r="447" spans="1:2">
      <c r="A447">
        <v>12506009</v>
      </c>
      <c r="B447" t="s">
        <v>1135</v>
      </c>
    </row>
    <row r="448" spans="1:2">
      <c r="A448">
        <v>12506010</v>
      </c>
      <c r="B448" t="s">
        <v>1136</v>
      </c>
    </row>
    <row r="449" spans="1:2">
      <c r="A449">
        <v>12506011</v>
      </c>
      <c r="B449" t="s">
        <v>1137</v>
      </c>
    </row>
    <row r="450" spans="1:2">
      <c r="A450">
        <v>12506012</v>
      </c>
      <c r="B450" t="s">
        <v>1138</v>
      </c>
    </row>
    <row r="451" spans="1:2">
      <c r="A451">
        <v>12506013</v>
      </c>
      <c r="B451" t="s">
        <v>1139</v>
      </c>
    </row>
    <row r="452" spans="1:2">
      <c r="A452">
        <v>12506014</v>
      </c>
      <c r="B452" t="s">
        <v>1140</v>
      </c>
    </row>
    <row r="453" spans="1:2">
      <c r="A453">
        <v>12506015</v>
      </c>
      <c r="B453" t="s">
        <v>2459</v>
      </c>
    </row>
    <row r="454" spans="1:2">
      <c r="A454">
        <v>13006101</v>
      </c>
      <c r="B454" t="s">
        <v>1141</v>
      </c>
    </row>
    <row r="455" spans="1:2">
      <c r="A455">
        <v>13006102</v>
      </c>
      <c r="B455" t="s">
        <v>1142</v>
      </c>
    </row>
    <row r="456" spans="1:2">
      <c r="A456">
        <v>13006103</v>
      </c>
      <c r="B456" t="s">
        <v>1143</v>
      </c>
    </row>
    <row r="457" spans="1:2">
      <c r="A457">
        <v>13006104</v>
      </c>
      <c r="B457" t="s">
        <v>1144</v>
      </c>
    </row>
    <row r="458" spans="1:2">
      <c r="A458">
        <v>13006105</v>
      </c>
      <c r="B458" t="s">
        <v>1145</v>
      </c>
    </row>
    <row r="459" spans="1:2">
      <c r="A459">
        <v>13006106</v>
      </c>
      <c r="B459" t="s">
        <v>1146</v>
      </c>
    </row>
    <row r="460" spans="1:2">
      <c r="A460">
        <v>13506201</v>
      </c>
      <c r="B460" t="s">
        <v>1147</v>
      </c>
    </row>
    <row r="461" spans="1:2">
      <c r="A461">
        <v>14006301</v>
      </c>
      <c r="B461" t="s">
        <v>1148</v>
      </c>
    </row>
    <row r="462" spans="1:2">
      <c r="A462">
        <v>14006401</v>
      </c>
      <c r="B462" t="s">
        <v>1149</v>
      </c>
    </row>
    <row r="463" spans="1:2">
      <c r="A463">
        <v>14006501</v>
      </c>
      <c r="B463" t="s">
        <v>1150</v>
      </c>
    </row>
    <row r="464" spans="1:2">
      <c r="A464">
        <v>14006601</v>
      </c>
      <c r="B464" t="s">
        <v>1151</v>
      </c>
    </row>
    <row r="465" spans="1:2">
      <c r="A465">
        <v>14006701</v>
      </c>
      <c r="B465" t="s">
        <v>1152</v>
      </c>
    </row>
    <row r="466" spans="1:2">
      <c r="A466">
        <v>14006801</v>
      </c>
      <c r="B466" t="s">
        <v>1153</v>
      </c>
    </row>
    <row r="467" spans="1:2">
      <c r="A467">
        <v>14099901</v>
      </c>
      <c r="B467" t="s">
        <v>1154</v>
      </c>
    </row>
    <row r="468" spans="1:2">
      <c r="A468">
        <v>14506901</v>
      </c>
      <c r="B468" t="s">
        <v>1155</v>
      </c>
    </row>
    <row r="469" spans="1:2">
      <c r="A469">
        <v>14506902</v>
      </c>
      <c r="B469" t="s">
        <v>1156</v>
      </c>
    </row>
    <row r="470" spans="1:2">
      <c r="A470">
        <v>14506903</v>
      </c>
      <c r="B470" t="s">
        <v>1157</v>
      </c>
    </row>
    <row r="471" spans="1:2">
      <c r="A471">
        <v>14506904</v>
      </c>
      <c r="B471" t="s">
        <v>1158</v>
      </c>
    </row>
    <row r="472" spans="1:2">
      <c r="A472">
        <v>14506905</v>
      </c>
      <c r="B472" t="s">
        <v>1159</v>
      </c>
    </row>
    <row r="473" spans="1:2">
      <c r="A473">
        <v>14506906</v>
      </c>
      <c r="B473" t="s">
        <v>1160</v>
      </c>
    </row>
    <row r="474" spans="1:2">
      <c r="A474">
        <v>14506907</v>
      </c>
      <c r="B474" t="s">
        <v>1161</v>
      </c>
    </row>
    <row r="475" spans="1:2">
      <c r="A475">
        <v>14506908</v>
      </c>
      <c r="B475" t="s">
        <v>1162</v>
      </c>
    </row>
    <row r="476" spans="1:2">
      <c r="A476">
        <v>14506909</v>
      </c>
      <c r="B476" t="s">
        <v>1163</v>
      </c>
    </row>
    <row r="477" spans="1:2">
      <c r="A477">
        <v>14507001</v>
      </c>
      <c r="B477" t="s">
        <v>1180</v>
      </c>
    </row>
    <row r="478" spans="1:2">
      <c r="A478">
        <v>14507002</v>
      </c>
      <c r="B478" t="s">
        <v>1181</v>
      </c>
    </row>
    <row r="479" spans="1:2">
      <c r="A479">
        <v>14507003</v>
      </c>
      <c r="B479" t="s">
        <v>1182</v>
      </c>
    </row>
    <row r="480" spans="1:2">
      <c r="A480">
        <v>14507004</v>
      </c>
      <c r="B480" t="s">
        <v>1183</v>
      </c>
    </row>
    <row r="481" spans="1:2">
      <c r="A481">
        <v>14507005</v>
      </c>
      <c r="B481" t="s">
        <v>1184</v>
      </c>
    </row>
    <row r="482" spans="1:2">
      <c r="A482">
        <v>14507006</v>
      </c>
      <c r="B482" t="s">
        <v>1185</v>
      </c>
    </row>
    <row r="483" spans="1:2">
      <c r="A483">
        <v>14507007</v>
      </c>
      <c r="B483" t="s">
        <v>1186</v>
      </c>
    </row>
    <row r="484" spans="1:2">
      <c r="A484">
        <v>14507008</v>
      </c>
      <c r="B484" t="s">
        <v>1187</v>
      </c>
    </row>
    <row r="485" spans="1:2">
      <c r="A485">
        <v>14507009</v>
      </c>
      <c r="B485" t="s">
        <v>1188</v>
      </c>
    </row>
    <row r="486" spans="1:2">
      <c r="A486">
        <v>14507101</v>
      </c>
      <c r="B486" t="s">
        <v>1205</v>
      </c>
    </row>
    <row r="487" spans="1:2">
      <c r="A487">
        <v>14507102</v>
      </c>
      <c r="B487" t="s">
        <v>1206</v>
      </c>
    </row>
    <row r="488" spans="1:2">
      <c r="A488">
        <v>14507103</v>
      </c>
      <c r="B488" t="s">
        <v>1207</v>
      </c>
    </row>
    <row r="489" spans="1:2">
      <c r="A489">
        <v>14507104</v>
      </c>
      <c r="B489" t="s">
        <v>1208</v>
      </c>
    </row>
    <row r="490" spans="1:2">
      <c r="A490">
        <v>14507105</v>
      </c>
      <c r="B490" t="s">
        <v>1209</v>
      </c>
    </row>
    <row r="491" spans="1:2">
      <c r="A491">
        <v>14507106</v>
      </c>
      <c r="B491" t="s">
        <v>1210</v>
      </c>
    </row>
    <row r="492" spans="1:2">
      <c r="A492">
        <v>14507107</v>
      </c>
      <c r="B492" t="s">
        <v>1211</v>
      </c>
    </row>
    <row r="493" spans="1:2">
      <c r="A493">
        <v>14507108</v>
      </c>
      <c r="B493" t="s">
        <v>1212</v>
      </c>
    </row>
    <row r="494" spans="1:2">
      <c r="A494">
        <v>14507109</v>
      </c>
      <c r="B494" t="s">
        <v>1213</v>
      </c>
    </row>
    <row r="495" spans="1:2">
      <c r="A495">
        <v>14507201</v>
      </c>
      <c r="B495" t="s">
        <v>1230</v>
      </c>
    </row>
    <row r="496" spans="1:2">
      <c r="A496">
        <v>14507202</v>
      </c>
      <c r="B496" t="s">
        <v>1231</v>
      </c>
    </row>
    <row r="497" spans="1:2">
      <c r="A497">
        <v>14507203</v>
      </c>
      <c r="B497" t="s">
        <v>1232</v>
      </c>
    </row>
    <row r="498" spans="1:2">
      <c r="A498">
        <v>14507204</v>
      </c>
      <c r="B498" t="s">
        <v>1233</v>
      </c>
    </row>
    <row r="499" spans="1:2">
      <c r="A499">
        <v>14507205</v>
      </c>
      <c r="B499" t="s">
        <v>1234</v>
      </c>
    </row>
    <row r="500" spans="1:2">
      <c r="A500">
        <v>14507206</v>
      </c>
      <c r="B500" t="s">
        <v>1235</v>
      </c>
    </row>
    <row r="501" spans="1:2">
      <c r="A501">
        <v>14507207</v>
      </c>
      <c r="B501" t="s">
        <v>1236</v>
      </c>
    </row>
    <row r="502" spans="1:2">
      <c r="A502">
        <v>14507208</v>
      </c>
      <c r="B502" t="s">
        <v>1237</v>
      </c>
    </row>
    <row r="503" spans="1:2">
      <c r="A503">
        <v>14507209</v>
      </c>
      <c r="B503" t="s">
        <v>1238</v>
      </c>
    </row>
    <row r="504" spans="1:2">
      <c r="A504">
        <v>14507301</v>
      </c>
      <c r="B504" t="s">
        <v>1255</v>
      </c>
    </row>
    <row r="505" spans="1:2">
      <c r="A505">
        <v>14507302</v>
      </c>
      <c r="B505" t="s">
        <v>1256</v>
      </c>
    </row>
    <row r="506" spans="1:2">
      <c r="A506">
        <v>14507303</v>
      </c>
      <c r="B506" t="s">
        <v>1257</v>
      </c>
    </row>
    <row r="507" spans="1:2">
      <c r="A507">
        <v>14507304</v>
      </c>
      <c r="B507" t="s">
        <v>1258</v>
      </c>
    </row>
    <row r="508" spans="1:2">
      <c r="A508">
        <v>14507305</v>
      </c>
      <c r="B508" t="s">
        <v>1259</v>
      </c>
    </row>
    <row r="509" spans="1:2">
      <c r="A509">
        <v>14507306</v>
      </c>
      <c r="B509" t="s">
        <v>1260</v>
      </c>
    </row>
    <row r="510" spans="1:2">
      <c r="A510">
        <v>14507307</v>
      </c>
      <c r="B510" t="s">
        <v>1261</v>
      </c>
    </row>
    <row r="511" spans="1:2">
      <c r="A511">
        <v>14507308</v>
      </c>
      <c r="B511" t="s">
        <v>1262</v>
      </c>
    </row>
    <row r="512" spans="1:2">
      <c r="A512">
        <v>14507309</v>
      </c>
      <c r="B512" t="s">
        <v>1263</v>
      </c>
    </row>
    <row r="513" spans="1:2">
      <c r="A513">
        <v>14507401</v>
      </c>
      <c r="B513" t="s">
        <v>1280</v>
      </c>
    </row>
    <row r="514" spans="1:2">
      <c r="A514">
        <v>14507402</v>
      </c>
      <c r="B514" t="s">
        <v>1281</v>
      </c>
    </row>
    <row r="515" spans="1:2">
      <c r="A515">
        <v>14507403</v>
      </c>
      <c r="B515" t="s">
        <v>1282</v>
      </c>
    </row>
    <row r="516" spans="1:2">
      <c r="A516">
        <v>14507404</v>
      </c>
      <c r="B516" t="s">
        <v>1283</v>
      </c>
    </row>
    <row r="517" spans="1:2">
      <c r="A517">
        <v>14507405</v>
      </c>
      <c r="B517" t="s">
        <v>1284</v>
      </c>
    </row>
    <row r="518" spans="1:2">
      <c r="A518">
        <v>14507406</v>
      </c>
      <c r="B518" t="s">
        <v>1285</v>
      </c>
    </row>
    <row r="519" spans="1:2">
      <c r="A519">
        <v>14507407</v>
      </c>
      <c r="B519" t="s">
        <v>1286</v>
      </c>
    </row>
    <row r="520" spans="1:2">
      <c r="A520">
        <v>14507408</v>
      </c>
      <c r="B520" t="s">
        <v>1287</v>
      </c>
    </row>
    <row r="521" spans="1:2">
      <c r="A521">
        <v>14507409</v>
      </c>
      <c r="B521" t="s">
        <v>1288</v>
      </c>
    </row>
    <row r="522" spans="1:2">
      <c r="A522">
        <v>14507501</v>
      </c>
      <c r="B522" t="s">
        <v>1305</v>
      </c>
    </row>
    <row r="523" spans="1:2">
      <c r="A523">
        <v>14507502</v>
      </c>
      <c r="B523" t="s">
        <v>1306</v>
      </c>
    </row>
    <row r="524" spans="1:2">
      <c r="A524">
        <v>14507503</v>
      </c>
      <c r="B524" t="s">
        <v>1307</v>
      </c>
    </row>
    <row r="525" spans="1:2">
      <c r="A525">
        <v>14507504</v>
      </c>
      <c r="B525" t="s">
        <v>1308</v>
      </c>
    </row>
    <row r="526" spans="1:2">
      <c r="A526">
        <v>14507505</v>
      </c>
      <c r="B526" t="s">
        <v>1309</v>
      </c>
    </row>
    <row r="527" spans="1:2">
      <c r="A527">
        <v>14507506</v>
      </c>
      <c r="B527" t="s">
        <v>1310</v>
      </c>
    </row>
    <row r="528" spans="1:2">
      <c r="A528">
        <v>14507507</v>
      </c>
      <c r="B528" t="s">
        <v>1311</v>
      </c>
    </row>
    <row r="529" spans="1:2">
      <c r="A529">
        <v>14507508</v>
      </c>
      <c r="B529" t="s">
        <v>2460</v>
      </c>
    </row>
    <row r="530" spans="1:2">
      <c r="A530">
        <v>14507509</v>
      </c>
      <c r="B530" t="s">
        <v>1312</v>
      </c>
    </row>
    <row r="531" spans="1:2">
      <c r="A531">
        <v>14599901</v>
      </c>
      <c r="B531" t="s">
        <v>1329</v>
      </c>
    </row>
    <row r="532" spans="1:2">
      <c r="A532">
        <v>14599902</v>
      </c>
      <c r="B532" t="s">
        <v>1330</v>
      </c>
    </row>
    <row r="533" spans="1:2">
      <c r="A533">
        <v>14599903</v>
      </c>
      <c r="B533" t="s">
        <v>1331</v>
      </c>
    </row>
    <row r="534" spans="1:2">
      <c r="A534">
        <v>14599904</v>
      </c>
      <c r="B534" t="s">
        <v>1332</v>
      </c>
    </row>
    <row r="535" spans="1:2">
      <c r="A535">
        <v>14599905</v>
      </c>
      <c r="B535" t="s">
        <v>1333</v>
      </c>
    </row>
    <row r="536" spans="1:2">
      <c r="A536">
        <v>14599906</v>
      </c>
      <c r="B536" t="s">
        <v>1334</v>
      </c>
    </row>
    <row r="537" spans="1:2">
      <c r="A537">
        <v>14599907</v>
      </c>
      <c r="B537" t="s">
        <v>1335</v>
      </c>
    </row>
    <row r="538" spans="1:2">
      <c r="A538">
        <v>14599908</v>
      </c>
      <c r="B538" t="s">
        <v>1336</v>
      </c>
    </row>
    <row r="539" spans="1:2">
      <c r="A539">
        <v>14599909</v>
      </c>
      <c r="B539" t="s">
        <v>1337</v>
      </c>
    </row>
    <row r="540" spans="1:2">
      <c r="A540">
        <v>14599910</v>
      </c>
      <c r="B540" t="s">
        <v>1338</v>
      </c>
    </row>
    <row r="541" spans="1:2">
      <c r="A541">
        <v>14599911</v>
      </c>
      <c r="B541" t="s">
        <v>1339</v>
      </c>
    </row>
    <row r="542" spans="1:2">
      <c r="A542">
        <v>14599912</v>
      </c>
      <c r="B542" t="s">
        <v>1340</v>
      </c>
    </row>
    <row r="543" spans="1:2">
      <c r="A543">
        <v>14599913</v>
      </c>
      <c r="B543" t="s">
        <v>1341</v>
      </c>
    </row>
    <row r="544" spans="1:2">
      <c r="A544">
        <v>14599914</v>
      </c>
      <c r="B544" t="s">
        <v>1342</v>
      </c>
    </row>
    <row r="545" spans="1:2">
      <c r="A545">
        <v>14599915</v>
      </c>
      <c r="B545" t="s">
        <v>1343</v>
      </c>
    </row>
    <row r="546" spans="1:2">
      <c r="A546">
        <v>14599916</v>
      </c>
      <c r="B546" t="s">
        <v>1344</v>
      </c>
    </row>
    <row r="547" spans="1:2">
      <c r="A547">
        <v>14599917</v>
      </c>
      <c r="B547" t="s">
        <v>1345</v>
      </c>
    </row>
    <row r="548" spans="1:2">
      <c r="A548">
        <v>14599918</v>
      </c>
      <c r="B548" t="s">
        <v>1346</v>
      </c>
    </row>
    <row r="549" spans="1:2">
      <c r="A549">
        <v>14599919</v>
      </c>
      <c r="B549" t="s">
        <v>1347</v>
      </c>
    </row>
    <row r="550" spans="1:2">
      <c r="A550">
        <v>14599920</v>
      </c>
      <c r="B550" t="s">
        <v>1348</v>
      </c>
    </row>
    <row r="551" spans="1:2">
      <c r="A551">
        <v>14599921</v>
      </c>
      <c r="B551" t="s">
        <v>1349</v>
      </c>
    </row>
    <row r="552" spans="1:2">
      <c r="A552">
        <v>14599922</v>
      </c>
      <c r="B552" t="s">
        <v>1350</v>
      </c>
    </row>
    <row r="553" spans="1:2">
      <c r="A553">
        <v>14599923</v>
      </c>
      <c r="B553" t="s">
        <v>1351</v>
      </c>
    </row>
    <row r="554" spans="1:2">
      <c r="A554">
        <v>14599924</v>
      </c>
      <c r="B554" t="s">
        <v>1352</v>
      </c>
    </row>
    <row r="555" spans="1:2">
      <c r="A555">
        <v>14599925</v>
      </c>
      <c r="B555" t="s">
        <v>1353</v>
      </c>
    </row>
    <row r="556" spans="1:2">
      <c r="A556">
        <v>14599926</v>
      </c>
      <c r="B556" t="s">
        <v>1354</v>
      </c>
    </row>
    <row r="557" spans="1:2">
      <c r="A557">
        <v>14599927</v>
      </c>
      <c r="B557" t="s">
        <v>1355</v>
      </c>
    </row>
    <row r="558" spans="1:2">
      <c r="A558">
        <v>14506910</v>
      </c>
      <c r="B558" t="s">
        <v>1164</v>
      </c>
    </row>
    <row r="559" spans="1:2">
      <c r="A559">
        <v>14506911</v>
      </c>
      <c r="B559" t="s">
        <v>1165</v>
      </c>
    </row>
    <row r="560" spans="1:2">
      <c r="A560">
        <v>14506912</v>
      </c>
      <c r="B560" t="s">
        <v>1166</v>
      </c>
    </row>
    <row r="561" spans="1:2">
      <c r="A561">
        <v>14506913</v>
      </c>
      <c r="B561" t="s">
        <v>1167</v>
      </c>
    </row>
    <row r="562" spans="1:2">
      <c r="A562">
        <v>14506914</v>
      </c>
      <c r="B562" t="s">
        <v>1168</v>
      </c>
    </row>
    <row r="563" spans="1:2">
      <c r="A563">
        <v>14506915</v>
      </c>
      <c r="B563" t="s">
        <v>1169</v>
      </c>
    </row>
    <row r="564" spans="1:2">
      <c r="A564">
        <v>14506916</v>
      </c>
      <c r="B564" t="s">
        <v>1170</v>
      </c>
    </row>
    <row r="565" spans="1:2">
      <c r="A565">
        <v>14506917</v>
      </c>
      <c r="B565" t="s">
        <v>1171</v>
      </c>
    </row>
    <row r="566" spans="1:2">
      <c r="A566">
        <v>14506918</v>
      </c>
      <c r="B566" t="s">
        <v>1172</v>
      </c>
    </row>
    <row r="567" spans="1:2">
      <c r="A567">
        <v>14506919</v>
      </c>
      <c r="B567" t="s">
        <v>1173</v>
      </c>
    </row>
    <row r="568" spans="1:2">
      <c r="A568">
        <v>14506920</v>
      </c>
      <c r="B568" t="s">
        <v>1174</v>
      </c>
    </row>
    <row r="569" spans="1:2">
      <c r="A569">
        <v>14506921</v>
      </c>
      <c r="B569" t="s">
        <v>1175</v>
      </c>
    </row>
    <row r="570" spans="1:2">
      <c r="A570">
        <v>14506922</v>
      </c>
      <c r="B570" t="s">
        <v>1176</v>
      </c>
    </row>
    <row r="571" spans="1:2">
      <c r="A571">
        <v>14506923</v>
      </c>
      <c r="B571" t="s">
        <v>1177</v>
      </c>
    </row>
    <row r="572" spans="1:2">
      <c r="A572">
        <v>14506924</v>
      </c>
      <c r="B572" t="s">
        <v>1178</v>
      </c>
    </row>
    <row r="573" spans="1:2">
      <c r="A573">
        <v>14506925</v>
      </c>
      <c r="B573" t="s">
        <v>1179</v>
      </c>
    </row>
    <row r="574" spans="1:2">
      <c r="A574">
        <v>14507010</v>
      </c>
      <c r="B574" t="s">
        <v>1189</v>
      </c>
    </row>
    <row r="575" spans="1:2">
      <c r="A575">
        <v>14507011</v>
      </c>
      <c r="B575" t="s">
        <v>1190</v>
      </c>
    </row>
    <row r="576" spans="1:2">
      <c r="A576">
        <v>14507012</v>
      </c>
      <c r="B576" t="s">
        <v>1191</v>
      </c>
    </row>
    <row r="577" spans="1:2">
      <c r="A577">
        <v>14507013</v>
      </c>
      <c r="B577" t="s">
        <v>1192</v>
      </c>
    </row>
    <row r="578" spans="1:2">
      <c r="A578">
        <v>14507014</v>
      </c>
      <c r="B578" t="s">
        <v>1193</v>
      </c>
    </row>
    <row r="579" spans="1:2">
      <c r="A579">
        <v>14507015</v>
      </c>
      <c r="B579" t="s">
        <v>1194</v>
      </c>
    </row>
    <row r="580" spans="1:2">
      <c r="A580">
        <v>14507016</v>
      </c>
      <c r="B580" t="s">
        <v>1195</v>
      </c>
    </row>
    <row r="581" spans="1:2">
      <c r="A581">
        <v>14507017</v>
      </c>
      <c r="B581" t="s">
        <v>1196</v>
      </c>
    </row>
    <row r="582" spans="1:2">
      <c r="A582">
        <v>14507018</v>
      </c>
      <c r="B582" t="s">
        <v>1197</v>
      </c>
    </row>
    <row r="583" spans="1:2">
      <c r="A583">
        <v>14507019</v>
      </c>
      <c r="B583" t="s">
        <v>1198</v>
      </c>
    </row>
    <row r="584" spans="1:2">
      <c r="A584">
        <v>14507020</v>
      </c>
      <c r="B584" t="s">
        <v>1199</v>
      </c>
    </row>
    <row r="585" spans="1:2">
      <c r="A585">
        <v>14507021</v>
      </c>
      <c r="B585" t="s">
        <v>1200</v>
      </c>
    </row>
    <row r="586" spans="1:2">
      <c r="A586">
        <v>14507022</v>
      </c>
      <c r="B586" t="s">
        <v>1201</v>
      </c>
    </row>
    <row r="587" spans="1:2">
      <c r="A587">
        <v>14507023</v>
      </c>
      <c r="B587" t="s">
        <v>1202</v>
      </c>
    </row>
    <row r="588" spans="1:2">
      <c r="A588">
        <v>14507024</v>
      </c>
      <c r="B588" t="s">
        <v>1203</v>
      </c>
    </row>
    <row r="589" spans="1:2">
      <c r="A589">
        <v>14507025</v>
      </c>
      <c r="B589" t="s">
        <v>1204</v>
      </c>
    </row>
    <row r="590" spans="1:2">
      <c r="A590">
        <v>14507110</v>
      </c>
      <c r="B590" t="s">
        <v>1214</v>
      </c>
    </row>
    <row r="591" spans="1:2">
      <c r="A591">
        <v>14507111</v>
      </c>
      <c r="B591" t="s">
        <v>1215</v>
      </c>
    </row>
    <row r="592" spans="1:2">
      <c r="A592">
        <v>14507112</v>
      </c>
      <c r="B592" t="s">
        <v>1216</v>
      </c>
    </row>
    <row r="593" spans="1:2">
      <c r="A593">
        <v>14507113</v>
      </c>
      <c r="B593" t="s">
        <v>1217</v>
      </c>
    </row>
    <row r="594" spans="1:2">
      <c r="A594">
        <v>14507114</v>
      </c>
      <c r="B594" t="s">
        <v>1218</v>
      </c>
    </row>
    <row r="595" spans="1:2">
      <c r="A595">
        <v>14507115</v>
      </c>
      <c r="B595" t="s">
        <v>1219</v>
      </c>
    </row>
    <row r="596" spans="1:2">
      <c r="A596">
        <v>14507116</v>
      </c>
      <c r="B596" t="s">
        <v>1220</v>
      </c>
    </row>
    <row r="597" spans="1:2">
      <c r="A597">
        <v>14507117</v>
      </c>
      <c r="B597" t="s">
        <v>1221</v>
      </c>
    </row>
    <row r="598" spans="1:2">
      <c r="A598">
        <v>14507118</v>
      </c>
      <c r="B598" t="s">
        <v>1222</v>
      </c>
    </row>
    <row r="599" spans="1:2">
      <c r="A599">
        <v>14507119</v>
      </c>
      <c r="B599" t="s">
        <v>1223</v>
      </c>
    </row>
    <row r="600" spans="1:2">
      <c r="A600">
        <v>14507120</v>
      </c>
      <c r="B600" t="s">
        <v>1224</v>
      </c>
    </row>
    <row r="601" spans="1:2">
      <c r="A601">
        <v>14507121</v>
      </c>
      <c r="B601" t="s">
        <v>1225</v>
      </c>
    </row>
    <row r="602" spans="1:2">
      <c r="A602">
        <v>14507122</v>
      </c>
      <c r="B602" t="s">
        <v>1226</v>
      </c>
    </row>
    <row r="603" spans="1:2">
      <c r="A603">
        <v>14507123</v>
      </c>
      <c r="B603" t="s">
        <v>1227</v>
      </c>
    </row>
    <row r="604" spans="1:2">
      <c r="A604">
        <v>14507124</v>
      </c>
      <c r="B604" t="s">
        <v>1228</v>
      </c>
    </row>
    <row r="605" spans="1:2">
      <c r="A605">
        <v>14507125</v>
      </c>
      <c r="B605" t="s">
        <v>1229</v>
      </c>
    </row>
    <row r="606" spans="1:2">
      <c r="A606">
        <v>14507210</v>
      </c>
      <c r="B606" t="s">
        <v>1239</v>
      </c>
    </row>
    <row r="607" spans="1:2">
      <c r="A607">
        <v>14507211</v>
      </c>
      <c r="B607" t="s">
        <v>1240</v>
      </c>
    </row>
    <row r="608" spans="1:2">
      <c r="A608">
        <v>14507212</v>
      </c>
      <c r="B608" t="s">
        <v>1241</v>
      </c>
    </row>
    <row r="609" spans="1:2">
      <c r="A609">
        <v>14507213</v>
      </c>
      <c r="B609" t="s">
        <v>1242</v>
      </c>
    </row>
    <row r="610" spans="1:2">
      <c r="A610">
        <v>14507214</v>
      </c>
      <c r="B610" t="s">
        <v>1243</v>
      </c>
    </row>
    <row r="611" spans="1:2">
      <c r="A611">
        <v>14507215</v>
      </c>
      <c r="B611" t="s">
        <v>1244</v>
      </c>
    </row>
    <row r="612" spans="1:2">
      <c r="A612">
        <v>14507216</v>
      </c>
      <c r="B612" t="s">
        <v>1245</v>
      </c>
    </row>
    <row r="613" spans="1:2">
      <c r="A613">
        <v>14507217</v>
      </c>
      <c r="B613" t="s">
        <v>1246</v>
      </c>
    </row>
    <row r="614" spans="1:2">
      <c r="A614">
        <v>14507218</v>
      </c>
      <c r="B614" t="s">
        <v>1247</v>
      </c>
    </row>
    <row r="615" spans="1:2">
      <c r="A615">
        <v>14507219</v>
      </c>
      <c r="B615" t="s">
        <v>1248</v>
      </c>
    </row>
    <row r="616" spans="1:2">
      <c r="A616">
        <v>14507220</v>
      </c>
      <c r="B616" t="s">
        <v>1249</v>
      </c>
    </row>
    <row r="617" spans="1:2">
      <c r="A617">
        <v>14507221</v>
      </c>
      <c r="B617" t="s">
        <v>1250</v>
      </c>
    </row>
    <row r="618" spans="1:2">
      <c r="A618">
        <v>14507222</v>
      </c>
      <c r="B618" t="s">
        <v>1251</v>
      </c>
    </row>
    <row r="619" spans="1:2">
      <c r="A619">
        <v>14507223</v>
      </c>
      <c r="B619" t="s">
        <v>1252</v>
      </c>
    </row>
    <row r="620" spans="1:2">
      <c r="A620">
        <v>14507224</v>
      </c>
      <c r="B620" t="s">
        <v>1253</v>
      </c>
    </row>
    <row r="621" spans="1:2">
      <c r="A621">
        <v>14507225</v>
      </c>
      <c r="B621" t="s">
        <v>1254</v>
      </c>
    </row>
    <row r="622" spans="1:2">
      <c r="A622">
        <v>14507310</v>
      </c>
      <c r="B622" t="s">
        <v>1264</v>
      </c>
    </row>
    <row r="623" spans="1:2">
      <c r="A623">
        <v>14507311</v>
      </c>
      <c r="B623" t="s">
        <v>1265</v>
      </c>
    </row>
    <row r="624" spans="1:2">
      <c r="A624">
        <v>14507312</v>
      </c>
      <c r="B624" t="s">
        <v>1266</v>
      </c>
    </row>
    <row r="625" spans="1:2">
      <c r="A625">
        <v>14507313</v>
      </c>
      <c r="B625" t="s">
        <v>1267</v>
      </c>
    </row>
    <row r="626" spans="1:2">
      <c r="A626">
        <v>14507314</v>
      </c>
      <c r="B626" t="s">
        <v>1268</v>
      </c>
    </row>
    <row r="627" spans="1:2">
      <c r="A627">
        <v>14507315</v>
      </c>
      <c r="B627" t="s">
        <v>1269</v>
      </c>
    </row>
    <row r="628" spans="1:2">
      <c r="A628">
        <v>14507316</v>
      </c>
      <c r="B628" t="s">
        <v>1270</v>
      </c>
    </row>
    <row r="629" spans="1:2">
      <c r="A629">
        <v>14507317</v>
      </c>
      <c r="B629" t="s">
        <v>1271</v>
      </c>
    </row>
    <row r="630" spans="1:2">
      <c r="A630">
        <v>14507318</v>
      </c>
      <c r="B630" t="s">
        <v>1272</v>
      </c>
    </row>
    <row r="631" spans="1:2">
      <c r="A631">
        <v>14507319</v>
      </c>
      <c r="B631" t="s">
        <v>1273</v>
      </c>
    </row>
    <row r="632" spans="1:2">
      <c r="A632">
        <v>14507320</v>
      </c>
      <c r="B632" t="s">
        <v>1274</v>
      </c>
    </row>
    <row r="633" spans="1:2">
      <c r="A633">
        <v>14507321</v>
      </c>
      <c r="B633" t="s">
        <v>1275</v>
      </c>
    </row>
    <row r="634" spans="1:2">
      <c r="A634">
        <v>14507322</v>
      </c>
      <c r="B634" t="s">
        <v>1276</v>
      </c>
    </row>
    <row r="635" spans="1:2">
      <c r="A635">
        <v>14507323</v>
      </c>
      <c r="B635" t="s">
        <v>1277</v>
      </c>
    </row>
    <row r="636" spans="1:2">
      <c r="A636">
        <v>14507324</v>
      </c>
      <c r="B636" t="s">
        <v>1278</v>
      </c>
    </row>
    <row r="637" spans="1:2">
      <c r="A637">
        <v>14507325</v>
      </c>
      <c r="B637" t="s">
        <v>1279</v>
      </c>
    </row>
    <row r="638" spans="1:2">
      <c r="A638">
        <v>14507410</v>
      </c>
      <c r="B638" t="s">
        <v>1289</v>
      </c>
    </row>
    <row r="639" spans="1:2">
      <c r="A639">
        <v>14507411</v>
      </c>
      <c r="B639" t="s">
        <v>1290</v>
      </c>
    </row>
    <row r="640" spans="1:2">
      <c r="A640">
        <v>14507412</v>
      </c>
      <c r="B640" t="s">
        <v>1291</v>
      </c>
    </row>
    <row r="641" spans="1:2">
      <c r="A641">
        <v>14507413</v>
      </c>
      <c r="B641" t="s">
        <v>1292</v>
      </c>
    </row>
    <row r="642" spans="1:2">
      <c r="A642">
        <v>14507414</v>
      </c>
      <c r="B642" t="s">
        <v>1293</v>
      </c>
    </row>
    <row r="643" spans="1:2">
      <c r="A643">
        <v>14507415</v>
      </c>
      <c r="B643" t="s">
        <v>1294</v>
      </c>
    </row>
    <row r="644" spans="1:2">
      <c r="A644">
        <v>14507416</v>
      </c>
      <c r="B644" t="s">
        <v>1295</v>
      </c>
    </row>
    <row r="645" spans="1:2">
      <c r="A645">
        <v>14507417</v>
      </c>
      <c r="B645" t="s">
        <v>1296</v>
      </c>
    </row>
    <row r="646" spans="1:2">
      <c r="A646">
        <v>14507418</v>
      </c>
      <c r="B646" t="s">
        <v>1297</v>
      </c>
    </row>
    <row r="647" spans="1:2">
      <c r="A647">
        <v>14507419</v>
      </c>
      <c r="B647" t="s">
        <v>1298</v>
      </c>
    </row>
    <row r="648" spans="1:2">
      <c r="A648">
        <v>14507420</v>
      </c>
      <c r="B648" t="s">
        <v>1299</v>
      </c>
    </row>
    <row r="649" spans="1:2">
      <c r="A649">
        <v>14507421</v>
      </c>
      <c r="B649" t="s">
        <v>1300</v>
      </c>
    </row>
    <row r="650" spans="1:2">
      <c r="A650">
        <v>14507422</v>
      </c>
      <c r="B650" t="s">
        <v>1301</v>
      </c>
    </row>
    <row r="651" spans="1:2">
      <c r="A651">
        <v>14507423</v>
      </c>
      <c r="B651" t="s">
        <v>1302</v>
      </c>
    </row>
    <row r="652" spans="1:2">
      <c r="A652">
        <v>14507424</v>
      </c>
      <c r="B652" t="s">
        <v>1303</v>
      </c>
    </row>
    <row r="653" spans="1:2">
      <c r="A653">
        <v>14507425</v>
      </c>
      <c r="B653" t="s">
        <v>1304</v>
      </c>
    </row>
    <row r="654" spans="1:2">
      <c r="A654">
        <v>14507510</v>
      </c>
      <c r="B654" t="s">
        <v>1313</v>
      </c>
    </row>
    <row r="655" spans="1:2">
      <c r="A655">
        <v>14507511</v>
      </c>
      <c r="B655" t="s">
        <v>1314</v>
      </c>
    </row>
    <row r="656" spans="1:2">
      <c r="A656">
        <v>14507512</v>
      </c>
      <c r="B656" t="s">
        <v>1315</v>
      </c>
    </row>
    <row r="657" spans="1:2">
      <c r="A657">
        <v>14507513</v>
      </c>
      <c r="B657" t="s">
        <v>1316</v>
      </c>
    </row>
    <row r="658" spans="1:2">
      <c r="A658">
        <v>14507514</v>
      </c>
      <c r="B658" t="s">
        <v>1317</v>
      </c>
    </row>
    <row r="659" spans="1:2">
      <c r="A659">
        <v>14507515</v>
      </c>
      <c r="B659" t="s">
        <v>1318</v>
      </c>
    </row>
    <row r="660" spans="1:2">
      <c r="A660">
        <v>14507516</v>
      </c>
      <c r="B660" t="s">
        <v>1319</v>
      </c>
    </row>
    <row r="661" spans="1:2">
      <c r="A661">
        <v>14507517</v>
      </c>
      <c r="B661" t="s">
        <v>1320</v>
      </c>
    </row>
    <row r="662" spans="1:2">
      <c r="A662">
        <v>14507518</v>
      </c>
      <c r="B662" t="s">
        <v>1321</v>
      </c>
    </row>
    <row r="663" spans="1:2">
      <c r="A663">
        <v>14507519</v>
      </c>
      <c r="B663" t="s">
        <v>1322</v>
      </c>
    </row>
    <row r="664" spans="1:2">
      <c r="A664">
        <v>14507520</v>
      </c>
      <c r="B664" t="s">
        <v>1323</v>
      </c>
    </row>
    <row r="665" spans="1:2">
      <c r="A665">
        <v>14507521</v>
      </c>
      <c r="B665" t="s">
        <v>1324</v>
      </c>
    </row>
    <row r="666" spans="1:2">
      <c r="A666">
        <v>14507522</v>
      </c>
      <c r="B666" t="s">
        <v>1325</v>
      </c>
    </row>
    <row r="667" spans="1:2">
      <c r="A667">
        <v>14507523</v>
      </c>
      <c r="B667" t="s">
        <v>1326</v>
      </c>
    </row>
    <row r="668" spans="1:2">
      <c r="A668">
        <v>14507524</v>
      </c>
      <c r="B668" t="s">
        <v>1327</v>
      </c>
    </row>
    <row r="669" spans="1:2">
      <c r="A669">
        <v>14507525</v>
      </c>
      <c r="B669" t="s">
        <v>1328</v>
      </c>
    </row>
    <row r="670" spans="1:2">
      <c r="A670">
        <v>14599928</v>
      </c>
      <c r="B670" t="s">
        <v>1356</v>
      </c>
    </row>
    <row r="671" spans="1:2">
      <c r="A671">
        <v>14599929</v>
      </c>
      <c r="B671" t="s">
        <v>1357</v>
      </c>
    </row>
    <row r="672" spans="1:2">
      <c r="A672">
        <v>14599930</v>
      </c>
      <c r="B672" t="s">
        <v>1358</v>
      </c>
    </row>
    <row r="673" spans="1:2">
      <c r="A673">
        <v>14599931</v>
      </c>
      <c r="B673" t="s">
        <v>1359</v>
      </c>
    </row>
    <row r="674" spans="1:2">
      <c r="A674">
        <v>14599932</v>
      </c>
      <c r="B674" t="s">
        <v>1360</v>
      </c>
    </row>
    <row r="675" spans="1:2">
      <c r="A675">
        <v>14599933</v>
      </c>
      <c r="B675" t="s">
        <v>1361</v>
      </c>
    </row>
    <row r="676" spans="1:2">
      <c r="A676">
        <v>14599934</v>
      </c>
      <c r="B676" t="s">
        <v>1362</v>
      </c>
    </row>
    <row r="677" spans="1:2">
      <c r="A677">
        <v>14599935</v>
      </c>
      <c r="B677" t="s">
        <v>1363</v>
      </c>
    </row>
    <row r="678" spans="1:2">
      <c r="A678">
        <v>14599936</v>
      </c>
      <c r="B678" t="s">
        <v>1364</v>
      </c>
    </row>
    <row r="679" spans="1:2">
      <c r="A679">
        <v>14599937</v>
      </c>
      <c r="B679" t="s">
        <v>1365</v>
      </c>
    </row>
    <row r="680" spans="1:2">
      <c r="A680">
        <v>14599938</v>
      </c>
      <c r="B680" t="s">
        <v>1366</v>
      </c>
    </row>
    <row r="681" spans="1:2">
      <c r="A681">
        <v>14599939</v>
      </c>
      <c r="B681" t="s">
        <v>1367</v>
      </c>
    </row>
    <row r="682" spans="1:2">
      <c r="A682">
        <v>14599940</v>
      </c>
      <c r="B682" t="s">
        <v>1368</v>
      </c>
    </row>
    <row r="683" spans="1:2">
      <c r="A683">
        <v>14599941</v>
      </c>
      <c r="B683" t="s">
        <v>1369</v>
      </c>
    </row>
    <row r="684" spans="1:2">
      <c r="A684">
        <v>14599942</v>
      </c>
      <c r="B684" t="s">
        <v>1370</v>
      </c>
    </row>
    <row r="685" spans="1:2">
      <c r="A685">
        <v>14599943</v>
      </c>
      <c r="B685" t="s">
        <v>1371</v>
      </c>
    </row>
    <row r="686" spans="1:2">
      <c r="A686">
        <v>15007601</v>
      </c>
      <c r="B686" t="s">
        <v>1372</v>
      </c>
    </row>
    <row r="687" spans="1:2">
      <c r="A687" t="s">
        <v>2189</v>
      </c>
      <c r="B687" t="s">
        <v>2190</v>
      </c>
    </row>
    <row r="688" spans="1:2">
      <c r="A688" t="s">
        <v>2191</v>
      </c>
      <c r="B688" t="s">
        <v>2192</v>
      </c>
    </row>
    <row r="689" spans="1:2">
      <c r="A689" t="s">
        <v>2193</v>
      </c>
      <c r="B689" t="s">
        <v>2194</v>
      </c>
    </row>
    <row r="690" spans="1:2">
      <c r="A690" t="s">
        <v>2195</v>
      </c>
      <c r="B690" t="s">
        <v>2196</v>
      </c>
    </row>
    <row r="691" spans="1:2">
      <c r="A691" t="s">
        <v>2197</v>
      </c>
      <c r="B691" t="s">
        <v>2198</v>
      </c>
    </row>
    <row r="692" spans="1:2">
      <c r="A692" t="s">
        <v>2199</v>
      </c>
      <c r="B692" t="s">
        <v>2200</v>
      </c>
    </row>
    <row r="693" spans="1:2">
      <c r="A693" t="s">
        <v>2201</v>
      </c>
      <c r="B693" t="s">
        <v>2202</v>
      </c>
    </row>
    <row r="694" spans="1:2">
      <c r="A694" t="s">
        <v>2203</v>
      </c>
      <c r="B694" t="s">
        <v>2204</v>
      </c>
    </row>
    <row r="695" spans="1:2">
      <c r="A695" t="s">
        <v>2205</v>
      </c>
      <c r="B695" t="s">
        <v>2206</v>
      </c>
    </row>
    <row r="696" spans="1:2">
      <c r="A696" t="s">
        <v>2207</v>
      </c>
      <c r="B696" t="s">
        <v>2208</v>
      </c>
    </row>
    <row r="697" spans="1:2">
      <c r="A697" t="s">
        <v>2209</v>
      </c>
      <c r="B697" t="s">
        <v>2210</v>
      </c>
    </row>
    <row r="698" spans="1:2">
      <c r="A698" t="s">
        <v>2211</v>
      </c>
      <c r="B698" t="s">
        <v>2212</v>
      </c>
    </row>
    <row r="699" spans="1:2">
      <c r="A699" t="s">
        <v>2213</v>
      </c>
      <c r="B699" t="s">
        <v>2214</v>
      </c>
    </row>
    <row r="700" spans="1:2">
      <c r="A700" t="s">
        <v>2215</v>
      </c>
      <c r="B700" t="s">
        <v>2216</v>
      </c>
    </row>
    <row r="701" spans="1:2">
      <c r="A701" t="s">
        <v>2217</v>
      </c>
      <c r="B701" t="s">
        <v>2218</v>
      </c>
    </row>
    <row r="702" spans="1:2">
      <c r="A702" t="s">
        <v>2219</v>
      </c>
      <c r="B702" t="s">
        <v>2220</v>
      </c>
    </row>
    <row r="703" spans="1:2">
      <c r="A703" t="s">
        <v>2221</v>
      </c>
      <c r="B703" t="s">
        <v>2222</v>
      </c>
    </row>
    <row r="704" spans="1:2">
      <c r="A704" t="s">
        <v>2223</v>
      </c>
      <c r="B704" t="s">
        <v>2224</v>
      </c>
    </row>
    <row r="705" spans="1:2">
      <c r="A705">
        <v>20100101</v>
      </c>
      <c r="B705" t="s">
        <v>1373</v>
      </c>
    </row>
    <row r="706" spans="1:2">
      <c r="A706">
        <v>20100201</v>
      </c>
      <c r="B706" t="s">
        <v>1374</v>
      </c>
    </row>
    <row r="707" spans="1:2">
      <c r="A707">
        <v>20199901</v>
      </c>
      <c r="B707" t="s">
        <v>1375</v>
      </c>
    </row>
    <row r="708" spans="1:2">
      <c r="A708">
        <v>20500301</v>
      </c>
      <c r="B708" t="s">
        <v>1376</v>
      </c>
    </row>
    <row r="709" spans="1:2">
      <c r="A709">
        <v>20500302</v>
      </c>
      <c r="B709" t="s">
        <v>1377</v>
      </c>
    </row>
    <row r="710" spans="1:2">
      <c r="A710">
        <v>20500303</v>
      </c>
      <c r="B710" t="s">
        <v>1378</v>
      </c>
    </row>
    <row r="711" spans="1:2">
      <c r="A711">
        <v>20500304</v>
      </c>
      <c r="B711" t="s">
        <v>1379</v>
      </c>
    </row>
    <row r="712" spans="1:2">
      <c r="A712">
        <v>20500305</v>
      </c>
      <c r="B712" t="s">
        <v>1380</v>
      </c>
    </row>
    <row r="713" spans="1:2">
      <c r="A713">
        <v>20500306</v>
      </c>
      <c r="B713" t="s">
        <v>1381</v>
      </c>
    </row>
    <row r="714" spans="1:2">
      <c r="A714">
        <v>20500307</v>
      </c>
      <c r="B714" t="s">
        <v>1380</v>
      </c>
    </row>
    <row r="715" spans="1:2">
      <c r="A715">
        <v>20500308</v>
      </c>
      <c r="B715" t="s">
        <v>1382</v>
      </c>
    </row>
    <row r="716" spans="1:2">
      <c r="A716">
        <v>20500309</v>
      </c>
      <c r="B716" t="s">
        <v>1383</v>
      </c>
    </row>
    <row r="717" spans="1:2">
      <c r="A717">
        <v>20500401</v>
      </c>
      <c r="B717" t="s">
        <v>1392</v>
      </c>
    </row>
    <row r="718" spans="1:2">
      <c r="A718">
        <v>20500402</v>
      </c>
      <c r="B718" t="s">
        <v>1393</v>
      </c>
    </row>
    <row r="719" spans="1:2">
      <c r="A719">
        <v>20500403</v>
      </c>
      <c r="B719" t="s">
        <v>1394</v>
      </c>
    </row>
    <row r="720" spans="1:2">
      <c r="A720">
        <v>20500404</v>
      </c>
      <c r="B720" t="s">
        <v>1395</v>
      </c>
    </row>
    <row r="721" spans="1:2">
      <c r="A721">
        <v>20500405</v>
      </c>
      <c r="B721" t="s">
        <v>1396</v>
      </c>
    </row>
    <row r="722" spans="1:2">
      <c r="A722">
        <v>20500406</v>
      </c>
      <c r="B722" t="s">
        <v>1397</v>
      </c>
    </row>
    <row r="723" spans="1:2">
      <c r="A723">
        <v>20500407</v>
      </c>
      <c r="B723" t="s">
        <v>1398</v>
      </c>
    </row>
    <row r="724" spans="1:2">
      <c r="A724">
        <v>20500408</v>
      </c>
      <c r="B724" t="s">
        <v>1399</v>
      </c>
    </row>
    <row r="725" spans="1:2">
      <c r="A725">
        <v>20500409</v>
      </c>
      <c r="B725" t="s">
        <v>1400</v>
      </c>
    </row>
    <row r="726" spans="1:2">
      <c r="A726">
        <v>20599901</v>
      </c>
      <c r="B726" t="s">
        <v>1409</v>
      </c>
    </row>
    <row r="727" spans="1:2">
      <c r="A727">
        <v>20599902</v>
      </c>
      <c r="B727" t="s">
        <v>1410</v>
      </c>
    </row>
    <row r="728" spans="1:2">
      <c r="A728">
        <v>20599903</v>
      </c>
      <c r="B728" t="s">
        <v>1411</v>
      </c>
    </row>
    <row r="729" spans="1:2">
      <c r="A729">
        <v>20599904</v>
      </c>
      <c r="B729" t="s">
        <v>1412</v>
      </c>
    </row>
    <row r="730" spans="1:2">
      <c r="A730">
        <v>20599905</v>
      </c>
      <c r="B730" t="s">
        <v>1413</v>
      </c>
    </row>
    <row r="731" spans="1:2">
      <c r="A731">
        <v>20599906</v>
      </c>
      <c r="B731" t="s">
        <v>1414</v>
      </c>
    </row>
    <row r="732" spans="1:2">
      <c r="A732">
        <v>20599907</v>
      </c>
      <c r="B732" t="s">
        <v>1415</v>
      </c>
    </row>
    <row r="733" spans="1:2">
      <c r="A733">
        <v>20599908</v>
      </c>
      <c r="B733" t="s">
        <v>1416</v>
      </c>
    </row>
    <row r="734" spans="1:2">
      <c r="A734">
        <v>20599909</v>
      </c>
      <c r="B734" t="s">
        <v>1417</v>
      </c>
    </row>
    <row r="735" spans="1:2">
      <c r="A735">
        <v>20599910</v>
      </c>
      <c r="B735" t="s">
        <v>1418</v>
      </c>
    </row>
    <row r="736" spans="1:2">
      <c r="A736">
        <v>20599911</v>
      </c>
      <c r="B736" t="s">
        <v>1419</v>
      </c>
    </row>
    <row r="737" spans="1:2">
      <c r="A737">
        <v>20599912</v>
      </c>
      <c r="B737" t="s">
        <v>1420</v>
      </c>
    </row>
    <row r="738" spans="1:2">
      <c r="A738">
        <v>20599913</v>
      </c>
      <c r="B738" t="s">
        <v>1421</v>
      </c>
    </row>
    <row r="739" spans="1:2">
      <c r="A739">
        <v>20599914</v>
      </c>
      <c r="B739" t="s">
        <v>1422</v>
      </c>
    </row>
    <row r="740" spans="1:2">
      <c r="A740">
        <v>20599915</v>
      </c>
      <c r="B740" t="s">
        <v>1423</v>
      </c>
    </row>
    <row r="741" spans="1:2">
      <c r="A741">
        <v>20599916</v>
      </c>
      <c r="B741" t="s">
        <v>1424</v>
      </c>
    </row>
    <row r="742" spans="1:2">
      <c r="A742">
        <v>20599917</v>
      </c>
      <c r="B742" t="s">
        <v>1425</v>
      </c>
    </row>
    <row r="743" spans="1:2">
      <c r="A743">
        <v>20599918</v>
      </c>
      <c r="B743" t="s">
        <v>1426</v>
      </c>
    </row>
    <row r="744" spans="1:2">
      <c r="A744">
        <v>20599919</v>
      </c>
      <c r="B744" t="s">
        <v>1427</v>
      </c>
    </row>
    <row r="745" spans="1:2">
      <c r="A745">
        <v>20599920</v>
      </c>
      <c r="B745" t="s">
        <v>1428</v>
      </c>
    </row>
    <row r="746" spans="1:2">
      <c r="A746">
        <v>20599921</v>
      </c>
      <c r="B746" t="s">
        <v>1429</v>
      </c>
    </row>
    <row r="747" spans="1:2">
      <c r="A747">
        <v>20599922</v>
      </c>
      <c r="B747" t="s">
        <v>1430</v>
      </c>
    </row>
    <row r="748" spans="1:2">
      <c r="A748">
        <v>20599923</v>
      </c>
      <c r="B748" t="s">
        <v>1431</v>
      </c>
    </row>
    <row r="749" spans="1:2">
      <c r="A749">
        <v>20599924</v>
      </c>
      <c r="B749" t="s">
        <v>1432</v>
      </c>
    </row>
    <row r="750" spans="1:2">
      <c r="A750">
        <v>20599925</v>
      </c>
      <c r="B750" t="s">
        <v>1433</v>
      </c>
    </row>
    <row r="751" spans="1:2">
      <c r="A751">
        <v>20599926</v>
      </c>
      <c r="B751" t="s">
        <v>1434</v>
      </c>
    </row>
    <row r="752" spans="1:2">
      <c r="A752">
        <v>20599927</v>
      </c>
      <c r="B752" t="s">
        <v>1435</v>
      </c>
    </row>
    <row r="753" spans="1:2">
      <c r="A753">
        <v>20500310</v>
      </c>
      <c r="B753" t="s">
        <v>1384</v>
      </c>
    </row>
    <row r="754" spans="1:2">
      <c r="A754">
        <v>20500311</v>
      </c>
      <c r="B754" t="s">
        <v>1385</v>
      </c>
    </row>
    <row r="755" spans="1:2">
      <c r="A755">
        <v>20500312</v>
      </c>
      <c r="B755" t="s">
        <v>1386</v>
      </c>
    </row>
    <row r="756" spans="1:2">
      <c r="A756">
        <v>20500313</v>
      </c>
      <c r="B756" t="s">
        <v>1387</v>
      </c>
    </row>
    <row r="757" spans="1:2">
      <c r="A757">
        <v>20500314</v>
      </c>
      <c r="B757" t="s">
        <v>1388</v>
      </c>
    </row>
    <row r="758" spans="1:2">
      <c r="A758">
        <v>20500315</v>
      </c>
      <c r="B758" t="s">
        <v>1389</v>
      </c>
    </row>
    <row r="759" spans="1:2">
      <c r="A759">
        <v>20500316</v>
      </c>
      <c r="B759" t="s">
        <v>1390</v>
      </c>
    </row>
    <row r="760" spans="1:2">
      <c r="A760">
        <v>20500317</v>
      </c>
      <c r="B760" t="s">
        <v>1391</v>
      </c>
    </row>
    <row r="761" spans="1:2">
      <c r="A761">
        <v>20500410</v>
      </c>
      <c r="B761" t="s">
        <v>1401</v>
      </c>
    </row>
    <row r="762" spans="1:2">
      <c r="A762">
        <v>20500411</v>
      </c>
      <c r="B762" t="s">
        <v>1402</v>
      </c>
    </row>
    <row r="763" spans="1:2">
      <c r="A763">
        <v>20500412</v>
      </c>
      <c r="B763" t="s">
        <v>1403</v>
      </c>
    </row>
    <row r="764" spans="1:2">
      <c r="A764">
        <v>20500413</v>
      </c>
      <c r="B764" t="s">
        <v>1404</v>
      </c>
    </row>
    <row r="765" spans="1:2">
      <c r="A765">
        <v>20500414</v>
      </c>
      <c r="B765" t="s">
        <v>1405</v>
      </c>
    </row>
    <row r="766" spans="1:2">
      <c r="A766">
        <v>20500415</v>
      </c>
      <c r="B766" t="s">
        <v>1406</v>
      </c>
    </row>
    <row r="767" spans="1:2">
      <c r="A767">
        <v>20500416</v>
      </c>
      <c r="B767" t="s">
        <v>1407</v>
      </c>
    </row>
    <row r="768" spans="1:2">
      <c r="A768">
        <v>20500417</v>
      </c>
      <c r="B768" t="s">
        <v>1408</v>
      </c>
    </row>
    <row r="769" spans="1:2">
      <c r="A769">
        <v>20599928</v>
      </c>
      <c r="B769" t="s">
        <v>1436</v>
      </c>
    </row>
    <row r="770" spans="1:2">
      <c r="A770">
        <v>20599929</v>
      </c>
      <c r="B770" t="s">
        <v>1437</v>
      </c>
    </row>
    <row r="771" spans="1:2">
      <c r="A771">
        <v>20599930</v>
      </c>
      <c r="B771" t="s">
        <v>1438</v>
      </c>
    </row>
    <row r="772" spans="1:2">
      <c r="A772">
        <v>20599931</v>
      </c>
      <c r="B772" t="s">
        <v>1439</v>
      </c>
    </row>
    <row r="773" spans="1:2">
      <c r="A773">
        <v>20599932</v>
      </c>
      <c r="B773" t="s">
        <v>1440</v>
      </c>
    </row>
    <row r="774" spans="1:2">
      <c r="A774">
        <v>20599933</v>
      </c>
      <c r="B774" t="s">
        <v>1441</v>
      </c>
    </row>
    <row r="775" spans="1:2">
      <c r="A775">
        <v>20599934</v>
      </c>
      <c r="B775" t="s">
        <v>1442</v>
      </c>
    </row>
    <row r="776" spans="1:2">
      <c r="A776">
        <v>20599935</v>
      </c>
      <c r="B776" t="s">
        <v>1443</v>
      </c>
    </row>
    <row r="777" spans="1:2">
      <c r="A777">
        <v>21000501</v>
      </c>
      <c r="B777" t="s">
        <v>1444</v>
      </c>
    </row>
    <row r="778" spans="1:2">
      <c r="A778">
        <v>21000502</v>
      </c>
      <c r="B778" t="s">
        <v>1445</v>
      </c>
    </row>
    <row r="779" spans="1:2">
      <c r="A779">
        <v>21000503</v>
      </c>
      <c r="B779" t="s">
        <v>1446</v>
      </c>
    </row>
    <row r="780" spans="1:2">
      <c r="A780">
        <v>21000504</v>
      </c>
      <c r="B780" t="s">
        <v>1447</v>
      </c>
    </row>
    <row r="781" spans="1:2">
      <c r="A781">
        <v>21000505</v>
      </c>
      <c r="B781" t="s">
        <v>1448</v>
      </c>
    </row>
    <row r="782" spans="1:2">
      <c r="A782">
        <v>21000506</v>
      </c>
      <c r="B782" t="s">
        <v>1449</v>
      </c>
    </row>
    <row r="783" spans="1:2">
      <c r="A783">
        <v>21000507</v>
      </c>
      <c r="B783" t="s">
        <v>1450</v>
      </c>
    </row>
    <row r="784" spans="1:2">
      <c r="A784">
        <v>21000508</v>
      </c>
      <c r="B784" t="s">
        <v>1451</v>
      </c>
    </row>
    <row r="785" spans="1:2">
      <c r="A785">
        <v>21000509</v>
      </c>
      <c r="B785" t="s">
        <v>1452</v>
      </c>
    </row>
    <row r="786" spans="1:2">
      <c r="A786">
        <v>21000510</v>
      </c>
      <c r="B786" t="s">
        <v>1453</v>
      </c>
    </row>
    <row r="787" spans="1:2">
      <c r="A787">
        <v>21000511</v>
      </c>
      <c r="B787" t="s">
        <v>1454</v>
      </c>
    </row>
    <row r="788" spans="1:2">
      <c r="A788">
        <v>21000512</v>
      </c>
      <c r="B788" t="s">
        <v>1455</v>
      </c>
    </row>
    <row r="789" spans="1:2">
      <c r="A789">
        <v>21000513</v>
      </c>
      <c r="B789" t="s">
        <v>1456</v>
      </c>
    </row>
    <row r="790" spans="1:2">
      <c r="A790">
        <v>21000514</v>
      </c>
      <c r="B790" t="s">
        <v>1457</v>
      </c>
    </row>
    <row r="791" spans="1:2">
      <c r="A791">
        <v>21000515</v>
      </c>
      <c r="B791" t="s">
        <v>1458</v>
      </c>
    </row>
    <row r="792" spans="1:2">
      <c r="A792">
        <v>21000516</v>
      </c>
      <c r="B792" t="s">
        <v>1459</v>
      </c>
    </row>
    <row r="793" spans="1:2">
      <c r="A793">
        <v>21000517</v>
      </c>
      <c r="B793" t="s">
        <v>1460</v>
      </c>
    </row>
    <row r="794" spans="1:2">
      <c r="A794">
        <v>21000518</v>
      </c>
      <c r="B794" t="s">
        <v>1461</v>
      </c>
    </row>
    <row r="795" spans="1:2">
      <c r="A795">
        <v>21000519</v>
      </c>
      <c r="B795" t="s">
        <v>1462</v>
      </c>
    </row>
    <row r="796" spans="1:2">
      <c r="A796">
        <v>21000520</v>
      </c>
      <c r="B796" t="s">
        <v>1463</v>
      </c>
    </row>
    <row r="797" spans="1:2">
      <c r="A797">
        <v>21000521</v>
      </c>
      <c r="B797" t="s">
        <v>1464</v>
      </c>
    </row>
    <row r="798" spans="1:2">
      <c r="A798">
        <v>21000522</v>
      </c>
      <c r="B798" t="s">
        <v>1465</v>
      </c>
    </row>
    <row r="799" spans="1:2">
      <c r="A799">
        <v>21000523</v>
      </c>
      <c r="B799" t="s">
        <v>1466</v>
      </c>
    </row>
    <row r="800" spans="1:2">
      <c r="A800">
        <v>21000524</v>
      </c>
      <c r="B800" t="s">
        <v>1467</v>
      </c>
    </row>
    <row r="801" spans="1:2">
      <c r="A801">
        <v>21000525</v>
      </c>
      <c r="B801" t="s">
        <v>1468</v>
      </c>
    </row>
    <row r="802" spans="1:2">
      <c r="A802">
        <v>21000526</v>
      </c>
      <c r="B802" t="s">
        <v>1469</v>
      </c>
    </row>
    <row r="803" spans="1:2">
      <c r="A803">
        <v>21000527</v>
      </c>
      <c r="B803" t="s">
        <v>1470</v>
      </c>
    </row>
    <row r="804" spans="1:2">
      <c r="A804">
        <v>21000528</v>
      </c>
      <c r="B804" t="s">
        <v>1471</v>
      </c>
    </row>
    <row r="805" spans="1:2">
      <c r="A805">
        <v>21000529</v>
      </c>
      <c r="B805" t="s">
        <v>1472</v>
      </c>
    </row>
    <row r="806" spans="1:2">
      <c r="A806">
        <v>21000530</v>
      </c>
      <c r="B806" t="s">
        <v>1473</v>
      </c>
    </row>
    <row r="807" spans="1:2">
      <c r="A807">
        <v>21000531</v>
      </c>
      <c r="B807" t="s">
        <v>1474</v>
      </c>
    </row>
    <row r="808" spans="1:2">
      <c r="A808">
        <v>21000532</v>
      </c>
      <c r="B808" t="s">
        <v>1475</v>
      </c>
    </row>
    <row r="809" spans="1:2">
      <c r="A809">
        <v>22000601</v>
      </c>
      <c r="B809" t="s">
        <v>1476</v>
      </c>
    </row>
    <row r="810" spans="1:2">
      <c r="A810">
        <v>22000602</v>
      </c>
      <c r="B810" t="s">
        <v>1477</v>
      </c>
    </row>
    <row r="811" spans="1:2">
      <c r="A811">
        <v>22000603</v>
      </c>
      <c r="B811" t="s">
        <v>1478</v>
      </c>
    </row>
    <row r="812" spans="1:2">
      <c r="A812">
        <v>22000604</v>
      </c>
      <c r="B812" t="s">
        <v>1479</v>
      </c>
    </row>
    <row r="813" spans="1:2">
      <c r="A813">
        <v>22000605</v>
      </c>
      <c r="B813" t="s">
        <v>1480</v>
      </c>
    </row>
    <row r="814" spans="1:2">
      <c r="A814">
        <v>22000606</v>
      </c>
      <c r="B814" t="s">
        <v>1481</v>
      </c>
    </row>
    <row r="815" spans="1:2">
      <c r="A815">
        <v>22000607</v>
      </c>
      <c r="B815" t="s">
        <v>1482</v>
      </c>
    </row>
    <row r="816" spans="1:2">
      <c r="A816">
        <v>22000608</v>
      </c>
      <c r="B816" t="s">
        <v>1483</v>
      </c>
    </row>
    <row r="817" spans="1:2">
      <c r="A817">
        <v>22000609</v>
      </c>
      <c r="B817" t="s">
        <v>1484</v>
      </c>
    </row>
    <row r="818" spans="1:2">
      <c r="A818">
        <v>22000610</v>
      </c>
      <c r="B818" t="s">
        <v>1485</v>
      </c>
    </row>
    <row r="819" spans="1:2">
      <c r="A819">
        <v>22000611</v>
      </c>
      <c r="B819" t="s">
        <v>1486</v>
      </c>
    </row>
    <row r="820" spans="1:2">
      <c r="A820">
        <v>22000612</v>
      </c>
      <c r="B820" t="s">
        <v>1487</v>
      </c>
    </row>
    <row r="821" spans="1:2">
      <c r="A821">
        <v>22000613</v>
      </c>
      <c r="B821" t="s">
        <v>1488</v>
      </c>
    </row>
    <row r="822" spans="1:2">
      <c r="A822">
        <v>22000614</v>
      </c>
      <c r="B822" t="s">
        <v>1489</v>
      </c>
    </row>
    <row r="823" spans="1:2">
      <c r="A823">
        <v>22000615</v>
      </c>
      <c r="B823" t="s">
        <v>1490</v>
      </c>
    </row>
    <row r="824" spans="1:2">
      <c r="A824">
        <v>22000616</v>
      </c>
      <c r="B824" t="s">
        <v>1491</v>
      </c>
    </row>
    <row r="825" spans="1:2">
      <c r="A825">
        <v>22000617</v>
      </c>
      <c r="B825" t="s">
        <v>1492</v>
      </c>
    </row>
    <row r="826" spans="1:2">
      <c r="A826">
        <v>22500701</v>
      </c>
      <c r="B826" t="s">
        <v>1493</v>
      </c>
    </row>
    <row r="827" spans="1:2">
      <c r="A827">
        <v>22500702</v>
      </c>
      <c r="B827" t="s">
        <v>1494</v>
      </c>
    </row>
    <row r="828" spans="1:2">
      <c r="A828">
        <v>22500703</v>
      </c>
      <c r="B828" t="s">
        <v>1495</v>
      </c>
    </row>
    <row r="829" spans="1:2">
      <c r="A829">
        <v>22500704</v>
      </c>
      <c r="B829" t="s">
        <v>1496</v>
      </c>
    </row>
    <row r="830" spans="1:2">
      <c r="A830">
        <v>22500705</v>
      </c>
      <c r="B830" t="s">
        <v>1497</v>
      </c>
    </row>
    <row r="831" spans="1:2">
      <c r="A831">
        <v>22500706</v>
      </c>
      <c r="B831" t="s">
        <v>1498</v>
      </c>
    </row>
    <row r="832" spans="1:2">
      <c r="A832">
        <v>22500707</v>
      </c>
      <c r="B832" t="s">
        <v>1499</v>
      </c>
    </row>
    <row r="833" spans="1:2">
      <c r="A833">
        <v>22500708</v>
      </c>
      <c r="B833" t="s">
        <v>1500</v>
      </c>
    </row>
    <row r="834" spans="1:2">
      <c r="A834">
        <v>22500709</v>
      </c>
      <c r="B834" t="s">
        <v>1501</v>
      </c>
    </row>
    <row r="835" spans="1:2">
      <c r="A835">
        <v>22500710</v>
      </c>
      <c r="B835" t="s">
        <v>1494</v>
      </c>
    </row>
    <row r="836" spans="1:2">
      <c r="A836">
        <v>22500711</v>
      </c>
      <c r="B836" t="s">
        <v>1502</v>
      </c>
    </row>
    <row r="837" spans="1:2">
      <c r="A837">
        <v>22500712</v>
      </c>
      <c r="B837" t="s">
        <v>1503</v>
      </c>
    </row>
    <row r="838" spans="1:2">
      <c r="A838">
        <v>22500713</v>
      </c>
      <c r="B838" t="s">
        <v>1495</v>
      </c>
    </row>
    <row r="839" spans="1:2">
      <c r="A839">
        <v>22500714</v>
      </c>
      <c r="B839" t="s">
        <v>1496</v>
      </c>
    </row>
    <row r="840" spans="1:2">
      <c r="A840">
        <v>22500715</v>
      </c>
      <c r="B840" t="s">
        <v>1497</v>
      </c>
    </row>
    <row r="841" spans="1:2">
      <c r="A841">
        <v>22500716</v>
      </c>
      <c r="B841" t="s">
        <v>1498</v>
      </c>
    </row>
    <row r="842" spans="1:2">
      <c r="A842">
        <v>22500801</v>
      </c>
      <c r="B842" t="s">
        <v>1504</v>
      </c>
    </row>
    <row r="843" spans="1:2">
      <c r="A843">
        <v>22500802</v>
      </c>
      <c r="B843" t="s">
        <v>1505</v>
      </c>
    </row>
    <row r="844" spans="1:2">
      <c r="A844">
        <v>22500803</v>
      </c>
      <c r="B844" t="s">
        <v>1506</v>
      </c>
    </row>
    <row r="845" spans="1:2">
      <c r="A845">
        <v>22500804</v>
      </c>
      <c r="B845" t="s">
        <v>1507</v>
      </c>
    </row>
    <row r="846" spans="1:2">
      <c r="A846">
        <v>22500805</v>
      </c>
      <c r="B846" t="s">
        <v>1508</v>
      </c>
    </row>
    <row r="847" spans="1:2">
      <c r="A847">
        <v>22500806</v>
      </c>
      <c r="B847" t="s">
        <v>1509</v>
      </c>
    </row>
    <row r="848" spans="1:2">
      <c r="A848">
        <v>23000901</v>
      </c>
      <c r="B848" t="s">
        <v>1510</v>
      </c>
    </row>
    <row r="849" spans="1:2">
      <c r="A849">
        <v>23000902</v>
      </c>
      <c r="B849" t="s">
        <v>1511</v>
      </c>
    </row>
    <row r="850" spans="1:2">
      <c r="A850">
        <v>23000903</v>
      </c>
      <c r="B850" t="s">
        <v>1512</v>
      </c>
    </row>
    <row r="851" spans="1:2">
      <c r="A851">
        <v>23000904</v>
      </c>
      <c r="B851" t="s">
        <v>1513</v>
      </c>
    </row>
    <row r="852" spans="1:2">
      <c r="A852">
        <v>23000905</v>
      </c>
      <c r="B852" t="s">
        <v>1514</v>
      </c>
    </row>
    <row r="853" spans="1:2">
      <c r="A853">
        <v>23000906</v>
      </c>
      <c r="B853" t="s">
        <v>1515</v>
      </c>
    </row>
    <row r="854" spans="1:2">
      <c r="A854">
        <v>29901001</v>
      </c>
      <c r="B854" t="s">
        <v>1516</v>
      </c>
    </row>
    <row r="855" spans="1:2">
      <c r="A855" t="s">
        <v>2225</v>
      </c>
      <c r="B855" t="s">
        <v>2226</v>
      </c>
    </row>
    <row r="856" spans="1:2">
      <c r="A856" t="s">
        <v>2227</v>
      </c>
      <c r="B856" t="s">
        <v>2228</v>
      </c>
    </row>
    <row r="857" spans="1:2">
      <c r="A857" t="s">
        <v>2229</v>
      </c>
      <c r="B857" t="s">
        <v>2230</v>
      </c>
    </row>
    <row r="858" spans="1:2">
      <c r="A858" t="s">
        <v>2231</v>
      </c>
      <c r="B858" t="s">
        <v>2232</v>
      </c>
    </row>
    <row r="859" spans="1:2">
      <c r="A859" t="s">
        <v>2233</v>
      </c>
      <c r="B859" t="s">
        <v>2234</v>
      </c>
    </row>
    <row r="860" spans="1:2">
      <c r="A860" t="s">
        <v>2235</v>
      </c>
      <c r="B860" t="s">
        <v>2236</v>
      </c>
    </row>
    <row r="861" spans="1:2">
      <c r="A861" t="s">
        <v>2237</v>
      </c>
      <c r="B861" t="s">
        <v>2238</v>
      </c>
    </row>
    <row r="862" spans="1:2">
      <c r="A862" t="s">
        <v>2239</v>
      </c>
      <c r="B862" t="s">
        <v>2240</v>
      </c>
    </row>
    <row r="863" spans="1:2">
      <c r="A863" t="s">
        <v>2241</v>
      </c>
      <c r="B863" t="s">
        <v>2242</v>
      </c>
    </row>
    <row r="864" spans="1:2">
      <c r="A864" t="s">
        <v>2243</v>
      </c>
      <c r="B864" t="s">
        <v>2244</v>
      </c>
    </row>
    <row r="865" spans="1:2">
      <c r="A865" t="s">
        <v>2245</v>
      </c>
      <c r="B865" t="s">
        <v>2246</v>
      </c>
    </row>
    <row r="866" spans="1:2">
      <c r="A866" t="s">
        <v>2247</v>
      </c>
      <c r="B866" t="s">
        <v>2248</v>
      </c>
    </row>
    <row r="867" spans="1:2">
      <c r="A867" t="s">
        <v>2249</v>
      </c>
      <c r="B867" t="s">
        <v>2250</v>
      </c>
    </row>
    <row r="868" spans="1:2">
      <c r="A868" t="s">
        <v>2251</v>
      </c>
      <c r="B868" t="s">
        <v>2252</v>
      </c>
    </row>
    <row r="869" spans="1:2">
      <c r="A869" t="s">
        <v>2253</v>
      </c>
      <c r="B869" t="s">
        <v>2254</v>
      </c>
    </row>
    <row r="870" spans="1:2">
      <c r="A870" t="s">
        <v>2255</v>
      </c>
      <c r="B870" t="s">
        <v>2256</v>
      </c>
    </row>
    <row r="871" spans="1:2">
      <c r="A871" t="s">
        <v>2257</v>
      </c>
      <c r="B871" t="s">
        <v>2258</v>
      </c>
    </row>
    <row r="872" spans="1:2">
      <c r="A872" t="s">
        <v>2259</v>
      </c>
      <c r="B872" t="s">
        <v>2260</v>
      </c>
    </row>
    <row r="873" spans="1:2">
      <c r="A873">
        <v>30100101</v>
      </c>
      <c r="B873" t="s">
        <v>1517</v>
      </c>
    </row>
    <row r="874" spans="1:2">
      <c r="A874">
        <v>30100201</v>
      </c>
      <c r="B874" t="s">
        <v>1518</v>
      </c>
    </row>
    <row r="875" spans="1:2">
      <c r="A875">
        <v>30199901</v>
      </c>
      <c r="B875" t="s">
        <v>1519</v>
      </c>
    </row>
    <row r="876" spans="1:2">
      <c r="A876">
        <v>30500301</v>
      </c>
      <c r="B876" t="s">
        <v>1520</v>
      </c>
    </row>
    <row r="877" spans="1:2">
      <c r="A877">
        <v>30500302</v>
      </c>
      <c r="B877" t="s">
        <v>1521</v>
      </c>
    </row>
    <row r="878" spans="1:2">
      <c r="A878">
        <v>30500303</v>
      </c>
      <c r="B878" t="s">
        <v>1522</v>
      </c>
    </row>
    <row r="879" spans="1:2">
      <c r="A879">
        <v>30500304</v>
      </c>
      <c r="B879" t="s">
        <v>1523</v>
      </c>
    </row>
    <row r="880" spans="1:2">
      <c r="A880">
        <v>30500305</v>
      </c>
      <c r="B880" t="s">
        <v>1524</v>
      </c>
    </row>
    <row r="881" spans="1:2">
      <c r="A881">
        <v>30500306</v>
      </c>
      <c r="B881" t="s">
        <v>1525</v>
      </c>
    </row>
    <row r="882" spans="1:2">
      <c r="A882">
        <v>30500307</v>
      </c>
      <c r="B882" t="s">
        <v>1524</v>
      </c>
    </row>
    <row r="883" spans="1:2">
      <c r="A883">
        <v>30500308</v>
      </c>
      <c r="B883" t="s">
        <v>1526</v>
      </c>
    </row>
    <row r="884" spans="1:2">
      <c r="A884">
        <v>30500309</v>
      </c>
      <c r="B884" t="s">
        <v>1527</v>
      </c>
    </row>
    <row r="885" spans="1:2">
      <c r="A885">
        <v>30500401</v>
      </c>
      <c r="B885" t="s">
        <v>1536</v>
      </c>
    </row>
    <row r="886" spans="1:2">
      <c r="A886">
        <v>30500402</v>
      </c>
      <c r="B886" t="s">
        <v>1537</v>
      </c>
    </row>
    <row r="887" spans="1:2">
      <c r="A887">
        <v>30500403</v>
      </c>
      <c r="B887" t="s">
        <v>1538</v>
      </c>
    </row>
    <row r="888" spans="1:2">
      <c r="A888">
        <v>30500404</v>
      </c>
      <c r="B888" t="s">
        <v>1539</v>
      </c>
    </row>
    <row r="889" spans="1:2">
      <c r="A889">
        <v>30500405</v>
      </c>
      <c r="B889" t="s">
        <v>1540</v>
      </c>
    </row>
    <row r="890" spans="1:2">
      <c r="A890">
        <v>30500406</v>
      </c>
      <c r="B890" t="s">
        <v>1541</v>
      </c>
    </row>
    <row r="891" spans="1:2">
      <c r="A891">
        <v>30500407</v>
      </c>
      <c r="B891" t="s">
        <v>1542</v>
      </c>
    </row>
    <row r="892" spans="1:2">
      <c r="A892">
        <v>30500408</v>
      </c>
      <c r="B892" t="s">
        <v>1543</v>
      </c>
    </row>
    <row r="893" spans="1:2">
      <c r="A893">
        <v>30500409</v>
      </c>
      <c r="B893" t="s">
        <v>1544</v>
      </c>
    </row>
    <row r="894" spans="1:2">
      <c r="A894">
        <v>30599901</v>
      </c>
      <c r="B894" t="s">
        <v>1553</v>
      </c>
    </row>
    <row r="895" spans="1:2">
      <c r="A895">
        <v>30599902</v>
      </c>
      <c r="B895" t="s">
        <v>1554</v>
      </c>
    </row>
    <row r="896" spans="1:2">
      <c r="A896">
        <v>30599903</v>
      </c>
      <c r="B896" t="s">
        <v>1555</v>
      </c>
    </row>
    <row r="897" spans="1:2">
      <c r="A897">
        <v>30599904</v>
      </c>
      <c r="B897" t="s">
        <v>1556</v>
      </c>
    </row>
    <row r="898" spans="1:2">
      <c r="A898">
        <v>30599905</v>
      </c>
      <c r="B898" t="s">
        <v>1557</v>
      </c>
    </row>
    <row r="899" spans="1:2">
      <c r="A899">
        <v>30599906</v>
      </c>
      <c r="B899" t="s">
        <v>1558</v>
      </c>
    </row>
    <row r="900" spans="1:2">
      <c r="A900">
        <v>30599907</v>
      </c>
      <c r="B900" t="s">
        <v>1559</v>
      </c>
    </row>
    <row r="901" spans="1:2">
      <c r="A901">
        <v>30599908</v>
      </c>
      <c r="B901" t="s">
        <v>1560</v>
      </c>
    </row>
    <row r="902" spans="1:2">
      <c r="A902">
        <v>30599909</v>
      </c>
      <c r="B902" t="s">
        <v>1561</v>
      </c>
    </row>
    <row r="903" spans="1:2">
      <c r="A903">
        <v>30599910</v>
      </c>
      <c r="B903" t="s">
        <v>1562</v>
      </c>
    </row>
    <row r="904" spans="1:2">
      <c r="A904">
        <v>30599911</v>
      </c>
      <c r="B904" t="s">
        <v>1563</v>
      </c>
    </row>
    <row r="905" spans="1:2">
      <c r="A905">
        <v>30599912</v>
      </c>
      <c r="B905" t="s">
        <v>1564</v>
      </c>
    </row>
    <row r="906" spans="1:2">
      <c r="A906">
        <v>30599913</v>
      </c>
      <c r="B906" t="s">
        <v>1565</v>
      </c>
    </row>
    <row r="907" spans="1:2">
      <c r="A907">
        <v>30599914</v>
      </c>
      <c r="B907" t="s">
        <v>1566</v>
      </c>
    </row>
    <row r="908" spans="1:2">
      <c r="A908">
        <v>30599915</v>
      </c>
      <c r="B908" t="s">
        <v>1567</v>
      </c>
    </row>
    <row r="909" spans="1:2">
      <c r="A909">
        <v>30599916</v>
      </c>
      <c r="B909" t="s">
        <v>1568</v>
      </c>
    </row>
    <row r="910" spans="1:2">
      <c r="A910">
        <v>30599917</v>
      </c>
      <c r="B910" t="s">
        <v>1569</v>
      </c>
    </row>
    <row r="911" spans="1:2">
      <c r="A911">
        <v>30599918</v>
      </c>
      <c r="B911" t="s">
        <v>1570</v>
      </c>
    </row>
    <row r="912" spans="1:2">
      <c r="A912">
        <v>30599919</v>
      </c>
      <c r="B912" t="s">
        <v>1571</v>
      </c>
    </row>
    <row r="913" spans="1:2">
      <c r="A913">
        <v>30599920</v>
      </c>
      <c r="B913" t="s">
        <v>1572</v>
      </c>
    </row>
    <row r="914" spans="1:2">
      <c r="A914">
        <v>30599921</v>
      </c>
      <c r="B914" t="s">
        <v>1573</v>
      </c>
    </row>
    <row r="915" spans="1:2">
      <c r="A915">
        <v>30599922</v>
      </c>
      <c r="B915" t="s">
        <v>1574</v>
      </c>
    </row>
    <row r="916" spans="1:2">
      <c r="A916">
        <v>30599923</v>
      </c>
      <c r="B916" t="s">
        <v>1575</v>
      </c>
    </row>
    <row r="917" spans="1:2">
      <c r="A917">
        <v>30599924</v>
      </c>
      <c r="B917" t="s">
        <v>1576</v>
      </c>
    </row>
    <row r="918" spans="1:2">
      <c r="A918">
        <v>30599925</v>
      </c>
      <c r="B918" t="s">
        <v>1577</v>
      </c>
    </row>
    <row r="919" spans="1:2">
      <c r="A919">
        <v>30599926</v>
      </c>
      <c r="B919" t="s">
        <v>1578</v>
      </c>
    </row>
    <row r="920" spans="1:2">
      <c r="A920">
        <v>30599927</v>
      </c>
      <c r="B920" t="s">
        <v>1579</v>
      </c>
    </row>
    <row r="921" spans="1:2">
      <c r="A921">
        <v>30500310</v>
      </c>
      <c r="B921" t="s">
        <v>1528</v>
      </c>
    </row>
    <row r="922" spans="1:2">
      <c r="A922">
        <v>30500311</v>
      </c>
      <c r="B922" t="s">
        <v>1529</v>
      </c>
    </row>
    <row r="923" spans="1:2">
      <c r="A923">
        <v>30500312</v>
      </c>
      <c r="B923" t="s">
        <v>1530</v>
      </c>
    </row>
    <row r="924" spans="1:2">
      <c r="A924">
        <v>30500313</v>
      </c>
      <c r="B924" t="s">
        <v>1531</v>
      </c>
    </row>
    <row r="925" spans="1:2">
      <c r="A925">
        <v>30500314</v>
      </c>
      <c r="B925" t="s">
        <v>1532</v>
      </c>
    </row>
    <row r="926" spans="1:2">
      <c r="A926">
        <v>30500315</v>
      </c>
      <c r="B926" t="s">
        <v>1533</v>
      </c>
    </row>
    <row r="927" spans="1:2">
      <c r="A927">
        <v>30500316</v>
      </c>
      <c r="B927" t="s">
        <v>1534</v>
      </c>
    </row>
    <row r="928" spans="1:2">
      <c r="A928">
        <v>30500317</v>
      </c>
      <c r="B928" t="s">
        <v>1535</v>
      </c>
    </row>
    <row r="929" spans="1:2">
      <c r="A929">
        <v>30500410</v>
      </c>
      <c r="B929" t="s">
        <v>1545</v>
      </c>
    </row>
    <row r="930" spans="1:2">
      <c r="A930">
        <v>30500411</v>
      </c>
      <c r="B930" t="s">
        <v>1546</v>
      </c>
    </row>
    <row r="931" spans="1:2">
      <c r="A931">
        <v>30500412</v>
      </c>
      <c r="B931" t="s">
        <v>1547</v>
      </c>
    </row>
    <row r="932" spans="1:2">
      <c r="A932">
        <v>30500413</v>
      </c>
      <c r="B932" t="s">
        <v>1548</v>
      </c>
    </row>
    <row r="933" spans="1:2">
      <c r="A933">
        <v>30500414</v>
      </c>
      <c r="B933" t="s">
        <v>1549</v>
      </c>
    </row>
    <row r="934" spans="1:2">
      <c r="A934">
        <v>30500415</v>
      </c>
      <c r="B934" t="s">
        <v>1550</v>
      </c>
    </row>
    <row r="935" spans="1:2">
      <c r="A935">
        <v>30500416</v>
      </c>
      <c r="B935" t="s">
        <v>1551</v>
      </c>
    </row>
    <row r="936" spans="1:2">
      <c r="A936">
        <v>30500417</v>
      </c>
      <c r="B936" t="s">
        <v>1552</v>
      </c>
    </row>
    <row r="937" spans="1:2">
      <c r="A937">
        <v>30599928</v>
      </c>
      <c r="B937" t="s">
        <v>1580</v>
      </c>
    </row>
    <row r="938" spans="1:2">
      <c r="A938">
        <v>30599929</v>
      </c>
      <c r="B938" t="s">
        <v>1581</v>
      </c>
    </row>
    <row r="939" spans="1:2">
      <c r="A939">
        <v>30599930</v>
      </c>
      <c r="B939" t="s">
        <v>1582</v>
      </c>
    </row>
    <row r="940" spans="1:2">
      <c r="A940">
        <v>30599931</v>
      </c>
      <c r="B940" t="s">
        <v>1583</v>
      </c>
    </row>
    <row r="941" spans="1:2">
      <c r="A941">
        <v>30599932</v>
      </c>
      <c r="B941" t="s">
        <v>1584</v>
      </c>
    </row>
    <row r="942" spans="1:2">
      <c r="A942">
        <v>30599933</v>
      </c>
      <c r="B942" t="s">
        <v>1585</v>
      </c>
    </row>
    <row r="943" spans="1:2">
      <c r="A943">
        <v>30599934</v>
      </c>
      <c r="B943" t="s">
        <v>1586</v>
      </c>
    </row>
    <row r="944" spans="1:2">
      <c r="A944">
        <v>30599935</v>
      </c>
      <c r="B944" t="s">
        <v>1587</v>
      </c>
    </row>
    <row r="945" spans="1:2">
      <c r="A945">
        <v>31000501</v>
      </c>
      <c r="B945" t="s">
        <v>1588</v>
      </c>
    </row>
    <row r="946" spans="1:2">
      <c r="A946">
        <v>31000502</v>
      </c>
      <c r="B946" t="s">
        <v>1589</v>
      </c>
    </row>
    <row r="947" spans="1:2">
      <c r="A947">
        <v>31000503</v>
      </c>
      <c r="B947" t="s">
        <v>1590</v>
      </c>
    </row>
    <row r="948" spans="1:2">
      <c r="A948">
        <v>31000504</v>
      </c>
      <c r="B948" t="s">
        <v>1591</v>
      </c>
    </row>
    <row r="949" spans="1:2">
      <c r="A949">
        <v>31000505</v>
      </c>
      <c r="B949" t="s">
        <v>1592</v>
      </c>
    </row>
    <row r="950" spans="1:2">
      <c r="A950">
        <v>31000506</v>
      </c>
      <c r="B950" t="s">
        <v>1593</v>
      </c>
    </row>
    <row r="951" spans="1:2">
      <c r="A951">
        <v>31000507</v>
      </c>
      <c r="B951" t="s">
        <v>1594</v>
      </c>
    </row>
    <row r="952" spans="1:2">
      <c r="A952">
        <v>31000508</v>
      </c>
      <c r="B952" t="s">
        <v>1595</v>
      </c>
    </row>
    <row r="953" spans="1:2">
      <c r="A953">
        <v>31000509</v>
      </c>
      <c r="B953" t="s">
        <v>1596</v>
      </c>
    </row>
    <row r="954" spans="1:2">
      <c r="A954">
        <v>31000510</v>
      </c>
      <c r="B954" t="s">
        <v>1597</v>
      </c>
    </row>
    <row r="955" spans="1:2">
      <c r="A955">
        <v>31000511</v>
      </c>
      <c r="B955" t="s">
        <v>1598</v>
      </c>
    </row>
    <row r="956" spans="1:2">
      <c r="A956">
        <v>31000512</v>
      </c>
      <c r="B956" t="s">
        <v>1599</v>
      </c>
    </row>
    <row r="957" spans="1:2">
      <c r="A957">
        <v>31000513</v>
      </c>
      <c r="B957" t="s">
        <v>1600</v>
      </c>
    </row>
    <row r="958" spans="1:2">
      <c r="A958">
        <v>31000514</v>
      </c>
      <c r="B958" t="s">
        <v>1601</v>
      </c>
    </row>
    <row r="959" spans="1:2">
      <c r="A959">
        <v>31000515</v>
      </c>
      <c r="B959" t="s">
        <v>1602</v>
      </c>
    </row>
    <row r="960" spans="1:2">
      <c r="A960">
        <v>31000516</v>
      </c>
      <c r="B960" t="s">
        <v>1603</v>
      </c>
    </row>
    <row r="961" spans="1:2">
      <c r="A961">
        <v>31000517</v>
      </c>
      <c r="B961" t="s">
        <v>1604</v>
      </c>
    </row>
    <row r="962" spans="1:2">
      <c r="A962">
        <v>31000518</v>
      </c>
      <c r="B962" t="s">
        <v>1605</v>
      </c>
    </row>
    <row r="963" spans="1:2">
      <c r="A963">
        <v>31000519</v>
      </c>
      <c r="B963" t="s">
        <v>1606</v>
      </c>
    </row>
    <row r="964" spans="1:2">
      <c r="A964">
        <v>31000520</v>
      </c>
      <c r="B964" t="s">
        <v>1607</v>
      </c>
    </row>
    <row r="965" spans="1:2">
      <c r="A965">
        <v>31000521</v>
      </c>
      <c r="B965" t="s">
        <v>1608</v>
      </c>
    </row>
    <row r="966" spans="1:2">
      <c r="A966">
        <v>31000522</v>
      </c>
      <c r="B966" t="s">
        <v>1609</v>
      </c>
    </row>
    <row r="967" spans="1:2">
      <c r="A967">
        <v>31000523</v>
      </c>
      <c r="B967" t="s">
        <v>1610</v>
      </c>
    </row>
    <row r="968" spans="1:2">
      <c r="A968">
        <v>31000524</v>
      </c>
      <c r="B968" t="s">
        <v>1611</v>
      </c>
    </row>
    <row r="969" spans="1:2">
      <c r="A969">
        <v>31000525</v>
      </c>
      <c r="B969" t="s">
        <v>1612</v>
      </c>
    </row>
    <row r="970" spans="1:2">
      <c r="A970">
        <v>31000526</v>
      </c>
      <c r="B970" t="s">
        <v>1613</v>
      </c>
    </row>
    <row r="971" spans="1:2">
      <c r="A971">
        <v>31000527</v>
      </c>
      <c r="B971" t="s">
        <v>1614</v>
      </c>
    </row>
    <row r="972" spans="1:2">
      <c r="A972">
        <v>31000528</v>
      </c>
      <c r="B972" t="s">
        <v>1615</v>
      </c>
    </row>
    <row r="973" spans="1:2">
      <c r="A973">
        <v>31000529</v>
      </c>
      <c r="B973" t="s">
        <v>1616</v>
      </c>
    </row>
    <row r="974" spans="1:2">
      <c r="A974">
        <v>31000530</v>
      </c>
      <c r="B974" t="s">
        <v>1617</v>
      </c>
    </row>
    <row r="975" spans="1:2">
      <c r="A975">
        <v>31000531</v>
      </c>
      <c r="B975" t="s">
        <v>1618</v>
      </c>
    </row>
    <row r="976" spans="1:2">
      <c r="A976">
        <v>31000532</v>
      </c>
      <c r="B976" t="s">
        <v>1619</v>
      </c>
    </row>
    <row r="977" spans="1:2">
      <c r="A977">
        <v>32000601</v>
      </c>
      <c r="B977" t="s">
        <v>1620</v>
      </c>
    </row>
    <row r="978" spans="1:2">
      <c r="A978">
        <v>32000602</v>
      </c>
      <c r="B978" t="s">
        <v>1621</v>
      </c>
    </row>
    <row r="979" spans="1:2">
      <c r="A979">
        <v>32000603</v>
      </c>
      <c r="B979" t="s">
        <v>1622</v>
      </c>
    </row>
    <row r="980" spans="1:2">
      <c r="A980">
        <v>32000604</v>
      </c>
      <c r="B980" t="s">
        <v>1623</v>
      </c>
    </row>
    <row r="981" spans="1:2">
      <c r="A981">
        <v>32000605</v>
      </c>
      <c r="B981" t="s">
        <v>1624</v>
      </c>
    </row>
    <row r="982" spans="1:2">
      <c r="A982">
        <v>32000606</v>
      </c>
      <c r="B982" t="s">
        <v>1625</v>
      </c>
    </row>
    <row r="983" spans="1:2">
      <c r="A983">
        <v>32000607</v>
      </c>
      <c r="B983" t="s">
        <v>1626</v>
      </c>
    </row>
    <row r="984" spans="1:2">
      <c r="A984">
        <v>32000608</v>
      </c>
      <c r="B984" t="s">
        <v>1627</v>
      </c>
    </row>
    <row r="985" spans="1:2">
      <c r="A985">
        <v>32000609</v>
      </c>
      <c r="B985" t="s">
        <v>1628</v>
      </c>
    </row>
    <row r="986" spans="1:2">
      <c r="A986">
        <v>32000610</v>
      </c>
      <c r="B986" t="s">
        <v>1629</v>
      </c>
    </row>
    <row r="987" spans="1:2">
      <c r="A987">
        <v>32000611</v>
      </c>
      <c r="B987" t="s">
        <v>1630</v>
      </c>
    </row>
    <row r="988" spans="1:2">
      <c r="A988">
        <v>32000612</v>
      </c>
      <c r="B988" t="s">
        <v>1631</v>
      </c>
    </row>
    <row r="989" spans="1:2">
      <c r="A989">
        <v>32000613</v>
      </c>
      <c r="B989" t="s">
        <v>1632</v>
      </c>
    </row>
    <row r="990" spans="1:2">
      <c r="A990">
        <v>32000614</v>
      </c>
      <c r="B990" t="s">
        <v>1633</v>
      </c>
    </row>
    <row r="991" spans="1:2">
      <c r="A991">
        <v>32000615</v>
      </c>
      <c r="B991" t="s">
        <v>1634</v>
      </c>
    </row>
    <row r="992" spans="1:2">
      <c r="A992">
        <v>32000616</v>
      </c>
      <c r="B992" t="s">
        <v>1635</v>
      </c>
    </row>
    <row r="993" spans="1:2">
      <c r="A993">
        <v>32000617</v>
      </c>
      <c r="B993" t="s">
        <v>1636</v>
      </c>
    </row>
    <row r="994" spans="1:2">
      <c r="A994">
        <v>32500701</v>
      </c>
      <c r="B994" t="s">
        <v>1637</v>
      </c>
    </row>
    <row r="995" spans="1:2">
      <c r="A995">
        <v>32500702</v>
      </c>
      <c r="B995" t="s">
        <v>1638</v>
      </c>
    </row>
    <row r="996" spans="1:2">
      <c r="A996">
        <v>32500703</v>
      </c>
      <c r="B996" t="s">
        <v>1639</v>
      </c>
    </row>
    <row r="997" spans="1:2">
      <c r="A997">
        <v>32500704</v>
      </c>
      <c r="B997" t="s">
        <v>1640</v>
      </c>
    </row>
    <row r="998" spans="1:2">
      <c r="A998">
        <v>32500705</v>
      </c>
      <c r="B998" t="s">
        <v>1641</v>
      </c>
    </row>
    <row r="999" spans="1:2">
      <c r="A999">
        <v>32500706</v>
      </c>
      <c r="B999" t="s">
        <v>1642</v>
      </c>
    </row>
    <row r="1000" spans="1:2">
      <c r="A1000">
        <v>32500707</v>
      </c>
      <c r="B1000" t="s">
        <v>1643</v>
      </c>
    </row>
    <row r="1001" spans="1:2">
      <c r="A1001">
        <v>32500708</v>
      </c>
      <c r="B1001" t="s">
        <v>1644</v>
      </c>
    </row>
    <row r="1002" spans="1:2">
      <c r="A1002">
        <v>32500709</v>
      </c>
      <c r="B1002" t="s">
        <v>1645</v>
      </c>
    </row>
    <row r="1003" spans="1:2">
      <c r="A1003">
        <v>32500710</v>
      </c>
      <c r="B1003" t="s">
        <v>1638</v>
      </c>
    </row>
    <row r="1004" spans="1:2">
      <c r="A1004">
        <v>32500711</v>
      </c>
      <c r="B1004" t="s">
        <v>1646</v>
      </c>
    </row>
    <row r="1005" spans="1:2">
      <c r="A1005">
        <v>32500712</v>
      </c>
      <c r="B1005" t="s">
        <v>1647</v>
      </c>
    </row>
    <row r="1006" spans="1:2">
      <c r="A1006">
        <v>32500713</v>
      </c>
      <c r="B1006" t="s">
        <v>1639</v>
      </c>
    </row>
    <row r="1007" spans="1:2">
      <c r="A1007">
        <v>32500714</v>
      </c>
      <c r="B1007" t="s">
        <v>1640</v>
      </c>
    </row>
    <row r="1008" spans="1:2">
      <c r="A1008">
        <v>32500715</v>
      </c>
      <c r="B1008" t="s">
        <v>1641</v>
      </c>
    </row>
    <row r="1009" spans="1:2">
      <c r="A1009">
        <v>32500716</v>
      </c>
      <c r="B1009" t="s">
        <v>1642</v>
      </c>
    </row>
    <row r="1010" spans="1:2">
      <c r="A1010">
        <v>32500801</v>
      </c>
      <c r="B1010" t="s">
        <v>1648</v>
      </c>
    </row>
    <row r="1011" spans="1:2">
      <c r="A1011">
        <v>32500802</v>
      </c>
      <c r="B1011" t="s">
        <v>1649</v>
      </c>
    </row>
    <row r="1012" spans="1:2">
      <c r="A1012">
        <v>32500803</v>
      </c>
      <c r="B1012" t="s">
        <v>1650</v>
      </c>
    </row>
    <row r="1013" spans="1:2">
      <c r="A1013">
        <v>32500804</v>
      </c>
      <c r="B1013" t="s">
        <v>1651</v>
      </c>
    </row>
    <row r="1014" spans="1:2">
      <c r="A1014">
        <v>32500805</v>
      </c>
      <c r="B1014" t="s">
        <v>1652</v>
      </c>
    </row>
    <row r="1015" spans="1:2">
      <c r="A1015">
        <v>32500806</v>
      </c>
      <c r="B1015" t="s">
        <v>1653</v>
      </c>
    </row>
    <row r="1016" spans="1:2">
      <c r="A1016">
        <v>33000901</v>
      </c>
      <c r="B1016" t="s">
        <v>1654</v>
      </c>
    </row>
    <row r="1017" spans="1:2">
      <c r="A1017">
        <v>33000902</v>
      </c>
      <c r="B1017" t="s">
        <v>1655</v>
      </c>
    </row>
    <row r="1018" spans="1:2">
      <c r="A1018">
        <v>33000903</v>
      </c>
      <c r="B1018" t="s">
        <v>1656</v>
      </c>
    </row>
    <row r="1019" spans="1:2">
      <c r="A1019">
        <v>33000904</v>
      </c>
      <c r="B1019" t="s">
        <v>1657</v>
      </c>
    </row>
    <row r="1020" spans="1:2">
      <c r="A1020">
        <v>33000905</v>
      </c>
      <c r="B1020" t="s">
        <v>1658</v>
      </c>
    </row>
    <row r="1021" spans="1:2">
      <c r="A1021">
        <v>33000906</v>
      </c>
      <c r="B1021" t="s">
        <v>1659</v>
      </c>
    </row>
    <row r="1022" spans="1:2">
      <c r="A1022">
        <v>39901001</v>
      </c>
      <c r="B1022" t="s">
        <v>1660</v>
      </c>
    </row>
    <row r="1023" spans="1:2">
      <c r="A1023" t="s">
        <v>2261</v>
      </c>
      <c r="B1023" t="s">
        <v>2262</v>
      </c>
    </row>
    <row r="1024" spans="1:2">
      <c r="A1024" t="s">
        <v>2263</v>
      </c>
      <c r="B1024" t="s">
        <v>2264</v>
      </c>
    </row>
    <row r="1025" spans="1:2">
      <c r="A1025" t="s">
        <v>2265</v>
      </c>
      <c r="B1025" t="s">
        <v>2266</v>
      </c>
    </row>
    <row r="1026" spans="1:2">
      <c r="A1026" t="s">
        <v>2267</v>
      </c>
      <c r="B1026" t="s">
        <v>2268</v>
      </c>
    </row>
    <row r="1027" spans="1:2">
      <c r="A1027" t="s">
        <v>2269</v>
      </c>
      <c r="B1027" t="s">
        <v>2270</v>
      </c>
    </row>
    <row r="1028" spans="1:2">
      <c r="A1028" t="s">
        <v>2271</v>
      </c>
      <c r="B1028" t="s">
        <v>2272</v>
      </c>
    </row>
    <row r="1029" spans="1:2">
      <c r="A1029" t="s">
        <v>2273</v>
      </c>
      <c r="B1029" t="s">
        <v>2274</v>
      </c>
    </row>
    <row r="1030" spans="1:2">
      <c r="A1030" t="s">
        <v>2275</v>
      </c>
      <c r="B1030" t="s">
        <v>2276</v>
      </c>
    </row>
    <row r="1031" spans="1:2">
      <c r="A1031" t="s">
        <v>2277</v>
      </c>
      <c r="B1031" t="s">
        <v>2278</v>
      </c>
    </row>
    <row r="1032" spans="1:2">
      <c r="A1032" t="s">
        <v>2279</v>
      </c>
      <c r="B1032" t="s">
        <v>2280</v>
      </c>
    </row>
    <row r="1033" spans="1:2">
      <c r="A1033" t="s">
        <v>2281</v>
      </c>
      <c r="B1033" t="s">
        <v>2282</v>
      </c>
    </row>
    <row r="1034" spans="1:2">
      <c r="A1034" t="s">
        <v>2283</v>
      </c>
      <c r="B1034" t="s">
        <v>2284</v>
      </c>
    </row>
    <row r="1035" spans="1:2">
      <c r="A1035" t="s">
        <v>2285</v>
      </c>
      <c r="B1035" t="s">
        <v>2286</v>
      </c>
    </row>
    <row r="1036" spans="1:2">
      <c r="A1036" t="s">
        <v>2287</v>
      </c>
      <c r="B1036" t="s">
        <v>2288</v>
      </c>
    </row>
    <row r="1037" spans="1:2">
      <c r="A1037" t="s">
        <v>2289</v>
      </c>
      <c r="B1037" t="s">
        <v>2290</v>
      </c>
    </row>
    <row r="1038" spans="1:2">
      <c r="A1038" t="s">
        <v>2291</v>
      </c>
      <c r="B1038" t="s">
        <v>2292</v>
      </c>
    </row>
    <row r="1039" spans="1:2">
      <c r="A1039" t="s">
        <v>2293</v>
      </c>
      <c r="B1039" t="s">
        <v>2294</v>
      </c>
    </row>
    <row r="1040" spans="1:2">
      <c r="A1040" t="s">
        <v>2295</v>
      </c>
      <c r="B1040" t="s">
        <v>2296</v>
      </c>
    </row>
    <row r="1041" spans="1:2">
      <c r="A1041">
        <v>40100101</v>
      </c>
      <c r="B1041" t="s">
        <v>1661</v>
      </c>
    </row>
    <row r="1042" spans="1:2">
      <c r="A1042">
        <v>40100201</v>
      </c>
      <c r="B1042" t="s">
        <v>1662</v>
      </c>
    </row>
    <row r="1043" spans="1:2">
      <c r="A1043">
        <v>40199901</v>
      </c>
      <c r="B1043" t="s">
        <v>1663</v>
      </c>
    </row>
    <row r="1044" spans="1:2">
      <c r="A1044">
        <v>40500301</v>
      </c>
      <c r="B1044" t="s">
        <v>1664</v>
      </c>
    </row>
    <row r="1045" spans="1:2">
      <c r="A1045">
        <v>40500302</v>
      </c>
      <c r="B1045" t="s">
        <v>1665</v>
      </c>
    </row>
    <row r="1046" spans="1:2">
      <c r="A1046">
        <v>40500303</v>
      </c>
      <c r="B1046" t="s">
        <v>1666</v>
      </c>
    </row>
    <row r="1047" spans="1:2">
      <c r="A1047">
        <v>40500304</v>
      </c>
      <c r="B1047" t="s">
        <v>1667</v>
      </c>
    </row>
    <row r="1048" spans="1:2">
      <c r="A1048">
        <v>40500305</v>
      </c>
      <c r="B1048" t="s">
        <v>1668</v>
      </c>
    </row>
    <row r="1049" spans="1:2">
      <c r="A1049">
        <v>40500306</v>
      </c>
      <c r="B1049" t="s">
        <v>1669</v>
      </c>
    </row>
    <row r="1050" spans="1:2">
      <c r="A1050">
        <v>40500307</v>
      </c>
      <c r="B1050" t="s">
        <v>1668</v>
      </c>
    </row>
    <row r="1051" spans="1:2">
      <c r="A1051">
        <v>40500308</v>
      </c>
      <c r="B1051" t="s">
        <v>1670</v>
      </c>
    </row>
    <row r="1052" spans="1:2">
      <c r="A1052">
        <v>40500309</v>
      </c>
      <c r="B1052" t="s">
        <v>1671</v>
      </c>
    </row>
    <row r="1053" spans="1:2">
      <c r="A1053">
        <v>40500401</v>
      </c>
      <c r="B1053" t="s">
        <v>1680</v>
      </c>
    </row>
    <row r="1054" spans="1:2">
      <c r="A1054">
        <v>40500402</v>
      </c>
      <c r="B1054" t="s">
        <v>1681</v>
      </c>
    </row>
    <row r="1055" spans="1:2">
      <c r="A1055">
        <v>40500403</v>
      </c>
      <c r="B1055" t="s">
        <v>1682</v>
      </c>
    </row>
    <row r="1056" spans="1:2">
      <c r="A1056">
        <v>40500404</v>
      </c>
      <c r="B1056" t="s">
        <v>1683</v>
      </c>
    </row>
    <row r="1057" spans="1:2">
      <c r="A1057">
        <v>40500405</v>
      </c>
      <c r="B1057" t="s">
        <v>1684</v>
      </c>
    </row>
    <row r="1058" spans="1:2">
      <c r="A1058">
        <v>40500406</v>
      </c>
      <c r="B1058" t="s">
        <v>1685</v>
      </c>
    </row>
    <row r="1059" spans="1:2">
      <c r="A1059">
        <v>40500407</v>
      </c>
      <c r="B1059" t="s">
        <v>1686</v>
      </c>
    </row>
    <row r="1060" spans="1:2">
      <c r="A1060">
        <v>40500408</v>
      </c>
      <c r="B1060" t="s">
        <v>1687</v>
      </c>
    </row>
    <row r="1061" spans="1:2">
      <c r="A1061">
        <v>40500409</v>
      </c>
      <c r="B1061" t="s">
        <v>1688</v>
      </c>
    </row>
    <row r="1062" spans="1:2">
      <c r="A1062">
        <v>40599901</v>
      </c>
      <c r="B1062" t="s">
        <v>1697</v>
      </c>
    </row>
    <row r="1063" spans="1:2">
      <c r="A1063">
        <v>40599902</v>
      </c>
      <c r="B1063" t="s">
        <v>1698</v>
      </c>
    </row>
    <row r="1064" spans="1:2">
      <c r="A1064">
        <v>40599903</v>
      </c>
      <c r="B1064" t="s">
        <v>1699</v>
      </c>
    </row>
    <row r="1065" spans="1:2">
      <c r="A1065">
        <v>40599904</v>
      </c>
      <c r="B1065" t="s">
        <v>1700</v>
      </c>
    </row>
    <row r="1066" spans="1:2">
      <c r="A1066">
        <v>40599905</v>
      </c>
      <c r="B1066" t="s">
        <v>1701</v>
      </c>
    </row>
    <row r="1067" spans="1:2">
      <c r="A1067">
        <v>40599906</v>
      </c>
      <c r="B1067" t="s">
        <v>1702</v>
      </c>
    </row>
    <row r="1068" spans="1:2">
      <c r="A1068">
        <v>40599907</v>
      </c>
      <c r="B1068" t="s">
        <v>1703</v>
      </c>
    </row>
    <row r="1069" spans="1:2">
      <c r="A1069">
        <v>40599908</v>
      </c>
      <c r="B1069" t="s">
        <v>1704</v>
      </c>
    </row>
    <row r="1070" spans="1:2">
      <c r="A1070">
        <v>40599909</v>
      </c>
      <c r="B1070" t="s">
        <v>1705</v>
      </c>
    </row>
    <row r="1071" spans="1:2">
      <c r="A1071">
        <v>40599910</v>
      </c>
      <c r="B1071" t="s">
        <v>1706</v>
      </c>
    </row>
    <row r="1072" spans="1:2">
      <c r="A1072">
        <v>40599911</v>
      </c>
      <c r="B1072" t="s">
        <v>1707</v>
      </c>
    </row>
    <row r="1073" spans="1:2">
      <c r="A1073">
        <v>40599912</v>
      </c>
      <c r="B1073" t="s">
        <v>1708</v>
      </c>
    </row>
    <row r="1074" spans="1:2">
      <c r="A1074">
        <v>40599913</v>
      </c>
      <c r="B1074" t="s">
        <v>1709</v>
      </c>
    </row>
    <row r="1075" spans="1:2">
      <c r="A1075">
        <v>40599914</v>
      </c>
      <c r="B1075" t="s">
        <v>1710</v>
      </c>
    </row>
    <row r="1076" spans="1:2">
      <c r="A1076">
        <v>40599915</v>
      </c>
      <c r="B1076" t="s">
        <v>1711</v>
      </c>
    </row>
    <row r="1077" spans="1:2">
      <c r="A1077">
        <v>40599916</v>
      </c>
      <c r="B1077" t="s">
        <v>1712</v>
      </c>
    </row>
    <row r="1078" spans="1:2">
      <c r="A1078">
        <v>40599917</v>
      </c>
      <c r="B1078" t="s">
        <v>1713</v>
      </c>
    </row>
    <row r="1079" spans="1:2">
      <c r="A1079">
        <v>40599918</v>
      </c>
      <c r="B1079" t="s">
        <v>1714</v>
      </c>
    </row>
    <row r="1080" spans="1:2">
      <c r="A1080">
        <v>40599919</v>
      </c>
      <c r="B1080" t="s">
        <v>1715</v>
      </c>
    </row>
    <row r="1081" spans="1:2">
      <c r="A1081">
        <v>40599920</v>
      </c>
      <c r="B1081" t="s">
        <v>1716</v>
      </c>
    </row>
    <row r="1082" spans="1:2">
      <c r="A1082">
        <v>40599921</v>
      </c>
      <c r="B1082" t="s">
        <v>1717</v>
      </c>
    </row>
    <row r="1083" spans="1:2">
      <c r="A1083">
        <v>40599922</v>
      </c>
      <c r="B1083" t="s">
        <v>1718</v>
      </c>
    </row>
    <row r="1084" spans="1:2">
      <c r="A1084">
        <v>40599923</v>
      </c>
      <c r="B1084" t="s">
        <v>1719</v>
      </c>
    </row>
    <row r="1085" spans="1:2">
      <c r="A1085">
        <v>40599924</v>
      </c>
      <c r="B1085" t="s">
        <v>1720</v>
      </c>
    </row>
    <row r="1086" spans="1:2">
      <c r="A1086">
        <v>40599925</v>
      </c>
      <c r="B1086" t="s">
        <v>1721</v>
      </c>
    </row>
    <row r="1087" spans="1:2">
      <c r="A1087">
        <v>40599926</v>
      </c>
      <c r="B1087" t="s">
        <v>1722</v>
      </c>
    </row>
    <row r="1088" spans="1:2">
      <c r="A1088">
        <v>40599927</v>
      </c>
      <c r="B1088" t="s">
        <v>1723</v>
      </c>
    </row>
    <row r="1089" spans="1:2">
      <c r="A1089">
        <v>40500310</v>
      </c>
      <c r="B1089" t="s">
        <v>1672</v>
      </c>
    </row>
    <row r="1090" spans="1:2">
      <c r="A1090">
        <v>40500311</v>
      </c>
      <c r="B1090" t="s">
        <v>1673</v>
      </c>
    </row>
    <row r="1091" spans="1:2">
      <c r="A1091">
        <v>40500312</v>
      </c>
      <c r="B1091" t="s">
        <v>1674</v>
      </c>
    </row>
    <row r="1092" spans="1:2">
      <c r="A1092">
        <v>40500313</v>
      </c>
      <c r="B1092" t="s">
        <v>1675</v>
      </c>
    </row>
    <row r="1093" spans="1:2">
      <c r="A1093">
        <v>40500314</v>
      </c>
      <c r="B1093" t="s">
        <v>1676</v>
      </c>
    </row>
    <row r="1094" spans="1:2">
      <c r="A1094">
        <v>40500315</v>
      </c>
      <c r="B1094" t="s">
        <v>1677</v>
      </c>
    </row>
    <row r="1095" spans="1:2">
      <c r="A1095">
        <v>40500316</v>
      </c>
      <c r="B1095" t="s">
        <v>1678</v>
      </c>
    </row>
    <row r="1096" spans="1:2">
      <c r="A1096">
        <v>40500317</v>
      </c>
      <c r="B1096" t="s">
        <v>1679</v>
      </c>
    </row>
    <row r="1097" spans="1:2">
      <c r="A1097">
        <v>40500410</v>
      </c>
      <c r="B1097" t="s">
        <v>1689</v>
      </c>
    </row>
    <row r="1098" spans="1:2">
      <c r="A1098">
        <v>40500411</v>
      </c>
      <c r="B1098" t="s">
        <v>1690</v>
      </c>
    </row>
    <row r="1099" spans="1:2">
      <c r="A1099">
        <v>40500412</v>
      </c>
      <c r="B1099" t="s">
        <v>1691</v>
      </c>
    </row>
    <row r="1100" spans="1:2">
      <c r="A1100">
        <v>40500413</v>
      </c>
      <c r="B1100" t="s">
        <v>1692</v>
      </c>
    </row>
    <row r="1101" spans="1:2">
      <c r="A1101">
        <v>40500414</v>
      </c>
      <c r="B1101" t="s">
        <v>1693</v>
      </c>
    </row>
    <row r="1102" spans="1:2">
      <c r="A1102">
        <v>40500415</v>
      </c>
      <c r="B1102" t="s">
        <v>1694</v>
      </c>
    </row>
    <row r="1103" spans="1:2">
      <c r="A1103">
        <v>40500416</v>
      </c>
      <c r="B1103" t="s">
        <v>1695</v>
      </c>
    </row>
    <row r="1104" spans="1:2">
      <c r="A1104">
        <v>40500417</v>
      </c>
      <c r="B1104" t="s">
        <v>1696</v>
      </c>
    </row>
    <row r="1105" spans="1:2">
      <c r="A1105">
        <v>40599928</v>
      </c>
      <c r="B1105" t="s">
        <v>1724</v>
      </c>
    </row>
    <row r="1106" spans="1:2">
      <c r="A1106">
        <v>40599929</v>
      </c>
      <c r="B1106" t="s">
        <v>1725</v>
      </c>
    </row>
    <row r="1107" spans="1:2">
      <c r="A1107">
        <v>40599930</v>
      </c>
      <c r="B1107" t="s">
        <v>1726</v>
      </c>
    </row>
    <row r="1108" spans="1:2">
      <c r="A1108">
        <v>40599931</v>
      </c>
      <c r="B1108" t="s">
        <v>1727</v>
      </c>
    </row>
    <row r="1109" spans="1:2">
      <c r="A1109">
        <v>40599932</v>
      </c>
      <c r="B1109" t="s">
        <v>1728</v>
      </c>
    </row>
    <row r="1110" spans="1:2">
      <c r="A1110">
        <v>40599933</v>
      </c>
      <c r="B1110" t="s">
        <v>1729</v>
      </c>
    </row>
    <row r="1111" spans="1:2">
      <c r="A1111">
        <v>40599934</v>
      </c>
      <c r="B1111" t="s">
        <v>1730</v>
      </c>
    </row>
    <row r="1112" spans="1:2">
      <c r="A1112">
        <v>40599935</v>
      </c>
      <c r="B1112" t="s">
        <v>1731</v>
      </c>
    </row>
    <row r="1113" spans="1:2">
      <c r="A1113">
        <v>41000501</v>
      </c>
      <c r="B1113" t="s">
        <v>1732</v>
      </c>
    </row>
    <row r="1114" spans="1:2">
      <c r="A1114">
        <v>41000502</v>
      </c>
      <c r="B1114" t="s">
        <v>1733</v>
      </c>
    </row>
    <row r="1115" spans="1:2">
      <c r="A1115">
        <v>41000503</v>
      </c>
      <c r="B1115" t="s">
        <v>1734</v>
      </c>
    </row>
    <row r="1116" spans="1:2">
      <c r="A1116">
        <v>41000504</v>
      </c>
      <c r="B1116" t="s">
        <v>1735</v>
      </c>
    </row>
    <row r="1117" spans="1:2">
      <c r="A1117">
        <v>41000505</v>
      </c>
      <c r="B1117" t="s">
        <v>1736</v>
      </c>
    </row>
    <row r="1118" spans="1:2">
      <c r="A1118">
        <v>41000506</v>
      </c>
      <c r="B1118" t="s">
        <v>1737</v>
      </c>
    </row>
    <row r="1119" spans="1:2">
      <c r="A1119">
        <v>41000507</v>
      </c>
      <c r="B1119" t="s">
        <v>1738</v>
      </c>
    </row>
    <row r="1120" spans="1:2">
      <c r="A1120">
        <v>41000508</v>
      </c>
      <c r="B1120" t="s">
        <v>1739</v>
      </c>
    </row>
    <row r="1121" spans="1:2">
      <c r="A1121">
        <v>41000509</v>
      </c>
      <c r="B1121" t="s">
        <v>1740</v>
      </c>
    </row>
    <row r="1122" spans="1:2">
      <c r="A1122">
        <v>41000510</v>
      </c>
      <c r="B1122" t="s">
        <v>1741</v>
      </c>
    </row>
    <row r="1123" spans="1:2">
      <c r="A1123">
        <v>41000511</v>
      </c>
      <c r="B1123" t="s">
        <v>1742</v>
      </c>
    </row>
    <row r="1124" spans="1:2">
      <c r="A1124">
        <v>41000512</v>
      </c>
      <c r="B1124" t="s">
        <v>1743</v>
      </c>
    </row>
    <row r="1125" spans="1:2">
      <c r="A1125">
        <v>41000513</v>
      </c>
      <c r="B1125" t="s">
        <v>1744</v>
      </c>
    </row>
    <row r="1126" spans="1:2">
      <c r="A1126">
        <v>41000514</v>
      </c>
      <c r="B1126" t="s">
        <v>1745</v>
      </c>
    </row>
    <row r="1127" spans="1:2">
      <c r="A1127">
        <v>41000515</v>
      </c>
      <c r="B1127" t="s">
        <v>1746</v>
      </c>
    </row>
    <row r="1128" spans="1:2">
      <c r="A1128">
        <v>41000516</v>
      </c>
      <c r="B1128" t="s">
        <v>1747</v>
      </c>
    </row>
    <row r="1129" spans="1:2">
      <c r="A1129">
        <v>41000517</v>
      </c>
      <c r="B1129" t="s">
        <v>1748</v>
      </c>
    </row>
    <row r="1130" spans="1:2">
      <c r="A1130">
        <v>41000518</v>
      </c>
      <c r="B1130" t="s">
        <v>1749</v>
      </c>
    </row>
    <row r="1131" spans="1:2">
      <c r="A1131">
        <v>41000519</v>
      </c>
      <c r="B1131" t="s">
        <v>1750</v>
      </c>
    </row>
    <row r="1132" spans="1:2">
      <c r="A1132">
        <v>41000520</v>
      </c>
      <c r="B1132" t="s">
        <v>1751</v>
      </c>
    </row>
    <row r="1133" spans="1:2">
      <c r="A1133">
        <v>41000521</v>
      </c>
      <c r="B1133" t="s">
        <v>1752</v>
      </c>
    </row>
    <row r="1134" spans="1:2">
      <c r="A1134">
        <v>41000522</v>
      </c>
      <c r="B1134" t="s">
        <v>1753</v>
      </c>
    </row>
    <row r="1135" spans="1:2">
      <c r="A1135">
        <v>41000523</v>
      </c>
      <c r="B1135" t="s">
        <v>1754</v>
      </c>
    </row>
    <row r="1136" spans="1:2">
      <c r="A1136">
        <v>41000524</v>
      </c>
      <c r="B1136" t="s">
        <v>1755</v>
      </c>
    </row>
    <row r="1137" spans="1:2">
      <c r="A1137">
        <v>41000525</v>
      </c>
      <c r="B1137" t="s">
        <v>1756</v>
      </c>
    </row>
    <row r="1138" spans="1:2">
      <c r="A1138">
        <v>41000526</v>
      </c>
      <c r="B1138" t="s">
        <v>1757</v>
      </c>
    </row>
    <row r="1139" spans="1:2">
      <c r="A1139">
        <v>41000527</v>
      </c>
      <c r="B1139" t="s">
        <v>1758</v>
      </c>
    </row>
    <row r="1140" spans="1:2">
      <c r="A1140">
        <v>41000528</v>
      </c>
      <c r="B1140" t="s">
        <v>1759</v>
      </c>
    </row>
    <row r="1141" spans="1:2">
      <c r="A1141">
        <v>41000529</v>
      </c>
      <c r="B1141" t="s">
        <v>1760</v>
      </c>
    </row>
    <row r="1142" spans="1:2">
      <c r="A1142">
        <v>41000530</v>
      </c>
      <c r="B1142" t="s">
        <v>1761</v>
      </c>
    </row>
    <row r="1143" spans="1:2">
      <c r="A1143">
        <v>41000531</v>
      </c>
      <c r="B1143" t="s">
        <v>1762</v>
      </c>
    </row>
    <row r="1144" spans="1:2">
      <c r="A1144">
        <v>41000532</v>
      </c>
      <c r="B1144" t="s">
        <v>1763</v>
      </c>
    </row>
    <row r="1145" spans="1:2">
      <c r="A1145">
        <v>42000601</v>
      </c>
      <c r="B1145" t="s">
        <v>1764</v>
      </c>
    </row>
    <row r="1146" spans="1:2">
      <c r="A1146">
        <v>42000602</v>
      </c>
      <c r="B1146" t="s">
        <v>1765</v>
      </c>
    </row>
    <row r="1147" spans="1:2">
      <c r="A1147">
        <v>42000603</v>
      </c>
      <c r="B1147" t="s">
        <v>1766</v>
      </c>
    </row>
    <row r="1148" spans="1:2">
      <c r="A1148">
        <v>42000604</v>
      </c>
      <c r="B1148" t="s">
        <v>1767</v>
      </c>
    </row>
    <row r="1149" spans="1:2">
      <c r="A1149">
        <v>42000605</v>
      </c>
      <c r="B1149" t="s">
        <v>1768</v>
      </c>
    </row>
    <row r="1150" spans="1:2">
      <c r="A1150">
        <v>42000606</v>
      </c>
      <c r="B1150" t="s">
        <v>1769</v>
      </c>
    </row>
    <row r="1151" spans="1:2">
      <c r="A1151">
        <v>42000607</v>
      </c>
      <c r="B1151" t="s">
        <v>1770</v>
      </c>
    </row>
    <row r="1152" spans="1:2">
      <c r="A1152">
        <v>42000608</v>
      </c>
      <c r="B1152" t="s">
        <v>1771</v>
      </c>
    </row>
    <row r="1153" spans="1:2">
      <c r="A1153">
        <v>42000609</v>
      </c>
      <c r="B1153" t="s">
        <v>1772</v>
      </c>
    </row>
    <row r="1154" spans="1:2">
      <c r="A1154">
        <v>42000610</v>
      </c>
      <c r="B1154" t="s">
        <v>1773</v>
      </c>
    </row>
    <row r="1155" spans="1:2">
      <c r="A1155">
        <v>42000611</v>
      </c>
      <c r="B1155" t="s">
        <v>1774</v>
      </c>
    </row>
    <row r="1156" spans="1:2">
      <c r="A1156">
        <v>42000612</v>
      </c>
      <c r="B1156" t="s">
        <v>1775</v>
      </c>
    </row>
    <row r="1157" spans="1:2">
      <c r="A1157">
        <v>42000613</v>
      </c>
      <c r="B1157" t="s">
        <v>1776</v>
      </c>
    </row>
    <row r="1158" spans="1:2">
      <c r="A1158">
        <v>42000614</v>
      </c>
      <c r="B1158" t="s">
        <v>1777</v>
      </c>
    </row>
    <row r="1159" spans="1:2">
      <c r="A1159">
        <v>42000615</v>
      </c>
      <c r="B1159" t="s">
        <v>1778</v>
      </c>
    </row>
    <row r="1160" spans="1:2">
      <c r="A1160">
        <v>42000616</v>
      </c>
      <c r="B1160" t="s">
        <v>1779</v>
      </c>
    </row>
    <row r="1161" spans="1:2">
      <c r="A1161">
        <v>42000617</v>
      </c>
      <c r="B1161" t="s">
        <v>1780</v>
      </c>
    </row>
    <row r="1162" spans="1:2">
      <c r="A1162">
        <v>42500701</v>
      </c>
      <c r="B1162" t="s">
        <v>1781</v>
      </c>
    </row>
    <row r="1163" spans="1:2">
      <c r="A1163">
        <v>42500702</v>
      </c>
      <c r="B1163" t="s">
        <v>1782</v>
      </c>
    </row>
    <row r="1164" spans="1:2">
      <c r="A1164">
        <v>42500703</v>
      </c>
      <c r="B1164" t="s">
        <v>1783</v>
      </c>
    </row>
    <row r="1165" spans="1:2">
      <c r="A1165">
        <v>42500704</v>
      </c>
      <c r="B1165" t="s">
        <v>1784</v>
      </c>
    </row>
    <row r="1166" spans="1:2">
      <c r="A1166">
        <v>42500705</v>
      </c>
      <c r="B1166" t="s">
        <v>1785</v>
      </c>
    </row>
    <row r="1167" spans="1:2">
      <c r="A1167">
        <v>42500706</v>
      </c>
      <c r="B1167" t="s">
        <v>1786</v>
      </c>
    </row>
    <row r="1168" spans="1:2">
      <c r="A1168">
        <v>42500707</v>
      </c>
      <c r="B1168" t="s">
        <v>1787</v>
      </c>
    </row>
    <row r="1169" spans="1:2">
      <c r="A1169">
        <v>42500708</v>
      </c>
      <c r="B1169" t="s">
        <v>1788</v>
      </c>
    </row>
    <row r="1170" spans="1:2">
      <c r="A1170">
        <v>42500709</v>
      </c>
      <c r="B1170" t="s">
        <v>1789</v>
      </c>
    </row>
    <row r="1171" spans="1:2">
      <c r="A1171">
        <v>42500710</v>
      </c>
      <c r="B1171" t="s">
        <v>1782</v>
      </c>
    </row>
    <row r="1172" spans="1:2">
      <c r="A1172">
        <v>42500711</v>
      </c>
      <c r="B1172" t="s">
        <v>1790</v>
      </c>
    </row>
    <row r="1173" spans="1:2">
      <c r="A1173">
        <v>42500712</v>
      </c>
      <c r="B1173" t="s">
        <v>1791</v>
      </c>
    </row>
    <row r="1174" spans="1:2">
      <c r="A1174">
        <v>42500713</v>
      </c>
      <c r="B1174" t="s">
        <v>1783</v>
      </c>
    </row>
    <row r="1175" spans="1:2">
      <c r="A1175">
        <v>42500714</v>
      </c>
      <c r="B1175" t="s">
        <v>1784</v>
      </c>
    </row>
    <row r="1176" spans="1:2">
      <c r="A1176">
        <v>42500715</v>
      </c>
      <c r="B1176" t="s">
        <v>1785</v>
      </c>
    </row>
    <row r="1177" spans="1:2">
      <c r="A1177">
        <v>42500716</v>
      </c>
      <c r="B1177" t="s">
        <v>1786</v>
      </c>
    </row>
    <row r="1178" spans="1:2">
      <c r="A1178">
        <v>42500801</v>
      </c>
      <c r="B1178" t="s">
        <v>1792</v>
      </c>
    </row>
    <row r="1179" spans="1:2">
      <c r="A1179">
        <v>42500802</v>
      </c>
      <c r="B1179" t="s">
        <v>1793</v>
      </c>
    </row>
    <row r="1180" spans="1:2">
      <c r="A1180">
        <v>42500803</v>
      </c>
      <c r="B1180" t="s">
        <v>1794</v>
      </c>
    </row>
    <row r="1181" spans="1:2">
      <c r="A1181">
        <v>42500804</v>
      </c>
      <c r="B1181" t="s">
        <v>1795</v>
      </c>
    </row>
    <row r="1182" spans="1:2">
      <c r="A1182">
        <v>42500805</v>
      </c>
      <c r="B1182" t="s">
        <v>1796</v>
      </c>
    </row>
    <row r="1183" spans="1:2">
      <c r="A1183">
        <v>42500806</v>
      </c>
      <c r="B1183" t="s">
        <v>1797</v>
      </c>
    </row>
    <row r="1184" spans="1:2">
      <c r="A1184">
        <v>43000901</v>
      </c>
      <c r="B1184" t="s">
        <v>1798</v>
      </c>
    </row>
    <row r="1185" spans="1:2">
      <c r="A1185">
        <v>43000902</v>
      </c>
      <c r="B1185" t="s">
        <v>1799</v>
      </c>
    </row>
    <row r="1186" spans="1:2">
      <c r="A1186">
        <v>43000903</v>
      </c>
      <c r="B1186" t="s">
        <v>1800</v>
      </c>
    </row>
    <row r="1187" spans="1:2">
      <c r="A1187">
        <v>43000904</v>
      </c>
      <c r="B1187" t="s">
        <v>1801</v>
      </c>
    </row>
    <row r="1188" spans="1:2">
      <c r="A1188">
        <v>43000905</v>
      </c>
      <c r="B1188" t="s">
        <v>1802</v>
      </c>
    </row>
    <row r="1189" spans="1:2">
      <c r="A1189">
        <v>43000906</v>
      </c>
      <c r="B1189" t="s">
        <v>1803</v>
      </c>
    </row>
    <row r="1190" spans="1:2">
      <c r="A1190">
        <v>49901001</v>
      </c>
      <c r="B1190" t="s">
        <v>1804</v>
      </c>
    </row>
    <row r="1191" spans="1:2">
      <c r="A1191" t="s">
        <v>2297</v>
      </c>
      <c r="B1191" t="s">
        <v>2298</v>
      </c>
    </row>
    <row r="1192" spans="1:2">
      <c r="A1192" t="s">
        <v>2299</v>
      </c>
      <c r="B1192" t="s">
        <v>2300</v>
      </c>
    </row>
    <row r="1193" spans="1:2">
      <c r="A1193" t="s">
        <v>2301</v>
      </c>
      <c r="B1193" t="s">
        <v>2302</v>
      </c>
    </row>
    <row r="1194" spans="1:2">
      <c r="A1194" t="s">
        <v>2303</v>
      </c>
      <c r="B1194" t="s">
        <v>2304</v>
      </c>
    </row>
    <row r="1195" spans="1:2">
      <c r="A1195" t="s">
        <v>2305</v>
      </c>
      <c r="B1195" t="s">
        <v>2306</v>
      </c>
    </row>
    <row r="1196" spans="1:2">
      <c r="A1196" t="s">
        <v>2307</v>
      </c>
      <c r="B1196" t="s">
        <v>2308</v>
      </c>
    </row>
    <row r="1197" spans="1:2">
      <c r="A1197" t="s">
        <v>2309</v>
      </c>
      <c r="B1197" t="s">
        <v>2310</v>
      </c>
    </row>
    <row r="1198" spans="1:2">
      <c r="A1198" t="s">
        <v>2311</v>
      </c>
      <c r="B1198" t="s">
        <v>2312</v>
      </c>
    </row>
    <row r="1199" spans="1:2">
      <c r="A1199" t="s">
        <v>2313</v>
      </c>
      <c r="B1199" t="s">
        <v>2314</v>
      </c>
    </row>
    <row r="1200" spans="1:2">
      <c r="A1200" t="s">
        <v>2315</v>
      </c>
      <c r="B1200" t="s">
        <v>2316</v>
      </c>
    </row>
    <row r="1201" spans="1:2">
      <c r="A1201" t="s">
        <v>2317</v>
      </c>
      <c r="B1201" t="s">
        <v>2318</v>
      </c>
    </row>
    <row r="1202" spans="1:2">
      <c r="A1202" t="s">
        <v>2319</v>
      </c>
      <c r="B1202" t="s">
        <v>2320</v>
      </c>
    </row>
    <row r="1203" spans="1:2">
      <c r="A1203" t="s">
        <v>2321</v>
      </c>
      <c r="B1203" t="s">
        <v>2322</v>
      </c>
    </row>
    <row r="1204" spans="1:2">
      <c r="A1204" t="s">
        <v>2323</v>
      </c>
      <c r="B1204" t="s">
        <v>2324</v>
      </c>
    </row>
    <row r="1205" spans="1:2">
      <c r="A1205" t="s">
        <v>2325</v>
      </c>
      <c r="B1205" t="s">
        <v>2326</v>
      </c>
    </row>
    <row r="1206" spans="1:2">
      <c r="A1206" t="s">
        <v>2327</v>
      </c>
      <c r="B1206" t="s">
        <v>2328</v>
      </c>
    </row>
    <row r="1207" spans="1:2">
      <c r="A1207" t="s">
        <v>2329</v>
      </c>
      <c r="B1207" t="s">
        <v>2330</v>
      </c>
    </row>
    <row r="1208" spans="1:2">
      <c r="A1208" t="s">
        <v>2331</v>
      </c>
      <c r="B1208" t="s">
        <v>2332</v>
      </c>
    </row>
    <row r="1209" spans="1:2">
      <c r="A1209">
        <v>50100101</v>
      </c>
      <c r="B1209" t="s">
        <v>1805</v>
      </c>
    </row>
    <row r="1210" spans="1:2">
      <c r="A1210">
        <v>50100201</v>
      </c>
      <c r="B1210" t="s">
        <v>1806</v>
      </c>
    </row>
    <row r="1211" spans="1:2">
      <c r="A1211">
        <v>50199901</v>
      </c>
      <c r="B1211" t="s">
        <v>1807</v>
      </c>
    </row>
    <row r="1212" spans="1:2">
      <c r="A1212">
        <v>50500301</v>
      </c>
      <c r="B1212" t="s">
        <v>1808</v>
      </c>
    </row>
    <row r="1213" spans="1:2">
      <c r="A1213">
        <v>50500302</v>
      </c>
      <c r="B1213" t="s">
        <v>1809</v>
      </c>
    </row>
    <row r="1214" spans="1:2">
      <c r="A1214">
        <v>50500303</v>
      </c>
      <c r="B1214" t="s">
        <v>1810</v>
      </c>
    </row>
    <row r="1215" spans="1:2">
      <c r="A1215">
        <v>50500304</v>
      </c>
      <c r="B1215" t="s">
        <v>1811</v>
      </c>
    </row>
    <row r="1216" spans="1:2">
      <c r="A1216">
        <v>50500305</v>
      </c>
      <c r="B1216" t="s">
        <v>1812</v>
      </c>
    </row>
    <row r="1217" spans="1:2">
      <c r="A1217">
        <v>50500306</v>
      </c>
      <c r="B1217" t="s">
        <v>1813</v>
      </c>
    </row>
    <row r="1218" spans="1:2">
      <c r="A1218">
        <v>50500307</v>
      </c>
      <c r="B1218" t="s">
        <v>1812</v>
      </c>
    </row>
    <row r="1219" spans="1:2">
      <c r="A1219">
        <v>50500308</v>
      </c>
      <c r="B1219" t="s">
        <v>1814</v>
      </c>
    </row>
    <row r="1220" spans="1:2">
      <c r="A1220">
        <v>50500309</v>
      </c>
      <c r="B1220" t="s">
        <v>1815</v>
      </c>
    </row>
    <row r="1221" spans="1:2">
      <c r="A1221">
        <v>50500401</v>
      </c>
      <c r="B1221" t="s">
        <v>1824</v>
      </c>
    </row>
    <row r="1222" spans="1:2">
      <c r="A1222">
        <v>50500402</v>
      </c>
      <c r="B1222" t="s">
        <v>1825</v>
      </c>
    </row>
    <row r="1223" spans="1:2">
      <c r="A1223">
        <v>50500403</v>
      </c>
      <c r="B1223" t="s">
        <v>1826</v>
      </c>
    </row>
    <row r="1224" spans="1:2">
      <c r="A1224">
        <v>50500404</v>
      </c>
      <c r="B1224" t="s">
        <v>1827</v>
      </c>
    </row>
    <row r="1225" spans="1:2">
      <c r="A1225">
        <v>50500405</v>
      </c>
      <c r="B1225" t="s">
        <v>1828</v>
      </c>
    </row>
    <row r="1226" spans="1:2">
      <c r="A1226">
        <v>50500406</v>
      </c>
      <c r="B1226" t="s">
        <v>1829</v>
      </c>
    </row>
    <row r="1227" spans="1:2">
      <c r="A1227">
        <v>50500407</v>
      </c>
      <c r="B1227" t="s">
        <v>1830</v>
      </c>
    </row>
    <row r="1228" spans="1:2">
      <c r="A1228">
        <v>50500408</v>
      </c>
      <c r="B1228" t="s">
        <v>1831</v>
      </c>
    </row>
    <row r="1229" spans="1:2">
      <c r="A1229">
        <v>50500409</v>
      </c>
      <c r="B1229" t="s">
        <v>1832</v>
      </c>
    </row>
    <row r="1230" spans="1:2">
      <c r="A1230">
        <v>50599901</v>
      </c>
      <c r="B1230" t="s">
        <v>1841</v>
      </c>
    </row>
    <row r="1231" spans="1:2">
      <c r="A1231">
        <v>50599902</v>
      </c>
      <c r="B1231" t="s">
        <v>1842</v>
      </c>
    </row>
    <row r="1232" spans="1:2">
      <c r="A1232">
        <v>50599903</v>
      </c>
      <c r="B1232" t="s">
        <v>1843</v>
      </c>
    </row>
    <row r="1233" spans="1:2">
      <c r="A1233">
        <v>50599904</v>
      </c>
      <c r="B1233" t="s">
        <v>1844</v>
      </c>
    </row>
    <row r="1234" spans="1:2">
      <c r="A1234">
        <v>50599905</v>
      </c>
      <c r="B1234" t="s">
        <v>1845</v>
      </c>
    </row>
    <row r="1235" spans="1:2">
      <c r="A1235">
        <v>50599906</v>
      </c>
      <c r="B1235" t="s">
        <v>1846</v>
      </c>
    </row>
    <row r="1236" spans="1:2">
      <c r="A1236">
        <v>50599907</v>
      </c>
      <c r="B1236" t="s">
        <v>1847</v>
      </c>
    </row>
    <row r="1237" spans="1:2">
      <c r="A1237">
        <v>50599908</v>
      </c>
      <c r="B1237" t="s">
        <v>1848</v>
      </c>
    </row>
    <row r="1238" spans="1:2">
      <c r="A1238">
        <v>50599909</v>
      </c>
      <c r="B1238" t="s">
        <v>1849</v>
      </c>
    </row>
    <row r="1239" spans="1:2">
      <c r="A1239">
        <v>50599910</v>
      </c>
      <c r="B1239" t="s">
        <v>1850</v>
      </c>
    </row>
    <row r="1240" spans="1:2">
      <c r="A1240">
        <v>50599911</v>
      </c>
      <c r="B1240" t="s">
        <v>1851</v>
      </c>
    </row>
    <row r="1241" spans="1:2">
      <c r="A1241">
        <v>50599912</v>
      </c>
      <c r="B1241" t="s">
        <v>1852</v>
      </c>
    </row>
    <row r="1242" spans="1:2">
      <c r="A1242">
        <v>50599913</v>
      </c>
      <c r="B1242" t="s">
        <v>1853</v>
      </c>
    </row>
    <row r="1243" spans="1:2">
      <c r="A1243">
        <v>50599914</v>
      </c>
      <c r="B1243" t="s">
        <v>1854</v>
      </c>
    </row>
    <row r="1244" spans="1:2">
      <c r="A1244">
        <v>50599915</v>
      </c>
      <c r="B1244" t="s">
        <v>1855</v>
      </c>
    </row>
    <row r="1245" spans="1:2">
      <c r="A1245">
        <v>50599916</v>
      </c>
      <c r="B1245" t="s">
        <v>1856</v>
      </c>
    </row>
    <row r="1246" spans="1:2">
      <c r="A1246">
        <v>50599917</v>
      </c>
      <c r="B1246" t="s">
        <v>1857</v>
      </c>
    </row>
    <row r="1247" spans="1:2">
      <c r="A1247">
        <v>50599918</v>
      </c>
      <c r="B1247" t="s">
        <v>1858</v>
      </c>
    </row>
    <row r="1248" spans="1:2">
      <c r="A1248">
        <v>50599919</v>
      </c>
      <c r="B1248" t="s">
        <v>1859</v>
      </c>
    </row>
    <row r="1249" spans="1:2">
      <c r="A1249">
        <v>50599920</v>
      </c>
      <c r="B1249" t="s">
        <v>1860</v>
      </c>
    </row>
    <row r="1250" spans="1:2">
      <c r="A1250">
        <v>50599921</v>
      </c>
      <c r="B1250" t="s">
        <v>1861</v>
      </c>
    </row>
    <row r="1251" spans="1:2">
      <c r="A1251">
        <v>50599922</v>
      </c>
      <c r="B1251" t="s">
        <v>1862</v>
      </c>
    </row>
    <row r="1252" spans="1:2">
      <c r="A1252">
        <v>50599923</v>
      </c>
      <c r="B1252" t="s">
        <v>1863</v>
      </c>
    </row>
    <row r="1253" spans="1:2">
      <c r="A1253">
        <v>50599924</v>
      </c>
      <c r="B1253" t="s">
        <v>1864</v>
      </c>
    </row>
    <row r="1254" spans="1:2">
      <c r="A1254">
        <v>50599925</v>
      </c>
      <c r="B1254" t="s">
        <v>1865</v>
      </c>
    </row>
    <row r="1255" spans="1:2">
      <c r="A1255">
        <v>50599926</v>
      </c>
      <c r="B1255" t="s">
        <v>1866</v>
      </c>
    </row>
    <row r="1256" spans="1:2">
      <c r="A1256">
        <v>50599927</v>
      </c>
      <c r="B1256" t="s">
        <v>1867</v>
      </c>
    </row>
    <row r="1257" spans="1:2">
      <c r="A1257">
        <v>50500310</v>
      </c>
      <c r="B1257" t="s">
        <v>1816</v>
      </c>
    </row>
    <row r="1258" spans="1:2">
      <c r="A1258">
        <v>50500311</v>
      </c>
      <c r="B1258" t="s">
        <v>1817</v>
      </c>
    </row>
    <row r="1259" spans="1:2">
      <c r="A1259">
        <v>50500312</v>
      </c>
      <c r="B1259" t="s">
        <v>1818</v>
      </c>
    </row>
    <row r="1260" spans="1:2">
      <c r="A1260">
        <v>50500313</v>
      </c>
      <c r="B1260" t="s">
        <v>1819</v>
      </c>
    </row>
    <row r="1261" spans="1:2">
      <c r="A1261">
        <v>50500314</v>
      </c>
      <c r="B1261" t="s">
        <v>1820</v>
      </c>
    </row>
    <row r="1262" spans="1:2">
      <c r="A1262">
        <v>50500315</v>
      </c>
      <c r="B1262" t="s">
        <v>1821</v>
      </c>
    </row>
    <row r="1263" spans="1:2">
      <c r="A1263">
        <v>50500316</v>
      </c>
      <c r="B1263" t="s">
        <v>1822</v>
      </c>
    </row>
    <row r="1264" spans="1:2">
      <c r="A1264">
        <v>50500317</v>
      </c>
      <c r="B1264" t="s">
        <v>1823</v>
      </c>
    </row>
    <row r="1265" spans="1:2">
      <c r="A1265">
        <v>50500410</v>
      </c>
      <c r="B1265" t="s">
        <v>1833</v>
      </c>
    </row>
    <row r="1266" spans="1:2">
      <c r="A1266">
        <v>50500411</v>
      </c>
      <c r="B1266" t="s">
        <v>1834</v>
      </c>
    </row>
    <row r="1267" spans="1:2">
      <c r="A1267">
        <v>50500412</v>
      </c>
      <c r="B1267" t="s">
        <v>1835</v>
      </c>
    </row>
    <row r="1268" spans="1:2">
      <c r="A1268">
        <v>50500413</v>
      </c>
      <c r="B1268" t="s">
        <v>1836</v>
      </c>
    </row>
    <row r="1269" spans="1:2">
      <c r="A1269">
        <v>50500414</v>
      </c>
      <c r="B1269" t="s">
        <v>1837</v>
      </c>
    </row>
    <row r="1270" spans="1:2">
      <c r="A1270">
        <v>50500415</v>
      </c>
      <c r="B1270" t="s">
        <v>1838</v>
      </c>
    </row>
    <row r="1271" spans="1:2">
      <c r="A1271">
        <v>50500416</v>
      </c>
      <c r="B1271" t="s">
        <v>1839</v>
      </c>
    </row>
    <row r="1272" spans="1:2">
      <c r="A1272">
        <v>50500417</v>
      </c>
      <c r="B1272" t="s">
        <v>1840</v>
      </c>
    </row>
    <row r="1273" spans="1:2">
      <c r="A1273">
        <v>50599928</v>
      </c>
      <c r="B1273" t="s">
        <v>1868</v>
      </c>
    </row>
    <row r="1274" spans="1:2">
      <c r="A1274">
        <v>50599929</v>
      </c>
      <c r="B1274" t="s">
        <v>1869</v>
      </c>
    </row>
    <row r="1275" spans="1:2">
      <c r="A1275">
        <v>50599930</v>
      </c>
      <c r="B1275" t="s">
        <v>1870</v>
      </c>
    </row>
    <row r="1276" spans="1:2">
      <c r="A1276">
        <v>50599931</v>
      </c>
      <c r="B1276" t="s">
        <v>1871</v>
      </c>
    </row>
    <row r="1277" spans="1:2">
      <c r="A1277">
        <v>50599932</v>
      </c>
      <c r="B1277" t="s">
        <v>1872</v>
      </c>
    </row>
    <row r="1278" spans="1:2">
      <c r="A1278">
        <v>50599933</v>
      </c>
      <c r="B1278" t="s">
        <v>1873</v>
      </c>
    </row>
    <row r="1279" spans="1:2">
      <c r="A1279">
        <v>50599934</v>
      </c>
      <c r="B1279" t="s">
        <v>1874</v>
      </c>
    </row>
    <row r="1280" spans="1:2">
      <c r="A1280">
        <v>50599935</v>
      </c>
      <c r="B1280" t="s">
        <v>1875</v>
      </c>
    </row>
    <row r="1281" spans="1:2">
      <c r="A1281">
        <v>51000501</v>
      </c>
      <c r="B1281" t="s">
        <v>1876</v>
      </c>
    </row>
    <row r="1282" spans="1:2">
      <c r="A1282">
        <v>51000502</v>
      </c>
      <c r="B1282" t="s">
        <v>1877</v>
      </c>
    </row>
    <row r="1283" spans="1:2">
      <c r="A1283">
        <v>51000503</v>
      </c>
      <c r="B1283" t="s">
        <v>1878</v>
      </c>
    </row>
    <row r="1284" spans="1:2">
      <c r="A1284">
        <v>51000504</v>
      </c>
      <c r="B1284" t="s">
        <v>1879</v>
      </c>
    </row>
    <row r="1285" spans="1:2">
      <c r="A1285">
        <v>51000505</v>
      </c>
      <c r="B1285" t="s">
        <v>1880</v>
      </c>
    </row>
    <row r="1286" spans="1:2">
      <c r="A1286">
        <v>51000506</v>
      </c>
      <c r="B1286" t="s">
        <v>1881</v>
      </c>
    </row>
    <row r="1287" spans="1:2">
      <c r="A1287">
        <v>51000507</v>
      </c>
      <c r="B1287" t="s">
        <v>1882</v>
      </c>
    </row>
    <row r="1288" spans="1:2">
      <c r="A1288">
        <v>51000508</v>
      </c>
      <c r="B1288" t="s">
        <v>1883</v>
      </c>
    </row>
    <row r="1289" spans="1:2">
      <c r="A1289">
        <v>51000509</v>
      </c>
      <c r="B1289" t="s">
        <v>1884</v>
      </c>
    </row>
    <row r="1290" spans="1:2">
      <c r="A1290">
        <v>51000510</v>
      </c>
      <c r="B1290" t="s">
        <v>1885</v>
      </c>
    </row>
    <row r="1291" spans="1:2">
      <c r="A1291">
        <v>51000511</v>
      </c>
      <c r="B1291" t="s">
        <v>1886</v>
      </c>
    </row>
    <row r="1292" spans="1:2">
      <c r="A1292">
        <v>51000512</v>
      </c>
      <c r="B1292" t="s">
        <v>1887</v>
      </c>
    </row>
    <row r="1293" spans="1:2">
      <c r="A1293">
        <v>51000513</v>
      </c>
      <c r="B1293" t="s">
        <v>1888</v>
      </c>
    </row>
    <row r="1294" spans="1:2">
      <c r="A1294">
        <v>51000514</v>
      </c>
      <c r="B1294" t="s">
        <v>1889</v>
      </c>
    </row>
    <row r="1295" spans="1:2">
      <c r="A1295">
        <v>51000515</v>
      </c>
      <c r="B1295" t="s">
        <v>1890</v>
      </c>
    </row>
    <row r="1296" spans="1:2">
      <c r="A1296">
        <v>51000516</v>
      </c>
      <c r="B1296" t="s">
        <v>1891</v>
      </c>
    </row>
    <row r="1297" spans="1:2">
      <c r="A1297">
        <v>51000517</v>
      </c>
      <c r="B1297" t="s">
        <v>1892</v>
      </c>
    </row>
    <row r="1298" spans="1:2">
      <c r="A1298">
        <v>51000518</v>
      </c>
      <c r="B1298" t="s">
        <v>1893</v>
      </c>
    </row>
    <row r="1299" spans="1:2">
      <c r="A1299">
        <v>51000519</v>
      </c>
      <c r="B1299" t="s">
        <v>1894</v>
      </c>
    </row>
    <row r="1300" spans="1:2">
      <c r="A1300">
        <v>51000520</v>
      </c>
      <c r="B1300" t="s">
        <v>1895</v>
      </c>
    </row>
    <row r="1301" spans="1:2">
      <c r="A1301">
        <v>51000521</v>
      </c>
      <c r="B1301" t="s">
        <v>1896</v>
      </c>
    </row>
    <row r="1302" spans="1:2">
      <c r="A1302">
        <v>51000522</v>
      </c>
      <c r="B1302" t="s">
        <v>1897</v>
      </c>
    </row>
    <row r="1303" spans="1:2">
      <c r="A1303">
        <v>51000523</v>
      </c>
      <c r="B1303" t="s">
        <v>1898</v>
      </c>
    </row>
    <row r="1304" spans="1:2">
      <c r="A1304">
        <v>51000524</v>
      </c>
      <c r="B1304" t="s">
        <v>1899</v>
      </c>
    </row>
    <row r="1305" spans="1:2">
      <c r="A1305">
        <v>51000525</v>
      </c>
      <c r="B1305" t="s">
        <v>1900</v>
      </c>
    </row>
    <row r="1306" spans="1:2">
      <c r="A1306">
        <v>51000526</v>
      </c>
      <c r="B1306" t="s">
        <v>1901</v>
      </c>
    </row>
    <row r="1307" spans="1:2">
      <c r="A1307">
        <v>51000527</v>
      </c>
      <c r="B1307" t="s">
        <v>1902</v>
      </c>
    </row>
    <row r="1308" spans="1:2">
      <c r="A1308">
        <v>51000528</v>
      </c>
      <c r="B1308" t="s">
        <v>1903</v>
      </c>
    </row>
    <row r="1309" spans="1:2">
      <c r="A1309">
        <v>51000529</v>
      </c>
      <c r="B1309" t="s">
        <v>1904</v>
      </c>
    </row>
    <row r="1310" spans="1:2">
      <c r="A1310">
        <v>51000530</v>
      </c>
      <c r="B1310" t="s">
        <v>1905</v>
      </c>
    </row>
    <row r="1311" spans="1:2">
      <c r="A1311">
        <v>51000531</v>
      </c>
      <c r="B1311" t="s">
        <v>1906</v>
      </c>
    </row>
    <row r="1312" spans="1:2">
      <c r="A1312">
        <v>51000532</v>
      </c>
      <c r="B1312" t="s">
        <v>1907</v>
      </c>
    </row>
    <row r="1313" spans="1:2">
      <c r="A1313">
        <v>52000601</v>
      </c>
      <c r="B1313" t="s">
        <v>1908</v>
      </c>
    </row>
    <row r="1314" spans="1:2">
      <c r="A1314">
        <v>52000602</v>
      </c>
      <c r="B1314" t="s">
        <v>1909</v>
      </c>
    </row>
    <row r="1315" spans="1:2">
      <c r="A1315">
        <v>52000603</v>
      </c>
      <c r="B1315" t="s">
        <v>1910</v>
      </c>
    </row>
    <row r="1316" spans="1:2">
      <c r="A1316">
        <v>52000604</v>
      </c>
      <c r="B1316" t="s">
        <v>1911</v>
      </c>
    </row>
    <row r="1317" spans="1:2">
      <c r="A1317">
        <v>52000605</v>
      </c>
      <c r="B1317" t="s">
        <v>1912</v>
      </c>
    </row>
    <row r="1318" spans="1:2">
      <c r="A1318">
        <v>52000606</v>
      </c>
      <c r="B1318" t="s">
        <v>1913</v>
      </c>
    </row>
    <row r="1319" spans="1:2">
      <c r="A1319">
        <v>52000607</v>
      </c>
      <c r="B1319" t="s">
        <v>1914</v>
      </c>
    </row>
    <row r="1320" spans="1:2">
      <c r="A1320">
        <v>52000608</v>
      </c>
      <c r="B1320" t="s">
        <v>1915</v>
      </c>
    </row>
    <row r="1321" spans="1:2">
      <c r="A1321">
        <v>52000609</v>
      </c>
      <c r="B1321" t="s">
        <v>1916</v>
      </c>
    </row>
    <row r="1322" spans="1:2">
      <c r="A1322">
        <v>52000610</v>
      </c>
      <c r="B1322" t="s">
        <v>1917</v>
      </c>
    </row>
    <row r="1323" spans="1:2">
      <c r="A1323">
        <v>52000611</v>
      </c>
      <c r="B1323" t="s">
        <v>1918</v>
      </c>
    </row>
    <row r="1324" spans="1:2">
      <c r="A1324">
        <v>52000612</v>
      </c>
      <c r="B1324" t="s">
        <v>1919</v>
      </c>
    </row>
    <row r="1325" spans="1:2">
      <c r="A1325">
        <v>52000613</v>
      </c>
      <c r="B1325" t="s">
        <v>1920</v>
      </c>
    </row>
    <row r="1326" spans="1:2">
      <c r="A1326">
        <v>52000614</v>
      </c>
      <c r="B1326" t="s">
        <v>1921</v>
      </c>
    </row>
    <row r="1327" spans="1:2">
      <c r="A1327">
        <v>52000615</v>
      </c>
      <c r="B1327" t="s">
        <v>1922</v>
      </c>
    </row>
    <row r="1328" spans="1:2">
      <c r="A1328">
        <v>52000616</v>
      </c>
      <c r="B1328" t="s">
        <v>1923</v>
      </c>
    </row>
    <row r="1329" spans="1:2">
      <c r="A1329">
        <v>52000617</v>
      </c>
      <c r="B1329" t="s">
        <v>1924</v>
      </c>
    </row>
    <row r="1330" spans="1:2">
      <c r="A1330">
        <v>52500701</v>
      </c>
      <c r="B1330" t="s">
        <v>1925</v>
      </c>
    </row>
    <row r="1331" spans="1:2">
      <c r="A1331">
        <v>52500702</v>
      </c>
      <c r="B1331" t="s">
        <v>1926</v>
      </c>
    </row>
    <row r="1332" spans="1:2">
      <c r="A1332">
        <v>52500703</v>
      </c>
      <c r="B1332" t="s">
        <v>1927</v>
      </c>
    </row>
    <row r="1333" spans="1:2">
      <c r="A1333">
        <v>52500704</v>
      </c>
      <c r="B1333" t="s">
        <v>1928</v>
      </c>
    </row>
    <row r="1334" spans="1:2">
      <c r="A1334">
        <v>52500705</v>
      </c>
      <c r="B1334" t="s">
        <v>1929</v>
      </c>
    </row>
    <row r="1335" spans="1:2">
      <c r="A1335">
        <v>52500706</v>
      </c>
      <c r="B1335" t="s">
        <v>1930</v>
      </c>
    </row>
    <row r="1336" spans="1:2">
      <c r="A1336">
        <v>52500707</v>
      </c>
      <c r="B1336" t="s">
        <v>1931</v>
      </c>
    </row>
    <row r="1337" spans="1:2">
      <c r="A1337">
        <v>52500708</v>
      </c>
      <c r="B1337" t="s">
        <v>1932</v>
      </c>
    </row>
    <row r="1338" spans="1:2">
      <c r="A1338">
        <v>52500709</v>
      </c>
      <c r="B1338" t="s">
        <v>1933</v>
      </c>
    </row>
    <row r="1339" spans="1:2">
      <c r="A1339">
        <v>52500710</v>
      </c>
      <c r="B1339" t="s">
        <v>1926</v>
      </c>
    </row>
    <row r="1340" spans="1:2">
      <c r="A1340">
        <v>52500711</v>
      </c>
      <c r="B1340" t="s">
        <v>1934</v>
      </c>
    </row>
    <row r="1341" spans="1:2">
      <c r="A1341">
        <v>52500712</v>
      </c>
      <c r="B1341" t="s">
        <v>1935</v>
      </c>
    </row>
    <row r="1342" spans="1:2">
      <c r="A1342">
        <v>52500713</v>
      </c>
      <c r="B1342" t="s">
        <v>1927</v>
      </c>
    </row>
    <row r="1343" spans="1:2">
      <c r="A1343">
        <v>52500714</v>
      </c>
      <c r="B1343" t="s">
        <v>1928</v>
      </c>
    </row>
    <row r="1344" spans="1:2">
      <c r="A1344">
        <v>52500715</v>
      </c>
      <c r="B1344" t="s">
        <v>1929</v>
      </c>
    </row>
    <row r="1345" spans="1:2">
      <c r="A1345">
        <v>52500716</v>
      </c>
      <c r="B1345" t="s">
        <v>1930</v>
      </c>
    </row>
    <row r="1346" spans="1:2">
      <c r="A1346">
        <v>52500801</v>
      </c>
      <c r="B1346" t="s">
        <v>1936</v>
      </c>
    </row>
    <row r="1347" spans="1:2">
      <c r="A1347">
        <v>52500802</v>
      </c>
      <c r="B1347" t="s">
        <v>1937</v>
      </c>
    </row>
    <row r="1348" spans="1:2">
      <c r="A1348">
        <v>52500803</v>
      </c>
      <c r="B1348" t="s">
        <v>1938</v>
      </c>
    </row>
    <row r="1349" spans="1:2">
      <c r="A1349">
        <v>52500804</v>
      </c>
      <c r="B1349" t="s">
        <v>1939</v>
      </c>
    </row>
    <row r="1350" spans="1:2">
      <c r="A1350">
        <v>52500805</v>
      </c>
      <c r="B1350" t="s">
        <v>1940</v>
      </c>
    </row>
    <row r="1351" spans="1:2">
      <c r="A1351">
        <v>52500806</v>
      </c>
      <c r="B1351" t="s">
        <v>1941</v>
      </c>
    </row>
    <row r="1352" spans="1:2">
      <c r="A1352">
        <v>53000901</v>
      </c>
      <c r="B1352" t="s">
        <v>1942</v>
      </c>
    </row>
    <row r="1353" spans="1:2">
      <c r="A1353">
        <v>53000902</v>
      </c>
      <c r="B1353" t="s">
        <v>1943</v>
      </c>
    </row>
    <row r="1354" spans="1:2">
      <c r="A1354">
        <v>53000903</v>
      </c>
      <c r="B1354" t="s">
        <v>1944</v>
      </c>
    </row>
    <row r="1355" spans="1:2">
      <c r="A1355">
        <v>53000904</v>
      </c>
      <c r="B1355" t="s">
        <v>1945</v>
      </c>
    </row>
    <row r="1356" spans="1:2">
      <c r="A1356">
        <v>53000905</v>
      </c>
      <c r="B1356" t="s">
        <v>1946</v>
      </c>
    </row>
    <row r="1357" spans="1:2">
      <c r="A1357">
        <v>53000906</v>
      </c>
      <c r="B1357" t="s">
        <v>1947</v>
      </c>
    </row>
    <row r="1358" spans="1:2">
      <c r="A1358">
        <v>59901001</v>
      </c>
      <c r="B1358" t="s">
        <v>1948</v>
      </c>
    </row>
    <row r="1359" spans="1:2">
      <c r="A1359" t="s">
        <v>2333</v>
      </c>
      <c r="B1359" t="s">
        <v>2334</v>
      </c>
    </row>
    <row r="1360" spans="1:2">
      <c r="A1360" t="s">
        <v>2335</v>
      </c>
      <c r="B1360" t="s">
        <v>2336</v>
      </c>
    </row>
    <row r="1361" spans="1:2">
      <c r="A1361" t="s">
        <v>2337</v>
      </c>
      <c r="B1361" t="s">
        <v>2338</v>
      </c>
    </row>
    <row r="1362" spans="1:2">
      <c r="A1362" t="s">
        <v>2339</v>
      </c>
      <c r="B1362" t="s">
        <v>2340</v>
      </c>
    </row>
    <row r="1363" spans="1:2">
      <c r="A1363" t="s">
        <v>2341</v>
      </c>
      <c r="B1363" t="s">
        <v>2342</v>
      </c>
    </row>
    <row r="1364" spans="1:2">
      <c r="A1364" t="s">
        <v>2343</v>
      </c>
      <c r="B1364" t="s">
        <v>2344</v>
      </c>
    </row>
    <row r="1365" spans="1:2">
      <c r="A1365" t="s">
        <v>2345</v>
      </c>
      <c r="B1365" t="s">
        <v>2346</v>
      </c>
    </row>
    <row r="1366" spans="1:2">
      <c r="A1366" t="s">
        <v>2347</v>
      </c>
      <c r="B1366" t="s">
        <v>2348</v>
      </c>
    </row>
    <row r="1367" spans="1:2">
      <c r="A1367" t="s">
        <v>2349</v>
      </c>
      <c r="B1367" t="s">
        <v>2350</v>
      </c>
    </row>
    <row r="1368" spans="1:2">
      <c r="A1368" t="s">
        <v>2351</v>
      </c>
      <c r="B1368" t="s">
        <v>2352</v>
      </c>
    </row>
    <row r="1369" spans="1:2">
      <c r="A1369" t="s">
        <v>2353</v>
      </c>
      <c r="B1369" t="s">
        <v>2354</v>
      </c>
    </row>
    <row r="1370" spans="1:2">
      <c r="A1370" t="s">
        <v>2355</v>
      </c>
      <c r="B1370" t="s">
        <v>2356</v>
      </c>
    </row>
    <row r="1371" spans="1:2">
      <c r="A1371" t="s">
        <v>2357</v>
      </c>
      <c r="B1371" t="s">
        <v>2358</v>
      </c>
    </row>
    <row r="1372" spans="1:2">
      <c r="A1372" t="s">
        <v>2359</v>
      </c>
      <c r="B1372" t="s">
        <v>2360</v>
      </c>
    </row>
    <row r="1373" spans="1:2">
      <c r="A1373" t="s">
        <v>2361</v>
      </c>
      <c r="B1373" t="s">
        <v>2362</v>
      </c>
    </row>
    <row r="1374" spans="1:2">
      <c r="A1374" t="s">
        <v>2363</v>
      </c>
      <c r="B1374" t="s">
        <v>2364</v>
      </c>
    </row>
    <row r="1375" spans="1:2">
      <c r="A1375" t="s">
        <v>2365</v>
      </c>
      <c r="B1375" t="s">
        <v>2366</v>
      </c>
    </row>
    <row r="1376" spans="1:2">
      <c r="A1376" t="s">
        <v>2367</v>
      </c>
      <c r="B1376" t="s">
        <v>2368</v>
      </c>
    </row>
    <row r="1377" spans="1:2">
      <c r="A1377">
        <v>60000001</v>
      </c>
      <c r="B1377" t="s">
        <v>1949</v>
      </c>
    </row>
    <row r="1378" spans="1:2">
      <c r="A1378">
        <v>70100101</v>
      </c>
      <c r="B1378" t="s">
        <v>1950</v>
      </c>
    </row>
    <row r="1379" spans="1:2">
      <c r="A1379">
        <v>70100201</v>
      </c>
      <c r="B1379" t="s">
        <v>1951</v>
      </c>
    </row>
    <row r="1380" spans="1:2">
      <c r="A1380">
        <v>70100301</v>
      </c>
      <c r="B1380" t="s">
        <v>1952</v>
      </c>
    </row>
    <row r="1381" spans="1:2">
      <c r="A1381">
        <v>70500101</v>
      </c>
      <c r="B1381" t="s">
        <v>1953</v>
      </c>
    </row>
    <row r="1382" spans="1:2">
      <c r="A1382">
        <v>70500201</v>
      </c>
      <c r="B1382" t="s">
        <v>1954</v>
      </c>
    </row>
    <row r="1383" spans="1:2">
      <c r="A1383">
        <v>70500301</v>
      </c>
      <c r="B1383" t="s">
        <v>2461</v>
      </c>
    </row>
    <row r="1384" spans="1:2">
      <c r="A1384">
        <v>71000101</v>
      </c>
      <c r="B1384" t="s">
        <v>1955</v>
      </c>
    </row>
    <row r="1385" spans="1:2">
      <c r="A1385">
        <v>71000201</v>
      </c>
      <c r="B1385" t="s">
        <v>1956</v>
      </c>
    </row>
    <row r="1386" spans="1:2">
      <c r="A1386">
        <v>71000301</v>
      </c>
      <c r="B1386" t="s">
        <v>1957</v>
      </c>
    </row>
    <row r="1387" spans="1:2">
      <c r="A1387">
        <v>71500101</v>
      </c>
      <c r="B1387" t="s">
        <v>1958</v>
      </c>
    </row>
    <row r="1388" spans="1:2">
      <c r="A1388">
        <v>71500201</v>
      </c>
      <c r="B1388" t="s">
        <v>1959</v>
      </c>
    </row>
    <row r="1389" spans="1:2">
      <c r="A1389">
        <v>71500301</v>
      </c>
      <c r="B1389" t="s">
        <v>1960</v>
      </c>
    </row>
    <row r="1390" spans="1:2">
      <c r="A1390">
        <v>72000101</v>
      </c>
      <c r="B1390" t="s">
        <v>1961</v>
      </c>
    </row>
    <row r="1391" spans="1:2">
      <c r="A1391">
        <v>72000201</v>
      </c>
      <c r="B1391" t="s">
        <v>1962</v>
      </c>
    </row>
    <row r="1392" spans="1:2">
      <c r="A1392">
        <v>72000301</v>
      </c>
      <c r="B1392" t="s">
        <v>1963</v>
      </c>
    </row>
    <row r="1393" spans="1:2">
      <c r="A1393">
        <v>72500101</v>
      </c>
      <c r="B1393" t="s">
        <v>2462</v>
      </c>
    </row>
    <row r="1394" spans="1:2">
      <c r="A1394">
        <v>72500201</v>
      </c>
      <c r="B1394" t="s">
        <v>2463</v>
      </c>
    </row>
    <row r="1395" spans="1:2">
      <c r="A1395">
        <v>72500301</v>
      </c>
      <c r="B1395" t="s">
        <v>1964</v>
      </c>
    </row>
    <row r="1396" spans="1:2">
      <c r="A1396">
        <v>90100401</v>
      </c>
      <c r="B1396" t="s">
        <v>1965</v>
      </c>
    </row>
    <row r="1397" spans="1:2">
      <c r="A1397">
        <v>90100501</v>
      </c>
      <c r="B1397" t="s">
        <v>1966</v>
      </c>
    </row>
    <row r="1398" spans="1:2">
      <c r="A1398">
        <v>90100601</v>
      </c>
      <c r="B1398" t="s">
        <v>1967</v>
      </c>
    </row>
    <row r="1399" spans="1:2">
      <c r="A1399">
        <v>90199901</v>
      </c>
      <c r="B1399" t="s">
        <v>1968</v>
      </c>
    </row>
    <row r="1400" spans="1:2">
      <c r="A1400">
        <v>90501001</v>
      </c>
      <c r="B1400" t="s">
        <v>1969</v>
      </c>
    </row>
    <row r="1401" spans="1:2">
      <c r="A1401">
        <v>90501002</v>
      </c>
      <c r="B1401" t="s">
        <v>1970</v>
      </c>
    </row>
    <row r="1402" spans="1:2">
      <c r="A1402">
        <v>90501003</v>
      </c>
      <c r="B1402" t="s">
        <v>1971</v>
      </c>
    </row>
    <row r="1403" spans="1:2">
      <c r="A1403">
        <v>90501004</v>
      </c>
      <c r="B1403" t="s">
        <v>1972</v>
      </c>
    </row>
    <row r="1404" spans="1:2">
      <c r="A1404">
        <v>90501005</v>
      </c>
      <c r="B1404" t="s">
        <v>1973</v>
      </c>
    </row>
    <row r="1405" spans="1:2">
      <c r="A1405">
        <v>90501006</v>
      </c>
      <c r="B1405" t="s">
        <v>1974</v>
      </c>
    </row>
    <row r="1406" spans="1:2">
      <c r="A1406">
        <v>90501007</v>
      </c>
      <c r="B1406" t="s">
        <v>1975</v>
      </c>
    </row>
    <row r="1407" spans="1:2">
      <c r="A1407">
        <v>90501008</v>
      </c>
      <c r="B1407" t="s">
        <v>1976</v>
      </c>
    </row>
    <row r="1408" spans="1:2">
      <c r="A1408">
        <v>90501009</v>
      </c>
      <c r="B1408" t="s">
        <v>1977</v>
      </c>
    </row>
    <row r="1409" spans="1:2">
      <c r="A1409">
        <v>90501101</v>
      </c>
      <c r="B1409" t="s">
        <v>1994</v>
      </c>
    </row>
    <row r="1410" spans="1:2">
      <c r="A1410">
        <v>90501102</v>
      </c>
      <c r="B1410" t="s">
        <v>1995</v>
      </c>
    </row>
    <row r="1411" spans="1:2">
      <c r="A1411">
        <v>90501103</v>
      </c>
      <c r="B1411" t="s">
        <v>1996</v>
      </c>
    </row>
    <row r="1412" spans="1:2">
      <c r="A1412">
        <v>90501104</v>
      </c>
      <c r="B1412" t="s">
        <v>1997</v>
      </c>
    </row>
    <row r="1413" spans="1:2">
      <c r="A1413">
        <v>90501105</v>
      </c>
      <c r="B1413" t="s">
        <v>1998</v>
      </c>
    </row>
    <row r="1414" spans="1:2">
      <c r="A1414">
        <v>90501106</v>
      </c>
      <c r="B1414" t="s">
        <v>1999</v>
      </c>
    </row>
    <row r="1415" spans="1:2">
      <c r="A1415">
        <v>90501107</v>
      </c>
      <c r="B1415" t="s">
        <v>2000</v>
      </c>
    </row>
    <row r="1416" spans="1:2">
      <c r="A1416">
        <v>90501108</v>
      </c>
      <c r="B1416" t="s">
        <v>2001</v>
      </c>
    </row>
    <row r="1417" spans="1:2">
      <c r="A1417">
        <v>90501109</v>
      </c>
      <c r="B1417" t="s">
        <v>2002</v>
      </c>
    </row>
    <row r="1418" spans="1:2">
      <c r="A1418">
        <v>90501201</v>
      </c>
      <c r="B1418" t="s">
        <v>2004</v>
      </c>
    </row>
    <row r="1419" spans="1:2">
      <c r="A1419">
        <v>90501202</v>
      </c>
      <c r="B1419" t="s">
        <v>2005</v>
      </c>
    </row>
    <row r="1420" spans="1:2">
      <c r="A1420">
        <v>90501203</v>
      </c>
      <c r="B1420" t="s">
        <v>2006</v>
      </c>
    </row>
    <row r="1421" spans="1:2">
      <c r="A1421">
        <v>90501204</v>
      </c>
      <c r="B1421" t="s">
        <v>2007</v>
      </c>
    </row>
    <row r="1422" spans="1:2">
      <c r="A1422">
        <v>90501205</v>
      </c>
      <c r="B1422" t="s">
        <v>2008</v>
      </c>
    </row>
    <row r="1423" spans="1:2">
      <c r="A1423">
        <v>90501206</v>
      </c>
      <c r="B1423" t="s">
        <v>2009</v>
      </c>
    </row>
    <row r="1424" spans="1:2">
      <c r="A1424">
        <v>90501207</v>
      </c>
      <c r="B1424" t="s">
        <v>2010</v>
      </c>
    </row>
    <row r="1425" spans="1:2">
      <c r="A1425">
        <v>90501208</v>
      </c>
      <c r="B1425" t="s">
        <v>2011</v>
      </c>
    </row>
    <row r="1426" spans="1:2">
      <c r="A1426">
        <v>90501209</v>
      </c>
      <c r="B1426" t="s">
        <v>2012</v>
      </c>
    </row>
    <row r="1427" spans="1:2">
      <c r="A1427">
        <v>90501301</v>
      </c>
      <c r="B1427" t="s">
        <v>2013</v>
      </c>
    </row>
    <row r="1428" spans="1:2">
      <c r="A1428">
        <v>90501302</v>
      </c>
      <c r="B1428" t="s">
        <v>2014</v>
      </c>
    </row>
    <row r="1429" spans="1:2">
      <c r="A1429">
        <v>90501303</v>
      </c>
      <c r="B1429" t="s">
        <v>2015</v>
      </c>
    </row>
    <row r="1430" spans="1:2">
      <c r="A1430">
        <v>90501304</v>
      </c>
      <c r="B1430" t="s">
        <v>2016</v>
      </c>
    </row>
    <row r="1431" spans="1:2">
      <c r="A1431">
        <v>90501305</v>
      </c>
      <c r="B1431" t="s">
        <v>2017</v>
      </c>
    </row>
    <row r="1432" spans="1:2">
      <c r="A1432">
        <v>90501306</v>
      </c>
      <c r="B1432" t="s">
        <v>2018</v>
      </c>
    </row>
    <row r="1433" spans="1:2">
      <c r="A1433">
        <v>90501307</v>
      </c>
      <c r="B1433" t="s">
        <v>2019</v>
      </c>
    </row>
    <row r="1434" spans="1:2">
      <c r="A1434">
        <v>90501308</v>
      </c>
      <c r="B1434" t="s">
        <v>2020</v>
      </c>
    </row>
    <row r="1435" spans="1:2">
      <c r="A1435">
        <v>90501309</v>
      </c>
      <c r="B1435" t="s">
        <v>2021</v>
      </c>
    </row>
    <row r="1436" spans="1:2">
      <c r="A1436">
        <v>90599901</v>
      </c>
      <c r="B1436" t="s">
        <v>2023</v>
      </c>
    </row>
    <row r="1437" spans="1:2">
      <c r="A1437">
        <v>90599902</v>
      </c>
      <c r="B1437" t="s">
        <v>2024</v>
      </c>
    </row>
    <row r="1438" spans="1:2">
      <c r="A1438">
        <v>90599903</v>
      </c>
      <c r="B1438" t="s">
        <v>2025</v>
      </c>
    </row>
    <row r="1439" spans="1:2">
      <c r="A1439">
        <v>90599904</v>
      </c>
      <c r="B1439" t="s">
        <v>2026</v>
      </c>
    </row>
    <row r="1440" spans="1:2">
      <c r="A1440">
        <v>90599905</v>
      </c>
      <c r="B1440" t="s">
        <v>2027</v>
      </c>
    </row>
    <row r="1441" spans="1:2">
      <c r="A1441">
        <v>90599906</v>
      </c>
      <c r="B1441" t="s">
        <v>2028</v>
      </c>
    </row>
    <row r="1442" spans="1:2">
      <c r="A1442">
        <v>90599907</v>
      </c>
      <c r="B1442" t="s">
        <v>2029</v>
      </c>
    </row>
    <row r="1443" spans="1:2">
      <c r="A1443">
        <v>90599908</v>
      </c>
      <c r="B1443" t="s">
        <v>2030</v>
      </c>
    </row>
    <row r="1444" spans="1:2">
      <c r="A1444">
        <v>90599909</v>
      </c>
      <c r="B1444" t="s">
        <v>2031</v>
      </c>
    </row>
    <row r="1445" spans="1:2">
      <c r="A1445">
        <v>90599910</v>
      </c>
      <c r="B1445" t="s">
        <v>2032</v>
      </c>
    </row>
    <row r="1446" spans="1:2">
      <c r="A1446">
        <v>90599911</v>
      </c>
      <c r="B1446" t="s">
        <v>2033</v>
      </c>
    </row>
    <row r="1447" spans="1:2">
      <c r="A1447">
        <v>90599912</v>
      </c>
      <c r="B1447" t="s">
        <v>2034</v>
      </c>
    </row>
    <row r="1448" spans="1:2">
      <c r="A1448">
        <v>90599913</v>
      </c>
      <c r="B1448" t="s">
        <v>2035</v>
      </c>
    </row>
    <row r="1449" spans="1:2">
      <c r="A1449">
        <v>90599914</v>
      </c>
      <c r="B1449" t="s">
        <v>2036</v>
      </c>
    </row>
    <row r="1450" spans="1:2">
      <c r="A1450">
        <v>90599915</v>
      </c>
      <c r="B1450" t="s">
        <v>2037</v>
      </c>
    </row>
    <row r="1451" spans="1:2">
      <c r="A1451">
        <v>90599916</v>
      </c>
      <c r="B1451" t="s">
        <v>2038</v>
      </c>
    </row>
    <row r="1452" spans="1:2">
      <c r="A1452">
        <v>90599917</v>
      </c>
      <c r="B1452" t="s">
        <v>2039</v>
      </c>
    </row>
    <row r="1453" spans="1:2">
      <c r="A1453">
        <v>90599918</v>
      </c>
      <c r="B1453" t="s">
        <v>2040</v>
      </c>
    </row>
    <row r="1454" spans="1:2">
      <c r="A1454">
        <v>90599919</v>
      </c>
      <c r="B1454" t="s">
        <v>2041</v>
      </c>
    </row>
    <row r="1455" spans="1:2">
      <c r="A1455">
        <v>90599920</v>
      </c>
      <c r="B1455" t="s">
        <v>2042</v>
      </c>
    </row>
    <row r="1456" spans="1:2">
      <c r="A1456">
        <v>90599921</v>
      </c>
      <c r="B1456" t="s">
        <v>2043</v>
      </c>
    </row>
    <row r="1457" spans="1:2">
      <c r="A1457">
        <v>90599922</v>
      </c>
      <c r="B1457" t="s">
        <v>2044</v>
      </c>
    </row>
    <row r="1458" spans="1:2">
      <c r="A1458">
        <v>90599923</v>
      </c>
      <c r="B1458" t="s">
        <v>2045</v>
      </c>
    </row>
    <row r="1459" spans="1:2">
      <c r="A1459">
        <v>90599924</v>
      </c>
      <c r="B1459" t="s">
        <v>2046</v>
      </c>
    </row>
    <row r="1460" spans="1:2">
      <c r="A1460">
        <v>90599925</v>
      </c>
      <c r="B1460" t="s">
        <v>2047</v>
      </c>
    </row>
    <row r="1461" spans="1:2">
      <c r="A1461">
        <v>90599926</v>
      </c>
      <c r="B1461" t="s">
        <v>2048</v>
      </c>
    </row>
    <row r="1462" spans="1:2">
      <c r="A1462">
        <v>90599927</v>
      </c>
      <c r="B1462" t="s">
        <v>2049</v>
      </c>
    </row>
    <row r="1463" spans="1:2">
      <c r="A1463">
        <v>90501010</v>
      </c>
      <c r="B1463" t="s">
        <v>1978</v>
      </c>
    </row>
    <row r="1464" spans="1:2">
      <c r="A1464">
        <v>90501011</v>
      </c>
      <c r="B1464" t="s">
        <v>1979</v>
      </c>
    </row>
    <row r="1465" spans="1:2">
      <c r="A1465">
        <v>90501012</v>
      </c>
      <c r="B1465" t="s">
        <v>1980</v>
      </c>
    </row>
    <row r="1466" spans="1:2">
      <c r="A1466">
        <v>90501013</v>
      </c>
      <c r="B1466" t="s">
        <v>1981</v>
      </c>
    </row>
    <row r="1467" spans="1:2">
      <c r="A1467">
        <v>90501014</v>
      </c>
      <c r="B1467" t="s">
        <v>1982</v>
      </c>
    </row>
    <row r="1468" spans="1:2">
      <c r="A1468">
        <v>90501015</v>
      </c>
      <c r="B1468" t="s">
        <v>1983</v>
      </c>
    </row>
    <row r="1469" spans="1:2">
      <c r="A1469">
        <v>90501016</v>
      </c>
      <c r="B1469" t="s">
        <v>1984</v>
      </c>
    </row>
    <row r="1470" spans="1:2">
      <c r="A1470">
        <v>90501017</v>
      </c>
      <c r="B1470" t="s">
        <v>1985</v>
      </c>
    </row>
    <row r="1471" spans="1:2">
      <c r="A1471">
        <v>90501018</v>
      </c>
      <c r="B1471" t="s">
        <v>1986</v>
      </c>
    </row>
    <row r="1472" spans="1:2">
      <c r="A1472">
        <v>90501019</v>
      </c>
      <c r="B1472" t="s">
        <v>1987</v>
      </c>
    </row>
    <row r="1473" spans="1:2">
      <c r="A1473">
        <v>90501020</v>
      </c>
      <c r="B1473" t="s">
        <v>1988</v>
      </c>
    </row>
    <row r="1474" spans="1:2">
      <c r="A1474">
        <v>90501021</v>
      </c>
      <c r="B1474" t="s">
        <v>1989</v>
      </c>
    </row>
    <row r="1475" spans="1:2">
      <c r="A1475">
        <v>90501022</v>
      </c>
      <c r="B1475" t="s">
        <v>1990</v>
      </c>
    </row>
    <row r="1476" spans="1:2">
      <c r="A1476">
        <v>90501023</v>
      </c>
      <c r="B1476" t="s">
        <v>1991</v>
      </c>
    </row>
    <row r="1477" spans="1:2">
      <c r="A1477">
        <v>90501024</v>
      </c>
      <c r="B1477" t="s">
        <v>1992</v>
      </c>
    </row>
    <row r="1478" spans="1:2">
      <c r="A1478">
        <v>90501025</v>
      </c>
      <c r="B1478" t="s">
        <v>1993</v>
      </c>
    </row>
    <row r="1479" spans="1:2">
      <c r="A1479">
        <v>90501110</v>
      </c>
      <c r="B1479" t="s">
        <v>1978</v>
      </c>
    </row>
    <row r="1480" spans="1:2">
      <c r="A1480">
        <v>90501111</v>
      </c>
      <c r="B1480" t="s">
        <v>1979</v>
      </c>
    </row>
    <row r="1481" spans="1:2">
      <c r="A1481">
        <v>90501112</v>
      </c>
      <c r="B1481" t="s">
        <v>1980</v>
      </c>
    </row>
    <row r="1482" spans="1:2">
      <c r="A1482">
        <v>90501113</v>
      </c>
      <c r="B1482" t="s">
        <v>2003</v>
      </c>
    </row>
    <row r="1483" spans="1:2">
      <c r="A1483">
        <v>90501114</v>
      </c>
      <c r="B1483" t="s">
        <v>1982</v>
      </c>
    </row>
    <row r="1484" spans="1:2">
      <c r="A1484">
        <v>90501115</v>
      </c>
      <c r="B1484" t="s">
        <v>1983</v>
      </c>
    </row>
    <row r="1485" spans="1:2">
      <c r="A1485">
        <v>90501116</v>
      </c>
      <c r="B1485" t="s">
        <v>1984</v>
      </c>
    </row>
    <row r="1486" spans="1:2">
      <c r="A1486">
        <v>90501117</v>
      </c>
      <c r="B1486" t="s">
        <v>1985</v>
      </c>
    </row>
    <row r="1487" spans="1:2">
      <c r="A1487">
        <v>90501118</v>
      </c>
      <c r="B1487" t="s">
        <v>1986</v>
      </c>
    </row>
    <row r="1488" spans="1:2">
      <c r="A1488">
        <v>90501119</v>
      </c>
      <c r="B1488" t="s">
        <v>1987</v>
      </c>
    </row>
    <row r="1489" spans="1:2">
      <c r="A1489">
        <v>90501120</v>
      </c>
      <c r="B1489" t="s">
        <v>1988</v>
      </c>
    </row>
    <row r="1490" spans="1:2">
      <c r="A1490">
        <v>90501121</v>
      </c>
      <c r="B1490" t="s">
        <v>1989</v>
      </c>
    </row>
    <row r="1491" spans="1:2">
      <c r="A1491">
        <v>90501122</v>
      </c>
      <c r="B1491" t="s">
        <v>1990</v>
      </c>
    </row>
    <row r="1492" spans="1:2">
      <c r="A1492">
        <v>90501123</v>
      </c>
      <c r="B1492" t="s">
        <v>1991</v>
      </c>
    </row>
    <row r="1493" spans="1:2">
      <c r="A1493">
        <v>90501124</v>
      </c>
      <c r="B1493" t="s">
        <v>1992</v>
      </c>
    </row>
    <row r="1494" spans="1:2">
      <c r="A1494">
        <v>90501125</v>
      </c>
      <c r="B1494" t="s">
        <v>1993</v>
      </c>
    </row>
    <row r="1495" spans="1:2">
      <c r="A1495">
        <v>90501210</v>
      </c>
      <c r="B1495" t="s">
        <v>1978</v>
      </c>
    </row>
    <row r="1496" spans="1:2">
      <c r="A1496">
        <v>90501211</v>
      </c>
      <c r="B1496" t="s">
        <v>1979</v>
      </c>
    </row>
    <row r="1497" spans="1:2">
      <c r="A1497">
        <v>90501212</v>
      </c>
      <c r="B1497" t="s">
        <v>1980</v>
      </c>
    </row>
    <row r="1498" spans="1:2">
      <c r="A1498">
        <v>90501213</v>
      </c>
      <c r="B1498" t="s">
        <v>2003</v>
      </c>
    </row>
    <row r="1499" spans="1:2">
      <c r="A1499">
        <v>90501214</v>
      </c>
      <c r="B1499" t="s">
        <v>1982</v>
      </c>
    </row>
    <row r="1500" spans="1:2">
      <c r="A1500">
        <v>90501215</v>
      </c>
      <c r="B1500" t="s">
        <v>1983</v>
      </c>
    </row>
    <row r="1501" spans="1:2">
      <c r="A1501">
        <v>90501216</v>
      </c>
      <c r="B1501" t="s">
        <v>1984</v>
      </c>
    </row>
    <row r="1502" spans="1:2">
      <c r="A1502">
        <v>90501217</v>
      </c>
      <c r="B1502" t="s">
        <v>1985</v>
      </c>
    </row>
    <row r="1503" spans="1:2">
      <c r="A1503">
        <v>90501218</v>
      </c>
      <c r="B1503" t="s">
        <v>1986</v>
      </c>
    </row>
    <row r="1504" spans="1:2">
      <c r="A1504">
        <v>90501219</v>
      </c>
      <c r="B1504" t="s">
        <v>1987</v>
      </c>
    </row>
    <row r="1505" spans="1:2">
      <c r="A1505">
        <v>90501220</v>
      </c>
      <c r="B1505" t="s">
        <v>1988</v>
      </c>
    </row>
    <row r="1506" spans="1:2">
      <c r="A1506">
        <v>90501221</v>
      </c>
      <c r="B1506" t="s">
        <v>1989</v>
      </c>
    </row>
    <row r="1507" spans="1:2">
      <c r="A1507">
        <v>90501222</v>
      </c>
      <c r="B1507" t="s">
        <v>1990</v>
      </c>
    </row>
    <row r="1508" spans="1:2">
      <c r="A1508">
        <v>90501223</v>
      </c>
      <c r="B1508" t="s">
        <v>1991</v>
      </c>
    </row>
    <row r="1509" spans="1:2">
      <c r="A1509">
        <v>90501224</v>
      </c>
      <c r="B1509" t="s">
        <v>1992</v>
      </c>
    </row>
    <row r="1510" spans="1:2">
      <c r="A1510">
        <v>90501225</v>
      </c>
      <c r="B1510" t="s">
        <v>1993</v>
      </c>
    </row>
    <row r="1511" spans="1:2">
      <c r="A1511">
        <v>90501310</v>
      </c>
      <c r="B1511" t="s">
        <v>1978</v>
      </c>
    </row>
    <row r="1512" spans="1:2">
      <c r="A1512">
        <v>90501311</v>
      </c>
      <c r="B1512" t="s">
        <v>1979</v>
      </c>
    </row>
    <row r="1513" spans="1:2">
      <c r="A1513">
        <v>90501312</v>
      </c>
      <c r="B1513" t="s">
        <v>1980</v>
      </c>
    </row>
    <row r="1514" spans="1:2">
      <c r="A1514">
        <v>90501313</v>
      </c>
      <c r="B1514" t="s">
        <v>2022</v>
      </c>
    </row>
    <row r="1515" spans="1:2">
      <c r="A1515">
        <v>90501314</v>
      </c>
      <c r="B1515" t="s">
        <v>1982</v>
      </c>
    </row>
    <row r="1516" spans="1:2">
      <c r="A1516">
        <v>90501315</v>
      </c>
      <c r="B1516" t="s">
        <v>1983</v>
      </c>
    </row>
    <row r="1517" spans="1:2">
      <c r="A1517">
        <v>90501316</v>
      </c>
      <c r="B1517" t="s">
        <v>1984</v>
      </c>
    </row>
    <row r="1518" spans="1:2">
      <c r="A1518">
        <v>90501317</v>
      </c>
      <c r="B1518" t="s">
        <v>1985</v>
      </c>
    </row>
    <row r="1519" spans="1:2">
      <c r="A1519">
        <v>90501318</v>
      </c>
      <c r="B1519" t="s">
        <v>1986</v>
      </c>
    </row>
    <row r="1520" spans="1:2">
      <c r="A1520">
        <v>90501319</v>
      </c>
      <c r="B1520" t="s">
        <v>1987</v>
      </c>
    </row>
    <row r="1521" spans="1:2">
      <c r="A1521">
        <v>90501320</v>
      </c>
      <c r="B1521" t="s">
        <v>1988</v>
      </c>
    </row>
    <row r="1522" spans="1:2">
      <c r="A1522">
        <v>90501321</v>
      </c>
      <c r="B1522" t="s">
        <v>1989</v>
      </c>
    </row>
    <row r="1523" spans="1:2">
      <c r="A1523">
        <v>90501322</v>
      </c>
      <c r="B1523" t="s">
        <v>1990</v>
      </c>
    </row>
    <row r="1524" spans="1:2">
      <c r="A1524">
        <v>90501323</v>
      </c>
      <c r="B1524" t="s">
        <v>1991</v>
      </c>
    </row>
    <row r="1525" spans="1:2">
      <c r="A1525">
        <v>90501324</v>
      </c>
      <c r="B1525" t="s">
        <v>1992</v>
      </c>
    </row>
    <row r="1526" spans="1:2">
      <c r="A1526">
        <v>90501325</v>
      </c>
      <c r="B1526" t="s">
        <v>1993</v>
      </c>
    </row>
    <row r="1527" spans="1:2">
      <c r="A1527">
        <v>90599928</v>
      </c>
      <c r="B1527" t="s">
        <v>2464</v>
      </c>
    </row>
    <row r="1528" spans="1:2">
      <c r="A1528">
        <v>90599929</v>
      </c>
      <c r="B1528" t="s">
        <v>2050</v>
      </c>
    </row>
    <row r="1529" spans="1:2">
      <c r="A1529">
        <v>90599930</v>
      </c>
      <c r="B1529" t="s">
        <v>2051</v>
      </c>
    </row>
    <row r="1530" spans="1:2">
      <c r="A1530">
        <v>90599931</v>
      </c>
      <c r="B1530" t="s">
        <v>2052</v>
      </c>
    </row>
    <row r="1531" spans="1:2">
      <c r="A1531">
        <v>90599932</v>
      </c>
      <c r="B1531" t="s">
        <v>2053</v>
      </c>
    </row>
    <row r="1532" spans="1:2">
      <c r="A1532">
        <v>90599933</v>
      </c>
      <c r="B1532" t="s">
        <v>2054</v>
      </c>
    </row>
    <row r="1533" spans="1:2">
      <c r="A1533">
        <v>90599934</v>
      </c>
      <c r="B1533" t="s">
        <v>2055</v>
      </c>
    </row>
    <row r="1534" spans="1:2">
      <c r="A1534">
        <v>90599935</v>
      </c>
      <c r="B1534" t="s">
        <v>2056</v>
      </c>
    </row>
    <row r="1535" spans="1:2">
      <c r="A1535">
        <v>90599936</v>
      </c>
      <c r="B1535" t="s">
        <v>2057</v>
      </c>
    </row>
    <row r="1536" spans="1:2">
      <c r="A1536">
        <v>90599937</v>
      </c>
      <c r="B1536" t="s">
        <v>2058</v>
      </c>
    </row>
    <row r="1537" spans="1:2">
      <c r="A1537">
        <v>90599938</v>
      </c>
      <c r="B1537" t="s">
        <v>2059</v>
      </c>
    </row>
    <row r="1538" spans="1:2">
      <c r="A1538">
        <v>90599939</v>
      </c>
      <c r="B1538" t="s">
        <v>2060</v>
      </c>
    </row>
    <row r="1539" spans="1:2">
      <c r="A1539">
        <v>90599940</v>
      </c>
      <c r="B1539" t="s">
        <v>2061</v>
      </c>
    </row>
    <row r="1540" spans="1:2">
      <c r="A1540">
        <v>90599941</v>
      </c>
      <c r="B1540" t="s">
        <v>2062</v>
      </c>
    </row>
    <row r="1541" spans="1:2">
      <c r="A1541">
        <v>90599942</v>
      </c>
      <c r="B1541" t="s">
        <v>2063</v>
      </c>
    </row>
    <row r="1542" spans="1:2">
      <c r="A1542">
        <v>90599943</v>
      </c>
      <c r="B1542" t="s">
        <v>2064</v>
      </c>
    </row>
    <row r="1543" spans="1:2">
      <c r="A1543">
        <v>91002501</v>
      </c>
      <c r="B1543" t="s">
        <v>2065</v>
      </c>
    </row>
    <row r="1544" spans="1:2">
      <c r="A1544">
        <v>91002601</v>
      </c>
      <c r="B1544" t="s">
        <v>2066</v>
      </c>
    </row>
    <row r="1545" spans="1:2">
      <c r="A1545">
        <v>91002701</v>
      </c>
      <c r="B1545" t="s">
        <v>2067</v>
      </c>
    </row>
    <row r="1546" spans="1:2">
      <c r="A1546">
        <v>91002801</v>
      </c>
      <c r="B1546" t="s">
        <v>2068</v>
      </c>
    </row>
    <row r="1547" spans="1:2">
      <c r="A1547">
        <v>91002901</v>
      </c>
      <c r="B1547" t="s">
        <v>2069</v>
      </c>
    </row>
    <row r="1548" spans="1:2">
      <c r="A1548">
        <v>91004101</v>
      </c>
      <c r="B1548" t="s">
        <v>2070</v>
      </c>
    </row>
    <row r="1549" spans="1:2">
      <c r="A1549">
        <v>91004601</v>
      </c>
      <c r="B1549" t="s">
        <v>2071</v>
      </c>
    </row>
    <row r="1550" spans="1:2">
      <c r="A1550">
        <v>91004803</v>
      </c>
      <c r="B1550" t="s">
        <v>2072</v>
      </c>
    </row>
    <row r="1551" spans="1:2">
      <c r="A1551">
        <v>91004804</v>
      </c>
      <c r="B1551" t="s">
        <v>2073</v>
      </c>
    </row>
    <row r="1552" spans="1:2">
      <c r="A1552">
        <v>92005601</v>
      </c>
      <c r="B1552" t="s">
        <v>2074</v>
      </c>
    </row>
    <row r="1553" spans="1:2">
      <c r="A1553">
        <v>92099901</v>
      </c>
      <c r="B1553" t="s">
        <v>2075</v>
      </c>
    </row>
    <row r="1554" spans="1:2">
      <c r="A1554">
        <v>92099902</v>
      </c>
      <c r="B1554" t="s">
        <v>2076</v>
      </c>
    </row>
    <row r="1555" spans="1:2">
      <c r="A1555">
        <v>92505901</v>
      </c>
      <c r="B1555" t="s">
        <v>2077</v>
      </c>
    </row>
    <row r="1556" spans="1:2">
      <c r="A1556">
        <v>92505902</v>
      </c>
      <c r="B1556" t="s">
        <v>2078</v>
      </c>
    </row>
    <row r="1557" spans="1:2">
      <c r="A1557">
        <v>92505903</v>
      </c>
      <c r="B1557" t="s">
        <v>2079</v>
      </c>
    </row>
    <row r="1558" spans="1:2">
      <c r="A1558">
        <v>92505904</v>
      </c>
      <c r="B1558" t="s">
        <v>2080</v>
      </c>
    </row>
    <row r="1559" spans="1:2">
      <c r="A1559">
        <v>92505905</v>
      </c>
      <c r="B1559" t="s">
        <v>2081</v>
      </c>
    </row>
    <row r="1560" spans="1:2">
      <c r="A1560">
        <v>92505906</v>
      </c>
      <c r="B1560" t="s">
        <v>2082</v>
      </c>
    </row>
    <row r="1561" spans="1:2">
      <c r="A1561">
        <v>92505907</v>
      </c>
      <c r="B1561" t="s">
        <v>2083</v>
      </c>
    </row>
    <row r="1562" spans="1:2">
      <c r="A1562">
        <v>92505908</v>
      </c>
      <c r="B1562" t="s">
        <v>2084</v>
      </c>
    </row>
    <row r="1563" spans="1:2">
      <c r="A1563">
        <v>92505909</v>
      </c>
      <c r="B1563" t="s">
        <v>2085</v>
      </c>
    </row>
    <row r="1564" spans="1:2">
      <c r="A1564">
        <v>92505910</v>
      </c>
      <c r="B1564" t="s">
        <v>2086</v>
      </c>
    </row>
    <row r="1565" spans="1:2">
      <c r="A1565">
        <v>92505911</v>
      </c>
      <c r="B1565" t="s">
        <v>2087</v>
      </c>
    </row>
    <row r="1566" spans="1:2">
      <c r="A1566">
        <v>92505912</v>
      </c>
      <c r="B1566" t="s">
        <v>2088</v>
      </c>
    </row>
    <row r="1567" spans="1:2">
      <c r="A1567">
        <v>92505913</v>
      </c>
      <c r="B1567" t="s">
        <v>2089</v>
      </c>
    </row>
    <row r="1568" spans="1:2">
      <c r="A1568">
        <v>92505914</v>
      </c>
      <c r="B1568" t="s">
        <v>2090</v>
      </c>
    </row>
    <row r="1569" spans="1:2">
      <c r="A1569">
        <v>92505915</v>
      </c>
      <c r="B1569" t="s">
        <v>2091</v>
      </c>
    </row>
    <row r="1570" spans="1:2">
      <c r="A1570">
        <v>92505916</v>
      </c>
      <c r="B1570" t="s">
        <v>2092</v>
      </c>
    </row>
    <row r="1571" spans="1:2">
      <c r="A1571">
        <v>92505917</v>
      </c>
      <c r="B1571" t="s">
        <v>2093</v>
      </c>
    </row>
    <row r="1572" spans="1:2">
      <c r="A1572">
        <v>92505918</v>
      </c>
      <c r="B1572" t="s">
        <v>2094</v>
      </c>
    </row>
    <row r="1573" spans="1:2">
      <c r="A1573">
        <v>92505919</v>
      </c>
      <c r="B1573" t="s">
        <v>2095</v>
      </c>
    </row>
    <row r="1574" spans="1:2">
      <c r="A1574">
        <v>92505920</v>
      </c>
      <c r="B1574" t="s">
        <v>2096</v>
      </c>
    </row>
    <row r="1575" spans="1:2">
      <c r="A1575">
        <v>92505921</v>
      </c>
      <c r="B1575" t="s">
        <v>2097</v>
      </c>
    </row>
    <row r="1576" spans="1:2">
      <c r="A1576">
        <v>92505922</v>
      </c>
      <c r="B1576" t="s">
        <v>2098</v>
      </c>
    </row>
    <row r="1577" spans="1:2">
      <c r="A1577">
        <v>92505923</v>
      </c>
      <c r="B1577" t="s">
        <v>2099</v>
      </c>
    </row>
    <row r="1578" spans="1:2">
      <c r="A1578">
        <v>92505924</v>
      </c>
      <c r="B1578" t="s">
        <v>2100</v>
      </c>
    </row>
    <row r="1579" spans="1:2">
      <c r="A1579">
        <v>92505925</v>
      </c>
      <c r="B1579" t="s">
        <v>2101</v>
      </c>
    </row>
    <row r="1580" spans="1:2">
      <c r="A1580">
        <v>92505926</v>
      </c>
      <c r="B1580" t="s">
        <v>2102</v>
      </c>
    </row>
    <row r="1581" spans="1:2">
      <c r="A1581">
        <v>92505927</v>
      </c>
      <c r="B1581" t="s">
        <v>2103</v>
      </c>
    </row>
    <row r="1582" spans="1:2">
      <c r="A1582">
        <v>92505928</v>
      </c>
      <c r="B1582" t="s">
        <v>2104</v>
      </c>
    </row>
    <row r="1583" spans="1:2">
      <c r="A1583">
        <v>92505929</v>
      </c>
      <c r="B1583" t="s">
        <v>2105</v>
      </c>
    </row>
    <row r="1584" spans="1:2">
      <c r="A1584">
        <v>92505930</v>
      </c>
      <c r="B1584" t="s">
        <v>2106</v>
      </c>
    </row>
    <row r="1585" spans="1:2">
      <c r="A1585">
        <v>92505931</v>
      </c>
      <c r="B1585" t="s">
        <v>2107</v>
      </c>
    </row>
    <row r="1586" spans="1:2">
      <c r="A1586">
        <v>92505932</v>
      </c>
      <c r="B1586" t="s">
        <v>2108</v>
      </c>
    </row>
    <row r="1587" spans="1:2">
      <c r="A1587">
        <v>92505933</v>
      </c>
      <c r="B1587" t="s">
        <v>2109</v>
      </c>
    </row>
    <row r="1588" spans="1:2">
      <c r="A1588">
        <v>92505934</v>
      </c>
      <c r="B1588" t="s">
        <v>2110</v>
      </c>
    </row>
    <row r="1589" spans="1:2">
      <c r="A1589">
        <v>92505935</v>
      </c>
      <c r="B1589" t="s">
        <v>2111</v>
      </c>
    </row>
    <row r="1590" spans="1:2">
      <c r="A1590">
        <v>92505936</v>
      </c>
      <c r="B1590" t="s">
        <v>2112</v>
      </c>
    </row>
    <row r="1591" spans="1:2">
      <c r="A1591">
        <v>92505937</v>
      </c>
      <c r="B1591" t="s">
        <v>2113</v>
      </c>
    </row>
    <row r="1592" spans="1:2">
      <c r="A1592">
        <v>92505938</v>
      </c>
      <c r="B1592" t="s">
        <v>2114</v>
      </c>
    </row>
    <row r="1593" spans="1:2">
      <c r="A1593">
        <v>92505939</v>
      </c>
      <c r="B1593" t="s">
        <v>2115</v>
      </c>
    </row>
    <row r="1594" spans="1:2">
      <c r="A1594">
        <v>92505940</v>
      </c>
      <c r="B1594" t="s">
        <v>2116</v>
      </c>
    </row>
    <row r="1595" spans="1:2">
      <c r="A1595">
        <v>92505941</v>
      </c>
      <c r="B1595" t="s">
        <v>2117</v>
      </c>
    </row>
    <row r="1596" spans="1:2">
      <c r="A1596">
        <v>92505942</v>
      </c>
      <c r="B1596" t="s">
        <v>2118</v>
      </c>
    </row>
    <row r="1597" spans="1:2">
      <c r="A1597">
        <v>92505943</v>
      </c>
      <c r="B1597" t="s">
        <v>2119</v>
      </c>
    </row>
    <row r="1598" spans="1:2">
      <c r="A1598">
        <v>92505944</v>
      </c>
      <c r="B1598" t="s">
        <v>2120</v>
      </c>
    </row>
    <row r="1599" spans="1:2">
      <c r="A1599">
        <v>92505945</v>
      </c>
      <c r="B1599" t="s">
        <v>2121</v>
      </c>
    </row>
    <row r="1600" spans="1:2">
      <c r="A1600">
        <v>92505946</v>
      </c>
      <c r="B1600" t="s">
        <v>2122</v>
      </c>
    </row>
    <row r="1601" spans="1:2">
      <c r="A1601">
        <v>92505947</v>
      </c>
      <c r="B1601" t="s">
        <v>2123</v>
      </c>
    </row>
    <row r="1602" spans="1:2">
      <c r="A1602">
        <v>92505948</v>
      </c>
      <c r="B1602" t="s">
        <v>2124</v>
      </c>
    </row>
    <row r="1603" spans="1:2">
      <c r="A1603">
        <v>92505949</v>
      </c>
      <c r="B1603" t="s">
        <v>2125</v>
      </c>
    </row>
    <row r="1604" spans="1:2">
      <c r="A1604">
        <v>92505950</v>
      </c>
      <c r="B1604" t="s">
        <v>2126</v>
      </c>
    </row>
    <row r="1605" spans="1:2">
      <c r="A1605">
        <v>92505951</v>
      </c>
      <c r="B1605" t="s">
        <v>2127</v>
      </c>
    </row>
    <row r="1606" spans="1:2">
      <c r="A1606">
        <v>92505952</v>
      </c>
      <c r="B1606" t="s">
        <v>2128</v>
      </c>
    </row>
    <row r="1607" spans="1:2">
      <c r="A1607">
        <v>92505953</v>
      </c>
      <c r="B1607" t="s">
        <v>2129</v>
      </c>
    </row>
    <row r="1608" spans="1:2">
      <c r="A1608">
        <v>92505954</v>
      </c>
      <c r="B1608" t="s">
        <v>2130</v>
      </c>
    </row>
    <row r="1609" spans="1:2">
      <c r="A1609">
        <v>92505955</v>
      </c>
      <c r="B1609" t="s">
        <v>2131</v>
      </c>
    </row>
    <row r="1610" spans="1:2">
      <c r="A1610">
        <v>92505956</v>
      </c>
      <c r="B1610" t="s">
        <v>2132</v>
      </c>
    </row>
    <row r="1611" spans="1:2">
      <c r="A1611">
        <v>92505957</v>
      </c>
      <c r="B1611" t="s">
        <v>2133</v>
      </c>
    </row>
    <row r="1612" spans="1:2">
      <c r="A1612">
        <v>92505958</v>
      </c>
      <c r="B1612" t="s">
        <v>2134</v>
      </c>
    </row>
    <row r="1613" spans="1:2">
      <c r="A1613">
        <v>92505959</v>
      </c>
      <c r="B1613" t="s">
        <v>2135</v>
      </c>
    </row>
    <row r="1614" spans="1:2">
      <c r="A1614">
        <v>92505960</v>
      </c>
      <c r="B1614" t="s">
        <v>2136</v>
      </c>
    </row>
    <row r="1615" spans="1:2">
      <c r="A1615">
        <v>92505961</v>
      </c>
      <c r="B1615" t="s">
        <v>2137</v>
      </c>
    </row>
    <row r="1616" spans="1:2">
      <c r="A1616">
        <v>92505962</v>
      </c>
      <c r="B1616" t="s">
        <v>2138</v>
      </c>
    </row>
    <row r="1617" spans="1:2">
      <c r="A1617">
        <v>92505963</v>
      </c>
      <c r="B1617" t="s">
        <v>2139</v>
      </c>
    </row>
    <row r="1618" spans="1:2">
      <c r="A1618">
        <v>92505964</v>
      </c>
      <c r="B1618" t="s">
        <v>2140</v>
      </c>
    </row>
    <row r="1619" spans="1:2">
      <c r="A1619">
        <v>92505965</v>
      </c>
      <c r="B1619" t="s">
        <v>2141</v>
      </c>
    </row>
    <row r="1620" spans="1:2">
      <c r="A1620">
        <v>92505966</v>
      </c>
      <c r="B1620" t="s">
        <v>2142</v>
      </c>
    </row>
    <row r="1621" spans="1:2">
      <c r="A1621">
        <v>92505967</v>
      </c>
      <c r="B1621" t="s">
        <v>2143</v>
      </c>
    </row>
    <row r="1622" spans="1:2">
      <c r="A1622">
        <v>92505968</v>
      </c>
      <c r="B1622" t="s">
        <v>2144</v>
      </c>
    </row>
    <row r="1623" spans="1:2">
      <c r="A1623">
        <v>92505969</v>
      </c>
      <c r="B1623" t="s">
        <v>2145</v>
      </c>
    </row>
    <row r="1624" spans="1:2">
      <c r="A1624">
        <v>92505970</v>
      </c>
      <c r="B1624" t="s">
        <v>2146</v>
      </c>
    </row>
    <row r="1625" spans="1:2">
      <c r="A1625">
        <v>92505971</v>
      </c>
      <c r="B1625" t="s">
        <v>2147</v>
      </c>
    </row>
    <row r="1626" spans="1:2">
      <c r="A1626">
        <v>92505972</v>
      </c>
      <c r="B1626" t="s">
        <v>2148</v>
      </c>
    </row>
    <row r="1627" spans="1:2">
      <c r="A1627">
        <v>92505973</v>
      </c>
      <c r="B1627" t="s">
        <v>2149</v>
      </c>
    </row>
    <row r="1628" spans="1:2">
      <c r="A1628">
        <v>92505974</v>
      </c>
      <c r="B1628" t="s">
        <v>2150</v>
      </c>
    </row>
    <row r="1629" spans="1:2">
      <c r="A1629">
        <v>92505975</v>
      </c>
      <c r="B1629" t="s">
        <v>2151</v>
      </c>
    </row>
    <row r="1630" spans="1:2">
      <c r="A1630">
        <v>92505976</v>
      </c>
      <c r="B1630" t="s">
        <v>2152</v>
      </c>
    </row>
    <row r="1631" spans="1:2">
      <c r="A1631">
        <v>92505977</v>
      </c>
      <c r="B1631" t="s">
        <v>2153</v>
      </c>
    </row>
    <row r="1632" spans="1:2">
      <c r="A1632">
        <v>92505978</v>
      </c>
      <c r="B1632" t="s">
        <v>2154</v>
      </c>
    </row>
    <row r="1633" spans="1:2">
      <c r="A1633">
        <v>92505979</v>
      </c>
      <c r="B1633" t="s">
        <v>2155</v>
      </c>
    </row>
    <row r="1634" spans="1:2">
      <c r="A1634">
        <v>92505980</v>
      </c>
      <c r="B1634" t="s">
        <v>2156</v>
      </c>
    </row>
    <row r="1635" spans="1:2">
      <c r="A1635">
        <v>92505981</v>
      </c>
      <c r="B1635" t="s">
        <v>2157</v>
      </c>
    </row>
    <row r="1636" spans="1:2">
      <c r="A1636">
        <v>92505982</v>
      </c>
      <c r="B1636" t="s">
        <v>2158</v>
      </c>
    </row>
    <row r="1637" spans="1:2">
      <c r="A1637">
        <v>92505983</v>
      </c>
      <c r="B1637" t="s">
        <v>2159</v>
      </c>
    </row>
    <row r="1638" spans="1:2">
      <c r="A1638">
        <v>92505984</v>
      </c>
      <c r="B1638" t="s">
        <v>2160</v>
      </c>
    </row>
    <row r="1639" spans="1:2">
      <c r="A1639">
        <v>92505985</v>
      </c>
      <c r="B1639" t="s">
        <v>2161</v>
      </c>
    </row>
    <row r="1640" spans="1:2">
      <c r="A1640">
        <v>92505986</v>
      </c>
      <c r="B1640" t="s">
        <v>2162</v>
      </c>
    </row>
    <row r="1641" spans="1:2">
      <c r="A1641">
        <v>92505987</v>
      </c>
      <c r="B1641" t="s">
        <v>2163</v>
      </c>
    </row>
    <row r="1642" spans="1:2">
      <c r="A1642">
        <v>92505988</v>
      </c>
      <c r="B1642" t="s">
        <v>2164</v>
      </c>
    </row>
    <row r="1643" spans="1:2">
      <c r="A1643">
        <v>92505989</v>
      </c>
      <c r="B1643" t="s">
        <v>2165</v>
      </c>
    </row>
    <row r="1644" spans="1:2">
      <c r="A1644">
        <v>92505990</v>
      </c>
      <c r="B1644" t="s">
        <v>2166</v>
      </c>
    </row>
    <row r="1645" spans="1:2">
      <c r="A1645">
        <v>92505991</v>
      </c>
      <c r="B1645" t="s">
        <v>2167</v>
      </c>
    </row>
    <row r="1646" spans="1:2">
      <c r="A1646">
        <v>92505992</v>
      </c>
      <c r="B1646" t="s">
        <v>2465</v>
      </c>
    </row>
    <row r="1647" spans="1:2">
      <c r="A1647">
        <v>92505993</v>
      </c>
      <c r="B1647" t="s">
        <v>2466</v>
      </c>
    </row>
    <row r="1648" spans="1:2">
      <c r="A1648">
        <v>92505994</v>
      </c>
      <c r="B1648" t="s">
        <v>2467</v>
      </c>
    </row>
    <row r="1649" spans="1:2">
      <c r="A1649">
        <v>92506001</v>
      </c>
      <c r="B1649" t="s">
        <v>2168</v>
      </c>
    </row>
    <row r="1650" spans="1:2">
      <c r="A1650">
        <v>92506002</v>
      </c>
      <c r="B1650" t="s">
        <v>2169</v>
      </c>
    </row>
    <row r="1651" spans="1:2">
      <c r="A1651">
        <v>92506003</v>
      </c>
      <c r="B1651" t="s">
        <v>2170</v>
      </c>
    </row>
    <row r="1652" spans="1:2">
      <c r="A1652">
        <v>92506004</v>
      </c>
      <c r="B1652" t="s">
        <v>2171</v>
      </c>
    </row>
    <row r="1653" spans="1:2">
      <c r="A1653">
        <v>92506005</v>
      </c>
      <c r="B1653" t="s">
        <v>2172</v>
      </c>
    </row>
    <row r="1654" spans="1:2">
      <c r="A1654">
        <v>92506006</v>
      </c>
      <c r="B1654" t="s">
        <v>2173</v>
      </c>
    </row>
    <row r="1655" spans="1:2">
      <c r="A1655">
        <v>92506007</v>
      </c>
      <c r="B1655" t="s">
        <v>2174</v>
      </c>
    </row>
    <row r="1656" spans="1:2">
      <c r="A1656">
        <v>92506008</v>
      </c>
      <c r="B1656" t="s">
        <v>2175</v>
      </c>
    </row>
    <row r="1657" spans="1:2">
      <c r="A1657">
        <v>92506009</v>
      </c>
      <c r="B1657" t="s">
        <v>2176</v>
      </c>
    </row>
    <row r="1658" spans="1:2">
      <c r="A1658">
        <v>92506010</v>
      </c>
      <c r="B1658" t="s">
        <v>2177</v>
      </c>
    </row>
    <row r="1659" spans="1:2">
      <c r="A1659">
        <v>92506011</v>
      </c>
      <c r="B1659" t="s">
        <v>2178</v>
      </c>
    </row>
    <row r="1660" spans="1:2">
      <c r="A1660">
        <v>92506012</v>
      </c>
      <c r="B1660" t="s">
        <v>2179</v>
      </c>
    </row>
    <row r="1661" spans="1:2">
      <c r="A1661">
        <v>92506013</v>
      </c>
      <c r="B1661" t="s">
        <v>2180</v>
      </c>
    </row>
    <row r="1662" spans="1:2">
      <c r="A1662">
        <v>92506014</v>
      </c>
      <c r="B1662" t="s">
        <v>2181</v>
      </c>
    </row>
    <row r="1663" spans="1:2">
      <c r="A1663">
        <v>93006101</v>
      </c>
      <c r="B1663" t="s">
        <v>2182</v>
      </c>
    </row>
    <row r="1664" spans="1:2">
      <c r="A1664">
        <v>93006102</v>
      </c>
      <c r="B1664" t="s">
        <v>2183</v>
      </c>
    </row>
    <row r="1665" spans="1:2">
      <c r="A1665">
        <v>93006103</v>
      </c>
      <c r="B1665" t="s">
        <v>2184</v>
      </c>
    </row>
    <row r="1666" spans="1:2">
      <c r="A1666">
        <v>93006104</v>
      </c>
      <c r="B1666" t="s">
        <v>2185</v>
      </c>
    </row>
    <row r="1667" spans="1:2">
      <c r="A1667">
        <v>93006105</v>
      </c>
      <c r="B1667" t="s">
        <v>2186</v>
      </c>
    </row>
    <row r="1668" spans="1:2">
      <c r="A1668">
        <v>93006106</v>
      </c>
      <c r="B1668" t="s">
        <v>2187</v>
      </c>
    </row>
    <row r="1669" spans="1:2">
      <c r="A1669">
        <v>99906201</v>
      </c>
      <c r="B1669" t="s">
        <v>2188</v>
      </c>
    </row>
    <row r="1670" spans="1:2">
      <c r="A1670" t="s">
        <v>2369</v>
      </c>
      <c r="B1670" t="s">
        <v>2370</v>
      </c>
    </row>
    <row r="1671" spans="1:2">
      <c r="A1671" t="s">
        <v>2371</v>
      </c>
      <c r="B1671" t="s">
        <v>2468</v>
      </c>
    </row>
    <row r="1672" spans="1:2">
      <c r="A1672" t="s">
        <v>2372</v>
      </c>
      <c r="B1672" t="s">
        <v>2469</v>
      </c>
    </row>
    <row r="1673" spans="1:2">
      <c r="A1673" t="s">
        <v>2373</v>
      </c>
      <c r="B1673" t="s">
        <v>2470</v>
      </c>
    </row>
    <row r="1674" spans="1:2">
      <c r="A1674" t="s">
        <v>2374</v>
      </c>
      <c r="B1674" t="s">
        <v>2375</v>
      </c>
    </row>
    <row r="1675" spans="1:2">
      <c r="A1675" t="s">
        <v>2376</v>
      </c>
      <c r="B1675" t="s">
        <v>2377</v>
      </c>
    </row>
    <row r="1676" spans="1:2">
      <c r="A1676" t="s">
        <v>2378</v>
      </c>
      <c r="B1676" t="s">
        <v>2379</v>
      </c>
    </row>
    <row r="1677" spans="1:2">
      <c r="A1677" t="s">
        <v>2380</v>
      </c>
      <c r="B1677" t="s">
        <v>2381</v>
      </c>
    </row>
    <row r="1678" spans="1:2">
      <c r="A1678" t="s">
        <v>2382</v>
      </c>
      <c r="B1678" t="s">
        <v>2383</v>
      </c>
    </row>
    <row r="1679" spans="1:2">
      <c r="A1679" t="s">
        <v>2384</v>
      </c>
      <c r="B1679" t="s">
        <v>2385</v>
      </c>
    </row>
    <row r="1680" spans="1:2">
      <c r="A1680" t="s">
        <v>2386</v>
      </c>
      <c r="B1680" t="s">
        <v>2387</v>
      </c>
    </row>
    <row r="1681" spans="1:2">
      <c r="A1681" t="s">
        <v>2388</v>
      </c>
      <c r="B1681" t="s">
        <v>2389</v>
      </c>
    </row>
    <row r="1682" spans="1:2">
      <c r="A1682" t="s">
        <v>2390</v>
      </c>
      <c r="B1682" t="s">
        <v>2391</v>
      </c>
    </row>
    <row r="1683" spans="1:2">
      <c r="A1683" t="s">
        <v>2392</v>
      </c>
      <c r="B1683" t="s">
        <v>2393</v>
      </c>
    </row>
    <row r="1684" spans="1:2">
      <c r="A1684" t="s">
        <v>2394</v>
      </c>
      <c r="B1684" t="s">
        <v>2395</v>
      </c>
    </row>
    <row r="1685" spans="1:2">
      <c r="A1685" t="s">
        <v>2396</v>
      </c>
      <c r="B1685" t="s">
        <v>2397</v>
      </c>
    </row>
    <row r="1686" spans="1:2">
      <c r="A1686" t="s">
        <v>2398</v>
      </c>
      <c r="B1686" t="s">
        <v>2399</v>
      </c>
    </row>
    <row r="1687" spans="1:2">
      <c r="A1687" t="s">
        <v>2400</v>
      </c>
      <c r="B1687" t="s">
        <v>2401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31"/>
  <sheetViews>
    <sheetView topLeftCell="B10" zoomScaleNormal="100" workbookViewId="0">
      <selection activeCell="K24" sqref="K24"/>
    </sheetView>
  </sheetViews>
  <sheetFormatPr defaultRowHeight="11.25"/>
  <cols>
    <col min="1" max="1" width="2.625" style="162" hidden="1" customWidth="1"/>
    <col min="2" max="2" width="19.375" style="81" customWidth="1"/>
    <col min="3" max="3" width="22.5" style="81" customWidth="1"/>
    <col min="4" max="4" width="5.125" style="81" customWidth="1"/>
    <col min="5" max="5" width="5.125" style="96" customWidth="1"/>
    <col min="6" max="22" width="5.125" style="81" customWidth="1"/>
    <col min="23" max="27" width="4.75" style="81" customWidth="1"/>
    <col min="28" max="16384" width="9" style="81"/>
  </cols>
  <sheetData>
    <row r="1" spans="1:31" ht="15" customHeight="1">
      <c r="B1" s="177" t="s">
        <v>143</v>
      </c>
      <c r="C1" s="81" t="str">
        <f>工事1!C2</f>
        <v>居室内装修理工事</v>
      </c>
      <c r="F1" s="162"/>
      <c r="G1" s="359"/>
      <c r="H1" s="360"/>
      <c r="I1" s="360"/>
      <c r="J1" s="361"/>
      <c r="K1" s="362" t="s">
        <v>300</v>
      </c>
      <c r="L1" s="363" t="s">
        <v>301</v>
      </c>
      <c r="M1" s="363" t="s">
        <v>302</v>
      </c>
      <c r="N1" s="364" t="s">
        <v>303</v>
      </c>
      <c r="O1" s="365"/>
      <c r="P1" s="366"/>
      <c r="Q1" s="366"/>
      <c r="R1" s="367"/>
      <c r="S1" s="362" t="s">
        <v>300</v>
      </c>
      <c r="T1" s="363" t="s">
        <v>301</v>
      </c>
      <c r="U1" s="363" t="s">
        <v>302</v>
      </c>
      <c r="V1" s="364" t="s">
        <v>303</v>
      </c>
      <c r="W1" s="368"/>
    </row>
    <row r="2" spans="1:31" ht="15" customHeight="1">
      <c r="B2" s="177"/>
      <c r="E2" s="369"/>
      <c r="G2" s="2630" t="s">
        <v>304</v>
      </c>
      <c r="H2" s="2631"/>
      <c r="I2" s="2631"/>
      <c r="J2" s="2632"/>
      <c r="K2" s="370">
        <f>+H9+L9</f>
        <v>0</v>
      </c>
      <c r="L2" s="371">
        <f>+I9+M9</f>
        <v>0</v>
      </c>
      <c r="M2" s="371">
        <f>+J9+N9</f>
        <v>208.24999999999997</v>
      </c>
      <c r="N2" s="372">
        <f>+K9+O9</f>
        <v>0</v>
      </c>
      <c r="O2" s="2633" t="s">
        <v>279</v>
      </c>
      <c r="P2" s="2634"/>
      <c r="Q2" s="2634"/>
      <c r="R2" s="2635"/>
      <c r="S2" s="370">
        <f>+P9+T9+X9</f>
        <v>0</v>
      </c>
      <c r="T2" s="371">
        <f>+Q9+U9+Y9</f>
        <v>0</v>
      </c>
      <c r="U2" s="371">
        <f>+R9+V9+Z9</f>
        <v>101.19999999999999</v>
      </c>
      <c r="V2" s="372">
        <f>+S9+W9+AA9</f>
        <v>0</v>
      </c>
      <c r="W2" s="373"/>
    </row>
    <row r="3" spans="1:31" ht="15" customHeight="1">
      <c r="B3" s="177"/>
      <c r="E3" s="369"/>
      <c r="G3" s="2636" t="s">
        <v>305</v>
      </c>
      <c r="H3" s="2637"/>
      <c r="I3" s="2637"/>
      <c r="J3" s="2638"/>
      <c r="K3" s="374">
        <f>+H9</f>
        <v>0</v>
      </c>
      <c r="L3" s="375">
        <f>+I9</f>
        <v>0</v>
      </c>
      <c r="M3" s="375">
        <f>+J9</f>
        <v>107.04999999999998</v>
      </c>
      <c r="N3" s="376">
        <f>+K9</f>
        <v>0</v>
      </c>
      <c r="O3" s="2639" t="s">
        <v>280</v>
      </c>
      <c r="P3" s="2640"/>
      <c r="Q3" s="2640"/>
      <c r="R3" s="2641"/>
      <c r="S3" s="374">
        <f>+P9</f>
        <v>0</v>
      </c>
      <c r="T3" s="375">
        <f>+Q9</f>
        <v>0</v>
      </c>
      <c r="U3" s="375">
        <f>+R9</f>
        <v>101.19999999999999</v>
      </c>
      <c r="V3" s="376">
        <f>+S9</f>
        <v>0</v>
      </c>
      <c r="W3" s="373"/>
    </row>
    <row r="4" spans="1:31" ht="15" customHeight="1">
      <c r="B4" s="177"/>
      <c r="E4" s="369"/>
      <c r="G4" s="2636" t="s">
        <v>306</v>
      </c>
      <c r="H4" s="2637"/>
      <c r="I4" s="2637"/>
      <c r="J4" s="2638"/>
      <c r="K4" s="374">
        <f>+L9</f>
        <v>0</v>
      </c>
      <c r="L4" s="375">
        <f>+M9</f>
        <v>0</v>
      </c>
      <c r="M4" s="375">
        <f>+N9</f>
        <v>101.19999999999999</v>
      </c>
      <c r="N4" s="376">
        <f>+O9</f>
        <v>0</v>
      </c>
      <c r="O4" s="2639" t="s">
        <v>281</v>
      </c>
      <c r="P4" s="2640"/>
      <c r="Q4" s="2640"/>
      <c r="R4" s="2641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7"/>
      <c r="E5" s="369"/>
      <c r="G5" s="2627"/>
      <c r="H5" s="2628"/>
      <c r="I5" s="2628"/>
      <c r="J5" s="2629"/>
      <c r="K5" s="377"/>
      <c r="L5" s="377"/>
      <c r="M5" s="377"/>
      <c r="N5" s="377"/>
      <c r="O5" s="2627" t="s">
        <v>307</v>
      </c>
      <c r="P5" s="2628"/>
      <c r="Q5" s="2628"/>
      <c r="R5" s="2629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7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9"/>
      <c r="C7" s="170"/>
      <c r="D7" s="171"/>
      <c r="E7" s="184"/>
      <c r="F7" s="428"/>
      <c r="G7" s="429"/>
      <c r="H7" s="2618" t="s">
        <v>274</v>
      </c>
      <c r="I7" s="2619"/>
      <c r="J7" s="2619"/>
      <c r="K7" s="2620"/>
      <c r="L7" s="2618" t="s">
        <v>308</v>
      </c>
      <c r="M7" s="2619"/>
      <c r="N7" s="2619"/>
      <c r="O7" s="2620"/>
      <c r="P7" s="2618" t="s">
        <v>309</v>
      </c>
      <c r="Q7" s="2619"/>
      <c r="R7" s="2619"/>
      <c r="S7" s="2620"/>
      <c r="T7" s="2618" t="s">
        <v>282</v>
      </c>
      <c r="U7" s="2619"/>
      <c r="V7" s="2619"/>
      <c r="W7" s="2620"/>
      <c r="X7" s="2618" t="s">
        <v>310</v>
      </c>
      <c r="Y7" s="2619"/>
      <c r="Z7" s="2619"/>
      <c r="AA7" s="2620"/>
    </row>
    <row r="8" spans="1:31">
      <c r="B8" s="168" t="s">
        <v>67</v>
      </c>
      <c r="C8" s="149" t="s">
        <v>68</v>
      </c>
      <c r="D8" s="165" t="s">
        <v>21</v>
      </c>
      <c r="E8" s="185" t="s">
        <v>69</v>
      </c>
      <c r="F8" s="430" t="s">
        <v>144</v>
      </c>
      <c r="G8" s="431" t="s">
        <v>311</v>
      </c>
      <c r="H8" s="166" t="s">
        <v>300</v>
      </c>
      <c r="I8" s="58" t="s">
        <v>301</v>
      </c>
      <c r="J8" s="58" t="s">
        <v>302</v>
      </c>
      <c r="K8" s="167" t="s">
        <v>303</v>
      </c>
      <c r="L8" s="166" t="s">
        <v>300</v>
      </c>
      <c r="M8" s="58" t="s">
        <v>301</v>
      </c>
      <c r="N8" s="58" t="s">
        <v>302</v>
      </c>
      <c r="O8" s="167" t="s">
        <v>303</v>
      </c>
      <c r="P8" s="166" t="s">
        <v>300</v>
      </c>
      <c r="Q8" s="58" t="s">
        <v>301</v>
      </c>
      <c r="R8" s="58" t="s">
        <v>302</v>
      </c>
      <c r="S8" s="167" t="s">
        <v>303</v>
      </c>
      <c r="T8" s="166" t="s">
        <v>300</v>
      </c>
      <c r="U8" s="58" t="s">
        <v>301</v>
      </c>
      <c r="V8" s="58" t="s">
        <v>302</v>
      </c>
      <c r="W8" s="167" t="s">
        <v>303</v>
      </c>
      <c r="X8" s="166" t="s">
        <v>300</v>
      </c>
      <c r="Y8" s="58" t="s">
        <v>301</v>
      </c>
      <c r="Z8" s="58" t="s">
        <v>302</v>
      </c>
      <c r="AA8" s="167" t="s">
        <v>303</v>
      </c>
    </row>
    <row r="9" spans="1:31" s="175" customFormat="1" ht="11.25" customHeight="1">
      <c r="A9" s="172"/>
      <c r="B9" s="173"/>
      <c r="C9" s="174"/>
      <c r="D9" s="176"/>
      <c r="E9" s="357" t="s">
        <v>312</v>
      </c>
      <c r="F9" s="432" t="s">
        <v>313</v>
      </c>
      <c r="G9" s="433"/>
      <c r="H9" s="196">
        <f t="shared" ref="H9:AA9" si="0">SUM(H10:H19)</f>
        <v>0</v>
      </c>
      <c r="I9" s="197">
        <f t="shared" si="0"/>
        <v>0</v>
      </c>
      <c r="J9" s="197">
        <f t="shared" si="0"/>
        <v>107.04999999999998</v>
      </c>
      <c r="K9" s="198">
        <f t="shared" si="0"/>
        <v>0</v>
      </c>
      <c r="L9" s="196">
        <f t="shared" si="0"/>
        <v>0</v>
      </c>
      <c r="M9" s="197">
        <f t="shared" si="0"/>
        <v>0</v>
      </c>
      <c r="N9" s="197">
        <f t="shared" si="0"/>
        <v>101.19999999999999</v>
      </c>
      <c r="O9" s="198">
        <f t="shared" si="0"/>
        <v>0</v>
      </c>
      <c r="P9" s="196">
        <f t="shared" si="0"/>
        <v>0</v>
      </c>
      <c r="Q9" s="197">
        <f t="shared" si="0"/>
        <v>0</v>
      </c>
      <c r="R9" s="197">
        <f t="shared" si="0"/>
        <v>101.19999999999999</v>
      </c>
      <c r="S9" s="198">
        <f t="shared" si="0"/>
        <v>0</v>
      </c>
      <c r="T9" s="197">
        <f t="shared" si="0"/>
        <v>0</v>
      </c>
      <c r="U9" s="197">
        <f t="shared" si="0"/>
        <v>0</v>
      </c>
      <c r="V9" s="197">
        <f t="shared" si="0"/>
        <v>0</v>
      </c>
      <c r="W9" s="198">
        <f t="shared" si="0"/>
        <v>0</v>
      </c>
      <c r="X9" s="197">
        <f t="shared" si="0"/>
        <v>0</v>
      </c>
      <c r="Y9" s="197">
        <f t="shared" si="0"/>
        <v>0</v>
      </c>
      <c r="Z9" s="197">
        <f t="shared" si="0"/>
        <v>0</v>
      </c>
      <c r="AA9" s="198">
        <f t="shared" si="0"/>
        <v>0</v>
      </c>
    </row>
    <row r="10" spans="1:31" s="175" customFormat="1" ht="11.25" customHeight="1">
      <c r="B10" s="187"/>
      <c r="C10" s="188"/>
      <c r="D10" s="189"/>
      <c r="E10" s="191"/>
      <c r="F10" s="434"/>
      <c r="G10" s="435"/>
      <c r="H10" s="199"/>
      <c r="I10" s="200"/>
      <c r="J10" s="200"/>
      <c r="K10" s="201"/>
      <c r="L10" s="199"/>
      <c r="M10" s="200"/>
      <c r="N10" s="200"/>
      <c r="O10" s="201"/>
      <c r="P10" s="199"/>
      <c r="Q10" s="200"/>
      <c r="R10" s="200"/>
      <c r="S10" s="201"/>
      <c r="T10" s="199"/>
      <c r="U10" s="200"/>
      <c r="V10" s="200"/>
      <c r="W10" s="201"/>
      <c r="X10" s="199"/>
      <c r="Y10" s="200"/>
      <c r="Z10" s="200"/>
      <c r="AA10" s="201"/>
    </row>
    <row r="11" spans="1:31" s="175" customFormat="1" ht="11.25" customHeight="1">
      <c r="B11" s="187" t="s">
        <v>2986</v>
      </c>
      <c r="C11" s="188" t="s">
        <v>3033</v>
      </c>
      <c r="D11" s="189">
        <v>54</v>
      </c>
      <c r="E11" s="191">
        <v>0.1</v>
      </c>
      <c r="F11" s="434"/>
      <c r="G11" s="435"/>
      <c r="H11" s="199"/>
      <c r="I11" s="200"/>
      <c r="J11" s="200">
        <f>D11*E11</f>
        <v>5.4</v>
      </c>
      <c r="K11" s="201"/>
      <c r="L11" s="199"/>
      <c r="M11" s="200"/>
      <c r="N11" s="200"/>
      <c r="O11" s="201"/>
      <c r="P11" s="199"/>
      <c r="Q11" s="200"/>
      <c r="R11" s="200"/>
      <c r="S11" s="201"/>
      <c r="T11" s="199"/>
      <c r="U11" s="200"/>
      <c r="V11" s="200"/>
      <c r="W11" s="201"/>
      <c r="X11" s="199"/>
      <c r="Y11" s="200"/>
      <c r="Z11" s="200"/>
      <c r="AA11" s="201"/>
    </row>
    <row r="12" spans="1:31" s="175" customFormat="1" ht="11.25" customHeight="1">
      <c r="B12" s="187" t="s">
        <v>3028</v>
      </c>
      <c r="C12" s="188" t="s">
        <v>3038</v>
      </c>
      <c r="D12" s="189">
        <v>0.9</v>
      </c>
      <c r="E12" s="191">
        <v>0.5</v>
      </c>
      <c r="F12" s="434"/>
      <c r="G12" s="435"/>
      <c r="H12" s="199"/>
      <c r="I12" s="200"/>
      <c r="J12" s="200">
        <f>D12*E12</f>
        <v>0.45</v>
      </c>
      <c r="K12" s="201"/>
      <c r="L12" s="199"/>
      <c r="M12" s="200"/>
      <c r="N12" s="200"/>
      <c r="O12" s="201"/>
      <c r="P12" s="199"/>
      <c r="Q12" s="200"/>
      <c r="R12" s="200"/>
      <c r="S12" s="201"/>
      <c r="T12" s="199"/>
      <c r="U12" s="200"/>
      <c r="V12" s="200"/>
      <c r="W12" s="201"/>
      <c r="X12" s="199"/>
      <c r="Y12" s="200"/>
      <c r="Z12" s="200"/>
      <c r="AA12" s="201"/>
    </row>
    <row r="13" spans="1:31" s="175" customFormat="1" ht="11.25" customHeight="1">
      <c r="B13" s="187" t="s">
        <v>2989</v>
      </c>
      <c r="C13" s="188" t="s">
        <v>2990</v>
      </c>
      <c r="D13" s="189">
        <v>93.6</v>
      </c>
      <c r="E13" s="191">
        <v>1</v>
      </c>
      <c r="F13" s="434"/>
      <c r="G13" s="435"/>
      <c r="H13" s="199"/>
      <c r="I13" s="200"/>
      <c r="J13" s="200">
        <f>D13*E13</f>
        <v>93.6</v>
      </c>
      <c r="K13" s="201"/>
      <c r="L13" s="199"/>
      <c r="M13" s="200"/>
      <c r="N13" s="200"/>
      <c r="O13" s="201"/>
      <c r="P13" s="199"/>
      <c r="Q13" s="200"/>
      <c r="R13" s="200"/>
      <c r="S13" s="201"/>
      <c r="T13" s="199"/>
      <c r="U13" s="200"/>
      <c r="V13" s="200"/>
      <c r="W13" s="201"/>
      <c r="X13" s="199"/>
      <c r="Y13" s="200"/>
      <c r="Z13" s="200"/>
      <c r="AA13" s="201"/>
    </row>
    <row r="14" spans="1:31" s="175" customFormat="1" ht="11.25" customHeight="1">
      <c r="B14" s="187" t="s">
        <v>2991</v>
      </c>
      <c r="C14" s="188" t="s">
        <v>2993</v>
      </c>
      <c r="D14" s="189">
        <v>1.9</v>
      </c>
      <c r="E14" s="191">
        <v>4</v>
      </c>
      <c r="F14" s="434"/>
      <c r="G14" s="435"/>
      <c r="H14" s="199"/>
      <c r="I14" s="200"/>
      <c r="J14" s="200">
        <f>D14*E14</f>
        <v>7.6</v>
      </c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 s="175" customFormat="1" ht="11.25" customHeight="1">
      <c r="B15" s="187" t="s">
        <v>2996</v>
      </c>
      <c r="C15" s="188" t="s">
        <v>2997</v>
      </c>
      <c r="D15" s="189">
        <v>93.6</v>
      </c>
      <c r="E15" s="191">
        <v>1</v>
      </c>
      <c r="F15" s="434">
        <v>0</v>
      </c>
      <c r="G15" s="435">
        <v>0</v>
      </c>
      <c r="H15" s="199"/>
      <c r="I15" s="200"/>
      <c r="J15" s="200"/>
      <c r="K15" s="201"/>
      <c r="L15" s="199"/>
      <c r="M15" s="200"/>
      <c r="N15" s="200">
        <f>D15*(E15+F15+G15)</f>
        <v>93.6</v>
      </c>
      <c r="O15" s="201"/>
      <c r="P15" s="199"/>
      <c r="Q15" s="200"/>
      <c r="R15" s="200">
        <f>D15*E15</f>
        <v>93.6</v>
      </c>
      <c r="S15" s="201"/>
      <c r="T15" s="199"/>
      <c r="U15" s="200"/>
      <c r="V15" s="200">
        <f>D15*F15</f>
        <v>0</v>
      </c>
      <c r="W15" s="201"/>
      <c r="X15" s="199"/>
      <c r="Y15" s="200"/>
      <c r="Z15" s="200">
        <f>D15*G15</f>
        <v>0</v>
      </c>
      <c r="AA15" s="201"/>
    </row>
    <row r="16" spans="1:31" s="175" customFormat="1" ht="11.25" customHeight="1">
      <c r="B16" s="187" t="s">
        <v>2996</v>
      </c>
      <c r="C16" s="188" t="s">
        <v>2998</v>
      </c>
      <c r="D16" s="189">
        <v>1.9</v>
      </c>
      <c r="E16" s="191">
        <v>4</v>
      </c>
      <c r="F16" s="434">
        <v>0</v>
      </c>
      <c r="G16" s="435">
        <v>0</v>
      </c>
      <c r="H16" s="199"/>
      <c r="I16" s="200"/>
      <c r="J16" s="200"/>
      <c r="K16" s="201"/>
      <c r="L16" s="199"/>
      <c r="M16" s="200"/>
      <c r="N16" s="200">
        <f>D16*(E16+F16+G16)</f>
        <v>7.6</v>
      </c>
      <c r="O16" s="201"/>
      <c r="P16" s="199"/>
      <c r="Q16" s="200"/>
      <c r="R16" s="200">
        <f>D16*E16</f>
        <v>7.6</v>
      </c>
      <c r="S16" s="201"/>
      <c r="T16" s="199"/>
      <c r="U16" s="200"/>
      <c r="V16" s="200">
        <f>D16*F16</f>
        <v>0</v>
      </c>
      <c r="W16" s="201"/>
      <c r="X16" s="199"/>
      <c r="Y16" s="200"/>
      <c r="Z16" s="200">
        <f>D16*G16</f>
        <v>0</v>
      </c>
      <c r="AA16" s="201"/>
    </row>
    <row r="17" spans="1:27" s="175" customFormat="1" ht="11.25" customHeight="1">
      <c r="B17" s="187"/>
      <c r="C17" s="188"/>
      <c r="D17" s="189"/>
      <c r="E17" s="191"/>
      <c r="F17" s="434"/>
      <c r="G17" s="435"/>
      <c r="H17" s="199"/>
      <c r="I17" s="200"/>
      <c r="J17" s="200"/>
      <c r="K17" s="201"/>
      <c r="L17" s="199"/>
      <c r="M17" s="200"/>
      <c r="N17" s="200"/>
      <c r="O17" s="201"/>
      <c r="P17" s="199"/>
      <c r="Q17" s="200"/>
      <c r="R17" s="200"/>
      <c r="S17" s="201"/>
      <c r="T17" s="199"/>
      <c r="U17" s="200"/>
      <c r="V17" s="200"/>
      <c r="W17" s="201"/>
      <c r="X17" s="199"/>
      <c r="Y17" s="200"/>
      <c r="Z17" s="200"/>
      <c r="AA17" s="201"/>
    </row>
    <row r="18" spans="1:27" s="175" customFormat="1" ht="11.25" customHeight="1">
      <c r="A18" s="162" t="s">
        <v>314</v>
      </c>
      <c r="B18" s="181"/>
      <c r="C18" s="182"/>
      <c r="D18" s="183"/>
      <c r="E18" s="192"/>
      <c r="F18" s="436"/>
      <c r="G18" s="437"/>
      <c r="H18" s="202">
        <f>D18*E18</f>
        <v>0</v>
      </c>
      <c r="I18" s="203"/>
      <c r="J18" s="203"/>
      <c r="K18" s="204"/>
      <c r="L18" s="202"/>
      <c r="M18" s="203"/>
      <c r="N18" s="203"/>
      <c r="O18" s="204"/>
      <c r="P18" s="202"/>
      <c r="Q18" s="203"/>
      <c r="R18" s="203"/>
      <c r="S18" s="204"/>
      <c r="T18" s="202"/>
      <c r="U18" s="203"/>
      <c r="V18" s="203"/>
      <c r="W18" s="204"/>
      <c r="X18" s="202"/>
      <c r="Y18" s="203"/>
      <c r="Z18" s="203"/>
      <c r="AA18" s="204"/>
    </row>
    <row r="19" spans="1:27">
      <c r="A19" s="81"/>
      <c r="B19" s="179"/>
      <c r="C19" s="180"/>
      <c r="D19" s="186"/>
      <c r="E19" s="193"/>
      <c r="F19" s="438"/>
      <c r="G19" s="439"/>
      <c r="H19" s="205"/>
      <c r="I19" s="206"/>
      <c r="J19" s="206"/>
      <c r="K19" s="207"/>
      <c r="L19" s="205"/>
      <c r="M19" s="206"/>
      <c r="N19" s="206"/>
      <c r="O19" s="207"/>
      <c r="P19" s="205"/>
      <c r="Q19" s="206"/>
      <c r="R19" s="206"/>
      <c r="S19" s="207"/>
      <c r="T19" s="205"/>
      <c r="U19" s="206"/>
      <c r="V19" s="206"/>
      <c r="W19" s="207"/>
      <c r="X19" s="205"/>
      <c r="Y19" s="206"/>
      <c r="Z19" s="206"/>
      <c r="AA19" s="207"/>
    </row>
    <row r="20" spans="1:27" ht="13.5">
      <c r="B20" s="178" t="s">
        <v>142</v>
      </c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27" ht="15" customHeight="1">
      <c r="B21" s="169" t="s">
        <v>140</v>
      </c>
      <c r="C21" s="170"/>
      <c r="D21" s="171"/>
      <c r="E21" s="2621" t="s">
        <v>129</v>
      </c>
      <c r="F21" s="2622"/>
      <c r="G21" s="2622"/>
      <c r="H21" s="2622"/>
      <c r="I21" s="2622"/>
      <c r="J21" s="2622"/>
      <c r="K21" s="2622"/>
      <c r="L21" s="2622"/>
      <c r="M21" s="2622"/>
      <c r="N21" s="2622"/>
      <c r="O21" s="2622"/>
      <c r="P21" s="2622"/>
      <c r="Q21" s="2622"/>
      <c r="R21" s="2623"/>
      <c r="S21" s="2624"/>
      <c r="T21" s="2618" t="s">
        <v>315</v>
      </c>
      <c r="U21" s="2625"/>
      <c r="V21" s="2625"/>
      <c r="W21" s="2626"/>
    </row>
    <row r="22" spans="1:27" ht="13.5" customHeight="1">
      <c r="B22" s="232"/>
      <c r="C22" s="233"/>
      <c r="D22" s="234"/>
      <c r="E22" s="276" t="s">
        <v>275</v>
      </c>
      <c r="F22" s="277" t="s">
        <v>317</v>
      </c>
      <c r="G22" s="277" t="s">
        <v>217</v>
      </c>
      <c r="H22" s="277" t="s">
        <v>217</v>
      </c>
      <c r="I22" s="277" t="s">
        <v>276</v>
      </c>
      <c r="J22" s="278" t="s">
        <v>319</v>
      </c>
      <c r="K22" s="280" t="s">
        <v>227</v>
      </c>
      <c r="L22" s="277" t="s">
        <v>125</v>
      </c>
      <c r="M22" s="277" t="s">
        <v>228</v>
      </c>
      <c r="N22" s="277" t="s">
        <v>320</v>
      </c>
      <c r="O22" s="281" t="s">
        <v>229</v>
      </c>
      <c r="P22" s="282" t="s">
        <v>231</v>
      </c>
      <c r="Q22" s="440" t="s">
        <v>124</v>
      </c>
      <c r="R22" s="441" t="s">
        <v>220</v>
      </c>
      <c r="S22" s="442" t="s">
        <v>221</v>
      </c>
      <c r="T22" s="443" t="s">
        <v>130</v>
      </c>
      <c r="U22" s="277" t="s">
        <v>133</v>
      </c>
      <c r="V22" s="441" t="s">
        <v>321</v>
      </c>
      <c r="W22" s="442" t="s">
        <v>132</v>
      </c>
    </row>
    <row r="23" spans="1:27" ht="12.75" customHeight="1">
      <c r="B23" s="168" t="s">
        <v>67</v>
      </c>
      <c r="C23" s="149" t="s">
        <v>68</v>
      </c>
      <c r="D23" s="164" t="s">
        <v>21</v>
      </c>
      <c r="E23" s="358"/>
      <c r="F23" s="279"/>
      <c r="G23" s="279" t="s">
        <v>224</v>
      </c>
      <c r="H23" s="279" t="s">
        <v>225</v>
      </c>
      <c r="I23" s="279"/>
      <c r="J23" s="279" t="s">
        <v>226</v>
      </c>
      <c r="K23" s="279" t="s">
        <v>322</v>
      </c>
      <c r="L23" s="279"/>
      <c r="M23" s="279" t="s">
        <v>283</v>
      </c>
      <c r="N23" s="279" t="s">
        <v>284</v>
      </c>
      <c r="O23" s="279" t="s">
        <v>230</v>
      </c>
      <c r="P23" s="279" t="s">
        <v>232</v>
      </c>
      <c r="Q23" s="444" t="s">
        <v>285</v>
      </c>
      <c r="R23" s="234" t="s">
        <v>323</v>
      </c>
      <c r="S23" s="445" t="s">
        <v>323</v>
      </c>
      <c r="T23" s="446"/>
      <c r="U23" s="233"/>
      <c r="V23" s="447"/>
      <c r="W23" s="445"/>
    </row>
    <row r="24" spans="1:27" s="175" customFormat="1">
      <c r="A24" s="172"/>
      <c r="B24" s="173"/>
      <c r="C24" s="174"/>
      <c r="D24" s="176"/>
      <c r="E24" s="196">
        <f t="shared" ref="E24:W24" si="1">SUM(E25:E34)</f>
        <v>0</v>
      </c>
      <c r="F24" s="197">
        <f t="shared" si="1"/>
        <v>0</v>
      </c>
      <c r="G24" s="197">
        <f t="shared" si="1"/>
        <v>0</v>
      </c>
      <c r="H24" s="197">
        <f t="shared" si="1"/>
        <v>0</v>
      </c>
      <c r="I24" s="197">
        <f t="shared" si="1"/>
        <v>7.6</v>
      </c>
      <c r="J24" s="197">
        <f t="shared" si="1"/>
        <v>0</v>
      </c>
      <c r="K24" s="197">
        <f t="shared" si="1"/>
        <v>93.6</v>
      </c>
      <c r="L24" s="197">
        <f t="shared" si="1"/>
        <v>0</v>
      </c>
      <c r="M24" s="197">
        <f t="shared" si="1"/>
        <v>0</v>
      </c>
      <c r="N24" s="197">
        <f t="shared" si="1"/>
        <v>0</v>
      </c>
      <c r="O24" s="285">
        <f t="shared" si="1"/>
        <v>0</v>
      </c>
      <c r="P24" s="197">
        <f t="shared" si="1"/>
        <v>0</v>
      </c>
      <c r="Q24" s="448">
        <f t="shared" si="1"/>
        <v>0</v>
      </c>
      <c r="R24" s="197">
        <f t="shared" si="1"/>
        <v>0</v>
      </c>
      <c r="S24" s="198">
        <f t="shared" si="1"/>
        <v>0</v>
      </c>
      <c r="T24" s="449">
        <f t="shared" si="1"/>
        <v>0</v>
      </c>
      <c r="U24" s="197">
        <f t="shared" si="1"/>
        <v>0</v>
      </c>
      <c r="V24" s="448">
        <f t="shared" si="1"/>
        <v>0</v>
      </c>
      <c r="W24" s="198">
        <f t="shared" si="1"/>
        <v>0</v>
      </c>
    </row>
    <row r="25" spans="1:27" s="175" customFormat="1" ht="11.25" customHeight="1">
      <c r="B25" s="181"/>
      <c r="C25" s="182"/>
      <c r="D25" s="183"/>
      <c r="E25" s="202"/>
      <c r="F25" s="203"/>
      <c r="G25" s="203"/>
      <c r="H25" s="203"/>
      <c r="I25" s="203"/>
      <c r="J25" s="203"/>
      <c r="K25" s="203"/>
      <c r="L25" s="203"/>
      <c r="M25" s="203"/>
      <c r="N25" s="203"/>
      <c r="O25" s="283"/>
      <c r="P25" s="203"/>
      <c r="Q25" s="450"/>
      <c r="R25" s="203"/>
      <c r="S25" s="204"/>
      <c r="T25" s="451"/>
      <c r="U25" s="203"/>
      <c r="V25" s="450"/>
      <c r="W25" s="452"/>
    </row>
    <row r="26" spans="1:27" s="175" customFormat="1" ht="11.25" customHeight="1">
      <c r="B26" s="181" t="s">
        <v>2996</v>
      </c>
      <c r="C26" s="182" t="s">
        <v>2997</v>
      </c>
      <c r="D26" s="183">
        <v>93.6</v>
      </c>
      <c r="E26" s="202"/>
      <c r="F26" s="203"/>
      <c r="G26" s="203"/>
      <c r="H26" s="203"/>
      <c r="I26" s="203"/>
      <c r="J26" s="203"/>
      <c r="K26" s="203">
        <f>D26*1</f>
        <v>93.6</v>
      </c>
      <c r="L26" s="203"/>
      <c r="M26" s="203"/>
      <c r="N26" s="203"/>
      <c r="O26" s="283"/>
      <c r="P26" s="203"/>
      <c r="Q26" s="450"/>
      <c r="R26" s="203"/>
      <c r="S26" s="204"/>
      <c r="T26" s="451"/>
      <c r="U26" s="203"/>
      <c r="V26" s="450"/>
      <c r="W26" s="452"/>
    </row>
    <row r="27" spans="1:27" s="175" customFormat="1" ht="11.25" customHeight="1">
      <c r="B27" s="181" t="s">
        <v>2996</v>
      </c>
      <c r="C27" s="182" t="s">
        <v>2998</v>
      </c>
      <c r="D27" s="183">
        <v>1.9</v>
      </c>
      <c r="E27" s="202"/>
      <c r="F27" s="203"/>
      <c r="G27" s="203"/>
      <c r="H27" s="203"/>
      <c r="I27" s="203">
        <f>D27*4</f>
        <v>7.6</v>
      </c>
      <c r="J27" s="203"/>
      <c r="K27" s="203"/>
      <c r="L27" s="203"/>
      <c r="M27" s="203"/>
      <c r="N27" s="203"/>
      <c r="O27" s="283"/>
      <c r="P27" s="203"/>
      <c r="Q27" s="450"/>
      <c r="R27" s="203"/>
      <c r="S27" s="204"/>
      <c r="T27" s="451"/>
      <c r="U27" s="203"/>
      <c r="V27" s="450"/>
      <c r="W27" s="452"/>
    </row>
    <row r="28" spans="1:27" s="175" customFormat="1" ht="11.25" customHeight="1">
      <c r="B28" s="181"/>
      <c r="C28" s="182"/>
      <c r="D28" s="183"/>
      <c r="E28" s="202"/>
      <c r="F28" s="203"/>
      <c r="G28" s="203"/>
      <c r="H28" s="203"/>
      <c r="I28" s="203"/>
      <c r="J28" s="203"/>
      <c r="K28" s="203"/>
      <c r="L28" s="203"/>
      <c r="M28" s="203"/>
      <c r="N28" s="203"/>
      <c r="O28" s="283"/>
      <c r="P28" s="203"/>
      <c r="Q28" s="450"/>
      <c r="R28" s="203"/>
      <c r="S28" s="204"/>
      <c r="T28" s="451"/>
      <c r="U28" s="203"/>
      <c r="V28" s="450"/>
      <c r="W28" s="452"/>
    </row>
    <row r="29" spans="1:27" s="175" customFormat="1" ht="11.25" customHeight="1">
      <c r="A29" s="162" t="s">
        <v>286</v>
      </c>
      <c r="B29" s="181"/>
      <c r="C29" s="182"/>
      <c r="D29" s="183"/>
      <c r="E29" s="202"/>
      <c r="F29" s="203"/>
      <c r="G29" s="203"/>
      <c r="H29" s="203"/>
      <c r="I29" s="203"/>
      <c r="J29" s="203"/>
      <c r="K29" s="203"/>
      <c r="L29" s="203"/>
      <c r="M29" s="203"/>
      <c r="N29" s="203"/>
      <c r="O29" s="283"/>
      <c r="P29" s="203"/>
      <c r="Q29" s="450"/>
      <c r="R29" s="203"/>
      <c r="S29" s="204"/>
      <c r="T29" s="451"/>
      <c r="U29" s="203">
        <f>$D29*O29</f>
        <v>0</v>
      </c>
      <c r="V29" s="450">
        <f>$D29*P29</f>
        <v>0</v>
      </c>
      <c r="W29" s="453"/>
    </row>
    <row r="30" spans="1:27">
      <c r="A30" s="81"/>
      <c r="B30" s="179"/>
      <c r="C30" s="180"/>
      <c r="D30" s="186"/>
      <c r="E30" s="205"/>
      <c r="F30" s="206"/>
      <c r="G30" s="206"/>
      <c r="H30" s="284"/>
      <c r="I30" s="284"/>
      <c r="J30" s="284"/>
      <c r="K30" s="284"/>
      <c r="L30" s="284"/>
      <c r="M30" s="284"/>
      <c r="N30" s="284"/>
      <c r="O30" s="284"/>
      <c r="P30" s="284"/>
      <c r="Q30" s="454"/>
      <c r="R30" s="206"/>
      <c r="S30" s="207"/>
      <c r="T30" s="455"/>
      <c r="U30" s="206">
        <f>$D30*O30</f>
        <v>0</v>
      </c>
      <c r="V30" s="456">
        <f>$D30*P30</f>
        <v>0</v>
      </c>
      <c r="W30" s="457"/>
    </row>
    <row r="31" spans="1:27">
      <c r="E31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21:S21"/>
    <mergeCell ref="T21:W21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I140"/>
  <sheetViews>
    <sheetView zoomScale="75" zoomScaleNormal="75" workbookViewId="0">
      <selection activeCell="G23" sqref="G23"/>
    </sheetView>
  </sheetViews>
  <sheetFormatPr defaultColWidth="6.625" defaultRowHeight="26.1" customHeight="1"/>
  <cols>
    <col min="1" max="2" width="2.625" style="6" customWidth="1"/>
    <col min="3" max="3" width="8.625" style="1" customWidth="1"/>
    <col min="4" max="4" width="28.625" style="1" customWidth="1"/>
    <col min="5" max="5" width="25" style="2" customWidth="1"/>
    <col min="6" max="6" width="10.625" style="1" customWidth="1"/>
    <col min="7" max="7" width="7.625" style="3" customWidth="1"/>
    <col min="8" max="8" width="11.625" style="4" customWidth="1"/>
    <col min="9" max="9" width="15.625" style="4" customWidth="1"/>
    <col min="10" max="12" width="9.625" style="1" customWidth="1"/>
    <col min="13" max="13" width="5.625" style="1" customWidth="1"/>
    <col min="14" max="14" width="19.75" style="1" customWidth="1"/>
    <col min="15" max="16" width="5.25" style="39" customWidth="1"/>
    <col min="17" max="33" width="5.25" style="1" customWidth="1"/>
    <col min="34" max="16384" width="6.625" style="1"/>
  </cols>
  <sheetData>
    <row r="2" spans="1:33" ht="26.1" customHeight="1">
      <c r="C2" s="37" t="s">
        <v>3051</v>
      </c>
      <c r="E2" s="36" t="s">
        <v>50</v>
      </c>
      <c r="F2" s="39">
        <f>工事1!J2</f>
        <v>9</v>
      </c>
      <c r="G2" s="1" t="s">
        <v>198</v>
      </c>
      <c r="H2" s="4">
        <f>表紙!H25</f>
        <v>15</v>
      </c>
      <c r="I2" s="4" t="s">
        <v>56</v>
      </c>
      <c r="J2" s="39">
        <f>VLOOKUP("EOL",$M$25:$N$65605,2,FALSE)</f>
        <v>15</v>
      </c>
    </row>
    <row r="3" spans="1:33" ht="26.1" customHeight="1" thickBot="1">
      <c r="C3" s="2615" t="s">
        <v>332</v>
      </c>
      <c r="D3" s="2615"/>
      <c r="E3" s="2615"/>
      <c r="F3" s="2615"/>
      <c r="G3" s="2615"/>
      <c r="H3" s="2615"/>
      <c r="I3" s="2615"/>
      <c r="J3" s="2615"/>
      <c r="K3" s="2615"/>
      <c r="L3" s="2615"/>
      <c r="O3" s="2642" t="s">
        <v>134</v>
      </c>
      <c r="P3" s="2643"/>
      <c r="Q3" s="2643"/>
      <c r="R3" s="2643"/>
      <c r="S3" s="2643"/>
      <c r="T3" s="2643"/>
      <c r="U3" s="2643"/>
      <c r="V3" s="2643"/>
      <c r="W3" s="2643"/>
      <c r="X3" s="2643"/>
      <c r="Y3" s="2643"/>
      <c r="Z3" s="2643"/>
      <c r="AA3" s="2643"/>
      <c r="AB3" s="2643"/>
      <c r="AC3" s="2643"/>
      <c r="AD3" s="2643"/>
      <c r="AE3" s="2643"/>
      <c r="AF3" s="2643"/>
      <c r="AG3" s="2644"/>
    </row>
    <row r="4" spans="1:33" ht="42" customHeight="1">
      <c r="A4" s="5" t="s">
        <v>10</v>
      </c>
      <c r="B4" s="5" t="s">
        <v>9</v>
      </c>
      <c r="C4" s="113" t="s">
        <v>0</v>
      </c>
      <c r="D4" s="109"/>
      <c r="E4" s="110" t="s">
        <v>1</v>
      </c>
      <c r="F4" s="111" t="s">
        <v>2</v>
      </c>
      <c r="G4" s="111" t="s">
        <v>3</v>
      </c>
      <c r="H4" s="112" t="s">
        <v>4</v>
      </c>
      <c r="I4" s="112" t="s">
        <v>5</v>
      </c>
      <c r="J4" s="2612" t="s">
        <v>6</v>
      </c>
      <c r="K4" s="2613"/>
      <c r="L4" s="2614"/>
      <c r="O4" s="157" t="s">
        <v>67</v>
      </c>
      <c r="P4" s="385" t="s">
        <v>275</v>
      </c>
      <c r="Q4" s="156" t="s">
        <v>216</v>
      </c>
      <c r="R4" s="275" t="s">
        <v>218</v>
      </c>
      <c r="S4" s="275" t="s">
        <v>219</v>
      </c>
      <c r="T4" s="275" t="s">
        <v>276</v>
      </c>
      <c r="U4" s="275" t="s">
        <v>128</v>
      </c>
      <c r="V4" s="156" t="s">
        <v>127</v>
      </c>
      <c r="W4" s="275" t="s">
        <v>277</v>
      </c>
      <c r="X4" s="223" t="s">
        <v>220</v>
      </c>
      <c r="Y4" s="223" t="s">
        <v>221</v>
      </c>
      <c r="Z4" s="223" t="s">
        <v>222</v>
      </c>
      <c r="AA4" s="223" t="s">
        <v>223</v>
      </c>
      <c r="AB4" s="161" t="s">
        <v>278</v>
      </c>
      <c r="AC4" s="158" t="s">
        <v>130</v>
      </c>
      <c r="AD4" s="155" t="s">
        <v>133</v>
      </c>
      <c r="AE4" s="155" t="s">
        <v>131</v>
      </c>
      <c r="AF4" s="155" t="s">
        <v>132</v>
      </c>
      <c r="AG4" s="155"/>
    </row>
    <row r="5" spans="1:33" ht="24" customHeight="1">
      <c r="A5" s="7"/>
      <c r="B5" s="7"/>
      <c r="C5" s="114" t="str">
        <f>+C2</f>
        <v>天井改良工事</v>
      </c>
      <c r="D5" s="115"/>
      <c r="E5" s="100"/>
      <c r="F5" s="291"/>
      <c r="G5" s="116"/>
      <c r="H5" s="83" t="s">
        <v>11</v>
      </c>
      <c r="I5" s="83" t="s">
        <v>11</v>
      </c>
      <c r="J5" s="2609"/>
      <c r="K5" s="2610"/>
      <c r="L5" s="2611"/>
      <c r="O5" s="226"/>
      <c r="P5" s="227"/>
      <c r="Q5" s="228"/>
      <c r="R5" s="228"/>
      <c r="S5" s="228"/>
      <c r="T5" s="228"/>
      <c r="U5" s="228"/>
      <c r="V5" s="228"/>
      <c r="W5" s="228"/>
      <c r="X5" s="229"/>
      <c r="Y5" s="229"/>
      <c r="Z5" s="229"/>
      <c r="AA5" s="229"/>
      <c r="AB5" s="231"/>
      <c r="AC5" s="230"/>
      <c r="AD5" s="228"/>
      <c r="AE5" s="228"/>
      <c r="AF5" s="228"/>
      <c r="AG5" s="228"/>
    </row>
    <row r="6" spans="1:33" s="39" customFormat="1" ht="24" customHeight="1">
      <c r="A6" s="38"/>
      <c r="B6" s="38"/>
      <c r="C6" s="194" t="s">
        <v>146</v>
      </c>
      <c r="D6" s="65"/>
      <c r="E6" s="102"/>
      <c r="F6" s="273"/>
      <c r="G6" s="118"/>
      <c r="H6" s="104"/>
      <c r="I6" s="104"/>
      <c r="J6" s="65"/>
      <c r="K6" s="65"/>
      <c r="L6" s="66"/>
      <c r="O6" s="226"/>
      <c r="P6" s="227"/>
      <c r="Q6" s="228"/>
      <c r="R6" s="228"/>
      <c r="S6" s="228"/>
      <c r="T6" s="228"/>
      <c r="U6" s="228"/>
      <c r="V6" s="228"/>
      <c r="W6" s="228"/>
      <c r="X6" s="229"/>
      <c r="Y6" s="229"/>
      <c r="Z6" s="229"/>
      <c r="AA6" s="229"/>
      <c r="AB6" s="231"/>
      <c r="AC6" s="230"/>
      <c r="AD6" s="228"/>
      <c r="AE6" s="228"/>
      <c r="AF6" s="228"/>
      <c r="AG6" s="228"/>
    </row>
    <row r="7" spans="1:33" s="39" customFormat="1" ht="24" customHeight="1">
      <c r="A7" s="38"/>
      <c r="B7" s="38"/>
      <c r="C7" s="105"/>
      <c r="D7" s="65" t="s">
        <v>3053</v>
      </c>
      <c r="E7" s="102"/>
      <c r="F7" s="273">
        <v>1</v>
      </c>
      <c r="G7" s="118" t="s">
        <v>7</v>
      </c>
      <c r="H7" s="104"/>
      <c r="I7" s="104">
        <f>I70</f>
        <v>175</v>
      </c>
      <c r="J7" s="65"/>
      <c r="K7" s="65"/>
      <c r="L7" s="66"/>
      <c r="O7" s="226"/>
      <c r="P7" s="227"/>
      <c r="Q7" s="228"/>
      <c r="R7" s="228"/>
      <c r="S7" s="228"/>
      <c r="T7" s="228"/>
      <c r="U7" s="228"/>
      <c r="V7" s="228"/>
      <c r="W7" s="228"/>
      <c r="X7" s="229"/>
      <c r="Y7" s="229"/>
      <c r="Z7" s="229"/>
      <c r="AA7" s="229"/>
      <c r="AB7" s="231"/>
      <c r="AC7" s="230"/>
      <c r="AD7" s="228"/>
      <c r="AE7" s="228"/>
      <c r="AF7" s="228"/>
      <c r="AG7" s="228"/>
    </row>
    <row r="8" spans="1:33" s="39" customFormat="1" ht="24" customHeight="1">
      <c r="A8" s="38"/>
      <c r="B8" s="38"/>
      <c r="C8" s="105"/>
      <c r="D8" s="65" t="s">
        <v>2987</v>
      </c>
      <c r="E8" s="102"/>
      <c r="F8" s="273">
        <v>1</v>
      </c>
      <c r="G8" s="118" t="s">
        <v>7</v>
      </c>
      <c r="H8" s="104"/>
      <c r="I8" s="104">
        <f>I93</f>
        <v>49030</v>
      </c>
      <c r="J8" s="65"/>
      <c r="K8" s="65"/>
      <c r="L8" s="66"/>
      <c r="O8" s="226"/>
      <c r="P8" s="227"/>
      <c r="Q8" s="228"/>
      <c r="R8" s="228"/>
      <c r="S8" s="228"/>
      <c r="T8" s="228"/>
      <c r="U8" s="228"/>
      <c r="V8" s="228"/>
      <c r="W8" s="228"/>
      <c r="X8" s="229"/>
      <c r="Y8" s="229"/>
      <c r="Z8" s="229"/>
      <c r="AA8" s="229"/>
      <c r="AB8" s="231"/>
      <c r="AC8" s="230"/>
      <c r="AD8" s="228"/>
      <c r="AE8" s="228"/>
      <c r="AF8" s="228"/>
      <c r="AG8" s="228"/>
    </row>
    <row r="9" spans="1:33" s="39" customFormat="1" ht="24" customHeight="1">
      <c r="A9" s="38"/>
      <c r="B9" s="38"/>
      <c r="C9" s="105"/>
      <c r="D9" s="65" t="s">
        <v>3057</v>
      </c>
      <c r="E9" s="102"/>
      <c r="F9" s="273">
        <v>1</v>
      </c>
      <c r="G9" s="118" t="s">
        <v>7</v>
      </c>
      <c r="H9" s="104"/>
      <c r="I9" s="104">
        <f>I116</f>
        <v>25</v>
      </c>
      <c r="J9" s="65"/>
      <c r="K9" s="65"/>
      <c r="L9" s="66"/>
      <c r="O9" s="226"/>
      <c r="P9" s="227"/>
      <c r="Q9" s="228"/>
      <c r="R9" s="228"/>
      <c r="S9" s="228"/>
      <c r="T9" s="228"/>
      <c r="U9" s="228"/>
      <c r="V9" s="228"/>
      <c r="W9" s="228"/>
      <c r="X9" s="229"/>
      <c r="Y9" s="229"/>
      <c r="Z9" s="229"/>
      <c r="AA9" s="229"/>
      <c r="AB9" s="231"/>
      <c r="AC9" s="230"/>
      <c r="AD9" s="228"/>
      <c r="AE9" s="228"/>
      <c r="AF9" s="228"/>
      <c r="AG9" s="228"/>
    </row>
    <row r="10" spans="1:33" s="39" customFormat="1" ht="24" customHeight="1">
      <c r="A10" s="38"/>
      <c r="B10" s="38"/>
      <c r="C10" s="105"/>
      <c r="D10" s="65" t="s">
        <v>2513</v>
      </c>
      <c r="E10" s="102"/>
      <c r="F10" s="273">
        <v>1</v>
      </c>
      <c r="G10" s="118" t="s">
        <v>7</v>
      </c>
      <c r="H10" s="104"/>
      <c r="I10" s="104">
        <f>I139</f>
        <v>2155</v>
      </c>
      <c r="J10" s="65"/>
      <c r="K10" s="65"/>
      <c r="L10" s="66"/>
      <c r="O10" s="226"/>
      <c r="P10" s="227"/>
      <c r="Q10" s="228"/>
      <c r="R10" s="228"/>
      <c r="S10" s="228"/>
      <c r="T10" s="228"/>
      <c r="U10" s="228"/>
      <c r="V10" s="228"/>
      <c r="W10" s="228"/>
      <c r="X10" s="229"/>
      <c r="Y10" s="229"/>
      <c r="Z10" s="229"/>
      <c r="AA10" s="229"/>
      <c r="AB10" s="231"/>
      <c r="AC10" s="230"/>
      <c r="AD10" s="228"/>
      <c r="AE10" s="228"/>
      <c r="AF10" s="228"/>
      <c r="AG10" s="228"/>
    </row>
    <row r="11" spans="1:33" s="39" customFormat="1" ht="24" customHeight="1">
      <c r="A11" s="38"/>
      <c r="B11" s="38"/>
      <c r="C11" s="105"/>
      <c r="D11" s="65"/>
      <c r="E11" s="102"/>
      <c r="F11" s="273"/>
      <c r="G11" s="118"/>
      <c r="H11" s="104"/>
      <c r="I11" s="104"/>
      <c r="J11" s="65"/>
      <c r="K11" s="65"/>
      <c r="L11" s="66"/>
      <c r="O11" s="226"/>
      <c r="P11" s="227"/>
      <c r="Q11" s="228"/>
      <c r="R11" s="228"/>
      <c r="S11" s="228"/>
      <c r="T11" s="228"/>
      <c r="U11" s="228"/>
      <c r="V11" s="228"/>
      <c r="W11" s="228"/>
      <c r="X11" s="229"/>
      <c r="Y11" s="229"/>
      <c r="Z11" s="229"/>
      <c r="AA11" s="229"/>
      <c r="AB11" s="231"/>
      <c r="AC11" s="230"/>
      <c r="AD11" s="228"/>
      <c r="AE11" s="228"/>
      <c r="AF11" s="228"/>
      <c r="AG11" s="228"/>
    </row>
    <row r="12" spans="1:33" s="39" customFormat="1" ht="24" customHeight="1">
      <c r="A12" s="38"/>
      <c r="B12" s="38"/>
      <c r="C12" s="105"/>
      <c r="D12" s="65"/>
      <c r="E12" s="102"/>
      <c r="F12" s="273"/>
      <c r="G12" s="118"/>
      <c r="H12" s="104"/>
      <c r="I12" s="104"/>
      <c r="J12" s="65"/>
      <c r="K12" s="65"/>
      <c r="L12" s="66"/>
      <c r="O12" s="226"/>
      <c r="P12" s="227"/>
      <c r="Q12" s="228"/>
      <c r="R12" s="228"/>
      <c r="S12" s="228"/>
      <c r="T12" s="228"/>
      <c r="U12" s="228"/>
      <c r="V12" s="228"/>
      <c r="W12" s="228"/>
      <c r="X12" s="229"/>
      <c r="Y12" s="229"/>
      <c r="Z12" s="229"/>
      <c r="AA12" s="229"/>
      <c r="AB12" s="231"/>
      <c r="AC12" s="230"/>
      <c r="AD12" s="228"/>
      <c r="AE12" s="228"/>
      <c r="AF12" s="228"/>
      <c r="AG12" s="228"/>
    </row>
    <row r="13" spans="1:33" s="39" customFormat="1" ht="24" customHeight="1">
      <c r="A13" s="38"/>
      <c r="B13" s="38"/>
      <c r="C13" s="105"/>
      <c r="D13" s="65"/>
      <c r="E13" s="102"/>
      <c r="F13" s="273"/>
      <c r="G13" s="118"/>
      <c r="H13" s="104"/>
      <c r="I13" s="104"/>
      <c r="J13" s="65"/>
      <c r="K13" s="65"/>
      <c r="L13" s="66"/>
      <c r="O13" s="226"/>
      <c r="P13" s="227"/>
      <c r="Q13" s="228"/>
      <c r="R13" s="228"/>
      <c r="S13" s="228"/>
      <c r="T13" s="228"/>
      <c r="U13" s="228"/>
      <c r="V13" s="228"/>
      <c r="W13" s="228"/>
      <c r="X13" s="229"/>
      <c r="Y13" s="229"/>
      <c r="Z13" s="229"/>
      <c r="AA13" s="229"/>
      <c r="AB13" s="231"/>
      <c r="AC13" s="230"/>
      <c r="AD13" s="228"/>
      <c r="AE13" s="228"/>
      <c r="AF13" s="228"/>
      <c r="AG13" s="228"/>
    </row>
    <row r="14" spans="1:33" s="39" customFormat="1" ht="24" customHeight="1">
      <c r="A14" s="38"/>
      <c r="B14" s="38"/>
      <c r="C14" s="105"/>
      <c r="D14" s="65"/>
      <c r="E14" s="102"/>
      <c r="F14" s="273"/>
      <c r="G14" s="118"/>
      <c r="H14" s="104"/>
      <c r="I14" s="104"/>
      <c r="J14" s="65"/>
      <c r="K14" s="65"/>
      <c r="L14" s="66"/>
      <c r="O14" s="226"/>
      <c r="P14" s="227"/>
      <c r="Q14" s="228"/>
      <c r="R14" s="228"/>
      <c r="S14" s="228"/>
      <c r="T14" s="228"/>
      <c r="U14" s="228"/>
      <c r="V14" s="228"/>
      <c r="W14" s="228"/>
      <c r="X14" s="229"/>
      <c r="Y14" s="229"/>
      <c r="Z14" s="229"/>
      <c r="AA14" s="229"/>
      <c r="AB14" s="231"/>
      <c r="AC14" s="230"/>
      <c r="AD14" s="228"/>
      <c r="AE14" s="228"/>
      <c r="AF14" s="228"/>
      <c r="AG14" s="228"/>
    </row>
    <row r="15" spans="1:33" s="39" customFormat="1" ht="24" customHeight="1">
      <c r="A15" s="38"/>
      <c r="B15" s="38"/>
      <c r="C15" s="105"/>
      <c r="D15" s="65"/>
      <c r="E15" s="102"/>
      <c r="F15" s="273"/>
      <c r="G15" s="118"/>
      <c r="H15" s="104"/>
      <c r="I15" s="104"/>
      <c r="J15" s="65"/>
      <c r="K15" s="65"/>
      <c r="L15" s="66"/>
      <c r="O15" s="226"/>
      <c r="P15" s="227"/>
      <c r="Q15" s="228"/>
      <c r="R15" s="228"/>
      <c r="S15" s="228"/>
      <c r="T15" s="228"/>
      <c r="U15" s="228"/>
      <c r="V15" s="228"/>
      <c r="W15" s="228"/>
      <c r="X15" s="229"/>
      <c r="Y15" s="229"/>
      <c r="Z15" s="229"/>
      <c r="AA15" s="229"/>
      <c r="AB15" s="231"/>
      <c r="AC15" s="230"/>
      <c r="AD15" s="228"/>
      <c r="AE15" s="228"/>
      <c r="AF15" s="228"/>
      <c r="AG15" s="228"/>
    </row>
    <row r="16" spans="1:33" s="39" customFormat="1" ht="24" customHeight="1">
      <c r="A16" s="38"/>
      <c r="B16" s="38"/>
      <c r="C16" s="105"/>
      <c r="D16" s="65" t="s">
        <v>48</v>
      </c>
      <c r="E16" s="102"/>
      <c r="F16" s="273"/>
      <c r="G16" s="118"/>
      <c r="H16" s="104"/>
      <c r="I16" s="104">
        <f>SUM(I7:I15)</f>
        <v>51385</v>
      </c>
      <c r="J16" s="821" t="str">
        <f>IF(COUNTIF(N:N,"費用")=0,"","うち費用")</f>
        <v>うち費用</v>
      </c>
      <c r="K16" s="822">
        <f>IF(COUNTIF(N:N,"費用")=0,"",SUMIF(N:N,"費用",I:I))</f>
        <v>2155</v>
      </c>
      <c r="L16" s="66"/>
      <c r="O16" s="226"/>
      <c r="P16" s="227"/>
      <c r="Q16" s="228"/>
      <c r="R16" s="228"/>
      <c r="S16" s="228"/>
      <c r="T16" s="228"/>
      <c r="U16" s="228"/>
      <c r="V16" s="228"/>
      <c r="W16" s="228"/>
      <c r="X16" s="229"/>
      <c r="Y16" s="229"/>
      <c r="Z16" s="229"/>
      <c r="AA16" s="229"/>
      <c r="AB16" s="231"/>
      <c r="AC16" s="230"/>
      <c r="AD16" s="228"/>
      <c r="AE16" s="228"/>
      <c r="AF16" s="228"/>
      <c r="AG16" s="228"/>
    </row>
    <row r="17" spans="1:35" s="39" customFormat="1" ht="24" customHeight="1">
      <c r="A17" s="38"/>
      <c r="B17" s="38"/>
      <c r="C17" s="105"/>
      <c r="D17" s="119"/>
      <c r="E17" s="102"/>
      <c r="F17" s="273"/>
      <c r="G17" s="118"/>
      <c r="H17" s="104"/>
      <c r="I17" s="104"/>
      <c r="J17" s="65"/>
      <c r="K17" s="65"/>
      <c r="L17" s="66"/>
      <c r="O17" s="226"/>
      <c r="P17" s="227"/>
      <c r="Q17" s="228"/>
      <c r="R17" s="228"/>
      <c r="S17" s="228"/>
      <c r="T17" s="228"/>
      <c r="U17" s="228"/>
      <c r="V17" s="228"/>
      <c r="W17" s="228"/>
      <c r="X17" s="229"/>
      <c r="Y17" s="229"/>
      <c r="Z17" s="229"/>
      <c r="AA17" s="229"/>
      <c r="AB17" s="231"/>
      <c r="AC17" s="230"/>
      <c r="AD17" s="228"/>
      <c r="AE17" s="228"/>
      <c r="AF17" s="228"/>
      <c r="AG17" s="228"/>
    </row>
    <row r="18" spans="1:35" s="39" customFormat="1" ht="24" customHeight="1">
      <c r="A18" s="38"/>
      <c r="B18" s="38"/>
      <c r="C18" s="194" t="s">
        <v>147</v>
      </c>
      <c r="D18" s="65"/>
      <c r="E18" s="102"/>
      <c r="F18" s="273"/>
      <c r="G18" s="118"/>
      <c r="H18" s="104"/>
      <c r="I18" s="104"/>
      <c r="J18" s="65"/>
      <c r="K18" s="65"/>
      <c r="L18" s="66"/>
      <c r="O18" s="226"/>
      <c r="P18" s="227"/>
      <c r="Q18" s="228"/>
      <c r="R18" s="228"/>
      <c r="S18" s="228"/>
      <c r="T18" s="228"/>
      <c r="U18" s="228"/>
      <c r="V18" s="228"/>
      <c r="W18" s="228"/>
      <c r="X18" s="229"/>
      <c r="Y18" s="229"/>
      <c r="Z18" s="229"/>
      <c r="AA18" s="229"/>
      <c r="AB18" s="231"/>
      <c r="AC18" s="230"/>
      <c r="AD18" s="228"/>
      <c r="AE18" s="228"/>
      <c r="AF18" s="228"/>
      <c r="AG18" s="228"/>
    </row>
    <row r="19" spans="1:35" s="39" customFormat="1" ht="24" customHeight="1">
      <c r="A19" s="38"/>
      <c r="B19" s="38"/>
      <c r="C19" s="105"/>
      <c r="D19" s="65" t="s">
        <v>149</v>
      </c>
      <c r="E19" s="102"/>
      <c r="F19" s="273">
        <v>1</v>
      </c>
      <c r="G19" s="118" t="s">
        <v>7</v>
      </c>
      <c r="H19" s="104"/>
      <c r="I19" s="104">
        <f>+I47</f>
        <v>-709</v>
      </c>
      <c r="J19" s="65"/>
      <c r="K19" s="65"/>
      <c r="L19" s="66"/>
      <c r="O19" s="226"/>
      <c r="P19" s="227"/>
      <c r="Q19" s="228"/>
      <c r="R19" s="228"/>
      <c r="S19" s="228"/>
      <c r="T19" s="228"/>
      <c r="U19" s="228"/>
      <c r="V19" s="228"/>
      <c r="W19" s="228"/>
      <c r="X19" s="229"/>
      <c r="Y19" s="229"/>
      <c r="Z19" s="229"/>
      <c r="AA19" s="229"/>
      <c r="AB19" s="231"/>
      <c r="AC19" s="230"/>
      <c r="AD19" s="228"/>
      <c r="AE19" s="228"/>
      <c r="AF19" s="228"/>
      <c r="AG19" s="228"/>
    </row>
    <row r="20" spans="1:35" s="39" customFormat="1" ht="24" customHeight="1">
      <c r="A20" s="38"/>
      <c r="B20" s="38"/>
      <c r="C20" s="105"/>
      <c r="D20" s="65" t="s">
        <v>148</v>
      </c>
      <c r="E20" s="102"/>
      <c r="F20" s="273">
        <v>1</v>
      </c>
      <c r="G20" s="118" t="s">
        <v>7</v>
      </c>
      <c r="H20" s="104"/>
      <c r="I20" s="104">
        <f>+変更諸経費表!G66+変更諸経費表!G74</f>
        <v>-26230</v>
      </c>
      <c r="J20" s="195"/>
      <c r="K20" s="65"/>
      <c r="L20" s="66"/>
      <c r="O20" s="226"/>
      <c r="P20" s="227"/>
      <c r="Q20" s="228"/>
      <c r="R20" s="228"/>
      <c r="S20" s="228"/>
      <c r="T20" s="228"/>
      <c r="U20" s="228"/>
      <c r="V20" s="228"/>
      <c r="W20" s="228"/>
      <c r="X20" s="229"/>
      <c r="Y20" s="229"/>
      <c r="Z20" s="229"/>
      <c r="AA20" s="229"/>
      <c r="AB20" s="231"/>
      <c r="AC20" s="230"/>
      <c r="AD20" s="228"/>
      <c r="AE20" s="228"/>
      <c r="AF20" s="228"/>
      <c r="AG20" s="228"/>
    </row>
    <row r="21" spans="1:35" s="39" customFormat="1" ht="24" customHeight="1">
      <c r="A21" s="38"/>
      <c r="B21" s="38"/>
      <c r="C21" s="105"/>
      <c r="D21" s="65" t="s">
        <v>293</v>
      </c>
      <c r="E21" s="102"/>
      <c r="F21" s="273"/>
      <c r="G21" s="118"/>
      <c r="H21" s="104"/>
      <c r="I21" s="104">
        <f>SUM(I19:I20)</f>
        <v>-26939</v>
      </c>
      <c r="J21" s="65"/>
      <c r="K21" s="65"/>
      <c r="L21" s="66"/>
      <c r="O21" s="226"/>
      <c r="P21" s="227"/>
      <c r="Q21" s="228"/>
      <c r="R21" s="228"/>
      <c r="S21" s="228"/>
      <c r="T21" s="228"/>
      <c r="U21" s="228"/>
      <c r="V21" s="228"/>
      <c r="W21" s="228"/>
      <c r="X21" s="229"/>
      <c r="Y21" s="229"/>
      <c r="Z21" s="229"/>
      <c r="AA21" s="229"/>
      <c r="AB21" s="231"/>
      <c r="AC21" s="230"/>
      <c r="AD21" s="228"/>
      <c r="AE21" s="228"/>
      <c r="AF21" s="228"/>
      <c r="AG21" s="228"/>
    </row>
    <row r="22" spans="1:35" s="39" customFormat="1" ht="24" customHeight="1">
      <c r="A22" s="38"/>
      <c r="B22" s="38"/>
      <c r="C22" s="105"/>
      <c r="D22" s="65" t="s">
        <v>239</v>
      </c>
      <c r="E22" s="102"/>
      <c r="F22" s="273"/>
      <c r="G22" s="118"/>
      <c r="H22" s="104"/>
      <c r="I22" s="104">
        <f>+I16+I21</f>
        <v>24446</v>
      </c>
      <c r="J22" s="65"/>
      <c r="K22" s="65"/>
      <c r="L22" s="66"/>
      <c r="O22" s="226"/>
      <c r="P22" s="227"/>
      <c r="Q22" s="228"/>
      <c r="R22" s="228"/>
      <c r="S22" s="228"/>
      <c r="T22" s="228"/>
      <c r="U22" s="228"/>
      <c r="V22" s="228"/>
      <c r="W22" s="228"/>
      <c r="X22" s="229"/>
      <c r="Y22" s="229"/>
      <c r="Z22" s="229"/>
      <c r="AA22" s="229"/>
      <c r="AB22" s="231"/>
      <c r="AC22" s="230"/>
      <c r="AD22" s="228"/>
      <c r="AE22" s="228"/>
      <c r="AF22" s="228"/>
      <c r="AG22" s="228"/>
    </row>
    <row r="23" spans="1:35" s="39" customFormat="1" ht="24" customHeight="1">
      <c r="A23" s="38"/>
      <c r="B23" s="38"/>
      <c r="C23" s="105"/>
      <c r="D23" s="65"/>
      <c r="E23" s="102"/>
      <c r="F23" s="273"/>
      <c r="G23" s="118"/>
      <c r="H23" s="104"/>
      <c r="I23" s="104"/>
      <c r="J23" s="2533" t="s">
        <v>3048</v>
      </c>
      <c r="K23" s="2534">
        <v>0.71350000000000002</v>
      </c>
      <c r="L23" s="66"/>
      <c r="O23" s="226"/>
      <c r="P23" s="227"/>
      <c r="Q23" s="228"/>
      <c r="R23" s="228"/>
      <c r="S23" s="228"/>
      <c r="T23" s="228"/>
      <c r="U23" s="228"/>
      <c r="V23" s="228"/>
      <c r="W23" s="228"/>
      <c r="X23" s="229"/>
      <c r="Y23" s="229"/>
      <c r="Z23" s="229"/>
      <c r="AA23" s="229"/>
      <c r="AB23" s="231"/>
      <c r="AC23" s="230"/>
      <c r="AD23" s="228"/>
      <c r="AE23" s="228"/>
      <c r="AF23" s="228"/>
      <c r="AG23" s="228"/>
    </row>
    <row r="24" spans="1:35" ht="24" customHeight="1" thickBot="1">
      <c r="A24" s="38"/>
      <c r="B24" s="38"/>
      <c r="C24" s="106"/>
      <c r="D24" s="95" t="s">
        <v>240</v>
      </c>
      <c r="E24" s="107"/>
      <c r="F24" s="274"/>
      <c r="G24" s="121"/>
      <c r="H24" s="131" t="s">
        <v>70</v>
      </c>
      <c r="I24" s="108">
        <f>ROUNDDOWN(I22*K23,-3)</f>
        <v>17000</v>
      </c>
      <c r="J24" s="95" t="s">
        <v>71</v>
      </c>
      <c r="K24" s="95"/>
      <c r="L24" s="123"/>
      <c r="O24" s="226"/>
      <c r="P24" s="227"/>
      <c r="Q24" s="228"/>
      <c r="R24" s="228"/>
      <c r="S24" s="228"/>
      <c r="T24" s="228"/>
      <c r="U24" s="228"/>
      <c r="V24" s="228"/>
      <c r="W24" s="228"/>
      <c r="X24" s="229"/>
      <c r="Y24" s="229"/>
      <c r="Z24" s="229"/>
      <c r="AA24" s="229"/>
      <c r="AB24" s="231"/>
      <c r="AC24" s="230"/>
      <c r="AD24" s="228"/>
      <c r="AE24" s="228"/>
      <c r="AF24" s="228"/>
      <c r="AG24" s="228"/>
    </row>
    <row r="25" spans="1:35" ht="14.25" customHeight="1">
      <c r="E25" s="124" t="s">
        <v>88</v>
      </c>
      <c r="F25" s="125">
        <f>+F2+1</f>
        <v>10</v>
      </c>
      <c r="G25" s="126" t="s">
        <v>49</v>
      </c>
      <c r="H25" s="127">
        <f>H2</f>
        <v>15</v>
      </c>
      <c r="M25" s="40" t="str">
        <f>IF(A27="","EOL","")</f>
        <v/>
      </c>
      <c r="N25" s="1">
        <f>+F25</f>
        <v>10</v>
      </c>
    </row>
    <row r="26" spans="1:35" ht="26.1" customHeight="1" thickBot="1">
      <c r="C26" s="2615" t="s">
        <v>332</v>
      </c>
      <c r="D26" s="2615"/>
      <c r="E26" s="2615"/>
      <c r="F26" s="2615"/>
      <c r="G26" s="2615"/>
      <c r="H26" s="2615"/>
      <c r="I26" s="2615"/>
      <c r="J26" s="2615"/>
      <c r="K26" s="2615"/>
      <c r="L26" s="2615"/>
      <c r="O26" s="2642" t="s">
        <v>134</v>
      </c>
      <c r="P26" s="2643"/>
      <c r="Q26" s="2643"/>
      <c r="R26" s="2643"/>
      <c r="S26" s="2643"/>
      <c r="T26" s="2643"/>
      <c r="U26" s="2643"/>
      <c r="V26" s="2643"/>
      <c r="W26" s="2643"/>
      <c r="X26" s="2643"/>
      <c r="Y26" s="2643"/>
      <c r="Z26" s="2643"/>
      <c r="AA26" s="2643"/>
      <c r="AB26" s="2643"/>
      <c r="AC26" s="2643"/>
      <c r="AD26" s="2643"/>
      <c r="AE26" s="2643"/>
      <c r="AF26" s="2643"/>
      <c r="AG26" s="2644"/>
    </row>
    <row r="27" spans="1:35" ht="42" customHeight="1">
      <c r="A27" s="5" t="s">
        <v>10</v>
      </c>
      <c r="B27" s="5" t="s">
        <v>9</v>
      </c>
      <c r="C27" s="113" t="s">
        <v>0</v>
      </c>
      <c r="D27" s="109"/>
      <c r="E27" s="110" t="s">
        <v>1</v>
      </c>
      <c r="F27" s="111" t="s">
        <v>2</v>
      </c>
      <c r="G27" s="111" t="s">
        <v>3</v>
      </c>
      <c r="H27" s="112" t="s">
        <v>4</v>
      </c>
      <c r="I27" s="112" t="s">
        <v>5</v>
      </c>
      <c r="J27" s="2612" t="s">
        <v>6</v>
      </c>
      <c r="K27" s="2613"/>
      <c r="L27" s="2614"/>
      <c r="M27" s="818"/>
      <c r="N27" s="817"/>
      <c r="O27" s="816" t="s">
        <v>67</v>
      </c>
      <c r="P27" s="385" t="s">
        <v>275</v>
      </c>
      <c r="Q27" s="156" t="s">
        <v>216</v>
      </c>
      <c r="R27" s="275" t="s">
        <v>218</v>
      </c>
      <c r="S27" s="275" t="s">
        <v>219</v>
      </c>
      <c r="T27" s="275" t="s">
        <v>276</v>
      </c>
      <c r="U27" s="275" t="s">
        <v>128</v>
      </c>
      <c r="V27" s="156" t="s">
        <v>127</v>
      </c>
      <c r="W27" s="275" t="s">
        <v>277</v>
      </c>
      <c r="X27" s="223" t="s">
        <v>220</v>
      </c>
      <c r="Y27" s="223" t="s">
        <v>221</v>
      </c>
      <c r="Z27" s="223" t="s">
        <v>222</v>
      </c>
      <c r="AA27" s="223" t="s">
        <v>223</v>
      </c>
      <c r="AB27" s="161" t="s">
        <v>278</v>
      </c>
      <c r="AC27" s="158" t="s">
        <v>130</v>
      </c>
      <c r="AD27" s="155" t="s">
        <v>133</v>
      </c>
      <c r="AE27" s="155" t="s">
        <v>131</v>
      </c>
      <c r="AF27" s="155" t="s">
        <v>132</v>
      </c>
      <c r="AG27" s="155"/>
    </row>
    <row r="28" spans="1:35" ht="24" customHeight="1">
      <c r="A28" s="38"/>
      <c r="B28" s="38"/>
      <c r="C28" s="132" t="s">
        <v>150</v>
      </c>
      <c r="D28" s="99"/>
      <c r="E28" s="100"/>
      <c r="F28" s="272"/>
      <c r="G28" s="136"/>
      <c r="H28" s="94" t="s">
        <v>11</v>
      </c>
      <c r="I28" s="94" t="s">
        <v>11</v>
      </c>
      <c r="J28" s="2609"/>
      <c r="K28" s="2610"/>
      <c r="L28" s="2611"/>
      <c r="O28" s="226"/>
      <c r="P28" s="227"/>
      <c r="Q28" s="228"/>
      <c r="R28" s="228"/>
      <c r="S28" s="228"/>
      <c r="T28" s="228"/>
      <c r="U28" s="228"/>
      <c r="V28" s="228"/>
      <c r="W28" s="228"/>
      <c r="X28" s="229"/>
      <c r="Y28" s="229"/>
      <c r="Z28" s="229"/>
      <c r="AA28" s="229"/>
      <c r="AB28" s="229"/>
      <c r="AC28" s="228"/>
      <c r="AD28" s="461"/>
      <c r="AE28" s="462"/>
      <c r="AF28" s="228"/>
      <c r="AG28" s="228"/>
      <c r="AH28" s="463"/>
    </row>
    <row r="29" spans="1:35" s="39" customFormat="1" ht="24" customHeight="1">
      <c r="A29" s="38"/>
      <c r="B29" s="38"/>
      <c r="C29" s="105"/>
      <c r="D29" s="65" t="s">
        <v>2488</v>
      </c>
      <c r="E29" s="102"/>
      <c r="F29" s="273"/>
      <c r="G29" s="118"/>
      <c r="H29" s="137"/>
      <c r="I29" s="104" t="str">
        <f t="shared" ref="I29:I46" si="0">IF(F29="","",INT(F29*H29))</f>
        <v/>
      </c>
      <c r="J29" s="65"/>
      <c r="K29" s="65"/>
      <c r="L29" s="66"/>
      <c r="O29" s="226"/>
      <c r="P29" s="227"/>
      <c r="Q29" s="228"/>
      <c r="R29" s="228"/>
      <c r="S29" s="228"/>
      <c r="T29" s="228"/>
      <c r="U29" s="228"/>
      <c r="V29" s="228"/>
      <c r="W29" s="228"/>
      <c r="X29" s="229"/>
      <c r="Y29" s="229"/>
      <c r="Z29" s="229"/>
      <c r="AA29" s="229"/>
      <c r="AB29" s="229"/>
      <c r="AC29" s="228"/>
      <c r="AD29" s="461"/>
      <c r="AE29" s="462"/>
      <c r="AF29" s="228"/>
      <c r="AG29" s="228"/>
      <c r="AH29" s="228"/>
      <c r="AI29" s="789"/>
    </row>
    <row r="30" spans="1:35" s="39" customFormat="1" ht="24" customHeight="1">
      <c r="A30" s="38"/>
      <c r="B30" s="38"/>
      <c r="C30" s="105"/>
      <c r="D30" s="65" t="s">
        <v>2472</v>
      </c>
      <c r="E30" s="102"/>
      <c r="F30" s="273">
        <v>1</v>
      </c>
      <c r="G30" s="118" t="s">
        <v>2473</v>
      </c>
      <c r="H30" s="104">
        <f>+変更諸経費表!G21</f>
        <v>-709</v>
      </c>
      <c r="I30" s="104">
        <f t="shared" si="0"/>
        <v>-709</v>
      </c>
      <c r="J30" s="65"/>
      <c r="K30" s="65"/>
      <c r="L30" s="66"/>
      <c r="O30" s="226"/>
      <c r="P30" s="227"/>
      <c r="Q30" s="228"/>
      <c r="R30" s="228"/>
      <c r="S30" s="228"/>
      <c r="T30" s="228"/>
      <c r="U30" s="228"/>
      <c r="V30" s="228"/>
      <c r="W30" s="228"/>
      <c r="X30" s="229"/>
      <c r="Y30" s="229"/>
      <c r="Z30" s="229"/>
      <c r="AA30" s="229"/>
      <c r="AB30" s="229"/>
      <c r="AC30" s="228"/>
      <c r="AD30" s="461"/>
      <c r="AE30" s="462"/>
      <c r="AF30" s="228"/>
      <c r="AG30" s="228"/>
      <c r="AH30" s="228"/>
      <c r="AI30" s="789"/>
    </row>
    <row r="31" spans="1:35" s="39" customFormat="1" ht="24" customHeight="1">
      <c r="A31" s="38"/>
      <c r="B31" s="38"/>
      <c r="C31" s="105"/>
      <c r="D31" s="65"/>
      <c r="E31" s="102"/>
      <c r="F31" s="273"/>
      <c r="G31" s="118"/>
      <c r="H31" s="137"/>
      <c r="I31" s="104" t="str">
        <f t="shared" si="0"/>
        <v/>
      </c>
      <c r="J31" s="65"/>
      <c r="K31" s="65"/>
      <c r="L31" s="66"/>
      <c r="O31" s="226"/>
      <c r="P31" s="227"/>
      <c r="Q31" s="228"/>
      <c r="R31" s="228"/>
      <c r="S31" s="228"/>
      <c r="T31" s="228"/>
      <c r="U31" s="228"/>
      <c r="V31" s="228"/>
      <c r="W31" s="228"/>
      <c r="X31" s="229"/>
      <c r="Y31" s="229"/>
      <c r="Z31" s="229"/>
      <c r="AA31" s="229"/>
      <c r="AB31" s="229"/>
      <c r="AC31" s="228"/>
      <c r="AD31" s="461"/>
      <c r="AE31" s="462"/>
      <c r="AF31" s="228"/>
      <c r="AG31" s="228"/>
      <c r="AH31" s="228"/>
      <c r="AI31" s="789"/>
    </row>
    <row r="32" spans="1:35" s="39" customFormat="1" ht="24" customHeight="1">
      <c r="A32" s="38"/>
      <c r="B32" s="38"/>
      <c r="C32" s="792"/>
      <c r="D32" s="793" t="s">
        <v>2489</v>
      </c>
      <c r="E32" s="794"/>
      <c r="F32" s="795"/>
      <c r="G32" s="796"/>
      <c r="H32" s="797"/>
      <c r="I32" s="798">
        <f>SUM(I30:I31)</f>
        <v>-709</v>
      </c>
      <c r="J32" s="793"/>
      <c r="K32" s="793"/>
      <c r="L32" s="799"/>
      <c r="O32" s="226"/>
      <c r="P32" s="227"/>
      <c r="Q32" s="228"/>
      <c r="R32" s="228"/>
      <c r="S32" s="228"/>
      <c r="T32" s="228"/>
      <c r="U32" s="228"/>
      <c r="V32" s="228"/>
      <c r="W32" s="228"/>
      <c r="X32" s="229"/>
      <c r="Y32" s="229"/>
      <c r="Z32" s="229"/>
      <c r="AA32" s="229"/>
      <c r="AB32" s="229"/>
      <c r="AC32" s="228"/>
      <c r="AD32" s="461"/>
      <c r="AE32" s="462"/>
      <c r="AF32" s="228"/>
      <c r="AG32" s="228"/>
      <c r="AH32" s="228"/>
      <c r="AI32" s="789"/>
    </row>
    <row r="33" spans="1:35" s="39" customFormat="1" ht="24" customHeight="1">
      <c r="A33" s="38"/>
      <c r="B33" s="38"/>
      <c r="C33" s="800"/>
      <c r="D33" s="99"/>
      <c r="E33" s="100"/>
      <c r="F33" s="801"/>
      <c r="G33" s="136"/>
      <c r="H33" s="802"/>
      <c r="I33" s="803" t="str">
        <f t="shared" si="0"/>
        <v/>
      </c>
      <c r="J33" s="99"/>
      <c r="K33" s="99"/>
      <c r="L33" s="804"/>
      <c r="O33" s="226"/>
      <c r="P33" s="227"/>
      <c r="Q33" s="228"/>
      <c r="R33" s="228"/>
      <c r="S33" s="228"/>
      <c r="T33" s="228"/>
      <c r="U33" s="228"/>
      <c r="V33" s="228"/>
      <c r="W33" s="228"/>
      <c r="X33" s="229"/>
      <c r="Y33" s="229"/>
      <c r="Z33" s="229"/>
      <c r="AA33" s="229"/>
      <c r="AB33" s="229"/>
      <c r="AC33" s="228"/>
      <c r="AD33" s="461"/>
      <c r="AE33" s="462"/>
      <c r="AF33" s="228"/>
      <c r="AG33" s="228"/>
      <c r="AH33" s="228"/>
      <c r="AI33" s="789"/>
    </row>
    <row r="34" spans="1:35" s="39" customFormat="1" ht="24" customHeight="1">
      <c r="A34" s="38"/>
      <c r="B34" s="38"/>
      <c r="C34" s="105"/>
      <c r="D34" s="65" t="s">
        <v>2490</v>
      </c>
      <c r="E34" s="102"/>
      <c r="F34" s="273"/>
      <c r="G34" s="118"/>
      <c r="H34" s="137"/>
      <c r="I34" s="104" t="str">
        <f t="shared" si="0"/>
        <v/>
      </c>
      <c r="J34" s="65"/>
      <c r="K34" s="65"/>
      <c r="L34" s="66"/>
      <c r="O34" s="226"/>
      <c r="P34" s="227"/>
      <c r="Q34" s="228"/>
      <c r="R34" s="228"/>
      <c r="S34" s="228"/>
      <c r="T34" s="228"/>
      <c r="U34" s="228"/>
      <c r="V34" s="228"/>
      <c r="W34" s="228"/>
      <c r="X34" s="229"/>
      <c r="Y34" s="229"/>
      <c r="Z34" s="229"/>
      <c r="AA34" s="229"/>
      <c r="AB34" s="229"/>
      <c r="AC34" s="228"/>
      <c r="AD34" s="461"/>
      <c r="AE34" s="462"/>
      <c r="AF34" s="228"/>
      <c r="AG34" s="228"/>
      <c r="AH34" s="228"/>
      <c r="AI34" s="789"/>
    </row>
    <row r="35" spans="1:35" s="39" customFormat="1" ht="24" customHeight="1">
      <c r="A35" s="38"/>
      <c r="B35" s="38"/>
      <c r="C35" s="105"/>
      <c r="D35" s="65" t="s">
        <v>2491</v>
      </c>
      <c r="E35" s="102"/>
      <c r="F35" s="273">
        <v>1</v>
      </c>
      <c r="G35" s="118" t="s">
        <v>7</v>
      </c>
      <c r="H35" s="137"/>
      <c r="I35" s="104">
        <f t="shared" si="0"/>
        <v>0</v>
      </c>
      <c r="J35" s="65"/>
      <c r="K35" s="65"/>
      <c r="L35" s="66"/>
      <c r="O35" s="226"/>
      <c r="P35" s="227"/>
      <c r="Q35" s="228"/>
      <c r="R35" s="228"/>
      <c r="S35" s="228"/>
      <c r="T35" s="228"/>
      <c r="U35" s="228"/>
      <c r="V35" s="228"/>
      <c r="W35" s="228"/>
      <c r="X35" s="229"/>
      <c r="Y35" s="229"/>
      <c r="Z35" s="229"/>
      <c r="AA35" s="229"/>
      <c r="AB35" s="229"/>
      <c r="AC35" s="228"/>
      <c r="AD35" s="461"/>
      <c r="AE35" s="462"/>
      <c r="AF35" s="228"/>
      <c r="AG35" s="228"/>
      <c r="AH35" s="228"/>
      <c r="AI35" s="789"/>
    </row>
    <row r="36" spans="1:35" s="39" customFormat="1" ht="24" customHeight="1">
      <c r="A36" s="38"/>
      <c r="B36" s="38"/>
      <c r="C36" s="105"/>
      <c r="D36" s="65" t="s">
        <v>2492</v>
      </c>
      <c r="E36" s="102"/>
      <c r="F36" s="273">
        <v>1</v>
      </c>
      <c r="G36" s="118" t="s">
        <v>7</v>
      </c>
      <c r="H36" s="137"/>
      <c r="I36" s="104">
        <f t="shared" si="0"/>
        <v>0</v>
      </c>
      <c r="J36" s="65"/>
      <c r="K36" s="65"/>
      <c r="L36" s="66"/>
      <c r="O36" s="226"/>
      <c r="P36" s="227"/>
      <c r="Q36" s="228"/>
      <c r="R36" s="228"/>
      <c r="S36" s="228"/>
      <c r="T36" s="228"/>
      <c r="U36" s="228"/>
      <c r="V36" s="228"/>
      <c r="W36" s="228"/>
      <c r="X36" s="229"/>
      <c r="Y36" s="229"/>
      <c r="Z36" s="229"/>
      <c r="AA36" s="229"/>
      <c r="AB36" s="229"/>
      <c r="AC36" s="228"/>
      <c r="AD36" s="461"/>
      <c r="AE36" s="462"/>
      <c r="AF36" s="228"/>
      <c r="AG36" s="228"/>
      <c r="AH36" s="228"/>
      <c r="AI36" s="789"/>
    </row>
    <row r="37" spans="1:35" s="39" customFormat="1" ht="24" customHeight="1">
      <c r="A37" s="38"/>
      <c r="B37" s="38"/>
      <c r="C37" s="105"/>
      <c r="D37" s="65" t="s">
        <v>2493</v>
      </c>
      <c r="E37" s="102"/>
      <c r="F37" s="273">
        <v>1</v>
      </c>
      <c r="G37" s="118" t="s">
        <v>7</v>
      </c>
      <c r="H37" s="137"/>
      <c r="I37" s="104">
        <f t="shared" si="0"/>
        <v>0</v>
      </c>
      <c r="J37" s="65"/>
      <c r="K37" s="65"/>
      <c r="L37" s="66"/>
      <c r="O37" s="226"/>
      <c r="P37" s="227"/>
      <c r="Q37" s="228"/>
      <c r="R37" s="228"/>
      <c r="S37" s="228"/>
      <c r="T37" s="228"/>
      <c r="U37" s="228"/>
      <c r="V37" s="228"/>
      <c r="W37" s="228"/>
      <c r="X37" s="229"/>
      <c r="Y37" s="229"/>
      <c r="Z37" s="229"/>
      <c r="AA37" s="229"/>
      <c r="AB37" s="229"/>
      <c r="AC37" s="228"/>
      <c r="AD37" s="461"/>
      <c r="AE37" s="462"/>
      <c r="AF37" s="228"/>
      <c r="AG37" s="228"/>
      <c r="AH37" s="228"/>
      <c r="AI37" s="789"/>
    </row>
    <row r="38" spans="1:35" s="39" customFormat="1" ht="24" customHeight="1">
      <c r="A38" s="38"/>
      <c r="B38" s="38"/>
      <c r="C38" s="105"/>
      <c r="D38" s="65" t="s">
        <v>2494</v>
      </c>
      <c r="E38" s="102"/>
      <c r="F38" s="273">
        <v>1</v>
      </c>
      <c r="G38" s="118" t="s">
        <v>7</v>
      </c>
      <c r="H38" s="137"/>
      <c r="I38" s="104">
        <f t="shared" si="0"/>
        <v>0</v>
      </c>
      <c r="J38" s="65"/>
      <c r="K38" s="65"/>
      <c r="L38" s="66"/>
      <c r="O38" s="226"/>
      <c r="P38" s="227"/>
      <c r="Q38" s="228"/>
      <c r="R38" s="228"/>
      <c r="S38" s="228"/>
      <c r="T38" s="228"/>
      <c r="U38" s="228"/>
      <c r="V38" s="228"/>
      <c r="W38" s="228"/>
      <c r="X38" s="229"/>
      <c r="Y38" s="229"/>
      <c r="Z38" s="229"/>
      <c r="AA38" s="229"/>
      <c r="AB38" s="229"/>
      <c r="AC38" s="228"/>
      <c r="AD38" s="461"/>
      <c r="AE38" s="462"/>
      <c r="AF38" s="228"/>
      <c r="AG38" s="228"/>
      <c r="AH38" s="228"/>
      <c r="AI38" s="789"/>
    </row>
    <row r="39" spans="1:35" s="39" customFormat="1" ht="24" customHeight="1">
      <c r="A39" s="38"/>
      <c r="B39" s="38"/>
      <c r="C39" s="105"/>
      <c r="D39" s="65" t="s">
        <v>2495</v>
      </c>
      <c r="E39" s="102"/>
      <c r="F39" s="273">
        <v>1</v>
      </c>
      <c r="G39" s="118" t="s">
        <v>7</v>
      </c>
      <c r="H39" s="137"/>
      <c r="I39" s="104">
        <f t="shared" si="0"/>
        <v>0</v>
      </c>
      <c r="J39" s="65"/>
      <c r="K39" s="65"/>
      <c r="L39" s="66"/>
      <c r="O39" s="226"/>
      <c r="P39" s="227"/>
      <c r="Q39" s="228"/>
      <c r="R39" s="228"/>
      <c r="S39" s="228"/>
      <c r="T39" s="228"/>
      <c r="U39" s="228"/>
      <c r="V39" s="228"/>
      <c r="W39" s="228"/>
      <c r="X39" s="229"/>
      <c r="Y39" s="229"/>
      <c r="Z39" s="229"/>
      <c r="AA39" s="229"/>
      <c r="AB39" s="229"/>
      <c r="AC39" s="228"/>
      <c r="AD39" s="461"/>
      <c r="AE39" s="462"/>
      <c r="AF39" s="228"/>
      <c r="AG39" s="228"/>
      <c r="AH39" s="228"/>
      <c r="AI39" s="789"/>
    </row>
    <row r="40" spans="1:35" s="39" customFormat="1" ht="24" customHeight="1">
      <c r="A40" s="38"/>
      <c r="B40" s="38"/>
      <c r="C40" s="105"/>
      <c r="D40" s="65" t="s">
        <v>2496</v>
      </c>
      <c r="E40" s="102"/>
      <c r="F40" s="273">
        <v>1</v>
      </c>
      <c r="G40" s="118" t="s">
        <v>7</v>
      </c>
      <c r="H40" s="137"/>
      <c r="I40" s="104">
        <f t="shared" si="0"/>
        <v>0</v>
      </c>
      <c r="J40" s="65"/>
      <c r="K40" s="65"/>
      <c r="L40" s="66"/>
      <c r="O40" s="226"/>
      <c r="P40" s="227"/>
      <c r="Q40" s="228"/>
      <c r="R40" s="228"/>
      <c r="S40" s="228"/>
      <c r="T40" s="228"/>
      <c r="U40" s="228"/>
      <c r="V40" s="228"/>
      <c r="W40" s="228"/>
      <c r="X40" s="229"/>
      <c r="Y40" s="229"/>
      <c r="Z40" s="229"/>
      <c r="AA40" s="229"/>
      <c r="AB40" s="229"/>
      <c r="AC40" s="228"/>
      <c r="AD40" s="461"/>
      <c r="AE40" s="462"/>
      <c r="AF40" s="228"/>
      <c r="AG40" s="228"/>
      <c r="AH40" s="228"/>
      <c r="AI40" s="789"/>
    </row>
    <row r="41" spans="1:35" s="39" customFormat="1" ht="24" customHeight="1">
      <c r="A41" s="38"/>
      <c r="B41" s="38"/>
      <c r="C41" s="105"/>
      <c r="D41" s="65" t="s">
        <v>2497</v>
      </c>
      <c r="E41" s="102"/>
      <c r="F41" s="273">
        <v>1</v>
      </c>
      <c r="G41" s="118" t="s">
        <v>7</v>
      </c>
      <c r="H41" s="137"/>
      <c r="I41" s="104">
        <f t="shared" si="0"/>
        <v>0</v>
      </c>
      <c r="J41" s="65"/>
      <c r="K41" s="65"/>
      <c r="L41" s="66"/>
      <c r="O41" s="226"/>
      <c r="P41" s="227"/>
      <c r="Q41" s="228"/>
      <c r="R41" s="228"/>
      <c r="S41" s="228"/>
      <c r="T41" s="228"/>
      <c r="U41" s="228"/>
      <c r="V41" s="228"/>
      <c r="W41" s="228"/>
      <c r="X41" s="229"/>
      <c r="Y41" s="229"/>
      <c r="Z41" s="229"/>
      <c r="AA41" s="229"/>
      <c r="AB41" s="229"/>
      <c r="AC41" s="228"/>
      <c r="AD41" s="461"/>
      <c r="AE41" s="462"/>
      <c r="AF41" s="228"/>
      <c r="AG41" s="228"/>
      <c r="AH41" s="228"/>
      <c r="AI41" s="789"/>
    </row>
    <row r="42" spans="1:35" s="39" customFormat="1" ht="24" customHeight="1">
      <c r="A42" s="38"/>
      <c r="B42" s="38"/>
      <c r="C42" s="105"/>
      <c r="D42" s="65" t="s">
        <v>2498</v>
      </c>
      <c r="E42" s="102"/>
      <c r="F42" s="273">
        <v>1</v>
      </c>
      <c r="G42" s="118" t="s">
        <v>7</v>
      </c>
      <c r="H42" s="137"/>
      <c r="I42" s="104">
        <f t="shared" si="0"/>
        <v>0</v>
      </c>
      <c r="J42" s="65"/>
      <c r="K42" s="65"/>
      <c r="L42" s="66"/>
      <c r="O42" s="226"/>
      <c r="P42" s="227"/>
      <c r="Q42" s="228"/>
      <c r="R42" s="228"/>
      <c r="S42" s="228"/>
      <c r="T42" s="228"/>
      <c r="U42" s="228"/>
      <c r="V42" s="228"/>
      <c r="W42" s="228"/>
      <c r="X42" s="229"/>
      <c r="Y42" s="229"/>
      <c r="Z42" s="229"/>
      <c r="AA42" s="229"/>
      <c r="AB42" s="229"/>
      <c r="AC42" s="228"/>
      <c r="AD42" s="461"/>
      <c r="AE42" s="462"/>
      <c r="AF42" s="228"/>
      <c r="AG42" s="228"/>
      <c r="AH42" s="228"/>
      <c r="AI42" s="789"/>
    </row>
    <row r="43" spans="1:35" s="39" customFormat="1" ht="24" customHeight="1">
      <c r="A43" s="38"/>
      <c r="B43" s="38"/>
      <c r="C43" s="105"/>
      <c r="D43" s="65" t="s">
        <v>2499</v>
      </c>
      <c r="E43" s="102"/>
      <c r="F43" s="273">
        <v>1</v>
      </c>
      <c r="G43" s="118" t="s">
        <v>7</v>
      </c>
      <c r="H43" s="137"/>
      <c r="I43" s="104">
        <f t="shared" si="0"/>
        <v>0</v>
      </c>
      <c r="J43" s="65"/>
      <c r="K43" s="65"/>
      <c r="L43" s="66"/>
      <c r="O43" s="226"/>
      <c r="P43" s="227"/>
      <c r="Q43" s="228"/>
      <c r="R43" s="228"/>
      <c r="S43" s="228"/>
      <c r="T43" s="228"/>
      <c r="U43" s="228"/>
      <c r="V43" s="228"/>
      <c r="W43" s="228"/>
      <c r="X43" s="229"/>
      <c r="Y43" s="229"/>
      <c r="Z43" s="229"/>
      <c r="AA43" s="229"/>
      <c r="AB43" s="229"/>
      <c r="AC43" s="228"/>
      <c r="AD43" s="461"/>
      <c r="AE43" s="462"/>
      <c r="AF43" s="228"/>
      <c r="AG43" s="228"/>
      <c r="AH43" s="228"/>
      <c r="AI43" s="789"/>
    </row>
    <row r="44" spans="1:35" s="39" customFormat="1" ht="24" customHeight="1">
      <c r="A44" s="38"/>
      <c r="B44" s="38"/>
      <c r="C44" s="105"/>
      <c r="D44" s="65"/>
      <c r="E44" s="102"/>
      <c r="F44" s="273"/>
      <c r="G44" s="118"/>
      <c r="H44" s="137"/>
      <c r="I44" s="104" t="str">
        <f t="shared" si="0"/>
        <v/>
      </c>
      <c r="J44" s="65"/>
      <c r="K44" s="65"/>
      <c r="L44" s="66"/>
      <c r="O44" s="226"/>
      <c r="P44" s="227"/>
      <c r="Q44" s="228"/>
      <c r="R44" s="228"/>
      <c r="S44" s="228"/>
      <c r="T44" s="228"/>
      <c r="U44" s="228"/>
      <c r="V44" s="228"/>
      <c r="W44" s="228"/>
      <c r="X44" s="229"/>
      <c r="Y44" s="229"/>
      <c r="Z44" s="229"/>
      <c r="AA44" s="229"/>
      <c r="AB44" s="229"/>
      <c r="AC44" s="228"/>
      <c r="AD44" s="461"/>
      <c r="AE44" s="462"/>
      <c r="AF44" s="228"/>
      <c r="AG44" s="228"/>
      <c r="AH44" s="228"/>
      <c r="AI44" s="789"/>
    </row>
    <row r="45" spans="1:35" s="39" customFormat="1" ht="24" customHeight="1">
      <c r="A45" s="38"/>
      <c r="B45" s="38"/>
      <c r="C45" s="805"/>
      <c r="D45" s="793" t="s">
        <v>2500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9"/>
      <c r="O45" s="226"/>
      <c r="P45" s="227"/>
      <c r="Q45" s="228"/>
      <c r="R45" s="228"/>
      <c r="S45" s="228"/>
      <c r="T45" s="228"/>
      <c r="U45" s="228"/>
      <c r="V45" s="228"/>
      <c r="W45" s="228"/>
      <c r="X45" s="229"/>
      <c r="Y45" s="229"/>
      <c r="Z45" s="229"/>
      <c r="AA45" s="229"/>
      <c r="AB45" s="229"/>
      <c r="AC45" s="228"/>
      <c r="AD45" s="461"/>
      <c r="AE45" s="462"/>
      <c r="AF45" s="228"/>
      <c r="AG45" s="228"/>
      <c r="AH45" s="228"/>
      <c r="AI45" s="789"/>
    </row>
    <row r="46" spans="1:35" s="39" customFormat="1" ht="24" customHeight="1">
      <c r="A46" s="38"/>
      <c r="B46" s="38"/>
      <c r="C46" s="800"/>
      <c r="D46" s="99"/>
      <c r="E46" s="100"/>
      <c r="F46" s="801"/>
      <c r="G46" s="136"/>
      <c r="H46" s="802"/>
      <c r="I46" s="803" t="str">
        <f t="shared" si="0"/>
        <v/>
      </c>
      <c r="J46" s="99"/>
      <c r="K46" s="99"/>
      <c r="L46" s="804"/>
      <c r="O46" s="226"/>
      <c r="P46" s="227"/>
      <c r="Q46" s="228"/>
      <c r="R46" s="228"/>
      <c r="S46" s="228"/>
      <c r="T46" s="228"/>
      <c r="U46" s="228"/>
      <c r="V46" s="228"/>
      <c r="W46" s="228"/>
      <c r="X46" s="229"/>
      <c r="Y46" s="229"/>
      <c r="Z46" s="229"/>
      <c r="AA46" s="229"/>
      <c r="AB46" s="229"/>
      <c r="AC46" s="228"/>
      <c r="AD46" s="461"/>
      <c r="AE46" s="462"/>
      <c r="AF46" s="228"/>
      <c r="AG46" s="228"/>
      <c r="AH46" s="228"/>
      <c r="AI46" s="789"/>
    </row>
    <row r="47" spans="1:35" ht="24" customHeight="1" thickBot="1">
      <c r="A47" s="38"/>
      <c r="B47" s="38"/>
      <c r="C47" s="106"/>
      <c r="D47" s="95" t="s">
        <v>8</v>
      </c>
      <c r="E47" s="107"/>
      <c r="F47" s="274"/>
      <c r="G47" s="121"/>
      <c r="H47" s="131" t="s">
        <v>70</v>
      </c>
      <c r="I47" s="108">
        <f>I32+I45</f>
        <v>-709</v>
      </c>
      <c r="J47" s="825" t="str">
        <f>IF(C28="部分撤去工事","）うち費用",")")</f>
        <v>)</v>
      </c>
      <c r="K47" s="824">
        <f>IF(C28="部分撤去工事",(K24+L47),0)</f>
        <v>0</v>
      </c>
      <c r="L47" s="823">
        <f>IF(C28="部分撤去工事",SUMIF(N29:N46,"費用",I29:I46),0)</f>
        <v>0</v>
      </c>
      <c r="M47" s="820"/>
      <c r="O47" s="226"/>
      <c r="P47" s="227"/>
      <c r="Q47" s="228"/>
      <c r="R47" s="228"/>
      <c r="S47" s="228"/>
      <c r="T47" s="228"/>
      <c r="U47" s="228"/>
      <c r="V47" s="228"/>
      <c r="W47" s="228"/>
      <c r="X47" s="229"/>
      <c r="Y47" s="229"/>
      <c r="Z47" s="229"/>
      <c r="AA47" s="229"/>
      <c r="AB47" s="229"/>
      <c r="AC47" s="228"/>
      <c r="AD47" s="461"/>
      <c r="AE47" s="462"/>
      <c r="AF47" s="228"/>
      <c r="AG47" s="228"/>
      <c r="AH47" s="228"/>
      <c r="AI47" s="789"/>
    </row>
    <row r="48" spans="1:35" ht="14.25" customHeight="1">
      <c r="E48" s="124" t="s">
        <v>88</v>
      </c>
      <c r="F48" s="125">
        <f>+F25+1</f>
        <v>11</v>
      </c>
      <c r="G48" s="126" t="s">
        <v>49</v>
      </c>
      <c r="H48" s="127">
        <f>+$H$25</f>
        <v>15</v>
      </c>
      <c r="I48" s="127"/>
      <c r="M48" s="819" t="str">
        <f>IF(A50="","EOL","")</f>
        <v/>
      </c>
      <c r="N48" s="1">
        <f>+F48</f>
        <v>11</v>
      </c>
      <c r="O48" s="1"/>
      <c r="P48" s="1"/>
    </row>
    <row r="49" spans="1:33" ht="26.1" customHeight="1" thickBot="1">
      <c r="C49" s="2615" t="s">
        <v>332</v>
      </c>
      <c r="D49" s="2615"/>
      <c r="E49" s="2615"/>
      <c r="F49" s="2615"/>
      <c r="G49" s="2615"/>
      <c r="H49" s="2615"/>
      <c r="I49" s="2615"/>
      <c r="J49" s="2615"/>
      <c r="K49" s="2615"/>
      <c r="L49" s="2615"/>
      <c r="O49" s="2642" t="s">
        <v>134</v>
      </c>
      <c r="P49" s="2643"/>
      <c r="Q49" s="2643"/>
      <c r="R49" s="2643"/>
      <c r="S49" s="2643"/>
      <c r="T49" s="2643"/>
      <c r="U49" s="2643"/>
      <c r="V49" s="2643"/>
      <c r="W49" s="2643"/>
      <c r="X49" s="2643"/>
      <c r="Y49" s="2643"/>
      <c r="Z49" s="2643"/>
      <c r="AA49" s="2643"/>
      <c r="AB49" s="2643"/>
      <c r="AC49" s="2643"/>
      <c r="AD49" s="2643"/>
      <c r="AE49" s="2643"/>
      <c r="AF49" s="2643"/>
      <c r="AG49" s="2644"/>
    </row>
    <row r="50" spans="1:33" ht="42" customHeight="1">
      <c r="A50" s="5" t="s">
        <v>10</v>
      </c>
      <c r="B50" s="5" t="s">
        <v>9</v>
      </c>
      <c r="C50" s="113" t="s">
        <v>0</v>
      </c>
      <c r="D50" s="109"/>
      <c r="E50" s="110" t="s">
        <v>1</v>
      </c>
      <c r="F50" s="111" t="s">
        <v>2</v>
      </c>
      <c r="G50" s="111" t="s">
        <v>3</v>
      </c>
      <c r="H50" s="112" t="s">
        <v>4</v>
      </c>
      <c r="I50" s="112" t="s">
        <v>5</v>
      </c>
      <c r="J50" s="2612" t="s">
        <v>6</v>
      </c>
      <c r="K50" s="2613"/>
      <c r="L50" s="2614"/>
      <c r="M50" s="521"/>
      <c r="N50" s="522" t="s">
        <v>391</v>
      </c>
      <c r="O50" s="157" t="s">
        <v>67</v>
      </c>
      <c r="P50" s="385" t="s">
        <v>275</v>
      </c>
      <c r="Q50" s="156" t="s">
        <v>216</v>
      </c>
      <c r="R50" s="275" t="s">
        <v>218</v>
      </c>
      <c r="S50" s="275" t="s">
        <v>219</v>
      </c>
      <c r="T50" s="275" t="s">
        <v>276</v>
      </c>
      <c r="U50" s="275" t="s">
        <v>128</v>
      </c>
      <c r="V50" s="156" t="s">
        <v>127</v>
      </c>
      <c r="W50" s="275" t="s">
        <v>277</v>
      </c>
      <c r="X50" s="223" t="s">
        <v>220</v>
      </c>
      <c r="Y50" s="223" t="s">
        <v>221</v>
      </c>
      <c r="Z50" s="223" t="s">
        <v>222</v>
      </c>
      <c r="AA50" s="223" t="s">
        <v>223</v>
      </c>
      <c r="AB50" s="161" t="s">
        <v>278</v>
      </c>
      <c r="AC50" s="158" t="s">
        <v>130</v>
      </c>
      <c r="AD50" s="155" t="s">
        <v>133</v>
      </c>
      <c r="AE50" s="155" t="s">
        <v>131</v>
      </c>
      <c r="AF50" s="155" t="s">
        <v>132</v>
      </c>
      <c r="AG50" s="155"/>
    </row>
    <row r="51" spans="1:33" ht="24" customHeight="1">
      <c r="A51" s="38"/>
      <c r="B51" s="38"/>
      <c r="C51" s="132" t="s">
        <v>3054</v>
      </c>
      <c r="D51" s="99"/>
      <c r="E51" s="100"/>
      <c r="F51" s="272"/>
      <c r="G51" s="136"/>
      <c r="H51" s="94" t="s">
        <v>11</v>
      </c>
      <c r="I51" s="94" t="s">
        <v>11</v>
      </c>
      <c r="J51" s="2609"/>
      <c r="K51" s="2610"/>
      <c r="L51" s="2611"/>
      <c r="M51" s="523"/>
      <c r="N51" s="524"/>
      <c r="O51" s="226"/>
      <c r="P51" s="227"/>
      <c r="Q51" s="228"/>
      <c r="R51" s="228"/>
      <c r="S51" s="228"/>
      <c r="T51" s="228"/>
      <c r="U51" s="228"/>
      <c r="V51" s="228"/>
      <c r="W51" s="228"/>
      <c r="X51" s="229"/>
      <c r="Y51" s="229"/>
      <c r="Z51" s="229"/>
      <c r="AA51" s="229"/>
      <c r="AB51" s="231"/>
      <c r="AC51" s="230"/>
      <c r="AD51" s="228"/>
      <c r="AE51" s="228"/>
      <c r="AF51" s="228"/>
      <c r="AG51" s="228"/>
    </row>
    <row r="52" spans="1:33" s="39" customFormat="1" ht="24" customHeight="1">
      <c r="A52" s="38"/>
      <c r="B52" s="38"/>
      <c r="C52" s="105"/>
      <c r="D52" s="65"/>
      <c r="E52" s="102"/>
      <c r="F52" s="273"/>
      <c r="G52" s="118"/>
      <c r="H52" s="137"/>
      <c r="I52" s="104" t="str">
        <f>IF(F52="","",INT(F52*H52))</f>
        <v/>
      </c>
      <c r="J52" s="65"/>
      <c r="K52" s="65"/>
      <c r="L52" s="66"/>
      <c r="M52" s="525"/>
      <c r="N52" s="520"/>
      <c r="O52" s="226"/>
      <c r="P52" s="227"/>
      <c r="Q52" s="228"/>
      <c r="R52" s="228"/>
      <c r="S52" s="228"/>
      <c r="T52" s="228"/>
      <c r="U52" s="228"/>
      <c r="V52" s="228"/>
      <c r="W52" s="228"/>
      <c r="X52" s="229"/>
      <c r="Y52" s="229"/>
      <c r="Z52" s="229"/>
      <c r="AA52" s="229"/>
      <c r="AB52" s="231"/>
      <c r="AC52" s="230"/>
      <c r="AD52" s="228"/>
      <c r="AE52" s="228"/>
      <c r="AF52" s="228"/>
      <c r="AG52" s="228"/>
    </row>
    <row r="53" spans="1:33" s="39" customFormat="1" ht="24" customHeight="1">
      <c r="A53" s="2536">
        <v>3</v>
      </c>
      <c r="B53" s="2536">
        <v>3</v>
      </c>
      <c r="C53" s="128">
        <v>1004003</v>
      </c>
      <c r="D53" s="788" t="s">
        <v>3058</v>
      </c>
      <c r="E53" s="117" t="s">
        <v>3059</v>
      </c>
      <c r="F53" s="273">
        <v>-1</v>
      </c>
      <c r="G53" s="118" t="s">
        <v>3035</v>
      </c>
      <c r="H53" s="135"/>
      <c r="I53" s="104">
        <v>-30166</v>
      </c>
      <c r="J53" s="64" t="s">
        <v>3060</v>
      </c>
      <c r="K53" s="65"/>
      <c r="L53" s="66"/>
      <c r="M53" s="525"/>
      <c r="N53" s="520"/>
      <c r="O53" s="2537">
        <v>23</v>
      </c>
      <c r="P53" s="227"/>
      <c r="Q53" s="228"/>
      <c r="R53" s="228"/>
      <c r="S53" s="228"/>
      <c r="T53" s="228"/>
      <c r="U53" s="228"/>
      <c r="V53" s="228"/>
      <c r="W53" s="228"/>
      <c r="X53" s="229"/>
      <c r="Y53" s="229"/>
      <c r="Z53" s="229"/>
      <c r="AA53" s="229"/>
      <c r="AB53" s="231"/>
      <c r="AC53" s="230"/>
      <c r="AD53" s="228"/>
      <c r="AE53" s="228"/>
      <c r="AF53" s="228"/>
      <c r="AG53" s="228"/>
    </row>
    <row r="54" spans="1:33" s="39" customFormat="1" ht="24" customHeight="1">
      <c r="A54" s="38"/>
      <c r="B54" s="38"/>
      <c r="C54" s="128"/>
      <c r="D54" s="129"/>
      <c r="E54" s="117"/>
      <c r="F54" s="273"/>
      <c r="G54" s="118"/>
      <c r="H54" s="135"/>
      <c r="I54" s="104" t="str">
        <f t="shared" ref="I54:I55" si="1">IF(F54="","",INT(F54*H54))</f>
        <v/>
      </c>
      <c r="J54" s="64" t="s">
        <v>3061</v>
      </c>
      <c r="K54" s="65"/>
      <c r="L54" s="66"/>
      <c r="M54" s="525"/>
      <c r="N54" s="520"/>
      <c r="O54" s="2537"/>
      <c r="P54" s="227"/>
      <c r="Q54" s="228"/>
      <c r="R54" s="228"/>
      <c r="S54" s="228"/>
      <c r="T54" s="228"/>
      <c r="U54" s="228"/>
      <c r="V54" s="228"/>
      <c r="W54" s="228"/>
      <c r="X54" s="229"/>
      <c r="Y54" s="229"/>
      <c r="Z54" s="229"/>
      <c r="AA54" s="229"/>
      <c r="AB54" s="231"/>
      <c r="AC54" s="230"/>
      <c r="AD54" s="228"/>
      <c r="AE54" s="228"/>
      <c r="AF54" s="228"/>
      <c r="AG54" s="228"/>
    </row>
    <row r="55" spans="1:33" s="39" customFormat="1" ht="24" customHeight="1">
      <c r="A55" s="38"/>
      <c r="B55" s="38"/>
      <c r="C55" s="128"/>
      <c r="D55" s="129"/>
      <c r="E55" s="117"/>
      <c r="F55" s="273"/>
      <c r="G55" s="118"/>
      <c r="H55" s="135"/>
      <c r="I55" s="104" t="str">
        <f t="shared" si="1"/>
        <v/>
      </c>
      <c r="J55" s="64"/>
      <c r="K55" s="65"/>
      <c r="L55" s="66"/>
      <c r="M55" s="525"/>
      <c r="N55" s="520"/>
      <c r="O55" s="226"/>
      <c r="P55" s="227"/>
      <c r="Q55" s="228"/>
      <c r="R55" s="228"/>
      <c r="S55" s="228"/>
      <c r="T55" s="228"/>
      <c r="U55" s="228"/>
      <c r="V55" s="228"/>
      <c r="W55" s="228"/>
      <c r="X55" s="229"/>
      <c r="Y55" s="229"/>
      <c r="Z55" s="229"/>
      <c r="AA55" s="229"/>
      <c r="AB55" s="231"/>
      <c r="AC55" s="230"/>
      <c r="AD55" s="228"/>
      <c r="AE55" s="228"/>
      <c r="AF55" s="228"/>
      <c r="AG55" s="228"/>
    </row>
    <row r="56" spans="1:33" s="39" customFormat="1" ht="24" customHeight="1">
      <c r="A56" s="2536">
        <v>3</v>
      </c>
      <c r="B56" s="2536">
        <v>3</v>
      </c>
      <c r="C56" s="128">
        <v>1004003</v>
      </c>
      <c r="D56" s="788" t="s">
        <v>3058</v>
      </c>
      <c r="E56" s="117" t="s">
        <v>3065</v>
      </c>
      <c r="F56" s="273">
        <v>1</v>
      </c>
      <c r="G56" s="118" t="s">
        <v>3035</v>
      </c>
      <c r="H56" s="135"/>
      <c r="I56" s="104">
        <v>30341</v>
      </c>
      <c r="J56" s="64" t="s">
        <v>3063</v>
      </c>
      <c r="K56" s="65"/>
      <c r="L56" s="66"/>
      <c r="M56" s="525"/>
      <c r="N56" s="520"/>
      <c r="O56" s="226">
        <v>23</v>
      </c>
      <c r="P56" s="227"/>
      <c r="Q56" s="228"/>
      <c r="R56" s="228"/>
      <c r="S56" s="228"/>
      <c r="T56" s="228"/>
      <c r="U56" s="228"/>
      <c r="V56" s="228"/>
      <c r="W56" s="228"/>
      <c r="X56" s="229"/>
      <c r="Y56" s="229"/>
      <c r="Z56" s="229"/>
      <c r="AA56" s="229"/>
      <c r="AB56" s="231"/>
      <c r="AC56" s="230"/>
      <c r="AD56" s="228"/>
      <c r="AE56" s="228"/>
      <c r="AF56" s="228"/>
      <c r="AG56" s="228"/>
    </row>
    <row r="57" spans="1:33" s="39" customFormat="1" ht="24" customHeight="1">
      <c r="A57" s="38"/>
      <c r="B57" s="38"/>
      <c r="C57" s="128"/>
      <c r="D57" s="129"/>
      <c r="E57" s="117"/>
      <c r="F57" s="273"/>
      <c r="G57" s="118"/>
      <c r="H57" s="135"/>
      <c r="I57" s="104" t="str">
        <f t="shared" ref="I57" si="2">IF(F57="","",INT(F57*H57))</f>
        <v/>
      </c>
      <c r="J57" s="64" t="s">
        <v>3061</v>
      </c>
      <c r="K57" s="65"/>
      <c r="L57" s="66"/>
      <c r="M57" s="525"/>
      <c r="N57" s="520"/>
      <c r="O57" s="226"/>
      <c r="P57" s="227"/>
      <c r="Q57" s="228"/>
      <c r="R57" s="228"/>
      <c r="S57" s="228"/>
      <c r="T57" s="228"/>
      <c r="U57" s="228"/>
      <c r="V57" s="228"/>
      <c r="W57" s="228"/>
      <c r="X57" s="229"/>
      <c r="Y57" s="229"/>
      <c r="Z57" s="229"/>
      <c r="AA57" s="229"/>
      <c r="AB57" s="231"/>
      <c r="AC57" s="230"/>
      <c r="AD57" s="228"/>
      <c r="AE57" s="228"/>
      <c r="AF57" s="228"/>
      <c r="AG57" s="228"/>
    </row>
    <row r="58" spans="1:33" s="39" customFormat="1" ht="24" customHeight="1">
      <c r="A58" s="38"/>
      <c r="B58" s="38"/>
      <c r="C58" s="105"/>
      <c r="D58" s="65"/>
      <c r="E58" s="102"/>
      <c r="F58" s="273"/>
      <c r="G58" s="118"/>
      <c r="H58" s="137"/>
      <c r="I58" s="104" t="str">
        <f t="shared" ref="I58:I69" si="3">IF(F58="","",INT(F58*H58))</f>
        <v/>
      </c>
      <c r="J58" s="65"/>
      <c r="K58" s="65"/>
      <c r="L58" s="66"/>
      <c r="M58" s="525"/>
      <c r="N58" s="520"/>
      <c r="O58" s="226"/>
      <c r="P58" s="227"/>
      <c r="Q58" s="228"/>
      <c r="R58" s="228"/>
      <c r="S58" s="228"/>
      <c r="T58" s="228"/>
      <c r="U58" s="228"/>
      <c r="V58" s="228"/>
      <c r="W58" s="228"/>
      <c r="X58" s="229"/>
      <c r="Y58" s="229"/>
      <c r="Z58" s="229"/>
      <c r="AA58" s="229"/>
      <c r="AB58" s="231"/>
      <c r="AC58" s="230"/>
      <c r="AD58" s="228"/>
      <c r="AE58" s="228"/>
      <c r="AF58" s="228"/>
      <c r="AG58" s="228"/>
    </row>
    <row r="59" spans="1:33" s="39" customFormat="1" ht="24" customHeight="1">
      <c r="A59" s="38"/>
      <c r="B59" s="38"/>
      <c r="C59" s="105"/>
      <c r="D59" s="65"/>
      <c r="E59" s="102"/>
      <c r="F59" s="273"/>
      <c r="G59" s="118"/>
      <c r="H59" s="137"/>
      <c r="I59" s="104" t="str">
        <f t="shared" si="3"/>
        <v/>
      </c>
      <c r="J59" s="65"/>
      <c r="K59" s="65"/>
      <c r="L59" s="66"/>
      <c r="M59" s="525"/>
      <c r="N59" s="520"/>
      <c r="O59" s="226"/>
      <c r="P59" s="227"/>
      <c r="Q59" s="228"/>
      <c r="R59" s="228"/>
      <c r="S59" s="228"/>
      <c r="T59" s="228"/>
      <c r="U59" s="228"/>
      <c r="V59" s="228"/>
      <c r="W59" s="228"/>
      <c r="X59" s="229"/>
      <c r="Y59" s="229"/>
      <c r="Z59" s="229"/>
      <c r="AA59" s="229"/>
      <c r="AB59" s="231"/>
      <c r="AC59" s="230"/>
      <c r="AD59" s="228"/>
      <c r="AE59" s="228"/>
      <c r="AF59" s="228"/>
      <c r="AG59" s="228"/>
    </row>
    <row r="60" spans="1:33" s="39" customFormat="1" ht="24" customHeight="1">
      <c r="A60" s="38"/>
      <c r="B60" s="38"/>
      <c r="C60" s="105"/>
      <c r="D60" s="65"/>
      <c r="E60" s="102"/>
      <c r="F60" s="273"/>
      <c r="G60" s="118"/>
      <c r="H60" s="137"/>
      <c r="I60" s="104" t="str">
        <f t="shared" si="3"/>
        <v/>
      </c>
      <c r="J60" s="65"/>
      <c r="K60" s="65"/>
      <c r="L60" s="66"/>
      <c r="M60" s="525"/>
      <c r="N60" s="520"/>
      <c r="O60" s="226"/>
      <c r="P60" s="227"/>
      <c r="Q60" s="228"/>
      <c r="R60" s="228"/>
      <c r="S60" s="228"/>
      <c r="T60" s="228"/>
      <c r="U60" s="228"/>
      <c r="V60" s="228"/>
      <c r="W60" s="228"/>
      <c r="X60" s="229"/>
      <c r="Y60" s="229"/>
      <c r="Z60" s="229"/>
      <c r="AA60" s="229"/>
      <c r="AB60" s="231"/>
      <c r="AC60" s="230"/>
      <c r="AD60" s="228"/>
      <c r="AE60" s="228"/>
      <c r="AF60" s="228"/>
      <c r="AG60" s="228"/>
    </row>
    <row r="61" spans="1:33" s="39" customFormat="1" ht="24" customHeight="1">
      <c r="A61" s="38"/>
      <c r="B61" s="38"/>
      <c r="C61" s="105"/>
      <c r="D61" s="65"/>
      <c r="E61" s="102"/>
      <c r="F61" s="273"/>
      <c r="G61" s="118"/>
      <c r="H61" s="137"/>
      <c r="I61" s="104" t="str">
        <f t="shared" si="3"/>
        <v/>
      </c>
      <c r="J61" s="65"/>
      <c r="K61" s="65"/>
      <c r="L61" s="66"/>
      <c r="M61" s="525"/>
      <c r="N61" s="520"/>
      <c r="O61" s="226"/>
      <c r="P61" s="227"/>
      <c r="Q61" s="228"/>
      <c r="R61" s="228"/>
      <c r="S61" s="228"/>
      <c r="T61" s="228"/>
      <c r="U61" s="228"/>
      <c r="V61" s="228"/>
      <c r="W61" s="228"/>
      <c r="X61" s="229"/>
      <c r="Y61" s="229"/>
      <c r="Z61" s="229"/>
      <c r="AA61" s="229"/>
      <c r="AB61" s="231"/>
      <c r="AC61" s="230"/>
      <c r="AD61" s="228"/>
      <c r="AE61" s="228"/>
      <c r="AF61" s="228"/>
      <c r="AG61" s="228"/>
    </row>
    <row r="62" spans="1:33" s="39" customFormat="1" ht="24" customHeight="1">
      <c r="A62" s="38"/>
      <c r="B62" s="38"/>
      <c r="C62" s="105"/>
      <c r="D62" s="65"/>
      <c r="E62" s="102"/>
      <c r="F62" s="273"/>
      <c r="G62" s="118"/>
      <c r="H62" s="137"/>
      <c r="I62" s="104" t="str">
        <f t="shared" si="3"/>
        <v/>
      </c>
      <c r="J62" s="65"/>
      <c r="K62" s="65"/>
      <c r="L62" s="66"/>
      <c r="M62" s="525"/>
      <c r="N62" s="520"/>
      <c r="O62" s="226"/>
      <c r="P62" s="227"/>
      <c r="Q62" s="228"/>
      <c r="R62" s="228"/>
      <c r="S62" s="228"/>
      <c r="T62" s="228"/>
      <c r="U62" s="228"/>
      <c r="V62" s="228"/>
      <c r="W62" s="228"/>
      <c r="X62" s="229"/>
      <c r="Y62" s="229"/>
      <c r="Z62" s="229"/>
      <c r="AA62" s="229"/>
      <c r="AB62" s="231"/>
      <c r="AC62" s="230"/>
      <c r="AD62" s="228"/>
      <c r="AE62" s="228"/>
      <c r="AF62" s="228"/>
      <c r="AG62" s="228"/>
    </row>
    <row r="63" spans="1:33" s="39" customFormat="1" ht="24" customHeight="1">
      <c r="A63" s="38"/>
      <c r="B63" s="38"/>
      <c r="C63" s="105"/>
      <c r="D63" s="65"/>
      <c r="E63" s="102"/>
      <c r="F63" s="273"/>
      <c r="G63" s="118"/>
      <c r="H63" s="137"/>
      <c r="I63" s="104" t="str">
        <f t="shared" si="3"/>
        <v/>
      </c>
      <c r="J63" s="65"/>
      <c r="K63" s="65"/>
      <c r="L63" s="66"/>
      <c r="M63" s="525"/>
      <c r="N63" s="520"/>
      <c r="O63" s="226"/>
      <c r="P63" s="227"/>
      <c r="Q63" s="228"/>
      <c r="R63" s="228"/>
      <c r="S63" s="228"/>
      <c r="T63" s="228"/>
      <c r="U63" s="228"/>
      <c r="V63" s="228"/>
      <c r="W63" s="228"/>
      <c r="X63" s="229"/>
      <c r="Y63" s="229"/>
      <c r="Z63" s="229"/>
      <c r="AA63" s="229"/>
      <c r="AB63" s="231"/>
      <c r="AC63" s="230"/>
      <c r="AD63" s="228"/>
      <c r="AE63" s="228"/>
      <c r="AF63" s="228"/>
      <c r="AG63" s="228"/>
    </row>
    <row r="64" spans="1:33" s="39" customFormat="1" ht="24" customHeight="1">
      <c r="A64" s="38"/>
      <c r="B64" s="38"/>
      <c r="C64" s="105"/>
      <c r="D64" s="65"/>
      <c r="E64" s="102"/>
      <c r="F64" s="273"/>
      <c r="G64" s="118"/>
      <c r="H64" s="137"/>
      <c r="I64" s="104" t="str">
        <f t="shared" si="3"/>
        <v/>
      </c>
      <c r="J64" s="65"/>
      <c r="K64" s="65"/>
      <c r="L64" s="66"/>
      <c r="M64" s="525"/>
      <c r="N64" s="520"/>
      <c r="O64" s="226"/>
      <c r="P64" s="227"/>
      <c r="Q64" s="228"/>
      <c r="R64" s="228"/>
      <c r="S64" s="228"/>
      <c r="T64" s="228"/>
      <c r="U64" s="228"/>
      <c r="V64" s="228"/>
      <c r="W64" s="228"/>
      <c r="X64" s="229"/>
      <c r="Y64" s="229"/>
      <c r="Z64" s="229"/>
      <c r="AA64" s="229"/>
      <c r="AB64" s="231"/>
      <c r="AC64" s="230"/>
      <c r="AD64" s="228"/>
      <c r="AE64" s="228"/>
      <c r="AF64" s="228"/>
      <c r="AG64" s="228"/>
    </row>
    <row r="65" spans="1:34" s="39" customFormat="1" ht="24" customHeight="1">
      <c r="A65" s="38"/>
      <c r="B65" s="38"/>
      <c r="C65" s="105"/>
      <c r="D65" s="65"/>
      <c r="E65" s="102"/>
      <c r="F65" s="273"/>
      <c r="G65" s="118"/>
      <c r="H65" s="137"/>
      <c r="I65" s="104" t="str">
        <f t="shared" si="3"/>
        <v/>
      </c>
      <c r="J65" s="65"/>
      <c r="K65" s="65"/>
      <c r="L65" s="66"/>
      <c r="M65" s="525"/>
      <c r="N65" s="520"/>
      <c r="O65" s="226"/>
      <c r="P65" s="227"/>
      <c r="Q65" s="228"/>
      <c r="R65" s="228"/>
      <c r="S65" s="228"/>
      <c r="T65" s="228"/>
      <c r="U65" s="228"/>
      <c r="V65" s="228"/>
      <c r="W65" s="228"/>
      <c r="X65" s="229"/>
      <c r="Y65" s="229"/>
      <c r="Z65" s="229"/>
      <c r="AA65" s="229"/>
      <c r="AB65" s="231"/>
      <c r="AC65" s="230"/>
      <c r="AD65" s="228"/>
      <c r="AE65" s="228"/>
      <c r="AF65" s="228"/>
      <c r="AG65" s="228"/>
    </row>
    <row r="66" spans="1:34" s="39" customFormat="1" ht="24" customHeight="1">
      <c r="A66" s="38"/>
      <c r="B66" s="38"/>
      <c r="C66" s="105"/>
      <c r="D66" s="65"/>
      <c r="E66" s="102"/>
      <c r="F66" s="273"/>
      <c r="G66" s="118"/>
      <c r="H66" s="137"/>
      <c r="I66" s="104" t="str">
        <f t="shared" si="3"/>
        <v/>
      </c>
      <c r="J66" s="65"/>
      <c r="K66" s="65"/>
      <c r="L66" s="66"/>
      <c r="M66" s="525"/>
      <c r="N66" s="520"/>
      <c r="O66" s="226"/>
      <c r="P66" s="227"/>
      <c r="Q66" s="228"/>
      <c r="R66" s="228"/>
      <c r="S66" s="228"/>
      <c r="T66" s="228"/>
      <c r="U66" s="228"/>
      <c r="V66" s="228"/>
      <c r="W66" s="228"/>
      <c r="X66" s="229"/>
      <c r="Y66" s="229"/>
      <c r="Z66" s="229"/>
      <c r="AA66" s="229"/>
      <c r="AB66" s="231"/>
      <c r="AC66" s="230"/>
      <c r="AD66" s="228"/>
      <c r="AE66" s="228"/>
      <c r="AF66" s="228"/>
      <c r="AG66" s="228"/>
    </row>
    <row r="67" spans="1:34" s="39" customFormat="1" ht="24" customHeight="1">
      <c r="A67" s="38"/>
      <c r="B67" s="38"/>
      <c r="C67" s="105"/>
      <c r="D67" s="65"/>
      <c r="E67" s="102"/>
      <c r="F67" s="273"/>
      <c r="G67" s="118"/>
      <c r="H67" s="137"/>
      <c r="I67" s="104" t="str">
        <f t="shared" si="3"/>
        <v/>
      </c>
      <c r="J67" s="65"/>
      <c r="K67" s="65"/>
      <c r="L67" s="66"/>
      <c r="M67" s="525"/>
      <c r="N67" s="520"/>
      <c r="O67" s="226"/>
      <c r="P67" s="227"/>
      <c r="Q67" s="228"/>
      <c r="R67" s="228"/>
      <c r="S67" s="228"/>
      <c r="T67" s="228"/>
      <c r="U67" s="228"/>
      <c r="V67" s="228"/>
      <c r="W67" s="228"/>
      <c r="X67" s="229"/>
      <c r="Y67" s="229"/>
      <c r="Z67" s="229"/>
      <c r="AA67" s="229"/>
      <c r="AB67" s="231"/>
      <c r="AC67" s="230"/>
      <c r="AD67" s="228"/>
      <c r="AE67" s="228"/>
      <c r="AF67" s="228"/>
      <c r="AG67" s="228"/>
    </row>
    <row r="68" spans="1:34" s="39" customFormat="1" ht="24" customHeight="1">
      <c r="A68" s="38"/>
      <c r="B68" s="38"/>
      <c r="C68" s="105"/>
      <c r="D68" s="65"/>
      <c r="E68" s="102"/>
      <c r="F68" s="273"/>
      <c r="G68" s="118"/>
      <c r="H68" s="137"/>
      <c r="I68" s="104" t="str">
        <f t="shared" si="3"/>
        <v/>
      </c>
      <c r="J68" s="65"/>
      <c r="K68" s="65"/>
      <c r="L68" s="66"/>
      <c r="M68" s="525"/>
      <c r="N68" s="520"/>
      <c r="O68" s="226"/>
      <c r="P68" s="227"/>
      <c r="Q68" s="228"/>
      <c r="R68" s="228"/>
      <c r="S68" s="228"/>
      <c r="T68" s="228"/>
      <c r="U68" s="228"/>
      <c r="V68" s="228"/>
      <c r="W68" s="228"/>
      <c r="X68" s="229"/>
      <c r="Y68" s="229"/>
      <c r="Z68" s="229"/>
      <c r="AA68" s="229"/>
      <c r="AB68" s="231"/>
      <c r="AC68" s="230"/>
      <c r="AD68" s="228"/>
      <c r="AE68" s="228"/>
      <c r="AF68" s="228"/>
      <c r="AG68" s="228"/>
    </row>
    <row r="69" spans="1:34" s="39" customFormat="1" ht="24" customHeight="1">
      <c r="A69" s="38"/>
      <c r="B69" s="38"/>
      <c r="C69" s="105"/>
      <c r="D69" s="65"/>
      <c r="E69" s="102"/>
      <c r="F69" s="273"/>
      <c r="G69" s="118"/>
      <c r="H69" s="137"/>
      <c r="I69" s="104" t="str">
        <f t="shared" si="3"/>
        <v/>
      </c>
      <c r="J69" s="65"/>
      <c r="K69" s="65"/>
      <c r="L69" s="66"/>
      <c r="M69" s="525"/>
      <c r="N69" s="520"/>
      <c r="O69" s="226"/>
      <c r="P69" s="227"/>
      <c r="Q69" s="228"/>
      <c r="R69" s="228"/>
      <c r="S69" s="228"/>
      <c r="T69" s="228"/>
      <c r="U69" s="228"/>
      <c r="V69" s="228"/>
      <c r="W69" s="228"/>
      <c r="X69" s="229"/>
      <c r="Y69" s="229"/>
      <c r="Z69" s="229"/>
      <c r="AA69" s="229"/>
      <c r="AB69" s="231"/>
      <c r="AC69" s="230"/>
      <c r="AD69" s="228"/>
      <c r="AE69" s="228"/>
      <c r="AF69" s="228"/>
      <c r="AG69" s="228"/>
    </row>
    <row r="70" spans="1:34" ht="24" customHeight="1" thickBot="1">
      <c r="A70" s="38"/>
      <c r="B70" s="38"/>
      <c r="C70" s="106"/>
      <c r="D70" s="95" t="s">
        <v>8</v>
      </c>
      <c r="E70" s="107"/>
      <c r="F70" s="274"/>
      <c r="G70" s="121"/>
      <c r="H70" s="131" t="s">
        <v>70</v>
      </c>
      <c r="I70" s="108">
        <f>SUM(I52:I69)</f>
        <v>175</v>
      </c>
      <c r="J70" s="825" t="str">
        <f>IF(C51="部分撤去工事","）うち費用",")")</f>
        <v>)</v>
      </c>
      <c r="K70" s="824">
        <f>IF(C51="部分撤去工事",(K47+L70),0)</f>
        <v>0</v>
      </c>
      <c r="L70" s="823">
        <f>IF(C51="部分撤去工事",SUMIF(N52:N69,"費用",I52:I69),0)</f>
        <v>0</v>
      </c>
      <c r="M70" s="526"/>
      <c r="N70" s="527"/>
      <c r="O70" s="226"/>
      <c r="P70" s="227"/>
      <c r="Q70" s="228"/>
      <c r="R70" s="228"/>
      <c r="S70" s="228"/>
      <c r="T70" s="228"/>
      <c r="U70" s="228"/>
      <c r="V70" s="228"/>
      <c r="W70" s="228"/>
      <c r="X70" s="229"/>
      <c r="Y70" s="229"/>
      <c r="Z70" s="229"/>
      <c r="AA70" s="229"/>
      <c r="AB70" s="231"/>
      <c r="AC70" s="230"/>
      <c r="AD70" s="228"/>
      <c r="AE70" s="228"/>
      <c r="AF70" s="228"/>
      <c r="AG70" s="228"/>
    </row>
    <row r="71" spans="1:34" ht="14.25" customHeight="1">
      <c r="E71" s="124" t="s">
        <v>88</v>
      </c>
      <c r="F71" s="125">
        <f>+F48+1</f>
        <v>12</v>
      </c>
      <c r="G71" s="126" t="s">
        <v>49</v>
      </c>
      <c r="H71" s="127">
        <f>+H48</f>
        <v>15</v>
      </c>
      <c r="I71" s="127"/>
      <c r="M71" s="33" t="str">
        <f>IF(A73="","EOL","")</f>
        <v/>
      </c>
      <c r="N71" s="1">
        <f>+F71</f>
        <v>12</v>
      </c>
      <c r="O71" s="1"/>
      <c r="P71" s="1"/>
    </row>
    <row r="72" spans="1:34" ht="26.1" customHeight="1" thickBot="1">
      <c r="C72" s="2615" t="s">
        <v>333</v>
      </c>
      <c r="D72" s="2615"/>
      <c r="E72" s="2615"/>
      <c r="F72" s="2615"/>
      <c r="G72" s="2615"/>
      <c r="H72" s="2615"/>
      <c r="I72" s="2615"/>
      <c r="J72" s="2615"/>
      <c r="K72" s="2615"/>
      <c r="L72" s="2615"/>
      <c r="O72" s="2616" t="s">
        <v>134</v>
      </c>
      <c r="P72" s="2616"/>
      <c r="Q72" s="2616"/>
      <c r="R72" s="2616"/>
      <c r="S72" s="2616"/>
      <c r="T72" s="2616"/>
      <c r="U72" s="2616"/>
      <c r="V72" s="2616"/>
      <c r="W72" s="2616"/>
      <c r="X72" s="2616"/>
      <c r="Y72" s="2616"/>
      <c r="Z72" s="2616"/>
      <c r="AA72" s="2616"/>
      <c r="AB72" s="2616"/>
      <c r="AC72" s="2616"/>
      <c r="AD72" s="2616"/>
      <c r="AE72" s="2616"/>
      <c r="AF72" s="2616"/>
      <c r="AG72" s="2616"/>
      <c r="AH72" s="2617"/>
    </row>
    <row r="73" spans="1:34" ht="41.25" customHeight="1">
      <c r="A73" s="5" t="s">
        <v>10</v>
      </c>
      <c r="B73" s="5" t="s">
        <v>44</v>
      </c>
      <c r="C73" s="113" t="s">
        <v>0</v>
      </c>
      <c r="D73" s="109"/>
      <c r="E73" s="110" t="s">
        <v>1</v>
      </c>
      <c r="F73" s="111" t="s">
        <v>2</v>
      </c>
      <c r="G73" s="111" t="s">
        <v>3</v>
      </c>
      <c r="H73" s="112" t="s">
        <v>4</v>
      </c>
      <c r="I73" s="112" t="s">
        <v>5</v>
      </c>
      <c r="J73" s="2612" t="s">
        <v>6</v>
      </c>
      <c r="K73" s="2613"/>
      <c r="L73" s="2614"/>
      <c r="M73" s="521"/>
      <c r="N73" s="522" t="s">
        <v>390</v>
      </c>
      <c r="O73" s="157" t="s">
        <v>67</v>
      </c>
      <c r="P73" s="386" t="s">
        <v>275</v>
      </c>
      <c r="Q73" s="275" t="s">
        <v>317</v>
      </c>
      <c r="R73" s="275" t="s">
        <v>218</v>
      </c>
      <c r="S73" s="275" t="s">
        <v>219</v>
      </c>
      <c r="T73" s="275" t="s">
        <v>276</v>
      </c>
      <c r="U73" s="275" t="s">
        <v>128</v>
      </c>
      <c r="V73" s="156" t="s">
        <v>127</v>
      </c>
      <c r="W73" s="275" t="s">
        <v>277</v>
      </c>
      <c r="X73" s="223" t="s">
        <v>220</v>
      </c>
      <c r="Y73" s="223" t="s">
        <v>221</v>
      </c>
      <c r="Z73" s="223" t="s">
        <v>222</v>
      </c>
      <c r="AA73" s="223" t="s">
        <v>223</v>
      </c>
      <c r="AB73" s="223" t="s">
        <v>278</v>
      </c>
      <c r="AC73" s="458" t="s">
        <v>326</v>
      </c>
      <c r="AD73" s="459" t="s">
        <v>327</v>
      </c>
      <c r="AE73" s="460" t="s">
        <v>130</v>
      </c>
      <c r="AF73" s="155" t="s">
        <v>133</v>
      </c>
      <c r="AG73" s="155" t="s">
        <v>131</v>
      </c>
      <c r="AH73" s="155" t="s">
        <v>132</v>
      </c>
    </row>
    <row r="74" spans="1:34" ht="24" customHeight="1">
      <c r="A74" s="38"/>
      <c r="B74" s="38"/>
      <c r="C74" s="132" t="s">
        <v>2987</v>
      </c>
      <c r="D74" s="133"/>
      <c r="E74" s="134"/>
      <c r="F74" s="272"/>
      <c r="G74" s="101"/>
      <c r="H74" s="93" t="s">
        <v>11</v>
      </c>
      <c r="I74" s="93" t="s">
        <v>11</v>
      </c>
      <c r="J74" s="2609"/>
      <c r="K74" s="2610"/>
      <c r="L74" s="2611"/>
      <c r="M74" s="523"/>
      <c r="N74" s="524"/>
      <c r="O74" s="226"/>
      <c r="P74" s="227"/>
      <c r="Q74" s="228"/>
      <c r="R74" s="228"/>
      <c r="S74" s="228"/>
      <c r="T74" s="228"/>
      <c r="U74" s="228"/>
      <c r="V74" s="228"/>
      <c r="W74" s="228"/>
      <c r="X74" s="229"/>
      <c r="Y74" s="229"/>
      <c r="Z74" s="229"/>
      <c r="AA74" s="229"/>
      <c r="AB74" s="229"/>
      <c r="AC74" s="228"/>
      <c r="AD74" s="461"/>
      <c r="AE74" s="462"/>
      <c r="AF74" s="228"/>
      <c r="AG74" s="228"/>
      <c r="AH74" s="463"/>
    </row>
    <row r="75" spans="1:34" s="39" customFormat="1" ht="24" customHeight="1">
      <c r="A75" s="38"/>
      <c r="B75" s="38"/>
      <c r="C75" s="128"/>
      <c r="D75" s="129"/>
      <c r="E75" s="117"/>
      <c r="F75" s="273"/>
      <c r="G75" s="118"/>
      <c r="H75" s="135"/>
      <c r="I75" s="104" t="str">
        <f t="shared" ref="I75:I92" si="4">IF(F75="","",INT(F75*H75))</f>
        <v/>
      </c>
      <c r="J75" s="64"/>
      <c r="K75" s="65"/>
      <c r="L75" s="66"/>
      <c r="M75" s="525"/>
      <c r="N75" s="520"/>
      <c r="O75" s="226"/>
      <c r="P75" s="227"/>
      <c r="Q75" s="228"/>
      <c r="R75" s="228"/>
      <c r="S75" s="228"/>
      <c r="T75" s="228"/>
      <c r="U75" s="228"/>
      <c r="V75" s="228"/>
      <c r="W75" s="228"/>
      <c r="X75" s="229"/>
      <c r="Y75" s="229"/>
      <c r="Z75" s="229"/>
      <c r="AA75" s="229"/>
      <c r="AB75" s="229"/>
      <c r="AC75" s="228"/>
      <c r="AD75" s="461"/>
      <c r="AE75" s="462"/>
      <c r="AF75" s="228"/>
      <c r="AG75" s="228"/>
      <c r="AH75" s="216"/>
    </row>
    <row r="76" spans="1:34" s="39" customFormat="1" ht="24" customHeight="1">
      <c r="A76" s="38">
        <v>3</v>
      </c>
      <c r="B76" s="38">
        <v>3</v>
      </c>
      <c r="C76" s="128">
        <v>13041020</v>
      </c>
      <c r="D76" s="788" t="s">
        <v>3074</v>
      </c>
      <c r="E76" s="117" t="s">
        <v>3075</v>
      </c>
      <c r="F76" s="273">
        <v>1</v>
      </c>
      <c r="G76" s="118" t="s">
        <v>3076</v>
      </c>
      <c r="H76" s="135">
        <v>2380</v>
      </c>
      <c r="I76" s="104">
        <f>IF(F76="","",INT(F76*H76))</f>
        <v>2380</v>
      </c>
      <c r="J76" s="64" t="s">
        <v>3077</v>
      </c>
      <c r="K76" s="65"/>
      <c r="L76" s="66"/>
      <c r="M76" s="525"/>
      <c r="N76" s="520"/>
      <c r="O76" s="226">
        <v>1</v>
      </c>
      <c r="P76" s="227"/>
      <c r="Q76" s="228"/>
      <c r="R76" s="228"/>
      <c r="S76" s="228"/>
      <c r="T76" s="228"/>
      <c r="U76" s="228"/>
      <c r="V76" s="228"/>
      <c r="W76" s="228"/>
      <c r="X76" s="229"/>
      <c r="Y76" s="229"/>
      <c r="Z76" s="229"/>
      <c r="AA76" s="229"/>
      <c r="AB76" s="229"/>
      <c r="AC76" s="228"/>
      <c r="AD76" s="461"/>
      <c r="AE76" s="462"/>
      <c r="AF76" s="228"/>
      <c r="AG76" s="228"/>
      <c r="AH76" s="216"/>
    </row>
    <row r="77" spans="1:34" s="39" customFormat="1" ht="24" customHeight="1">
      <c r="A77" s="38">
        <v>3</v>
      </c>
      <c r="B77" s="38">
        <v>3</v>
      </c>
      <c r="C77" s="128">
        <v>14087</v>
      </c>
      <c r="D77" s="788" t="s">
        <v>3078</v>
      </c>
      <c r="E77" s="117" t="s">
        <v>3079</v>
      </c>
      <c r="F77" s="273">
        <v>1</v>
      </c>
      <c r="G77" s="118" t="s">
        <v>3076</v>
      </c>
      <c r="H77" s="135">
        <v>8130</v>
      </c>
      <c r="I77" s="104">
        <f>IF(F77="","",INT(F77*H77))</f>
        <v>8130</v>
      </c>
      <c r="J77" s="64"/>
      <c r="K77" s="65"/>
      <c r="L77" s="66"/>
      <c r="M77" s="525"/>
      <c r="N77" s="520"/>
      <c r="O77" s="226">
        <v>2</v>
      </c>
      <c r="P77" s="227"/>
      <c r="Q77" s="228"/>
      <c r="R77" s="228"/>
      <c r="S77" s="228"/>
      <c r="T77" s="228"/>
      <c r="U77" s="228"/>
      <c r="V77" s="228"/>
      <c r="W77" s="228"/>
      <c r="X77" s="229"/>
      <c r="Y77" s="229"/>
      <c r="Z77" s="229"/>
      <c r="AA77" s="229"/>
      <c r="AB77" s="229"/>
      <c r="AC77" s="228"/>
      <c r="AD77" s="461"/>
      <c r="AE77" s="462"/>
      <c r="AF77" s="228"/>
      <c r="AG77" s="228"/>
      <c r="AH77" s="216"/>
    </row>
    <row r="78" spans="1:34" s="39" customFormat="1" ht="24" customHeight="1">
      <c r="A78" s="38">
        <v>3</v>
      </c>
      <c r="B78" s="38">
        <v>3</v>
      </c>
      <c r="C78" s="128">
        <v>14081</v>
      </c>
      <c r="D78" s="788" t="s">
        <v>3080</v>
      </c>
      <c r="E78" s="117" t="s">
        <v>3081</v>
      </c>
      <c r="F78" s="273">
        <v>1</v>
      </c>
      <c r="G78" s="118" t="s">
        <v>3076</v>
      </c>
      <c r="H78" s="135">
        <v>9500</v>
      </c>
      <c r="I78" s="104">
        <f>IF(F78="","",INT(F78*H78))</f>
        <v>9500</v>
      </c>
      <c r="J78" s="64"/>
      <c r="K78" s="65"/>
      <c r="L78" s="66"/>
      <c r="M78" s="525"/>
      <c r="N78" s="520"/>
      <c r="O78" s="226">
        <v>0</v>
      </c>
      <c r="P78" s="227"/>
      <c r="Q78" s="228"/>
      <c r="R78" s="228"/>
      <c r="S78" s="228"/>
      <c r="T78" s="228"/>
      <c r="U78" s="228"/>
      <c r="V78" s="228"/>
      <c r="W78" s="228"/>
      <c r="X78" s="229"/>
      <c r="Y78" s="229"/>
      <c r="Z78" s="229"/>
      <c r="AA78" s="229"/>
      <c r="AB78" s="229"/>
      <c r="AC78" s="228"/>
      <c r="AD78" s="461"/>
      <c r="AE78" s="462"/>
      <c r="AF78" s="228"/>
      <c r="AG78" s="228"/>
      <c r="AH78" s="216"/>
    </row>
    <row r="79" spans="1:34" s="39" customFormat="1" ht="24" customHeight="1">
      <c r="A79" s="38">
        <v>3</v>
      </c>
      <c r="B79" s="38">
        <v>3</v>
      </c>
      <c r="C79" s="128">
        <v>1346005</v>
      </c>
      <c r="D79" s="788" t="s">
        <v>3082</v>
      </c>
      <c r="E79" s="117" t="s">
        <v>3083</v>
      </c>
      <c r="F79" s="273">
        <v>1</v>
      </c>
      <c r="G79" s="118" t="s">
        <v>3084</v>
      </c>
      <c r="H79" s="135">
        <v>1570</v>
      </c>
      <c r="I79" s="104">
        <f>IF(F79="","",INT(F79*H79))</f>
        <v>1570</v>
      </c>
      <c r="J79" s="64" t="s">
        <v>3085</v>
      </c>
      <c r="K79" s="65"/>
      <c r="L79" s="66"/>
      <c r="M79" s="525"/>
      <c r="N79" s="520"/>
      <c r="O79" s="226">
        <v>0</v>
      </c>
      <c r="P79" s="227"/>
      <c r="Q79" s="228"/>
      <c r="R79" s="228"/>
      <c r="S79" s="228"/>
      <c r="T79" s="228"/>
      <c r="U79" s="228"/>
      <c r="V79" s="228"/>
      <c r="W79" s="228"/>
      <c r="X79" s="229"/>
      <c r="Y79" s="229"/>
      <c r="Z79" s="229"/>
      <c r="AA79" s="229"/>
      <c r="AB79" s="229"/>
      <c r="AC79" s="228"/>
      <c r="AD79" s="461"/>
      <c r="AE79" s="462"/>
      <c r="AF79" s="228"/>
      <c r="AG79" s="228"/>
      <c r="AH79" s="216"/>
    </row>
    <row r="80" spans="1:34" s="39" customFormat="1" ht="24" customHeight="1">
      <c r="A80" s="38">
        <v>3</v>
      </c>
      <c r="B80" s="38">
        <v>3</v>
      </c>
      <c r="C80" s="128">
        <v>30494</v>
      </c>
      <c r="D80" s="788" t="s">
        <v>3086</v>
      </c>
      <c r="E80" s="117" t="s">
        <v>3087</v>
      </c>
      <c r="F80" s="273">
        <v>1</v>
      </c>
      <c r="G80" s="118" t="s">
        <v>3076</v>
      </c>
      <c r="H80" s="135">
        <v>4800</v>
      </c>
      <c r="I80" s="104">
        <f>IF(F80="","",INT(F80*H80))</f>
        <v>4800</v>
      </c>
      <c r="J80" s="64" t="s">
        <v>3088</v>
      </c>
      <c r="K80" s="65"/>
      <c r="L80" s="66"/>
      <c r="M80" s="525"/>
      <c r="N80" s="520"/>
      <c r="O80" s="226">
        <v>0</v>
      </c>
      <c r="P80" s="227"/>
      <c r="Q80" s="228"/>
      <c r="R80" s="228"/>
      <c r="S80" s="228"/>
      <c r="T80" s="228"/>
      <c r="U80" s="228"/>
      <c r="V80" s="228"/>
      <c r="W80" s="228"/>
      <c r="X80" s="229"/>
      <c r="Y80" s="229"/>
      <c r="Z80" s="229"/>
      <c r="AA80" s="229"/>
      <c r="AB80" s="229"/>
      <c r="AC80" s="228"/>
      <c r="AD80" s="461"/>
      <c r="AE80" s="462"/>
      <c r="AF80" s="228"/>
      <c r="AG80" s="228"/>
      <c r="AH80" s="216"/>
    </row>
    <row r="81" spans="1:34" s="39" customFormat="1" ht="24" customHeight="1">
      <c r="A81" s="38"/>
      <c r="B81" s="38"/>
      <c r="C81" s="128"/>
      <c r="D81" s="129"/>
      <c r="E81" s="117"/>
      <c r="F81" s="273"/>
      <c r="G81" s="118"/>
      <c r="H81" s="135"/>
      <c r="I81" s="104" t="str">
        <f t="shared" si="4"/>
        <v/>
      </c>
      <c r="J81" s="64"/>
      <c r="K81" s="65"/>
      <c r="L81" s="66"/>
      <c r="M81" s="525"/>
      <c r="N81" s="520"/>
      <c r="O81" s="226"/>
      <c r="P81" s="227"/>
      <c r="Q81" s="228"/>
      <c r="R81" s="228"/>
      <c r="S81" s="228"/>
      <c r="T81" s="228"/>
      <c r="U81" s="228"/>
      <c r="V81" s="228"/>
      <c r="W81" s="228"/>
      <c r="X81" s="229"/>
      <c r="Y81" s="229"/>
      <c r="Z81" s="229"/>
      <c r="AA81" s="229"/>
      <c r="AB81" s="229"/>
      <c r="AC81" s="228"/>
      <c r="AD81" s="461"/>
      <c r="AE81" s="462"/>
      <c r="AF81" s="228"/>
      <c r="AG81" s="228"/>
      <c r="AH81" s="216"/>
    </row>
    <row r="82" spans="1:34" s="39" customFormat="1" ht="24" customHeight="1">
      <c r="A82" s="38">
        <v>3</v>
      </c>
      <c r="B82" s="38">
        <v>3</v>
      </c>
      <c r="C82" s="128">
        <v>13041010</v>
      </c>
      <c r="D82" s="788" t="s">
        <v>3074</v>
      </c>
      <c r="E82" s="117" t="s">
        <v>3089</v>
      </c>
      <c r="F82" s="273">
        <v>1</v>
      </c>
      <c r="G82" s="118" t="s">
        <v>3076</v>
      </c>
      <c r="H82" s="135">
        <v>2020</v>
      </c>
      <c r="I82" s="104">
        <f>IF(F82="","",INT(F82*H82))</f>
        <v>2020</v>
      </c>
      <c r="J82" s="64" t="s">
        <v>3077</v>
      </c>
      <c r="K82" s="65"/>
      <c r="L82" s="66"/>
      <c r="M82" s="525"/>
      <c r="N82" s="520"/>
      <c r="O82" s="226">
        <v>1</v>
      </c>
      <c r="P82" s="227"/>
      <c r="Q82" s="228"/>
      <c r="R82" s="228"/>
      <c r="S82" s="228"/>
      <c r="T82" s="228"/>
      <c r="U82" s="228"/>
      <c r="V82" s="228"/>
      <c r="W82" s="228"/>
      <c r="X82" s="229"/>
      <c r="Y82" s="229"/>
      <c r="Z82" s="229"/>
      <c r="AA82" s="229"/>
      <c r="AB82" s="229"/>
      <c r="AC82" s="228"/>
      <c r="AD82" s="461"/>
      <c r="AE82" s="462"/>
      <c r="AF82" s="228"/>
      <c r="AG82" s="228"/>
      <c r="AH82" s="216"/>
    </row>
    <row r="83" spans="1:34" s="39" customFormat="1" ht="24" customHeight="1">
      <c r="A83" s="38">
        <v>3</v>
      </c>
      <c r="B83" s="38">
        <v>3</v>
      </c>
      <c r="C83" s="128">
        <v>14086</v>
      </c>
      <c r="D83" s="788" t="s">
        <v>3078</v>
      </c>
      <c r="E83" s="117" t="s">
        <v>3090</v>
      </c>
      <c r="F83" s="273">
        <v>1</v>
      </c>
      <c r="G83" s="118" t="s">
        <v>3076</v>
      </c>
      <c r="H83" s="135">
        <v>6480</v>
      </c>
      <c r="I83" s="104">
        <f>IF(F83="","",INT(F83*H83))</f>
        <v>6480</v>
      </c>
      <c r="J83" s="64"/>
      <c r="K83" s="65"/>
      <c r="L83" s="66"/>
      <c r="M83" s="525"/>
      <c r="N83" s="520"/>
      <c r="O83" s="226">
        <v>2</v>
      </c>
      <c r="P83" s="227"/>
      <c r="Q83" s="228"/>
      <c r="R83" s="228"/>
      <c r="S83" s="228"/>
      <c r="T83" s="228"/>
      <c r="U83" s="228"/>
      <c r="V83" s="228"/>
      <c r="W83" s="228"/>
      <c r="X83" s="229"/>
      <c r="Y83" s="229"/>
      <c r="Z83" s="229"/>
      <c r="AA83" s="229"/>
      <c r="AB83" s="229"/>
      <c r="AC83" s="228"/>
      <c r="AD83" s="461"/>
      <c r="AE83" s="462"/>
      <c r="AF83" s="228"/>
      <c r="AG83" s="228"/>
      <c r="AH83" s="216"/>
    </row>
    <row r="84" spans="1:34" s="39" customFormat="1" ht="24" customHeight="1">
      <c r="A84" s="38">
        <v>3</v>
      </c>
      <c r="B84" s="38">
        <v>3</v>
      </c>
      <c r="C84" s="128">
        <v>14080</v>
      </c>
      <c r="D84" s="788" t="s">
        <v>3080</v>
      </c>
      <c r="E84" s="117" t="s">
        <v>3091</v>
      </c>
      <c r="F84" s="273">
        <v>1</v>
      </c>
      <c r="G84" s="118" t="s">
        <v>3076</v>
      </c>
      <c r="H84" s="135">
        <v>8380</v>
      </c>
      <c r="I84" s="104">
        <f>IF(F84="","",INT(F84*H84))</f>
        <v>8380</v>
      </c>
      <c r="J84" s="64"/>
      <c r="K84" s="65"/>
      <c r="L84" s="66"/>
      <c r="M84" s="525"/>
      <c r="N84" s="520"/>
      <c r="O84" s="226">
        <v>0</v>
      </c>
      <c r="P84" s="227"/>
      <c r="Q84" s="228"/>
      <c r="R84" s="228"/>
      <c r="S84" s="228"/>
      <c r="T84" s="228"/>
      <c r="U84" s="228"/>
      <c r="V84" s="228"/>
      <c r="W84" s="228"/>
      <c r="X84" s="229"/>
      <c r="Y84" s="229"/>
      <c r="Z84" s="229"/>
      <c r="AA84" s="229"/>
      <c r="AB84" s="229"/>
      <c r="AC84" s="228"/>
      <c r="AD84" s="461"/>
      <c r="AE84" s="462"/>
      <c r="AF84" s="228"/>
      <c r="AG84" s="228"/>
      <c r="AH84" s="216"/>
    </row>
    <row r="85" spans="1:34" s="39" customFormat="1" ht="24" customHeight="1">
      <c r="A85" s="38">
        <v>3</v>
      </c>
      <c r="B85" s="38">
        <v>3</v>
      </c>
      <c r="C85" s="128">
        <v>1346005</v>
      </c>
      <c r="D85" s="788" t="s">
        <v>3082</v>
      </c>
      <c r="E85" s="117" t="s">
        <v>3083</v>
      </c>
      <c r="F85" s="273">
        <v>1</v>
      </c>
      <c r="G85" s="118" t="s">
        <v>3084</v>
      </c>
      <c r="H85" s="135">
        <v>1570</v>
      </c>
      <c r="I85" s="104">
        <f>IF(F85="","",INT(F85*H85))</f>
        <v>1570</v>
      </c>
      <c r="J85" s="64" t="s">
        <v>3085</v>
      </c>
      <c r="K85" s="65"/>
      <c r="L85" s="66"/>
      <c r="M85" s="525"/>
      <c r="N85" s="520"/>
      <c r="O85" s="226">
        <v>0</v>
      </c>
      <c r="P85" s="227"/>
      <c r="Q85" s="228"/>
      <c r="R85" s="228"/>
      <c r="S85" s="228"/>
      <c r="T85" s="228"/>
      <c r="U85" s="228"/>
      <c r="V85" s="228"/>
      <c r="W85" s="228"/>
      <c r="X85" s="229"/>
      <c r="Y85" s="229"/>
      <c r="Z85" s="229"/>
      <c r="AA85" s="229"/>
      <c r="AB85" s="229"/>
      <c r="AC85" s="228"/>
      <c r="AD85" s="461"/>
      <c r="AE85" s="462"/>
      <c r="AF85" s="228"/>
      <c r="AG85" s="228"/>
      <c r="AH85" s="216"/>
    </row>
    <row r="86" spans="1:34" s="39" customFormat="1" ht="24" customHeight="1">
      <c r="A86" s="38">
        <v>3</v>
      </c>
      <c r="B86" s="38">
        <v>3</v>
      </c>
      <c r="C86" s="128">
        <v>30471</v>
      </c>
      <c r="D86" s="788" t="s">
        <v>3092</v>
      </c>
      <c r="E86" s="117" t="s">
        <v>3093</v>
      </c>
      <c r="F86" s="273">
        <v>1</v>
      </c>
      <c r="G86" s="118" t="s">
        <v>3076</v>
      </c>
      <c r="H86" s="135">
        <v>4200</v>
      </c>
      <c r="I86" s="104">
        <f>IF(F86="","",INT(F86*H86))</f>
        <v>4200</v>
      </c>
      <c r="J86" s="64" t="s">
        <v>3088</v>
      </c>
      <c r="K86" s="65"/>
      <c r="L86" s="66"/>
      <c r="M86" s="525"/>
      <c r="N86" s="520"/>
      <c r="O86" s="226">
        <v>0</v>
      </c>
      <c r="P86" s="227"/>
      <c r="Q86" s="228"/>
      <c r="R86" s="228"/>
      <c r="S86" s="228"/>
      <c r="T86" s="228"/>
      <c r="U86" s="228"/>
      <c r="V86" s="228"/>
      <c r="W86" s="228"/>
      <c r="X86" s="229"/>
      <c r="Y86" s="229"/>
      <c r="Z86" s="229"/>
      <c r="AA86" s="229"/>
      <c r="AB86" s="229"/>
      <c r="AC86" s="228"/>
      <c r="AD86" s="461"/>
      <c r="AE86" s="462"/>
      <c r="AF86" s="228"/>
      <c r="AG86" s="228"/>
      <c r="AH86" s="216"/>
    </row>
    <row r="87" spans="1:34" s="39" customFormat="1" ht="24" customHeight="1">
      <c r="A87" s="38"/>
      <c r="B87" s="38"/>
      <c r="C87" s="128"/>
      <c r="D87" s="129"/>
      <c r="E87" s="117"/>
      <c r="F87" s="273"/>
      <c r="G87" s="118"/>
      <c r="H87" s="135"/>
      <c r="I87" s="104" t="str">
        <f t="shared" si="4"/>
        <v/>
      </c>
      <c r="J87" s="64"/>
      <c r="K87" s="65"/>
      <c r="L87" s="66"/>
      <c r="M87" s="525"/>
      <c r="N87" s="520"/>
      <c r="O87" s="226"/>
      <c r="P87" s="227"/>
      <c r="Q87" s="228"/>
      <c r="R87" s="228"/>
      <c r="S87" s="228"/>
      <c r="T87" s="228"/>
      <c r="U87" s="228"/>
      <c r="V87" s="228"/>
      <c r="W87" s="228"/>
      <c r="X87" s="229"/>
      <c r="Y87" s="229"/>
      <c r="Z87" s="229"/>
      <c r="AA87" s="229"/>
      <c r="AB87" s="229"/>
      <c r="AC87" s="228"/>
      <c r="AD87" s="461"/>
      <c r="AE87" s="462"/>
      <c r="AF87" s="228"/>
      <c r="AG87" s="228"/>
      <c r="AH87" s="216"/>
    </row>
    <row r="88" spans="1:34" s="39" customFormat="1" ht="24" customHeight="1">
      <c r="A88" s="38"/>
      <c r="B88" s="38"/>
      <c r="C88" s="128"/>
      <c r="D88" s="129"/>
      <c r="E88" s="117"/>
      <c r="F88" s="273"/>
      <c r="G88" s="118"/>
      <c r="H88" s="135"/>
      <c r="I88" s="104" t="str">
        <f t="shared" si="4"/>
        <v/>
      </c>
      <c r="J88" s="64"/>
      <c r="K88" s="65"/>
      <c r="L88" s="66"/>
      <c r="M88" s="525"/>
      <c r="N88" s="520"/>
      <c r="O88" s="226"/>
      <c r="P88" s="227"/>
      <c r="Q88" s="228"/>
      <c r="R88" s="228"/>
      <c r="S88" s="228"/>
      <c r="T88" s="228"/>
      <c r="U88" s="228"/>
      <c r="V88" s="228"/>
      <c r="W88" s="228"/>
      <c r="X88" s="229"/>
      <c r="Y88" s="229"/>
      <c r="Z88" s="229"/>
      <c r="AA88" s="229"/>
      <c r="AB88" s="229"/>
      <c r="AC88" s="228"/>
      <c r="AD88" s="461"/>
      <c r="AE88" s="462"/>
      <c r="AF88" s="228"/>
      <c r="AG88" s="228"/>
      <c r="AH88" s="216"/>
    </row>
    <row r="89" spans="1:34" s="39" customFormat="1" ht="24" customHeight="1">
      <c r="A89" s="38"/>
      <c r="B89" s="38"/>
      <c r="C89" s="128"/>
      <c r="D89" s="129"/>
      <c r="E89" s="117"/>
      <c r="F89" s="273"/>
      <c r="G89" s="118"/>
      <c r="H89" s="135"/>
      <c r="I89" s="104" t="str">
        <f t="shared" si="4"/>
        <v/>
      </c>
      <c r="J89" s="64"/>
      <c r="K89" s="65"/>
      <c r="L89" s="66"/>
      <c r="M89" s="525"/>
      <c r="N89" s="520"/>
      <c r="O89" s="226"/>
      <c r="P89" s="227"/>
      <c r="Q89" s="228"/>
      <c r="R89" s="228"/>
      <c r="S89" s="228"/>
      <c r="T89" s="228"/>
      <c r="U89" s="228"/>
      <c r="V89" s="228"/>
      <c r="W89" s="228"/>
      <c r="X89" s="229"/>
      <c r="Y89" s="229"/>
      <c r="Z89" s="229"/>
      <c r="AA89" s="229"/>
      <c r="AB89" s="229"/>
      <c r="AC89" s="228"/>
      <c r="AD89" s="461"/>
      <c r="AE89" s="462"/>
      <c r="AF89" s="228"/>
      <c r="AG89" s="228"/>
      <c r="AH89" s="216"/>
    </row>
    <row r="90" spans="1:34" s="39" customFormat="1" ht="24" customHeight="1">
      <c r="A90" s="38"/>
      <c r="B90" s="38"/>
      <c r="C90" s="128"/>
      <c r="D90" s="129"/>
      <c r="E90" s="117"/>
      <c r="F90" s="273"/>
      <c r="G90" s="118"/>
      <c r="H90" s="135"/>
      <c r="I90" s="104" t="str">
        <f t="shared" si="4"/>
        <v/>
      </c>
      <c r="J90" s="64"/>
      <c r="K90" s="65"/>
      <c r="L90" s="66"/>
      <c r="M90" s="525"/>
      <c r="N90" s="520"/>
      <c r="O90" s="226"/>
      <c r="P90" s="227"/>
      <c r="Q90" s="228"/>
      <c r="R90" s="228"/>
      <c r="S90" s="228"/>
      <c r="T90" s="228"/>
      <c r="U90" s="228"/>
      <c r="V90" s="228"/>
      <c r="W90" s="228"/>
      <c r="X90" s="229"/>
      <c r="Y90" s="229"/>
      <c r="Z90" s="229"/>
      <c r="AA90" s="229"/>
      <c r="AB90" s="229"/>
      <c r="AC90" s="228"/>
      <c r="AD90" s="461"/>
      <c r="AE90" s="462"/>
      <c r="AF90" s="228"/>
      <c r="AG90" s="228"/>
      <c r="AH90" s="216"/>
    </row>
    <row r="91" spans="1:34" s="39" customFormat="1" ht="24" customHeight="1">
      <c r="A91" s="38"/>
      <c r="B91" s="38"/>
      <c r="C91" s="128"/>
      <c r="D91" s="129"/>
      <c r="E91" s="117"/>
      <c r="F91" s="273"/>
      <c r="G91" s="118"/>
      <c r="H91" s="135"/>
      <c r="I91" s="104" t="str">
        <f t="shared" si="4"/>
        <v/>
      </c>
      <c r="J91" s="64"/>
      <c r="K91" s="65"/>
      <c r="L91" s="66"/>
      <c r="M91" s="525"/>
      <c r="N91" s="520"/>
      <c r="O91" s="226"/>
      <c r="P91" s="227"/>
      <c r="Q91" s="228"/>
      <c r="R91" s="228"/>
      <c r="S91" s="228"/>
      <c r="T91" s="228"/>
      <c r="U91" s="228"/>
      <c r="V91" s="228"/>
      <c r="W91" s="228"/>
      <c r="X91" s="229"/>
      <c r="Y91" s="229"/>
      <c r="Z91" s="229"/>
      <c r="AA91" s="229"/>
      <c r="AB91" s="229"/>
      <c r="AC91" s="228"/>
      <c r="AD91" s="461"/>
      <c r="AE91" s="462"/>
      <c r="AF91" s="228"/>
      <c r="AG91" s="228"/>
      <c r="AH91" s="216"/>
    </row>
    <row r="92" spans="1:34" s="39" customFormat="1" ht="24" customHeight="1">
      <c r="A92" s="38"/>
      <c r="B92" s="38"/>
      <c r="C92" s="128"/>
      <c r="D92" s="129"/>
      <c r="E92" s="117"/>
      <c r="F92" s="273"/>
      <c r="G92" s="118"/>
      <c r="H92" s="135"/>
      <c r="I92" s="104" t="str">
        <f t="shared" si="4"/>
        <v/>
      </c>
      <c r="J92" s="64"/>
      <c r="K92" s="65"/>
      <c r="L92" s="66"/>
      <c r="M92" s="525"/>
      <c r="N92" s="520"/>
      <c r="O92" s="226"/>
      <c r="P92" s="227"/>
      <c r="Q92" s="228"/>
      <c r="R92" s="228"/>
      <c r="S92" s="228"/>
      <c r="T92" s="228"/>
      <c r="U92" s="228"/>
      <c r="V92" s="228"/>
      <c r="W92" s="228"/>
      <c r="X92" s="229"/>
      <c r="Y92" s="229"/>
      <c r="Z92" s="229"/>
      <c r="AA92" s="229"/>
      <c r="AB92" s="229"/>
      <c r="AC92" s="228"/>
      <c r="AD92" s="461"/>
      <c r="AE92" s="462"/>
      <c r="AF92" s="228"/>
      <c r="AG92" s="228"/>
      <c r="AH92" s="216"/>
    </row>
    <row r="93" spans="1:34" ht="24" customHeight="1" thickBot="1">
      <c r="A93" s="38"/>
      <c r="B93" s="38"/>
      <c r="C93" s="106"/>
      <c r="D93" s="95" t="s">
        <v>8</v>
      </c>
      <c r="E93" s="107"/>
      <c r="F93" s="274"/>
      <c r="G93" s="121"/>
      <c r="H93" s="131" t="s">
        <v>70</v>
      </c>
      <c r="I93" s="108">
        <f>SUM(I75:I92)</f>
        <v>49030</v>
      </c>
      <c r="J93" s="825" t="str">
        <f>IF(C74="部分撤去工事","）うち費用",")")</f>
        <v>)</v>
      </c>
      <c r="K93" s="824">
        <f>IF(C74="部分撤去工事",(K70+L93),0)</f>
        <v>0</v>
      </c>
      <c r="L93" s="823">
        <f>IF(C74="部分撤去工事",SUMIF(N75:N92,"費用",I75:I92),0)</f>
        <v>0</v>
      </c>
      <c r="M93" s="526"/>
      <c r="N93" s="527"/>
      <c r="O93" s="226"/>
      <c r="P93" s="227"/>
      <c r="Q93" s="228"/>
      <c r="R93" s="228"/>
      <c r="S93" s="228"/>
      <c r="T93" s="228"/>
      <c r="U93" s="228"/>
      <c r="V93" s="228"/>
      <c r="W93" s="228"/>
      <c r="X93" s="229"/>
      <c r="Y93" s="229"/>
      <c r="Z93" s="229"/>
      <c r="AA93" s="229"/>
      <c r="AB93" s="229"/>
      <c r="AC93" s="228"/>
      <c r="AD93" s="461"/>
      <c r="AE93" s="462"/>
      <c r="AF93" s="228"/>
      <c r="AG93" s="228"/>
      <c r="AH93" s="463"/>
    </row>
    <row r="94" spans="1:34" ht="14.25" customHeight="1">
      <c r="E94" s="124" t="s">
        <v>88</v>
      </c>
      <c r="F94" s="125">
        <f>+F71+1</f>
        <v>13</v>
      </c>
      <c r="G94" s="126" t="s">
        <v>49</v>
      </c>
      <c r="H94" s="127">
        <f>+H71</f>
        <v>15</v>
      </c>
      <c r="I94" s="127"/>
      <c r="M94" s="33" t="str">
        <f>IF(A96="","EOL","")</f>
        <v/>
      </c>
      <c r="N94" s="1">
        <f>+F94</f>
        <v>13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1" customHeight="1" thickBot="1">
      <c r="C95" s="2615" t="s">
        <v>333</v>
      </c>
      <c r="D95" s="2615"/>
      <c r="E95" s="2615"/>
      <c r="F95" s="2615"/>
      <c r="G95" s="2615"/>
      <c r="H95" s="2615"/>
      <c r="I95" s="2615"/>
      <c r="J95" s="2615"/>
      <c r="K95" s="2615"/>
      <c r="L95" s="2615"/>
      <c r="O95" s="2616" t="s">
        <v>134</v>
      </c>
      <c r="P95" s="2616"/>
      <c r="Q95" s="2616"/>
      <c r="R95" s="2616"/>
      <c r="S95" s="2616"/>
      <c r="T95" s="2616"/>
      <c r="U95" s="2616"/>
      <c r="V95" s="2616"/>
      <c r="W95" s="2616"/>
      <c r="X95" s="2616"/>
      <c r="Y95" s="2616"/>
      <c r="Z95" s="2616"/>
      <c r="AA95" s="2616"/>
      <c r="AB95" s="2616"/>
      <c r="AC95" s="2616"/>
      <c r="AD95" s="2616"/>
      <c r="AE95" s="2616"/>
      <c r="AF95" s="2616"/>
      <c r="AG95" s="2616"/>
      <c r="AH95" s="2617"/>
    </row>
    <row r="96" spans="1:34" ht="41.25" customHeight="1">
      <c r="A96" s="5" t="s">
        <v>10</v>
      </c>
      <c r="B96" s="5" t="s">
        <v>44</v>
      </c>
      <c r="C96" s="113" t="s">
        <v>0</v>
      </c>
      <c r="D96" s="109"/>
      <c r="E96" s="110" t="s">
        <v>1</v>
      </c>
      <c r="F96" s="111" t="s">
        <v>2</v>
      </c>
      <c r="G96" s="111" t="s">
        <v>3</v>
      </c>
      <c r="H96" s="112" t="s">
        <v>4</v>
      </c>
      <c r="I96" s="112" t="s">
        <v>5</v>
      </c>
      <c r="J96" s="2612" t="s">
        <v>6</v>
      </c>
      <c r="K96" s="2613"/>
      <c r="L96" s="2614"/>
      <c r="M96" s="521"/>
      <c r="N96" s="522" t="s">
        <v>390</v>
      </c>
      <c r="O96" s="157" t="s">
        <v>67</v>
      </c>
      <c r="P96" s="386" t="s">
        <v>275</v>
      </c>
      <c r="Q96" s="275" t="s">
        <v>317</v>
      </c>
      <c r="R96" s="275" t="s">
        <v>218</v>
      </c>
      <c r="S96" s="275" t="s">
        <v>219</v>
      </c>
      <c r="T96" s="275" t="s">
        <v>276</v>
      </c>
      <c r="U96" s="275" t="s">
        <v>128</v>
      </c>
      <c r="V96" s="156" t="s">
        <v>127</v>
      </c>
      <c r="W96" s="275" t="s">
        <v>277</v>
      </c>
      <c r="X96" s="223" t="s">
        <v>220</v>
      </c>
      <c r="Y96" s="223" t="s">
        <v>221</v>
      </c>
      <c r="Z96" s="223" t="s">
        <v>222</v>
      </c>
      <c r="AA96" s="223" t="s">
        <v>223</v>
      </c>
      <c r="AB96" s="223" t="s">
        <v>278</v>
      </c>
      <c r="AC96" s="458" t="s">
        <v>326</v>
      </c>
      <c r="AD96" s="459" t="s">
        <v>327</v>
      </c>
      <c r="AE96" s="460" t="s">
        <v>130</v>
      </c>
      <c r="AF96" s="155" t="s">
        <v>133</v>
      </c>
      <c r="AG96" s="155" t="s">
        <v>131</v>
      </c>
      <c r="AH96" s="155" t="s">
        <v>132</v>
      </c>
    </row>
    <row r="97" spans="1:34" ht="24" customHeight="1">
      <c r="A97" s="38"/>
      <c r="B97" s="38"/>
      <c r="C97" s="132" t="s">
        <v>3057</v>
      </c>
      <c r="D97" s="133"/>
      <c r="E97" s="134"/>
      <c r="F97" s="272"/>
      <c r="G97" s="101"/>
      <c r="H97" s="93" t="s">
        <v>11</v>
      </c>
      <c r="I97" s="93" t="s">
        <v>11</v>
      </c>
      <c r="J97" s="2609"/>
      <c r="K97" s="2610"/>
      <c r="L97" s="2611"/>
      <c r="M97" s="523"/>
      <c r="N97" s="524"/>
      <c r="O97" s="226"/>
      <c r="P97" s="227"/>
      <c r="Q97" s="228"/>
      <c r="R97" s="228"/>
      <c r="S97" s="228"/>
      <c r="T97" s="228"/>
      <c r="U97" s="228"/>
      <c r="V97" s="228"/>
      <c r="W97" s="228"/>
      <c r="X97" s="229"/>
      <c r="Y97" s="229"/>
      <c r="Z97" s="229"/>
      <c r="AA97" s="229"/>
      <c r="AB97" s="229"/>
      <c r="AC97" s="228"/>
      <c r="AD97" s="461"/>
      <c r="AE97" s="462"/>
      <c r="AF97" s="228"/>
      <c r="AG97" s="228"/>
      <c r="AH97" s="463"/>
    </row>
    <row r="98" spans="1:34" s="39" customFormat="1" ht="24" customHeight="1">
      <c r="A98" s="38"/>
      <c r="B98" s="38"/>
      <c r="C98" s="128"/>
      <c r="D98" s="129"/>
      <c r="E98" s="117"/>
      <c r="F98" s="273"/>
      <c r="G98" s="118"/>
      <c r="H98" s="135"/>
      <c r="I98" s="104" t="str">
        <f t="shared" ref="I98:I115" si="5">IF(F98="","",INT(F98*H98))</f>
        <v/>
      </c>
      <c r="J98" s="64"/>
      <c r="K98" s="65"/>
      <c r="L98" s="66"/>
      <c r="M98" s="525"/>
      <c r="N98" s="520"/>
      <c r="O98" s="226"/>
      <c r="P98" s="227"/>
      <c r="Q98" s="228"/>
      <c r="R98" s="228"/>
      <c r="S98" s="228"/>
      <c r="T98" s="228"/>
      <c r="U98" s="228"/>
      <c r="V98" s="228"/>
      <c r="W98" s="228"/>
      <c r="X98" s="229"/>
      <c r="Y98" s="229"/>
      <c r="Z98" s="229"/>
      <c r="AA98" s="229"/>
      <c r="AB98" s="229"/>
      <c r="AC98" s="228"/>
      <c r="AD98" s="461"/>
      <c r="AE98" s="462"/>
      <c r="AF98" s="228"/>
      <c r="AG98" s="228"/>
      <c r="AH98" s="216"/>
    </row>
    <row r="99" spans="1:34" s="39" customFormat="1" ht="24" customHeight="1">
      <c r="A99" s="38">
        <v>3</v>
      </c>
      <c r="B99" s="38">
        <v>3</v>
      </c>
      <c r="C99" s="128">
        <v>1480013</v>
      </c>
      <c r="D99" s="2538" t="s">
        <v>3066</v>
      </c>
      <c r="E99" s="117" t="s">
        <v>3067</v>
      </c>
      <c r="F99" s="273">
        <v>-1</v>
      </c>
      <c r="G99" s="118" t="s">
        <v>3035</v>
      </c>
      <c r="H99" s="135"/>
      <c r="I99" s="104">
        <v>-32299</v>
      </c>
      <c r="J99" s="64" t="s">
        <v>3068</v>
      </c>
      <c r="K99" s="65"/>
      <c r="L99" s="66"/>
      <c r="M99" s="525"/>
      <c r="N99" s="520"/>
      <c r="O99" s="2537">
        <v>28</v>
      </c>
      <c r="P99" s="227"/>
      <c r="Q99" s="228"/>
      <c r="R99" s="228"/>
      <c r="S99" s="228"/>
      <c r="T99" s="228"/>
      <c r="U99" s="228"/>
      <c r="V99" s="228"/>
      <c r="W99" s="228"/>
      <c r="X99" s="229"/>
      <c r="Y99" s="229"/>
      <c r="Z99" s="229"/>
      <c r="AA99" s="229"/>
      <c r="AB99" s="229"/>
      <c r="AC99" s="228"/>
      <c r="AD99" s="461"/>
      <c r="AE99" s="462"/>
      <c r="AF99" s="228"/>
      <c r="AG99" s="228"/>
      <c r="AH99" s="216"/>
    </row>
    <row r="100" spans="1:34" s="39" customFormat="1" ht="24" customHeight="1">
      <c r="A100" s="38"/>
      <c r="B100" s="38"/>
      <c r="C100" s="128"/>
      <c r="D100" s="788"/>
      <c r="E100" s="117"/>
      <c r="F100" s="273"/>
      <c r="G100" s="118"/>
      <c r="H100" s="135"/>
      <c r="I100" s="104" t="str">
        <f>IF(F100="","",INT(F100*H100))</f>
        <v/>
      </c>
      <c r="J100" s="64" t="s">
        <v>3069</v>
      </c>
      <c r="K100" s="65"/>
      <c r="L100" s="66"/>
      <c r="M100" s="525"/>
      <c r="N100" s="520"/>
      <c r="O100" s="2537"/>
      <c r="P100" s="227"/>
      <c r="Q100" s="228"/>
      <c r="R100" s="228"/>
      <c r="S100" s="228"/>
      <c r="T100" s="228"/>
      <c r="U100" s="228"/>
      <c r="V100" s="228"/>
      <c r="W100" s="228"/>
      <c r="X100" s="229"/>
      <c r="Y100" s="229"/>
      <c r="Z100" s="229"/>
      <c r="AA100" s="229"/>
      <c r="AB100" s="229"/>
      <c r="AC100" s="228"/>
      <c r="AD100" s="461"/>
      <c r="AE100" s="462"/>
      <c r="AF100" s="228"/>
      <c r="AG100" s="228"/>
      <c r="AH100" s="216"/>
    </row>
    <row r="101" spans="1:34" s="39" customFormat="1" ht="24" customHeight="1">
      <c r="A101" s="38"/>
      <c r="B101" s="38"/>
      <c r="C101" s="128"/>
      <c r="D101" s="129"/>
      <c r="E101" s="117"/>
      <c r="F101" s="273"/>
      <c r="G101" s="118"/>
      <c r="H101" s="135"/>
      <c r="I101" s="104" t="str">
        <f t="shared" si="5"/>
        <v/>
      </c>
      <c r="J101" s="64"/>
      <c r="K101" s="65"/>
      <c r="L101" s="66"/>
      <c r="M101" s="525"/>
      <c r="N101" s="520"/>
      <c r="O101" s="226"/>
      <c r="P101" s="227"/>
      <c r="Q101" s="228"/>
      <c r="R101" s="228"/>
      <c r="S101" s="228"/>
      <c r="T101" s="228"/>
      <c r="U101" s="228"/>
      <c r="V101" s="228"/>
      <c r="W101" s="228"/>
      <c r="X101" s="229"/>
      <c r="Y101" s="229"/>
      <c r="Z101" s="229"/>
      <c r="AA101" s="229"/>
      <c r="AB101" s="229"/>
      <c r="AC101" s="228"/>
      <c r="AD101" s="461"/>
      <c r="AE101" s="462"/>
      <c r="AF101" s="228"/>
      <c r="AG101" s="228"/>
      <c r="AH101" s="216"/>
    </row>
    <row r="102" spans="1:34" s="39" customFormat="1" ht="24" customHeight="1">
      <c r="A102" s="38">
        <v>3</v>
      </c>
      <c r="B102" s="38">
        <v>3</v>
      </c>
      <c r="C102" s="128">
        <v>1480013</v>
      </c>
      <c r="D102" s="2538" t="s">
        <v>3066</v>
      </c>
      <c r="E102" s="117" t="s">
        <v>3073</v>
      </c>
      <c r="F102" s="273">
        <v>1</v>
      </c>
      <c r="G102" s="118" t="s">
        <v>3035</v>
      </c>
      <c r="H102" s="135"/>
      <c r="I102" s="104">
        <v>32324</v>
      </c>
      <c r="J102" s="64" t="s">
        <v>3071</v>
      </c>
      <c r="K102" s="65"/>
      <c r="L102" s="66"/>
      <c r="M102" s="525"/>
      <c r="N102" s="520"/>
      <c r="O102" s="226">
        <v>28</v>
      </c>
      <c r="P102" s="227"/>
      <c r="Q102" s="228"/>
      <c r="R102" s="228"/>
      <c r="S102" s="228"/>
      <c r="T102" s="228"/>
      <c r="U102" s="228"/>
      <c r="V102" s="228"/>
      <c r="W102" s="228"/>
      <c r="X102" s="229"/>
      <c r="Y102" s="229"/>
      <c r="Z102" s="229"/>
      <c r="AA102" s="229"/>
      <c r="AB102" s="229"/>
      <c r="AC102" s="228"/>
      <c r="AD102" s="461"/>
      <c r="AE102" s="462"/>
      <c r="AF102" s="228"/>
      <c r="AG102" s="228"/>
      <c r="AH102" s="216"/>
    </row>
    <row r="103" spans="1:34" s="39" customFormat="1" ht="24" customHeight="1">
      <c r="A103" s="38"/>
      <c r="B103" s="38"/>
      <c r="C103" s="128"/>
      <c r="D103" s="129"/>
      <c r="E103" s="117"/>
      <c r="F103" s="273"/>
      <c r="G103" s="118"/>
      <c r="H103" s="135"/>
      <c r="I103" s="104" t="str">
        <f t="shared" si="5"/>
        <v/>
      </c>
      <c r="J103" s="64" t="s">
        <v>3069</v>
      </c>
      <c r="K103" s="65"/>
      <c r="L103" s="66"/>
      <c r="M103" s="525"/>
      <c r="N103" s="520"/>
      <c r="O103" s="226"/>
      <c r="P103" s="227"/>
      <c r="Q103" s="228"/>
      <c r="R103" s="228"/>
      <c r="S103" s="228"/>
      <c r="T103" s="228"/>
      <c r="U103" s="228"/>
      <c r="V103" s="228"/>
      <c r="W103" s="228"/>
      <c r="X103" s="229"/>
      <c r="Y103" s="229"/>
      <c r="Z103" s="229"/>
      <c r="AA103" s="229"/>
      <c r="AB103" s="229"/>
      <c r="AC103" s="228"/>
      <c r="AD103" s="461"/>
      <c r="AE103" s="462"/>
      <c r="AF103" s="228"/>
      <c r="AG103" s="228"/>
      <c r="AH103" s="216"/>
    </row>
    <row r="104" spans="1:34" s="39" customFormat="1" ht="24" customHeight="1">
      <c r="A104" s="38"/>
      <c r="B104" s="38"/>
      <c r="C104" s="128"/>
      <c r="D104" s="129"/>
      <c r="E104" s="117"/>
      <c r="F104" s="273"/>
      <c r="G104" s="118"/>
      <c r="H104" s="135"/>
      <c r="I104" s="104" t="str">
        <f t="shared" si="5"/>
        <v/>
      </c>
      <c r="J104" s="64"/>
      <c r="K104" s="65"/>
      <c r="L104" s="66"/>
      <c r="M104" s="525"/>
      <c r="N104" s="520"/>
      <c r="O104" s="226"/>
      <c r="P104" s="227"/>
      <c r="Q104" s="228"/>
      <c r="R104" s="228"/>
      <c r="S104" s="228"/>
      <c r="T104" s="228"/>
      <c r="U104" s="228"/>
      <c r="V104" s="228"/>
      <c r="W104" s="228"/>
      <c r="X104" s="229"/>
      <c r="Y104" s="229"/>
      <c r="Z104" s="229"/>
      <c r="AA104" s="229"/>
      <c r="AB104" s="229"/>
      <c r="AC104" s="228"/>
      <c r="AD104" s="461"/>
      <c r="AE104" s="462"/>
      <c r="AF104" s="228"/>
      <c r="AG104" s="228"/>
      <c r="AH104" s="216"/>
    </row>
    <row r="105" spans="1:34" s="39" customFormat="1" ht="24" customHeight="1">
      <c r="A105" s="38"/>
      <c r="B105" s="38"/>
      <c r="C105" s="128"/>
      <c r="D105" s="129"/>
      <c r="E105" s="117"/>
      <c r="F105" s="273"/>
      <c r="G105" s="118"/>
      <c r="H105" s="135"/>
      <c r="I105" s="104" t="str">
        <f t="shared" si="5"/>
        <v/>
      </c>
      <c r="J105" s="64"/>
      <c r="K105" s="65"/>
      <c r="L105" s="66"/>
      <c r="M105" s="525"/>
      <c r="N105" s="520"/>
      <c r="O105" s="226"/>
      <c r="P105" s="227"/>
      <c r="Q105" s="228"/>
      <c r="R105" s="228"/>
      <c r="S105" s="228"/>
      <c r="T105" s="228"/>
      <c r="U105" s="228"/>
      <c r="V105" s="228"/>
      <c r="W105" s="228"/>
      <c r="X105" s="229"/>
      <c r="Y105" s="229"/>
      <c r="Z105" s="229"/>
      <c r="AA105" s="229"/>
      <c r="AB105" s="229"/>
      <c r="AC105" s="228"/>
      <c r="AD105" s="461"/>
      <c r="AE105" s="462"/>
      <c r="AF105" s="228"/>
      <c r="AG105" s="228"/>
      <c r="AH105" s="216"/>
    </row>
    <row r="106" spans="1:34" s="39" customFormat="1" ht="24" customHeight="1">
      <c r="A106" s="38"/>
      <c r="B106" s="38"/>
      <c r="C106" s="128"/>
      <c r="D106" s="129"/>
      <c r="E106" s="117"/>
      <c r="F106" s="273"/>
      <c r="G106" s="118"/>
      <c r="H106" s="135"/>
      <c r="I106" s="104" t="str">
        <f t="shared" si="5"/>
        <v/>
      </c>
      <c r="J106" s="64"/>
      <c r="K106" s="65"/>
      <c r="L106" s="66"/>
      <c r="M106" s="525"/>
      <c r="N106" s="520"/>
      <c r="O106" s="226"/>
      <c r="P106" s="227"/>
      <c r="Q106" s="228"/>
      <c r="R106" s="228"/>
      <c r="S106" s="228"/>
      <c r="T106" s="228"/>
      <c r="U106" s="228"/>
      <c r="V106" s="228"/>
      <c r="W106" s="228"/>
      <c r="X106" s="229"/>
      <c r="Y106" s="229"/>
      <c r="Z106" s="229"/>
      <c r="AA106" s="229"/>
      <c r="AB106" s="229"/>
      <c r="AC106" s="228"/>
      <c r="AD106" s="461"/>
      <c r="AE106" s="462"/>
      <c r="AF106" s="228"/>
      <c r="AG106" s="228"/>
      <c r="AH106" s="216"/>
    </row>
    <row r="107" spans="1:34" s="39" customFormat="1" ht="24" customHeight="1">
      <c r="A107" s="38"/>
      <c r="B107" s="38"/>
      <c r="C107" s="128"/>
      <c r="D107" s="129"/>
      <c r="E107" s="117"/>
      <c r="F107" s="273"/>
      <c r="G107" s="118"/>
      <c r="H107" s="135"/>
      <c r="I107" s="104" t="str">
        <f t="shared" si="5"/>
        <v/>
      </c>
      <c r="J107" s="64"/>
      <c r="K107" s="65"/>
      <c r="L107" s="66"/>
      <c r="M107" s="525"/>
      <c r="N107" s="520"/>
      <c r="O107" s="226"/>
      <c r="P107" s="227"/>
      <c r="Q107" s="228"/>
      <c r="R107" s="228"/>
      <c r="S107" s="228"/>
      <c r="T107" s="228"/>
      <c r="U107" s="228"/>
      <c r="V107" s="228"/>
      <c r="W107" s="228"/>
      <c r="X107" s="229"/>
      <c r="Y107" s="229"/>
      <c r="Z107" s="229"/>
      <c r="AA107" s="229"/>
      <c r="AB107" s="229"/>
      <c r="AC107" s="228"/>
      <c r="AD107" s="461"/>
      <c r="AE107" s="462"/>
      <c r="AF107" s="228"/>
      <c r="AG107" s="228"/>
      <c r="AH107" s="216"/>
    </row>
    <row r="108" spans="1:34" s="39" customFormat="1" ht="24" customHeight="1">
      <c r="A108" s="38"/>
      <c r="B108" s="38"/>
      <c r="C108" s="128"/>
      <c r="D108" s="129"/>
      <c r="E108" s="117"/>
      <c r="F108" s="273"/>
      <c r="G108" s="118"/>
      <c r="H108" s="135"/>
      <c r="I108" s="104" t="str">
        <f t="shared" si="5"/>
        <v/>
      </c>
      <c r="J108" s="64"/>
      <c r="K108" s="65"/>
      <c r="L108" s="66"/>
      <c r="M108" s="525"/>
      <c r="N108" s="520"/>
      <c r="O108" s="226"/>
      <c r="P108" s="227"/>
      <c r="Q108" s="228"/>
      <c r="R108" s="228"/>
      <c r="S108" s="228"/>
      <c r="T108" s="228"/>
      <c r="U108" s="228"/>
      <c r="V108" s="228"/>
      <c r="W108" s="228"/>
      <c r="X108" s="229"/>
      <c r="Y108" s="229"/>
      <c r="Z108" s="229"/>
      <c r="AA108" s="229"/>
      <c r="AB108" s="229"/>
      <c r="AC108" s="228"/>
      <c r="AD108" s="461"/>
      <c r="AE108" s="462"/>
      <c r="AF108" s="228"/>
      <c r="AG108" s="228"/>
      <c r="AH108" s="216"/>
    </row>
    <row r="109" spans="1:34" s="39" customFormat="1" ht="24" customHeight="1">
      <c r="A109" s="38"/>
      <c r="B109" s="38"/>
      <c r="C109" s="128"/>
      <c r="D109" s="129"/>
      <c r="E109" s="117"/>
      <c r="F109" s="273"/>
      <c r="G109" s="118"/>
      <c r="H109" s="135"/>
      <c r="I109" s="104" t="str">
        <f t="shared" si="5"/>
        <v/>
      </c>
      <c r="J109" s="64"/>
      <c r="K109" s="65"/>
      <c r="L109" s="66"/>
      <c r="M109" s="525"/>
      <c r="N109" s="520"/>
      <c r="O109" s="226"/>
      <c r="P109" s="227"/>
      <c r="Q109" s="228"/>
      <c r="R109" s="228"/>
      <c r="S109" s="228"/>
      <c r="T109" s="228"/>
      <c r="U109" s="228"/>
      <c r="V109" s="228"/>
      <c r="W109" s="228"/>
      <c r="X109" s="229"/>
      <c r="Y109" s="229"/>
      <c r="Z109" s="229"/>
      <c r="AA109" s="229"/>
      <c r="AB109" s="229"/>
      <c r="AC109" s="228"/>
      <c r="AD109" s="461"/>
      <c r="AE109" s="462"/>
      <c r="AF109" s="228"/>
      <c r="AG109" s="228"/>
      <c r="AH109" s="216"/>
    </row>
    <row r="110" spans="1:34" s="39" customFormat="1" ht="24" customHeight="1">
      <c r="A110" s="38"/>
      <c r="B110" s="38"/>
      <c r="C110" s="128"/>
      <c r="D110" s="129"/>
      <c r="E110" s="117"/>
      <c r="F110" s="273"/>
      <c r="G110" s="118"/>
      <c r="H110" s="135"/>
      <c r="I110" s="104" t="str">
        <f t="shared" si="5"/>
        <v/>
      </c>
      <c r="J110" s="64"/>
      <c r="K110" s="65"/>
      <c r="L110" s="66"/>
      <c r="M110" s="525"/>
      <c r="N110" s="520"/>
      <c r="O110" s="226"/>
      <c r="P110" s="227"/>
      <c r="Q110" s="228"/>
      <c r="R110" s="228"/>
      <c r="S110" s="228"/>
      <c r="T110" s="228"/>
      <c r="U110" s="228"/>
      <c r="V110" s="228"/>
      <c r="W110" s="228"/>
      <c r="X110" s="229"/>
      <c r="Y110" s="229"/>
      <c r="Z110" s="229"/>
      <c r="AA110" s="229"/>
      <c r="AB110" s="229"/>
      <c r="AC110" s="228"/>
      <c r="AD110" s="461"/>
      <c r="AE110" s="462"/>
      <c r="AF110" s="228"/>
      <c r="AG110" s="228"/>
      <c r="AH110" s="216"/>
    </row>
    <row r="111" spans="1:34" s="39" customFormat="1" ht="24" customHeight="1">
      <c r="A111" s="38"/>
      <c r="B111" s="38"/>
      <c r="C111" s="128"/>
      <c r="D111" s="129"/>
      <c r="E111" s="117"/>
      <c r="F111" s="273"/>
      <c r="G111" s="118"/>
      <c r="H111" s="135"/>
      <c r="I111" s="104" t="str">
        <f t="shared" si="5"/>
        <v/>
      </c>
      <c r="J111" s="64"/>
      <c r="K111" s="65"/>
      <c r="L111" s="66"/>
      <c r="M111" s="525"/>
      <c r="N111" s="520"/>
      <c r="O111" s="226"/>
      <c r="P111" s="227"/>
      <c r="Q111" s="228"/>
      <c r="R111" s="228"/>
      <c r="S111" s="228"/>
      <c r="T111" s="228"/>
      <c r="U111" s="228"/>
      <c r="V111" s="228"/>
      <c r="W111" s="228"/>
      <c r="X111" s="229"/>
      <c r="Y111" s="229"/>
      <c r="Z111" s="229"/>
      <c r="AA111" s="229"/>
      <c r="AB111" s="229"/>
      <c r="AC111" s="228"/>
      <c r="AD111" s="461"/>
      <c r="AE111" s="462"/>
      <c r="AF111" s="228"/>
      <c r="AG111" s="228"/>
      <c r="AH111" s="216"/>
    </row>
    <row r="112" spans="1:34" s="39" customFormat="1" ht="24" customHeight="1">
      <c r="A112" s="38"/>
      <c r="B112" s="38"/>
      <c r="C112" s="128"/>
      <c r="D112" s="129"/>
      <c r="E112" s="117"/>
      <c r="F112" s="273"/>
      <c r="G112" s="118"/>
      <c r="H112" s="135"/>
      <c r="I112" s="104" t="str">
        <f t="shared" si="5"/>
        <v/>
      </c>
      <c r="J112" s="64"/>
      <c r="K112" s="65"/>
      <c r="L112" s="66"/>
      <c r="M112" s="525"/>
      <c r="N112" s="520"/>
      <c r="O112" s="226"/>
      <c r="P112" s="227"/>
      <c r="Q112" s="228"/>
      <c r="R112" s="228"/>
      <c r="S112" s="228"/>
      <c r="T112" s="228"/>
      <c r="U112" s="228"/>
      <c r="V112" s="228"/>
      <c r="W112" s="228"/>
      <c r="X112" s="229"/>
      <c r="Y112" s="229"/>
      <c r="Z112" s="229"/>
      <c r="AA112" s="229"/>
      <c r="AB112" s="229"/>
      <c r="AC112" s="228"/>
      <c r="AD112" s="461"/>
      <c r="AE112" s="462"/>
      <c r="AF112" s="228"/>
      <c r="AG112" s="228"/>
      <c r="AH112" s="216"/>
    </row>
    <row r="113" spans="1:34" s="39" customFormat="1" ht="24" customHeight="1">
      <c r="A113" s="38"/>
      <c r="B113" s="38"/>
      <c r="C113" s="128"/>
      <c r="D113" s="129"/>
      <c r="E113" s="117"/>
      <c r="F113" s="273"/>
      <c r="G113" s="118"/>
      <c r="H113" s="135"/>
      <c r="I113" s="104" t="str">
        <f t="shared" si="5"/>
        <v/>
      </c>
      <c r="J113" s="64"/>
      <c r="K113" s="65"/>
      <c r="L113" s="66"/>
      <c r="M113" s="525"/>
      <c r="N113" s="520"/>
      <c r="O113" s="226"/>
      <c r="P113" s="227"/>
      <c r="Q113" s="228"/>
      <c r="R113" s="228"/>
      <c r="S113" s="228"/>
      <c r="T113" s="228"/>
      <c r="U113" s="228"/>
      <c r="V113" s="228"/>
      <c r="W113" s="228"/>
      <c r="X113" s="229"/>
      <c r="Y113" s="229"/>
      <c r="Z113" s="229"/>
      <c r="AA113" s="229"/>
      <c r="AB113" s="229"/>
      <c r="AC113" s="228"/>
      <c r="AD113" s="461"/>
      <c r="AE113" s="462"/>
      <c r="AF113" s="228"/>
      <c r="AG113" s="228"/>
      <c r="AH113" s="216"/>
    </row>
    <row r="114" spans="1:34" s="39" customFormat="1" ht="24" customHeight="1">
      <c r="A114" s="38"/>
      <c r="B114" s="38"/>
      <c r="C114" s="128"/>
      <c r="D114" s="129"/>
      <c r="E114" s="117"/>
      <c r="F114" s="273"/>
      <c r="G114" s="118"/>
      <c r="H114" s="135"/>
      <c r="I114" s="104" t="str">
        <f t="shared" si="5"/>
        <v/>
      </c>
      <c r="J114" s="64"/>
      <c r="K114" s="65"/>
      <c r="L114" s="66"/>
      <c r="M114" s="525"/>
      <c r="N114" s="520"/>
      <c r="O114" s="226"/>
      <c r="P114" s="227"/>
      <c r="Q114" s="228"/>
      <c r="R114" s="228"/>
      <c r="S114" s="228"/>
      <c r="T114" s="228"/>
      <c r="U114" s="228"/>
      <c r="V114" s="228"/>
      <c r="W114" s="228"/>
      <c r="X114" s="229"/>
      <c r="Y114" s="229"/>
      <c r="Z114" s="229"/>
      <c r="AA114" s="229"/>
      <c r="AB114" s="229"/>
      <c r="AC114" s="228"/>
      <c r="AD114" s="461"/>
      <c r="AE114" s="462"/>
      <c r="AF114" s="228"/>
      <c r="AG114" s="228"/>
      <c r="AH114" s="216"/>
    </row>
    <row r="115" spans="1:34" s="39" customFormat="1" ht="24" customHeight="1">
      <c r="A115" s="38"/>
      <c r="B115" s="38"/>
      <c r="C115" s="128"/>
      <c r="D115" s="129"/>
      <c r="E115" s="117"/>
      <c r="F115" s="273"/>
      <c r="G115" s="118"/>
      <c r="H115" s="135"/>
      <c r="I115" s="104" t="str">
        <f t="shared" si="5"/>
        <v/>
      </c>
      <c r="J115" s="64"/>
      <c r="K115" s="65"/>
      <c r="L115" s="66"/>
      <c r="M115" s="525"/>
      <c r="N115" s="520"/>
      <c r="O115" s="226"/>
      <c r="P115" s="227"/>
      <c r="Q115" s="228"/>
      <c r="R115" s="228"/>
      <c r="S115" s="228"/>
      <c r="T115" s="228"/>
      <c r="U115" s="228"/>
      <c r="V115" s="228"/>
      <c r="W115" s="228"/>
      <c r="X115" s="229"/>
      <c r="Y115" s="229"/>
      <c r="Z115" s="229"/>
      <c r="AA115" s="229"/>
      <c r="AB115" s="229"/>
      <c r="AC115" s="228"/>
      <c r="AD115" s="461"/>
      <c r="AE115" s="462"/>
      <c r="AF115" s="228"/>
      <c r="AG115" s="228"/>
      <c r="AH115" s="216"/>
    </row>
    <row r="116" spans="1:34" ht="24" customHeight="1" thickBot="1">
      <c r="A116" s="38"/>
      <c r="B116" s="38"/>
      <c r="C116" s="106"/>
      <c r="D116" s="95" t="s">
        <v>8</v>
      </c>
      <c r="E116" s="107"/>
      <c r="F116" s="274"/>
      <c r="G116" s="121"/>
      <c r="H116" s="131" t="s">
        <v>70</v>
      </c>
      <c r="I116" s="108">
        <f>SUM(I98:I115)</f>
        <v>25</v>
      </c>
      <c r="J116" s="825" t="str">
        <f>IF(C97="部分撤去工事","）うち費用",")")</f>
        <v>)</v>
      </c>
      <c r="K116" s="824">
        <f>IF(C97="部分撤去工事",(K93+L116),0)</f>
        <v>0</v>
      </c>
      <c r="L116" s="823">
        <f>IF(C97="部分撤去工事",SUMIF(N98:N115,"費用",I98:I115),0)</f>
        <v>0</v>
      </c>
      <c r="M116" s="526"/>
      <c r="N116" s="527"/>
      <c r="O116" s="226"/>
      <c r="P116" s="227"/>
      <c r="Q116" s="228"/>
      <c r="R116" s="228"/>
      <c r="S116" s="228"/>
      <c r="T116" s="228"/>
      <c r="U116" s="228"/>
      <c r="V116" s="228"/>
      <c r="W116" s="228"/>
      <c r="X116" s="229"/>
      <c r="Y116" s="229"/>
      <c r="Z116" s="229"/>
      <c r="AA116" s="229"/>
      <c r="AB116" s="229"/>
      <c r="AC116" s="228"/>
      <c r="AD116" s="461"/>
      <c r="AE116" s="462"/>
      <c r="AF116" s="228"/>
      <c r="AG116" s="228"/>
      <c r="AH116" s="463"/>
    </row>
    <row r="117" spans="1:34" ht="14.25" customHeight="1">
      <c r="E117" s="124" t="s">
        <v>88</v>
      </c>
      <c r="F117" s="125">
        <f>+F94+1</f>
        <v>14</v>
      </c>
      <c r="G117" s="126" t="s">
        <v>49</v>
      </c>
      <c r="H117" s="127">
        <f>+H94</f>
        <v>15</v>
      </c>
      <c r="I117" s="127"/>
      <c r="M117" s="33" t="str">
        <f>IF(A119="","EOL","")</f>
        <v/>
      </c>
      <c r="N117" s="1">
        <f>+F117</f>
        <v>14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1" customHeight="1" thickBot="1">
      <c r="C118" s="2615" t="s">
        <v>333</v>
      </c>
      <c r="D118" s="2615"/>
      <c r="E118" s="2615"/>
      <c r="F118" s="2615"/>
      <c r="G118" s="2615"/>
      <c r="H118" s="2615"/>
      <c r="I118" s="2615"/>
      <c r="J118" s="2615"/>
      <c r="K118" s="2615"/>
      <c r="L118" s="2615"/>
      <c r="O118" s="2616" t="s">
        <v>134</v>
      </c>
      <c r="P118" s="2616"/>
      <c r="Q118" s="2616"/>
      <c r="R118" s="2616"/>
      <c r="S118" s="2616"/>
      <c r="T118" s="2616"/>
      <c r="U118" s="2616"/>
      <c r="V118" s="2616"/>
      <c r="W118" s="2616"/>
      <c r="X118" s="2616"/>
      <c r="Y118" s="2616"/>
      <c r="Z118" s="2616"/>
      <c r="AA118" s="2616"/>
      <c r="AB118" s="2616"/>
      <c r="AC118" s="2616"/>
      <c r="AD118" s="2616"/>
      <c r="AE118" s="2616"/>
      <c r="AF118" s="2616"/>
      <c r="AG118" s="2616"/>
      <c r="AH118" s="2617"/>
    </row>
    <row r="119" spans="1:34" ht="41.25" customHeight="1">
      <c r="A119" s="5" t="s">
        <v>10</v>
      </c>
      <c r="B119" s="5" t="s">
        <v>44</v>
      </c>
      <c r="C119" s="113" t="s">
        <v>0</v>
      </c>
      <c r="D119" s="109"/>
      <c r="E119" s="110" t="s">
        <v>1</v>
      </c>
      <c r="F119" s="111" t="s">
        <v>2</v>
      </c>
      <c r="G119" s="111" t="s">
        <v>3</v>
      </c>
      <c r="H119" s="112" t="s">
        <v>4</v>
      </c>
      <c r="I119" s="112" t="s">
        <v>5</v>
      </c>
      <c r="J119" s="2612" t="s">
        <v>6</v>
      </c>
      <c r="K119" s="2613"/>
      <c r="L119" s="2614"/>
      <c r="M119" s="521"/>
      <c r="N119" s="522" t="s">
        <v>390</v>
      </c>
      <c r="O119" s="157" t="s">
        <v>67</v>
      </c>
      <c r="P119" s="386" t="s">
        <v>275</v>
      </c>
      <c r="Q119" s="275" t="s">
        <v>317</v>
      </c>
      <c r="R119" s="275" t="s">
        <v>218</v>
      </c>
      <c r="S119" s="275" t="s">
        <v>219</v>
      </c>
      <c r="T119" s="275" t="s">
        <v>276</v>
      </c>
      <c r="U119" s="275" t="s">
        <v>128</v>
      </c>
      <c r="V119" s="156" t="s">
        <v>127</v>
      </c>
      <c r="W119" s="275" t="s">
        <v>277</v>
      </c>
      <c r="X119" s="223" t="s">
        <v>220</v>
      </c>
      <c r="Y119" s="223" t="s">
        <v>221</v>
      </c>
      <c r="Z119" s="223" t="s">
        <v>222</v>
      </c>
      <c r="AA119" s="223" t="s">
        <v>223</v>
      </c>
      <c r="AB119" s="223" t="s">
        <v>278</v>
      </c>
      <c r="AC119" s="458" t="s">
        <v>326</v>
      </c>
      <c r="AD119" s="459" t="s">
        <v>327</v>
      </c>
      <c r="AE119" s="460" t="s">
        <v>130</v>
      </c>
      <c r="AF119" s="155" t="s">
        <v>133</v>
      </c>
      <c r="AG119" s="155" t="s">
        <v>131</v>
      </c>
      <c r="AH119" s="155" t="s">
        <v>132</v>
      </c>
    </row>
    <row r="120" spans="1:34" ht="24" customHeight="1">
      <c r="A120" s="38"/>
      <c r="B120" s="38"/>
      <c r="C120" s="132" t="s">
        <v>2513</v>
      </c>
      <c r="D120" s="133"/>
      <c r="E120" s="134"/>
      <c r="F120" s="272"/>
      <c r="G120" s="101"/>
      <c r="H120" s="93" t="s">
        <v>11</v>
      </c>
      <c r="I120" s="93" t="s">
        <v>11</v>
      </c>
      <c r="J120" s="2609"/>
      <c r="K120" s="2610"/>
      <c r="L120" s="2611"/>
      <c r="M120" s="523"/>
      <c r="N120" s="524"/>
      <c r="O120" s="226"/>
      <c r="P120" s="227"/>
      <c r="Q120" s="228"/>
      <c r="R120" s="228"/>
      <c r="S120" s="228"/>
      <c r="T120" s="228"/>
      <c r="U120" s="228"/>
      <c r="V120" s="228"/>
      <c r="W120" s="228"/>
      <c r="X120" s="229"/>
      <c r="Y120" s="229"/>
      <c r="Z120" s="229"/>
      <c r="AA120" s="229"/>
      <c r="AB120" s="229"/>
      <c r="AC120" s="228"/>
      <c r="AD120" s="461"/>
      <c r="AE120" s="462"/>
      <c r="AF120" s="228"/>
      <c r="AG120" s="228"/>
      <c r="AH120" s="463"/>
    </row>
    <row r="121" spans="1:34" s="39" customFormat="1" ht="24" customHeight="1">
      <c r="A121" s="38"/>
      <c r="B121" s="38"/>
      <c r="C121" s="128"/>
      <c r="D121" s="129"/>
      <c r="E121" s="117"/>
      <c r="F121" s="273"/>
      <c r="G121" s="118"/>
      <c r="H121" s="135"/>
      <c r="I121" s="104" t="str">
        <f t="shared" ref="I121:I138" si="6">IF(F121="","",INT(F121*H121))</f>
        <v/>
      </c>
      <c r="J121" s="64"/>
      <c r="K121" s="65"/>
      <c r="L121" s="66"/>
      <c r="M121" s="525"/>
      <c r="N121" s="520"/>
      <c r="O121" s="226"/>
      <c r="P121" s="227"/>
      <c r="Q121" s="228"/>
      <c r="R121" s="228"/>
      <c r="S121" s="228"/>
      <c r="T121" s="228"/>
      <c r="U121" s="228"/>
      <c r="V121" s="228"/>
      <c r="W121" s="228"/>
      <c r="X121" s="229"/>
      <c r="Y121" s="229"/>
      <c r="Z121" s="229"/>
      <c r="AA121" s="229"/>
      <c r="AB121" s="229"/>
      <c r="AC121" s="228"/>
      <c r="AD121" s="461"/>
      <c r="AE121" s="462"/>
      <c r="AF121" s="228"/>
      <c r="AG121" s="228"/>
      <c r="AH121" s="216"/>
    </row>
    <row r="122" spans="1:34" s="39" customFormat="1" ht="24" customHeight="1">
      <c r="A122" s="38">
        <v>3</v>
      </c>
      <c r="B122" s="38">
        <v>3</v>
      </c>
      <c r="C122" s="128">
        <v>23014</v>
      </c>
      <c r="D122" s="788" t="s">
        <v>3019</v>
      </c>
      <c r="E122" s="117" t="s">
        <v>3095</v>
      </c>
      <c r="F122" s="273">
        <v>0.1</v>
      </c>
      <c r="G122" s="118" t="s">
        <v>3025</v>
      </c>
      <c r="H122" s="135">
        <v>7020</v>
      </c>
      <c r="I122" s="104">
        <f>IF(F122="","",INT(F122*H122))</f>
        <v>702</v>
      </c>
      <c r="J122" s="64"/>
      <c r="K122" s="65"/>
      <c r="L122" s="66"/>
      <c r="M122" s="525"/>
      <c r="N122" s="520" t="s">
        <v>3102</v>
      </c>
      <c r="O122" s="226"/>
      <c r="P122" s="227">
        <v>60</v>
      </c>
      <c r="Q122" s="228"/>
      <c r="R122" s="228"/>
      <c r="S122" s="228"/>
      <c r="T122" s="228"/>
      <c r="U122" s="228">
        <v>16</v>
      </c>
      <c r="V122" s="228"/>
      <c r="W122" s="228"/>
      <c r="X122" s="229"/>
      <c r="Y122" s="229"/>
      <c r="Z122" s="229"/>
      <c r="AA122" s="229"/>
      <c r="AB122" s="229"/>
      <c r="AC122" s="228"/>
      <c r="AD122" s="461"/>
      <c r="AE122" s="462"/>
      <c r="AF122" s="228"/>
      <c r="AG122" s="228"/>
      <c r="AH122" s="216"/>
    </row>
    <row r="123" spans="1:34" s="39" customFormat="1" ht="24" customHeight="1">
      <c r="A123" s="38"/>
      <c r="B123" s="38"/>
      <c r="C123" s="128"/>
      <c r="D123" s="129"/>
      <c r="E123" s="117"/>
      <c r="F123" s="273"/>
      <c r="G123" s="118"/>
      <c r="H123" s="135"/>
      <c r="I123" s="104" t="str">
        <f t="shared" si="6"/>
        <v/>
      </c>
      <c r="J123" s="64"/>
      <c r="K123" s="65"/>
      <c r="L123" s="66"/>
      <c r="M123" s="525"/>
      <c r="N123" s="520"/>
      <c r="O123" s="226"/>
      <c r="P123" s="227"/>
      <c r="Q123" s="228"/>
      <c r="R123" s="228"/>
      <c r="S123" s="228"/>
      <c r="T123" s="228"/>
      <c r="U123" s="228"/>
      <c r="V123" s="228"/>
      <c r="W123" s="228"/>
      <c r="X123" s="229"/>
      <c r="Y123" s="229"/>
      <c r="Z123" s="229"/>
      <c r="AA123" s="229"/>
      <c r="AB123" s="229"/>
      <c r="AC123" s="228"/>
      <c r="AD123" s="461"/>
      <c r="AE123" s="462"/>
      <c r="AF123" s="228"/>
      <c r="AG123" s="228"/>
      <c r="AH123" s="216"/>
    </row>
    <row r="124" spans="1:34" s="39" customFormat="1" ht="24" customHeight="1">
      <c r="A124" s="38">
        <v>3</v>
      </c>
      <c r="B124" s="38">
        <v>3</v>
      </c>
      <c r="C124" s="128">
        <v>24006</v>
      </c>
      <c r="D124" s="788" t="s">
        <v>3016</v>
      </c>
      <c r="E124" s="117" t="s">
        <v>3096</v>
      </c>
      <c r="F124" s="273">
        <v>0.02</v>
      </c>
      <c r="G124" s="118" t="s">
        <v>95</v>
      </c>
      <c r="H124" s="135">
        <v>11700</v>
      </c>
      <c r="I124" s="104">
        <f>IF(F124="","",INT(F124*H124))</f>
        <v>234</v>
      </c>
      <c r="J124" s="64"/>
      <c r="K124" s="65"/>
      <c r="L124" s="66"/>
      <c r="M124" s="525" t="s">
        <v>3040</v>
      </c>
      <c r="N124" s="520" t="s">
        <v>3102</v>
      </c>
      <c r="O124" s="226">
        <v>0</v>
      </c>
      <c r="P124" s="227"/>
      <c r="Q124" s="228"/>
      <c r="R124" s="228"/>
      <c r="S124" s="228"/>
      <c r="T124" s="228"/>
      <c r="U124" s="228"/>
      <c r="V124" s="228"/>
      <c r="W124" s="228"/>
      <c r="X124" s="229"/>
      <c r="Y124" s="229"/>
      <c r="Z124" s="229"/>
      <c r="AA124" s="229"/>
      <c r="AB124" s="229"/>
      <c r="AC124" s="228"/>
      <c r="AD124" s="461"/>
      <c r="AE124" s="462"/>
      <c r="AF124" s="228"/>
      <c r="AG124" s="228"/>
      <c r="AH124" s="216"/>
    </row>
    <row r="125" spans="1:34" s="39" customFormat="1" ht="24" customHeight="1">
      <c r="A125" s="38">
        <v>3</v>
      </c>
      <c r="B125" s="38">
        <v>3</v>
      </c>
      <c r="C125" s="128">
        <v>24063</v>
      </c>
      <c r="D125" s="788" t="s">
        <v>3016</v>
      </c>
      <c r="E125" s="117" t="s">
        <v>3097</v>
      </c>
      <c r="F125" s="273">
        <v>0.06</v>
      </c>
      <c r="G125" s="118" t="s">
        <v>3007</v>
      </c>
      <c r="H125" s="135">
        <v>1180</v>
      </c>
      <c r="I125" s="104">
        <f>IF(F125="","",INT(F125*H125))</f>
        <v>70</v>
      </c>
      <c r="J125" s="64"/>
      <c r="K125" s="65"/>
      <c r="L125" s="66"/>
      <c r="M125" s="525" t="s">
        <v>3040</v>
      </c>
      <c r="N125" s="520" t="s">
        <v>3102</v>
      </c>
      <c r="O125" s="226">
        <v>0</v>
      </c>
      <c r="P125" s="227"/>
      <c r="Q125" s="228"/>
      <c r="R125" s="228"/>
      <c r="S125" s="228"/>
      <c r="T125" s="228"/>
      <c r="U125" s="228"/>
      <c r="V125" s="228"/>
      <c r="W125" s="228"/>
      <c r="X125" s="229"/>
      <c r="Y125" s="229"/>
      <c r="Z125" s="229"/>
      <c r="AA125" s="229"/>
      <c r="AB125" s="229"/>
      <c r="AC125" s="228"/>
      <c r="AD125" s="461"/>
      <c r="AE125" s="462"/>
      <c r="AF125" s="228"/>
      <c r="AG125" s="228"/>
      <c r="AH125" s="216"/>
    </row>
    <row r="126" spans="1:34" s="39" customFormat="1" ht="24" customHeight="1">
      <c r="A126" s="38"/>
      <c r="B126" s="38"/>
      <c r="C126" s="128"/>
      <c r="D126" s="129"/>
      <c r="E126" s="117"/>
      <c r="F126" s="273"/>
      <c r="G126" s="118"/>
      <c r="H126" s="135"/>
      <c r="I126" s="104" t="str">
        <f t="shared" si="6"/>
        <v/>
      </c>
      <c r="J126" s="64"/>
      <c r="K126" s="65"/>
      <c r="L126" s="66"/>
      <c r="M126" s="525"/>
      <c r="N126" s="520"/>
      <c r="O126" s="226"/>
      <c r="P126" s="227"/>
      <c r="Q126" s="228"/>
      <c r="R126" s="228"/>
      <c r="S126" s="228"/>
      <c r="T126" s="228"/>
      <c r="U126" s="228"/>
      <c r="V126" s="228"/>
      <c r="W126" s="228"/>
      <c r="X126" s="229"/>
      <c r="Y126" s="229"/>
      <c r="Z126" s="229"/>
      <c r="AA126" s="229"/>
      <c r="AB126" s="229"/>
      <c r="AC126" s="228"/>
      <c r="AD126" s="461"/>
      <c r="AE126" s="462"/>
      <c r="AF126" s="228"/>
      <c r="AG126" s="228"/>
      <c r="AH126" s="216"/>
    </row>
    <row r="127" spans="1:34" s="39" customFormat="1" ht="24" customHeight="1">
      <c r="A127" s="38">
        <v>3</v>
      </c>
      <c r="B127" s="38">
        <v>3</v>
      </c>
      <c r="C127" s="128">
        <v>20060</v>
      </c>
      <c r="D127" s="788" t="s">
        <v>3005</v>
      </c>
      <c r="E127" s="117" t="s">
        <v>3006</v>
      </c>
      <c r="F127" s="273">
        <v>0.02</v>
      </c>
      <c r="G127" s="118" t="s">
        <v>3007</v>
      </c>
      <c r="H127" s="135">
        <v>950</v>
      </c>
      <c r="I127" s="104">
        <f>IF(F127="","",INT(F127*H127))</f>
        <v>19</v>
      </c>
      <c r="J127" s="64" t="s">
        <v>3008</v>
      </c>
      <c r="K127" s="65"/>
      <c r="L127" s="66"/>
      <c r="M127" s="525"/>
      <c r="N127" s="520" t="s">
        <v>3102</v>
      </c>
      <c r="O127" s="226">
        <v>0</v>
      </c>
      <c r="P127" s="227"/>
      <c r="Q127" s="228"/>
      <c r="R127" s="228"/>
      <c r="S127" s="228"/>
      <c r="T127" s="228"/>
      <c r="U127" s="228"/>
      <c r="V127" s="228"/>
      <c r="W127" s="228"/>
      <c r="X127" s="229"/>
      <c r="Y127" s="229"/>
      <c r="Z127" s="229"/>
      <c r="AA127" s="229"/>
      <c r="AB127" s="229"/>
      <c r="AC127" s="228"/>
      <c r="AD127" s="461"/>
      <c r="AE127" s="462"/>
      <c r="AF127" s="228"/>
      <c r="AG127" s="228"/>
      <c r="AH127" s="216"/>
    </row>
    <row r="128" spans="1:34" s="39" customFormat="1" ht="24" customHeight="1">
      <c r="A128" s="38">
        <v>3</v>
      </c>
      <c r="B128" s="38">
        <v>3</v>
      </c>
      <c r="C128" s="128">
        <v>20061</v>
      </c>
      <c r="D128" s="788" t="s">
        <v>3005</v>
      </c>
      <c r="E128" s="117" t="s">
        <v>3098</v>
      </c>
      <c r="F128" s="273">
        <v>0.02</v>
      </c>
      <c r="G128" s="118" t="s">
        <v>95</v>
      </c>
      <c r="H128" s="135">
        <f>11300*L128</f>
        <v>56500</v>
      </c>
      <c r="I128" s="104">
        <f>IF(F128="","",INT(F128*H128))</f>
        <v>1130</v>
      </c>
      <c r="J128" s="64" t="s">
        <v>3099</v>
      </c>
      <c r="K128" s="65"/>
      <c r="L128" s="2539">
        <v>5</v>
      </c>
      <c r="M128" s="525"/>
      <c r="N128" s="520" t="s">
        <v>3102</v>
      </c>
      <c r="O128" s="226">
        <v>0</v>
      </c>
      <c r="P128" s="227"/>
      <c r="Q128" s="228"/>
      <c r="R128" s="228"/>
      <c r="S128" s="228"/>
      <c r="T128" s="228"/>
      <c r="U128" s="228"/>
      <c r="V128" s="228"/>
      <c r="W128" s="228"/>
      <c r="X128" s="229"/>
      <c r="Y128" s="229"/>
      <c r="Z128" s="229"/>
      <c r="AA128" s="229"/>
      <c r="AB128" s="229"/>
      <c r="AC128" s="228"/>
      <c r="AD128" s="461"/>
      <c r="AE128" s="462"/>
      <c r="AF128" s="228"/>
      <c r="AG128" s="228"/>
      <c r="AH128" s="216"/>
    </row>
    <row r="129" spans="1:34" s="39" customFormat="1" ht="24" customHeight="1">
      <c r="A129" s="38"/>
      <c r="B129" s="38"/>
      <c r="C129" s="128"/>
      <c r="D129" s="129"/>
      <c r="E129" s="117"/>
      <c r="F129" s="273"/>
      <c r="G129" s="118"/>
      <c r="H129" s="135"/>
      <c r="I129" s="104" t="str">
        <f t="shared" si="6"/>
        <v/>
      </c>
      <c r="J129" s="64"/>
      <c r="K129" s="65"/>
      <c r="L129" s="66"/>
      <c r="M129" s="525"/>
      <c r="N129" s="520"/>
      <c r="O129" s="226"/>
      <c r="P129" s="227"/>
      <c r="Q129" s="228"/>
      <c r="R129" s="228"/>
      <c r="S129" s="228"/>
      <c r="T129" s="228"/>
      <c r="U129" s="228"/>
      <c r="V129" s="228"/>
      <c r="W129" s="228"/>
      <c r="X129" s="229"/>
      <c r="Y129" s="229"/>
      <c r="Z129" s="229"/>
      <c r="AA129" s="229"/>
      <c r="AB129" s="229"/>
      <c r="AC129" s="228"/>
      <c r="AD129" s="461"/>
      <c r="AE129" s="462"/>
      <c r="AF129" s="228"/>
      <c r="AG129" s="228"/>
      <c r="AH129" s="216"/>
    </row>
    <row r="130" spans="1:34" s="39" customFormat="1" ht="24" customHeight="1">
      <c r="A130" s="38"/>
      <c r="B130" s="38"/>
      <c r="C130" s="128"/>
      <c r="D130" s="129"/>
      <c r="E130" s="117"/>
      <c r="F130" s="273"/>
      <c r="G130" s="118"/>
      <c r="H130" s="135"/>
      <c r="I130" s="104" t="str">
        <f t="shared" si="6"/>
        <v/>
      </c>
      <c r="J130" s="64"/>
      <c r="K130" s="65"/>
      <c r="L130" s="66"/>
      <c r="M130" s="525"/>
      <c r="N130" s="520"/>
      <c r="O130" s="226"/>
      <c r="P130" s="227"/>
      <c r="Q130" s="228"/>
      <c r="R130" s="228"/>
      <c r="S130" s="228"/>
      <c r="T130" s="228"/>
      <c r="U130" s="228"/>
      <c r="V130" s="228"/>
      <c r="W130" s="228"/>
      <c r="X130" s="229"/>
      <c r="Y130" s="229"/>
      <c r="Z130" s="229"/>
      <c r="AA130" s="229"/>
      <c r="AB130" s="229"/>
      <c r="AC130" s="228"/>
      <c r="AD130" s="461"/>
      <c r="AE130" s="462"/>
      <c r="AF130" s="228"/>
      <c r="AG130" s="228"/>
      <c r="AH130" s="216"/>
    </row>
    <row r="131" spans="1:34" s="39" customFormat="1" ht="24" customHeight="1">
      <c r="A131" s="38"/>
      <c r="B131" s="38"/>
      <c r="C131" s="128"/>
      <c r="D131" s="129"/>
      <c r="E131" s="117"/>
      <c r="F131" s="273"/>
      <c r="G131" s="118"/>
      <c r="H131" s="135"/>
      <c r="I131" s="104" t="str">
        <f t="shared" si="6"/>
        <v/>
      </c>
      <c r="J131" s="64"/>
      <c r="K131" s="65"/>
      <c r="L131" s="66"/>
      <c r="M131" s="525"/>
      <c r="N131" s="520"/>
      <c r="O131" s="226"/>
      <c r="P131" s="227"/>
      <c r="Q131" s="228"/>
      <c r="R131" s="228"/>
      <c r="S131" s="228"/>
      <c r="T131" s="228"/>
      <c r="U131" s="228"/>
      <c r="V131" s="228"/>
      <c r="W131" s="228"/>
      <c r="X131" s="229"/>
      <c r="Y131" s="229"/>
      <c r="Z131" s="229"/>
      <c r="AA131" s="229"/>
      <c r="AB131" s="229"/>
      <c r="AC131" s="228"/>
      <c r="AD131" s="461"/>
      <c r="AE131" s="462"/>
      <c r="AF131" s="228"/>
      <c r="AG131" s="228"/>
      <c r="AH131" s="216"/>
    </row>
    <row r="132" spans="1:34" s="39" customFormat="1" ht="24" customHeight="1">
      <c r="A132" s="38"/>
      <c r="B132" s="38"/>
      <c r="C132" s="128"/>
      <c r="D132" s="129"/>
      <c r="E132" s="117"/>
      <c r="F132" s="273"/>
      <c r="G132" s="118"/>
      <c r="H132" s="135"/>
      <c r="I132" s="104" t="str">
        <f t="shared" si="6"/>
        <v/>
      </c>
      <c r="J132" s="64"/>
      <c r="K132" s="65"/>
      <c r="L132" s="66"/>
      <c r="M132" s="525"/>
      <c r="N132" s="520"/>
      <c r="O132" s="226"/>
      <c r="P132" s="227"/>
      <c r="Q132" s="228"/>
      <c r="R132" s="228"/>
      <c r="S132" s="228"/>
      <c r="T132" s="228"/>
      <c r="U132" s="228"/>
      <c r="V132" s="228"/>
      <c r="W132" s="228"/>
      <c r="X132" s="229"/>
      <c r="Y132" s="229"/>
      <c r="Z132" s="229"/>
      <c r="AA132" s="229"/>
      <c r="AB132" s="229"/>
      <c r="AC132" s="228"/>
      <c r="AD132" s="461"/>
      <c r="AE132" s="462"/>
      <c r="AF132" s="228"/>
      <c r="AG132" s="228"/>
      <c r="AH132" s="216"/>
    </row>
    <row r="133" spans="1:34" s="39" customFormat="1" ht="24" customHeight="1">
      <c r="A133" s="38"/>
      <c r="B133" s="38"/>
      <c r="C133" s="128"/>
      <c r="D133" s="129"/>
      <c r="E133" s="117"/>
      <c r="F133" s="273"/>
      <c r="G133" s="118"/>
      <c r="H133" s="135"/>
      <c r="I133" s="104" t="str">
        <f t="shared" si="6"/>
        <v/>
      </c>
      <c r="J133" s="64"/>
      <c r="K133" s="65"/>
      <c r="L133" s="66"/>
      <c r="M133" s="525"/>
      <c r="N133" s="520"/>
      <c r="O133" s="226"/>
      <c r="P133" s="227"/>
      <c r="Q133" s="228"/>
      <c r="R133" s="228"/>
      <c r="S133" s="228"/>
      <c r="T133" s="228"/>
      <c r="U133" s="228"/>
      <c r="V133" s="228"/>
      <c r="W133" s="228"/>
      <c r="X133" s="229"/>
      <c r="Y133" s="229"/>
      <c r="Z133" s="229"/>
      <c r="AA133" s="229"/>
      <c r="AB133" s="229"/>
      <c r="AC133" s="228"/>
      <c r="AD133" s="461"/>
      <c r="AE133" s="462"/>
      <c r="AF133" s="228"/>
      <c r="AG133" s="228"/>
      <c r="AH133" s="216"/>
    </row>
    <row r="134" spans="1:34" s="39" customFormat="1" ht="24" customHeight="1">
      <c r="A134" s="38"/>
      <c r="B134" s="38"/>
      <c r="C134" s="128"/>
      <c r="D134" s="129"/>
      <c r="E134" s="117"/>
      <c r="F134" s="273"/>
      <c r="G134" s="118"/>
      <c r="H134" s="135"/>
      <c r="I134" s="104" t="str">
        <f t="shared" si="6"/>
        <v/>
      </c>
      <c r="J134" s="64"/>
      <c r="K134" s="65"/>
      <c r="L134" s="66"/>
      <c r="M134" s="525"/>
      <c r="N134" s="520"/>
      <c r="O134" s="226"/>
      <c r="P134" s="227"/>
      <c r="Q134" s="228"/>
      <c r="R134" s="228"/>
      <c r="S134" s="228"/>
      <c r="T134" s="228"/>
      <c r="U134" s="228"/>
      <c r="V134" s="228"/>
      <c r="W134" s="228"/>
      <c r="X134" s="229"/>
      <c r="Y134" s="229"/>
      <c r="Z134" s="229"/>
      <c r="AA134" s="229"/>
      <c r="AB134" s="229"/>
      <c r="AC134" s="228"/>
      <c r="AD134" s="461"/>
      <c r="AE134" s="462"/>
      <c r="AF134" s="228"/>
      <c r="AG134" s="228"/>
      <c r="AH134" s="216"/>
    </row>
    <row r="135" spans="1:34" s="39" customFormat="1" ht="24" customHeight="1">
      <c r="A135" s="38"/>
      <c r="B135" s="38"/>
      <c r="C135" s="128"/>
      <c r="D135" s="129"/>
      <c r="E135" s="117"/>
      <c r="F135" s="273"/>
      <c r="G135" s="118"/>
      <c r="H135" s="135"/>
      <c r="I135" s="104" t="str">
        <f t="shared" si="6"/>
        <v/>
      </c>
      <c r="J135" s="64"/>
      <c r="K135" s="65"/>
      <c r="L135" s="66"/>
      <c r="M135" s="525"/>
      <c r="N135" s="520"/>
      <c r="O135" s="226"/>
      <c r="P135" s="227"/>
      <c r="Q135" s="228"/>
      <c r="R135" s="228"/>
      <c r="S135" s="228"/>
      <c r="T135" s="228"/>
      <c r="U135" s="228"/>
      <c r="V135" s="228"/>
      <c r="W135" s="228"/>
      <c r="X135" s="229"/>
      <c r="Y135" s="229"/>
      <c r="Z135" s="229"/>
      <c r="AA135" s="229"/>
      <c r="AB135" s="229"/>
      <c r="AC135" s="228"/>
      <c r="AD135" s="461"/>
      <c r="AE135" s="462"/>
      <c r="AF135" s="228"/>
      <c r="AG135" s="228"/>
      <c r="AH135" s="216"/>
    </row>
    <row r="136" spans="1:34" s="39" customFormat="1" ht="24" customHeight="1">
      <c r="A136" s="38"/>
      <c r="B136" s="38"/>
      <c r="C136" s="128"/>
      <c r="D136" s="129"/>
      <c r="E136" s="117"/>
      <c r="F136" s="273"/>
      <c r="G136" s="118"/>
      <c r="H136" s="135"/>
      <c r="I136" s="104" t="str">
        <f t="shared" si="6"/>
        <v/>
      </c>
      <c r="J136" s="64"/>
      <c r="K136" s="65"/>
      <c r="L136" s="66"/>
      <c r="M136" s="525"/>
      <c r="N136" s="520"/>
      <c r="O136" s="226"/>
      <c r="P136" s="227"/>
      <c r="Q136" s="228"/>
      <c r="R136" s="228"/>
      <c r="S136" s="228"/>
      <c r="T136" s="228"/>
      <c r="U136" s="228"/>
      <c r="V136" s="228"/>
      <c r="W136" s="228"/>
      <c r="X136" s="229"/>
      <c r="Y136" s="229"/>
      <c r="Z136" s="229"/>
      <c r="AA136" s="229"/>
      <c r="AB136" s="229"/>
      <c r="AC136" s="228"/>
      <c r="AD136" s="461"/>
      <c r="AE136" s="462"/>
      <c r="AF136" s="228"/>
      <c r="AG136" s="228"/>
      <c r="AH136" s="216"/>
    </row>
    <row r="137" spans="1:34" s="39" customFormat="1" ht="24" customHeight="1">
      <c r="A137" s="38"/>
      <c r="B137" s="38"/>
      <c r="C137" s="128"/>
      <c r="D137" s="129"/>
      <c r="E137" s="117"/>
      <c r="F137" s="273"/>
      <c r="G137" s="118"/>
      <c r="H137" s="135"/>
      <c r="I137" s="104" t="str">
        <f t="shared" si="6"/>
        <v/>
      </c>
      <c r="J137" s="64"/>
      <c r="K137" s="65"/>
      <c r="L137" s="66"/>
      <c r="M137" s="525"/>
      <c r="N137" s="520"/>
      <c r="O137" s="226"/>
      <c r="P137" s="227"/>
      <c r="Q137" s="228"/>
      <c r="R137" s="228"/>
      <c r="S137" s="228"/>
      <c r="T137" s="228"/>
      <c r="U137" s="228"/>
      <c r="V137" s="228"/>
      <c r="W137" s="228"/>
      <c r="X137" s="229"/>
      <c r="Y137" s="229"/>
      <c r="Z137" s="229"/>
      <c r="AA137" s="229"/>
      <c r="AB137" s="229"/>
      <c r="AC137" s="228"/>
      <c r="AD137" s="461"/>
      <c r="AE137" s="462"/>
      <c r="AF137" s="228"/>
      <c r="AG137" s="228"/>
      <c r="AH137" s="216"/>
    </row>
    <row r="138" spans="1:34" s="39" customFormat="1" ht="24" customHeight="1">
      <c r="A138" s="38"/>
      <c r="B138" s="38"/>
      <c r="C138" s="128"/>
      <c r="D138" s="129"/>
      <c r="E138" s="117"/>
      <c r="F138" s="273"/>
      <c r="G138" s="118"/>
      <c r="H138" s="135"/>
      <c r="I138" s="104" t="str">
        <f t="shared" si="6"/>
        <v/>
      </c>
      <c r="J138" s="64"/>
      <c r="K138" s="65"/>
      <c r="L138" s="66"/>
      <c r="M138" s="525"/>
      <c r="N138" s="520"/>
      <c r="O138" s="226"/>
      <c r="P138" s="227"/>
      <c r="Q138" s="228"/>
      <c r="R138" s="228"/>
      <c r="S138" s="228"/>
      <c r="T138" s="228"/>
      <c r="U138" s="228"/>
      <c r="V138" s="228"/>
      <c r="W138" s="228"/>
      <c r="X138" s="229"/>
      <c r="Y138" s="229"/>
      <c r="Z138" s="229"/>
      <c r="AA138" s="229"/>
      <c r="AB138" s="229"/>
      <c r="AC138" s="228"/>
      <c r="AD138" s="461"/>
      <c r="AE138" s="462"/>
      <c r="AF138" s="228"/>
      <c r="AG138" s="228"/>
      <c r="AH138" s="216"/>
    </row>
    <row r="139" spans="1:34" ht="24" customHeight="1" thickBot="1">
      <c r="A139" s="38"/>
      <c r="B139" s="38"/>
      <c r="C139" s="106"/>
      <c r="D139" s="95" t="s">
        <v>8</v>
      </c>
      <c r="E139" s="107"/>
      <c r="F139" s="274"/>
      <c r="G139" s="121"/>
      <c r="H139" s="131" t="s">
        <v>70</v>
      </c>
      <c r="I139" s="108">
        <f>SUM(I121:I138)</f>
        <v>2155</v>
      </c>
      <c r="J139" s="825" t="str">
        <f>IF(C120="部分撤去工事","）うち費用",")")</f>
        <v>）うち費用</v>
      </c>
      <c r="K139" s="824">
        <f>IF(C120="部分撤去工事",(K116+L139),0)</f>
        <v>2155</v>
      </c>
      <c r="L139" s="823">
        <f>IF(C120="部分撤去工事",SUMIF(N121:N138,"費用",I121:I138),0)</f>
        <v>2155</v>
      </c>
      <c r="M139" s="526"/>
      <c r="N139" s="527"/>
      <c r="O139" s="226"/>
      <c r="P139" s="227"/>
      <c r="Q139" s="228"/>
      <c r="R139" s="228"/>
      <c r="S139" s="228"/>
      <c r="T139" s="228"/>
      <c r="U139" s="228"/>
      <c r="V139" s="228"/>
      <c r="W139" s="228"/>
      <c r="X139" s="229"/>
      <c r="Y139" s="229"/>
      <c r="Z139" s="229"/>
      <c r="AA139" s="229"/>
      <c r="AB139" s="229"/>
      <c r="AC139" s="228"/>
      <c r="AD139" s="461"/>
      <c r="AE139" s="462"/>
      <c r="AF139" s="228"/>
      <c r="AG139" s="228"/>
      <c r="AH139" s="463"/>
    </row>
    <row r="140" spans="1:34" ht="14.25" customHeight="1">
      <c r="E140" s="124" t="s">
        <v>88</v>
      </c>
      <c r="F140" s="125">
        <f>+F117+1</f>
        <v>15</v>
      </c>
      <c r="G140" s="126" t="s">
        <v>49</v>
      </c>
      <c r="H140" s="127">
        <f>+H117</f>
        <v>15</v>
      </c>
      <c r="I140" s="127"/>
      <c r="M140" s="33" t="str">
        <f>IF(A142="","EOL","")</f>
        <v>EOL</v>
      </c>
      <c r="N140" s="1">
        <f>+F140</f>
        <v>15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</sheetData>
  <mergeCells count="24">
    <mergeCell ref="J120:L120"/>
    <mergeCell ref="C72:L72"/>
    <mergeCell ref="O72:AH72"/>
    <mergeCell ref="J73:L73"/>
    <mergeCell ref="J74:L74"/>
    <mergeCell ref="C95:L95"/>
    <mergeCell ref="O95:AH95"/>
    <mergeCell ref="J96:L96"/>
    <mergeCell ref="J97:L97"/>
    <mergeCell ref="C118:L118"/>
    <mergeCell ref="O118:AH118"/>
    <mergeCell ref="J119:L119"/>
    <mergeCell ref="J51:L51"/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33"/>
  <sheetViews>
    <sheetView topLeftCell="B1" zoomScaleNormal="100" workbookViewId="0">
      <selection activeCell="G35" sqref="G35"/>
    </sheetView>
  </sheetViews>
  <sheetFormatPr defaultRowHeight="11.25"/>
  <cols>
    <col min="1" max="1" width="2.625" style="162" hidden="1" customWidth="1"/>
    <col min="2" max="2" width="19.375" style="81" customWidth="1"/>
    <col min="3" max="3" width="22.5" style="81" customWidth="1"/>
    <col min="4" max="4" width="5.125" style="81" customWidth="1"/>
    <col min="5" max="5" width="5.125" style="96" customWidth="1"/>
    <col min="6" max="22" width="5.125" style="81" customWidth="1"/>
    <col min="23" max="27" width="4.75" style="81" customWidth="1"/>
    <col min="28" max="16384" width="9" style="81"/>
  </cols>
  <sheetData>
    <row r="1" spans="1:31" ht="15" customHeight="1">
      <c r="B1" s="177" t="s">
        <v>143</v>
      </c>
      <c r="C1" s="81" t="str">
        <f>工事2!C2</f>
        <v>天井改良工事</v>
      </c>
      <c r="F1" s="162"/>
      <c r="G1" s="359"/>
      <c r="H1" s="360"/>
      <c r="I1" s="360"/>
      <c r="J1" s="361"/>
      <c r="K1" s="362" t="s">
        <v>300</v>
      </c>
      <c r="L1" s="363" t="s">
        <v>301</v>
      </c>
      <c r="M1" s="363" t="s">
        <v>302</v>
      </c>
      <c r="N1" s="364" t="s">
        <v>303</v>
      </c>
      <c r="O1" s="365"/>
      <c r="P1" s="366"/>
      <c r="Q1" s="366"/>
      <c r="R1" s="367"/>
      <c r="S1" s="362" t="s">
        <v>300</v>
      </c>
      <c r="T1" s="363" t="s">
        <v>301</v>
      </c>
      <c r="U1" s="363" t="s">
        <v>302</v>
      </c>
      <c r="V1" s="364" t="s">
        <v>303</v>
      </c>
      <c r="W1" s="368"/>
    </row>
    <row r="2" spans="1:31" ht="15" customHeight="1">
      <c r="B2" s="177"/>
      <c r="E2" s="369"/>
      <c r="G2" s="2630" t="s">
        <v>304</v>
      </c>
      <c r="H2" s="2631"/>
      <c r="I2" s="2631"/>
      <c r="J2" s="2632"/>
      <c r="K2" s="370">
        <f>+H9+L9</f>
        <v>0</v>
      </c>
      <c r="L2" s="371">
        <f>+I9+M9</f>
        <v>0</v>
      </c>
      <c r="M2" s="371">
        <f>+J9+N9</f>
        <v>18.700000000000003</v>
      </c>
      <c r="N2" s="372">
        <f>+K9+O9</f>
        <v>0</v>
      </c>
      <c r="O2" s="2633" t="s">
        <v>279</v>
      </c>
      <c r="P2" s="2634"/>
      <c r="Q2" s="2634"/>
      <c r="R2" s="2635"/>
      <c r="S2" s="370">
        <f>+P9+T9+X9</f>
        <v>0</v>
      </c>
      <c r="T2" s="371">
        <f>+Q9+U9+Y9</f>
        <v>0</v>
      </c>
      <c r="U2" s="371">
        <f>+R9+V9+Z9</f>
        <v>7.6000000000000005</v>
      </c>
      <c r="V2" s="372">
        <f>+S9+W9+AA9</f>
        <v>0</v>
      </c>
      <c r="W2" s="373"/>
    </row>
    <row r="3" spans="1:31" ht="15" customHeight="1">
      <c r="B3" s="177"/>
      <c r="E3" s="369"/>
      <c r="G3" s="2636" t="s">
        <v>305</v>
      </c>
      <c r="H3" s="2637"/>
      <c r="I3" s="2637"/>
      <c r="J3" s="2638"/>
      <c r="K3" s="374">
        <f>+H9</f>
        <v>0</v>
      </c>
      <c r="L3" s="375">
        <f>+I9</f>
        <v>0</v>
      </c>
      <c r="M3" s="375">
        <f>+J9</f>
        <v>11.100000000000001</v>
      </c>
      <c r="N3" s="376">
        <f>+K9</f>
        <v>0</v>
      </c>
      <c r="O3" s="2639" t="s">
        <v>280</v>
      </c>
      <c r="P3" s="2640"/>
      <c r="Q3" s="2640"/>
      <c r="R3" s="2641"/>
      <c r="S3" s="374">
        <f>+P9</f>
        <v>0</v>
      </c>
      <c r="T3" s="375">
        <f>+Q9</f>
        <v>0</v>
      </c>
      <c r="U3" s="375">
        <f>+R9</f>
        <v>7.6000000000000005</v>
      </c>
      <c r="V3" s="376">
        <f>+S9</f>
        <v>0</v>
      </c>
      <c r="W3" s="373"/>
    </row>
    <row r="4" spans="1:31" ht="15" customHeight="1">
      <c r="B4" s="177"/>
      <c r="E4" s="369"/>
      <c r="G4" s="2636" t="s">
        <v>306</v>
      </c>
      <c r="H4" s="2637"/>
      <c r="I4" s="2637"/>
      <c r="J4" s="2638"/>
      <c r="K4" s="374">
        <f>+L9</f>
        <v>0</v>
      </c>
      <c r="L4" s="375">
        <f>+M9</f>
        <v>0</v>
      </c>
      <c r="M4" s="375">
        <f>+N9</f>
        <v>7.6000000000000005</v>
      </c>
      <c r="N4" s="376">
        <f>+O9</f>
        <v>0</v>
      </c>
      <c r="O4" s="2639" t="s">
        <v>281</v>
      </c>
      <c r="P4" s="2640"/>
      <c r="Q4" s="2640"/>
      <c r="R4" s="2641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7"/>
      <c r="E5" s="369"/>
      <c r="G5" s="2627"/>
      <c r="H5" s="2628"/>
      <c r="I5" s="2628"/>
      <c r="J5" s="2629"/>
      <c r="K5" s="377"/>
      <c r="L5" s="377"/>
      <c r="M5" s="377"/>
      <c r="N5" s="377"/>
      <c r="O5" s="2627" t="s">
        <v>307</v>
      </c>
      <c r="P5" s="2628"/>
      <c r="Q5" s="2628"/>
      <c r="R5" s="2629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7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9"/>
      <c r="C7" s="170"/>
      <c r="D7" s="171"/>
      <c r="E7" s="184"/>
      <c r="F7" s="428"/>
      <c r="G7" s="429"/>
      <c r="H7" s="2618" t="s">
        <v>274</v>
      </c>
      <c r="I7" s="2619"/>
      <c r="J7" s="2619"/>
      <c r="K7" s="2620"/>
      <c r="L7" s="2618" t="s">
        <v>308</v>
      </c>
      <c r="M7" s="2619"/>
      <c r="N7" s="2619"/>
      <c r="O7" s="2620"/>
      <c r="P7" s="2618" t="s">
        <v>309</v>
      </c>
      <c r="Q7" s="2619"/>
      <c r="R7" s="2619"/>
      <c r="S7" s="2620"/>
      <c r="T7" s="2618" t="s">
        <v>282</v>
      </c>
      <c r="U7" s="2619"/>
      <c r="V7" s="2619"/>
      <c r="W7" s="2620"/>
      <c r="X7" s="2618" t="s">
        <v>310</v>
      </c>
      <c r="Y7" s="2619"/>
      <c r="Z7" s="2619"/>
      <c r="AA7" s="2620"/>
    </row>
    <row r="8" spans="1:31">
      <c r="B8" s="168" t="s">
        <v>67</v>
      </c>
      <c r="C8" s="149" t="s">
        <v>68</v>
      </c>
      <c r="D8" s="165" t="s">
        <v>21</v>
      </c>
      <c r="E8" s="185" t="s">
        <v>69</v>
      </c>
      <c r="F8" s="430" t="s">
        <v>144</v>
      </c>
      <c r="G8" s="431" t="s">
        <v>311</v>
      </c>
      <c r="H8" s="166" t="s">
        <v>300</v>
      </c>
      <c r="I8" s="58" t="s">
        <v>301</v>
      </c>
      <c r="J8" s="58" t="s">
        <v>302</v>
      </c>
      <c r="K8" s="167" t="s">
        <v>303</v>
      </c>
      <c r="L8" s="166" t="s">
        <v>300</v>
      </c>
      <c r="M8" s="58" t="s">
        <v>301</v>
      </c>
      <c r="N8" s="58" t="s">
        <v>302</v>
      </c>
      <c r="O8" s="167" t="s">
        <v>303</v>
      </c>
      <c r="P8" s="166" t="s">
        <v>300</v>
      </c>
      <c r="Q8" s="58" t="s">
        <v>301</v>
      </c>
      <c r="R8" s="58" t="s">
        <v>302</v>
      </c>
      <c r="S8" s="167" t="s">
        <v>303</v>
      </c>
      <c r="T8" s="166" t="s">
        <v>300</v>
      </c>
      <c r="U8" s="58" t="s">
        <v>301</v>
      </c>
      <c r="V8" s="58" t="s">
        <v>302</v>
      </c>
      <c r="W8" s="167" t="s">
        <v>303</v>
      </c>
      <c r="X8" s="166" t="s">
        <v>300</v>
      </c>
      <c r="Y8" s="58" t="s">
        <v>301</v>
      </c>
      <c r="Z8" s="58" t="s">
        <v>302</v>
      </c>
      <c r="AA8" s="167" t="s">
        <v>303</v>
      </c>
    </row>
    <row r="9" spans="1:31" s="175" customFormat="1" ht="11.25" customHeight="1">
      <c r="A9" s="172"/>
      <c r="B9" s="173"/>
      <c r="C9" s="174"/>
      <c r="D9" s="176"/>
      <c r="E9" s="357" t="s">
        <v>312</v>
      </c>
      <c r="F9" s="432" t="s">
        <v>313</v>
      </c>
      <c r="G9" s="433"/>
      <c r="H9" s="196">
        <f t="shared" ref="H9:AA9" si="0">SUM(H10:H22)</f>
        <v>0</v>
      </c>
      <c r="I9" s="197">
        <f t="shared" si="0"/>
        <v>0</v>
      </c>
      <c r="J9" s="197">
        <f t="shared" si="0"/>
        <v>11.100000000000001</v>
      </c>
      <c r="K9" s="198">
        <f t="shared" si="0"/>
        <v>0</v>
      </c>
      <c r="L9" s="196">
        <f t="shared" si="0"/>
        <v>0</v>
      </c>
      <c r="M9" s="197">
        <f t="shared" si="0"/>
        <v>0</v>
      </c>
      <c r="N9" s="197">
        <f t="shared" si="0"/>
        <v>7.6000000000000005</v>
      </c>
      <c r="O9" s="198">
        <f t="shared" si="0"/>
        <v>0</v>
      </c>
      <c r="P9" s="196">
        <f t="shared" si="0"/>
        <v>0</v>
      </c>
      <c r="Q9" s="197">
        <f t="shared" si="0"/>
        <v>0</v>
      </c>
      <c r="R9" s="197">
        <f t="shared" si="0"/>
        <v>7.6000000000000005</v>
      </c>
      <c r="S9" s="198">
        <f t="shared" si="0"/>
        <v>0</v>
      </c>
      <c r="T9" s="197">
        <f t="shared" si="0"/>
        <v>0</v>
      </c>
      <c r="U9" s="197">
        <f t="shared" si="0"/>
        <v>0</v>
      </c>
      <c r="V9" s="197">
        <f t="shared" si="0"/>
        <v>0</v>
      </c>
      <c r="W9" s="198">
        <f t="shared" si="0"/>
        <v>0</v>
      </c>
      <c r="X9" s="197">
        <f t="shared" si="0"/>
        <v>0</v>
      </c>
      <c r="Y9" s="197">
        <f t="shared" si="0"/>
        <v>0</v>
      </c>
      <c r="Z9" s="197">
        <f t="shared" si="0"/>
        <v>0</v>
      </c>
      <c r="AA9" s="198">
        <f t="shared" si="0"/>
        <v>0</v>
      </c>
    </row>
    <row r="10" spans="1:31" s="175" customFormat="1" ht="11.25" customHeight="1">
      <c r="B10" s="187"/>
      <c r="C10" s="188"/>
      <c r="D10" s="189"/>
      <c r="E10" s="191"/>
      <c r="F10" s="434"/>
      <c r="G10" s="435"/>
      <c r="H10" s="199"/>
      <c r="I10" s="200"/>
      <c r="J10" s="200"/>
      <c r="K10" s="201"/>
      <c r="L10" s="199"/>
      <c r="M10" s="200"/>
      <c r="N10" s="200"/>
      <c r="O10" s="201"/>
      <c r="P10" s="199"/>
      <c r="Q10" s="200"/>
      <c r="R10" s="200"/>
      <c r="S10" s="201"/>
      <c r="T10" s="199"/>
      <c r="U10" s="200"/>
      <c r="V10" s="200"/>
      <c r="W10" s="201"/>
      <c r="X10" s="199"/>
      <c r="Y10" s="200"/>
      <c r="Z10" s="200"/>
      <c r="AA10" s="201"/>
    </row>
    <row r="11" spans="1:31" s="175" customFormat="1" ht="11.25" customHeight="1">
      <c r="B11" s="187" t="s">
        <v>3062</v>
      </c>
      <c r="C11" s="188" t="s">
        <v>3100</v>
      </c>
      <c r="D11" s="189">
        <v>-0.3</v>
      </c>
      <c r="E11" s="191">
        <v>23</v>
      </c>
      <c r="F11" s="434"/>
      <c r="G11" s="435"/>
      <c r="H11" s="199"/>
      <c r="I11" s="200"/>
      <c r="J11" s="200">
        <f t="shared" ref="J11:J18" si="1">D11*E11</f>
        <v>-6.8999999999999995</v>
      </c>
      <c r="K11" s="201"/>
      <c r="L11" s="199"/>
      <c r="M11" s="200"/>
      <c r="N11" s="200"/>
      <c r="O11" s="201"/>
      <c r="P11" s="199"/>
      <c r="Q11" s="200"/>
      <c r="R11" s="200"/>
      <c r="S11" s="201"/>
      <c r="T11" s="199"/>
      <c r="U11" s="200"/>
      <c r="V11" s="200"/>
      <c r="W11" s="201"/>
      <c r="X11" s="199"/>
      <c r="Y11" s="200"/>
      <c r="Z11" s="200"/>
      <c r="AA11" s="201"/>
    </row>
    <row r="12" spans="1:31" s="175" customFormat="1" ht="11.25" customHeight="1">
      <c r="B12" s="187" t="s">
        <v>3062</v>
      </c>
      <c r="C12" s="188" t="s">
        <v>3064</v>
      </c>
      <c r="D12" s="189">
        <v>0.4</v>
      </c>
      <c r="E12" s="191">
        <v>23</v>
      </c>
      <c r="F12" s="434"/>
      <c r="G12" s="435"/>
      <c r="H12" s="199"/>
      <c r="I12" s="200"/>
      <c r="J12" s="200">
        <f t="shared" si="1"/>
        <v>9.2000000000000011</v>
      </c>
      <c r="K12" s="201"/>
      <c r="L12" s="199"/>
      <c r="M12" s="200"/>
      <c r="N12" s="200"/>
      <c r="O12" s="201"/>
      <c r="P12" s="199"/>
      <c r="Q12" s="200"/>
      <c r="R12" s="200"/>
      <c r="S12" s="201"/>
      <c r="T12" s="199"/>
      <c r="U12" s="200"/>
      <c r="V12" s="200"/>
      <c r="W12" s="201"/>
      <c r="X12" s="199"/>
      <c r="Y12" s="200"/>
      <c r="Z12" s="200"/>
      <c r="AA12" s="201"/>
    </row>
    <row r="13" spans="1:31" s="175" customFormat="1" ht="11.25" customHeight="1">
      <c r="B13" s="187" t="s">
        <v>3074</v>
      </c>
      <c r="C13" s="188" t="s">
        <v>3075</v>
      </c>
      <c r="D13" s="189">
        <v>1</v>
      </c>
      <c r="E13" s="191">
        <v>1</v>
      </c>
      <c r="F13" s="434"/>
      <c r="G13" s="435"/>
      <c r="H13" s="199"/>
      <c r="I13" s="200"/>
      <c r="J13" s="200">
        <f t="shared" si="1"/>
        <v>1</v>
      </c>
      <c r="K13" s="201"/>
      <c r="L13" s="199"/>
      <c r="M13" s="200"/>
      <c r="N13" s="200"/>
      <c r="O13" s="201"/>
      <c r="P13" s="199"/>
      <c r="Q13" s="200"/>
      <c r="R13" s="200"/>
      <c r="S13" s="201"/>
      <c r="T13" s="199"/>
      <c r="U13" s="200"/>
      <c r="V13" s="200"/>
      <c r="W13" s="201"/>
      <c r="X13" s="199"/>
      <c r="Y13" s="200"/>
      <c r="Z13" s="200"/>
      <c r="AA13" s="201"/>
    </row>
    <row r="14" spans="1:31" s="175" customFormat="1" ht="11.25" customHeight="1">
      <c r="B14" s="187" t="s">
        <v>3078</v>
      </c>
      <c r="C14" s="188" t="s">
        <v>3079</v>
      </c>
      <c r="D14" s="189">
        <v>1</v>
      </c>
      <c r="E14" s="191">
        <v>2</v>
      </c>
      <c r="F14" s="434"/>
      <c r="G14" s="435"/>
      <c r="H14" s="199"/>
      <c r="I14" s="200"/>
      <c r="J14" s="200">
        <f t="shared" si="1"/>
        <v>2</v>
      </c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 s="175" customFormat="1" ht="11.25" customHeight="1">
      <c r="B15" s="187" t="s">
        <v>3074</v>
      </c>
      <c r="C15" s="188" t="s">
        <v>3089</v>
      </c>
      <c r="D15" s="189">
        <v>1</v>
      </c>
      <c r="E15" s="191">
        <v>1</v>
      </c>
      <c r="F15" s="434"/>
      <c r="G15" s="435"/>
      <c r="H15" s="199"/>
      <c r="I15" s="200"/>
      <c r="J15" s="200">
        <f t="shared" si="1"/>
        <v>1</v>
      </c>
      <c r="K15" s="201"/>
      <c r="L15" s="199"/>
      <c r="M15" s="200"/>
      <c r="N15" s="200"/>
      <c r="O15" s="201"/>
      <c r="P15" s="199"/>
      <c r="Q15" s="200"/>
      <c r="R15" s="200"/>
      <c r="S15" s="201"/>
      <c r="T15" s="199"/>
      <c r="U15" s="200"/>
      <c r="V15" s="200"/>
      <c r="W15" s="201"/>
      <c r="X15" s="199"/>
      <c r="Y15" s="200"/>
      <c r="Z15" s="200"/>
      <c r="AA15" s="201"/>
    </row>
    <row r="16" spans="1:31" s="175" customFormat="1" ht="11.25" customHeight="1">
      <c r="B16" s="187" t="s">
        <v>3078</v>
      </c>
      <c r="C16" s="188" t="s">
        <v>3090</v>
      </c>
      <c r="D16" s="189">
        <v>1</v>
      </c>
      <c r="E16" s="191">
        <v>2</v>
      </c>
      <c r="F16" s="434"/>
      <c r="G16" s="435"/>
      <c r="H16" s="199"/>
      <c r="I16" s="200"/>
      <c r="J16" s="200">
        <f t="shared" si="1"/>
        <v>2</v>
      </c>
      <c r="K16" s="201"/>
      <c r="L16" s="199"/>
      <c r="M16" s="200"/>
      <c r="N16" s="200"/>
      <c r="O16" s="201"/>
      <c r="P16" s="199"/>
      <c r="Q16" s="200"/>
      <c r="R16" s="200"/>
      <c r="S16" s="201"/>
      <c r="T16" s="199"/>
      <c r="U16" s="200"/>
      <c r="V16" s="200"/>
      <c r="W16" s="201"/>
      <c r="X16" s="199"/>
      <c r="Y16" s="200"/>
      <c r="Z16" s="200"/>
      <c r="AA16" s="201"/>
    </row>
    <row r="17" spans="1:27" s="175" customFormat="1" ht="11.25" customHeight="1">
      <c r="B17" s="187" t="s">
        <v>3070</v>
      </c>
      <c r="C17" s="188" t="s">
        <v>3101</v>
      </c>
      <c r="D17" s="189">
        <v>-0.3</v>
      </c>
      <c r="E17" s="191">
        <v>28</v>
      </c>
      <c r="F17" s="434"/>
      <c r="G17" s="435"/>
      <c r="H17" s="199"/>
      <c r="I17" s="200"/>
      <c r="J17" s="200">
        <f t="shared" si="1"/>
        <v>-8.4</v>
      </c>
      <c r="K17" s="201"/>
      <c r="L17" s="199"/>
      <c r="M17" s="200"/>
      <c r="N17" s="200"/>
      <c r="O17" s="201"/>
      <c r="P17" s="199"/>
      <c r="Q17" s="200"/>
      <c r="R17" s="200"/>
      <c r="S17" s="201"/>
      <c r="T17" s="199"/>
      <c r="U17" s="200"/>
      <c r="V17" s="200"/>
      <c r="W17" s="201"/>
      <c r="X17" s="199"/>
      <c r="Y17" s="200"/>
      <c r="Z17" s="200"/>
      <c r="AA17" s="201"/>
    </row>
    <row r="18" spans="1:27" s="175" customFormat="1" ht="11.25" customHeight="1">
      <c r="B18" s="187" t="s">
        <v>3070</v>
      </c>
      <c r="C18" s="188" t="s">
        <v>3072</v>
      </c>
      <c r="D18" s="189">
        <v>0.4</v>
      </c>
      <c r="E18" s="191">
        <v>28</v>
      </c>
      <c r="F18" s="434"/>
      <c r="G18" s="435"/>
      <c r="H18" s="199"/>
      <c r="I18" s="200"/>
      <c r="J18" s="200">
        <f t="shared" si="1"/>
        <v>11.200000000000001</v>
      </c>
      <c r="K18" s="201"/>
      <c r="L18" s="199"/>
      <c r="M18" s="200"/>
      <c r="N18" s="200"/>
      <c r="O18" s="201"/>
      <c r="P18" s="199"/>
      <c r="Q18" s="200"/>
      <c r="R18" s="200"/>
      <c r="S18" s="201"/>
      <c r="T18" s="199"/>
      <c r="U18" s="200"/>
      <c r="V18" s="200"/>
      <c r="W18" s="201"/>
      <c r="X18" s="199"/>
      <c r="Y18" s="200"/>
      <c r="Z18" s="200"/>
      <c r="AA18" s="201"/>
    </row>
    <row r="19" spans="1:27" s="175" customFormat="1" ht="11.25" customHeight="1">
      <c r="B19" s="187" t="s">
        <v>2996</v>
      </c>
      <c r="C19" s="188" t="s">
        <v>3094</v>
      </c>
      <c r="D19" s="189">
        <v>0.1</v>
      </c>
      <c r="E19" s="191">
        <v>76</v>
      </c>
      <c r="F19" s="434">
        <v>0</v>
      </c>
      <c r="G19" s="435">
        <v>0</v>
      </c>
      <c r="H19" s="199"/>
      <c r="I19" s="200"/>
      <c r="J19" s="200"/>
      <c r="K19" s="201"/>
      <c r="L19" s="199"/>
      <c r="M19" s="200"/>
      <c r="N19" s="200">
        <f>D19*(E19+F19+G19)</f>
        <v>7.6000000000000005</v>
      </c>
      <c r="O19" s="201"/>
      <c r="P19" s="199"/>
      <c r="Q19" s="200"/>
      <c r="R19" s="200">
        <f>D19*E19</f>
        <v>7.6000000000000005</v>
      </c>
      <c r="S19" s="201"/>
      <c r="T19" s="199"/>
      <c r="U19" s="200"/>
      <c r="V19" s="200">
        <f>D19*F19</f>
        <v>0</v>
      </c>
      <c r="W19" s="201"/>
      <c r="X19" s="199"/>
      <c r="Y19" s="200"/>
      <c r="Z19" s="200">
        <f>D19*G19</f>
        <v>0</v>
      </c>
      <c r="AA19" s="201"/>
    </row>
    <row r="20" spans="1:27" s="175" customFormat="1" ht="11.25" customHeight="1">
      <c r="B20" s="187"/>
      <c r="C20" s="188"/>
      <c r="D20" s="189"/>
      <c r="E20" s="191"/>
      <c r="F20" s="434"/>
      <c r="G20" s="435"/>
      <c r="H20" s="199"/>
      <c r="I20" s="200"/>
      <c r="J20" s="200"/>
      <c r="K20" s="201"/>
      <c r="L20" s="199"/>
      <c r="M20" s="200"/>
      <c r="N20" s="200"/>
      <c r="O20" s="201"/>
      <c r="P20" s="199"/>
      <c r="Q20" s="200"/>
      <c r="R20" s="200"/>
      <c r="S20" s="201"/>
      <c r="T20" s="199"/>
      <c r="U20" s="200"/>
      <c r="V20" s="200"/>
      <c r="W20" s="201"/>
      <c r="X20" s="199"/>
      <c r="Y20" s="200"/>
      <c r="Z20" s="200"/>
      <c r="AA20" s="201"/>
    </row>
    <row r="21" spans="1:27" s="175" customFormat="1" ht="11.25" customHeight="1">
      <c r="A21" s="162" t="s">
        <v>314</v>
      </c>
      <c r="B21" s="181"/>
      <c r="C21" s="182"/>
      <c r="D21" s="183"/>
      <c r="E21" s="192"/>
      <c r="F21" s="436"/>
      <c r="G21" s="437"/>
      <c r="H21" s="202">
        <f>D21*E21</f>
        <v>0</v>
      </c>
      <c r="I21" s="203"/>
      <c r="J21" s="203"/>
      <c r="K21" s="204"/>
      <c r="L21" s="202"/>
      <c r="M21" s="203"/>
      <c r="N21" s="203"/>
      <c r="O21" s="204"/>
      <c r="P21" s="202"/>
      <c r="Q21" s="203"/>
      <c r="R21" s="203"/>
      <c r="S21" s="204"/>
      <c r="T21" s="202"/>
      <c r="U21" s="203"/>
      <c r="V21" s="203"/>
      <c r="W21" s="204"/>
      <c r="X21" s="202"/>
      <c r="Y21" s="203"/>
      <c r="Z21" s="203"/>
      <c r="AA21" s="204"/>
    </row>
    <row r="22" spans="1:27">
      <c r="A22" s="81"/>
      <c r="B22" s="179"/>
      <c r="C22" s="180"/>
      <c r="D22" s="186"/>
      <c r="E22" s="193"/>
      <c r="F22" s="438"/>
      <c r="G22" s="439"/>
      <c r="H22" s="205"/>
      <c r="I22" s="206"/>
      <c r="J22" s="206"/>
      <c r="K22" s="207"/>
      <c r="L22" s="205"/>
      <c r="M22" s="206"/>
      <c r="N22" s="206"/>
      <c r="O22" s="207"/>
      <c r="P22" s="205"/>
      <c r="Q22" s="206"/>
      <c r="R22" s="206"/>
      <c r="S22" s="207"/>
      <c r="T22" s="205"/>
      <c r="U22" s="206"/>
      <c r="V22" s="206"/>
      <c r="W22" s="207"/>
      <c r="X22" s="205"/>
      <c r="Y22" s="206"/>
      <c r="Z22" s="206"/>
      <c r="AA22" s="207"/>
    </row>
    <row r="23" spans="1:27" ht="13.5">
      <c r="B23" s="178" t="s">
        <v>142</v>
      </c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27" ht="15" customHeight="1">
      <c r="B24" s="169" t="s">
        <v>140</v>
      </c>
      <c r="C24" s="170"/>
      <c r="D24" s="171"/>
      <c r="E24" s="2621" t="s">
        <v>129</v>
      </c>
      <c r="F24" s="2622"/>
      <c r="G24" s="2622"/>
      <c r="H24" s="2622"/>
      <c r="I24" s="2622"/>
      <c r="J24" s="2622"/>
      <c r="K24" s="2622"/>
      <c r="L24" s="2622"/>
      <c r="M24" s="2622"/>
      <c r="N24" s="2622"/>
      <c r="O24" s="2622"/>
      <c r="P24" s="2622"/>
      <c r="Q24" s="2622"/>
      <c r="R24" s="2623"/>
      <c r="S24" s="2624"/>
      <c r="T24" s="2618" t="s">
        <v>315</v>
      </c>
      <c r="U24" s="2625"/>
      <c r="V24" s="2625"/>
      <c r="W24" s="2626"/>
    </row>
    <row r="25" spans="1:27" ht="13.5" customHeight="1">
      <c r="B25" s="232"/>
      <c r="C25" s="233"/>
      <c r="D25" s="234"/>
      <c r="E25" s="276" t="s">
        <v>275</v>
      </c>
      <c r="F25" s="277" t="s">
        <v>317</v>
      </c>
      <c r="G25" s="277" t="s">
        <v>217</v>
      </c>
      <c r="H25" s="277" t="s">
        <v>217</v>
      </c>
      <c r="I25" s="277" t="s">
        <v>276</v>
      </c>
      <c r="J25" s="278" t="s">
        <v>319</v>
      </c>
      <c r="K25" s="280" t="s">
        <v>227</v>
      </c>
      <c r="L25" s="277" t="s">
        <v>125</v>
      </c>
      <c r="M25" s="277" t="s">
        <v>228</v>
      </c>
      <c r="N25" s="277" t="s">
        <v>320</v>
      </c>
      <c r="O25" s="281" t="s">
        <v>229</v>
      </c>
      <c r="P25" s="282" t="s">
        <v>231</v>
      </c>
      <c r="Q25" s="440" t="s">
        <v>124</v>
      </c>
      <c r="R25" s="441" t="s">
        <v>220</v>
      </c>
      <c r="S25" s="442" t="s">
        <v>221</v>
      </c>
      <c r="T25" s="443" t="s">
        <v>130</v>
      </c>
      <c r="U25" s="277" t="s">
        <v>133</v>
      </c>
      <c r="V25" s="441" t="s">
        <v>321</v>
      </c>
      <c r="W25" s="442" t="s">
        <v>132</v>
      </c>
    </row>
    <row r="26" spans="1:27" ht="12.75" customHeight="1">
      <c r="B26" s="168" t="s">
        <v>67</v>
      </c>
      <c r="C26" s="149" t="s">
        <v>68</v>
      </c>
      <c r="D26" s="164" t="s">
        <v>21</v>
      </c>
      <c r="E26" s="358"/>
      <c r="F26" s="279"/>
      <c r="G26" s="279" t="s">
        <v>224</v>
      </c>
      <c r="H26" s="279" t="s">
        <v>225</v>
      </c>
      <c r="I26" s="279"/>
      <c r="J26" s="279" t="s">
        <v>226</v>
      </c>
      <c r="K26" s="279" t="s">
        <v>322</v>
      </c>
      <c r="L26" s="279"/>
      <c r="M26" s="279" t="s">
        <v>283</v>
      </c>
      <c r="N26" s="279" t="s">
        <v>284</v>
      </c>
      <c r="O26" s="279" t="s">
        <v>230</v>
      </c>
      <c r="P26" s="279" t="s">
        <v>232</v>
      </c>
      <c r="Q26" s="444" t="s">
        <v>285</v>
      </c>
      <c r="R26" s="234" t="s">
        <v>323</v>
      </c>
      <c r="S26" s="445" t="s">
        <v>323</v>
      </c>
      <c r="T26" s="446"/>
      <c r="U26" s="233"/>
      <c r="V26" s="447"/>
      <c r="W26" s="445"/>
    </row>
    <row r="27" spans="1:27" s="175" customFormat="1">
      <c r="A27" s="172"/>
      <c r="B27" s="173"/>
      <c r="C27" s="174"/>
      <c r="D27" s="176"/>
      <c r="E27" s="196">
        <f t="shared" ref="E27:W27" si="2">SUM(E28:E36)</f>
        <v>6</v>
      </c>
      <c r="F27" s="197">
        <f t="shared" si="2"/>
        <v>0</v>
      </c>
      <c r="G27" s="197">
        <f t="shared" si="2"/>
        <v>0</v>
      </c>
      <c r="H27" s="197">
        <f t="shared" si="2"/>
        <v>0</v>
      </c>
      <c r="I27" s="197">
        <f t="shared" si="2"/>
        <v>0</v>
      </c>
      <c r="J27" s="197">
        <f t="shared" si="2"/>
        <v>1.6</v>
      </c>
      <c r="K27" s="197">
        <f t="shared" si="2"/>
        <v>0</v>
      </c>
      <c r="L27" s="197">
        <f t="shared" si="2"/>
        <v>0</v>
      </c>
      <c r="M27" s="197">
        <f t="shared" si="2"/>
        <v>0</v>
      </c>
      <c r="N27" s="197">
        <f t="shared" si="2"/>
        <v>0</v>
      </c>
      <c r="O27" s="285">
        <f t="shared" si="2"/>
        <v>0</v>
      </c>
      <c r="P27" s="197">
        <f t="shared" si="2"/>
        <v>0</v>
      </c>
      <c r="Q27" s="448">
        <f t="shared" si="2"/>
        <v>0</v>
      </c>
      <c r="R27" s="197">
        <f t="shared" si="2"/>
        <v>0</v>
      </c>
      <c r="S27" s="198">
        <f t="shared" si="2"/>
        <v>0</v>
      </c>
      <c r="T27" s="449">
        <f t="shared" si="2"/>
        <v>0</v>
      </c>
      <c r="U27" s="197">
        <f t="shared" si="2"/>
        <v>0</v>
      </c>
      <c r="V27" s="448">
        <f t="shared" si="2"/>
        <v>0</v>
      </c>
      <c r="W27" s="198">
        <f t="shared" si="2"/>
        <v>0</v>
      </c>
    </row>
    <row r="28" spans="1:27" s="175" customFormat="1" ht="11.25" customHeight="1">
      <c r="B28" s="181"/>
      <c r="C28" s="182"/>
      <c r="D28" s="183"/>
      <c r="E28" s="202"/>
      <c r="F28" s="203"/>
      <c r="G28" s="203"/>
      <c r="H28" s="203"/>
      <c r="I28" s="203"/>
      <c r="J28" s="203"/>
      <c r="K28" s="203"/>
      <c r="L28" s="203"/>
      <c r="M28" s="203"/>
      <c r="N28" s="203"/>
      <c r="O28" s="283"/>
      <c r="P28" s="203"/>
      <c r="Q28" s="450"/>
      <c r="R28" s="203"/>
      <c r="S28" s="204"/>
      <c r="T28" s="451"/>
      <c r="U28" s="203"/>
      <c r="V28" s="450"/>
      <c r="W28" s="452"/>
    </row>
    <row r="29" spans="1:27" s="175" customFormat="1" ht="11.25" customHeight="1">
      <c r="B29" s="181" t="s">
        <v>2996</v>
      </c>
      <c r="C29" s="182" t="s">
        <v>3094</v>
      </c>
      <c r="D29" s="183">
        <v>0.1</v>
      </c>
      <c r="E29" s="202">
        <f>D29*60</f>
        <v>6</v>
      </c>
      <c r="F29" s="203"/>
      <c r="G29" s="203"/>
      <c r="H29" s="203"/>
      <c r="I29" s="203"/>
      <c r="J29" s="203">
        <f>D29*16</f>
        <v>1.6</v>
      </c>
      <c r="K29" s="203"/>
      <c r="L29" s="203"/>
      <c r="M29" s="203"/>
      <c r="N29" s="203"/>
      <c r="O29" s="283"/>
      <c r="P29" s="203"/>
      <c r="Q29" s="450"/>
      <c r="R29" s="203"/>
      <c r="S29" s="204"/>
      <c r="T29" s="451"/>
      <c r="U29" s="203"/>
      <c r="V29" s="450"/>
      <c r="W29" s="452"/>
    </row>
    <row r="30" spans="1:27" s="175" customFormat="1" ht="11.25" customHeight="1">
      <c r="B30" s="181"/>
      <c r="C30" s="182"/>
      <c r="D30" s="183"/>
      <c r="E30" s="202"/>
      <c r="F30" s="203"/>
      <c r="G30" s="203"/>
      <c r="H30" s="203"/>
      <c r="I30" s="203"/>
      <c r="J30" s="203"/>
      <c r="K30" s="203"/>
      <c r="L30" s="203"/>
      <c r="M30" s="203"/>
      <c r="N30" s="203"/>
      <c r="O30" s="283"/>
      <c r="P30" s="203"/>
      <c r="Q30" s="450"/>
      <c r="R30" s="203"/>
      <c r="S30" s="204"/>
      <c r="T30" s="451"/>
      <c r="U30" s="203"/>
      <c r="V30" s="450"/>
      <c r="W30" s="452"/>
    </row>
    <row r="31" spans="1:27" s="175" customFormat="1" ht="11.25" customHeight="1">
      <c r="A31" s="162" t="s">
        <v>286</v>
      </c>
      <c r="B31" s="181"/>
      <c r="C31" s="182"/>
      <c r="D31" s="183"/>
      <c r="E31" s="202"/>
      <c r="F31" s="203"/>
      <c r="G31" s="203"/>
      <c r="H31" s="203"/>
      <c r="I31" s="203"/>
      <c r="J31" s="203"/>
      <c r="K31" s="203"/>
      <c r="L31" s="203"/>
      <c r="M31" s="203"/>
      <c r="N31" s="203"/>
      <c r="O31" s="283"/>
      <c r="P31" s="203"/>
      <c r="Q31" s="450"/>
      <c r="R31" s="203"/>
      <c r="S31" s="204"/>
      <c r="T31" s="451"/>
      <c r="U31" s="203">
        <f>$D31*O31</f>
        <v>0</v>
      </c>
      <c r="V31" s="450">
        <f>$D31*P31</f>
        <v>0</v>
      </c>
      <c r="W31" s="453"/>
    </row>
    <row r="32" spans="1:27">
      <c r="A32" s="81"/>
      <c r="B32" s="179"/>
      <c r="C32" s="180"/>
      <c r="D32" s="186"/>
      <c r="E32" s="205"/>
      <c r="F32" s="206"/>
      <c r="G32" s="206"/>
      <c r="H32" s="284"/>
      <c r="I32" s="284"/>
      <c r="J32" s="284"/>
      <c r="K32" s="284"/>
      <c r="L32" s="284"/>
      <c r="M32" s="284"/>
      <c r="N32" s="284"/>
      <c r="O32" s="284"/>
      <c r="P32" s="284"/>
      <c r="Q32" s="454"/>
      <c r="R32" s="206"/>
      <c r="S32" s="207"/>
      <c r="T32" s="455"/>
      <c r="U32" s="206">
        <f>$D32*O32</f>
        <v>0</v>
      </c>
      <c r="V32" s="456">
        <f>$D32*P32</f>
        <v>0</v>
      </c>
      <c r="W32" s="457"/>
    </row>
    <row r="33" spans="5:5">
      <c r="E33" s="81"/>
    </row>
  </sheetData>
  <mergeCells count="15">
    <mergeCell ref="X7:AA7"/>
    <mergeCell ref="E24:S24"/>
    <mergeCell ref="T24:W24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511"/>
  <sheetViews>
    <sheetView view="pageBreakPreview" zoomScaleNormal="100" zoomScaleSheetLayoutView="100" workbookViewId="0">
      <selection activeCell="G75" sqref="G75"/>
    </sheetView>
  </sheetViews>
  <sheetFormatPr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75" style="1278" customWidth="1"/>
    <col min="6" max="6" width="15.25" style="1278" customWidth="1"/>
    <col min="7" max="14" width="14.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75" style="1278" customWidth="1"/>
    <col min="262" max="262" width="15.25" style="1278" customWidth="1"/>
    <col min="263" max="270" width="14.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75" style="1278" customWidth="1"/>
    <col min="518" max="518" width="15.25" style="1278" customWidth="1"/>
    <col min="519" max="526" width="14.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75" style="1278" customWidth="1"/>
    <col min="774" max="774" width="15.25" style="1278" customWidth="1"/>
    <col min="775" max="782" width="14.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75" style="1278" customWidth="1"/>
    <col min="1030" max="1030" width="15.25" style="1278" customWidth="1"/>
    <col min="1031" max="1038" width="14.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75" style="1278" customWidth="1"/>
    <col min="1286" max="1286" width="15.25" style="1278" customWidth="1"/>
    <col min="1287" max="1294" width="14.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75" style="1278" customWidth="1"/>
    <col min="1542" max="1542" width="15.25" style="1278" customWidth="1"/>
    <col min="1543" max="1550" width="14.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75" style="1278" customWidth="1"/>
    <col min="1798" max="1798" width="15.25" style="1278" customWidth="1"/>
    <col min="1799" max="1806" width="14.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75" style="1278" customWidth="1"/>
    <col min="2054" max="2054" width="15.25" style="1278" customWidth="1"/>
    <col min="2055" max="2062" width="14.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75" style="1278" customWidth="1"/>
    <col min="2310" max="2310" width="15.25" style="1278" customWidth="1"/>
    <col min="2311" max="2318" width="14.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75" style="1278" customWidth="1"/>
    <col min="2566" max="2566" width="15.25" style="1278" customWidth="1"/>
    <col min="2567" max="2574" width="14.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75" style="1278" customWidth="1"/>
    <col min="2822" max="2822" width="15.25" style="1278" customWidth="1"/>
    <col min="2823" max="2830" width="14.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75" style="1278" customWidth="1"/>
    <col min="3078" max="3078" width="15.25" style="1278" customWidth="1"/>
    <col min="3079" max="3086" width="14.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75" style="1278" customWidth="1"/>
    <col min="3334" max="3334" width="15.25" style="1278" customWidth="1"/>
    <col min="3335" max="3342" width="14.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75" style="1278" customWidth="1"/>
    <col min="3590" max="3590" width="15.25" style="1278" customWidth="1"/>
    <col min="3591" max="3598" width="14.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75" style="1278" customWidth="1"/>
    <col min="3846" max="3846" width="15.25" style="1278" customWidth="1"/>
    <col min="3847" max="3854" width="14.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75" style="1278" customWidth="1"/>
    <col min="4102" max="4102" width="15.25" style="1278" customWidth="1"/>
    <col min="4103" max="4110" width="14.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75" style="1278" customWidth="1"/>
    <col min="4358" max="4358" width="15.25" style="1278" customWidth="1"/>
    <col min="4359" max="4366" width="14.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75" style="1278" customWidth="1"/>
    <col min="4614" max="4614" width="15.25" style="1278" customWidth="1"/>
    <col min="4615" max="4622" width="14.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75" style="1278" customWidth="1"/>
    <col min="4870" max="4870" width="15.25" style="1278" customWidth="1"/>
    <col min="4871" max="4878" width="14.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75" style="1278" customWidth="1"/>
    <col min="5126" max="5126" width="15.25" style="1278" customWidth="1"/>
    <col min="5127" max="5134" width="14.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75" style="1278" customWidth="1"/>
    <col min="5382" max="5382" width="15.25" style="1278" customWidth="1"/>
    <col min="5383" max="5390" width="14.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75" style="1278" customWidth="1"/>
    <col min="5638" max="5638" width="15.25" style="1278" customWidth="1"/>
    <col min="5639" max="5646" width="14.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75" style="1278" customWidth="1"/>
    <col min="5894" max="5894" width="15.25" style="1278" customWidth="1"/>
    <col min="5895" max="5902" width="14.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75" style="1278" customWidth="1"/>
    <col min="6150" max="6150" width="15.25" style="1278" customWidth="1"/>
    <col min="6151" max="6158" width="14.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75" style="1278" customWidth="1"/>
    <col min="6406" max="6406" width="15.25" style="1278" customWidth="1"/>
    <col min="6407" max="6414" width="14.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75" style="1278" customWidth="1"/>
    <col min="6662" max="6662" width="15.25" style="1278" customWidth="1"/>
    <col min="6663" max="6670" width="14.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75" style="1278" customWidth="1"/>
    <col min="6918" max="6918" width="15.25" style="1278" customWidth="1"/>
    <col min="6919" max="6926" width="14.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75" style="1278" customWidth="1"/>
    <col min="7174" max="7174" width="15.25" style="1278" customWidth="1"/>
    <col min="7175" max="7182" width="14.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75" style="1278" customWidth="1"/>
    <col min="7430" max="7430" width="15.25" style="1278" customWidth="1"/>
    <col min="7431" max="7438" width="14.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75" style="1278" customWidth="1"/>
    <col min="7686" max="7686" width="15.25" style="1278" customWidth="1"/>
    <col min="7687" max="7694" width="14.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75" style="1278" customWidth="1"/>
    <col min="7942" max="7942" width="15.25" style="1278" customWidth="1"/>
    <col min="7943" max="7950" width="14.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75" style="1278" customWidth="1"/>
    <col min="8198" max="8198" width="15.25" style="1278" customWidth="1"/>
    <col min="8199" max="8206" width="14.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75" style="1278" customWidth="1"/>
    <col min="8454" max="8454" width="15.25" style="1278" customWidth="1"/>
    <col min="8455" max="8462" width="14.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75" style="1278" customWidth="1"/>
    <col min="8710" max="8710" width="15.25" style="1278" customWidth="1"/>
    <col min="8711" max="8718" width="14.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75" style="1278" customWidth="1"/>
    <col min="8966" max="8966" width="15.25" style="1278" customWidth="1"/>
    <col min="8967" max="8974" width="14.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75" style="1278" customWidth="1"/>
    <col min="9222" max="9222" width="15.25" style="1278" customWidth="1"/>
    <col min="9223" max="9230" width="14.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75" style="1278" customWidth="1"/>
    <col min="9478" max="9478" width="15.25" style="1278" customWidth="1"/>
    <col min="9479" max="9486" width="14.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75" style="1278" customWidth="1"/>
    <col min="9734" max="9734" width="15.25" style="1278" customWidth="1"/>
    <col min="9735" max="9742" width="14.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75" style="1278" customWidth="1"/>
    <col min="9990" max="9990" width="15.25" style="1278" customWidth="1"/>
    <col min="9991" max="9998" width="14.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75" style="1278" customWidth="1"/>
    <col min="10246" max="10246" width="15.25" style="1278" customWidth="1"/>
    <col min="10247" max="10254" width="14.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75" style="1278" customWidth="1"/>
    <col min="10502" max="10502" width="15.25" style="1278" customWidth="1"/>
    <col min="10503" max="10510" width="14.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75" style="1278" customWidth="1"/>
    <col min="10758" max="10758" width="15.25" style="1278" customWidth="1"/>
    <col min="10759" max="10766" width="14.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75" style="1278" customWidth="1"/>
    <col min="11014" max="11014" width="15.25" style="1278" customWidth="1"/>
    <col min="11015" max="11022" width="14.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75" style="1278" customWidth="1"/>
    <col min="11270" max="11270" width="15.25" style="1278" customWidth="1"/>
    <col min="11271" max="11278" width="14.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75" style="1278" customWidth="1"/>
    <col min="11526" max="11526" width="15.25" style="1278" customWidth="1"/>
    <col min="11527" max="11534" width="14.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75" style="1278" customWidth="1"/>
    <col min="11782" max="11782" width="15.25" style="1278" customWidth="1"/>
    <col min="11783" max="11790" width="14.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75" style="1278" customWidth="1"/>
    <col min="12038" max="12038" width="15.25" style="1278" customWidth="1"/>
    <col min="12039" max="12046" width="14.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75" style="1278" customWidth="1"/>
    <col min="12294" max="12294" width="15.25" style="1278" customWidth="1"/>
    <col min="12295" max="12302" width="14.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75" style="1278" customWidth="1"/>
    <col min="12550" max="12550" width="15.25" style="1278" customWidth="1"/>
    <col min="12551" max="12558" width="14.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75" style="1278" customWidth="1"/>
    <col min="12806" max="12806" width="15.25" style="1278" customWidth="1"/>
    <col min="12807" max="12814" width="14.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75" style="1278" customWidth="1"/>
    <col min="13062" max="13062" width="15.25" style="1278" customWidth="1"/>
    <col min="13063" max="13070" width="14.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75" style="1278" customWidth="1"/>
    <col min="13318" max="13318" width="15.25" style="1278" customWidth="1"/>
    <col min="13319" max="13326" width="14.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75" style="1278" customWidth="1"/>
    <col min="13574" max="13574" width="15.25" style="1278" customWidth="1"/>
    <col min="13575" max="13582" width="14.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75" style="1278" customWidth="1"/>
    <col min="13830" max="13830" width="15.25" style="1278" customWidth="1"/>
    <col min="13831" max="13838" width="14.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75" style="1278" customWidth="1"/>
    <col min="14086" max="14086" width="15.25" style="1278" customWidth="1"/>
    <col min="14087" max="14094" width="14.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75" style="1278" customWidth="1"/>
    <col min="14342" max="14342" width="15.25" style="1278" customWidth="1"/>
    <col min="14343" max="14350" width="14.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75" style="1278" customWidth="1"/>
    <col min="14598" max="14598" width="15.25" style="1278" customWidth="1"/>
    <col min="14599" max="14606" width="14.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75" style="1278" customWidth="1"/>
    <col min="14854" max="14854" width="15.25" style="1278" customWidth="1"/>
    <col min="14855" max="14862" width="14.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75" style="1278" customWidth="1"/>
    <col min="15110" max="15110" width="15.25" style="1278" customWidth="1"/>
    <col min="15111" max="15118" width="14.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75" style="1278" customWidth="1"/>
    <col min="15366" max="15366" width="15.25" style="1278" customWidth="1"/>
    <col min="15367" max="15374" width="14.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75" style="1278" customWidth="1"/>
    <col min="15622" max="15622" width="15.25" style="1278" customWidth="1"/>
    <col min="15623" max="15630" width="14.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75" style="1278" customWidth="1"/>
    <col min="15878" max="15878" width="15.25" style="1278" customWidth="1"/>
    <col min="15879" max="15886" width="14.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75" style="1278" customWidth="1"/>
    <col min="16134" max="16134" width="15.25" style="1278" customWidth="1"/>
    <col min="16135" max="16142" width="14.25" style="1278" customWidth="1"/>
    <col min="16143" max="16384" width="9" style="1278"/>
  </cols>
  <sheetData>
    <row r="1" spans="1:14" s="837" customFormat="1">
      <c r="A1" s="831"/>
      <c r="B1" s="831"/>
      <c r="C1" s="832"/>
      <c r="D1" s="832"/>
      <c r="E1" s="833" t="s">
        <v>2522</v>
      </c>
      <c r="F1" s="2722" t="s">
        <v>3004</v>
      </c>
      <c r="G1" s="2722"/>
      <c r="H1" s="2722"/>
      <c r="I1" s="2722"/>
      <c r="J1" s="2722"/>
      <c r="K1" s="2722"/>
      <c r="L1" s="834"/>
      <c r="M1" s="835">
        <v>20180319</v>
      </c>
      <c r="N1" s="836" t="s">
        <v>2523</v>
      </c>
    </row>
    <row r="2" spans="1:14" s="837" customFormat="1" ht="13.5" customHeight="1">
      <c r="A2" s="831"/>
      <c r="B2" s="831"/>
      <c r="C2" s="2723" t="s">
        <v>2524</v>
      </c>
      <c r="D2" s="2723"/>
      <c r="E2" s="2723"/>
      <c r="F2" s="831" t="s">
        <v>2525</v>
      </c>
      <c r="G2" s="838">
        <f>+工事1!K23</f>
        <v>0.71350000000000002</v>
      </c>
      <c r="H2" s="839"/>
      <c r="K2" s="839"/>
      <c r="L2" s="839"/>
      <c r="M2" s="831"/>
      <c r="N2" s="839" t="s">
        <v>252</v>
      </c>
    </row>
    <row r="3" spans="1:14" s="837" customFormat="1" ht="12">
      <c r="A3" s="840"/>
      <c r="B3" s="841"/>
      <c r="C3" s="842"/>
      <c r="D3" s="843"/>
      <c r="E3" s="844"/>
      <c r="F3" s="845" t="s">
        <v>2526</v>
      </c>
      <c r="G3" s="846" t="str">
        <f>G86</f>
        <v>天井改良</v>
      </c>
      <c r="H3" s="846" t="str">
        <f>H86</f>
        <v>居室内装修理</v>
      </c>
      <c r="I3" s="846">
        <f t="shared" ref="I3:N3" si="0">I86</f>
        <v>0</v>
      </c>
      <c r="J3" s="846">
        <f t="shared" si="0"/>
        <v>0</v>
      </c>
      <c r="K3" s="846">
        <f t="shared" si="0"/>
        <v>0</v>
      </c>
      <c r="L3" s="846">
        <f t="shared" si="0"/>
        <v>0</v>
      </c>
      <c r="M3" s="846">
        <f t="shared" si="0"/>
        <v>0</v>
      </c>
      <c r="N3" s="846">
        <f t="shared" si="0"/>
        <v>0</v>
      </c>
    </row>
    <row r="4" spans="1:14" s="837" customFormat="1" ht="13.5" customHeight="1">
      <c r="A4" s="840"/>
      <c r="B4" s="2724" t="s">
        <v>2527</v>
      </c>
      <c r="C4" s="2724"/>
      <c r="D4" s="2724"/>
      <c r="E4" s="844"/>
      <c r="F4" s="847">
        <f>SUM(G4:N4)</f>
        <v>338124</v>
      </c>
      <c r="G4" s="848">
        <f>G80</f>
        <v>36158</v>
      </c>
      <c r="H4" s="849">
        <f t="shared" ref="H4:N5" si="1">H80</f>
        <v>301966</v>
      </c>
      <c r="I4" s="849">
        <f t="shared" si="1"/>
        <v>0</v>
      </c>
      <c r="J4" s="849">
        <f t="shared" si="1"/>
        <v>0</v>
      </c>
      <c r="K4" s="849">
        <f t="shared" si="1"/>
        <v>0</v>
      </c>
      <c r="L4" s="849">
        <f t="shared" si="1"/>
        <v>0</v>
      </c>
      <c r="M4" s="847">
        <f t="shared" si="1"/>
        <v>0</v>
      </c>
      <c r="N4" s="850">
        <f t="shared" si="1"/>
        <v>0</v>
      </c>
    </row>
    <row r="5" spans="1:14" s="837" customFormat="1" ht="13.5" customHeight="1">
      <c r="A5" s="851"/>
      <c r="B5" s="2725" t="s">
        <v>2528</v>
      </c>
      <c r="C5" s="2725"/>
      <c r="D5" s="2725"/>
      <c r="E5" s="852"/>
      <c r="F5" s="853">
        <f>SUM(G5:N5)</f>
        <v>89876</v>
      </c>
      <c r="G5" s="854">
        <f>G81</f>
        <v>-19158</v>
      </c>
      <c r="H5" s="855">
        <f t="shared" si="1"/>
        <v>109034</v>
      </c>
      <c r="I5" s="855">
        <f t="shared" si="1"/>
        <v>0</v>
      </c>
      <c r="J5" s="855">
        <f t="shared" si="1"/>
        <v>0</v>
      </c>
      <c r="K5" s="855">
        <f t="shared" si="1"/>
        <v>0</v>
      </c>
      <c r="L5" s="855">
        <f t="shared" si="1"/>
        <v>0</v>
      </c>
      <c r="M5" s="853">
        <f t="shared" si="1"/>
        <v>0</v>
      </c>
      <c r="N5" s="856">
        <f t="shared" si="1"/>
        <v>0</v>
      </c>
    </row>
    <row r="6" spans="1:14" s="837" customFormat="1" ht="13.5" customHeight="1">
      <c r="A6" s="857"/>
      <c r="B6" s="2726" t="s">
        <v>240</v>
      </c>
      <c r="C6" s="2726"/>
      <c r="D6" s="2726"/>
      <c r="E6" s="858"/>
      <c r="F6" s="859">
        <f>SUM(G6:N6)</f>
        <v>428000</v>
      </c>
      <c r="G6" s="860">
        <f t="shared" ref="G6:N6" si="2">G79</f>
        <v>17000</v>
      </c>
      <c r="H6" s="861">
        <f t="shared" si="2"/>
        <v>411000</v>
      </c>
      <c r="I6" s="861">
        <f t="shared" si="2"/>
        <v>0</v>
      </c>
      <c r="J6" s="861">
        <f t="shared" si="2"/>
        <v>0</v>
      </c>
      <c r="K6" s="861">
        <f t="shared" si="2"/>
        <v>0</v>
      </c>
      <c r="L6" s="861">
        <f t="shared" si="2"/>
        <v>0</v>
      </c>
      <c r="M6" s="859">
        <f t="shared" si="2"/>
        <v>0</v>
      </c>
      <c r="N6" s="862">
        <f t="shared" si="2"/>
        <v>0</v>
      </c>
    </row>
    <row r="7" spans="1:14" s="837" customFormat="1">
      <c r="A7" s="851"/>
      <c r="B7" s="831"/>
      <c r="C7" s="863"/>
      <c r="D7" s="864"/>
      <c r="E7" s="865"/>
      <c r="F7" s="832"/>
      <c r="G7" s="866" t="s">
        <v>2529</v>
      </c>
      <c r="H7" s="867"/>
      <c r="I7" s="867"/>
      <c r="J7" s="867"/>
      <c r="K7" s="839"/>
      <c r="L7" s="839"/>
      <c r="M7" s="839"/>
      <c r="N7" s="839" t="s">
        <v>2530</v>
      </c>
    </row>
    <row r="8" spans="1:14" s="876" customFormat="1" ht="13.5" customHeight="1">
      <c r="A8" s="868"/>
      <c r="B8" s="869"/>
      <c r="C8" s="870" t="s">
        <v>2531</v>
      </c>
      <c r="D8" s="871"/>
      <c r="E8" s="872"/>
      <c r="F8" s="873" t="s">
        <v>2532</v>
      </c>
      <c r="G8" s="874">
        <f>G84</f>
        <v>3.3</v>
      </c>
      <c r="H8" s="874">
        <f t="shared" ref="H8:N8" si="3">H84</f>
        <v>3.3</v>
      </c>
      <c r="I8" s="874">
        <f t="shared" si="3"/>
        <v>0</v>
      </c>
      <c r="J8" s="874">
        <f t="shared" si="3"/>
        <v>0</v>
      </c>
      <c r="K8" s="874">
        <f t="shared" si="3"/>
        <v>0</v>
      </c>
      <c r="L8" s="874">
        <f t="shared" si="3"/>
        <v>0</v>
      </c>
      <c r="M8" s="874">
        <f t="shared" si="3"/>
        <v>0</v>
      </c>
      <c r="N8" s="875">
        <f t="shared" si="3"/>
        <v>0</v>
      </c>
    </row>
    <row r="9" spans="1:14" s="876" customFormat="1" ht="13.5" customHeight="1">
      <c r="A9" s="877"/>
      <c r="B9" s="878"/>
      <c r="C9" s="879" t="s">
        <v>2533</v>
      </c>
      <c r="D9" s="880"/>
      <c r="E9" s="881"/>
      <c r="F9" s="882" t="s">
        <v>2532</v>
      </c>
      <c r="G9" s="883" t="str">
        <f>IF(G85="","",G85)</f>
        <v>改修</v>
      </c>
      <c r="H9" s="883" t="str">
        <f t="shared" ref="H9:N9" si="4">IF(H85="","",H85)</f>
        <v>改修</v>
      </c>
      <c r="I9" s="883" t="str">
        <f t="shared" si="4"/>
        <v/>
      </c>
      <c r="J9" s="883" t="str">
        <f t="shared" si="4"/>
        <v/>
      </c>
      <c r="K9" s="883" t="str">
        <f t="shared" si="4"/>
        <v/>
      </c>
      <c r="L9" s="883" t="str">
        <f t="shared" si="4"/>
        <v/>
      </c>
      <c r="M9" s="883" t="str">
        <f t="shared" si="4"/>
        <v/>
      </c>
      <c r="N9" s="884" t="str">
        <f t="shared" si="4"/>
        <v/>
      </c>
    </row>
    <row r="10" spans="1:14" s="887" customFormat="1" ht="13.5" customHeight="1">
      <c r="A10" s="2715" t="s">
        <v>2534</v>
      </c>
      <c r="B10" s="2716"/>
      <c r="C10" s="2716"/>
      <c r="D10" s="2716"/>
      <c r="E10" s="2716"/>
      <c r="F10" s="2717"/>
      <c r="G10" s="885" t="str">
        <f>G88</f>
        <v>積上げ・率処理併用</v>
      </c>
      <c r="H10" s="885" t="str">
        <f t="shared" ref="H10:N12" si="5">H88</f>
        <v>積上げ・率処理併用</v>
      </c>
      <c r="I10" s="885" t="str">
        <f t="shared" si="5"/>
        <v>積上げ・率処理併用</v>
      </c>
      <c r="J10" s="885" t="str">
        <f t="shared" si="5"/>
        <v>積上げ・率処理併用</v>
      </c>
      <c r="K10" s="885" t="str">
        <f t="shared" si="5"/>
        <v>積上げ・率処理併用</v>
      </c>
      <c r="L10" s="885" t="str">
        <f t="shared" si="5"/>
        <v>積上げ・率処理併用</v>
      </c>
      <c r="M10" s="885" t="str">
        <f t="shared" si="5"/>
        <v>積上げ・率処理併用</v>
      </c>
      <c r="N10" s="886" t="str">
        <f t="shared" si="5"/>
        <v>積上げ・率処理併用</v>
      </c>
    </row>
    <row r="11" spans="1:14" s="887" customFormat="1" ht="30" customHeight="1">
      <c r="A11" s="2704" t="s">
        <v>2535</v>
      </c>
      <c r="B11" s="2705"/>
      <c r="C11" s="2705"/>
      <c r="D11" s="2705"/>
      <c r="E11" s="2705"/>
      <c r="F11" s="2706"/>
      <c r="G11" s="888" t="str">
        <f>G89</f>
        <v>駅施設</v>
      </c>
      <c r="H11" s="888" t="str">
        <f t="shared" si="5"/>
        <v>駅施設</v>
      </c>
      <c r="I11" s="888" t="str">
        <f t="shared" si="5"/>
        <v>駅施設</v>
      </c>
      <c r="J11" s="888" t="str">
        <f t="shared" si="5"/>
        <v>駅施設</v>
      </c>
      <c r="K11" s="888" t="str">
        <f t="shared" si="5"/>
        <v>駅施設</v>
      </c>
      <c r="L11" s="888" t="str">
        <f t="shared" si="5"/>
        <v>駅施設</v>
      </c>
      <c r="M11" s="888" t="str">
        <f t="shared" si="5"/>
        <v>駅施設</v>
      </c>
      <c r="N11" s="889" t="str">
        <f t="shared" si="5"/>
        <v>駅施設</v>
      </c>
    </row>
    <row r="12" spans="1:14" s="887" customFormat="1" ht="30" customHeight="1">
      <c r="A12" s="2707" t="s">
        <v>2536</v>
      </c>
      <c r="B12" s="2708"/>
      <c r="C12" s="2708"/>
      <c r="D12" s="2708"/>
      <c r="E12" s="2708"/>
      <c r="F12" s="2709"/>
      <c r="G12" s="890" t="str">
        <f>G90</f>
        <v>無し</v>
      </c>
      <c r="H12" s="890" t="str">
        <f t="shared" si="5"/>
        <v>無し</v>
      </c>
      <c r="I12" s="890" t="str">
        <f t="shared" si="5"/>
        <v>無し</v>
      </c>
      <c r="J12" s="890" t="str">
        <f t="shared" si="5"/>
        <v>無し</v>
      </c>
      <c r="K12" s="890" t="str">
        <f t="shared" si="5"/>
        <v>無し</v>
      </c>
      <c r="L12" s="890" t="str">
        <f t="shared" si="5"/>
        <v>無し</v>
      </c>
      <c r="M12" s="890" t="str">
        <f t="shared" si="5"/>
        <v>無し</v>
      </c>
      <c r="N12" s="891" t="str">
        <f t="shared" si="5"/>
        <v>無し</v>
      </c>
    </row>
    <row r="13" spans="1:14" s="887" customFormat="1" ht="13.5" customHeight="1">
      <c r="A13" s="868"/>
      <c r="B13" s="892" t="s">
        <v>2537</v>
      </c>
      <c r="C13" s="893"/>
      <c r="D13" s="893"/>
      <c r="E13" s="894"/>
      <c r="F13" s="895">
        <f>SUM(G13:N13)</f>
        <v>473893</v>
      </c>
      <c r="G13" s="896">
        <f>+G14+G15</f>
        <v>50676</v>
      </c>
      <c r="H13" s="896">
        <f t="shared" ref="H13:N13" si="6">+H14+H15</f>
        <v>423217</v>
      </c>
      <c r="I13" s="896">
        <f t="shared" si="6"/>
        <v>0</v>
      </c>
      <c r="J13" s="896">
        <f t="shared" si="6"/>
        <v>0</v>
      </c>
      <c r="K13" s="896">
        <f t="shared" si="6"/>
        <v>0</v>
      </c>
      <c r="L13" s="896">
        <f t="shared" si="6"/>
        <v>0</v>
      </c>
      <c r="M13" s="896">
        <f t="shared" si="6"/>
        <v>0</v>
      </c>
      <c r="N13" s="897">
        <f t="shared" si="6"/>
        <v>0</v>
      </c>
    </row>
    <row r="14" spans="1:14" s="887" customFormat="1" ht="13.5" customHeight="1">
      <c r="A14" s="877"/>
      <c r="B14" s="878"/>
      <c r="C14" s="694" t="s">
        <v>2538</v>
      </c>
      <c r="D14" s="695"/>
      <c r="E14" s="872"/>
      <c r="F14" s="898">
        <f>SUM(G14:N14)</f>
        <v>461259</v>
      </c>
      <c r="G14" s="899">
        <f>+工事2!I16</f>
        <v>51385</v>
      </c>
      <c r="H14" s="899">
        <f>+工事1!I16</f>
        <v>409874</v>
      </c>
      <c r="I14" s="899"/>
      <c r="J14" s="899"/>
      <c r="K14" s="899"/>
      <c r="L14" s="899"/>
      <c r="M14" s="899"/>
      <c r="N14" s="900"/>
    </row>
    <row r="15" spans="1:14" s="887" customFormat="1" ht="12">
      <c r="A15" s="877"/>
      <c r="B15" s="878"/>
      <c r="C15" s="701" t="s">
        <v>2539</v>
      </c>
      <c r="D15" s="701"/>
      <c r="E15" s="901"/>
      <c r="F15" s="902">
        <f>SUM(G15:N15)</f>
        <v>12634</v>
      </c>
      <c r="G15" s="903">
        <f>G21+G22</f>
        <v>-709</v>
      </c>
      <c r="H15" s="903">
        <f t="shared" ref="H15:N15" si="7">H21+H22</f>
        <v>13343</v>
      </c>
      <c r="I15" s="903">
        <f t="shared" si="7"/>
        <v>0</v>
      </c>
      <c r="J15" s="903">
        <f t="shared" si="7"/>
        <v>0</v>
      </c>
      <c r="K15" s="903">
        <f t="shared" si="7"/>
        <v>0</v>
      </c>
      <c r="L15" s="903">
        <f t="shared" si="7"/>
        <v>0</v>
      </c>
      <c r="M15" s="903">
        <f t="shared" si="7"/>
        <v>0</v>
      </c>
      <c r="N15" s="904">
        <f t="shared" si="7"/>
        <v>0</v>
      </c>
    </row>
    <row r="16" spans="1:14" s="887" customFormat="1" ht="13.5" customHeight="1">
      <c r="A16" s="877"/>
      <c r="B16" s="878"/>
      <c r="C16" s="905" t="s">
        <v>2540</v>
      </c>
      <c r="D16" s="701"/>
      <c r="E16" s="901"/>
      <c r="F16" s="902">
        <f>SUM(G16:N16)</f>
        <v>12634</v>
      </c>
      <c r="G16" s="903">
        <f>G390-G174</f>
        <v>-709</v>
      </c>
      <c r="H16" s="903">
        <f t="shared" ref="H16:N16" si="8">H390-H174</f>
        <v>13343</v>
      </c>
      <c r="I16" s="903">
        <f t="shared" si="8"/>
        <v>0</v>
      </c>
      <c r="J16" s="903">
        <f t="shared" si="8"/>
        <v>0</v>
      </c>
      <c r="K16" s="903">
        <f t="shared" si="8"/>
        <v>0</v>
      </c>
      <c r="L16" s="903">
        <f t="shared" si="8"/>
        <v>0</v>
      </c>
      <c r="M16" s="903">
        <f t="shared" si="8"/>
        <v>0</v>
      </c>
      <c r="N16" s="904">
        <f t="shared" si="8"/>
        <v>0</v>
      </c>
    </row>
    <row r="17" spans="1:39" s="887" customFormat="1" ht="13.5" customHeight="1">
      <c r="A17" s="877"/>
      <c r="B17" s="878"/>
      <c r="C17" s="905" t="s">
        <v>2541</v>
      </c>
      <c r="D17" s="701"/>
      <c r="E17" s="901"/>
      <c r="F17" s="902">
        <f>SUM(G17:AM17)</f>
        <v>0</v>
      </c>
      <c r="G17" s="903">
        <f>IF(AND(G14=0,G8=G84,G12="無し"),G16,0)</f>
        <v>0</v>
      </c>
      <c r="H17" s="903">
        <f t="shared" ref="H17:N17" si="9">IF(AND(H14=0,H8=H84,H12="無し"),H16,0)</f>
        <v>0</v>
      </c>
      <c r="I17" s="903">
        <f t="shared" si="9"/>
        <v>0</v>
      </c>
      <c r="J17" s="903">
        <f t="shared" si="9"/>
        <v>0</v>
      </c>
      <c r="K17" s="903">
        <f t="shared" si="9"/>
        <v>0</v>
      </c>
      <c r="L17" s="903">
        <f t="shared" si="9"/>
        <v>0</v>
      </c>
      <c r="M17" s="903">
        <f t="shared" si="9"/>
        <v>0</v>
      </c>
      <c r="N17" s="904">
        <f t="shared" si="9"/>
        <v>0</v>
      </c>
      <c r="O17" s="906"/>
      <c r="P17" s="906"/>
      <c r="Q17" s="906"/>
      <c r="R17" s="906"/>
      <c r="S17" s="906"/>
      <c r="T17" s="906"/>
      <c r="U17" s="906"/>
      <c r="V17" s="906"/>
      <c r="W17" s="906"/>
      <c r="X17" s="906"/>
      <c r="Y17" s="906"/>
      <c r="Z17" s="906"/>
      <c r="AA17" s="906"/>
      <c r="AB17" s="906"/>
      <c r="AC17" s="906"/>
      <c r="AD17" s="906"/>
      <c r="AE17" s="906"/>
      <c r="AF17" s="906"/>
      <c r="AG17" s="906"/>
      <c r="AH17" s="906"/>
      <c r="AI17" s="906"/>
      <c r="AJ17" s="906"/>
      <c r="AK17" s="906"/>
      <c r="AL17" s="906"/>
      <c r="AM17" s="906"/>
    </row>
    <row r="18" spans="1:39" s="887" customFormat="1" ht="13.5" customHeight="1">
      <c r="A18" s="877"/>
      <c r="B18" s="878"/>
      <c r="C18" s="905" t="s">
        <v>2542</v>
      </c>
      <c r="D18" s="701"/>
      <c r="E18" s="901"/>
      <c r="F18" s="902">
        <f>SUM(G18:AM18)</f>
        <v>461259</v>
      </c>
      <c r="G18" s="903">
        <f>G14-G43</f>
        <v>51385</v>
      </c>
      <c r="H18" s="903">
        <f t="shared" ref="H18:N18" si="10">H14-H43</f>
        <v>409874</v>
      </c>
      <c r="I18" s="903">
        <f t="shared" si="10"/>
        <v>0</v>
      </c>
      <c r="J18" s="903">
        <f t="shared" si="10"/>
        <v>0</v>
      </c>
      <c r="K18" s="903">
        <f t="shared" si="10"/>
        <v>0</v>
      </c>
      <c r="L18" s="903">
        <f t="shared" si="10"/>
        <v>0</v>
      </c>
      <c r="M18" s="903">
        <f t="shared" si="10"/>
        <v>0</v>
      </c>
      <c r="N18" s="904">
        <f t="shared" si="10"/>
        <v>0</v>
      </c>
      <c r="O18" s="906"/>
      <c r="P18" s="906"/>
      <c r="Q18" s="906"/>
      <c r="R18" s="906"/>
      <c r="S18" s="906"/>
      <c r="T18" s="906"/>
      <c r="U18" s="906"/>
      <c r="V18" s="906"/>
      <c r="W18" s="906"/>
      <c r="X18" s="906"/>
      <c r="Y18" s="906"/>
      <c r="Z18" s="906"/>
      <c r="AA18" s="906"/>
      <c r="AB18" s="906"/>
      <c r="AC18" s="906"/>
      <c r="AD18" s="906"/>
      <c r="AE18" s="906"/>
      <c r="AF18" s="906"/>
      <c r="AG18" s="906"/>
      <c r="AH18" s="906"/>
      <c r="AI18" s="906"/>
      <c r="AJ18" s="906"/>
      <c r="AK18" s="906"/>
      <c r="AL18" s="906"/>
      <c r="AM18" s="906"/>
    </row>
    <row r="19" spans="1:39" s="887" customFormat="1" ht="13.5" customHeight="1">
      <c r="A19" s="877"/>
      <c r="B19" s="878"/>
      <c r="C19" s="905" t="s">
        <v>2543</v>
      </c>
      <c r="D19" s="701"/>
      <c r="E19" s="901"/>
      <c r="F19" s="902">
        <f>SUM(G19:AM19)</f>
        <v>0</v>
      </c>
      <c r="G19" s="903">
        <f>IF($F$17=0,0,(IF(G17=0,INT(G18/$F18*$F17),0)))</f>
        <v>0</v>
      </c>
      <c r="H19" s="903">
        <f t="shared" ref="H19:N19" si="11">IF($F$17=0,0,(IF(H17=0,INT(H18/$F18*$F17),0)))</f>
        <v>0</v>
      </c>
      <c r="I19" s="903">
        <f t="shared" si="11"/>
        <v>0</v>
      </c>
      <c r="J19" s="903">
        <f t="shared" si="11"/>
        <v>0</v>
      </c>
      <c r="K19" s="903">
        <f t="shared" si="11"/>
        <v>0</v>
      </c>
      <c r="L19" s="903">
        <f t="shared" si="11"/>
        <v>0</v>
      </c>
      <c r="M19" s="903">
        <f t="shared" si="11"/>
        <v>0</v>
      </c>
      <c r="N19" s="904">
        <f t="shared" si="11"/>
        <v>0</v>
      </c>
      <c r="O19" s="906"/>
      <c r="P19" s="906"/>
      <c r="Q19" s="906"/>
      <c r="R19" s="906"/>
      <c r="S19" s="906"/>
      <c r="T19" s="906"/>
      <c r="U19" s="906"/>
      <c r="V19" s="906"/>
      <c r="W19" s="906"/>
      <c r="X19" s="906"/>
      <c r="Y19" s="906"/>
      <c r="Z19" s="906"/>
      <c r="AA19" s="906"/>
      <c r="AB19" s="906"/>
      <c r="AC19" s="906"/>
      <c r="AD19" s="906"/>
      <c r="AE19" s="906"/>
      <c r="AF19" s="906"/>
      <c r="AG19" s="906"/>
      <c r="AH19" s="906"/>
      <c r="AI19" s="906"/>
      <c r="AJ19" s="906"/>
      <c r="AK19" s="906"/>
      <c r="AL19" s="906"/>
      <c r="AM19" s="906"/>
    </row>
    <row r="20" spans="1:39" s="887" customFormat="1" ht="13.5" customHeight="1">
      <c r="A20" s="877"/>
      <c r="B20" s="878"/>
      <c r="C20" s="907" t="s">
        <v>2544</v>
      </c>
      <c r="D20" s="701"/>
      <c r="E20" s="901"/>
      <c r="F20" s="902">
        <f>F17-F19</f>
        <v>0</v>
      </c>
      <c r="G20" s="908">
        <f>IF($F20=0,0,IF(G19=0,0,$F20))</f>
        <v>0</v>
      </c>
      <c r="H20" s="908">
        <f>IF($F20=0,0,IF(H19=0,0,IF(SUM($G20:G20)=0,$F20,0)))</f>
        <v>0</v>
      </c>
      <c r="I20" s="908">
        <f>IF($F20=0,0,IF(I19=0,0,IF(SUM($G20:H20)=0,$F20,0)))</f>
        <v>0</v>
      </c>
      <c r="J20" s="908">
        <f>IF($F20=0,0,IF(J19=0,0,IF(SUM($G20:I20)=0,$F20,0)))</f>
        <v>0</v>
      </c>
      <c r="K20" s="908">
        <f>IF($F20=0,0,IF(K19=0,0,IF(SUM($G20:J20)=0,$F20,0)))</f>
        <v>0</v>
      </c>
      <c r="L20" s="908">
        <f>IF($F20=0,0,IF(L19=0,0,IF(SUM($G20:K20)=0,$F20,0)))</f>
        <v>0</v>
      </c>
      <c r="M20" s="908">
        <f>IF($F20=0,0,IF(M19=0,0,IF(SUM($G20:L20)=0,$F20,0)))</f>
        <v>0</v>
      </c>
      <c r="N20" s="909">
        <f>IF($F20=0,0,IF(N19=0,0,IF(SUM($G20:M20)=0,$F20,0)))</f>
        <v>0</v>
      </c>
      <c r="O20" s="910"/>
      <c r="P20" s="910"/>
      <c r="Q20" s="910"/>
      <c r="R20" s="910"/>
      <c r="S20" s="910"/>
      <c r="T20" s="910"/>
      <c r="U20" s="910"/>
      <c r="V20" s="910"/>
      <c r="W20" s="910"/>
      <c r="X20" s="910"/>
      <c r="Y20" s="910"/>
      <c r="Z20" s="910"/>
      <c r="AA20" s="910"/>
      <c r="AB20" s="910"/>
      <c r="AC20" s="910"/>
      <c r="AD20" s="910"/>
      <c r="AE20" s="910"/>
      <c r="AF20" s="910"/>
      <c r="AG20" s="910"/>
      <c r="AH20" s="910"/>
      <c r="AI20" s="910"/>
      <c r="AJ20" s="910"/>
      <c r="AK20" s="910"/>
      <c r="AL20" s="910"/>
      <c r="AM20" s="910"/>
    </row>
    <row r="21" spans="1:39" s="887" customFormat="1" ht="13.5" customHeight="1">
      <c r="A21" s="877"/>
      <c r="B21" s="878"/>
      <c r="C21" s="905" t="s">
        <v>2545</v>
      </c>
      <c r="D21" s="701"/>
      <c r="E21" s="901"/>
      <c r="F21" s="902">
        <f>SUM(G21:AM21)</f>
        <v>12634</v>
      </c>
      <c r="G21" s="908">
        <f>IF(G43="",IF(AND(G14=0,G8=G84,G12="無し"),0,G16+G19+G20))</f>
        <v>-709</v>
      </c>
      <c r="H21" s="908">
        <f t="shared" ref="H21:N21" si="12">IF(H43="",IF(H14=0,IF(H8=H84,0,H16+H19+H20),H16+H19+H20),0)</f>
        <v>13343</v>
      </c>
      <c r="I21" s="908">
        <f t="shared" si="12"/>
        <v>0</v>
      </c>
      <c r="J21" s="908">
        <f t="shared" si="12"/>
        <v>0</v>
      </c>
      <c r="K21" s="908">
        <f t="shared" si="12"/>
        <v>0</v>
      </c>
      <c r="L21" s="908">
        <f t="shared" si="12"/>
        <v>0</v>
      </c>
      <c r="M21" s="908">
        <f t="shared" si="12"/>
        <v>0</v>
      </c>
      <c r="N21" s="909">
        <f t="shared" si="12"/>
        <v>0</v>
      </c>
      <c r="O21" s="910"/>
      <c r="P21" s="910"/>
      <c r="Q21" s="910"/>
      <c r="R21" s="910"/>
      <c r="S21" s="910"/>
      <c r="T21" s="910"/>
      <c r="U21" s="910"/>
      <c r="V21" s="910"/>
      <c r="W21" s="910"/>
      <c r="X21" s="910"/>
      <c r="Y21" s="910"/>
      <c r="Z21" s="910"/>
      <c r="AA21" s="910"/>
      <c r="AB21" s="910"/>
      <c r="AC21" s="910"/>
      <c r="AD21" s="910"/>
      <c r="AE21" s="910"/>
      <c r="AF21" s="910"/>
      <c r="AG21" s="910"/>
      <c r="AH21" s="910"/>
      <c r="AI21" s="910"/>
      <c r="AJ21" s="910"/>
      <c r="AK21" s="910"/>
      <c r="AL21" s="910"/>
      <c r="AM21" s="910"/>
    </row>
    <row r="22" spans="1:39" s="887" customFormat="1" ht="12">
      <c r="A22" s="877"/>
      <c r="B22" s="878"/>
      <c r="C22" s="905" t="s">
        <v>2546</v>
      </c>
      <c r="D22" s="701"/>
      <c r="E22" s="901"/>
      <c r="F22" s="902">
        <f>SUM(G22:N22)</f>
        <v>0</v>
      </c>
      <c r="G22" s="911"/>
      <c r="H22" s="911"/>
      <c r="I22" s="911"/>
      <c r="J22" s="911"/>
      <c r="K22" s="911"/>
      <c r="L22" s="911"/>
      <c r="M22" s="911"/>
      <c r="N22" s="912"/>
    </row>
    <row r="23" spans="1:39" s="887" customFormat="1" ht="13.5" customHeight="1">
      <c r="A23" s="877"/>
      <c r="B23" s="878"/>
      <c r="C23" s="913" t="s">
        <v>2547</v>
      </c>
      <c r="D23" s="701"/>
      <c r="E23" s="901"/>
      <c r="F23" s="902">
        <f>SUM(G23:N23)</f>
        <v>0</v>
      </c>
      <c r="G23" s="911"/>
      <c r="H23" s="911"/>
      <c r="I23" s="911"/>
      <c r="J23" s="911"/>
      <c r="K23" s="911"/>
      <c r="L23" s="911"/>
      <c r="M23" s="911"/>
      <c r="N23" s="912"/>
    </row>
    <row r="24" spans="1:39" s="887" customFormat="1" ht="12">
      <c r="A24" s="877"/>
      <c r="B24" s="878"/>
      <c r="C24" s="914" t="s">
        <v>2548</v>
      </c>
      <c r="D24" s="915"/>
      <c r="E24" s="916"/>
      <c r="F24" s="917">
        <f>SUM(G24:N24)</f>
        <v>0</v>
      </c>
      <c r="G24" s="918"/>
      <c r="H24" s="918"/>
      <c r="I24" s="918"/>
      <c r="J24" s="918"/>
      <c r="K24" s="918"/>
      <c r="L24" s="918"/>
      <c r="M24" s="918"/>
      <c r="N24" s="919"/>
    </row>
    <row r="25" spans="1:39" s="887" customFormat="1" ht="13.5" customHeight="1">
      <c r="A25" s="920" t="s">
        <v>2549</v>
      </c>
      <c r="B25" s="921"/>
      <c r="C25" s="922"/>
      <c r="D25" s="922"/>
      <c r="E25" s="923"/>
      <c r="F25" s="924"/>
      <c r="G25" s="925"/>
      <c r="H25" s="925"/>
      <c r="I25" s="925"/>
      <c r="J25" s="925"/>
      <c r="K25" s="925"/>
      <c r="L25" s="925"/>
      <c r="M25" s="925"/>
      <c r="N25" s="926"/>
    </row>
    <row r="26" spans="1:39" s="887" customFormat="1" ht="12">
      <c r="A26" s="2674"/>
      <c r="B26" s="2680" t="s">
        <v>2550</v>
      </c>
      <c r="C26" s="695" t="s">
        <v>2551</v>
      </c>
      <c r="D26" s="695"/>
      <c r="E26" s="873"/>
      <c r="F26" s="898">
        <f t="shared" ref="F26:F32" si="13">SUM(G26:N26)</f>
        <v>0</v>
      </c>
      <c r="G26" s="899"/>
      <c r="H26" s="899"/>
      <c r="I26" s="899">
        <f t="shared" ref="I26:N26" si="14">IF(I9="新営",I14-SUM(I28:I39)-I43-I42,0)</f>
        <v>0</v>
      </c>
      <c r="J26" s="899">
        <f t="shared" si="14"/>
        <v>0</v>
      </c>
      <c r="K26" s="899">
        <f t="shared" si="14"/>
        <v>0</v>
      </c>
      <c r="L26" s="899">
        <f t="shared" si="14"/>
        <v>0</v>
      </c>
      <c r="M26" s="899">
        <f t="shared" si="14"/>
        <v>0</v>
      </c>
      <c r="N26" s="900">
        <f t="shared" si="14"/>
        <v>0</v>
      </c>
    </row>
    <row r="27" spans="1:39" s="887" customFormat="1" ht="12">
      <c r="A27" s="2674"/>
      <c r="B27" s="2666"/>
      <c r="C27" s="702" t="s">
        <v>2552</v>
      </c>
      <c r="D27" s="702"/>
      <c r="E27" s="901"/>
      <c r="F27" s="902">
        <f t="shared" si="13"/>
        <v>459147</v>
      </c>
      <c r="G27" s="903">
        <f>IF(G9="改修",G14-SUM(G28:G39)-G43-G42,0)</f>
        <v>51081</v>
      </c>
      <c r="H27" s="903">
        <f t="shared" ref="H27:N27" si="15">IF(H9="改修",H14-SUM(H28:H39)-H43-H42,0)</f>
        <v>408066</v>
      </c>
      <c r="I27" s="903">
        <f t="shared" si="15"/>
        <v>0</v>
      </c>
      <c r="J27" s="903">
        <f t="shared" si="15"/>
        <v>0</v>
      </c>
      <c r="K27" s="903">
        <f t="shared" si="15"/>
        <v>0</v>
      </c>
      <c r="L27" s="903">
        <f t="shared" si="15"/>
        <v>0</v>
      </c>
      <c r="M27" s="903">
        <f t="shared" si="15"/>
        <v>0</v>
      </c>
      <c r="N27" s="904">
        <f t="shared" si="15"/>
        <v>0</v>
      </c>
    </row>
    <row r="28" spans="1:39" s="887" customFormat="1" ht="12">
      <c r="A28" s="2674"/>
      <c r="B28" s="2666"/>
      <c r="C28" s="927" t="s">
        <v>2553</v>
      </c>
      <c r="D28" s="702"/>
      <c r="E28" s="901"/>
      <c r="F28" s="902">
        <f t="shared" si="13"/>
        <v>0</v>
      </c>
      <c r="G28" s="911"/>
      <c r="H28" s="911"/>
      <c r="I28" s="911"/>
      <c r="J28" s="911"/>
      <c r="K28" s="911"/>
      <c r="L28" s="911"/>
      <c r="M28" s="911"/>
      <c r="N28" s="912"/>
    </row>
    <row r="29" spans="1:39" s="887" customFormat="1" ht="12">
      <c r="A29" s="2674"/>
      <c r="B29" s="2665"/>
      <c r="C29" s="927" t="s">
        <v>2554</v>
      </c>
      <c r="D29" s="702"/>
      <c r="E29" s="901"/>
      <c r="F29" s="902">
        <f t="shared" si="13"/>
        <v>0</v>
      </c>
      <c r="G29" s="911"/>
      <c r="H29" s="911"/>
      <c r="I29" s="911"/>
      <c r="J29" s="911"/>
      <c r="K29" s="911"/>
      <c r="L29" s="911"/>
      <c r="M29" s="911"/>
      <c r="N29" s="912"/>
    </row>
    <row r="30" spans="1:39" s="887" customFormat="1" ht="13.5" customHeight="1">
      <c r="A30" s="2674"/>
      <c r="B30" s="2664" t="s">
        <v>2555</v>
      </c>
      <c r="C30" s="701" t="s">
        <v>2556</v>
      </c>
      <c r="D30" s="702"/>
      <c r="E30" s="901"/>
      <c r="F30" s="902">
        <f t="shared" si="13"/>
        <v>0</v>
      </c>
      <c r="G30" s="911"/>
      <c r="H30" s="911"/>
      <c r="I30" s="911"/>
      <c r="J30" s="911"/>
      <c r="K30" s="911"/>
      <c r="L30" s="911"/>
      <c r="M30" s="911"/>
      <c r="N30" s="912"/>
    </row>
    <row r="31" spans="1:39" s="887" customFormat="1" ht="12">
      <c r="A31" s="2674"/>
      <c r="B31" s="2666"/>
      <c r="C31" s="701" t="s">
        <v>2557</v>
      </c>
      <c r="D31" s="702"/>
      <c r="E31" s="901"/>
      <c r="F31" s="902">
        <f t="shared" si="13"/>
        <v>0</v>
      </c>
      <c r="G31" s="911"/>
      <c r="H31" s="911"/>
      <c r="I31" s="911"/>
      <c r="J31" s="911"/>
      <c r="K31" s="911"/>
      <c r="L31" s="911"/>
      <c r="M31" s="911"/>
      <c r="N31" s="912"/>
    </row>
    <row r="32" spans="1:39" s="887" customFormat="1" ht="12">
      <c r="A32" s="2674"/>
      <c r="B32" s="2666"/>
      <c r="C32" s="702" t="s">
        <v>2558</v>
      </c>
      <c r="D32" s="702"/>
      <c r="E32" s="901"/>
      <c r="F32" s="902">
        <f t="shared" si="13"/>
        <v>0</v>
      </c>
      <c r="G32" s="911"/>
      <c r="H32" s="911"/>
      <c r="I32" s="911"/>
      <c r="J32" s="911"/>
      <c r="K32" s="911"/>
      <c r="L32" s="911"/>
      <c r="M32" s="911"/>
      <c r="N32" s="912"/>
    </row>
    <row r="33" spans="1:14" s="887" customFormat="1" ht="13.5" customHeight="1">
      <c r="A33" s="2674"/>
      <c r="B33" s="2666"/>
      <c r="C33" s="702" t="s">
        <v>2559</v>
      </c>
      <c r="D33" s="702"/>
      <c r="E33" s="901"/>
      <c r="F33" s="902"/>
      <c r="G33" s="903"/>
      <c r="H33" s="903"/>
      <c r="I33" s="903"/>
      <c r="J33" s="903"/>
      <c r="K33" s="903"/>
      <c r="L33" s="903"/>
      <c r="M33" s="903"/>
      <c r="N33" s="904"/>
    </row>
    <row r="34" spans="1:14" s="887" customFormat="1" ht="12">
      <c r="A34" s="2674"/>
      <c r="B34" s="2666"/>
      <c r="C34" s="702" t="s">
        <v>2560</v>
      </c>
      <c r="D34" s="702"/>
      <c r="E34" s="901"/>
      <c r="F34" s="902"/>
      <c r="G34" s="903"/>
      <c r="H34" s="903"/>
      <c r="I34" s="903"/>
      <c r="J34" s="903"/>
      <c r="K34" s="903"/>
      <c r="L34" s="903"/>
      <c r="M34" s="903"/>
      <c r="N34" s="904"/>
    </row>
    <row r="35" spans="1:14" s="887" customFormat="1" ht="12">
      <c r="A35" s="2674"/>
      <c r="B35" s="2666"/>
      <c r="C35" s="702" t="s">
        <v>2561</v>
      </c>
      <c r="D35" s="702"/>
      <c r="E35" s="901"/>
      <c r="F35" s="902">
        <f t="shared" ref="F35:F45" si="16">SUM(G35:N35)</f>
        <v>0</v>
      </c>
      <c r="G35" s="911"/>
      <c r="H35" s="911"/>
      <c r="I35" s="911"/>
      <c r="J35" s="911"/>
      <c r="K35" s="911"/>
      <c r="L35" s="911"/>
      <c r="M35" s="911"/>
      <c r="N35" s="912"/>
    </row>
    <row r="36" spans="1:14" s="887" customFormat="1" ht="12">
      <c r="A36" s="2674"/>
      <c r="B36" s="2666"/>
      <c r="C36" s="928" t="s">
        <v>2562</v>
      </c>
      <c r="D36" s="702"/>
      <c r="E36" s="901"/>
      <c r="F36" s="902">
        <f t="shared" si="16"/>
        <v>0</v>
      </c>
      <c r="G36" s="911"/>
      <c r="H36" s="911"/>
      <c r="I36" s="911"/>
      <c r="J36" s="911"/>
      <c r="K36" s="911"/>
      <c r="L36" s="911"/>
      <c r="M36" s="911"/>
      <c r="N36" s="912"/>
    </row>
    <row r="37" spans="1:14" s="887" customFormat="1" ht="12">
      <c r="A37" s="2674"/>
      <c r="B37" s="2666"/>
      <c r="C37" s="929" t="s">
        <v>2563</v>
      </c>
      <c r="D37" s="702"/>
      <c r="E37" s="901"/>
      <c r="F37" s="902">
        <f t="shared" si="16"/>
        <v>0</v>
      </c>
      <c r="G37" s="911"/>
      <c r="H37" s="911"/>
      <c r="I37" s="911"/>
      <c r="J37" s="911"/>
      <c r="K37" s="911"/>
      <c r="L37" s="911"/>
      <c r="M37" s="911"/>
      <c r="N37" s="912"/>
    </row>
    <row r="38" spans="1:14" s="887" customFormat="1" ht="12">
      <c r="A38" s="2674"/>
      <c r="B38" s="2665"/>
      <c r="C38" s="702" t="s">
        <v>2564</v>
      </c>
      <c r="D38" s="702"/>
      <c r="E38" s="901"/>
      <c r="F38" s="902">
        <f t="shared" si="16"/>
        <v>0</v>
      </c>
      <c r="G38" s="911"/>
      <c r="H38" s="911"/>
      <c r="I38" s="911"/>
      <c r="J38" s="911"/>
      <c r="K38" s="911"/>
      <c r="L38" s="911"/>
      <c r="M38" s="911"/>
      <c r="N38" s="912"/>
    </row>
    <row r="39" spans="1:14" s="887" customFormat="1" ht="12">
      <c r="A39" s="2674"/>
      <c r="B39" s="2664" t="s">
        <v>2565</v>
      </c>
      <c r="C39" s="927" t="s">
        <v>2566</v>
      </c>
      <c r="D39" s="702"/>
      <c r="E39" s="901"/>
      <c r="F39" s="902">
        <f t="shared" si="16"/>
        <v>2112</v>
      </c>
      <c r="G39" s="911">
        <f>SUM(工事2!I124:I125)</f>
        <v>304</v>
      </c>
      <c r="H39" s="911">
        <f>SUM(工事1!I149:I150)</f>
        <v>1808</v>
      </c>
      <c r="I39" s="911"/>
      <c r="J39" s="911"/>
      <c r="K39" s="911"/>
      <c r="L39" s="911"/>
      <c r="M39" s="911"/>
      <c r="N39" s="912"/>
    </row>
    <row r="40" spans="1:14" s="887" customFormat="1" ht="12">
      <c r="A40" s="2674"/>
      <c r="B40" s="2666"/>
      <c r="C40" s="927" t="s">
        <v>2567</v>
      </c>
      <c r="D40" s="702"/>
      <c r="E40" s="901"/>
      <c r="F40" s="902">
        <f t="shared" si="16"/>
        <v>0</v>
      </c>
      <c r="G40" s="903">
        <f t="shared" ref="G40:N40" si="17">+G24</f>
        <v>0</v>
      </c>
      <c r="H40" s="903">
        <f t="shared" si="17"/>
        <v>0</v>
      </c>
      <c r="I40" s="903">
        <f t="shared" si="17"/>
        <v>0</v>
      </c>
      <c r="J40" s="903">
        <f t="shared" si="17"/>
        <v>0</v>
      </c>
      <c r="K40" s="903">
        <f t="shared" si="17"/>
        <v>0</v>
      </c>
      <c r="L40" s="903">
        <f t="shared" si="17"/>
        <v>0</v>
      </c>
      <c r="M40" s="903">
        <f t="shared" si="17"/>
        <v>0</v>
      </c>
      <c r="N40" s="904">
        <f t="shared" si="17"/>
        <v>0</v>
      </c>
    </row>
    <row r="41" spans="1:14" s="887" customFormat="1" ht="12">
      <c r="A41" s="2674"/>
      <c r="B41" s="2666"/>
      <c r="C41" s="702" t="s">
        <v>2568</v>
      </c>
      <c r="D41" s="702"/>
      <c r="E41" s="901"/>
      <c r="F41" s="902">
        <f t="shared" si="16"/>
        <v>0</v>
      </c>
      <c r="G41" s="903">
        <f t="shared" ref="G41:N41" si="18">+G23</f>
        <v>0</v>
      </c>
      <c r="H41" s="903">
        <f t="shared" si="18"/>
        <v>0</v>
      </c>
      <c r="I41" s="903">
        <f t="shared" si="18"/>
        <v>0</v>
      </c>
      <c r="J41" s="903">
        <f t="shared" si="18"/>
        <v>0</v>
      </c>
      <c r="K41" s="903">
        <f t="shared" si="18"/>
        <v>0</v>
      </c>
      <c r="L41" s="903">
        <f t="shared" si="18"/>
        <v>0</v>
      </c>
      <c r="M41" s="903">
        <f t="shared" si="18"/>
        <v>0</v>
      </c>
      <c r="N41" s="904">
        <f t="shared" si="18"/>
        <v>0</v>
      </c>
    </row>
    <row r="42" spans="1:14" s="887" customFormat="1" ht="12">
      <c r="A42" s="2674"/>
      <c r="B42" s="2666"/>
      <c r="C42" s="702" t="s">
        <v>2569</v>
      </c>
      <c r="D42" s="702"/>
      <c r="E42" s="901"/>
      <c r="F42" s="902">
        <f t="shared" si="16"/>
        <v>0</v>
      </c>
      <c r="G42" s="911"/>
      <c r="H42" s="911"/>
      <c r="I42" s="911"/>
      <c r="J42" s="911"/>
      <c r="K42" s="911"/>
      <c r="L42" s="911"/>
      <c r="M42" s="911"/>
      <c r="N42" s="912"/>
    </row>
    <row r="43" spans="1:14" s="887" customFormat="1" ht="13.5" customHeight="1">
      <c r="A43" s="2674"/>
      <c r="B43" s="2666"/>
      <c r="C43" s="930" t="s">
        <v>2570</v>
      </c>
      <c r="D43" s="931"/>
      <c r="E43" s="932"/>
      <c r="F43" s="902">
        <f t="shared" si="16"/>
        <v>0</v>
      </c>
      <c r="G43" s="933"/>
      <c r="H43" s="933"/>
      <c r="I43" s="933"/>
      <c r="J43" s="933"/>
      <c r="K43" s="933"/>
      <c r="L43" s="933"/>
      <c r="M43" s="933"/>
      <c r="N43" s="934"/>
    </row>
    <row r="44" spans="1:14" s="887" customFormat="1" ht="12">
      <c r="A44" s="2674"/>
      <c r="B44" s="2666"/>
      <c r="C44" s="930" t="s">
        <v>2571</v>
      </c>
      <c r="D44" s="931"/>
      <c r="E44" s="932"/>
      <c r="F44" s="902">
        <f t="shared" si="16"/>
        <v>0</v>
      </c>
      <c r="G44" s="933"/>
      <c r="H44" s="933"/>
      <c r="I44" s="933"/>
      <c r="J44" s="933"/>
      <c r="K44" s="933"/>
      <c r="L44" s="933"/>
      <c r="M44" s="933"/>
      <c r="N44" s="934"/>
    </row>
    <row r="45" spans="1:14" s="887" customFormat="1" ht="12">
      <c r="A45" s="2675"/>
      <c r="B45" s="2676"/>
      <c r="C45" s="935" t="s">
        <v>2572</v>
      </c>
      <c r="D45" s="935"/>
      <c r="E45" s="936"/>
      <c r="F45" s="937">
        <f t="shared" si="16"/>
        <v>0</v>
      </c>
      <c r="G45" s="938"/>
      <c r="H45" s="938"/>
      <c r="I45" s="938"/>
      <c r="J45" s="938"/>
      <c r="K45" s="938"/>
      <c r="L45" s="938"/>
      <c r="M45" s="938"/>
      <c r="N45" s="939"/>
    </row>
    <row r="46" spans="1:14" s="837" customFormat="1" ht="13.5" customHeight="1">
      <c r="A46" s="2727" t="s">
        <v>2573</v>
      </c>
      <c r="B46" s="2728"/>
      <c r="C46" s="2729"/>
      <c r="D46" s="940"/>
      <c r="E46" s="941"/>
      <c r="F46" s="942"/>
      <c r="G46" s="943"/>
      <c r="H46" s="943"/>
      <c r="I46" s="943"/>
      <c r="J46" s="943"/>
      <c r="K46" s="943"/>
      <c r="L46" s="943"/>
      <c r="M46" s="943"/>
      <c r="N46" s="944"/>
    </row>
    <row r="47" spans="1:14" s="950" customFormat="1" ht="12">
      <c r="A47" s="2730"/>
      <c r="B47" s="2731" t="s">
        <v>2550</v>
      </c>
      <c r="C47" s="945" t="s">
        <v>2551</v>
      </c>
      <c r="D47" s="946"/>
      <c r="E47" s="947"/>
      <c r="F47" s="948">
        <f>+F414-F198</f>
        <v>0</v>
      </c>
      <c r="G47" s="948">
        <f t="shared" ref="G47:N47" si="19">+G414-G198</f>
        <v>0</v>
      </c>
      <c r="H47" s="948">
        <f t="shared" si="19"/>
        <v>0</v>
      </c>
      <c r="I47" s="948">
        <f t="shared" si="19"/>
        <v>0</v>
      </c>
      <c r="J47" s="948">
        <f t="shared" si="19"/>
        <v>0</v>
      </c>
      <c r="K47" s="948">
        <f t="shared" si="19"/>
        <v>0</v>
      </c>
      <c r="L47" s="948">
        <f t="shared" si="19"/>
        <v>0</v>
      </c>
      <c r="M47" s="948">
        <f t="shared" si="19"/>
        <v>0</v>
      </c>
      <c r="N47" s="949">
        <f t="shared" si="19"/>
        <v>0</v>
      </c>
    </row>
    <row r="48" spans="1:14" s="950" customFormat="1" ht="12">
      <c r="A48" s="2730"/>
      <c r="B48" s="2732"/>
      <c r="C48" s="951" t="s">
        <v>2552</v>
      </c>
      <c r="D48" s="946"/>
      <c r="E48" s="947"/>
      <c r="F48" s="948">
        <f t="shared" ref="F48:N53" si="20">F416-F200</f>
        <v>48955</v>
      </c>
      <c r="G48" s="948">
        <f t="shared" si="20"/>
        <v>-23611</v>
      </c>
      <c r="H48" s="948">
        <f t="shared" si="20"/>
        <v>72566</v>
      </c>
      <c r="I48" s="948">
        <f t="shared" si="20"/>
        <v>0</v>
      </c>
      <c r="J48" s="948">
        <f t="shared" si="20"/>
        <v>0</v>
      </c>
      <c r="K48" s="948">
        <f t="shared" si="20"/>
        <v>0</v>
      </c>
      <c r="L48" s="948">
        <f t="shared" si="20"/>
        <v>0</v>
      </c>
      <c r="M48" s="948">
        <f t="shared" si="20"/>
        <v>0</v>
      </c>
      <c r="N48" s="949">
        <f t="shared" si="20"/>
        <v>0</v>
      </c>
    </row>
    <row r="49" spans="1:14" s="950" customFormat="1" ht="12">
      <c r="A49" s="2730"/>
      <c r="B49" s="2732"/>
      <c r="C49" s="951" t="s">
        <v>2574</v>
      </c>
      <c r="D49" s="946"/>
      <c r="E49" s="952"/>
      <c r="F49" s="948">
        <f t="shared" si="20"/>
        <v>0</v>
      </c>
      <c r="G49" s="948">
        <f t="shared" si="20"/>
        <v>0</v>
      </c>
      <c r="H49" s="948">
        <f t="shared" si="20"/>
        <v>0</v>
      </c>
      <c r="I49" s="948">
        <f t="shared" si="20"/>
        <v>0</v>
      </c>
      <c r="J49" s="948">
        <f t="shared" si="20"/>
        <v>0</v>
      </c>
      <c r="K49" s="948">
        <f t="shared" si="20"/>
        <v>0</v>
      </c>
      <c r="L49" s="948">
        <f t="shared" si="20"/>
        <v>0</v>
      </c>
      <c r="M49" s="948">
        <f t="shared" si="20"/>
        <v>0</v>
      </c>
      <c r="N49" s="949">
        <f t="shared" si="20"/>
        <v>0</v>
      </c>
    </row>
    <row r="50" spans="1:14" s="950" customFormat="1" ht="12">
      <c r="A50" s="2730"/>
      <c r="B50" s="2733"/>
      <c r="C50" s="951" t="s">
        <v>2575</v>
      </c>
      <c r="D50" s="946"/>
      <c r="E50" s="952"/>
      <c r="F50" s="948">
        <f t="shared" si="20"/>
        <v>0</v>
      </c>
      <c r="G50" s="948">
        <f t="shared" si="20"/>
        <v>0</v>
      </c>
      <c r="H50" s="948">
        <f t="shared" si="20"/>
        <v>0</v>
      </c>
      <c r="I50" s="948">
        <f t="shared" si="20"/>
        <v>0</v>
      </c>
      <c r="J50" s="948">
        <f t="shared" si="20"/>
        <v>0</v>
      </c>
      <c r="K50" s="948">
        <f t="shared" si="20"/>
        <v>0</v>
      </c>
      <c r="L50" s="948">
        <f t="shared" si="20"/>
        <v>0</v>
      </c>
      <c r="M50" s="948">
        <f t="shared" si="20"/>
        <v>0</v>
      </c>
      <c r="N50" s="949">
        <f t="shared" si="20"/>
        <v>0</v>
      </c>
    </row>
    <row r="51" spans="1:14" s="950" customFormat="1" ht="12">
      <c r="A51" s="2730"/>
      <c r="B51" s="2734" t="s">
        <v>2576</v>
      </c>
      <c r="C51" s="951" t="s">
        <v>2577</v>
      </c>
      <c r="D51" s="946">
        <v>1</v>
      </c>
      <c r="E51" s="952">
        <v>0.02</v>
      </c>
      <c r="F51" s="948">
        <f t="shared" si="20"/>
        <v>0</v>
      </c>
      <c r="G51" s="948">
        <f t="shared" si="20"/>
        <v>0</v>
      </c>
      <c r="H51" s="948">
        <f t="shared" si="20"/>
        <v>0</v>
      </c>
      <c r="I51" s="948">
        <f t="shared" si="20"/>
        <v>0</v>
      </c>
      <c r="J51" s="948">
        <f t="shared" si="20"/>
        <v>0</v>
      </c>
      <c r="K51" s="948">
        <f t="shared" si="20"/>
        <v>0</v>
      </c>
      <c r="L51" s="948">
        <f t="shared" si="20"/>
        <v>0</v>
      </c>
      <c r="M51" s="948">
        <f t="shared" si="20"/>
        <v>0</v>
      </c>
      <c r="N51" s="949">
        <f t="shared" si="20"/>
        <v>0</v>
      </c>
    </row>
    <row r="52" spans="1:14" s="950" customFormat="1" ht="12">
      <c r="A52" s="2730"/>
      <c r="B52" s="2732"/>
      <c r="C52" s="951" t="s">
        <v>2557</v>
      </c>
      <c r="D52" s="946">
        <v>1</v>
      </c>
      <c r="E52" s="952">
        <v>0.02</v>
      </c>
      <c r="F52" s="948">
        <f t="shared" si="20"/>
        <v>0</v>
      </c>
      <c r="G52" s="948">
        <f t="shared" si="20"/>
        <v>0</v>
      </c>
      <c r="H52" s="948">
        <f t="shared" si="20"/>
        <v>0</v>
      </c>
      <c r="I52" s="948">
        <f t="shared" si="20"/>
        <v>0</v>
      </c>
      <c r="J52" s="948">
        <f t="shared" si="20"/>
        <v>0</v>
      </c>
      <c r="K52" s="948">
        <f t="shared" si="20"/>
        <v>0</v>
      </c>
      <c r="L52" s="948">
        <f t="shared" si="20"/>
        <v>0</v>
      </c>
      <c r="M52" s="948">
        <f t="shared" si="20"/>
        <v>0</v>
      </c>
      <c r="N52" s="949">
        <f t="shared" si="20"/>
        <v>0</v>
      </c>
    </row>
    <row r="53" spans="1:14" s="950" customFormat="1" ht="12">
      <c r="A53" s="2730"/>
      <c r="B53" s="2732"/>
      <c r="C53" s="951" t="s">
        <v>2558</v>
      </c>
      <c r="D53" s="946">
        <v>1</v>
      </c>
      <c r="E53" s="952">
        <v>0.02</v>
      </c>
      <c r="F53" s="948">
        <f t="shared" si="20"/>
        <v>0</v>
      </c>
      <c r="G53" s="948">
        <f t="shared" si="20"/>
        <v>0</v>
      </c>
      <c r="H53" s="948">
        <f t="shared" si="20"/>
        <v>0</v>
      </c>
      <c r="I53" s="948">
        <f t="shared" si="20"/>
        <v>0</v>
      </c>
      <c r="J53" s="948">
        <f t="shared" si="20"/>
        <v>0</v>
      </c>
      <c r="K53" s="948">
        <f t="shared" si="20"/>
        <v>0</v>
      </c>
      <c r="L53" s="948">
        <f t="shared" si="20"/>
        <v>0</v>
      </c>
      <c r="M53" s="948">
        <f t="shared" si="20"/>
        <v>0</v>
      </c>
      <c r="N53" s="949">
        <f t="shared" si="20"/>
        <v>0</v>
      </c>
    </row>
    <row r="54" spans="1:14" s="950" customFormat="1" ht="12">
      <c r="A54" s="2730"/>
      <c r="B54" s="2732"/>
      <c r="C54" s="951" t="s">
        <v>2561</v>
      </c>
      <c r="D54" s="946">
        <v>1</v>
      </c>
      <c r="E54" s="952">
        <v>0.02</v>
      </c>
      <c r="F54" s="948">
        <f>F424-F208</f>
        <v>0</v>
      </c>
      <c r="G54" s="948">
        <f t="shared" ref="G54:N54" si="21">G424-G208</f>
        <v>0</v>
      </c>
      <c r="H54" s="948">
        <f t="shared" si="21"/>
        <v>0</v>
      </c>
      <c r="I54" s="948">
        <f t="shared" si="21"/>
        <v>0</v>
      </c>
      <c r="J54" s="948">
        <f t="shared" si="21"/>
        <v>0</v>
      </c>
      <c r="K54" s="948">
        <f t="shared" si="21"/>
        <v>0</v>
      </c>
      <c r="L54" s="948">
        <f t="shared" si="21"/>
        <v>0</v>
      </c>
      <c r="M54" s="948">
        <f t="shared" si="21"/>
        <v>0</v>
      </c>
      <c r="N54" s="949">
        <f t="shared" si="21"/>
        <v>0</v>
      </c>
    </row>
    <row r="55" spans="1:14" s="950" customFormat="1" ht="12">
      <c r="A55" s="2730"/>
      <c r="B55" s="2732"/>
      <c r="C55" s="953" t="s">
        <v>2578</v>
      </c>
      <c r="D55" s="946"/>
      <c r="E55" s="952"/>
      <c r="F55" s="948"/>
      <c r="G55" s="908"/>
      <c r="H55" s="908"/>
      <c r="I55" s="908"/>
      <c r="J55" s="908"/>
      <c r="K55" s="908"/>
      <c r="L55" s="908"/>
      <c r="M55" s="908"/>
      <c r="N55" s="909"/>
    </row>
    <row r="56" spans="1:14" s="950" customFormat="1" ht="12">
      <c r="A56" s="2730"/>
      <c r="B56" s="2732"/>
      <c r="C56" s="953" t="s">
        <v>2579</v>
      </c>
      <c r="D56" s="946"/>
      <c r="E56" s="952"/>
      <c r="F56" s="948"/>
      <c r="G56" s="908"/>
      <c r="H56" s="908"/>
      <c r="I56" s="908"/>
      <c r="J56" s="908"/>
      <c r="K56" s="908"/>
      <c r="L56" s="908"/>
      <c r="M56" s="908"/>
      <c r="N56" s="909"/>
    </row>
    <row r="57" spans="1:14" s="950" customFormat="1" ht="12">
      <c r="A57" s="2730"/>
      <c r="B57" s="2733"/>
      <c r="C57" s="951" t="s">
        <v>2564</v>
      </c>
      <c r="D57" s="946">
        <v>1</v>
      </c>
      <c r="E57" s="952">
        <v>0.02</v>
      </c>
      <c r="F57" s="948">
        <f>F427-F211</f>
        <v>0</v>
      </c>
      <c r="G57" s="948">
        <f t="shared" ref="G57:N57" si="22">G427-G211</f>
        <v>0</v>
      </c>
      <c r="H57" s="948">
        <f t="shared" si="22"/>
        <v>0</v>
      </c>
      <c r="I57" s="948">
        <f t="shared" si="22"/>
        <v>0</v>
      </c>
      <c r="J57" s="948">
        <f t="shared" si="22"/>
        <v>0</v>
      </c>
      <c r="K57" s="948">
        <f t="shared" si="22"/>
        <v>0</v>
      </c>
      <c r="L57" s="948">
        <f t="shared" si="22"/>
        <v>0</v>
      </c>
      <c r="M57" s="948">
        <f t="shared" si="22"/>
        <v>0</v>
      </c>
      <c r="N57" s="949">
        <f t="shared" si="22"/>
        <v>0</v>
      </c>
    </row>
    <row r="58" spans="1:14" s="950" customFormat="1" ht="12">
      <c r="A58" s="2730"/>
      <c r="B58" s="954" t="s">
        <v>2580</v>
      </c>
      <c r="C58" s="955" t="s">
        <v>2581</v>
      </c>
      <c r="D58" s="946">
        <v>1</v>
      </c>
      <c r="E58" s="952">
        <v>0</v>
      </c>
      <c r="F58" s="948">
        <f>F430-F214</f>
        <v>0</v>
      </c>
      <c r="G58" s="948">
        <f t="shared" ref="G58:N58" si="23">G430-G214</f>
        <v>0</v>
      </c>
      <c r="H58" s="948">
        <f t="shared" si="23"/>
        <v>0</v>
      </c>
      <c r="I58" s="948">
        <f t="shared" si="23"/>
        <v>0</v>
      </c>
      <c r="J58" s="948">
        <f t="shared" si="23"/>
        <v>0</v>
      </c>
      <c r="K58" s="948">
        <f t="shared" si="23"/>
        <v>0</v>
      </c>
      <c r="L58" s="948">
        <f t="shared" si="23"/>
        <v>0</v>
      </c>
      <c r="M58" s="948">
        <f t="shared" si="23"/>
        <v>0</v>
      </c>
      <c r="N58" s="949">
        <f t="shared" si="23"/>
        <v>0</v>
      </c>
    </row>
    <row r="59" spans="1:14" s="837" customFormat="1" ht="12">
      <c r="A59" s="2730"/>
      <c r="B59" s="956" t="s">
        <v>2582</v>
      </c>
      <c r="C59" s="957" t="s">
        <v>2583</v>
      </c>
      <c r="D59" s="946">
        <v>1</v>
      </c>
      <c r="E59" s="952"/>
      <c r="F59" s="948">
        <f>SUM(G59:N59)</f>
        <v>0</v>
      </c>
      <c r="G59" s="933"/>
      <c r="H59" s="933"/>
      <c r="I59" s="933"/>
      <c r="J59" s="933"/>
      <c r="K59" s="933"/>
      <c r="L59" s="933"/>
      <c r="M59" s="933"/>
      <c r="N59" s="934"/>
    </row>
    <row r="60" spans="1:14" s="837" customFormat="1" ht="12">
      <c r="A60" s="2730"/>
      <c r="B60" s="958" t="s">
        <v>2584</v>
      </c>
      <c r="C60" s="959" t="s">
        <v>2585</v>
      </c>
      <c r="D60" s="960">
        <v>1</v>
      </c>
      <c r="E60" s="961"/>
      <c r="F60" s="962"/>
      <c r="G60" s="963"/>
      <c r="H60" s="963"/>
      <c r="I60" s="963"/>
      <c r="J60" s="963"/>
      <c r="K60" s="963"/>
      <c r="L60" s="963"/>
      <c r="M60" s="963"/>
      <c r="N60" s="964"/>
    </row>
    <row r="61" spans="1:14" s="837" customFormat="1" ht="12">
      <c r="A61" s="965"/>
      <c r="B61" s="2710" t="s">
        <v>2586</v>
      </c>
      <c r="C61" s="2711"/>
      <c r="D61" s="966"/>
      <c r="E61" s="967"/>
      <c r="F61" s="968">
        <f>SUM(G61:N61)</f>
        <v>48955</v>
      </c>
      <c r="G61" s="969">
        <f>SUM(G47:G60)</f>
        <v>-23611</v>
      </c>
      <c r="H61" s="969">
        <f t="shared" ref="H61:N61" si="24">SUM(H47:H60)</f>
        <v>72566</v>
      </c>
      <c r="I61" s="969">
        <f t="shared" si="24"/>
        <v>0</v>
      </c>
      <c r="J61" s="969">
        <f t="shared" si="24"/>
        <v>0</v>
      </c>
      <c r="K61" s="969">
        <f t="shared" si="24"/>
        <v>0</v>
      </c>
      <c r="L61" s="969">
        <f t="shared" si="24"/>
        <v>0</v>
      </c>
      <c r="M61" s="969">
        <f t="shared" si="24"/>
        <v>0</v>
      </c>
      <c r="N61" s="970">
        <f t="shared" si="24"/>
        <v>0</v>
      </c>
    </row>
    <row r="62" spans="1:14" s="837" customFormat="1" ht="12" hidden="1">
      <c r="A62" s="965"/>
      <c r="B62" s="2710" t="s">
        <v>2587</v>
      </c>
      <c r="C62" s="2711"/>
      <c r="D62" s="966"/>
      <c r="E62" s="967"/>
      <c r="F62" s="968">
        <f>SUM(G62:N62)</f>
        <v>0</v>
      </c>
      <c r="G62" s="971">
        <f>IF(G59="",IF(G14+G22=0,IF(G8=G84,G61,0),0),0)</f>
        <v>0</v>
      </c>
      <c r="H62" s="971">
        <f t="shared" ref="H62:N62" si="25">IF(H59="",IF(H14+H22=0,IF(H8=H84,H61,0),0),0)</f>
        <v>0</v>
      </c>
      <c r="I62" s="971">
        <f t="shared" si="25"/>
        <v>0</v>
      </c>
      <c r="J62" s="971">
        <f t="shared" si="25"/>
        <v>0</v>
      </c>
      <c r="K62" s="971">
        <f t="shared" si="25"/>
        <v>0</v>
      </c>
      <c r="L62" s="971">
        <f t="shared" si="25"/>
        <v>0</v>
      </c>
      <c r="M62" s="971">
        <f t="shared" si="25"/>
        <v>0</v>
      </c>
      <c r="N62" s="971">
        <f t="shared" si="25"/>
        <v>0</v>
      </c>
    </row>
    <row r="63" spans="1:14" s="837" customFormat="1" ht="13.5" hidden="1" customHeight="1">
      <c r="A63" s="965"/>
      <c r="B63" s="2710" t="s">
        <v>2588</v>
      </c>
      <c r="C63" s="2711"/>
      <c r="D63" s="966"/>
      <c r="E63" s="967"/>
      <c r="F63" s="968">
        <f>SUM(G63:N63)</f>
        <v>473893</v>
      </c>
      <c r="G63" s="972">
        <f t="shared" ref="G63:N63" si="26">G13-(G43+G44)</f>
        <v>50676</v>
      </c>
      <c r="H63" s="972">
        <f t="shared" si="26"/>
        <v>423217</v>
      </c>
      <c r="I63" s="972">
        <f t="shared" si="26"/>
        <v>0</v>
      </c>
      <c r="J63" s="972">
        <f t="shared" si="26"/>
        <v>0</v>
      </c>
      <c r="K63" s="972">
        <f t="shared" si="26"/>
        <v>0</v>
      </c>
      <c r="L63" s="972">
        <f t="shared" si="26"/>
        <v>0</v>
      </c>
      <c r="M63" s="972">
        <f t="shared" si="26"/>
        <v>0</v>
      </c>
      <c r="N63" s="972">
        <f t="shared" si="26"/>
        <v>0</v>
      </c>
    </row>
    <row r="64" spans="1:14" s="837" customFormat="1" ht="12" hidden="1">
      <c r="A64" s="965"/>
      <c r="B64" s="2710" t="s">
        <v>2589</v>
      </c>
      <c r="C64" s="2711"/>
      <c r="D64" s="966"/>
      <c r="E64" s="967"/>
      <c r="F64" s="968">
        <f>SUM(G64:N64)</f>
        <v>0</v>
      </c>
      <c r="G64" s="969">
        <f>IF($F$62=0,0,(IF(G62=0,INT(G63/$F63*$F62),0)))</f>
        <v>0</v>
      </c>
      <c r="H64" s="969">
        <f t="shared" ref="H64:N64" si="27">IF($F$62=0,0,(IF(H62=0,INT(H63/$F63*$F62),0)))</f>
        <v>0</v>
      </c>
      <c r="I64" s="969">
        <f t="shared" si="27"/>
        <v>0</v>
      </c>
      <c r="J64" s="969">
        <f t="shared" si="27"/>
        <v>0</v>
      </c>
      <c r="K64" s="969">
        <f t="shared" si="27"/>
        <v>0</v>
      </c>
      <c r="L64" s="969">
        <f t="shared" si="27"/>
        <v>0</v>
      </c>
      <c r="M64" s="969">
        <f t="shared" si="27"/>
        <v>0</v>
      </c>
      <c r="N64" s="969">
        <f t="shared" si="27"/>
        <v>0</v>
      </c>
    </row>
    <row r="65" spans="1:14" s="837" customFormat="1" ht="12" hidden="1">
      <c r="A65" s="965"/>
      <c r="B65" s="2710" t="s">
        <v>2590</v>
      </c>
      <c r="C65" s="2711"/>
      <c r="D65" s="966"/>
      <c r="E65" s="967"/>
      <c r="F65" s="968">
        <f>F62-F64</f>
        <v>0</v>
      </c>
      <c r="G65" s="969">
        <f>IF($F65=0,0,IF(G64=0,0,$F65))</f>
        <v>0</v>
      </c>
      <c r="H65" s="969">
        <f>IF($F65=0,0,IF(H64=0,0,IF(SUM($G65:G65)=0,$F65,0)))</f>
        <v>0</v>
      </c>
      <c r="I65" s="969">
        <f>IF($F65=0,0,IF(I64=0,0,IF(SUM($G65:H65)=0,$F65,0)))</f>
        <v>0</v>
      </c>
      <c r="J65" s="969">
        <f>IF($F65=0,0,IF(J64=0,0,IF(SUM($G65:I65)=0,$F65,0)))</f>
        <v>0</v>
      </c>
      <c r="K65" s="969">
        <f>IF($F65=0,0,IF(K64=0,0,IF(SUM($G65:J65)=0,$F65,0)))</f>
        <v>0</v>
      </c>
      <c r="L65" s="969">
        <f>IF($F65=0,0,IF(L64=0,0,IF(SUM($G65:K65)=0,$F65,0)))</f>
        <v>0</v>
      </c>
      <c r="M65" s="969">
        <f>IF($F65=0,0,IF(M64=0,0,IF(SUM($G65:L65)=0,$F65,0)))</f>
        <v>0</v>
      </c>
      <c r="N65" s="969">
        <f>IF($F65=0,0,IF(N64=0,0,IF(SUM($G65:M65)=0,$F65,0)))</f>
        <v>0</v>
      </c>
    </row>
    <row r="66" spans="1:14" s="837" customFormat="1" ht="13.5" customHeight="1">
      <c r="A66" s="965"/>
      <c r="B66" s="2718" t="s">
        <v>2591</v>
      </c>
      <c r="C66" s="2719"/>
      <c r="D66" s="973"/>
      <c r="E66" s="974"/>
      <c r="F66" s="968">
        <f>SUM(G66:N66)</f>
        <v>48955</v>
      </c>
      <c r="G66" s="975">
        <f>IF(G59="",IF(G14+G22=0,IF(G8=G84,0,G61+G64+G65),G61+G64+G65),G59)</f>
        <v>-23611</v>
      </c>
      <c r="H66" s="975">
        <f t="shared" ref="H66:N66" si="28">IF(H59="",IF(H14+H22=0,IF(H8=H84,0,H61+H64+H65),H61+H64+H65),H59)</f>
        <v>72566</v>
      </c>
      <c r="I66" s="975">
        <f t="shared" si="28"/>
        <v>0</v>
      </c>
      <c r="J66" s="975">
        <f t="shared" si="28"/>
        <v>0</v>
      </c>
      <c r="K66" s="975">
        <f t="shared" si="28"/>
        <v>0</v>
      </c>
      <c r="L66" s="975">
        <f t="shared" si="28"/>
        <v>0</v>
      </c>
      <c r="M66" s="975">
        <f t="shared" si="28"/>
        <v>0</v>
      </c>
      <c r="N66" s="975">
        <f t="shared" si="28"/>
        <v>0</v>
      </c>
    </row>
    <row r="67" spans="1:14" s="837" customFormat="1" ht="12">
      <c r="A67" s="976" t="s">
        <v>2592</v>
      </c>
      <c r="B67" s="977"/>
      <c r="C67" s="977"/>
      <c r="D67" s="978"/>
      <c r="E67" s="979" t="s">
        <v>2593</v>
      </c>
      <c r="F67" s="980">
        <f>SUM(G67:N67)</f>
        <v>522848</v>
      </c>
      <c r="G67" s="981">
        <f t="shared" ref="G67:N67" si="29">G13-G45+G66</f>
        <v>27065</v>
      </c>
      <c r="H67" s="981">
        <f t="shared" si="29"/>
        <v>495783</v>
      </c>
      <c r="I67" s="981">
        <f t="shared" si="29"/>
        <v>0</v>
      </c>
      <c r="J67" s="981">
        <f t="shared" si="29"/>
        <v>0</v>
      </c>
      <c r="K67" s="981">
        <f t="shared" si="29"/>
        <v>0</v>
      </c>
      <c r="L67" s="981">
        <f t="shared" si="29"/>
        <v>0</v>
      </c>
      <c r="M67" s="981">
        <f t="shared" si="29"/>
        <v>0</v>
      </c>
      <c r="N67" s="981">
        <f t="shared" si="29"/>
        <v>0</v>
      </c>
    </row>
    <row r="68" spans="1:14" s="837" customFormat="1" ht="12">
      <c r="A68" s="982"/>
      <c r="B68" s="2720" t="s">
        <v>2594</v>
      </c>
      <c r="C68" s="2721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7" customFormat="1" ht="13.5" customHeight="1">
      <c r="A69" s="982"/>
      <c r="B69" s="988" t="s">
        <v>2595</v>
      </c>
      <c r="C69" s="989"/>
      <c r="D69" s="990"/>
      <c r="E69" s="991"/>
      <c r="F69" s="992">
        <f>+F463-F248</f>
        <v>77945</v>
      </c>
      <c r="G69" s="992">
        <f>+G463-G248</f>
        <v>-2619</v>
      </c>
      <c r="H69" s="992">
        <f t="shared" ref="H69:N69" si="30">+H463-H248</f>
        <v>80564</v>
      </c>
      <c r="I69" s="992">
        <f t="shared" si="30"/>
        <v>0</v>
      </c>
      <c r="J69" s="992">
        <f t="shared" si="30"/>
        <v>0</v>
      </c>
      <c r="K69" s="992">
        <f t="shared" si="30"/>
        <v>0</v>
      </c>
      <c r="L69" s="992">
        <f>+L463-L248</f>
        <v>0</v>
      </c>
      <c r="M69" s="992">
        <f t="shared" si="30"/>
        <v>0</v>
      </c>
      <c r="N69" s="993">
        <f t="shared" si="30"/>
        <v>0</v>
      </c>
    </row>
    <row r="70" spans="1:14" s="837" customFormat="1" ht="13.5" hidden="1" customHeight="1">
      <c r="A70" s="965"/>
      <c r="B70" s="2710" t="s">
        <v>2587</v>
      </c>
      <c r="C70" s="2711"/>
      <c r="D70" s="966"/>
      <c r="E70" s="967"/>
      <c r="F70" s="968">
        <f>SUM(G70:N70)</f>
        <v>0</v>
      </c>
      <c r="G70" s="994">
        <f>IF(G67=0,G69,0)</f>
        <v>0</v>
      </c>
      <c r="H70" s="994">
        <f t="shared" ref="H70:N70" si="31">IF(H67=0,H69,0)</f>
        <v>0</v>
      </c>
      <c r="I70" s="994">
        <f t="shared" si="31"/>
        <v>0</v>
      </c>
      <c r="J70" s="994">
        <f t="shared" si="31"/>
        <v>0</v>
      </c>
      <c r="K70" s="994">
        <f>IF(K67=0,K69,0)</f>
        <v>0</v>
      </c>
      <c r="L70" s="994">
        <f t="shared" si="31"/>
        <v>0</v>
      </c>
      <c r="M70" s="994">
        <f t="shared" si="31"/>
        <v>0</v>
      </c>
      <c r="N70" s="994">
        <f t="shared" si="31"/>
        <v>0</v>
      </c>
    </row>
    <row r="71" spans="1:14" s="837" customFormat="1" ht="13.5" hidden="1" customHeight="1">
      <c r="A71" s="965"/>
      <c r="B71" s="2710" t="s">
        <v>2596</v>
      </c>
      <c r="C71" s="2711"/>
      <c r="D71" s="966"/>
      <c r="E71" s="967"/>
      <c r="F71" s="968">
        <f>SUM(G71:N71)</f>
        <v>522848</v>
      </c>
      <c r="G71" s="995">
        <f>IF(G68=0,G67,G67-(G43+G44+G59))</f>
        <v>27065</v>
      </c>
      <c r="H71" s="995">
        <f>IF(H68=0,H67,H67-(H43+H44+H59))</f>
        <v>495783</v>
      </c>
      <c r="I71" s="995">
        <f t="shared" ref="I71:N71" si="32">IF(I68=0,I67,I67-(I43+I44+I59))</f>
        <v>0</v>
      </c>
      <c r="J71" s="995">
        <f t="shared" si="32"/>
        <v>0</v>
      </c>
      <c r="K71" s="995">
        <f t="shared" si="32"/>
        <v>0</v>
      </c>
      <c r="L71" s="995">
        <f t="shared" si="32"/>
        <v>0</v>
      </c>
      <c r="M71" s="995">
        <f t="shared" si="32"/>
        <v>0</v>
      </c>
      <c r="N71" s="995">
        <f t="shared" si="32"/>
        <v>0</v>
      </c>
    </row>
    <row r="72" spans="1:14" s="837" customFormat="1" ht="13.5" hidden="1" customHeight="1">
      <c r="A72" s="965"/>
      <c r="B72" s="2710" t="s">
        <v>2597</v>
      </c>
      <c r="C72" s="2711"/>
      <c r="D72" s="966"/>
      <c r="E72" s="967"/>
      <c r="F72" s="968">
        <f>SUM(G72:N72)</f>
        <v>0</v>
      </c>
      <c r="G72" s="969">
        <f>IF($F$71=0,0,(INT(G71/$F71*$F70)))</f>
        <v>0</v>
      </c>
      <c r="H72" s="969">
        <f t="shared" ref="H72:N72" si="33">IF($F$71=0,0,(INT(H71/$F71*$F70)))</f>
        <v>0</v>
      </c>
      <c r="I72" s="969">
        <f t="shared" si="33"/>
        <v>0</v>
      </c>
      <c r="J72" s="969">
        <f t="shared" si="33"/>
        <v>0</v>
      </c>
      <c r="K72" s="969">
        <f t="shared" si="33"/>
        <v>0</v>
      </c>
      <c r="L72" s="969">
        <f t="shared" si="33"/>
        <v>0</v>
      </c>
      <c r="M72" s="969">
        <f t="shared" si="33"/>
        <v>0</v>
      </c>
      <c r="N72" s="969">
        <f t="shared" si="33"/>
        <v>0</v>
      </c>
    </row>
    <row r="73" spans="1:14" s="837" customFormat="1" ht="13.5" hidden="1" customHeight="1">
      <c r="A73" s="965"/>
      <c r="B73" s="2710" t="s">
        <v>2598</v>
      </c>
      <c r="C73" s="2711"/>
      <c r="D73" s="966"/>
      <c r="E73" s="967"/>
      <c r="F73" s="968">
        <f>F70-F72</f>
        <v>0</v>
      </c>
      <c r="G73" s="969">
        <f>IF($F73=0,0,IF(G72=0,0,$F73))</f>
        <v>0</v>
      </c>
      <c r="H73" s="969">
        <f>IF($F73=0,0,IF(H72=0,0,IF(SUM($G73:G73)=0,$F73,0)))</f>
        <v>0</v>
      </c>
      <c r="I73" s="969">
        <f>IF($F73=0,0,IF(I72=0,0,IF(SUM($G73:H73)=0,$F73,0)))</f>
        <v>0</v>
      </c>
      <c r="J73" s="969">
        <f>IF($F73=0,0,IF(J72=0,0,IF(SUM($G73:I73)=0,$F73,0)))</f>
        <v>0</v>
      </c>
      <c r="K73" s="969">
        <f>IF($F73=0,0,IF(K72=0,0,IF(SUM($G73:J73)=0,$F73,0)))</f>
        <v>0</v>
      </c>
      <c r="L73" s="969">
        <f>IF($F73=0,0,IF(L72=0,0,IF(SUM($G73:K73)=0,$F73,0)))</f>
        <v>0</v>
      </c>
      <c r="M73" s="969">
        <f>IF($F73=0,0,IF(M72=0,0,IF(SUM($G73:L73)=0,$F73,0)))</f>
        <v>0</v>
      </c>
      <c r="N73" s="969">
        <f>IF($F73=0,0,IF(N72=0,0,IF(SUM($G73:M73)=0,$F73,0)))</f>
        <v>0</v>
      </c>
    </row>
    <row r="74" spans="1:14" s="837" customFormat="1" ht="13.5" customHeight="1">
      <c r="A74" s="982"/>
      <c r="B74" s="996" t="s">
        <v>2599</v>
      </c>
      <c r="C74" s="997"/>
      <c r="D74" s="998"/>
      <c r="E74" s="999"/>
      <c r="F74" s="968">
        <f t="shared" ref="F74:F81" si="34">SUM(G74:N74)</f>
        <v>77945</v>
      </c>
      <c r="G74" s="975">
        <f>IF(G67=0,0,G69+G72+G73)</f>
        <v>-2619</v>
      </c>
      <c r="H74" s="975">
        <f t="shared" ref="H74:N74" si="35">IF(H67=0,0,H69+H72+H73)</f>
        <v>80564</v>
      </c>
      <c r="I74" s="975">
        <f t="shared" si="35"/>
        <v>0</v>
      </c>
      <c r="J74" s="975">
        <f t="shared" si="35"/>
        <v>0</v>
      </c>
      <c r="K74" s="975">
        <f t="shared" si="35"/>
        <v>0</v>
      </c>
      <c r="L74" s="975">
        <f t="shared" si="35"/>
        <v>0</v>
      </c>
      <c r="M74" s="975">
        <f t="shared" si="35"/>
        <v>0</v>
      </c>
      <c r="N74" s="975">
        <f t="shared" si="35"/>
        <v>0</v>
      </c>
    </row>
    <row r="75" spans="1:14" s="837" customFormat="1" ht="13.5" customHeight="1" thickBot="1">
      <c r="A75" s="1000" t="s">
        <v>2600</v>
      </c>
      <c r="B75" s="1001"/>
      <c r="C75" s="1002"/>
      <c r="D75" s="1003"/>
      <c r="E75" s="1004"/>
      <c r="F75" s="1005">
        <f t="shared" si="34"/>
        <v>600793</v>
      </c>
      <c r="G75" s="1006">
        <f>+G13+G66+G74</f>
        <v>24446</v>
      </c>
      <c r="H75" s="1006">
        <f t="shared" ref="H75:N75" si="36">+H13+H66+H74</f>
        <v>576347</v>
      </c>
      <c r="I75" s="1006">
        <f t="shared" si="36"/>
        <v>0</v>
      </c>
      <c r="J75" s="1006">
        <f t="shared" si="36"/>
        <v>0</v>
      </c>
      <c r="K75" s="1006">
        <f t="shared" si="36"/>
        <v>0</v>
      </c>
      <c r="L75" s="1006">
        <f t="shared" si="36"/>
        <v>0</v>
      </c>
      <c r="M75" s="1006">
        <f t="shared" si="36"/>
        <v>0</v>
      </c>
      <c r="N75" s="1006">
        <f t="shared" si="36"/>
        <v>0</v>
      </c>
    </row>
    <row r="76" spans="1:14" s="837" customFormat="1" ht="13.5" customHeight="1" thickTop="1">
      <c r="A76" s="1007" t="s">
        <v>406</v>
      </c>
      <c r="B76" s="1008"/>
      <c r="C76" s="1008"/>
      <c r="D76" s="1008"/>
      <c r="E76" s="1009" t="s">
        <v>2601</v>
      </c>
      <c r="F76" s="1010">
        <f t="shared" si="34"/>
        <v>600000</v>
      </c>
      <c r="G76" s="1011">
        <f>IF(G75&lt;0,ROUNDUP(G75,-3),ROUNDDOWN(G75,-3))</f>
        <v>24000</v>
      </c>
      <c r="H76" s="1011">
        <f t="shared" ref="H76:N76" si="37">IF(H75&lt;0,ROUNDUP(H75,-3),ROUNDDOWN(H75,-3))</f>
        <v>576000</v>
      </c>
      <c r="I76" s="1011">
        <f t="shared" si="37"/>
        <v>0</v>
      </c>
      <c r="J76" s="1011">
        <f t="shared" si="37"/>
        <v>0</v>
      </c>
      <c r="K76" s="1011">
        <f t="shared" si="37"/>
        <v>0</v>
      </c>
      <c r="L76" s="1011">
        <f t="shared" si="37"/>
        <v>0</v>
      </c>
      <c r="M76" s="1011">
        <f t="shared" si="37"/>
        <v>0</v>
      </c>
      <c r="N76" s="1012">
        <f t="shared" si="37"/>
        <v>0</v>
      </c>
    </row>
    <row r="77" spans="1:14" s="837" customFormat="1" ht="13.5" customHeight="1">
      <c r="A77" s="1013"/>
      <c r="B77" s="2712" t="s">
        <v>2602</v>
      </c>
      <c r="C77" s="1014" t="s">
        <v>2603</v>
      </c>
      <c r="D77" s="1014"/>
      <c r="E77" s="1014"/>
      <c r="F77" s="1015">
        <f t="shared" si="34"/>
        <v>473893</v>
      </c>
      <c r="G77" s="1016">
        <f t="shared" ref="G77:N77" si="38">+G13</f>
        <v>50676</v>
      </c>
      <c r="H77" s="1016">
        <f t="shared" si="38"/>
        <v>423217</v>
      </c>
      <c r="I77" s="1016">
        <f t="shared" si="38"/>
        <v>0</v>
      </c>
      <c r="J77" s="1016">
        <f t="shared" si="38"/>
        <v>0</v>
      </c>
      <c r="K77" s="1016">
        <f t="shared" si="38"/>
        <v>0</v>
      </c>
      <c r="L77" s="1016">
        <f t="shared" si="38"/>
        <v>0</v>
      </c>
      <c r="M77" s="1016">
        <f t="shared" si="38"/>
        <v>0</v>
      </c>
      <c r="N77" s="1017">
        <f t="shared" si="38"/>
        <v>0</v>
      </c>
    </row>
    <row r="78" spans="1:14" s="837" customFormat="1" ht="13.5" customHeight="1" thickBot="1">
      <c r="A78" s="1018"/>
      <c r="B78" s="2713"/>
      <c r="C78" s="1019" t="s">
        <v>2604</v>
      </c>
      <c r="D78" s="1019"/>
      <c r="E78" s="1019"/>
      <c r="F78" s="1020">
        <f t="shared" si="34"/>
        <v>126107</v>
      </c>
      <c r="G78" s="1021">
        <f>+G76-G77</f>
        <v>-26676</v>
      </c>
      <c r="H78" s="1021">
        <f t="shared" ref="H78:N78" si="39">+H76-H77</f>
        <v>152783</v>
      </c>
      <c r="I78" s="1021">
        <f t="shared" si="39"/>
        <v>0</v>
      </c>
      <c r="J78" s="1021">
        <f t="shared" si="39"/>
        <v>0</v>
      </c>
      <c r="K78" s="1021">
        <f t="shared" si="39"/>
        <v>0</v>
      </c>
      <c r="L78" s="1021">
        <f t="shared" si="39"/>
        <v>0</v>
      </c>
      <c r="M78" s="1021">
        <f t="shared" si="39"/>
        <v>0</v>
      </c>
      <c r="N78" s="1022">
        <f t="shared" si="39"/>
        <v>0</v>
      </c>
    </row>
    <row r="79" spans="1:14" s="837" customFormat="1" ht="13.5" customHeight="1" thickTop="1">
      <c r="A79" s="1007" t="s">
        <v>2605</v>
      </c>
      <c r="B79" s="1008"/>
      <c r="C79" s="1008"/>
      <c r="D79" s="1008"/>
      <c r="E79" s="1009" t="s">
        <v>2601</v>
      </c>
      <c r="F79" s="1010">
        <f t="shared" si="34"/>
        <v>428000</v>
      </c>
      <c r="G79" s="1011">
        <f t="shared" ref="G79:N79" si="40">IF(G75&lt;0,ROUNDUP(G75*$G$2,-3),ROUNDDOWN(G75*$G$2,-3))</f>
        <v>17000</v>
      </c>
      <c r="H79" s="1011">
        <f>IF(H75&lt;0,ROUNDUP(H75*$G$2,-3),ROUNDDOWN(H75*$G$2,-3))</f>
        <v>411000</v>
      </c>
      <c r="I79" s="1011">
        <f t="shared" si="40"/>
        <v>0</v>
      </c>
      <c r="J79" s="1011">
        <f t="shared" si="40"/>
        <v>0</v>
      </c>
      <c r="K79" s="1011">
        <f t="shared" si="40"/>
        <v>0</v>
      </c>
      <c r="L79" s="1011">
        <f t="shared" si="40"/>
        <v>0</v>
      </c>
      <c r="M79" s="1011">
        <f t="shared" si="40"/>
        <v>0</v>
      </c>
      <c r="N79" s="1012">
        <f t="shared" si="40"/>
        <v>0</v>
      </c>
    </row>
    <row r="80" spans="1:14" s="837" customFormat="1" ht="13.5" customHeight="1">
      <c r="A80" s="1013"/>
      <c r="B80" s="2712" t="s">
        <v>2602</v>
      </c>
      <c r="C80" s="1014" t="s">
        <v>2603</v>
      </c>
      <c r="D80" s="1014"/>
      <c r="E80" s="1014"/>
      <c r="F80" s="1015">
        <f t="shared" si="34"/>
        <v>338124</v>
      </c>
      <c r="G80" s="1016">
        <f t="shared" ref="G80:N80" si="41">IF(G77&lt;0,ROUNDDOWN(G77*$G$2,0),ROUNDUP(G77*$G$2,0))</f>
        <v>36158</v>
      </c>
      <c r="H80" s="1016">
        <f t="shared" si="41"/>
        <v>301966</v>
      </c>
      <c r="I80" s="1016">
        <f t="shared" si="41"/>
        <v>0</v>
      </c>
      <c r="J80" s="1016">
        <f t="shared" si="41"/>
        <v>0</v>
      </c>
      <c r="K80" s="1016">
        <f t="shared" si="41"/>
        <v>0</v>
      </c>
      <c r="L80" s="1016">
        <f t="shared" si="41"/>
        <v>0</v>
      </c>
      <c r="M80" s="1016">
        <f t="shared" si="41"/>
        <v>0</v>
      </c>
      <c r="N80" s="1017">
        <f t="shared" si="41"/>
        <v>0</v>
      </c>
    </row>
    <row r="81" spans="1:14" s="837" customFormat="1" ht="13.5" customHeight="1">
      <c r="A81" s="1018"/>
      <c r="B81" s="2714"/>
      <c r="C81" s="1019" t="s">
        <v>2604</v>
      </c>
      <c r="D81" s="1019"/>
      <c r="E81" s="1019"/>
      <c r="F81" s="1020">
        <f t="shared" si="34"/>
        <v>89876</v>
      </c>
      <c r="G81" s="1021">
        <f t="shared" ref="G81:N81" si="42">+G79-G80</f>
        <v>-19158</v>
      </c>
      <c r="H81" s="1021">
        <f t="shared" si="42"/>
        <v>109034</v>
      </c>
      <c r="I81" s="1021">
        <f t="shared" si="42"/>
        <v>0</v>
      </c>
      <c r="J81" s="1021">
        <f t="shared" si="42"/>
        <v>0</v>
      </c>
      <c r="K81" s="1021">
        <f t="shared" si="42"/>
        <v>0</v>
      </c>
      <c r="L81" s="1021">
        <f t="shared" si="42"/>
        <v>0</v>
      </c>
      <c r="M81" s="1021">
        <f t="shared" si="42"/>
        <v>0</v>
      </c>
      <c r="N81" s="1022">
        <f t="shared" si="42"/>
        <v>0</v>
      </c>
    </row>
    <row r="82" spans="1:14" s="876" customFormat="1" ht="13.5" customHeight="1">
      <c r="A82" s="1023"/>
      <c r="B82" s="1023"/>
      <c r="C82" s="1024"/>
      <c r="D82" s="1025"/>
      <c r="E82" s="1026" t="s">
        <v>2522</v>
      </c>
      <c r="F82" s="1027" t="str">
        <f>+F1</f>
        <v>大阪ビジネスパーク駅中階天井改良工事　第1回設計変更</v>
      </c>
      <c r="G82" s="1028"/>
      <c r="H82" s="1029"/>
      <c r="I82" s="1030"/>
      <c r="J82" s="835"/>
      <c r="K82" s="835"/>
      <c r="L82" s="835"/>
      <c r="M82" s="835"/>
      <c r="N82" s="836" t="s">
        <v>2606</v>
      </c>
    </row>
    <row r="83" spans="1:14" s="887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8"/>
      <c r="E83" s="1033"/>
      <c r="F83" s="1034" t="s">
        <v>2607</v>
      </c>
      <c r="G83" s="1035" t="s">
        <v>2608</v>
      </c>
      <c r="H83" s="1036"/>
      <c r="J83" s="1037"/>
      <c r="K83" s="1037"/>
      <c r="L83" s="1037"/>
      <c r="M83" s="1034"/>
      <c r="N83" s="1038"/>
    </row>
    <row r="84" spans="1:14" s="876" customFormat="1" ht="13.5" customHeight="1">
      <c r="A84" s="868"/>
      <c r="B84" s="869"/>
      <c r="C84" s="870" t="s">
        <v>2531</v>
      </c>
      <c r="D84" s="871"/>
      <c r="E84" s="872"/>
      <c r="F84" s="873" t="s">
        <v>2609</v>
      </c>
      <c r="G84" s="1453">
        <v>3.3</v>
      </c>
      <c r="H84" s="1039">
        <v>3.3</v>
      </c>
      <c r="I84" s="1039"/>
      <c r="J84" s="1039"/>
      <c r="K84" s="1039"/>
      <c r="L84" s="1039"/>
      <c r="M84" s="1039"/>
      <c r="N84" s="1040"/>
    </row>
    <row r="85" spans="1:14" s="876" customFormat="1" ht="13.5" customHeight="1">
      <c r="A85" s="877"/>
      <c r="B85" s="878"/>
      <c r="C85" s="879" t="s">
        <v>2533</v>
      </c>
      <c r="D85" s="880"/>
      <c r="E85" s="881"/>
      <c r="F85" s="882" t="s">
        <v>2610</v>
      </c>
      <c r="G85" s="2535" t="s">
        <v>3049</v>
      </c>
      <c r="H85" s="1041" t="s">
        <v>3049</v>
      </c>
      <c r="I85" s="1041"/>
      <c r="J85" s="1041"/>
      <c r="K85" s="1041"/>
      <c r="L85" s="1041"/>
      <c r="M85" s="1041"/>
      <c r="N85" s="1042"/>
    </row>
    <row r="86" spans="1:14" s="887" customFormat="1" ht="13.5" customHeight="1">
      <c r="A86" s="877"/>
      <c r="B86" s="878"/>
      <c r="C86" s="878" t="s">
        <v>2611</v>
      </c>
      <c r="D86" s="878"/>
      <c r="E86" s="1043" t="s">
        <v>2612</v>
      </c>
      <c r="F86" s="1044" t="s">
        <v>2526</v>
      </c>
      <c r="G86" s="1045" t="s">
        <v>3050</v>
      </c>
      <c r="H86" s="1045" t="s">
        <v>3104</v>
      </c>
      <c r="I86" s="1045"/>
      <c r="J86" s="1045"/>
      <c r="K86" s="1045"/>
      <c r="L86" s="1045"/>
      <c r="M86" s="1045"/>
      <c r="N86" s="1046"/>
    </row>
    <row r="87" spans="1:14" s="887" customFormat="1" ht="13.5" customHeight="1">
      <c r="A87" s="877"/>
      <c r="B87" s="878"/>
      <c r="C87" s="878" t="s">
        <v>2613</v>
      </c>
      <c r="D87" s="878"/>
      <c r="E87" s="1043" t="s">
        <v>2612</v>
      </c>
      <c r="F87" s="1047" t="s">
        <v>2614</v>
      </c>
      <c r="G87" s="1048" t="s">
        <v>3103</v>
      </c>
      <c r="H87" s="1048" t="s">
        <v>3105</v>
      </c>
      <c r="I87" s="1048"/>
      <c r="J87" s="1048"/>
      <c r="K87" s="1048"/>
      <c r="L87" s="1048"/>
      <c r="M87" s="1048"/>
      <c r="N87" s="1049"/>
    </row>
    <row r="88" spans="1:14" s="887" customFormat="1" ht="13.5" customHeight="1">
      <c r="A88" s="2715" t="s">
        <v>2534</v>
      </c>
      <c r="B88" s="2716"/>
      <c r="C88" s="2716"/>
      <c r="D88" s="2716"/>
      <c r="E88" s="2716"/>
      <c r="F88" s="2717"/>
      <c r="G88" s="1050" t="s">
        <v>2615</v>
      </c>
      <c r="H88" s="1050" t="s">
        <v>2615</v>
      </c>
      <c r="I88" s="1050" t="s">
        <v>2615</v>
      </c>
      <c r="J88" s="1050" t="s">
        <v>2615</v>
      </c>
      <c r="K88" s="1050" t="s">
        <v>2615</v>
      </c>
      <c r="L88" s="1050" t="s">
        <v>2615</v>
      </c>
      <c r="M88" s="1050" t="s">
        <v>2615</v>
      </c>
      <c r="N88" s="1051" t="s">
        <v>2615</v>
      </c>
    </row>
    <row r="89" spans="1:14" s="887" customFormat="1" ht="30" customHeight="1">
      <c r="A89" s="2704" t="s">
        <v>2535</v>
      </c>
      <c r="B89" s="2705"/>
      <c r="C89" s="2705"/>
      <c r="D89" s="2705"/>
      <c r="E89" s="2705"/>
      <c r="F89" s="2706"/>
      <c r="G89" s="888" t="s">
        <v>2616</v>
      </c>
      <c r="H89" s="888" t="s">
        <v>2616</v>
      </c>
      <c r="I89" s="888" t="s">
        <v>2616</v>
      </c>
      <c r="J89" s="888" t="s">
        <v>2616</v>
      </c>
      <c r="K89" s="888" t="s">
        <v>2616</v>
      </c>
      <c r="L89" s="888" t="s">
        <v>2616</v>
      </c>
      <c r="M89" s="888" t="s">
        <v>2616</v>
      </c>
      <c r="N89" s="889" t="s">
        <v>2616</v>
      </c>
    </row>
    <row r="90" spans="1:14" s="887" customFormat="1" ht="30" customHeight="1">
      <c r="A90" s="2707" t="s">
        <v>2536</v>
      </c>
      <c r="B90" s="2708"/>
      <c r="C90" s="2708"/>
      <c r="D90" s="2708"/>
      <c r="E90" s="2708"/>
      <c r="F90" s="2709"/>
      <c r="G90" s="890" t="s">
        <v>2617</v>
      </c>
      <c r="H90" s="890" t="s">
        <v>2617</v>
      </c>
      <c r="I90" s="890" t="s">
        <v>2617</v>
      </c>
      <c r="J90" s="890" t="s">
        <v>2617</v>
      </c>
      <c r="K90" s="890" t="s">
        <v>2617</v>
      </c>
      <c r="L90" s="890" t="s">
        <v>2617</v>
      </c>
      <c r="M90" s="890" t="s">
        <v>2617</v>
      </c>
      <c r="N90" s="891" t="s">
        <v>2617</v>
      </c>
    </row>
    <row r="91" spans="1:14" s="887" customFormat="1" ht="13.5" customHeight="1">
      <c r="A91" s="868"/>
      <c r="B91" s="892" t="s">
        <v>2618</v>
      </c>
      <c r="C91" s="893"/>
      <c r="D91" s="893"/>
      <c r="E91" s="894"/>
      <c r="F91" s="895">
        <f>SUM(G91:N91)</f>
        <v>8530401</v>
      </c>
      <c r="G91" s="896">
        <f>+G92+G96</f>
        <v>8530401</v>
      </c>
      <c r="H91" s="896">
        <f>+H92+H96</f>
        <v>0</v>
      </c>
      <c r="I91" s="896">
        <f t="shared" ref="I91:N91" si="43">+I92+I96</f>
        <v>0</v>
      </c>
      <c r="J91" s="896">
        <f>+J92+J96</f>
        <v>0</v>
      </c>
      <c r="K91" s="896">
        <f>+K92+K96</f>
        <v>0</v>
      </c>
      <c r="L91" s="896">
        <f t="shared" si="43"/>
        <v>0</v>
      </c>
      <c r="M91" s="896">
        <f t="shared" si="43"/>
        <v>0</v>
      </c>
      <c r="N91" s="897">
        <f t="shared" si="43"/>
        <v>0</v>
      </c>
    </row>
    <row r="92" spans="1:14" s="887" customFormat="1" ht="13.5" customHeight="1">
      <c r="A92" s="877"/>
      <c r="B92" s="878"/>
      <c r="C92" s="694" t="s">
        <v>2538</v>
      </c>
      <c r="D92" s="695"/>
      <c r="E92" s="872"/>
      <c r="F92" s="898">
        <f>SUM(G92:N92)</f>
        <v>7963823</v>
      </c>
      <c r="G92" s="1052">
        <v>7963823</v>
      </c>
      <c r="H92" s="1052"/>
      <c r="I92" s="1052"/>
      <c r="J92" s="1052"/>
      <c r="K92" s="1052"/>
      <c r="L92" s="1052"/>
      <c r="M92" s="1052"/>
      <c r="N92" s="1053"/>
    </row>
    <row r="93" spans="1:14" s="887" customFormat="1" ht="13.5" customHeight="1">
      <c r="A93" s="877"/>
      <c r="B93" s="878"/>
      <c r="C93" s="1054"/>
      <c r="D93" s="1054"/>
      <c r="E93" s="901"/>
      <c r="F93" s="902" t="s">
        <v>2619</v>
      </c>
      <c r="G93" s="903">
        <f>SUM(G185:G194)</f>
        <v>34180</v>
      </c>
      <c r="H93" s="903">
        <f t="shared" ref="H93:N93" si="44">SUM(H185:H194)</f>
        <v>0</v>
      </c>
      <c r="I93" s="903">
        <f t="shared" si="44"/>
        <v>0</v>
      </c>
      <c r="J93" s="903">
        <f>SUM(J185:J194)</f>
        <v>0</v>
      </c>
      <c r="K93" s="903">
        <f>SUM(K185:K194)</f>
        <v>0</v>
      </c>
      <c r="L93" s="903">
        <f t="shared" si="44"/>
        <v>0</v>
      </c>
      <c r="M93" s="903">
        <f t="shared" si="44"/>
        <v>0</v>
      </c>
      <c r="N93" s="904">
        <f t="shared" si="44"/>
        <v>0</v>
      </c>
    </row>
    <row r="94" spans="1:14" s="887" customFormat="1" ht="13.5" customHeight="1">
      <c r="A94" s="877"/>
      <c r="B94" s="878"/>
      <c r="C94" s="1054"/>
      <c r="D94" s="1054"/>
      <c r="E94" s="901"/>
      <c r="F94" s="902" t="s">
        <v>2620</v>
      </c>
      <c r="G94" s="903">
        <f>SUM(G232:G234)</f>
        <v>0</v>
      </c>
      <c r="H94" s="903">
        <f t="shared" ref="H94:N94" si="45">SUM(H232:H234)</f>
        <v>0</v>
      </c>
      <c r="I94" s="903">
        <f t="shared" si="45"/>
        <v>0</v>
      </c>
      <c r="J94" s="903">
        <f>SUM(J232:J234)</f>
        <v>0</v>
      </c>
      <c r="K94" s="903">
        <f>SUM(K232:K234)</f>
        <v>0</v>
      </c>
      <c r="L94" s="903">
        <f t="shared" si="45"/>
        <v>0</v>
      </c>
      <c r="M94" s="903">
        <f t="shared" si="45"/>
        <v>0</v>
      </c>
      <c r="N94" s="904">
        <f t="shared" si="45"/>
        <v>0</v>
      </c>
    </row>
    <row r="95" spans="1:14" s="887" customFormat="1" ht="13.5" customHeight="1">
      <c r="A95" s="877"/>
      <c r="B95" s="878"/>
      <c r="C95" s="1054"/>
      <c r="D95" s="1054"/>
      <c r="E95" s="901"/>
      <c r="F95" s="1055" t="s">
        <v>2621</v>
      </c>
      <c r="G95" s="903">
        <f>+G134</f>
        <v>0</v>
      </c>
      <c r="H95" s="903">
        <f t="shared" ref="H95:N95" si="46">+H134</f>
        <v>0</v>
      </c>
      <c r="I95" s="903">
        <f t="shared" si="46"/>
        <v>0</v>
      </c>
      <c r="J95" s="903">
        <f t="shared" si="46"/>
        <v>0</v>
      </c>
      <c r="K95" s="903">
        <f>+K134</f>
        <v>0</v>
      </c>
      <c r="L95" s="903">
        <f t="shared" si="46"/>
        <v>0</v>
      </c>
      <c r="M95" s="903">
        <f t="shared" si="46"/>
        <v>0</v>
      </c>
      <c r="N95" s="904">
        <f t="shared" si="46"/>
        <v>0</v>
      </c>
    </row>
    <row r="96" spans="1:14" s="887" customFormat="1" ht="13.5" customHeight="1">
      <c r="A96" s="877"/>
      <c r="B96" s="878"/>
      <c r="C96" s="701" t="s">
        <v>2539</v>
      </c>
      <c r="D96" s="701"/>
      <c r="E96" s="901"/>
      <c r="F96" s="902">
        <f t="shared" ref="F96:F113" si="47">SUM(G96:N96)</f>
        <v>566578</v>
      </c>
      <c r="G96" s="903">
        <f>G97+G98</f>
        <v>566578</v>
      </c>
      <c r="H96" s="903">
        <f t="shared" ref="H96:N96" si="48">H97+H98</f>
        <v>0</v>
      </c>
      <c r="I96" s="903">
        <f t="shared" si="48"/>
        <v>0</v>
      </c>
      <c r="J96" s="903">
        <f t="shared" si="48"/>
        <v>0</v>
      </c>
      <c r="K96" s="903">
        <f>K97+K98</f>
        <v>0</v>
      </c>
      <c r="L96" s="903">
        <f t="shared" si="48"/>
        <v>0</v>
      </c>
      <c r="M96" s="903">
        <f t="shared" si="48"/>
        <v>0</v>
      </c>
      <c r="N96" s="904">
        <f t="shared" si="48"/>
        <v>0</v>
      </c>
    </row>
    <row r="97" spans="1:14" s="887" customFormat="1" ht="13.5" customHeight="1">
      <c r="A97" s="877"/>
      <c r="B97" s="878"/>
      <c r="C97" s="905" t="s">
        <v>2540</v>
      </c>
      <c r="D97" s="701"/>
      <c r="E97" s="901"/>
      <c r="F97" s="902">
        <f t="shared" si="47"/>
        <v>261678</v>
      </c>
      <c r="G97" s="903">
        <f t="shared" ref="G97:N97" si="49">IF(G88="積上げ",0,G174)</f>
        <v>261678</v>
      </c>
      <c r="H97" s="903">
        <f t="shared" si="49"/>
        <v>0</v>
      </c>
      <c r="I97" s="903">
        <f t="shared" si="49"/>
        <v>0</v>
      </c>
      <c r="J97" s="903">
        <f t="shared" si="49"/>
        <v>0</v>
      </c>
      <c r="K97" s="903">
        <f t="shared" si="49"/>
        <v>0</v>
      </c>
      <c r="L97" s="903">
        <f t="shared" si="49"/>
        <v>0</v>
      </c>
      <c r="M97" s="903">
        <f t="shared" si="49"/>
        <v>0</v>
      </c>
      <c r="N97" s="904">
        <f t="shared" si="49"/>
        <v>0</v>
      </c>
    </row>
    <row r="98" spans="1:14" s="887" customFormat="1" ht="13.5" customHeight="1">
      <c r="A98" s="877"/>
      <c r="B98" s="878"/>
      <c r="C98" s="905" t="s">
        <v>2546</v>
      </c>
      <c r="D98" s="701"/>
      <c r="E98" s="901"/>
      <c r="F98" s="902">
        <f t="shared" si="47"/>
        <v>304900</v>
      </c>
      <c r="G98" s="1056">
        <v>304900</v>
      </c>
      <c r="H98" s="1056"/>
      <c r="I98" s="1056"/>
      <c r="J98" s="1056"/>
      <c r="K98" s="1056"/>
      <c r="L98" s="1056"/>
      <c r="M98" s="1056"/>
      <c r="N98" s="1057"/>
    </row>
    <row r="99" spans="1:14" s="887" customFormat="1" ht="13.5" customHeight="1">
      <c r="A99" s="877"/>
      <c r="B99" s="878"/>
      <c r="C99" s="913" t="s">
        <v>2547</v>
      </c>
      <c r="D99" s="701"/>
      <c r="E99" s="901"/>
      <c r="F99" s="902">
        <f t="shared" si="47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7" customFormat="1" ht="13.5" customHeight="1">
      <c r="A100" s="877"/>
      <c r="B100" s="878"/>
      <c r="C100" s="914" t="s">
        <v>2548</v>
      </c>
      <c r="D100" s="915"/>
      <c r="E100" s="916"/>
      <c r="F100" s="917">
        <f t="shared" si="47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7" customFormat="1" ht="13.5" customHeight="1">
      <c r="A101" s="1060"/>
      <c r="B101" s="1061"/>
      <c r="C101" s="1062" t="s">
        <v>2622</v>
      </c>
      <c r="D101" s="1063"/>
      <c r="E101" s="936"/>
      <c r="F101" s="937">
        <f t="shared" si="47"/>
        <v>0</v>
      </c>
      <c r="G101" s="1064">
        <f>+G135</f>
        <v>0</v>
      </c>
      <c r="H101" s="1064">
        <f t="shared" ref="H101:N101" si="50">+H135</f>
        <v>0</v>
      </c>
      <c r="I101" s="1064">
        <f t="shared" si="50"/>
        <v>0</v>
      </c>
      <c r="J101" s="1064">
        <f t="shared" si="50"/>
        <v>0</v>
      </c>
      <c r="K101" s="1064">
        <f>+K135</f>
        <v>0</v>
      </c>
      <c r="L101" s="1064">
        <f t="shared" si="50"/>
        <v>0</v>
      </c>
      <c r="M101" s="1064">
        <f t="shared" si="50"/>
        <v>0</v>
      </c>
      <c r="N101" s="1065">
        <f t="shared" si="50"/>
        <v>0</v>
      </c>
    </row>
    <row r="102" spans="1:14" s="887" customFormat="1" ht="13.5" customHeight="1">
      <c r="A102" s="877"/>
      <c r="B102" s="915" t="s">
        <v>2623</v>
      </c>
      <c r="C102" s="915"/>
      <c r="D102" s="915"/>
      <c r="E102" s="916"/>
      <c r="F102" s="917">
        <f t="shared" si="47"/>
        <v>3129599</v>
      </c>
      <c r="G102" s="1066">
        <f>G103+G108</f>
        <v>3129599</v>
      </c>
      <c r="H102" s="1066">
        <f t="shared" ref="H102:N102" si="51">H103+H108</f>
        <v>0</v>
      </c>
      <c r="I102" s="1066">
        <f t="shared" si="51"/>
        <v>0</v>
      </c>
      <c r="J102" s="1066">
        <f t="shared" si="51"/>
        <v>0</v>
      </c>
      <c r="K102" s="1066">
        <f>K103+K108</f>
        <v>0</v>
      </c>
      <c r="L102" s="1066">
        <f t="shared" si="51"/>
        <v>0</v>
      </c>
      <c r="M102" s="1066">
        <f t="shared" si="51"/>
        <v>0</v>
      </c>
      <c r="N102" s="1067">
        <f t="shared" si="51"/>
        <v>0</v>
      </c>
    </row>
    <row r="103" spans="1:14" s="887" customFormat="1" ht="13.5" customHeight="1">
      <c r="A103" s="877"/>
      <c r="B103" s="878"/>
      <c r="C103" s="694" t="s">
        <v>2624</v>
      </c>
      <c r="D103" s="694"/>
      <c r="E103" s="873"/>
      <c r="F103" s="898">
        <f t="shared" si="47"/>
        <v>1495334</v>
      </c>
      <c r="G103" s="1068">
        <f>G104+G107</f>
        <v>1495334</v>
      </c>
      <c r="H103" s="1068">
        <f t="shared" ref="H103:N103" si="52">H104+H107</f>
        <v>0</v>
      </c>
      <c r="I103" s="1068">
        <f t="shared" si="52"/>
        <v>0</v>
      </c>
      <c r="J103" s="1068">
        <f t="shared" si="52"/>
        <v>0</v>
      </c>
      <c r="K103" s="1068">
        <f>K104+K107</f>
        <v>0</v>
      </c>
      <c r="L103" s="1068">
        <f t="shared" si="52"/>
        <v>0</v>
      </c>
      <c r="M103" s="1068">
        <f t="shared" si="52"/>
        <v>0</v>
      </c>
      <c r="N103" s="1069">
        <f t="shared" si="52"/>
        <v>0</v>
      </c>
    </row>
    <row r="104" spans="1:14" s="887" customFormat="1" ht="13.5" customHeight="1">
      <c r="A104" s="877"/>
      <c r="B104" s="878"/>
      <c r="C104" s="1070" t="s">
        <v>2625</v>
      </c>
      <c r="D104" s="1070"/>
      <c r="E104" s="882"/>
      <c r="F104" s="902">
        <f t="shared" si="47"/>
        <v>1495334</v>
      </c>
      <c r="G104" s="1071">
        <f>SUM(G105:G106)-G107</f>
        <v>1495334</v>
      </c>
      <c r="H104" s="1071">
        <f t="shared" ref="H104:N104" si="53">SUM(H105:H106)-H107</f>
        <v>0</v>
      </c>
      <c r="I104" s="1071">
        <f t="shared" si="53"/>
        <v>0</v>
      </c>
      <c r="J104" s="1071">
        <f t="shared" si="53"/>
        <v>0</v>
      </c>
      <c r="K104" s="1071">
        <f>SUM(K105:K106)-K107</f>
        <v>0</v>
      </c>
      <c r="L104" s="1071">
        <f t="shared" si="53"/>
        <v>0</v>
      </c>
      <c r="M104" s="1071">
        <f t="shared" si="53"/>
        <v>0</v>
      </c>
      <c r="N104" s="1072">
        <f t="shared" si="53"/>
        <v>0</v>
      </c>
    </row>
    <row r="105" spans="1:14" s="887" customFormat="1" ht="13.5" customHeight="1">
      <c r="A105" s="877"/>
      <c r="B105" s="878"/>
      <c r="C105" s="1073" t="s">
        <v>2626</v>
      </c>
      <c r="D105" s="1073"/>
      <c r="E105" s="901"/>
      <c r="F105" s="902">
        <f t="shared" si="47"/>
        <v>1495334</v>
      </c>
      <c r="G105" s="903">
        <f>SUM(G200:G202)+G198</f>
        <v>1495334</v>
      </c>
      <c r="H105" s="903">
        <f t="shared" ref="H105:N105" si="54">SUM(H200:H202)+H198</f>
        <v>0</v>
      </c>
      <c r="I105" s="903">
        <f t="shared" si="54"/>
        <v>0</v>
      </c>
      <c r="J105" s="903">
        <f t="shared" si="54"/>
        <v>0</v>
      </c>
      <c r="K105" s="903">
        <f>SUM(K200:K202)+K198</f>
        <v>0</v>
      </c>
      <c r="L105" s="903">
        <f t="shared" si="54"/>
        <v>0</v>
      </c>
      <c r="M105" s="903">
        <f t="shared" si="54"/>
        <v>0</v>
      </c>
      <c r="N105" s="904">
        <f t="shared" si="54"/>
        <v>0</v>
      </c>
    </row>
    <row r="106" spans="1:14" s="887" customFormat="1" ht="13.5" customHeight="1">
      <c r="A106" s="877"/>
      <c r="B106" s="878"/>
      <c r="C106" s="1073" t="s">
        <v>2627</v>
      </c>
      <c r="D106" s="1073"/>
      <c r="E106" s="901"/>
      <c r="F106" s="902">
        <f t="shared" si="47"/>
        <v>0</v>
      </c>
      <c r="G106" s="903">
        <f>SUM(G203:G214)</f>
        <v>0</v>
      </c>
      <c r="H106" s="903">
        <f t="shared" ref="H106:N106" si="55">SUM(H203:H214)</f>
        <v>0</v>
      </c>
      <c r="I106" s="903">
        <f t="shared" si="55"/>
        <v>0</v>
      </c>
      <c r="J106" s="903">
        <f>SUM(J203:J214)</f>
        <v>0</v>
      </c>
      <c r="K106" s="903">
        <f>SUM(K203:K214)</f>
        <v>0</v>
      </c>
      <c r="L106" s="903">
        <f t="shared" si="55"/>
        <v>0</v>
      </c>
      <c r="M106" s="903">
        <f t="shared" si="55"/>
        <v>0</v>
      </c>
      <c r="N106" s="904">
        <f t="shared" si="55"/>
        <v>0</v>
      </c>
    </row>
    <row r="107" spans="1:14" s="887" customFormat="1" ht="13.5" customHeight="1">
      <c r="A107" s="877"/>
      <c r="B107" s="878"/>
      <c r="C107" s="1073" t="s">
        <v>2628</v>
      </c>
      <c r="D107" s="1073"/>
      <c r="E107" s="901"/>
      <c r="F107" s="902">
        <f t="shared" si="47"/>
        <v>0</v>
      </c>
      <c r="G107" s="903">
        <f>+G212</f>
        <v>0</v>
      </c>
      <c r="H107" s="903">
        <f t="shared" ref="H107:N107" si="56">+H212</f>
        <v>0</v>
      </c>
      <c r="I107" s="903">
        <f t="shared" si="56"/>
        <v>0</v>
      </c>
      <c r="J107" s="903">
        <f t="shared" si="56"/>
        <v>0</v>
      </c>
      <c r="K107" s="903">
        <f>+K212</f>
        <v>0</v>
      </c>
      <c r="L107" s="903">
        <f t="shared" si="56"/>
        <v>0</v>
      </c>
      <c r="M107" s="903">
        <f t="shared" si="56"/>
        <v>0</v>
      </c>
      <c r="N107" s="904">
        <f t="shared" si="56"/>
        <v>0</v>
      </c>
    </row>
    <row r="108" spans="1:14" s="887" customFormat="1" ht="13.5" customHeight="1">
      <c r="A108" s="877"/>
      <c r="B108" s="878"/>
      <c r="C108" s="701" t="s">
        <v>2629</v>
      </c>
      <c r="D108" s="701"/>
      <c r="E108" s="901"/>
      <c r="F108" s="902">
        <f t="shared" si="47"/>
        <v>1634265</v>
      </c>
      <c r="G108" s="903">
        <f>SUM(G109:G112)</f>
        <v>1634265</v>
      </c>
      <c r="H108" s="903">
        <f t="shared" ref="H108:N108" si="57">SUM(H109:H112)</f>
        <v>0</v>
      </c>
      <c r="I108" s="903">
        <f t="shared" si="57"/>
        <v>0</v>
      </c>
      <c r="J108" s="903">
        <f t="shared" si="57"/>
        <v>0</v>
      </c>
      <c r="K108" s="903">
        <f t="shared" si="57"/>
        <v>0</v>
      </c>
      <c r="L108" s="903">
        <f t="shared" si="57"/>
        <v>0</v>
      </c>
      <c r="M108" s="903">
        <f t="shared" si="57"/>
        <v>0</v>
      </c>
      <c r="N108" s="904">
        <f t="shared" si="57"/>
        <v>0</v>
      </c>
    </row>
    <row r="109" spans="1:14" s="887" customFormat="1" ht="13.5" customHeight="1">
      <c r="A109" s="877"/>
      <c r="B109" s="878"/>
      <c r="C109" s="1073" t="s">
        <v>2626</v>
      </c>
      <c r="D109" s="1073"/>
      <c r="E109" s="901"/>
      <c r="F109" s="1074">
        <f t="shared" si="47"/>
        <v>1630255</v>
      </c>
      <c r="G109" s="903">
        <f>IF(G237=0,0,+G237-G254)</f>
        <v>1630255</v>
      </c>
      <c r="H109" s="903">
        <f t="shared" ref="H109:N109" si="58">IF(H237=0,0,+H237-H254)</f>
        <v>0</v>
      </c>
      <c r="I109" s="903">
        <f t="shared" si="58"/>
        <v>0</v>
      </c>
      <c r="J109" s="903">
        <f t="shared" si="58"/>
        <v>0</v>
      </c>
      <c r="K109" s="903">
        <f t="shared" si="58"/>
        <v>0</v>
      </c>
      <c r="L109" s="903">
        <f t="shared" si="58"/>
        <v>0</v>
      </c>
      <c r="M109" s="903">
        <f t="shared" si="58"/>
        <v>0</v>
      </c>
      <c r="N109" s="904">
        <f t="shared" si="58"/>
        <v>0</v>
      </c>
    </row>
    <row r="110" spans="1:14" s="887" customFormat="1" ht="13.5" customHeight="1">
      <c r="A110" s="877"/>
      <c r="B110" s="878"/>
      <c r="C110" s="1073" t="s">
        <v>2630</v>
      </c>
      <c r="D110" s="1073"/>
      <c r="E110" s="901"/>
      <c r="F110" s="902">
        <f t="shared" si="47"/>
        <v>4010</v>
      </c>
      <c r="G110" s="903">
        <f>+G238+G239</f>
        <v>4010</v>
      </c>
      <c r="H110" s="903">
        <f t="shared" ref="H110:N110" si="59">+H238+H239</f>
        <v>0</v>
      </c>
      <c r="I110" s="903">
        <f t="shared" si="59"/>
        <v>0</v>
      </c>
      <c r="J110" s="903">
        <f>+J238+J239</f>
        <v>0</v>
      </c>
      <c r="K110" s="903">
        <f>+K238+K239</f>
        <v>0</v>
      </c>
      <c r="L110" s="903">
        <f t="shared" si="59"/>
        <v>0</v>
      </c>
      <c r="M110" s="903">
        <f t="shared" si="59"/>
        <v>0</v>
      </c>
      <c r="N110" s="904">
        <f t="shared" si="59"/>
        <v>0</v>
      </c>
    </row>
    <row r="111" spans="1:14" s="887" customFormat="1" ht="13.5" customHeight="1">
      <c r="A111" s="877"/>
      <c r="B111" s="878"/>
      <c r="C111" s="1073" t="s">
        <v>2631</v>
      </c>
      <c r="D111" s="1073"/>
      <c r="E111" s="901"/>
      <c r="F111" s="902">
        <f t="shared" si="47"/>
        <v>0</v>
      </c>
      <c r="G111" s="903">
        <f>SUM(G240:G244)</f>
        <v>0</v>
      </c>
      <c r="H111" s="903">
        <f t="shared" ref="H111:N111" si="60">SUM(H240:H244)</f>
        <v>0</v>
      </c>
      <c r="I111" s="903">
        <f t="shared" si="60"/>
        <v>0</v>
      </c>
      <c r="J111" s="903">
        <f>SUM(J240:J244)</f>
        <v>0</v>
      </c>
      <c r="K111" s="903">
        <f>SUM(K240:K244)</f>
        <v>0</v>
      </c>
      <c r="L111" s="903">
        <f t="shared" si="60"/>
        <v>0</v>
      </c>
      <c r="M111" s="903">
        <f t="shared" si="60"/>
        <v>0</v>
      </c>
      <c r="N111" s="904">
        <f t="shared" si="60"/>
        <v>0</v>
      </c>
    </row>
    <row r="112" spans="1:14" s="887" customFormat="1" ht="13.5" customHeight="1">
      <c r="A112" s="877"/>
      <c r="B112" s="878"/>
      <c r="C112" s="915" t="s">
        <v>2632</v>
      </c>
      <c r="D112" s="878"/>
      <c r="E112" s="916"/>
      <c r="F112" s="917">
        <f t="shared" si="47"/>
        <v>0</v>
      </c>
      <c r="G112" s="1066">
        <f>IF(G245=0,0,+G245-G254)</f>
        <v>0</v>
      </c>
      <c r="H112" s="1066">
        <f t="shared" ref="H112:N112" si="61">IF(H245=0,0,+H245-H254)</f>
        <v>0</v>
      </c>
      <c r="I112" s="1066">
        <f t="shared" si="61"/>
        <v>0</v>
      </c>
      <c r="J112" s="1066">
        <f t="shared" si="61"/>
        <v>0</v>
      </c>
      <c r="K112" s="1066">
        <f t="shared" si="61"/>
        <v>0</v>
      </c>
      <c r="L112" s="1066">
        <f t="shared" si="61"/>
        <v>0</v>
      </c>
      <c r="M112" s="1066">
        <f t="shared" si="61"/>
        <v>0</v>
      </c>
      <c r="N112" s="1067">
        <f t="shared" si="61"/>
        <v>0</v>
      </c>
    </row>
    <row r="113" spans="1:14" s="887" customFormat="1" ht="13.5" customHeight="1">
      <c r="A113" s="1075"/>
      <c r="B113" s="893" t="s">
        <v>2633</v>
      </c>
      <c r="C113" s="893"/>
      <c r="D113" s="893"/>
      <c r="E113" s="1076"/>
      <c r="F113" s="895">
        <f t="shared" si="47"/>
        <v>11660000</v>
      </c>
      <c r="G113" s="896">
        <f>G91+G102</f>
        <v>11660000</v>
      </c>
      <c r="H113" s="896">
        <f t="shared" ref="H113:N113" si="62">H91+H102</f>
        <v>0</v>
      </c>
      <c r="I113" s="896">
        <f t="shared" si="62"/>
        <v>0</v>
      </c>
      <c r="J113" s="896">
        <f t="shared" si="62"/>
        <v>0</v>
      </c>
      <c r="K113" s="896">
        <f>K91+K102</f>
        <v>0</v>
      </c>
      <c r="L113" s="896">
        <f t="shared" si="62"/>
        <v>0</v>
      </c>
      <c r="M113" s="896">
        <f t="shared" si="62"/>
        <v>0</v>
      </c>
      <c r="N113" s="897">
        <f t="shared" si="62"/>
        <v>0</v>
      </c>
    </row>
    <row r="114" spans="1:14" s="887" customFormat="1" ht="15" customHeight="1">
      <c r="A114" s="1077"/>
      <c r="B114" s="878"/>
      <c r="C114" s="1078" t="s">
        <v>2634</v>
      </c>
      <c r="D114" s="1078"/>
      <c r="E114" s="1079"/>
      <c r="F114" s="1033"/>
      <c r="G114" s="1080" t="s">
        <v>2635</v>
      </c>
      <c r="H114" s="1081"/>
      <c r="I114" s="1037"/>
      <c r="J114" s="1037"/>
      <c r="K114" s="1037"/>
      <c r="L114" s="1037"/>
      <c r="M114" s="1037"/>
      <c r="N114" s="1037"/>
    </row>
    <row r="115" spans="1:14" s="887" customFormat="1" ht="15" customHeight="1">
      <c r="A115" s="868"/>
      <c r="B115" s="869"/>
      <c r="C115" s="869"/>
      <c r="D115" s="869"/>
      <c r="E115" s="1082"/>
      <c r="F115" s="1083" t="s">
        <v>2526</v>
      </c>
      <c r="G115" s="1084" t="str">
        <f t="shared" ref="G115:N115" si="63">+G86</f>
        <v>天井改良</v>
      </c>
      <c r="H115" s="1084" t="str">
        <f t="shared" si="63"/>
        <v>居室内装修理</v>
      </c>
      <c r="I115" s="1084">
        <f t="shared" si="63"/>
        <v>0</v>
      </c>
      <c r="J115" s="1084">
        <f t="shared" si="63"/>
        <v>0</v>
      </c>
      <c r="K115" s="1084">
        <f t="shared" si="63"/>
        <v>0</v>
      </c>
      <c r="L115" s="1084">
        <f t="shared" si="63"/>
        <v>0</v>
      </c>
      <c r="M115" s="1084">
        <f t="shared" si="63"/>
        <v>0</v>
      </c>
      <c r="N115" s="1085">
        <f t="shared" si="63"/>
        <v>0</v>
      </c>
    </row>
    <row r="116" spans="1:14" s="887" customFormat="1" ht="15" customHeight="1">
      <c r="A116" s="920" t="s">
        <v>2549</v>
      </c>
      <c r="B116" s="921"/>
      <c r="C116" s="922"/>
      <c r="D116" s="922"/>
      <c r="E116" s="923"/>
      <c r="F116" s="924"/>
      <c r="G116" s="925"/>
      <c r="H116" s="925"/>
      <c r="I116" s="925"/>
      <c r="J116" s="925"/>
      <c r="K116" s="925"/>
      <c r="L116" s="925"/>
      <c r="M116" s="925"/>
      <c r="N116" s="926"/>
    </row>
    <row r="117" spans="1:14" s="887" customFormat="1" ht="15" customHeight="1">
      <c r="A117" s="2674"/>
      <c r="B117" s="2680" t="s">
        <v>2550</v>
      </c>
      <c r="C117" s="695" t="s">
        <v>2551</v>
      </c>
      <c r="D117" s="695"/>
      <c r="E117" s="873"/>
      <c r="F117" s="898">
        <f t="shared" ref="F117:F123" si="64">SUM(G117:N117)</f>
        <v>0</v>
      </c>
      <c r="G117" s="1068">
        <f t="shared" ref="G117:N117" si="65">IF(G85="新営",G92-SUM(G119:G130)-G134-G133,0)</f>
        <v>0</v>
      </c>
      <c r="H117" s="1068">
        <f t="shared" si="65"/>
        <v>0</v>
      </c>
      <c r="I117" s="1068">
        <f t="shared" si="65"/>
        <v>0</v>
      </c>
      <c r="J117" s="1068">
        <f t="shared" si="65"/>
        <v>0</v>
      </c>
      <c r="K117" s="1068">
        <f t="shared" si="65"/>
        <v>0</v>
      </c>
      <c r="L117" s="1068">
        <f t="shared" si="65"/>
        <v>0</v>
      </c>
      <c r="M117" s="1068">
        <f t="shared" si="65"/>
        <v>0</v>
      </c>
      <c r="N117" s="1068">
        <f t="shared" si="65"/>
        <v>0</v>
      </c>
    </row>
    <row r="118" spans="1:14" s="887" customFormat="1" ht="14.25" customHeight="1">
      <c r="A118" s="2674"/>
      <c r="B118" s="2666"/>
      <c r="C118" s="702" t="s">
        <v>2552</v>
      </c>
      <c r="D118" s="702"/>
      <c r="E118" s="901"/>
      <c r="F118" s="902">
        <f t="shared" si="64"/>
        <v>7929643</v>
      </c>
      <c r="G118" s="903">
        <f t="shared" ref="G118:N118" si="66">IF(G85="改修",G92-SUM(G119:G130)-G134-G133,0)</f>
        <v>7929643</v>
      </c>
      <c r="H118" s="903">
        <f t="shared" si="66"/>
        <v>0</v>
      </c>
      <c r="I118" s="903">
        <f t="shared" si="66"/>
        <v>0</v>
      </c>
      <c r="J118" s="903">
        <f t="shared" si="66"/>
        <v>0</v>
      </c>
      <c r="K118" s="903">
        <f t="shared" si="66"/>
        <v>0</v>
      </c>
      <c r="L118" s="903">
        <f t="shared" si="66"/>
        <v>0</v>
      </c>
      <c r="M118" s="903">
        <f t="shared" si="66"/>
        <v>0</v>
      </c>
      <c r="N118" s="903">
        <f t="shared" si="66"/>
        <v>0</v>
      </c>
    </row>
    <row r="119" spans="1:14" s="887" customFormat="1" ht="15" customHeight="1">
      <c r="A119" s="2674"/>
      <c r="B119" s="2666"/>
      <c r="C119" s="927" t="s">
        <v>2553</v>
      </c>
      <c r="D119" s="702"/>
      <c r="E119" s="901"/>
      <c r="F119" s="902">
        <f t="shared" si="64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7" customFormat="1" ht="15" customHeight="1">
      <c r="A120" s="2674"/>
      <c r="B120" s="2665"/>
      <c r="C120" s="927" t="s">
        <v>2554</v>
      </c>
      <c r="D120" s="702"/>
      <c r="E120" s="901"/>
      <c r="F120" s="902">
        <f t="shared" si="64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7" customFormat="1" ht="15" customHeight="1">
      <c r="A121" s="2674"/>
      <c r="B121" s="2664" t="s">
        <v>2555</v>
      </c>
      <c r="C121" s="701" t="s">
        <v>2636</v>
      </c>
      <c r="D121" s="702"/>
      <c r="E121" s="901"/>
      <c r="F121" s="902">
        <f t="shared" si="64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7" customFormat="1" ht="15" customHeight="1">
      <c r="A122" s="2674"/>
      <c r="B122" s="2666"/>
      <c r="C122" s="701" t="s">
        <v>2557</v>
      </c>
      <c r="D122" s="702"/>
      <c r="E122" s="901"/>
      <c r="F122" s="902">
        <f t="shared" si="64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7" customFormat="1" ht="15" customHeight="1">
      <c r="A123" s="2674"/>
      <c r="B123" s="2666"/>
      <c r="C123" s="702" t="s">
        <v>2558</v>
      </c>
      <c r="D123" s="702"/>
      <c r="E123" s="901"/>
      <c r="F123" s="902">
        <f t="shared" si="64"/>
        <v>0</v>
      </c>
      <c r="G123" s="1056"/>
      <c r="H123" s="1056"/>
      <c r="I123" s="1056"/>
      <c r="J123" s="1056"/>
      <c r="K123" s="1056"/>
      <c r="L123" s="1056"/>
      <c r="M123" s="1056"/>
      <c r="N123" s="1057"/>
    </row>
    <row r="124" spans="1:14" s="887" customFormat="1" ht="15" customHeight="1">
      <c r="A124" s="2674"/>
      <c r="B124" s="2666"/>
      <c r="C124" s="702" t="s">
        <v>2559</v>
      </c>
      <c r="D124" s="702"/>
      <c r="E124" s="901"/>
      <c r="F124" s="902"/>
      <c r="G124" s="903"/>
      <c r="H124" s="903"/>
      <c r="I124" s="903"/>
      <c r="J124" s="903"/>
      <c r="K124" s="903"/>
      <c r="L124" s="903"/>
      <c r="M124" s="903"/>
      <c r="N124" s="904"/>
    </row>
    <row r="125" spans="1:14" s="887" customFormat="1" ht="15" customHeight="1">
      <c r="A125" s="2674"/>
      <c r="B125" s="2666"/>
      <c r="C125" s="702" t="s">
        <v>2560</v>
      </c>
      <c r="D125" s="702"/>
      <c r="E125" s="901"/>
      <c r="F125" s="902"/>
      <c r="G125" s="903"/>
      <c r="H125" s="903"/>
      <c r="I125" s="903"/>
      <c r="J125" s="903"/>
      <c r="K125" s="903"/>
      <c r="L125" s="903"/>
      <c r="M125" s="903"/>
      <c r="N125" s="904"/>
    </row>
    <row r="126" spans="1:14" s="887" customFormat="1" ht="15" customHeight="1">
      <c r="A126" s="2674"/>
      <c r="B126" s="2666"/>
      <c r="C126" s="702" t="s">
        <v>2561</v>
      </c>
      <c r="D126" s="702"/>
      <c r="E126" s="901"/>
      <c r="F126" s="902">
        <f t="shared" ref="F126:F136" si="67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7" customFormat="1" ht="15" customHeight="1">
      <c r="A127" s="2674"/>
      <c r="B127" s="2666"/>
      <c r="C127" s="928" t="s">
        <v>2637</v>
      </c>
      <c r="D127" s="702"/>
      <c r="E127" s="901"/>
      <c r="F127" s="902">
        <f t="shared" si="67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7" customFormat="1" ht="15" customHeight="1">
      <c r="A128" s="2674"/>
      <c r="B128" s="2666"/>
      <c r="C128" s="929" t="s">
        <v>2563</v>
      </c>
      <c r="D128" s="702"/>
      <c r="E128" s="901"/>
      <c r="F128" s="902">
        <f t="shared" si="67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7" customFormat="1" ht="15" customHeight="1">
      <c r="A129" s="2674"/>
      <c r="B129" s="2665"/>
      <c r="C129" s="702" t="s">
        <v>2564</v>
      </c>
      <c r="D129" s="702"/>
      <c r="E129" s="901"/>
      <c r="F129" s="902">
        <f t="shared" si="67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7" customFormat="1" ht="15" customHeight="1">
      <c r="A130" s="2674"/>
      <c r="B130" s="2664" t="s">
        <v>2565</v>
      </c>
      <c r="C130" s="927" t="s">
        <v>2566</v>
      </c>
      <c r="D130" s="702"/>
      <c r="E130" s="901"/>
      <c r="F130" s="902">
        <f t="shared" si="67"/>
        <v>34180</v>
      </c>
      <c r="G130" s="1056">
        <v>34180</v>
      </c>
      <c r="H130" s="1056"/>
      <c r="I130" s="1056"/>
      <c r="J130" s="1056"/>
      <c r="K130" s="1056"/>
      <c r="L130" s="1056"/>
      <c r="M130" s="1056"/>
      <c r="N130" s="1057"/>
    </row>
    <row r="131" spans="1:14" s="887" customFormat="1" ht="15" customHeight="1">
      <c r="A131" s="2674"/>
      <c r="B131" s="2666"/>
      <c r="C131" s="927" t="s">
        <v>2567</v>
      </c>
      <c r="D131" s="702"/>
      <c r="E131" s="901"/>
      <c r="F131" s="902">
        <f t="shared" si="67"/>
        <v>0</v>
      </c>
      <c r="G131" s="903">
        <f t="shared" ref="G131:N131" si="68">+G100</f>
        <v>0</v>
      </c>
      <c r="H131" s="903">
        <f t="shared" si="68"/>
        <v>0</v>
      </c>
      <c r="I131" s="903">
        <f t="shared" si="68"/>
        <v>0</v>
      </c>
      <c r="J131" s="903">
        <f>+J100</f>
        <v>0</v>
      </c>
      <c r="K131" s="903">
        <f>+K100</f>
        <v>0</v>
      </c>
      <c r="L131" s="903">
        <f t="shared" si="68"/>
        <v>0</v>
      </c>
      <c r="M131" s="903">
        <f t="shared" si="68"/>
        <v>0</v>
      </c>
      <c r="N131" s="904">
        <f t="shared" si="68"/>
        <v>0</v>
      </c>
    </row>
    <row r="132" spans="1:14" s="887" customFormat="1" ht="15" customHeight="1">
      <c r="A132" s="2674"/>
      <c r="B132" s="2666"/>
      <c r="C132" s="702" t="s">
        <v>2568</v>
      </c>
      <c r="D132" s="702"/>
      <c r="E132" s="901"/>
      <c r="F132" s="902">
        <f t="shared" si="67"/>
        <v>0</v>
      </c>
      <c r="G132" s="903">
        <f>+G99</f>
        <v>0</v>
      </c>
      <c r="H132" s="903">
        <f t="shared" ref="H132:N132" si="69">+H99</f>
        <v>0</v>
      </c>
      <c r="I132" s="903">
        <f t="shared" si="69"/>
        <v>0</v>
      </c>
      <c r="J132" s="903">
        <f>+J99</f>
        <v>0</v>
      </c>
      <c r="K132" s="903">
        <f>+K99</f>
        <v>0</v>
      </c>
      <c r="L132" s="903">
        <f t="shared" si="69"/>
        <v>0</v>
      </c>
      <c r="M132" s="903">
        <f t="shared" si="69"/>
        <v>0</v>
      </c>
      <c r="N132" s="904">
        <f t="shared" si="69"/>
        <v>0</v>
      </c>
    </row>
    <row r="133" spans="1:14" s="887" customFormat="1" ht="15" customHeight="1">
      <c r="A133" s="2674"/>
      <c r="B133" s="2666"/>
      <c r="C133" s="702" t="s">
        <v>2569</v>
      </c>
      <c r="D133" s="702"/>
      <c r="E133" s="901"/>
      <c r="F133" s="902">
        <f t="shared" si="67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7" customFormat="1" ht="15" customHeight="1">
      <c r="A134" s="2674"/>
      <c r="B134" s="2666"/>
      <c r="C134" s="931" t="s">
        <v>2570</v>
      </c>
      <c r="D134" s="931"/>
      <c r="E134" s="932"/>
      <c r="F134" s="902">
        <f t="shared" si="67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7" customFormat="1" ht="15" customHeight="1">
      <c r="A135" s="2674"/>
      <c r="B135" s="2666"/>
      <c r="C135" s="931" t="s">
        <v>2571</v>
      </c>
      <c r="D135" s="931"/>
      <c r="E135" s="932"/>
      <c r="F135" s="902">
        <f t="shared" si="67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7" customFormat="1" ht="15" customHeight="1">
      <c r="A136" s="2675"/>
      <c r="B136" s="2676"/>
      <c r="C136" s="935" t="s">
        <v>2572</v>
      </c>
      <c r="D136" s="935"/>
      <c r="E136" s="936"/>
      <c r="F136" s="937">
        <f t="shared" si="67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7" customFormat="1" ht="15" customHeight="1">
      <c r="A137" s="878"/>
      <c r="B137" s="878"/>
      <c r="C137" s="1090" t="s">
        <v>2638</v>
      </c>
      <c r="D137" s="1090"/>
      <c r="E137" s="914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2639</v>
      </c>
    </row>
    <row r="138" spans="1:14" s="887" customFormat="1" ht="15" customHeight="1">
      <c r="A138" s="878"/>
      <c r="B138" s="878"/>
      <c r="C138" s="921" t="s">
        <v>2640</v>
      </c>
      <c r="D138" s="921"/>
      <c r="E138" s="914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7" customFormat="1" ht="15" customHeight="1">
      <c r="A139" s="868"/>
      <c r="B139" s="869"/>
      <c r="C139" s="869"/>
      <c r="D139" s="2696" t="s">
        <v>2641</v>
      </c>
      <c r="E139" s="2696" t="s">
        <v>2642</v>
      </c>
      <c r="F139" s="1083" t="s">
        <v>2526</v>
      </c>
      <c r="G139" s="1084" t="str">
        <f t="shared" ref="G139:N139" si="70">+G86</f>
        <v>天井改良</v>
      </c>
      <c r="H139" s="1084" t="str">
        <f t="shared" si="70"/>
        <v>居室内装修理</v>
      </c>
      <c r="I139" s="1084">
        <f t="shared" si="70"/>
        <v>0</v>
      </c>
      <c r="J139" s="1084">
        <f t="shared" si="70"/>
        <v>0</v>
      </c>
      <c r="K139" s="1084">
        <f t="shared" si="70"/>
        <v>0</v>
      </c>
      <c r="L139" s="1084">
        <f t="shared" si="70"/>
        <v>0</v>
      </c>
      <c r="M139" s="1084">
        <f t="shared" si="70"/>
        <v>0</v>
      </c>
      <c r="N139" s="1085">
        <f t="shared" si="70"/>
        <v>0</v>
      </c>
    </row>
    <row r="140" spans="1:14" s="887" customFormat="1" ht="15" customHeight="1">
      <c r="A140" s="2693" t="s">
        <v>2643</v>
      </c>
      <c r="B140" s="2694"/>
      <c r="C140" s="2695"/>
      <c r="D140" s="2697"/>
      <c r="E140" s="2697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7" customFormat="1" ht="15" customHeight="1">
      <c r="A141" s="2677"/>
      <c r="B141" s="1095" t="s">
        <v>2644</v>
      </c>
      <c r="C141" s="1096"/>
      <c r="D141" s="1097"/>
      <c r="E141" s="1098"/>
      <c r="F141" s="1099">
        <f t="shared" ref="F141:F148" si="71">SUM(G141:N141)</f>
        <v>7929643</v>
      </c>
      <c r="G141" s="1100">
        <f>SUM(G117:G129)+G133</f>
        <v>7929643</v>
      </c>
      <c r="H141" s="1100">
        <f t="shared" ref="H141:N141" si="72">SUM(H117:H129)+H133</f>
        <v>0</v>
      </c>
      <c r="I141" s="1100">
        <f t="shared" si="72"/>
        <v>0</v>
      </c>
      <c r="J141" s="1100">
        <f t="shared" si="72"/>
        <v>0</v>
      </c>
      <c r="K141" s="1100">
        <f t="shared" si="72"/>
        <v>0</v>
      </c>
      <c r="L141" s="1100">
        <f t="shared" si="72"/>
        <v>0</v>
      </c>
      <c r="M141" s="1100">
        <f t="shared" si="72"/>
        <v>0</v>
      </c>
      <c r="N141" s="1100">
        <f t="shared" si="72"/>
        <v>0</v>
      </c>
    </row>
    <row r="142" spans="1:14" s="887" customFormat="1" ht="15" customHeight="1">
      <c r="A142" s="2678"/>
      <c r="B142" s="2664" t="s">
        <v>2645</v>
      </c>
      <c r="C142" s="1101" t="s">
        <v>2551</v>
      </c>
      <c r="D142" s="1102">
        <v>1</v>
      </c>
      <c r="E142" s="1103" t="s">
        <v>2646</v>
      </c>
      <c r="F142" s="902">
        <f t="shared" si="71"/>
        <v>0</v>
      </c>
      <c r="G142" s="903">
        <f t="shared" ref="G142:N142" si="73">IF(G88="積上げ",0,+G117)</f>
        <v>0</v>
      </c>
      <c r="H142" s="903">
        <f t="shared" si="73"/>
        <v>0</v>
      </c>
      <c r="I142" s="903">
        <f t="shared" si="73"/>
        <v>0</v>
      </c>
      <c r="J142" s="903">
        <f t="shared" si="73"/>
        <v>0</v>
      </c>
      <c r="K142" s="903">
        <f t="shared" si="73"/>
        <v>0</v>
      </c>
      <c r="L142" s="903">
        <f t="shared" si="73"/>
        <v>0</v>
      </c>
      <c r="M142" s="903">
        <f t="shared" si="73"/>
        <v>0</v>
      </c>
      <c r="N142" s="903">
        <f t="shared" si="73"/>
        <v>0</v>
      </c>
    </row>
    <row r="143" spans="1:14" s="887" customFormat="1" ht="15" customHeight="1">
      <c r="A143" s="2678"/>
      <c r="B143" s="2666"/>
      <c r="C143" s="1101" t="s">
        <v>2552</v>
      </c>
      <c r="D143" s="1102">
        <v>1</v>
      </c>
      <c r="E143" s="1103" t="s">
        <v>2647</v>
      </c>
      <c r="F143" s="902">
        <f t="shared" si="71"/>
        <v>7929643</v>
      </c>
      <c r="G143" s="903">
        <f t="shared" ref="G143:N143" si="74">IF(G88="積上げ",0,+G118)</f>
        <v>7929643</v>
      </c>
      <c r="H143" s="903">
        <f t="shared" si="74"/>
        <v>0</v>
      </c>
      <c r="I143" s="903">
        <f t="shared" si="74"/>
        <v>0</v>
      </c>
      <c r="J143" s="903">
        <f t="shared" si="74"/>
        <v>0</v>
      </c>
      <c r="K143" s="903">
        <f t="shared" si="74"/>
        <v>0</v>
      </c>
      <c r="L143" s="903">
        <f t="shared" si="74"/>
        <v>0</v>
      </c>
      <c r="M143" s="903">
        <f t="shared" si="74"/>
        <v>0</v>
      </c>
      <c r="N143" s="903">
        <f t="shared" si="74"/>
        <v>0</v>
      </c>
    </row>
    <row r="144" spans="1:14" s="887" customFormat="1" ht="15" customHeight="1">
      <c r="A144" s="2678"/>
      <c r="B144" s="2666"/>
      <c r="C144" s="1101" t="s">
        <v>2648</v>
      </c>
      <c r="D144" s="1102">
        <v>0.9</v>
      </c>
      <c r="E144" s="1103" t="s">
        <v>2646</v>
      </c>
      <c r="F144" s="902">
        <f t="shared" si="71"/>
        <v>0</v>
      </c>
      <c r="G144" s="903">
        <f t="shared" ref="G144:N144" si="75">IF(G88="積上げ",0,+G119)</f>
        <v>0</v>
      </c>
      <c r="H144" s="903">
        <f t="shared" si="75"/>
        <v>0</v>
      </c>
      <c r="I144" s="903">
        <f t="shared" si="75"/>
        <v>0</v>
      </c>
      <c r="J144" s="903">
        <f t="shared" si="75"/>
        <v>0</v>
      </c>
      <c r="K144" s="903">
        <f t="shared" si="75"/>
        <v>0</v>
      </c>
      <c r="L144" s="903">
        <f t="shared" si="75"/>
        <v>0</v>
      </c>
      <c r="M144" s="903">
        <f t="shared" si="75"/>
        <v>0</v>
      </c>
      <c r="N144" s="903">
        <f t="shared" si="75"/>
        <v>0</v>
      </c>
    </row>
    <row r="145" spans="1:14" s="887" customFormat="1" ht="15" customHeight="1">
      <c r="A145" s="2678"/>
      <c r="B145" s="2665"/>
      <c r="C145" s="1101" t="s">
        <v>2649</v>
      </c>
      <c r="D145" s="1102">
        <v>0.9</v>
      </c>
      <c r="E145" s="1103" t="s">
        <v>2646</v>
      </c>
      <c r="F145" s="902">
        <f t="shared" si="71"/>
        <v>0</v>
      </c>
      <c r="G145" s="903">
        <f t="shared" ref="G145:N145" si="76">IF(G88="積上げ",0,+G120)</f>
        <v>0</v>
      </c>
      <c r="H145" s="903">
        <f t="shared" si="76"/>
        <v>0</v>
      </c>
      <c r="I145" s="903">
        <f t="shared" si="76"/>
        <v>0</v>
      </c>
      <c r="J145" s="903">
        <f t="shared" si="76"/>
        <v>0</v>
      </c>
      <c r="K145" s="903">
        <f t="shared" si="76"/>
        <v>0</v>
      </c>
      <c r="L145" s="903">
        <f t="shared" si="76"/>
        <v>0</v>
      </c>
      <c r="M145" s="903">
        <f t="shared" si="76"/>
        <v>0</v>
      </c>
      <c r="N145" s="903">
        <f t="shared" si="76"/>
        <v>0</v>
      </c>
    </row>
    <row r="146" spans="1:14" s="887" customFormat="1" ht="15" customHeight="1">
      <c r="A146" s="2678"/>
      <c r="B146" s="2664" t="s">
        <v>2555</v>
      </c>
      <c r="C146" s="1101" t="s">
        <v>2650</v>
      </c>
      <c r="D146" s="1102">
        <v>1</v>
      </c>
      <c r="E146" s="1104">
        <v>0.01</v>
      </c>
      <c r="F146" s="902">
        <f t="shared" si="71"/>
        <v>0</v>
      </c>
      <c r="G146" s="903">
        <f t="shared" ref="G146:N146" si="77">IF(G88="積上げ",0,+G121)</f>
        <v>0</v>
      </c>
      <c r="H146" s="903">
        <f t="shared" si="77"/>
        <v>0</v>
      </c>
      <c r="I146" s="903">
        <f t="shared" si="77"/>
        <v>0</v>
      </c>
      <c r="J146" s="903">
        <f t="shared" si="77"/>
        <v>0</v>
      </c>
      <c r="K146" s="903">
        <f t="shared" si="77"/>
        <v>0</v>
      </c>
      <c r="L146" s="903">
        <f t="shared" si="77"/>
        <v>0</v>
      </c>
      <c r="M146" s="903">
        <f t="shared" si="77"/>
        <v>0</v>
      </c>
      <c r="N146" s="903">
        <f t="shared" si="77"/>
        <v>0</v>
      </c>
    </row>
    <row r="147" spans="1:14" s="887" customFormat="1" ht="15" customHeight="1">
      <c r="A147" s="2678"/>
      <c r="B147" s="2666"/>
      <c r="C147" s="1101" t="s">
        <v>2651</v>
      </c>
      <c r="D147" s="1102">
        <v>1</v>
      </c>
      <c r="E147" s="1104">
        <v>0.01</v>
      </c>
      <c r="F147" s="902">
        <f t="shared" si="71"/>
        <v>0</v>
      </c>
      <c r="G147" s="903">
        <f t="shared" ref="G147:N147" si="78">IF(G88="積上げ",0,G122)</f>
        <v>0</v>
      </c>
      <c r="H147" s="903">
        <f t="shared" si="78"/>
        <v>0</v>
      </c>
      <c r="I147" s="903">
        <f t="shared" si="78"/>
        <v>0</v>
      </c>
      <c r="J147" s="903">
        <f t="shared" si="78"/>
        <v>0</v>
      </c>
      <c r="K147" s="903">
        <f t="shared" si="78"/>
        <v>0</v>
      </c>
      <c r="L147" s="903">
        <f t="shared" si="78"/>
        <v>0</v>
      </c>
      <c r="M147" s="903">
        <f t="shared" si="78"/>
        <v>0</v>
      </c>
      <c r="N147" s="903">
        <f t="shared" si="78"/>
        <v>0</v>
      </c>
    </row>
    <row r="148" spans="1:14" s="887" customFormat="1" ht="15" customHeight="1">
      <c r="A148" s="2678"/>
      <c r="B148" s="2666"/>
      <c r="C148" s="1101" t="s">
        <v>2558</v>
      </c>
      <c r="D148" s="1102">
        <v>1</v>
      </c>
      <c r="E148" s="1104">
        <v>0.01</v>
      </c>
      <c r="F148" s="902">
        <f t="shared" si="71"/>
        <v>0</v>
      </c>
      <c r="G148" s="903">
        <f t="shared" ref="G148:N148" si="79">IF(G88="積上げ",0,G123)</f>
        <v>0</v>
      </c>
      <c r="H148" s="903">
        <f t="shared" si="79"/>
        <v>0</v>
      </c>
      <c r="I148" s="903">
        <f t="shared" si="79"/>
        <v>0</v>
      </c>
      <c r="J148" s="903">
        <f t="shared" si="79"/>
        <v>0</v>
      </c>
      <c r="K148" s="903">
        <f t="shared" si="79"/>
        <v>0</v>
      </c>
      <c r="L148" s="903">
        <f t="shared" si="79"/>
        <v>0</v>
      </c>
      <c r="M148" s="903">
        <f t="shared" si="79"/>
        <v>0</v>
      </c>
      <c r="N148" s="903">
        <f t="shared" si="79"/>
        <v>0</v>
      </c>
    </row>
    <row r="149" spans="1:14" s="887" customFormat="1" ht="14.25" customHeight="1">
      <c r="A149" s="2678"/>
      <c r="B149" s="2666"/>
      <c r="C149" s="1101" t="s">
        <v>2559</v>
      </c>
      <c r="D149" s="1102"/>
      <c r="E149" s="1104"/>
      <c r="F149" s="902"/>
      <c r="G149" s="903"/>
      <c r="H149" s="903"/>
      <c r="I149" s="903"/>
      <c r="J149" s="903"/>
      <c r="K149" s="903"/>
      <c r="L149" s="903"/>
      <c r="M149" s="903"/>
      <c r="N149" s="903"/>
    </row>
    <row r="150" spans="1:14" s="887" customFormat="1" ht="14.25" customHeight="1">
      <c r="A150" s="2678"/>
      <c r="B150" s="2666"/>
      <c r="C150" s="1101" t="s">
        <v>2560</v>
      </c>
      <c r="D150" s="1102"/>
      <c r="E150" s="1104"/>
      <c r="F150" s="902"/>
      <c r="G150" s="903"/>
      <c r="H150" s="903"/>
      <c r="I150" s="903"/>
      <c r="J150" s="903"/>
      <c r="K150" s="903"/>
      <c r="L150" s="903"/>
      <c r="M150" s="903"/>
      <c r="N150" s="903"/>
    </row>
    <row r="151" spans="1:14" s="887" customFormat="1" ht="15" customHeight="1">
      <c r="A151" s="2678"/>
      <c r="B151" s="2666"/>
      <c r="C151" s="1101" t="s">
        <v>2561</v>
      </c>
      <c r="D151" s="1102">
        <v>1</v>
      </c>
      <c r="E151" s="1104">
        <v>0.01</v>
      </c>
      <c r="F151" s="902">
        <f>SUM(G151:N151)</f>
        <v>0</v>
      </c>
      <c r="G151" s="903">
        <f t="shared" ref="G151:N151" si="80">IF(G88="積上げ",0,+G126)</f>
        <v>0</v>
      </c>
      <c r="H151" s="903">
        <f t="shared" si="80"/>
        <v>0</v>
      </c>
      <c r="I151" s="903">
        <f t="shared" si="80"/>
        <v>0</v>
      </c>
      <c r="J151" s="903">
        <f t="shared" si="80"/>
        <v>0</v>
      </c>
      <c r="K151" s="903">
        <f t="shared" si="80"/>
        <v>0</v>
      </c>
      <c r="L151" s="903">
        <f t="shared" si="80"/>
        <v>0</v>
      </c>
      <c r="M151" s="903">
        <f t="shared" si="80"/>
        <v>0</v>
      </c>
      <c r="N151" s="903">
        <f t="shared" si="80"/>
        <v>0</v>
      </c>
    </row>
    <row r="152" spans="1:14" s="887" customFormat="1" ht="15" customHeight="1">
      <c r="A152" s="2678"/>
      <c r="B152" s="2666"/>
      <c r="C152" s="1105" t="s">
        <v>2637</v>
      </c>
      <c r="D152" s="1102">
        <v>1</v>
      </c>
      <c r="E152" s="1104">
        <v>0.01</v>
      </c>
      <c r="F152" s="902">
        <f>SUM(G152:N152)</f>
        <v>0</v>
      </c>
      <c r="G152" s="903">
        <f t="shared" ref="G152:N152" si="81">IF(G88="積上げ",0,+G127)</f>
        <v>0</v>
      </c>
      <c r="H152" s="903">
        <f t="shared" si="81"/>
        <v>0</v>
      </c>
      <c r="I152" s="903">
        <f t="shared" si="81"/>
        <v>0</v>
      </c>
      <c r="J152" s="903">
        <f t="shared" si="81"/>
        <v>0</v>
      </c>
      <c r="K152" s="903">
        <f t="shared" si="81"/>
        <v>0</v>
      </c>
      <c r="L152" s="903">
        <f t="shared" si="81"/>
        <v>0</v>
      </c>
      <c r="M152" s="903">
        <f t="shared" si="81"/>
        <v>0</v>
      </c>
      <c r="N152" s="903">
        <f t="shared" si="81"/>
        <v>0</v>
      </c>
    </row>
    <row r="153" spans="1:14" s="887" customFormat="1" ht="15" customHeight="1">
      <c r="A153" s="2678"/>
      <c r="B153" s="2666"/>
      <c r="C153" s="1105" t="s">
        <v>2563</v>
      </c>
      <c r="D153" s="1102">
        <v>1</v>
      </c>
      <c r="E153" s="1104">
        <v>0.01</v>
      </c>
      <c r="F153" s="902">
        <f>SUM(G153:N153)</f>
        <v>0</v>
      </c>
      <c r="G153" s="903">
        <f t="shared" ref="G153:N153" si="82">IF(G88="積上げ",0,+G128)</f>
        <v>0</v>
      </c>
      <c r="H153" s="903">
        <f t="shared" si="82"/>
        <v>0</v>
      </c>
      <c r="I153" s="903">
        <f t="shared" si="82"/>
        <v>0</v>
      </c>
      <c r="J153" s="903">
        <f t="shared" si="82"/>
        <v>0</v>
      </c>
      <c r="K153" s="903">
        <f t="shared" si="82"/>
        <v>0</v>
      </c>
      <c r="L153" s="903">
        <f t="shared" si="82"/>
        <v>0</v>
      </c>
      <c r="M153" s="903">
        <f t="shared" si="82"/>
        <v>0</v>
      </c>
      <c r="N153" s="903">
        <f t="shared" si="82"/>
        <v>0</v>
      </c>
    </row>
    <row r="154" spans="1:14" s="887" customFormat="1" ht="15" customHeight="1">
      <c r="A154" s="2678"/>
      <c r="B154" s="2665"/>
      <c r="C154" s="1101" t="s">
        <v>2564</v>
      </c>
      <c r="D154" s="1102">
        <v>1</v>
      </c>
      <c r="E154" s="1104">
        <v>0.01</v>
      </c>
      <c r="F154" s="902">
        <f>SUM(G154:N154)</f>
        <v>0</v>
      </c>
      <c r="G154" s="903">
        <f t="shared" ref="G154:N154" si="83">IF(G88="積上げ",0,+G129)</f>
        <v>0</v>
      </c>
      <c r="H154" s="903">
        <f t="shared" si="83"/>
        <v>0</v>
      </c>
      <c r="I154" s="903">
        <f t="shared" si="83"/>
        <v>0</v>
      </c>
      <c r="J154" s="903">
        <f t="shared" si="83"/>
        <v>0</v>
      </c>
      <c r="K154" s="903">
        <f t="shared" si="83"/>
        <v>0</v>
      </c>
      <c r="L154" s="903">
        <f t="shared" si="83"/>
        <v>0</v>
      </c>
      <c r="M154" s="903">
        <f t="shared" si="83"/>
        <v>0</v>
      </c>
      <c r="N154" s="903">
        <f t="shared" si="83"/>
        <v>0</v>
      </c>
    </row>
    <row r="155" spans="1:14" s="887" customFormat="1" ht="15" customHeight="1">
      <c r="A155" s="2690"/>
      <c r="B155" s="1106" t="s">
        <v>2652</v>
      </c>
      <c r="C155" s="1107" t="s">
        <v>2653</v>
      </c>
      <c r="D155" s="1108">
        <v>1</v>
      </c>
      <c r="E155" s="1109">
        <v>0</v>
      </c>
      <c r="F155" s="937">
        <f>SUM(G155:N155)</f>
        <v>34180</v>
      </c>
      <c r="G155" s="1064">
        <f t="shared" ref="G155:N155" si="84">IF(G88="積上げ",0,SUM(G133:G136)+G130)</f>
        <v>34180</v>
      </c>
      <c r="H155" s="1064">
        <f t="shared" si="84"/>
        <v>0</v>
      </c>
      <c r="I155" s="1064">
        <f t="shared" si="84"/>
        <v>0</v>
      </c>
      <c r="J155" s="1064">
        <f t="shared" si="84"/>
        <v>0</v>
      </c>
      <c r="K155" s="1064">
        <f t="shared" si="84"/>
        <v>0</v>
      </c>
      <c r="L155" s="1064">
        <f t="shared" si="84"/>
        <v>0</v>
      </c>
      <c r="M155" s="1064">
        <f t="shared" si="84"/>
        <v>0</v>
      </c>
      <c r="N155" s="1064">
        <f t="shared" si="84"/>
        <v>0</v>
      </c>
    </row>
    <row r="156" spans="1:14" s="887" customFormat="1" ht="15" customHeight="1">
      <c r="A156" s="1110"/>
      <c r="B156" s="1111"/>
      <c r="C156" s="1112"/>
      <c r="D156" s="2691"/>
      <c r="E156" s="2691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7" customFormat="1" ht="15" customHeight="1">
      <c r="A157" s="2693" t="s">
        <v>2654</v>
      </c>
      <c r="B157" s="2694"/>
      <c r="C157" s="2695"/>
      <c r="D157" s="2692"/>
      <c r="E157" s="2692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7" customFormat="1" ht="15" customHeight="1">
      <c r="A158" s="2677"/>
      <c r="B158" s="2680" t="s">
        <v>2645</v>
      </c>
      <c r="C158" s="1114" t="s">
        <v>2551</v>
      </c>
      <c r="D158" s="1115"/>
      <c r="E158" s="1116" t="s">
        <v>2646</v>
      </c>
      <c r="F158" s="1117" t="s">
        <v>2655</v>
      </c>
      <c r="G158" s="1118">
        <f t="shared" ref="G158:N158" si="85">IF(G142=0,0,IF(G90="有り",+G264/100,G265/100))</f>
        <v>0</v>
      </c>
      <c r="H158" s="1118">
        <f t="shared" si="85"/>
        <v>0</v>
      </c>
      <c r="I158" s="1118">
        <f t="shared" si="85"/>
        <v>0</v>
      </c>
      <c r="J158" s="1118">
        <f t="shared" si="85"/>
        <v>0</v>
      </c>
      <c r="K158" s="1118">
        <f t="shared" si="85"/>
        <v>0</v>
      </c>
      <c r="L158" s="1118">
        <f t="shared" si="85"/>
        <v>0</v>
      </c>
      <c r="M158" s="1118">
        <f t="shared" si="85"/>
        <v>0</v>
      </c>
      <c r="N158" s="1119">
        <f t="shared" si="85"/>
        <v>0</v>
      </c>
    </row>
    <row r="159" spans="1:14" s="887" customFormat="1" ht="15" customHeight="1">
      <c r="A159" s="2678"/>
      <c r="B159" s="2666"/>
      <c r="C159" s="1120"/>
      <c r="D159" s="1121">
        <f>+D142</f>
        <v>1</v>
      </c>
      <c r="E159" s="1122" t="s">
        <v>2646</v>
      </c>
      <c r="F159" s="1055">
        <f>SUM(G159:N159)</f>
        <v>0</v>
      </c>
      <c r="G159" s="1071">
        <f>ROUNDDOWN(G142*G158*$D159,0)</f>
        <v>0</v>
      </c>
      <c r="H159" s="1071">
        <f t="shared" ref="H159:N159" si="86">ROUNDDOWN(H142*H158*$D159,0)</f>
        <v>0</v>
      </c>
      <c r="I159" s="1071">
        <f t="shared" si="86"/>
        <v>0</v>
      </c>
      <c r="J159" s="1071">
        <f t="shared" si="86"/>
        <v>0</v>
      </c>
      <c r="K159" s="1071">
        <f>ROUNDDOWN(K142*K158*$D159,0)</f>
        <v>0</v>
      </c>
      <c r="L159" s="1071">
        <f t="shared" si="86"/>
        <v>0</v>
      </c>
      <c r="M159" s="1071">
        <f t="shared" si="86"/>
        <v>0</v>
      </c>
      <c r="N159" s="1072">
        <f t="shared" si="86"/>
        <v>0</v>
      </c>
    </row>
    <row r="160" spans="1:14" s="887" customFormat="1" ht="15" customHeight="1">
      <c r="A160" s="2678"/>
      <c r="B160" s="2666"/>
      <c r="C160" s="1123" t="s">
        <v>2552</v>
      </c>
      <c r="D160" s="1124"/>
      <c r="E160" s="1122" t="s">
        <v>2646</v>
      </c>
      <c r="F160" s="1125" t="s">
        <v>2656</v>
      </c>
      <c r="G160" s="1126">
        <f t="shared" ref="G160:N160" si="87">IF(G143=0,0,IF(G90="有り",G273/100,+G274/100))</f>
        <v>3.3000000000000002E-2</v>
      </c>
      <c r="H160" s="1126">
        <f t="shared" si="87"/>
        <v>0</v>
      </c>
      <c r="I160" s="1126">
        <f t="shared" si="87"/>
        <v>0</v>
      </c>
      <c r="J160" s="1126">
        <f t="shared" si="87"/>
        <v>0</v>
      </c>
      <c r="K160" s="1126">
        <f t="shared" si="87"/>
        <v>0</v>
      </c>
      <c r="L160" s="1126">
        <f t="shared" si="87"/>
        <v>0</v>
      </c>
      <c r="M160" s="1126">
        <f t="shared" si="87"/>
        <v>0</v>
      </c>
      <c r="N160" s="1127">
        <f t="shared" si="87"/>
        <v>0</v>
      </c>
    </row>
    <row r="161" spans="1:14" s="887" customFormat="1" ht="15" customHeight="1">
      <c r="A161" s="2678"/>
      <c r="B161" s="2666"/>
      <c r="C161" s="1120"/>
      <c r="D161" s="1128">
        <f t="shared" ref="D161:D166" si="88">+D143</f>
        <v>1</v>
      </c>
      <c r="E161" s="1122" t="s">
        <v>2646</v>
      </c>
      <c r="F161" s="1055">
        <f>SUM(G161:N161)</f>
        <v>261678</v>
      </c>
      <c r="G161" s="1071">
        <f>ROUNDDOWN(G143*G160*$D161,0)</f>
        <v>261678</v>
      </c>
      <c r="H161" s="1071">
        <f t="shared" ref="H161:N161" si="89">ROUNDDOWN(H143*H160*$D161,0)</f>
        <v>0</v>
      </c>
      <c r="I161" s="1071">
        <f t="shared" si="89"/>
        <v>0</v>
      </c>
      <c r="J161" s="1071">
        <f t="shared" si="89"/>
        <v>0</v>
      </c>
      <c r="K161" s="1071">
        <f>ROUNDDOWN(K143*K160*$D161,0)</f>
        <v>0</v>
      </c>
      <c r="L161" s="1071">
        <f t="shared" si="89"/>
        <v>0</v>
      </c>
      <c r="M161" s="1071">
        <f t="shared" si="89"/>
        <v>0</v>
      </c>
      <c r="N161" s="1072">
        <f t="shared" si="89"/>
        <v>0</v>
      </c>
    </row>
    <row r="162" spans="1:14" s="887" customFormat="1" ht="15" customHeight="1">
      <c r="A162" s="2678"/>
      <c r="B162" s="2666"/>
      <c r="C162" s="1101" t="s">
        <v>2574</v>
      </c>
      <c r="D162" s="1129">
        <v>0.9</v>
      </c>
      <c r="E162" s="1122" t="s">
        <v>2646</v>
      </c>
      <c r="F162" s="1055">
        <f>SUM(G162:N162)</f>
        <v>0</v>
      </c>
      <c r="G162" s="1071">
        <f>ROUNDDOWN(G144*G158*$D162,0)</f>
        <v>0</v>
      </c>
      <c r="H162" s="1071">
        <f t="shared" ref="H162:N162" si="90">ROUNDDOWN(H144*H158*$D162,0)</f>
        <v>0</v>
      </c>
      <c r="I162" s="1071">
        <f t="shared" si="90"/>
        <v>0</v>
      </c>
      <c r="J162" s="1071">
        <f t="shared" si="90"/>
        <v>0</v>
      </c>
      <c r="K162" s="1071">
        <f>ROUNDDOWN(K144*K158*$D162,0)</f>
        <v>0</v>
      </c>
      <c r="L162" s="1071">
        <f t="shared" si="90"/>
        <v>0</v>
      </c>
      <c r="M162" s="1071">
        <f t="shared" si="90"/>
        <v>0</v>
      </c>
      <c r="N162" s="1072">
        <f t="shared" si="90"/>
        <v>0</v>
      </c>
    </row>
    <row r="163" spans="1:14" s="887" customFormat="1" ht="15" customHeight="1">
      <c r="A163" s="2678"/>
      <c r="B163" s="2665"/>
      <c r="C163" s="1101" t="s">
        <v>2575</v>
      </c>
      <c r="D163" s="1129">
        <v>0.9</v>
      </c>
      <c r="E163" s="1122" t="s">
        <v>2646</v>
      </c>
      <c r="F163" s="1055">
        <f>SUM(G163:N163)</f>
        <v>0</v>
      </c>
      <c r="G163" s="1071">
        <f>ROUNDDOWN(G145*G160*$D163,0)</f>
        <v>0</v>
      </c>
      <c r="H163" s="1071">
        <f t="shared" ref="H163:N163" si="91">ROUNDDOWN(H145*H160*$D163,0)</f>
        <v>0</v>
      </c>
      <c r="I163" s="1071">
        <f t="shared" si="91"/>
        <v>0</v>
      </c>
      <c r="J163" s="1071">
        <f t="shared" si="91"/>
        <v>0</v>
      </c>
      <c r="K163" s="1071">
        <f>ROUNDDOWN(K145*K160*$D163,0)</f>
        <v>0</v>
      </c>
      <c r="L163" s="1071">
        <f t="shared" si="91"/>
        <v>0</v>
      </c>
      <c r="M163" s="1071">
        <f t="shared" si="91"/>
        <v>0</v>
      </c>
      <c r="N163" s="1072">
        <f t="shared" si="91"/>
        <v>0</v>
      </c>
    </row>
    <row r="164" spans="1:14" s="887" customFormat="1" ht="15" customHeight="1">
      <c r="A164" s="2678"/>
      <c r="B164" s="2664" t="s">
        <v>2555</v>
      </c>
      <c r="C164" s="1101" t="s">
        <v>2650</v>
      </c>
      <c r="D164" s="1129">
        <f>+D146</f>
        <v>1</v>
      </c>
      <c r="E164" s="1104">
        <f>+E146</f>
        <v>0.01</v>
      </c>
      <c r="F164" s="902">
        <v>0</v>
      </c>
      <c r="G164" s="1071">
        <f t="shared" ref="G164:N173" si="92">ROUNDDOWN(G146*$E164*$D164,0)</f>
        <v>0</v>
      </c>
      <c r="H164" s="1071">
        <f t="shared" si="92"/>
        <v>0</v>
      </c>
      <c r="I164" s="1071">
        <f t="shared" si="92"/>
        <v>0</v>
      </c>
      <c r="J164" s="1071">
        <f t="shared" si="92"/>
        <v>0</v>
      </c>
      <c r="K164" s="1071">
        <f t="shared" si="92"/>
        <v>0</v>
      </c>
      <c r="L164" s="1071">
        <f t="shared" si="92"/>
        <v>0</v>
      </c>
      <c r="M164" s="1071">
        <f t="shared" si="92"/>
        <v>0</v>
      </c>
      <c r="N164" s="1071">
        <f t="shared" si="92"/>
        <v>0</v>
      </c>
    </row>
    <row r="165" spans="1:14" s="887" customFormat="1" ht="15" customHeight="1">
      <c r="A165" s="2678"/>
      <c r="B165" s="2666"/>
      <c r="C165" s="1101" t="s">
        <v>2657</v>
      </c>
      <c r="D165" s="1129">
        <f t="shared" si="88"/>
        <v>1</v>
      </c>
      <c r="E165" s="1104">
        <f>+E147</f>
        <v>0.01</v>
      </c>
      <c r="F165" s="902">
        <v>0</v>
      </c>
      <c r="G165" s="1071">
        <f t="shared" si="92"/>
        <v>0</v>
      </c>
      <c r="H165" s="1071">
        <f t="shared" si="92"/>
        <v>0</v>
      </c>
      <c r="I165" s="1071">
        <f t="shared" si="92"/>
        <v>0</v>
      </c>
      <c r="J165" s="1071">
        <f t="shared" si="92"/>
        <v>0</v>
      </c>
      <c r="K165" s="1071">
        <f t="shared" si="92"/>
        <v>0</v>
      </c>
      <c r="L165" s="1071">
        <f t="shared" si="92"/>
        <v>0</v>
      </c>
      <c r="M165" s="1071">
        <f t="shared" si="92"/>
        <v>0</v>
      </c>
      <c r="N165" s="1071">
        <f t="shared" si="92"/>
        <v>0</v>
      </c>
    </row>
    <row r="166" spans="1:14" s="887" customFormat="1" ht="15" customHeight="1">
      <c r="A166" s="2678"/>
      <c r="B166" s="2666"/>
      <c r="C166" s="1101" t="s">
        <v>2558</v>
      </c>
      <c r="D166" s="1129">
        <f t="shared" si="88"/>
        <v>1</v>
      </c>
      <c r="E166" s="1104">
        <f>+E148</f>
        <v>0.01</v>
      </c>
      <c r="F166" s="902">
        <v>0</v>
      </c>
      <c r="G166" s="1071">
        <f t="shared" si="92"/>
        <v>0</v>
      </c>
      <c r="H166" s="1071">
        <f t="shared" si="92"/>
        <v>0</v>
      </c>
      <c r="I166" s="1071">
        <f t="shared" si="92"/>
        <v>0</v>
      </c>
      <c r="J166" s="1071">
        <f t="shared" si="92"/>
        <v>0</v>
      </c>
      <c r="K166" s="1071">
        <f t="shared" si="92"/>
        <v>0</v>
      </c>
      <c r="L166" s="1071">
        <f t="shared" si="92"/>
        <v>0</v>
      </c>
      <c r="M166" s="1071">
        <f t="shared" si="92"/>
        <v>0</v>
      </c>
      <c r="N166" s="1071">
        <f t="shared" si="92"/>
        <v>0</v>
      </c>
    </row>
    <row r="167" spans="1:14" s="887" customFormat="1" ht="15" customHeight="1">
      <c r="A167" s="2678"/>
      <c r="B167" s="2666"/>
      <c r="C167" s="1101" t="s">
        <v>2658</v>
      </c>
      <c r="D167" s="1129"/>
      <c r="E167" s="1104"/>
      <c r="F167" s="902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7" customFormat="1" ht="15" customHeight="1">
      <c r="A168" s="2678"/>
      <c r="B168" s="2666"/>
      <c r="C168" s="1130" t="s">
        <v>2560</v>
      </c>
      <c r="D168" s="1129"/>
      <c r="E168" s="1104"/>
      <c r="F168" s="902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7" customFormat="1" ht="15" customHeight="1">
      <c r="A169" s="2678"/>
      <c r="B169" s="2666"/>
      <c r="C169" s="1101" t="s">
        <v>2561</v>
      </c>
      <c r="D169" s="1129">
        <f t="shared" ref="D169:E173" si="93">+D151</f>
        <v>1</v>
      </c>
      <c r="E169" s="1104">
        <f t="shared" si="93"/>
        <v>0.01</v>
      </c>
      <c r="F169" s="902">
        <v>0</v>
      </c>
      <c r="G169" s="1071">
        <f t="shared" si="92"/>
        <v>0</v>
      </c>
      <c r="H169" s="1071">
        <f t="shared" si="92"/>
        <v>0</v>
      </c>
      <c r="I169" s="1071">
        <f t="shared" si="92"/>
        <v>0</v>
      </c>
      <c r="J169" s="1071">
        <f t="shared" si="92"/>
        <v>0</v>
      </c>
      <c r="K169" s="1071">
        <f t="shared" si="92"/>
        <v>0</v>
      </c>
      <c r="L169" s="1071">
        <f t="shared" si="92"/>
        <v>0</v>
      </c>
      <c r="M169" s="1071">
        <f t="shared" si="92"/>
        <v>0</v>
      </c>
      <c r="N169" s="1071">
        <f t="shared" si="92"/>
        <v>0</v>
      </c>
    </row>
    <row r="170" spans="1:14" s="887" customFormat="1" ht="15" customHeight="1">
      <c r="A170" s="2678"/>
      <c r="B170" s="2666"/>
      <c r="C170" s="1105" t="s">
        <v>2659</v>
      </c>
      <c r="D170" s="1129">
        <f t="shared" si="93"/>
        <v>1</v>
      </c>
      <c r="E170" s="1104">
        <f t="shared" si="93"/>
        <v>0.01</v>
      </c>
      <c r="F170" s="902">
        <v>0</v>
      </c>
      <c r="G170" s="1071">
        <f t="shared" si="92"/>
        <v>0</v>
      </c>
      <c r="H170" s="1071">
        <f t="shared" si="92"/>
        <v>0</v>
      </c>
      <c r="I170" s="1071">
        <f t="shared" si="92"/>
        <v>0</v>
      </c>
      <c r="J170" s="1071">
        <f t="shared" si="92"/>
        <v>0</v>
      </c>
      <c r="K170" s="1071">
        <f t="shared" si="92"/>
        <v>0</v>
      </c>
      <c r="L170" s="1071">
        <f t="shared" si="92"/>
        <v>0</v>
      </c>
      <c r="M170" s="1071">
        <f t="shared" si="92"/>
        <v>0</v>
      </c>
      <c r="N170" s="1071">
        <f t="shared" si="92"/>
        <v>0</v>
      </c>
    </row>
    <row r="171" spans="1:14" s="887" customFormat="1" ht="15" customHeight="1">
      <c r="A171" s="2678"/>
      <c r="B171" s="2666"/>
      <c r="C171" s="1105" t="s">
        <v>2660</v>
      </c>
      <c r="D171" s="1129">
        <f t="shared" si="93"/>
        <v>1</v>
      </c>
      <c r="E171" s="1104">
        <f t="shared" si="93"/>
        <v>0.01</v>
      </c>
      <c r="F171" s="902">
        <v>0</v>
      </c>
      <c r="G171" s="1071">
        <f t="shared" si="92"/>
        <v>0</v>
      </c>
      <c r="H171" s="1071">
        <f t="shared" si="92"/>
        <v>0</v>
      </c>
      <c r="I171" s="1071">
        <f t="shared" si="92"/>
        <v>0</v>
      </c>
      <c r="J171" s="1071">
        <f t="shared" si="92"/>
        <v>0</v>
      </c>
      <c r="K171" s="1071">
        <f t="shared" si="92"/>
        <v>0</v>
      </c>
      <c r="L171" s="1071">
        <f t="shared" si="92"/>
        <v>0</v>
      </c>
      <c r="M171" s="1071">
        <f t="shared" si="92"/>
        <v>0</v>
      </c>
      <c r="N171" s="1071">
        <f t="shared" si="92"/>
        <v>0</v>
      </c>
    </row>
    <row r="172" spans="1:14" s="887" customFormat="1" ht="15" customHeight="1">
      <c r="A172" s="2678"/>
      <c r="B172" s="2665"/>
      <c r="C172" s="1101" t="s">
        <v>2564</v>
      </c>
      <c r="D172" s="1129">
        <f t="shared" si="93"/>
        <v>1</v>
      </c>
      <c r="E172" s="1104">
        <f t="shared" si="93"/>
        <v>0.01</v>
      </c>
      <c r="F172" s="902">
        <v>0</v>
      </c>
      <c r="G172" s="1071">
        <f t="shared" si="92"/>
        <v>0</v>
      </c>
      <c r="H172" s="1071">
        <f t="shared" si="92"/>
        <v>0</v>
      </c>
      <c r="I172" s="1071">
        <f t="shared" si="92"/>
        <v>0</v>
      </c>
      <c r="J172" s="1071">
        <f t="shared" si="92"/>
        <v>0</v>
      </c>
      <c r="K172" s="1071">
        <f t="shared" si="92"/>
        <v>0</v>
      </c>
      <c r="L172" s="1071">
        <f t="shared" si="92"/>
        <v>0</v>
      </c>
      <c r="M172" s="1071">
        <f t="shared" si="92"/>
        <v>0</v>
      </c>
      <c r="N172" s="1071">
        <f t="shared" si="92"/>
        <v>0</v>
      </c>
    </row>
    <row r="173" spans="1:14" s="887" customFormat="1" ht="15" customHeight="1" thickBot="1">
      <c r="A173" s="2679"/>
      <c r="B173" s="1131" t="s">
        <v>2652</v>
      </c>
      <c r="C173" s="1132" t="s">
        <v>2661</v>
      </c>
      <c r="D173" s="1133">
        <f t="shared" si="93"/>
        <v>1</v>
      </c>
      <c r="E173" s="1134">
        <f t="shared" si="93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2"/>
        <v>0</v>
      </c>
      <c r="J173" s="1071">
        <f t="shared" si="92"/>
        <v>0</v>
      </c>
      <c r="K173" s="1071">
        <f t="shared" si="92"/>
        <v>0</v>
      </c>
      <c r="L173" s="1071">
        <f t="shared" si="92"/>
        <v>0</v>
      </c>
      <c r="M173" s="1071">
        <f t="shared" si="92"/>
        <v>0</v>
      </c>
      <c r="N173" s="1071">
        <f t="shared" si="92"/>
        <v>0</v>
      </c>
    </row>
    <row r="174" spans="1:14" s="887" customFormat="1" ht="15" customHeight="1" thickTop="1">
      <c r="A174" s="1136"/>
      <c r="B174" s="1137"/>
      <c r="C174" s="1138" t="s">
        <v>2662</v>
      </c>
      <c r="D174" s="1139"/>
      <c r="E174" s="1140"/>
      <c r="F174" s="1141">
        <f>SUM(G174:N174)</f>
        <v>261678</v>
      </c>
      <c r="G174" s="1142">
        <f>SUM(G161:G173)+G159</f>
        <v>261678</v>
      </c>
      <c r="H174" s="1142">
        <f t="shared" ref="H174:N174" si="94">SUM(H161:H173)+H159</f>
        <v>0</v>
      </c>
      <c r="I174" s="1142">
        <f t="shared" si="94"/>
        <v>0</v>
      </c>
      <c r="J174" s="1142">
        <f t="shared" si="94"/>
        <v>0</v>
      </c>
      <c r="K174" s="1142">
        <f>SUM(K161:K173)+K159</f>
        <v>0</v>
      </c>
      <c r="L174" s="1142">
        <f t="shared" si="94"/>
        <v>0</v>
      </c>
      <c r="M174" s="1142">
        <f t="shared" si="94"/>
        <v>0</v>
      </c>
      <c r="N174" s="1143">
        <f t="shared" si="94"/>
        <v>0</v>
      </c>
    </row>
    <row r="175" spans="1:14" s="887" customFormat="1" ht="15" customHeight="1">
      <c r="A175" s="878"/>
      <c r="B175" s="878"/>
      <c r="C175" s="915"/>
      <c r="D175" s="915"/>
      <c r="E175" s="878"/>
      <c r="F175" s="1144"/>
      <c r="G175" s="906"/>
      <c r="H175" s="906"/>
      <c r="I175" s="906"/>
      <c r="J175" s="906"/>
      <c r="K175" s="906"/>
      <c r="L175" s="906"/>
      <c r="M175" s="906"/>
      <c r="N175" s="906"/>
    </row>
    <row r="176" spans="1:14" s="887" customFormat="1" ht="15" customHeight="1">
      <c r="A176" s="878"/>
      <c r="B176" s="878"/>
      <c r="C176" s="1090" t="s">
        <v>2663</v>
      </c>
      <c r="D176" s="1090"/>
      <c r="E176" s="914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2664</v>
      </c>
    </row>
    <row r="177" spans="1:14" s="887" customFormat="1" ht="15" customHeight="1">
      <c r="A177" s="878"/>
      <c r="B177" s="878"/>
      <c r="C177" s="921" t="s">
        <v>2665</v>
      </c>
      <c r="D177" s="921"/>
      <c r="E177" s="914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7" customFormat="1" ht="15" customHeight="1">
      <c r="A178" s="868"/>
      <c r="B178" s="869"/>
      <c r="C178" s="869"/>
      <c r="D178" s="2696" t="s">
        <v>2641</v>
      </c>
      <c r="E178" s="2696" t="s">
        <v>2666</v>
      </c>
      <c r="F178" s="1083" t="s">
        <v>2526</v>
      </c>
      <c r="G178" s="1084" t="str">
        <f t="shared" ref="G178:N178" si="95">+G86</f>
        <v>天井改良</v>
      </c>
      <c r="H178" s="1084" t="str">
        <f t="shared" si="95"/>
        <v>居室内装修理</v>
      </c>
      <c r="I178" s="1084">
        <f t="shared" si="95"/>
        <v>0</v>
      </c>
      <c r="J178" s="1084">
        <f t="shared" si="95"/>
        <v>0</v>
      </c>
      <c r="K178" s="1084">
        <f t="shared" si="95"/>
        <v>0</v>
      </c>
      <c r="L178" s="1084">
        <f t="shared" si="95"/>
        <v>0</v>
      </c>
      <c r="M178" s="1084">
        <f t="shared" si="95"/>
        <v>0</v>
      </c>
      <c r="N178" s="1085">
        <f t="shared" si="95"/>
        <v>0</v>
      </c>
    </row>
    <row r="179" spans="1:14" s="887" customFormat="1" ht="15" customHeight="1">
      <c r="A179" s="2693" t="s">
        <v>2667</v>
      </c>
      <c r="B179" s="2694"/>
      <c r="C179" s="2695"/>
      <c r="D179" s="2697"/>
      <c r="E179" s="2697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7" customFormat="1" ht="15" customHeight="1">
      <c r="A180" s="2677"/>
      <c r="B180" s="1095" t="s">
        <v>2668</v>
      </c>
      <c r="C180" s="1096"/>
      <c r="D180" s="1097"/>
      <c r="E180" s="1098"/>
      <c r="F180" s="1099">
        <f t="shared" ref="F180:F187" si="96">SUM(G180:N180)</f>
        <v>8496221</v>
      </c>
      <c r="G180" s="1100">
        <f>+G91-G135-G134-G130-G131</f>
        <v>8496221</v>
      </c>
      <c r="H180" s="1100">
        <f t="shared" ref="H180:N180" si="97">+H91-H135-H134-H130-H131</f>
        <v>0</v>
      </c>
      <c r="I180" s="1100">
        <f t="shared" si="97"/>
        <v>0</v>
      </c>
      <c r="J180" s="1100">
        <f t="shared" si="97"/>
        <v>0</v>
      </c>
      <c r="K180" s="1100">
        <f>+K91-K135-K134-K130-K131</f>
        <v>0</v>
      </c>
      <c r="L180" s="1100">
        <f t="shared" si="97"/>
        <v>0</v>
      </c>
      <c r="M180" s="1100">
        <f t="shared" si="97"/>
        <v>0</v>
      </c>
      <c r="N180" s="1113">
        <f t="shared" si="97"/>
        <v>0</v>
      </c>
    </row>
    <row r="181" spans="1:14" s="887" customFormat="1" ht="15" customHeight="1">
      <c r="A181" s="2678"/>
      <c r="B181" s="2664" t="s">
        <v>2645</v>
      </c>
      <c r="C181" s="1101" t="s">
        <v>2551</v>
      </c>
      <c r="D181" s="1102">
        <v>1</v>
      </c>
      <c r="E181" s="1103" t="s">
        <v>2646</v>
      </c>
      <c r="F181" s="902">
        <f t="shared" si="96"/>
        <v>0</v>
      </c>
      <c r="G181" s="903">
        <f>IF(G117&gt;=G118,+G117+G159+G98-G99-G100-G135,G117+G159)</f>
        <v>0</v>
      </c>
      <c r="H181" s="903">
        <f t="shared" ref="H181:N181" si="98">IF(H117&gt;=H118,+H117+H159+H98-H99-H100-H135,H117+H159)</f>
        <v>0</v>
      </c>
      <c r="I181" s="903">
        <f t="shared" si="98"/>
        <v>0</v>
      </c>
      <c r="J181" s="903">
        <f t="shared" si="98"/>
        <v>0</v>
      </c>
      <c r="K181" s="903">
        <f t="shared" si="98"/>
        <v>0</v>
      </c>
      <c r="L181" s="903">
        <f t="shared" si="98"/>
        <v>0</v>
      </c>
      <c r="M181" s="903">
        <f t="shared" si="98"/>
        <v>0</v>
      </c>
      <c r="N181" s="904">
        <f t="shared" si="98"/>
        <v>0</v>
      </c>
    </row>
    <row r="182" spans="1:14" s="887" customFormat="1" ht="15" customHeight="1">
      <c r="A182" s="2678"/>
      <c r="B182" s="2666"/>
      <c r="C182" s="1101" t="s">
        <v>2552</v>
      </c>
      <c r="D182" s="1102">
        <v>1</v>
      </c>
      <c r="E182" s="1103" t="s">
        <v>2647</v>
      </c>
      <c r="F182" s="902">
        <f t="shared" si="96"/>
        <v>8496221</v>
      </c>
      <c r="G182" s="903">
        <f>IF(G117&gt;=G118,+G118+G161,G118+G161+G98-G99-G100-G135)</f>
        <v>8496221</v>
      </c>
      <c r="H182" s="903">
        <f t="shared" ref="H182:N182" si="99">IF(H117&gt;=H118,+H118+H161,H118+H161+H98-H99-H100-H135)</f>
        <v>0</v>
      </c>
      <c r="I182" s="903">
        <f t="shared" si="99"/>
        <v>0</v>
      </c>
      <c r="J182" s="903">
        <f t="shared" si="99"/>
        <v>0</v>
      </c>
      <c r="K182" s="903">
        <f t="shared" si="99"/>
        <v>0</v>
      </c>
      <c r="L182" s="903">
        <f t="shared" si="99"/>
        <v>0</v>
      </c>
      <c r="M182" s="903">
        <f t="shared" si="99"/>
        <v>0</v>
      </c>
      <c r="N182" s="904">
        <f t="shared" si="99"/>
        <v>0</v>
      </c>
    </row>
    <row r="183" spans="1:14" s="887" customFormat="1" ht="15" customHeight="1">
      <c r="A183" s="2678"/>
      <c r="B183" s="2666"/>
      <c r="C183" s="1101" t="s">
        <v>2648</v>
      </c>
      <c r="D183" s="1102">
        <v>1</v>
      </c>
      <c r="E183" s="1103" t="s">
        <v>2647</v>
      </c>
      <c r="F183" s="902">
        <f t="shared" si="96"/>
        <v>0</v>
      </c>
      <c r="G183" s="903">
        <f>+G119+G162</f>
        <v>0</v>
      </c>
      <c r="H183" s="903">
        <f t="shared" ref="H183:N187" si="100">+H119+H162</f>
        <v>0</v>
      </c>
      <c r="I183" s="903">
        <f t="shared" si="100"/>
        <v>0</v>
      </c>
      <c r="J183" s="903">
        <f t="shared" si="100"/>
        <v>0</v>
      </c>
      <c r="K183" s="903">
        <f t="shared" si="100"/>
        <v>0</v>
      </c>
      <c r="L183" s="903">
        <f t="shared" si="100"/>
        <v>0</v>
      </c>
      <c r="M183" s="903">
        <f t="shared" si="100"/>
        <v>0</v>
      </c>
      <c r="N183" s="904">
        <f t="shared" si="100"/>
        <v>0</v>
      </c>
    </row>
    <row r="184" spans="1:14" s="887" customFormat="1" ht="15" customHeight="1">
      <c r="A184" s="2678"/>
      <c r="B184" s="2665"/>
      <c r="C184" s="1101" t="s">
        <v>2649</v>
      </c>
      <c r="D184" s="1102">
        <v>1</v>
      </c>
      <c r="E184" s="1103" t="s">
        <v>2646</v>
      </c>
      <c r="F184" s="902">
        <f t="shared" si="96"/>
        <v>0</v>
      </c>
      <c r="G184" s="903">
        <f>+G120+G163</f>
        <v>0</v>
      </c>
      <c r="H184" s="903">
        <f t="shared" si="100"/>
        <v>0</v>
      </c>
      <c r="I184" s="903">
        <f t="shared" si="100"/>
        <v>0</v>
      </c>
      <c r="J184" s="903">
        <f t="shared" si="100"/>
        <v>0</v>
      </c>
      <c r="K184" s="903">
        <f t="shared" si="100"/>
        <v>0</v>
      </c>
      <c r="L184" s="903">
        <f t="shared" si="100"/>
        <v>0</v>
      </c>
      <c r="M184" s="903">
        <f t="shared" si="100"/>
        <v>0</v>
      </c>
      <c r="N184" s="904">
        <f t="shared" si="100"/>
        <v>0</v>
      </c>
    </row>
    <row r="185" spans="1:14" s="887" customFormat="1" ht="15" customHeight="1">
      <c r="A185" s="2678"/>
      <c r="B185" s="2664" t="s">
        <v>2555</v>
      </c>
      <c r="C185" s="1101" t="s">
        <v>2650</v>
      </c>
      <c r="D185" s="1102">
        <v>1</v>
      </c>
      <c r="E185" s="1104">
        <v>0.02</v>
      </c>
      <c r="F185" s="902">
        <f t="shared" si="96"/>
        <v>0</v>
      </c>
      <c r="G185" s="903">
        <f>+G121+G164</f>
        <v>0</v>
      </c>
      <c r="H185" s="903">
        <f t="shared" si="100"/>
        <v>0</v>
      </c>
      <c r="I185" s="903">
        <f t="shared" si="100"/>
        <v>0</v>
      </c>
      <c r="J185" s="903">
        <f t="shared" si="100"/>
        <v>0</v>
      </c>
      <c r="K185" s="903">
        <f t="shared" si="100"/>
        <v>0</v>
      </c>
      <c r="L185" s="903">
        <f t="shared" si="100"/>
        <v>0</v>
      </c>
      <c r="M185" s="903">
        <f t="shared" si="100"/>
        <v>0</v>
      </c>
      <c r="N185" s="904">
        <f t="shared" si="100"/>
        <v>0</v>
      </c>
    </row>
    <row r="186" spans="1:14" s="887" customFormat="1" ht="15" customHeight="1">
      <c r="A186" s="2678"/>
      <c r="B186" s="2666"/>
      <c r="C186" s="1101" t="s">
        <v>2651</v>
      </c>
      <c r="D186" s="1102">
        <v>1</v>
      </c>
      <c r="E186" s="1104">
        <v>0.02</v>
      </c>
      <c r="F186" s="902">
        <f t="shared" si="96"/>
        <v>0</v>
      </c>
      <c r="G186" s="903">
        <f>+G122+G165</f>
        <v>0</v>
      </c>
      <c r="H186" s="903">
        <f t="shared" si="100"/>
        <v>0</v>
      </c>
      <c r="I186" s="903">
        <f t="shared" si="100"/>
        <v>0</v>
      </c>
      <c r="J186" s="903">
        <f t="shared" si="100"/>
        <v>0</v>
      </c>
      <c r="K186" s="903">
        <f t="shared" si="100"/>
        <v>0</v>
      </c>
      <c r="L186" s="903">
        <f t="shared" si="100"/>
        <v>0</v>
      </c>
      <c r="M186" s="903">
        <f t="shared" si="100"/>
        <v>0</v>
      </c>
      <c r="N186" s="904">
        <f t="shared" si="100"/>
        <v>0</v>
      </c>
    </row>
    <row r="187" spans="1:14" s="887" customFormat="1" ht="15" customHeight="1">
      <c r="A187" s="2678"/>
      <c r="B187" s="2666"/>
      <c r="C187" s="1101" t="s">
        <v>2558</v>
      </c>
      <c r="D187" s="1102">
        <v>1</v>
      </c>
      <c r="E187" s="1104">
        <v>0.02</v>
      </c>
      <c r="F187" s="902">
        <f t="shared" si="96"/>
        <v>0</v>
      </c>
      <c r="G187" s="903">
        <f>+G123+G166</f>
        <v>0</v>
      </c>
      <c r="H187" s="903">
        <f t="shared" si="100"/>
        <v>0</v>
      </c>
      <c r="I187" s="903">
        <f t="shared" si="100"/>
        <v>0</v>
      </c>
      <c r="J187" s="903">
        <f t="shared" si="100"/>
        <v>0</v>
      </c>
      <c r="K187" s="903">
        <f t="shared" si="100"/>
        <v>0</v>
      </c>
      <c r="L187" s="903">
        <f t="shared" si="100"/>
        <v>0</v>
      </c>
      <c r="M187" s="903">
        <f t="shared" si="100"/>
        <v>0</v>
      </c>
      <c r="N187" s="904">
        <f t="shared" si="100"/>
        <v>0</v>
      </c>
    </row>
    <row r="188" spans="1:14" s="887" customFormat="1" ht="15" customHeight="1">
      <c r="A188" s="2678"/>
      <c r="B188" s="2666"/>
      <c r="C188" s="1101" t="s">
        <v>2669</v>
      </c>
      <c r="D188" s="1102"/>
      <c r="E188" s="1104"/>
      <c r="F188" s="902"/>
      <c r="G188" s="903"/>
      <c r="H188" s="903"/>
      <c r="I188" s="903"/>
      <c r="J188" s="903"/>
      <c r="K188" s="903"/>
      <c r="L188" s="903"/>
      <c r="M188" s="903"/>
      <c r="N188" s="904"/>
    </row>
    <row r="189" spans="1:14" s="887" customFormat="1" ht="15" customHeight="1">
      <c r="A189" s="2678"/>
      <c r="B189" s="2666"/>
      <c r="C189" s="1101" t="s">
        <v>2560</v>
      </c>
      <c r="D189" s="1102"/>
      <c r="E189" s="1104"/>
      <c r="F189" s="902"/>
      <c r="G189" s="903"/>
      <c r="H189" s="903"/>
      <c r="I189" s="903"/>
      <c r="J189" s="903"/>
      <c r="K189" s="903"/>
      <c r="L189" s="903"/>
      <c r="M189" s="903"/>
      <c r="N189" s="904"/>
    </row>
    <row r="190" spans="1:14" s="887" customFormat="1" ht="15" customHeight="1">
      <c r="A190" s="2678"/>
      <c r="B190" s="2666"/>
      <c r="C190" s="1101" t="s">
        <v>2561</v>
      </c>
      <c r="D190" s="1102">
        <v>1</v>
      </c>
      <c r="E190" s="1104">
        <v>0.02</v>
      </c>
      <c r="F190" s="902">
        <f>SUM(G190:N190)</f>
        <v>0</v>
      </c>
      <c r="G190" s="903">
        <f t="shared" ref="G190:N193" si="101">+G126+G169</f>
        <v>0</v>
      </c>
      <c r="H190" s="903">
        <f t="shared" si="101"/>
        <v>0</v>
      </c>
      <c r="I190" s="903">
        <f t="shared" si="101"/>
        <v>0</v>
      </c>
      <c r="J190" s="903">
        <f t="shared" si="101"/>
        <v>0</v>
      </c>
      <c r="K190" s="903">
        <f t="shared" si="101"/>
        <v>0</v>
      </c>
      <c r="L190" s="903">
        <f t="shared" si="101"/>
        <v>0</v>
      </c>
      <c r="M190" s="903">
        <f t="shared" si="101"/>
        <v>0</v>
      </c>
      <c r="N190" s="904">
        <f t="shared" si="101"/>
        <v>0</v>
      </c>
    </row>
    <row r="191" spans="1:14" s="887" customFormat="1" ht="15" customHeight="1">
      <c r="A191" s="2678"/>
      <c r="B191" s="2666"/>
      <c r="C191" s="1105" t="s">
        <v>2637</v>
      </c>
      <c r="D191" s="1102">
        <v>1</v>
      </c>
      <c r="E191" s="1104">
        <v>0.02</v>
      </c>
      <c r="F191" s="902">
        <f>SUM(G191:N191)</f>
        <v>0</v>
      </c>
      <c r="G191" s="903">
        <f t="shared" si="101"/>
        <v>0</v>
      </c>
      <c r="H191" s="903">
        <f t="shared" si="101"/>
        <v>0</v>
      </c>
      <c r="I191" s="903">
        <f t="shared" si="101"/>
        <v>0</v>
      </c>
      <c r="J191" s="903">
        <f t="shared" si="101"/>
        <v>0</v>
      </c>
      <c r="K191" s="903">
        <f t="shared" si="101"/>
        <v>0</v>
      </c>
      <c r="L191" s="903">
        <f t="shared" si="101"/>
        <v>0</v>
      </c>
      <c r="M191" s="903">
        <f t="shared" si="101"/>
        <v>0</v>
      </c>
      <c r="N191" s="904">
        <f t="shared" si="101"/>
        <v>0</v>
      </c>
    </row>
    <row r="192" spans="1:14" s="887" customFormat="1" ht="14.25" customHeight="1">
      <c r="A192" s="2678"/>
      <c r="B192" s="2666"/>
      <c r="C192" s="1105" t="s">
        <v>2563</v>
      </c>
      <c r="D192" s="1102">
        <v>1</v>
      </c>
      <c r="E192" s="1104">
        <v>0.02</v>
      </c>
      <c r="F192" s="902">
        <f>SUM(G192:N192)</f>
        <v>0</v>
      </c>
      <c r="G192" s="903">
        <f t="shared" si="101"/>
        <v>0</v>
      </c>
      <c r="H192" s="903">
        <f t="shared" si="101"/>
        <v>0</v>
      </c>
      <c r="I192" s="903">
        <f t="shared" si="101"/>
        <v>0</v>
      </c>
      <c r="J192" s="903">
        <f t="shared" si="101"/>
        <v>0</v>
      </c>
      <c r="K192" s="903">
        <f t="shared" si="101"/>
        <v>0</v>
      </c>
      <c r="L192" s="903">
        <f t="shared" si="101"/>
        <v>0</v>
      </c>
      <c r="M192" s="903">
        <f t="shared" si="101"/>
        <v>0</v>
      </c>
      <c r="N192" s="904">
        <f t="shared" si="101"/>
        <v>0</v>
      </c>
    </row>
    <row r="193" spans="1:14" s="887" customFormat="1" ht="14.25" customHeight="1">
      <c r="A193" s="2678"/>
      <c r="B193" s="2665"/>
      <c r="C193" s="1101" t="s">
        <v>2564</v>
      </c>
      <c r="D193" s="1102">
        <v>1</v>
      </c>
      <c r="E193" s="1104">
        <v>0.02</v>
      </c>
      <c r="F193" s="902">
        <f>SUM(G193:N193)</f>
        <v>0</v>
      </c>
      <c r="G193" s="903">
        <f t="shared" si="101"/>
        <v>0</v>
      </c>
      <c r="H193" s="903">
        <f t="shared" si="101"/>
        <v>0</v>
      </c>
      <c r="I193" s="903">
        <f t="shared" si="101"/>
        <v>0</v>
      </c>
      <c r="J193" s="903">
        <f t="shared" si="101"/>
        <v>0</v>
      </c>
      <c r="K193" s="903">
        <f t="shared" si="101"/>
        <v>0</v>
      </c>
      <c r="L193" s="903">
        <f t="shared" si="101"/>
        <v>0</v>
      </c>
      <c r="M193" s="903">
        <f t="shared" si="101"/>
        <v>0</v>
      </c>
      <c r="N193" s="904">
        <f t="shared" si="101"/>
        <v>0</v>
      </c>
    </row>
    <row r="194" spans="1:14" s="887" customFormat="1" ht="14.25" customHeight="1">
      <c r="A194" s="2690"/>
      <c r="B194" s="1106" t="s">
        <v>2652</v>
      </c>
      <c r="C194" s="1145" t="s">
        <v>2670</v>
      </c>
      <c r="D194" s="1108">
        <v>1</v>
      </c>
      <c r="E194" s="1109">
        <v>0</v>
      </c>
      <c r="F194" s="937">
        <f>SUM(G194:N194)</f>
        <v>34180</v>
      </c>
      <c r="G194" s="1064">
        <f>SUM(G130:G136)</f>
        <v>34180</v>
      </c>
      <c r="H194" s="1064">
        <f t="shared" ref="H194:N194" si="102">SUM(H130:H136)</f>
        <v>0</v>
      </c>
      <c r="I194" s="1064">
        <f t="shared" si="102"/>
        <v>0</v>
      </c>
      <c r="J194" s="1064">
        <f t="shared" si="102"/>
        <v>0</v>
      </c>
      <c r="K194" s="1064">
        <f>SUM(K130:K136)</f>
        <v>0</v>
      </c>
      <c r="L194" s="1064">
        <f t="shared" si="102"/>
        <v>0</v>
      </c>
      <c r="M194" s="1064">
        <f t="shared" si="102"/>
        <v>0</v>
      </c>
      <c r="N194" s="1065">
        <f t="shared" si="102"/>
        <v>0</v>
      </c>
    </row>
    <row r="195" spans="1:14" s="887" customFormat="1" ht="14.25" customHeight="1">
      <c r="A195" s="1110"/>
      <c r="B195" s="1111"/>
      <c r="C195" s="1112"/>
      <c r="D195" s="2691"/>
      <c r="E195" s="2691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7" customFormat="1" ht="14.25" customHeight="1">
      <c r="A196" s="2693" t="s">
        <v>2671</v>
      </c>
      <c r="B196" s="2694"/>
      <c r="C196" s="2695"/>
      <c r="D196" s="2692"/>
      <c r="E196" s="2692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7" customFormat="1" ht="14.25" customHeight="1">
      <c r="A197" s="2677"/>
      <c r="B197" s="2680" t="s">
        <v>2645</v>
      </c>
      <c r="C197" s="1114" t="s">
        <v>2551</v>
      </c>
      <c r="D197" s="1115"/>
      <c r="E197" s="1116" t="s">
        <v>2647</v>
      </c>
      <c r="F197" s="1117" t="s">
        <v>2656</v>
      </c>
      <c r="G197" s="1118">
        <f>IF(G181=0,0,+G282/100)</f>
        <v>0</v>
      </c>
      <c r="H197" s="1118">
        <f t="shared" ref="H197:N197" si="103">IF(H181=0,0,+H282/100)</f>
        <v>0</v>
      </c>
      <c r="I197" s="1118">
        <f t="shared" si="103"/>
        <v>0</v>
      </c>
      <c r="J197" s="1118">
        <f t="shared" si="103"/>
        <v>0</v>
      </c>
      <c r="K197" s="1118">
        <f>IF(K181=0,0,+K282/100)</f>
        <v>0</v>
      </c>
      <c r="L197" s="1118">
        <f t="shared" si="103"/>
        <v>0</v>
      </c>
      <c r="M197" s="1118">
        <f t="shared" si="103"/>
        <v>0</v>
      </c>
      <c r="N197" s="1119">
        <f t="shared" si="103"/>
        <v>0</v>
      </c>
    </row>
    <row r="198" spans="1:14" s="887" customFormat="1" ht="14.25" customHeight="1">
      <c r="A198" s="2678"/>
      <c r="B198" s="2666"/>
      <c r="C198" s="1120"/>
      <c r="D198" s="1121">
        <f>+D181</f>
        <v>1</v>
      </c>
      <c r="E198" s="1122" t="s">
        <v>2647</v>
      </c>
      <c r="F198" s="1055">
        <f>SUM(G198:N198)</f>
        <v>0</v>
      </c>
      <c r="G198" s="1071">
        <f>ROUNDDOWN(G181*G197*$D198,0)</f>
        <v>0</v>
      </c>
      <c r="H198" s="1071">
        <f t="shared" ref="H198:N198" si="104">ROUNDDOWN(H181*H197*$D198,0)</f>
        <v>0</v>
      </c>
      <c r="I198" s="1071">
        <f t="shared" si="104"/>
        <v>0</v>
      </c>
      <c r="J198" s="1071">
        <f t="shared" si="104"/>
        <v>0</v>
      </c>
      <c r="K198" s="1071">
        <f>ROUNDDOWN(K181*K197*$D198,0)</f>
        <v>0</v>
      </c>
      <c r="L198" s="1071">
        <f t="shared" si="104"/>
        <v>0</v>
      </c>
      <c r="M198" s="1071">
        <f t="shared" si="104"/>
        <v>0</v>
      </c>
      <c r="N198" s="1072">
        <f t="shared" si="104"/>
        <v>0</v>
      </c>
    </row>
    <row r="199" spans="1:14" s="887" customFormat="1" ht="14.25" customHeight="1">
      <c r="A199" s="2678"/>
      <c r="B199" s="2666"/>
      <c r="C199" s="1123" t="s">
        <v>2552</v>
      </c>
      <c r="D199" s="1124"/>
      <c r="E199" s="1122" t="s">
        <v>2646</v>
      </c>
      <c r="F199" s="1125" t="s">
        <v>2656</v>
      </c>
      <c r="G199" s="1146">
        <f>IF(G182=0,0,+G290/100)</f>
        <v>0.17600000000000002</v>
      </c>
      <c r="H199" s="1126">
        <f t="shared" ref="H199:N199" si="105">IF(H182=0,0,+H290/100)</f>
        <v>0</v>
      </c>
      <c r="I199" s="1126">
        <f t="shared" si="105"/>
        <v>0</v>
      </c>
      <c r="J199" s="1126">
        <f t="shared" si="105"/>
        <v>0</v>
      </c>
      <c r="K199" s="1126">
        <f>IF(K182=0,0,+K290/100)</f>
        <v>0</v>
      </c>
      <c r="L199" s="1126">
        <f t="shared" si="105"/>
        <v>0</v>
      </c>
      <c r="M199" s="1126">
        <f t="shared" si="105"/>
        <v>0</v>
      </c>
      <c r="N199" s="1127">
        <f t="shared" si="105"/>
        <v>0</v>
      </c>
    </row>
    <row r="200" spans="1:14" s="887" customFormat="1" ht="14.25" customHeight="1">
      <c r="A200" s="2678"/>
      <c r="B200" s="2666"/>
      <c r="C200" s="1120"/>
      <c r="D200" s="1128">
        <f t="shared" ref="D200:D205" si="106">+D182</f>
        <v>1</v>
      </c>
      <c r="E200" s="1122" t="s">
        <v>2647</v>
      </c>
      <c r="F200" s="1055">
        <f t="shared" ref="F200:F205" si="107">SUM(G200:N200)</f>
        <v>1495334</v>
      </c>
      <c r="G200" s="1071">
        <f>ROUNDDOWN(G182*G199*$D200,0)</f>
        <v>1495334</v>
      </c>
      <c r="H200" s="1071">
        <f t="shared" ref="H200:N200" si="108">ROUNDDOWN(H182*H199*$D200,0)</f>
        <v>0</v>
      </c>
      <c r="I200" s="1071">
        <f t="shared" si="108"/>
        <v>0</v>
      </c>
      <c r="J200" s="1071">
        <f t="shared" si="108"/>
        <v>0</v>
      </c>
      <c r="K200" s="1071">
        <f>ROUNDDOWN(K182*K199*$D200,0)</f>
        <v>0</v>
      </c>
      <c r="L200" s="1071">
        <f t="shared" si="108"/>
        <v>0</v>
      </c>
      <c r="M200" s="1071">
        <f t="shared" si="108"/>
        <v>0</v>
      </c>
      <c r="N200" s="1072">
        <f t="shared" si="108"/>
        <v>0</v>
      </c>
    </row>
    <row r="201" spans="1:14" s="887" customFormat="1" ht="14.25" customHeight="1">
      <c r="A201" s="2678"/>
      <c r="B201" s="2666"/>
      <c r="C201" s="1101" t="s">
        <v>2574</v>
      </c>
      <c r="D201" s="1129">
        <f t="shared" si="106"/>
        <v>1</v>
      </c>
      <c r="E201" s="1122" t="s">
        <v>2646</v>
      </c>
      <c r="F201" s="1055">
        <f t="shared" si="107"/>
        <v>0</v>
      </c>
      <c r="G201" s="1071">
        <f t="shared" ref="G201:N201" si="109">ROUNDDOWN(G183*G197*$D201,0)</f>
        <v>0</v>
      </c>
      <c r="H201" s="1071">
        <f t="shared" si="109"/>
        <v>0</v>
      </c>
      <c r="I201" s="1071">
        <f t="shared" si="109"/>
        <v>0</v>
      </c>
      <c r="J201" s="1071">
        <f t="shared" si="109"/>
        <v>0</v>
      </c>
      <c r="K201" s="1071">
        <f>ROUNDDOWN(K183*K197*$D201,0)</f>
        <v>0</v>
      </c>
      <c r="L201" s="1071">
        <f t="shared" si="109"/>
        <v>0</v>
      </c>
      <c r="M201" s="1071">
        <f t="shared" si="109"/>
        <v>0</v>
      </c>
      <c r="N201" s="1072">
        <f t="shared" si="109"/>
        <v>0</v>
      </c>
    </row>
    <row r="202" spans="1:14" s="887" customFormat="1" ht="14.25" customHeight="1">
      <c r="A202" s="2678"/>
      <c r="B202" s="2665"/>
      <c r="C202" s="1101" t="s">
        <v>2575</v>
      </c>
      <c r="D202" s="1129">
        <f t="shared" si="106"/>
        <v>1</v>
      </c>
      <c r="E202" s="1122" t="s">
        <v>2646</v>
      </c>
      <c r="F202" s="1055">
        <f t="shared" si="107"/>
        <v>0</v>
      </c>
      <c r="G202" s="1071">
        <f>ROUNDDOWN(G184*G199*$D202,0)</f>
        <v>0</v>
      </c>
      <c r="H202" s="1071">
        <f t="shared" ref="H202:N202" si="110">ROUNDDOWN(H184*H199*$D202,0)</f>
        <v>0</v>
      </c>
      <c r="I202" s="1071">
        <f t="shared" si="110"/>
        <v>0</v>
      </c>
      <c r="J202" s="1071">
        <f t="shared" si="110"/>
        <v>0</v>
      </c>
      <c r="K202" s="1071">
        <f>ROUNDDOWN(K184*K199*$D202,0)</f>
        <v>0</v>
      </c>
      <c r="L202" s="1071">
        <f t="shared" si="110"/>
        <v>0</v>
      </c>
      <c r="M202" s="1071">
        <f t="shared" si="110"/>
        <v>0</v>
      </c>
      <c r="N202" s="1072">
        <f t="shared" si="110"/>
        <v>0</v>
      </c>
    </row>
    <row r="203" spans="1:14" s="887" customFormat="1" ht="14.25" customHeight="1">
      <c r="A203" s="2678"/>
      <c r="B203" s="2664" t="s">
        <v>2555</v>
      </c>
      <c r="C203" s="1101" t="s">
        <v>2650</v>
      </c>
      <c r="D203" s="1129">
        <f t="shared" si="106"/>
        <v>1</v>
      </c>
      <c r="E203" s="1104">
        <f>+E185</f>
        <v>0.02</v>
      </c>
      <c r="F203" s="1055">
        <f t="shared" si="107"/>
        <v>0</v>
      </c>
      <c r="G203" s="1071">
        <f t="shared" ref="G203:N205" si="111">ROUNDDOWN(G185*$E203*$D203,0)</f>
        <v>0</v>
      </c>
      <c r="H203" s="1071">
        <f t="shared" si="111"/>
        <v>0</v>
      </c>
      <c r="I203" s="1071">
        <f t="shared" si="111"/>
        <v>0</v>
      </c>
      <c r="J203" s="1071">
        <f t="shared" si="111"/>
        <v>0</v>
      </c>
      <c r="K203" s="1071">
        <f t="shared" si="111"/>
        <v>0</v>
      </c>
      <c r="L203" s="1071">
        <f t="shared" si="111"/>
        <v>0</v>
      </c>
      <c r="M203" s="1071">
        <f t="shared" si="111"/>
        <v>0</v>
      </c>
      <c r="N203" s="1072">
        <f t="shared" si="111"/>
        <v>0</v>
      </c>
    </row>
    <row r="204" spans="1:14" s="887" customFormat="1" ht="14.25" customHeight="1">
      <c r="A204" s="2678"/>
      <c r="B204" s="2666"/>
      <c r="C204" s="1101" t="s">
        <v>2657</v>
      </c>
      <c r="D204" s="1129">
        <f t="shared" si="106"/>
        <v>1</v>
      </c>
      <c r="E204" s="1104">
        <f>+E186</f>
        <v>0.02</v>
      </c>
      <c r="F204" s="1055">
        <f t="shared" si="107"/>
        <v>0</v>
      </c>
      <c r="G204" s="1071">
        <f t="shared" si="111"/>
        <v>0</v>
      </c>
      <c r="H204" s="1071">
        <f t="shared" si="111"/>
        <v>0</v>
      </c>
      <c r="I204" s="1071">
        <f t="shared" si="111"/>
        <v>0</v>
      </c>
      <c r="J204" s="1071">
        <f t="shared" si="111"/>
        <v>0</v>
      </c>
      <c r="K204" s="1071">
        <f>ROUNDDOWN(K186*$E204*$D204,0)</f>
        <v>0</v>
      </c>
      <c r="L204" s="1071">
        <f t="shared" si="111"/>
        <v>0</v>
      </c>
      <c r="M204" s="1071">
        <f t="shared" si="111"/>
        <v>0</v>
      </c>
      <c r="N204" s="1072">
        <f t="shared" si="111"/>
        <v>0</v>
      </c>
    </row>
    <row r="205" spans="1:14" s="887" customFormat="1" ht="14.25" customHeight="1">
      <c r="A205" s="2678"/>
      <c r="B205" s="2666"/>
      <c r="C205" s="1101" t="s">
        <v>2558</v>
      </c>
      <c r="D205" s="1129">
        <f t="shared" si="106"/>
        <v>1</v>
      </c>
      <c r="E205" s="1104">
        <f>+E187</f>
        <v>0.02</v>
      </c>
      <c r="F205" s="1055">
        <f t="shared" si="107"/>
        <v>0</v>
      </c>
      <c r="G205" s="1071">
        <f>ROUNDDOWN(G187*$E205*$D205,0)</f>
        <v>0</v>
      </c>
      <c r="H205" s="1071">
        <f t="shared" si="111"/>
        <v>0</v>
      </c>
      <c r="I205" s="1071">
        <f t="shared" si="111"/>
        <v>0</v>
      </c>
      <c r="J205" s="1071">
        <f t="shared" si="111"/>
        <v>0</v>
      </c>
      <c r="K205" s="1071">
        <f>ROUNDDOWN(K187*$E205*$D205,0)</f>
        <v>0</v>
      </c>
      <c r="L205" s="1071">
        <f t="shared" si="111"/>
        <v>0</v>
      </c>
      <c r="M205" s="1071">
        <f t="shared" si="111"/>
        <v>0</v>
      </c>
      <c r="N205" s="1072">
        <f t="shared" si="111"/>
        <v>0</v>
      </c>
    </row>
    <row r="206" spans="1:14" s="887" customFormat="1" ht="14.25" customHeight="1">
      <c r="A206" s="2678"/>
      <c r="B206" s="2666"/>
      <c r="C206" s="1101" t="s">
        <v>2559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7" customFormat="1" ht="14.25" customHeight="1">
      <c r="A207" s="2678"/>
      <c r="B207" s="2666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7" customFormat="1" ht="14.25" customHeight="1">
      <c r="A208" s="2678"/>
      <c r="B208" s="2666"/>
      <c r="C208" s="1101" t="s">
        <v>2561</v>
      </c>
      <c r="D208" s="1129">
        <f t="shared" ref="D208:E211" si="112">+D190</f>
        <v>1</v>
      </c>
      <c r="E208" s="1104">
        <f t="shared" si="112"/>
        <v>0.02</v>
      </c>
      <c r="F208" s="1055">
        <f t="shared" ref="F208:F216" si="113">SUM(G208:N208)</f>
        <v>0</v>
      </c>
      <c r="G208" s="1071">
        <f t="shared" ref="G208:N211" si="114">ROUNDDOWN(G190*$E208*$D208,0)</f>
        <v>0</v>
      </c>
      <c r="H208" s="1071">
        <f t="shared" si="114"/>
        <v>0</v>
      </c>
      <c r="I208" s="1071">
        <f t="shared" si="114"/>
        <v>0</v>
      </c>
      <c r="J208" s="1071">
        <f t="shared" si="114"/>
        <v>0</v>
      </c>
      <c r="K208" s="1071">
        <f>ROUNDDOWN(K190*$E208*$D208,0)</f>
        <v>0</v>
      </c>
      <c r="L208" s="1071">
        <f t="shared" si="114"/>
        <v>0</v>
      </c>
      <c r="M208" s="1071">
        <f t="shared" si="114"/>
        <v>0</v>
      </c>
      <c r="N208" s="1072">
        <f t="shared" si="114"/>
        <v>0</v>
      </c>
    </row>
    <row r="209" spans="1:14" s="887" customFormat="1" ht="14.25" customHeight="1">
      <c r="A209" s="2678"/>
      <c r="B209" s="2666"/>
      <c r="C209" s="1105" t="s">
        <v>2562</v>
      </c>
      <c r="D209" s="1129">
        <f t="shared" si="112"/>
        <v>1</v>
      </c>
      <c r="E209" s="1104">
        <f t="shared" si="112"/>
        <v>0.02</v>
      </c>
      <c r="F209" s="1055">
        <f t="shared" si="113"/>
        <v>0</v>
      </c>
      <c r="G209" s="1071">
        <f t="shared" si="114"/>
        <v>0</v>
      </c>
      <c r="H209" s="1071">
        <f t="shared" si="114"/>
        <v>0</v>
      </c>
      <c r="I209" s="1071">
        <f t="shared" si="114"/>
        <v>0</v>
      </c>
      <c r="J209" s="1071">
        <f t="shared" si="114"/>
        <v>0</v>
      </c>
      <c r="K209" s="1071">
        <f>ROUNDDOWN(K191*$E209*$D209,0)</f>
        <v>0</v>
      </c>
      <c r="L209" s="1071">
        <f t="shared" si="114"/>
        <v>0</v>
      </c>
      <c r="M209" s="1071">
        <f t="shared" si="114"/>
        <v>0</v>
      </c>
      <c r="N209" s="1072">
        <f t="shared" si="114"/>
        <v>0</v>
      </c>
    </row>
    <row r="210" spans="1:14" s="887" customFormat="1" ht="14.25" customHeight="1">
      <c r="A210" s="2678"/>
      <c r="B210" s="2666"/>
      <c r="C210" s="1105" t="s">
        <v>2672</v>
      </c>
      <c r="D210" s="1129">
        <f t="shared" si="112"/>
        <v>1</v>
      </c>
      <c r="E210" s="1104">
        <f t="shared" si="112"/>
        <v>0.02</v>
      </c>
      <c r="F210" s="1055">
        <f t="shared" si="113"/>
        <v>0</v>
      </c>
      <c r="G210" s="1071">
        <f t="shared" si="114"/>
        <v>0</v>
      </c>
      <c r="H210" s="1071">
        <f t="shared" si="114"/>
        <v>0</v>
      </c>
      <c r="I210" s="1071">
        <f t="shared" si="114"/>
        <v>0</v>
      </c>
      <c r="J210" s="1071">
        <f t="shared" si="114"/>
        <v>0</v>
      </c>
      <c r="K210" s="1071">
        <f>ROUNDDOWN(K192*$E210*$D210,0)</f>
        <v>0</v>
      </c>
      <c r="L210" s="1071">
        <f t="shared" si="114"/>
        <v>0</v>
      </c>
      <c r="M210" s="1071">
        <f t="shared" si="114"/>
        <v>0</v>
      </c>
      <c r="N210" s="1072">
        <f t="shared" si="114"/>
        <v>0</v>
      </c>
    </row>
    <row r="211" spans="1:14" s="887" customFormat="1" ht="14.25" customHeight="1">
      <c r="A211" s="2678"/>
      <c r="B211" s="2665"/>
      <c r="C211" s="1101" t="s">
        <v>2673</v>
      </c>
      <c r="D211" s="1129">
        <f t="shared" si="112"/>
        <v>1</v>
      </c>
      <c r="E211" s="1104">
        <f t="shared" si="112"/>
        <v>0.02</v>
      </c>
      <c r="F211" s="1055">
        <f t="shared" si="113"/>
        <v>0</v>
      </c>
      <c r="G211" s="1071">
        <f>ROUNDDOWN(G193*$E211*$D211,0)</f>
        <v>0</v>
      </c>
      <c r="H211" s="1071">
        <f t="shared" si="114"/>
        <v>0</v>
      </c>
      <c r="I211" s="1071">
        <f t="shared" si="114"/>
        <v>0</v>
      </c>
      <c r="J211" s="1071">
        <f t="shared" si="114"/>
        <v>0</v>
      </c>
      <c r="K211" s="1071">
        <f>ROUNDDOWN(K193*$E211*$D211,0)</f>
        <v>0</v>
      </c>
      <c r="L211" s="1071">
        <f t="shared" si="114"/>
        <v>0</v>
      </c>
      <c r="M211" s="1071">
        <f t="shared" si="114"/>
        <v>0</v>
      </c>
      <c r="N211" s="1072">
        <f t="shared" si="114"/>
        <v>0</v>
      </c>
    </row>
    <row r="212" spans="1:14" s="887" customFormat="1" ht="14.25" customHeight="1">
      <c r="A212" s="2678"/>
      <c r="B212" s="2667" t="s">
        <v>2674</v>
      </c>
      <c r="C212" s="1101" t="s">
        <v>2583</v>
      </c>
      <c r="D212" s="1147"/>
      <c r="E212" s="1148"/>
      <c r="F212" s="1055">
        <f t="shared" si="113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7" customFormat="1" ht="14.25" customHeight="1">
      <c r="A213" s="2678"/>
      <c r="B213" s="2681"/>
      <c r="C213" s="1151" t="s">
        <v>2675</v>
      </c>
      <c r="D213" s="1147"/>
      <c r="E213" s="1148"/>
      <c r="F213" s="1055">
        <f t="shared" si="113"/>
        <v>0</v>
      </c>
      <c r="G213" s="903"/>
      <c r="H213" s="903"/>
      <c r="I213" s="903"/>
      <c r="J213" s="903"/>
      <c r="K213" s="903"/>
      <c r="L213" s="903"/>
      <c r="M213" s="903"/>
      <c r="N213" s="904"/>
    </row>
    <row r="214" spans="1:14" s="887" customFormat="1" ht="13.5" customHeight="1" thickBot="1">
      <c r="A214" s="2679"/>
      <c r="B214" s="1152" t="s">
        <v>2652</v>
      </c>
      <c r="C214" s="1145" t="s">
        <v>2676</v>
      </c>
      <c r="D214" s="1147">
        <f>+D194</f>
        <v>1</v>
      </c>
      <c r="E214" s="1148">
        <f>+E194</f>
        <v>0</v>
      </c>
      <c r="F214" s="1055">
        <f t="shared" si="113"/>
        <v>0</v>
      </c>
      <c r="G214" s="1071">
        <f>ROUNDDOWN(G194*$E214*$D214,0)</f>
        <v>0</v>
      </c>
      <c r="H214" s="1071">
        <f t="shared" ref="H214:N214" si="115">ROUNDDOWN(H194*$E214*$D214,0)</f>
        <v>0</v>
      </c>
      <c r="I214" s="1071">
        <f t="shared" si="115"/>
        <v>0</v>
      </c>
      <c r="J214" s="1071">
        <f t="shared" si="115"/>
        <v>0</v>
      </c>
      <c r="K214" s="1071">
        <f>ROUNDDOWN(K194*$E214*$D214,0)</f>
        <v>0</v>
      </c>
      <c r="L214" s="1071">
        <f t="shared" si="115"/>
        <v>0</v>
      </c>
      <c r="M214" s="1071">
        <f t="shared" si="115"/>
        <v>0</v>
      </c>
      <c r="N214" s="1153">
        <f t="shared" si="115"/>
        <v>0</v>
      </c>
    </row>
    <row r="215" spans="1:14" s="887" customFormat="1" ht="13.5" customHeight="1" thickTop="1">
      <c r="A215" s="1154"/>
      <c r="B215" s="1155"/>
      <c r="C215" s="1156" t="s">
        <v>2677</v>
      </c>
      <c r="D215" s="1157"/>
      <c r="E215" s="1158"/>
      <c r="F215" s="1159">
        <f t="shared" si="113"/>
        <v>1495334</v>
      </c>
      <c r="G215" s="1160">
        <f t="shared" ref="G215:N215" si="116">SUM(G200:G214)+G198</f>
        <v>1495334</v>
      </c>
      <c r="H215" s="1160">
        <f>SUM(H200:H214)+H198</f>
        <v>0</v>
      </c>
      <c r="I215" s="1160">
        <f>SUM(I200:I214)+I198</f>
        <v>0</v>
      </c>
      <c r="J215" s="1160">
        <f t="shared" si="116"/>
        <v>0</v>
      </c>
      <c r="K215" s="1160">
        <f>SUM(K200:K214)+K198</f>
        <v>0</v>
      </c>
      <c r="L215" s="1160">
        <f t="shared" si="116"/>
        <v>0</v>
      </c>
      <c r="M215" s="1160">
        <f t="shared" si="116"/>
        <v>0</v>
      </c>
      <c r="N215" s="1161">
        <f t="shared" si="116"/>
        <v>0</v>
      </c>
    </row>
    <row r="216" spans="1:14" s="887" customFormat="1" ht="13.5" customHeight="1">
      <c r="A216" s="1162"/>
      <c r="B216" s="1163"/>
      <c r="C216" s="1063" t="s">
        <v>2678</v>
      </c>
      <c r="D216" s="1164"/>
      <c r="E216" s="936"/>
      <c r="F216" s="937">
        <f t="shared" si="113"/>
        <v>10025735</v>
      </c>
      <c r="G216" s="1064">
        <f t="shared" ref="G216:N216" si="117">+G91+G215</f>
        <v>10025735</v>
      </c>
      <c r="H216" s="1064">
        <f>+H91+H215</f>
        <v>0</v>
      </c>
      <c r="I216" s="1064">
        <f t="shared" si="117"/>
        <v>0</v>
      </c>
      <c r="J216" s="1064">
        <f t="shared" si="117"/>
        <v>0</v>
      </c>
      <c r="K216" s="1064">
        <f>+K91+K215</f>
        <v>0</v>
      </c>
      <c r="L216" s="1064">
        <f t="shared" si="117"/>
        <v>0</v>
      </c>
      <c r="M216" s="1064">
        <f t="shared" si="117"/>
        <v>0</v>
      </c>
      <c r="N216" s="1065">
        <f t="shared" si="117"/>
        <v>0</v>
      </c>
    </row>
    <row r="217" spans="1:14" s="887" customFormat="1" ht="13.5" customHeight="1">
      <c r="A217" s="878"/>
      <c r="B217" s="878"/>
      <c r="C217" s="915"/>
      <c r="D217" s="915"/>
      <c r="E217" s="878"/>
      <c r="F217" s="1144"/>
      <c r="G217" s="906"/>
      <c r="H217" s="906"/>
      <c r="I217" s="906"/>
      <c r="J217" s="906"/>
      <c r="K217" s="906"/>
      <c r="L217" s="906"/>
      <c r="M217" s="906"/>
      <c r="N217" s="906"/>
    </row>
    <row r="218" spans="1:14" s="887" customFormat="1" ht="13.5" customHeight="1">
      <c r="A218" s="878"/>
      <c r="B218" s="878"/>
      <c r="C218" s="1090" t="s">
        <v>2679</v>
      </c>
      <c r="D218" s="1090"/>
      <c r="E218" s="914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2680</v>
      </c>
    </row>
    <row r="219" spans="1:14" s="887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7" customFormat="1" ht="13.5" customHeight="1">
      <c r="A220" s="2682"/>
      <c r="B220" s="2683"/>
      <c r="C220" s="2684"/>
      <c r="D220" s="1166"/>
      <c r="E220" s="1082" t="s">
        <v>2681</v>
      </c>
      <c r="F220" s="1083" t="s">
        <v>2526</v>
      </c>
      <c r="G220" s="1084" t="str">
        <f t="shared" ref="G220:N220" si="118">+G86</f>
        <v>天井改良</v>
      </c>
      <c r="H220" s="1084" t="str">
        <f t="shared" si="118"/>
        <v>居室内装修理</v>
      </c>
      <c r="I220" s="1084">
        <f t="shared" si="118"/>
        <v>0</v>
      </c>
      <c r="J220" s="1084">
        <f t="shared" si="118"/>
        <v>0</v>
      </c>
      <c r="K220" s="1084">
        <f t="shared" si="118"/>
        <v>0</v>
      </c>
      <c r="L220" s="1084">
        <f t="shared" si="118"/>
        <v>0</v>
      </c>
      <c r="M220" s="1084">
        <f t="shared" si="118"/>
        <v>0</v>
      </c>
      <c r="N220" s="1085">
        <f t="shared" si="118"/>
        <v>0</v>
      </c>
    </row>
    <row r="221" spans="1:14" s="887" customFormat="1" ht="13.5" customHeight="1" thickBot="1">
      <c r="A221" s="2685"/>
      <c r="B221" s="2686"/>
      <c r="C221" s="2687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7" customFormat="1" ht="13.5" customHeight="1" thickBot="1">
      <c r="A222" s="1171"/>
      <c r="B222" s="1172"/>
      <c r="C222" s="1173" t="s">
        <v>2682</v>
      </c>
      <c r="D222" s="1174"/>
      <c r="E222" s="1175"/>
      <c r="F222" s="1176">
        <f>SUM(G222:N222)</f>
        <v>10025735</v>
      </c>
      <c r="G222" s="1177">
        <f t="shared" ref="G222:N222" si="119">IF(G223="",+G216,0)</f>
        <v>10025735</v>
      </c>
      <c r="H222" s="1177">
        <f t="shared" si="119"/>
        <v>0</v>
      </c>
      <c r="I222" s="1177">
        <f t="shared" si="119"/>
        <v>0</v>
      </c>
      <c r="J222" s="1177">
        <f t="shared" si="119"/>
        <v>0</v>
      </c>
      <c r="K222" s="1177">
        <f t="shared" si="119"/>
        <v>0</v>
      </c>
      <c r="L222" s="1177">
        <f t="shared" si="119"/>
        <v>0</v>
      </c>
      <c r="M222" s="1177">
        <f t="shared" si="119"/>
        <v>0</v>
      </c>
      <c r="N222" s="1178">
        <f t="shared" si="119"/>
        <v>0</v>
      </c>
    </row>
    <row r="223" spans="1:14" s="887" customFormat="1" ht="13.5" customHeight="1">
      <c r="A223" s="877"/>
      <c r="B223" s="878"/>
      <c r="C223" s="1179" t="s">
        <v>2683</v>
      </c>
      <c r="D223" s="1180"/>
      <c r="E223" s="1181"/>
      <c r="F223" s="917">
        <f>SUM(G223:N223)</f>
        <v>0</v>
      </c>
      <c r="G223" s="917" t="str">
        <f>IF(G245="","",G216)</f>
        <v/>
      </c>
      <c r="H223" s="917" t="str">
        <f t="shared" ref="H223:N223" si="120">IF(H245="","",H216)</f>
        <v/>
      </c>
      <c r="I223" s="917" t="str">
        <f>IF(I245="","",I216)</f>
        <v/>
      </c>
      <c r="J223" s="917" t="str">
        <f t="shared" si="120"/>
        <v/>
      </c>
      <c r="K223" s="917" t="str">
        <f t="shared" si="120"/>
        <v/>
      </c>
      <c r="L223" s="917" t="str">
        <f t="shared" si="120"/>
        <v/>
      </c>
      <c r="M223" s="917" t="str">
        <f t="shared" si="120"/>
        <v/>
      </c>
      <c r="N223" s="1182" t="str">
        <f t="shared" si="120"/>
        <v/>
      </c>
    </row>
    <row r="224" spans="1:14" s="887" customFormat="1" ht="13.5" customHeight="1">
      <c r="A224" s="1162"/>
      <c r="B224" s="1163"/>
      <c r="C224" s="2688" t="s">
        <v>2684</v>
      </c>
      <c r="D224" s="2688"/>
      <c r="E224" s="2689"/>
      <c r="F224" s="937">
        <f>F222+F223-F232</f>
        <v>10025735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7" customFormat="1" ht="13.5" customHeight="1">
      <c r="A225" s="868"/>
      <c r="B225" s="869"/>
      <c r="C225" s="869"/>
      <c r="D225" s="1183"/>
      <c r="E225" s="872" t="str">
        <f>E86</f>
        <v>有り</v>
      </c>
      <c r="F225" s="2669" t="s">
        <v>2685</v>
      </c>
      <c r="G225" s="2670"/>
      <c r="H225" s="1068"/>
      <c r="I225" s="1068"/>
      <c r="J225" s="1068"/>
      <c r="K225" s="1068"/>
      <c r="L225" s="1068"/>
      <c r="M225" s="1068"/>
      <c r="N225" s="1069"/>
    </row>
    <row r="226" spans="1:14" s="887" customFormat="1" ht="13.5" customHeight="1">
      <c r="A226" s="2661" t="s">
        <v>2686</v>
      </c>
      <c r="B226" s="2662"/>
      <c r="C226" s="2663"/>
      <c r="D226" s="1184"/>
      <c r="E226" s="1185" t="str">
        <f>+E87</f>
        <v>有り</v>
      </c>
      <c r="F226" s="2671" t="s">
        <v>2687</v>
      </c>
      <c r="G226" s="2672"/>
      <c r="H226" s="1064"/>
      <c r="I226" s="1064"/>
      <c r="J226" s="1064"/>
      <c r="K226" s="1064"/>
      <c r="L226" s="1064"/>
      <c r="M226" s="1064"/>
      <c r="N226" s="1065"/>
    </row>
    <row r="227" spans="1:14" s="887" customFormat="1" ht="13.5" customHeight="1">
      <c r="A227" s="2673"/>
      <c r="B227" s="1186" t="s">
        <v>163</v>
      </c>
      <c r="C227" s="1187" t="s">
        <v>2688</v>
      </c>
      <c r="D227" s="1188">
        <v>1</v>
      </c>
      <c r="E227" s="1189">
        <f>+G296/100</f>
        <v>0.1628</v>
      </c>
      <c r="F227" s="898">
        <f>SUM(G227:N227)</f>
        <v>10025735</v>
      </c>
      <c r="G227" s="1068">
        <f>+G222-G232</f>
        <v>10025735</v>
      </c>
      <c r="H227" s="1068">
        <f t="shared" ref="H227:N227" si="121">+H222-H232</f>
        <v>0</v>
      </c>
      <c r="I227" s="1068">
        <f>+I222-I232</f>
        <v>0</v>
      </c>
      <c r="J227" s="1068">
        <f t="shared" si="121"/>
        <v>0</v>
      </c>
      <c r="K227" s="1068">
        <f t="shared" si="121"/>
        <v>0</v>
      </c>
      <c r="L227" s="1068">
        <f t="shared" si="121"/>
        <v>0</v>
      </c>
      <c r="M227" s="1068">
        <f t="shared" si="121"/>
        <v>0</v>
      </c>
      <c r="N227" s="1069">
        <f t="shared" si="121"/>
        <v>0</v>
      </c>
    </row>
    <row r="228" spans="1:14" s="887" customFormat="1" ht="13.5" customHeight="1">
      <c r="A228" s="2674"/>
      <c r="B228" s="2664" t="s">
        <v>2689</v>
      </c>
      <c r="C228" s="901" t="s">
        <v>2690</v>
      </c>
      <c r="D228" s="1129">
        <v>0.05</v>
      </c>
      <c r="E228" s="1104">
        <f>IF(OR(G83="無し",G83="なし"),IF(E225="無し",E227,0),0)</f>
        <v>0</v>
      </c>
      <c r="F228" s="902">
        <f>SUM(G228:N228)</f>
        <v>10025735</v>
      </c>
      <c r="G228" s="903">
        <f>IF(G245=0,+G227,0)</f>
        <v>10025735</v>
      </c>
      <c r="H228" s="903">
        <f>IF(H245=0,+H227,0)</f>
        <v>0</v>
      </c>
      <c r="I228" s="903">
        <f t="shared" ref="I228:N228" si="122">IF(I245=0,+I227,0)</f>
        <v>0</v>
      </c>
      <c r="J228" s="903">
        <f t="shared" si="122"/>
        <v>0</v>
      </c>
      <c r="K228" s="903">
        <f t="shared" si="122"/>
        <v>0</v>
      </c>
      <c r="L228" s="903">
        <f t="shared" si="122"/>
        <v>0</v>
      </c>
      <c r="M228" s="903">
        <f t="shared" si="122"/>
        <v>0</v>
      </c>
      <c r="N228" s="904">
        <f t="shared" si="122"/>
        <v>0</v>
      </c>
    </row>
    <row r="229" spans="1:14" s="887" customFormat="1" ht="13.5" customHeight="1">
      <c r="A229" s="2674"/>
      <c r="B229" s="2665"/>
      <c r="C229" s="901" t="s">
        <v>2691</v>
      </c>
      <c r="D229" s="1190">
        <v>1</v>
      </c>
      <c r="E229" s="1104">
        <f>IF(OR(E226="無し",E226="なし"),0,0.0004)</f>
        <v>4.0000000000000002E-4</v>
      </c>
      <c r="F229" s="902">
        <f>SUM(G229:N229)</f>
        <v>10025735</v>
      </c>
      <c r="G229" s="903">
        <f>IF(G245=0,+G227,0)</f>
        <v>10025735</v>
      </c>
      <c r="H229" s="903">
        <f t="shared" ref="H229:N229" si="123">IF(H245=0,+H227,0)</f>
        <v>0</v>
      </c>
      <c r="I229" s="903">
        <f t="shared" si="123"/>
        <v>0</v>
      </c>
      <c r="J229" s="903">
        <f t="shared" si="123"/>
        <v>0</v>
      </c>
      <c r="K229" s="903">
        <f t="shared" si="123"/>
        <v>0</v>
      </c>
      <c r="L229" s="903">
        <f t="shared" si="123"/>
        <v>0</v>
      </c>
      <c r="M229" s="903">
        <f t="shared" si="123"/>
        <v>0</v>
      </c>
      <c r="N229" s="904">
        <f t="shared" si="123"/>
        <v>0</v>
      </c>
    </row>
    <row r="230" spans="1:14" s="887" customFormat="1" ht="13.5" customHeight="1">
      <c r="A230" s="2674"/>
      <c r="B230" s="1191"/>
      <c r="C230" s="901"/>
      <c r="D230" s="1192"/>
      <c r="E230" s="1192"/>
      <c r="F230" s="902"/>
      <c r="G230" s="903"/>
      <c r="H230" s="903"/>
      <c r="I230" s="903"/>
      <c r="J230" s="903"/>
      <c r="K230" s="903"/>
      <c r="L230" s="903"/>
      <c r="M230" s="903"/>
      <c r="N230" s="904"/>
    </row>
    <row r="231" spans="1:14" s="887" customFormat="1" ht="13.5" customHeight="1">
      <c r="A231" s="2674"/>
      <c r="B231" s="1191"/>
      <c r="C231" s="901"/>
      <c r="D231" s="1192"/>
      <c r="E231" s="1192"/>
      <c r="F231" s="902"/>
      <c r="G231" s="903"/>
      <c r="H231" s="903"/>
      <c r="I231" s="903"/>
      <c r="J231" s="903"/>
      <c r="K231" s="903"/>
      <c r="L231" s="903"/>
      <c r="M231" s="903"/>
      <c r="N231" s="904"/>
    </row>
    <row r="232" spans="1:14" s="887" customFormat="1" ht="13.5" customHeight="1">
      <c r="A232" s="2674"/>
      <c r="B232" s="2664" t="s">
        <v>2692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2">
        <f>SUM(G232:N232)</f>
        <v>0</v>
      </c>
      <c r="G232" s="903">
        <f>+G136</f>
        <v>0</v>
      </c>
      <c r="H232" s="903">
        <f t="shared" ref="H232:N232" si="124">+H136</f>
        <v>0</v>
      </c>
      <c r="I232" s="903">
        <f t="shared" si="124"/>
        <v>0</v>
      </c>
      <c r="J232" s="903">
        <f t="shared" si="124"/>
        <v>0</v>
      </c>
      <c r="K232" s="903">
        <f>+K136</f>
        <v>0</v>
      </c>
      <c r="L232" s="903">
        <f t="shared" si="124"/>
        <v>0</v>
      </c>
      <c r="M232" s="903">
        <f t="shared" si="124"/>
        <v>0</v>
      </c>
      <c r="N232" s="904">
        <f t="shared" si="124"/>
        <v>0</v>
      </c>
    </row>
    <row r="233" spans="1:14" s="887" customFormat="1" ht="13.5" customHeight="1">
      <c r="A233" s="2674"/>
      <c r="B233" s="2666"/>
      <c r="C233" s="1195"/>
      <c r="D233" s="1101"/>
      <c r="E233" s="1194"/>
      <c r="F233" s="902"/>
      <c r="G233" s="903"/>
      <c r="H233" s="903"/>
      <c r="I233" s="903"/>
      <c r="J233" s="903"/>
      <c r="K233" s="903"/>
      <c r="L233" s="903"/>
      <c r="M233" s="903"/>
      <c r="N233" s="904"/>
    </row>
    <row r="234" spans="1:14" s="887" customFormat="1" ht="13.5" customHeight="1">
      <c r="A234" s="2675"/>
      <c r="B234" s="2676"/>
      <c r="C234" s="1196"/>
      <c r="D234" s="1145"/>
      <c r="E234" s="1197"/>
      <c r="F234" s="937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7" customFormat="1" ht="13.5" customHeight="1">
      <c r="A235" s="868"/>
      <c r="B235" s="869"/>
      <c r="C235" s="1198"/>
      <c r="D235" s="1199"/>
      <c r="E235" s="1200"/>
      <c r="F235" s="898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7" customFormat="1" ht="13.5" customHeight="1">
      <c r="A236" s="2661" t="s">
        <v>2693</v>
      </c>
      <c r="B236" s="2662"/>
      <c r="C236" s="2663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7" customFormat="1" ht="13.5" customHeight="1">
      <c r="A237" s="877"/>
      <c r="B237" s="1204" t="s">
        <v>163</v>
      </c>
      <c r="C237" s="1187" t="s">
        <v>2688</v>
      </c>
      <c r="D237" s="1188">
        <f t="shared" ref="D237:E239" si="125">+D227</f>
        <v>1</v>
      </c>
      <c r="E237" s="1205">
        <f>+E227</f>
        <v>0.1628</v>
      </c>
      <c r="F237" s="902">
        <f>INT(D237*E237*F227)</f>
        <v>1632189</v>
      </c>
      <c r="G237" s="1068">
        <f>F237-SUM(H237:N237)</f>
        <v>1632189</v>
      </c>
      <c r="H237" s="1068">
        <f>IF(H227=0,0,ROUND($F237/$F227*H227,0))</f>
        <v>0</v>
      </c>
      <c r="I237" s="1068">
        <f t="shared" ref="H237:N239" si="126">IF(I227=0,0,ROUND($F237/$F227*I227,0))</f>
        <v>0</v>
      </c>
      <c r="J237" s="1068">
        <f t="shared" si="126"/>
        <v>0</v>
      </c>
      <c r="K237" s="1068">
        <f t="shared" si="126"/>
        <v>0</v>
      </c>
      <c r="L237" s="1068">
        <f t="shared" si="126"/>
        <v>0</v>
      </c>
      <c r="M237" s="1068">
        <f t="shared" si="126"/>
        <v>0</v>
      </c>
      <c r="N237" s="1069">
        <f t="shared" si="126"/>
        <v>0</v>
      </c>
    </row>
    <row r="238" spans="1:14" s="887" customFormat="1" ht="13.5" customHeight="1">
      <c r="A238" s="877"/>
      <c r="B238" s="2664" t="s">
        <v>2689</v>
      </c>
      <c r="C238" s="901" t="s">
        <v>2690</v>
      </c>
      <c r="D238" s="1193">
        <f t="shared" si="125"/>
        <v>0.05</v>
      </c>
      <c r="E238" s="1104">
        <f t="shared" si="125"/>
        <v>0</v>
      </c>
      <c r="F238" s="902">
        <f>INT(D238*E238*F228)</f>
        <v>0</v>
      </c>
      <c r="G238" s="903">
        <f>F238-SUM(H238:N238)</f>
        <v>0</v>
      </c>
      <c r="H238" s="903">
        <f t="shared" si="126"/>
        <v>0</v>
      </c>
      <c r="I238" s="903">
        <f t="shared" si="126"/>
        <v>0</v>
      </c>
      <c r="J238" s="903">
        <f t="shared" si="126"/>
        <v>0</v>
      </c>
      <c r="K238" s="903">
        <f t="shared" si="126"/>
        <v>0</v>
      </c>
      <c r="L238" s="903">
        <f t="shared" si="126"/>
        <v>0</v>
      </c>
      <c r="M238" s="903">
        <f t="shared" si="126"/>
        <v>0</v>
      </c>
      <c r="N238" s="904">
        <f t="shared" si="126"/>
        <v>0</v>
      </c>
    </row>
    <row r="239" spans="1:14" s="887" customFormat="1" ht="13.5" customHeight="1">
      <c r="A239" s="877"/>
      <c r="B239" s="2665"/>
      <c r="C239" s="901" t="s">
        <v>2691</v>
      </c>
      <c r="D239" s="1193">
        <f t="shared" si="125"/>
        <v>1</v>
      </c>
      <c r="E239" s="1104">
        <f t="shared" si="125"/>
        <v>4.0000000000000002E-4</v>
      </c>
      <c r="F239" s="902">
        <f>INT(D239*E239*F229)</f>
        <v>4010</v>
      </c>
      <c r="G239" s="903">
        <f>F239-SUM(H239:N239)</f>
        <v>4010</v>
      </c>
      <c r="H239" s="903">
        <f>IF(H229=0,0,ROUND($F239/$F229*H229,0))</f>
        <v>0</v>
      </c>
      <c r="I239" s="903">
        <f t="shared" si="126"/>
        <v>0</v>
      </c>
      <c r="J239" s="903">
        <f t="shared" si="126"/>
        <v>0</v>
      </c>
      <c r="K239" s="903">
        <f t="shared" si="126"/>
        <v>0</v>
      </c>
      <c r="L239" s="903">
        <f t="shared" si="126"/>
        <v>0</v>
      </c>
      <c r="M239" s="903">
        <f t="shared" si="126"/>
        <v>0</v>
      </c>
      <c r="N239" s="904">
        <f t="shared" si="126"/>
        <v>0</v>
      </c>
    </row>
    <row r="240" spans="1:14" s="887" customFormat="1" ht="13.5" customHeight="1">
      <c r="A240" s="877"/>
      <c r="B240" s="1191"/>
      <c r="C240" s="901"/>
      <c r="D240" s="1192"/>
      <c r="E240" s="1192"/>
      <c r="F240" s="902"/>
      <c r="G240" s="903"/>
      <c r="H240" s="903"/>
      <c r="I240" s="903"/>
      <c r="J240" s="903"/>
      <c r="K240" s="903"/>
      <c r="L240" s="903"/>
      <c r="M240" s="903"/>
      <c r="N240" s="904"/>
    </row>
    <row r="241" spans="1:14" s="887" customFormat="1" ht="13.5" customHeight="1">
      <c r="A241" s="877"/>
      <c r="B241" s="1191"/>
      <c r="C241" s="901"/>
      <c r="D241" s="1192"/>
      <c r="E241" s="1192"/>
      <c r="F241" s="902"/>
      <c r="G241" s="903"/>
      <c r="H241" s="903"/>
      <c r="I241" s="903"/>
      <c r="J241" s="903"/>
      <c r="K241" s="903"/>
      <c r="L241" s="903"/>
      <c r="M241" s="903"/>
      <c r="N241" s="904"/>
    </row>
    <row r="242" spans="1:14" s="887" customFormat="1" ht="13.5" customHeight="1">
      <c r="A242" s="877"/>
      <c r="B242" s="2664" t="s">
        <v>2692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2">
        <f>INT(D242*E242*F232)</f>
        <v>0</v>
      </c>
      <c r="G242" s="903">
        <f>F242-SUM(H242:N242)</f>
        <v>0</v>
      </c>
      <c r="H242" s="903">
        <f t="shared" ref="H242:N242" si="127">IF(H232=0,0,ROUND($F242/$F232*H232,0))</f>
        <v>0</v>
      </c>
      <c r="I242" s="903">
        <f t="shared" si="127"/>
        <v>0</v>
      </c>
      <c r="J242" s="903">
        <f t="shared" si="127"/>
        <v>0</v>
      </c>
      <c r="K242" s="903">
        <f>IF(K232=0,0,ROUND($F242/$F232*K232,0))</f>
        <v>0</v>
      </c>
      <c r="L242" s="903">
        <f t="shared" si="127"/>
        <v>0</v>
      </c>
      <c r="M242" s="903">
        <f t="shared" si="127"/>
        <v>0</v>
      </c>
      <c r="N242" s="904">
        <f t="shared" si="127"/>
        <v>0</v>
      </c>
    </row>
    <row r="243" spans="1:14" s="887" customFormat="1" ht="13.5" customHeight="1">
      <c r="A243" s="877"/>
      <c r="B243" s="2666"/>
      <c r="C243" s="1195"/>
      <c r="D243" s="1101"/>
      <c r="E243" s="1192">
        <f>+G234</f>
        <v>0</v>
      </c>
      <c r="F243" s="902"/>
      <c r="G243" s="903"/>
      <c r="H243" s="903"/>
      <c r="I243" s="903"/>
      <c r="J243" s="903"/>
      <c r="K243" s="903"/>
      <c r="L243" s="903"/>
      <c r="M243" s="903"/>
      <c r="N243" s="904"/>
    </row>
    <row r="244" spans="1:14" s="887" customFormat="1" ht="13.5" customHeight="1">
      <c r="A244" s="1206"/>
      <c r="B244" s="2665"/>
      <c r="C244" s="1195"/>
      <c r="D244" s="1101"/>
      <c r="E244" s="1192">
        <f>+G235</f>
        <v>0</v>
      </c>
      <c r="F244" s="902"/>
      <c r="G244" s="903"/>
      <c r="H244" s="903"/>
      <c r="I244" s="903"/>
      <c r="J244" s="903"/>
      <c r="K244" s="903"/>
      <c r="L244" s="903"/>
      <c r="M244" s="903"/>
      <c r="N244" s="904"/>
    </row>
    <row r="245" spans="1:14" s="887" customFormat="1" ht="13.5" customHeight="1">
      <c r="A245" s="1206"/>
      <c r="B245" s="2667" t="s">
        <v>2674</v>
      </c>
      <c r="C245" s="1120" t="s">
        <v>2694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7" customFormat="1" ht="13.5" customHeight="1">
      <c r="A246" s="877"/>
      <c r="B246" s="2668"/>
      <c r="C246" s="1212" t="s">
        <v>2695</v>
      </c>
      <c r="D246" s="1147"/>
      <c r="E246" s="1148"/>
      <c r="F246" s="1055"/>
      <c r="G246" s="903"/>
      <c r="H246" s="903"/>
      <c r="I246" s="903"/>
      <c r="J246" s="903" t="s">
        <v>2696</v>
      </c>
      <c r="K246" s="903"/>
      <c r="L246" s="903"/>
      <c r="M246" s="903"/>
      <c r="N246" s="904"/>
    </row>
    <row r="247" spans="1:14" s="887" customFormat="1" ht="13.5" customHeight="1">
      <c r="A247" s="1171"/>
      <c r="B247" s="1172"/>
      <c r="C247" s="1172"/>
      <c r="D247" s="873"/>
      <c r="E247" s="873"/>
      <c r="F247" s="898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7" customFormat="1" ht="13.5" customHeight="1">
      <c r="A248" s="1213"/>
      <c r="B248" s="1073"/>
      <c r="C248" s="701" t="s">
        <v>2697</v>
      </c>
      <c r="D248" s="1195"/>
      <c r="E248" s="901"/>
      <c r="F248" s="902">
        <f>SUM(G248:N248)</f>
        <v>1636199</v>
      </c>
      <c r="G248" s="903">
        <f t="shared" ref="G248:N248" si="128">SUM(G237:G246)</f>
        <v>1636199</v>
      </c>
      <c r="H248" s="903">
        <f t="shared" si="128"/>
        <v>0</v>
      </c>
      <c r="I248" s="903">
        <f t="shared" si="128"/>
        <v>0</v>
      </c>
      <c r="J248" s="903">
        <f t="shared" si="128"/>
        <v>0</v>
      </c>
      <c r="K248" s="903">
        <f t="shared" si="128"/>
        <v>0</v>
      </c>
      <c r="L248" s="903">
        <f t="shared" si="128"/>
        <v>0</v>
      </c>
      <c r="M248" s="903">
        <f t="shared" si="128"/>
        <v>0</v>
      </c>
      <c r="N248" s="904">
        <f t="shared" si="128"/>
        <v>0</v>
      </c>
    </row>
    <row r="249" spans="1:14" s="887" customFormat="1" ht="13.5" customHeight="1">
      <c r="A249" s="1213"/>
      <c r="B249" s="1073"/>
      <c r="C249" s="701" t="s">
        <v>2678</v>
      </c>
      <c r="D249" s="1195"/>
      <c r="E249" s="901"/>
      <c r="F249" s="902">
        <f>SUM(G249:N249)</f>
        <v>10025735</v>
      </c>
      <c r="G249" s="903">
        <f t="shared" ref="G249:N249" si="129">+G216</f>
        <v>10025735</v>
      </c>
      <c r="H249" s="903">
        <f t="shared" si="129"/>
        <v>0</v>
      </c>
      <c r="I249" s="903">
        <f t="shared" si="129"/>
        <v>0</v>
      </c>
      <c r="J249" s="903">
        <f t="shared" si="129"/>
        <v>0</v>
      </c>
      <c r="K249" s="903">
        <f t="shared" si="129"/>
        <v>0</v>
      </c>
      <c r="L249" s="903">
        <f t="shared" si="129"/>
        <v>0</v>
      </c>
      <c r="M249" s="903">
        <f t="shared" si="129"/>
        <v>0</v>
      </c>
      <c r="N249" s="904">
        <f t="shared" si="129"/>
        <v>0</v>
      </c>
    </row>
    <row r="250" spans="1:14" s="887" customFormat="1" ht="13.5" customHeight="1" thickBot="1">
      <c r="A250" s="1214"/>
      <c r="B250" s="1215"/>
      <c r="C250" s="1216" t="s">
        <v>2698</v>
      </c>
      <c r="D250" s="1217"/>
      <c r="E250" s="1218"/>
      <c r="F250" s="1135">
        <f>SUM(G250:N250)</f>
        <v>11661934</v>
      </c>
      <c r="G250" s="1219">
        <f>SUM(G248:G249)</f>
        <v>11661934</v>
      </c>
      <c r="H250" s="1219">
        <f t="shared" ref="H250:N250" si="130">SUM(H248:H249)</f>
        <v>0</v>
      </c>
      <c r="I250" s="1219">
        <f t="shared" si="130"/>
        <v>0</v>
      </c>
      <c r="J250" s="1219">
        <f t="shared" si="130"/>
        <v>0</v>
      </c>
      <c r="K250" s="1219">
        <f>SUM(K248:K249)</f>
        <v>0</v>
      </c>
      <c r="L250" s="1219">
        <f t="shared" si="130"/>
        <v>0</v>
      </c>
      <c r="M250" s="1219">
        <f t="shared" si="130"/>
        <v>0</v>
      </c>
      <c r="N250" s="1220">
        <f t="shared" si="130"/>
        <v>0</v>
      </c>
    </row>
    <row r="251" spans="1:14" s="887" customFormat="1" ht="13.5" customHeight="1" thickTop="1">
      <c r="A251" s="877"/>
      <c r="B251" s="878"/>
      <c r="C251" s="878"/>
      <c r="D251" s="916"/>
      <c r="E251" s="916"/>
      <c r="F251" s="917"/>
      <c r="G251" s="1221">
        <f t="shared" ref="G251:N251" si="131">ROUNDDOWN(G250,-3)</f>
        <v>11661000</v>
      </c>
      <c r="H251" s="1221">
        <f>ROUNDDOWN(H250,-3)</f>
        <v>0</v>
      </c>
      <c r="I251" s="1221">
        <f t="shared" si="131"/>
        <v>0</v>
      </c>
      <c r="J251" s="1221">
        <f t="shared" si="131"/>
        <v>0</v>
      </c>
      <c r="K251" s="1221">
        <f>ROUNDDOWN(K250,-3)</f>
        <v>0</v>
      </c>
      <c r="L251" s="1221">
        <f t="shared" si="131"/>
        <v>0</v>
      </c>
      <c r="M251" s="1221">
        <f t="shared" si="131"/>
        <v>0</v>
      </c>
      <c r="N251" s="1222">
        <f t="shared" si="131"/>
        <v>0</v>
      </c>
    </row>
    <row r="252" spans="1:14" s="887" customFormat="1" ht="13.5" customHeight="1">
      <c r="A252" s="1213"/>
      <c r="B252" s="1073"/>
      <c r="C252" s="701" t="s">
        <v>2678</v>
      </c>
      <c r="D252" s="1195"/>
      <c r="E252" s="901"/>
      <c r="F252" s="902">
        <f>SUM(G252:N252)</f>
        <v>10025735</v>
      </c>
      <c r="G252" s="903">
        <f t="shared" ref="G252:N252" si="132">+G249</f>
        <v>10025735</v>
      </c>
      <c r="H252" s="903">
        <f t="shared" si="132"/>
        <v>0</v>
      </c>
      <c r="I252" s="903">
        <f>+I249</f>
        <v>0</v>
      </c>
      <c r="J252" s="903">
        <f>+J249</f>
        <v>0</v>
      </c>
      <c r="K252" s="903">
        <f>+K249</f>
        <v>0</v>
      </c>
      <c r="L252" s="903">
        <f t="shared" si="132"/>
        <v>0</v>
      </c>
      <c r="M252" s="903">
        <f t="shared" si="132"/>
        <v>0</v>
      </c>
      <c r="N252" s="904">
        <f t="shared" si="132"/>
        <v>0</v>
      </c>
    </row>
    <row r="253" spans="1:14" s="887" customFormat="1" ht="13.5" customHeight="1">
      <c r="A253" s="1213"/>
      <c r="B253" s="1073"/>
      <c r="C253" s="701" t="s">
        <v>2699</v>
      </c>
      <c r="D253" s="1195"/>
      <c r="E253" s="1192"/>
      <c r="F253" s="902">
        <f>SUM(G253:N253)</f>
        <v>1634265</v>
      </c>
      <c r="G253" s="903">
        <f t="shared" ref="G253:N253" si="133">+G248-(G250-G255)</f>
        <v>1634265</v>
      </c>
      <c r="H253" s="903">
        <f>+H248-(H250-H255)</f>
        <v>0</v>
      </c>
      <c r="I253" s="903">
        <f t="shared" si="133"/>
        <v>0</v>
      </c>
      <c r="J253" s="903">
        <f>+J248-(J250-J255)</f>
        <v>0</v>
      </c>
      <c r="K253" s="903">
        <f>+K248-(K250-K255)</f>
        <v>0</v>
      </c>
      <c r="L253" s="903">
        <f t="shared" si="133"/>
        <v>0</v>
      </c>
      <c r="M253" s="903">
        <f t="shared" si="133"/>
        <v>0</v>
      </c>
      <c r="N253" s="904">
        <f t="shared" si="133"/>
        <v>0</v>
      </c>
    </row>
    <row r="254" spans="1:14" s="887" customFormat="1" ht="13.5" customHeight="1">
      <c r="A254" s="1213"/>
      <c r="B254" s="1073"/>
      <c r="C254" s="1073"/>
      <c r="D254" s="901"/>
      <c r="E254" s="1223">
        <f>SUM(G251:N251)</f>
        <v>11661000</v>
      </c>
      <c r="F254" s="902" t="s">
        <v>2700</v>
      </c>
      <c r="G254" s="903">
        <f t="shared" ref="G254:N254" si="134">+G248-G253</f>
        <v>1934</v>
      </c>
      <c r="H254" s="903">
        <f t="shared" si="134"/>
        <v>0</v>
      </c>
      <c r="I254" s="903">
        <f t="shared" si="134"/>
        <v>0</v>
      </c>
      <c r="J254" s="903">
        <f t="shared" si="134"/>
        <v>0</v>
      </c>
      <c r="K254" s="903">
        <f>+K248-K253</f>
        <v>0</v>
      </c>
      <c r="L254" s="903">
        <f t="shared" si="134"/>
        <v>0</v>
      </c>
      <c r="M254" s="1224">
        <f t="shared" si="134"/>
        <v>0</v>
      </c>
      <c r="N254" s="1225">
        <f t="shared" si="134"/>
        <v>0</v>
      </c>
    </row>
    <row r="255" spans="1:14" s="887" customFormat="1" ht="13.5" customHeight="1">
      <c r="A255" s="1226"/>
      <c r="B255" s="1054"/>
      <c r="C255" s="1054" t="s">
        <v>2701</v>
      </c>
      <c r="D255" s="1227"/>
      <c r="E255" s="1223">
        <f>ROUNDDOWN(E254,4-LEN(E254))</f>
        <v>11660000</v>
      </c>
      <c r="F255" s="1228">
        <f>+E255</f>
        <v>11660000</v>
      </c>
      <c r="G255" s="1224">
        <f>IF(F256+SUM(H255:N255)=F255,F256,F255-SUM(H255:N255))</f>
        <v>11660000</v>
      </c>
      <c r="H255" s="1224">
        <f t="shared" ref="H255:N255" si="135">IF(H245="",+H251-ROUND($E$256*H250/$F$250,-3),H250)</f>
        <v>0</v>
      </c>
      <c r="I255" s="1224">
        <f t="shared" si="135"/>
        <v>0</v>
      </c>
      <c r="J255" s="1224">
        <f t="shared" si="135"/>
        <v>0</v>
      </c>
      <c r="K255" s="1224">
        <f t="shared" si="135"/>
        <v>0</v>
      </c>
      <c r="L255" s="1224">
        <f t="shared" si="135"/>
        <v>0</v>
      </c>
      <c r="M255" s="1224">
        <f t="shared" si="135"/>
        <v>0</v>
      </c>
      <c r="N255" s="1225">
        <f t="shared" si="135"/>
        <v>0</v>
      </c>
    </row>
    <row r="256" spans="1:14" s="887" customFormat="1" ht="13.5" customHeight="1">
      <c r="A256" s="1229"/>
      <c r="B256" s="1230"/>
      <c r="C256" s="1230"/>
      <c r="D256" s="1231"/>
      <c r="E256" s="1232">
        <f>E254-E255</f>
        <v>1000</v>
      </c>
      <c r="F256" s="1233">
        <f>+G251-ROUND($E$256*G250/$F$250,-3)</f>
        <v>11660000</v>
      </c>
      <c r="G256" s="1232">
        <f t="shared" ref="G256:N256" si="136">IF(LEN(G250)&lt;=7,-3,IF(LEN(G250)=8,-4,IF(LEN(G250)&gt;=9,-5,-6)))</f>
        <v>-4</v>
      </c>
      <c r="H256" s="1232">
        <f t="shared" si="136"/>
        <v>-3</v>
      </c>
      <c r="I256" s="1232">
        <f t="shared" si="136"/>
        <v>-3</v>
      </c>
      <c r="J256" s="1232">
        <f>IF(LEN(J250)&lt;=7,-3,IF(LEN(J250)=8,-4,IF(LEN(J250)&gt;=9,-5,-6)))</f>
        <v>-3</v>
      </c>
      <c r="K256" s="1232">
        <f>IF(LEN(K250)&lt;=7,-3,IF(LEN(K250)=8,-4,IF(LEN(K250)&gt;=9,-5,-6)))</f>
        <v>-3</v>
      </c>
      <c r="L256" s="1232">
        <f t="shared" si="136"/>
        <v>-3</v>
      </c>
      <c r="M256" s="1232">
        <f t="shared" si="136"/>
        <v>-3</v>
      </c>
      <c r="N256" s="1234">
        <f t="shared" si="136"/>
        <v>-3</v>
      </c>
    </row>
    <row r="257" spans="1:14" s="887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7" customFormat="1" ht="15" hidden="1" customHeight="1">
      <c r="A258" s="1238"/>
      <c r="B258" s="1239"/>
      <c r="C258" s="1240" t="s">
        <v>2702</v>
      </c>
      <c r="D258" s="1241"/>
      <c r="E258" s="1239"/>
      <c r="F258" s="1242" t="s">
        <v>2703</v>
      </c>
      <c r="G258" s="1243">
        <f t="shared" ref="G258:N258" si="137">+G84</f>
        <v>3.3</v>
      </c>
      <c r="H258" s="1243">
        <f t="shared" si="137"/>
        <v>3.3</v>
      </c>
      <c r="I258" s="1243">
        <f t="shared" si="137"/>
        <v>0</v>
      </c>
      <c r="J258" s="1243">
        <f t="shared" si="137"/>
        <v>0</v>
      </c>
      <c r="K258" s="1243">
        <f t="shared" si="137"/>
        <v>0</v>
      </c>
      <c r="L258" s="1243">
        <f t="shared" si="137"/>
        <v>0</v>
      </c>
      <c r="M258" s="1243">
        <f t="shared" si="137"/>
        <v>0</v>
      </c>
      <c r="N258" s="1244">
        <f t="shared" si="137"/>
        <v>0</v>
      </c>
    </row>
    <row r="259" spans="1:14" s="887" customFormat="1" ht="15" hidden="1" customHeight="1">
      <c r="A259" s="2645"/>
      <c r="B259" s="2648" t="s">
        <v>2704</v>
      </c>
      <c r="C259" s="1245" t="s">
        <v>2705</v>
      </c>
      <c r="D259" s="1054"/>
      <c r="E259" s="1246"/>
      <c r="F259" s="1247" t="s">
        <v>2706</v>
      </c>
      <c r="G259" s="1248">
        <f>IF($F141&lt;=10000000,ROUND(7.56*(10000^-0.1105)*(G258^0.2389),2),ROUND(7.56*(($F141/1000)^-0.1105)*(G258^0.2389),2))</f>
        <v>3.63</v>
      </c>
      <c r="H259" s="1248">
        <f>IF($F141&lt;=10000000,ROUND(7.56*(10000^-0.1105)*(H258^0.2389),2),ROUND(7.56*(($F141/1000)^-0.1105)*(H258^0.2389),2))</f>
        <v>3.63</v>
      </c>
      <c r="I259" s="1248">
        <f t="shared" ref="I259:N259" si="138">IF($F141&lt;=10000000,ROUND(7.56*(10000^-0.1105)*(I258^0.2389),2),ROUND(7.56*(($F141/1000)^-0.1105)*(I258^0.2389),2))</f>
        <v>0</v>
      </c>
      <c r="J259" s="1248">
        <f t="shared" si="138"/>
        <v>0</v>
      </c>
      <c r="K259" s="1248">
        <f t="shared" si="138"/>
        <v>0</v>
      </c>
      <c r="L259" s="1248">
        <f t="shared" si="138"/>
        <v>0</v>
      </c>
      <c r="M259" s="1248">
        <f t="shared" si="138"/>
        <v>0</v>
      </c>
      <c r="N259" s="1248">
        <f t="shared" si="138"/>
        <v>0</v>
      </c>
    </row>
    <row r="260" spans="1:14" s="887" customFormat="1" ht="15" hidden="1" customHeight="1">
      <c r="A260" s="2646"/>
      <c r="B260" s="2649"/>
      <c r="C260" s="2653" t="s">
        <v>2707</v>
      </c>
      <c r="D260" s="1124"/>
      <c r="E260" s="1249"/>
      <c r="F260" s="1247" t="s">
        <v>2708</v>
      </c>
      <c r="G260" s="1250">
        <f>IF($F141&lt;=10000000,ROUND(4.33,2),0)</f>
        <v>4.33</v>
      </c>
      <c r="H260" s="1250">
        <f t="shared" ref="H260:N260" si="139">IF($F141&lt;=10000000,ROUND(4.33,2),0)</f>
        <v>4.33</v>
      </c>
      <c r="I260" s="1250">
        <f t="shared" si="139"/>
        <v>4.33</v>
      </c>
      <c r="J260" s="1250">
        <f t="shared" si="139"/>
        <v>4.33</v>
      </c>
      <c r="K260" s="1250">
        <f t="shared" si="139"/>
        <v>4.33</v>
      </c>
      <c r="L260" s="1250">
        <f t="shared" si="139"/>
        <v>4.33</v>
      </c>
      <c r="M260" s="1250">
        <f t="shared" si="139"/>
        <v>4.33</v>
      </c>
      <c r="N260" s="1250">
        <f t="shared" si="139"/>
        <v>4.33</v>
      </c>
    </row>
    <row r="261" spans="1:14" s="887" customFormat="1" ht="15" hidden="1" customHeight="1">
      <c r="A261" s="2646"/>
      <c r="B261" s="2649"/>
      <c r="C261" s="2654"/>
      <c r="D261" s="1251"/>
      <c r="E261" s="1252"/>
      <c r="F261" s="1247" t="s">
        <v>2709</v>
      </c>
      <c r="G261" s="1250">
        <f>IF($F141&lt;=10000000,ROUND(3.25,2),0)</f>
        <v>3.25</v>
      </c>
      <c r="H261" s="1250">
        <f t="shared" ref="H261:N261" si="140">IF($F141&lt;=10000000,ROUND(3.25,2),0)</f>
        <v>3.25</v>
      </c>
      <c r="I261" s="1250">
        <f t="shared" si="140"/>
        <v>3.25</v>
      </c>
      <c r="J261" s="1250">
        <f t="shared" si="140"/>
        <v>3.25</v>
      </c>
      <c r="K261" s="1250">
        <f t="shared" si="140"/>
        <v>3.25</v>
      </c>
      <c r="L261" s="1250">
        <f t="shared" si="140"/>
        <v>3.25</v>
      </c>
      <c r="M261" s="1250">
        <f t="shared" si="140"/>
        <v>3.25</v>
      </c>
      <c r="N261" s="1250">
        <f t="shared" si="140"/>
        <v>3.25</v>
      </c>
    </row>
    <row r="262" spans="1:14" s="887" customFormat="1" ht="14.25" hidden="1" customHeight="1">
      <c r="A262" s="2646"/>
      <c r="B262" s="2649"/>
      <c r="C262" s="2653" t="s">
        <v>2710</v>
      </c>
      <c r="D262" s="1124"/>
      <c r="E262" s="1249"/>
      <c r="F262" s="1247" t="s">
        <v>2708</v>
      </c>
      <c r="G262" s="1253">
        <f>IF($F141&gt;10000000,ROUND(5.78*($F141/1000)^-0.0313,2),0)</f>
        <v>0</v>
      </c>
      <c r="H262" s="1253">
        <f t="shared" ref="H262:N262" si="141">IF($F141&gt;10000000,ROUND(5.78*($F141/1000)^-0.0313,2),0)</f>
        <v>0</v>
      </c>
      <c r="I262" s="1253">
        <f t="shared" si="141"/>
        <v>0</v>
      </c>
      <c r="J262" s="1253">
        <f t="shared" si="141"/>
        <v>0</v>
      </c>
      <c r="K262" s="1253">
        <f t="shared" si="141"/>
        <v>0</v>
      </c>
      <c r="L262" s="1253">
        <f t="shared" si="141"/>
        <v>0</v>
      </c>
      <c r="M262" s="1253">
        <f t="shared" si="141"/>
        <v>0</v>
      </c>
      <c r="N262" s="1253">
        <f t="shared" si="141"/>
        <v>0</v>
      </c>
    </row>
    <row r="263" spans="1:14" s="887" customFormat="1" ht="15" hidden="1" customHeight="1">
      <c r="A263" s="2647"/>
      <c r="B263" s="2650"/>
      <c r="C263" s="2654"/>
      <c r="D263" s="1251"/>
      <c r="E263" s="1252"/>
      <c r="F263" s="1247" t="s">
        <v>2709</v>
      </c>
      <c r="G263" s="1253">
        <f>IF($F141&gt;10000000,ROUND(4.34*($F141/1000)^-0.0313,2),0)</f>
        <v>0</v>
      </c>
      <c r="H263" s="1253">
        <f t="shared" ref="H263:N263" si="142">IF($F141&gt;10000000,ROUND(4.34*($F141/1000)^-0.0313,2),0)</f>
        <v>0</v>
      </c>
      <c r="I263" s="1253">
        <f t="shared" si="142"/>
        <v>0</v>
      </c>
      <c r="J263" s="1253">
        <f t="shared" si="142"/>
        <v>0</v>
      </c>
      <c r="K263" s="1253">
        <f t="shared" si="142"/>
        <v>0</v>
      </c>
      <c r="L263" s="1253">
        <f t="shared" si="142"/>
        <v>0</v>
      </c>
      <c r="M263" s="1253">
        <f t="shared" si="142"/>
        <v>0</v>
      </c>
      <c r="N263" s="1253">
        <f t="shared" si="142"/>
        <v>0</v>
      </c>
    </row>
    <row r="264" spans="1:14" s="887" customFormat="1" ht="15" hidden="1" customHeight="1">
      <c r="A264" s="2655" t="s">
        <v>2711</v>
      </c>
      <c r="B264" s="2656"/>
      <c r="C264" s="2656"/>
      <c r="D264" s="2656"/>
      <c r="E264" s="2656"/>
      <c r="F264" s="2657"/>
      <c r="G264" s="1253">
        <f>IF($F141&lt;=10000000,IF(G$259&gt;G$260,G$260,IF(G$259&lt;G$261,G$261,G$259)),IF(G$259&gt;G$262,G$262,IF(G$259&lt;G$263,G$263,G$259)))</f>
        <v>3.63</v>
      </c>
      <c r="H264" s="1253">
        <f t="shared" ref="H264:N264" si="143">IF($F141&lt;=10000000,IF(H$259&gt;H$260,H$260,IF(H$259&lt;H$261,H$261,H$259)),IF(H$259&gt;H$262,H$262,IF(H$259&lt;H$263,H$263,H$259)))</f>
        <v>3.63</v>
      </c>
      <c r="I264" s="1253">
        <f t="shared" si="143"/>
        <v>3.25</v>
      </c>
      <c r="J264" s="1253">
        <f t="shared" si="143"/>
        <v>3.25</v>
      </c>
      <c r="K264" s="1253">
        <f t="shared" si="143"/>
        <v>3.25</v>
      </c>
      <c r="L264" s="1253">
        <f t="shared" si="143"/>
        <v>3.25</v>
      </c>
      <c r="M264" s="1253">
        <f t="shared" si="143"/>
        <v>3.25</v>
      </c>
      <c r="N264" s="1253">
        <f t="shared" si="143"/>
        <v>3.25</v>
      </c>
    </row>
    <row r="265" spans="1:14" s="887" customFormat="1" ht="15" hidden="1" customHeight="1" thickBot="1">
      <c r="A265" s="2658" t="s">
        <v>2712</v>
      </c>
      <c r="B265" s="2659"/>
      <c r="C265" s="2659"/>
      <c r="D265" s="2659"/>
      <c r="E265" s="2659"/>
      <c r="F265" s="2660"/>
      <c r="G265" s="1254">
        <f>ROUND(G264*IF(AND(G89="駅施設",G90="無し"),0.7,IF(AND(G89="駅施設",G90="有り"),0.7,IF(AND(G89="地上建物",G90="無し"),0.9,IF(AND(G89="地上建物",G90="有り"),1,0)))),2)</f>
        <v>2.54</v>
      </c>
      <c r="H265" s="1254">
        <f t="shared" ref="H265:N265" si="144">ROUND(H264*IF(AND(H89="駅施設",H90="無し"),0.7,IF(AND(H89="駅施設",H90="有り"),0.7,IF(AND(H89="地上建物",H90="無し"),0.9,IF(AND(H89="地上建物",H90="有り"),1,0)))),2)</f>
        <v>2.54</v>
      </c>
      <c r="I265" s="1254">
        <f t="shared" si="144"/>
        <v>2.2799999999999998</v>
      </c>
      <c r="J265" s="1254">
        <f t="shared" si="144"/>
        <v>2.2799999999999998</v>
      </c>
      <c r="K265" s="1254">
        <f t="shared" si="144"/>
        <v>2.2799999999999998</v>
      </c>
      <c r="L265" s="1254">
        <f t="shared" si="144"/>
        <v>2.2799999999999998</v>
      </c>
      <c r="M265" s="1254">
        <f t="shared" si="144"/>
        <v>2.2799999999999998</v>
      </c>
      <c r="N265" s="1254">
        <f t="shared" si="144"/>
        <v>2.2799999999999998</v>
      </c>
    </row>
    <row r="266" spans="1:14" s="887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7" customFormat="1" ht="15" hidden="1" customHeight="1">
      <c r="A267" s="1238"/>
      <c r="B267" s="1239"/>
      <c r="C267" s="1240" t="s">
        <v>2702</v>
      </c>
      <c r="D267" s="1241"/>
      <c r="E267" s="1239"/>
      <c r="F267" s="1242" t="s">
        <v>2703</v>
      </c>
      <c r="G267" s="1243">
        <f t="shared" ref="G267:N267" si="145">+G84</f>
        <v>3.3</v>
      </c>
      <c r="H267" s="1243">
        <f t="shared" si="145"/>
        <v>3.3</v>
      </c>
      <c r="I267" s="1243">
        <f t="shared" si="145"/>
        <v>0</v>
      </c>
      <c r="J267" s="1243">
        <f t="shared" si="145"/>
        <v>0</v>
      </c>
      <c r="K267" s="1243">
        <f t="shared" si="145"/>
        <v>0</v>
      </c>
      <c r="L267" s="1243">
        <f t="shared" si="145"/>
        <v>0</v>
      </c>
      <c r="M267" s="1243">
        <f t="shared" si="145"/>
        <v>0</v>
      </c>
      <c r="N267" s="1244">
        <f t="shared" si="145"/>
        <v>0</v>
      </c>
    </row>
    <row r="268" spans="1:14" s="887" customFormat="1" ht="15" hidden="1" customHeight="1">
      <c r="A268" s="2645"/>
      <c r="B268" s="2648" t="s">
        <v>2713</v>
      </c>
      <c r="C268" s="1245" t="s">
        <v>2705</v>
      </c>
      <c r="D268" s="1054"/>
      <c r="E268" s="1246"/>
      <c r="F268" s="1247" t="s">
        <v>2714</v>
      </c>
      <c r="G268" s="1248">
        <f>IF($F141&lt;=5000000,ROUND(18.03*(5000^-0.2027)*(G267^0.4017),2),ROUND(18.03*(($F141/1000)^-0.2027)*(G267^0.4017),2))</f>
        <v>4.72</v>
      </c>
      <c r="H268" s="1248">
        <f t="shared" ref="H268:N268" si="146">IF($F141&lt;=5000000,ROUND(18.03*(5000^-0.2027)*(H267^0.4017),2),ROUND(18.03*(($F141/1000)^-0.2027)*(H267^0.4017),2))</f>
        <v>4.72</v>
      </c>
      <c r="I268" s="1248">
        <f t="shared" si="146"/>
        <v>0</v>
      </c>
      <c r="J268" s="1248">
        <f t="shared" si="146"/>
        <v>0</v>
      </c>
      <c r="K268" s="1248">
        <f t="shared" si="146"/>
        <v>0</v>
      </c>
      <c r="L268" s="1248">
        <f t="shared" si="146"/>
        <v>0</v>
      </c>
      <c r="M268" s="1248">
        <f t="shared" si="146"/>
        <v>0</v>
      </c>
      <c r="N268" s="1248">
        <f t="shared" si="146"/>
        <v>0</v>
      </c>
    </row>
    <row r="269" spans="1:14" s="887" customFormat="1" ht="15" hidden="1" customHeight="1">
      <c r="A269" s="2646"/>
      <c r="B269" s="2649"/>
      <c r="C269" s="2653" t="s">
        <v>2715</v>
      </c>
      <c r="D269" s="1124"/>
      <c r="E269" s="1249"/>
      <c r="F269" s="1247" t="s">
        <v>2708</v>
      </c>
      <c r="G269" s="1250">
        <f>IF($F141&lt;=5000000,ROUND(6.07,2),0)</f>
        <v>0</v>
      </c>
      <c r="H269" s="1250">
        <f t="shared" ref="H269:N269" si="147">IF($F141&lt;=5000000,ROUND(6.07,2),0)</f>
        <v>0</v>
      </c>
      <c r="I269" s="1250">
        <f t="shared" si="147"/>
        <v>0</v>
      </c>
      <c r="J269" s="1250">
        <f t="shared" si="147"/>
        <v>0</v>
      </c>
      <c r="K269" s="1250">
        <f t="shared" si="147"/>
        <v>0</v>
      </c>
      <c r="L269" s="1250">
        <f t="shared" si="147"/>
        <v>0</v>
      </c>
      <c r="M269" s="1250">
        <f t="shared" si="147"/>
        <v>0</v>
      </c>
      <c r="N269" s="1250">
        <f t="shared" si="147"/>
        <v>0</v>
      </c>
    </row>
    <row r="270" spans="1:14" s="887" customFormat="1" ht="15" hidden="1" customHeight="1">
      <c r="A270" s="2646"/>
      <c r="B270" s="2649"/>
      <c r="C270" s="2654"/>
      <c r="D270" s="1251"/>
      <c r="E270" s="1252"/>
      <c r="F270" s="1247" t="s">
        <v>2709</v>
      </c>
      <c r="G270" s="1250">
        <f>IF($F141&lt;=5000000,ROUND(3.59,2),0)</f>
        <v>0</v>
      </c>
      <c r="H270" s="1250">
        <f t="shared" ref="H270:N270" si="148">IF($F141&lt;=5000000,ROUND(3.59,2),0)</f>
        <v>0</v>
      </c>
      <c r="I270" s="1250">
        <f t="shared" si="148"/>
        <v>0</v>
      </c>
      <c r="J270" s="1250">
        <f t="shared" si="148"/>
        <v>0</v>
      </c>
      <c r="K270" s="1250">
        <f t="shared" si="148"/>
        <v>0</v>
      </c>
      <c r="L270" s="1250">
        <f t="shared" si="148"/>
        <v>0</v>
      </c>
      <c r="M270" s="1250">
        <f t="shared" si="148"/>
        <v>0</v>
      </c>
      <c r="N270" s="1250">
        <f t="shared" si="148"/>
        <v>0</v>
      </c>
    </row>
    <row r="271" spans="1:14" s="887" customFormat="1" ht="15" hidden="1" customHeight="1">
      <c r="A271" s="2646"/>
      <c r="B271" s="2649"/>
      <c r="C271" s="2653" t="s">
        <v>2716</v>
      </c>
      <c r="D271" s="1124"/>
      <c r="E271" s="1249"/>
      <c r="F271" s="1247" t="s">
        <v>2708</v>
      </c>
      <c r="G271" s="1253">
        <f>IF($F141&gt;5000000,ROUND(11.74*($F141/1000)^-0.0774,2),0)</f>
        <v>5.86</v>
      </c>
      <c r="H271" s="1253">
        <f t="shared" ref="H271:N271" si="149">IF($F141&gt;5000000,ROUND(11.74*($F141/1000)^-0.0774,2),0)</f>
        <v>5.86</v>
      </c>
      <c r="I271" s="1253">
        <f t="shared" si="149"/>
        <v>5.86</v>
      </c>
      <c r="J271" s="1253">
        <f t="shared" si="149"/>
        <v>5.86</v>
      </c>
      <c r="K271" s="1253">
        <f t="shared" si="149"/>
        <v>5.86</v>
      </c>
      <c r="L271" s="1253">
        <f t="shared" si="149"/>
        <v>5.86</v>
      </c>
      <c r="M271" s="1253">
        <f t="shared" si="149"/>
        <v>5.86</v>
      </c>
      <c r="N271" s="1253">
        <f t="shared" si="149"/>
        <v>5.86</v>
      </c>
    </row>
    <row r="272" spans="1:14" s="887" customFormat="1" ht="15" hidden="1" customHeight="1">
      <c r="A272" s="2647"/>
      <c r="B272" s="2650"/>
      <c r="C272" s="2654"/>
      <c r="D272" s="1251"/>
      <c r="E272" s="1252"/>
      <c r="F272" s="1247" t="s">
        <v>2709</v>
      </c>
      <c r="G272" s="1253">
        <f>IF($F141&gt;5000000,ROUND(6.94*($F141/1000)^-0.0774,2),0)</f>
        <v>3.46</v>
      </c>
      <c r="H272" s="1253">
        <f t="shared" ref="H272:N272" si="150">IF($F141&gt;5000000,ROUND(6.94*($F141/1000)^-0.0774,2),0)</f>
        <v>3.46</v>
      </c>
      <c r="I272" s="1253">
        <f t="shared" si="150"/>
        <v>3.46</v>
      </c>
      <c r="J272" s="1253">
        <f t="shared" si="150"/>
        <v>3.46</v>
      </c>
      <c r="K272" s="1253">
        <f t="shared" si="150"/>
        <v>3.46</v>
      </c>
      <c r="L272" s="1253">
        <f t="shared" si="150"/>
        <v>3.46</v>
      </c>
      <c r="M272" s="1253">
        <f t="shared" si="150"/>
        <v>3.46</v>
      </c>
      <c r="N272" s="1253">
        <f t="shared" si="150"/>
        <v>3.46</v>
      </c>
    </row>
    <row r="273" spans="1:14" s="887" customFormat="1" ht="15" hidden="1" customHeight="1">
      <c r="A273" s="2655" t="s">
        <v>2711</v>
      </c>
      <c r="B273" s="2656"/>
      <c r="C273" s="2656"/>
      <c r="D273" s="2656"/>
      <c r="E273" s="2656"/>
      <c r="F273" s="2657"/>
      <c r="G273" s="1256">
        <f>IF($F141&lt;=5000000,IF(G$268&gt;G$269,G$269,IF(G$268&lt;G$270,G$270,G$268)),IF(G$268&gt;G$271,G$271,IF(G$268&lt;G$272,G$272,G$268)))</f>
        <v>4.72</v>
      </c>
      <c r="H273" s="1256">
        <f t="shared" ref="H273:N273" si="151">IF($F141&lt;=5000000,IF(H$268&gt;H$269,H$269,IF(H$268&lt;H$270,H$270,H$268)),IF(H$268&gt;H$271,H$271,IF(H$268&lt;H$272,H$272,H$268)))</f>
        <v>4.72</v>
      </c>
      <c r="I273" s="1256">
        <f t="shared" si="151"/>
        <v>3.46</v>
      </c>
      <c r="J273" s="1256">
        <f t="shared" si="151"/>
        <v>3.46</v>
      </c>
      <c r="K273" s="1256">
        <f t="shared" si="151"/>
        <v>3.46</v>
      </c>
      <c r="L273" s="1256">
        <f t="shared" si="151"/>
        <v>3.46</v>
      </c>
      <c r="M273" s="1256">
        <f t="shared" si="151"/>
        <v>3.46</v>
      </c>
      <c r="N273" s="1256">
        <f t="shared" si="151"/>
        <v>3.46</v>
      </c>
    </row>
    <row r="274" spans="1:14" s="887" customFormat="1" ht="15" hidden="1" customHeight="1" thickBot="1">
      <c r="A274" s="2658" t="s">
        <v>2712</v>
      </c>
      <c r="B274" s="2659"/>
      <c r="C274" s="2659"/>
      <c r="D274" s="2659"/>
      <c r="E274" s="2659"/>
      <c r="F274" s="2660"/>
      <c r="G274" s="1254">
        <f>ROUND(G273*IF(AND(G89="駅施設",G90="無し"),0.7,IF(AND(G89="駅施設",G90="有り"),0.7,IF(AND(G89="地上建物",G90="無し"),0.9,IF(AND(G89="地上建物",G90="有り"),1,0)))),2)</f>
        <v>3.3</v>
      </c>
      <c r="H274" s="1254">
        <f t="shared" ref="H274:N274" si="152">ROUND(H273*IF(AND(H89="駅施設",H90="無し"),0.7,IF(AND(H89="駅施設",H90="有り"),0.7,IF(AND(H89="地上建物",H90="無し"),0.9,IF(AND(H89="地上建物",H90="有り"),1,0)))),2)</f>
        <v>3.3</v>
      </c>
      <c r="I274" s="1254">
        <f t="shared" si="152"/>
        <v>2.42</v>
      </c>
      <c r="J274" s="1254">
        <f t="shared" si="152"/>
        <v>2.42</v>
      </c>
      <c r="K274" s="1254">
        <f t="shared" si="152"/>
        <v>2.42</v>
      </c>
      <c r="L274" s="1254">
        <f t="shared" si="152"/>
        <v>2.42</v>
      </c>
      <c r="M274" s="1254">
        <f t="shared" si="152"/>
        <v>2.42</v>
      </c>
      <c r="N274" s="1254">
        <f t="shared" si="152"/>
        <v>2.42</v>
      </c>
    </row>
    <row r="275" spans="1:14" s="887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7" customFormat="1" ht="15" hidden="1" customHeight="1">
      <c r="A276" s="1238"/>
      <c r="B276" s="1239"/>
      <c r="C276" s="1240" t="s">
        <v>2717</v>
      </c>
      <c r="D276" s="1241"/>
      <c r="E276" s="1239"/>
      <c r="F276" s="1242" t="s">
        <v>2703</v>
      </c>
      <c r="G276" s="1243">
        <f>+G284</f>
        <v>3.3</v>
      </c>
      <c r="H276" s="1243">
        <f t="shared" ref="H276:N276" si="153">+H284</f>
        <v>3.3</v>
      </c>
      <c r="I276" s="1243">
        <f t="shared" si="153"/>
        <v>0</v>
      </c>
      <c r="J276" s="1243">
        <f t="shared" si="153"/>
        <v>0</v>
      </c>
      <c r="K276" s="1243">
        <f>+K284</f>
        <v>0</v>
      </c>
      <c r="L276" s="1243">
        <f t="shared" si="153"/>
        <v>0</v>
      </c>
      <c r="M276" s="1243">
        <f t="shared" si="153"/>
        <v>0</v>
      </c>
      <c r="N276" s="1244">
        <f t="shared" si="153"/>
        <v>0</v>
      </c>
    </row>
    <row r="277" spans="1:14" s="887" customFormat="1" ht="15" hidden="1" customHeight="1">
      <c r="A277" s="2645"/>
      <c r="B277" s="2648" t="s">
        <v>2704</v>
      </c>
      <c r="C277" s="1245" t="s">
        <v>2718</v>
      </c>
      <c r="D277" s="1054"/>
      <c r="E277" s="1246"/>
      <c r="F277" s="1247" t="s">
        <v>2719</v>
      </c>
      <c r="G277" s="1248">
        <f>IF($F180&lt;=10000000,ROUND(151.08*((10000)^-0.3396)*(G276^0.586),2),ROUND(151.08*(($F180/1000)^-0.3396)*(G276^0.586),2))</f>
        <v>13.32</v>
      </c>
      <c r="H277" s="1248">
        <f t="shared" ref="H277:N277" si="154">IF($F180&lt;=10000000,ROUND(151.08*((10000)^-0.3396)*(H276^0.586),2),ROUND(151.08*(($F180/1000)^-0.3396)*(H276^0.586),2))</f>
        <v>13.32</v>
      </c>
      <c r="I277" s="1248">
        <f t="shared" si="154"/>
        <v>0</v>
      </c>
      <c r="J277" s="1248">
        <f t="shared" si="154"/>
        <v>0</v>
      </c>
      <c r="K277" s="1248">
        <f t="shared" si="154"/>
        <v>0</v>
      </c>
      <c r="L277" s="1248">
        <f t="shared" si="154"/>
        <v>0</v>
      </c>
      <c r="M277" s="1248">
        <f t="shared" si="154"/>
        <v>0</v>
      </c>
      <c r="N277" s="1248">
        <f t="shared" si="154"/>
        <v>0</v>
      </c>
    </row>
    <row r="278" spans="1:14" s="887" customFormat="1" ht="15" hidden="1" customHeight="1">
      <c r="A278" s="2646"/>
      <c r="B278" s="2649"/>
      <c r="C278" s="2653" t="s">
        <v>2720</v>
      </c>
      <c r="D278" s="1124"/>
      <c r="E278" s="1249"/>
      <c r="F278" s="1247" t="s">
        <v>2708</v>
      </c>
      <c r="G278" s="1250">
        <f>IF($F180&lt;=10000000,ROUND(20.13,2),0)</f>
        <v>20.13</v>
      </c>
      <c r="H278" s="1250">
        <f t="shared" ref="H278:N278" si="155">IF($F180&lt;=10000000,ROUND(20.13,2),0)</f>
        <v>20.13</v>
      </c>
      <c r="I278" s="1250">
        <f t="shared" si="155"/>
        <v>20.13</v>
      </c>
      <c r="J278" s="1250">
        <f t="shared" si="155"/>
        <v>20.13</v>
      </c>
      <c r="K278" s="1250">
        <f t="shared" si="155"/>
        <v>20.13</v>
      </c>
      <c r="L278" s="1250">
        <f t="shared" si="155"/>
        <v>20.13</v>
      </c>
      <c r="M278" s="1250">
        <f t="shared" si="155"/>
        <v>20.13</v>
      </c>
      <c r="N278" s="1250">
        <f t="shared" si="155"/>
        <v>20.13</v>
      </c>
    </row>
    <row r="279" spans="1:14" s="887" customFormat="1" ht="15" hidden="1" customHeight="1">
      <c r="A279" s="2646"/>
      <c r="B279" s="2649"/>
      <c r="C279" s="2654"/>
      <c r="D279" s="1251"/>
      <c r="E279" s="1252"/>
      <c r="F279" s="1247" t="s">
        <v>2709</v>
      </c>
      <c r="G279" s="1250">
        <f>IF($F180&lt;=10000000,ROUND(10.01,2),0)</f>
        <v>10.01</v>
      </c>
      <c r="H279" s="1250">
        <f t="shared" ref="H279:N279" si="156">IF($F180&lt;=10000000,ROUND(10.01,2),0)</f>
        <v>10.01</v>
      </c>
      <c r="I279" s="1250">
        <f t="shared" si="156"/>
        <v>10.01</v>
      </c>
      <c r="J279" s="1250">
        <f t="shared" si="156"/>
        <v>10.01</v>
      </c>
      <c r="K279" s="1250">
        <f t="shared" si="156"/>
        <v>10.01</v>
      </c>
      <c r="L279" s="1250">
        <f t="shared" si="156"/>
        <v>10.01</v>
      </c>
      <c r="M279" s="1250">
        <f t="shared" si="156"/>
        <v>10.01</v>
      </c>
      <c r="N279" s="1250">
        <f t="shared" si="156"/>
        <v>10.01</v>
      </c>
    </row>
    <row r="280" spans="1:14" s="887" customFormat="1" ht="15" hidden="1" customHeight="1">
      <c r="A280" s="2646"/>
      <c r="B280" s="2649"/>
      <c r="C280" s="2653" t="s">
        <v>2721</v>
      </c>
      <c r="D280" s="1124"/>
      <c r="E280" s="1249"/>
      <c r="F280" s="1247" t="s">
        <v>2708</v>
      </c>
      <c r="G280" s="1253">
        <f>IF($F180&gt;10000000,ROUND(75.97*($F180/1000)^-0.1442,2),0)</f>
        <v>0</v>
      </c>
      <c r="H280" s="1253">
        <f t="shared" ref="H280:N280" si="157">IF($F180&gt;10000000,ROUND(75.97*($F180/1000)^-0.1442,2),0)</f>
        <v>0</v>
      </c>
      <c r="I280" s="1253">
        <f t="shared" si="157"/>
        <v>0</v>
      </c>
      <c r="J280" s="1253">
        <f t="shared" si="157"/>
        <v>0</v>
      </c>
      <c r="K280" s="1253">
        <f t="shared" si="157"/>
        <v>0</v>
      </c>
      <c r="L280" s="1253">
        <f t="shared" si="157"/>
        <v>0</v>
      </c>
      <c r="M280" s="1253">
        <f t="shared" si="157"/>
        <v>0</v>
      </c>
      <c r="N280" s="1253">
        <f t="shared" si="157"/>
        <v>0</v>
      </c>
    </row>
    <row r="281" spans="1:14" s="887" customFormat="1" ht="15" hidden="1" customHeight="1">
      <c r="A281" s="2647"/>
      <c r="B281" s="2650"/>
      <c r="C281" s="2654"/>
      <c r="D281" s="1251"/>
      <c r="E281" s="1252"/>
      <c r="F281" s="1247" t="s">
        <v>2709</v>
      </c>
      <c r="G281" s="1253">
        <f>IF($F180&gt;10000000,ROUND(37.76*($F180/1000)^-0.1442,2),0)</f>
        <v>0</v>
      </c>
      <c r="H281" s="1253">
        <f t="shared" ref="H281:N281" si="158">IF($F180&gt;10000000,ROUND(37.76*($F180/1000)^-0.1442,2),0)</f>
        <v>0</v>
      </c>
      <c r="I281" s="1253">
        <f t="shared" si="158"/>
        <v>0</v>
      </c>
      <c r="J281" s="1253">
        <f t="shared" si="158"/>
        <v>0</v>
      </c>
      <c r="K281" s="1253">
        <f t="shared" si="158"/>
        <v>0</v>
      </c>
      <c r="L281" s="1253">
        <f t="shared" si="158"/>
        <v>0</v>
      </c>
      <c r="M281" s="1253">
        <f t="shared" si="158"/>
        <v>0</v>
      </c>
      <c r="N281" s="1253">
        <f t="shared" si="158"/>
        <v>0</v>
      </c>
    </row>
    <row r="282" spans="1:14" s="887" customFormat="1" ht="15" hidden="1" customHeight="1" thickBot="1">
      <c r="A282" s="2651" t="s">
        <v>2722</v>
      </c>
      <c r="B282" s="2652"/>
      <c r="C282" s="2652"/>
      <c r="D282" s="2652"/>
      <c r="E282" s="1257"/>
      <c r="F282" s="1258"/>
      <c r="G282" s="1259">
        <f>IF($F180&lt;=10000000,IF(G$277&gt;G$278,G$278,IF(G$277&lt;G$279,G$279,G$277)),IF(G$277&gt;G$280,G$280,IF(G$277&lt;G$281,G$281,G$277)))</f>
        <v>13.32</v>
      </c>
      <c r="H282" s="1259">
        <f t="shared" ref="H282:N282" si="159">IF($F180&lt;=10000000,IF(H$277&gt;H$278,H$278,IF(H$277&lt;H$279,H$279,H$277)),IF(H$277&gt;H$280,H$280,IF(H$277&lt;H$281,H$281,H$277)))</f>
        <v>13.32</v>
      </c>
      <c r="I282" s="1259">
        <f t="shared" si="159"/>
        <v>10.01</v>
      </c>
      <c r="J282" s="1259">
        <f t="shared" si="159"/>
        <v>10.01</v>
      </c>
      <c r="K282" s="1259">
        <f t="shared" si="159"/>
        <v>10.01</v>
      </c>
      <c r="L282" s="1259">
        <f t="shared" si="159"/>
        <v>10.01</v>
      </c>
      <c r="M282" s="1259">
        <f t="shared" si="159"/>
        <v>10.01</v>
      </c>
      <c r="N282" s="1259">
        <f t="shared" si="159"/>
        <v>10.01</v>
      </c>
    </row>
    <row r="283" spans="1:14" s="887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7" customFormat="1" ht="15" hidden="1" customHeight="1">
      <c r="A284" s="1238"/>
      <c r="B284" s="1239"/>
      <c r="C284" s="1240" t="s">
        <v>2717</v>
      </c>
      <c r="D284" s="1241"/>
      <c r="E284" s="1239"/>
      <c r="F284" s="1242" t="s">
        <v>2703</v>
      </c>
      <c r="G284" s="1243">
        <f t="shared" ref="G284:N284" si="160">+G84</f>
        <v>3.3</v>
      </c>
      <c r="H284" s="1243">
        <f t="shared" si="160"/>
        <v>3.3</v>
      </c>
      <c r="I284" s="1243">
        <f t="shared" si="160"/>
        <v>0</v>
      </c>
      <c r="J284" s="1243">
        <f t="shared" si="160"/>
        <v>0</v>
      </c>
      <c r="K284" s="1243">
        <f t="shared" si="160"/>
        <v>0</v>
      </c>
      <c r="L284" s="1243">
        <f t="shared" si="160"/>
        <v>0</v>
      </c>
      <c r="M284" s="1243">
        <f t="shared" si="160"/>
        <v>0</v>
      </c>
      <c r="N284" s="1244">
        <f t="shared" si="160"/>
        <v>0</v>
      </c>
    </row>
    <row r="285" spans="1:14" s="887" customFormat="1" ht="15" hidden="1" customHeight="1">
      <c r="A285" s="2645"/>
      <c r="B285" s="2648" t="s">
        <v>2713</v>
      </c>
      <c r="C285" s="1245" t="s">
        <v>2718</v>
      </c>
      <c r="D285" s="1054"/>
      <c r="E285" s="1246"/>
      <c r="F285" s="1247" t="s">
        <v>2723</v>
      </c>
      <c r="G285" s="1248">
        <f>IF($F180&lt;=5000000,ROUND(356.2*((5000)^-0.4085)*(G284^0.5766),2),ROUND(356.2*(($F180/1000)^-0.4085)*(G284^0.5766),2))</f>
        <v>17.600000000000001</v>
      </c>
      <c r="H285" s="1248">
        <f t="shared" ref="H285:N285" si="161">IF($F180&lt;=5000000,ROUND(356.2*((5000)^-0.4085)*(H284^0.5766),2),ROUND(356.2*(($F180/1000)^-0.4085)*(H284^0.5766),2))</f>
        <v>17.600000000000001</v>
      </c>
      <c r="I285" s="1248">
        <f t="shared" si="161"/>
        <v>0</v>
      </c>
      <c r="J285" s="1248">
        <f t="shared" si="161"/>
        <v>0</v>
      </c>
      <c r="K285" s="1248">
        <f t="shared" si="161"/>
        <v>0</v>
      </c>
      <c r="L285" s="1248">
        <f t="shared" si="161"/>
        <v>0</v>
      </c>
      <c r="M285" s="1248">
        <f t="shared" si="161"/>
        <v>0</v>
      </c>
      <c r="N285" s="1248">
        <f t="shared" si="161"/>
        <v>0</v>
      </c>
    </row>
    <row r="286" spans="1:14" s="887" customFormat="1" ht="15" hidden="1" customHeight="1">
      <c r="A286" s="2646"/>
      <c r="B286" s="2649"/>
      <c r="C286" s="2653" t="s">
        <v>2724</v>
      </c>
      <c r="D286" s="1124"/>
      <c r="E286" s="1249"/>
      <c r="F286" s="1247" t="s">
        <v>2708</v>
      </c>
      <c r="G286" s="1250">
        <f>IF($F180&lt;=5000000,ROUND(26.86,2),0)</f>
        <v>0</v>
      </c>
      <c r="H286" s="1250">
        <f t="shared" ref="H286:N286" si="162">IF($F180&lt;=5000000,ROUND(26.86,2),0)</f>
        <v>0</v>
      </c>
      <c r="I286" s="1250">
        <f t="shared" si="162"/>
        <v>0</v>
      </c>
      <c r="J286" s="1250">
        <f t="shared" si="162"/>
        <v>0</v>
      </c>
      <c r="K286" s="1250">
        <f t="shared" si="162"/>
        <v>0</v>
      </c>
      <c r="L286" s="1250">
        <f t="shared" si="162"/>
        <v>0</v>
      </c>
      <c r="M286" s="1250">
        <f t="shared" si="162"/>
        <v>0</v>
      </c>
      <c r="N286" s="1250">
        <f t="shared" si="162"/>
        <v>0</v>
      </c>
    </row>
    <row r="287" spans="1:14" s="887" customFormat="1" ht="15" hidden="1" customHeight="1">
      <c r="A287" s="2646"/>
      <c r="B287" s="2649"/>
      <c r="C287" s="2654"/>
      <c r="D287" s="1251"/>
      <c r="E287" s="1252"/>
      <c r="F287" s="1247" t="s">
        <v>2709</v>
      </c>
      <c r="G287" s="1250">
        <f>IF($F180&lt;=5000000,ROUND(12.7,2),0)</f>
        <v>0</v>
      </c>
      <c r="H287" s="1250">
        <f t="shared" ref="H287:N287" si="163">IF($F180&lt;=5000000,ROUND(12.7,2),0)</f>
        <v>0</v>
      </c>
      <c r="I287" s="1250">
        <f t="shared" si="163"/>
        <v>0</v>
      </c>
      <c r="J287" s="1250">
        <f t="shared" si="163"/>
        <v>0</v>
      </c>
      <c r="K287" s="1250">
        <f t="shared" si="163"/>
        <v>0</v>
      </c>
      <c r="L287" s="1250">
        <f t="shared" si="163"/>
        <v>0</v>
      </c>
      <c r="M287" s="1250">
        <f t="shared" si="163"/>
        <v>0</v>
      </c>
      <c r="N287" s="1250">
        <f t="shared" si="163"/>
        <v>0</v>
      </c>
    </row>
    <row r="288" spans="1:14" s="887" customFormat="1" ht="15" hidden="1" customHeight="1">
      <c r="A288" s="2646"/>
      <c r="B288" s="2649"/>
      <c r="C288" s="2653" t="s">
        <v>2725</v>
      </c>
      <c r="D288" s="1124"/>
      <c r="E288" s="1249"/>
      <c r="F288" s="1247" t="s">
        <v>2708</v>
      </c>
      <c r="G288" s="1253">
        <f>IF($F180&gt;5000000,ROUND(184.58*($F180/1000)^-0.2263,2),0)</f>
        <v>23.82</v>
      </c>
      <c r="H288" s="1253">
        <f t="shared" ref="H288:N288" si="164">IF($F180&gt;5000000,ROUND(184.58*($F180/1000)^-0.2263,2),0)</f>
        <v>23.82</v>
      </c>
      <c r="I288" s="1253">
        <f t="shared" si="164"/>
        <v>23.82</v>
      </c>
      <c r="J288" s="1253">
        <f t="shared" si="164"/>
        <v>23.82</v>
      </c>
      <c r="K288" s="1253">
        <f t="shared" si="164"/>
        <v>23.82</v>
      </c>
      <c r="L288" s="1253">
        <f t="shared" si="164"/>
        <v>23.82</v>
      </c>
      <c r="M288" s="1253">
        <f t="shared" si="164"/>
        <v>23.82</v>
      </c>
      <c r="N288" s="1253">
        <f t="shared" si="164"/>
        <v>23.82</v>
      </c>
    </row>
    <row r="289" spans="1:14" s="887" customFormat="1" ht="15" hidden="1" customHeight="1">
      <c r="A289" s="2647"/>
      <c r="B289" s="2650"/>
      <c r="C289" s="2654"/>
      <c r="D289" s="1251"/>
      <c r="E289" s="1252"/>
      <c r="F289" s="1247" t="s">
        <v>2709</v>
      </c>
      <c r="G289" s="1253">
        <f>IF($F180&gt;5000000,ROUND(87.29*($F180/1000)^-0.2263,2),0)</f>
        <v>11.27</v>
      </c>
      <c r="H289" s="1253">
        <f t="shared" ref="H289:N289" si="165">IF($F180&gt;5000000,ROUND(87.29*($F180/1000)^-0.2263,2),0)</f>
        <v>11.27</v>
      </c>
      <c r="I289" s="1253">
        <f t="shared" si="165"/>
        <v>11.27</v>
      </c>
      <c r="J289" s="1253">
        <f t="shared" si="165"/>
        <v>11.27</v>
      </c>
      <c r="K289" s="1253">
        <f t="shared" si="165"/>
        <v>11.27</v>
      </c>
      <c r="L289" s="1253">
        <f t="shared" si="165"/>
        <v>11.27</v>
      </c>
      <c r="M289" s="1253">
        <f t="shared" si="165"/>
        <v>11.27</v>
      </c>
      <c r="N289" s="1253">
        <f t="shared" si="165"/>
        <v>11.27</v>
      </c>
    </row>
    <row r="290" spans="1:14" s="887" customFormat="1" ht="15" hidden="1" customHeight="1" thickBot="1">
      <c r="A290" s="2651" t="s">
        <v>2722</v>
      </c>
      <c r="B290" s="2652"/>
      <c r="C290" s="2652"/>
      <c r="D290" s="2652"/>
      <c r="E290" s="1260"/>
      <c r="F290" s="1258"/>
      <c r="G290" s="1261">
        <f>IF($F180&lt;=5000000,IF(G$285&gt;G$286,G$286,IF(G$285&lt;G$287,G$287,G$285)),IF(G$285&gt;G$288,G$288,IF(G$285&lt;G$289,G$289,G$285)))</f>
        <v>17.600000000000001</v>
      </c>
      <c r="H290" s="1261">
        <f t="shared" ref="H290:N290" si="166">IF($F180&lt;=5000000,IF(H$285&gt;H$286,H$286,IF(H$285&lt;H$287,H$287,H$285)),IF(H$285&gt;H$288,H$288,IF(H$285&lt;H$289,H$289,H$285)))</f>
        <v>17.600000000000001</v>
      </c>
      <c r="I290" s="1261">
        <f t="shared" si="166"/>
        <v>11.27</v>
      </c>
      <c r="J290" s="1261">
        <f t="shared" si="166"/>
        <v>11.27</v>
      </c>
      <c r="K290" s="1261">
        <f t="shared" si="166"/>
        <v>11.27</v>
      </c>
      <c r="L290" s="1261">
        <f t="shared" si="166"/>
        <v>11.27</v>
      </c>
      <c r="M290" s="1261">
        <f t="shared" si="166"/>
        <v>11.27</v>
      </c>
      <c r="N290" s="1261">
        <f t="shared" si="166"/>
        <v>11.27</v>
      </c>
    </row>
    <row r="291" spans="1:14" s="887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7" customFormat="1" ht="15" hidden="1" customHeight="1">
      <c r="A292" s="1238"/>
      <c r="B292" s="1239"/>
      <c r="C292" s="1240" t="s">
        <v>2726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7" customFormat="1" ht="14.25" hidden="1" customHeight="1">
      <c r="A293" s="2645"/>
      <c r="B293" s="2648" t="s">
        <v>81</v>
      </c>
      <c r="C293" s="1245" t="s">
        <v>2727</v>
      </c>
      <c r="D293" s="1054"/>
      <c r="E293" s="1246"/>
      <c r="F293" s="1247" t="s">
        <v>2728</v>
      </c>
      <c r="G293" s="1265">
        <f>ROUND(28.978-3.173*LOG($F224/1000),2)</f>
        <v>16.28</v>
      </c>
      <c r="H293" s="1266"/>
      <c r="I293" s="1267"/>
      <c r="J293" s="1267"/>
      <c r="K293" s="1267"/>
      <c r="L293" s="1267"/>
      <c r="M293" s="1267"/>
      <c r="N293" s="1267"/>
    </row>
    <row r="294" spans="1:14" s="887" customFormat="1" ht="14.25" hidden="1" customHeight="1">
      <c r="A294" s="2646"/>
      <c r="B294" s="2649"/>
      <c r="C294" s="1268" t="s">
        <v>2729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50"/>
      <c r="K294" s="1272"/>
      <c r="L294" s="1272"/>
      <c r="M294" s="1272"/>
      <c r="N294" s="1272"/>
    </row>
    <row r="295" spans="1:14" s="887" customFormat="1" ht="15" hidden="1" customHeight="1">
      <c r="A295" s="2647"/>
      <c r="B295" s="2650"/>
      <c r="C295" s="1268" t="s">
        <v>2730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7" customFormat="1" ht="15" hidden="1" customHeight="1" thickBot="1">
      <c r="A296" s="2651" t="s">
        <v>2731</v>
      </c>
      <c r="B296" s="2652"/>
      <c r="C296" s="2652"/>
      <c r="D296" s="2652"/>
      <c r="E296" s="1260"/>
      <c r="F296" s="1258"/>
      <c r="G296" s="1275">
        <f>IF($F224&lt;=5000000,G294,IF($F224&gt;3000000000,G295,G293))</f>
        <v>16.28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6" customFormat="1" ht="15" customHeight="1">
      <c r="A298" s="1023"/>
      <c r="B298" s="1023"/>
      <c r="C298" s="1024"/>
      <c r="D298" s="1025"/>
      <c r="E298" s="1026" t="s">
        <v>2522</v>
      </c>
      <c r="F298" s="1027" t="str">
        <f>+F82</f>
        <v>大阪ビジネスパーク駅中階天井改良工事　第1回設計変更</v>
      </c>
      <c r="G298" s="1028"/>
      <c r="H298" s="1029"/>
      <c r="I298" s="1030"/>
      <c r="J298" s="835"/>
      <c r="K298" s="835"/>
      <c r="L298" s="835"/>
      <c r="M298" s="835"/>
      <c r="N298" s="836" t="s">
        <v>2732</v>
      </c>
    </row>
    <row r="299" spans="1:14" s="887" customFormat="1" ht="15" customHeight="1">
      <c r="A299" s="1031"/>
      <c r="B299" s="1031"/>
      <c r="C299" s="1032" t="s">
        <v>2733</v>
      </c>
      <c r="D299" s="808"/>
      <c r="E299" s="1033"/>
      <c r="F299" s="1034" t="s">
        <v>2607</v>
      </c>
      <c r="G299" s="1035" t="s">
        <v>2734</v>
      </c>
      <c r="H299" s="1036"/>
      <c r="J299" s="1037"/>
      <c r="K299" s="1037"/>
      <c r="L299" s="1037"/>
      <c r="M299" s="1034"/>
      <c r="N299" s="1038"/>
    </row>
    <row r="300" spans="1:14" s="876" customFormat="1" ht="15" customHeight="1">
      <c r="A300" s="868"/>
      <c r="B300" s="869"/>
      <c r="C300" s="870" t="s">
        <v>2531</v>
      </c>
      <c r="D300" s="871"/>
      <c r="E300" s="872"/>
      <c r="F300" s="873" t="s">
        <v>2609</v>
      </c>
      <c r="G300" s="874">
        <f t="shared" ref="G300:N300" si="167">+G8</f>
        <v>3.3</v>
      </c>
      <c r="H300" s="874">
        <f t="shared" si="167"/>
        <v>3.3</v>
      </c>
      <c r="I300" s="874">
        <f t="shared" si="167"/>
        <v>0</v>
      </c>
      <c r="J300" s="874">
        <f t="shared" si="167"/>
        <v>0</v>
      </c>
      <c r="K300" s="874">
        <f t="shared" si="167"/>
        <v>0</v>
      </c>
      <c r="L300" s="874">
        <f t="shared" si="167"/>
        <v>0</v>
      </c>
      <c r="M300" s="874">
        <f t="shared" si="167"/>
        <v>0</v>
      </c>
      <c r="N300" s="875">
        <f t="shared" si="167"/>
        <v>0</v>
      </c>
    </row>
    <row r="301" spans="1:14" s="876" customFormat="1" ht="15" customHeight="1">
      <c r="A301" s="877"/>
      <c r="B301" s="878"/>
      <c r="C301" s="879" t="s">
        <v>2533</v>
      </c>
      <c r="D301" s="880"/>
      <c r="E301" s="881"/>
      <c r="F301" s="882" t="s">
        <v>2610</v>
      </c>
      <c r="G301" s="1280" t="str">
        <f t="shared" ref="G301:N301" si="168">G85</f>
        <v>改修</v>
      </c>
      <c r="H301" s="1280" t="str">
        <f t="shared" si="168"/>
        <v>改修</v>
      </c>
      <c r="I301" s="1280">
        <f t="shared" si="168"/>
        <v>0</v>
      </c>
      <c r="J301" s="1280">
        <f t="shared" si="168"/>
        <v>0</v>
      </c>
      <c r="K301" s="1280">
        <f t="shared" si="168"/>
        <v>0</v>
      </c>
      <c r="L301" s="1280">
        <f t="shared" si="168"/>
        <v>0</v>
      </c>
      <c r="M301" s="1280">
        <f t="shared" si="168"/>
        <v>0</v>
      </c>
      <c r="N301" s="1280">
        <f t="shared" si="168"/>
        <v>0</v>
      </c>
    </row>
    <row r="302" spans="1:14" s="887" customFormat="1" ht="15" customHeight="1">
      <c r="A302" s="877"/>
      <c r="B302" s="878"/>
      <c r="C302" s="878" t="s">
        <v>2611</v>
      </c>
      <c r="D302" s="878"/>
      <c r="E302" s="1181" t="str">
        <f>+E86</f>
        <v>有り</v>
      </c>
      <c r="F302" s="1044" t="s">
        <v>2526</v>
      </c>
      <c r="G302" s="1281" t="str">
        <f t="shared" ref="G302:N302" si="169">+G3</f>
        <v>天井改良</v>
      </c>
      <c r="H302" s="1281" t="str">
        <f t="shared" si="169"/>
        <v>居室内装修理</v>
      </c>
      <c r="I302" s="1281">
        <f t="shared" si="169"/>
        <v>0</v>
      </c>
      <c r="J302" s="1281">
        <f t="shared" si="169"/>
        <v>0</v>
      </c>
      <c r="K302" s="1281">
        <f t="shared" si="169"/>
        <v>0</v>
      </c>
      <c r="L302" s="1281">
        <f t="shared" si="169"/>
        <v>0</v>
      </c>
      <c r="M302" s="1281">
        <f t="shared" si="169"/>
        <v>0</v>
      </c>
      <c r="N302" s="1282">
        <f t="shared" si="169"/>
        <v>0</v>
      </c>
    </row>
    <row r="303" spans="1:14" s="887" customFormat="1" ht="15" customHeight="1">
      <c r="A303" s="877"/>
      <c r="B303" s="878"/>
      <c r="C303" s="878" t="s">
        <v>2613</v>
      </c>
      <c r="D303" s="878"/>
      <c r="E303" s="1181" t="str">
        <f>+E87</f>
        <v>有り</v>
      </c>
      <c r="F303" s="1047" t="s">
        <v>2614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7" customFormat="1" ht="15" customHeight="1">
      <c r="A304" s="2698" t="s">
        <v>2534</v>
      </c>
      <c r="B304" s="2699"/>
      <c r="C304" s="2699"/>
      <c r="D304" s="2699"/>
      <c r="E304" s="2699"/>
      <c r="F304" s="2700"/>
      <c r="G304" s="885" t="str">
        <f t="shared" ref="G304:N304" si="170">+G10</f>
        <v>積上げ・率処理併用</v>
      </c>
      <c r="H304" s="885" t="str">
        <f t="shared" si="170"/>
        <v>積上げ・率処理併用</v>
      </c>
      <c r="I304" s="885" t="str">
        <f t="shared" si="170"/>
        <v>積上げ・率処理併用</v>
      </c>
      <c r="J304" s="885" t="str">
        <f t="shared" si="170"/>
        <v>積上げ・率処理併用</v>
      </c>
      <c r="K304" s="885" t="str">
        <f t="shared" si="170"/>
        <v>積上げ・率処理併用</v>
      </c>
      <c r="L304" s="885" t="str">
        <f t="shared" si="170"/>
        <v>積上げ・率処理併用</v>
      </c>
      <c r="M304" s="885" t="str">
        <f t="shared" si="170"/>
        <v>積上げ・率処理併用</v>
      </c>
      <c r="N304" s="886" t="str">
        <f t="shared" si="170"/>
        <v>積上げ・率処理併用</v>
      </c>
    </row>
    <row r="305" spans="1:14" s="887" customFormat="1" ht="30" customHeight="1">
      <c r="A305" s="2701" t="s">
        <v>2535</v>
      </c>
      <c r="B305" s="2702"/>
      <c r="C305" s="2702"/>
      <c r="D305" s="2702"/>
      <c r="E305" s="2702"/>
      <c r="F305" s="2703"/>
      <c r="G305" s="1285" t="str">
        <f>G11</f>
        <v>駅施設</v>
      </c>
      <c r="H305" s="1285" t="str">
        <f t="shared" ref="H305:N306" si="171">H11</f>
        <v>駅施設</v>
      </c>
      <c r="I305" s="1285" t="str">
        <f t="shared" si="171"/>
        <v>駅施設</v>
      </c>
      <c r="J305" s="1285" t="str">
        <f t="shared" si="171"/>
        <v>駅施設</v>
      </c>
      <c r="K305" s="1285" t="str">
        <f t="shared" si="171"/>
        <v>駅施設</v>
      </c>
      <c r="L305" s="1285" t="str">
        <f t="shared" si="171"/>
        <v>駅施設</v>
      </c>
      <c r="M305" s="1285" t="str">
        <f t="shared" si="171"/>
        <v>駅施設</v>
      </c>
      <c r="N305" s="1286" t="str">
        <f t="shared" si="171"/>
        <v>駅施設</v>
      </c>
    </row>
    <row r="306" spans="1:14" s="887" customFormat="1" ht="30" customHeight="1">
      <c r="A306" s="2704" t="s">
        <v>2536</v>
      </c>
      <c r="B306" s="2705"/>
      <c r="C306" s="2705"/>
      <c r="D306" s="2705"/>
      <c r="E306" s="2705"/>
      <c r="F306" s="2706"/>
      <c r="G306" s="1287" t="str">
        <f>G12</f>
        <v>無し</v>
      </c>
      <c r="H306" s="1287" t="str">
        <f t="shared" si="171"/>
        <v>無し</v>
      </c>
      <c r="I306" s="1287" t="str">
        <f t="shared" si="171"/>
        <v>無し</v>
      </c>
      <c r="J306" s="1287" t="str">
        <f t="shared" si="171"/>
        <v>無し</v>
      </c>
      <c r="K306" s="1287" t="str">
        <f t="shared" si="171"/>
        <v>無し</v>
      </c>
      <c r="L306" s="1287" t="str">
        <f t="shared" si="171"/>
        <v>無し</v>
      </c>
      <c r="M306" s="1287" t="str">
        <f t="shared" si="171"/>
        <v>無し</v>
      </c>
      <c r="N306" s="1288" t="str">
        <f t="shared" si="171"/>
        <v>無し</v>
      </c>
    </row>
    <row r="307" spans="1:14" s="887" customFormat="1" ht="15" customHeight="1">
      <c r="A307" s="868"/>
      <c r="B307" s="892" t="s">
        <v>2618</v>
      </c>
      <c r="C307" s="893"/>
      <c r="D307" s="893"/>
      <c r="E307" s="894"/>
      <c r="F307" s="895">
        <f>SUM(G307:N307)</f>
        <v>9004294</v>
      </c>
      <c r="G307" s="896">
        <f>+G308+G312</f>
        <v>8581077</v>
      </c>
      <c r="H307" s="896">
        <f t="shared" ref="H307:N307" si="172">+H308+H312</f>
        <v>423217</v>
      </c>
      <c r="I307" s="896">
        <f t="shared" si="172"/>
        <v>0</v>
      </c>
      <c r="J307" s="896">
        <f t="shared" si="172"/>
        <v>0</v>
      </c>
      <c r="K307" s="896">
        <f t="shared" si="172"/>
        <v>0</v>
      </c>
      <c r="L307" s="896">
        <f t="shared" si="172"/>
        <v>0</v>
      </c>
      <c r="M307" s="896">
        <f t="shared" si="172"/>
        <v>0</v>
      </c>
      <c r="N307" s="897">
        <f t="shared" si="172"/>
        <v>0</v>
      </c>
    </row>
    <row r="308" spans="1:14" s="887" customFormat="1" ht="15" customHeight="1">
      <c r="A308" s="877"/>
      <c r="B308" s="878"/>
      <c r="C308" s="694" t="s">
        <v>2538</v>
      </c>
      <c r="D308" s="695"/>
      <c r="E308" s="872"/>
      <c r="F308" s="898">
        <f>SUM(G308:N308)</f>
        <v>8425082</v>
      </c>
      <c r="G308" s="1289">
        <f t="shared" ref="G308:N308" si="173">+G92+G14</f>
        <v>8015208</v>
      </c>
      <c r="H308" s="1289">
        <f t="shared" si="173"/>
        <v>409874</v>
      </c>
      <c r="I308" s="1289">
        <f t="shared" si="173"/>
        <v>0</v>
      </c>
      <c r="J308" s="1289">
        <f t="shared" si="173"/>
        <v>0</v>
      </c>
      <c r="K308" s="1289">
        <f t="shared" si="173"/>
        <v>0</v>
      </c>
      <c r="L308" s="1289">
        <f t="shared" si="173"/>
        <v>0</v>
      </c>
      <c r="M308" s="1289">
        <f t="shared" si="173"/>
        <v>0</v>
      </c>
      <c r="N308" s="1290">
        <f t="shared" si="173"/>
        <v>0</v>
      </c>
    </row>
    <row r="309" spans="1:14" s="887" customFormat="1" ht="15" customHeight="1">
      <c r="A309" s="877"/>
      <c r="B309" s="878"/>
      <c r="C309" s="1054"/>
      <c r="D309" s="1054"/>
      <c r="E309" s="901"/>
      <c r="F309" s="902" t="s">
        <v>2619</v>
      </c>
      <c r="G309" s="903">
        <f t="shared" ref="G309:N309" si="174">SUM(G401:G410)</f>
        <v>34484</v>
      </c>
      <c r="H309" s="903">
        <f t="shared" si="174"/>
        <v>1808</v>
      </c>
      <c r="I309" s="903">
        <f t="shared" si="174"/>
        <v>0</v>
      </c>
      <c r="J309" s="903">
        <f t="shared" si="174"/>
        <v>0</v>
      </c>
      <c r="K309" s="903">
        <f t="shared" si="174"/>
        <v>0</v>
      </c>
      <c r="L309" s="903">
        <f t="shared" si="174"/>
        <v>0</v>
      </c>
      <c r="M309" s="903">
        <f t="shared" si="174"/>
        <v>0</v>
      </c>
      <c r="N309" s="904">
        <f t="shared" si="174"/>
        <v>0</v>
      </c>
    </row>
    <row r="310" spans="1:14" s="887" customFormat="1" ht="15" customHeight="1">
      <c r="A310" s="877"/>
      <c r="B310" s="878"/>
      <c r="C310" s="1054"/>
      <c r="D310" s="1054"/>
      <c r="E310" s="901"/>
      <c r="F310" s="902" t="s">
        <v>2620</v>
      </c>
      <c r="G310" s="903">
        <f t="shared" ref="G310:N310" si="175">SUM(G447:G449)</f>
        <v>0</v>
      </c>
      <c r="H310" s="903">
        <f t="shared" si="175"/>
        <v>0</v>
      </c>
      <c r="I310" s="903">
        <f t="shared" si="175"/>
        <v>0</v>
      </c>
      <c r="J310" s="903">
        <f t="shared" si="175"/>
        <v>0</v>
      </c>
      <c r="K310" s="903">
        <f t="shared" si="175"/>
        <v>0</v>
      </c>
      <c r="L310" s="903">
        <f t="shared" si="175"/>
        <v>0</v>
      </c>
      <c r="M310" s="903">
        <f t="shared" si="175"/>
        <v>0</v>
      </c>
      <c r="N310" s="904">
        <f t="shared" si="175"/>
        <v>0</v>
      </c>
    </row>
    <row r="311" spans="1:14" s="887" customFormat="1" ht="15" customHeight="1">
      <c r="A311" s="877"/>
      <c r="B311" s="878"/>
      <c r="C311" s="1054"/>
      <c r="D311" s="1054"/>
      <c r="E311" s="901"/>
      <c r="F311" s="1055" t="s">
        <v>2621</v>
      </c>
      <c r="G311" s="903">
        <f t="shared" ref="G311:N311" si="176">+G350</f>
        <v>0</v>
      </c>
      <c r="H311" s="903">
        <f t="shared" si="176"/>
        <v>0</v>
      </c>
      <c r="I311" s="903">
        <f t="shared" si="176"/>
        <v>0</v>
      </c>
      <c r="J311" s="903">
        <f t="shared" si="176"/>
        <v>0</v>
      </c>
      <c r="K311" s="903">
        <f t="shared" si="176"/>
        <v>0</v>
      </c>
      <c r="L311" s="903">
        <f t="shared" si="176"/>
        <v>0</v>
      </c>
      <c r="M311" s="903">
        <f t="shared" si="176"/>
        <v>0</v>
      </c>
      <c r="N311" s="904">
        <f t="shared" si="176"/>
        <v>0</v>
      </c>
    </row>
    <row r="312" spans="1:14" s="887" customFormat="1" ht="15" customHeight="1">
      <c r="A312" s="877"/>
      <c r="B312" s="878"/>
      <c r="C312" s="701" t="s">
        <v>2539</v>
      </c>
      <c r="D312" s="701"/>
      <c r="E312" s="901"/>
      <c r="F312" s="902">
        <f t="shared" ref="F312:F329" si="177">SUM(G312:N312)</f>
        <v>579212</v>
      </c>
      <c r="G312" s="903">
        <f t="shared" ref="G312:N312" si="178">G313+G314</f>
        <v>565869</v>
      </c>
      <c r="H312" s="903">
        <f t="shared" si="178"/>
        <v>13343</v>
      </c>
      <c r="I312" s="903">
        <f t="shared" si="178"/>
        <v>0</v>
      </c>
      <c r="J312" s="903">
        <f t="shared" si="178"/>
        <v>0</v>
      </c>
      <c r="K312" s="903">
        <f t="shared" si="178"/>
        <v>0</v>
      </c>
      <c r="L312" s="903">
        <f t="shared" si="178"/>
        <v>0</v>
      </c>
      <c r="M312" s="903">
        <f t="shared" si="178"/>
        <v>0</v>
      </c>
      <c r="N312" s="904">
        <f t="shared" si="178"/>
        <v>0</v>
      </c>
    </row>
    <row r="313" spans="1:14" s="887" customFormat="1" ht="15" customHeight="1">
      <c r="A313" s="877"/>
      <c r="B313" s="878"/>
      <c r="C313" s="905" t="s">
        <v>2540</v>
      </c>
      <c r="D313" s="701"/>
      <c r="E313" s="901"/>
      <c r="F313" s="902">
        <f t="shared" si="177"/>
        <v>274312</v>
      </c>
      <c r="G313" s="903">
        <f>IF(G304="積上げ",0,G390)</f>
        <v>260969</v>
      </c>
      <c r="H313" s="903">
        <f t="shared" ref="H313:N313" si="179">IF(H304="積上げ",0,H390)</f>
        <v>13343</v>
      </c>
      <c r="I313" s="903">
        <f t="shared" si="179"/>
        <v>0</v>
      </c>
      <c r="J313" s="903">
        <f t="shared" si="179"/>
        <v>0</v>
      </c>
      <c r="K313" s="903">
        <f t="shared" si="179"/>
        <v>0</v>
      </c>
      <c r="L313" s="903">
        <f t="shared" si="179"/>
        <v>0</v>
      </c>
      <c r="M313" s="903">
        <f t="shared" si="179"/>
        <v>0</v>
      </c>
      <c r="N313" s="904">
        <f t="shared" si="179"/>
        <v>0</v>
      </c>
    </row>
    <row r="314" spans="1:14" s="887" customFormat="1" ht="15" customHeight="1">
      <c r="A314" s="877"/>
      <c r="B314" s="878"/>
      <c r="C314" s="905" t="s">
        <v>2546</v>
      </c>
      <c r="D314" s="701"/>
      <c r="E314" s="901"/>
      <c r="F314" s="902">
        <f t="shared" si="177"/>
        <v>304900</v>
      </c>
      <c r="G314" s="1291">
        <f t="shared" ref="G314:N316" si="180">+G98+G22</f>
        <v>304900</v>
      </c>
      <c r="H314" s="1291">
        <f t="shared" si="180"/>
        <v>0</v>
      </c>
      <c r="I314" s="1291">
        <f t="shared" si="180"/>
        <v>0</v>
      </c>
      <c r="J314" s="1291">
        <f t="shared" si="180"/>
        <v>0</v>
      </c>
      <c r="K314" s="1291">
        <f t="shared" si="180"/>
        <v>0</v>
      </c>
      <c r="L314" s="1291">
        <f t="shared" si="180"/>
        <v>0</v>
      </c>
      <c r="M314" s="1291">
        <f t="shared" si="180"/>
        <v>0</v>
      </c>
      <c r="N314" s="1292">
        <f t="shared" si="180"/>
        <v>0</v>
      </c>
    </row>
    <row r="315" spans="1:14" s="887" customFormat="1" ht="15" customHeight="1">
      <c r="A315" s="877"/>
      <c r="B315" s="878"/>
      <c r="C315" s="913" t="s">
        <v>2735</v>
      </c>
      <c r="D315" s="701"/>
      <c r="E315" s="901"/>
      <c r="F315" s="902">
        <f t="shared" si="177"/>
        <v>0</v>
      </c>
      <c r="G315" s="903">
        <f t="shared" si="180"/>
        <v>0</v>
      </c>
      <c r="H315" s="903">
        <f t="shared" si="180"/>
        <v>0</v>
      </c>
      <c r="I315" s="903">
        <f t="shared" si="180"/>
        <v>0</v>
      </c>
      <c r="J315" s="903">
        <f t="shared" si="180"/>
        <v>0</v>
      </c>
      <c r="K315" s="903">
        <f t="shared" si="180"/>
        <v>0</v>
      </c>
      <c r="L315" s="903">
        <f t="shared" si="180"/>
        <v>0</v>
      </c>
      <c r="M315" s="903">
        <f t="shared" si="180"/>
        <v>0</v>
      </c>
      <c r="N315" s="904">
        <f t="shared" si="180"/>
        <v>0</v>
      </c>
    </row>
    <row r="316" spans="1:14" s="887" customFormat="1" ht="15" customHeight="1">
      <c r="A316" s="877"/>
      <c r="B316" s="878"/>
      <c r="C316" s="914" t="s">
        <v>2548</v>
      </c>
      <c r="D316" s="915"/>
      <c r="E316" s="916"/>
      <c r="F316" s="917">
        <f t="shared" si="177"/>
        <v>0</v>
      </c>
      <c r="G316" s="903">
        <f t="shared" si="180"/>
        <v>0</v>
      </c>
      <c r="H316" s="903">
        <f t="shared" si="180"/>
        <v>0</v>
      </c>
      <c r="I316" s="903">
        <f t="shared" si="180"/>
        <v>0</v>
      </c>
      <c r="J316" s="903">
        <f t="shared" si="180"/>
        <v>0</v>
      </c>
      <c r="K316" s="903">
        <f t="shared" si="180"/>
        <v>0</v>
      </c>
      <c r="L316" s="903">
        <f t="shared" si="180"/>
        <v>0</v>
      </c>
      <c r="M316" s="903">
        <f t="shared" si="180"/>
        <v>0</v>
      </c>
      <c r="N316" s="904">
        <f t="shared" si="180"/>
        <v>0</v>
      </c>
    </row>
    <row r="317" spans="1:14" s="887" customFormat="1" ht="15" customHeight="1">
      <c r="A317" s="1060"/>
      <c r="B317" s="1061"/>
      <c r="C317" s="1062" t="s">
        <v>2622</v>
      </c>
      <c r="D317" s="1063"/>
      <c r="E317" s="936"/>
      <c r="F317" s="937">
        <f t="shared" si="177"/>
        <v>0</v>
      </c>
      <c r="G317" s="1064">
        <f t="shared" ref="G317:N317" si="181">+G351</f>
        <v>0</v>
      </c>
      <c r="H317" s="1064">
        <f t="shared" si="181"/>
        <v>0</v>
      </c>
      <c r="I317" s="1064">
        <f t="shared" si="181"/>
        <v>0</v>
      </c>
      <c r="J317" s="1064">
        <f t="shared" si="181"/>
        <v>0</v>
      </c>
      <c r="K317" s="1064">
        <f t="shared" si="181"/>
        <v>0</v>
      </c>
      <c r="L317" s="1064">
        <f t="shared" si="181"/>
        <v>0</v>
      </c>
      <c r="M317" s="1064">
        <f t="shared" si="181"/>
        <v>0</v>
      </c>
      <c r="N317" s="1065">
        <f t="shared" si="181"/>
        <v>0</v>
      </c>
    </row>
    <row r="318" spans="1:14" s="887" customFormat="1" ht="15" customHeight="1">
      <c r="A318" s="877"/>
      <c r="B318" s="915" t="s">
        <v>2623</v>
      </c>
      <c r="C318" s="915"/>
      <c r="D318" s="915"/>
      <c r="E318" s="916"/>
      <c r="F318" s="917">
        <f t="shared" si="177"/>
        <v>3255706</v>
      </c>
      <c r="G318" s="1066">
        <f t="shared" ref="G318:N318" si="182">G319+G324</f>
        <v>3102923</v>
      </c>
      <c r="H318" s="1066">
        <f t="shared" si="182"/>
        <v>152783</v>
      </c>
      <c r="I318" s="1066">
        <f t="shared" si="182"/>
        <v>0</v>
      </c>
      <c r="J318" s="1066">
        <f t="shared" si="182"/>
        <v>0</v>
      </c>
      <c r="K318" s="1066">
        <f t="shared" si="182"/>
        <v>0</v>
      </c>
      <c r="L318" s="1066">
        <f t="shared" si="182"/>
        <v>0</v>
      </c>
      <c r="M318" s="1066">
        <f t="shared" si="182"/>
        <v>0</v>
      </c>
      <c r="N318" s="1067">
        <f t="shared" si="182"/>
        <v>0</v>
      </c>
    </row>
    <row r="319" spans="1:14" s="887" customFormat="1" ht="15" customHeight="1">
      <c r="A319" s="877"/>
      <c r="B319" s="878"/>
      <c r="C319" s="694" t="s">
        <v>2624</v>
      </c>
      <c r="D319" s="694"/>
      <c r="E319" s="873"/>
      <c r="F319" s="898">
        <f t="shared" si="177"/>
        <v>1544289</v>
      </c>
      <c r="G319" s="1068">
        <f t="shared" ref="G319:N319" si="183">G320+G323</f>
        <v>1471723</v>
      </c>
      <c r="H319" s="1068">
        <f t="shared" si="183"/>
        <v>72566</v>
      </c>
      <c r="I319" s="1068">
        <f t="shared" si="183"/>
        <v>0</v>
      </c>
      <c r="J319" s="1068">
        <f t="shared" si="183"/>
        <v>0</v>
      </c>
      <c r="K319" s="1068">
        <f t="shared" si="183"/>
        <v>0</v>
      </c>
      <c r="L319" s="1068">
        <f t="shared" si="183"/>
        <v>0</v>
      </c>
      <c r="M319" s="1068">
        <f t="shared" si="183"/>
        <v>0</v>
      </c>
      <c r="N319" s="1069">
        <f t="shared" si="183"/>
        <v>0</v>
      </c>
    </row>
    <row r="320" spans="1:14" s="887" customFormat="1" ht="15" customHeight="1">
      <c r="A320" s="877"/>
      <c r="B320" s="878"/>
      <c r="C320" s="1070" t="s">
        <v>2625</v>
      </c>
      <c r="D320" s="1070"/>
      <c r="E320" s="882"/>
      <c r="F320" s="902">
        <f t="shared" si="177"/>
        <v>1544289</v>
      </c>
      <c r="G320" s="1071">
        <f t="shared" ref="G320:N320" si="184">SUM(G321:G322)-G323</f>
        <v>1471723</v>
      </c>
      <c r="H320" s="1071">
        <f t="shared" si="184"/>
        <v>72566</v>
      </c>
      <c r="I320" s="1071">
        <f t="shared" si="184"/>
        <v>0</v>
      </c>
      <c r="J320" s="1071">
        <f t="shared" si="184"/>
        <v>0</v>
      </c>
      <c r="K320" s="1071">
        <f t="shared" si="184"/>
        <v>0</v>
      </c>
      <c r="L320" s="1071">
        <f t="shared" si="184"/>
        <v>0</v>
      </c>
      <c r="M320" s="1071">
        <f t="shared" si="184"/>
        <v>0</v>
      </c>
      <c r="N320" s="1072">
        <f t="shared" si="184"/>
        <v>0</v>
      </c>
    </row>
    <row r="321" spans="1:14" s="887" customFormat="1" ht="15" customHeight="1">
      <c r="A321" s="877"/>
      <c r="B321" s="878"/>
      <c r="C321" s="1073" t="s">
        <v>2626</v>
      </c>
      <c r="D321" s="1073"/>
      <c r="E321" s="901"/>
      <c r="F321" s="902">
        <f t="shared" si="177"/>
        <v>1544289</v>
      </c>
      <c r="G321" s="903">
        <f t="shared" ref="G321:N321" si="185">SUM(G416:G418)+G414</f>
        <v>1471723</v>
      </c>
      <c r="H321" s="903">
        <f t="shared" si="185"/>
        <v>72566</v>
      </c>
      <c r="I321" s="903">
        <f t="shared" si="185"/>
        <v>0</v>
      </c>
      <c r="J321" s="903">
        <f t="shared" si="185"/>
        <v>0</v>
      </c>
      <c r="K321" s="903">
        <f t="shared" si="185"/>
        <v>0</v>
      </c>
      <c r="L321" s="903">
        <f t="shared" si="185"/>
        <v>0</v>
      </c>
      <c r="M321" s="903">
        <f t="shared" si="185"/>
        <v>0</v>
      </c>
      <c r="N321" s="904">
        <f t="shared" si="185"/>
        <v>0</v>
      </c>
    </row>
    <row r="322" spans="1:14" s="887" customFormat="1" ht="15" customHeight="1">
      <c r="A322" s="877"/>
      <c r="B322" s="878"/>
      <c r="C322" s="1073" t="s">
        <v>2627</v>
      </c>
      <c r="D322" s="1073"/>
      <c r="E322" s="901"/>
      <c r="F322" s="902">
        <f t="shared" si="177"/>
        <v>0</v>
      </c>
      <c r="G322" s="903">
        <f t="shared" ref="G322:N322" si="186">SUM(G419:G430)</f>
        <v>0</v>
      </c>
      <c r="H322" s="903">
        <f t="shared" si="186"/>
        <v>0</v>
      </c>
      <c r="I322" s="903">
        <f t="shared" si="186"/>
        <v>0</v>
      </c>
      <c r="J322" s="903">
        <f t="shared" si="186"/>
        <v>0</v>
      </c>
      <c r="K322" s="903">
        <f t="shared" si="186"/>
        <v>0</v>
      </c>
      <c r="L322" s="903">
        <f t="shared" si="186"/>
        <v>0</v>
      </c>
      <c r="M322" s="903">
        <f t="shared" si="186"/>
        <v>0</v>
      </c>
      <c r="N322" s="904">
        <f t="shared" si="186"/>
        <v>0</v>
      </c>
    </row>
    <row r="323" spans="1:14" s="887" customFormat="1" ht="15" customHeight="1">
      <c r="A323" s="877"/>
      <c r="B323" s="878"/>
      <c r="C323" s="1073" t="s">
        <v>2628</v>
      </c>
      <c r="D323" s="1073"/>
      <c r="E323" s="901"/>
      <c r="F323" s="902">
        <f t="shared" si="177"/>
        <v>0</v>
      </c>
      <c r="G323" s="903">
        <f t="shared" ref="G323:N323" si="187">+G428</f>
        <v>0</v>
      </c>
      <c r="H323" s="903">
        <f t="shared" si="187"/>
        <v>0</v>
      </c>
      <c r="I323" s="903">
        <f t="shared" si="187"/>
        <v>0</v>
      </c>
      <c r="J323" s="903">
        <f t="shared" si="187"/>
        <v>0</v>
      </c>
      <c r="K323" s="903">
        <f t="shared" si="187"/>
        <v>0</v>
      </c>
      <c r="L323" s="903">
        <f t="shared" si="187"/>
        <v>0</v>
      </c>
      <c r="M323" s="903">
        <f t="shared" si="187"/>
        <v>0</v>
      </c>
      <c r="N323" s="904">
        <f t="shared" si="187"/>
        <v>0</v>
      </c>
    </row>
    <row r="324" spans="1:14" s="887" customFormat="1" ht="15" customHeight="1">
      <c r="A324" s="877"/>
      <c r="B324" s="878"/>
      <c r="C324" s="701" t="s">
        <v>2629</v>
      </c>
      <c r="D324" s="701"/>
      <c r="E324" s="901"/>
      <c r="F324" s="902">
        <f t="shared" si="177"/>
        <v>1711417</v>
      </c>
      <c r="G324" s="903">
        <f>SUM(G325:G328)</f>
        <v>1631200</v>
      </c>
      <c r="H324" s="903">
        <f t="shared" ref="H324:N324" si="188">SUM(H325:H328)</f>
        <v>80217</v>
      </c>
      <c r="I324" s="903">
        <f t="shared" si="188"/>
        <v>0</v>
      </c>
      <c r="J324" s="903">
        <f t="shared" si="188"/>
        <v>0</v>
      </c>
      <c r="K324" s="903">
        <f t="shared" si="188"/>
        <v>0</v>
      </c>
      <c r="L324" s="903">
        <f t="shared" si="188"/>
        <v>0</v>
      </c>
      <c r="M324" s="903">
        <f t="shared" si="188"/>
        <v>0</v>
      </c>
      <c r="N324" s="904">
        <f t="shared" si="188"/>
        <v>0</v>
      </c>
    </row>
    <row r="325" spans="1:14" s="887" customFormat="1" ht="15" customHeight="1">
      <c r="A325" s="877"/>
      <c r="B325" s="878"/>
      <c r="C325" s="1073" t="s">
        <v>2626</v>
      </c>
      <c r="D325" s="1073"/>
      <c r="E325" s="901"/>
      <c r="F325" s="1074">
        <f t="shared" si="177"/>
        <v>1707198</v>
      </c>
      <c r="G325" s="903">
        <f>IF(G452=0,0,+G452-G469)</f>
        <v>1627179</v>
      </c>
      <c r="H325" s="903">
        <f t="shared" ref="H325:N325" si="189">IF(H452=0,0,+H452-H469)</f>
        <v>80019</v>
      </c>
      <c r="I325" s="903">
        <f t="shared" si="189"/>
        <v>0</v>
      </c>
      <c r="J325" s="903">
        <f t="shared" si="189"/>
        <v>0</v>
      </c>
      <c r="K325" s="903">
        <f t="shared" si="189"/>
        <v>0</v>
      </c>
      <c r="L325" s="903">
        <f t="shared" si="189"/>
        <v>0</v>
      </c>
      <c r="M325" s="903">
        <f t="shared" si="189"/>
        <v>0</v>
      </c>
      <c r="N325" s="904">
        <f t="shared" si="189"/>
        <v>0</v>
      </c>
    </row>
    <row r="326" spans="1:14" s="887" customFormat="1" ht="15" customHeight="1">
      <c r="A326" s="877"/>
      <c r="B326" s="878"/>
      <c r="C326" s="1073" t="s">
        <v>2630</v>
      </c>
      <c r="D326" s="1073"/>
      <c r="E326" s="901"/>
      <c r="F326" s="902">
        <f t="shared" si="177"/>
        <v>4219</v>
      </c>
      <c r="G326" s="903">
        <f t="shared" ref="G326:N326" si="190">+G453+G454</f>
        <v>4021</v>
      </c>
      <c r="H326" s="903">
        <f t="shared" si="190"/>
        <v>198</v>
      </c>
      <c r="I326" s="903">
        <f t="shared" si="190"/>
        <v>0</v>
      </c>
      <c r="J326" s="903">
        <f t="shared" si="190"/>
        <v>0</v>
      </c>
      <c r="K326" s="903">
        <f t="shared" si="190"/>
        <v>0</v>
      </c>
      <c r="L326" s="903">
        <f t="shared" si="190"/>
        <v>0</v>
      </c>
      <c r="M326" s="903">
        <f t="shared" si="190"/>
        <v>0</v>
      </c>
      <c r="N326" s="904">
        <f t="shared" si="190"/>
        <v>0</v>
      </c>
    </row>
    <row r="327" spans="1:14" s="887" customFormat="1" ht="15" customHeight="1">
      <c r="A327" s="877"/>
      <c r="B327" s="878"/>
      <c r="C327" s="1073" t="s">
        <v>2631</v>
      </c>
      <c r="D327" s="1073"/>
      <c r="E327" s="901"/>
      <c r="F327" s="902">
        <f t="shared" si="177"/>
        <v>0</v>
      </c>
      <c r="G327" s="903">
        <f t="shared" ref="G327:N327" si="191">SUM(G455:G459)</f>
        <v>0</v>
      </c>
      <c r="H327" s="903">
        <f t="shared" si="191"/>
        <v>0</v>
      </c>
      <c r="I327" s="903">
        <f t="shared" si="191"/>
        <v>0</v>
      </c>
      <c r="J327" s="903">
        <f t="shared" si="191"/>
        <v>0</v>
      </c>
      <c r="K327" s="903">
        <f t="shared" si="191"/>
        <v>0</v>
      </c>
      <c r="L327" s="903">
        <f t="shared" si="191"/>
        <v>0</v>
      </c>
      <c r="M327" s="903">
        <f t="shared" si="191"/>
        <v>0</v>
      </c>
      <c r="N327" s="904">
        <f t="shared" si="191"/>
        <v>0</v>
      </c>
    </row>
    <row r="328" spans="1:14" s="887" customFormat="1" ht="15" customHeight="1">
      <c r="A328" s="877"/>
      <c r="B328" s="878"/>
      <c r="C328" s="915" t="s">
        <v>2632</v>
      </c>
      <c r="D328" s="878"/>
      <c r="E328" s="916"/>
      <c r="F328" s="917">
        <f t="shared" si="177"/>
        <v>0</v>
      </c>
      <c r="G328" s="1066">
        <f>IF(G460=0,0,+G460-G469)</f>
        <v>0</v>
      </c>
      <c r="H328" s="1066">
        <f t="shared" ref="H328:N328" si="192">IF(H460=0,0,+H460-H469)</f>
        <v>0</v>
      </c>
      <c r="I328" s="1066">
        <f t="shared" si="192"/>
        <v>0</v>
      </c>
      <c r="J328" s="1066">
        <f t="shared" si="192"/>
        <v>0</v>
      </c>
      <c r="K328" s="1066">
        <f t="shared" si="192"/>
        <v>0</v>
      </c>
      <c r="L328" s="1066">
        <f t="shared" si="192"/>
        <v>0</v>
      </c>
      <c r="M328" s="1066">
        <f t="shared" si="192"/>
        <v>0</v>
      </c>
      <c r="N328" s="1067">
        <f t="shared" si="192"/>
        <v>0</v>
      </c>
    </row>
    <row r="329" spans="1:14" s="887" customFormat="1" ht="15" customHeight="1">
      <c r="A329" s="1075"/>
      <c r="B329" s="893" t="s">
        <v>2736</v>
      </c>
      <c r="C329" s="893"/>
      <c r="D329" s="893"/>
      <c r="E329" s="1076"/>
      <c r="F329" s="895">
        <f t="shared" si="177"/>
        <v>12260000</v>
      </c>
      <c r="G329" s="896">
        <f t="shared" ref="G329:N329" si="193">G307+G318</f>
        <v>11684000</v>
      </c>
      <c r="H329" s="896">
        <f t="shared" si="193"/>
        <v>576000</v>
      </c>
      <c r="I329" s="896">
        <f t="shared" si="193"/>
        <v>0</v>
      </c>
      <c r="J329" s="896">
        <f t="shared" si="193"/>
        <v>0</v>
      </c>
      <c r="K329" s="896">
        <f t="shared" si="193"/>
        <v>0</v>
      </c>
      <c r="L329" s="896">
        <f t="shared" si="193"/>
        <v>0</v>
      </c>
      <c r="M329" s="896">
        <f t="shared" si="193"/>
        <v>0</v>
      </c>
      <c r="N329" s="897">
        <f t="shared" si="193"/>
        <v>0</v>
      </c>
    </row>
    <row r="330" spans="1:14" s="887" customFormat="1" ht="15" customHeight="1">
      <c r="A330" s="1077"/>
      <c r="B330" s="878"/>
      <c r="C330" s="1078" t="s">
        <v>2634</v>
      </c>
      <c r="D330" s="1078"/>
      <c r="E330" s="1079"/>
      <c r="F330" s="1033"/>
      <c r="G330" s="1080" t="s">
        <v>2635</v>
      </c>
      <c r="H330" s="1081"/>
      <c r="I330" s="1037"/>
      <c r="J330" s="1037"/>
      <c r="K330" s="1037"/>
      <c r="L330" s="1037"/>
      <c r="M330" s="1037"/>
      <c r="N330" s="1037"/>
    </row>
    <row r="331" spans="1:14" s="887" customFormat="1" ht="15" customHeight="1">
      <c r="A331" s="868"/>
      <c r="B331" s="869"/>
      <c r="C331" s="869"/>
      <c r="D331" s="869"/>
      <c r="E331" s="1082"/>
      <c r="F331" s="1083" t="s">
        <v>2526</v>
      </c>
      <c r="G331" s="1293" t="str">
        <f>+G302</f>
        <v>天井改良</v>
      </c>
      <c r="H331" s="1084" t="str">
        <f t="shared" ref="H331:N331" si="194">+H302</f>
        <v>居室内装修理</v>
      </c>
      <c r="I331" s="1084">
        <f t="shared" si="194"/>
        <v>0</v>
      </c>
      <c r="J331" s="1084">
        <f t="shared" si="194"/>
        <v>0</v>
      </c>
      <c r="K331" s="1084">
        <f t="shared" si="194"/>
        <v>0</v>
      </c>
      <c r="L331" s="1084">
        <f t="shared" si="194"/>
        <v>0</v>
      </c>
      <c r="M331" s="1084">
        <f t="shared" si="194"/>
        <v>0</v>
      </c>
      <c r="N331" s="1085">
        <f t="shared" si="194"/>
        <v>0</v>
      </c>
    </row>
    <row r="332" spans="1:14" s="887" customFormat="1" ht="15" customHeight="1">
      <c r="A332" s="920" t="s">
        <v>2549</v>
      </c>
      <c r="B332" s="921"/>
      <c r="C332" s="921"/>
      <c r="D332" s="921"/>
      <c r="E332" s="1181"/>
      <c r="F332" s="1294"/>
      <c r="G332" s="1295"/>
      <c r="H332" s="1295"/>
      <c r="I332" s="1295"/>
      <c r="J332" s="1295"/>
      <c r="K332" s="1295"/>
      <c r="L332" s="1295"/>
      <c r="M332" s="1295"/>
      <c r="N332" s="1296"/>
    </row>
    <row r="333" spans="1:14" s="887" customFormat="1" ht="15" customHeight="1">
      <c r="A333" s="2673"/>
      <c r="B333" s="2680" t="s">
        <v>2550</v>
      </c>
      <c r="C333" s="695" t="s">
        <v>2551</v>
      </c>
      <c r="D333" s="695"/>
      <c r="E333" s="873"/>
      <c r="F333" s="898">
        <f t="shared" ref="F333:F339" si="195">SUM(G333:N333)</f>
        <v>0</v>
      </c>
      <c r="G333" s="1068">
        <f t="shared" ref="G333:N348" si="196">+G117+G26</f>
        <v>0</v>
      </c>
      <c r="H333" s="1068">
        <f t="shared" si="196"/>
        <v>0</v>
      </c>
      <c r="I333" s="1068">
        <f t="shared" si="196"/>
        <v>0</v>
      </c>
      <c r="J333" s="1068">
        <f t="shared" si="196"/>
        <v>0</v>
      </c>
      <c r="K333" s="1068">
        <f t="shared" si="196"/>
        <v>0</v>
      </c>
      <c r="L333" s="1068">
        <f t="shared" si="196"/>
        <v>0</v>
      </c>
      <c r="M333" s="1068">
        <f t="shared" si="196"/>
        <v>0</v>
      </c>
      <c r="N333" s="1069">
        <f t="shared" si="196"/>
        <v>0</v>
      </c>
    </row>
    <row r="334" spans="1:14" s="887" customFormat="1" ht="15" customHeight="1">
      <c r="A334" s="2674"/>
      <c r="B334" s="2666"/>
      <c r="C334" s="702" t="s">
        <v>2552</v>
      </c>
      <c r="D334" s="702"/>
      <c r="E334" s="901"/>
      <c r="F334" s="902">
        <f t="shared" si="195"/>
        <v>8388790</v>
      </c>
      <c r="G334" s="903">
        <f t="shared" si="196"/>
        <v>7980724</v>
      </c>
      <c r="H334" s="903">
        <f t="shared" si="196"/>
        <v>408066</v>
      </c>
      <c r="I334" s="903">
        <f t="shared" si="196"/>
        <v>0</v>
      </c>
      <c r="J334" s="903">
        <f t="shared" si="196"/>
        <v>0</v>
      </c>
      <c r="K334" s="903">
        <f t="shared" si="196"/>
        <v>0</v>
      </c>
      <c r="L334" s="903">
        <f t="shared" si="196"/>
        <v>0</v>
      </c>
      <c r="M334" s="903">
        <f t="shared" si="196"/>
        <v>0</v>
      </c>
      <c r="N334" s="904">
        <f t="shared" si="196"/>
        <v>0</v>
      </c>
    </row>
    <row r="335" spans="1:14" s="887" customFormat="1" ht="15" customHeight="1">
      <c r="A335" s="2674"/>
      <c r="B335" s="2666"/>
      <c r="C335" s="927" t="s">
        <v>2553</v>
      </c>
      <c r="D335" s="702"/>
      <c r="E335" s="901"/>
      <c r="F335" s="902">
        <f t="shared" si="195"/>
        <v>0</v>
      </c>
      <c r="G335" s="903">
        <f t="shared" si="196"/>
        <v>0</v>
      </c>
      <c r="H335" s="903">
        <f t="shared" si="196"/>
        <v>0</v>
      </c>
      <c r="I335" s="903">
        <f t="shared" si="196"/>
        <v>0</v>
      </c>
      <c r="J335" s="903">
        <f t="shared" si="196"/>
        <v>0</v>
      </c>
      <c r="K335" s="903">
        <f t="shared" si="196"/>
        <v>0</v>
      </c>
      <c r="L335" s="903">
        <f t="shared" si="196"/>
        <v>0</v>
      </c>
      <c r="M335" s="903">
        <f t="shared" si="196"/>
        <v>0</v>
      </c>
      <c r="N335" s="904">
        <f t="shared" si="196"/>
        <v>0</v>
      </c>
    </row>
    <row r="336" spans="1:14" s="887" customFormat="1" ht="15" customHeight="1">
      <c r="A336" s="2674"/>
      <c r="B336" s="2665"/>
      <c r="C336" s="927" t="s">
        <v>2554</v>
      </c>
      <c r="D336" s="702"/>
      <c r="E336" s="901"/>
      <c r="F336" s="902">
        <f t="shared" si="195"/>
        <v>0</v>
      </c>
      <c r="G336" s="903">
        <f t="shared" si="196"/>
        <v>0</v>
      </c>
      <c r="H336" s="903">
        <f t="shared" si="196"/>
        <v>0</v>
      </c>
      <c r="I336" s="903">
        <f t="shared" si="196"/>
        <v>0</v>
      </c>
      <c r="J336" s="903">
        <f t="shared" si="196"/>
        <v>0</v>
      </c>
      <c r="K336" s="903">
        <f t="shared" si="196"/>
        <v>0</v>
      </c>
      <c r="L336" s="903">
        <f t="shared" si="196"/>
        <v>0</v>
      </c>
      <c r="M336" s="903">
        <f t="shared" si="196"/>
        <v>0</v>
      </c>
      <c r="N336" s="904">
        <f t="shared" si="196"/>
        <v>0</v>
      </c>
    </row>
    <row r="337" spans="1:14" s="887" customFormat="1" ht="15" customHeight="1">
      <c r="A337" s="2674"/>
      <c r="B337" s="2664" t="s">
        <v>2555</v>
      </c>
      <c r="C337" s="701" t="s">
        <v>2636</v>
      </c>
      <c r="D337" s="702"/>
      <c r="E337" s="901"/>
      <c r="F337" s="902">
        <f t="shared" si="195"/>
        <v>0</v>
      </c>
      <c r="G337" s="1291">
        <f t="shared" si="196"/>
        <v>0</v>
      </c>
      <c r="H337" s="1291">
        <f t="shared" si="196"/>
        <v>0</v>
      </c>
      <c r="I337" s="1291">
        <f t="shared" si="196"/>
        <v>0</v>
      </c>
      <c r="J337" s="1291">
        <f t="shared" si="196"/>
        <v>0</v>
      </c>
      <c r="K337" s="1291">
        <f t="shared" si="196"/>
        <v>0</v>
      </c>
      <c r="L337" s="1291">
        <f t="shared" si="196"/>
        <v>0</v>
      </c>
      <c r="M337" s="1291">
        <f t="shared" si="196"/>
        <v>0</v>
      </c>
      <c r="N337" s="1292">
        <f t="shared" si="196"/>
        <v>0</v>
      </c>
    </row>
    <row r="338" spans="1:14" s="887" customFormat="1" ht="13.5" customHeight="1">
      <c r="A338" s="2674"/>
      <c r="B338" s="2666"/>
      <c r="C338" s="701" t="s">
        <v>2557</v>
      </c>
      <c r="D338" s="702"/>
      <c r="E338" s="901"/>
      <c r="F338" s="902">
        <f t="shared" si="195"/>
        <v>0</v>
      </c>
      <c r="G338" s="1291">
        <f t="shared" si="196"/>
        <v>0</v>
      </c>
      <c r="H338" s="1291">
        <f t="shared" si="196"/>
        <v>0</v>
      </c>
      <c r="I338" s="1291">
        <f t="shared" si="196"/>
        <v>0</v>
      </c>
      <c r="J338" s="1291">
        <f t="shared" si="196"/>
        <v>0</v>
      </c>
      <c r="K338" s="1291">
        <f t="shared" si="196"/>
        <v>0</v>
      </c>
      <c r="L338" s="1291">
        <f t="shared" si="196"/>
        <v>0</v>
      </c>
      <c r="M338" s="1291">
        <f t="shared" si="196"/>
        <v>0</v>
      </c>
      <c r="N338" s="1292">
        <f t="shared" si="196"/>
        <v>0</v>
      </c>
    </row>
    <row r="339" spans="1:14" s="887" customFormat="1" ht="13.5" customHeight="1">
      <c r="A339" s="2674"/>
      <c r="B339" s="2666"/>
      <c r="C339" s="702" t="s">
        <v>2558</v>
      </c>
      <c r="D339" s="702"/>
      <c r="E339" s="901"/>
      <c r="F339" s="902">
        <f t="shared" si="195"/>
        <v>0</v>
      </c>
      <c r="G339" s="1291">
        <f t="shared" si="196"/>
        <v>0</v>
      </c>
      <c r="H339" s="1291">
        <f t="shared" si="196"/>
        <v>0</v>
      </c>
      <c r="I339" s="1291">
        <f t="shared" si="196"/>
        <v>0</v>
      </c>
      <c r="J339" s="1291">
        <f t="shared" si="196"/>
        <v>0</v>
      </c>
      <c r="K339" s="1291">
        <f t="shared" si="196"/>
        <v>0</v>
      </c>
      <c r="L339" s="1291">
        <f t="shared" si="196"/>
        <v>0</v>
      </c>
      <c r="M339" s="1291">
        <f t="shared" si="196"/>
        <v>0</v>
      </c>
      <c r="N339" s="1292">
        <f t="shared" si="196"/>
        <v>0</v>
      </c>
    </row>
    <row r="340" spans="1:14" s="887" customFormat="1" ht="13.5" customHeight="1">
      <c r="A340" s="2674"/>
      <c r="B340" s="2666"/>
      <c r="C340" s="702" t="s">
        <v>2559</v>
      </c>
      <c r="D340" s="702"/>
      <c r="E340" s="901"/>
      <c r="F340" s="902"/>
      <c r="G340" s="903">
        <f t="shared" si="196"/>
        <v>0</v>
      </c>
      <c r="H340" s="903">
        <f t="shared" si="196"/>
        <v>0</v>
      </c>
      <c r="I340" s="903">
        <f t="shared" si="196"/>
        <v>0</v>
      </c>
      <c r="J340" s="903">
        <f t="shared" si="196"/>
        <v>0</v>
      </c>
      <c r="K340" s="903">
        <f t="shared" si="196"/>
        <v>0</v>
      </c>
      <c r="L340" s="903">
        <f t="shared" si="196"/>
        <v>0</v>
      </c>
      <c r="M340" s="903">
        <f t="shared" si="196"/>
        <v>0</v>
      </c>
      <c r="N340" s="904">
        <f t="shared" si="196"/>
        <v>0</v>
      </c>
    </row>
    <row r="341" spans="1:14" s="887" customFormat="1" ht="13.5" customHeight="1">
      <c r="A341" s="2674"/>
      <c r="B341" s="2666"/>
      <c r="C341" s="702" t="s">
        <v>2560</v>
      </c>
      <c r="D341" s="702"/>
      <c r="E341" s="901"/>
      <c r="F341" s="902"/>
      <c r="G341" s="903">
        <f t="shared" si="196"/>
        <v>0</v>
      </c>
      <c r="H341" s="903">
        <f t="shared" si="196"/>
        <v>0</v>
      </c>
      <c r="I341" s="903">
        <f t="shared" si="196"/>
        <v>0</v>
      </c>
      <c r="J341" s="903">
        <f t="shared" si="196"/>
        <v>0</v>
      </c>
      <c r="K341" s="903">
        <f t="shared" si="196"/>
        <v>0</v>
      </c>
      <c r="L341" s="903">
        <f t="shared" si="196"/>
        <v>0</v>
      </c>
      <c r="M341" s="903">
        <f t="shared" si="196"/>
        <v>0</v>
      </c>
      <c r="N341" s="904">
        <f t="shared" si="196"/>
        <v>0</v>
      </c>
    </row>
    <row r="342" spans="1:14" s="887" customFormat="1" ht="13.5" customHeight="1">
      <c r="A342" s="2674"/>
      <c r="B342" s="2666"/>
      <c r="C342" s="702" t="s">
        <v>2561</v>
      </c>
      <c r="D342" s="702"/>
      <c r="E342" s="901"/>
      <c r="F342" s="902">
        <f t="shared" ref="F342:F352" si="197">SUM(G342:N342)</f>
        <v>0</v>
      </c>
      <c r="G342" s="1291">
        <f t="shared" si="196"/>
        <v>0</v>
      </c>
      <c r="H342" s="1291">
        <f t="shared" si="196"/>
        <v>0</v>
      </c>
      <c r="I342" s="1291">
        <f t="shared" si="196"/>
        <v>0</v>
      </c>
      <c r="J342" s="1291">
        <f t="shared" si="196"/>
        <v>0</v>
      </c>
      <c r="K342" s="1291">
        <f t="shared" si="196"/>
        <v>0</v>
      </c>
      <c r="L342" s="1291">
        <f t="shared" si="196"/>
        <v>0</v>
      </c>
      <c r="M342" s="1291">
        <f t="shared" si="196"/>
        <v>0</v>
      </c>
      <c r="N342" s="1292">
        <f t="shared" si="196"/>
        <v>0</v>
      </c>
    </row>
    <row r="343" spans="1:14" s="887" customFormat="1" ht="13.5" customHeight="1">
      <c r="A343" s="2674"/>
      <c r="B343" s="2666"/>
      <c r="C343" s="928" t="s">
        <v>2562</v>
      </c>
      <c r="D343" s="702"/>
      <c r="E343" s="901"/>
      <c r="F343" s="902">
        <f t="shared" si="197"/>
        <v>0</v>
      </c>
      <c r="G343" s="903">
        <f t="shared" si="196"/>
        <v>0</v>
      </c>
      <c r="H343" s="903">
        <f t="shared" si="196"/>
        <v>0</v>
      </c>
      <c r="I343" s="903">
        <f t="shared" si="196"/>
        <v>0</v>
      </c>
      <c r="J343" s="903">
        <f t="shared" si="196"/>
        <v>0</v>
      </c>
      <c r="K343" s="903">
        <f t="shared" si="196"/>
        <v>0</v>
      </c>
      <c r="L343" s="903">
        <f t="shared" si="196"/>
        <v>0</v>
      </c>
      <c r="M343" s="903">
        <f t="shared" si="196"/>
        <v>0</v>
      </c>
      <c r="N343" s="904">
        <f t="shared" si="196"/>
        <v>0</v>
      </c>
    </row>
    <row r="344" spans="1:14" s="887" customFormat="1" ht="13.5" customHeight="1">
      <c r="A344" s="2674"/>
      <c r="B344" s="2666"/>
      <c r="C344" s="929" t="s">
        <v>2672</v>
      </c>
      <c r="D344" s="702"/>
      <c r="E344" s="901"/>
      <c r="F344" s="902">
        <f t="shared" si="197"/>
        <v>0</v>
      </c>
      <c r="G344" s="903">
        <f t="shared" si="196"/>
        <v>0</v>
      </c>
      <c r="H344" s="903">
        <f t="shared" si="196"/>
        <v>0</v>
      </c>
      <c r="I344" s="903">
        <f t="shared" si="196"/>
        <v>0</v>
      </c>
      <c r="J344" s="903">
        <f t="shared" si="196"/>
        <v>0</v>
      </c>
      <c r="K344" s="903">
        <f t="shared" si="196"/>
        <v>0</v>
      </c>
      <c r="L344" s="903">
        <f t="shared" si="196"/>
        <v>0</v>
      </c>
      <c r="M344" s="903">
        <f t="shared" si="196"/>
        <v>0</v>
      </c>
      <c r="N344" s="904">
        <f t="shared" si="196"/>
        <v>0</v>
      </c>
    </row>
    <row r="345" spans="1:14" s="887" customFormat="1" ht="13.5" customHeight="1">
      <c r="A345" s="2674"/>
      <c r="B345" s="2665"/>
      <c r="C345" s="702" t="s">
        <v>2564</v>
      </c>
      <c r="D345" s="702"/>
      <c r="E345" s="901"/>
      <c r="F345" s="902">
        <f t="shared" si="197"/>
        <v>0</v>
      </c>
      <c r="G345" s="1291">
        <f t="shared" si="196"/>
        <v>0</v>
      </c>
      <c r="H345" s="1291">
        <f t="shared" si="196"/>
        <v>0</v>
      </c>
      <c r="I345" s="1291">
        <f t="shared" si="196"/>
        <v>0</v>
      </c>
      <c r="J345" s="1291">
        <f t="shared" si="196"/>
        <v>0</v>
      </c>
      <c r="K345" s="1291">
        <f t="shared" si="196"/>
        <v>0</v>
      </c>
      <c r="L345" s="1291">
        <f t="shared" si="196"/>
        <v>0</v>
      </c>
      <c r="M345" s="1291">
        <f t="shared" si="196"/>
        <v>0</v>
      </c>
      <c r="N345" s="1292">
        <f t="shared" si="196"/>
        <v>0</v>
      </c>
    </row>
    <row r="346" spans="1:14" s="887" customFormat="1" ht="13.5" customHeight="1">
      <c r="A346" s="2674"/>
      <c r="B346" s="2664" t="s">
        <v>2565</v>
      </c>
      <c r="C346" s="927" t="s">
        <v>2566</v>
      </c>
      <c r="D346" s="702"/>
      <c r="E346" s="901"/>
      <c r="F346" s="902">
        <f t="shared" si="197"/>
        <v>36292</v>
      </c>
      <c r="G346" s="1291">
        <f t="shared" si="196"/>
        <v>34484</v>
      </c>
      <c r="H346" s="1291">
        <f t="shared" si="196"/>
        <v>1808</v>
      </c>
      <c r="I346" s="1291">
        <f t="shared" si="196"/>
        <v>0</v>
      </c>
      <c r="J346" s="1291">
        <f t="shared" si="196"/>
        <v>0</v>
      </c>
      <c r="K346" s="1291">
        <f t="shared" si="196"/>
        <v>0</v>
      </c>
      <c r="L346" s="1291">
        <f t="shared" si="196"/>
        <v>0</v>
      </c>
      <c r="M346" s="1291">
        <f t="shared" si="196"/>
        <v>0</v>
      </c>
      <c r="N346" s="1292">
        <f t="shared" si="196"/>
        <v>0</v>
      </c>
    </row>
    <row r="347" spans="1:14" s="887" customFormat="1" ht="13.5" customHeight="1">
      <c r="A347" s="2674"/>
      <c r="B347" s="2666"/>
      <c r="C347" s="927" t="s">
        <v>2567</v>
      </c>
      <c r="D347" s="702"/>
      <c r="E347" s="901"/>
      <c r="F347" s="902">
        <f t="shared" si="197"/>
        <v>0</v>
      </c>
      <c r="G347" s="903">
        <f t="shared" si="196"/>
        <v>0</v>
      </c>
      <c r="H347" s="903">
        <f t="shared" si="196"/>
        <v>0</v>
      </c>
      <c r="I347" s="903">
        <f t="shared" si="196"/>
        <v>0</v>
      </c>
      <c r="J347" s="903">
        <f t="shared" si="196"/>
        <v>0</v>
      </c>
      <c r="K347" s="903">
        <f t="shared" si="196"/>
        <v>0</v>
      </c>
      <c r="L347" s="903">
        <f t="shared" si="196"/>
        <v>0</v>
      </c>
      <c r="M347" s="903">
        <f t="shared" si="196"/>
        <v>0</v>
      </c>
      <c r="N347" s="904">
        <f t="shared" si="196"/>
        <v>0</v>
      </c>
    </row>
    <row r="348" spans="1:14" s="887" customFormat="1" ht="13.5" customHeight="1">
      <c r="A348" s="2674"/>
      <c r="B348" s="2666"/>
      <c r="C348" s="702" t="s">
        <v>2568</v>
      </c>
      <c r="D348" s="702"/>
      <c r="E348" s="901"/>
      <c r="F348" s="902">
        <f t="shared" si="197"/>
        <v>0</v>
      </c>
      <c r="G348" s="903">
        <f t="shared" si="196"/>
        <v>0</v>
      </c>
      <c r="H348" s="903">
        <f t="shared" si="196"/>
        <v>0</v>
      </c>
      <c r="I348" s="903">
        <f t="shared" si="196"/>
        <v>0</v>
      </c>
      <c r="J348" s="903">
        <f t="shared" si="196"/>
        <v>0</v>
      </c>
      <c r="K348" s="903">
        <f t="shared" si="196"/>
        <v>0</v>
      </c>
      <c r="L348" s="903">
        <f t="shared" si="196"/>
        <v>0</v>
      </c>
      <c r="M348" s="903">
        <f t="shared" si="196"/>
        <v>0</v>
      </c>
      <c r="N348" s="904">
        <f t="shared" si="196"/>
        <v>0</v>
      </c>
    </row>
    <row r="349" spans="1:14" s="887" customFormat="1" ht="13.5" customHeight="1">
      <c r="A349" s="2674"/>
      <c r="B349" s="2666"/>
      <c r="C349" s="702" t="s">
        <v>2737</v>
      </c>
      <c r="D349" s="702"/>
      <c r="E349" s="901"/>
      <c r="F349" s="902">
        <f t="shared" si="197"/>
        <v>0</v>
      </c>
      <c r="G349" s="1291">
        <f t="shared" ref="G349:N352" si="198">+G133+G42</f>
        <v>0</v>
      </c>
      <c r="H349" s="1291">
        <f t="shared" si="198"/>
        <v>0</v>
      </c>
      <c r="I349" s="1291">
        <f t="shared" si="198"/>
        <v>0</v>
      </c>
      <c r="J349" s="1291">
        <f t="shared" si="198"/>
        <v>0</v>
      </c>
      <c r="K349" s="1291">
        <f t="shared" si="198"/>
        <v>0</v>
      </c>
      <c r="L349" s="1291">
        <f t="shared" si="198"/>
        <v>0</v>
      </c>
      <c r="M349" s="1291">
        <f t="shared" si="198"/>
        <v>0</v>
      </c>
      <c r="N349" s="1292">
        <f t="shared" si="198"/>
        <v>0</v>
      </c>
    </row>
    <row r="350" spans="1:14" s="887" customFormat="1" ht="13.5" customHeight="1">
      <c r="A350" s="2674"/>
      <c r="B350" s="2666"/>
      <c r="C350" s="931" t="s">
        <v>2570</v>
      </c>
      <c r="D350" s="931"/>
      <c r="E350" s="932"/>
      <c r="F350" s="902">
        <f t="shared" si="197"/>
        <v>0</v>
      </c>
      <c r="G350" s="1291">
        <f t="shared" si="198"/>
        <v>0</v>
      </c>
      <c r="H350" s="1291">
        <f t="shared" si="198"/>
        <v>0</v>
      </c>
      <c r="I350" s="1291">
        <f t="shared" si="198"/>
        <v>0</v>
      </c>
      <c r="J350" s="1291">
        <f t="shared" si="198"/>
        <v>0</v>
      </c>
      <c r="K350" s="1291">
        <f t="shared" si="198"/>
        <v>0</v>
      </c>
      <c r="L350" s="1291">
        <f t="shared" si="198"/>
        <v>0</v>
      </c>
      <c r="M350" s="1291">
        <f t="shared" si="198"/>
        <v>0</v>
      </c>
      <c r="N350" s="1292">
        <f t="shared" si="198"/>
        <v>0</v>
      </c>
    </row>
    <row r="351" spans="1:14" s="887" customFormat="1" ht="13.5" customHeight="1">
      <c r="A351" s="2674"/>
      <c r="B351" s="2666"/>
      <c r="C351" s="931" t="s">
        <v>2571</v>
      </c>
      <c r="D351" s="931"/>
      <c r="E351" s="932"/>
      <c r="F351" s="902">
        <f t="shared" si="197"/>
        <v>0</v>
      </c>
      <c r="G351" s="1291">
        <f t="shared" si="198"/>
        <v>0</v>
      </c>
      <c r="H351" s="1291">
        <f t="shared" si="198"/>
        <v>0</v>
      </c>
      <c r="I351" s="1291">
        <f t="shared" si="198"/>
        <v>0</v>
      </c>
      <c r="J351" s="1291">
        <f t="shared" si="198"/>
        <v>0</v>
      </c>
      <c r="K351" s="1291">
        <f t="shared" si="198"/>
        <v>0</v>
      </c>
      <c r="L351" s="1291">
        <f t="shared" si="198"/>
        <v>0</v>
      </c>
      <c r="M351" s="1291">
        <f t="shared" si="198"/>
        <v>0</v>
      </c>
      <c r="N351" s="1292">
        <f t="shared" si="198"/>
        <v>0</v>
      </c>
    </row>
    <row r="352" spans="1:14" s="887" customFormat="1" ht="13.5" customHeight="1">
      <c r="A352" s="2675"/>
      <c r="B352" s="2676"/>
      <c r="C352" s="935" t="s">
        <v>2572</v>
      </c>
      <c r="D352" s="935"/>
      <c r="E352" s="936"/>
      <c r="F352" s="937">
        <f t="shared" si="197"/>
        <v>0</v>
      </c>
      <c r="G352" s="1297">
        <f t="shared" si="198"/>
        <v>0</v>
      </c>
      <c r="H352" s="1297">
        <f t="shared" si="198"/>
        <v>0</v>
      </c>
      <c r="I352" s="1297">
        <f t="shared" si="198"/>
        <v>0</v>
      </c>
      <c r="J352" s="1297">
        <f t="shared" si="198"/>
        <v>0</v>
      </c>
      <c r="K352" s="1297">
        <f t="shared" si="198"/>
        <v>0</v>
      </c>
      <c r="L352" s="1297">
        <f t="shared" si="198"/>
        <v>0</v>
      </c>
      <c r="M352" s="1297">
        <f t="shared" si="198"/>
        <v>0</v>
      </c>
      <c r="N352" s="1298">
        <f t="shared" si="198"/>
        <v>0</v>
      </c>
    </row>
    <row r="353" spans="1:14" s="887" customFormat="1" ht="13.5" customHeight="1">
      <c r="A353" s="878"/>
      <c r="B353" s="878"/>
      <c r="C353" s="1090" t="s">
        <v>2638</v>
      </c>
      <c r="D353" s="1090"/>
      <c r="E353" s="914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2738</v>
      </c>
    </row>
    <row r="354" spans="1:14" s="887" customFormat="1" ht="13.5" customHeight="1">
      <c r="A354" s="878"/>
      <c r="B354" s="878"/>
      <c r="C354" s="921" t="s">
        <v>2640</v>
      </c>
      <c r="D354" s="921"/>
      <c r="E354" s="914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7" customFormat="1" ht="13.5" customHeight="1">
      <c r="A355" s="868"/>
      <c r="B355" s="869"/>
      <c r="C355" s="869"/>
      <c r="D355" s="2696" t="s">
        <v>2641</v>
      </c>
      <c r="E355" s="2696" t="s">
        <v>2666</v>
      </c>
      <c r="F355" s="1083" t="s">
        <v>2526</v>
      </c>
      <c r="G355" s="1293" t="str">
        <f>+G302</f>
        <v>天井改良</v>
      </c>
      <c r="H355" s="1084" t="str">
        <f t="shared" ref="H355:N355" si="199">+H302</f>
        <v>居室内装修理</v>
      </c>
      <c r="I355" s="1084">
        <f t="shared" si="199"/>
        <v>0</v>
      </c>
      <c r="J355" s="1084">
        <f t="shared" si="199"/>
        <v>0</v>
      </c>
      <c r="K355" s="1084">
        <f t="shared" si="199"/>
        <v>0</v>
      </c>
      <c r="L355" s="1084">
        <f t="shared" si="199"/>
        <v>0</v>
      </c>
      <c r="M355" s="1084">
        <f t="shared" si="199"/>
        <v>0</v>
      </c>
      <c r="N355" s="1085">
        <f t="shared" si="199"/>
        <v>0</v>
      </c>
    </row>
    <row r="356" spans="1:14" s="887" customFormat="1" ht="13.5" customHeight="1">
      <c r="A356" s="2693" t="s">
        <v>2643</v>
      </c>
      <c r="B356" s="2694"/>
      <c r="C356" s="2695"/>
      <c r="D356" s="2697"/>
      <c r="E356" s="2697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7" customFormat="1" ht="13.5" customHeight="1">
      <c r="A357" s="2677"/>
      <c r="B357" s="1095" t="s">
        <v>2739</v>
      </c>
      <c r="C357" s="1096"/>
      <c r="D357" s="1097"/>
      <c r="E357" s="1098"/>
      <c r="F357" s="1099">
        <f t="shared" ref="F357:F364" si="200">SUM(G357:N357)</f>
        <v>8388790</v>
      </c>
      <c r="G357" s="1100">
        <f>SUM(G333:G345)+G349</f>
        <v>7980724</v>
      </c>
      <c r="H357" s="1100">
        <f t="shared" ref="H357:N357" si="201">SUM(H333:H345)+H349</f>
        <v>408066</v>
      </c>
      <c r="I357" s="1100">
        <f t="shared" si="201"/>
        <v>0</v>
      </c>
      <c r="J357" s="1100">
        <f t="shared" si="201"/>
        <v>0</v>
      </c>
      <c r="K357" s="1100">
        <f t="shared" si="201"/>
        <v>0</v>
      </c>
      <c r="L357" s="1100">
        <f t="shared" si="201"/>
        <v>0</v>
      </c>
      <c r="M357" s="1100">
        <f t="shared" si="201"/>
        <v>0</v>
      </c>
      <c r="N357" s="1100">
        <f t="shared" si="201"/>
        <v>0</v>
      </c>
    </row>
    <row r="358" spans="1:14" s="887" customFormat="1" ht="13.5" customHeight="1">
      <c r="A358" s="2678"/>
      <c r="B358" s="2664" t="s">
        <v>2550</v>
      </c>
      <c r="C358" s="1101" t="s">
        <v>2551</v>
      </c>
      <c r="D358" s="1102">
        <v>1</v>
      </c>
      <c r="E358" s="1103" t="s">
        <v>2647</v>
      </c>
      <c r="F358" s="902">
        <f t="shared" si="200"/>
        <v>0</v>
      </c>
      <c r="G358" s="903">
        <f t="shared" ref="G358:N358" si="202">IF(G304="積上げ",0,+G333)</f>
        <v>0</v>
      </c>
      <c r="H358" s="903">
        <f t="shared" si="202"/>
        <v>0</v>
      </c>
      <c r="I358" s="903">
        <f t="shared" si="202"/>
        <v>0</v>
      </c>
      <c r="J358" s="903">
        <f t="shared" si="202"/>
        <v>0</v>
      </c>
      <c r="K358" s="903">
        <f t="shared" si="202"/>
        <v>0</v>
      </c>
      <c r="L358" s="903">
        <f t="shared" si="202"/>
        <v>0</v>
      </c>
      <c r="M358" s="903">
        <f t="shared" si="202"/>
        <v>0</v>
      </c>
      <c r="N358" s="903">
        <f t="shared" si="202"/>
        <v>0</v>
      </c>
    </row>
    <row r="359" spans="1:14" s="887" customFormat="1" ht="13.5" customHeight="1">
      <c r="A359" s="2678"/>
      <c r="B359" s="2666"/>
      <c r="C359" s="1101" t="s">
        <v>2552</v>
      </c>
      <c r="D359" s="1102">
        <v>1</v>
      </c>
      <c r="E359" s="1103" t="s">
        <v>2646</v>
      </c>
      <c r="F359" s="902">
        <f t="shared" si="200"/>
        <v>8388790</v>
      </c>
      <c r="G359" s="903">
        <f t="shared" ref="G359:N359" si="203">IF(G304="積上げ",0,+G334)</f>
        <v>7980724</v>
      </c>
      <c r="H359" s="903">
        <f t="shared" si="203"/>
        <v>408066</v>
      </c>
      <c r="I359" s="903">
        <f t="shared" si="203"/>
        <v>0</v>
      </c>
      <c r="J359" s="903">
        <f t="shared" si="203"/>
        <v>0</v>
      </c>
      <c r="K359" s="903">
        <f t="shared" si="203"/>
        <v>0</v>
      </c>
      <c r="L359" s="903">
        <f t="shared" si="203"/>
        <v>0</v>
      </c>
      <c r="M359" s="903">
        <f t="shared" si="203"/>
        <v>0</v>
      </c>
      <c r="N359" s="903">
        <f t="shared" si="203"/>
        <v>0</v>
      </c>
    </row>
    <row r="360" spans="1:14" s="887" customFormat="1" ht="12">
      <c r="A360" s="2678"/>
      <c r="B360" s="2666"/>
      <c r="C360" s="1101" t="s">
        <v>2648</v>
      </c>
      <c r="D360" s="1102">
        <v>0.9</v>
      </c>
      <c r="E360" s="1103" t="s">
        <v>2646</v>
      </c>
      <c r="F360" s="902">
        <f t="shared" si="200"/>
        <v>0</v>
      </c>
      <c r="G360" s="903">
        <f t="shared" ref="G360:N360" si="204">IF(G304="積上げ",0,+G335)</f>
        <v>0</v>
      </c>
      <c r="H360" s="903">
        <f t="shared" si="204"/>
        <v>0</v>
      </c>
      <c r="I360" s="903">
        <f t="shared" si="204"/>
        <v>0</v>
      </c>
      <c r="J360" s="903">
        <f t="shared" si="204"/>
        <v>0</v>
      </c>
      <c r="K360" s="903">
        <f t="shared" si="204"/>
        <v>0</v>
      </c>
      <c r="L360" s="903">
        <f t="shared" si="204"/>
        <v>0</v>
      </c>
      <c r="M360" s="903">
        <f t="shared" si="204"/>
        <v>0</v>
      </c>
      <c r="N360" s="903">
        <f t="shared" si="204"/>
        <v>0</v>
      </c>
    </row>
    <row r="361" spans="1:14" s="887" customFormat="1" ht="12">
      <c r="A361" s="2678"/>
      <c r="B361" s="2665"/>
      <c r="C361" s="1101" t="s">
        <v>2649</v>
      </c>
      <c r="D361" s="1102">
        <v>0.9</v>
      </c>
      <c r="E361" s="1103" t="s">
        <v>2647</v>
      </c>
      <c r="F361" s="902">
        <f t="shared" si="200"/>
        <v>0</v>
      </c>
      <c r="G361" s="903">
        <f t="shared" ref="G361:N361" si="205">IF(G304="積上げ",0,+G336)</f>
        <v>0</v>
      </c>
      <c r="H361" s="903">
        <f t="shared" si="205"/>
        <v>0</v>
      </c>
      <c r="I361" s="903">
        <f t="shared" si="205"/>
        <v>0</v>
      </c>
      <c r="J361" s="903">
        <f t="shared" si="205"/>
        <v>0</v>
      </c>
      <c r="K361" s="903">
        <f t="shared" si="205"/>
        <v>0</v>
      </c>
      <c r="L361" s="903">
        <f t="shared" si="205"/>
        <v>0</v>
      </c>
      <c r="M361" s="903">
        <f t="shared" si="205"/>
        <v>0</v>
      </c>
      <c r="N361" s="903">
        <f t="shared" si="205"/>
        <v>0</v>
      </c>
    </row>
    <row r="362" spans="1:14" s="887" customFormat="1" ht="12">
      <c r="A362" s="2678"/>
      <c r="B362" s="2664" t="s">
        <v>2555</v>
      </c>
      <c r="C362" s="1101" t="s">
        <v>2650</v>
      </c>
      <c r="D362" s="1102">
        <v>1</v>
      </c>
      <c r="E362" s="1104">
        <v>0.01</v>
      </c>
      <c r="F362" s="902">
        <f t="shared" si="200"/>
        <v>0</v>
      </c>
      <c r="G362" s="903">
        <f t="shared" ref="G362:N362" si="206">IF(G304="積上げ",0,+G337)</f>
        <v>0</v>
      </c>
      <c r="H362" s="903">
        <f t="shared" si="206"/>
        <v>0</v>
      </c>
      <c r="I362" s="903">
        <f t="shared" si="206"/>
        <v>0</v>
      </c>
      <c r="J362" s="903">
        <f t="shared" si="206"/>
        <v>0</v>
      </c>
      <c r="K362" s="903">
        <f t="shared" si="206"/>
        <v>0</v>
      </c>
      <c r="L362" s="903">
        <f t="shared" si="206"/>
        <v>0</v>
      </c>
      <c r="M362" s="903">
        <f t="shared" si="206"/>
        <v>0</v>
      </c>
      <c r="N362" s="903">
        <f t="shared" si="206"/>
        <v>0</v>
      </c>
    </row>
    <row r="363" spans="1:14" s="887" customFormat="1" ht="12">
      <c r="A363" s="2678"/>
      <c r="B363" s="2666"/>
      <c r="C363" s="1101" t="s">
        <v>2651</v>
      </c>
      <c r="D363" s="1102">
        <v>1</v>
      </c>
      <c r="E363" s="1104">
        <v>0.01</v>
      </c>
      <c r="F363" s="902">
        <f t="shared" si="200"/>
        <v>0</v>
      </c>
      <c r="G363" s="903">
        <f t="shared" ref="G363:N363" si="207">IF(G304="積上げ",0,G338)</f>
        <v>0</v>
      </c>
      <c r="H363" s="903">
        <f t="shared" si="207"/>
        <v>0</v>
      </c>
      <c r="I363" s="903">
        <f t="shared" si="207"/>
        <v>0</v>
      </c>
      <c r="J363" s="903">
        <f t="shared" si="207"/>
        <v>0</v>
      </c>
      <c r="K363" s="903">
        <f t="shared" si="207"/>
        <v>0</v>
      </c>
      <c r="L363" s="903">
        <f t="shared" si="207"/>
        <v>0</v>
      </c>
      <c r="M363" s="903">
        <f t="shared" si="207"/>
        <v>0</v>
      </c>
      <c r="N363" s="903">
        <f t="shared" si="207"/>
        <v>0</v>
      </c>
    </row>
    <row r="364" spans="1:14" s="887" customFormat="1" ht="12">
      <c r="A364" s="2678"/>
      <c r="B364" s="2666"/>
      <c r="C364" s="1101" t="s">
        <v>2558</v>
      </c>
      <c r="D364" s="1102">
        <v>1</v>
      </c>
      <c r="E364" s="1104">
        <v>0.01</v>
      </c>
      <c r="F364" s="902">
        <f t="shared" si="200"/>
        <v>0</v>
      </c>
      <c r="G364" s="903">
        <f t="shared" ref="G364:N364" si="208">IF(G304="積上げ",0,G339)</f>
        <v>0</v>
      </c>
      <c r="H364" s="903">
        <f t="shared" si="208"/>
        <v>0</v>
      </c>
      <c r="I364" s="903">
        <f t="shared" si="208"/>
        <v>0</v>
      </c>
      <c r="J364" s="903">
        <f t="shared" si="208"/>
        <v>0</v>
      </c>
      <c r="K364" s="903">
        <f t="shared" si="208"/>
        <v>0</v>
      </c>
      <c r="L364" s="903">
        <f t="shared" si="208"/>
        <v>0</v>
      </c>
      <c r="M364" s="903">
        <f t="shared" si="208"/>
        <v>0</v>
      </c>
      <c r="N364" s="903">
        <f t="shared" si="208"/>
        <v>0</v>
      </c>
    </row>
    <row r="365" spans="1:14" s="887" customFormat="1" ht="12">
      <c r="A365" s="2678"/>
      <c r="B365" s="2666"/>
      <c r="C365" s="1101" t="s">
        <v>2669</v>
      </c>
      <c r="D365" s="1102"/>
      <c r="E365" s="1104"/>
      <c r="F365" s="902"/>
      <c r="G365" s="903"/>
      <c r="H365" s="903"/>
      <c r="I365" s="903"/>
      <c r="J365" s="903"/>
      <c r="K365" s="903"/>
      <c r="L365" s="903"/>
      <c r="M365" s="903"/>
      <c r="N365" s="903"/>
    </row>
    <row r="366" spans="1:14" s="887" customFormat="1" ht="12">
      <c r="A366" s="2678"/>
      <c r="B366" s="2666"/>
      <c r="C366" s="1101" t="s">
        <v>2560</v>
      </c>
      <c r="D366" s="1102"/>
      <c r="E366" s="1104"/>
      <c r="F366" s="902"/>
      <c r="G366" s="903"/>
      <c r="H366" s="903"/>
      <c r="I366" s="903"/>
      <c r="J366" s="903"/>
      <c r="K366" s="903"/>
      <c r="L366" s="903"/>
      <c r="M366" s="903"/>
      <c r="N366" s="903"/>
    </row>
    <row r="367" spans="1:14" s="887" customFormat="1" ht="12">
      <c r="A367" s="2678"/>
      <c r="B367" s="2666"/>
      <c r="C367" s="1101" t="s">
        <v>2561</v>
      </c>
      <c r="D367" s="1102">
        <v>1</v>
      </c>
      <c r="E367" s="1104">
        <v>0.01</v>
      </c>
      <c r="F367" s="902">
        <f>SUM(G367:N367)</f>
        <v>0</v>
      </c>
      <c r="G367" s="903">
        <f t="shared" ref="G367:N367" si="209">IF(G304="積上げ",0,+G342)</f>
        <v>0</v>
      </c>
      <c r="H367" s="903">
        <f t="shared" si="209"/>
        <v>0</v>
      </c>
      <c r="I367" s="903">
        <f t="shared" si="209"/>
        <v>0</v>
      </c>
      <c r="J367" s="903">
        <f t="shared" si="209"/>
        <v>0</v>
      </c>
      <c r="K367" s="903">
        <f t="shared" si="209"/>
        <v>0</v>
      </c>
      <c r="L367" s="903">
        <f t="shared" si="209"/>
        <v>0</v>
      </c>
      <c r="M367" s="903">
        <f t="shared" si="209"/>
        <v>0</v>
      </c>
      <c r="N367" s="903">
        <f t="shared" si="209"/>
        <v>0</v>
      </c>
    </row>
    <row r="368" spans="1:14" s="887" customFormat="1" ht="12">
      <c r="A368" s="2678"/>
      <c r="B368" s="2666"/>
      <c r="C368" s="1105" t="s">
        <v>2637</v>
      </c>
      <c r="D368" s="1102">
        <v>1</v>
      </c>
      <c r="E368" s="1104">
        <v>0.01</v>
      </c>
      <c r="F368" s="902">
        <f>SUM(G368:N368)</f>
        <v>0</v>
      </c>
      <c r="G368" s="903">
        <f t="shared" ref="G368:N368" si="210">IF(G304="積上げ",0,+G343)</f>
        <v>0</v>
      </c>
      <c r="H368" s="903">
        <f t="shared" si="210"/>
        <v>0</v>
      </c>
      <c r="I368" s="903">
        <f t="shared" si="210"/>
        <v>0</v>
      </c>
      <c r="J368" s="903">
        <f t="shared" si="210"/>
        <v>0</v>
      </c>
      <c r="K368" s="903">
        <f t="shared" si="210"/>
        <v>0</v>
      </c>
      <c r="L368" s="903">
        <f t="shared" si="210"/>
        <v>0</v>
      </c>
      <c r="M368" s="903">
        <f t="shared" si="210"/>
        <v>0</v>
      </c>
      <c r="N368" s="903">
        <f t="shared" si="210"/>
        <v>0</v>
      </c>
    </row>
    <row r="369" spans="1:14" s="887" customFormat="1" ht="12">
      <c r="A369" s="2678"/>
      <c r="B369" s="2666"/>
      <c r="C369" s="1105" t="s">
        <v>2563</v>
      </c>
      <c r="D369" s="1102">
        <v>1</v>
      </c>
      <c r="E369" s="1104">
        <v>0.01</v>
      </c>
      <c r="F369" s="902">
        <f>SUM(G369:N369)</f>
        <v>0</v>
      </c>
      <c r="G369" s="903">
        <f t="shared" ref="G369:N369" si="211">IF(G304="積上げ",0,+G344)</f>
        <v>0</v>
      </c>
      <c r="H369" s="903">
        <f t="shared" si="211"/>
        <v>0</v>
      </c>
      <c r="I369" s="903">
        <f t="shared" si="211"/>
        <v>0</v>
      </c>
      <c r="J369" s="903">
        <f t="shared" si="211"/>
        <v>0</v>
      </c>
      <c r="K369" s="903">
        <f t="shared" si="211"/>
        <v>0</v>
      </c>
      <c r="L369" s="903">
        <f t="shared" si="211"/>
        <v>0</v>
      </c>
      <c r="M369" s="903">
        <f t="shared" si="211"/>
        <v>0</v>
      </c>
      <c r="N369" s="903">
        <f t="shared" si="211"/>
        <v>0</v>
      </c>
    </row>
    <row r="370" spans="1:14" s="887" customFormat="1" ht="12">
      <c r="A370" s="2678"/>
      <c r="B370" s="2665"/>
      <c r="C370" s="1101" t="s">
        <v>2564</v>
      </c>
      <c r="D370" s="1102">
        <v>1</v>
      </c>
      <c r="E370" s="1104">
        <v>0.01</v>
      </c>
      <c r="F370" s="902">
        <f>SUM(G370:N370)</f>
        <v>0</v>
      </c>
      <c r="G370" s="903">
        <f t="shared" ref="G370:N370" si="212">IF(G304="積上げ",0,+G345)</f>
        <v>0</v>
      </c>
      <c r="H370" s="903">
        <f t="shared" si="212"/>
        <v>0</v>
      </c>
      <c r="I370" s="903">
        <f t="shared" si="212"/>
        <v>0</v>
      </c>
      <c r="J370" s="903">
        <f t="shared" si="212"/>
        <v>0</v>
      </c>
      <c r="K370" s="903">
        <f t="shared" si="212"/>
        <v>0</v>
      </c>
      <c r="L370" s="903">
        <f t="shared" si="212"/>
        <v>0</v>
      </c>
      <c r="M370" s="903">
        <f t="shared" si="212"/>
        <v>0</v>
      </c>
      <c r="N370" s="903">
        <f t="shared" si="212"/>
        <v>0</v>
      </c>
    </row>
    <row r="371" spans="1:14" s="887" customFormat="1" ht="12">
      <c r="A371" s="2690"/>
      <c r="B371" s="1106" t="s">
        <v>2652</v>
      </c>
      <c r="C371" s="1132" t="s">
        <v>2740</v>
      </c>
      <c r="D371" s="1108">
        <v>1</v>
      </c>
      <c r="E371" s="1109">
        <v>0</v>
      </c>
      <c r="F371" s="937">
        <f>SUM(G371:N371)</f>
        <v>36292</v>
      </c>
      <c r="G371" s="1064">
        <f>IF(G304="積上げ",0,SUM(G349:G352)+G346)</f>
        <v>34484</v>
      </c>
      <c r="H371" s="1064">
        <f t="shared" ref="H371:N371" si="213">IF(H304="積上げ",0,SUM(H349:H352)+H346)</f>
        <v>1808</v>
      </c>
      <c r="I371" s="1064">
        <f t="shared" si="213"/>
        <v>0</v>
      </c>
      <c r="J371" s="1064">
        <f t="shared" si="213"/>
        <v>0</v>
      </c>
      <c r="K371" s="1064">
        <f t="shared" si="213"/>
        <v>0</v>
      </c>
      <c r="L371" s="1064">
        <f t="shared" si="213"/>
        <v>0</v>
      </c>
      <c r="M371" s="1064">
        <f t="shared" si="213"/>
        <v>0</v>
      </c>
      <c r="N371" s="1064">
        <f t="shared" si="213"/>
        <v>0</v>
      </c>
    </row>
    <row r="372" spans="1:14" s="887" customFormat="1" ht="12">
      <c r="A372" s="1110"/>
      <c r="B372" s="1111"/>
      <c r="C372" s="1112"/>
      <c r="D372" s="2691"/>
      <c r="E372" s="2691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7" customFormat="1">
      <c r="A373" s="2693" t="s">
        <v>2654</v>
      </c>
      <c r="B373" s="2694"/>
      <c r="C373" s="2695"/>
      <c r="D373" s="2692"/>
      <c r="E373" s="2692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7" customFormat="1" ht="12">
      <c r="A374" s="2677"/>
      <c r="B374" s="2680" t="s">
        <v>2645</v>
      </c>
      <c r="C374" s="1114" t="s">
        <v>2551</v>
      </c>
      <c r="D374" s="1115"/>
      <c r="E374" s="1116" t="s">
        <v>2646</v>
      </c>
      <c r="F374" s="1117" t="s">
        <v>2656</v>
      </c>
      <c r="G374" s="1118">
        <f t="shared" ref="G374:N374" si="214">IF(G358=0,0,IF(G306="有り",+G479/100,G480/100))</f>
        <v>0</v>
      </c>
      <c r="H374" s="1118">
        <f t="shared" si="214"/>
        <v>0</v>
      </c>
      <c r="I374" s="1118">
        <f t="shared" si="214"/>
        <v>0</v>
      </c>
      <c r="J374" s="1118">
        <f t="shared" si="214"/>
        <v>0</v>
      </c>
      <c r="K374" s="1118">
        <f t="shared" si="214"/>
        <v>0</v>
      </c>
      <c r="L374" s="1118">
        <f t="shared" si="214"/>
        <v>0</v>
      </c>
      <c r="M374" s="1118">
        <f t="shared" si="214"/>
        <v>0</v>
      </c>
      <c r="N374" s="1119">
        <f t="shared" si="214"/>
        <v>0</v>
      </c>
    </row>
    <row r="375" spans="1:14" s="887" customFormat="1" ht="12">
      <c r="A375" s="2678"/>
      <c r="B375" s="2666"/>
      <c r="C375" s="1120"/>
      <c r="D375" s="1121">
        <f>+D358</f>
        <v>1</v>
      </c>
      <c r="E375" s="1122" t="s">
        <v>2646</v>
      </c>
      <c r="F375" s="1055">
        <f>SUM(G375:N375)</f>
        <v>0</v>
      </c>
      <c r="G375" s="1071">
        <f t="shared" ref="G375:N375" si="215">ROUNDDOWN(G358*G374*$D375,0)</f>
        <v>0</v>
      </c>
      <c r="H375" s="1071">
        <f t="shared" si="215"/>
        <v>0</v>
      </c>
      <c r="I375" s="1071">
        <f t="shared" si="215"/>
        <v>0</v>
      </c>
      <c r="J375" s="1071">
        <f t="shared" si="215"/>
        <v>0</v>
      </c>
      <c r="K375" s="1071">
        <f t="shared" si="215"/>
        <v>0</v>
      </c>
      <c r="L375" s="1071">
        <f t="shared" si="215"/>
        <v>0</v>
      </c>
      <c r="M375" s="1071">
        <f t="shared" si="215"/>
        <v>0</v>
      </c>
      <c r="N375" s="1072">
        <f t="shared" si="215"/>
        <v>0</v>
      </c>
    </row>
    <row r="376" spans="1:14" s="887" customFormat="1" ht="12">
      <c r="A376" s="2678"/>
      <c r="B376" s="2666"/>
      <c r="C376" s="1123" t="s">
        <v>2552</v>
      </c>
      <c r="D376" s="1124"/>
      <c r="E376" s="1122" t="s">
        <v>2647</v>
      </c>
      <c r="F376" s="1125" t="s">
        <v>2656</v>
      </c>
      <c r="G376" s="1126">
        <f t="shared" ref="G376:N376" si="216">IF(G359=0,0,IF(G306="有り",G488/100,+G489/100))</f>
        <v>3.27E-2</v>
      </c>
      <c r="H376" s="1126">
        <f t="shared" si="216"/>
        <v>3.27E-2</v>
      </c>
      <c r="I376" s="1126">
        <f t="shared" si="216"/>
        <v>0</v>
      </c>
      <c r="J376" s="1126">
        <f t="shared" si="216"/>
        <v>0</v>
      </c>
      <c r="K376" s="1126">
        <f t="shared" si="216"/>
        <v>0</v>
      </c>
      <c r="L376" s="1126">
        <f t="shared" si="216"/>
        <v>0</v>
      </c>
      <c r="M376" s="1126">
        <f t="shared" si="216"/>
        <v>0</v>
      </c>
      <c r="N376" s="1127">
        <f t="shared" si="216"/>
        <v>0</v>
      </c>
    </row>
    <row r="377" spans="1:14" s="887" customFormat="1" ht="12">
      <c r="A377" s="2678"/>
      <c r="B377" s="2666"/>
      <c r="C377" s="1120"/>
      <c r="D377" s="1128">
        <f t="shared" ref="D377:D382" si="217">+D359</f>
        <v>1</v>
      </c>
      <c r="E377" s="1122" t="s">
        <v>2646</v>
      </c>
      <c r="F377" s="1055">
        <f>SUM(G377:N377)</f>
        <v>274312</v>
      </c>
      <c r="G377" s="1071">
        <f t="shared" ref="G377:N377" si="218">ROUNDDOWN(G359*G376*$D377,0)</f>
        <v>260969</v>
      </c>
      <c r="H377" s="1071">
        <f t="shared" si="218"/>
        <v>13343</v>
      </c>
      <c r="I377" s="1071">
        <f t="shared" si="218"/>
        <v>0</v>
      </c>
      <c r="J377" s="1071">
        <f t="shared" si="218"/>
        <v>0</v>
      </c>
      <c r="K377" s="1071">
        <f t="shared" si="218"/>
        <v>0</v>
      </c>
      <c r="L377" s="1071">
        <f t="shared" si="218"/>
        <v>0</v>
      </c>
      <c r="M377" s="1071">
        <f t="shared" si="218"/>
        <v>0</v>
      </c>
      <c r="N377" s="1072">
        <f t="shared" si="218"/>
        <v>0</v>
      </c>
    </row>
    <row r="378" spans="1:14" s="887" customFormat="1" ht="12">
      <c r="A378" s="2678"/>
      <c r="B378" s="2666"/>
      <c r="C378" s="1101" t="s">
        <v>2574</v>
      </c>
      <c r="D378" s="1129">
        <v>0.9</v>
      </c>
      <c r="E378" s="1122" t="s">
        <v>2646</v>
      </c>
      <c r="F378" s="1055">
        <f>SUM(G378:N378)</f>
        <v>0</v>
      </c>
      <c r="G378" s="1071">
        <f t="shared" ref="G378:N378" si="219">ROUNDDOWN(G360*G374*$D378,0)</f>
        <v>0</v>
      </c>
      <c r="H378" s="1071">
        <f t="shared" si="219"/>
        <v>0</v>
      </c>
      <c r="I378" s="1071">
        <f t="shared" si="219"/>
        <v>0</v>
      </c>
      <c r="J378" s="1071">
        <f t="shared" si="219"/>
        <v>0</v>
      </c>
      <c r="K378" s="1071">
        <f t="shared" si="219"/>
        <v>0</v>
      </c>
      <c r="L378" s="1071">
        <f t="shared" si="219"/>
        <v>0</v>
      </c>
      <c r="M378" s="1071">
        <f t="shared" si="219"/>
        <v>0</v>
      </c>
      <c r="N378" s="1072">
        <f t="shared" si="219"/>
        <v>0</v>
      </c>
    </row>
    <row r="379" spans="1:14" s="887" customFormat="1" ht="12">
      <c r="A379" s="2678"/>
      <c r="B379" s="2665"/>
      <c r="C379" s="1101" t="s">
        <v>2575</v>
      </c>
      <c r="D379" s="1129">
        <v>0.9</v>
      </c>
      <c r="E379" s="1122" t="s">
        <v>2646</v>
      </c>
      <c r="F379" s="1055">
        <f>SUM(G379:N379)</f>
        <v>0</v>
      </c>
      <c r="G379" s="1071">
        <f t="shared" ref="G379:N379" si="220">ROUNDDOWN(G361*G376*$D379,0)</f>
        <v>0</v>
      </c>
      <c r="H379" s="1071">
        <f t="shared" si="220"/>
        <v>0</v>
      </c>
      <c r="I379" s="1071">
        <f t="shared" si="220"/>
        <v>0</v>
      </c>
      <c r="J379" s="1071">
        <f t="shared" si="220"/>
        <v>0</v>
      </c>
      <c r="K379" s="1071">
        <f t="shared" si="220"/>
        <v>0</v>
      </c>
      <c r="L379" s="1071">
        <f t="shared" si="220"/>
        <v>0</v>
      </c>
      <c r="M379" s="1071">
        <f t="shared" si="220"/>
        <v>0</v>
      </c>
      <c r="N379" s="1072">
        <f t="shared" si="220"/>
        <v>0</v>
      </c>
    </row>
    <row r="380" spans="1:14" s="887" customFormat="1" ht="12">
      <c r="A380" s="2678"/>
      <c r="B380" s="2664" t="s">
        <v>2555</v>
      </c>
      <c r="C380" s="1101" t="s">
        <v>2650</v>
      </c>
      <c r="D380" s="1129">
        <f>+D362</f>
        <v>1</v>
      </c>
      <c r="E380" s="1104">
        <f>+E362</f>
        <v>0.01</v>
      </c>
      <c r="F380" s="902">
        <v>0</v>
      </c>
      <c r="G380" s="1071">
        <f t="shared" ref="G380:N389" si="221">ROUNDDOWN(G362*$E380*$D380,0)</f>
        <v>0</v>
      </c>
      <c r="H380" s="1071">
        <f t="shared" si="221"/>
        <v>0</v>
      </c>
      <c r="I380" s="1071">
        <f t="shared" si="221"/>
        <v>0</v>
      </c>
      <c r="J380" s="1071">
        <f t="shared" si="221"/>
        <v>0</v>
      </c>
      <c r="K380" s="1071">
        <f t="shared" si="221"/>
        <v>0</v>
      </c>
      <c r="L380" s="1071">
        <f t="shared" si="221"/>
        <v>0</v>
      </c>
      <c r="M380" s="1071">
        <f t="shared" si="221"/>
        <v>0</v>
      </c>
      <c r="N380" s="1071">
        <f t="shared" si="221"/>
        <v>0</v>
      </c>
    </row>
    <row r="381" spans="1:14" s="887" customFormat="1" ht="12">
      <c r="A381" s="2678"/>
      <c r="B381" s="2666"/>
      <c r="C381" s="1101" t="s">
        <v>2657</v>
      </c>
      <c r="D381" s="1129">
        <f t="shared" si="217"/>
        <v>1</v>
      </c>
      <c r="E381" s="1104">
        <f>+E363</f>
        <v>0.01</v>
      </c>
      <c r="F381" s="902">
        <v>0</v>
      </c>
      <c r="G381" s="1071">
        <f t="shared" si="221"/>
        <v>0</v>
      </c>
      <c r="H381" s="1071">
        <f t="shared" si="221"/>
        <v>0</v>
      </c>
      <c r="I381" s="1071">
        <f t="shared" si="221"/>
        <v>0</v>
      </c>
      <c r="J381" s="1071">
        <f t="shared" si="221"/>
        <v>0</v>
      </c>
      <c r="K381" s="1071">
        <f t="shared" si="221"/>
        <v>0</v>
      </c>
      <c r="L381" s="1071">
        <f t="shared" si="221"/>
        <v>0</v>
      </c>
      <c r="M381" s="1071">
        <f t="shared" si="221"/>
        <v>0</v>
      </c>
      <c r="N381" s="1071">
        <f t="shared" si="221"/>
        <v>0</v>
      </c>
    </row>
    <row r="382" spans="1:14" s="887" customFormat="1" ht="12">
      <c r="A382" s="2678"/>
      <c r="B382" s="2666"/>
      <c r="C382" s="1101" t="s">
        <v>2558</v>
      </c>
      <c r="D382" s="1129">
        <f t="shared" si="217"/>
        <v>1</v>
      </c>
      <c r="E382" s="1104">
        <f>+E364</f>
        <v>0.01</v>
      </c>
      <c r="F382" s="902">
        <v>0</v>
      </c>
      <c r="G382" s="1071">
        <f t="shared" si="221"/>
        <v>0</v>
      </c>
      <c r="H382" s="1071">
        <f t="shared" si="221"/>
        <v>0</v>
      </c>
      <c r="I382" s="1071">
        <f t="shared" si="221"/>
        <v>0</v>
      </c>
      <c r="J382" s="1071">
        <f t="shared" si="221"/>
        <v>0</v>
      </c>
      <c r="K382" s="1071">
        <f t="shared" si="221"/>
        <v>0</v>
      </c>
      <c r="L382" s="1071">
        <f t="shared" si="221"/>
        <v>0</v>
      </c>
      <c r="M382" s="1071">
        <f t="shared" si="221"/>
        <v>0</v>
      </c>
      <c r="N382" s="1071">
        <f t="shared" si="221"/>
        <v>0</v>
      </c>
    </row>
    <row r="383" spans="1:14" s="887" customFormat="1" ht="12">
      <c r="A383" s="2678"/>
      <c r="B383" s="2666"/>
      <c r="C383" s="1101" t="s">
        <v>2658</v>
      </c>
      <c r="D383" s="1129"/>
      <c r="E383" s="1104"/>
      <c r="F383" s="902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7" customFormat="1" ht="12">
      <c r="A384" s="2678"/>
      <c r="B384" s="2666"/>
      <c r="C384" s="1130" t="s">
        <v>2560</v>
      </c>
      <c r="D384" s="1129"/>
      <c r="E384" s="1104"/>
      <c r="F384" s="902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7" customFormat="1" ht="12">
      <c r="A385" s="2678"/>
      <c r="B385" s="2666"/>
      <c r="C385" s="1101" t="s">
        <v>2561</v>
      </c>
      <c r="D385" s="1129">
        <f t="shared" ref="D385:E389" si="222">+D367</f>
        <v>1</v>
      </c>
      <c r="E385" s="1104">
        <f t="shared" si="222"/>
        <v>0.01</v>
      </c>
      <c r="F385" s="902">
        <v>0</v>
      </c>
      <c r="G385" s="1071">
        <f t="shared" si="221"/>
        <v>0</v>
      </c>
      <c r="H385" s="1071">
        <f t="shared" si="221"/>
        <v>0</v>
      </c>
      <c r="I385" s="1071">
        <f t="shared" si="221"/>
        <v>0</v>
      </c>
      <c r="J385" s="1071">
        <f t="shared" si="221"/>
        <v>0</v>
      </c>
      <c r="K385" s="1071">
        <f t="shared" si="221"/>
        <v>0</v>
      </c>
      <c r="L385" s="1071">
        <f t="shared" si="221"/>
        <v>0</v>
      </c>
      <c r="M385" s="1071">
        <f t="shared" si="221"/>
        <v>0</v>
      </c>
      <c r="N385" s="1071">
        <f t="shared" si="221"/>
        <v>0</v>
      </c>
    </row>
    <row r="386" spans="1:14" s="887" customFormat="1" ht="12">
      <c r="A386" s="2678"/>
      <c r="B386" s="2666"/>
      <c r="C386" s="1105" t="s">
        <v>2659</v>
      </c>
      <c r="D386" s="1129">
        <f t="shared" si="222"/>
        <v>1</v>
      </c>
      <c r="E386" s="1104">
        <f t="shared" si="222"/>
        <v>0.01</v>
      </c>
      <c r="F386" s="902">
        <v>0</v>
      </c>
      <c r="G386" s="1071">
        <f t="shared" si="221"/>
        <v>0</v>
      </c>
      <c r="H386" s="1071">
        <f t="shared" si="221"/>
        <v>0</v>
      </c>
      <c r="I386" s="1071">
        <f t="shared" si="221"/>
        <v>0</v>
      </c>
      <c r="J386" s="1071">
        <f t="shared" si="221"/>
        <v>0</v>
      </c>
      <c r="K386" s="1071">
        <f t="shared" si="221"/>
        <v>0</v>
      </c>
      <c r="L386" s="1071">
        <f t="shared" si="221"/>
        <v>0</v>
      </c>
      <c r="M386" s="1071">
        <f t="shared" si="221"/>
        <v>0</v>
      </c>
      <c r="N386" s="1071">
        <f t="shared" si="221"/>
        <v>0</v>
      </c>
    </row>
    <row r="387" spans="1:14" s="887" customFormat="1" ht="12">
      <c r="A387" s="2678"/>
      <c r="B387" s="2666"/>
      <c r="C387" s="1105" t="s">
        <v>2660</v>
      </c>
      <c r="D387" s="1129">
        <f t="shared" si="222"/>
        <v>1</v>
      </c>
      <c r="E387" s="1104">
        <f t="shared" si="222"/>
        <v>0.01</v>
      </c>
      <c r="F387" s="902">
        <v>0</v>
      </c>
      <c r="G387" s="1071">
        <f t="shared" si="221"/>
        <v>0</v>
      </c>
      <c r="H387" s="1071">
        <f t="shared" si="221"/>
        <v>0</v>
      </c>
      <c r="I387" s="1071">
        <f t="shared" si="221"/>
        <v>0</v>
      </c>
      <c r="J387" s="1071">
        <f t="shared" si="221"/>
        <v>0</v>
      </c>
      <c r="K387" s="1071">
        <f t="shared" si="221"/>
        <v>0</v>
      </c>
      <c r="L387" s="1071">
        <f t="shared" si="221"/>
        <v>0</v>
      </c>
      <c r="M387" s="1071">
        <f t="shared" si="221"/>
        <v>0</v>
      </c>
      <c r="N387" s="1071">
        <f t="shared" si="221"/>
        <v>0</v>
      </c>
    </row>
    <row r="388" spans="1:14" s="887" customFormat="1" ht="12">
      <c r="A388" s="2678"/>
      <c r="B388" s="2665"/>
      <c r="C388" s="1101" t="s">
        <v>2564</v>
      </c>
      <c r="D388" s="1129">
        <f t="shared" si="222"/>
        <v>1</v>
      </c>
      <c r="E388" s="1104">
        <f t="shared" si="222"/>
        <v>0.01</v>
      </c>
      <c r="F388" s="902">
        <v>0</v>
      </c>
      <c r="G388" s="1071">
        <f t="shared" si="221"/>
        <v>0</v>
      </c>
      <c r="H388" s="1071">
        <f t="shared" si="221"/>
        <v>0</v>
      </c>
      <c r="I388" s="1071">
        <f t="shared" si="221"/>
        <v>0</v>
      </c>
      <c r="J388" s="1071">
        <f t="shared" si="221"/>
        <v>0</v>
      </c>
      <c r="K388" s="1071">
        <f t="shared" si="221"/>
        <v>0</v>
      </c>
      <c r="L388" s="1071">
        <f t="shared" si="221"/>
        <v>0</v>
      </c>
      <c r="M388" s="1071">
        <f t="shared" si="221"/>
        <v>0</v>
      </c>
      <c r="N388" s="1071">
        <f t="shared" si="221"/>
        <v>0</v>
      </c>
    </row>
    <row r="389" spans="1:14" s="887" customFormat="1" ht="12.75" thickBot="1">
      <c r="A389" s="2679"/>
      <c r="B389" s="1131" t="s">
        <v>2652</v>
      </c>
      <c r="C389" s="1132" t="s">
        <v>2661</v>
      </c>
      <c r="D389" s="1133">
        <f t="shared" si="222"/>
        <v>1</v>
      </c>
      <c r="E389" s="1134">
        <f t="shared" si="222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1"/>
        <v>0</v>
      </c>
      <c r="L389" s="1071">
        <f t="shared" si="221"/>
        <v>0</v>
      </c>
      <c r="M389" s="1071">
        <f t="shared" si="221"/>
        <v>0</v>
      </c>
      <c r="N389" s="1071">
        <f t="shared" si="221"/>
        <v>0</v>
      </c>
    </row>
    <row r="390" spans="1:14" s="887" customFormat="1" ht="12.75" thickTop="1">
      <c r="A390" s="1136"/>
      <c r="B390" s="1137"/>
      <c r="C390" s="1138" t="s">
        <v>2662</v>
      </c>
      <c r="D390" s="1139"/>
      <c r="E390" s="1140"/>
      <c r="F390" s="1141">
        <f>SUM(G390:N390)</f>
        <v>274312</v>
      </c>
      <c r="G390" s="1142">
        <f>SUM(G377:G389)+G375</f>
        <v>260969</v>
      </c>
      <c r="H390" s="1142">
        <f t="shared" ref="H390:N390" si="223">SUM(H377:H389)+H375</f>
        <v>13343</v>
      </c>
      <c r="I390" s="1142">
        <f t="shared" si="223"/>
        <v>0</v>
      </c>
      <c r="J390" s="1142">
        <f t="shared" si="223"/>
        <v>0</v>
      </c>
      <c r="K390" s="1142">
        <f t="shared" si="223"/>
        <v>0</v>
      </c>
      <c r="L390" s="1142">
        <f t="shared" si="223"/>
        <v>0</v>
      </c>
      <c r="M390" s="1142">
        <f t="shared" si="223"/>
        <v>0</v>
      </c>
      <c r="N390" s="1143">
        <f t="shared" si="223"/>
        <v>0</v>
      </c>
    </row>
    <row r="391" spans="1:14" s="887" customFormat="1" ht="12">
      <c r="A391" s="878"/>
      <c r="B391" s="878"/>
      <c r="C391" s="915"/>
      <c r="D391" s="915"/>
      <c r="E391" s="878"/>
      <c r="F391" s="1144"/>
      <c r="G391" s="906"/>
      <c r="H391" s="906"/>
      <c r="I391" s="906"/>
      <c r="J391" s="906"/>
      <c r="K391" s="906"/>
      <c r="L391" s="906"/>
      <c r="M391" s="906"/>
      <c r="N391" s="906"/>
    </row>
    <row r="392" spans="1:14" s="887" customFormat="1">
      <c r="A392" s="878"/>
      <c r="B392" s="878"/>
      <c r="C392" s="1090" t="s">
        <v>2741</v>
      </c>
      <c r="D392" s="1090"/>
      <c r="E392" s="914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2742</v>
      </c>
    </row>
    <row r="393" spans="1:14" s="887" customFormat="1" ht="12">
      <c r="A393" s="878"/>
      <c r="B393" s="878"/>
      <c r="C393" s="921" t="s">
        <v>2743</v>
      </c>
      <c r="D393" s="921"/>
      <c r="E393" s="914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7" customFormat="1" ht="12">
      <c r="A394" s="868"/>
      <c r="B394" s="869"/>
      <c r="C394" s="869"/>
      <c r="D394" s="2696" t="s">
        <v>2641</v>
      </c>
      <c r="E394" s="2696" t="s">
        <v>2642</v>
      </c>
      <c r="F394" s="1083" t="s">
        <v>2526</v>
      </c>
      <c r="G394" s="1084" t="str">
        <f t="shared" ref="G394:N394" si="224">+G302</f>
        <v>天井改良</v>
      </c>
      <c r="H394" s="1084" t="str">
        <f t="shared" si="224"/>
        <v>居室内装修理</v>
      </c>
      <c r="I394" s="1084">
        <f t="shared" si="224"/>
        <v>0</v>
      </c>
      <c r="J394" s="1084">
        <f t="shared" si="224"/>
        <v>0</v>
      </c>
      <c r="K394" s="1084">
        <f t="shared" si="224"/>
        <v>0</v>
      </c>
      <c r="L394" s="1084">
        <f t="shared" si="224"/>
        <v>0</v>
      </c>
      <c r="M394" s="1084">
        <f t="shared" si="224"/>
        <v>0</v>
      </c>
      <c r="N394" s="1085">
        <f t="shared" si="224"/>
        <v>0</v>
      </c>
    </row>
    <row r="395" spans="1:14" s="887" customFormat="1">
      <c r="A395" s="2693" t="s">
        <v>2667</v>
      </c>
      <c r="B395" s="2694"/>
      <c r="C395" s="2695"/>
      <c r="D395" s="2697"/>
      <c r="E395" s="2697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7" customFormat="1" ht="12">
      <c r="A396" s="2677"/>
      <c r="B396" s="1095" t="s">
        <v>2668</v>
      </c>
      <c r="C396" s="1096"/>
      <c r="D396" s="1097"/>
      <c r="E396" s="1098"/>
      <c r="F396" s="1099">
        <f t="shared" ref="F396:F403" si="225">SUM(G396:N396)</f>
        <v>8968002</v>
      </c>
      <c r="G396" s="1100">
        <f t="shared" ref="G396:N396" si="226">+G307-G351-G350-G346-G347</f>
        <v>8546593</v>
      </c>
      <c r="H396" s="1100">
        <f t="shared" si="226"/>
        <v>421409</v>
      </c>
      <c r="I396" s="1100">
        <f t="shared" si="226"/>
        <v>0</v>
      </c>
      <c r="J396" s="1100">
        <f t="shared" si="226"/>
        <v>0</v>
      </c>
      <c r="K396" s="1100">
        <f t="shared" si="226"/>
        <v>0</v>
      </c>
      <c r="L396" s="1100">
        <f t="shared" si="226"/>
        <v>0</v>
      </c>
      <c r="M396" s="1100">
        <f t="shared" si="226"/>
        <v>0</v>
      </c>
      <c r="N396" s="1113">
        <f t="shared" si="226"/>
        <v>0</v>
      </c>
    </row>
    <row r="397" spans="1:14" s="887" customFormat="1" ht="12">
      <c r="A397" s="2678"/>
      <c r="B397" s="2664" t="s">
        <v>2550</v>
      </c>
      <c r="C397" s="1101" t="s">
        <v>2551</v>
      </c>
      <c r="D397" s="1102">
        <v>1</v>
      </c>
      <c r="E397" s="1103" t="s">
        <v>2646</v>
      </c>
      <c r="F397" s="902">
        <f t="shared" si="225"/>
        <v>0</v>
      </c>
      <c r="G397" s="903">
        <f>IF(G333&gt;=G334,+G333+G375+G314-G315-G316-G351,G333+G375)</f>
        <v>0</v>
      </c>
      <c r="H397" s="903">
        <f t="shared" ref="H397:N397" si="227">IF(H333&gt;=H334,+H333+H375+H314-H315-H316-H351,H333+H375)</f>
        <v>0</v>
      </c>
      <c r="I397" s="903">
        <f t="shared" si="227"/>
        <v>0</v>
      </c>
      <c r="J397" s="903">
        <f t="shared" si="227"/>
        <v>0</v>
      </c>
      <c r="K397" s="903">
        <f t="shared" si="227"/>
        <v>0</v>
      </c>
      <c r="L397" s="903">
        <f t="shared" si="227"/>
        <v>0</v>
      </c>
      <c r="M397" s="903">
        <f t="shared" si="227"/>
        <v>0</v>
      </c>
      <c r="N397" s="904">
        <f t="shared" si="227"/>
        <v>0</v>
      </c>
    </row>
    <row r="398" spans="1:14" s="887" customFormat="1" ht="12">
      <c r="A398" s="2678"/>
      <c r="B398" s="2666"/>
      <c r="C398" s="1101" t="s">
        <v>2552</v>
      </c>
      <c r="D398" s="1102">
        <v>1</v>
      </c>
      <c r="E398" s="1103" t="s">
        <v>2647</v>
      </c>
      <c r="F398" s="902">
        <f t="shared" si="225"/>
        <v>8968002</v>
      </c>
      <c r="G398" s="903">
        <f>IF(G333&gt;=G334,+G334+G377,G334+G377+G314-G315-G316-G351)</f>
        <v>8546593</v>
      </c>
      <c r="H398" s="903">
        <f t="shared" ref="H398:N398" si="228">IF(H333&gt;=H334,+H334+H377,H334+H377+H314-H315-H316-H351)</f>
        <v>421409</v>
      </c>
      <c r="I398" s="903">
        <f t="shared" si="228"/>
        <v>0</v>
      </c>
      <c r="J398" s="903">
        <f t="shared" si="228"/>
        <v>0</v>
      </c>
      <c r="K398" s="903">
        <f t="shared" si="228"/>
        <v>0</v>
      </c>
      <c r="L398" s="903">
        <f t="shared" si="228"/>
        <v>0</v>
      </c>
      <c r="M398" s="903">
        <f t="shared" si="228"/>
        <v>0</v>
      </c>
      <c r="N398" s="904">
        <f t="shared" si="228"/>
        <v>0</v>
      </c>
    </row>
    <row r="399" spans="1:14" s="887" customFormat="1" ht="12">
      <c r="A399" s="2678"/>
      <c r="B399" s="2666"/>
      <c r="C399" s="1101" t="s">
        <v>2648</v>
      </c>
      <c r="D399" s="1102">
        <v>1</v>
      </c>
      <c r="E399" s="1103" t="s">
        <v>2646</v>
      </c>
      <c r="F399" s="902">
        <f t="shared" si="225"/>
        <v>0</v>
      </c>
      <c r="G399" s="903">
        <f>+G335+G378</f>
        <v>0</v>
      </c>
      <c r="H399" s="903">
        <f t="shared" ref="H399:N403" si="229">+H335+H378</f>
        <v>0</v>
      </c>
      <c r="I399" s="903">
        <f t="shared" si="229"/>
        <v>0</v>
      </c>
      <c r="J399" s="903">
        <f t="shared" si="229"/>
        <v>0</v>
      </c>
      <c r="K399" s="903">
        <f t="shared" si="229"/>
        <v>0</v>
      </c>
      <c r="L399" s="903">
        <f t="shared" si="229"/>
        <v>0</v>
      </c>
      <c r="M399" s="903">
        <f t="shared" si="229"/>
        <v>0</v>
      </c>
      <c r="N399" s="904">
        <f t="shared" si="229"/>
        <v>0</v>
      </c>
    </row>
    <row r="400" spans="1:14" s="887" customFormat="1" ht="12">
      <c r="A400" s="2678"/>
      <c r="B400" s="2665"/>
      <c r="C400" s="1101" t="s">
        <v>2649</v>
      </c>
      <c r="D400" s="1102">
        <v>1</v>
      </c>
      <c r="E400" s="1103" t="s">
        <v>2646</v>
      </c>
      <c r="F400" s="902">
        <f t="shared" si="225"/>
        <v>0</v>
      </c>
      <c r="G400" s="903">
        <f>+G336+G379</f>
        <v>0</v>
      </c>
      <c r="H400" s="903">
        <f t="shared" si="229"/>
        <v>0</v>
      </c>
      <c r="I400" s="903">
        <f t="shared" si="229"/>
        <v>0</v>
      </c>
      <c r="J400" s="903">
        <f t="shared" si="229"/>
        <v>0</v>
      </c>
      <c r="K400" s="903">
        <f t="shared" si="229"/>
        <v>0</v>
      </c>
      <c r="L400" s="903">
        <f t="shared" si="229"/>
        <v>0</v>
      </c>
      <c r="M400" s="903">
        <f t="shared" si="229"/>
        <v>0</v>
      </c>
      <c r="N400" s="904">
        <f t="shared" si="229"/>
        <v>0</v>
      </c>
    </row>
    <row r="401" spans="1:14" s="887" customFormat="1" ht="12">
      <c r="A401" s="2678"/>
      <c r="B401" s="2664" t="s">
        <v>2555</v>
      </c>
      <c r="C401" s="1101" t="s">
        <v>2650</v>
      </c>
      <c r="D401" s="1102">
        <v>1</v>
      </c>
      <c r="E401" s="1104">
        <v>0.02</v>
      </c>
      <c r="F401" s="902">
        <f t="shared" si="225"/>
        <v>0</v>
      </c>
      <c r="G401" s="903">
        <f>+G337+G380</f>
        <v>0</v>
      </c>
      <c r="H401" s="903">
        <f t="shared" si="229"/>
        <v>0</v>
      </c>
      <c r="I401" s="903">
        <f t="shared" si="229"/>
        <v>0</v>
      </c>
      <c r="J401" s="903">
        <f t="shared" si="229"/>
        <v>0</v>
      </c>
      <c r="K401" s="903">
        <f t="shared" si="229"/>
        <v>0</v>
      </c>
      <c r="L401" s="903">
        <f t="shared" si="229"/>
        <v>0</v>
      </c>
      <c r="M401" s="903">
        <f t="shared" si="229"/>
        <v>0</v>
      </c>
      <c r="N401" s="904">
        <f t="shared" si="229"/>
        <v>0</v>
      </c>
    </row>
    <row r="402" spans="1:14" s="887" customFormat="1" ht="12">
      <c r="A402" s="2678"/>
      <c r="B402" s="2666"/>
      <c r="C402" s="1101" t="s">
        <v>2744</v>
      </c>
      <c r="D402" s="1102">
        <v>1</v>
      </c>
      <c r="E402" s="1104">
        <v>0.02</v>
      </c>
      <c r="F402" s="902">
        <f t="shared" si="225"/>
        <v>0</v>
      </c>
      <c r="G402" s="903">
        <f>+G338+G381</f>
        <v>0</v>
      </c>
      <c r="H402" s="903">
        <f t="shared" si="229"/>
        <v>0</v>
      </c>
      <c r="I402" s="903">
        <f t="shared" si="229"/>
        <v>0</v>
      </c>
      <c r="J402" s="903">
        <f t="shared" si="229"/>
        <v>0</v>
      </c>
      <c r="K402" s="903">
        <f t="shared" si="229"/>
        <v>0</v>
      </c>
      <c r="L402" s="903">
        <f t="shared" si="229"/>
        <v>0</v>
      </c>
      <c r="M402" s="903">
        <f t="shared" si="229"/>
        <v>0</v>
      </c>
      <c r="N402" s="904">
        <f t="shared" si="229"/>
        <v>0</v>
      </c>
    </row>
    <row r="403" spans="1:14" s="887" customFormat="1" ht="12">
      <c r="A403" s="2678"/>
      <c r="B403" s="2666"/>
      <c r="C403" s="1101" t="s">
        <v>2558</v>
      </c>
      <c r="D403" s="1102">
        <v>1</v>
      </c>
      <c r="E403" s="1104">
        <v>0.02</v>
      </c>
      <c r="F403" s="902">
        <f t="shared" si="225"/>
        <v>0</v>
      </c>
      <c r="G403" s="903">
        <f>+G339+G382</f>
        <v>0</v>
      </c>
      <c r="H403" s="903">
        <f t="shared" si="229"/>
        <v>0</v>
      </c>
      <c r="I403" s="903">
        <f t="shared" si="229"/>
        <v>0</v>
      </c>
      <c r="J403" s="903">
        <f t="shared" si="229"/>
        <v>0</v>
      </c>
      <c r="K403" s="903">
        <f t="shared" si="229"/>
        <v>0</v>
      </c>
      <c r="L403" s="903">
        <f t="shared" si="229"/>
        <v>0</v>
      </c>
      <c r="M403" s="903">
        <f t="shared" si="229"/>
        <v>0</v>
      </c>
      <c r="N403" s="904">
        <f t="shared" si="229"/>
        <v>0</v>
      </c>
    </row>
    <row r="404" spans="1:14" s="887" customFormat="1" ht="12">
      <c r="A404" s="2678"/>
      <c r="B404" s="2666"/>
      <c r="C404" s="1101" t="s">
        <v>2669</v>
      </c>
      <c r="D404" s="1102"/>
      <c r="E404" s="1104"/>
      <c r="F404" s="902"/>
      <c r="G404" s="903"/>
      <c r="H404" s="903"/>
      <c r="I404" s="903"/>
      <c r="J404" s="903"/>
      <c r="K404" s="903"/>
      <c r="L404" s="903"/>
      <c r="M404" s="903"/>
      <c r="N404" s="904"/>
    </row>
    <row r="405" spans="1:14" s="887" customFormat="1" ht="12">
      <c r="A405" s="2678"/>
      <c r="B405" s="2666"/>
      <c r="C405" s="1101" t="s">
        <v>2560</v>
      </c>
      <c r="D405" s="1102"/>
      <c r="E405" s="1104"/>
      <c r="F405" s="902"/>
      <c r="G405" s="903"/>
      <c r="H405" s="903"/>
      <c r="I405" s="903"/>
      <c r="J405" s="903"/>
      <c r="K405" s="903"/>
      <c r="L405" s="903"/>
      <c r="M405" s="903"/>
      <c r="N405" s="904"/>
    </row>
    <row r="406" spans="1:14" s="887" customFormat="1" ht="12">
      <c r="A406" s="2678"/>
      <c r="B406" s="2666"/>
      <c r="C406" s="1101" t="s">
        <v>2561</v>
      </c>
      <c r="D406" s="1102">
        <v>1</v>
      </c>
      <c r="E406" s="1104">
        <v>0.02</v>
      </c>
      <c r="F406" s="902">
        <f>SUM(G406:N406)</f>
        <v>0</v>
      </c>
      <c r="G406" s="903">
        <f t="shared" ref="G406:N409" si="230">+G342+G385</f>
        <v>0</v>
      </c>
      <c r="H406" s="903">
        <f t="shared" si="230"/>
        <v>0</v>
      </c>
      <c r="I406" s="903">
        <f t="shared" si="230"/>
        <v>0</v>
      </c>
      <c r="J406" s="903">
        <f t="shared" si="230"/>
        <v>0</v>
      </c>
      <c r="K406" s="903">
        <f t="shared" si="230"/>
        <v>0</v>
      </c>
      <c r="L406" s="903">
        <f t="shared" si="230"/>
        <v>0</v>
      </c>
      <c r="M406" s="903">
        <f t="shared" si="230"/>
        <v>0</v>
      </c>
      <c r="N406" s="904">
        <f t="shared" si="230"/>
        <v>0</v>
      </c>
    </row>
    <row r="407" spans="1:14" s="887" customFormat="1" ht="12">
      <c r="A407" s="2678"/>
      <c r="B407" s="2666"/>
      <c r="C407" s="1105" t="s">
        <v>2637</v>
      </c>
      <c r="D407" s="1102">
        <v>1</v>
      </c>
      <c r="E407" s="1104">
        <v>0.02</v>
      </c>
      <c r="F407" s="902">
        <f>SUM(G407:N407)</f>
        <v>0</v>
      </c>
      <c r="G407" s="903">
        <f t="shared" si="230"/>
        <v>0</v>
      </c>
      <c r="H407" s="903">
        <f t="shared" si="230"/>
        <v>0</v>
      </c>
      <c r="I407" s="903">
        <f t="shared" si="230"/>
        <v>0</v>
      </c>
      <c r="J407" s="903">
        <f t="shared" si="230"/>
        <v>0</v>
      </c>
      <c r="K407" s="903">
        <f t="shared" si="230"/>
        <v>0</v>
      </c>
      <c r="L407" s="903">
        <f t="shared" si="230"/>
        <v>0</v>
      </c>
      <c r="M407" s="903">
        <f t="shared" si="230"/>
        <v>0</v>
      </c>
      <c r="N407" s="904">
        <f t="shared" si="230"/>
        <v>0</v>
      </c>
    </row>
    <row r="408" spans="1:14" s="887" customFormat="1" ht="12">
      <c r="A408" s="2678"/>
      <c r="B408" s="2666"/>
      <c r="C408" s="1105" t="s">
        <v>2672</v>
      </c>
      <c r="D408" s="1102">
        <v>1</v>
      </c>
      <c r="E408" s="1104">
        <v>0.02</v>
      </c>
      <c r="F408" s="902">
        <f>SUM(G408:N408)</f>
        <v>0</v>
      </c>
      <c r="G408" s="903">
        <f t="shared" si="230"/>
        <v>0</v>
      </c>
      <c r="H408" s="903">
        <f t="shared" si="230"/>
        <v>0</v>
      </c>
      <c r="I408" s="903">
        <f t="shared" si="230"/>
        <v>0</v>
      </c>
      <c r="J408" s="903">
        <f t="shared" si="230"/>
        <v>0</v>
      </c>
      <c r="K408" s="903">
        <f t="shared" si="230"/>
        <v>0</v>
      </c>
      <c r="L408" s="903">
        <f t="shared" si="230"/>
        <v>0</v>
      </c>
      <c r="M408" s="903">
        <f t="shared" si="230"/>
        <v>0</v>
      </c>
      <c r="N408" s="904">
        <f t="shared" si="230"/>
        <v>0</v>
      </c>
    </row>
    <row r="409" spans="1:14" s="887" customFormat="1" ht="12">
      <c r="A409" s="2678"/>
      <c r="B409" s="2665"/>
      <c r="C409" s="1101" t="s">
        <v>2564</v>
      </c>
      <c r="D409" s="1102">
        <v>1</v>
      </c>
      <c r="E409" s="1104">
        <v>0.02</v>
      </c>
      <c r="F409" s="902">
        <f>SUM(G409:N409)</f>
        <v>0</v>
      </c>
      <c r="G409" s="903">
        <f t="shared" si="230"/>
        <v>0</v>
      </c>
      <c r="H409" s="903">
        <f t="shared" si="230"/>
        <v>0</v>
      </c>
      <c r="I409" s="903">
        <f t="shared" si="230"/>
        <v>0</v>
      </c>
      <c r="J409" s="903">
        <f t="shared" si="230"/>
        <v>0</v>
      </c>
      <c r="K409" s="903">
        <f t="shared" si="230"/>
        <v>0</v>
      </c>
      <c r="L409" s="903">
        <f t="shared" si="230"/>
        <v>0</v>
      </c>
      <c r="M409" s="903">
        <f t="shared" si="230"/>
        <v>0</v>
      </c>
      <c r="N409" s="904">
        <f t="shared" si="230"/>
        <v>0</v>
      </c>
    </row>
    <row r="410" spans="1:14" s="887" customFormat="1" ht="12">
      <c r="A410" s="2690"/>
      <c r="B410" s="1106" t="s">
        <v>2652</v>
      </c>
      <c r="C410" s="1145" t="s">
        <v>2676</v>
      </c>
      <c r="D410" s="1108">
        <v>1</v>
      </c>
      <c r="E410" s="1109">
        <v>0</v>
      </c>
      <c r="F410" s="937">
        <f>SUM(G410:N410)</f>
        <v>36292</v>
      </c>
      <c r="G410" s="1064">
        <f t="shared" ref="G410:N410" si="231">SUM(G346:G352)</f>
        <v>34484</v>
      </c>
      <c r="H410" s="1064">
        <f t="shared" si="231"/>
        <v>1808</v>
      </c>
      <c r="I410" s="1064">
        <f t="shared" si="231"/>
        <v>0</v>
      </c>
      <c r="J410" s="1064">
        <f t="shared" si="231"/>
        <v>0</v>
      </c>
      <c r="K410" s="1064">
        <f t="shared" si="231"/>
        <v>0</v>
      </c>
      <c r="L410" s="1064">
        <f t="shared" si="231"/>
        <v>0</v>
      </c>
      <c r="M410" s="1064">
        <f t="shared" si="231"/>
        <v>0</v>
      </c>
      <c r="N410" s="1065">
        <f t="shared" si="231"/>
        <v>0</v>
      </c>
    </row>
    <row r="411" spans="1:14" s="887" customFormat="1" ht="12">
      <c r="A411" s="1110"/>
      <c r="B411" s="1111"/>
      <c r="C411" s="1112"/>
      <c r="D411" s="2691"/>
      <c r="E411" s="2691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7" customFormat="1">
      <c r="A412" s="2693" t="s">
        <v>2671</v>
      </c>
      <c r="B412" s="2694"/>
      <c r="C412" s="2695"/>
      <c r="D412" s="2692"/>
      <c r="E412" s="2692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7" customFormat="1" ht="12">
      <c r="A413" s="2677"/>
      <c r="B413" s="2680" t="s">
        <v>2550</v>
      </c>
      <c r="C413" s="1114" t="s">
        <v>2551</v>
      </c>
      <c r="D413" s="1115"/>
      <c r="E413" s="1116" t="s">
        <v>2647</v>
      </c>
      <c r="F413" s="1117" t="s">
        <v>2655</v>
      </c>
      <c r="G413" s="1118">
        <f t="shared" ref="G413:N413" si="232">IF(G397=0,0,+G497/100)</f>
        <v>0</v>
      </c>
      <c r="H413" s="1118">
        <f t="shared" si="232"/>
        <v>0</v>
      </c>
      <c r="I413" s="1118">
        <f t="shared" si="232"/>
        <v>0</v>
      </c>
      <c r="J413" s="1118">
        <f t="shared" si="232"/>
        <v>0</v>
      </c>
      <c r="K413" s="1118">
        <f t="shared" si="232"/>
        <v>0</v>
      </c>
      <c r="L413" s="1118">
        <f t="shared" si="232"/>
        <v>0</v>
      </c>
      <c r="M413" s="1118">
        <f t="shared" si="232"/>
        <v>0</v>
      </c>
      <c r="N413" s="1119">
        <f t="shared" si="232"/>
        <v>0</v>
      </c>
    </row>
    <row r="414" spans="1:14" s="887" customFormat="1" ht="12">
      <c r="A414" s="2678"/>
      <c r="B414" s="2666"/>
      <c r="C414" s="1120"/>
      <c r="D414" s="1121">
        <f>+D397</f>
        <v>1</v>
      </c>
      <c r="E414" s="1122" t="s">
        <v>2646</v>
      </c>
      <c r="F414" s="1055">
        <f>SUM(G414:N414)</f>
        <v>0</v>
      </c>
      <c r="G414" s="1071">
        <f t="shared" ref="G414:N414" si="233">ROUNDDOWN(G397*G413*$D414,0)</f>
        <v>0</v>
      </c>
      <c r="H414" s="1071">
        <f t="shared" si="233"/>
        <v>0</v>
      </c>
      <c r="I414" s="1071">
        <f t="shared" si="233"/>
        <v>0</v>
      </c>
      <c r="J414" s="1071">
        <f t="shared" si="233"/>
        <v>0</v>
      </c>
      <c r="K414" s="1071">
        <f t="shared" si="233"/>
        <v>0</v>
      </c>
      <c r="L414" s="1071">
        <f t="shared" si="233"/>
        <v>0</v>
      </c>
      <c r="M414" s="1071">
        <f t="shared" si="233"/>
        <v>0</v>
      </c>
      <c r="N414" s="1072">
        <f t="shared" si="233"/>
        <v>0</v>
      </c>
    </row>
    <row r="415" spans="1:14" s="887" customFormat="1" ht="12">
      <c r="A415" s="2678"/>
      <c r="B415" s="2666"/>
      <c r="C415" s="1123" t="s">
        <v>2552</v>
      </c>
      <c r="D415" s="1124"/>
      <c r="E415" s="1122" t="s">
        <v>2646</v>
      </c>
      <c r="F415" s="1125" t="s">
        <v>2655</v>
      </c>
      <c r="G415" s="1146">
        <f t="shared" ref="G415:N415" si="234">IF(G398=0,0,+G505/100)</f>
        <v>0.17219999999999999</v>
      </c>
      <c r="H415" s="1126">
        <f>IF(H398=0,0,+H505/100)</f>
        <v>0.17219999999999999</v>
      </c>
      <c r="I415" s="1126">
        <f t="shared" si="234"/>
        <v>0</v>
      </c>
      <c r="J415" s="1126">
        <f t="shared" si="234"/>
        <v>0</v>
      </c>
      <c r="K415" s="1126">
        <f t="shared" si="234"/>
        <v>0</v>
      </c>
      <c r="L415" s="1126">
        <f t="shared" si="234"/>
        <v>0</v>
      </c>
      <c r="M415" s="1126">
        <f t="shared" si="234"/>
        <v>0</v>
      </c>
      <c r="N415" s="1127">
        <f t="shared" si="234"/>
        <v>0</v>
      </c>
    </row>
    <row r="416" spans="1:14" s="887" customFormat="1" ht="12">
      <c r="A416" s="2678"/>
      <c r="B416" s="2666"/>
      <c r="C416" s="1120"/>
      <c r="D416" s="1128">
        <f t="shared" ref="D416:D421" si="235">+D398</f>
        <v>1</v>
      </c>
      <c r="E416" s="1122" t="s">
        <v>2646</v>
      </c>
      <c r="F416" s="1055">
        <f t="shared" ref="F416:F421" si="236">SUM(G416:N416)</f>
        <v>1544289</v>
      </c>
      <c r="G416" s="1071">
        <f t="shared" ref="G416:N416" si="237">ROUNDDOWN(G398*G415*$D416,0)</f>
        <v>1471723</v>
      </c>
      <c r="H416" s="1071">
        <f t="shared" si="237"/>
        <v>72566</v>
      </c>
      <c r="I416" s="1071">
        <f t="shared" si="237"/>
        <v>0</v>
      </c>
      <c r="J416" s="1071">
        <f t="shared" si="237"/>
        <v>0</v>
      </c>
      <c r="K416" s="1071">
        <f t="shared" si="237"/>
        <v>0</v>
      </c>
      <c r="L416" s="1071">
        <f t="shared" si="237"/>
        <v>0</v>
      </c>
      <c r="M416" s="1071">
        <f t="shared" si="237"/>
        <v>0</v>
      </c>
      <c r="N416" s="1072">
        <f t="shared" si="237"/>
        <v>0</v>
      </c>
    </row>
    <row r="417" spans="1:14" s="887" customFormat="1" ht="12">
      <c r="A417" s="2678"/>
      <c r="B417" s="2666"/>
      <c r="C417" s="1101" t="s">
        <v>2574</v>
      </c>
      <c r="D417" s="1129">
        <f t="shared" si="235"/>
        <v>1</v>
      </c>
      <c r="E417" s="1122" t="s">
        <v>2647</v>
      </c>
      <c r="F417" s="1055">
        <f t="shared" si="236"/>
        <v>0</v>
      </c>
      <c r="G417" s="1071">
        <f t="shared" ref="G417:N417" si="238">ROUNDDOWN(G399*G413*$D417,0)</f>
        <v>0</v>
      </c>
      <c r="H417" s="1071">
        <f t="shared" si="238"/>
        <v>0</v>
      </c>
      <c r="I417" s="1071">
        <f t="shared" si="238"/>
        <v>0</v>
      </c>
      <c r="J417" s="1071">
        <f t="shared" si="238"/>
        <v>0</v>
      </c>
      <c r="K417" s="1071">
        <f t="shared" si="238"/>
        <v>0</v>
      </c>
      <c r="L417" s="1071">
        <f t="shared" si="238"/>
        <v>0</v>
      </c>
      <c r="M417" s="1071">
        <f t="shared" si="238"/>
        <v>0</v>
      </c>
      <c r="N417" s="1072">
        <f t="shared" si="238"/>
        <v>0</v>
      </c>
    </row>
    <row r="418" spans="1:14" s="887" customFormat="1" ht="12">
      <c r="A418" s="2678"/>
      <c r="B418" s="2665"/>
      <c r="C418" s="1101" t="s">
        <v>2575</v>
      </c>
      <c r="D418" s="1129">
        <f t="shared" si="235"/>
        <v>1</v>
      </c>
      <c r="E418" s="1122" t="s">
        <v>2646</v>
      </c>
      <c r="F418" s="1055">
        <f t="shared" si="236"/>
        <v>0</v>
      </c>
      <c r="G418" s="1071">
        <f t="shared" ref="G418:N418" si="239">ROUNDDOWN(G400*G415*$D418,0)</f>
        <v>0</v>
      </c>
      <c r="H418" s="1071">
        <f t="shared" si="239"/>
        <v>0</v>
      </c>
      <c r="I418" s="1071">
        <f t="shared" si="239"/>
        <v>0</v>
      </c>
      <c r="J418" s="1071">
        <f t="shared" si="239"/>
        <v>0</v>
      </c>
      <c r="K418" s="1071">
        <f t="shared" si="239"/>
        <v>0</v>
      </c>
      <c r="L418" s="1071">
        <f t="shared" si="239"/>
        <v>0</v>
      </c>
      <c r="M418" s="1071">
        <f t="shared" si="239"/>
        <v>0</v>
      </c>
      <c r="N418" s="1072">
        <f t="shared" si="239"/>
        <v>0</v>
      </c>
    </row>
    <row r="419" spans="1:14" s="887" customFormat="1" ht="12">
      <c r="A419" s="2678"/>
      <c r="B419" s="2664" t="s">
        <v>2555</v>
      </c>
      <c r="C419" s="1101" t="s">
        <v>2650</v>
      </c>
      <c r="D419" s="1129">
        <f t="shared" si="235"/>
        <v>1</v>
      </c>
      <c r="E419" s="1104">
        <f>+E401</f>
        <v>0.02</v>
      </c>
      <c r="F419" s="1055">
        <f t="shared" si="236"/>
        <v>0</v>
      </c>
      <c r="G419" s="1071">
        <f t="shared" ref="G419:N427" si="240">ROUNDDOWN(G401*$E419*$D419,0)</f>
        <v>0</v>
      </c>
      <c r="H419" s="1071">
        <f t="shared" si="240"/>
        <v>0</v>
      </c>
      <c r="I419" s="1071">
        <f t="shared" si="240"/>
        <v>0</v>
      </c>
      <c r="J419" s="1071">
        <f t="shared" si="240"/>
        <v>0</v>
      </c>
      <c r="K419" s="1071">
        <f t="shared" si="240"/>
        <v>0</v>
      </c>
      <c r="L419" s="1071">
        <f t="shared" si="240"/>
        <v>0</v>
      </c>
      <c r="M419" s="1071">
        <f t="shared" si="240"/>
        <v>0</v>
      </c>
      <c r="N419" s="1072">
        <f t="shared" si="240"/>
        <v>0</v>
      </c>
    </row>
    <row r="420" spans="1:14" s="887" customFormat="1" ht="12">
      <c r="A420" s="2678"/>
      <c r="B420" s="2666"/>
      <c r="C420" s="1101" t="s">
        <v>2657</v>
      </c>
      <c r="D420" s="1129">
        <f t="shared" si="235"/>
        <v>1</v>
      </c>
      <c r="E420" s="1104">
        <f>+E402</f>
        <v>0.02</v>
      </c>
      <c r="F420" s="1055">
        <f t="shared" si="236"/>
        <v>0</v>
      </c>
      <c r="G420" s="1071">
        <f t="shared" si="240"/>
        <v>0</v>
      </c>
      <c r="H420" s="1071">
        <f t="shared" si="240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0"/>
        <v>0</v>
      </c>
      <c r="L420" s="1071">
        <f t="shared" si="240"/>
        <v>0</v>
      </c>
      <c r="M420" s="1071">
        <f t="shared" si="240"/>
        <v>0</v>
      </c>
      <c r="N420" s="1072">
        <f t="shared" si="240"/>
        <v>0</v>
      </c>
    </row>
    <row r="421" spans="1:14" s="887" customFormat="1" ht="12">
      <c r="A421" s="2678"/>
      <c r="B421" s="2666"/>
      <c r="C421" s="1101" t="s">
        <v>2558</v>
      </c>
      <c r="D421" s="1129">
        <f t="shared" si="235"/>
        <v>1</v>
      </c>
      <c r="E421" s="1104">
        <f>+E403</f>
        <v>0.02</v>
      </c>
      <c r="F421" s="1055">
        <f t="shared" si="236"/>
        <v>0</v>
      </c>
      <c r="G421" s="1071">
        <f t="shared" si="240"/>
        <v>0</v>
      </c>
      <c r="H421" s="1071">
        <f t="shared" si="240"/>
        <v>0</v>
      </c>
      <c r="I421" s="1071">
        <f>ROUNDDOWN(I403*$E421*$D421,0)</f>
        <v>0</v>
      </c>
      <c r="J421" s="1071">
        <f>ROUNDDOWN(J403*$E421*$D421,0)</f>
        <v>0</v>
      </c>
      <c r="K421" s="1071">
        <f t="shared" si="240"/>
        <v>0</v>
      </c>
      <c r="L421" s="1071">
        <f t="shared" si="240"/>
        <v>0</v>
      </c>
      <c r="M421" s="1071">
        <f t="shared" si="240"/>
        <v>0</v>
      </c>
      <c r="N421" s="1072">
        <f t="shared" si="240"/>
        <v>0</v>
      </c>
    </row>
    <row r="422" spans="1:14" s="887" customFormat="1" ht="12">
      <c r="A422" s="2678"/>
      <c r="B422" s="2666"/>
      <c r="C422" s="1101" t="s">
        <v>2669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7" customFormat="1" ht="12">
      <c r="A423" s="2678"/>
      <c r="B423" s="2666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7" customFormat="1" ht="12">
      <c r="A424" s="2678"/>
      <c r="B424" s="2666"/>
      <c r="C424" s="1101" t="s">
        <v>2561</v>
      </c>
      <c r="D424" s="1129">
        <f t="shared" ref="D424:E427" si="241">+D406</f>
        <v>1</v>
      </c>
      <c r="E424" s="1104">
        <f t="shared" si="241"/>
        <v>0.02</v>
      </c>
      <c r="F424" s="1055">
        <f t="shared" ref="F424:F432" si="242">SUM(G424:N424)</f>
        <v>0</v>
      </c>
      <c r="G424" s="1071">
        <f t="shared" ref="G424:J427" si="243">ROUNDDOWN(G406*$E424*$D424,0)</f>
        <v>0</v>
      </c>
      <c r="H424" s="1071">
        <f t="shared" si="243"/>
        <v>0</v>
      </c>
      <c r="I424" s="1071">
        <f t="shared" si="243"/>
        <v>0</v>
      </c>
      <c r="J424" s="1071">
        <f t="shared" si="243"/>
        <v>0</v>
      </c>
      <c r="K424" s="1071">
        <f t="shared" si="240"/>
        <v>0</v>
      </c>
      <c r="L424" s="1071">
        <f t="shared" si="240"/>
        <v>0</v>
      </c>
      <c r="M424" s="1071">
        <f t="shared" si="240"/>
        <v>0</v>
      </c>
      <c r="N424" s="1072">
        <f t="shared" si="240"/>
        <v>0</v>
      </c>
    </row>
    <row r="425" spans="1:14" s="887" customFormat="1" ht="12">
      <c r="A425" s="2678"/>
      <c r="B425" s="2666"/>
      <c r="C425" s="1105" t="s">
        <v>2637</v>
      </c>
      <c r="D425" s="1129">
        <f t="shared" si="241"/>
        <v>1</v>
      </c>
      <c r="E425" s="1104">
        <f t="shared" si="241"/>
        <v>0.02</v>
      </c>
      <c r="F425" s="1055">
        <f t="shared" si="242"/>
        <v>0</v>
      </c>
      <c r="G425" s="1071">
        <f t="shared" si="243"/>
        <v>0</v>
      </c>
      <c r="H425" s="1071">
        <f t="shared" si="243"/>
        <v>0</v>
      </c>
      <c r="I425" s="1071">
        <f t="shared" si="243"/>
        <v>0</v>
      </c>
      <c r="J425" s="1071">
        <f t="shared" si="243"/>
        <v>0</v>
      </c>
      <c r="K425" s="1071">
        <f t="shared" si="240"/>
        <v>0</v>
      </c>
      <c r="L425" s="1071">
        <f t="shared" si="240"/>
        <v>0</v>
      </c>
      <c r="M425" s="1071">
        <f t="shared" si="240"/>
        <v>0</v>
      </c>
      <c r="N425" s="1072">
        <f t="shared" si="240"/>
        <v>0</v>
      </c>
    </row>
    <row r="426" spans="1:14" s="887" customFormat="1" ht="12">
      <c r="A426" s="2678"/>
      <c r="B426" s="2666"/>
      <c r="C426" s="1105" t="s">
        <v>2563</v>
      </c>
      <c r="D426" s="1129">
        <f t="shared" si="241"/>
        <v>1</v>
      </c>
      <c r="E426" s="1104">
        <f t="shared" si="241"/>
        <v>0.02</v>
      </c>
      <c r="F426" s="1055">
        <f t="shared" si="242"/>
        <v>0</v>
      </c>
      <c r="G426" s="1071">
        <f t="shared" si="243"/>
        <v>0</v>
      </c>
      <c r="H426" s="1071">
        <f t="shared" si="243"/>
        <v>0</v>
      </c>
      <c r="I426" s="1071">
        <f t="shared" si="243"/>
        <v>0</v>
      </c>
      <c r="J426" s="1071">
        <f t="shared" si="243"/>
        <v>0</v>
      </c>
      <c r="K426" s="1071">
        <f t="shared" si="240"/>
        <v>0</v>
      </c>
      <c r="L426" s="1071">
        <f t="shared" si="240"/>
        <v>0</v>
      </c>
      <c r="M426" s="1071">
        <f t="shared" si="240"/>
        <v>0</v>
      </c>
      <c r="N426" s="1072">
        <f t="shared" si="240"/>
        <v>0</v>
      </c>
    </row>
    <row r="427" spans="1:14" s="887" customFormat="1" ht="12">
      <c r="A427" s="2678"/>
      <c r="B427" s="2665"/>
      <c r="C427" s="1101" t="s">
        <v>2673</v>
      </c>
      <c r="D427" s="1129">
        <f t="shared" si="241"/>
        <v>1</v>
      </c>
      <c r="E427" s="1104">
        <f t="shared" si="241"/>
        <v>0.02</v>
      </c>
      <c r="F427" s="1055">
        <f t="shared" si="242"/>
        <v>0</v>
      </c>
      <c r="G427" s="1071">
        <f t="shared" si="243"/>
        <v>0</v>
      </c>
      <c r="H427" s="1071">
        <f t="shared" si="243"/>
        <v>0</v>
      </c>
      <c r="I427" s="1071">
        <f t="shared" si="243"/>
        <v>0</v>
      </c>
      <c r="J427" s="1071">
        <f t="shared" si="243"/>
        <v>0</v>
      </c>
      <c r="K427" s="1071">
        <f t="shared" si="240"/>
        <v>0</v>
      </c>
      <c r="L427" s="1071">
        <f t="shared" si="240"/>
        <v>0</v>
      </c>
      <c r="M427" s="1071">
        <f t="shared" si="240"/>
        <v>0</v>
      </c>
      <c r="N427" s="1072">
        <f t="shared" si="240"/>
        <v>0</v>
      </c>
    </row>
    <row r="428" spans="1:14" s="887" customFormat="1" ht="12">
      <c r="A428" s="2678"/>
      <c r="B428" s="2667" t="s">
        <v>2674</v>
      </c>
      <c r="C428" s="1101" t="s">
        <v>2583</v>
      </c>
      <c r="D428" s="1147"/>
      <c r="E428" s="1148"/>
      <c r="F428" s="1055">
        <f t="shared" si="242"/>
        <v>0</v>
      </c>
      <c r="G428" s="1291">
        <f t="shared" ref="G428:N428" si="244">+G212+G59</f>
        <v>0</v>
      </c>
      <c r="H428" s="1291">
        <f t="shared" si="244"/>
        <v>0</v>
      </c>
      <c r="I428" s="1291">
        <f t="shared" si="244"/>
        <v>0</v>
      </c>
      <c r="J428" s="1291">
        <f t="shared" si="244"/>
        <v>0</v>
      </c>
      <c r="K428" s="1291">
        <f t="shared" si="244"/>
        <v>0</v>
      </c>
      <c r="L428" s="1291">
        <f t="shared" si="244"/>
        <v>0</v>
      </c>
      <c r="M428" s="1291">
        <f t="shared" si="244"/>
        <v>0</v>
      </c>
      <c r="N428" s="1292">
        <f t="shared" si="244"/>
        <v>0</v>
      </c>
    </row>
    <row r="429" spans="1:14" s="887" customFormat="1" ht="12">
      <c r="A429" s="2678"/>
      <c r="B429" s="2681"/>
      <c r="C429" s="1151" t="s">
        <v>2675</v>
      </c>
      <c r="D429" s="1147"/>
      <c r="E429" s="1148"/>
      <c r="F429" s="1055">
        <f t="shared" si="242"/>
        <v>0</v>
      </c>
      <c r="G429" s="903"/>
      <c r="H429" s="903"/>
      <c r="I429" s="903"/>
      <c r="J429" s="903"/>
      <c r="K429" s="903"/>
      <c r="L429" s="903"/>
      <c r="M429" s="903"/>
      <c r="N429" s="904"/>
    </row>
    <row r="430" spans="1:14" s="887" customFormat="1" ht="12.75" thickBot="1">
      <c r="A430" s="2679"/>
      <c r="B430" s="1152" t="s">
        <v>2652</v>
      </c>
      <c r="C430" s="1145" t="s">
        <v>2676</v>
      </c>
      <c r="D430" s="1147">
        <f>+D410</f>
        <v>1</v>
      </c>
      <c r="E430" s="1148">
        <f>+E410</f>
        <v>0</v>
      </c>
      <c r="F430" s="1055">
        <f t="shared" si="242"/>
        <v>0</v>
      </c>
      <c r="G430" s="1071">
        <f t="shared" ref="G430:N430" si="245">ROUNDDOWN(G410*$E430*$D430,0)</f>
        <v>0</v>
      </c>
      <c r="H430" s="1071">
        <f t="shared" si="245"/>
        <v>0</v>
      </c>
      <c r="I430" s="1071">
        <f t="shared" si="245"/>
        <v>0</v>
      </c>
      <c r="J430" s="1071">
        <f t="shared" si="245"/>
        <v>0</v>
      </c>
      <c r="K430" s="1071">
        <f t="shared" si="245"/>
        <v>0</v>
      </c>
      <c r="L430" s="1071">
        <f t="shared" si="245"/>
        <v>0</v>
      </c>
      <c r="M430" s="1071">
        <f t="shared" si="245"/>
        <v>0</v>
      </c>
      <c r="N430" s="1153">
        <f t="shared" si="245"/>
        <v>0</v>
      </c>
    </row>
    <row r="431" spans="1:14" s="887" customFormat="1" ht="12.75" thickTop="1">
      <c r="A431" s="1154"/>
      <c r="B431" s="1155"/>
      <c r="C431" s="1156" t="s">
        <v>2677</v>
      </c>
      <c r="D431" s="1157"/>
      <c r="E431" s="1158"/>
      <c r="F431" s="1159">
        <f t="shared" si="242"/>
        <v>1544289</v>
      </c>
      <c r="G431" s="1160">
        <f t="shared" ref="G431:N431" si="246">SUM(G416:G430)+G414</f>
        <v>1471723</v>
      </c>
      <c r="H431" s="1160">
        <f t="shared" si="246"/>
        <v>72566</v>
      </c>
      <c r="I431" s="1160">
        <f t="shared" si="246"/>
        <v>0</v>
      </c>
      <c r="J431" s="1160">
        <f t="shared" si="246"/>
        <v>0</v>
      </c>
      <c r="K431" s="1160">
        <f t="shared" si="246"/>
        <v>0</v>
      </c>
      <c r="L431" s="1160">
        <f t="shared" si="246"/>
        <v>0</v>
      </c>
      <c r="M431" s="1160">
        <f t="shared" si="246"/>
        <v>0</v>
      </c>
      <c r="N431" s="1161">
        <f t="shared" si="246"/>
        <v>0</v>
      </c>
    </row>
    <row r="432" spans="1:14" s="887" customFormat="1" ht="12">
      <c r="A432" s="1162"/>
      <c r="B432" s="1163"/>
      <c r="C432" s="1063" t="s">
        <v>2678</v>
      </c>
      <c r="D432" s="1164"/>
      <c r="E432" s="936"/>
      <c r="F432" s="937">
        <f t="shared" si="242"/>
        <v>10548583</v>
      </c>
      <c r="G432" s="1064">
        <f t="shared" ref="G432:N432" si="247">+G307+G431</f>
        <v>10052800</v>
      </c>
      <c r="H432" s="1064">
        <f t="shared" si="247"/>
        <v>495783</v>
      </c>
      <c r="I432" s="1064">
        <f t="shared" si="247"/>
        <v>0</v>
      </c>
      <c r="J432" s="1064">
        <f t="shared" si="247"/>
        <v>0</v>
      </c>
      <c r="K432" s="1064">
        <f t="shared" si="247"/>
        <v>0</v>
      </c>
      <c r="L432" s="1064">
        <f t="shared" si="247"/>
        <v>0</v>
      </c>
      <c r="M432" s="1064">
        <f t="shared" si="247"/>
        <v>0</v>
      </c>
      <c r="N432" s="1065">
        <f t="shared" si="247"/>
        <v>0</v>
      </c>
    </row>
    <row r="433" spans="1:14" s="887" customFormat="1">
      <c r="A433" s="868"/>
      <c r="B433" s="869"/>
      <c r="C433" s="1299" t="s">
        <v>2745</v>
      </c>
      <c r="D433" s="1299"/>
      <c r="E433" s="1300"/>
      <c r="F433" s="1301"/>
      <c r="G433" s="1302"/>
      <c r="H433" s="1303"/>
      <c r="I433" s="1303"/>
      <c r="J433" s="1303"/>
      <c r="K433" s="1303"/>
      <c r="L433" s="1303"/>
      <c r="M433" s="1303"/>
      <c r="N433" s="1304" t="s">
        <v>2746</v>
      </c>
    </row>
    <row r="434" spans="1:14" s="887" customFormat="1" ht="12">
      <c r="A434" s="877"/>
      <c r="B434" s="878"/>
      <c r="C434" s="878"/>
      <c r="D434" s="878"/>
      <c r="E434" s="878"/>
      <c r="F434" s="1034"/>
      <c r="G434" s="1037"/>
      <c r="H434" s="1037"/>
      <c r="I434" s="1037"/>
      <c r="J434" s="1037"/>
      <c r="K434" s="1037"/>
      <c r="L434" s="1037"/>
      <c r="M434" s="1037"/>
      <c r="N434" s="1305"/>
    </row>
    <row r="435" spans="1:14" s="887" customFormat="1" ht="12">
      <c r="A435" s="2682"/>
      <c r="B435" s="2683"/>
      <c r="C435" s="2684"/>
      <c r="D435" s="1166"/>
      <c r="E435" s="1082" t="s">
        <v>2681</v>
      </c>
      <c r="F435" s="1083" t="s">
        <v>2526</v>
      </c>
      <c r="G435" s="1084" t="str">
        <f t="shared" ref="G435:N435" si="248">+G302</f>
        <v>天井改良</v>
      </c>
      <c r="H435" s="1084" t="str">
        <f t="shared" si="248"/>
        <v>居室内装修理</v>
      </c>
      <c r="I435" s="1084">
        <f t="shared" si="248"/>
        <v>0</v>
      </c>
      <c r="J435" s="1084">
        <f t="shared" si="248"/>
        <v>0</v>
      </c>
      <c r="K435" s="1084">
        <f t="shared" si="248"/>
        <v>0</v>
      </c>
      <c r="L435" s="1084">
        <f t="shared" si="248"/>
        <v>0</v>
      </c>
      <c r="M435" s="1084">
        <f t="shared" si="248"/>
        <v>0</v>
      </c>
      <c r="N435" s="1085">
        <f t="shared" si="248"/>
        <v>0</v>
      </c>
    </row>
    <row r="436" spans="1:14" s="887" customFormat="1" ht="12.75" thickBot="1">
      <c r="A436" s="2685"/>
      <c r="B436" s="2686"/>
      <c r="C436" s="2687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7" customFormat="1" ht="12.75" thickBot="1">
      <c r="A437" s="1171"/>
      <c r="B437" s="1172"/>
      <c r="C437" s="1173" t="s">
        <v>2682</v>
      </c>
      <c r="D437" s="1174"/>
      <c r="E437" s="1175"/>
      <c r="F437" s="1176">
        <f>SUM(G437:N437)</f>
        <v>10548583</v>
      </c>
      <c r="G437" s="1177">
        <f t="shared" ref="G437:N437" si="249">IF(G438="",+G432,0)</f>
        <v>10052800</v>
      </c>
      <c r="H437" s="1177">
        <f t="shared" si="249"/>
        <v>495783</v>
      </c>
      <c r="I437" s="1177">
        <f t="shared" si="249"/>
        <v>0</v>
      </c>
      <c r="J437" s="1177">
        <f t="shared" si="249"/>
        <v>0</v>
      </c>
      <c r="K437" s="1177">
        <f t="shared" si="249"/>
        <v>0</v>
      </c>
      <c r="L437" s="1177">
        <f t="shared" si="249"/>
        <v>0</v>
      </c>
      <c r="M437" s="1177">
        <f t="shared" si="249"/>
        <v>0</v>
      </c>
      <c r="N437" s="1178">
        <f t="shared" si="249"/>
        <v>0</v>
      </c>
    </row>
    <row r="438" spans="1:14" s="887" customFormat="1" ht="12">
      <c r="A438" s="877"/>
      <c r="B438" s="878"/>
      <c r="C438" s="1179" t="s">
        <v>2683</v>
      </c>
      <c r="D438" s="1180"/>
      <c r="E438" s="1181"/>
      <c r="F438" s="917">
        <f>F223</f>
        <v>0</v>
      </c>
      <c r="G438" s="917" t="str">
        <f>IF(G460=0,"",G432)</f>
        <v/>
      </c>
      <c r="H438" s="917" t="str">
        <f t="shared" ref="H438:N438" si="250">IF(H460=0,"",H432)</f>
        <v/>
      </c>
      <c r="I438" s="917" t="str">
        <f t="shared" si="250"/>
        <v/>
      </c>
      <c r="J438" s="917" t="str">
        <f t="shared" si="250"/>
        <v/>
      </c>
      <c r="K438" s="917" t="str">
        <f t="shared" si="250"/>
        <v/>
      </c>
      <c r="L438" s="917" t="str">
        <f t="shared" si="250"/>
        <v/>
      </c>
      <c r="M438" s="917" t="str">
        <f t="shared" si="250"/>
        <v/>
      </c>
      <c r="N438" s="1182" t="str">
        <f t="shared" si="250"/>
        <v/>
      </c>
    </row>
    <row r="439" spans="1:14" s="887" customFormat="1" ht="12">
      <c r="A439" s="1162"/>
      <c r="B439" s="1163"/>
      <c r="C439" s="2688" t="s">
        <v>2684</v>
      </c>
      <c r="D439" s="2688"/>
      <c r="E439" s="2689"/>
      <c r="F439" s="937">
        <f>F437+F438-F447</f>
        <v>10548583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7" customFormat="1" ht="12">
      <c r="A440" s="868"/>
      <c r="B440" s="869"/>
      <c r="C440" s="869"/>
      <c r="D440" s="1183"/>
      <c r="E440" s="872" t="str">
        <f>E302</f>
        <v>有り</v>
      </c>
      <c r="F440" s="2669" t="s">
        <v>2685</v>
      </c>
      <c r="G440" s="2670"/>
      <c r="H440" s="1068"/>
      <c r="I440" s="1068"/>
      <c r="J440" s="1068"/>
      <c r="K440" s="1068"/>
      <c r="L440" s="1068"/>
      <c r="M440" s="1068"/>
      <c r="N440" s="1069"/>
    </row>
    <row r="441" spans="1:14" s="887" customFormat="1">
      <c r="A441" s="2661" t="s">
        <v>2686</v>
      </c>
      <c r="B441" s="2662"/>
      <c r="C441" s="2663"/>
      <c r="D441" s="1184"/>
      <c r="E441" s="1185" t="str">
        <f>+E303</f>
        <v>有り</v>
      </c>
      <c r="F441" s="2671" t="s">
        <v>2687</v>
      </c>
      <c r="G441" s="2672"/>
      <c r="H441" s="1064"/>
      <c r="I441" s="1064"/>
      <c r="J441" s="1064"/>
      <c r="K441" s="1064"/>
      <c r="L441" s="1064"/>
      <c r="M441" s="1064"/>
      <c r="N441" s="1065"/>
    </row>
    <row r="442" spans="1:14" s="887" customFormat="1" ht="12">
      <c r="A442" s="2673"/>
      <c r="B442" s="1186" t="s">
        <v>163</v>
      </c>
      <c r="C442" s="1187" t="s">
        <v>2688</v>
      </c>
      <c r="D442" s="1188">
        <v>1</v>
      </c>
      <c r="E442" s="1189">
        <f>+G511/100</f>
        <v>0.16210000000000002</v>
      </c>
      <c r="F442" s="898">
        <f>SUM(G442:N442)</f>
        <v>10548583</v>
      </c>
      <c r="G442" s="1068">
        <f t="shared" ref="G442:N442" si="251">+G437-G447</f>
        <v>10052800</v>
      </c>
      <c r="H442" s="1068">
        <f t="shared" si="251"/>
        <v>495783</v>
      </c>
      <c r="I442" s="1068">
        <f>+I437-I447</f>
        <v>0</v>
      </c>
      <c r="J442" s="1068">
        <f t="shared" si="251"/>
        <v>0</v>
      </c>
      <c r="K442" s="1068">
        <f t="shared" si="251"/>
        <v>0</v>
      </c>
      <c r="L442" s="1068">
        <f t="shared" si="251"/>
        <v>0</v>
      </c>
      <c r="M442" s="1068">
        <f t="shared" si="251"/>
        <v>0</v>
      </c>
      <c r="N442" s="1069">
        <f t="shared" si="251"/>
        <v>0</v>
      </c>
    </row>
    <row r="443" spans="1:14" s="887" customFormat="1" ht="12">
      <c r="A443" s="2674"/>
      <c r="B443" s="2664" t="s">
        <v>2689</v>
      </c>
      <c r="C443" s="901" t="s">
        <v>2690</v>
      </c>
      <c r="D443" s="1129">
        <v>0.05</v>
      </c>
      <c r="E443" s="1104">
        <f>IF(OR(G299="無し",G299="なし"),IF(E440="無し",E442,0),0)</f>
        <v>0</v>
      </c>
      <c r="F443" s="902">
        <f>SUM(G443:N443)</f>
        <v>10548583</v>
      </c>
      <c r="G443" s="903">
        <f>IF(G460=0,+G442,0)</f>
        <v>10052800</v>
      </c>
      <c r="H443" s="903">
        <f>IF(H460=0,+H442,0)</f>
        <v>495783</v>
      </c>
      <c r="I443" s="903">
        <f t="shared" ref="I443:N443" si="252">IF(I460=0,+I442,0)</f>
        <v>0</v>
      </c>
      <c r="J443" s="903">
        <f t="shared" si="252"/>
        <v>0</v>
      </c>
      <c r="K443" s="903">
        <f t="shared" si="252"/>
        <v>0</v>
      </c>
      <c r="L443" s="903">
        <f t="shared" si="252"/>
        <v>0</v>
      </c>
      <c r="M443" s="903">
        <f t="shared" si="252"/>
        <v>0</v>
      </c>
      <c r="N443" s="904">
        <f t="shared" si="252"/>
        <v>0</v>
      </c>
    </row>
    <row r="444" spans="1:14" s="887" customFormat="1" ht="12">
      <c r="A444" s="2674"/>
      <c r="B444" s="2665"/>
      <c r="C444" s="901" t="s">
        <v>2691</v>
      </c>
      <c r="D444" s="1190">
        <v>1</v>
      </c>
      <c r="E444" s="1104">
        <f>IF(OR(E441="無し",E441="なし"),0,0.0004)</f>
        <v>4.0000000000000002E-4</v>
      </c>
      <c r="F444" s="902">
        <f>SUM(G444:N444)</f>
        <v>10548583</v>
      </c>
      <c r="G444" s="903">
        <f>IF(G460=0,+G442,0)</f>
        <v>10052800</v>
      </c>
      <c r="H444" s="903">
        <f t="shared" ref="H444:N444" si="253">IF(H460=0,+H442,0)</f>
        <v>495783</v>
      </c>
      <c r="I444" s="903">
        <f t="shared" si="253"/>
        <v>0</v>
      </c>
      <c r="J444" s="903">
        <f t="shared" si="253"/>
        <v>0</v>
      </c>
      <c r="K444" s="903">
        <f t="shared" si="253"/>
        <v>0</v>
      </c>
      <c r="L444" s="903">
        <f t="shared" si="253"/>
        <v>0</v>
      </c>
      <c r="M444" s="903">
        <f t="shared" si="253"/>
        <v>0</v>
      </c>
      <c r="N444" s="904">
        <f t="shared" si="253"/>
        <v>0</v>
      </c>
    </row>
    <row r="445" spans="1:14" s="887" customFormat="1" ht="12">
      <c r="A445" s="2674"/>
      <c r="B445" s="1191"/>
      <c r="C445" s="901"/>
      <c r="D445" s="1192"/>
      <c r="E445" s="1192"/>
      <c r="F445" s="902"/>
      <c r="G445" s="903"/>
      <c r="H445" s="903"/>
      <c r="I445" s="903"/>
      <c r="J445" s="903"/>
      <c r="K445" s="903"/>
      <c r="L445" s="903"/>
      <c r="M445" s="903"/>
      <c r="N445" s="904"/>
    </row>
    <row r="446" spans="1:14" s="887" customFormat="1" ht="12">
      <c r="A446" s="2674"/>
      <c r="B446" s="1191"/>
      <c r="C446" s="901"/>
      <c r="D446" s="1192"/>
      <c r="E446" s="1192"/>
      <c r="F446" s="902"/>
      <c r="G446" s="903"/>
      <c r="H446" s="903"/>
      <c r="I446" s="903"/>
      <c r="J446" s="903"/>
      <c r="K446" s="903"/>
      <c r="L446" s="903"/>
      <c r="M446" s="903"/>
      <c r="N446" s="904"/>
    </row>
    <row r="447" spans="1:14" s="887" customFormat="1" ht="12">
      <c r="A447" s="2674"/>
      <c r="B447" s="2664" t="s">
        <v>2692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2">
        <f>SUM(G447:N447)</f>
        <v>0</v>
      </c>
      <c r="G447" s="903">
        <f t="shared" ref="G447:N447" si="254">+G352</f>
        <v>0</v>
      </c>
      <c r="H447" s="903">
        <f t="shared" si="254"/>
        <v>0</v>
      </c>
      <c r="I447" s="903">
        <f t="shared" si="254"/>
        <v>0</v>
      </c>
      <c r="J447" s="903">
        <f t="shared" si="254"/>
        <v>0</v>
      </c>
      <c r="K447" s="903">
        <f t="shared" si="254"/>
        <v>0</v>
      </c>
      <c r="L447" s="903">
        <f t="shared" si="254"/>
        <v>0</v>
      </c>
      <c r="M447" s="903">
        <f t="shared" si="254"/>
        <v>0</v>
      </c>
      <c r="N447" s="904">
        <f t="shared" si="254"/>
        <v>0</v>
      </c>
    </row>
    <row r="448" spans="1:14" s="887" customFormat="1" ht="12">
      <c r="A448" s="2674"/>
      <c r="B448" s="2666"/>
      <c r="C448" s="1195"/>
      <c r="D448" s="1101"/>
      <c r="E448" s="1194"/>
      <c r="F448" s="902"/>
      <c r="G448" s="903"/>
      <c r="H448" s="903"/>
      <c r="I448" s="903"/>
      <c r="J448" s="903"/>
      <c r="K448" s="903"/>
      <c r="L448" s="903"/>
      <c r="M448" s="903"/>
      <c r="N448" s="904"/>
    </row>
    <row r="449" spans="1:14" s="887" customFormat="1" ht="12">
      <c r="A449" s="2675"/>
      <c r="B449" s="2676"/>
      <c r="C449" s="1196"/>
      <c r="D449" s="1145"/>
      <c r="E449" s="1197"/>
      <c r="F449" s="937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7" customFormat="1" ht="12">
      <c r="A450" s="868"/>
      <c r="B450" s="869"/>
      <c r="C450" s="1198"/>
      <c r="D450" s="1199"/>
      <c r="E450" s="1200"/>
      <c r="F450" s="898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7" customFormat="1">
      <c r="A451" s="2661" t="s">
        <v>2693</v>
      </c>
      <c r="B451" s="2662"/>
      <c r="C451" s="2663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7" customFormat="1" ht="12">
      <c r="A452" s="877"/>
      <c r="B452" s="1204" t="s">
        <v>163</v>
      </c>
      <c r="C452" s="1187" t="s">
        <v>2688</v>
      </c>
      <c r="D452" s="1188">
        <f t="shared" ref="D452:E454" si="255">+D442</f>
        <v>1</v>
      </c>
      <c r="E452" s="1205">
        <f>+E442</f>
        <v>0.16210000000000002</v>
      </c>
      <c r="F452" s="902">
        <f>INT(D452*E452*F442)</f>
        <v>1709925</v>
      </c>
      <c r="G452" s="1068">
        <f>F452-SUM(H452:N452)</f>
        <v>1629559</v>
      </c>
      <c r="H452" s="1068">
        <f>IF(H442=0,0,ROUND($F452/$F442*H442,0))</f>
        <v>80366</v>
      </c>
      <c r="I452" s="1068">
        <f t="shared" ref="I452:N452" si="256">IF(I442=0,0,ROUND($F452/$F442*I442,0))</f>
        <v>0</v>
      </c>
      <c r="J452" s="1068">
        <f t="shared" si="256"/>
        <v>0</v>
      </c>
      <c r="K452" s="1068">
        <f t="shared" si="256"/>
        <v>0</v>
      </c>
      <c r="L452" s="1068">
        <f t="shared" si="256"/>
        <v>0</v>
      </c>
      <c r="M452" s="1068">
        <f t="shared" si="256"/>
        <v>0</v>
      </c>
      <c r="N452" s="1069">
        <f t="shared" si="256"/>
        <v>0</v>
      </c>
    </row>
    <row r="453" spans="1:14" s="887" customFormat="1" ht="12">
      <c r="A453" s="877"/>
      <c r="B453" s="2664" t="s">
        <v>2689</v>
      </c>
      <c r="C453" s="901" t="s">
        <v>2690</v>
      </c>
      <c r="D453" s="1193">
        <f t="shared" si="255"/>
        <v>0.05</v>
      </c>
      <c r="E453" s="1104">
        <f t="shared" si="255"/>
        <v>0</v>
      </c>
      <c r="F453" s="902">
        <f>INT(D453*E453*F443)</f>
        <v>0</v>
      </c>
      <c r="G453" s="903">
        <f>F453-SUM(H453:N453)</f>
        <v>0</v>
      </c>
      <c r="H453" s="903">
        <f t="shared" ref="H453:N454" si="257">IF(H443=0,0,ROUND($F453/$F443*H443,0))</f>
        <v>0</v>
      </c>
      <c r="I453" s="903">
        <f t="shared" si="257"/>
        <v>0</v>
      </c>
      <c r="J453" s="903">
        <f t="shared" si="257"/>
        <v>0</v>
      </c>
      <c r="K453" s="903">
        <f t="shared" si="257"/>
        <v>0</v>
      </c>
      <c r="L453" s="903">
        <f t="shared" si="257"/>
        <v>0</v>
      </c>
      <c r="M453" s="903">
        <f t="shared" si="257"/>
        <v>0</v>
      </c>
      <c r="N453" s="904">
        <f t="shared" si="257"/>
        <v>0</v>
      </c>
    </row>
    <row r="454" spans="1:14" s="887" customFormat="1" ht="12">
      <c r="A454" s="877"/>
      <c r="B454" s="2665"/>
      <c r="C454" s="901" t="s">
        <v>2691</v>
      </c>
      <c r="D454" s="1193">
        <f t="shared" si="255"/>
        <v>1</v>
      </c>
      <c r="E454" s="1104">
        <f t="shared" si="255"/>
        <v>4.0000000000000002E-4</v>
      </c>
      <c r="F454" s="902">
        <f>INT(D454*E454*F444)</f>
        <v>4219</v>
      </c>
      <c r="G454" s="903">
        <f>F454-SUM(H454:N454)</f>
        <v>4021</v>
      </c>
      <c r="H454" s="903">
        <f>IF(H444=0,0,ROUND($F454/$F444*H444,0))</f>
        <v>198</v>
      </c>
      <c r="I454" s="903">
        <f t="shared" si="257"/>
        <v>0</v>
      </c>
      <c r="J454" s="903">
        <f t="shared" si="257"/>
        <v>0</v>
      </c>
      <c r="K454" s="903">
        <f t="shared" si="257"/>
        <v>0</v>
      </c>
      <c r="L454" s="903">
        <f t="shared" si="257"/>
        <v>0</v>
      </c>
      <c r="M454" s="903">
        <f t="shared" si="257"/>
        <v>0</v>
      </c>
      <c r="N454" s="904">
        <f t="shared" si="257"/>
        <v>0</v>
      </c>
    </row>
    <row r="455" spans="1:14" s="887" customFormat="1" ht="12">
      <c r="A455" s="877"/>
      <c r="B455" s="1191"/>
      <c r="C455" s="901"/>
      <c r="D455" s="1192"/>
      <c r="E455" s="1192"/>
      <c r="F455" s="902"/>
      <c r="G455" s="903"/>
      <c r="H455" s="903"/>
      <c r="I455" s="903"/>
      <c r="J455" s="903"/>
      <c r="K455" s="903"/>
      <c r="L455" s="903"/>
      <c r="M455" s="903"/>
      <c r="N455" s="904"/>
    </row>
    <row r="456" spans="1:14" s="887" customFormat="1" ht="12">
      <c r="A456" s="877"/>
      <c r="B456" s="1191"/>
      <c r="C456" s="901"/>
      <c r="D456" s="1192"/>
      <c r="E456" s="1192"/>
      <c r="F456" s="902"/>
      <c r="G456" s="903"/>
      <c r="H456" s="903"/>
      <c r="I456" s="903"/>
      <c r="J456" s="903"/>
      <c r="K456" s="903"/>
      <c r="L456" s="903"/>
      <c r="M456" s="903"/>
      <c r="N456" s="904"/>
    </row>
    <row r="457" spans="1:14" s="887" customFormat="1" ht="12">
      <c r="A457" s="877"/>
      <c r="B457" s="2664" t="s">
        <v>2692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2">
        <f>INT(D457*E457*F447)</f>
        <v>0</v>
      </c>
      <c r="G457" s="903">
        <f>F457-SUM(H457:N457)</f>
        <v>0</v>
      </c>
      <c r="H457" s="903">
        <f t="shared" ref="H457:N457" si="258">IF(H447=0,0,ROUND($F457/$F447*H447,0))</f>
        <v>0</v>
      </c>
      <c r="I457" s="903">
        <f t="shared" si="258"/>
        <v>0</v>
      </c>
      <c r="J457" s="903">
        <f t="shared" si="258"/>
        <v>0</v>
      </c>
      <c r="K457" s="903">
        <f t="shared" si="258"/>
        <v>0</v>
      </c>
      <c r="L457" s="903">
        <f t="shared" si="258"/>
        <v>0</v>
      </c>
      <c r="M457" s="903">
        <f t="shared" si="258"/>
        <v>0</v>
      </c>
      <c r="N457" s="904">
        <f t="shared" si="258"/>
        <v>0</v>
      </c>
    </row>
    <row r="458" spans="1:14" s="887" customFormat="1" ht="12">
      <c r="A458" s="877"/>
      <c r="B458" s="2666"/>
      <c r="C458" s="1195"/>
      <c r="D458" s="1101"/>
      <c r="E458" s="1192">
        <f>+G449</f>
        <v>0</v>
      </c>
      <c r="F458" s="902"/>
      <c r="G458" s="903"/>
      <c r="H458" s="903"/>
      <c r="I458" s="903"/>
      <c r="J458" s="903"/>
      <c r="K458" s="903"/>
      <c r="L458" s="903"/>
      <c r="M458" s="903"/>
      <c r="N458" s="904"/>
    </row>
    <row r="459" spans="1:14" s="887" customFormat="1" ht="12">
      <c r="A459" s="1206"/>
      <c r="B459" s="2665"/>
      <c r="C459" s="1195"/>
      <c r="D459" s="1101"/>
      <c r="E459" s="1192">
        <f>+G450</f>
        <v>0</v>
      </c>
      <c r="F459" s="902"/>
      <c r="G459" s="903"/>
      <c r="H459" s="903"/>
      <c r="I459" s="903"/>
      <c r="J459" s="903"/>
      <c r="K459" s="903"/>
      <c r="L459" s="903"/>
      <c r="M459" s="903"/>
      <c r="N459" s="904"/>
    </row>
    <row r="460" spans="1:14" s="887" customFormat="1" ht="12">
      <c r="A460" s="1206"/>
      <c r="B460" s="2667" t="s">
        <v>2674</v>
      </c>
      <c r="C460" s="1120" t="s">
        <v>2694</v>
      </c>
      <c r="D460" s="1207"/>
      <c r="E460" s="1208"/>
      <c r="F460" s="1209">
        <f>SUM(G460:N460)</f>
        <v>0</v>
      </c>
      <c r="G460" s="1306">
        <f t="shared" ref="G460:N460" si="259">+G245+G68</f>
        <v>0</v>
      </c>
      <c r="H460" s="1306">
        <f t="shared" si="259"/>
        <v>0</v>
      </c>
      <c r="I460" s="1306">
        <f t="shared" si="259"/>
        <v>0</v>
      </c>
      <c r="J460" s="1306">
        <f t="shared" si="259"/>
        <v>0</v>
      </c>
      <c r="K460" s="1306">
        <f t="shared" si="259"/>
        <v>0</v>
      </c>
      <c r="L460" s="1306">
        <f t="shared" si="259"/>
        <v>0</v>
      </c>
      <c r="M460" s="1306">
        <f t="shared" si="259"/>
        <v>0</v>
      </c>
      <c r="N460" s="1307">
        <f t="shared" si="259"/>
        <v>0</v>
      </c>
    </row>
    <row r="461" spans="1:14" s="887" customFormat="1" ht="12">
      <c r="A461" s="877"/>
      <c r="B461" s="2668"/>
      <c r="C461" s="1212" t="s">
        <v>2695</v>
      </c>
      <c r="D461" s="1147"/>
      <c r="E461" s="1148"/>
      <c r="F461" s="1055"/>
      <c r="G461" s="903"/>
      <c r="H461" s="903"/>
      <c r="I461" s="903"/>
      <c r="J461" s="903"/>
      <c r="K461" s="903"/>
      <c r="L461" s="903"/>
      <c r="M461" s="903"/>
      <c r="N461" s="904"/>
    </row>
    <row r="462" spans="1:14" s="887" customFormat="1" ht="12">
      <c r="A462" s="1171"/>
      <c r="B462" s="1172"/>
      <c r="C462" s="1172"/>
      <c r="D462" s="873"/>
      <c r="E462" s="873"/>
      <c r="F462" s="898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7" customFormat="1" ht="12">
      <c r="A463" s="1213"/>
      <c r="B463" s="1073"/>
      <c r="C463" s="701" t="s">
        <v>2697</v>
      </c>
      <c r="D463" s="1195"/>
      <c r="E463" s="901"/>
      <c r="F463" s="902">
        <f>SUM(G463:N463)</f>
        <v>1714144</v>
      </c>
      <c r="G463" s="903">
        <f>SUM(G452:G461)</f>
        <v>1633580</v>
      </c>
      <c r="H463" s="903">
        <f t="shared" ref="H463:N463" si="260">SUM(H452:H461)</f>
        <v>80564</v>
      </c>
      <c r="I463" s="903">
        <f t="shared" si="260"/>
        <v>0</v>
      </c>
      <c r="J463" s="903">
        <f t="shared" si="260"/>
        <v>0</v>
      </c>
      <c r="K463" s="903">
        <f t="shared" si="260"/>
        <v>0</v>
      </c>
      <c r="L463" s="903">
        <f t="shared" si="260"/>
        <v>0</v>
      </c>
      <c r="M463" s="903">
        <f t="shared" si="260"/>
        <v>0</v>
      </c>
      <c r="N463" s="904">
        <f t="shared" si="260"/>
        <v>0</v>
      </c>
    </row>
    <row r="464" spans="1:14" s="887" customFormat="1" ht="12">
      <c r="A464" s="1213"/>
      <c r="B464" s="1073"/>
      <c r="C464" s="701" t="s">
        <v>2678</v>
      </c>
      <c r="D464" s="1195"/>
      <c r="E464" s="901"/>
      <c r="F464" s="902">
        <f>SUM(G464:N464)</f>
        <v>10548583</v>
      </c>
      <c r="G464" s="903">
        <f t="shared" ref="G464:N464" si="261">+G432</f>
        <v>10052800</v>
      </c>
      <c r="H464" s="903">
        <f t="shared" si="261"/>
        <v>495783</v>
      </c>
      <c r="I464" s="903">
        <f t="shared" si="261"/>
        <v>0</v>
      </c>
      <c r="J464" s="903">
        <f t="shared" si="261"/>
        <v>0</v>
      </c>
      <c r="K464" s="903">
        <f t="shared" si="261"/>
        <v>0</v>
      </c>
      <c r="L464" s="903">
        <f t="shared" si="261"/>
        <v>0</v>
      </c>
      <c r="M464" s="903">
        <f t="shared" si="261"/>
        <v>0</v>
      </c>
      <c r="N464" s="904">
        <f t="shared" si="261"/>
        <v>0</v>
      </c>
    </row>
    <row r="465" spans="1:14" s="887" customFormat="1" ht="12.75" thickBot="1">
      <c r="A465" s="1214"/>
      <c r="B465" s="1215"/>
      <c r="C465" s="1216" t="s">
        <v>2698</v>
      </c>
      <c r="D465" s="1217"/>
      <c r="E465" s="1218"/>
      <c r="F465" s="1135">
        <f>SUM(G465:N465)</f>
        <v>12262727</v>
      </c>
      <c r="G465" s="1219">
        <f t="shared" ref="G465:N465" si="262">SUM(G463:G464)</f>
        <v>11686380</v>
      </c>
      <c r="H465" s="1219">
        <f t="shared" si="262"/>
        <v>576347</v>
      </c>
      <c r="I465" s="1219">
        <f t="shared" si="262"/>
        <v>0</v>
      </c>
      <c r="J465" s="1219">
        <f t="shared" si="262"/>
        <v>0</v>
      </c>
      <c r="K465" s="1219">
        <f t="shared" si="262"/>
        <v>0</v>
      </c>
      <c r="L465" s="1219">
        <f t="shared" si="262"/>
        <v>0</v>
      </c>
      <c r="M465" s="1219">
        <f t="shared" si="262"/>
        <v>0</v>
      </c>
      <c r="N465" s="1220">
        <f t="shared" si="262"/>
        <v>0</v>
      </c>
    </row>
    <row r="466" spans="1:14" s="887" customFormat="1" ht="12.75" thickTop="1">
      <c r="A466" s="877"/>
      <c r="B466" s="878"/>
      <c r="C466" s="878"/>
      <c r="D466" s="916"/>
      <c r="E466" s="916"/>
      <c r="F466" s="917"/>
      <c r="G466" s="1221">
        <f t="shared" ref="G466:N466" si="263">ROUNDDOWN(G465,-3)</f>
        <v>11686000</v>
      </c>
      <c r="H466" s="1221">
        <f t="shared" si="263"/>
        <v>576000</v>
      </c>
      <c r="I466" s="1221">
        <f t="shared" si="263"/>
        <v>0</v>
      </c>
      <c r="J466" s="1221">
        <f t="shared" si="263"/>
        <v>0</v>
      </c>
      <c r="K466" s="1221">
        <f t="shared" si="263"/>
        <v>0</v>
      </c>
      <c r="L466" s="1221">
        <f t="shared" si="263"/>
        <v>0</v>
      </c>
      <c r="M466" s="1221">
        <f t="shared" si="263"/>
        <v>0</v>
      </c>
      <c r="N466" s="1222">
        <f t="shared" si="263"/>
        <v>0</v>
      </c>
    </row>
    <row r="467" spans="1:14" s="887" customFormat="1" ht="12">
      <c r="A467" s="1213"/>
      <c r="B467" s="1073"/>
      <c r="C467" s="701" t="s">
        <v>2678</v>
      </c>
      <c r="D467" s="1195"/>
      <c r="E467" s="901"/>
      <c r="F467" s="902">
        <f>SUM(G467:N467)</f>
        <v>10548583</v>
      </c>
      <c r="G467" s="903">
        <f>+G464</f>
        <v>10052800</v>
      </c>
      <c r="H467" s="903">
        <f t="shared" ref="H467:N467" si="264">+H464</f>
        <v>495783</v>
      </c>
      <c r="I467" s="903">
        <f t="shared" si="264"/>
        <v>0</v>
      </c>
      <c r="J467" s="903">
        <f t="shared" si="264"/>
        <v>0</v>
      </c>
      <c r="K467" s="903">
        <f t="shared" si="264"/>
        <v>0</v>
      </c>
      <c r="L467" s="903">
        <f t="shared" si="264"/>
        <v>0</v>
      </c>
      <c r="M467" s="903">
        <f t="shared" si="264"/>
        <v>0</v>
      </c>
      <c r="N467" s="904">
        <f t="shared" si="264"/>
        <v>0</v>
      </c>
    </row>
    <row r="468" spans="1:14" s="887" customFormat="1" ht="12">
      <c r="A468" s="1213"/>
      <c r="B468" s="1073"/>
      <c r="C468" s="701" t="s">
        <v>2699</v>
      </c>
      <c r="D468" s="1195"/>
      <c r="E468" s="1192"/>
      <c r="F468" s="902">
        <f>SUM(G468:N468)</f>
        <v>1711417</v>
      </c>
      <c r="G468" s="903">
        <f>+G463-(G465-G470)</f>
        <v>1631200</v>
      </c>
      <c r="H468" s="903">
        <f t="shared" ref="H468:N468" si="265">+H463-(H465-H470)</f>
        <v>80217</v>
      </c>
      <c r="I468" s="903">
        <f t="shared" si="265"/>
        <v>0</v>
      </c>
      <c r="J468" s="903">
        <f t="shared" si="265"/>
        <v>0</v>
      </c>
      <c r="K468" s="903">
        <f t="shared" si="265"/>
        <v>0</v>
      </c>
      <c r="L468" s="903">
        <f t="shared" si="265"/>
        <v>0</v>
      </c>
      <c r="M468" s="903">
        <f t="shared" si="265"/>
        <v>0</v>
      </c>
      <c r="N468" s="904">
        <f t="shared" si="265"/>
        <v>0</v>
      </c>
    </row>
    <row r="469" spans="1:14" s="887" customFormat="1" ht="12">
      <c r="A469" s="1213"/>
      <c r="B469" s="1073"/>
      <c r="C469" s="1073"/>
      <c r="D469" s="901"/>
      <c r="E469" s="1223">
        <f>SUM(G466:N466)</f>
        <v>12262000</v>
      </c>
      <c r="F469" s="902" t="s">
        <v>2700</v>
      </c>
      <c r="G469" s="903">
        <f t="shared" ref="G469:N469" si="266">+G463-G468</f>
        <v>2380</v>
      </c>
      <c r="H469" s="903">
        <f t="shared" si="266"/>
        <v>347</v>
      </c>
      <c r="I469" s="903">
        <f t="shared" si="266"/>
        <v>0</v>
      </c>
      <c r="J469" s="903">
        <f t="shared" si="266"/>
        <v>0</v>
      </c>
      <c r="K469" s="903">
        <f t="shared" si="266"/>
        <v>0</v>
      </c>
      <c r="L469" s="903">
        <f t="shared" si="266"/>
        <v>0</v>
      </c>
      <c r="M469" s="1224">
        <f t="shared" si="266"/>
        <v>0</v>
      </c>
      <c r="N469" s="1225">
        <f t="shared" si="266"/>
        <v>0</v>
      </c>
    </row>
    <row r="470" spans="1:14" s="887" customFormat="1" ht="12">
      <c r="A470" s="1226"/>
      <c r="B470" s="1054"/>
      <c r="C470" s="1054" t="s">
        <v>2701</v>
      </c>
      <c r="D470" s="1227"/>
      <c r="E470" s="1223">
        <f>ROUNDDOWN(E469,4-LEN(E469))</f>
        <v>12260000</v>
      </c>
      <c r="F470" s="1228">
        <f>+E470</f>
        <v>12260000</v>
      </c>
      <c r="G470" s="1224">
        <f>IF(F471+SUM(H470:N470)=F470,F471,F470-SUM(H470:N470))</f>
        <v>11684000</v>
      </c>
      <c r="H470" s="1224">
        <f>IF(H460=0,+H466-ROUND($E$471*H465/$F$465,-3),H465)</f>
        <v>576000</v>
      </c>
      <c r="I470" s="1224">
        <f t="shared" ref="I470:N470" si="267">IF(I460=0,+I466-ROUND($E$471*I465/$F$465,-3),I465)</f>
        <v>0</v>
      </c>
      <c r="J470" s="1224">
        <f t="shared" si="267"/>
        <v>0</v>
      </c>
      <c r="K470" s="1224">
        <f t="shared" si="267"/>
        <v>0</v>
      </c>
      <c r="L470" s="1224">
        <f t="shared" si="267"/>
        <v>0</v>
      </c>
      <c r="M470" s="1224">
        <f t="shared" si="267"/>
        <v>0</v>
      </c>
      <c r="N470" s="1225">
        <f t="shared" si="267"/>
        <v>0</v>
      </c>
    </row>
    <row r="471" spans="1:14" s="887" customFormat="1" ht="12">
      <c r="A471" s="1229"/>
      <c r="B471" s="1230"/>
      <c r="C471" s="1230"/>
      <c r="D471" s="1231"/>
      <c r="E471" s="1232">
        <f>E469-E470</f>
        <v>2000</v>
      </c>
      <c r="F471" s="1233">
        <f>+G466-ROUND($E$471*G465/$F$465,-3)</f>
        <v>11684000</v>
      </c>
      <c r="G471" s="1232">
        <f t="shared" ref="G471:N471" si="268">IF(LEN(G465)&lt;=7,-3,IF(LEN(G465)=8,-4,IF(LEN(G465)&gt;=9,-5,-6)))</f>
        <v>-4</v>
      </c>
      <c r="H471" s="1232">
        <f t="shared" si="268"/>
        <v>-3</v>
      </c>
      <c r="I471" s="1232">
        <f t="shared" si="268"/>
        <v>-3</v>
      </c>
      <c r="J471" s="1232">
        <f t="shared" si="268"/>
        <v>-3</v>
      </c>
      <c r="K471" s="1232">
        <f t="shared" si="268"/>
        <v>-3</v>
      </c>
      <c r="L471" s="1232">
        <f t="shared" si="268"/>
        <v>-3</v>
      </c>
      <c r="M471" s="1232">
        <f t="shared" si="268"/>
        <v>-3</v>
      </c>
      <c r="N471" s="1234">
        <f t="shared" si="268"/>
        <v>-3</v>
      </c>
    </row>
    <row r="472" spans="1:14" ht="12.75" thickBot="1">
      <c r="F472" s="1308"/>
      <c r="G472" s="1309"/>
    </row>
    <row r="473" spans="1:14" ht="12">
      <c r="A473" s="1310"/>
      <c r="B473" s="1311"/>
      <c r="C473" s="1312" t="s">
        <v>2702</v>
      </c>
      <c r="D473" s="1313"/>
      <c r="E473" s="1311"/>
      <c r="F473" s="1314" t="s">
        <v>2703</v>
      </c>
      <c r="G473" s="1243">
        <f t="shared" ref="G473:N473" si="269">+G300</f>
        <v>3.3</v>
      </c>
      <c r="H473" s="1243">
        <f t="shared" si="269"/>
        <v>3.3</v>
      </c>
      <c r="I473" s="1243">
        <f t="shared" si="269"/>
        <v>0</v>
      </c>
      <c r="J473" s="1243">
        <f t="shared" si="269"/>
        <v>0</v>
      </c>
      <c r="K473" s="1243">
        <f t="shared" si="269"/>
        <v>0</v>
      </c>
      <c r="L473" s="1243">
        <f t="shared" si="269"/>
        <v>0</v>
      </c>
      <c r="M473" s="1243">
        <f t="shared" si="269"/>
        <v>0</v>
      </c>
      <c r="N473" s="1244">
        <f t="shared" si="269"/>
        <v>0</v>
      </c>
    </row>
    <row r="474" spans="1:14" s="887" customFormat="1" ht="12">
      <c r="A474" s="2645"/>
      <c r="B474" s="2648" t="s">
        <v>2704</v>
      </c>
      <c r="C474" s="1245" t="s">
        <v>2705</v>
      </c>
      <c r="D474" s="1054"/>
      <c r="E474" s="1246"/>
      <c r="F474" s="1247" t="s">
        <v>2706</v>
      </c>
      <c r="G474" s="1248">
        <f>IF($F357&lt;=10000000,ROUND(7.56*(10000^-0.1105)*(G473^0.2389),2),ROUND(7.56*(($F357/1000)^-0.1105)*(G473^0.2389),2))</f>
        <v>3.63</v>
      </c>
      <c r="H474" s="1248">
        <f t="shared" ref="H474:N474" si="270">IF($F357&lt;=10000000,ROUND(7.56*(10000^-0.1105)*(H473^0.2389),2),ROUND(7.56*(($F357/1000)^-0.1105)*(H473^0.2389),2))</f>
        <v>3.63</v>
      </c>
      <c r="I474" s="1248">
        <f t="shared" si="270"/>
        <v>0</v>
      </c>
      <c r="J474" s="1248">
        <f t="shared" si="270"/>
        <v>0</v>
      </c>
      <c r="K474" s="1248">
        <f t="shared" si="270"/>
        <v>0</v>
      </c>
      <c r="L474" s="1248">
        <f t="shared" si="270"/>
        <v>0</v>
      </c>
      <c r="M474" s="1248">
        <f t="shared" si="270"/>
        <v>0</v>
      </c>
      <c r="N474" s="1315">
        <f t="shared" si="270"/>
        <v>0</v>
      </c>
    </row>
    <row r="475" spans="1:14" s="887" customFormat="1" ht="12">
      <c r="A475" s="2646"/>
      <c r="B475" s="2649"/>
      <c r="C475" s="2653" t="s">
        <v>2707</v>
      </c>
      <c r="D475" s="1124"/>
      <c r="E475" s="1249"/>
      <c r="F475" s="1247" t="s">
        <v>2708</v>
      </c>
      <c r="G475" s="1250">
        <f>IF($F357&lt;=10000000,ROUND(4.33,2),0)</f>
        <v>4.33</v>
      </c>
      <c r="H475" s="1250">
        <f t="shared" ref="H475:N475" si="271">IF($F357&lt;=10000000,ROUND(4.33,2),0)</f>
        <v>4.33</v>
      </c>
      <c r="I475" s="1250">
        <f t="shared" si="271"/>
        <v>4.33</v>
      </c>
      <c r="J475" s="1250">
        <f t="shared" si="271"/>
        <v>4.33</v>
      </c>
      <c r="K475" s="1250">
        <f t="shared" si="271"/>
        <v>4.33</v>
      </c>
      <c r="L475" s="1250">
        <f t="shared" si="271"/>
        <v>4.33</v>
      </c>
      <c r="M475" s="1250">
        <f t="shared" si="271"/>
        <v>4.33</v>
      </c>
      <c r="N475" s="1316">
        <f t="shared" si="271"/>
        <v>4.33</v>
      </c>
    </row>
    <row r="476" spans="1:14" s="887" customFormat="1" ht="13.5" customHeight="1">
      <c r="A476" s="2646"/>
      <c r="B476" s="2649"/>
      <c r="C476" s="2654"/>
      <c r="D476" s="1251"/>
      <c r="E476" s="1252"/>
      <c r="F476" s="1247" t="s">
        <v>2709</v>
      </c>
      <c r="G476" s="1250">
        <f>IF($F357&lt;=10000000,ROUND(3.25,2),0)</f>
        <v>3.25</v>
      </c>
      <c r="H476" s="1250">
        <f t="shared" ref="H476:N476" si="272">IF($F357&lt;=10000000,ROUND(3.25,2),0)</f>
        <v>3.25</v>
      </c>
      <c r="I476" s="1250">
        <f t="shared" si="272"/>
        <v>3.25</v>
      </c>
      <c r="J476" s="1250">
        <f t="shared" si="272"/>
        <v>3.25</v>
      </c>
      <c r="K476" s="1250">
        <f t="shared" si="272"/>
        <v>3.25</v>
      </c>
      <c r="L476" s="1250">
        <f t="shared" si="272"/>
        <v>3.25</v>
      </c>
      <c r="M476" s="1250">
        <f t="shared" si="272"/>
        <v>3.25</v>
      </c>
      <c r="N476" s="1316">
        <f t="shared" si="272"/>
        <v>3.25</v>
      </c>
    </row>
    <row r="477" spans="1:14" s="887" customFormat="1" ht="12">
      <c r="A477" s="2646"/>
      <c r="B477" s="2649"/>
      <c r="C477" s="2653" t="s">
        <v>2710</v>
      </c>
      <c r="D477" s="1124"/>
      <c r="E477" s="1249"/>
      <c r="F477" s="1247" t="s">
        <v>2708</v>
      </c>
      <c r="G477" s="1253">
        <f>IF($F357&gt;10000000,ROUND(5.78*($F357/1000)^-0.0313,2),0)</f>
        <v>0</v>
      </c>
      <c r="H477" s="1253">
        <f t="shared" ref="H477:N477" si="273">IF($F357&gt;10000000,ROUND(5.78*($F357/1000)^-0.0313,2),0)</f>
        <v>0</v>
      </c>
      <c r="I477" s="1253">
        <f t="shared" si="273"/>
        <v>0</v>
      </c>
      <c r="J477" s="1253">
        <f t="shared" si="273"/>
        <v>0</v>
      </c>
      <c r="K477" s="1253">
        <f t="shared" si="273"/>
        <v>0</v>
      </c>
      <c r="L477" s="1253">
        <f t="shared" si="273"/>
        <v>0</v>
      </c>
      <c r="M477" s="1253">
        <f t="shared" si="273"/>
        <v>0</v>
      </c>
      <c r="N477" s="1317">
        <f t="shared" si="273"/>
        <v>0</v>
      </c>
    </row>
    <row r="478" spans="1:14" s="887" customFormat="1" ht="13.5" customHeight="1">
      <c r="A478" s="2647"/>
      <c r="B478" s="2650"/>
      <c r="C478" s="2654"/>
      <c r="D478" s="1251"/>
      <c r="E478" s="1252"/>
      <c r="F478" s="1247" t="s">
        <v>2709</v>
      </c>
      <c r="G478" s="1253">
        <f>IF($F357&gt;10000000,ROUND(4.34*($F357/1000)^-0.0313,2),0)</f>
        <v>0</v>
      </c>
      <c r="H478" s="1253">
        <f t="shared" ref="H478:N478" si="274">IF($F357&gt;10000000,ROUND(4.34*($F357/1000)^-0.0313,2),0)</f>
        <v>0</v>
      </c>
      <c r="I478" s="1253">
        <f t="shared" si="274"/>
        <v>0</v>
      </c>
      <c r="J478" s="1253">
        <f t="shared" si="274"/>
        <v>0</v>
      </c>
      <c r="K478" s="1253">
        <f t="shared" si="274"/>
        <v>0</v>
      </c>
      <c r="L478" s="1253">
        <f t="shared" si="274"/>
        <v>0</v>
      </c>
      <c r="M478" s="1253">
        <f t="shared" si="274"/>
        <v>0</v>
      </c>
      <c r="N478" s="1317">
        <f t="shared" si="274"/>
        <v>0</v>
      </c>
    </row>
    <row r="479" spans="1:14" s="887" customFormat="1" ht="13.5" customHeight="1">
      <c r="A479" s="2655" t="s">
        <v>2711</v>
      </c>
      <c r="B479" s="2656"/>
      <c r="C479" s="2656"/>
      <c r="D479" s="2656"/>
      <c r="E479" s="2656"/>
      <c r="F479" s="2657"/>
      <c r="G479" s="1253">
        <f>IF($F357&lt;=10000000,IF(G$474&gt;G$475,G$475,IF(G$474&lt;G$476,G$476,G$474)),IF(G$474&gt;G$477,G$477,IF(G$474&lt;G$478,G$478,G$474)))</f>
        <v>3.63</v>
      </c>
      <c r="H479" s="1253">
        <f t="shared" ref="H479:N479" si="275">IF($F357&lt;=10000000,IF(H$474&gt;H$475,H$475,IF(H$474&lt;H$476,H$476,H$474)),IF(H$474&gt;H$477,H$477,IF(H$474&lt;H$478,H$478,H$474)))</f>
        <v>3.63</v>
      </c>
      <c r="I479" s="1253">
        <f t="shared" si="275"/>
        <v>3.25</v>
      </c>
      <c r="J479" s="1253">
        <f t="shared" si="275"/>
        <v>3.25</v>
      </c>
      <c r="K479" s="1253">
        <f t="shared" si="275"/>
        <v>3.25</v>
      </c>
      <c r="L479" s="1253">
        <f t="shared" si="275"/>
        <v>3.25</v>
      </c>
      <c r="M479" s="1253">
        <f t="shared" si="275"/>
        <v>3.25</v>
      </c>
      <c r="N479" s="1317">
        <f t="shared" si="275"/>
        <v>3.25</v>
      </c>
    </row>
    <row r="480" spans="1:14" s="887" customFormat="1" ht="12.75" thickBot="1">
      <c r="A480" s="2658" t="s">
        <v>2712</v>
      </c>
      <c r="B480" s="2659"/>
      <c r="C480" s="2659"/>
      <c r="D480" s="2659"/>
      <c r="E480" s="2659"/>
      <c r="F480" s="2660"/>
      <c r="G480" s="1259">
        <f>ROUND(G479*IF(AND(G305="駅施設",G306="無し"),0.7,IF(AND(G305="駅施設",G306="有り"),0.7,IF(AND(G305="地上建物",G306="無し"),0.9,IF(AND(G305="地上建物",G306="有り"),1,0)))),2)</f>
        <v>2.54</v>
      </c>
      <c r="H480" s="1259">
        <f t="shared" ref="H480:N480" si="276">ROUND(H479*IF(AND(H305="駅施設",H306="無し"),0.7,IF(AND(H305="駅施設",H306="有り"),0.7,IF(AND(H305="地上建物",H306="無し"),0.9,IF(AND(H305="地上建物",H306="有り"),1,0)))),2)</f>
        <v>2.54</v>
      </c>
      <c r="I480" s="1259">
        <f t="shared" si="276"/>
        <v>2.2799999999999998</v>
      </c>
      <c r="J480" s="1259">
        <f t="shared" si="276"/>
        <v>2.2799999999999998</v>
      </c>
      <c r="K480" s="1259">
        <f t="shared" si="276"/>
        <v>2.2799999999999998</v>
      </c>
      <c r="L480" s="1259">
        <f t="shared" si="276"/>
        <v>2.2799999999999998</v>
      </c>
      <c r="M480" s="1259">
        <f t="shared" si="276"/>
        <v>2.2799999999999998</v>
      </c>
      <c r="N480" s="1259">
        <f t="shared" si="276"/>
        <v>2.2799999999999998</v>
      </c>
    </row>
    <row r="481" spans="1:14" s="887" customFormat="1" ht="12.7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7" customFormat="1" ht="12">
      <c r="A482" s="1238"/>
      <c r="B482" s="1239"/>
      <c r="C482" s="1240" t="s">
        <v>2702</v>
      </c>
      <c r="D482" s="1241"/>
      <c r="E482" s="1239"/>
      <c r="F482" s="1242" t="s">
        <v>2703</v>
      </c>
      <c r="G482" s="1243">
        <f t="shared" ref="G482:N482" si="277">+G300</f>
        <v>3.3</v>
      </c>
      <c r="H482" s="1243">
        <f t="shared" si="277"/>
        <v>3.3</v>
      </c>
      <c r="I482" s="1243">
        <f t="shared" si="277"/>
        <v>0</v>
      </c>
      <c r="J482" s="1243">
        <f t="shared" si="277"/>
        <v>0</v>
      </c>
      <c r="K482" s="1243">
        <f t="shared" si="277"/>
        <v>0</v>
      </c>
      <c r="L482" s="1243">
        <f t="shared" si="277"/>
        <v>0</v>
      </c>
      <c r="M482" s="1243">
        <f t="shared" si="277"/>
        <v>0</v>
      </c>
      <c r="N482" s="1244">
        <f t="shared" si="277"/>
        <v>0</v>
      </c>
    </row>
    <row r="483" spans="1:14" s="887" customFormat="1" ht="12">
      <c r="A483" s="2645"/>
      <c r="B483" s="2648" t="s">
        <v>2713</v>
      </c>
      <c r="C483" s="1245" t="s">
        <v>2705</v>
      </c>
      <c r="D483" s="1054"/>
      <c r="E483" s="1246"/>
      <c r="F483" s="1247" t="s">
        <v>2714</v>
      </c>
      <c r="G483" s="1248">
        <f>IF($F357&lt;=5000000,ROUND(18.03*(5000^-0.2027)*(G482^0.4017),2),ROUND(18.03*(($F357/1000)^-0.2027)*(G482^0.4017),2))</f>
        <v>4.67</v>
      </c>
      <c r="H483" s="1248">
        <f t="shared" ref="H483:N483" si="278">IF($F357&lt;=5000000,ROUND(18.03*(5000^-0.2027)*(H482^0.4017),2),ROUND(18.03*(($F357/1000)^-0.2027)*(H482^0.4017),2))</f>
        <v>4.67</v>
      </c>
      <c r="I483" s="1248">
        <f t="shared" si="278"/>
        <v>0</v>
      </c>
      <c r="J483" s="1248">
        <f t="shared" si="278"/>
        <v>0</v>
      </c>
      <c r="K483" s="1248">
        <f t="shared" si="278"/>
        <v>0</v>
      </c>
      <c r="L483" s="1248">
        <f t="shared" si="278"/>
        <v>0</v>
      </c>
      <c r="M483" s="1248">
        <f t="shared" si="278"/>
        <v>0</v>
      </c>
      <c r="N483" s="1315">
        <f t="shared" si="278"/>
        <v>0</v>
      </c>
    </row>
    <row r="484" spans="1:14" s="887" customFormat="1" ht="12">
      <c r="A484" s="2646"/>
      <c r="B484" s="2649"/>
      <c r="C484" s="2653" t="s">
        <v>2715</v>
      </c>
      <c r="D484" s="1124"/>
      <c r="E484" s="1249"/>
      <c r="F484" s="1247" t="s">
        <v>2708</v>
      </c>
      <c r="G484" s="1250">
        <f>IF($F357&lt;=5000000,ROUND(6.07,2),0)</f>
        <v>0</v>
      </c>
      <c r="H484" s="1250">
        <f t="shared" ref="H484:N484" si="279">IF($F357&lt;=5000000,ROUND(6.07,2),0)</f>
        <v>0</v>
      </c>
      <c r="I484" s="1250">
        <f t="shared" si="279"/>
        <v>0</v>
      </c>
      <c r="J484" s="1250">
        <f t="shared" si="279"/>
        <v>0</v>
      </c>
      <c r="K484" s="1250">
        <f t="shared" si="279"/>
        <v>0</v>
      </c>
      <c r="L484" s="1250">
        <f t="shared" si="279"/>
        <v>0</v>
      </c>
      <c r="M484" s="1250">
        <f t="shared" si="279"/>
        <v>0</v>
      </c>
      <c r="N484" s="1316">
        <f t="shared" si="279"/>
        <v>0</v>
      </c>
    </row>
    <row r="485" spans="1:14" s="887" customFormat="1" ht="13.5" customHeight="1">
      <c r="A485" s="2646"/>
      <c r="B485" s="2649"/>
      <c r="C485" s="2654"/>
      <c r="D485" s="1251"/>
      <c r="E485" s="1252"/>
      <c r="F485" s="1247" t="s">
        <v>2709</v>
      </c>
      <c r="G485" s="1250">
        <f>IF($F357&lt;=5000000,ROUND(3.59,2),0)</f>
        <v>0</v>
      </c>
      <c r="H485" s="1250">
        <f t="shared" ref="H485:N485" si="280">IF($F357&lt;=5000000,ROUND(3.59,2),0)</f>
        <v>0</v>
      </c>
      <c r="I485" s="1250">
        <f t="shared" si="280"/>
        <v>0</v>
      </c>
      <c r="J485" s="1250">
        <f t="shared" si="280"/>
        <v>0</v>
      </c>
      <c r="K485" s="1250">
        <f t="shared" si="280"/>
        <v>0</v>
      </c>
      <c r="L485" s="1250">
        <f t="shared" si="280"/>
        <v>0</v>
      </c>
      <c r="M485" s="1250">
        <f t="shared" si="280"/>
        <v>0</v>
      </c>
      <c r="N485" s="1316">
        <f t="shared" si="280"/>
        <v>0</v>
      </c>
    </row>
    <row r="486" spans="1:14" s="887" customFormat="1" ht="12">
      <c r="A486" s="2646"/>
      <c r="B486" s="2649"/>
      <c r="C486" s="2653" t="s">
        <v>2716</v>
      </c>
      <c r="D486" s="1124"/>
      <c r="E486" s="1249"/>
      <c r="F486" s="1247" t="s">
        <v>2708</v>
      </c>
      <c r="G486" s="1253">
        <f>IF($F357&gt;5000000,ROUND(11.74*($F357/1000)^-0.0774,2),0)</f>
        <v>5.83</v>
      </c>
      <c r="H486" s="1253">
        <f t="shared" ref="H486:N486" si="281">IF($F357&gt;5000000,ROUND(11.74*($F357/1000)^-0.0774,2),0)</f>
        <v>5.83</v>
      </c>
      <c r="I486" s="1253">
        <f t="shared" si="281"/>
        <v>5.83</v>
      </c>
      <c r="J486" s="1253">
        <f t="shared" si="281"/>
        <v>5.83</v>
      </c>
      <c r="K486" s="1253">
        <f t="shared" si="281"/>
        <v>5.83</v>
      </c>
      <c r="L486" s="1253">
        <f t="shared" si="281"/>
        <v>5.83</v>
      </c>
      <c r="M486" s="1253">
        <f t="shared" si="281"/>
        <v>5.83</v>
      </c>
      <c r="N486" s="1317">
        <f t="shared" si="281"/>
        <v>5.83</v>
      </c>
    </row>
    <row r="487" spans="1:14" s="887" customFormat="1" ht="13.5" customHeight="1">
      <c r="A487" s="2647"/>
      <c r="B487" s="2650"/>
      <c r="C487" s="2654"/>
      <c r="D487" s="1251"/>
      <c r="E487" s="1252"/>
      <c r="F487" s="1247" t="s">
        <v>2709</v>
      </c>
      <c r="G487" s="1253">
        <f>IF($F357&gt;5000000,ROUND(6.94*($F357/1000)^-0.0774,2),0)</f>
        <v>3.45</v>
      </c>
      <c r="H487" s="1253">
        <f t="shared" ref="H487:N487" si="282">IF($F357&gt;5000000,ROUND(6.94*($F357/1000)^-0.0774,2),0)</f>
        <v>3.45</v>
      </c>
      <c r="I487" s="1253">
        <f t="shared" si="282"/>
        <v>3.45</v>
      </c>
      <c r="J487" s="1253">
        <f t="shared" si="282"/>
        <v>3.45</v>
      </c>
      <c r="K487" s="1253">
        <f t="shared" si="282"/>
        <v>3.45</v>
      </c>
      <c r="L487" s="1253">
        <f t="shared" si="282"/>
        <v>3.45</v>
      </c>
      <c r="M487" s="1253">
        <f t="shared" si="282"/>
        <v>3.45</v>
      </c>
      <c r="N487" s="1317">
        <f t="shared" si="282"/>
        <v>3.45</v>
      </c>
    </row>
    <row r="488" spans="1:14" s="887" customFormat="1" ht="13.5" customHeight="1">
      <c r="A488" s="2655" t="s">
        <v>2711</v>
      </c>
      <c r="B488" s="2656"/>
      <c r="C488" s="2656"/>
      <c r="D488" s="2656"/>
      <c r="E488" s="2656"/>
      <c r="F488" s="2657"/>
      <c r="G488" s="1256">
        <f>IF($F357&lt;=5000000,IF(G$483&gt;G$484,G$484,IF(G$483&lt;G$485,G$485,G$483)),IF(G$483&gt;G$486,G$486,IF(G$483&lt;G$487,G$487,G$483)))</f>
        <v>4.67</v>
      </c>
      <c r="H488" s="1256">
        <f t="shared" ref="H488:N488" si="283">IF($F357&lt;=5000000,IF(H$483&gt;H$484,H$484,IF(H$483&lt;H$485,H$485,H$483)),IF(H$483&gt;H$486,H$486,IF(H$483&lt;H$487,H$487,H$483)))</f>
        <v>4.67</v>
      </c>
      <c r="I488" s="1256">
        <f t="shared" si="283"/>
        <v>3.45</v>
      </c>
      <c r="J488" s="1256">
        <f t="shared" si="283"/>
        <v>3.45</v>
      </c>
      <c r="K488" s="1256">
        <f t="shared" si="283"/>
        <v>3.45</v>
      </c>
      <c r="L488" s="1256">
        <f t="shared" si="283"/>
        <v>3.45</v>
      </c>
      <c r="M488" s="1256">
        <f t="shared" si="283"/>
        <v>3.45</v>
      </c>
      <c r="N488" s="1318">
        <f t="shared" si="283"/>
        <v>3.45</v>
      </c>
    </row>
    <row r="489" spans="1:14" s="887" customFormat="1" ht="12.75" thickBot="1">
      <c r="A489" s="2658" t="s">
        <v>2712</v>
      </c>
      <c r="B489" s="2659"/>
      <c r="C489" s="2659"/>
      <c r="D489" s="2659"/>
      <c r="E489" s="2659"/>
      <c r="F489" s="2660"/>
      <c r="G489" s="1259">
        <f>ROUND(G488*IF(AND(G305="駅施設",G306="無し"),0.7,IF(AND(G305="駅施設",G306="有り"),0.7,IF(AND(G305="地上建物",G306="無し"),0.9,IF(AND(G305="地上建物",G306="有り"),1,0)))),2)</f>
        <v>3.27</v>
      </c>
      <c r="H489" s="1259">
        <f t="shared" ref="H489:N489" si="284">ROUND(H488*IF(AND(H305="駅施設",H306="無し"),0.7,IF(AND(H305="駅施設",H306="有り"),0.7,IF(AND(H305="地上建物",H306="無し"),0.9,IF(AND(H305="地上建物",H306="有り"),1,0)))),2)</f>
        <v>3.27</v>
      </c>
      <c r="I489" s="1259">
        <f t="shared" si="284"/>
        <v>2.42</v>
      </c>
      <c r="J489" s="1259">
        <f t="shared" si="284"/>
        <v>2.42</v>
      </c>
      <c r="K489" s="1259">
        <f t="shared" si="284"/>
        <v>2.42</v>
      </c>
      <c r="L489" s="1259">
        <f t="shared" si="284"/>
        <v>2.42</v>
      </c>
      <c r="M489" s="1259">
        <f t="shared" si="284"/>
        <v>2.42</v>
      </c>
      <c r="N489" s="1259">
        <f t="shared" si="284"/>
        <v>2.42</v>
      </c>
    </row>
    <row r="490" spans="1:14" s="887" customFormat="1" ht="12.7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7" customFormat="1" ht="12">
      <c r="A491" s="1238"/>
      <c r="B491" s="1239"/>
      <c r="C491" s="1240" t="s">
        <v>2717</v>
      </c>
      <c r="D491" s="1241"/>
      <c r="E491" s="1239"/>
      <c r="F491" s="1242" t="s">
        <v>2703</v>
      </c>
      <c r="G491" s="1243">
        <f t="shared" ref="G491:N491" si="285">+G499</f>
        <v>3.3</v>
      </c>
      <c r="H491" s="1243">
        <f t="shared" si="285"/>
        <v>3.3</v>
      </c>
      <c r="I491" s="1243">
        <f t="shared" si="285"/>
        <v>0</v>
      </c>
      <c r="J491" s="1243">
        <f t="shared" si="285"/>
        <v>0</v>
      </c>
      <c r="K491" s="1243">
        <f t="shared" si="285"/>
        <v>0</v>
      </c>
      <c r="L491" s="1243">
        <f t="shared" si="285"/>
        <v>0</v>
      </c>
      <c r="M491" s="1243">
        <f t="shared" si="285"/>
        <v>0</v>
      </c>
      <c r="N491" s="1244">
        <f t="shared" si="285"/>
        <v>0</v>
      </c>
    </row>
    <row r="492" spans="1:14" s="887" customFormat="1" ht="12">
      <c r="A492" s="2645"/>
      <c r="B492" s="2648" t="s">
        <v>2704</v>
      </c>
      <c r="C492" s="1245" t="s">
        <v>2718</v>
      </c>
      <c r="D492" s="1054"/>
      <c r="E492" s="1246"/>
      <c r="F492" s="1247" t="s">
        <v>2719</v>
      </c>
      <c r="G492" s="1248">
        <f>IF($F396&lt;=10000000,ROUND(151.08*((10000)^-0.3396)*(G491^0.586),2),ROUND(151.08*(($F396/1000)^-0.3396)*(G491^0.586),2))</f>
        <v>13.32</v>
      </c>
      <c r="H492" s="1248">
        <f t="shared" ref="H492:N492" si="286">IF($F396&lt;=10000000,ROUND(151.08*((10000)^-0.3396)*(H491^0.586),2),ROUND(151.08*(($F396/1000)^-0.3396)*(H491^0.586),2))</f>
        <v>13.32</v>
      </c>
      <c r="I492" s="1248">
        <f t="shared" si="286"/>
        <v>0</v>
      </c>
      <c r="J492" s="1248">
        <f t="shared" si="286"/>
        <v>0</v>
      </c>
      <c r="K492" s="1248">
        <f t="shared" si="286"/>
        <v>0</v>
      </c>
      <c r="L492" s="1248">
        <f t="shared" si="286"/>
        <v>0</v>
      </c>
      <c r="M492" s="1248">
        <f t="shared" si="286"/>
        <v>0</v>
      </c>
      <c r="N492" s="1315">
        <f t="shared" si="286"/>
        <v>0</v>
      </c>
    </row>
    <row r="493" spans="1:14" s="887" customFormat="1" ht="12">
      <c r="A493" s="2646"/>
      <c r="B493" s="2649"/>
      <c r="C493" s="2653" t="s">
        <v>2720</v>
      </c>
      <c r="D493" s="1124"/>
      <c r="E493" s="1249"/>
      <c r="F493" s="1247" t="s">
        <v>2708</v>
      </c>
      <c r="G493" s="1250">
        <f>IF($F396&lt;=10000000,ROUND(20.13,2),0)</f>
        <v>20.13</v>
      </c>
      <c r="H493" s="1250">
        <f t="shared" ref="H493:N493" si="287">IF($F396&lt;=10000000,ROUND(20.13,2),0)</f>
        <v>20.13</v>
      </c>
      <c r="I493" s="1250">
        <f t="shared" si="287"/>
        <v>20.13</v>
      </c>
      <c r="J493" s="1250">
        <f t="shared" si="287"/>
        <v>20.13</v>
      </c>
      <c r="K493" s="1250">
        <f t="shared" si="287"/>
        <v>20.13</v>
      </c>
      <c r="L493" s="1250">
        <f t="shared" si="287"/>
        <v>20.13</v>
      </c>
      <c r="M493" s="1250">
        <f t="shared" si="287"/>
        <v>20.13</v>
      </c>
      <c r="N493" s="1316">
        <f t="shared" si="287"/>
        <v>20.13</v>
      </c>
    </row>
    <row r="494" spans="1:14" s="887" customFormat="1" ht="13.5" customHeight="1">
      <c r="A494" s="2646"/>
      <c r="B494" s="2649"/>
      <c r="C494" s="2654"/>
      <c r="D494" s="1251"/>
      <c r="E494" s="1252"/>
      <c r="F494" s="1247" t="s">
        <v>2709</v>
      </c>
      <c r="G494" s="1250">
        <f>IF($F396&lt;=10000000,ROUND(10.01,2),0)</f>
        <v>10.01</v>
      </c>
      <c r="H494" s="1250">
        <f t="shared" ref="H494:N494" si="288">IF($F396&lt;=10000000,ROUND(10.01,2),0)</f>
        <v>10.01</v>
      </c>
      <c r="I494" s="1250">
        <f t="shared" si="288"/>
        <v>10.01</v>
      </c>
      <c r="J494" s="1250">
        <f t="shared" si="288"/>
        <v>10.01</v>
      </c>
      <c r="K494" s="1250">
        <f t="shared" si="288"/>
        <v>10.01</v>
      </c>
      <c r="L494" s="1250">
        <f t="shared" si="288"/>
        <v>10.01</v>
      </c>
      <c r="M494" s="1250">
        <f t="shared" si="288"/>
        <v>10.01</v>
      </c>
      <c r="N494" s="1316">
        <f t="shared" si="288"/>
        <v>10.01</v>
      </c>
    </row>
    <row r="495" spans="1:14" s="887" customFormat="1" ht="12">
      <c r="A495" s="2646"/>
      <c r="B495" s="2649"/>
      <c r="C495" s="2653" t="s">
        <v>2721</v>
      </c>
      <c r="D495" s="1124"/>
      <c r="E495" s="1249"/>
      <c r="F495" s="1247" t="s">
        <v>2708</v>
      </c>
      <c r="G495" s="1253">
        <f>IF($F396&gt;10000000,ROUND(75.97*($F396/1000)^-0.1442,2),0)</f>
        <v>0</v>
      </c>
      <c r="H495" s="1253">
        <f t="shared" ref="H495:N495" si="289">IF($F396&gt;10000000,ROUND(75.97*($F396/1000)^-0.1442,2),0)</f>
        <v>0</v>
      </c>
      <c r="I495" s="1253">
        <f t="shared" si="289"/>
        <v>0</v>
      </c>
      <c r="J495" s="1253">
        <f t="shared" si="289"/>
        <v>0</v>
      </c>
      <c r="K495" s="1253">
        <f t="shared" si="289"/>
        <v>0</v>
      </c>
      <c r="L495" s="1253">
        <f t="shared" si="289"/>
        <v>0</v>
      </c>
      <c r="M495" s="1253">
        <f t="shared" si="289"/>
        <v>0</v>
      </c>
      <c r="N495" s="1317">
        <f t="shared" si="289"/>
        <v>0</v>
      </c>
    </row>
    <row r="496" spans="1:14" s="887" customFormat="1" ht="13.5" customHeight="1">
      <c r="A496" s="2647"/>
      <c r="B496" s="2650"/>
      <c r="C496" s="2654"/>
      <c r="D496" s="1251"/>
      <c r="E496" s="1252"/>
      <c r="F496" s="1247" t="s">
        <v>2709</v>
      </c>
      <c r="G496" s="1253">
        <f>IF($F396&gt;10000000,ROUND(37.76*($F396/1000)^-0.1442,2),0)</f>
        <v>0</v>
      </c>
      <c r="H496" s="1253">
        <f t="shared" ref="H496:N496" si="290">IF($F396&gt;10000000,ROUND(37.76*($F396/1000)^-0.1442,2),0)</f>
        <v>0</v>
      </c>
      <c r="I496" s="1253">
        <f t="shared" si="290"/>
        <v>0</v>
      </c>
      <c r="J496" s="1253">
        <f t="shared" si="290"/>
        <v>0</v>
      </c>
      <c r="K496" s="1253">
        <f t="shared" si="290"/>
        <v>0</v>
      </c>
      <c r="L496" s="1253">
        <f t="shared" si="290"/>
        <v>0</v>
      </c>
      <c r="M496" s="1253">
        <f t="shared" si="290"/>
        <v>0</v>
      </c>
      <c r="N496" s="1317">
        <f t="shared" si="290"/>
        <v>0</v>
      </c>
    </row>
    <row r="497" spans="1:14" s="887" customFormat="1" ht="12.75" thickBot="1">
      <c r="A497" s="2651" t="s">
        <v>2722</v>
      </c>
      <c r="B497" s="2652"/>
      <c r="C497" s="2652"/>
      <c r="D497" s="2652"/>
      <c r="E497" s="1257"/>
      <c r="F497" s="1258"/>
      <c r="G497" s="1259">
        <f>IF($F396&lt;=10000000,IF(G$492&gt;G$493,G$493,IF(G$492&lt;G$494,G$494,G$492)),IF(G$492&gt;G$495,G$495,IF(G$492&lt;G$496,G$496,G$492)))</f>
        <v>13.32</v>
      </c>
      <c r="H497" s="1259">
        <f t="shared" ref="H497:N497" si="291">IF($F396&lt;=10000000,IF(H$492&gt;H$493,H$493,IF(H$492&lt;H$494,H$494,H$492)),IF(H$492&gt;H$495,H$495,IF(H$492&lt;H$496,H$496,H$492)))</f>
        <v>13.32</v>
      </c>
      <c r="I497" s="1259">
        <f t="shared" si="291"/>
        <v>10.01</v>
      </c>
      <c r="J497" s="1259">
        <f t="shared" si="291"/>
        <v>10.01</v>
      </c>
      <c r="K497" s="1259">
        <f t="shared" si="291"/>
        <v>10.01</v>
      </c>
      <c r="L497" s="1259">
        <f t="shared" si="291"/>
        <v>10.01</v>
      </c>
      <c r="M497" s="1259">
        <f t="shared" si="291"/>
        <v>10.01</v>
      </c>
      <c r="N497" s="1319">
        <f t="shared" si="291"/>
        <v>10.01</v>
      </c>
    </row>
    <row r="498" spans="1:14" s="887" customFormat="1" ht="12.7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7" customFormat="1" ht="12">
      <c r="A499" s="1238"/>
      <c r="B499" s="1239"/>
      <c r="C499" s="1240" t="s">
        <v>2717</v>
      </c>
      <c r="D499" s="1241"/>
      <c r="E499" s="1239"/>
      <c r="F499" s="1242" t="s">
        <v>2703</v>
      </c>
      <c r="G499" s="1243">
        <f t="shared" ref="G499:N499" si="292">+G300</f>
        <v>3.3</v>
      </c>
      <c r="H499" s="1243">
        <f t="shared" si="292"/>
        <v>3.3</v>
      </c>
      <c r="I499" s="1243">
        <f t="shared" si="292"/>
        <v>0</v>
      </c>
      <c r="J499" s="1243">
        <f t="shared" si="292"/>
        <v>0</v>
      </c>
      <c r="K499" s="1243">
        <f t="shared" si="292"/>
        <v>0</v>
      </c>
      <c r="L499" s="1243">
        <f t="shared" si="292"/>
        <v>0</v>
      </c>
      <c r="M499" s="1243">
        <f t="shared" si="292"/>
        <v>0</v>
      </c>
      <c r="N499" s="1244">
        <f t="shared" si="292"/>
        <v>0</v>
      </c>
    </row>
    <row r="500" spans="1:14" s="887" customFormat="1" ht="12">
      <c r="A500" s="2645"/>
      <c r="B500" s="2648" t="s">
        <v>2713</v>
      </c>
      <c r="C500" s="1245" t="s">
        <v>2718</v>
      </c>
      <c r="D500" s="1054"/>
      <c r="E500" s="1246"/>
      <c r="F500" s="1247" t="s">
        <v>2723</v>
      </c>
      <c r="G500" s="1248">
        <f>IF($F396&lt;=5000000,ROUND(356.2*((5000)^-0.4085)*(G499^0.5766),2),ROUND(356.2*(($F396/1000)^-0.4085)*(G499^0.5766),2))</f>
        <v>17.22</v>
      </c>
      <c r="H500" s="1248">
        <f t="shared" ref="H500:N500" si="293">IF($F396&lt;=5000000,ROUND(356.2*((5000)^-0.4085)*(H499^0.5766),2),ROUND(356.2*(($F396/1000)^-0.4085)*(H499^0.5766),2))</f>
        <v>17.22</v>
      </c>
      <c r="I500" s="1248">
        <f t="shared" si="293"/>
        <v>0</v>
      </c>
      <c r="J500" s="1248">
        <f t="shared" si="293"/>
        <v>0</v>
      </c>
      <c r="K500" s="1248">
        <f t="shared" si="293"/>
        <v>0</v>
      </c>
      <c r="L500" s="1248">
        <f t="shared" si="293"/>
        <v>0</v>
      </c>
      <c r="M500" s="1248">
        <f t="shared" si="293"/>
        <v>0</v>
      </c>
      <c r="N500" s="1315">
        <f t="shared" si="293"/>
        <v>0</v>
      </c>
    </row>
    <row r="501" spans="1:14" s="887" customFormat="1" ht="12">
      <c r="A501" s="2646"/>
      <c r="B501" s="2649"/>
      <c r="C501" s="2653" t="s">
        <v>2724</v>
      </c>
      <c r="D501" s="1124"/>
      <c r="E501" s="1249"/>
      <c r="F501" s="1247" t="s">
        <v>2708</v>
      </c>
      <c r="G501" s="1250">
        <f>IF($F396&lt;=5000000,ROUND(26.86,2),0)</f>
        <v>0</v>
      </c>
      <c r="H501" s="1250">
        <f t="shared" ref="H501:N501" si="294">IF($F396&lt;=5000000,ROUND(26.86,2),0)</f>
        <v>0</v>
      </c>
      <c r="I501" s="1250">
        <f t="shared" si="294"/>
        <v>0</v>
      </c>
      <c r="J501" s="1250">
        <f t="shared" si="294"/>
        <v>0</v>
      </c>
      <c r="K501" s="1250">
        <f t="shared" si="294"/>
        <v>0</v>
      </c>
      <c r="L501" s="1250">
        <f t="shared" si="294"/>
        <v>0</v>
      </c>
      <c r="M501" s="1250">
        <f t="shared" si="294"/>
        <v>0</v>
      </c>
      <c r="N501" s="1316">
        <f t="shared" si="294"/>
        <v>0</v>
      </c>
    </row>
    <row r="502" spans="1:14" s="887" customFormat="1" ht="13.5" customHeight="1">
      <c r="A502" s="2646"/>
      <c r="B502" s="2649"/>
      <c r="C502" s="2654"/>
      <c r="D502" s="1251"/>
      <c r="E502" s="1252"/>
      <c r="F502" s="1247" t="s">
        <v>2709</v>
      </c>
      <c r="G502" s="1250">
        <f>IF($F396&lt;=5000000,ROUND(12.7,2),0)</f>
        <v>0</v>
      </c>
      <c r="H502" s="1250">
        <f t="shared" ref="H502:N502" si="295">IF($F396&lt;=5000000,ROUND(12.7,2),0)</f>
        <v>0</v>
      </c>
      <c r="I502" s="1250">
        <f t="shared" si="295"/>
        <v>0</v>
      </c>
      <c r="J502" s="1250">
        <f t="shared" si="295"/>
        <v>0</v>
      </c>
      <c r="K502" s="1250">
        <f t="shared" si="295"/>
        <v>0</v>
      </c>
      <c r="L502" s="1250">
        <f t="shared" si="295"/>
        <v>0</v>
      </c>
      <c r="M502" s="1250">
        <f t="shared" si="295"/>
        <v>0</v>
      </c>
      <c r="N502" s="1316">
        <f t="shared" si="295"/>
        <v>0</v>
      </c>
    </row>
    <row r="503" spans="1:14" s="887" customFormat="1" ht="12">
      <c r="A503" s="2646"/>
      <c r="B503" s="2649"/>
      <c r="C503" s="2653" t="s">
        <v>2725</v>
      </c>
      <c r="D503" s="1124"/>
      <c r="E503" s="1249"/>
      <c r="F503" s="1247" t="s">
        <v>2708</v>
      </c>
      <c r="G503" s="1253">
        <f>IF($F396&gt;5000000,ROUND(184.58*($F396/1000)^-0.2263,2),0)</f>
        <v>23.53</v>
      </c>
      <c r="H503" s="1253">
        <f t="shared" ref="H503:N503" si="296">IF($F396&gt;5000000,ROUND(184.58*($F396/1000)^-0.2263,2),0)</f>
        <v>23.53</v>
      </c>
      <c r="I503" s="1253">
        <f t="shared" si="296"/>
        <v>23.53</v>
      </c>
      <c r="J503" s="1253">
        <f t="shared" si="296"/>
        <v>23.53</v>
      </c>
      <c r="K503" s="1253">
        <f t="shared" si="296"/>
        <v>23.53</v>
      </c>
      <c r="L503" s="1253">
        <f t="shared" si="296"/>
        <v>23.53</v>
      </c>
      <c r="M503" s="1253">
        <f t="shared" si="296"/>
        <v>23.53</v>
      </c>
      <c r="N503" s="1317">
        <f t="shared" si="296"/>
        <v>23.53</v>
      </c>
    </row>
    <row r="504" spans="1:14" s="887" customFormat="1" ht="13.5" customHeight="1">
      <c r="A504" s="2647"/>
      <c r="B504" s="2650"/>
      <c r="C504" s="2654"/>
      <c r="D504" s="1251"/>
      <c r="E504" s="1252"/>
      <c r="F504" s="1247" t="s">
        <v>2709</v>
      </c>
      <c r="G504" s="1253">
        <f>IF($F396&gt;5000000,ROUND(87.29*($F396/1000)^-0.2263,2),0)</f>
        <v>11.13</v>
      </c>
      <c r="H504" s="1253">
        <f t="shared" ref="H504:N504" si="297">IF($F396&gt;5000000,ROUND(87.29*($F396/1000)^-0.2263,2),0)</f>
        <v>11.13</v>
      </c>
      <c r="I504" s="1253">
        <f t="shared" si="297"/>
        <v>11.13</v>
      </c>
      <c r="J504" s="1253">
        <f t="shared" si="297"/>
        <v>11.13</v>
      </c>
      <c r="K504" s="1253">
        <f t="shared" si="297"/>
        <v>11.13</v>
      </c>
      <c r="L504" s="1253">
        <f t="shared" si="297"/>
        <v>11.13</v>
      </c>
      <c r="M504" s="1253">
        <f t="shared" si="297"/>
        <v>11.13</v>
      </c>
      <c r="N504" s="1317">
        <f t="shared" si="297"/>
        <v>11.13</v>
      </c>
    </row>
    <row r="505" spans="1:14" s="887" customFormat="1" ht="12.75" thickBot="1">
      <c r="A505" s="2651" t="s">
        <v>2722</v>
      </c>
      <c r="B505" s="2652"/>
      <c r="C505" s="2652"/>
      <c r="D505" s="2652"/>
      <c r="E505" s="1260"/>
      <c r="F505" s="1258"/>
      <c r="G505" s="1261">
        <f>IF($F396&lt;=5000000,IF(G$500&gt;G$501,G$501,IF(G$500&lt;G$502,G$502,G$500)),IF(G$500&gt;G$503,G$503,IF(G$500&lt;G$504,G$504,G$500)))</f>
        <v>17.22</v>
      </c>
      <c r="H505" s="1261">
        <f t="shared" ref="H505:N505" si="298">IF($F396&lt;=5000000,IF(H$500&gt;H$501,H$501,IF(H$500&lt;H$502,H$502,H$500)),IF(H$500&gt;H$503,H$503,IF(H$500&lt;H$504,H$504,H$500)))</f>
        <v>17.22</v>
      </c>
      <c r="I505" s="1261">
        <f t="shared" si="298"/>
        <v>11.13</v>
      </c>
      <c r="J505" s="1261">
        <f t="shared" si="298"/>
        <v>11.13</v>
      </c>
      <c r="K505" s="1261">
        <f t="shared" si="298"/>
        <v>11.13</v>
      </c>
      <c r="L505" s="1261">
        <f t="shared" si="298"/>
        <v>11.13</v>
      </c>
      <c r="M505" s="1261">
        <f t="shared" si="298"/>
        <v>11.13</v>
      </c>
      <c r="N505" s="1320">
        <f t="shared" si="298"/>
        <v>11.13</v>
      </c>
    </row>
    <row r="506" spans="1:14" s="887" customFormat="1" ht="12.7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7" customFormat="1" ht="12">
      <c r="A507" s="1238"/>
      <c r="B507" s="1239"/>
      <c r="C507" s="1240" t="s">
        <v>2726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7" customFormat="1" ht="12">
      <c r="A508" s="2645"/>
      <c r="B508" s="2648" t="s">
        <v>81</v>
      </c>
      <c r="C508" s="1245" t="s">
        <v>2727</v>
      </c>
      <c r="D508" s="1054"/>
      <c r="E508" s="1246"/>
      <c r="F508" s="1247" t="s">
        <v>2728</v>
      </c>
      <c r="G508" s="1265">
        <f>ROUND(28.978-3.173*LOG($F439/1000),2)</f>
        <v>16.21</v>
      </c>
      <c r="H508" s="1266"/>
      <c r="I508" s="1267"/>
      <c r="J508" s="1267"/>
      <c r="K508" s="1267"/>
      <c r="L508" s="1267"/>
      <c r="M508" s="1267"/>
      <c r="N508" s="1267"/>
    </row>
    <row r="509" spans="1:14" s="887" customFormat="1" ht="13.5" customHeight="1">
      <c r="A509" s="2646"/>
      <c r="B509" s="2649"/>
      <c r="C509" s="1268" t="s">
        <v>2729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50"/>
      <c r="K509" s="1272"/>
      <c r="L509" s="1272"/>
      <c r="M509" s="1272"/>
      <c r="N509" s="1272"/>
    </row>
    <row r="510" spans="1:14" s="887" customFormat="1" ht="12">
      <c r="A510" s="2647"/>
      <c r="B510" s="2650"/>
      <c r="C510" s="1268" t="s">
        <v>2730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7" customFormat="1" ht="12.75" thickBot="1">
      <c r="A511" s="2651" t="s">
        <v>2731</v>
      </c>
      <c r="B511" s="2652"/>
      <c r="C511" s="2652"/>
      <c r="D511" s="2652"/>
      <c r="E511" s="1260"/>
      <c r="F511" s="1258"/>
      <c r="G511" s="1275">
        <f>IF($F439&lt;=5000000,G509,IF($F439&gt;3000000000,G510,G508))</f>
        <v>16.21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A304">
    <cfRule type="expression" dxfId="5" priority="2" stopIfTrue="1">
      <formula>AND($F$113&gt;5000000,OR($E$87="無し",$E$87="なし"))</formula>
    </cfRule>
  </conditionalFormatting>
  <conditionalFormatting sqref="A10">
    <cfRule type="expression" dxfId="4" priority="1" stopIfTrue="1">
      <formula>AND($F$113&gt;5000000,OR($E$87="無し",$E$87="なし"))</formula>
    </cfRule>
  </conditionalFormatting>
  <dataValidations disablePrompts="1" count="4"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>
      <formula1>"駅施設,地上建物"</formula1>
    </dataValidation>
    <dataValidation type="list" allowBlank="1" showInputMessage="1" showErrorMessage="1" sqref="WVO983049:WVV983049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85:N85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G9:N9">
      <formula1>"改修,新営"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>
      <formula1>"積上げ,積上げ・率処理併用"</formula1>
    </dataValidation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8" manualBreakCount="8">
    <brk id="81" max="13" man="1"/>
    <brk id="136" max="13" man="1"/>
    <brk id="175" max="13" man="1"/>
    <brk id="216" max="13" man="1"/>
    <brk id="296" max="13" man="1"/>
    <brk id="352" max="13" man="1"/>
    <brk id="390" max="13" man="1"/>
    <brk id="432" max="1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8"/>
  <sheetViews>
    <sheetView topLeftCell="A3" zoomScale="75" zoomScaleNormal="75" workbookViewId="0">
      <selection activeCell="A3" sqref="A3"/>
    </sheetView>
  </sheetViews>
  <sheetFormatPr defaultColWidth="6.625" defaultRowHeight="26.1" customHeight="1"/>
  <cols>
    <col min="1" max="2" width="2.625" style="6" customWidth="1"/>
    <col min="3" max="3" width="8.625" style="1" customWidth="1"/>
    <col min="4" max="4" width="28.625" style="1" customWidth="1"/>
    <col min="5" max="5" width="25" style="2" customWidth="1"/>
    <col min="6" max="6" width="10.625" style="1" customWidth="1"/>
    <col min="7" max="7" width="7.625" style="3" customWidth="1"/>
    <col min="8" max="8" width="11.625" style="4" customWidth="1"/>
    <col min="9" max="9" width="15.625" style="4" customWidth="1"/>
    <col min="10" max="12" width="9.625" style="1" customWidth="1"/>
    <col min="13" max="14" width="3.625" style="1" customWidth="1"/>
    <col min="15" max="33" width="5.25" style="39" customWidth="1"/>
    <col min="34" max="34" width="3.5" style="1" customWidth="1"/>
    <col min="35" max="46" width="4.25" style="1" customWidth="1"/>
    <col min="47" max="53" width="4.375" style="1" customWidth="1"/>
    <col min="54" max="16384" width="6.625" style="1"/>
  </cols>
  <sheetData>
    <row r="1" spans="1:53" ht="25.5" hidden="1" customHeight="1"/>
    <row r="2" spans="1:53" ht="24" hidden="1" customHeight="1">
      <c r="C2" s="37"/>
      <c r="E2" s="36" t="s">
        <v>50</v>
      </c>
      <c r="F2" s="82">
        <v>0</v>
      </c>
      <c r="G2" s="1"/>
      <c r="I2" s="4" t="s">
        <v>56</v>
      </c>
      <c r="J2" s="39">
        <f>VLOOKUP("EOL",$M$25:$N$65536,2,FALSE)</f>
        <v>2</v>
      </c>
    </row>
    <row r="3" spans="1:53" ht="26.1" customHeight="1" thickBot="1">
      <c r="C3" s="2615" t="s">
        <v>332</v>
      </c>
      <c r="D3" s="2615"/>
      <c r="E3" s="2615"/>
      <c r="F3" s="2615"/>
      <c r="G3" s="2615"/>
      <c r="H3" s="2615"/>
      <c r="I3" s="2615"/>
      <c r="J3" s="2615"/>
      <c r="K3" s="2615"/>
      <c r="L3" s="2615"/>
      <c r="O3" s="2642" t="s">
        <v>134</v>
      </c>
      <c r="P3" s="2643"/>
      <c r="Q3" s="2643"/>
      <c r="R3" s="2643"/>
      <c r="S3" s="2643"/>
      <c r="T3" s="2643"/>
      <c r="U3" s="2643"/>
      <c r="V3" s="2643"/>
      <c r="W3" s="2643"/>
      <c r="X3" s="2643"/>
      <c r="Y3" s="2643"/>
      <c r="Z3" s="2643"/>
      <c r="AA3" s="2643"/>
      <c r="AB3" s="2643"/>
      <c r="AC3" s="2643"/>
      <c r="AD3" s="2643"/>
      <c r="AE3" s="2643"/>
      <c r="AF3" s="2643"/>
      <c r="AG3" s="2644"/>
    </row>
    <row r="4" spans="1:53" ht="42" customHeight="1">
      <c r="A4" s="5" t="s">
        <v>151</v>
      </c>
      <c r="B4" s="5" t="s">
        <v>9</v>
      </c>
      <c r="C4" s="113" t="s">
        <v>0</v>
      </c>
      <c r="D4" s="109"/>
      <c r="E4" s="110" t="s">
        <v>1</v>
      </c>
      <c r="F4" s="111" t="s">
        <v>2</v>
      </c>
      <c r="G4" s="111" t="s">
        <v>3</v>
      </c>
      <c r="H4" s="112" t="s">
        <v>4</v>
      </c>
      <c r="I4" s="112" t="s">
        <v>5</v>
      </c>
      <c r="J4" s="2612" t="s">
        <v>6</v>
      </c>
      <c r="K4" s="2613"/>
      <c r="L4" s="2614"/>
      <c r="O4" s="157" t="s">
        <v>67</v>
      </c>
      <c r="P4" s="385" t="s">
        <v>275</v>
      </c>
      <c r="Q4" s="156" t="s">
        <v>216</v>
      </c>
      <c r="R4" s="275" t="s">
        <v>218</v>
      </c>
      <c r="S4" s="275" t="s">
        <v>219</v>
      </c>
      <c r="T4" s="275" t="s">
        <v>276</v>
      </c>
      <c r="U4" s="275" t="s">
        <v>128</v>
      </c>
      <c r="V4" s="156" t="s">
        <v>127</v>
      </c>
      <c r="W4" s="275" t="s">
        <v>277</v>
      </c>
      <c r="X4" s="223" t="s">
        <v>220</v>
      </c>
      <c r="Y4" s="223" t="s">
        <v>221</v>
      </c>
      <c r="Z4" s="223" t="s">
        <v>222</v>
      </c>
      <c r="AA4" s="223" t="s">
        <v>223</v>
      </c>
      <c r="AB4" s="161" t="s">
        <v>278</v>
      </c>
      <c r="AC4" s="158" t="s">
        <v>130</v>
      </c>
      <c r="AD4" s="155" t="s">
        <v>133</v>
      </c>
      <c r="AE4" s="155" t="s">
        <v>131</v>
      </c>
      <c r="AF4" s="155" t="s">
        <v>132</v>
      </c>
      <c r="AG4" s="155"/>
    </row>
    <row r="5" spans="1:53" ht="24" customHeight="1">
      <c r="A5" s="235">
        <v>1</v>
      </c>
      <c r="B5" s="235">
        <v>1</v>
      </c>
      <c r="C5" s="132" t="s">
        <v>193</v>
      </c>
      <c r="D5" s="212" t="s">
        <v>156</v>
      </c>
      <c r="E5" s="213" t="s">
        <v>156</v>
      </c>
      <c r="F5" s="214" t="s">
        <v>156</v>
      </c>
      <c r="G5" s="215" t="s">
        <v>156</v>
      </c>
      <c r="H5" s="83" t="s">
        <v>11</v>
      </c>
      <c r="I5" s="94" t="s">
        <v>11</v>
      </c>
      <c r="J5" s="2609"/>
      <c r="K5" s="2610"/>
      <c r="L5" s="2611"/>
      <c r="M5" s="39"/>
      <c r="N5" s="39"/>
      <c r="O5" s="159"/>
      <c r="P5" s="160"/>
      <c r="Q5" s="286"/>
      <c r="R5" s="286"/>
      <c r="S5" s="286"/>
      <c r="T5" s="286"/>
      <c r="U5" s="286"/>
      <c r="V5" s="216"/>
      <c r="W5" s="216"/>
      <c r="X5" s="216"/>
      <c r="Y5" s="216"/>
      <c r="Z5" s="216"/>
      <c r="AA5" s="216"/>
      <c r="AB5" s="159"/>
      <c r="AC5" s="160"/>
      <c r="AD5" s="216"/>
      <c r="AE5" s="216"/>
      <c r="AF5" s="216"/>
      <c r="AG5" s="216"/>
    </row>
    <row r="6" spans="1:53" ht="24" customHeight="1">
      <c r="A6" s="38"/>
      <c r="B6" s="38"/>
      <c r="C6" s="194"/>
      <c r="D6" s="65"/>
      <c r="E6" s="102"/>
      <c r="F6" s="117"/>
      <c r="G6" s="118"/>
      <c r="H6" s="104"/>
      <c r="I6" s="104" t="str">
        <f t="shared" ref="I6:I23" si="0">IF(F6="","",ROUNDDOWN(F6*H6,0))</f>
        <v/>
      </c>
      <c r="J6" s="65"/>
      <c r="K6" s="65"/>
      <c r="L6" s="66"/>
      <c r="M6" s="39"/>
      <c r="N6" s="39"/>
      <c r="O6" s="159"/>
      <c r="P6" s="160"/>
      <c r="Q6" s="286"/>
      <c r="R6" s="286"/>
      <c r="S6" s="286"/>
      <c r="T6" s="286"/>
      <c r="U6" s="286"/>
      <c r="V6" s="216"/>
      <c r="W6" s="216"/>
      <c r="X6" s="216"/>
      <c r="Y6" s="216"/>
      <c r="Z6" s="216"/>
      <c r="AA6" s="216"/>
      <c r="AB6" s="159"/>
      <c r="AC6" s="160"/>
      <c r="AD6" s="216"/>
      <c r="AE6" s="216"/>
      <c r="AF6" s="216"/>
      <c r="AG6" s="216"/>
      <c r="AI6" s="208">
        <f>$F6*O6</f>
        <v>0</v>
      </c>
      <c r="AJ6" s="208">
        <f t="shared" ref="AJ6:BA6" si="1">$F6*P6</f>
        <v>0</v>
      </c>
      <c r="AK6" s="208">
        <f t="shared" si="1"/>
        <v>0</v>
      </c>
      <c r="AL6" s="208">
        <f t="shared" si="1"/>
        <v>0</v>
      </c>
      <c r="AM6" s="208">
        <f t="shared" si="1"/>
        <v>0</v>
      </c>
      <c r="AN6" s="208">
        <f t="shared" si="1"/>
        <v>0</v>
      </c>
      <c r="AO6" s="208">
        <f t="shared" si="1"/>
        <v>0</v>
      </c>
      <c r="AP6" s="208">
        <f t="shared" si="1"/>
        <v>0</v>
      </c>
      <c r="AQ6" s="208">
        <f t="shared" si="1"/>
        <v>0</v>
      </c>
      <c r="AR6" s="208">
        <f t="shared" si="1"/>
        <v>0</v>
      </c>
      <c r="AS6" s="208">
        <f t="shared" si="1"/>
        <v>0</v>
      </c>
      <c r="AT6" s="208">
        <f t="shared" si="1"/>
        <v>0</v>
      </c>
      <c r="AU6" s="208">
        <f t="shared" si="1"/>
        <v>0</v>
      </c>
      <c r="AV6" s="208">
        <f t="shared" si="1"/>
        <v>0</v>
      </c>
      <c r="AW6" s="208">
        <f t="shared" si="1"/>
        <v>0</v>
      </c>
      <c r="AX6" s="208">
        <f t="shared" si="1"/>
        <v>0</v>
      </c>
      <c r="AY6" s="208">
        <f t="shared" si="1"/>
        <v>0</v>
      </c>
      <c r="AZ6" s="208">
        <f t="shared" si="1"/>
        <v>0</v>
      </c>
      <c r="BA6" s="208">
        <f t="shared" si="1"/>
        <v>0</v>
      </c>
    </row>
    <row r="7" spans="1:53" ht="24" customHeight="1">
      <c r="A7" s="38"/>
      <c r="B7" s="38"/>
      <c r="C7" s="105"/>
      <c r="D7" s="65"/>
      <c r="E7" s="102"/>
      <c r="F7" s="117"/>
      <c r="G7" s="118"/>
      <c r="H7" s="104"/>
      <c r="I7" s="104" t="str">
        <f t="shared" si="0"/>
        <v/>
      </c>
      <c r="J7" s="65"/>
      <c r="K7" s="65"/>
      <c r="L7" s="66"/>
      <c r="M7" s="39"/>
      <c r="N7" s="39"/>
      <c r="O7" s="159"/>
      <c r="P7" s="160"/>
      <c r="Q7" s="286"/>
      <c r="R7" s="286"/>
      <c r="S7" s="286"/>
      <c r="T7" s="286"/>
      <c r="U7" s="286"/>
      <c r="V7" s="216"/>
      <c r="W7" s="216"/>
      <c r="X7" s="216"/>
      <c r="Y7" s="216"/>
      <c r="Z7" s="216"/>
      <c r="AA7" s="216"/>
      <c r="AB7" s="159"/>
      <c r="AC7" s="160"/>
      <c r="AD7" s="216"/>
      <c r="AE7" s="216"/>
      <c r="AF7" s="216"/>
      <c r="AG7" s="216"/>
      <c r="AI7" s="208">
        <f t="shared" ref="AI7:AI23" si="2">$F7*O7</f>
        <v>0</v>
      </c>
      <c r="AJ7" s="208">
        <f t="shared" ref="AJ7:AJ23" si="3">$F7*P7</f>
        <v>0</v>
      </c>
      <c r="AK7" s="208">
        <f t="shared" ref="AK7:AK23" si="4">$F7*Q7</f>
        <v>0</v>
      </c>
      <c r="AL7" s="208">
        <f t="shared" ref="AL7:AL23" si="5">$F7*R7</f>
        <v>0</v>
      </c>
      <c r="AM7" s="208">
        <f t="shared" ref="AM7:AM23" si="6">$F7*S7</f>
        <v>0</v>
      </c>
      <c r="AN7" s="208">
        <f t="shared" ref="AN7:AN23" si="7">$F7*T7</f>
        <v>0</v>
      </c>
      <c r="AO7" s="208">
        <f t="shared" ref="AO7:AO23" si="8">$F7*U7</f>
        <v>0</v>
      </c>
      <c r="AP7" s="208">
        <f t="shared" ref="AP7:AP23" si="9">$F7*V7</f>
        <v>0</v>
      </c>
      <c r="AQ7" s="208">
        <f t="shared" ref="AQ7:AQ23" si="10">$F7*W7</f>
        <v>0</v>
      </c>
      <c r="AR7" s="208">
        <f t="shared" ref="AR7:AR23" si="11">$F7*X7</f>
        <v>0</v>
      </c>
      <c r="AS7" s="208">
        <f t="shared" ref="AS7:AS23" si="12">$F7*Y7</f>
        <v>0</v>
      </c>
      <c r="AT7" s="208">
        <f t="shared" ref="AT7:AT23" si="13">$F7*Z7</f>
        <v>0</v>
      </c>
      <c r="AU7" s="208">
        <f t="shared" ref="AU7:AU23" si="14">$F7*AA7</f>
        <v>0</v>
      </c>
      <c r="AV7" s="208">
        <f t="shared" ref="AV7:AV23" si="15">$F7*AB7</f>
        <v>0</v>
      </c>
      <c r="AW7" s="208">
        <f t="shared" ref="AW7:AW23" si="16">$F7*AC7</f>
        <v>0</v>
      </c>
      <c r="AX7" s="208">
        <f t="shared" ref="AX7:AX23" si="17">$F7*AD7</f>
        <v>0</v>
      </c>
      <c r="AY7" s="208">
        <f t="shared" ref="AY7:AY23" si="18">$F7*AE7</f>
        <v>0</v>
      </c>
      <c r="AZ7" s="208">
        <f t="shared" ref="AZ7:AZ23" si="19">$F7*AF7</f>
        <v>0</v>
      </c>
      <c r="BA7" s="208">
        <f t="shared" ref="BA7:BA23" si="20">$F7*AG7</f>
        <v>0</v>
      </c>
    </row>
    <row r="8" spans="1:53" ht="24" customHeight="1">
      <c r="A8" s="38"/>
      <c r="B8" s="38"/>
      <c r="C8" s="105"/>
      <c r="D8" s="65"/>
      <c r="E8" s="102"/>
      <c r="F8" s="117"/>
      <c r="G8" s="118"/>
      <c r="H8" s="104"/>
      <c r="I8" s="104" t="str">
        <f t="shared" si="0"/>
        <v/>
      </c>
      <c r="J8" s="65"/>
      <c r="K8" s="65"/>
      <c r="L8" s="66"/>
      <c r="M8" s="39"/>
      <c r="N8" s="39"/>
      <c r="O8" s="159"/>
      <c r="P8" s="160"/>
      <c r="Q8" s="286"/>
      <c r="R8" s="286"/>
      <c r="S8" s="286"/>
      <c r="T8" s="286"/>
      <c r="U8" s="286"/>
      <c r="V8" s="216"/>
      <c r="W8" s="216"/>
      <c r="X8" s="216"/>
      <c r="Y8" s="216"/>
      <c r="Z8" s="216"/>
      <c r="AA8" s="216"/>
      <c r="AB8" s="159"/>
      <c r="AC8" s="160"/>
      <c r="AD8" s="216"/>
      <c r="AE8" s="216"/>
      <c r="AF8" s="216"/>
      <c r="AG8" s="216"/>
      <c r="AI8" s="208">
        <f t="shared" si="2"/>
        <v>0</v>
      </c>
      <c r="AJ8" s="208">
        <f t="shared" si="3"/>
        <v>0</v>
      </c>
      <c r="AK8" s="208">
        <f t="shared" si="4"/>
        <v>0</v>
      </c>
      <c r="AL8" s="208">
        <f t="shared" si="5"/>
        <v>0</v>
      </c>
      <c r="AM8" s="208">
        <f t="shared" si="6"/>
        <v>0</v>
      </c>
      <c r="AN8" s="208">
        <f t="shared" si="7"/>
        <v>0</v>
      </c>
      <c r="AO8" s="208">
        <f t="shared" si="8"/>
        <v>0</v>
      </c>
      <c r="AP8" s="208">
        <f t="shared" si="9"/>
        <v>0</v>
      </c>
      <c r="AQ8" s="208">
        <f t="shared" si="10"/>
        <v>0</v>
      </c>
      <c r="AR8" s="208">
        <f t="shared" si="11"/>
        <v>0</v>
      </c>
      <c r="AS8" s="208">
        <f t="shared" si="12"/>
        <v>0</v>
      </c>
      <c r="AT8" s="208">
        <f t="shared" si="13"/>
        <v>0</v>
      </c>
      <c r="AU8" s="208">
        <f t="shared" si="14"/>
        <v>0</v>
      </c>
      <c r="AV8" s="208">
        <f t="shared" si="15"/>
        <v>0</v>
      </c>
      <c r="AW8" s="208">
        <f t="shared" si="16"/>
        <v>0</v>
      </c>
      <c r="AX8" s="208">
        <f t="shared" si="17"/>
        <v>0</v>
      </c>
      <c r="AY8" s="208">
        <f t="shared" si="18"/>
        <v>0</v>
      </c>
      <c r="AZ8" s="208">
        <f t="shared" si="19"/>
        <v>0</v>
      </c>
      <c r="BA8" s="208">
        <f t="shared" si="20"/>
        <v>0</v>
      </c>
    </row>
    <row r="9" spans="1:53" ht="24" customHeight="1">
      <c r="A9" s="38"/>
      <c r="B9" s="38"/>
      <c r="C9" s="105"/>
      <c r="D9" s="65"/>
      <c r="E9" s="102"/>
      <c r="F9" s="117"/>
      <c r="G9" s="118"/>
      <c r="H9" s="104"/>
      <c r="I9" s="104" t="str">
        <f t="shared" si="0"/>
        <v/>
      </c>
      <c r="J9" s="65"/>
      <c r="K9" s="65"/>
      <c r="L9" s="66"/>
      <c r="M9" s="39"/>
      <c r="N9" s="39"/>
      <c r="O9" s="159"/>
      <c r="P9" s="160"/>
      <c r="Q9" s="286"/>
      <c r="R9" s="286"/>
      <c r="S9" s="286"/>
      <c r="T9" s="286"/>
      <c r="U9" s="286"/>
      <c r="V9" s="216"/>
      <c r="W9" s="216"/>
      <c r="X9" s="216"/>
      <c r="Y9" s="216"/>
      <c r="Z9" s="216"/>
      <c r="AA9" s="216"/>
      <c r="AB9" s="159"/>
      <c r="AC9" s="160"/>
      <c r="AD9" s="216"/>
      <c r="AE9" s="216"/>
      <c r="AF9" s="216"/>
      <c r="AG9" s="216"/>
      <c r="AI9" s="208">
        <f t="shared" si="2"/>
        <v>0</v>
      </c>
      <c r="AJ9" s="208">
        <f t="shared" si="3"/>
        <v>0</v>
      </c>
      <c r="AK9" s="208">
        <f t="shared" si="4"/>
        <v>0</v>
      </c>
      <c r="AL9" s="208">
        <f t="shared" si="5"/>
        <v>0</v>
      </c>
      <c r="AM9" s="208">
        <f t="shared" si="6"/>
        <v>0</v>
      </c>
      <c r="AN9" s="208">
        <f t="shared" si="7"/>
        <v>0</v>
      </c>
      <c r="AO9" s="208">
        <f t="shared" si="8"/>
        <v>0</v>
      </c>
      <c r="AP9" s="208">
        <f t="shared" si="9"/>
        <v>0</v>
      </c>
      <c r="AQ9" s="208">
        <f t="shared" si="10"/>
        <v>0</v>
      </c>
      <c r="AR9" s="208">
        <f t="shared" si="11"/>
        <v>0</v>
      </c>
      <c r="AS9" s="208">
        <f t="shared" si="12"/>
        <v>0</v>
      </c>
      <c r="AT9" s="208">
        <f t="shared" si="13"/>
        <v>0</v>
      </c>
      <c r="AU9" s="208">
        <f t="shared" si="14"/>
        <v>0</v>
      </c>
      <c r="AV9" s="208">
        <f t="shared" si="15"/>
        <v>0</v>
      </c>
      <c r="AW9" s="208">
        <f t="shared" si="16"/>
        <v>0</v>
      </c>
      <c r="AX9" s="208">
        <f t="shared" si="17"/>
        <v>0</v>
      </c>
      <c r="AY9" s="208">
        <f t="shared" si="18"/>
        <v>0</v>
      </c>
      <c r="AZ9" s="208">
        <f t="shared" si="19"/>
        <v>0</v>
      </c>
      <c r="BA9" s="208">
        <f t="shared" si="20"/>
        <v>0</v>
      </c>
    </row>
    <row r="10" spans="1:53" ht="24" customHeight="1">
      <c r="A10" s="38"/>
      <c r="B10" s="38"/>
      <c r="C10" s="105"/>
      <c r="D10" s="65"/>
      <c r="E10" s="102"/>
      <c r="F10" s="117"/>
      <c r="G10" s="118"/>
      <c r="H10" s="104"/>
      <c r="I10" s="104" t="str">
        <f t="shared" si="0"/>
        <v/>
      </c>
      <c r="J10" s="65"/>
      <c r="K10" s="65"/>
      <c r="L10" s="66"/>
      <c r="M10" s="39"/>
      <c r="N10" s="39"/>
      <c r="O10" s="159"/>
      <c r="P10" s="160"/>
      <c r="Q10" s="286"/>
      <c r="R10" s="286"/>
      <c r="S10" s="286"/>
      <c r="T10" s="286"/>
      <c r="U10" s="286"/>
      <c r="V10" s="216"/>
      <c r="W10" s="216"/>
      <c r="X10" s="216"/>
      <c r="Y10" s="216"/>
      <c r="Z10" s="216"/>
      <c r="AA10" s="216"/>
      <c r="AB10" s="159"/>
      <c r="AC10" s="160"/>
      <c r="AD10" s="216"/>
      <c r="AE10" s="216"/>
      <c r="AF10" s="216"/>
      <c r="AG10" s="216"/>
      <c r="AI10" s="208">
        <f t="shared" si="2"/>
        <v>0</v>
      </c>
      <c r="AJ10" s="208">
        <f t="shared" si="3"/>
        <v>0</v>
      </c>
      <c r="AK10" s="208">
        <f t="shared" si="4"/>
        <v>0</v>
      </c>
      <c r="AL10" s="208">
        <f t="shared" si="5"/>
        <v>0</v>
      </c>
      <c r="AM10" s="208">
        <f t="shared" si="6"/>
        <v>0</v>
      </c>
      <c r="AN10" s="208">
        <f t="shared" si="7"/>
        <v>0</v>
      </c>
      <c r="AO10" s="208">
        <f t="shared" si="8"/>
        <v>0</v>
      </c>
      <c r="AP10" s="208">
        <f t="shared" si="9"/>
        <v>0</v>
      </c>
      <c r="AQ10" s="208">
        <f t="shared" si="10"/>
        <v>0</v>
      </c>
      <c r="AR10" s="208">
        <f t="shared" si="11"/>
        <v>0</v>
      </c>
      <c r="AS10" s="208">
        <f t="shared" si="12"/>
        <v>0</v>
      </c>
      <c r="AT10" s="208">
        <f t="shared" si="13"/>
        <v>0</v>
      </c>
      <c r="AU10" s="208">
        <f t="shared" si="14"/>
        <v>0</v>
      </c>
      <c r="AV10" s="208">
        <f t="shared" si="15"/>
        <v>0</v>
      </c>
      <c r="AW10" s="208">
        <f t="shared" si="16"/>
        <v>0</v>
      </c>
      <c r="AX10" s="208">
        <f t="shared" si="17"/>
        <v>0</v>
      </c>
      <c r="AY10" s="208">
        <f t="shared" si="18"/>
        <v>0</v>
      </c>
      <c r="AZ10" s="208">
        <f t="shared" si="19"/>
        <v>0</v>
      </c>
      <c r="BA10" s="208">
        <f t="shared" si="20"/>
        <v>0</v>
      </c>
    </row>
    <row r="11" spans="1:53" ht="24" customHeight="1">
      <c r="A11" s="38"/>
      <c r="B11" s="38"/>
      <c r="C11" s="105"/>
      <c r="D11" s="65"/>
      <c r="E11" s="102"/>
      <c r="F11" s="117"/>
      <c r="G11" s="118"/>
      <c r="H11" s="104"/>
      <c r="I11" s="104" t="str">
        <f t="shared" si="0"/>
        <v/>
      </c>
      <c r="J11" s="65"/>
      <c r="K11" s="65"/>
      <c r="L11" s="66"/>
      <c r="M11" s="39"/>
      <c r="N11" s="39"/>
      <c r="O11" s="159"/>
      <c r="P11" s="160"/>
      <c r="Q11" s="286"/>
      <c r="R11" s="286"/>
      <c r="S11" s="286"/>
      <c r="T11" s="286"/>
      <c r="U11" s="286"/>
      <c r="V11" s="216"/>
      <c r="W11" s="216"/>
      <c r="X11" s="216"/>
      <c r="Y11" s="216"/>
      <c r="Z11" s="216"/>
      <c r="AA11" s="216"/>
      <c r="AB11" s="159"/>
      <c r="AC11" s="160"/>
      <c r="AD11" s="216"/>
      <c r="AE11" s="216"/>
      <c r="AF11" s="216"/>
      <c r="AG11" s="216"/>
      <c r="AI11" s="208">
        <f t="shared" si="2"/>
        <v>0</v>
      </c>
      <c r="AJ11" s="208">
        <f t="shared" si="3"/>
        <v>0</v>
      </c>
      <c r="AK11" s="208">
        <f t="shared" si="4"/>
        <v>0</v>
      </c>
      <c r="AL11" s="208">
        <f t="shared" si="5"/>
        <v>0</v>
      </c>
      <c r="AM11" s="208">
        <f t="shared" si="6"/>
        <v>0</v>
      </c>
      <c r="AN11" s="208">
        <f t="shared" si="7"/>
        <v>0</v>
      </c>
      <c r="AO11" s="208">
        <f t="shared" si="8"/>
        <v>0</v>
      </c>
      <c r="AP11" s="208">
        <f t="shared" si="9"/>
        <v>0</v>
      </c>
      <c r="AQ11" s="208">
        <f t="shared" si="10"/>
        <v>0</v>
      </c>
      <c r="AR11" s="208">
        <f t="shared" si="11"/>
        <v>0</v>
      </c>
      <c r="AS11" s="208">
        <f t="shared" si="12"/>
        <v>0</v>
      </c>
      <c r="AT11" s="208">
        <f t="shared" si="13"/>
        <v>0</v>
      </c>
      <c r="AU11" s="208">
        <f t="shared" si="14"/>
        <v>0</v>
      </c>
      <c r="AV11" s="208">
        <f t="shared" si="15"/>
        <v>0</v>
      </c>
      <c r="AW11" s="208">
        <f t="shared" si="16"/>
        <v>0</v>
      </c>
      <c r="AX11" s="208">
        <f t="shared" si="17"/>
        <v>0</v>
      </c>
      <c r="AY11" s="208">
        <f t="shared" si="18"/>
        <v>0</v>
      </c>
      <c r="AZ11" s="208">
        <f t="shared" si="19"/>
        <v>0</v>
      </c>
      <c r="BA11" s="208">
        <f t="shared" si="20"/>
        <v>0</v>
      </c>
    </row>
    <row r="12" spans="1:53" s="39" customFormat="1" ht="24" customHeight="1">
      <c r="A12" s="38"/>
      <c r="B12" s="38"/>
      <c r="C12" s="105"/>
      <c r="D12" s="65"/>
      <c r="E12" s="102"/>
      <c r="F12" s="117"/>
      <c r="G12" s="118"/>
      <c r="H12" s="104"/>
      <c r="I12" s="104" t="str">
        <f t="shared" si="0"/>
        <v/>
      </c>
      <c r="J12" s="65"/>
      <c r="K12" s="65"/>
      <c r="L12" s="66"/>
      <c r="O12" s="159"/>
      <c r="P12" s="160"/>
      <c r="Q12" s="286"/>
      <c r="R12" s="286"/>
      <c r="S12" s="286"/>
      <c r="T12" s="286"/>
      <c r="U12" s="286"/>
      <c r="V12" s="216"/>
      <c r="W12" s="216"/>
      <c r="X12" s="216"/>
      <c r="Y12" s="216"/>
      <c r="Z12" s="216"/>
      <c r="AA12" s="216"/>
      <c r="AB12" s="159"/>
      <c r="AC12" s="160"/>
      <c r="AD12" s="216"/>
      <c r="AE12" s="216"/>
      <c r="AF12" s="216"/>
      <c r="AG12" s="216"/>
      <c r="AI12" s="208">
        <f t="shared" si="2"/>
        <v>0</v>
      </c>
      <c r="AJ12" s="208">
        <f t="shared" si="3"/>
        <v>0</v>
      </c>
      <c r="AK12" s="208">
        <f t="shared" si="4"/>
        <v>0</v>
      </c>
      <c r="AL12" s="208">
        <f t="shared" si="5"/>
        <v>0</v>
      </c>
      <c r="AM12" s="208">
        <f t="shared" si="6"/>
        <v>0</v>
      </c>
      <c r="AN12" s="208">
        <f t="shared" si="7"/>
        <v>0</v>
      </c>
      <c r="AO12" s="208">
        <f t="shared" si="8"/>
        <v>0</v>
      </c>
      <c r="AP12" s="208">
        <f t="shared" si="9"/>
        <v>0</v>
      </c>
      <c r="AQ12" s="208">
        <f t="shared" si="10"/>
        <v>0</v>
      </c>
      <c r="AR12" s="208">
        <f t="shared" si="11"/>
        <v>0</v>
      </c>
      <c r="AS12" s="208">
        <f t="shared" si="12"/>
        <v>0</v>
      </c>
      <c r="AT12" s="208">
        <f t="shared" si="13"/>
        <v>0</v>
      </c>
      <c r="AU12" s="208">
        <f t="shared" si="14"/>
        <v>0</v>
      </c>
      <c r="AV12" s="208">
        <f t="shared" si="15"/>
        <v>0</v>
      </c>
      <c r="AW12" s="208">
        <f t="shared" si="16"/>
        <v>0</v>
      </c>
      <c r="AX12" s="208">
        <f t="shared" si="17"/>
        <v>0</v>
      </c>
      <c r="AY12" s="208">
        <f t="shared" si="18"/>
        <v>0</v>
      </c>
      <c r="AZ12" s="208">
        <f t="shared" si="19"/>
        <v>0</v>
      </c>
      <c r="BA12" s="208">
        <f t="shared" si="20"/>
        <v>0</v>
      </c>
    </row>
    <row r="13" spans="1:53" ht="24" customHeight="1">
      <c r="A13" s="38"/>
      <c r="B13" s="38"/>
      <c r="C13" s="105"/>
      <c r="D13" s="65"/>
      <c r="E13" s="102"/>
      <c r="F13" s="117"/>
      <c r="G13" s="118"/>
      <c r="H13" s="104"/>
      <c r="I13" s="104" t="str">
        <f t="shared" si="0"/>
        <v/>
      </c>
      <c r="J13" s="65"/>
      <c r="K13" s="65"/>
      <c r="L13" s="66"/>
      <c r="M13" s="39"/>
      <c r="N13" s="39"/>
      <c r="O13" s="159"/>
      <c r="P13" s="160"/>
      <c r="Q13" s="286"/>
      <c r="R13" s="286"/>
      <c r="S13" s="286"/>
      <c r="T13" s="286"/>
      <c r="U13" s="286"/>
      <c r="V13" s="216"/>
      <c r="W13" s="216"/>
      <c r="X13" s="216"/>
      <c r="Y13" s="216"/>
      <c r="Z13" s="216"/>
      <c r="AA13" s="216"/>
      <c r="AB13" s="159"/>
      <c r="AC13" s="160"/>
      <c r="AD13" s="216"/>
      <c r="AE13" s="216"/>
      <c r="AF13" s="216"/>
      <c r="AG13" s="216"/>
      <c r="AI13" s="208">
        <f t="shared" si="2"/>
        <v>0</v>
      </c>
      <c r="AJ13" s="208">
        <f t="shared" si="3"/>
        <v>0</v>
      </c>
      <c r="AK13" s="208">
        <f t="shared" si="4"/>
        <v>0</v>
      </c>
      <c r="AL13" s="208">
        <f t="shared" si="5"/>
        <v>0</v>
      </c>
      <c r="AM13" s="208">
        <f t="shared" si="6"/>
        <v>0</v>
      </c>
      <c r="AN13" s="208">
        <f t="shared" si="7"/>
        <v>0</v>
      </c>
      <c r="AO13" s="208">
        <f t="shared" si="8"/>
        <v>0</v>
      </c>
      <c r="AP13" s="208">
        <f t="shared" si="9"/>
        <v>0</v>
      </c>
      <c r="AQ13" s="208">
        <f t="shared" si="10"/>
        <v>0</v>
      </c>
      <c r="AR13" s="208">
        <f t="shared" si="11"/>
        <v>0</v>
      </c>
      <c r="AS13" s="208">
        <f t="shared" si="12"/>
        <v>0</v>
      </c>
      <c r="AT13" s="208">
        <f t="shared" si="13"/>
        <v>0</v>
      </c>
      <c r="AU13" s="208">
        <f t="shared" si="14"/>
        <v>0</v>
      </c>
      <c r="AV13" s="208">
        <f t="shared" si="15"/>
        <v>0</v>
      </c>
      <c r="AW13" s="208">
        <f t="shared" si="16"/>
        <v>0</v>
      </c>
      <c r="AX13" s="208">
        <f t="shared" si="17"/>
        <v>0</v>
      </c>
      <c r="AY13" s="208">
        <f t="shared" si="18"/>
        <v>0</v>
      </c>
      <c r="AZ13" s="208">
        <f t="shared" si="19"/>
        <v>0</v>
      </c>
      <c r="BA13" s="208">
        <f t="shared" si="20"/>
        <v>0</v>
      </c>
    </row>
    <row r="14" spans="1:53" ht="24" customHeight="1">
      <c r="A14" s="38"/>
      <c r="B14" s="38"/>
      <c r="C14" s="105"/>
      <c r="D14" s="65"/>
      <c r="E14" s="211"/>
      <c r="F14" s="117"/>
      <c r="G14" s="118"/>
      <c r="H14" s="104"/>
      <c r="I14" s="104" t="str">
        <f t="shared" si="0"/>
        <v/>
      </c>
      <c r="J14" s="65"/>
      <c r="K14" s="65"/>
      <c r="L14" s="66"/>
      <c r="M14" s="39"/>
      <c r="N14" s="39"/>
      <c r="O14" s="159"/>
      <c r="P14" s="160"/>
      <c r="Q14" s="286"/>
      <c r="R14" s="286"/>
      <c r="S14" s="286"/>
      <c r="T14" s="286"/>
      <c r="U14" s="286"/>
      <c r="V14" s="216"/>
      <c r="W14" s="216"/>
      <c r="X14" s="216"/>
      <c r="Y14" s="216"/>
      <c r="Z14" s="216"/>
      <c r="AA14" s="216"/>
      <c r="AB14" s="159"/>
      <c r="AC14" s="160"/>
      <c r="AD14" s="216"/>
      <c r="AE14" s="216"/>
      <c r="AF14" s="216"/>
      <c r="AG14" s="216"/>
      <c r="AI14" s="208">
        <f t="shared" si="2"/>
        <v>0</v>
      </c>
      <c r="AJ14" s="208">
        <f t="shared" si="3"/>
        <v>0</v>
      </c>
      <c r="AK14" s="208">
        <f t="shared" si="4"/>
        <v>0</v>
      </c>
      <c r="AL14" s="208">
        <f t="shared" si="5"/>
        <v>0</v>
      </c>
      <c r="AM14" s="208">
        <f t="shared" si="6"/>
        <v>0</v>
      </c>
      <c r="AN14" s="208">
        <f t="shared" si="7"/>
        <v>0</v>
      </c>
      <c r="AO14" s="208">
        <f t="shared" si="8"/>
        <v>0</v>
      </c>
      <c r="AP14" s="208">
        <f t="shared" si="9"/>
        <v>0</v>
      </c>
      <c r="AQ14" s="208">
        <f t="shared" si="10"/>
        <v>0</v>
      </c>
      <c r="AR14" s="208">
        <f t="shared" si="11"/>
        <v>0</v>
      </c>
      <c r="AS14" s="208">
        <f t="shared" si="12"/>
        <v>0</v>
      </c>
      <c r="AT14" s="208">
        <f t="shared" si="13"/>
        <v>0</v>
      </c>
      <c r="AU14" s="208">
        <f t="shared" si="14"/>
        <v>0</v>
      </c>
      <c r="AV14" s="208">
        <f t="shared" si="15"/>
        <v>0</v>
      </c>
      <c r="AW14" s="208">
        <f t="shared" si="16"/>
        <v>0</v>
      </c>
      <c r="AX14" s="208">
        <f t="shared" si="17"/>
        <v>0</v>
      </c>
      <c r="AY14" s="208">
        <f t="shared" si="18"/>
        <v>0</v>
      </c>
      <c r="AZ14" s="208">
        <f t="shared" si="19"/>
        <v>0</v>
      </c>
      <c r="BA14" s="208">
        <f t="shared" si="20"/>
        <v>0</v>
      </c>
    </row>
    <row r="15" spans="1:53" s="39" customFormat="1" ht="24" customHeight="1">
      <c r="A15" s="38"/>
      <c r="B15" s="38"/>
      <c r="C15" s="105"/>
      <c r="D15" s="65"/>
      <c r="E15" s="102"/>
      <c r="F15" s="117"/>
      <c r="G15" s="118"/>
      <c r="H15" s="104"/>
      <c r="I15" s="104" t="str">
        <f t="shared" si="0"/>
        <v/>
      </c>
      <c r="J15" s="65"/>
      <c r="K15" s="65"/>
      <c r="L15" s="66"/>
      <c r="O15" s="159"/>
      <c r="P15" s="160"/>
      <c r="Q15" s="286"/>
      <c r="R15" s="286"/>
      <c r="S15" s="286"/>
      <c r="T15" s="286"/>
      <c r="U15" s="286"/>
      <c r="V15" s="216"/>
      <c r="W15" s="216"/>
      <c r="X15" s="216"/>
      <c r="Y15" s="216"/>
      <c r="Z15" s="216"/>
      <c r="AA15" s="216"/>
      <c r="AB15" s="159"/>
      <c r="AC15" s="160"/>
      <c r="AD15" s="216"/>
      <c r="AE15" s="216"/>
      <c r="AF15" s="216"/>
      <c r="AG15" s="216"/>
      <c r="AI15" s="208">
        <f t="shared" si="2"/>
        <v>0</v>
      </c>
      <c r="AJ15" s="208">
        <f t="shared" si="3"/>
        <v>0</v>
      </c>
      <c r="AK15" s="208">
        <f t="shared" si="4"/>
        <v>0</v>
      </c>
      <c r="AL15" s="208">
        <f t="shared" si="5"/>
        <v>0</v>
      </c>
      <c r="AM15" s="208">
        <f t="shared" si="6"/>
        <v>0</v>
      </c>
      <c r="AN15" s="208">
        <f t="shared" si="7"/>
        <v>0</v>
      </c>
      <c r="AO15" s="208">
        <f t="shared" si="8"/>
        <v>0</v>
      </c>
      <c r="AP15" s="208">
        <f t="shared" si="9"/>
        <v>0</v>
      </c>
      <c r="AQ15" s="208">
        <f t="shared" si="10"/>
        <v>0</v>
      </c>
      <c r="AR15" s="208">
        <f t="shared" si="11"/>
        <v>0</v>
      </c>
      <c r="AS15" s="208">
        <f t="shared" si="12"/>
        <v>0</v>
      </c>
      <c r="AT15" s="208">
        <f t="shared" si="13"/>
        <v>0</v>
      </c>
      <c r="AU15" s="208">
        <f t="shared" si="14"/>
        <v>0</v>
      </c>
      <c r="AV15" s="208">
        <f t="shared" si="15"/>
        <v>0</v>
      </c>
      <c r="AW15" s="208">
        <f t="shared" si="16"/>
        <v>0</v>
      </c>
      <c r="AX15" s="208">
        <f t="shared" si="17"/>
        <v>0</v>
      </c>
      <c r="AY15" s="208">
        <f t="shared" si="18"/>
        <v>0</v>
      </c>
      <c r="AZ15" s="208">
        <f t="shared" si="19"/>
        <v>0</v>
      </c>
      <c r="BA15" s="208">
        <f t="shared" si="20"/>
        <v>0</v>
      </c>
    </row>
    <row r="16" spans="1:53" ht="24" customHeight="1">
      <c r="A16" s="38"/>
      <c r="B16" s="38"/>
      <c r="C16" s="105"/>
      <c r="D16" s="65"/>
      <c r="E16" s="102"/>
      <c r="F16" s="117"/>
      <c r="G16" s="118"/>
      <c r="H16" s="104"/>
      <c r="I16" s="104" t="str">
        <f t="shared" si="0"/>
        <v/>
      </c>
      <c r="J16" s="65"/>
      <c r="K16" s="65"/>
      <c r="L16" s="66"/>
      <c r="M16" s="39"/>
      <c r="N16" s="39"/>
      <c r="O16" s="159"/>
      <c r="P16" s="160"/>
      <c r="Q16" s="286"/>
      <c r="R16" s="286"/>
      <c r="S16" s="286"/>
      <c r="T16" s="286"/>
      <c r="U16" s="286"/>
      <c r="V16" s="216"/>
      <c r="W16" s="216"/>
      <c r="X16" s="216"/>
      <c r="Y16" s="216"/>
      <c r="Z16" s="216"/>
      <c r="AA16" s="216"/>
      <c r="AB16" s="159"/>
      <c r="AC16" s="160"/>
      <c r="AD16" s="216"/>
      <c r="AE16" s="216"/>
      <c r="AF16" s="216"/>
      <c r="AG16" s="216"/>
      <c r="AI16" s="208">
        <f t="shared" si="2"/>
        <v>0</v>
      </c>
      <c r="AJ16" s="208">
        <f t="shared" si="3"/>
        <v>0</v>
      </c>
      <c r="AK16" s="208">
        <f t="shared" si="4"/>
        <v>0</v>
      </c>
      <c r="AL16" s="208">
        <f t="shared" si="5"/>
        <v>0</v>
      </c>
      <c r="AM16" s="208">
        <f t="shared" si="6"/>
        <v>0</v>
      </c>
      <c r="AN16" s="208">
        <f t="shared" si="7"/>
        <v>0</v>
      </c>
      <c r="AO16" s="208">
        <f t="shared" si="8"/>
        <v>0</v>
      </c>
      <c r="AP16" s="208">
        <f t="shared" si="9"/>
        <v>0</v>
      </c>
      <c r="AQ16" s="208">
        <f t="shared" si="10"/>
        <v>0</v>
      </c>
      <c r="AR16" s="208">
        <f t="shared" si="11"/>
        <v>0</v>
      </c>
      <c r="AS16" s="208">
        <f t="shared" si="12"/>
        <v>0</v>
      </c>
      <c r="AT16" s="208">
        <f t="shared" si="13"/>
        <v>0</v>
      </c>
      <c r="AU16" s="208">
        <f t="shared" si="14"/>
        <v>0</v>
      </c>
      <c r="AV16" s="208">
        <f t="shared" si="15"/>
        <v>0</v>
      </c>
      <c r="AW16" s="208">
        <f t="shared" si="16"/>
        <v>0</v>
      </c>
      <c r="AX16" s="208">
        <f t="shared" si="17"/>
        <v>0</v>
      </c>
      <c r="AY16" s="208">
        <f t="shared" si="18"/>
        <v>0</v>
      </c>
      <c r="AZ16" s="208">
        <f t="shared" si="19"/>
        <v>0</v>
      </c>
      <c r="BA16" s="208">
        <f t="shared" si="20"/>
        <v>0</v>
      </c>
    </row>
    <row r="17" spans="1:53" s="39" customFormat="1" ht="24" customHeight="1">
      <c r="A17" s="38"/>
      <c r="B17" s="38"/>
      <c r="C17" s="105"/>
      <c r="D17" s="65"/>
      <c r="E17" s="102"/>
      <c r="F17" s="117"/>
      <c r="G17" s="118"/>
      <c r="H17" s="104"/>
      <c r="I17" s="104" t="str">
        <f t="shared" si="0"/>
        <v/>
      </c>
      <c r="J17" s="65"/>
      <c r="K17" s="65"/>
      <c r="L17" s="66"/>
      <c r="O17" s="159"/>
      <c r="P17" s="160"/>
      <c r="Q17" s="286"/>
      <c r="R17" s="286"/>
      <c r="S17" s="286"/>
      <c r="T17" s="286"/>
      <c r="U17" s="286"/>
      <c r="V17" s="216"/>
      <c r="W17" s="216"/>
      <c r="X17" s="216"/>
      <c r="Y17" s="216"/>
      <c r="Z17" s="216"/>
      <c r="AA17" s="216"/>
      <c r="AB17" s="159"/>
      <c r="AC17" s="160"/>
      <c r="AD17" s="216"/>
      <c r="AE17" s="216"/>
      <c r="AF17" s="216"/>
      <c r="AG17" s="216"/>
      <c r="AI17" s="208">
        <f t="shared" si="2"/>
        <v>0</v>
      </c>
      <c r="AJ17" s="208">
        <f t="shared" si="3"/>
        <v>0</v>
      </c>
      <c r="AK17" s="208">
        <f t="shared" si="4"/>
        <v>0</v>
      </c>
      <c r="AL17" s="208">
        <f t="shared" si="5"/>
        <v>0</v>
      </c>
      <c r="AM17" s="208">
        <f t="shared" si="6"/>
        <v>0</v>
      </c>
      <c r="AN17" s="208">
        <f t="shared" si="7"/>
        <v>0</v>
      </c>
      <c r="AO17" s="208">
        <f t="shared" si="8"/>
        <v>0</v>
      </c>
      <c r="AP17" s="208">
        <f t="shared" si="9"/>
        <v>0</v>
      </c>
      <c r="AQ17" s="208">
        <f t="shared" si="10"/>
        <v>0</v>
      </c>
      <c r="AR17" s="208">
        <f t="shared" si="11"/>
        <v>0</v>
      </c>
      <c r="AS17" s="208">
        <f t="shared" si="12"/>
        <v>0</v>
      </c>
      <c r="AT17" s="208">
        <f t="shared" si="13"/>
        <v>0</v>
      </c>
      <c r="AU17" s="208">
        <f t="shared" si="14"/>
        <v>0</v>
      </c>
      <c r="AV17" s="208">
        <f t="shared" si="15"/>
        <v>0</v>
      </c>
      <c r="AW17" s="208">
        <f t="shared" si="16"/>
        <v>0</v>
      </c>
      <c r="AX17" s="208">
        <f t="shared" si="17"/>
        <v>0</v>
      </c>
      <c r="AY17" s="208">
        <f t="shared" si="18"/>
        <v>0</v>
      </c>
      <c r="AZ17" s="208">
        <f t="shared" si="19"/>
        <v>0</v>
      </c>
      <c r="BA17" s="208">
        <f t="shared" si="20"/>
        <v>0</v>
      </c>
    </row>
    <row r="18" spans="1:53" ht="24" customHeight="1">
      <c r="A18" s="38"/>
      <c r="B18" s="38"/>
      <c r="C18" s="194"/>
      <c r="D18" s="65"/>
      <c r="E18" s="102"/>
      <c r="F18" s="117"/>
      <c r="G18" s="118"/>
      <c r="H18" s="104"/>
      <c r="I18" s="104" t="str">
        <f t="shared" si="0"/>
        <v/>
      </c>
      <c r="J18" s="65"/>
      <c r="K18" s="65"/>
      <c r="L18" s="66"/>
      <c r="M18" s="39"/>
      <c r="N18" s="39"/>
      <c r="O18" s="159"/>
      <c r="P18" s="160"/>
      <c r="Q18" s="286"/>
      <c r="R18" s="286"/>
      <c r="S18" s="286"/>
      <c r="T18" s="286"/>
      <c r="U18" s="286"/>
      <c r="V18" s="216"/>
      <c r="W18" s="216"/>
      <c r="X18" s="216"/>
      <c r="Y18" s="216"/>
      <c r="Z18" s="216"/>
      <c r="AA18" s="216"/>
      <c r="AB18" s="159"/>
      <c r="AC18" s="160"/>
      <c r="AD18" s="216"/>
      <c r="AE18" s="216"/>
      <c r="AF18" s="216"/>
      <c r="AG18" s="216"/>
      <c r="AI18" s="208">
        <f t="shared" si="2"/>
        <v>0</v>
      </c>
      <c r="AJ18" s="208">
        <f t="shared" si="3"/>
        <v>0</v>
      </c>
      <c r="AK18" s="208">
        <f t="shared" si="4"/>
        <v>0</v>
      </c>
      <c r="AL18" s="208">
        <f t="shared" si="5"/>
        <v>0</v>
      </c>
      <c r="AM18" s="208">
        <f t="shared" si="6"/>
        <v>0</v>
      </c>
      <c r="AN18" s="208">
        <f t="shared" si="7"/>
        <v>0</v>
      </c>
      <c r="AO18" s="208">
        <f t="shared" si="8"/>
        <v>0</v>
      </c>
      <c r="AP18" s="208">
        <f t="shared" si="9"/>
        <v>0</v>
      </c>
      <c r="AQ18" s="208">
        <f t="shared" si="10"/>
        <v>0</v>
      </c>
      <c r="AR18" s="208">
        <f t="shared" si="11"/>
        <v>0</v>
      </c>
      <c r="AS18" s="208">
        <f t="shared" si="12"/>
        <v>0</v>
      </c>
      <c r="AT18" s="208">
        <f t="shared" si="13"/>
        <v>0</v>
      </c>
      <c r="AU18" s="208">
        <f t="shared" si="14"/>
        <v>0</v>
      </c>
      <c r="AV18" s="208">
        <f t="shared" si="15"/>
        <v>0</v>
      </c>
      <c r="AW18" s="208">
        <f t="shared" si="16"/>
        <v>0</v>
      </c>
      <c r="AX18" s="208">
        <f t="shared" si="17"/>
        <v>0</v>
      </c>
      <c r="AY18" s="208">
        <f t="shared" si="18"/>
        <v>0</v>
      </c>
      <c r="AZ18" s="208">
        <f t="shared" si="19"/>
        <v>0</v>
      </c>
      <c r="BA18" s="208">
        <f t="shared" si="20"/>
        <v>0</v>
      </c>
    </row>
    <row r="19" spans="1:53" ht="24" customHeight="1">
      <c r="A19" s="38"/>
      <c r="B19" s="38"/>
      <c r="C19" s="105"/>
      <c r="D19" s="65"/>
      <c r="E19" s="102"/>
      <c r="F19" s="117"/>
      <c r="G19" s="118"/>
      <c r="H19" s="104"/>
      <c r="I19" s="104" t="str">
        <f t="shared" si="0"/>
        <v/>
      </c>
      <c r="J19" s="65"/>
      <c r="K19" s="65"/>
      <c r="L19" s="66"/>
      <c r="M19" s="39"/>
      <c r="N19" s="39"/>
      <c r="O19" s="159"/>
      <c r="P19" s="160"/>
      <c r="Q19" s="286"/>
      <c r="R19" s="286"/>
      <c r="S19" s="286"/>
      <c r="T19" s="286"/>
      <c r="U19" s="286"/>
      <c r="V19" s="216"/>
      <c r="W19" s="216"/>
      <c r="X19" s="216"/>
      <c r="Y19" s="216"/>
      <c r="Z19" s="216"/>
      <c r="AA19" s="216"/>
      <c r="AB19" s="159"/>
      <c r="AC19" s="160"/>
      <c r="AD19" s="216"/>
      <c r="AE19" s="216"/>
      <c r="AF19" s="216"/>
      <c r="AG19" s="216"/>
      <c r="AI19" s="208">
        <f t="shared" si="2"/>
        <v>0</v>
      </c>
      <c r="AJ19" s="208">
        <f t="shared" si="3"/>
        <v>0</v>
      </c>
      <c r="AK19" s="208">
        <f t="shared" si="4"/>
        <v>0</v>
      </c>
      <c r="AL19" s="208">
        <f t="shared" si="5"/>
        <v>0</v>
      </c>
      <c r="AM19" s="208">
        <f t="shared" si="6"/>
        <v>0</v>
      </c>
      <c r="AN19" s="208">
        <f t="shared" si="7"/>
        <v>0</v>
      </c>
      <c r="AO19" s="208">
        <f t="shared" si="8"/>
        <v>0</v>
      </c>
      <c r="AP19" s="208">
        <f t="shared" si="9"/>
        <v>0</v>
      </c>
      <c r="AQ19" s="208">
        <f t="shared" si="10"/>
        <v>0</v>
      </c>
      <c r="AR19" s="208">
        <f t="shared" si="11"/>
        <v>0</v>
      </c>
      <c r="AS19" s="208">
        <f t="shared" si="12"/>
        <v>0</v>
      </c>
      <c r="AT19" s="208">
        <f t="shared" si="13"/>
        <v>0</v>
      </c>
      <c r="AU19" s="208">
        <f t="shared" si="14"/>
        <v>0</v>
      </c>
      <c r="AV19" s="208">
        <f t="shared" si="15"/>
        <v>0</v>
      </c>
      <c r="AW19" s="208">
        <f t="shared" si="16"/>
        <v>0</v>
      </c>
      <c r="AX19" s="208">
        <f t="shared" si="17"/>
        <v>0</v>
      </c>
      <c r="AY19" s="208">
        <f t="shared" si="18"/>
        <v>0</v>
      </c>
      <c r="AZ19" s="208">
        <f t="shared" si="19"/>
        <v>0</v>
      </c>
      <c r="BA19" s="208">
        <f t="shared" si="20"/>
        <v>0</v>
      </c>
    </row>
    <row r="20" spans="1:53" ht="24" customHeight="1">
      <c r="A20" s="38"/>
      <c r="B20" s="38"/>
      <c r="C20" s="105"/>
      <c r="D20" s="65"/>
      <c r="E20" s="102"/>
      <c r="F20" s="117"/>
      <c r="G20" s="118"/>
      <c r="H20" s="104"/>
      <c r="I20" s="104" t="str">
        <f t="shared" si="0"/>
        <v/>
      </c>
      <c r="J20" s="195"/>
      <c r="K20" s="65"/>
      <c r="L20" s="66"/>
      <c r="M20" s="39"/>
      <c r="N20" s="39"/>
      <c r="O20" s="159"/>
      <c r="P20" s="160"/>
      <c r="Q20" s="286"/>
      <c r="R20" s="286"/>
      <c r="S20" s="286"/>
      <c r="T20" s="286"/>
      <c r="U20" s="286"/>
      <c r="V20" s="216"/>
      <c r="W20" s="216"/>
      <c r="X20" s="216"/>
      <c r="Y20" s="216"/>
      <c r="Z20" s="216"/>
      <c r="AA20" s="216"/>
      <c r="AB20" s="159"/>
      <c r="AC20" s="160"/>
      <c r="AD20" s="216"/>
      <c r="AE20" s="216"/>
      <c r="AF20" s="216"/>
      <c r="AG20" s="216"/>
      <c r="AI20" s="208">
        <f t="shared" si="2"/>
        <v>0</v>
      </c>
      <c r="AJ20" s="208">
        <f t="shared" si="3"/>
        <v>0</v>
      </c>
      <c r="AK20" s="208">
        <f t="shared" si="4"/>
        <v>0</v>
      </c>
      <c r="AL20" s="208">
        <f t="shared" si="5"/>
        <v>0</v>
      </c>
      <c r="AM20" s="208">
        <f t="shared" si="6"/>
        <v>0</v>
      </c>
      <c r="AN20" s="208">
        <f t="shared" si="7"/>
        <v>0</v>
      </c>
      <c r="AO20" s="208">
        <f t="shared" si="8"/>
        <v>0</v>
      </c>
      <c r="AP20" s="208">
        <f t="shared" si="9"/>
        <v>0</v>
      </c>
      <c r="AQ20" s="208">
        <f t="shared" si="10"/>
        <v>0</v>
      </c>
      <c r="AR20" s="208">
        <f t="shared" si="11"/>
        <v>0</v>
      </c>
      <c r="AS20" s="208">
        <f t="shared" si="12"/>
        <v>0</v>
      </c>
      <c r="AT20" s="208">
        <f t="shared" si="13"/>
        <v>0</v>
      </c>
      <c r="AU20" s="208">
        <f t="shared" si="14"/>
        <v>0</v>
      </c>
      <c r="AV20" s="208">
        <f t="shared" si="15"/>
        <v>0</v>
      </c>
      <c r="AW20" s="208">
        <f t="shared" si="16"/>
        <v>0</v>
      </c>
      <c r="AX20" s="208">
        <f t="shared" si="17"/>
        <v>0</v>
      </c>
      <c r="AY20" s="208">
        <f t="shared" si="18"/>
        <v>0</v>
      </c>
      <c r="AZ20" s="208">
        <f t="shared" si="19"/>
        <v>0</v>
      </c>
      <c r="BA20" s="208">
        <f t="shared" si="20"/>
        <v>0</v>
      </c>
    </row>
    <row r="21" spans="1:53" ht="24" customHeight="1">
      <c r="A21" s="38"/>
      <c r="B21" s="38"/>
      <c r="C21" s="105"/>
      <c r="D21" s="65"/>
      <c r="E21" s="102"/>
      <c r="F21" s="117"/>
      <c r="G21" s="118"/>
      <c r="H21" s="104"/>
      <c r="I21" s="104" t="str">
        <f t="shared" si="0"/>
        <v/>
      </c>
      <c r="J21" s="65"/>
      <c r="K21" s="65"/>
      <c r="L21" s="66"/>
      <c r="M21" s="39"/>
      <c r="N21" s="39"/>
      <c r="O21" s="159"/>
      <c r="P21" s="160"/>
      <c r="Q21" s="286"/>
      <c r="R21" s="286"/>
      <c r="S21" s="286"/>
      <c r="T21" s="286"/>
      <c r="U21" s="286"/>
      <c r="V21" s="216"/>
      <c r="W21" s="216"/>
      <c r="X21" s="216"/>
      <c r="Y21" s="216"/>
      <c r="Z21" s="216"/>
      <c r="AA21" s="216"/>
      <c r="AB21" s="159"/>
      <c r="AC21" s="160"/>
      <c r="AD21" s="216"/>
      <c r="AE21" s="216"/>
      <c r="AF21" s="216"/>
      <c r="AG21" s="216"/>
      <c r="AI21" s="208">
        <f t="shared" si="2"/>
        <v>0</v>
      </c>
      <c r="AJ21" s="208">
        <f t="shared" si="3"/>
        <v>0</v>
      </c>
      <c r="AK21" s="208">
        <f t="shared" si="4"/>
        <v>0</v>
      </c>
      <c r="AL21" s="208">
        <f t="shared" si="5"/>
        <v>0</v>
      </c>
      <c r="AM21" s="208">
        <f t="shared" si="6"/>
        <v>0</v>
      </c>
      <c r="AN21" s="208">
        <f t="shared" si="7"/>
        <v>0</v>
      </c>
      <c r="AO21" s="208">
        <f t="shared" si="8"/>
        <v>0</v>
      </c>
      <c r="AP21" s="208">
        <f t="shared" si="9"/>
        <v>0</v>
      </c>
      <c r="AQ21" s="208">
        <f t="shared" si="10"/>
        <v>0</v>
      </c>
      <c r="AR21" s="208">
        <f t="shared" si="11"/>
        <v>0</v>
      </c>
      <c r="AS21" s="208">
        <f t="shared" si="12"/>
        <v>0</v>
      </c>
      <c r="AT21" s="208">
        <f t="shared" si="13"/>
        <v>0</v>
      </c>
      <c r="AU21" s="208">
        <f t="shared" si="14"/>
        <v>0</v>
      </c>
      <c r="AV21" s="208">
        <f t="shared" si="15"/>
        <v>0</v>
      </c>
      <c r="AW21" s="208">
        <f t="shared" si="16"/>
        <v>0</v>
      </c>
      <c r="AX21" s="208">
        <f t="shared" si="17"/>
        <v>0</v>
      </c>
      <c r="AY21" s="208">
        <f t="shared" si="18"/>
        <v>0</v>
      </c>
      <c r="AZ21" s="208">
        <f t="shared" si="19"/>
        <v>0</v>
      </c>
      <c r="BA21" s="208">
        <f t="shared" si="20"/>
        <v>0</v>
      </c>
    </row>
    <row r="22" spans="1:53" ht="24" customHeight="1">
      <c r="A22" s="38"/>
      <c r="B22" s="38"/>
      <c r="C22" s="105"/>
      <c r="D22" s="65"/>
      <c r="E22" s="102"/>
      <c r="F22" s="117"/>
      <c r="G22" s="118"/>
      <c r="H22" s="104"/>
      <c r="I22" s="104" t="str">
        <f t="shared" si="0"/>
        <v/>
      </c>
      <c r="J22" s="65"/>
      <c r="K22" s="65"/>
      <c r="L22" s="66"/>
      <c r="M22" s="39"/>
      <c r="N22" s="39"/>
      <c r="O22" s="159"/>
      <c r="P22" s="160"/>
      <c r="Q22" s="286"/>
      <c r="R22" s="286"/>
      <c r="S22" s="286"/>
      <c r="T22" s="286"/>
      <c r="U22" s="286"/>
      <c r="V22" s="216"/>
      <c r="W22" s="216"/>
      <c r="X22" s="216"/>
      <c r="Y22" s="216"/>
      <c r="Z22" s="216"/>
      <c r="AA22" s="216"/>
      <c r="AB22" s="159"/>
      <c r="AC22" s="160"/>
      <c r="AD22" s="216"/>
      <c r="AE22" s="216"/>
      <c r="AF22" s="216"/>
      <c r="AG22" s="216"/>
      <c r="AI22" s="208">
        <f t="shared" si="2"/>
        <v>0</v>
      </c>
      <c r="AJ22" s="208">
        <f t="shared" si="3"/>
        <v>0</v>
      </c>
      <c r="AK22" s="208">
        <f t="shared" si="4"/>
        <v>0</v>
      </c>
      <c r="AL22" s="208">
        <f t="shared" si="5"/>
        <v>0</v>
      </c>
      <c r="AM22" s="208">
        <f t="shared" si="6"/>
        <v>0</v>
      </c>
      <c r="AN22" s="208">
        <f t="shared" si="7"/>
        <v>0</v>
      </c>
      <c r="AO22" s="208">
        <f t="shared" si="8"/>
        <v>0</v>
      </c>
      <c r="AP22" s="208">
        <f t="shared" si="9"/>
        <v>0</v>
      </c>
      <c r="AQ22" s="208">
        <f t="shared" si="10"/>
        <v>0</v>
      </c>
      <c r="AR22" s="208">
        <f t="shared" si="11"/>
        <v>0</v>
      </c>
      <c r="AS22" s="208">
        <f t="shared" si="12"/>
        <v>0</v>
      </c>
      <c r="AT22" s="208">
        <f t="shared" si="13"/>
        <v>0</v>
      </c>
      <c r="AU22" s="208">
        <f t="shared" si="14"/>
        <v>0</v>
      </c>
      <c r="AV22" s="208">
        <f t="shared" si="15"/>
        <v>0</v>
      </c>
      <c r="AW22" s="208">
        <f t="shared" si="16"/>
        <v>0</v>
      </c>
      <c r="AX22" s="208">
        <f t="shared" si="17"/>
        <v>0</v>
      </c>
      <c r="AY22" s="208">
        <f t="shared" si="18"/>
        <v>0</v>
      </c>
      <c r="AZ22" s="208">
        <f t="shared" si="19"/>
        <v>0</v>
      </c>
      <c r="BA22" s="208">
        <f t="shared" si="20"/>
        <v>0</v>
      </c>
    </row>
    <row r="23" spans="1:53" s="39" customFormat="1" ht="24" customHeight="1">
      <c r="A23" s="38"/>
      <c r="B23" s="38"/>
      <c r="C23" s="105"/>
      <c r="D23" s="65"/>
      <c r="E23" s="102"/>
      <c r="F23" s="117"/>
      <c r="G23" s="118"/>
      <c r="H23" s="104"/>
      <c r="I23" s="104" t="str">
        <f t="shared" si="0"/>
        <v/>
      </c>
      <c r="J23" s="65"/>
      <c r="K23" s="65"/>
      <c r="L23" s="66"/>
      <c r="O23" s="159"/>
      <c r="P23" s="160"/>
      <c r="Q23" s="286"/>
      <c r="R23" s="286"/>
      <c r="S23" s="286"/>
      <c r="T23" s="286"/>
      <c r="U23" s="286"/>
      <c r="V23" s="216"/>
      <c r="W23" s="216"/>
      <c r="X23" s="216"/>
      <c r="Y23" s="216"/>
      <c r="Z23" s="216"/>
      <c r="AA23" s="216"/>
      <c r="AB23" s="159"/>
      <c r="AC23" s="160"/>
      <c r="AD23" s="216"/>
      <c r="AE23" s="216"/>
      <c r="AF23" s="216"/>
      <c r="AG23" s="216"/>
      <c r="AI23" s="208">
        <f t="shared" si="2"/>
        <v>0</v>
      </c>
      <c r="AJ23" s="208">
        <f t="shared" si="3"/>
        <v>0</v>
      </c>
      <c r="AK23" s="208">
        <f t="shared" si="4"/>
        <v>0</v>
      </c>
      <c r="AL23" s="208">
        <f t="shared" si="5"/>
        <v>0</v>
      </c>
      <c r="AM23" s="208">
        <f t="shared" si="6"/>
        <v>0</v>
      </c>
      <c r="AN23" s="208">
        <f t="shared" si="7"/>
        <v>0</v>
      </c>
      <c r="AO23" s="208">
        <f t="shared" si="8"/>
        <v>0</v>
      </c>
      <c r="AP23" s="208">
        <f t="shared" si="9"/>
        <v>0</v>
      </c>
      <c r="AQ23" s="208">
        <f t="shared" si="10"/>
        <v>0</v>
      </c>
      <c r="AR23" s="208">
        <f t="shared" si="11"/>
        <v>0</v>
      </c>
      <c r="AS23" s="208">
        <f t="shared" si="12"/>
        <v>0</v>
      </c>
      <c r="AT23" s="208">
        <f t="shared" si="13"/>
        <v>0</v>
      </c>
      <c r="AU23" s="208">
        <f t="shared" si="14"/>
        <v>0</v>
      </c>
      <c r="AV23" s="208">
        <f t="shared" si="15"/>
        <v>0</v>
      </c>
      <c r="AW23" s="208">
        <f t="shared" si="16"/>
        <v>0</v>
      </c>
      <c r="AX23" s="208">
        <f t="shared" si="17"/>
        <v>0</v>
      </c>
      <c r="AY23" s="208">
        <f t="shared" si="18"/>
        <v>0</v>
      </c>
      <c r="AZ23" s="208">
        <f t="shared" si="19"/>
        <v>0</v>
      </c>
      <c r="BA23" s="208">
        <f t="shared" si="20"/>
        <v>0</v>
      </c>
    </row>
    <row r="24" spans="1:53" ht="24" customHeight="1" thickBot="1">
      <c r="A24" s="38"/>
      <c r="B24" s="38"/>
      <c r="C24" s="106"/>
      <c r="D24" s="95" t="s">
        <v>8</v>
      </c>
      <c r="E24" s="107"/>
      <c r="F24" s="120"/>
      <c r="G24" s="121"/>
      <c r="H24" s="131" t="s">
        <v>90</v>
      </c>
      <c r="I24" s="210">
        <f>SUM(I6:I23)</f>
        <v>0</v>
      </c>
      <c r="J24" s="95" t="s">
        <v>91</v>
      </c>
      <c r="K24" s="95"/>
      <c r="L24" s="123"/>
      <c r="O24" s="287">
        <f>AI24</f>
        <v>0</v>
      </c>
      <c r="P24" s="288">
        <f t="shared" ref="P24:AG24" si="21">AJ24</f>
        <v>0</v>
      </c>
      <c r="Q24" s="289">
        <f t="shared" si="21"/>
        <v>0</v>
      </c>
      <c r="R24" s="289">
        <f t="shared" si="21"/>
        <v>0</v>
      </c>
      <c r="S24" s="289">
        <f t="shared" si="21"/>
        <v>0</v>
      </c>
      <c r="T24" s="289">
        <f t="shared" si="21"/>
        <v>0</v>
      </c>
      <c r="U24" s="289">
        <f t="shared" si="21"/>
        <v>0</v>
      </c>
      <c r="V24" s="290">
        <f t="shared" si="21"/>
        <v>0</v>
      </c>
      <c r="W24" s="290">
        <f t="shared" si="21"/>
        <v>0</v>
      </c>
      <c r="X24" s="290">
        <f t="shared" si="21"/>
        <v>0</v>
      </c>
      <c r="Y24" s="290">
        <f t="shared" si="21"/>
        <v>0</v>
      </c>
      <c r="Z24" s="290">
        <f t="shared" si="21"/>
        <v>0</v>
      </c>
      <c r="AA24" s="290">
        <f t="shared" si="21"/>
        <v>0</v>
      </c>
      <c r="AB24" s="287">
        <f t="shared" si="21"/>
        <v>0</v>
      </c>
      <c r="AC24" s="288">
        <f t="shared" si="21"/>
        <v>0</v>
      </c>
      <c r="AD24" s="290">
        <f t="shared" si="21"/>
        <v>0</v>
      </c>
      <c r="AE24" s="290">
        <f t="shared" si="21"/>
        <v>0</v>
      </c>
      <c r="AF24" s="290">
        <f>AZ24</f>
        <v>0</v>
      </c>
      <c r="AG24" s="290">
        <f t="shared" si="21"/>
        <v>0</v>
      </c>
      <c r="AI24" s="209">
        <f>SUM(AI6:AI23)</f>
        <v>0</v>
      </c>
      <c r="AJ24" s="209">
        <f t="shared" ref="AJ24:AS24" si="22">SUM(AJ6:AJ23)</f>
        <v>0</v>
      </c>
      <c r="AK24" s="209">
        <f t="shared" si="22"/>
        <v>0</v>
      </c>
      <c r="AL24" s="209">
        <f t="shared" si="22"/>
        <v>0</v>
      </c>
      <c r="AM24" s="209">
        <f>SUM(AM6:AM23)</f>
        <v>0</v>
      </c>
      <c r="AN24" s="209">
        <f>SUM(AN6:AN23)</f>
        <v>0</v>
      </c>
      <c r="AO24" s="209">
        <f t="shared" si="22"/>
        <v>0</v>
      </c>
      <c r="AP24" s="209">
        <f t="shared" si="22"/>
        <v>0</v>
      </c>
      <c r="AQ24" s="209">
        <f t="shared" si="22"/>
        <v>0</v>
      </c>
      <c r="AR24" s="209">
        <f t="shared" si="22"/>
        <v>0</v>
      </c>
      <c r="AS24" s="209">
        <f t="shared" si="22"/>
        <v>0</v>
      </c>
      <c r="AT24" s="209">
        <f>SUM(AT6:AT23)</f>
        <v>0</v>
      </c>
      <c r="AU24" s="209">
        <f t="shared" ref="AU24:BA24" si="23">SUM(AU6:AU23)</f>
        <v>0</v>
      </c>
      <c r="AV24" s="209">
        <f t="shared" si="23"/>
        <v>0</v>
      </c>
      <c r="AW24" s="209">
        <f t="shared" si="23"/>
        <v>0</v>
      </c>
      <c r="AX24" s="209">
        <f t="shared" si="23"/>
        <v>0</v>
      </c>
      <c r="AY24" s="209">
        <f t="shared" si="23"/>
        <v>0</v>
      </c>
      <c r="AZ24" s="209">
        <f t="shared" si="23"/>
        <v>0</v>
      </c>
      <c r="BA24" s="209">
        <f t="shared" si="23"/>
        <v>0</v>
      </c>
    </row>
    <row r="25" spans="1:53" ht="14.25" customHeight="1">
      <c r="E25" s="124" t="s">
        <v>152</v>
      </c>
      <c r="F25" s="125">
        <f>+F2+1</f>
        <v>1</v>
      </c>
      <c r="G25" s="126" t="s">
        <v>153</v>
      </c>
      <c r="H25" s="127">
        <f>+J2</f>
        <v>2</v>
      </c>
      <c r="M25" s="33" t="str">
        <f>IF(A27="","EOL","")</f>
        <v/>
      </c>
      <c r="N25" s="1">
        <f>+F25</f>
        <v>1</v>
      </c>
    </row>
    <row r="26" spans="1:53" ht="26.1" customHeight="1" thickBot="1">
      <c r="C26" s="2615" t="s">
        <v>332</v>
      </c>
      <c r="D26" s="2615"/>
      <c r="E26" s="2615"/>
      <c r="F26" s="2615"/>
      <c r="G26" s="2615"/>
      <c r="H26" s="2615"/>
      <c r="I26" s="2615"/>
      <c r="J26" s="2615"/>
      <c r="K26" s="2615"/>
      <c r="L26" s="2615"/>
      <c r="O26" s="2642" t="s">
        <v>134</v>
      </c>
      <c r="P26" s="2643"/>
      <c r="Q26" s="2643"/>
      <c r="R26" s="2643"/>
      <c r="S26" s="2643"/>
      <c r="T26" s="2643"/>
      <c r="U26" s="2643"/>
      <c r="V26" s="2643"/>
      <c r="W26" s="2643"/>
      <c r="X26" s="2643"/>
      <c r="Y26" s="2643"/>
      <c r="Z26" s="2643"/>
      <c r="AA26" s="2643"/>
      <c r="AB26" s="2643"/>
      <c r="AC26" s="2643"/>
      <c r="AD26" s="2643"/>
      <c r="AE26" s="2643"/>
      <c r="AF26" s="2643"/>
      <c r="AG26" s="2644"/>
    </row>
    <row r="27" spans="1:53" ht="41.25" customHeight="1">
      <c r="A27" s="5" t="s">
        <v>12</v>
      </c>
      <c r="B27" s="5" t="s">
        <v>44</v>
      </c>
      <c r="C27" s="113" t="s">
        <v>0</v>
      </c>
      <c r="D27" s="109"/>
      <c r="E27" s="110" t="s">
        <v>1</v>
      </c>
      <c r="F27" s="111" t="s">
        <v>2</v>
      </c>
      <c r="G27" s="111" t="s">
        <v>3</v>
      </c>
      <c r="H27" s="112" t="s">
        <v>4</v>
      </c>
      <c r="I27" s="112" t="s">
        <v>5</v>
      </c>
      <c r="J27" s="2612" t="s">
        <v>6</v>
      </c>
      <c r="K27" s="2613"/>
      <c r="L27" s="2614"/>
      <c r="O27" s="157" t="s">
        <v>67</v>
      </c>
      <c r="P27" s="385" t="s">
        <v>275</v>
      </c>
      <c r="Q27" s="156" t="s">
        <v>216</v>
      </c>
      <c r="R27" s="275" t="s">
        <v>218</v>
      </c>
      <c r="S27" s="275" t="s">
        <v>219</v>
      </c>
      <c r="T27" s="275" t="s">
        <v>276</v>
      </c>
      <c r="U27" s="275" t="s">
        <v>128</v>
      </c>
      <c r="V27" s="156" t="s">
        <v>127</v>
      </c>
      <c r="W27" s="275" t="s">
        <v>277</v>
      </c>
      <c r="X27" s="223" t="s">
        <v>220</v>
      </c>
      <c r="Y27" s="223" t="s">
        <v>221</v>
      </c>
      <c r="Z27" s="223" t="s">
        <v>222</v>
      </c>
      <c r="AA27" s="223" t="s">
        <v>223</v>
      </c>
      <c r="AB27" s="161" t="s">
        <v>278</v>
      </c>
      <c r="AC27" s="158" t="s">
        <v>130</v>
      </c>
      <c r="AD27" s="155" t="s">
        <v>133</v>
      </c>
      <c r="AE27" s="155" t="s">
        <v>131</v>
      </c>
      <c r="AF27" s="155" t="s">
        <v>132</v>
      </c>
      <c r="AG27" s="155"/>
    </row>
    <row r="28" spans="1:53" ht="24" customHeight="1">
      <c r="A28" s="235">
        <v>1</v>
      </c>
      <c r="B28" s="235">
        <v>1</v>
      </c>
      <c r="C28" s="132" t="s">
        <v>155</v>
      </c>
      <c r="D28" s="212" t="s">
        <v>154</v>
      </c>
      <c r="E28" s="213" t="s">
        <v>160</v>
      </c>
      <c r="F28" s="214">
        <v>1</v>
      </c>
      <c r="G28" s="215" t="s">
        <v>115</v>
      </c>
      <c r="H28" s="93" t="s">
        <v>11</v>
      </c>
      <c r="I28" s="93" t="s">
        <v>11</v>
      </c>
      <c r="J28" s="2609"/>
      <c r="K28" s="2610"/>
      <c r="L28" s="2611"/>
      <c r="O28" s="159"/>
      <c r="P28" s="160"/>
      <c r="Q28" s="286"/>
      <c r="R28" s="286"/>
      <c r="S28" s="286"/>
      <c r="T28" s="286"/>
      <c r="U28" s="286"/>
      <c r="V28" s="216"/>
      <c r="W28" s="216"/>
      <c r="X28" s="216"/>
      <c r="Y28" s="216"/>
      <c r="Z28" s="216"/>
      <c r="AA28" s="216"/>
      <c r="AB28" s="159"/>
      <c r="AC28" s="160"/>
      <c r="AD28" s="216"/>
      <c r="AE28" s="216"/>
      <c r="AF28" s="216"/>
      <c r="AG28" s="216"/>
    </row>
    <row r="29" spans="1:53" s="39" customFormat="1" ht="24" customHeight="1">
      <c r="A29" s="38"/>
      <c r="B29" s="38"/>
      <c r="C29" s="128"/>
      <c r="D29" s="129"/>
      <c r="E29" s="117"/>
      <c r="F29" s="117"/>
      <c r="G29" s="118"/>
      <c r="H29" s="135"/>
      <c r="I29" s="104" t="str">
        <f t="shared" ref="I29:I40" si="24">IF(F29="","",ROUNDDOWN(F29*H29,0))</f>
        <v/>
      </c>
      <c r="J29" s="64"/>
      <c r="K29" s="65"/>
      <c r="L29" s="66"/>
      <c r="O29" s="159"/>
      <c r="P29" s="160"/>
      <c r="Q29" s="286"/>
      <c r="R29" s="286"/>
      <c r="S29" s="286"/>
      <c r="T29" s="286"/>
      <c r="U29" s="286"/>
      <c r="V29" s="216"/>
      <c r="W29" s="216"/>
      <c r="X29" s="216"/>
      <c r="Y29" s="216"/>
      <c r="Z29" s="216"/>
      <c r="AA29" s="216"/>
      <c r="AB29" s="159"/>
      <c r="AC29" s="160"/>
      <c r="AD29" s="216"/>
      <c r="AE29" s="216"/>
      <c r="AF29" s="216"/>
      <c r="AG29" s="216"/>
      <c r="AI29" s="208">
        <f>$F29*O29</f>
        <v>0</v>
      </c>
      <c r="AJ29" s="208">
        <f t="shared" ref="AJ29:AJ46" si="25">$F29*P29</f>
        <v>0</v>
      </c>
      <c r="AK29" s="208">
        <f t="shared" ref="AK29:AK46" si="26">$F29*Q29</f>
        <v>0</v>
      </c>
      <c r="AL29" s="208">
        <f t="shared" ref="AL29:AL46" si="27">$F29*R29</f>
        <v>0</v>
      </c>
      <c r="AM29" s="208">
        <f t="shared" ref="AM29:AM46" si="28">$F29*S29</f>
        <v>0</v>
      </c>
      <c r="AN29" s="208">
        <f t="shared" ref="AN29:AN46" si="29">$F29*T29</f>
        <v>0</v>
      </c>
      <c r="AO29" s="208">
        <f t="shared" ref="AO29:AO46" si="30">$F29*U29</f>
        <v>0</v>
      </c>
      <c r="AP29" s="208">
        <f t="shared" ref="AP29:AP46" si="31">$F29*V29</f>
        <v>0</v>
      </c>
      <c r="AQ29" s="208">
        <f t="shared" ref="AQ29:AQ46" si="32">$F29*W29</f>
        <v>0</v>
      </c>
      <c r="AR29" s="208">
        <f t="shared" ref="AR29:AR46" si="33">$F29*X29</f>
        <v>0</v>
      </c>
      <c r="AS29" s="208">
        <f t="shared" ref="AS29:AS46" si="34">$F29*Y29</f>
        <v>0</v>
      </c>
      <c r="AT29" s="208">
        <f t="shared" ref="AT29:AT46" si="35">$F29*Z29</f>
        <v>0</v>
      </c>
      <c r="AU29" s="208">
        <f t="shared" ref="AU29:AU46" si="36">$F29*AA29</f>
        <v>0</v>
      </c>
      <c r="AV29" s="208">
        <f t="shared" ref="AV29:AV46" si="37">$F29*AB29</f>
        <v>0</v>
      </c>
      <c r="AW29" s="208">
        <f t="shared" ref="AW29:AW46" si="38">$F29*AC29</f>
        <v>0</v>
      </c>
      <c r="AX29" s="208">
        <f t="shared" ref="AX29:AX46" si="39">$F29*AD29</f>
        <v>0</v>
      </c>
      <c r="AY29" s="208">
        <f t="shared" ref="AY29:AY46" si="40">$F29*AE29</f>
        <v>0</v>
      </c>
      <c r="AZ29" s="208">
        <f t="shared" ref="AZ29:AZ46" si="41">$F29*AF29</f>
        <v>0</v>
      </c>
      <c r="BA29" s="208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105">
        <v>300901</v>
      </c>
      <c r="D30" s="65" t="s">
        <v>157</v>
      </c>
      <c r="E30" s="102" t="s">
        <v>158</v>
      </c>
      <c r="F30" s="117">
        <v>0.4</v>
      </c>
      <c r="G30" s="118" t="s">
        <v>60</v>
      </c>
      <c r="H30" s="104"/>
      <c r="I30" s="104">
        <f t="shared" si="24"/>
        <v>0</v>
      </c>
      <c r="J30" s="65" t="s">
        <v>159</v>
      </c>
      <c r="K30" s="65"/>
      <c r="L30" s="66"/>
      <c r="M30" s="39"/>
      <c r="N30" s="39"/>
      <c r="O30" s="159">
        <v>0</v>
      </c>
      <c r="P30" s="160"/>
      <c r="Q30" s="286"/>
      <c r="R30" s="286"/>
      <c r="S30" s="286"/>
      <c r="T30" s="286"/>
      <c r="U30" s="286"/>
      <c r="V30" s="216"/>
      <c r="W30" s="216"/>
      <c r="X30" s="216"/>
      <c r="Y30" s="216"/>
      <c r="Z30" s="216"/>
      <c r="AA30" s="216"/>
      <c r="AB30" s="159"/>
      <c r="AC30" s="160"/>
      <c r="AD30" s="216"/>
      <c r="AE30" s="216"/>
      <c r="AF30" s="216"/>
      <c r="AG30" s="216"/>
      <c r="AI30" s="208">
        <f t="shared" ref="AI30:AI46" si="43">$F30*O30</f>
        <v>0</v>
      </c>
      <c r="AJ30" s="208">
        <f t="shared" si="25"/>
        <v>0</v>
      </c>
      <c r="AK30" s="208">
        <f t="shared" si="26"/>
        <v>0</v>
      </c>
      <c r="AL30" s="208">
        <f t="shared" si="27"/>
        <v>0</v>
      </c>
      <c r="AM30" s="208">
        <f t="shared" si="28"/>
        <v>0</v>
      </c>
      <c r="AN30" s="208">
        <f t="shared" si="29"/>
        <v>0</v>
      </c>
      <c r="AO30" s="208">
        <f t="shared" si="30"/>
        <v>0</v>
      </c>
      <c r="AP30" s="208">
        <f t="shared" si="31"/>
        <v>0</v>
      </c>
      <c r="AQ30" s="208">
        <f t="shared" si="32"/>
        <v>0</v>
      </c>
      <c r="AR30" s="208">
        <f t="shared" si="33"/>
        <v>0</v>
      </c>
      <c r="AS30" s="208">
        <f t="shared" si="34"/>
        <v>0</v>
      </c>
      <c r="AT30" s="208">
        <f t="shared" si="35"/>
        <v>0</v>
      </c>
      <c r="AU30" s="208">
        <f t="shared" si="36"/>
        <v>0</v>
      </c>
      <c r="AV30" s="208">
        <f t="shared" si="37"/>
        <v>0</v>
      </c>
      <c r="AW30" s="208">
        <f t="shared" si="38"/>
        <v>0</v>
      </c>
      <c r="AX30" s="208">
        <f t="shared" si="39"/>
        <v>0</v>
      </c>
      <c r="AY30" s="208">
        <f t="shared" si="40"/>
        <v>0</v>
      </c>
      <c r="AZ30" s="208">
        <f t="shared" si="41"/>
        <v>0</v>
      </c>
      <c r="BA30" s="208">
        <f t="shared" si="42"/>
        <v>0</v>
      </c>
    </row>
    <row r="31" spans="1:53" ht="24" customHeight="1">
      <c r="A31" s="38">
        <v>1</v>
      </c>
      <c r="B31" s="38">
        <v>1</v>
      </c>
      <c r="C31" s="105">
        <v>3011</v>
      </c>
      <c r="D31" s="65" t="s">
        <v>161</v>
      </c>
      <c r="E31" s="102" t="s">
        <v>162</v>
      </c>
      <c r="F31" s="117">
        <v>0.1</v>
      </c>
      <c r="G31" s="118" t="s">
        <v>60</v>
      </c>
      <c r="H31" s="104"/>
      <c r="I31" s="104">
        <f t="shared" si="24"/>
        <v>0</v>
      </c>
      <c r="J31" s="65" t="s">
        <v>163</v>
      </c>
      <c r="K31" s="65"/>
      <c r="L31" s="66"/>
      <c r="M31" s="39"/>
      <c r="N31" s="39"/>
      <c r="O31" s="159">
        <v>0</v>
      </c>
      <c r="P31" s="160"/>
      <c r="Q31" s="286"/>
      <c r="R31" s="286"/>
      <c r="S31" s="286"/>
      <c r="T31" s="286"/>
      <c r="U31" s="286"/>
      <c r="V31" s="216"/>
      <c r="W31" s="216"/>
      <c r="X31" s="216"/>
      <c r="Y31" s="216"/>
      <c r="Z31" s="216"/>
      <c r="AA31" s="216"/>
      <c r="AB31" s="159"/>
      <c r="AC31" s="160"/>
      <c r="AD31" s="216"/>
      <c r="AE31" s="216"/>
      <c r="AF31" s="216"/>
      <c r="AG31" s="216"/>
      <c r="AI31" s="208">
        <f t="shared" si="43"/>
        <v>0</v>
      </c>
      <c r="AJ31" s="208">
        <f t="shared" si="25"/>
        <v>0</v>
      </c>
      <c r="AK31" s="208">
        <f t="shared" si="26"/>
        <v>0</v>
      </c>
      <c r="AL31" s="208">
        <f t="shared" si="27"/>
        <v>0</v>
      </c>
      <c r="AM31" s="208">
        <f t="shared" si="28"/>
        <v>0</v>
      </c>
      <c r="AN31" s="208">
        <f t="shared" si="29"/>
        <v>0</v>
      </c>
      <c r="AO31" s="208">
        <f t="shared" si="30"/>
        <v>0</v>
      </c>
      <c r="AP31" s="208">
        <f t="shared" si="31"/>
        <v>0</v>
      </c>
      <c r="AQ31" s="208">
        <f t="shared" si="32"/>
        <v>0</v>
      </c>
      <c r="AR31" s="208">
        <f t="shared" si="33"/>
        <v>0</v>
      </c>
      <c r="AS31" s="208">
        <f t="shared" si="34"/>
        <v>0</v>
      </c>
      <c r="AT31" s="208">
        <f t="shared" si="35"/>
        <v>0</v>
      </c>
      <c r="AU31" s="208">
        <f t="shared" si="36"/>
        <v>0</v>
      </c>
      <c r="AV31" s="208">
        <f t="shared" si="37"/>
        <v>0</v>
      </c>
      <c r="AW31" s="208">
        <f t="shared" si="38"/>
        <v>0</v>
      </c>
      <c r="AX31" s="208">
        <f t="shared" si="39"/>
        <v>0</v>
      </c>
      <c r="AY31" s="208">
        <f t="shared" si="40"/>
        <v>0</v>
      </c>
      <c r="AZ31" s="208">
        <f t="shared" si="41"/>
        <v>0</v>
      </c>
      <c r="BA31" s="208">
        <f t="shared" si="42"/>
        <v>0</v>
      </c>
    </row>
    <row r="32" spans="1:53" ht="24" customHeight="1">
      <c r="A32" s="38">
        <v>1</v>
      </c>
      <c r="B32" s="38">
        <v>1</v>
      </c>
      <c r="C32" s="105">
        <v>301004</v>
      </c>
      <c r="D32" s="65" t="s">
        <v>164</v>
      </c>
      <c r="E32" s="102" t="s">
        <v>165</v>
      </c>
      <c r="F32" s="117">
        <v>0.3</v>
      </c>
      <c r="G32" s="118" t="s">
        <v>60</v>
      </c>
      <c r="H32" s="104"/>
      <c r="I32" s="104">
        <f t="shared" si="24"/>
        <v>0</v>
      </c>
      <c r="J32" s="65"/>
      <c r="K32" s="65"/>
      <c r="L32" s="66"/>
      <c r="M32" s="39"/>
      <c r="N32" s="39"/>
      <c r="O32" s="159">
        <v>0</v>
      </c>
      <c r="P32" s="160"/>
      <c r="Q32" s="286"/>
      <c r="R32" s="286"/>
      <c r="S32" s="286"/>
      <c r="T32" s="286"/>
      <c r="U32" s="286"/>
      <c r="V32" s="216"/>
      <c r="W32" s="216"/>
      <c r="X32" s="216"/>
      <c r="Y32" s="216"/>
      <c r="Z32" s="216"/>
      <c r="AA32" s="216"/>
      <c r="AB32" s="159"/>
      <c r="AC32" s="160"/>
      <c r="AD32" s="216"/>
      <c r="AE32" s="216"/>
      <c r="AF32" s="216"/>
      <c r="AG32" s="216"/>
      <c r="AI32" s="208">
        <f t="shared" si="43"/>
        <v>0</v>
      </c>
      <c r="AJ32" s="208">
        <f t="shared" si="25"/>
        <v>0</v>
      </c>
      <c r="AK32" s="208">
        <f t="shared" si="26"/>
        <v>0</v>
      </c>
      <c r="AL32" s="208">
        <f t="shared" si="27"/>
        <v>0</v>
      </c>
      <c r="AM32" s="208">
        <f t="shared" si="28"/>
        <v>0</v>
      </c>
      <c r="AN32" s="208">
        <f t="shared" si="29"/>
        <v>0</v>
      </c>
      <c r="AO32" s="208">
        <f t="shared" si="30"/>
        <v>0</v>
      </c>
      <c r="AP32" s="208">
        <f t="shared" si="31"/>
        <v>0</v>
      </c>
      <c r="AQ32" s="208">
        <f t="shared" si="32"/>
        <v>0</v>
      </c>
      <c r="AR32" s="208">
        <f t="shared" si="33"/>
        <v>0</v>
      </c>
      <c r="AS32" s="208">
        <f t="shared" si="34"/>
        <v>0</v>
      </c>
      <c r="AT32" s="208">
        <f t="shared" si="35"/>
        <v>0</v>
      </c>
      <c r="AU32" s="208">
        <f t="shared" si="36"/>
        <v>0</v>
      </c>
      <c r="AV32" s="208">
        <f t="shared" si="37"/>
        <v>0</v>
      </c>
      <c r="AW32" s="208">
        <f t="shared" si="38"/>
        <v>0</v>
      </c>
      <c r="AX32" s="208">
        <f t="shared" si="39"/>
        <v>0</v>
      </c>
      <c r="AY32" s="208">
        <f t="shared" si="40"/>
        <v>0</v>
      </c>
      <c r="AZ32" s="208">
        <f t="shared" si="41"/>
        <v>0</v>
      </c>
      <c r="BA32" s="208">
        <f t="shared" si="42"/>
        <v>0</v>
      </c>
    </row>
    <row r="33" spans="1:53" ht="24" customHeight="1">
      <c r="A33" s="38">
        <v>1</v>
      </c>
      <c r="B33" s="38">
        <v>1</v>
      </c>
      <c r="C33" s="105">
        <v>3045</v>
      </c>
      <c r="D33" s="65" t="s">
        <v>166</v>
      </c>
      <c r="E33" s="102" t="s">
        <v>167</v>
      </c>
      <c r="F33" s="117">
        <v>0.3</v>
      </c>
      <c r="G33" s="118" t="s">
        <v>60</v>
      </c>
      <c r="H33" s="104"/>
      <c r="I33" s="104">
        <f t="shared" si="24"/>
        <v>0</v>
      </c>
      <c r="J33" s="65"/>
      <c r="K33" s="65"/>
      <c r="L33" s="66"/>
      <c r="M33" s="39"/>
      <c r="N33" s="39"/>
      <c r="O33" s="159">
        <v>0</v>
      </c>
      <c r="P33" s="160"/>
      <c r="Q33" s="286"/>
      <c r="R33" s="286"/>
      <c r="S33" s="286"/>
      <c r="T33" s="286"/>
      <c r="U33" s="286"/>
      <c r="V33" s="216"/>
      <c r="W33" s="216"/>
      <c r="X33" s="216"/>
      <c r="Y33" s="216"/>
      <c r="Z33" s="216"/>
      <c r="AA33" s="216"/>
      <c r="AB33" s="159"/>
      <c r="AC33" s="160"/>
      <c r="AD33" s="216"/>
      <c r="AE33" s="216"/>
      <c r="AF33" s="216"/>
      <c r="AG33" s="216"/>
      <c r="AI33" s="208">
        <f t="shared" si="43"/>
        <v>0</v>
      </c>
      <c r="AJ33" s="208">
        <f t="shared" si="25"/>
        <v>0</v>
      </c>
      <c r="AK33" s="208">
        <f t="shared" si="26"/>
        <v>0</v>
      </c>
      <c r="AL33" s="208">
        <f t="shared" si="27"/>
        <v>0</v>
      </c>
      <c r="AM33" s="208">
        <f t="shared" si="28"/>
        <v>0</v>
      </c>
      <c r="AN33" s="208">
        <f t="shared" si="29"/>
        <v>0</v>
      </c>
      <c r="AO33" s="208">
        <f t="shared" si="30"/>
        <v>0</v>
      </c>
      <c r="AP33" s="208">
        <f t="shared" si="31"/>
        <v>0</v>
      </c>
      <c r="AQ33" s="208">
        <f t="shared" si="32"/>
        <v>0</v>
      </c>
      <c r="AR33" s="208">
        <f t="shared" si="33"/>
        <v>0</v>
      </c>
      <c r="AS33" s="208">
        <f t="shared" si="34"/>
        <v>0</v>
      </c>
      <c r="AT33" s="208">
        <f t="shared" si="35"/>
        <v>0</v>
      </c>
      <c r="AU33" s="208">
        <f t="shared" si="36"/>
        <v>0</v>
      </c>
      <c r="AV33" s="208">
        <f t="shared" si="37"/>
        <v>0</v>
      </c>
      <c r="AW33" s="208">
        <f t="shared" si="38"/>
        <v>0</v>
      </c>
      <c r="AX33" s="208">
        <f t="shared" si="39"/>
        <v>0</v>
      </c>
      <c r="AY33" s="208">
        <f t="shared" si="40"/>
        <v>0</v>
      </c>
      <c r="AZ33" s="208">
        <f t="shared" si="41"/>
        <v>0</v>
      </c>
      <c r="BA33" s="208">
        <f t="shared" si="42"/>
        <v>0</v>
      </c>
    </row>
    <row r="34" spans="1:53" ht="24" customHeight="1">
      <c r="A34" s="38">
        <v>1</v>
      </c>
      <c r="B34" s="38">
        <v>1</v>
      </c>
      <c r="C34" s="105">
        <v>102</v>
      </c>
      <c r="D34" s="65" t="s">
        <v>168</v>
      </c>
      <c r="E34" s="102" t="s">
        <v>74</v>
      </c>
      <c r="F34" s="117">
        <v>0.01</v>
      </c>
      <c r="G34" s="118" t="s">
        <v>169</v>
      </c>
      <c r="H34" s="104"/>
      <c r="I34" s="104">
        <f t="shared" si="24"/>
        <v>0</v>
      </c>
      <c r="J34" s="65"/>
      <c r="K34" s="65"/>
      <c r="L34" s="66"/>
      <c r="M34" s="39"/>
      <c r="N34" s="39"/>
      <c r="O34" s="159">
        <v>1000</v>
      </c>
      <c r="P34" s="160"/>
      <c r="Q34" s="286"/>
      <c r="R34" s="286"/>
      <c r="S34" s="286"/>
      <c r="T34" s="286"/>
      <c r="U34" s="286"/>
      <c r="V34" s="216"/>
      <c r="W34" s="216"/>
      <c r="X34" s="216"/>
      <c r="Y34" s="216"/>
      <c r="Z34" s="216"/>
      <c r="AA34" s="216"/>
      <c r="AB34" s="159"/>
      <c r="AC34" s="160"/>
      <c r="AD34" s="216"/>
      <c r="AE34" s="216"/>
      <c r="AF34" s="216"/>
      <c r="AG34" s="216"/>
      <c r="AI34" s="208">
        <f t="shared" si="43"/>
        <v>10</v>
      </c>
      <c r="AJ34" s="208">
        <f t="shared" si="25"/>
        <v>0</v>
      </c>
      <c r="AK34" s="208">
        <f t="shared" si="26"/>
        <v>0</v>
      </c>
      <c r="AL34" s="208">
        <f t="shared" si="27"/>
        <v>0</v>
      </c>
      <c r="AM34" s="208">
        <f t="shared" si="28"/>
        <v>0</v>
      </c>
      <c r="AN34" s="208">
        <f t="shared" si="29"/>
        <v>0</v>
      </c>
      <c r="AO34" s="208">
        <f t="shared" si="30"/>
        <v>0</v>
      </c>
      <c r="AP34" s="208">
        <f t="shared" si="31"/>
        <v>0</v>
      </c>
      <c r="AQ34" s="208">
        <f t="shared" si="32"/>
        <v>0</v>
      </c>
      <c r="AR34" s="208">
        <f t="shared" si="33"/>
        <v>0</v>
      </c>
      <c r="AS34" s="208">
        <f t="shared" si="34"/>
        <v>0</v>
      </c>
      <c r="AT34" s="208">
        <f t="shared" si="35"/>
        <v>0</v>
      </c>
      <c r="AU34" s="208">
        <f t="shared" si="36"/>
        <v>0</v>
      </c>
      <c r="AV34" s="208">
        <f t="shared" si="37"/>
        <v>0</v>
      </c>
      <c r="AW34" s="208">
        <f t="shared" si="38"/>
        <v>0</v>
      </c>
      <c r="AX34" s="208">
        <f t="shared" si="39"/>
        <v>0</v>
      </c>
      <c r="AY34" s="208">
        <f t="shared" si="40"/>
        <v>0</v>
      </c>
      <c r="AZ34" s="208">
        <f t="shared" si="41"/>
        <v>0</v>
      </c>
      <c r="BA34" s="208">
        <f t="shared" si="42"/>
        <v>0</v>
      </c>
    </row>
    <row r="35" spans="1:53" s="39" customFormat="1" ht="24" customHeight="1">
      <c r="A35" s="38">
        <v>1</v>
      </c>
      <c r="B35" s="38">
        <v>1</v>
      </c>
      <c r="C35" s="105">
        <v>411102</v>
      </c>
      <c r="D35" s="65" t="s">
        <v>170</v>
      </c>
      <c r="E35" s="102" t="s">
        <v>171</v>
      </c>
      <c r="F35" s="117">
        <v>0.01</v>
      </c>
      <c r="G35" s="118" t="s">
        <v>169</v>
      </c>
      <c r="H35" s="104"/>
      <c r="I35" s="104">
        <f t="shared" si="24"/>
        <v>0</v>
      </c>
      <c r="J35" s="65"/>
      <c r="K35" s="65"/>
      <c r="L35" s="66"/>
      <c r="O35" s="159">
        <v>0</v>
      </c>
      <c r="P35" s="160"/>
      <c r="Q35" s="286"/>
      <c r="R35" s="286"/>
      <c r="S35" s="286"/>
      <c r="T35" s="286"/>
      <c r="U35" s="286"/>
      <c r="V35" s="216"/>
      <c r="W35" s="216"/>
      <c r="X35" s="216"/>
      <c r="Y35" s="216"/>
      <c r="Z35" s="216"/>
      <c r="AA35" s="216"/>
      <c r="AB35" s="159"/>
      <c r="AC35" s="160"/>
      <c r="AD35" s="216"/>
      <c r="AE35" s="216"/>
      <c r="AF35" s="216"/>
      <c r="AG35" s="216"/>
      <c r="AI35" s="208">
        <f t="shared" si="43"/>
        <v>0</v>
      </c>
      <c r="AJ35" s="208">
        <f t="shared" si="25"/>
        <v>0</v>
      </c>
      <c r="AK35" s="208">
        <f t="shared" si="26"/>
        <v>0</v>
      </c>
      <c r="AL35" s="208">
        <f t="shared" si="27"/>
        <v>0</v>
      </c>
      <c r="AM35" s="208">
        <f t="shared" si="28"/>
        <v>0</v>
      </c>
      <c r="AN35" s="208">
        <f t="shared" si="29"/>
        <v>0</v>
      </c>
      <c r="AO35" s="208">
        <f t="shared" si="30"/>
        <v>0</v>
      </c>
      <c r="AP35" s="208">
        <f t="shared" si="31"/>
        <v>0</v>
      </c>
      <c r="AQ35" s="208">
        <f t="shared" si="32"/>
        <v>0</v>
      </c>
      <c r="AR35" s="208">
        <f t="shared" si="33"/>
        <v>0</v>
      </c>
      <c r="AS35" s="208">
        <f t="shared" si="34"/>
        <v>0</v>
      </c>
      <c r="AT35" s="208">
        <f t="shared" si="35"/>
        <v>0</v>
      </c>
      <c r="AU35" s="208">
        <f t="shared" si="36"/>
        <v>0</v>
      </c>
      <c r="AV35" s="208">
        <f t="shared" si="37"/>
        <v>0</v>
      </c>
      <c r="AW35" s="208">
        <f t="shared" si="38"/>
        <v>0</v>
      </c>
      <c r="AX35" s="208">
        <f t="shared" si="39"/>
        <v>0</v>
      </c>
      <c r="AY35" s="208">
        <f t="shared" si="40"/>
        <v>0</v>
      </c>
      <c r="AZ35" s="208">
        <f t="shared" si="41"/>
        <v>0</v>
      </c>
      <c r="BA35" s="208">
        <f t="shared" si="42"/>
        <v>0</v>
      </c>
    </row>
    <row r="36" spans="1:53" ht="24" customHeight="1">
      <c r="A36" s="38">
        <v>1</v>
      </c>
      <c r="B36" s="38">
        <v>1</v>
      </c>
      <c r="C36" s="105">
        <v>7022</v>
      </c>
      <c r="D36" s="65" t="s">
        <v>172</v>
      </c>
      <c r="E36" s="102" t="s">
        <v>173</v>
      </c>
      <c r="F36" s="117">
        <v>0.01</v>
      </c>
      <c r="G36" s="118" t="s">
        <v>169</v>
      </c>
      <c r="H36" s="104"/>
      <c r="I36" s="104">
        <f t="shared" si="24"/>
        <v>0</v>
      </c>
      <c r="J36" s="65"/>
      <c r="K36" s="65"/>
      <c r="L36" s="66"/>
      <c r="M36" s="39"/>
      <c r="N36" s="39"/>
      <c r="O36" s="159">
        <v>0</v>
      </c>
      <c r="P36" s="160"/>
      <c r="Q36" s="286"/>
      <c r="R36" s="286"/>
      <c r="S36" s="286"/>
      <c r="T36" s="286"/>
      <c r="U36" s="286"/>
      <c r="V36" s="216"/>
      <c r="W36" s="216"/>
      <c r="X36" s="216"/>
      <c r="Y36" s="216"/>
      <c r="Z36" s="216"/>
      <c r="AA36" s="216"/>
      <c r="AB36" s="159"/>
      <c r="AC36" s="160"/>
      <c r="AD36" s="216"/>
      <c r="AE36" s="216"/>
      <c r="AF36" s="216"/>
      <c r="AG36" s="216"/>
      <c r="AI36" s="208">
        <f t="shared" si="43"/>
        <v>0</v>
      </c>
      <c r="AJ36" s="208">
        <f t="shared" si="25"/>
        <v>0</v>
      </c>
      <c r="AK36" s="208">
        <f t="shared" si="26"/>
        <v>0</v>
      </c>
      <c r="AL36" s="208">
        <f t="shared" si="27"/>
        <v>0</v>
      </c>
      <c r="AM36" s="208">
        <f t="shared" si="28"/>
        <v>0</v>
      </c>
      <c r="AN36" s="208">
        <f t="shared" si="29"/>
        <v>0</v>
      </c>
      <c r="AO36" s="208">
        <f t="shared" si="30"/>
        <v>0</v>
      </c>
      <c r="AP36" s="208">
        <f t="shared" si="31"/>
        <v>0</v>
      </c>
      <c r="AQ36" s="208">
        <f t="shared" si="32"/>
        <v>0</v>
      </c>
      <c r="AR36" s="208">
        <f t="shared" si="33"/>
        <v>0</v>
      </c>
      <c r="AS36" s="208">
        <f t="shared" si="34"/>
        <v>0</v>
      </c>
      <c r="AT36" s="208">
        <f t="shared" si="35"/>
        <v>0</v>
      </c>
      <c r="AU36" s="208">
        <f t="shared" si="36"/>
        <v>0</v>
      </c>
      <c r="AV36" s="208">
        <f t="shared" si="37"/>
        <v>0</v>
      </c>
      <c r="AW36" s="208">
        <f t="shared" si="38"/>
        <v>0</v>
      </c>
      <c r="AX36" s="208">
        <f t="shared" si="39"/>
        <v>0</v>
      </c>
      <c r="AY36" s="208">
        <f t="shared" si="40"/>
        <v>0</v>
      </c>
      <c r="AZ36" s="208">
        <f t="shared" si="41"/>
        <v>0</v>
      </c>
      <c r="BA36" s="208">
        <f t="shared" si="42"/>
        <v>0</v>
      </c>
    </row>
    <row r="37" spans="1:53" ht="24" customHeight="1">
      <c r="A37" s="38">
        <v>1</v>
      </c>
      <c r="B37" s="38">
        <v>1</v>
      </c>
      <c r="C37" s="105">
        <v>518200</v>
      </c>
      <c r="D37" s="65" t="s">
        <v>174</v>
      </c>
      <c r="E37" s="221" t="s">
        <v>195</v>
      </c>
      <c r="F37" s="117">
        <v>0.2</v>
      </c>
      <c r="G37" s="118" t="s">
        <v>60</v>
      </c>
      <c r="H37" s="104"/>
      <c r="I37" s="104">
        <f t="shared" si="24"/>
        <v>0</v>
      </c>
      <c r="J37" s="65" t="s">
        <v>175</v>
      </c>
      <c r="K37" s="65"/>
      <c r="L37" s="66"/>
      <c r="M37" s="39"/>
      <c r="N37" s="39"/>
      <c r="O37" s="159">
        <v>2300</v>
      </c>
      <c r="P37" s="160"/>
      <c r="Q37" s="286"/>
      <c r="R37" s="286"/>
      <c r="S37" s="286"/>
      <c r="T37" s="286"/>
      <c r="U37" s="286"/>
      <c r="V37" s="216"/>
      <c r="W37" s="216"/>
      <c r="X37" s="216"/>
      <c r="Y37" s="216"/>
      <c r="Z37" s="216"/>
      <c r="AA37" s="216"/>
      <c r="AB37" s="159"/>
      <c r="AC37" s="160"/>
      <c r="AD37" s="216"/>
      <c r="AE37" s="216"/>
      <c r="AF37" s="216"/>
      <c r="AG37" s="216"/>
      <c r="AI37" s="208">
        <f t="shared" si="43"/>
        <v>460</v>
      </c>
      <c r="AJ37" s="208">
        <f t="shared" si="25"/>
        <v>0</v>
      </c>
      <c r="AK37" s="208">
        <f t="shared" si="26"/>
        <v>0</v>
      </c>
      <c r="AL37" s="208">
        <f t="shared" si="27"/>
        <v>0</v>
      </c>
      <c r="AM37" s="208">
        <f t="shared" si="28"/>
        <v>0</v>
      </c>
      <c r="AN37" s="208">
        <f t="shared" si="29"/>
        <v>0</v>
      </c>
      <c r="AO37" s="208">
        <f t="shared" si="30"/>
        <v>0</v>
      </c>
      <c r="AP37" s="208">
        <f t="shared" si="31"/>
        <v>0</v>
      </c>
      <c r="AQ37" s="208">
        <f t="shared" si="32"/>
        <v>0</v>
      </c>
      <c r="AR37" s="208">
        <f t="shared" si="33"/>
        <v>0</v>
      </c>
      <c r="AS37" s="208">
        <f t="shared" si="34"/>
        <v>0</v>
      </c>
      <c r="AT37" s="208">
        <f t="shared" si="35"/>
        <v>0</v>
      </c>
      <c r="AU37" s="208">
        <f t="shared" si="36"/>
        <v>0</v>
      </c>
      <c r="AV37" s="208">
        <f t="shared" si="37"/>
        <v>0</v>
      </c>
      <c r="AW37" s="208">
        <f t="shared" si="38"/>
        <v>0</v>
      </c>
      <c r="AX37" s="208">
        <f t="shared" si="39"/>
        <v>0</v>
      </c>
      <c r="AY37" s="208">
        <f t="shared" si="40"/>
        <v>0</v>
      </c>
      <c r="AZ37" s="208">
        <f t="shared" si="41"/>
        <v>0</v>
      </c>
      <c r="BA37" s="208">
        <f t="shared" si="42"/>
        <v>0</v>
      </c>
    </row>
    <row r="38" spans="1:53" s="39" customFormat="1" ht="24" customHeight="1">
      <c r="A38" s="38">
        <v>1</v>
      </c>
      <c r="B38" s="38">
        <v>1</v>
      </c>
      <c r="C38" s="105">
        <v>5008</v>
      </c>
      <c r="D38" s="65" t="s">
        <v>176</v>
      </c>
      <c r="E38" s="102" t="s">
        <v>177</v>
      </c>
      <c r="F38" s="117">
        <v>0.2</v>
      </c>
      <c r="G38" s="118" t="s">
        <v>60</v>
      </c>
      <c r="H38" s="104"/>
      <c r="I38" s="104">
        <f t="shared" si="24"/>
        <v>0</v>
      </c>
      <c r="J38" s="65"/>
      <c r="K38" s="65"/>
      <c r="L38" s="66"/>
      <c r="O38" s="159">
        <v>0</v>
      </c>
      <c r="P38" s="160"/>
      <c r="Q38" s="286"/>
      <c r="R38" s="286"/>
      <c r="S38" s="286"/>
      <c r="T38" s="286"/>
      <c r="U38" s="286"/>
      <c r="V38" s="216"/>
      <c r="W38" s="216"/>
      <c r="X38" s="216"/>
      <c r="Y38" s="216"/>
      <c r="Z38" s="216"/>
      <c r="AA38" s="216"/>
      <c r="AB38" s="159"/>
      <c r="AC38" s="160"/>
      <c r="AD38" s="216"/>
      <c r="AE38" s="216"/>
      <c r="AF38" s="216"/>
      <c r="AG38" s="216"/>
      <c r="AI38" s="208">
        <f t="shared" si="43"/>
        <v>0</v>
      </c>
      <c r="AJ38" s="208">
        <f t="shared" si="25"/>
        <v>0</v>
      </c>
      <c r="AK38" s="208">
        <f t="shared" si="26"/>
        <v>0</v>
      </c>
      <c r="AL38" s="208">
        <f t="shared" si="27"/>
        <v>0</v>
      </c>
      <c r="AM38" s="208">
        <f t="shared" si="28"/>
        <v>0</v>
      </c>
      <c r="AN38" s="208">
        <f t="shared" si="29"/>
        <v>0</v>
      </c>
      <c r="AO38" s="208">
        <f t="shared" si="30"/>
        <v>0</v>
      </c>
      <c r="AP38" s="208">
        <f t="shared" si="31"/>
        <v>0</v>
      </c>
      <c r="AQ38" s="208">
        <f t="shared" si="32"/>
        <v>0</v>
      </c>
      <c r="AR38" s="208">
        <f t="shared" si="33"/>
        <v>0</v>
      </c>
      <c r="AS38" s="208">
        <f t="shared" si="34"/>
        <v>0</v>
      </c>
      <c r="AT38" s="208">
        <f t="shared" si="35"/>
        <v>0</v>
      </c>
      <c r="AU38" s="208">
        <f t="shared" si="36"/>
        <v>0</v>
      </c>
      <c r="AV38" s="208">
        <f t="shared" si="37"/>
        <v>0</v>
      </c>
      <c r="AW38" s="208">
        <f t="shared" si="38"/>
        <v>0</v>
      </c>
      <c r="AX38" s="208">
        <f t="shared" si="39"/>
        <v>0</v>
      </c>
      <c r="AY38" s="208">
        <f t="shared" si="40"/>
        <v>0</v>
      </c>
      <c r="AZ38" s="208">
        <f t="shared" si="41"/>
        <v>0</v>
      </c>
      <c r="BA38" s="208">
        <f t="shared" si="42"/>
        <v>0</v>
      </c>
    </row>
    <row r="39" spans="1:53" ht="24" customHeight="1">
      <c r="A39" s="38">
        <v>1</v>
      </c>
      <c r="B39" s="38">
        <v>1</v>
      </c>
      <c r="C39" s="105">
        <v>6001</v>
      </c>
      <c r="D39" s="65" t="s">
        <v>178</v>
      </c>
      <c r="E39" s="102" t="s">
        <v>177</v>
      </c>
      <c r="F39" s="117">
        <v>0.2</v>
      </c>
      <c r="G39" s="118" t="s">
        <v>145</v>
      </c>
      <c r="H39" s="104"/>
      <c r="I39" s="104">
        <f t="shared" si="24"/>
        <v>0</v>
      </c>
      <c r="J39" s="65"/>
      <c r="K39" s="65"/>
      <c r="L39" s="66"/>
      <c r="M39" s="39"/>
      <c r="N39" s="39"/>
      <c r="O39" s="159">
        <v>36</v>
      </c>
      <c r="P39" s="160"/>
      <c r="Q39" s="286"/>
      <c r="R39" s="286"/>
      <c r="S39" s="286"/>
      <c r="T39" s="286"/>
      <c r="U39" s="286"/>
      <c r="V39" s="216"/>
      <c r="W39" s="216"/>
      <c r="X39" s="216"/>
      <c r="Y39" s="216"/>
      <c r="Z39" s="216"/>
      <c r="AA39" s="216"/>
      <c r="AB39" s="159"/>
      <c r="AC39" s="160"/>
      <c r="AD39" s="216"/>
      <c r="AE39" s="216"/>
      <c r="AF39" s="216"/>
      <c r="AG39" s="216"/>
      <c r="AI39" s="208">
        <f t="shared" si="43"/>
        <v>7.2</v>
      </c>
      <c r="AJ39" s="208">
        <f t="shared" si="25"/>
        <v>0</v>
      </c>
      <c r="AK39" s="208">
        <f t="shared" si="26"/>
        <v>0</v>
      </c>
      <c r="AL39" s="208">
        <f t="shared" si="27"/>
        <v>0</v>
      </c>
      <c r="AM39" s="208">
        <f t="shared" si="28"/>
        <v>0</v>
      </c>
      <c r="AN39" s="208">
        <f t="shared" si="29"/>
        <v>0</v>
      </c>
      <c r="AO39" s="208">
        <f t="shared" si="30"/>
        <v>0</v>
      </c>
      <c r="AP39" s="208">
        <f t="shared" si="31"/>
        <v>0</v>
      </c>
      <c r="AQ39" s="208">
        <f t="shared" si="32"/>
        <v>0</v>
      </c>
      <c r="AR39" s="208">
        <f t="shared" si="33"/>
        <v>0</v>
      </c>
      <c r="AS39" s="208">
        <f t="shared" si="34"/>
        <v>0</v>
      </c>
      <c r="AT39" s="208">
        <f t="shared" si="35"/>
        <v>0</v>
      </c>
      <c r="AU39" s="208">
        <f t="shared" si="36"/>
        <v>0</v>
      </c>
      <c r="AV39" s="208">
        <f t="shared" si="37"/>
        <v>0</v>
      </c>
      <c r="AW39" s="208">
        <f t="shared" si="38"/>
        <v>0</v>
      </c>
      <c r="AX39" s="208">
        <f t="shared" si="39"/>
        <v>0</v>
      </c>
      <c r="AY39" s="208">
        <f t="shared" si="40"/>
        <v>0</v>
      </c>
      <c r="AZ39" s="208">
        <f t="shared" si="41"/>
        <v>0</v>
      </c>
      <c r="BA39" s="208">
        <f t="shared" si="42"/>
        <v>0</v>
      </c>
    </row>
    <row r="40" spans="1:53" s="39" customFormat="1" ht="24" customHeight="1">
      <c r="A40" s="38">
        <v>1</v>
      </c>
      <c r="B40" s="38">
        <v>1</v>
      </c>
      <c r="C40" s="105">
        <v>6020</v>
      </c>
      <c r="D40" s="65" t="s">
        <v>233</v>
      </c>
      <c r="E40" s="102" t="s">
        <v>183</v>
      </c>
      <c r="F40" s="117">
        <v>0.2</v>
      </c>
      <c r="G40" s="118" t="s">
        <v>184</v>
      </c>
      <c r="H40" s="104"/>
      <c r="I40" s="104">
        <f t="shared" si="24"/>
        <v>0</v>
      </c>
      <c r="J40" s="65" t="s">
        <v>185</v>
      </c>
      <c r="K40" s="65"/>
      <c r="L40" s="66"/>
      <c r="O40" s="159">
        <v>0</v>
      </c>
      <c r="P40" s="160"/>
      <c r="Q40" s="286"/>
      <c r="R40" s="286"/>
      <c r="S40" s="286"/>
      <c r="T40" s="286"/>
      <c r="U40" s="286"/>
      <c r="V40" s="216"/>
      <c r="W40" s="216"/>
      <c r="X40" s="216"/>
      <c r="Y40" s="216"/>
      <c r="Z40" s="216"/>
      <c r="AA40" s="216"/>
      <c r="AB40" s="159"/>
      <c r="AC40" s="160"/>
      <c r="AD40" s="216"/>
      <c r="AE40" s="216"/>
      <c r="AF40" s="216"/>
      <c r="AG40" s="216"/>
      <c r="AI40" s="208">
        <f t="shared" si="43"/>
        <v>0</v>
      </c>
      <c r="AJ40" s="208">
        <f t="shared" si="25"/>
        <v>0</v>
      </c>
      <c r="AK40" s="208">
        <f t="shared" si="26"/>
        <v>0</v>
      </c>
      <c r="AL40" s="208">
        <f t="shared" si="27"/>
        <v>0</v>
      </c>
      <c r="AM40" s="208">
        <f t="shared" si="28"/>
        <v>0</v>
      </c>
      <c r="AN40" s="208">
        <f t="shared" si="29"/>
        <v>0</v>
      </c>
      <c r="AO40" s="208">
        <f t="shared" si="30"/>
        <v>0</v>
      </c>
      <c r="AP40" s="208">
        <f t="shared" si="31"/>
        <v>0</v>
      </c>
      <c r="AQ40" s="208">
        <f t="shared" si="32"/>
        <v>0</v>
      </c>
      <c r="AR40" s="208">
        <f t="shared" si="33"/>
        <v>0</v>
      </c>
      <c r="AS40" s="208">
        <f t="shared" si="34"/>
        <v>0</v>
      </c>
      <c r="AT40" s="208">
        <f t="shared" si="35"/>
        <v>0</v>
      </c>
      <c r="AU40" s="208">
        <f t="shared" si="36"/>
        <v>0</v>
      </c>
      <c r="AV40" s="208">
        <f t="shared" si="37"/>
        <v>0</v>
      </c>
      <c r="AW40" s="208">
        <f t="shared" si="38"/>
        <v>0</v>
      </c>
      <c r="AX40" s="208">
        <f t="shared" si="39"/>
        <v>0</v>
      </c>
      <c r="AY40" s="208">
        <f t="shared" si="40"/>
        <v>0</v>
      </c>
      <c r="AZ40" s="208">
        <f t="shared" si="41"/>
        <v>0</v>
      </c>
      <c r="BA40" s="208">
        <f t="shared" si="42"/>
        <v>0</v>
      </c>
    </row>
    <row r="41" spans="1:53" s="39" customFormat="1" ht="24" customHeight="1">
      <c r="A41" s="38"/>
      <c r="B41" s="38"/>
      <c r="C41" s="128"/>
      <c r="D41" s="190"/>
      <c r="E41" s="117"/>
      <c r="F41" s="117"/>
      <c r="G41" s="118"/>
      <c r="H41" s="135"/>
      <c r="I41" s="104" t="str">
        <f>IF(F41="","",ROUNDDOWN(F41*H41,0))</f>
        <v/>
      </c>
      <c r="J41" s="64"/>
      <c r="K41" s="65"/>
      <c r="L41" s="66"/>
      <c r="O41" s="159"/>
      <c r="P41" s="160"/>
      <c r="Q41" s="286"/>
      <c r="R41" s="286"/>
      <c r="S41" s="286"/>
      <c r="T41" s="286"/>
      <c r="U41" s="286"/>
      <c r="V41" s="216"/>
      <c r="W41" s="216"/>
      <c r="X41" s="216"/>
      <c r="Y41" s="216"/>
      <c r="Z41" s="216"/>
      <c r="AA41" s="216"/>
      <c r="AB41" s="159"/>
      <c r="AC41" s="160"/>
      <c r="AD41" s="216"/>
      <c r="AE41" s="216"/>
      <c r="AF41" s="216"/>
      <c r="AG41" s="216"/>
      <c r="AI41" s="208">
        <f t="shared" si="43"/>
        <v>0</v>
      </c>
      <c r="AJ41" s="208">
        <f t="shared" si="25"/>
        <v>0</v>
      </c>
      <c r="AK41" s="208">
        <f t="shared" si="26"/>
        <v>0</v>
      </c>
      <c r="AL41" s="208">
        <f t="shared" si="27"/>
        <v>0</v>
      </c>
      <c r="AM41" s="208">
        <f t="shared" si="28"/>
        <v>0</v>
      </c>
      <c r="AN41" s="208">
        <f t="shared" si="29"/>
        <v>0</v>
      </c>
      <c r="AO41" s="208">
        <f t="shared" si="30"/>
        <v>0</v>
      </c>
      <c r="AP41" s="208">
        <f t="shared" si="31"/>
        <v>0</v>
      </c>
      <c r="AQ41" s="208">
        <f t="shared" si="32"/>
        <v>0</v>
      </c>
      <c r="AR41" s="208">
        <f t="shared" si="33"/>
        <v>0</v>
      </c>
      <c r="AS41" s="208">
        <f t="shared" si="34"/>
        <v>0</v>
      </c>
      <c r="AT41" s="208">
        <f t="shared" si="35"/>
        <v>0</v>
      </c>
      <c r="AU41" s="208">
        <f t="shared" si="36"/>
        <v>0</v>
      </c>
      <c r="AV41" s="208">
        <f t="shared" si="37"/>
        <v>0</v>
      </c>
      <c r="AW41" s="208">
        <f t="shared" si="38"/>
        <v>0</v>
      </c>
      <c r="AX41" s="208">
        <f t="shared" si="39"/>
        <v>0</v>
      </c>
      <c r="AY41" s="208">
        <f t="shared" si="40"/>
        <v>0</v>
      </c>
      <c r="AZ41" s="208">
        <f t="shared" si="41"/>
        <v>0</v>
      </c>
      <c r="BA41" s="208">
        <f t="shared" si="42"/>
        <v>0</v>
      </c>
    </row>
    <row r="42" spans="1:53" s="39" customFormat="1" ht="24" customHeight="1">
      <c r="A42" s="38"/>
      <c r="B42" s="38"/>
      <c r="C42" s="128"/>
      <c r="D42" s="129" t="s">
        <v>179</v>
      </c>
      <c r="E42" s="117"/>
      <c r="F42" s="117"/>
      <c r="G42" s="118"/>
      <c r="H42" s="135"/>
      <c r="I42" s="104" t="str">
        <f>IF(F42="","",ROUNDDOWN(F42*H42,0))</f>
        <v/>
      </c>
      <c r="J42" s="64"/>
      <c r="K42" s="65"/>
      <c r="L42" s="66"/>
      <c r="O42" s="159"/>
      <c r="P42" s="160"/>
      <c r="Q42" s="286"/>
      <c r="R42" s="286"/>
      <c r="S42" s="286"/>
      <c r="T42" s="286"/>
      <c r="U42" s="286"/>
      <c r="V42" s="216"/>
      <c r="W42" s="216"/>
      <c r="X42" s="216"/>
      <c r="Y42" s="216"/>
      <c r="Z42" s="216"/>
      <c r="AA42" s="216"/>
      <c r="AB42" s="159"/>
      <c r="AC42" s="160"/>
      <c r="AD42" s="216"/>
      <c r="AE42" s="216"/>
      <c r="AF42" s="216"/>
      <c r="AG42" s="216"/>
      <c r="AI42" s="208">
        <f t="shared" si="43"/>
        <v>0</v>
      </c>
      <c r="AJ42" s="208">
        <f t="shared" si="25"/>
        <v>0</v>
      </c>
      <c r="AK42" s="208">
        <f t="shared" si="26"/>
        <v>0</v>
      </c>
      <c r="AL42" s="208">
        <f t="shared" si="27"/>
        <v>0</v>
      </c>
      <c r="AM42" s="208">
        <f t="shared" si="28"/>
        <v>0</v>
      </c>
      <c r="AN42" s="208">
        <f t="shared" si="29"/>
        <v>0</v>
      </c>
      <c r="AO42" s="208">
        <f t="shared" si="30"/>
        <v>0</v>
      </c>
      <c r="AP42" s="208">
        <f t="shared" si="31"/>
        <v>0</v>
      </c>
      <c r="AQ42" s="208">
        <f t="shared" si="32"/>
        <v>0</v>
      </c>
      <c r="AR42" s="208">
        <f t="shared" si="33"/>
        <v>0</v>
      </c>
      <c r="AS42" s="208">
        <f t="shared" si="34"/>
        <v>0</v>
      </c>
      <c r="AT42" s="208">
        <f t="shared" si="35"/>
        <v>0</v>
      </c>
      <c r="AU42" s="208">
        <f t="shared" si="36"/>
        <v>0</v>
      </c>
      <c r="AV42" s="208">
        <f t="shared" si="37"/>
        <v>0</v>
      </c>
      <c r="AW42" s="208">
        <f t="shared" si="38"/>
        <v>0</v>
      </c>
      <c r="AX42" s="208">
        <f t="shared" si="39"/>
        <v>0</v>
      </c>
      <c r="AY42" s="208">
        <f t="shared" si="40"/>
        <v>0</v>
      </c>
      <c r="AZ42" s="208">
        <f t="shared" si="41"/>
        <v>0</v>
      </c>
      <c r="BA42" s="208">
        <f t="shared" si="42"/>
        <v>0</v>
      </c>
    </row>
    <row r="43" spans="1:53" s="39" customFormat="1" ht="24" customHeight="1">
      <c r="A43" s="38"/>
      <c r="B43" s="38"/>
      <c r="C43" s="128"/>
      <c r="D43" s="129" t="s">
        <v>180</v>
      </c>
      <c r="E43" s="103" t="s">
        <v>194</v>
      </c>
      <c r="F43" s="103"/>
      <c r="G43" s="118"/>
      <c r="H43" s="135"/>
      <c r="I43" s="104" t="str">
        <f>IF(F43="","",ROUNDDOWN(F43*H43,0))</f>
        <v/>
      </c>
      <c r="J43" s="64"/>
      <c r="K43" s="65"/>
      <c r="L43" s="66"/>
      <c r="O43" s="159"/>
      <c r="P43" s="160"/>
      <c r="Q43" s="286"/>
      <c r="R43" s="286"/>
      <c r="S43" s="286"/>
      <c r="T43" s="286"/>
      <c r="U43" s="286"/>
      <c r="V43" s="216"/>
      <c r="W43" s="216"/>
      <c r="X43" s="216"/>
      <c r="Y43" s="216"/>
      <c r="Z43" s="216"/>
      <c r="AA43" s="216"/>
      <c r="AB43" s="159"/>
      <c r="AC43" s="160"/>
      <c r="AD43" s="216"/>
      <c r="AE43" s="216"/>
      <c r="AF43" s="216"/>
      <c r="AG43" s="216"/>
      <c r="AI43" s="208">
        <f t="shared" si="43"/>
        <v>0</v>
      </c>
      <c r="AJ43" s="208">
        <f t="shared" si="25"/>
        <v>0</v>
      </c>
      <c r="AK43" s="208">
        <f t="shared" si="26"/>
        <v>0</v>
      </c>
      <c r="AL43" s="208">
        <f t="shared" si="27"/>
        <v>0</v>
      </c>
      <c r="AM43" s="208">
        <f t="shared" si="28"/>
        <v>0</v>
      </c>
      <c r="AN43" s="208">
        <f t="shared" si="29"/>
        <v>0</v>
      </c>
      <c r="AO43" s="208">
        <f t="shared" si="30"/>
        <v>0</v>
      </c>
      <c r="AP43" s="208">
        <f t="shared" si="31"/>
        <v>0</v>
      </c>
      <c r="AQ43" s="208">
        <f t="shared" si="32"/>
        <v>0</v>
      </c>
      <c r="AR43" s="208">
        <f t="shared" si="33"/>
        <v>0</v>
      </c>
      <c r="AS43" s="208">
        <f t="shared" si="34"/>
        <v>0</v>
      </c>
      <c r="AT43" s="208">
        <f t="shared" si="35"/>
        <v>0</v>
      </c>
      <c r="AU43" s="208">
        <f t="shared" si="36"/>
        <v>0</v>
      </c>
      <c r="AV43" s="208">
        <f t="shared" si="37"/>
        <v>0</v>
      </c>
      <c r="AW43" s="208">
        <f t="shared" si="38"/>
        <v>0</v>
      </c>
      <c r="AX43" s="208">
        <f t="shared" si="39"/>
        <v>0</v>
      </c>
      <c r="AY43" s="208">
        <f t="shared" si="40"/>
        <v>0</v>
      </c>
      <c r="AZ43" s="208">
        <f t="shared" si="41"/>
        <v>0</v>
      </c>
      <c r="BA43" s="208">
        <f t="shared" si="42"/>
        <v>0</v>
      </c>
    </row>
    <row r="44" spans="1:53" s="39" customFormat="1" ht="24" customHeight="1">
      <c r="A44" s="38"/>
      <c r="B44" s="38"/>
      <c r="C44" s="128"/>
      <c r="D44" s="129" t="s">
        <v>181</v>
      </c>
      <c r="E44" s="117"/>
      <c r="F44" s="117"/>
      <c r="G44" s="118"/>
      <c r="H44" s="135"/>
      <c r="I44" s="104" t="str">
        <f>IF(F44="","",ROUNDDOWN(F44*H44,0))</f>
        <v/>
      </c>
      <c r="J44" s="64"/>
      <c r="K44" s="65"/>
      <c r="L44" s="66"/>
      <c r="O44" s="159"/>
      <c r="P44" s="160"/>
      <c r="Q44" s="286"/>
      <c r="R44" s="286"/>
      <c r="S44" s="286"/>
      <c r="T44" s="286"/>
      <c r="U44" s="286"/>
      <c r="V44" s="216"/>
      <c r="W44" s="216"/>
      <c r="X44" s="216"/>
      <c r="Y44" s="216"/>
      <c r="Z44" s="216"/>
      <c r="AA44" s="216"/>
      <c r="AB44" s="159"/>
      <c r="AC44" s="160"/>
      <c r="AD44" s="216"/>
      <c r="AE44" s="216"/>
      <c r="AF44" s="216"/>
      <c r="AG44" s="216"/>
      <c r="AI44" s="208">
        <f t="shared" si="43"/>
        <v>0</v>
      </c>
      <c r="AJ44" s="208">
        <f t="shared" si="25"/>
        <v>0</v>
      </c>
      <c r="AK44" s="208">
        <f t="shared" si="26"/>
        <v>0</v>
      </c>
      <c r="AL44" s="208">
        <f t="shared" si="27"/>
        <v>0</v>
      </c>
      <c r="AM44" s="208">
        <f t="shared" si="28"/>
        <v>0</v>
      </c>
      <c r="AN44" s="208">
        <f t="shared" si="29"/>
        <v>0</v>
      </c>
      <c r="AO44" s="208">
        <f t="shared" si="30"/>
        <v>0</v>
      </c>
      <c r="AP44" s="208">
        <f t="shared" si="31"/>
        <v>0</v>
      </c>
      <c r="AQ44" s="208">
        <f t="shared" si="32"/>
        <v>0</v>
      </c>
      <c r="AR44" s="208">
        <f t="shared" si="33"/>
        <v>0</v>
      </c>
      <c r="AS44" s="208">
        <f t="shared" si="34"/>
        <v>0</v>
      </c>
      <c r="AT44" s="208">
        <f t="shared" si="35"/>
        <v>0</v>
      </c>
      <c r="AU44" s="208">
        <f t="shared" si="36"/>
        <v>0</v>
      </c>
      <c r="AV44" s="208">
        <f t="shared" si="37"/>
        <v>0</v>
      </c>
      <c r="AW44" s="208">
        <f t="shared" si="38"/>
        <v>0</v>
      </c>
      <c r="AX44" s="208">
        <f t="shared" si="39"/>
        <v>0</v>
      </c>
      <c r="AY44" s="208">
        <f t="shared" si="40"/>
        <v>0</v>
      </c>
      <c r="AZ44" s="208">
        <f t="shared" si="41"/>
        <v>0</v>
      </c>
      <c r="BA44" s="208">
        <f t="shared" si="42"/>
        <v>0</v>
      </c>
    </row>
    <row r="45" spans="1:53" s="39" customFormat="1" ht="24" customHeight="1">
      <c r="A45" s="38"/>
      <c r="B45" s="38"/>
      <c r="C45" s="128"/>
      <c r="D45" s="129" t="s">
        <v>182</v>
      </c>
      <c r="E45" s="103" t="s">
        <v>196</v>
      </c>
      <c r="F45" s="117"/>
      <c r="G45" s="118"/>
      <c r="H45" s="135"/>
      <c r="I45" s="104" t="str">
        <f>IF(F45="","",ROUNDDOWN(F45*H45,0))</f>
        <v/>
      </c>
      <c r="J45" s="64"/>
      <c r="K45" s="65"/>
      <c r="L45" s="66"/>
      <c r="O45" s="159"/>
      <c r="P45" s="160"/>
      <c r="Q45" s="286"/>
      <c r="R45" s="286"/>
      <c r="S45" s="286"/>
      <c r="T45" s="286"/>
      <c r="U45" s="286"/>
      <c r="V45" s="216"/>
      <c r="W45" s="216"/>
      <c r="X45" s="216"/>
      <c r="Y45" s="216"/>
      <c r="Z45" s="216"/>
      <c r="AA45" s="216"/>
      <c r="AB45" s="159"/>
      <c r="AC45" s="160"/>
      <c r="AD45" s="216"/>
      <c r="AE45" s="216"/>
      <c r="AF45" s="216"/>
      <c r="AG45" s="216"/>
      <c r="AI45" s="208">
        <f t="shared" si="43"/>
        <v>0</v>
      </c>
      <c r="AJ45" s="208">
        <f t="shared" si="25"/>
        <v>0</v>
      </c>
      <c r="AK45" s="208">
        <f t="shared" si="26"/>
        <v>0</v>
      </c>
      <c r="AL45" s="208">
        <f t="shared" si="27"/>
        <v>0</v>
      </c>
      <c r="AM45" s="208">
        <f t="shared" si="28"/>
        <v>0</v>
      </c>
      <c r="AN45" s="208">
        <f t="shared" si="29"/>
        <v>0</v>
      </c>
      <c r="AO45" s="208">
        <f t="shared" si="30"/>
        <v>0</v>
      </c>
      <c r="AP45" s="208">
        <f t="shared" si="31"/>
        <v>0</v>
      </c>
      <c r="AQ45" s="208">
        <f t="shared" si="32"/>
        <v>0</v>
      </c>
      <c r="AR45" s="208">
        <f t="shared" si="33"/>
        <v>0</v>
      </c>
      <c r="AS45" s="208">
        <f t="shared" si="34"/>
        <v>0</v>
      </c>
      <c r="AT45" s="208">
        <f t="shared" si="35"/>
        <v>0</v>
      </c>
      <c r="AU45" s="208">
        <f t="shared" si="36"/>
        <v>0</v>
      </c>
      <c r="AV45" s="208">
        <f t="shared" si="37"/>
        <v>0</v>
      </c>
      <c r="AW45" s="208">
        <f t="shared" si="38"/>
        <v>0</v>
      </c>
      <c r="AX45" s="208">
        <f t="shared" si="39"/>
        <v>0</v>
      </c>
      <c r="AY45" s="208">
        <f t="shared" si="40"/>
        <v>0</v>
      </c>
      <c r="AZ45" s="208">
        <f t="shared" si="41"/>
        <v>0</v>
      </c>
      <c r="BA45" s="208">
        <f t="shared" si="42"/>
        <v>0</v>
      </c>
    </row>
    <row r="46" spans="1:53" s="39" customFormat="1" ht="24" customHeight="1">
      <c r="A46" s="38"/>
      <c r="B46" s="38"/>
      <c r="C46" s="128"/>
      <c r="D46" s="129"/>
      <c r="E46" s="103" t="s">
        <v>197</v>
      </c>
      <c r="F46" s="117"/>
      <c r="G46" s="118"/>
      <c r="H46" s="135"/>
      <c r="I46" s="104"/>
      <c r="J46" s="64"/>
      <c r="K46" s="65"/>
      <c r="L46" s="66"/>
      <c r="O46" s="159"/>
      <c r="P46" s="160"/>
      <c r="Q46" s="286"/>
      <c r="R46" s="286"/>
      <c r="S46" s="286"/>
      <c r="T46" s="286"/>
      <c r="U46" s="286"/>
      <c r="V46" s="216"/>
      <c r="W46" s="216"/>
      <c r="X46" s="216"/>
      <c r="Y46" s="216"/>
      <c r="Z46" s="216"/>
      <c r="AA46" s="216"/>
      <c r="AB46" s="159"/>
      <c r="AC46" s="160"/>
      <c r="AD46" s="216"/>
      <c r="AE46" s="216"/>
      <c r="AF46" s="216"/>
      <c r="AG46" s="216"/>
      <c r="AI46" s="208">
        <f t="shared" si="43"/>
        <v>0</v>
      </c>
      <c r="AJ46" s="208">
        <f t="shared" si="25"/>
        <v>0</v>
      </c>
      <c r="AK46" s="208">
        <f t="shared" si="26"/>
        <v>0</v>
      </c>
      <c r="AL46" s="208">
        <f t="shared" si="27"/>
        <v>0</v>
      </c>
      <c r="AM46" s="208">
        <f t="shared" si="28"/>
        <v>0</v>
      </c>
      <c r="AN46" s="208">
        <f t="shared" si="29"/>
        <v>0</v>
      </c>
      <c r="AO46" s="208">
        <f t="shared" si="30"/>
        <v>0</v>
      </c>
      <c r="AP46" s="208">
        <f t="shared" si="31"/>
        <v>0</v>
      </c>
      <c r="AQ46" s="208">
        <f t="shared" si="32"/>
        <v>0</v>
      </c>
      <c r="AR46" s="208">
        <f t="shared" si="33"/>
        <v>0</v>
      </c>
      <c r="AS46" s="208">
        <f t="shared" si="34"/>
        <v>0</v>
      </c>
      <c r="AT46" s="208">
        <f t="shared" si="35"/>
        <v>0</v>
      </c>
      <c r="AU46" s="208">
        <f t="shared" si="36"/>
        <v>0</v>
      </c>
      <c r="AV46" s="208">
        <f t="shared" si="37"/>
        <v>0</v>
      </c>
      <c r="AW46" s="208">
        <f t="shared" si="38"/>
        <v>0</v>
      </c>
      <c r="AX46" s="208">
        <f t="shared" si="39"/>
        <v>0</v>
      </c>
      <c r="AY46" s="208">
        <f t="shared" si="40"/>
        <v>0</v>
      </c>
      <c r="AZ46" s="208">
        <f t="shared" si="41"/>
        <v>0</v>
      </c>
      <c r="BA46" s="208">
        <f t="shared" si="42"/>
        <v>0</v>
      </c>
    </row>
    <row r="47" spans="1:53" ht="24" customHeight="1" thickBot="1">
      <c r="A47" s="38"/>
      <c r="B47" s="38"/>
      <c r="C47" s="106"/>
      <c r="D47" s="95" t="s">
        <v>8</v>
      </c>
      <c r="E47" s="107"/>
      <c r="F47" s="274"/>
      <c r="G47" s="121"/>
      <c r="H47" s="131" t="s">
        <v>90</v>
      </c>
      <c r="I47" s="210">
        <f>SUM(I29:I46)</f>
        <v>0</v>
      </c>
      <c r="J47" s="95" t="s">
        <v>91</v>
      </c>
      <c r="K47" s="95"/>
      <c r="L47" s="123"/>
      <c r="N47"/>
      <c r="O47" s="287">
        <f t="shared" ref="O47:AG47" si="44">AI47</f>
        <v>477.2</v>
      </c>
      <c r="P47" s="288">
        <f t="shared" si="44"/>
        <v>0</v>
      </c>
      <c r="Q47" s="289">
        <f t="shared" si="44"/>
        <v>0</v>
      </c>
      <c r="R47" s="289">
        <f t="shared" si="44"/>
        <v>0</v>
      </c>
      <c r="S47" s="289">
        <f t="shared" si="44"/>
        <v>0</v>
      </c>
      <c r="T47" s="289">
        <f t="shared" si="44"/>
        <v>0</v>
      </c>
      <c r="U47" s="289">
        <f t="shared" si="44"/>
        <v>0</v>
      </c>
      <c r="V47" s="290">
        <f t="shared" si="44"/>
        <v>0</v>
      </c>
      <c r="W47" s="290">
        <f t="shared" si="44"/>
        <v>0</v>
      </c>
      <c r="X47" s="290">
        <f t="shared" si="44"/>
        <v>0</v>
      </c>
      <c r="Y47" s="290">
        <f t="shared" si="44"/>
        <v>0</v>
      </c>
      <c r="Z47" s="290">
        <f t="shared" si="44"/>
        <v>0</v>
      </c>
      <c r="AA47" s="290">
        <f t="shared" si="44"/>
        <v>0</v>
      </c>
      <c r="AB47" s="287">
        <f t="shared" si="44"/>
        <v>0</v>
      </c>
      <c r="AC47" s="288">
        <f t="shared" si="44"/>
        <v>0</v>
      </c>
      <c r="AD47" s="290">
        <f t="shared" si="44"/>
        <v>0</v>
      </c>
      <c r="AE47" s="290">
        <f t="shared" si="44"/>
        <v>0</v>
      </c>
      <c r="AF47" s="290">
        <f t="shared" si="44"/>
        <v>0</v>
      </c>
      <c r="AG47" s="290">
        <f t="shared" si="44"/>
        <v>0</v>
      </c>
      <c r="AI47" s="209">
        <f t="shared" ref="AI47:BA47" si="45">SUM(AI29:AI46)</f>
        <v>477.2</v>
      </c>
      <c r="AJ47" s="209">
        <f t="shared" si="45"/>
        <v>0</v>
      </c>
      <c r="AK47" s="209">
        <f t="shared" si="45"/>
        <v>0</v>
      </c>
      <c r="AL47" s="209">
        <f t="shared" si="45"/>
        <v>0</v>
      </c>
      <c r="AM47" s="209">
        <f t="shared" si="45"/>
        <v>0</v>
      </c>
      <c r="AN47" s="209">
        <f t="shared" si="45"/>
        <v>0</v>
      </c>
      <c r="AO47" s="209">
        <f t="shared" si="45"/>
        <v>0</v>
      </c>
      <c r="AP47" s="209">
        <f t="shared" si="45"/>
        <v>0</v>
      </c>
      <c r="AQ47" s="209">
        <f t="shared" si="45"/>
        <v>0</v>
      </c>
      <c r="AR47" s="209">
        <f t="shared" si="45"/>
        <v>0</v>
      </c>
      <c r="AS47" s="209">
        <f t="shared" si="45"/>
        <v>0</v>
      </c>
      <c r="AT47" s="209">
        <f t="shared" si="45"/>
        <v>0</v>
      </c>
      <c r="AU47" s="209">
        <f t="shared" si="45"/>
        <v>0</v>
      </c>
      <c r="AV47" s="209">
        <f t="shared" si="45"/>
        <v>0</v>
      </c>
      <c r="AW47" s="209">
        <f t="shared" si="45"/>
        <v>0</v>
      </c>
      <c r="AX47" s="209">
        <f t="shared" si="45"/>
        <v>0</v>
      </c>
      <c r="AY47" s="209">
        <f t="shared" si="45"/>
        <v>0</v>
      </c>
      <c r="AZ47" s="209">
        <f t="shared" si="45"/>
        <v>0</v>
      </c>
      <c r="BA47" s="209">
        <f t="shared" si="45"/>
        <v>0</v>
      </c>
    </row>
    <row r="48" spans="1:53" ht="14.25" customHeight="1">
      <c r="E48" s="124" t="s">
        <v>88</v>
      </c>
      <c r="F48" s="125">
        <f>+F25+1</f>
        <v>2</v>
      </c>
      <c r="G48" s="126" t="s">
        <v>89</v>
      </c>
      <c r="H48" s="127">
        <f>+H25</f>
        <v>2</v>
      </c>
      <c r="I48" s="127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2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7"/>
  <sheetViews>
    <sheetView zoomScale="85" zoomScaleNormal="85" workbookViewId="0">
      <selection sqref="A1:M1"/>
    </sheetView>
  </sheetViews>
  <sheetFormatPr defaultRowHeight="20.100000000000001" customHeight="1"/>
  <cols>
    <col min="1" max="1" width="6.125" style="217" customWidth="1"/>
    <col min="2" max="3" width="4.125" style="217" customWidth="1"/>
    <col min="4" max="4" width="24" style="218" customWidth="1"/>
    <col min="5" max="5" width="21.125" style="218" customWidth="1"/>
    <col min="6" max="6" width="4.75" style="218" customWidth="1"/>
    <col min="7" max="7" width="4.375" style="217" customWidth="1"/>
    <col min="8" max="15" width="9.25" style="219" customWidth="1"/>
    <col min="16" max="16" width="9.25" style="218" bestFit="1" customWidth="1"/>
    <col min="17" max="17" width="5.875" style="218" customWidth="1"/>
    <col min="18" max="20" width="10.625" style="218" customWidth="1"/>
    <col min="21" max="16384" width="9" style="218"/>
  </cols>
  <sheetData>
    <row r="1" spans="1:17" s="20" customFormat="1" ht="20.100000000000001" customHeight="1" thickBot="1">
      <c r="A1" s="2737" t="s">
        <v>15</v>
      </c>
      <c r="B1" s="2737"/>
      <c r="C1" s="2737"/>
      <c r="D1" s="2737"/>
      <c r="E1" s="2737"/>
      <c r="F1" s="2737"/>
      <c r="G1" s="2737"/>
      <c r="H1" s="2737"/>
      <c r="I1" s="2737"/>
      <c r="J1" s="2737"/>
      <c r="K1" s="2737"/>
      <c r="L1" s="2737"/>
      <c r="M1" s="2737"/>
      <c r="N1" s="24" t="s">
        <v>87</v>
      </c>
      <c r="O1" s="220">
        <v>1</v>
      </c>
      <c r="P1" s="20" t="s">
        <v>62</v>
      </c>
      <c r="Q1" s="1">
        <f>VLOOKUP("EOL",$N$27:$O$65536,2,FALSE)</f>
        <v>1</v>
      </c>
    </row>
    <row r="2" spans="1:17" s="24" customFormat="1" ht="20.100000000000001" customHeight="1">
      <c r="A2" s="21"/>
      <c r="B2" s="22" t="s">
        <v>16</v>
      </c>
      <c r="C2" s="23" t="s">
        <v>18</v>
      </c>
      <c r="D2" s="23"/>
      <c r="E2" s="75"/>
      <c r="F2" s="55"/>
      <c r="G2" s="70"/>
      <c r="H2" s="2738" t="s">
        <v>189</v>
      </c>
      <c r="I2" s="2739"/>
      <c r="J2" s="2739" t="s">
        <v>190</v>
      </c>
      <c r="K2" s="2740"/>
      <c r="L2" s="2739" t="s">
        <v>25</v>
      </c>
      <c r="M2" s="2741"/>
      <c r="N2" s="2735" t="str">
        <f>IF(G53="",IF(O26=I26,H2,IF(O26=K26,J2,L2)),N29)</f>
        <v>B:YKKap㈱</v>
      </c>
      <c r="O2" s="2736"/>
    </row>
    <row r="3" spans="1:17" s="24" customFormat="1" ht="20.100000000000001" customHeight="1" thickBot="1">
      <c r="A3" s="25" t="s">
        <v>26</v>
      </c>
      <c r="B3" s="26" t="s">
        <v>17</v>
      </c>
      <c r="C3" s="27" t="s">
        <v>17</v>
      </c>
      <c r="D3" s="27" t="s">
        <v>19</v>
      </c>
      <c r="E3" s="76" t="s">
        <v>20</v>
      </c>
      <c r="F3" s="56" t="s">
        <v>21</v>
      </c>
      <c r="G3" s="71" t="s">
        <v>22</v>
      </c>
      <c r="H3" s="467" t="s">
        <v>23</v>
      </c>
      <c r="I3" s="468" t="s">
        <v>24</v>
      </c>
      <c r="J3" s="469" t="s">
        <v>23</v>
      </c>
      <c r="K3" s="468" t="s">
        <v>24</v>
      </c>
      <c r="L3" s="469" t="s">
        <v>23</v>
      </c>
      <c r="M3" s="468" t="s">
        <v>24</v>
      </c>
      <c r="N3" s="467" t="s">
        <v>27</v>
      </c>
      <c r="O3" s="470" t="s">
        <v>28</v>
      </c>
    </row>
    <row r="4" spans="1:17" s="20" customFormat="1" ht="20.100000000000001" customHeight="1">
      <c r="A4" s="52"/>
      <c r="B4" s="87"/>
      <c r="C4" s="88"/>
      <c r="D4" s="67"/>
      <c r="E4" s="77"/>
      <c r="F4" s="57"/>
      <c r="G4" s="72"/>
      <c r="H4" s="471"/>
      <c r="I4" s="472" t="str">
        <f t="shared" ref="I4:I25" si="0">IF(H4="","",ROUNDDOWN(H4*F4,0))</f>
        <v/>
      </c>
      <c r="J4" s="473"/>
      <c r="K4" s="472" t="str">
        <f t="shared" ref="K4:K25" si="1">IF(J4="","",ROUNDDOWN(J4*$F4,0))</f>
        <v/>
      </c>
      <c r="L4" s="473"/>
      <c r="M4" s="474" t="str">
        <f t="shared" ref="M4:M25" si="2">IF(L4="","",ROUNDDOWN(L4*$F4,0))</f>
        <v/>
      </c>
      <c r="N4" s="471" t="str">
        <f>IF(F4="","",INT(HLOOKUP(N2,H2:M25,3,FALSE)*O1))</f>
        <v/>
      </c>
      <c r="O4" s="475" t="str">
        <f>IF(N4="","",IF(N4&lt;10,INT(N4),IF(N4&lt;10000,ROUNDDOWN(N4,-1),ROUNDDOWN(N4,-2))))</f>
        <v/>
      </c>
    </row>
    <row r="5" spans="1:17" s="20" customFormat="1" ht="20.100000000000001" customHeight="1">
      <c r="A5" s="53">
        <v>500</v>
      </c>
      <c r="B5" s="89">
        <v>1</v>
      </c>
      <c r="C5" s="90">
        <v>1</v>
      </c>
      <c r="D5" s="68" t="s">
        <v>186</v>
      </c>
      <c r="E5" s="78" t="s">
        <v>187</v>
      </c>
      <c r="F5" s="59">
        <v>1</v>
      </c>
      <c r="G5" s="73" t="s">
        <v>188</v>
      </c>
      <c r="H5" s="476">
        <v>110000</v>
      </c>
      <c r="I5" s="477">
        <f t="shared" si="0"/>
        <v>110000</v>
      </c>
      <c r="J5" s="478">
        <v>105400</v>
      </c>
      <c r="K5" s="477">
        <f t="shared" si="1"/>
        <v>105400</v>
      </c>
      <c r="L5" s="478"/>
      <c r="M5" s="479" t="str">
        <f t="shared" si="2"/>
        <v/>
      </c>
      <c r="N5" s="476">
        <f>IF(F5="","",INT(HLOOKUP(N2,H2:M25,4,FALSE)*O1))</f>
        <v>105400</v>
      </c>
      <c r="O5" s="480">
        <f t="shared" ref="O5:O25" si="3">IF(N5="","",IF(N5&lt;10,INT(N5),IF(N5&lt;10000,ROUNDDOWN(N5,-1),ROUNDDOWN(N5,-2))))</f>
        <v>105400</v>
      </c>
    </row>
    <row r="6" spans="1:17" s="20" customFormat="1" ht="20.100000000000001" customHeight="1">
      <c r="A6" s="53"/>
      <c r="B6" s="89"/>
      <c r="C6" s="90"/>
      <c r="D6" s="68"/>
      <c r="E6" s="78"/>
      <c r="F6" s="59"/>
      <c r="G6" s="73"/>
      <c r="H6" s="476"/>
      <c r="I6" s="477" t="str">
        <f t="shared" si="0"/>
        <v/>
      </c>
      <c r="J6" s="478"/>
      <c r="K6" s="477" t="str">
        <f t="shared" si="1"/>
        <v/>
      </c>
      <c r="L6" s="478"/>
      <c r="M6" s="479" t="str">
        <f t="shared" si="2"/>
        <v/>
      </c>
      <c r="N6" s="476" t="str">
        <f>IF(F6="","",INT(HLOOKUP(N2,H2:M25,5,FALSE)*O1))</f>
        <v/>
      </c>
      <c r="O6" s="480" t="str">
        <f t="shared" si="3"/>
        <v/>
      </c>
    </row>
    <row r="7" spans="1:17" s="20" customFormat="1" ht="20.100000000000001" customHeight="1">
      <c r="A7" s="53"/>
      <c r="B7" s="89"/>
      <c r="C7" s="90"/>
      <c r="D7" s="68"/>
      <c r="E7" s="78"/>
      <c r="F7" s="59"/>
      <c r="G7" s="73"/>
      <c r="H7" s="476"/>
      <c r="I7" s="477" t="str">
        <f t="shared" si="0"/>
        <v/>
      </c>
      <c r="J7" s="478"/>
      <c r="K7" s="477" t="str">
        <f t="shared" si="1"/>
        <v/>
      </c>
      <c r="L7" s="478"/>
      <c r="M7" s="479" t="str">
        <f t="shared" si="2"/>
        <v/>
      </c>
      <c r="N7" s="476" t="str">
        <f>IF(F7="","",INT(HLOOKUP(N2,H2:M25,6,FALSE)*O1))</f>
        <v/>
      </c>
      <c r="O7" s="480" t="str">
        <f t="shared" si="3"/>
        <v/>
      </c>
    </row>
    <row r="8" spans="1:17" s="20" customFormat="1" ht="20.100000000000001" customHeight="1">
      <c r="A8" s="53"/>
      <c r="B8" s="89"/>
      <c r="C8" s="90"/>
      <c r="D8" s="68"/>
      <c r="E8" s="78"/>
      <c r="F8" s="59"/>
      <c r="G8" s="73"/>
      <c r="H8" s="476"/>
      <c r="I8" s="477" t="str">
        <f t="shared" si="0"/>
        <v/>
      </c>
      <c r="J8" s="478"/>
      <c r="K8" s="477" t="str">
        <f t="shared" si="1"/>
        <v/>
      </c>
      <c r="L8" s="478"/>
      <c r="M8" s="479" t="str">
        <f t="shared" si="2"/>
        <v/>
      </c>
      <c r="N8" s="476" t="str">
        <f>IF(F8="","",INT(HLOOKUP(N2,H2:M25,7,FALSE)*O1))</f>
        <v/>
      </c>
      <c r="O8" s="480" t="str">
        <f t="shared" si="3"/>
        <v/>
      </c>
    </row>
    <row r="9" spans="1:17" s="20" customFormat="1" ht="20.100000000000001" customHeight="1">
      <c r="A9" s="53"/>
      <c r="B9" s="89"/>
      <c r="C9" s="90"/>
      <c r="D9" s="68"/>
      <c r="E9" s="78"/>
      <c r="F9" s="59"/>
      <c r="G9" s="73"/>
      <c r="H9" s="476"/>
      <c r="I9" s="477" t="str">
        <f t="shared" si="0"/>
        <v/>
      </c>
      <c r="J9" s="478"/>
      <c r="K9" s="477" t="str">
        <f t="shared" si="1"/>
        <v/>
      </c>
      <c r="L9" s="478"/>
      <c r="M9" s="479" t="str">
        <f t="shared" si="2"/>
        <v/>
      </c>
      <c r="N9" s="476" t="str">
        <f>IF(F9="","",INT(HLOOKUP(N2,H2:M25,8,FALSE)*O1))</f>
        <v/>
      </c>
      <c r="O9" s="480" t="str">
        <f t="shared" si="3"/>
        <v/>
      </c>
    </row>
    <row r="10" spans="1:17" s="20" customFormat="1" ht="20.100000000000001" customHeight="1">
      <c r="A10" s="53"/>
      <c r="B10" s="89"/>
      <c r="C10" s="90"/>
      <c r="D10" s="68"/>
      <c r="E10" s="78"/>
      <c r="F10" s="59"/>
      <c r="G10" s="73"/>
      <c r="H10" s="476"/>
      <c r="I10" s="477" t="str">
        <f t="shared" si="0"/>
        <v/>
      </c>
      <c r="J10" s="478"/>
      <c r="K10" s="477" t="str">
        <f t="shared" si="1"/>
        <v/>
      </c>
      <c r="L10" s="478"/>
      <c r="M10" s="479" t="str">
        <f t="shared" si="2"/>
        <v/>
      </c>
      <c r="N10" s="476" t="str">
        <f>IF(F10="","",INT(HLOOKUP(N2,H2:M25,9,FALSE)*O1))</f>
        <v/>
      </c>
      <c r="O10" s="480" t="str">
        <f t="shared" si="3"/>
        <v/>
      </c>
    </row>
    <row r="11" spans="1:17" s="20" customFormat="1" ht="20.100000000000001" customHeight="1">
      <c r="A11" s="53"/>
      <c r="B11" s="89"/>
      <c r="C11" s="90"/>
      <c r="D11" s="68"/>
      <c r="E11" s="78"/>
      <c r="F11" s="59"/>
      <c r="G11" s="73"/>
      <c r="H11" s="476"/>
      <c r="I11" s="477" t="str">
        <f t="shared" si="0"/>
        <v/>
      </c>
      <c r="J11" s="478"/>
      <c r="K11" s="477" t="str">
        <f t="shared" si="1"/>
        <v/>
      </c>
      <c r="L11" s="478"/>
      <c r="M11" s="479" t="str">
        <f t="shared" si="2"/>
        <v/>
      </c>
      <c r="N11" s="476" t="str">
        <f>IF(F11="","",INT(HLOOKUP(N2,H2:M25,10,FALSE)*O1))</f>
        <v/>
      </c>
      <c r="O11" s="480" t="str">
        <f t="shared" si="3"/>
        <v/>
      </c>
    </row>
    <row r="12" spans="1:17" s="20" customFormat="1" ht="20.100000000000001" customHeight="1">
      <c r="A12" s="53"/>
      <c r="B12" s="89"/>
      <c r="C12" s="90"/>
      <c r="D12" s="68"/>
      <c r="E12" s="78"/>
      <c r="F12" s="59"/>
      <c r="G12" s="73"/>
      <c r="H12" s="476"/>
      <c r="I12" s="477" t="str">
        <f t="shared" si="0"/>
        <v/>
      </c>
      <c r="J12" s="478"/>
      <c r="K12" s="477" t="str">
        <f t="shared" si="1"/>
        <v/>
      </c>
      <c r="L12" s="478"/>
      <c r="M12" s="479" t="str">
        <f t="shared" si="2"/>
        <v/>
      </c>
      <c r="N12" s="476" t="str">
        <f>IF(F12="","",INT(HLOOKUP(N2,H2:M25,11,FALSE)*O1))</f>
        <v/>
      </c>
      <c r="O12" s="480" t="str">
        <f t="shared" si="3"/>
        <v/>
      </c>
    </row>
    <row r="13" spans="1:17" s="20" customFormat="1" ht="20.100000000000001" customHeight="1">
      <c r="A13" s="53"/>
      <c r="B13" s="89"/>
      <c r="C13" s="90"/>
      <c r="D13" s="68"/>
      <c r="E13" s="78"/>
      <c r="F13" s="59"/>
      <c r="G13" s="73"/>
      <c r="H13" s="476"/>
      <c r="I13" s="477" t="str">
        <f t="shared" si="0"/>
        <v/>
      </c>
      <c r="J13" s="478"/>
      <c r="K13" s="477" t="str">
        <f t="shared" si="1"/>
        <v/>
      </c>
      <c r="L13" s="478"/>
      <c r="M13" s="479" t="str">
        <f t="shared" si="2"/>
        <v/>
      </c>
      <c r="N13" s="476" t="str">
        <f>IF(F13="","",INT(HLOOKUP(N2,H2:M25,12,FALSE)*O1))</f>
        <v/>
      </c>
      <c r="O13" s="480" t="str">
        <f t="shared" si="3"/>
        <v/>
      </c>
    </row>
    <row r="14" spans="1:17" s="20" customFormat="1" ht="20.100000000000001" customHeight="1">
      <c r="A14" s="53"/>
      <c r="B14" s="89"/>
      <c r="C14" s="90"/>
      <c r="D14" s="68"/>
      <c r="E14" s="78"/>
      <c r="F14" s="59"/>
      <c r="G14" s="73"/>
      <c r="H14" s="476"/>
      <c r="I14" s="477" t="str">
        <f t="shared" si="0"/>
        <v/>
      </c>
      <c r="J14" s="478"/>
      <c r="K14" s="477" t="str">
        <f t="shared" si="1"/>
        <v/>
      </c>
      <c r="L14" s="478"/>
      <c r="M14" s="479" t="str">
        <f t="shared" si="2"/>
        <v/>
      </c>
      <c r="N14" s="476" t="str">
        <f>IF(F14="","",INT(HLOOKUP(N2,H2:M25,13,FALSE)*O1))</f>
        <v/>
      </c>
      <c r="O14" s="480" t="str">
        <f t="shared" si="3"/>
        <v/>
      </c>
    </row>
    <row r="15" spans="1:17" s="20" customFormat="1" ht="20.100000000000001" customHeight="1">
      <c r="A15" s="53"/>
      <c r="B15" s="89"/>
      <c r="C15" s="90"/>
      <c r="D15" s="68"/>
      <c r="E15" s="78"/>
      <c r="F15" s="59"/>
      <c r="G15" s="73"/>
      <c r="H15" s="476"/>
      <c r="I15" s="477" t="str">
        <f t="shared" si="0"/>
        <v/>
      </c>
      <c r="J15" s="478"/>
      <c r="K15" s="477" t="str">
        <f t="shared" si="1"/>
        <v/>
      </c>
      <c r="L15" s="478"/>
      <c r="M15" s="479" t="str">
        <f t="shared" si="2"/>
        <v/>
      </c>
      <c r="N15" s="476" t="str">
        <f>IF(F15="","",INT(HLOOKUP(N2,H2:M25,14,FALSE)*O1))</f>
        <v/>
      </c>
      <c r="O15" s="480" t="str">
        <f t="shared" si="3"/>
        <v/>
      </c>
    </row>
    <row r="16" spans="1:17" s="20" customFormat="1" ht="20.100000000000001" customHeight="1">
      <c r="A16" s="53"/>
      <c r="B16" s="89"/>
      <c r="C16" s="90"/>
      <c r="D16" s="68"/>
      <c r="E16" s="78"/>
      <c r="F16" s="59"/>
      <c r="G16" s="73"/>
      <c r="H16" s="476"/>
      <c r="I16" s="477" t="str">
        <f t="shared" si="0"/>
        <v/>
      </c>
      <c r="J16" s="478"/>
      <c r="K16" s="477" t="str">
        <f t="shared" si="1"/>
        <v/>
      </c>
      <c r="L16" s="478"/>
      <c r="M16" s="479" t="str">
        <f t="shared" si="2"/>
        <v/>
      </c>
      <c r="N16" s="476" t="str">
        <f>IF(F16="","",INT(HLOOKUP(N2,H2:M25,15,FALSE)*O1))</f>
        <v/>
      </c>
      <c r="O16" s="480" t="str">
        <f t="shared" si="3"/>
        <v/>
      </c>
    </row>
    <row r="17" spans="1:15" s="20" customFormat="1" ht="20.100000000000001" customHeight="1">
      <c r="A17" s="53"/>
      <c r="B17" s="89"/>
      <c r="C17" s="90"/>
      <c r="D17" s="68"/>
      <c r="E17" s="78"/>
      <c r="F17" s="59"/>
      <c r="G17" s="73"/>
      <c r="H17" s="476"/>
      <c r="I17" s="477" t="str">
        <f t="shared" si="0"/>
        <v/>
      </c>
      <c r="J17" s="478"/>
      <c r="K17" s="477" t="str">
        <f t="shared" si="1"/>
        <v/>
      </c>
      <c r="L17" s="478"/>
      <c r="M17" s="479" t="str">
        <f t="shared" si="2"/>
        <v/>
      </c>
      <c r="N17" s="476" t="str">
        <f>IF(F17="","",INT(HLOOKUP(N2,H2:M25,16,FALSE)*O1))</f>
        <v/>
      </c>
      <c r="O17" s="480" t="str">
        <f t="shared" si="3"/>
        <v/>
      </c>
    </row>
    <row r="18" spans="1:15" s="20" customFormat="1" ht="20.100000000000001" customHeight="1">
      <c r="A18" s="53"/>
      <c r="B18" s="89"/>
      <c r="C18" s="90"/>
      <c r="D18" s="68"/>
      <c r="E18" s="78"/>
      <c r="F18" s="59"/>
      <c r="G18" s="73"/>
      <c r="H18" s="476"/>
      <c r="I18" s="477" t="str">
        <f t="shared" si="0"/>
        <v/>
      </c>
      <c r="J18" s="478"/>
      <c r="K18" s="477" t="str">
        <f t="shared" si="1"/>
        <v/>
      </c>
      <c r="L18" s="478"/>
      <c r="M18" s="479" t="str">
        <f t="shared" si="2"/>
        <v/>
      </c>
      <c r="N18" s="476" t="str">
        <f>IF(F18="","",INT(HLOOKUP(N2,H2:M25,17,FALSE)*O1))</f>
        <v/>
      </c>
      <c r="O18" s="480" t="str">
        <f t="shared" si="3"/>
        <v/>
      </c>
    </row>
    <row r="19" spans="1:15" s="20" customFormat="1" ht="20.100000000000001" customHeight="1">
      <c r="A19" s="53"/>
      <c r="B19" s="89"/>
      <c r="C19" s="90"/>
      <c r="D19" s="68"/>
      <c r="E19" s="78"/>
      <c r="F19" s="59"/>
      <c r="G19" s="73"/>
      <c r="H19" s="476"/>
      <c r="I19" s="477" t="str">
        <f t="shared" si="0"/>
        <v/>
      </c>
      <c r="J19" s="478"/>
      <c r="K19" s="477" t="str">
        <f t="shared" si="1"/>
        <v/>
      </c>
      <c r="L19" s="478"/>
      <c r="M19" s="479" t="str">
        <f t="shared" si="2"/>
        <v/>
      </c>
      <c r="N19" s="476" t="str">
        <f>IF(F19="","",INT(HLOOKUP(N2,H2:M25,18,FALSE)*O1))</f>
        <v/>
      </c>
      <c r="O19" s="480" t="str">
        <f t="shared" si="3"/>
        <v/>
      </c>
    </row>
    <row r="20" spans="1:15" s="20" customFormat="1" ht="20.100000000000001" customHeight="1">
      <c r="A20" s="53"/>
      <c r="B20" s="89"/>
      <c r="C20" s="90"/>
      <c r="D20" s="68"/>
      <c r="E20" s="78"/>
      <c r="F20" s="59"/>
      <c r="G20" s="73"/>
      <c r="H20" s="476"/>
      <c r="I20" s="477" t="str">
        <f t="shared" si="0"/>
        <v/>
      </c>
      <c r="J20" s="478"/>
      <c r="K20" s="477" t="str">
        <f t="shared" si="1"/>
        <v/>
      </c>
      <c r="L20" s="478"/>
      <c r="M20" s="479" t="str">
        <f t="shared" si="2"/>
        <v/>
      </c>
      <c r="N20" s="476" t="str">
        <f>IF(F20="","",INT(HLOOKUP(N2,H2:M25,19,FALSE)*O1))</f>
        <v/>
      </c>
      <c r="O20" s="480" t="str">
        <f t="shared" si="3"/>
        <v/>
      </c>
    </row>
    <row r="21" spans="1:15" s="20" customFormat="1" ht="20.100000000000001" customHeight="1">
      <c r="A21" s="53"/>
      <c r="B21" s="89"/>
      <c r="C21" s="90"/>
      <c r="D21" s="68"/>
      <c r="E21" s="78"/>
      <c r="F21" s="59"/>
      <c r="G21" s="73"/>
      <c r="H21" s="476"/>
      <c r="I21" s="477" t="str">
        <f t="shared" si="0"/>
        <v/>
      </c>
      <c r="J21" s="478"/>
      <c r="K21" s="477" t="str">
        <f t="shared" si="1"/>
        <v/>
      </c>
      <c r="L21" s="478"/>
      <c r="M21" s="479" t="str">
        <f t="shared" si="2"/>
        <v/>
      </c>
      <c r="N21" s="476" t="str">
        <f>IF(F21="","",INT(HLOOKUP(N2,H2:M25,20,FALSE)*O1))</f>
        <v/>
      </c>
      <c r="O21" s="480" t="str">
        <f t="shared" si="3"/>
        <v/>
      </c>
    </row>
    <row r="22" spans="1:15" s="20" customFormat="1" ht="20.100000000000001" customHeight="1">
      <c r="A22" s="53"/>
      <c r="B22" s="89"/>
      <c r="C22" s="90"/>
      <c r="D22" s="68"/>
      <c r="E22" s="78"/>
      <c r="F22" s="59"/>
      <c r="G22" s="73"/>
      <c r="H22" s="476"/>
      <c r="I22" s="477" t="str">
        <f t="shared" si="0"/>
        <v/>
      </c>
      <c r="J22" s="478"/>
      <c r="K22" s="477" t="str">
        <f t="shared" si="1"/>
        <v/>
      </c>
      <c r="L22" s="478"/>
      <c r="M22" s="479" t="str">
        <f t="shared" si="2"/>
        <v/>
      </c>
      <c r="N22" s="476" t="str">
        <f>IF(F22="","",INT(HLOOKUP(N2,H2:M25,21,FALSE)*O1))</f>
        <v/>
      </c>
      <c r="O22" s="480" t="str">
        <f t="shared" si="3"/>
        <v/>
      </c>
    </row>
    <row r="23" spans="1:15" s="20" customFormat="1" ht="20.100000000000001" customHeight="1">
      <c r="A23" s="53"/>
      <c r="B23" s="89"/>
      <c r="C23" s="90"/>
      <c r="D23" s="68"/>
      <c r="E23" s="78"/>
      <c r="F23" s="59"/>
      <c r="G23" s="73"/>
      <c r="H23" s="476"/>
      <c r="I23" s="477" t="str">
        <f t="shared" si="0"/>
        <v/>
      </c>
      <c r="J23" s="478"/>
      <c r="K23" s="477" t="str">
        <f t="shared" si="1"/>
        <v/>
      </c>
      <c r="L23" s="478"/>
      <c r="M23" s="479" t="str">
        <f t="shared" si="2"/>
        <v/>
      </c>
      <c r="N23" s="476" t="str">
        <f>IF(F23="","",INT(HLOOKUP(N2,H2:M25,22,FALSE)*O1))</f>
        <v/>
      </c>
      <c r="O23" s="480" t="str">
        <f t="shared" si="3"/>
        <v/>
      </c>
    </row>
    <row r="24" spans="1:15" s="20" customFormat="1" ht="20.100000000000001" customHeight="1">
      <c r="A24" s="53"/>
      <c r="B24" s="89"/>
      <c r="C24" s="90"/>
      <c r="D24" s="68"/>
      <c r="E24" s="78"/>
      <c r="F24" s="59"/>
      <c r="G24" s="73"/>
      <c r="H24" s="476"/>
      <c r="I24" s="477" t="str">
        <f t="shared" si="0"/>
        <v/>
      </c>
      <c r="J24" s="478"/>
      <c r="K24" s="477" t="str">
        <f t="shared" si="1"/>
        <v/>
      </c>
      <c r="L24" s="478"/>
      <c r="M24" s="479" t="str">
        <f t="shared" si="2"/>
        <v/>
      </c>
      <c r="N24" s="476" t="str">
        <f>IF(F24="","",INT(HLOOKUP(N2,H2:M25,23,FALSE)*O1))</f>
        <v/>
      </c>
      <c r="O24" s="480" t="str">
        <f t="shared" si="3"/>
        <v/>
      </c>
    </row>
    <row r="25" spans="1:15" s="20" customFormat="1" ht="20.100000000000001" customHeight="1" thickBot="1">
      <c r="A25" s="54"/>
      <c r="B25" s="91"/>
      <c r="C25" s="92"/>
      <c r="D25" s="69"/>
      <c r="E25" s="79"/>
      <c r="F25" s="60"/>
      <c r="G25" s="74"/>
      <c r="H25" s="481"/>
      <c r="I25" s="482" t="str">
        <f t="shared" si="0"/>
        <v/>
      </c>
      <c r="J25" s="483"/>
      <c r="K25" s="482" t="str">
        <f t="shared" si="1"/>
        <v/>
      </c>
      <c r="L25" s="483"/>
      <c r="M25" s="484" t="str">
        <f t="shared" si="2"/>
        <v/>
      </c>
      <c r="N25" s="481" t="str">
        <f>IF(F25="","",INT(HLOOKUP(N2,H2:M25,24,FALSE)*O1))</f>
        <v/>
      </c>
      <c r="O25" s="485" t="str">
        <f t="shared" si="3"/>
        <v/>
      </c>
    </row>
    <row r="26" spans="1:15" s="20" customFormat="1" ht="20.100000000000001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61</v>
      </c>
      <c r="F26" s="31"/>
      <c r="G26" s="51"/>
      <c r="H26" s="486"/>
      <c r="I26" s="487">
        <f>IF($G26="",IF(SUM(I4:I25)=0,"",SUM(I4:I25)),IF(#REF!="","",SUM(I4:I25)+#REF!))</f>
        <v>110000</v>
      </c>
      <c r="J26" s="488"/>
      <c r="K26" s="487">
        <f>IF(G26="",IF(SUM(K4:K25)=0,"",SUM(K4:K25)),IF(#REF!="","",SUM(K4:K25)+#REF!))</f>
        <v>105400</v>
      </c>
      <c r="L26" s="488"/>
      <c r="M26" s="489" t="str">
        <f>IF(G26="",IF(SUM(M4:M25)=0,"",SUM(M4:M25)),IF(#REF!="","",SUM(M4:M25)+#REF!))</f>
        <v/>
      </c>
      <c r="N26" s="490" t="s">
        <v>29</v>
      </c>
      <c r="O26" s="491">
        <f>IF(G53="",MIN(I26,K26,M26),"")</f>
        <v>105400</v>
      </c>
    </row>
    <row r="27" spans="1:15" s="20" customFormat="1" ht="20.100000000000001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>EOL</v>
      </c>
      <c r="O27" s="32">
        <v>1</v>
      </c>
    </row>
  </sheetData>
  <mergeCells count="5">
    <mergeCell ref="N2:O2"/>
    <mergeCell ref="A1:M1"/>
    <mergeCell ref="H2:I2"/>
    <mergeCell ref="J2:K2"/>
    <mergeCell ref="L2:M2"/>
  </mergeCells>
  <phoneticPr fontId="2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27"/>
  <sheetViews>
    <sheetView zoomScale="80" zoomScaleNormal="75" workbookViewId="0">
      <selection sqref="A1:L1"/>
    </sheetView>
  </sheetViews>
  <sheetFormatPr defaultRowHeight="20.100000000000001" customHeight="1"/>
  <cols>
    <col min="1" max="1" width="4.5" style="24" customWidth="1"/>
    <col min="2" max="3" width="3.25" style="24" customWidth="1"/>
    <col min="4" max="4" width="16.625" style="20" customWidth="1"/>
    <col min="5" max="5" width="16.5" style="20" customWidth="1"/>
    <col min="6" max="6" width="4.125" style="20" customWidth="1"/>
    <col min="7" max="7" width="4.125" style="24" customWidth="1"/>
    <col min="8" max="9" width="6.5" style="32" customWidth="1"/>
    <col min="10" max="11" width="3.25" style="24" customWidth="1"/>
    <col min="12" max="13" width="16.625" style="20" customWidth="1"/>
    <col min="14" max="14" width="4.125" style="20" customWidth="1"/>
    <col min="15" max="15" width="4" style="24" customWidth="1"/>
    <col min="16" max="20" width="6.5" style="32" customWidth="1"/>
    <col min="21" max="21" width="9.25" style="20" bestFit="1" customWidth="1"/>
    <col min="22" max="22" width="5.875" style="20" customWidth="1"/>
    <col min="23" max="25" width="10.625" style="20" customWidth="1"/>
    <col min="26" max="16384" width="9" style="20"/>
  </cols>
  <sheetData>
    <row r="1" spans="1:22" ht="20.100000000000001" customHeight="1" thickBot="1">
      <c r="A1" s="2742" t="s">
        <v>246</v>
      </c>
      <c r="B1" s="2742"/>
      <c r="C1" s="2742"/>
      <c r="D1" s="2742"/>
      <c r="E1" s="2742"/>
      <c r="F1" s="2742"/>
      <c r="G1" s="2742"/>
      <c r="H1" s="2742"/>
      <c r="I1" s="2742"/>
      <c r="J1" s="2742"/>
      <c r="K1" s="2742"/>
      <c r="L1" s="2742"/>
      <c r="M1" s="236" t="s">
        <v>209</v>
      </c>
      <c r="N1" s="2743" t="s">
        <v>295</v>
      </c>
      <c r="O1" s="2743"/>
      <c r="P1" s="2743"/>
      <c r="Q1" s="237"/>
      <c r="R1" s="20"/>
      <c r="S1" s="1"/>
      <c r="T1" s="20"/>
      <c r="U1" s="20" t="s">
        <v>62</v>
      </c>
      <c r="V1" s="1">
        <f>VLOOKUP("EOL",$N$1:$O$65509,2,FALSE)</f>
        <v>1</v>
      </c>
    </row>
    <row r="2" spans="1:22" s="24" customFormat="1" ht="20.100000000000001" customHeight="1">
      <c r="A2" s="292"/>
      <c r="B2" s="409"/>
      <c r="C2" s="409"/>
      <c r="D2" s="2744" t="s">
        <v>211</v>
      </c>
      <c r="E2" s="2744"/>
      <c r="F2" s="2744"/>
      <c r="G2" s="2744"/>
      <c r="H2" s="414"/>
      <c r="I2" s="415"/>
      <c r="J2" s="2747" t="s">
        <v>294</v>
      </c>
      <c r="K2" s="2748"/>
      <c r="L2" s="2748"/>
      <c r="M2" s="2748"/>
      <c r="N2" s="2748"/>
      <c r="O2" s="2748"/>
      <c r="P2" s="2748"/>
      <c r="Q2" s="2748"/>
      <c r="R2" s="2748"/>
      <c r="S2" s="2748"/>
      <c r="T2" s="2749"/>
    </row>
    <row r="3" spans="1:22" s="24" customFormat="1" ht="20.100000000000001" customHeight="1" thickBot="1">
      <c r="A3" s="293"/>
      <c r="B3" s="294"/>
      <c r="C3" s="294"/>
      <c r="D3" s="295"/>
      <c r="E3" s="296" t="s">
        <v>247</v>
      </c>
      <c r="F3" s="2745">
        <v>1</v>
      </c>
      <c r="G3" s="2746"/>
      <c r="H3" s="416"/>
      <c r="I3" s="417"/>
      <c r="J3" s="2750"/>
      <c r="K3" s="2751"/>
      <c r="L3" s="2751"/>
      <c r="M3" s="2751"/>
      <c r="N3" s="2751"/>
      <c r="O3" s="2751"/>
      <c r="P3" s="2751"/>
      <c r="Q3" s="2751"/>
      <c r="R3" s="2751"/>
      <c r="S3" s="2751"/>
      <c r="T3" s="2752"/>
    </row>
    <row r="4" spans="1:22" ht="20.100000000000001" customHeight="1">
      <c r="A4" s="298" t="s">
        <v>248</v>
      </c>
      <c r="B4" s="299" t="s">
        <v>249</v>
      </c>
      <c r="C4" s="300" t="s">
        <v>250</v>
      </c>
      <c r="D4" s="301"/>
      <c r="E4" s="302"/>
      <c r="F4" s="302"/>
      <c r="G4" s="303"/>
      <c r="H4" s="239" t="s">
        <v>2510</v>
      </c>
      <c r="I4" s="240" t="s">
        <v>213</v>
      </c>
      <c r="J4" s="241" t="s">
        <v>16</v>
      </c>
      <c r="K4" s="238" t="s">
        <v>18</v>
      </c>
      <c r="L4" s="304"/>
      <c r="M4" s="305"/>
      <c r="N4" s="306"/>
      <c r="O4" s="356"/>
      <c r="P4" s="240" t="s">
        <v>214</v>
      </c>
      <c r="Q4" s="307"/>
      <c r="R4" s="307"/>
      <c r="S4" s="388" t="s">
        <v>289</v>
      </c>
      <c r="T4" s="390" t="s">
        <v>290</v>
      </c>
    </row>
    <row r="5" spans="1:22" ht="20.100000000000001" customHeight="1" thickBot="1">
      <c r="A5" s="242" t="s">
        <v>215</v>
      </c>
      <c r="B5" s="243" t="s">
        <v>17</v>
      </c>
      <c r="C5" s="244" t="s">
        <v>17</v>
      </c>
      <c r="D5" s="245" t="s">
        <v>19</v>
      </c>
      <c r="E5" s="246" t="s">
        <v>20</v>
      </c>
      <c r="F5" s="308" t="s">
        <v>21</v>
      </c>
      <c r="G5" s="309" t="s">
        <v>22</v>
      </c>
      <c r="H5" s="247" t="s">
        <v>251</v>
      </c>
      <c r="I5" s="248" t="s">
        <v>23</v>
      </c>
      <c r="J5" s="249" t="s">
        <v>17</v>
      </c>
      <c r="K5" s="243" t="s">
        <v>17</v>
      </c>
      <c r="L5" s="250" t="s">
        <v>19</v>
      </c>
      <c r="M5" s="246" t="s">
        <v>20</v>
      </c>
      <c r="N5" s="308" t="s">
        <v>21</v>
      </c>
      <c r="O5" s="246" t="s">
        <v>22</v>
      </c>
      <c r="P5" s="248" t="s">
        <v>23</v>
      </c>
      <c r="Q5" s="251" t="s">
        <v>28</v>
      </c>
      <c r="R5" s="251" t="s">
        <v>292</v>
      </c>
      <c r="S5" s="389" t="s">
        <v>291</v>
      </c>
      <c r="T5" s="251" t="s">
        <v>291</v>
      </c>
    </row>
    <row r="6" spans="1:22" ht="20.100000000000001" customHeight="1">
      <c r="A6" s="252"/>
      <c r="B6" s="253"/>
      <c r="C6" s="254"/>
      <c r="D6" s="255"/>
      <c r="E6" s="256"/>
      <c r="F6" s="425"/>
      <c r="G6" s="258"/>
      <c r="H6" s="310"/>
      <c r="I6" s="259"/>
      <c r="J6" s="260"/>
      <c r="K6" s="254"/>
      <c r="L6" s="255"/>
      <c r="M6" s="256"/>
      <c r="N6" s="257"/>
      <c r="O6" s="258"/>
      <c r="P6" s="259"/>
      <c r="Q6" s="270" t="str">
        <f>IF(I6&lt;P6,IF(P6="","",IF(S27&lt;T27,R6,IF((H6+(P6-I6)*F$3)&lt;10000,ROUNDDOWN(H6+(P6-I6)*F$3,-1),ROUNDDOWN(H6+(P6-I6)*F$3,-2)))),R6)</f>
        <v/>
      </c>
      <c r="R6" s="410" t="str">
        <f t="shared" ref="R6:R25" si="0">IF(P6="","",IF(I6&lt;&gt;"",IF((P6/I6*H6)&lt;10,INT(P6/I6*H6),IF((P6/I6*H6)&lt;10000,ROUNDDOWN(P6/I6*H6,-1),ROUNDDOWN(P6/I6*H6,-2)))))</f>
        <v/>
      </c>
      <c r="S6" s="411" t="str">
        <f>IF(P6="","",(R6*N6-H6*F6))</f>
        <v/>
      </c>
      <c r="T6" s="410" t="str">
        <f>IF(P6="","",(P6*N6-I6*F6)*F3)</f>
        <v/>
      </c>
    </row>
    <row r="7" spans="1:22" ht="20.100000000000001" customHeight="1">
      <c r="A7" s="261">
        <v>600</v>
      </c>
      <c r="B7" s="262">
        <v>3</v>
      </c>
      <c r="C7" s="263">
        <v>3</v>
      </c>
      <c r="D7" s="264" t="s">
        <v>270</v>
      </c>
      <c r="E7" s="265" t="s">
        <v>271</v>
      </c>
      <c r="F7" s="426">
        <v>1</v>
      </c>
      <c r="G7" s="267" t="s">
        <v>272</v>
      </c>
      <c r="H7" s="311">
        <v>48000</v>
      </c>
      <c r="I7" s="268">
        <v>80000</v>
      </c>
      <c r="J7" s="269">
        <v>4</v>
      </c>
      <c r="K7" s="263">
        <v>4</v>
      </c>
      <c r="L7" s="264" t="s">
        <v>270</v>
      </c>
      <c r="M7" s="265" t="s">
        <v>299</v>
      </c>
      <c r="N7" s="266">
        <v>1</v>
      </c>
      <c r="O7" s="267" t="s">
        <v>272</v>
      </c>
      <c r="P7" s="268">
        <v>100000</v>
      </c>
      <c r="Q7" s="270">
        <f ca="1">IF(I7&lt;P7,IF(P7="","",IF(S27&lt;T27,R7,IF((H7+(P7-I7)*F$3)&lt;10000,ROUNDDOWN(H7+(P7-I7)*F$3,-1),ROUNDDOWN(H7+(P7-I7)*F$3,-2)))),R7)</f>
        <v>60000</v>
      </c>
      <c r="R7" s="410">
        <f t="shared" si="0"/>
        <v>60000</v>
      </c>
      <c r="S7" s="411">
        <f t="shared" ref="S7:S25" si="1">IF(P7="","",(R7*N7-H7*F7))</f>
        <v>12000</v>
      </c>
      <c r="T7" s="410">
        <f>IF(P7="","",(P7*N7-I7*F7)*F3)</f>
        <v>20000</v>
      </c>
    </row>
    <row r="8" spans="1:22" ht="20.100000000000001" customHeight="1">
      <c r="A8" s="261"/>
      <c r="B8" s="262"/>
      <c r="C8" s="263"/>
      <c r="D8" s="264"/>
      <c r="E8" s="265"/>
      <c r="F8" s="426"/>
      <c r="G8" s="267"/>
      <c r="H8" s="311"/>
      <c r="I8" s="268"/>
      <c r="J8" s="269"/>
      <c r="K8" s="263"/>
      <c r="L8" s="264"/>
      <c r="M8" s="265"/>
      <c r="N8" s="266"/>
      <c r="O8" s="267"/>
      <c r="P8" s="268"/>
      <c r="Q8" s="270" t="str">
        <f>IF(I8&lt;P8,IF(P8="","",IF(S27&lt;T27,R8,IF((H8+(P8-I8)*F$3)&lt;10000,ROUNDDOWN(H8+(P8-I8)*F$3,-1),ROUNDDOWN(H8+(P8-I8)*F$3,-2)))),R8)</f>
        <v/>
      </c>
      <c r="R8" s="410" t="str">
        <f t="shared" si="0"/>
        <v/>
      </c>
      <c r="S8" s="411" t="str">
        <f t="shared" si="1"/>
        <v/>
      </c>
      <c r="T8" s="410" t="str">
        <f>IF(P8="","",(P8*N8-I8*F8)*F3)</f>
        <v/>
      </c>
    </row>
    <row r="9" spans="1:22" ht="20.100000000000001" customHeight="1">
      <c r="A9" s="261"/>
      <c r="B9" s="262"/>
      <c r="C9" s="263"/>
      <c r="D9" s="264"/>
      <c r="E9" s="265"/>
      <c r="F9" s="426"/>
      <c r="G9" s="267"/>
      <c r="H9" s="311"/>
      <c r="I9" s="268"/>
      <c r="J9" s="269"/>
      <c r="K9" s="263"/>
      <c r="L9" s="264"/>
      <c r="M9" s="265"/>
      <c r="N9" s="266"/>
      <c r="O9" s="267"/>
      <c r="P9" s="268"/>
      <c r="Q9" s="270" t="str">
        <f>IF(I9&lt;P9,IF(P9="","",IF(S27&lt;T27,R9,IF((H9+(P9-I9)*F$3)&lt;10000,ROUNDDOWN(H9+(P9-I9)*F$3,-1),ROUNDDOWN(H9+(P9-I9)*F$3,-2)))),R9)</f>
        <v/>
      </c>
      <c r="R9" s="410" t="str">
        <f t="shared" si="0"/>
        <v/>
      </c>
      <c r="S9" s="411" t="str">
        <f t="shared" si="1"/>
        <v/>
      </c>
      <c r="T9" s="410" t="str">
        <f>IF(P9="","",(P9*N9-I9*F9)*F3)</f>
        <v/>
      </c>
    </row>
    <row r="10" spans="1:22" ht="20.100000000000001" customHeight="1">
      <c r="A10" s="261"/>
      <c r="B10" s="262"/>
      <c r="C10" s="263"/>
      <c r="D10" s="264"/>
      <c r="E10" s="265"/>
      <c r="F10" s="426"/>
      <c r="G10" s="267"/>
      <c r="H10" s="311"/>
      <c r="I10" s="268"/>
      <c r="J10" s="269"/>
      <c r="K10" s="263"/>
      <c r="L10" s="264"/>
      <c r="M10" s="265"/>
      <c r="N10" s="266"/>
      <c r="O10" s="267"/>
      <c r="P10" s="268"/>
      <c r="Q10" s="270" t="str">
        <f>IF(I10&lt;P10,IF(P10="","",IF(S27&lt;T27,R10,IF((H10+(P10-I10)*F$3)&lt;10000,ROUNDDOWN(H10+(P10-I10)*F$3,-1),ROUNDDOWN(H10+(P10-I10)*F$3,-2)))),R10)</f>
        <v/>
      </c>
      <c r="R10" s="410" t="str">
        <f t="shared" si="0"/>
        <v/>
      </c>
      <c r="S10" s="411" t="str">
        <f t="shared" si="1"/>
        <v/>
      </c>
      <c r="T10" s="410" t="str">
        <f>IF(P10="","",(P10*N10-I10*F10)*F3)</f>
        <v/>
      </c>
    </row>
    <row r="11" spans="1:22" ht="20.100000000000001" customHeight="1">
      <c r="A11" s="261"/>
      <c r="B11" s="262"/>
      <c r="C11" s="263"/>
      <c r="D11" s="264"/>
      <c r="E11" s="265"/>
      <c r="F11" s="426"/>
      <c r="G11" s="267"/>
      <c r="H11" s="311"/>
      <c r="I11" s="268"/>
      <c r="J11" s="269"/>
      <c r="K11" s="263"/>
      <c r="L11" s="264"/>
      <c r="M11" s="265"/>
      <c r="N11" s="266"/>
      <c r="O11" s="267"/>
      <c r="P11" s="268"/>
      <c r="Q11" s="270" t="str">
        <f>IF(I11&lt;P11,IF(P11="","",IF(S27&lt;T27,R11,IF((H11+(P11-I11)*F$3)&lt;10000,ROUNDDOWN(H11+(P11-I11)*F$3,-1),ROUNDDOWN(H11+(P11-I11)*F$3,-2)))),R11)</f>
        <v/>
      </c>
      <c r="R11" s="410" t="str">
        <f t="shared" si="0"/>
        <v/>
      </c>
      <c r="S11" s="411" t="str">
        <f t="shared" si="1"/>
        <v/>
      </c>
      <c r="T11" s="410" t="str">
        <f>IF(P11="","",(P11*N11-I11*F11)*F3)</f>
        <v/>
      </c>
    </row>
    <row r="12" spans="1:22" ht="20.100000000000001" customHeight="1">
      <c r="A12" s="261"/>
      <c r="B12" s="262"/>
      <c r="C12" s="263"/>
      <c r="D12" s="264"/>
      <c r="E12" s="265"/>
      <c r="F12" s="426"/>
      <c r="G12" s="267"/>
      <c r="H12" s="311"/>
      <c r="I12" s="268"/>
      <c r="J12" s="269"/>
      <c r="K12" s="263"/>
      <c r="L12" s="264"/>
      <c r="M12" s="265"/>
      <c r="N12" s="266"/>
      <c r="O12" s="267"/>
      <c r="P12" s="268"/>
      <c r="Q12" s="270" t="str">
        <f>IF(I12&lt;P12,IF(P12="","",IF(S27&lt;T27,R12,IF((H12+(P12-I12)*F$3)&lt;10000,ROUNDDOWN(H12+(P12-I12)*F$3,-1),ROUNDDOWN(H12+(P12-I12)*F$3,-2)))),R12)</f>
        <v/>
      </c>
      <c r="R12" s="410" t="str">
        <f t="shared" si="0"/>
        <v/>
      </c>
      <c r="S12" s="411" t="str">
        <f t="shared" si="1"/>
        <v/>
      </c>
      <c r="T12" s="410" t="str">
        <f>IF(P12="","",(P12*N12-I12*F12)*F3)</f>
        <v/>
      </c>
    </row>
    <row r="13" spans="1:22" ht="20.100000000000001" customHeight="1">
      <c r="A13" s="261"/>
      <c r="B13" s="262"/>
      <c r="C13" s="263"/>
      <c r="D13" s="264"/>
      <c r="E13" s="265"/>
      <c r="F13" s="426"/>
      <c r="G13" s="267"/>
      <c r="H13" s="311"/>
      <c r="I13" s="268"/>
      <c r="J13" s="269"/>
      <c r="K13" s="263"/>
      <c r="L13" s="264"/>
      <c r="M13" s="265"/>
      <c r="N13" s="266"/>
      <c r="O13" s="267"/>
      <c r="P13" s="268"/>
      <c r="Q13" s="270" t="str">
        <f>IF(I13&lt;P13,IF(P13="","",IF(S27&lt;T27,R13,IF((H13+(P13-I13)*F$3)&lt;10000,ROUNDDOWN(H13+(P13-I13)*F$3,-1),ROUNDDOWN(H13+(P13-I13)*F$3,-2)))),R13)</f>
        <v/>
      </c>
      <c r="R13" s="410" t="str">
        <f t="shared" si="0"/>
        <v/>
      </c>
      <c r="S13" s="411" t="str">
        <f t="shared" si="1"/>
        <v/>
      </c>
      <c r="T13" s="410" t="str">
        <f>IF(P13="","",(P13*N13-I13*F13)*F3)</f>
        <v/>
      </c>
    </row>
    <row r="14" spans="1:22" ht="20.100000000000001" customHeight="1">
      <c r="A14" s="261"/>
      <c r="B14" s="262"/>
      <c r="C14" s="263"/>
      <c r="D14" s="264"/>
      <c r="E14" s="265"/>
      <c r="F14" s="426"/>
      <c r="G14" s="267"/>
      <c r="H14" s="311"/>
      <c r="I14" s="268"/>
      <c r="J14" s="269"/>
      <c r="K14" s="263"/>
      <c r="L14" s="264"/>
      <c r="M14" s="265"/>
      <c r="N14" s="266"/>
      <c r="O14" s="267"/>
      <c r="P14" s="268"/>
      <c r="Q14" s="270" t="str">
        <f>IF(I14&lt;P14,IF(P14="","",IF(S27&lt;T27,R14,IF((H14+(P14-I14)*F$3)&lt;10000,ROUNDDOWN(H14+(P14-I14)*F$3,-1),ROUNDDOWN(H14+(P14-I14)*F$3,-2)))),R14)</f>
        <v/>
      </c>
      <c r="R14" s="410" t="str">
        <f t="shared" si="0"/>
        <v/>
      </c>
      <c r="S14" s="411" t="str">
        <f t="shared" si="1"/>
        <v/>
      </c>
      <c r="T14" s="410" t="str">
        <f>IF(P14="","",(P14*N14-I14*F14)*F3)</f>
        <v/>
      </c>
    </row>
    <row r="15" spans="1:22" ht="20.100000000000001" customHeight="1">
      <c r="A15" s="261"/>
      <c r="B15" s="262"/>
      <c r="C15" s="263"/>
      <c r="D15" s="264"/>
      <c r="E15" s="265"/>
      <c r="F15" s="426"/>
      <c r="G15" s="267"/>
      <c r="H15" s="311"/>
      <c r="I15" s="268"/>
      <c r="J15" s="269"/>
      <c r="K15" s="263"/>
      <c r="L15" s="264"/>
      <c r="M15" s="265"/>
      <c r="N15" s="266"/>
      <c r="O15" s="267"/>
      <c r="P15" s="268"/>
      <c r="Q15" s="270" t="str">
        <f>IF(I15&lt;P15,IF(P15="","",IF(S27&lt;T27,R15,IF((H15+(P15-I15)*F$3)&lt;10000,ROUNDDOWN(H15+(P15-I15)*F$3,-1),ROUNDDOWN(H15+(P15-I15)*F$3,-2)))),R15)</f>
        <v/>
      </c>
      <c r="R15" s="410" t="str">
        <f t="shared" si="0"/>
        <v/>
      </c>
      <c r="S15" s="411" t="str">
        <f t="shared" si="1"/>
        <v/>
      </c>
      <c r="T15" s="410" t="str">
        <f>IF(P15="","",(P15*N15-I15*F15)*F3)</f>
        <v/>
      </c>
    </row>
    <row r="16" spans="1:22" ht="20.100000000000001" customHeight="1">
      <c r="A16" s="261"/>
      <c r="B16" s="262"/>
      <c r="C16" s="263"/>
      <c r="D16" s="264"/>
      <c r="E16" s="265"/>
      <c r="F16" s="426"/>
      <c r="G16" s="267"/>
      <c r="H16" s="311"/>
      <c r="I16" s="268"/>
      <c r="J16" s="269"/>
      <c r="K16" s="263"/>
      <c r="L16" s="264"/>
      <c r="M16" s="265"/>
      <c r="N16" s="266"/>
      <c r="O16" s="267"/>
      <c r="P16" s="268"/>
      <c r="Q16" s="270" t="str">
        <f>IF(I16&lt;P16,IF(P16="","",IF(S27&lt;T27,R16,IF((H16+(P16-I16)*F$3)&lt;10000,ROUNDDOWN(H16+(P16-I16)*F$3,-1),ROUNDDOWN(H16+(P16-I16)*F$3,-2)))),R16)</f>
        <v/>
      </c>
      <c r="R16" s="410" t="str">
        <f t="shared" si="0"/>
        <v/>
      </c>
      <c r="S16" s="411" t="str">
        <f t="shared" si="1"/>
        <v/>
      </c>
      <c r="T16" s="410" t="str">
        <f>IF(P16="","",(P16*N16-I16*F16)*F3)</f>
        <v/>
      </c>
    </row>
    <row r="17" spans="1:20" ht="20.100000000000001" customHeight="1">
      <c r="A17" s="261"/>
      <c r="B17" s="262"/>
      <c r="C17" s="263"/>
      <c r="D17" s="264"/>
      <c r="E17" s="265"/>
      <c r="F17" s="426"/>
      <c r="G17" s="267"/>
      <c r="H17" s="311"/>
      <c r="I17" s="268"/>
      <c r="J17" s="269"/>
      <c r="K17" s="263"/>
      <c r="L17" s="264"/>
      <c r="M17" s="265"/>
      <c r="N17" s="266"/>
      <c r="O17" s="267"/>
      <c r="P17" s="268"/>
      <c r="Q17" s="270" t="str">
        <f>IF(I17&lt;P17,IF(P17="","",IF(S27&lt;T27,R17,IF((H17+(P17-I17)*F$3)&lt;10000,ROUNDDOWN(H17+(P17-I17)*F$3,-1),ROUNDDOWN(H17+(P17-I17)*F$3,-2)))),R17)</f>
        <v/>
      </c>
      <c r="R17" s="410" t="str">
        <f t="shared" si="0"/>
        <v/>
      </c>
      <c r="S17" s="411" t="str">
        <f t="shared" si="1"/>
        <v/>
      </c>
      <c r="T17" s="410" t="str">
        <f>IF(P17="","",(P17*N17-I17*F17)*F3)</f>
        <v/>
      </c>
    </row>
    <row r="18" spans="1:20" ht="20.100000000000001" customHeight="1">
      <c r="A18" s="261"/>
      <c r="B18" s="262"/>
      <c r="C18" s="263"/>
      <c r="D18" s="264"/>
      <c r="E18" s="265"/>
      <c r="F18" s="426"/>
      <c r="G18" s="267"/>
      <c r="H18" s="311"/>
      <c r="I18" s="268"/>
      <c r="J18" s="269"/>
      <c r="K18" s="263"/>
      <c r="L18" s="264"/>
      <c r="M18" s="265"/>
      <c r="N18" s="266"/>
      <c r="O18" s="267"/>
      <c r="P18" s="268"/>
      <c r="Q18" s="270" t="str">
        <f>IF(I18&lt;P18,IF(P18="","",IF(S27&lt;T27,R18,IF((H18+(P18-I18)*F$3)&lt;10000,ROUNDDOWN(H18+(P18-I18)*F$3,-1),ROUNDDOWN(H18+(P18-I18)*F$3,-2)))),R18)</f>
        <v/>
      </c>
      <c r="R18" s="410" t="str">
        <f t="shared" si="0"/>
        <v/>
      </c>
      <c r="S18" s="411" t="str">
        <f t="shared" si="1"/>
        <v/>
      </c>
      <c r="T18" s="410" t="str">
        <f>IF(P18="","",(P18*N18-I18*F18)*F3)</f>
        <v/>
      </c>
    </row>
    <row r="19" spans="1:20" ht="20.100000000000001" customHeight="1">
      <c r="A19" s="261"/>
      <c r="B19" s="262"/>
      <c r="C19" s="263"/>
      <c r="D19" s="264"/>
      <c r="E19" s="265"/>
      <c r="F19" s="426"/>
      <c r="G19" s="267"/>
      <c r="H19" s="311"/>
      <c r="I19" s="268"/>
      <c r="J19" s="269"/>
      <c r="K19" s="263"/>
      <c r="L19" s="264"/>
      <c r="M19" s="265"/>
      <c r="N19" s="266"/>
      <c r="O19" s="267"/>
      <c r="P19" s="268"/>
      <c r="Q19" s="270" t="str">
        <f>IF(I19&lt;P19,IF(P19="","",IF(S27&lt;T27,R19,IF((H19+(P19-I19)*F$3)&lt;10000,ROUNDDOWN(H19+(P19-I19)*F$3,-1),ROUNDDOWN(H19+(P19-I19)*F$3,-2)))),R19)</f>
        <v/>
      </c>
      <c r="R19" s="410" t="str">
        <f t="shared" si="0"/>
        <v/>
      </c>
      <c r="S19" s="411" t="str">
        <f t="shared" si="1"/>
        <v/>
      </c>
      <c r="T19" s="410" t="str">
        <f>IF(P19="","",(P19*N19-I19*F19)*F3)</f>
        <v/>
      </c>
    </row>
    <row r="20" spans="1:20" ht="20.100000000000001" customHeight="1">
      <c r="A20" s="261"/>
      <c r="B20" s="262"/>
      <c r="C20" s="263"/>
      <c r="D20" s="264"/>
      <c r="E20" s="265"/>
      <c r="F20" s="426"/>
      <c r="G20" s="267"/>
      <c r="H20" s="311"/>
      <c r="I20" s="268"/>
      <c r="J20" s="269"/>
      <c r="K20" s="263"/>
      <c r="L20" s="264"/>
      <c r="M20" s="265"/>
      <c r="N20" s="266"/>
      <c r="O20" s="267"/>
      <c r="P20" s="268"/>
      <c r="Q20" s="270" t="str">
        <f>IF(I20&lt;P20,IF(P20="","",IF(S27&lt;T27,R20,IF((H20+(P20-I20)*F$3)&lt;10000,ROUNDDOWN(H20+(P20-I20)*F$3,-1),ROUNDDOWN(H20+(P20-I20)*F$3,-2)))),R20)</f>
        <v/>
      </c>
      <c r="R20" s="410" t="str">
        <f t="shared" si="0"/>
        <v/>
      </c>
      <c r="S20" s="411" t="str">
        <f t="shared" si="1"/>
        <v/>
      </c>
      <c r="T20" s="410" t="str">
        <f>IF(P20="","",(P20*N20-I20*F20)*F3)</f>
        <v/>
      </c>
    </row>
    <row r="21" spans="1:20" ht="20.100000000000001" customHeight="1">
      <c r="A21" s="261"/>
      <c r="B21" s="262"/>
      <c r="C21" s="263"/>
      <c r="D21" s="264"/>
      <c r="E21" s="265"/>
      <c r="F21" s="426"/>
      <c r="G21" s="267"/>
      <c r="H21" s="311"/>
      <c r="I21" s="268"/>
      <c r="J21" s="269"/>
      <c r="K21" s="263"/>
      <c r="L21" s="264"/>
      <c r="M21" s="265"/>
      <c r="N21" s="266"/>
      <c r="O21" s="267"/>
      <c r="P21" s="268"/>
      <c r="Q21" s="270" t="str">
        <f>IF(I21&lt;P21,IF(P21="","",IF(S27&lt;T27,R21,IF((H21+(P21-I21)*F$3)&lt;10000,ROUNDDOWN(H21+(P21-I21)*F$3,-1),ROUNDDOWN(H21+(P21-I21)*F$3,-2)))),R21)</f>
        <v/>
      </c>
      <c r="R21" s="410" t="str">
        <f t="shared" si="0"/>
        <v/>
      </c>
      <c r="S21" s="411" t="str">
        <f t="shared" si="1"/>
        <v/>
      </c>
      <c r="T21" s="410" t="str">
        <f>IF(P21="","",(P21*N21-I21*F21)*F3)</f>
        <v/>
      </c>
    </row>
    <row r="22" spans="1:20" ht="20.100000000000001" customHeight="1">
      <c r="A22" s="261"/>
      <c r="B22" s="262"/>
      <c r="C22" s="263"/>
      <c r="D22" s="264"/>
      <c r="E22" s="265"/>
      <c r="F22" s="426"/>
      <c r="G22" s="267"/>
      <c r="H22" s="311"/>
      <c r="I22" s="268"/>
      <c r="J22" s="269"/>
      <c r="K22" s="263"/>
      <c r="L22" s="264"/>
      <c r="M22" s="265"/>
      <c r="N22" s="266"/>
      <c r="O22" s="267"/>
      <c r="P22" s="268"/>
      <c r="Q22" s="270" t="str">
        <f>IF(I22&lt;P22,IF(P22="","",IF(S27&lt;T27,R22,IF((H22+(P22-I22)*F$3)&lt;10000,ROUNDDOWN(H22+(P22-I22)*F$3,-1),ROUNDDOWN(H22+(P22-I22)*F$3,-2)))),R22)</f>
        <v/>
      </c>
      <c r="R22" s="410" t="str">
        <f t="shared" si="0"/>
        <v/>
      </c>
      <c r="S22" s="411" t="str">
        <f t="shared" si="1"/>
        <v/>
      </c>
      <c r="T22" s="410" t="str">
        <f>IF(P22="","",(P22*N22-I22*F22)*F3)</f>
        <v/>
      </c>
    </row>
    <row r="23" spans="1:20" ht="20.100000000000001" customHeight="1">
      <c r="A23" s="261"/>
      <c r="B23" s="262"/>
      <c r="C23" s="263"/>
      <c r="D23" s="264"/>
      <c r="E23" s="265"/>
      <c r="F23" s="426"/>
      <c r="G23" s="267"/>
      <c r="H23" s="311"/>
      <c r="I23" s="268"/>
      <c r="J23" s="269"/>
      <c r="K23" s="263"/>
      <c r="L23" s="264"/>
      <c r="M23" s="265"/>
      <c r="N23" s="266"/>
      <c r="O23" s="267"/>
      <c r="P23" s="268"/>
      <c r="Q23" s="270" t="str">
        <f>IF(I23&lt;P23,IF(P23="","",IF(S27&lt;T27,R23,IF((H23+(P23-I23)*F$3)&lt;10000,ROUNDDOWN(H23+(P23-I23)*F$3,-1),ROUNDDOWN(H23+(P23-I23)*F$3,-2)))),R23)</f>
        <v/>
      </c>
      <c r="R23" s="410" t="str">
        <f t="shared" si="0"/>
        <v/>
      </c>
      <c r="S23" s="411" t="str">
        <f t="shared" si="1"/>
        <v/>
      </c>
      <c r="T23" s="410" t="str">
        <f>IF(P23="","",(P23*N23-I23*F23)*F3)</f>
        <v/>
      </c>
    </row>
    <row r="24" spans="1:20" ht="20.100000000000001" customHeight="1">
      <c r="A24" s="261"/>
      <c r="B24" s="262"/>
      <c r="C24" s="263"/>
      <c r="D24" s="264"/>
      <c r="E24" s="265"/>
      <c r="F24" s="426"/>
      <c r="G24" s="267"/>
      <c r="H24" s="311"/>
      <c r="I24" s="268"/>
      <c r="J24" s="269"/>
      <c r="K24" s="263"/>
      <c r="L24" s="264"/>
      <c r="M24" s="265"/>
      <c r="N24" s="266"/>
      <c r="O24" s="267"/>
      <c r="P24" s="268"/>
      <c r="Q24" s="270" t="str">
        <f>IF(I24&lt;P24,IF(P24="","",IF(S27&lt;T27,R24,IF((H24+(P24-I24)*F$3)&lt;10000,ROUNDDOWN(H24+(P24-I24)*F$3,-1),ROUNDDOWN(H24+(P24-I24)*F$3,-2)))),R24)</f>
        <v/>
      </c>
      <c r="R24" s="410" t="str">
        <f t="shared" si="0"/>
        <v/>
      </c>
      <c r="S24" s="411" t="str">
        <f t="shared" si="1"/>
        <v/>
      </c>
      <c r="T24" s="410" t="str">
        <f>IF(P24="","",(P24*N24-I24*F24)*F3)</f>
        <v/>
      </c>
    </row>
    <row r="25" spans="1:20" ht="20.100000000000001" customHeight="1" thickBot="1">
      <c r="A25" s="391"/>
      <c r="B25" s="392"/>
      <c r="C25" s="393"/>
      <c r="D25" s="394"/>
      <c r="E25" s="395"/>
      <c r="F25" s="427"/>
      <c r="G25" s="397"/>
      <c r="H25" s="297"/>
      <c r="I25" s="398"/>
      <c r="J25" s="399"/>
      <c r="K25" s="393"/>
      <c r="L25" s="394"/>
      <c r="M25" s="395"/>
      <c r="N25" s="396"/>
      <c r="O25" s="397"/>
      <c r="P25" s="398"/>
      <c r="Q25" s="270" t="str">
        <f>IF(I25&lt;P25,IF(P25="","",IF(S27&lt;T27,R25,IF((H25+(P25-I25)*F$3)&lt;10000,ROUNDDOWN(H25+(P25-I25)*F$3,-1),ROUNDDOWN(H25+(P25-I25)*F$3,-2)))),R25)</f>
        <v/>
      </c>
      <c r="R25" s="412" t="str">
        <f t="shared" si="0"/>
        <v/>
      </c>
      <c r="S25" s="411" t="str">
        <f t="shared" si="1"/>
        <v/>
      </c>
      <c r="T25" s="410" t="str">
        <f>IF(P25="","",(P25*N25-I25*F25)*F3)</f>
        <v/>
      </c>
    </row>
    <row r="26" spans="1:20" ht="20.100000000000001" customHeight="1" thickBot="1">
      <c r="A26" s="400"/>
      <c r="B26" s="401"/>
      <c r="C26" s="401"/>
      <c r="D26" s="402"/>
      <c r="E26" s="402"/>
      <c r="F26" s="402"/>
      <c r="G26" s="403"/>
      <c r="H26" s="404"/>
      <c r="I26" s="405"/>
      <c r="J26" s="401"/>
      <c r="K26" s="401"/>
      <c r="L26" s="402"/>
      <c r="M26" s="421"/>
      <c r="N26" s="422"/>
      <c r="O26" s="422"/>
      <c r="P26" s="464" t="s">
        <v>296</v>
      </c>
      <c r="Q26" s="419"/>
      <c r="R26" s="406" t="s">
        <v>293</v>
      </c>
      <c r="S26" s="407">
        <f>IF(SUM(S6:S25)=0,"",SUM(S6:S25))</f>
        <v>12000</v>
      </c>
      <c r="T26" s="408">
        <f>IF(SUM(T6:T25)=0,"",SUM(T6:T25))</f>
        <v>20000</v>
      </c>
    </row>
    <row r="27" spans="1:20" ht="20.100000000000001" customHeight="1" thickBot="1">
      <c r="N27" s="20" t="str">
        <f>IF(A31="","EOL","")</f>
        <v>EOL</v>
      </c>
      <c r="O27" s="32">
        <v>1</v>
      </c>
      <c r="P27" s="465"/>
      <c r="Q27" s="466"/>
      <c r="R27" s="406" t="s">
        <v>298</v>
      </c>
      <c r="S27" s="424">
        <f ca="1">IF(INDIRECT("Q"&amp;53)="",S26,INDIRECT("s"&amp;54))</f>
        <v>12000</v>
      </c>
      <c r="T27" s="408">
        <f ca="1">IF(INDIRECT("Q"&amp;53)="",T26,INDIRECT("t"&amp;54))</f>
        <v>20000</v>
      </c>
    </row>
  </sheetData>
  <mergeCells count="6">
    <mergeCell ref="A1:L1"/>
    <mergeCell ref="N1:P1"/>
    <mergeCell ref="D2:G2"/>
    <mergeCell ref="F3:G3"/>
    <mergeCell ref="J2:T2"/>
    <mergeCell ref="J3:T3"/>
  </mergeCells>
  <phoneticPr fontId="2"/>
  <dataValidations xWindow="413" yWindow="154" count="44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9">
      <formula1>IF(SUM(H3:I3)&gt;0,I9=0,TRUE)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>
      <formula1>IF(SUM(H3:I3)&gt;0,H10=0,TRUE)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">
      <formula1>IF(SUM(H3:I3)&gt;0,I11=0,TRUE)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6">
      <formula1>IF(SUM(H3:I3)&gt;0,H16=0,TRUE)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6">
      <formula1>IF(SUM(H3:I3)&gt;0,I16=0,TRUE)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7">
      <formula1>IF(SUM(H3:I3)&gt;0,H17=0,TRUE)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7">
      <formula1>IF(SUM(H3:I3)&gt;0,I17=0,TRUE)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8">
      <formula1>IF(SUM(H3:I3)&gt;0,H18=0,TRUE)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8">
      <formula1>IF(SUM(H3:I3)&gt;0,I18=0,TRUE)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9">
      <formula1>IF(SUM(H3:I3)&gt;0,H19=0,TRUE)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9">
      <formula1>IF(SUM(H3:I3)&gt;0,I19=0,TRUE)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3">
      <formula1>IF(SUM(H3:I3)&gt;0,H23=0,TRUE)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">
      <formula1>IF(SUM(H6:I26)&gt;0,I3=0,TRUE)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33"/>
  <sheetViews>
    <sheetView topLeftCell="B1" zoomScaleNormal="100" workbookViewId="0">
      <selection activeCell="K20" sqref="K20"/>
    </sheetView>
  </sheetViews>
  <sheetFormatPr defaultRowHeight="11.25"/>
  <cols>
    <col min="1" max="1" width="2.625" style="162" hidden="1" customWidth="1"/>
    <col min="2" max="2" width="19.375" style="81" customWidth="1"/>
    <col min="3" max="3" width="22.5" style="81" customWidth="1"/>
    <col min="4" max="4" width="5.125" style="81" customWidth="1"/>
    <col min="5" max="5" width="5.125" style="96" customWidth="1"/>
    <col min="6" max="22" width="5.125" style="81" customWidth="1"/>
    <col min="23" max="27" width="4.75" style="81" customWidth="1"/>
    <col min="28" max="16384" width="9" style="81"/>
  </cols>
  <sheetData>
    <row r="1" spans="1:31" ht="15" customHeight="1">
      <c r="B1" s="177" t="s">
        <v>143</v>
      </c>
      <c r="C1" s="81" t="str">
        <f>工事2!C2</f>
        <v>天井改良工事</v>
      </c>
      <c r="F1" s="162"/>
      <c r="G1" s="359"/>
      <c r="H1" s="360"/>
      <c r="I1" s="360"/>
      <c r="J1" s="361"/>
      <c r="K1" s="362" t="s">
        <v>300</v>
      </c>
      <c r="L1" s="363" t="s">
        <v>301</v>
      </c>
      <c r="M1" s="363" t="s">
        <v>302</v>
      </c>
      <c r="N1" s="364" t="s">
        <v>303</v>
      </c>
      <c r="O1" s="365"/>
      <c r="P1" s="366"/>
      <c r="Q1" s="366"/>
      <c r="R1" s="367"/>
      <c r="S1" s="362" t="s">
        <v>300</v>
      </c>
      <c r="T1" s="363" t="s">
        <v>301</v>
      </c>
      <c r="U1" s="363" t="s">
        <v>302</v>
      </c>
      <c r="V1" s="364" t="s">
        <v>303</v>
      </c>
      <c r="W1" s="368"/>
    </row>
    <row r="2" spans="1:31" ht="15" customHeight="1">
      <c r="B2" s="177"/>
      <c r="E2" s="369"/>
      <c r="G2" s="2630" t="s">
        <v>304</v>
      </c>
      <c r="H2" s="2631"/>
      <c r="I2" s="2631"/>
      <c r="J2" s="2632"/>
      <c r="K2" s="370">
        <f>+H9+L9</f>
        <v>0</v>
      </c>
      <c r="L2" s="371">
        <f>+I9+M9</f>
        <v>0</v>
      </c>
      <c r="M2" s="371">
        <f>+J9+N9</f>
        <v>13.600000000000001</v>
      </c>
      <c r="N2" s="372">
        <f>+K9+O9</f>
        <v>0</v>
      </c>
      <c r="O2" s="2633" t="s">
        <v>279</v>
      </c>
      <c r="P2" s="2634"/>
      <c r="Q2" s="2634"/>
      <c r="R2" s="2635"/>
      <c r="S2" s="370">
        <f>+P9+T9+X9</f>
        <v>0</v>
      </c>
      <c r="T2" s="371">
        <f>+Q9+U9+Y9</f>
        <v>0</v>
      </c>
      <c r="U2" s="371">
        <f>+R9+V9+Z9</f>
        <v>7.6000000000000005</v>
      </c>
      <c r="V2" s="372">
        <f>+S9+W9+AA9</f>
        <v>0</v>
      </c>
      <c r="W2" s="373"/>
    </row>
    <row r="3" spans="1:31" ht="15" customHeight="1">
      <c r="B3" s="177"/>
      <c r="E3" s="369"/>
      <c r="G3" s="2636" t="s">
        <v>305</v>
      </c>
      <c r="H3" s="2637"/>
      <c r="I3" s="2637"/>
      <c r="J3" s="2638"/>
      <c r="K3" s="374">
        <f>+H9</f>
        <v>0</v>
      </c>
      <c r="L3" s="375">
        <f>+I9</f>
        <v>0</v>
      </c>
      <c r="M3" s="375">
        <f>+J9</f>
        <v>6</v>
      </c>
      <c r="N3" s="376">
        <f>+K9</f>
        <v>0</v>
      </c>
      <c r="O3" s="2639" t="s">
        <v>280</v>
      </c>
      <c r="P3" s="2640"/>
      <c r="Q3" s="2640"/>
      <c r="R3" s="2641"/>
      <c r="S3" s="374">
        <f>+P9</f>
        <v>0</v>
      </c>
      <c r="T3" s="375">
        <f>+Q9</f>
        <v>0</v>
      </c>
      <c r="U3" s="375">
        <f>+R9</f>
        <v>7.6000000000000005</v>
      </c>
      <c r="V3" s="376">
        <f>+S9</f>
        <v>0</v>
      </c>
      <c r="W3" s="373"/>
    </row>
    <row r="4" spans="1:31" ht="15" customHeight="1">
      <c r="B4" s="177"/>
      <c r="E4" s="369"/>
      <c r="G4" s="2636" t="s">
        <v>306</v>
      </c>
      <c r="H4" s="2637"/>
      <c r="I4" s="2637"/>
      <c r="J4" s="2638"/>
      <c r="K4" s="374">
        <f>+L9</f>
        <v>0</v>
      </c>
      <c r="L4" s="375">
        <f>+M9</f>
        <v>0</v>
      </c>
      <c r="M4" s="375">
        <f>+N9</f>
        <v>7.6000000000000005</v>
      </c>
      <c r="N4" s="376">
        <f>+O9</f>
        <v>0</v>
      </c>
      <c r="O4" s="2639" t="s">
        <v>281</v>
      </c>
      <c r="P4" s="2640"/>
      <c r="Q4" s="2640"/>
      <c r="R4" s="2641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7"/>
      <c r="E5" s="369"/>
      <c r="G5" s="2627"/>
      <c r="H5" s="2628"/>
      <c r="I5" s="2628"/>
      <c r="J5" s="2629"/>
      <c r="K5" s="377"/>
      <c r="L5" s="377"/>
      <c r="M5" s="377"/>
      <c r="N5" s="377"/>
      <c r="O5" s="2627" t="s">
        <v>307</v>
      </c>
      <c r="P5" s="2628"/>
      <c r="Q5" s="2628"/>
      <c r="R5" s="2629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7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9"/>
      <c r="C7" s="170"/>
      <c r="D7" s="171"/>
      <c r="E7" s="184"/>
      <c r="F7" s="428"/>
      <c r="G7" s="429"/>
      <c r="H7" s="2618" t="s">
        <v>274</v>
      </c>
      <c r="I7" s="2619"/>
      <c r="J7" s="2619"/>
      <c r="K7" s="2620"/>
      <c r="L7" s="2618" t="s">
        <v>308</v>
      </c>
      <c r="M7" s="2619"/>
      <c r="N7" s="2619"/>
      <c r="O7" s="2620"/>
      <c r="P7" s="2618" t="s">
        <v>309</v>
      </c>
      <c r="Q7" s="2619"/>
      <c r="R7" s="2619"/>
      <c r="S7" s="2620"/>
      <c r="T7" s="2618" t="s">
        <v>282</v>
      </c>
      <c r="U7" s="2619"/>
      <c r="V7" s="2619"/>
      <c r="W7" s="2620"/>
      <c r="X7" s="2618" t="s">
        <v>310</v>
      </c>
      <c r="Y7" s="2619"/>
      <c r="Z7" s="2619"/>
      <c r="AA7" s="2620"/>
    </row>
    <row r="8" spans="1:31">
      <c r="B8" s="168" t="s">
        <v>67</v>
      </c>
      <c r="C8" s="149" t="s">
        <v>68</v>
      </c>
      <c r="D8" s="165" t="s">
        <v>21</v>
      </c>
      <c r="E8" s="185" t="s">
        <v>69</v>
      </c>
      <c r="F8" s="430" t="s">
        <v>144</v>
      </c>
      <c r="G8" s="431" t="s">
        <v>311</v>
      </c>
      <c r="H8" s="166" t="s">
        <v>300</v>
      </c>
      <c r="I8" s="58" t="s">
        <v>301</v>
      </c>
      <c r="J8" s="58" t="s">
        <v>302</v>
      </c>
      <c r="K8" s="167" t="s">
        <v>303</v>
      </c>
      <c r="L8" s="166" t="s">
        <v>300</v>
      </c>
      <c r="M8" s="58" t="s">
        <v>301</v>
      </c>
      <c r="N8" s="58" t="s">
        <v>302</v>
      </c>
      <c r="O8" s="167" t="s">
        <v>303</v>
      </c>
      <c r="P8" s="166" t="s">
        <v>300</v>
      </c>
      <c r="Q8" s="58" t="s">
        <v>301</v>
      </c>
      <c r="R8" s="58" t="s">
        <v>302</v>
      </c>
      <c r="S8" s="167" t="s">
        <v>303</v>
      </c>
      <c r="T8" s="166" t="s">
        <v>300</v>
      </c>
      <c r="U8" s="58" t="s">
        <v>301</v>
      </c>
      <c r="V8" s="58" t="s">
        <v>302</v>
      </c>
      <c r="W8" s="167" t="s">
        <v>303</v>
      </c>
      <c r="X8" s="166" t="s">
        <v>300</v>
      </c>
      <c r="Y8" s="58" t="s">
        <v>301</v>
      </c>
      <c r="Z8" s="58" t="s">
        <v>302</v>
      </c>
      <c r="AA8" s="167" t="s">
        <v>303</v>
      </c>
    </row>
    <row r="9" spans="1:31" s="175" customFormat="1" ht="11.25" customHeight="1">
      <c r="A9" s="172"/>
      <c r="B9" s="173"/>
      <c r="C9" s="174"/>
      <c r="D9" s="176"/>
      <c r="E9" s="357" t="s">
        <v>312</v>
      </c>
      <c r="F9" s="432" t="s">
        <v>313</v>
      </c>
      <c r="G9" s="433"/>
      <c r="H9" s="196">
        <f t="shared" ref="H9:AA9" si="0">SUM(H10:H22)</f>
        <v>0</v>
      </c>
      <c r="I9" s="197">
        <f t="shared" si="0"/>
        <v>0</v>
      </c>
      <c r="J9" s="197">
        <f t="shared" si="0"/>
        <v>6</v>
      </c>
      <c r="K9" s="198">
        <f t="shared" si="0"/>
        <v>0</v>
      </c>
      <c r="L9" s="196">
        <f t="shared" si="0"/>
        <v>0</v>
      </c>
      <c r="M9" s="197">
        <f t="shared" si="0"/>
        <v>0</v>
      </c>
      <c r="N9" s="197">
        <f t="shared" si="0"/>
        <v>7.6000000000000005</v>
      </c>
      <c r="O9" s="198">
        <f t="shared" si="0"/>
        <v>0</v>
      </c>
      <c r="P9" s="196">
        <f t="shared" si="0"/>
        <v>0</v>
      </c>
      <c r="Q9" s="197">
        <f t="shared" si="0"/>
        <v>0</v>
      </c>
      <c r="R9" s="197">
        <f t="shared" si="0"/>
        <v>7.6000000000000005</v>
      </c>
      <c r="S9" s="198">
        <f t="shared" si="0"/>
        <v>0</v>
      </c>
      <c r="T9" s="197">
        <f t="shared" si="0"/>
        <v>0</v>
      </c>
      <c r="U9" s="197">
        <f t="shared" si="0"/>
        <v>0</v>
      </c>
      <c r="V9" s="197">
        <f t="shared" si="0"/>
        <v>0</v>
      </c>
      <c r="W9" s="198">
        <f t="shared" si="0"/>
        <v>0</v>
      </c>
      <c r="X9" s="197">
        <f t="shared" si="0"/>
        <v>0</v>
      </c>
      <c r="Y9" s="197">
        <f t="shared" si="0"/>
        <v>0</v>
      </c>
      <c r="Z9" s="197">
        <f t="shared" si="0"/>
        <v>0</v>
      </c>
      <c r="AA9" s="198">
        <f t="shared" si="0"/>
        <v>0</v>
      </c>
    </row>
    <row r="10" spans="1:31" s="175" customFormat="1" ht="11.25" customHeight="1">
      <c r="B10" s="187"/>
      <c r="C10" s="188"/>
      <c r="D10" s="189"/>
      <c r="E10" s="191"/>
      <c r="F10" s="434"/>
      <c r="G10" s="435"/>
      <c r="H10" s="199"/>
      <c r="I10" s="200"/>
      <c r="J10" s="200"/>
      <c r="K10" s="201"/>
      <c r="L10" s="199"/>
      <c r="M10" s="200"/>
      <c r="N10" s="200"/>
      <c r="O10" s="201"/>
      <c r="P10" s="199"/>
      <c r="Q10" s="200"/>
      <c r="R10" s="200"/>
      <c r="S10" s="201"/>
      <c r="T10" s="199"/>
      <c r="U10" s="200"/>
      <c r="V10" s="200"/>
      <c r="W10" s="201"/>
      <c r="X10" s="199"/>
      <c r="Y10" s="200"/>
      <c r="Z10" s="200"/>
      <c r="AA10" s="201"/>
    </row>
    <row r="11" spans="1:31" s="175" customFormat="1" ht="11.25" customHeight="1">
      <c r="B11" s="187" t="s">
        <v>3062</v>
      </c>
      <c r="C11" s="188" t="s">
        <v>3100</v>
      </c>
      <c r="D11" s="189">
        <v>-1</v>
      </c>
      <c r="E11" s="191">
        <v>23</v>
      </c>
      <c r="F11" s="434"/>
      <c r="G11" s="435"/>
      <c r="H11" s="199"/>
      <c r="I11" s="200"/>
      <c r="J11" s="200">
        <f t="shared" ref="J11:J18" si="1">D11*E11</f>
        <v>-23</v>
      </c>
      <c r="K11" s="201"/>
      <c r="L11" s="199"/>
      <c r="M11" s="200"/>
      <c r="N11" s="200"/>
      <c r="O11" s="201"/>
      <c r="P11" s="199"/>
      <c r="Q11" s="200"/>
      <c r="R11" s="200"/>
      <c r="S11" s="201"/>
      <c r="T11" s="199"/>
      <c r="U11" s="200"/>
      <c r="V11" s="200"/>
      <c r="W11" s="201"/>
      <c r="X11" s="199"/>
      <c r="Y11" s="200"/>
      <c r="Z11" s="200"/>
      <c r="AA11" s="201"/>
    </row>
    <row r="12" spans="1:31" s="175" customFormat="1" ht="11.25" customHeight="1">
      <c r="B12" s="187" t="s">
        <v>3062</v>
      </c>
      <c r="C12" s="188" t="s">
        <v>3064</v>
      </c>
      <c r="D12" s="189">
        <v>1</v>
      </c>
      <c r="E12" s="191">
        <v>23</v>
      </c>
      <c r="F12" s="434"/>
      <c r="G12" s="435"/>
      <c r="H12" s="199"/>
      <c r="I12" s="200"/>
      <c r="J12" s="200">
        <f t="shared" si="1"/>
        <v>23</v>
      </c>
      <c r="K12" s="201"/>
      <c r="L12" s="199"/>
      <c r="M12" s="200"/>
      <c r="N12" s="200"/>
      <c r="O12" s="201"/>
      <c r="P12" s="199"/>
      <c r="Q12" s="200"/>
      <c r="R12" s="200"/>
      <c r="S12" s="201"/>
      <c r="T12" s="199"/>
      <c r="U12" s="200"/>
      <c r="V12" s="200"/>
      <c r="W12" s="201"/>
      <c r="X12" s="199"/>
      <c r="Y12" s="200"/>
      <c r="Z12" s="200"/>
      <c r="AA12" s="201"/>
    </row>
    <row r="13" spans="1:31" s="175" customFormat="1" ht="11.25" customHeight="1">
      <c r="B13" s="187" t="s">
        <v>3074</v>
      </c>
      <c r="C13" s="188" t="s">
        <v>3075</v>
      </c>
      <c r="D13" s="189">
        <v>1</v>
      </c>
      <c r="E13" s="191">
        <v>1</v>
      </c>
      <c r="F13" s="434"/>
      <c r="G13" s="435"/>
      <c r="H13" s="199"/>
      <c r="I13" s="200"/>
      <c r="J13" s="200">
        <f t="shared" si="1"/>
        <v>1</v>
      </c>
      <c r="K13" s="201"/>
      <c r="L13" s="199"/>
      <c r="M13" s="200"/>
      <c r="N13" s="200"/>
      <c r="O13" s="201"/>
      <c r="P13" s="199"/>
      <c r="Q13" s="200"/>
      <c r="R13" s="200"/>
      <c r="S13" s="201"/>
      <c r="T13" s="199"/>
      <c r="U13" s="200"/>
      <c r="V13" s="200"/>
      <c r="W13" s="201"/>
      <c r="X13" s="199"/>
      <c r="Y13" s="200"/>
      <c r="Z13" s="200"/>
      <c r="AA13" s="201"/>
    </row>
    <row r="14" spans="1:31" s="175" customFormat="1" ht="11.25" customHeight="1">
      <c r="B14" s="187" t="s">
        <v>3078</v>
      </c>
      <c r="C14" s="188" t="s">
        <v>3079</v>
      </c>
      <c r="D14" s="189">
        <v>1</v>
      </c>
      <c r="E14" s="191">
        <v>2</v>
      </c>
      <c r="F14" s="434"/>
      <c r="G14" s="435"/>
      <c r="H14" s="199"/>
      <c r="I14" s="200"/>
      <c r="J14" s="200">
        <f t="shared" si="1"/>
        <v>2</v>
      </c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 s="175" customFormat="1" ht="11.25" customHeight="1">
      <c r="B15" s="187" t="s">
        <v>3074</v>
      </c>
      <c r="C15" s="188" t="s">
        <v>3089</v>
      </c>
      <c r="D15" s="189">
        <v>1</v>
      </c>
      <c r="E15" s="191">
        <v>1</v>
      </c>
      <c r="F15" s="434"/>
      <c r="G15" s="435"/>
      <c r="H15" s="199"/>
      <c r="I15" s="200"/>
      <c r="J15" s="200">
        <f t="shared" si="1"/>
        <v>1</v>
      </c>
      <c r="K15" s="201"/>
      <c r="L15" s="199"/>
      <c r="M15" s="200"/>
      <c r="N15" s="200"/>
      <c r="O15" s="201"/>
      <c r="P15" s="199"/>
      <c r="Q15" s="200"/>
      <c r="R15" s="200"/>
      <c r="S15" s="201"/>
      <c r="T15" s="199"/>
      <c r="U15" s="200"/>
      <c r="V15" s="200"/>
      <c r="W15" s="201"/>
      <c r="X15" s="199"/>
      <c r="Y15" s="200"/>
      <c r="Z15" s="200"/>
      <c r="AA15" s="201"/>
    </row>
    <row r="16" spans="1:31" s="175" customFormat="1" ht="11.25" customHeight="1">
      <c r="B16" s="187" t="s">
        <v>3078</v>
      </c>
      <c r="C16" s="188" t="s">
        <v>3090</v>
      </c>
      <c r="D16" s="189">
        <v>1</v>
      </c>
      <c r="E16" s="191">
        <v>2</v>
      </c>
      <c r="F16" s="434"/>
      <c r="G16" s="435"/>
      <c r="H16" s="199"/>
      <c r="I16" s="200"/>
      <c r="J16" s="200">
        <f t="shared" si="1"/>
        <v>2</v>
      </c>
      <c r="K16" s="201"/>
      <c r="L16" s="199"/>
      <c r="M16" s="200"/>
      <c r="N16" s="200"/>
      <c r="O16" s="201"/>
      <c r="P16" s="199"/>
      <c r="Q16" s="200"/>
      <c r="R16" s="200"/>
      <c r="S16" s="201"/>
      <c r="T16" s="199"/>
      <c r="U16" s="200"/>
      <c r="V16" s="200"/>
      <c r="W16" s="201"/>
      <c r="X16" s="199"/>
      <c r="Y16" s="200"/>
      <c r="Z16" s="200"/>
      <c r="AA16" s="201"/>
    </row>
    <row r="17" spans="1:27" s="175" customFormat="1" ht="11.25" customHeight="1">
      <c r="B17" s="187" t="s">
        <v>3070</v>
      </c>
      <c r="C17" s="188" t="s">
        <v>3101</v>
      </c>
      <c r="D17" s="189">
        <v>-1</v>
      </c>
      <c r="E17" s="191">
        <v>28</v>
      </c>
      <c r="F17" s="434"/>
      <c r="G17" s="435"/>
      <c r="H17" s="199"/>
      <c r="I17" s="200"/>
      <c r="J17" s="200">
        <f t="shared" si="1"/>
        <v>-28</v>
      </c>
      <c r="K17" s="201"/>
      <c r="L17" s="199"/>
      <c r="M17" s="200"/>
      <c r="N17" s="200"/>
      <c r="O17" s="201"/>
      <c r="P17" s="199"/>
      <c r="Q17" s="200"/>
      <c r="R17" s="200"/>
      <c r="S17" s="201"/>
      <c r="T17" s="199"/>
      <c r="U17" s="200"/>
      <c r="V17" s="200"/>
      <c r="W17" s="201"/>
      <c r="X17" s="199"/>
      <c r="Y17" s="200"/>
      <c r="Z17" s="200"/>
      <c r="AA17" s="201"/>
    </row>
    <row r="18" spans="1:27" s="175" customFormat="1" ht="11.25" customHeight="1">
      <c r="B18" s="187" t="s">
        <v>3070</v>
      </c>
      <c r="C18" s="188" t="s">
        <v>3072</v>
      </c>
      <c r="D18" s="189">
        <v>1</v>
      </c>
      <c r="E18" s="191">
        <v>28</v>
      </c>
      <c r="F18" s="434"/>
      <c r="G18" s="435"/>
      <c r="H18" s="199"/>
      <c r="I18" s="200"/>
      <c r="J18" s="200">
        <f t="shared" si="1"/>
        <v>28</v>
      </c>
      <c r="K18" s="201"/>
      <c r="L18" s="199"/>
      <c r="M18" s="200"/>
      <c r="N18" s="200"/>
      <c r="O18" s="201"/>
      <c r="P18" s="199"/>
      <c r="Q18" s="200"/>
      <c r="R18" s="200"/>
      <c r="S18" s="201"/>
      <c r="T18" s="199"/>
      <c r="U18" s="200"/>
      <c r="V18" s="200"/>
      <c r="W18" s="201"/>
      <c r="X18" s="199"/>
      <c r="Y18" s="200"/>
      <c r="Z18" s="200"/>
      <c r="AA18" s="201"/>
    </row>
    <row r="19" spans="1:27" s="175" customFormat="1" ht="11.25" customHeight="1">
      <c r="B19" s="187" t="s">
        <v>2996</v>
      </c>
      <c r="C19" s="188" t="s">
        <v>3094</v>
      </c>
      <c r="D19" s="189">
        <v>0.1</v>
      </c>
      <c r="E19" s="191">
        <v>76</v>
      </c>
      <c r="F19" s="434">
        <v>0</v>
      </c>
      <c r="G19" s="435">
        <v>0</v>
      </c>
      <c r="H19" s="199"/>
      <c r="I19" s="200"/>
      <c r="J19" s="200"/>
      <c r="K19" s="201"/>
      <c r="L19" s="199"/>
      <c r="M19" s="200"/>
      <c r="N19" s="200">
        <f>D19*(E19+F19+G19)</f>
        <v>7.6000000000000005</v>
      </c>
      <c r="O19" s="201"/>
      <c r="P19" s="199"/>
      <c r="Q19" s="200"/>
      <c r="R19" s="200">
        <f>D19*E19</f>
        <v>7.6000000000000005</v>
      </c>
      <c r="S19" s="201"/>
      <c r="T19" s="199"/>
      <c r="U19" s="200"/>
      <c r="V19" s="200">
        <f>D19*F19</f>
        <v>0</v>
      </c>
      <c r="W19" s="201"/>
      <c r="X19" s="199"/>
      <c r="Y19" s="200"/>
      <c r="Z19" s="200">
        <f>D19*G19</f>
        <v>0</v>
      </c>
      <c r="AA19" s="201"/>
    </row>
    <row r="20" spans="1:27" s="175" customFormat="1" ht="11.25" customHeight="1">
      <c r="B20" s="187"/>
      <c r="C20" s="188"/>
      <c r="D20" s="189"/>
      <c r="E20" s="191"/>
      <c r="F20" s="434"/>
      <c r="G20" s="435"/>
      <c r="H20" s="199"/>
      <c r="I20" s="200"/>
      <c r="J20" s="200"/>
      <c r="K20" s="201"/>
      <c r="L20" s="199"/>
      <c r="M20" s="200"/>
      <c r="N20" s="200"/>
      <c r="O20" s="201"/>
      <c r="P20" s="199"/>
      <c r="Q20" s="200"/>
      <c r="R20" s="200"/>
      <c r="S20" s="201"/>
      <c r="T20" s="199"/>
      <c r="U20" s="200"/>
      <c r="V20" s="200"/>
      <c r="W20" s="201"/>
      <c r="X20" s="199"/>
      <c r="Y20" s="200"/>
      <c r="Z20" s="200"/>
      <c r="AA20" s="201"/>
    </row>
    <row r="21" spans="1:27" s="175" customFormat="1" ht="11.25" customHeight="1">
      <c r="A21" s="162" t="s">
        <v>314</v>
      </c>
      <c r="B21" s="181"/>
      <c r="C21" s="182"/>
      <c r="D21" s="183"/>
      <c r="E21" s="192"/>
      <c r="F21" s="436"/>
      <c r="G21" s="437"/>
      <c r="H21" s="202">
        <f>D21*E21</f>
        <v>0</v>
      </c>
      <c r="I21" s="203"/>
      <c r="J21" s="203"/>
      <c r="K21" s="204"/>
      <c r="L21" s="202"/>
      <c r="M21" s="203"/>
      <c r="N21" s="203"/>
      <c r="O21" s="204"/>
      <c r="P21" s="202"/>
      <c r="Q21" s="203"/>
      <c r="R21" s="203"/>
      <c r="S21" s="204"/>
      <c r="T21" s="202"/>
      <c r="U21" s="203"/>
      <c r="V21" s="203"/>
      <c r="W21" s="204"/>
      <c r="X21" s="202"/>
      <c r="Y21" s="203"/>
      <c r="Z21" s="203"/>
      <c r="AA21" s="204"/>
    </row>
    <row r="22" spans="1:27">
      <c r="A22" s="81"/>
      <c r="B22" s="179"/>
      <c r="C22" s="180"/>
      <c r="D22" s="186"/>
      <c r="E22" s="193"/>
      <c r="F22" s="438"/>
      <c r="G22" s="439"/>
      <c r="H22" s="205"/>
      <c r="I22" s="206"/>
      <c r="J22" s="206"/>
      <c r="K22" s="207"/>
      <c r="L22" s="205"/>
      <c r="M22" s="206"/>
      <c r="N22" s="206"/>
      <c r="O22" s="207"/>
      <c r="P22" s="205"/>
      <c r="Q22" s="206"/>
      <c r="R22" s="206"/>
      <c r="S22" s="207"/>
      <c r="T22" s="205"/>
      <c r="U22" s="206"/>
      <c r="V22" s="206"/>
      <c r="W22" s="207"/>
      <c r="X22" s="205"/>
      <c r="Y22" s="206"/>
      <c r="Z22" s="206"/>
      <c r="AA22" s="207"/>
    </row>
    <row r="23" spans="1:27" ht="13.5">
      <c r="B23" s="178" t="s">
        <v>142</v>
      </c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27" ht="15" customHeight="1">
      <c r="B24" s="169" t="s">
        <v>140</v>
      </c>
      <c r="C24" s="170"/>
      <c r="D24" s="171"/>
      <c r="E24" s="2621" t="s">
        <v>129</v>
      </c>
      <c r="F24" s="2622"/>
      <c r="G24" s="2622"/>
      <c r="H24" s="2622"/>
      <c r="I24" s="2622"/>
      <c r="J24" s="2622"/>
      <c r="K24" s="2622"/>
      <c r="L24" s="2622"/>
      <c r="M24" s="2622"/>
      <c r="N24" s="2622"/>
      <c r="O24" s="2622"/>
      <c r="P24" s="2622"/>
      <c r="Q24" s="2622"/>
      <c r="R24" s="2623"/>
      <c r="S24" s="2624"/>
      <c r="T24" s="2618" t="s">
        <v>315</v>
      </c>
      <c r="U24" s="2625"/>
      <c r="V24" s="2625"/>
      <c r="W24" s="2626"/>
    </row>
    <row r="25" spans="1:27" ht="13.5" customHeight="1">
      <c r="B25" s="232"/>
      <c r="C25" s="233"/>
      <c r="D25" s="234"/>
      <c r="E25" s="276" t="s">
        <v>316</v>
      </c>
      <c r="F25" s="277" t="s">
        <v>317</v>
      </c>
      <c r="G25" s="277" t="s">
        <v>217</v>
      </c>
      <c r="H25" s="277" t="s">
        <v>217</v>
      </c>
      <c r="I25" s="277" t="s">
        <v>318</v>
      </c>
      <c r="J25" s="278" t="s">
        <v>319</v>
      </c>
      <c r="K25" s="280" t="s">
        <v>227</v>
      </c>
      <c r="L25" s="277" t="s">
        <v>125</v>
      </c>
      <c r="M25" s="277" t="s">
        <v>228</v>
      </c>
      <c r="N25" s="277" t="s">
        <v>320</v>
      </c>
      <c r="O25" s="281" t="s">
        <v>229</v>
      </c>
      <c r="P25" s="282" t="s">
        <v>231</v>
      </c>
      <c r="Q25" s="440" t="s">
        <v>124</v>
      </c>
      <c r="R25" s="441" t="s">
        <v>220</v>
      </c>
      <c r="S25" s="442" t="s">
        <v>221</v>
      </c>
      <c r="T25" s="443" t="s">
        <v>130</v>
      </c>
      <c r="U25" s="277" t="s">
        <v>133</v>
      </c>
      <c r="V25" s="441" t="s">
        <v>321</v>
      </c>
      <c r="W25" s="442" t="s">
        <v>132</v>
      </c>
    </row>
    <row r="26" spans="1:27" ht="12.75" customHeight="1">
      <c r="B26" s="168" t="s">
        <v>67</v>
      </c>
      <c r="C26" s="149" t="s">
        <v>68</v>
      </c>
      <c r="D26" s="164" t="s">
        <v>21</v>
      </c>
      <c r="E26" s="358"/>
      <c r="F26" s="279"/>
      <c r="G26" s="279" t="s">
        <v>224</v>
      </c>
      <c r="H26" s="279" t="s">
        <v>225</v>
      </c>
      <c r="I26" s="279"/>
      <c r="J26" s="279" t="s">
        <v>226</v>
      </c>
      <c r="K26" s="279" t="s">
        <v>322</v>
      </c>
      <c r="L26" s="279"/>
      <c r="M26" s="279" t="s">
        <v>283</v>
      </c>
      <c r="N26" s="279" t="s">
        <v>284</v>
      </c>
      <c r="O26" s="279" t="s">
        <v>230</v>
      </c>
      <c r="P26" s="279" t="s">
        <v>232</v>
      </c>
      <c r="Q26" s="444" t="s">
        <v>285</v>
      </c>
      <c r="R26" s="234" t="s">
        <v>323</v>
      </c>
      <c r="S26" s="445" t="s">
        <v>323</v>
      </c>
      <c r="T26" s="446"/>
      <c r="U26" s="233"/>
      <c r="V26" s="447"/>
      <c r="W26" s="445"/>
    </row>
    <row r="27" spans="1:27" s="175" customFormat="1">
      <c r="A27" s="172"/>
      <c r="B27" s="173"/>
      <c r="C27" s="174"/>
      <c r="D27" s="176"/>
      <c r="E27" s="196">
        <f t="shared" ref="E27:W27" si="2">SUM(E28:E36)</f>
        <v>6</v>
      </c>
      <c r="F27" s="197">
        <f t="shared" si="2"/>
        <v>0</v>
      </c>
      <c r="G27" s="197">
        <f t="shared" si="2"/>
        <v>0</v>
      </c>
      <c r="H27" s="197">
        <f t="shared" si="2"/>
        <v>0</v>
      </c>
      <c r="I27" s="197">
        <f t="shared" si="2"/>
        <v>0</v>
      </c>
      <c r="J27" s="197">
        <f t="shared" si="2"/>
        <v>1.6</v>
      </c>
      <c r="K27" s="197">
        <f t="shared" si="2"/>
        <v>0</v>
      </c>
      <c r="L27" s="197">
        <f t="shared" si="2"/>
        <v>0</v>
      </c>
      <c r="M27" s="197">
        <f t="shared" si="2"/>
        <v>0</v>
      </c>
      <c r="N27" s="197">
        <f t="shared" si="2"/>
        <v>0</v>
      </c>
      <c r="O27" s="285">
        <f t="shared" si="2"/>
        <v>0</v>
      </c>
      <c r="P27" s="197">
        <f t="shared" si="2"/>
        <v>0</v>
      </c>
      <c r="Q27" s="448">
        <f t="shared" si="2"/>
        <v>0</v>
      </c>
      <c r="R27" s="197">
        <f t="shared" si="2"/>
        <v>0</v>
      </c>
      <c r="S27" s="198">
        <f t="shared" si="2"/>
        <v>0</v>
      </c>
      <c r="T27" s="449">
        <f t="shared" si="2"/>
        <v>0</v>
      </c>
      <c r="U27" s="197">
        <f t="shared" si="2"/>
        <v>0</v>
      </c>
      <c r="V27" s="448">
        <f t="shared" si="2"/>
        <v>0</v>
      </c>
      <c r="W27" s="198">
        <f t="shared" si="2"/>
        <v>0</v>
      </c>
    </row>
    <row r="28" spans="1:27" s="175" customFormat="1" ht="11.25" customHeight="1">
      <c r="B28" s="181"/>
      <c r="C28" s="182"/>
      <c r="D28" s="183"/>
      <c r="E28" s="202"/>
      <c r="F28" s="203"/>
      <c r="G28" s="203"/>
      <c r="H28" s="203"/>
      <c r="I28" s="203"/>
      <c r="J28" s="203"/>
      <c r="K28" s="203"/>
      <c r="L28" s="203"/>
      <c r="M28" s="203"/>
      <c r="N28" s="203"/>
      <c r="O28" s="283"/>
      <c r="P28" s="203"/>
      <c r="Q28" s="450"/>
      <c r="R28" s="203"/>
      <c r="S28" s="204"/>
      <c r="T28" s="451"/>
      <c r="U28" s="203"/>
      <c r="V28" s="450"/>
      <c r="W28" s="452"/>
    </row>
    <row r="29" spans="1:27" s="175" customFormat="1" ht="11.25" customHeight="1">
      <c r="B29" s="181" t="s">
        <v>2996</v>
      </c>
      <c r="C29" s="182" t="s">
        <v>3094</v>
      </c>
      <c r="D29" s="183">
        <v>0.1</v>
      </c>
      <c r="E29" s="202">
        <f>D29*60</f>
        <v>6</v>
      </c>
      <c r="F29" s="203"/>
      <c r="G29" s="203"/>
      <c r="H29" s="203"/>
      <c r="I29" s="203"/>
      <c r="J29" s="203">
        <f>D29*16</f>
        <v>1.6</v>
      </c>
      <c r="K29" s="203"/>
      <c r="L29" s="203"/>
      <c r="M29" s="203"/>
      <c r="N29" s="203"/>
      <c r="O29" s="283"/>
      <c r="P29" s="203"/>
      <c r="Q29" s="450"/>
      <c r="R29" s="203"/>
      <c r="S29" s="204"/>
      <c r="T29" s="451"/>
      <c r="U29" s="203"/>
      <c r="V29" s="450"/>
      <c r="W29" s="452"/>
    </row>
    <row r="30" spans="1:27" s="175" customFormat="1" ht="11.25" customHeight="1">
      <c r="B30" s="181"/>
      <c r="C30" s="182"/>
      <c r="D30" s="183"/>
      <c r="E30" s="202"/>
      <c r="F30" s="203"/>
      <c r="G30" s="203"/>
      <c r="H30" s="203"/>
      <c r="I30" s="203"/>
      <c r="J30" s="203"/>
      <c r="K30" s="203"/>
      <c r="L30" s="203"/>
      <c r="M30" s="203"/>
      <c r="N30" s="203"/>
      <c r="O30" s="283"/>
      <c r="P30" s="203"/>
      <c r="Q30" s="450"/>
      <c r="R30" s="203"/>
      <c r="S30" s="204"/>
      <c r="T30" s="451"/>
      <c r="U30" s="203"/>
      <c r="V30" s="450"/>
      <c r="W30" s="452"/>
    </row>
    <row r="31" spans="1:27" s="175" customFormat="1" ht="11.25" customHeight="1">
      <c r="A31" s="162" t="s">
        <v>286</v>
      </c>
      <c r="B31" s="181"/>
      <c r="C31" s="182"/>
      <c r="D31" s="183"/>
      <c r="E31" s="202"/>
      <c r="F31" s="203"/>
      <c r="G31" s="203"/>
      <c r="H31" s="203"/>
      <c r="I31" s="203"/>
      <c r="J31" s="203"/>
      <c r="K31" s="203"/>
      <c r="L31" s="203"/>
      <c r="M31" s="203"/>
      <c r="N31" s="203"/>
      <c r="O31" s="283"/>
      <c r="P31" s="203"/>
      <c r="Q31" s="450"/>
      <c r="R31" s="203"/>
      <c r="S31" s="204"/>
      <c r="T31" s="451"/>
      <c r="U31" s="203">
        <f>$D31*O31</f>
        <v>0</v>
      </c>
      <c r="V31" s="450">
        <f>$D31*P31</f>
        <v>0</v>
      </c>
      <c r="W31" s="453"/>
    </row>
    <row r="32" spans="1:27">
      <c r="A32" s="81"/>
      <c r="B32" s="179"/>
      <c r="C32" s="180"/>
      <c r="D32" s="186"/>
      <c r="E32" s="205"/>
      <c r="F32" s="206"/>
      <c r="G32" s="206"/>
      <c r="H32" s="284"/>
      <c r="I32" s="284"/>
      <c r="J32" s="284"/>
      <c r="K32" s="284"/>
      <c r="L32" s="284"/>
      <c r="M32" s="284"/>
      <c r="N32" s="284"/>
      <c r="O32" s="284"/>
      <c r="P32" s="284"/>
      <c r="Q32" s="454"/>
      <c r="R32" s="206"/>
      <c r="S32" s="207"/>
      <c r="T32" s="455"/>
      <c r="U32" s="206">
        <f>$D32*O32</f>
        <v>0</v>
      </c>
      <c r="V32" s="456">
        <f>$D32*P32</f>
        <v>0</v>
      </c>
      <c r="W32" s="457"/>
    </row>
    <row r="33" spans="5:5">
      <c r="E33" s="81"/>
    </row>
  </sheetData>
  <mergeCells count="15">
    <mergeCell ref="X7:AA7"/>
    <mergeCell ref="E24:S24"/>
    <mergeCell ref="T24:W24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3"/>
  <sheetViews>
    <sheetView workbookViewId="0">
      <pane xSplit="4" topLeftCell="E1" activePane="topRight" state="frozen"/>
      <selection activeCell="C51" sqref="C51"/>
      <selection pane="topRight"/>
    </sheetView>
  </sheetViews>
  <sheetFormatPr defaultRowHeight="12"/>
  <cols>
    <col min="1" max="1" width="3.75" style="139" customWidth="1"/>
    <col min="2" max="2" width="4.875" style="139" customWidth="1"/>
    <col min="3" max="3" width="16.375" style="139" customWidth="1"/>
    <col min="4" max="4" width="16.75" style="139" customWidth="1"/>
    <col min="5" max="5" width="5.25" style="139" bestFit="1" customWidth="1"/>
    <col min="6" max="6" width="23.75" style="139" bestFit="1" customWidth="1"/>
    <col min="7" max="13" width="4.625" style="139" customWidth="1"/>
    <col min="14" max="25" width="5.75" style="139" customWidth="1"/>
    <col min="26" max="32" width="5.625" style="139" customWidth="1"/>
    <col min="33" max="16384" width="9" style="139"/>
  </cols>
  <sheetData>
    <row r="1" spans="1:32">
      <c r="A1" s="139" t="s">
        <v>39</v>
      </c>
      <c r="B1" s="139" t="s">
        <v>30</v>
      </c>
      <c r="C1" s="139" t="s">
        <v>59</v>
      </c>
      <c r="D1" s="139" t="s">
        <v>31</v>
      </c>
      <c r="E1" s="139" t="s">
        <v>32</v>
      </c>
      <c r="F1" s="139" t="s">
        <v>38</v>
      </c>
      <c r="G1" s="139" t="s">
        <v>33</v>
      </c>
      <c r="H1" s="139" t="s">
        <v>34</v>
      </c>
      <c r="I1" s="139" t="s">
        <v>92</v>
      </c>
      <c r="J1" s="139" t="s">
        <v>93</v>
      </c>
      <c r="K1" s="139" t="s">
        <v>35</v>
      </c>
      <c r="L1" s="139" t="s">
        <v>36</v>
      </c>
      <c r="M1" s="139" t="s">
        <v>37</v>
      </c>
      <c r="N1" s="139" t="s">
        <v>141</v>
      </c>
      <c r="O1" s="139" t="s">
        <v>275</v>
      </c>
      <c r="P1" s="139" t="s">
        <v>216</v>
      </c>
      <c r="Q1" s="139" t="s">
        <v>234</v>
      </c>
      <c r="R1" s="139" t="s">
        <v>235</v>
      </c>
      <c r="S1" s="139" t="s">
        <v>124</v>
      </c>
      <c r="T1" s="139" t="s">
        <v>135</v>
      </c>
      <c r="U1" s="139" t="s">
        <v>126</v>
      </c>
      <c r="V1" s="139" t="s">
        <v>125</v>
      </c>
      <c r="W1" s="139" t="s">
        <v>236</v>
      </c>
      <c r="X1" s="139" t="s">
        <v>237</v>
      </c>
      <c r="Y1" s="139" t="s">
        <v>238</v>
      </c>
      <c r="Z1" s="139" t="s">
        <v>223</v>
      </c>
      <c r="AA1" s="139" t="s">
        <v>287</v>
      </c>
      <c r="AB1" s="139" t="s">
        <v>136</v>
      </c>
      <c r="AC1" s="139" t="s">
        <v>137</v>
      </c>
      <c r="AD1" s="139" t="s">
        <v>138</v>
      </c>
      <c r="AE1" s="139" t="s">
        <v>139</v>
      </c>
    </row>
    <row r="2" spans="1:32">
      <c r="A2" s="139">
        <v>3</v>
      </c>
      <c r="B2" s="139">
        <v>101</v>
      </c>
      <c r="C2" s="139" t="s">
        <v>111</v>
      </c>
      <c r="D2" s="139" t="s">
        <v>94</v>
      </c>
      <c r="E2" s="139" t="s">
        <v>95</v>
      </c>
      <c r="N2" s="139">
        <v>1000</v>
      </c>
    </row>
    <row r="3" spans="1:32">
      <c r="A3" s="139">
        <v>3</v>
      </c>
      <c r="B3" s="139">
        <v>102</v>
      </c>
      <c r="C3" s="139" t="s">
        <v>111</v>
      </c>
      <c r="D3" s="139" t="s">
        <v>74</v>
      </c>
      <c r="E3" s="139" t="s">
        <v>95</v>
      </c>
      <c r="N3" s="139">
        <v>1000</v>
      </c>
    </row>
    <row r="4" spans="1:32">
      <c r="A4" s="139">
        <v>3</v>
      </c>
      <c r="B4" s="139">
        <v>103</v>
      </c>
      <c r="C4" s="139" t="s">
        <v>111</v>
      </c>
      <c r="D4" s="139" t="s">
        <v>75</v>
      </c>
      <c r="E4" s="139" t="s">
        <v>95</v>
      </c>
      <c r="N4" s="139">
        <v>1000</v>
      </c>
    </row>
    <row r="5" spans="1:32">
      <c r="A5" s="139">
        <v>3</v>
      </c>
      <c r="B5" s="139">
        <v>104</v>
      </c>
      <c r="C5" s="139" t="s">
        <v>112</v>
      </c>
      <c r="D5" s="139" t="s">
        <v>76</v>
      </c>
      <c r="E5" s="139" t="s">
        <v>95</v>
      </c>
      <c r="N5" s="139">
        <v>1000</v>
      </c>
    </row>
    <row r="6" spans="1:32">
      <c r="A6" s="139">
        <v>3</v>
      </c>
      <c r="B6" s="139">
        <v>105</v>
      </c>
      <c r="C6" s="139" t="s">
        <v>112</v>
      </c>
      <c r="D6" s="139" t="s">
        <v>77</v>
      </c>
      <c r="E6" s="139" t="s">
        <v>95</v>
      </c>
      <c r="N6" s="139">
        <v>1000</v>
      </c>
    </row>
    <row r="7" spans="1:32">
      <c r="A7" s="139">
        <v>4</v>
      </c>
      <c r="B7" s="139">
        <v>106</v>
      </c>
      <c r="C7" s="139" t="s">
        <v>78</v>
      </c>
      <c r="D7" s="139" t="s">
        <v>79</v>
      </c>
      <c r="E7" s="139" t="s">
        <v>60</v>
      </c>
      <c r="N7" s="139">
        <v>0</v>
      </c>
    </row>
    <row r="8" spans="1:32">
      <c r="A8" s="139">
        <v>4</v>
      </c>
      <c r="B8" s="139">
        <v>107</v>
      </c>
      <c r="C8" s="139" t="s">
        <v>78</v>
      </c>
      <c r="D8" s="139" t="s">
        <v>80</v>
      </c>
      <c r="E8" s="139" t="s">
        <v>60</v>
      </c>
      <c r="N8" s="139">
        <v>0</v>
      </c>
    </row>
    <row r="9" spans="1:32">
      <c r="A9" s="139">
        <v>4</v>
      </c>
      <c r="B9" s="139">
        <v>109</v>
      </c>
      <c r="C9" s="139" t="s">
        <v>78</v>
      </c>
      <c r="D9" s="139" t="s">
        <v>108</v>
      </c>
      <c r="E9" s="139" t="s">
        <v>60</v>
      </c>
      <c r="N9" s="139">
        <v>0</v>
      </c>
    </row>
    <row r="10" spans="1:32">
      <c r="A10" s="139">
        <v>3</v>
      </c>
      <c r="B10" s="139">
        <v>110</v>
      </c>
      <c r="C10" s="139" t="s">
        <v>78</v>
      </c>
      <c r="D10" s="139" t="s">
        <v>191</v>
      </c>
      <c r="E10" s="139" t="s">
        <v>60</v>
      </c>
      <c r="N10" s="139">
        <v>0</v>
      </c>
    </row>
    <row r="11" spans="1:32">
      <c r="A11" s="139">
        <v>4</v>
      </c>
      <c r="B11" s="139">
        <v>108</v>
      </c>
      <c r="C11" s="139" t="s">
        <v>78</v>
      </c>
      <c r="D11" s="139" t="s">
        <v>86</v>
      </c>
      <c r="E11" s="139" t="s">
        <v>60</v>
      </c>
      <c r="N11" s="139">
        <v>0</v>
      </c>
    </row>
    <row r="12" spans="1:32">
      <c r="A12" s="139">
        <v>99</v>
      </c>
      <c r="B12" s="139">
        <v>1</v>
      </c>
      <c r="C12" s="139" t="str">
        <f>代価!$D$5</f>
        <v>未記入</v>
      </c>
      <c r="D12" s="139" t="str">
        <f>代価!$E$5</f>
        <v>未記入</v>
      </c>
      <c r="E12" s="139" t="str">
        <f>代価!$G$5</f>
        <v>未記入</v>
      </c>
      <c r="F12" s="139">
        <f>代価!$J$5</f>
        <v>0</v>
      </c>
      <c r="H12" s="139">
        <f>代価!$I24</f>
        <v>0</v>
      </c>
      <c r="I12" s="139" t="s">
        <v>192</v>
      </c>
      <c r="J12" s="139" t="s">
        <v>192</v>
      </c>
      <c r="K12" s="139" t="s">
        <v>192</v>
      </c>
      <c r="L12" s="139" t="s">
        <v>192</v>
      </c>
      <c r="M12" s="139" t="s">
        <v>192</v>
      </c>
      <c r="N12" s="139">
        <f>代価!$O$24</f>
        <v>0</v>
      </c>
      <c r="O12" s="139">
        <f>代価!$P$24</f>
        <v>0</v>
      </c>
      <c r="P12" s="139">
        <f>代価!$Q$24</f>
        <v>0</v>
      </c>
      <c r="Q12" s="139">
        <f>代価!$R$24</f>
        <v>0</v>
      </c>
      <c r="R12" s="139">
        <f>代価!$S$24</f>
        <v>0</v>
      </c>
      <c r="S12" s="139">
        <f>代価!$T$24</f>
        <v>0</v>
      </c>
      <c r="T12" s="139">
        <f>代価!$U$24</f>
        <v>0</v>
      </c>
      <c r="U12" s="139">
        <f>代価!$V$24</f>
        <v>0</v>
      </c>
      <c r="V12" s="139">
        <f>代価!$W$24</f>
        <v>0</v>
      </c>
      <c r="W12" s="139">
        <f>代価!$X$24</f>
        <v>0</v>
      </c>
      <c r="X12" s="139">
        <f>代価!$Y$24</f>
        <v>0</v>
      </c>
      <c r="Y12" s="139">
        <f>代価!$Z$24</f>
        <v>0</v>
      </c>
      <c r="Z12" s="139">
        <f>代価!$AA$24</f>
        <v>0</v>
      </c>
      <c r="AA12" s="139">
        <f>代価!$AB$24</f>
        <v>0</v>
      </c>
      <c r="AB12" s="139">
        <f>代価!$AC$24</f>
        <v>0</v>
      </c>
      <c r="AC12" s="139">
        <f>代価!$AD$24</f>
        <v>0</v>
      </c>
      <c r="AD12" s="139">
        <f>代価!$AE$24</f>
        <v>0</v>
      </c>
      <c r="AE12" s="139">
        <f>代価!$AF$24</f>
        <v>0</v>
      </c>
      <c r="AF12" s="139">
        <f>代価!$AG$24</f>
        <v>0</v>
      </c>
    </row>
    <row r="13" spans="1:32">
      <c r="A13" s="139">
        <v>99</v>
      </c>
      <c r="B13" s="139">
        <v>2</v>
      </c>
      <c r="C13" s="139" t="str">
        <f>代価!$D$28</f>
        <v>会所４００角</v>
      </c>
      <c r="D13" s="139" t="str">
        <f>代価!$E$28</f>
        <v xml:space="preserve"> H=1200 根切共</v>
      </c>
      <c r="E13" s="139" t="str">
        <f>代価!$G$28</f>
        <v>ヵ所</v>
      </c>
      <c r="F13" s="139">
        <f>代価!$J$28</f>
        <v>0</v>
      </c>
      <c r="H13" s="139">
        <f>代価!$I47</f>
        <v>0</v>
      </c>
      <c r="I13" s="139" t="s">
        <v>192</v>
      </c>
      <c r="J13" s="139" t="s">
        <v>192</v>
      </c>
      <c r="K13" s="139" t="s">
        <v>192</v>
      </c>
      <c r="L13" s="139" t="s">
        <v>192</v>
      </c>
      <c r="M13" s="139" t="s">
        <v>192</v>
      </c>
      <c r="N13" s="139">
        <f>代価!$O$47</f>
        <v>477.2</v>
      </c>
      <c r="O13" s="139">
        <f>代価!$P$47</f>
        <v>0</v>
      </c>
      <c r="P13" s="139">
        <f>代価!$Q$47</f>
        <v>0</v>
      </c>
      <c r="Q13" s="139">
        <f>代価!$R$47</f>
        <v>0</v>
      </c>
      <c r="R13" s="139">
        <f>代価!$S$47</f>
        <v>0</v>
      </c>
      <c r="S13" s="139">
        <f>代価!$T$47</f>
        <v>0</v>
      </c>
      <c r="T13" s="139">
        <f>代価!$U$47</f>
        <v>0</v>
      </c>
      <c r="U13" s="139">
        <f>代価!$V$47</f>
        <v>0</v>
      </c>
      <c r="V13" s="139">
        <f>代価!$W$47</f>
        <v>0</v>
      </c>
      <c r="W13" s="139">
        <f>代価!$X$47</f>
        <v>0</v>
      </c>
      <c r="X13" s="139">
        <f>代価!$Y$47</f>
        <v>0</v>
      </c>
      <c r="Y13" s="139">
        <f>代価!$Z$47</f>
        <v>0</v>
      </c>
      <c r="Z13" s="139">
        <f>代価!$AA$47</f>
        <v>0</v>
      </c>
      <c r="AA13" s="139">
        <f>代価!$AB$47</f>
        <v>0</v>
      </c>
      <c r="AB13" s="139">
        <f>代価!$AC$47</f>
        <v>0</v>
      </c>
      <c r="AC13" s="139">
        <f>代価!$AD$47</f>
        <v>0</v>
      </c>
      <c r="AD13" s="139">
        <f>代価!$AE$47</f>
        <v>0</v>
      </c>
      <c r="AE13" s="139">
        <f>代価!$AF$47</f>
        <v>0</v>
      </c>
      <c r="AF13" s="139">
        <f>代価!$AG$47</f>
        <v>0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L352"/>
  <sheetViews>
    <sheetView view="pageBreakPreview" topLeftCell="A37" zoomScaleNormal="100" zoomScaleSheetLayoutView="100" workbookViewId="0">
      <selection activeCell="F58" sqref="F58"/>
    </sheetView>
  </sheetViews>
  <sheetFormatPr defaultColWidth="9" defaultRowHeight="13.5"/>
  <cols>
    <col min="1" max="1" width="2.5" style="837" customWidth="1"/>
    <col min="2" max="2" width="3.5" style="837" customWidth="1"/>
    <col min="3" max="3" width="23.25" style="837" customWidth="1"/>
    <col min="4" max="4" width="4.5" style="837" customWidth="1"/>
    <col min="5" max="5" width="5.625" style="837" customWidth="1"/>
    <col min="6" max="6" width="15.25" style="837" customWidth="1"/>
    <col min="7" max="12" width="15.125" style="1702" customWidth="1"/>
    <col min="257" max="257" width="2.5" customWidth="1"/>
    <col min="258" max="258" width="3.5" customWidth="1"/>
    <col min="259" max="259" width="23.25" customWidth="1"/>
    <col min="260" max="260" width="4.5" customWidth="1"/>
    <col min="261" max="261" width="5.625" customWidth="1"/>
    <col min="262" max="262" width="15.25" customWidth="1"/>
    <col min="263" max="268" width="15.125" customWidth="1"/>
    <col min="513" max="513" width="2.5" customWidth="1"/>
    <col min="514" max="514" width="3.5" customWidth="1"/>
    <col min="515" max="515" width="23.25" customWidth="1"/>
    <col min="516" max="516" width="4.5" customWidth="1"/>
    <col min="517" max="517" width="5.625" customWidth="1"/>
    <col min="518" max="518" width="15.25" customWidth="1"/>
    <col min="519" max="524" width="15.125" customWidth="1"/>
    <col min="769" max="769" width="2.5" customWidth="1"/>
    <col min="770" max="770" width="3.5" customWidth="1"/>
    <col min="771" max="771" width="23.25" customWidth="1"/>
    <col min="772" max="772" width="4.5" customWidth="1"/>
    <col min="773" max="773" width="5.625" customWidth="1"/>
    <col min="774" max="774" width="15.25" customWidth="1"/>
    <col min="775" max="780" width="15.125" customWidth="1"/>
    <col min="1025" max="1025" width="2.5" customWidth="1"/>
    <col min="1026" max="1026" width="3.5" customWidth="1"/>
    <col min="1027" max="1027" width="23.25" customWidth="1"/>
    <col min="1028" max="1028" width="4.5" customWidth="1"/>
    <col min="1029" max="1029" width="5.625" customWidth="1"/>
    <col min="1030" max="1030" width="15.25" customWidth="1"/>
    <col min="1031" max="1036" width="15.125" customWidth="1"/>
    <col min="1281" max="1281" width="2.5" customWidth="1"/>
    <col min="1282" max="1282" width="3.5" customWidth="1"/>
    <col min="1283" max="1283" width="23.25" customWidth="1"/>
    <col min="1284" max="1284" width="4.5" customWidth="1"/>
    <col min="1285" max="1285" width="5.625" customWidth="1"/>
    <col min="1286" max="1286" width="15.25" customWidth="1"/>
    <col min="1287" max="1292" width="15.125" customWidth="1"/>
    <col min="1537" max="1537" width="2.5" customWidth="1"/>
    <col min="1538" max="1538" width="3.5" customWidth="1"/>
    <col min="1539" max="1539" width="23.25" customWidth="1"/>
    <col min="1540" max="1540" width="4.5" customWidth="1"/>
    <col min="1541" max="1541" width="5.625" customWidth="1"/>
    <col min="1542" max="1542" width="15.25" customWidth="1"/>
    <col min="1543" max="1548" width="15.125" customWidth="1"/>
    <col min="1793" max="1793" width="2.5" customWidth="1"/>
    <col min="1794" max="1794" width="3.5" customWidth="1"/>
    <col min="1795" max="1795" width="23.25" customWidth="1"/>
    <col min="1796" max="1796" width="4.5" customWidth="1"/>
    <col min="1797" max="1797" width="5.625" customWidth="1"/>
    <col min="1798" max="1798" width="15.25" customWidth="1"/>
    <col min="1799" max="1804" width="15.125" customWidth="1"/>
    <col min="2049" max="2049" width="2.5" customWidth="1"/>
    <col min="2050" max="2050" width="3.5" customWidth="1"/>
    <col min="2051" max="2051" width="23.25" customWidth="1"/>
    <col min="2052" max="2052" width="4.5" customWidth="1"/>
    <col min="2053" max="2053" width="5.625" customWidth="1"/>
    <col min="2054" max="2054" width="15.25" customWidth="1"/>
    <col min="2055" max="2060" width="15.125" customWidth="1"/>
    <col min="2305" max="2305" width="2.5" customWidth="1"/>
    <col min="2306" max="2306" width="3.5" customWidth="1"/>
    <col min="2307" max="2307" width="23.25" customWidth="1"/>
    <col min="2308" max="2308" width="4.5" customWidth="1"/>
    <col min="2309" max="2309" width="5.625" customWidth="1"/>
    <col min="2310" max="2310" width="15.25" customWidth="1"/>
    <col min="2311" max="2316" width="15.125" customWidth="1"/>
    <col min="2561" max="2561" width="2.5" customWidth="1"/>
    <col min="2562" max="2562" width="3.5" customWidth="1"/>
    <col min="2563" max="2563" width="23.25" customWidth="1"/>
    <col min="2564" max="2564" width="4.5" customWidth="1"/>
    <col min="2565" max="2565" width="5.625" customWidth="1"/>
    <col min="2566" max="2566" width="15.25" customWidth="1"/>
    <col min="2567" max="2572" width="15.125" customWidth="1"/>
    <col min="2817" max="2817" width="2.5" customWidth="1"/>
    <col min="2818" max="2818" width="3.5" customWidth="1"/>
    <col min="2819" max="2819" width="23.25" customWidth="1"/>
    <col min="2820" max="2820" width="4.5" customWidth="1"/>
    <col min="2821" max="2821" width="5.625" customWidth="1"/>
    <col min="2822" max="2822" width="15.25" customWidth="1"/>
    <col min="2823" max="2828" width="15.125" customWidth="1"/>
    <col min="3073" max="3073" width="2.5" customWidth="1"/>
    <col min="3074" max="3074" width="3.5" customWidth="1"/>
    <col min="3075" max="3075" width="23.25" customWidth="1"/>
    <col min="3076" max="3076" width="4.5" customWidth="1"/>
    <col min="3077" max="3077" width="5.625" customWidth="1"/>
    <col min="3078" max="3078" width="15.25" customWidth="1"/>
    <col min="3079" max="3084" width="15.125" customWidth="1"/>
    <col min="3329" max="3329" width="2.5" customWidth="1"/>
    <col min="3330" max="3330" width="3.5" customWidth="1"/>
    <col min="3331" max="3331" width="23.25" customWidth="1"/>
    <col min="3332" max="3332" width="4.5" customWidth="1"/>
    <col min="3333" max="3333" width="5.625" customWidth="1"/>
    <col min="3334" max="3334" width="15.25" customWidth="1"/>
    <col min="3335" max="3340" width="15.125" customWidth="1"/>
    <col min="3585" max="3585" width="2.5" customWidth="1"/>
    <col min="3586" max="3586" width="3.5" customWidth="1"/>
    <col min="3587" max="3587" width="23.25" customWidth="1"/>
    <col min="3588" max="3588" width="4.5" customWidth="1"/>
    <col min="3589" max="3589" width="5.625" customWidth="1"/>
    <col min="3590" max="3590" width="15.25" customWidth="1"/>
    <col min="3591" max="3596" width="15.125" customWidth="1"/>
    <col min="3841" max="3841" width="2.5" customWidth="1"/>
    <col min="3842" max="3842" width="3.5" customWidth="1"/>
    <col min="3843" max="3843" width="23.25" customWidth="1"/>
    <col min="3844" max="3844" width="4.5" customWidth="1"/>
    <col min="3845" max="3845" width="5.625" customWidth="1"/>
    <col min="3846" max="3846" width="15.25" customWidth="1"/>
    <col min="3847" max="3852" width="15.125" customWidth="1"/>
    <col min="4097" max="4097" width="2.5" customWidth="1"/>
    <col min="4098" max="4098" width="3.5" customWidth="1"/>
    <col min="4099" max="4099" width="23.25" customWidth="1"/>
    <col min="4100" max="4100" width="4.5" customWidth="1"/>
    <col min="4101" max="4101" width="5.625" customWidth="1"/>
    <col min="4102" max="4102" width="15.25" customWidth="1"/>
    <col min="4103" max="4108" width="15.125" customWidth="1"/>
    <col min="4353" max="4353" width="2.5" customWidth="1"/>
    <col min="4354" max="4354" width="3.5" customWidth="1"/>
    <col min="4355" max="4355" width="23.25" customWidth="1"/>
    <col min="4356" max="4356" width="4.5" customWidth="1"/>
    <col min="4357" max="4357" width="5.625" customWidth="1"/>
    <col min="4358" max="4358" width="15.25" customWidth="1"/>
    <col min="4359" max="4364" width="15.125" customWidth="1"/>
    <col min="4609" max="4609" width="2.5" customWidth="1"/>
    <col min="4610" max="4610" width="3.5" customWidth="1"/>
    <col min="4611" max="4611" width="23.25" customWidth="1"/>
    <col min="4612" max="4612" width="4.5" customWidth="1"/>
    <col min="4613" max="4613" width="5.625" customWidth="1"/>
    <col min="4614" max="4614" width="15.25" customWidth="1"/>
    <col min="4615" max="4620" width="15.125" customWidth="1"/>
    <col min="4865" max="4865" width="2.5" customWidth="1"/>
    <col min="4866" max="4866" width="3.5" customWidth="1"/>
    <col min="4867" max="4867" width="23.25" customWidth="1"/>
    <col min="4868" max="4868" width="4.5" customWidth="1"/>
    <col min="4869" max="4869" width="5.625" customWidth="1"/>
    <col min="4870" max="4870" width="15.25" customWidth="1"/>
    <col min="4871" max="4876" width="15.125" customWidth="1"/>
    <col min="5121" max="5121" width="2.5" customWidth="1"/>
    <col min="5122" max="5122" width="3.5" customWidth="1"/>
    <col min="5123" max="5123" width="23.25" customWidth="1"/>
    <col min="5124" max="5124" width="4.5" customWidth="1"/>
    <col min="5125" max="5125" width="5.625" customWidth="1"/>
    <col min="5126" max="5126" width="15.25" customWidth="1"/>
    <col min="5127" max="5132" width="15.125" customWidth="1"/>
    <col min="5377" max="5377" width="2.5" customWidth="1"/>
    <col min="5378" max="5378" width="3.5" customWidth="1"/>
    <col min="5379" max="5379" width="23.25" customWidth="1"/>
    <col min="5380" max="5380" width="4.5" customWidth="1"/>
    <col min="5381" max="5381" width="5.625" customWidth="1"/>
    <col min="5382" max="5382" width="15.25" customWidth="1"/>
    <col min="5383" max="5388" width="15.125" customWidth="1"/>
    <col min="5633" max="5633" width="2.5" customWidth="1"/>
    <col min="5634" max="5634" width="3.5" customWidth="1"/>
    <col min="5635" max="5635" width="23.25" customWidth="1"/>
    <col min="5636" max="5636" width="4.5" customWidth="1"/>
    <col min="5637" max="5637" width="5.625" customWidth="1"/>
    <col min="5638" max="5638" width="15.25" customWidth="1"/>
    <col min="5639" max="5644" width="15.125" customWidth="1"/>
    <col min="5889" max="5889" width="2.5" customWidth="1"/>
    <col min="5890" max="5890" width="3.5" customWidth="1"/>
    <col min="5891" max="5891" width="23.25" customWidth="1"/>
    <col min="5892" max="5892" width="4.5" customWidth="1"/>
    <col min="5893" max="5893" width="5.625" customWidth="1"/>
    <col min="5894" max="5894" width="15.25" customWidth="1"/>
    <col min="5895" max="5900" width="15.125" customWidth="1"/>
    <col min="6145" max="6145" width="2.5" customWidth="1"/>
    <col min="6146" max="6146" width="3.5" customWidth="1"/>
    <col min="6147" max="6147" width="23.25" customWidth="1"/>
    <col min="6148" max="6148" width="4.5" customWidth="1"/>
    <col min="6149" max="6149" width="5.625" customWidth="1"/>
    <col min="6150" max="6150" width="15.25" customWidth="1"/>
    <col min="6151" max="6156" width="15.125" customWidth="1"/>
    <col min="6401" max="6401" width="2.5" customWidth="1"/>
    <col min="6402" max="6402" width="3.5" customWidth="1"/>
    <col min="6403" max="6403" width="23.25" customWidth="1"/>
    <col min="6404" max="6404" width="4.5" customWidth="1"/>
    <col min="6405" max="6405" width="5.625" customWidth="1"/>
    <col min="6406" max="6406" width="15.25" customWidth="1"/>
    <col min="6407" max="6412" width="15.125" customWidth="1"/>
    <col min="6657" max="6657" width="2.5" customWidth="1"/>
    <col min="6658" max="6658" width="3.5" customWidth="1"/>
    <col min="6659" max="6659" width="23.25" customWidth="1"/>
    <col min="6660" max="6660" width="4.5" customWidth="1"/>
    <col min="6661" max="6661" width="5.625" customWidth="1"/>
    <col min="6662" max="6662" width="15.25" customWidth="1"/>
    <col min="6663" max="6668" width="15.125" customWidth="1"/>
    <col min="6913" max="6913" width="2.5" customWidth="1"/>
    <col min="6914" max="6914" width="3.5" customWidth="1"/>
    <col min="6915" max="6915" width="23.25" customWidth="1"/>
    <col min="6916" max="6916" width="4.5" customWidth="1"/>
    <col min="6917" max="6917" width="5.625" customWidth="1"/>
    <col min="6918" max="6918" width="15.25" customWidth="1"/>
    <col min="6919" max="6924" width="15.125" customWidth="1"/>
    <col min="7169" max="7169" width="2.5" customWidth="1"/>
    <col min="7170" max="7170" width="3.5" customWidth="1"/>
    <col min="7171" max="7171" width="23.25" customWidth="1"/>
    <col min="7172" max="7172" width="4.5" customWidth="1"/>
    <col min="7173" max="7173" width="5.625" customWidth="1"/>
    <col min="7174" max="7174" width="15.25" customWidth="1"/>
    <col min="7175" max="7180" width="15.125" customWidth="1"/>
    <col min="7425" max="7425" width="2.5" customWidth="1"/>
    <col min="7426" max="7426" width="3.5" customWidth="1"/>
    <col min="7427" max="7427" width="23.25" customWidth="1"/>
    <col min="7428" max="7428" width="4.5" customWidth="1"/>
    <col min="7429" max="7429" width="5.625" customWidth="1"/>
    <col min="7430" max="7430" width="15.25" customWidth="1"/>
    <col min="7431" max="7436" width="15.125" customWidth="1"/>
    <col min="7681" max="7681" width="2.5" customWidth="1"/>
    <col min="7682" max="7682" width="3.5" customWidth="1"/>
    <col min="7683" max="7683" width="23.25" customWidth="1"/>
    <col min="7684" max="7684" width="4.5" customWidth="1"/>
    <col min="7685" max="7685" width="5.625" customWidth="1"/>
    <col min="7686" max="7686" width="15.25" customWidth="1"/>
    <col min="7687" max="7692" width="15.125" customWidth="1"/>
    <col min="7937" max="7937" width="2.5" customWidth="1"/>
    <col min="7938" max="7938" width="3.5" customWidth="1"/>
    <col min="7939" max="7939" width="23.25" customWidth="1"/>
    <col min="7940" max="7940" width="4.5" customWidth="1"/>
    <col min="7941" max="7941" width="5.625" customWidth="1"/>
    <col min="7942" max="7942" width="15.25" customWidth="1"/>
    <col min="7943" max="7948" width="15.125" customWidth="1"/>
    <col min="8193" max="8193" width="2.5" customWidth="1"/>
    <col min="8194" max="8194" width="3.5" customWidth="1"/>
    <col min="8195" max="8195" width="23.25" customWidth="1"/>
    <col min="8196" max="8196" width="4.5" customWidth="1"/>
    <col min="8197" max="8197" width="5.625" customWidth="1"/>
    <col min="8198" max="8198" width="15.25" customWidth="1"/>
    <col min="8199" max="8204" width="15.125" customWidth="1"/>
    <col min="8449" max="8449" width="2.5" customWidth="1"/>
    <col min="8450" max="8450" width="3.5" customWidth="1"/>
    <col min="8451" max="8451" width="23.25" customWidth="1"/>
    <col min="8452" max="8452" width="4.5" customWidth="1"/>
    <col min="8453" max="8453" width="5.625" customWidth="1"/>
    <col min="8454" max="8454" width="15.25" customWidth="1"/>
    <col min="8455" max="8460" width="15.125" customWidth="1"/>
    <col min="8705" max="8705" width="2.5" customWidth="1"/>
    <col min="8706" max="8706" width="3.5" customWidth="1"/>
    <col min="8707" max="8707" width="23.25" customWidth="1"/>
    <col min="8708" max="8708" width="4.5" customWidth="1"/>
    <col min="8709" max="8709" width="5.625" customWidth="1"/>
    <col min="8710" max="8710" width="15.25" customWidth="1"/>
    <col min="8711" max="8716" width="15.125" customWidth="1"/>
    <col min="8961" max="8961" width="2.5" customWidth="1"/>
    <col min="8962" max="8962" width="3.5" customWidth="1"/>
    <col min="8963" max="8963" width="23.25" customWidth="1"/>
    <col min="8964" max="8964" width="4.5" customWidth="1"/>
    <col min="8965" max="8965" width="5.625" customWidth="1"/>
    <col min="8966" max="8966" width="15.25" customWidth="1"/>
    <col min="8967" max="8972" width="15.125" customWidth="1"/>
    <col min="9217" max="9217" width="2.5" customWidth="1"/>
    <col min="9218" max="9218" width="3.5" customWidth="1"/>
    <col min="9219" max="9219" width="23.25" customWidth="1"/>
    <col min="9220" max="9220" width="4.5" customWidth="1"/>
    <col min="9221" max="9221" width="5.625" customWidth="1"/>
    <col min="9222" max="9222" width="15.25" customWidth="1"/>
    <col min="9223" max="9228" width="15.125" customWidth="1"/>
    <col min="9473" max="9473" width="2.5" customWidth="1"/>
    <col min="9474" max="9474" width="3.5" customWidth="1"/>
    <col min="9475" max="9475" width="23.25" customWidth="1"/>
    <col min="9476" max="9476" width="4.5" customWidth="1"/>
    <col min="9477" max="9477" width="5.625" customWidth="1"/>
    <col min="9478" max="9478" width="15.25" customWidth="1"/>
    <col min="9479" max="9484" width="15.125" customWidth="1"/>
    <col min="9729" max="9729" width="2.5" customWidth="1"/>
    <col min="9730" max="9730" width="3.5" customWidth="1"/>
    <col min="9731" max="9731" width="23.25" customWidth="1"/>
    <col min="9732" max="9732" width="4.5" customWidth="1"/>
    <col min="9733" max="9733" width="5.625" customWidth="1"/>
    <col min="9734" max="9734" width="15.25" customWidth="1"/>
    <col min="9735" max="9740" width="15.125" customWidth="1"/>
    <col min="9985" max="9985" width="2.5" customWidth="1"/>
    <col min="9986" max="9986" width="3.5" customWidth="1"/>
    <col min="9987" max="9987" width="23.25" customWidth="1"/>
    <col min="9988" max="9988" width="4.5" customWidth="1"/>
    <col min="9989" max="9989" width="5.625" customWidth="1"/>
    <col min="9990" max="9990" width="15.25" customWidth="1"/>
    <col min="9991" max="9996" width="15.125" customWidth="1"/>
    <col min="10241" max="10241" width="2.5" customWidth="1"/>
    <col min="10242" max="10242" width="3.5" customWidth="1"/>
    <col min="10243" max="10243" width="23.25" customWidth="1"/>
    <col min="10244" max="10244" width="4.5" customWidth="1"/>
    <col min="10245" max="10245" width="5.625" customWidth="1"/>
    <col min="10246" max="10246" width="15.25" customWidth="1"/>
    <col min="10247" max="10252" width="15.125" customWidth="1"/>
    <col min="10497" max="10497" width="2.5" customWidth="1"/>
    <col min="10498" max="10498" width="3.5" customWidth="1"/>
    <col min="10499" max="10499" width="23.25" customWidth="1"/>
    <col min="10500" max="10500" width="4.5" customWidth="1"/>
    <col min="10501" max="10501" width="5.625" customWidth="1"/>
    <col min="10502" max="10502" width="15.25" customWidth="1"/>
    <col min="10503" max="10508" width="15.125" customWidth="1"/>
    <col min="10753" max="10753" width="2.5" customWidth="1"/>
    <col min="10754" max="10754" width="3.5" customWidth="1"/>
    <col min="10755" max="10755" width="23.25" customWidth="1"/>
    <col min="10756" max="10756" width="4.5" customWidth="1"/>
    <col min="10757" max="10757" width="5.625" customWidth="1"/>
    <col min="10758" max="10758" width="15.25" customWidth="1"/>
    <col min="10759" max="10764" width="15.125" customWidth="1"/>
    <col min="11009" max="11009" width="2.5" customWidth="1"/>
    <col min="11010" max="11010" width="3.5" customWidth="1"/>
    <col min="11011" max="11011" width="23.25" customWidth="1"/>
    <col min="11012" max="11012" width="4.5" customWidth="1"/>
    <col min="11013" max="11013" width="5.625" customWidth="1"/>
    <col min="11014" max="11014" width="15.25" customWidth="1"/>
    <col min="11015" max="11020" width="15.125" customWidth="1"/>
    <col min="11265" max="11265" width="2.5" customWidth="1"/>
    <col min="11266" max="11266" width="3.5" customWidth="1"/>
    <col min="11267" max="11267" width="23.25" customWidth="1"/>
    <col min="11268" max="11268" width="4.5" customWidth="1"/>
    <col min="11269" max="11269" width="5.625" customWidth="1"/>
    <col min="11270" max="11270" width="15.25" customWidth="1"/>
    <col min="11271" max="11276" width="15.125" customWidth="1"/>
    <col min="11521" max="11521" width="2.5" customWidth="1"/>
    <col min="11522" max="11522" width="3.5" customWidth="1"/>
    <col min="11523" max="11523" width="23.25" customWidth="1"/>
    <col min="11524" max="11524" width="4.5" customWidth="1"/>
    <col min="11525" max="11525" width="5.625" customWidth="1"/>
    <col min="11526" max="11526" width="15.25" customWidth="1"/>
    <col min="11527" max="11532" width="15.125" customWidth="1"/>
    <col min="11777" max="11777" width="2.5" customWidth="1"/>
    <col min="11778" max="11778" width="3.5" customWidth="1"/>
    <col min="11779" max="11779" width="23.25" customWidth="1"/>
    <col min="11780" max="11780" width="4.5" customWidth="1"/>
    <col min="11781" max="11781" width="5.625" customWidth="1"/>
    <col min="11782" max="11782" width="15.25" customWidth="1"/>
    <col min="11783" max="11788" width="15.125" customWidth="1"/>
    <col min="12033" max="12033" width="2.5" customWidth="1"/>
    <col min="12034" max="12034" width="3.5" customWidth="1"/>
    <col min="12035" max="12035" width="23.25" customWidth="1"/>
    <col min="12036" max="12036" width="4.5" customWidth="1"/>
    <col min="12037" max="12037" width="5.625" customWidth="1"/>
    <col min="12038" max="12038" width="15.25" customWidth="1"/>
    <col min="12039" max="12044" width="15.125" customWidth="1"/>
    <col min="12289" max="12289" width="2.5" customWidth="1"/>
    <col min="12290" max="12290" width="3.5" customWidth="1"/>
    <col min="12291" max="12291" width="23.25" customWidth="1"/>
    <col min="12292" max="12292" width="4.5" customWidth="1"/>
    <col min="12293" max="12293" width="5.625" customWidth="1"/>
    <col min="12294" max="12294" width="15.25" customWidth="1"/>
    <col min="12295" max="12300" width="15.125" customWidth="1"/>
    <col min="12545" max="12545" width="2.5" customWidth="1"/>
    <col min="12546" max="12546" width="3.5" customWidth="1"/>
    <col min="12547" max="12547" width="23.25" customWidth="1"/>
    <col min="12548" max="12548" width="4.5" customWidth="1"/>
    <col min="12549" max="12549" width="5.625" customWidth="1"/>
    <col min="12550" max="12550" width="15.25" customWidth="1"/>
    <col min="12551" max="12556" width="15.125" customWidth="1"/>
    <col min="12801" max="12801" width="2.5" customWidth="1"/>
    <col min="12802" max="12802" width="3.5" customWidth="1"/>
    <col min="12803" max="12803" width="23.25" customWidth="1"/>
    <col min="12804" max="12804" width="4.5" customWidth="1"/>
    <col min="12805" max="12805" width="5.625" customWidth="1"/>
    <col min="12806" max="12806" width="15.25" customWidth="1"/>
    <col min="12807" max="12812" width="15.125" customWidth="1"/>
    <col min="13057" max="13057" width="2.5" customWidth="1"/>
    <col min="13058" max="13058" width="3.5" customWidth="1"/>
    <col min="13059" max="13059" width="23.25" customWidth="1"/>
    <col min="13060" max="13060" width="4.5" customWidth="1"/>
    <col min="13061" max="13061" width="5.625" customWidth="1"/>
    <col min="13062" max="13062" width="15.25" customWidth="1"/>
    <col min="13063" max="13068" width="15.125" customWidth="1"/>
    <col min="13313" max="13313" width="2.5" customWidth="1"/>
    <col min="13314" max="13314" width="3.5" customWidth="1"/>
    <col min="13315" max="13315" width="23.25" customWidth="1"/>
    <col min="13316" max="13316" width="4.5" customWidth="1"/>
    <col min="13317" max="13317" width="5.625" customWidth="1"/>
    <col min="13318" max="13318" width="15.25" customWidth="1"/>
    <col min="13319" max="13324" width="15.125" customWidth="1"/>
    <col min="13569" max="13569" width="2.5" customWidth="1"/>
    <col min="13570" max="13570" width="3.5" customWidth="1"/>
    <col min="13571" max="13571" width="23.25" customWidth="1"/>
    <col min="13572" max="13572" width="4.5" customWidth="1"/>
    <col min="13573" max="13573" width="5.625" customWidth="1"/>
    <col min="13574" max="13574" width="15.25" customWidth="1"/>
    <col min="13575" max="13580" width="15.125" customWidth="1"/>
    <col min="13825" max="13825" width="2.5" customWidth="1"/>
    <col min="13826" max="13826" width="3.5" customWidth="1"/>
    <col min="13827" max="13827" width="23.25" customWidth="1"/>
    <col min="13828" max="13828" width="4.5" customWidth="1"/>
    <col min="13829" max="13829" width="5.625" customWidth="1"/>
    <col min="13830" max="13830" width="15.25" customWidth="1"/>
    <col min="13831" max="13836" width="15.125" customWidth="1"/>
    <col min="14081" max="14081" width="2.5" customWidth="1"/>
    <col min="14082" max="14082" width="3.5" customWidth="1"/>
    <col min="14083" max="14083" width="23.25" customWidth="1"/>
    <col min="14084" max="14084" width="4.5" customWidth="1"/>
    <col min="14085" max="14085" width="5.625" customWidth="1"/>
    <col min="14086" max="14086" width="15.25" customWidth="1"/>
    <col min="14087" max="14092" width="15.125" customWidth="1"/>
    <col min="14337" max="14337" width="2.5" customWidth="1"/>
    <col min="14338" max="14338" width="3.5" customWidth="1"/>
    <col min="14339" max="14339" width="23.25" customWidth="1"/>
    <col min="14340" max="14340" width="4.5" customWidth="1"/>
    <col min="14341" max="14341" width="5.625" customWidth="1"/>
    <col min="14342" max="14342" width="15.25" customWidth="1"/>
    <col min="14343" max="14348" width="15.125" customWidth="1"/>
    <col min="14593" max="14593" width="2.5" customWidth="1"/>
    <col min="14594" max="14594" width="3.5" customWidth="1"/>
    <col min="14595" max="14595" width="23.25" customWidth="1"/>
    <col min="14596" max="14596" width="4.5" customWidth="1"/>
    <col min="14597" max="14597" width="5.625" customWidth="1"/>
    <col min="14598" max="14598" width="15.25" customWidth="1"/>
    <col min="14599" max="14604" width="15.125" customWidth="1"/>
    <col min="14849" max="14849" width="2.5" customWidth="1"/>
    <col min="14850" max="14850" width="3.5" customWidth="1"/>
    <col min="14851" max="14851" width="23.25" customWidth="1"/>
    <col min="14852" max="14852" width="4.5" customWidth="1"/>
    <col min="14853" max="14853" width="5.625" customWidth="1"/>
    <col min="14854" max="14854" width="15.25" customWidth="1"/>
    <col min="14855" max="14860" width="15.125" customWidth="1"/>
    <col min="15105" max="15105" width="2.5" customWidth="1"/>
    <col min="15106" max="15106" width="3.5" customWidth="1"/>
    <col min="15107" max="15107" width="23.25" customWidth="1"/>
    <col min="15108" max="15108" width="4.5" customWidth="1"/>
    <col min="15109" max="15109" width="5.625" customWidth="1"/>
    <col min="15110" max="15110" width="15.25" customWidth="1"/>
    <col min="15111" max="15116" width="15.125" customWidth="1"/>
    <col min="15361" max="15361" width="2.5" customWidth="1"/>
    <col min="15362" max="15362" width="3.5" customWidth="1"/>
    <col min="15363" max="15363" width="23.25" customWidth="1"/>
    <col min="15364" max="15364" width="4.5" customWidth="1"/>
    <col min="15365" max="15365" width="5.625" customWidth="1"/>
    <col min="15366" max="15366" width="15.25" customWidth="1"/>
    <col min="15367" max="15372" width="15.125" customWidth="1"/>
    <col min="15617" max="15617" width="2.5" customWidth="1"/>
    <col min="15618" max="15618" width="3.5" customWidth="1"/>
    <col min="15619" max="15619" width="23.25" customWidth="1"/>
    <col min="15620" max="15620" width="4.5" customWidth="1"/>
    <col min="15621" max="15621" width="5.625" customWidth="1"/>
    <col min="15622" max="15622" width="15.25" customWidth="1"/>
    <col min="15623" max="15628" width="15.125" customWidth="1"/>
    <col min="15873" max="15873" width="2.5" customWidth="1"/>
    <col min="15874" max="15874" width="3.5" customWidth="1"/>
    <col min="15875" max="15875" width="23.25" customWidth="1"/>
    <col min="15876" max="15876" width="4.5" customWidth="1"/>
    <col min="15877" max="15877" width="5.625" customWidth="1"/>
    <col min="15878" max="15878" width="15.25" customWidth="1"/>
    <col min="15879" max="15884" width="15.125" customWidth="1"/>
    <col min="16129" max="16129" width="2.5" customWidth="1"/>
    <col min="16130" max="16130" width="3.5" customWidth="1"/>
    <col min="16131" max="16131" width="23.25" customWidth="1"/>
    <col min="16132" max="16132" width="4.5" customWidth="1"/>
    <col min="16133" max="16133" width="5.625" customWidth="1"/>
    <col min="16134" max="16134" width="15.25" customWidth="1"/>
    <col min="16135" max="16140" width="15.125" customWidth="1"/>
  </cols>
  <sheetData>
    <row r="1" spans="1:12" ht="14.25">
      <c r="A1" s="831"/>
      <c r="B1" s="831"/>
      <c r="C1" s="832"/>
      <c r="D1" s="832"/>
      <c r="E1" s="1321" t="s">
        <v>2522</v>
      </c>
      <c r="F1" s="1322"/>
      <c r="G1" s="1323"/>
      <c r="H1" s="1323"/>
      <c r="I1" s="1323"/>
      <c r="J1" s="1323"/>
      <c r="K1" s="835">
        <v>20180319</v>
      </c>
      <c r="L1" s="834" t="s">
        <v>2747</v>
      </c>
    </row>
    <row r="2" spans="1:12">
      <c r="A2" s="831"/>
      <c r="B2" s="831"/>
      <c r="C2" s="2800" t="s">
        <v>2524</v>
      </c>
      <c r="D2" s="2801"/>
      <c r="E2" s="2801"/>
      <c r="F2" s="831" t="s">
        <v>2525</v>
      </c>
      <c r="G2" s="838"/>
      <c r="H2" s="839"/>
      <c r="I2" s="839"/>
      <c r="J2" s="839"/>
      <c r="K2" s="831"/>
      <c r="L2" s="839" t="s">
        <v>252</v>
      </c>
    </row>
    <row r="3" spans="1:12">
      <c r="A3" s="840"/>
      <c r="B3" s="841"/>
      <c r="C3" s="842"/>
      <c r="D3" s="843"/>
      <c r="E3" s="844"/>
      <c r="F3" s="845"/>
      <c r="G3" s="1324" t="s">
        <v>2748</v>
      </c>
      <c r="H3" s="1324"/>
      <c r="I3" s="1324"/>
      <c r="J3" s="1324"/>
      <c r="K3" s="1324"/>
      <c r="L3" s="1325"/>
    </row>
    <row r="4" spans="1:12">
      <c r="A4" s="840"/>
      <c r="B4" s="2802" t="s">
        <v>2527</v>
      </c>
      <c r="C4" s="2803"/>
      <c r="D4" s="2803"/>
      <c r="E4" s="844"/>
      <c r="F4" s="847">
        <f>SUM(G4:L4)</f>
        <v>0</v>
      </c>
      <c r="G4" s="848">
        <f>G61</f>
        <v>0</v>
      </c>
      <c r="H4" s="849">
        <f t="shared" ref="G4:L5" si="0">H61</f>
        <v>0</v>
      </c>
      <c r="I4" s="849">
        <f t="shared" si="0"/>
        <v>0</v>
      </c>
      <c r="J4" s="849">
        <f t="shared" si="0"/>
        <v>0</v>
      </c>
      <c r="K4" s="847">
        <f t="shared" si="0"/>
        <v>0</v>
      </c>
      <c r="L4" s="850">
        <f t="shared" si="0"/>
        <v>0</v>
      </c>
    </row>
    <row r="5" spans="1:12">
      <c r="A5" s="851"/>
      <c r="B5" s="2804" t="s">
        <v>2528</v>
      </c>
      <c r="C5" s="2805"/>
      <c r="D5" s="2805"/>
      <c r="E5" s="852"/>
      <c r="F5" s="853">
        <f>SUM(G5:L5)</f>
        <v>0</v>
      </c>
      <c r="G5" s="854">
        <f t="shared" si="0"/>
        <v>0</v>
      </c>
      <c r="H5" s="855">
        <f t="shared" si="0"/>
        <v>0</v>
      </c>
      <c r="I5" s="855">
        <f t="shared" si="0"/>
        <v>0</v>
      </c>
      <c r="J5" s="855">
        <f t="shared" si="0"/>
        <v>0</v>
      </c>
      <c r="K5" s="853">
        <f t="shared" si="0"/>
        <v>0</v>
      </c>
      <c r="L5" s="856">
        <f t="shared" si="0"/>
        <v>0</v>
      </c>
    </row>
    <row r="6" spans="1:12">
      <c r="A6" s="857"/>
      <c r="B6" s="2726" t="s">
        <v>240</v>
      </c>
      <c r="C6" s="2806"/>
      <c r="D6" s="2806"/>
      <c r="E6" s="858"/>
      <c r="F6" s="859">
        <f>SUM(G6:L6)</f>
        <v>0</v>
      </c>
      <c r="G6" s="860">
        <f t="shared" ref="G6:L6" si="1">G60</f>
        <v>0</v>
      </c>
      <c r="H6" s="861">
        <f t="shared" si="1"/>
        <v>0</v>
      </c>
      <c r="I6" s="861">
        <f t="shared" si="1"/>
        <v>0</v>
      </c>
      <c r="J6" s="861">
        <f t="shared" si="1"/>
        <v>0</v>
      </c>
      <c r="K6" s="859">
        <f t="shared" si="1"/>
        <v>0</v>
      </c>
      <c r="L6" s="862">
        <f t="shared" si="1"/>
        <v>0</v>
      </c>
    </row>
    <row r="7" spans="1:12">
      <c r="A7" s="831"/>
      <c r="B7" s="1326"/>
      <c r="C7" s="1327"/>
      <c r="D7" s="1328"/>
      <c r="E7" s="1329"/>
      <c r="F7" s="1330"/>
      <c r="G7" s="1331" t="s">
        <v>2749</v>
      </c>
      <c r="H7" s="1332"/>
      <c r="I7" s="1333"/>
      <c r="J7" s="1333"/>
      <c r="K7" s="1333"/>
      <c r="L7" s="1333" t="s">
        <v>2530</v>
      </c>
    </row>
    <row r="8" spans="1:12">
      <c r="A8" s="868"/>
      <c r="B8" s="869"/>
      <c r="C8" s="870" t="s">
        <v>2531</v>
      </c>
      <c r="D8" s="871"/>
      <c r="E8" s="872"/>
      <c r="F8" s="873" t="s">
        <v>2609</v>
      </c>
      <c r="G8" s="1334">
        <f>G65</f>
        <v>3.5</v>
      </c>
      <c r="H8" s="1334"/>
      <c r="I8" s="1334"/>
      <c r="J8" s="1334"/>
      <c r="K8" s="1334"/>
      <c r="L8" s="1335"/>
    </row>
    <row r="9" spans="1:12" s="1278" customFormat="1" ht="13.5" customHeight="1">
      <c r="A9" s="1336"/>
      <c r="B9" s="1337" t="s">
        <v>2750</v>
      </c>
      <c r="C9" s="1338"/>
      <c r="D9" s="1338"/>
      <c r="E9" s="1339"/>
      <c r="F9" s="1340">
        <f>SUM(G9:L9)</f>
        <v>2000000</v>
      </c>
      <c r="G9" s="1341">
        <v>2000000</v>
      </c>
      <c r="H9" s="1341"/>
      <c r="I9" s="1341"/>
      <c r="J9" s="1341"/>
      <c r="K9" s="1341"/>
      <c r="L9" s="1342"/>
    </row>
    <row r="10" spans="1:12" s="1278" customFormat="1" ht="13.5" customHeight="1">
      <c r="A10" s="1343"/>
      <c r="B10" s="1344" t="s">
        <v>2751</v>
      </c>
      <c r="C10" s="1345"/>
      <c r="D10" s="1345"/>
      <c r="E10" s="1346"/>
      <c r="F10" s="1347"/>
      <c r="G10" s="1348">
        <v>100000</v>
      </c>
      <c r="H10" s="1348"/>
      <c r="I10" s="1348"/>
      <c r="J10" s="1348"/>
      <c r="K10" s="1348"/>
      <c r="L10" s="1349"/>
    </row>
    <row r="11" spans="1:12" s="1278" customFormat="1" ht="13.5" customHeight="1">
      <c r="A11" s="1343"/>
      <c r="B11" s="1350"/>
      <c r="C11" s="1351" t="s">
        <v>2752</v>
      </c>
      <c r="D11" s="1351"/>
      <c r="E11" s="1352"/>
      <c r="F11" s="1353"/>
      <c r="G11" s="1354">
        <v>70000</v>
      </c>
      <c r="H11" s="1354"/>
      <c r="I11" s="1354"/>
      <c r="J11" s="1354"/>
      <c r="K11" s="1354"/>
      <c r="L11" s="1355"/>
    </row>
    <row r="12" spans="1:12" s="1278" customFormat="1" ht="13.5" customHeight="1">
      <c r="A12" s="1356"/>
      <c r="B12" s="1357" t="s">
        <v>2753</v>
      </c>
      <c r="C12" s="1358"/>
      <c r="D12" s="1358"/>
      <c r="E12" s="1359"/>
      <c r="F12" s="1360">
        <f>SUM(G12:L12)</f>
        <v>1729508</v>
      </c>
      <c r="G12" s="1361">
        <f t="shared" ref="G12:L12" si="2">+G217-G72</f>
        <v>1729508</v>
      </c>
      <c r="H12" s="1361">
        <f t="shared" si="2"/>
        <v>0</v>
      </c>
      <c r="I12" s="1361">
        <f t="shared" si="2"/>
        <v>0</v>
      </c>
      <c r="J12" s="1361">
        <f t="shared" si="2"/>
        <v>0</v>
      </c>
      <c r="K12" s="1361">
        <f t="shared" si="2"/>
        <v>0</v>
      </c>
      <c r="L12" s="1361">
        <f t="shared" si="2"/>
        <v>0</v>
      </c>
    </row>
    <row r="13" spans="1:12" s="1278" customFormat="1" ht="13.5" hidden="1" customHeight="1">
      <c r="A13" s="1343"/>
      <c r="B13" s="1357" t="s">
        <v>2754</v>
      </c>
      <c r="C13" s="1358"/>
      <c r="D13" s="1358"/>
      <c r="E13" s="1359"/>
      <c r="F13" s="1360">
        <f>SUM(G13:L13)</f>
        <v>100000</v>
      </c>
      <c r="G13" s="1361">
        <f t="shared" ref="G13:L13" si="3">G214-G69</f>
        <v>100000</v>
      </c>
      <c r="H13" s="1361">
        <f t="shared" si="3"/>
        <v>0</v>
      </c>
      <c r="I13" s="1361">
        <f t="shared" si="3"/>
        <v>0</v>
      </c>
      <c r="J13" s="1361">
        <f t="shared" si="3"/>
        <v>0</v>
      </c>
      <c r="K13" s="1361">
        <f t="shared" si="3"/>
        <v>0</v>
      </c>
      <c r="L13" s="1361">
        <f t="shared" si="3"/>
        <v>0</v>
      </c>
    </row>
    <row r="14" spans="1:12" s="1278" customFormat="1" ht="13.5" customHeight="1">
      <c r="A14" s="1343"/>
      <c r="B14" s="1362" t="s">
        <v>2755</v>
      </c>
      <c r="C14" s="1351"/>
      <c r="D14" s="1351"/>
      <c r="E14" s="1352"/>
      <c r="F14" s="1363">
        <f>SUM(G14:L14)</f>
        <v>94000</v>
      </c>
      <c r="G14" s="1364">
        <f t="shared" ref="G14:L14" si="4">G220-G75</f>
        <v>94000</v>
      </c>
      <c r="H14" s="1364">
        <f t="shared" si="4"/>
        <v>0</v>
      </c>
      <c r="I14" s="1364">
        <f t="shared" si="4"/>
        <v>0</v>
      </c>
      <c r="J14" s="1364">
        <f t="shared" si="4"/>
        <v>0</v>
      </c>
      <c r="K14" s="1364">
        <f t="shared" si="4"/>
        <v>0</v>
      </c>
      <c r="L14" s="1364">
        <f t="shared" si="4"/>
        <v>0</v>
      </c>
    </row>
    <row r="15" spans="1:12">
      <c r="A15" s="1365" t="s">
        <v>2756</v>
      </c>
      <c r="B15" s="1366"/>
      <c r="C15" s="1367"/>
      <c r="D15" s="1368" t="s">
        <v>2641</v>
      </c>
      <c r="E15" s="1368" t="s">
        <v>2681</v>
      </c>
      <c r="F15" s="1368"/>
      <c r="G15" s="1368"/>
      <c r="H15" s="1368"/>
      <c r="I15" s="1368"/>
      <c r="J15" s="1368"/>
      <c r="K15" s="1368"/>
      <c r="L15" s="1369"/>
    </row>
    <row r="16" spans="1:12">
      <c r="A16" s="1370"/>
      <c r="B16" s="2763" t="s">
        <v>2550</v>
      </c>
      <c r="C16" s="1371" t="str">
        <f>+C88</f>
        <v>(1)新築一般建築工事</v>
      </c>
      <c r="D16" s="1371"/>
      <c r="E16" s="1372"/>
      <c r="F16" s="1373">
        <f>SUM(G16:L16)</f>
        <v>0</v>
      </c>
      <c r="G16" s="1374"/>
      <c r="H16" s="1374"/>
      <c r="I16" s="1374"/>
      <c r="J16" s="1374"/>
      <c r="K16" s="1374"/>
      <c r="L16" s="1375"/>
    </row>
    <row r="17" spans="1:12">
      <c r="A17" s="1370"/>
      <c r="B17" s="2767"/>
      <c r="C17" s="1376" t="str">
        <f t="shared" ref="C17:C23" si="5">+C89</f>
        <v>(2)改修一般建築工事</v>
      </c>
      <c r="D17" s="1376"/>
      <c r="E17" s="1377"/>
      <c r="F17" s="1378">
        <f t="shared" ref="F17:F34" si="6">SUM(G17:L17)</f>
        <v>570000</v>
      </c>
      <c r="G17" s="908">
        <f t="shared" ref="G17:L17" si="7">G35-G16-SUM(G18:G34)</f>
        <v>570000</v>
      </c>
      <c r="H17" s="908">
        <f t="shared" si="7"/>
        <v>0</v>
      </c>
      <c r="I17" s="908">
        <f t="shared" si="7"/>
        <v>0</v>
      </c>
      <c r="J17" s="908">
        <f t="shared" si="7"/>
        <v>0</v>
      </c>
      <c r="K17" s="908">
        <f t="shared" si="7"/>
        <v>0</v>
      </c>
      <c r="L17" s="909">
        <f t="shared" si="7"/>
        <v>0</v>
      </c>
    </row>
    <row r="18" spans="1:12">
      <c r="A18" s="1370"/>
      <c r="B18" s="2766" t="s">
        <v>2757</v>
      </c>
      <c r="C18" s="1376" t="str">
        <f t="shared" si="5"/>
        <v>(3)共通仮設工事（下請経費共）(警備員等除く)</v>
      </c>
      <c r="D18" s="1376"/>
      <c r="E18" s="1379">
        <f>+E115</f>
        <v>0.25</v>
      </c>
      <c r="F18" s="1378">
        <f t="shared" si="6"/>
        <v>30000</v>
      </c>
      <c r="G18" s="908">
        <f t="shared" ref="G18:L18" si="8">IF(G33=0,G10-G11,0)</f>
        <v>30000</v>
      </c>
      <c r="H18" s="908">
        <f t="shared" si="8"/>
        <v>0</v>
      </c>
      <c r="I18" s="908">
        <f t="shared" si="8"/>
        <v>0</v>
      </c>
      <c r="J18" s="908">
        <f t="shared" si="8"/>
        <v>0</v>
      </c>
      <c r="K18" s="908">
        <f t="shared" si="8"/>
        <v>0</v>
      </c>
      <c r="L18" s="909">
        <f t="shared" si="8"/>
        <v>0</v>
      </c>
    </row>
    <row r="19" spans="1:12">
      <c r="A19" s="1370"/>
      <c r="B19" s="2764"/>
      <c r="C19" s="1376" t="str">
        <f t="shared" si="5"/>
        <v>(4)直接仮設工事（下請経費共）</v>
      </c>
      <c r="D19" s="1376"/>
      <c r="E19" s="1379">
        <f>+E116</f>
        <v>0.25</v>
      </c>
      <c r="F19" s="1378">
        <f t="shared" si="6"/>
        <v>0</v>
      </c>
      <c r="G19" s="1380">
        <v>0</v>
      </c>
      <c r="H19" s="1380"/>
      <c r="I19" s="1380"/>
      <c r="J19" s="1380"/>
      <c r="K19" s="1380"/>
      <c r="L19" s="1381"/>
    </row>
    <row r="20" spans="1:12">
      <c r="A20" s="1370"/>
      <c r="B20" s="2764"/>
      <c r="C20" s="1376" t="str">
        <f t="shared" si="5"/>
        <v>(5)塗装工事（下請経費共）</v>
      </c>
      <c r="D20" s="1376"/>
      <c r="E20" s="1379">
        <f>+E117</f>
        <v>0.22</v>
      </c>
      <c r="F20" s="1378">
        <f t="shared" si="6"/>
        <v>1500000</v>
      </c>
      <c r="G20" s="1380">
        <v>1500000</v>
      </c>
      <c r="H20" s="1380"/>
      <c r="I20" s="1380"/>
      <c r="J20" s="1380"/>
      <c r="K20" s="1380"/>
      <c r="L20" s="1381"/>
    </row>
    <row r="21" spans="1:12">
      <c r="A21" s="1370"/>
      <c r="B21" s="2764"/>
      <c r="C21" s="1376" t="str">
        <f t="shared" si="5"/>
        <v>(6)場内小運搬費（下請経費共）</v>
      </c>
      <c r="D21" s="1376"/>
      <c r="E21" s="1379">
        <f>+E118</f>
        <v>0.25</v>
      </c>
      <c r="F21" s="1378">
        <f t="shared" si="6"/>
        <v>0</v>
      </c>
      <c r="G21" s="1380"/>
      <c r="H21" s="1380"/>
      <c r="I21" s="1380"/>
      <c r="J21" s="1380"/>
      <c r="K21" s="1380"/>
      <c r="L21" s="1381"/>
    </row>
    <row r="22" spans="1:12">
      <c r="A22" s="1370"/>
      <c r="B22" s="2764"/>
      <c r="C22" s="1376" t="str">
        <f t="shared" si="5"/>
        <v>(7)〃人力積込み費（下請経費共）</v>
      </c>
      <c r="D22" s="1376"/>
      <c r="E22" s="1379">
        <f>+E119</f>
        <v>0.25</v>
      </c>
      <c r="F22" s="1378">
        <f t="shared" si="6"/>
        <v>0</v>
      </c>
      <c r="G22" s="1380"/>
      <c r="H22" s="1380"/>
      <c r="I22" s="1380"/>
      <c r="J22" s="1380"/>
      <c r="K22" s="1380"/>
      <c r="L22" s="1381"/>
    </row>
    <row r="23" spans="1:12">
      <c r="A23" s="1370"/>
      <c r="B23" s="2764"/>
      <c r="C23" s="1376" t="str">
        <f t="shared" si="5"/>
        <v>(8)</v>
      </c>
      <c r="D23" s="1376"/>
      <c r="E23" s="1379"/>
      <c r="F23" s="1378">
        <f t="shared" si="6"/>
        <v>0</v>
      </c>
      <c r="G23" s="908"/>
      <c r="H23" s="908"/>
      <c r="I23" s="908"/>
      <c r="J23" s="908"/>
      <c r="K23" s="908"/>
      <c r="L23" s="909"/>
    </row>
    <row r="24" spans="1:12">
      <c r="A24" s="1370"/>
      <c r="B24" s="2764"/>
      <c r="C24" s="1376"/>
      <c r="D24" s="1376"/>
      <c r="E24" s="1377"/>
      <c r="F24" s="1378">
        <f t="shared" si="6"/>
        <v>0</v>
      </c>
      <c r="G24" s="908"/>
      <c r="H24" s="908"/>
      <c r="I24" s="908"/>
      <c r="J24" s="908"/>
      <c r="K24" s="908"/>
      <c r="L24" s="909"/>
    </row>
    <row r="25" spans="1:12">
      <c r="A25" s="1370"/>
      <c r="B25" s="2766" t="s">
        <v>489</v>
      </c>
      <c r="C25" s="1382" t="str">
        <f t="shared" ref="C25:C34" si="9">+C98</f>
        <v>(9)近隣家屋調査及び地質調査</v>
      </c>
      <c r="D25" s="1376"/>
      <c r="E25" s="1377"/>
      <c r="F25" s="1378">
        <f t="shared" si="6"/>
        <v>0</v>
      </c>
      <c r="G25" s="1380"/>
      <c r="H25" s="1380"/>
      <c r="I25" s="1380"/>
      <c r="J25" s="1380"/>
      <c r="K25" s="1380"/>
      <c r="L25" s="1381"/>
    </row>
    <row r="26" spans="1:12">
      <c r="A26" s="1370"/>
      <c r="B26" s="2764"/>
      <c r="C26" s="1382" t="str">
        <f t="shared" si="9"/>
        <v>(10)とりこわし工事</v>
      </c>
      <c r="D26" s="1376"/>
      <c r="E26" s="1377"/>
      <c r="F26" s="1378">
        <f>SUM(G26:L26)</f>
        <v>0</v>
      </c>
      <c r="G26" s="1380"/>
      <c r="H26" s="1380"/>
      <c r="I26" s="1380"/>
      <c r="J26" s="1380"/>
      <c r="K26" s="1380"/>
      <c r="L26" s="1381"/>
    </row>
    <row r="27" spans="1:12">
      <c r="A27" s="1370"/>
      <c r="B27" s="2767"/>
      <c r="C27" s="1382" t="str">
        <f t="shared" si="9"/>
        <v>(11)</v>
      </c>
      <c r="D27" s="1376"/>
      <c r="E27" s="1377"/>
      <c r="F27" s="1378">
        <f t="shared" si="6"/>
        <v>0</v>
      </c>
      <c r="G27" s="1380"/>
      <c r="H27" s="1380"/>
      <c r="I27" s="1380"/>
      <c r="J27" s="1380"/>
      <c r="K27" s="1380"/>
      <c r="L27" s="1381"/>
    </row>
    <row r="28" spans="1:12" ht="13.5" customHeight="1">
      <c r="A28" s="1370"/>
      <c r="B28" s="2766" t="s">
        <v>2565</v>
      </c>
      <c r="C28" s="1376" t="str">
        <f t="shared" si="9"/>
        <v>(12)残材処分費及び残土処分費</v>
      </c>
      <c r="D28" s="1376"/>
      <c r="E28" s="1377"/>
      <c r="F28" s="1378">
        <f t="shared" si="6"/>
        <v>0</v>
      </c>
      <c r="G28" s="1380"/>
      <c r="H28" s="1380"/>
      <c r="I28" s="1380"/>
      <c r="J28" s="1380"/>
      <c r="K28" s="1380"/>
      <c r="L28" s="1381"/>
    </row>
    <row r="29" spans="1:12">
      <c r="A29" s="1370"/>
      <c r="B29" s="2764"/>
      <c r="C29" s="1376"/>
      <c r="D29" s="1376"/>
      <c r="E29" s="1377"/>
      <c r="F29" s="1378">
        <f>SUM(G29:L29)</f>
        <v>0</v>
      </c>
      <c r="G29" s="1380"/>
      <c r="H29" s="1380"/>
      <c r="I29" s="1380"/>
      <c r="J29" s="1380"/>
      <c r="K29" s="1380"/>
      <c r="L29" s="1381"/>
    </row>
    <row r="30" spans="1:12">
      <c r="A30" s="1370"/>
      <c r="B30" s="2764"/>
      <c r="C30" s="1376" t="str">
        <f t="shared" si="9"/>
        <v>(14)リース料（共通仮設）</v>
      </c>
      <c r="D30" s="1376"/>
      <c r="E30" s="1377"/>
      <c r="F30" s="1378">
        <f>SUM(G30:L30)</f>
        <v>0</v>
      </c>
      <c r="G30" s="1380"/>
      <c r="H30" s="1380"/>
      <c r="I30" s="1380"/>
      <c r="J30" s="1380"/>
      <c r="K30" s="1380"/>
      <c r="L30" s="1381"/>
    </row>
    <row r="31" spans="1:12">
      <c r="A31" s="1370"/>
      <c r="B31" s="2764"/>
      <c r="C31" s="1376" t="str">
        <f t="shared" si="9"/>
        <v>(15)借地借家料（共通仮設）</v>
      </c>
      <c r="D31" s="1383"/>
      <c r="E31" s="1384"/>
      <c r="F31" s="1385">
        <f>SUM(G31:L31)</f>
        <v>0</v>
      </c>
      <c r="G31" s="1386"/>
      <c r="H31" s="1386"/>
      <c r="I31" s="1386"/>
      <c r="J31" s="1386"/>
      <c r="K31" s="1386"/>
      <c r="L31" s="1387"/>
    </row>
    <row r="32" spans="1:12">
      <c r="A32" s="1370"/>
      <c r="B32" s="2764"/>
      <c r="C32" s="1376" t="str">
        <f t="shared" si="9"/>
        <v>(16)別途算定（直工費）</v>
      </c>
      <c r="D32" s="1376"/>
      <c r="E32" s="1377"/>
      <c r="F32" s="1378">
        <f t="shared" si="6"/>
        <v>0</v>
      </c>
      <c r="G32" s="1388"/>
      <c r="H32" s="1388"/>
      <c r="I32" s="1388"/>
      <c r="J32" s="1388"/>
      <c r="K32" s="1388"/>
      <c r="L32" s="1389"/>
    </row>
    <row r="33" spans="1:12">
      <c r="A33" s="1370"/>
      <c r="B33" s="2764"/>
      <c r="C33" s="1376" t="str">
        <f t="shared" si="9"/>
        <v>(17)別途算定（共通仮設）</v>
      </c>
      <c r="D33" s="1376"/>
      <c r="E33" s="1377"/>
      <c r="F33" s="1378">
        <f t="shared" si="6"/>
        <v>0</v>
      </c>
      <c r="G33" s="1388"/>
      <c r="H33" s="1388"/>
      <c r="I33" s="1388"/>
      <c r="J33" s="1388"/>
      <c r="K33" s="1388"/>
      <c r="L33" s="1389"/>
    </row>
    <row r="34" spans="1:12" ht="14.25" thickBot="1">
      <c r="A34" s="1370"/>
      <c r="B34" s="2764"/>
      <c r="C34" s="1390" t="str">
        <f t="shared" si="9"/>
        <v>(18)下水道使用料、各種負担金（共通仮設）</v>
      </c>
      <c r="D34" s="1390"/>
      <c r="E34" s="1384"/>
      <c r="F34" s="1385">
        <f t="shared" si="6"/>
        <v>0</v>
      </c>
      <c r="G34" s="1386"/>
      <c r="H34" s="1386"/>
      <c r="I34" s="1386"/>
      <c r="J34" s="1386"/>
      <c r="K34" s="1386"/>
      <c r="L34" s="1387"/>
    </row>
    <row r="35" spans="1:12">
      <c r="A35" s="1391"/>
      <c r="B35" s="1392"/>
      <c r="C35" s="1393" t="s">
        <v>2758</v>
      </c>
      <c r="D35" s="1394"/>
      <c r="E35" s="1395"/>
      <c r="F35" s="1396"/>
      <c r="G35" s="1397">
        <f t="shared" ref="G35:L35" si="10">+G9+G10+G29+G30+G31+G33+G34</f>
        <v>2100000</v>
      </c>
      <c r="H35" s="1397">
        <f t="shared" si="10"/>
        <v>0</v>
      </c>
      <c r="I35" s="1397">
        <f t="shared" si="10"/>
        <v>0</v>
      </c>
      <c r="J35" s="1397">
        <f t="shared" si="10"/>
        <v>0</v>
      </c>
      <c r="K35" s="1397">
        <f t="shared" si="10"/>
        <v>0</v>
      </c>
      <c r="L35" s="1398">
        <f t="shared" si="10"/>
        <v>0</v>
      </c>
    </row>
    <row r="36" spans="1:12">
      <c r="A36" s="1399"/>
      <c r="B36" s="1400"/>
      <c r="C36" s="1401" t="s">
        <v>2759</v>
      </c>
      <c r="D36" s="1402"/>
      <c r="E36" s="1403"/>
      <c r="F36" s="1404"/>
      <c r="G36" s="975">
        <f t="shared" ref="G36:L36" si="11">SUM(G258:G271)-SUM(G113:G126)</f>
        <v>1823508</v>
      </c>
      <c r="H36" s="975">
        <f t="shared" si="11"/>
        <v>0</v>
      </c>
      <c r="I36" s="975">
        <f t="shared" si="11"/>
        <v>0</v>
      </c>
      <c r="J36" s="975">
        <f t="shared" si="11"/>
        <v>0</v>
      </c>
      <c r="K36" s="975">
        <f t="shared" si="11"/>
        <v>0</v>
      </c>
      <c r="L36" s="1405">
        <f t="shared" si="11"/>
        <v>0</v>
      </c>
    </row>
    <row r="37" spans="1:12">
      <c r="A37" s="2807" t="s">
        <v>2760</v>
      </c>
      <c r="B37" s="2807"/>
      <c r="C37" s="2808"/>
      <c r="D37" s="940"/>
      <c r="E37" s="941"/>
      <c r="F37" s="942"/>
      <c r="G37" s="943"/>
      <c r="H37" s="943"/>
      <c r="I37" s="943"/>
      <c r="J37" s="943"/>
      <c r="K37" s="943"/>
      <c r="L37" s="1406"/>
    </row>
    <row r="38" spans="1:12" ht="13.5" customHeight="1">
      <c r="A38" s="2730"/>
      <c r="B38" s="1407" t="s">
        <v>2761</v>
      </c>
      <c r="C38" s="1408" t="s">
        <v>2762</v>
      </c>
      <c r="D38" s="946"/>
      <c r="E38" s="952"/>
      <c r="F38" s="1409">
        <f>SUM(G38:L38)</f>
        <v>128877</v>
      </c>
      <c r="G38" s="908">
        <f t="shared" ref="G38:L38" si="12">-(+G129+G131)+(G274+G276)</f>
        <v>128877</v>
      </c>
      <c r="H38" s="908">
        <f t="shared" si="12"/>
        <v>0</v>
      </c>
      <c r="I38" s="908">
        <f t="shared" si="12"/>
        <v>0</v>
      </c>
      <c r="J38" s="908">
        <f t="shared" si="12"/>
        <v>0</v>
      </c>
      <c r="K38" s="908">
        <f t="shared" si="12"/>
        <v>0</v>
      </c>
      <c r="L38" s="909">
        <f t="shared" si="12"/>
        <v>0</v>
      </c>
    </row>
    <row r="39" spans="1:12">
      <c r="A39" s="2730"/>
      <c r="B39" s="1410" t="s">
        <v>2763</v>
      </c>
      <c r="C39" s="1411" t="s">
        <v>2764</v>
      </c>
      <c r="D39" s="946"/>
      <c r="E39" s="952"/>
      <c r="F39" s="1409">
        <f>SUM(G39:L39)</f>
        <v>138246</v>
      </c>
      <c r="G39" s="908">
        <f t="shared" ref="G39:L39" si="13">SUM(G277:G284)-SUM(G132:G139)</f>
        <v>138246</v>
      </c>
      <c r="H39" s="908">
        <f t="shared" si="13"/>
        <v>0</v>
      </c>
      <c r="I39" s="908">
        <f t="shared" si="13"/>
        <v>0</v>
      </c>
      <c r="J39" s="908">
        <f t="shared" si="13"/>
        <v>0</v>
      </c>
      <c r="K39" s="908">
        <f t="shared" si="13"/>
        <v>0</v>
      </c>
      <c r="L39" s="909">
        <f t="shared" si="13"/>
        <v>0</v>
      </c>
    </row>
    <row r="40" spans="1:12">
      <c r="A40" s="2730"/>
      <c r="B40" s="1412" t="s">
        <v>489</v>
      </c>
      <c r="C40" s="1411" t="s">
        <v>2765</v>
      </c>
      <c r="D40" s="946">
        <f>IF(OR($Y$2="下請け",$Y$2="下請"),0.6,1)</f>
        <v>1</v>
      </c>
      <c r="E40" s="952">
        <v>0.02</v>
      </c>
      <c r="F40" s="1409">
        <f>SUM(G40:L40)</f>
        <v>0</v>
      </c>
      <c r="G40" s="908">
        <f t="shared" ref="G40:L40" si="14">SUM(G285:G287)-SUM(G140:G142)</f>
        <v>0</v>
      </c>
      <c r="H40" s="908">
        <f t="shared" si="14"/>
        <v>0</v>
      </c>
      <c r="I40" s="908">
        <f t="shared" si="14"/>
        <v>0</v>
      </c>
      <c r="J40" s="908">
        <f t="shared" si="14"/>
        <v>0</v>
      </c>
      <c r="K40" s="908">
        <f t="shared" si="14"/>
        <v>0</v>
      </c>
      <c r="L40" s="909">
        <f t="shared" si="14"/>
        <v>0</v>
      </c>
    </row>
    <row r="41" spans="1:12">
      <c r="A41" s="2730"/>
      <c r="B41" s="2809" t="s">
        <v>2580</v>
      </c>
      <c r="C41" s="1413" t="s">
        <v>2766</v>
      </c>
      <c r="D41" s="960">
        <f>IF(OR($Y$2="下請け",$Y$2="下請"),0.6,1)</f>
        <v>1</v>
      </c>
      <c r="E41" s="961">
        <v>0</v>
      </c>
      <c r="F41" s="962">
        <f t="shared" ref="F41:F57" si="15">SUM(G41:L41)</f>
        <v>0</v>
      </c>
      <c r="G41" s="903">
        <v>0</v>
      </c>
      <c r="H41" s="903">
        <v>0</v>
      </c>
      <c r="I41" s="903">
        <v>0</v>
      </c>
      <c r="J41" s="903">
        <v>0</v>
      </c>
      <c r="K41" s="903">
        <v>0</v>
      </c>
      <c r="L41" s="904">
        <v>0</v>
      </c>
    </row>
    <row r="42" spans="1:12">
      <c r="A42" s="2730"/>
      <c r="B42" s="2810"/>
      <c r="C42" s="1413" t="s">
        <v>2767</v>
      </c>
      <c r="D42" s="960">
        <f>IF(OR($Y$2="下請け",$Y$2="下請"),0.6,1)</f>
        <v>1</v>
      </c>
      <c r="E42" s="961">
        <v>0</v>
      </c>
      <c r="F42" s="962">
        <f t="shared" si="15"/>
        <v>0</v>
      </c>
      <c r="G42" s="1388"/>
      <c r="H42" s="1388"/>
      <c r="I42" s="1388"/>
      <c r="J42" s="1388"/>
      <c r="K42" s="1388"/>
      <c r="L42" s="1389"/>
    </row>
    <row r="43" spans="1:12">
      <c r="A43" s="965"/>
      <c r="B43" s="2798" t="s">
        <v>2586</v>
      </c>
      <c r="C43" s="2799"/>
      <c r="D43" s="1414"/>
      <c r="E43" s="1415"/>
      <c r="F43" s="948">
        <f t="shared" si="15"/>
        <v>267123</v>
      </c>
      <c r="G43" s="908">
        <f t="shared" ref="G43:L43" si="16">G292-G147</f>
        <v>267123</v>
      </c>
      <c r="H43" s="908">
        <f t="shared" si="16"/>
        <v>0</v>
      </c>
      <c r="I43" s="908">
        <f t="shared" si="16"/>
        <v>0</v>
      </c>
      <c r="J43" s="908">
        <f t="shared" si="16"/>
        <v>0</v>
      </c>
      <c r="K43" s="908">
        <f t="shared" si="16"/>
        <v>0</v>
      </c>
      <c r="L43" s="909">
        <f t="shared" si="16"/>
        <v>0</v>
      </c>
    </row>
    <row r="44" spans="1:12">
      <c r="A44" s="965"/>
      <c r="B44" s="1416"/>
      <c r="C44" s="1417" t="s">
        <v>2587</v>
      </c>
      <c r="D44" s="1414"/>
      <c r="E44" s="1415"/>
      <c r="F44" s="948">
        <f t="shared" si="15"/>
        <v>0</v>
      </c>
      <c r="G44" s="908">
        <f t="shared" ref="G44:L44" si="17">IF(G$35=0,IF(G$8=G$65,G$43,0),0)</f>
        <v>0</v>
      </c>
      <c r="H44" s="908">
        <f t="shared" si="17"/>
        <v>0</v>
      </c>
      <c r="I44" s="908">
        <f t="shared" si="17"/>
        <v>0</v>
      </c>
      <c r="J44" s="908">
        <f t="shared" si="17"/>
        <v>0</v>
      </c>
      <c r="K44" s="908">
        <f t="shared" si="17"/>
        <v>0</v>
      </c>
      <c r="L44" s="909">
        <f t="shared" si="17"/>
        <v>0</v>
      </c>
    </row>
    <row r="45" spans="1:12">
      <c r="A45" s="965"/>
      <c r="B45" s="1416"/>
      <c r="C45" s="1417" t="s">
        <v>2588</v>
      </c>
      <c r="D45" s="1414"/>
      <c r="E45" s="1415"/>
      <c r="F45" s="948">
        <f t="shared" si="15"/>
        <v>2100000</v>
      </c>
      <c r="G45" s="1418">
        <f t="shared" ref="G45:L45" si="18">G35-(G32+G33)</f>
        <v>2100000</v>
      </c>
      <c r="H45" s="1418">
        <f t="shared" si="18"/>
        <v>0</v>
      </c>
      <c r="I45" s="1418">
        <f t="shared" si="18"/>
        <v>0</v>
      </c>
      <c r="J45" s="1418">
        <f t="shared" si="18"/>
        <v>0</v>
      </c>
      <c r="K45" s="1418">
        <f t="shared" si="18"/>
        <v>0</v>
      </c>
      <c r="L45" s="1418">
        <f t="shared" si="18"/>
        <v>0</v>
      </c>
    </row>
    <row r="46" spans="1:12">
      <c r="A46" s="965"/>
      <c r="B46" s="1416"/>
      <c r="C46" s="1417" t="s">
        <v>2589</v>
      </c>
      <c r="D46" s="1414"/>
      <c r="E46" s="1415"/>
      <c r="F46" s="948">
        <f>SUM(G46:N46)</f>
        <v>0</v>
      </c>
      <c r="G46" s="908">
        <f t="shared" ref="G46:L46" si="19">IF($F$44=0,0,IF(G44=0,INT(G45/$F45*$F44),0))</f>
        <v>0</v>
      </c>
      <c r="H46" s="908">
        <f t="shared" si="19"/>
        <v>0</v>
      </c>
      <c r="I46" s="908">
        <f t="shared" si="19"/>
        <v>0</v>
      </c>
      <c r="J46" s="908">
        <f t="shared" si="19"/>
        <v>0</v>
      </c>
      <c r="K46" s="908">
        <f t="shared" si="19"/>
        <v>0</v>
      </c>
      <c r="L46" s="908">
        <f t="shared" si="19"/>
        <v>0</v>
      </c>
    </row>
    <row r="47" spans="1:12">
      <c r="A47" s="965"/>
      <c r="B47" s="1416"/>
      <c r="C47" s="1417" t="s">
        <v>2590</v>
      </c>
      <c r="D47" s="1414"/>
      <c r="E47" s="1415"/>
      <c r="F47" s="948">
        <f>F44-F46</f>
        <v>0</v>
      </c>
      <c r="G47" s="908">
        <f>IF($F47=0,0,IF(G46=0,0,$F47))</f>
        <v>0</v>
      </c>
      <c r="H47" s="908">
        <f>IF($F47=0,0,IF(H46=0,0,IF(SUM($G47:G47)=0,$F47,0)))</f>
        <v>0</v>
      </c>
      <c r="I47" s="908">
        <f>IF($F47=0,0,IF(I46=0,0,IF(SUM($G47:H47)=0,$F47,0)))</f>
        <v>0</v>
      </c>
      <c r="J47" s="908">
        <f>IF($F47=0,0,IF(J46=0,0,IF(SUM($G47:I47)=0,$F47,0)))</f>
        <v>0</v>
      </c>
      <c r="K47" s="908">
        <f>IF($F47=0,0,IF(K46=0,0,IF(SUM($G47:J47)=0,$F47,0)))</f>
        <v>0</v>
      </c>
      <c r="L47" s="909">
        <f>IF($F47=0,0,IF(L46=0,0,IF(SUM($G47:K47)=0,$F47,0)))</f>
        <v>0</v>
      </c>
    </row>
    <row r="48" spans="1:12">
      <c r="A48" s="965"/>
      <c r="B48" s="2788" t="s">
        <v>2768</v>
      </c>
      <c r="C48" s="2789"/>
      <c r="D48" s="1419"/>
      <c r="E48" s="1420"/>
      <c r="F48" s="1421">
        <f>SUM(G48:N48)</f>
        <v>267123</v>
      </c>
      <c r="G48" s="1422">
        <f t="shared" ref="G48:L48" si="20">IF(G42=0,IF(G35=0,IF(G8=G65,0,G43+G46+G47),G43+G46+G47),G42)</f>
        <v>267123</v>
      </c>
      <c r="H48" s="1422">
        <f t="shared" si="20"/>
        <v>0</v>
      </c>
      <c r="I48" s="1422">
        <f t="shared" si="20"/>
        <v>0</v>
      </c>
      <c r="J48" s="1422">
        <f t="shared" si="20"/>
        <v>0</v>
      </c>
      <c r="K48" s="1422">
        <f t="shared" si="20"/>
        <v>0</v>
      </c>
      <c r="L48" s="1423">
        <f t="shared" si="20"/>
        <v>0</v>
      </c>
    </row>
    <row r="49" spans="1:12">
      <c r="A49" s="976" t="s">
        <v>2592</v>
      </c>
      <c r="B49" s="1424"/>
      <c r="C49" s="1425"/>
      <c r="D49" s="1368"/>
      <c r="E49" s="1426" t="s">
        <v>2769</v>
      </c>
      <c r="F49" s="980">
        <f t="shared" si="15"/>
        <v>2090631</v>
      </c>
      <c r="G49" s="1427">
        <f t="shared" ref="G49:L49" si="21">+G298-G153</f>
        <v>2090631</v>
      </c>
      <c r="H49" s="1427">
        <f t="shared" si="21"/>
        <v>0</v>
      </c>
      <c r="I49" s="1427">
        <f t="shared" si="21"/>
        <v>0</v>
      </c>
      <c r="J49" s="1427">
        <f t="shared" si="21"/>
        <v>0</v>
      </c>
      <c r="K49" s="1427">
        <f t="shared" si="21"/>
        <v>0</v>
      </c>
      <c r="L49" s="1428">
        <f t="shared" si="21"/>
        <v>0</v>
      </c>
    </row>
    <row r="50" spans="1:12">
      <c r="A50" s="982"/>
      <c r="B50" s="2790" t="s">
        <v>2592</v>
      </c>
      <c r="C50" s="2791"/>
      <c r="D50" s="1429"/>
      <c r="E50" s="1430"/>
      <c r="F50" s="980">
        <f t="shared" si="15"/>
        <v>272506</v>
      </c>
      <c r="G50" s="981">
        <f t="shared" ref="G50:L50" si="22">G322-G177</f>
        <v>272506</v>
      </c>
      <c r="H50" s="981">
        <f t="shared" si="22"/>
        <v>0</v>
      </c>
      <c r="I50" s="981">
        <f t="shared" si="22"/>
        <v>0</v>
      </c>
      <c r="J50" s="981">
        <f t="shared" si="22"/>
        <v>0</v>
      </c>
      <c r="K50" s="981">
        <f t="shared" si="22"/>
        <v>0</v>
      </c>
      <c r="L50" s="1431">
        <f t="shared" si="22"/>
        <v>0</v>
      </c>
    </row>
    <row r="51" spans="1:12">
      <c r="A51" s="982"/>
      <c r="B51" s="1432"/>
      <c r="C51" s="1433" t="s">
        <v>2587</v>
      </c>
      <c r="D51" s="1434"/>
      <c r="E51" s="1435"/>
      <c r="F51" s="1015">
        <f>SUM(G51:L51)</f>
        <v>0</v>
      </c>
      <c r="G51" s="1016">
        <f t="shared" ref="G51:L51" si="23">IF(G35=0,IF(G8=G65,G50,0),0)</f>
        <v>0</v>
      </c>
      <c r="H51" s="1016">
        <f t="shared" si="23"/>
        <v>0</v>
      </c>
      <c r="I51" s="1016">
        <f t="shared" si="23"/>
        <v>0</v>
      </c>
      <c r="J51" s="1016">
        <f t="shared" si="23"/>
        <v>0</v>
      </c>
      <c r="K51" s="1016">
        <f t="shared" si="23"/>
        <v>0</v>
      </c>
      <c r="L51" s="1017">
        <f t="shared" si="23"/>
        <v>0</v>
      </c>
    </row>
    <row r="52" spans="1:12">
      <c r="A52" s="982"/>
      <c r="B52" s="1436"/>
      <c r="C52" s="1437" t="s">
        <v>2596</v>
      </c>
      <c r="D52" s="946"/>
      <c r="E52" s="947"/>
      <c r="F52" s="1438">
        <f>SUM(G52:L52)</f>
        <v>2090631</v>
      </c>
      <c r="G52" s="1439">
        <f t="shared" ref="G52:L52" si="24">+G49</f>
        <v>2090631</v>
      </c>
      <c r="H52" s="1439">
        <f t="shared" si="24"/>
        <v>0</v>
      </c>
      <c r="I52" s="1439">
        <f t="shared" si="24"/>
        <v>0</v>
      </c>
      <c r="J52" s="1439">
        <f t="shared" si="24"/>
        <v>0</v>
      </c>
      <c r="K52" s="1439">
        <f t="shared" si="24"/>
        <v>0</v>
      </c>
      <c r="L52" s="1440">
        <f t="shared" si="24"/>
        <v>0</v>
      </c>
    </row>
    <row r="53" spans="1:12">
      <c r="A53" s="982"/>
      <c r="B53" s="1436"/>
      <c r="C53" s="1437" t="s">
        <v>2597</v>
      </c>
      <c r="D53" s="946"/>
      <c r="E53" s="947"/>
      <c r="F53" s="1438">
        <f>SUM(G53:L53)</f>
        <v>0</v>
      </c>
      <c r="G53" s="1439">
        <f t="shared" ref="G53:L53" si="25">IF($F$51=0,0,INT(G52/$F52*$F51))</f>
        <v>0</v>
      </c>
      <c r="H53" s="1439">
        <f t="shared" si="25"/>
        <v>0</v>
      </c>
      <c r="I53" s="1439">
        <f t="shared" si="25"/>
        <v>0</v>
      </c>
      <c r="J53" s="1439">
        <f t="shared" si="25"/>
        <v>0</v>
      </c>
      <c r="K53" s="1439">
        <f t="shared" si="25"/>
        <v>0</v>
      </c>
      <c r="L53" s="1439">
        <f t="shared" si="25"/>
        <v>0</v>
      </c>
    </row>
    <row r="54" spans="1:12">
      <c r="A54" s="982"/>
      <c r="B54" s="1436"/>
      <c r="C54" s="1437" t="s">
        <v>2598</v>
      </c>
      <c r="D54" s="946"/>
      <c r="E54" s="947"/>
      <c r="F54" s="1438">
        <f>F51-F53</f>
        <v>0</v>
      </c>
      <c r="G54" s="1439">
        <f>IF($F54=0,0,IF(G53=0,0,$F54))</f>
        <v>0</v>
      </c>
      <c r="H54" s="1439">
        <f>IF($F54=0,0,IF(H53=0,0,IF(SUM($G54:G54)=0,$F54,0)))</f>
        <v>0</v>
      </c>
      <c r="I54" s="1439">
        <f>IF($F54=0,0,IF(I53=0,0,IF(SUM($G54:H54)=0,$F54,0)))</f>
        <v>0</v>
      </c>
      <c r="J54" s="1439">
        <f>IF($F54=0,0,IF(J53=0,0,IF(SUM($G54:I54)=0,$F54,0)))</f>
        <v>0</v>
      </c>
      <c r="K54" s="1439">
        <f>IF($F54=0,0,IF(K53=0,0,IF(SUM($G54:J54)=0,$F54,0)))</f>
        <v>0</v>
      </c>
      <c r="L54" s="1440">
        <f>IF($F54=0,0,IF(L53=0,0,IF(SUM($G54:K54)=0,$F54,0)))</f>
        <v>0</v>
      </c>
    </row>
    <row r="55" spans="1:12">
      <c r="A55" s="982"/>
      <c r="B55" s="2792" t="s">
        <v>2599</v>
      </c>
      <c r="C55" s="2793"/>
      <c r="D55" s="1441"/>
      <c r="E55" s="1442"/>
      <c r="F55" s="1020">
        <f>SUM(G55:L55)</f>
        <v>272506</v>
      </c>
      <c r="G55" s="1021">
        <f t="shared" ref="G55:L55" si="26">IF(G35=0,IF(G8=G65,0,G50+G53+G54),G50+G53+G54)</f>
        <v>272506</v>
      </c>
      <c r="H55" s="1021">
        <f t="shared" si="26"/>
        <v>0</v>
      </c>
      <c r="I55" s="1021">
        <f t="shared" si="26"/>
        <v>0</v>
      </c>
      <c r="J55" s="1021">
        <f t="shared" si="26"/>
        <v>0</v>
      </c>
      <c r="K55" s="1021">
        <f t="shared" si="26"/>
        <v>0</v>
      </c>
      <c r="L55" s="1022">
        <f t="shared" si="26"/>
        <v>0</v>
      </c>
    </row>
    <row r="56" spans="1:12" ht="14.25" thickBot="1">
      <c r="A56" s="1000" t="s">
        <v>406</v>
      </c>
      <c r="B56" s="1001"/>
      <c r="C56" s="1002"/>
      <c r="D56" s="1003"/>
      <c r="E56" s="1004"/>
      <c r="F56" s="1005">
        <f t="shared" si="15"/>
        <v>2363137</v>
      </c>
      <c r="G56" s="1443">
        <f t="shared" ref="G56:L56" si="27">G48+G55+G36</f>
        <v>2363137</v>
      </c>
      <c r="H56" s="1006">
        <f t="shared" si="27"/>
        <v>0</v>
      </c>
      <c r="I56" s="1006">
        <f t="shared" si="27"/>
        <v>0</v>
      </c>
      <c r="J56" s="1006">
        <f t="shared" si="27"/>
        <v>0</v>
      </c>
      <c r="K56" s="1006">
        <f t="shared" si="27"/>
        <v>0</v>
      </c>
      <c r="L56" s="1444">
        <f t="shared" si="27"/>
        <v>0</v>
      </c>
    </row>
    <row r="57" spans="1:12" ht="14.25" thickTop="1">
      <c r="A57" s="1007" t="s">
        <v>240</v>
      </c>
      <c r="B57" s="1008"/>
      <c r="C57" s="1008"/>
      <c r="D57" s="1008"/>
      <c r="E57" s="1009" t="s">
        <v>2601</v>
      </c>
      <c r="F57" s="1010">
        <f t="shared" si="15"/>
        <v>2363000</v>
      </c>
      <c r="G57" s="1011">
        <f t="shared" ref="G57:L57" si="28">IF(G56&lt;0,ROUNDUP(G56,-3),ROUNDDOWN(G56,-3))</f>
        <v>2363000</v>
      </c>
      <c r="H57" s="1011">
        <f t="shared" si="28"/>
        <v>0</v>
      </c>
      <c r="I57" s="1011">
        <f t="shared" si="28"/>
        <v>0</v>
      </c>
      <c r="J57" s="1011">
        <f t="shared" si="28"/>
        <v>0</v>
      </c>
      <c r="K57" s="1011">
        <f t="shared" si="28"/>
        <v>0</v>
      </c>
      <c r="L57" s="1445">
        <f t="shared" si="28"/>
        <v>0</v>
      </c>
    </row>
    <row r="58" spans="1:12">
      <c r="A58" s="1013"/>
      <c r="B58" s="2794" t="s">
        <v>2602</v>
      </c>
      <c r="C58" s="1014" t="s">
        <v>2770</v>
      </c>
      <c r="D58" s="1014"/>
      <c r="E58" s="1014"/>
      <c r="F58" s="1015">
        <f>SUM(G58:L58)</f>
        <v>1823508</v>
      </c>
      <c r="G58" s="1016">
        <f t="shared" ref="G58:L58" si="29">+G216-G71</f>
        <v>1823508</v>
      </c>
      <c r="H58" s="1016">
        <f t="shared" si="29"/>
        <v>0</v>
      </c>
      <c r="I58" s="1016">
        <f t="shared" si="29"/>
        <v>0</v>
      </c>
      <c r="J58" s="1016">
        <f t="shared" si="29"/>
        <v>0</v>
      </c>
      <c r="K58" s="1016">
        <f t="shared" si="29"/>
        <v>0</v>
      </c>
      <c r="L58" s="1017">
        <f t="shared" si="29"/>
        <v>0</v>
      </c>
    </row>
    <row r="59" spans="1:12" ht="14.25" thickBot="1">
      <c r="A59" s="1018"/>
      <c r="B59" s="2795"/>
      <c r="C59" s="1019" t="s">
        <v>2604</v>
      </c>
      <c r="D59" s="1019"/>
      <c r="E59" s="1019"/>
      <c r="F59" s="1020">
        <f>SUM(G59:L59)</f>
        <v>539492</v>
      </c>
      <c r="G59" s="1021">
        <f t="shared" ref="G59:L59" si="30">+G57-G58</f>
        <v>539492</v>
      </c>
      <c r="H59" s="1021">
        <f t="shared" si="30"/>
        <v>0</v>
      </c>
      <c r="I59" s="1021">
        <f t="shared" si="30"/>
        <v>0</v>
      </c>
      <c r="J59" s="1021">
        <f t="shared" si="30"/>
        <v>0</v>
      </c>
      <c r="K59" s="1021">
        <f t="shared" si="30"/>
        <v>0</v>
      </c>
      <c r="L59" s="1022">
        <f t="shared" si="30"/>
        <v>0</v>
      </c>
    </row>
    <row r="60" spans="1:12" ht="14.25" thickTop="1">
      <c r="A60" s="1007" t="s">
        <v>2605</v>
      </c>
      <c r="B60" s="1008"/>
      <c r="C60" s="1008"/>
      <c r="D60" s="1008"/>
      <c r="E60" s="1009" t="s">
        <v>2601</v>
      </c>
      <c r="F60" s="1010">
        <f>SUM(G60:L60)</f>
        <v>0</v>
      </c>
      <c r="G60" s="1011">
        <f t="shared" ref="G60:L60" si="31">IF(G56&lt;0,ROUNDUP(G56*$G$2,-3),ROUNDDOWN(G56*$G$2,-3))</f>
        <v>0</v>
      </c>
      <c r="H60" s="1011">
        <f t="shared" si="31"/>
        <v>0</v>
      </c>
      <c r="I60" s="1011">
        <f t="shared" si="31"/>
        <v>0</v>
      </c>
      <c r="J60" s="1011">
        <f t="shared" si="31"/>
        <v>0</v>
      </c>
      <c r="K60" s="1011">
        <f t="shared" si="31"/>
        <v>0</v>
      </c>
      <c r="L60" s="1011">
        <f t="shared" si="31"/>
        <v>0</v>
      </c>
    </row>
    <row r="61" spans="1:12">
      <c r="A61" s="1013"/>
      <c r="B61" s="2794" t="s">
        <v>2602</v>
      </c>
      <c r="C61" s="1014" t="s">
        <v>2770</v>
      </c>
      <c r="D61" s="1014"/>
      <c r="E61" s="1014"/>
      <c r="F61" s="1015">
        <f>SUM(G61:L61)</f>
        <v>0</v>
      </c>
      <c r="G61" s="1016">
        <f t="shared" ref="G61:L61" si="32">IF(G58&lt;0,ROUNDDOWN(G58*$G$2,0),ROUNDUP(G58*$G$2,0))</f>
        <v>0</v>
      </c>
      <c r="H61" s="1016">
        <f t="shared" si="32"/>
        <v>0</v>
      </c>
      <c r="I61" s="1016">
        <f t="shared" si="32"/>
        <v>0</v>
      </c>
      <c r="J61" s="1016">
        <f t="shared" si="32"/>
        <v>0</v>
      </c>
      <c r="K61" s="1016">
        <f t="shared" si="32"/>
        <v>0</v>
      </c>
      <c r="L61" s="1016">
        <f t="shared" si="32"/>
        <v>0</v>
      </c>
    </row>
    <row r="62" spans="1:12">
      <c r="A62" s="1018"/>
      <c r="B62" s="2796"/>
      <c r="C62" s="1019" t="s">
        <v>2604</v>
      </c>
      <c r="D62" s="1019"/>
      <c r="E62" s="1019"/>
      <c r="F62" s="1020">
        <f>SUM(G62:L62)</f>
        <v>0</v>
      </c>
      <c r="G62" s="1021">
        <f t="shared" ref="G62:L62" si="33">+G60-G61</f>
        <v>0</v>
      </c>
      <c r="H62" s="1021">
        <f t="shared" si="33"/>
        <v>0</v>
      </c>
      <c r="I62" s="1021">
        <f t="shared" si="33"/>
        <v>0</v>
      </c>
      <c r="J62" s="1021">
        <f t="shared" si="33"/>
        <v>0</v>
      </c>
      <c r="K62" s="1021">
        <f t="shared" si="33"/>
        <v>0</v>
      </c>
      <c r="L62" s="1022">
        <f t="shared" si="33"/>
        <v>0</v>
      </c>
    </row>
    <row r="63" spans="1:12" s="1278" customFormat="1" ht="13.5" customHeight="1">
      <c r="A63" s="1034"/>
      <c r="B63" s="1034"/>
      <c r="C63" s="1033"/>
      <c r="D63" s="1033"/>
      <c r="E63" s="1446" t="s">
        <v>2522</v>
      </c>
      <c r="F63" s="1447">
        <f>+F1</f>
        <v>0</v>
      </c>
      <c r="G63" s="1448"/>
      <c r="H63" s="1448"/>
      <c r="I63" s="1037"/>
      <c r="J63" s="1037"/>
      <c r="K63" s="835"/>
      <c r="L63" s="1091" t="s">
        <v>2771</v>
      </c>
    </row>
    <row r="64" spans="1:12" s="1278" customFormat="1" ht="13.5" customHeight="1">
      <c r="A64" s="1034"/>
      <c r="B64" s="1034"/>
      <c r="C64" s="1449" t="s">
        <v>2772</v>
      </c>
      <c r="D64" s="808"/>
      <c r="E64" s="1033"/>
      <c r="F64" s="1033"/>
      <c r="G64" s="1091"/>
      <c r="H64" s="1037"/>
      <c r="I64" s="1037"/>
      <c r="J64" s="1037"/>
      <c r="K64" s="1034" t="s">
        <v>2773</v>
      </c>
      <c r="L64" s="1450" t="s">
        <v>2774</v>
      </c>
    </row>
    <row r="65" spans="1:12" s="1278" customFormat="1" ht="13.5" customHeight="1">
      <c r="A65" s="1451"/>
      <c r="B65" s="1452"/>
      <c r="C65" s="870" t="s">
        <v>2531</v>
      </c>
      <c r="D65" s="871"/>
      <c r="E65" s="872"/>
      <c r="F65" s="873" t="s">
        <v>2609</v>
      </c>
      <c r="G65" s="1453">
        <v>3.5</v>
      </c>
      <c r="H65" s="1453"/>
      <c r="I65" s="1453"/>
      <c r="J65" s="1453"/>
      <c r="K65" s="1453"/>
      <c r="L65" s="1454"/>
    </row>
    <row r="66" spans="1:12" s="1278" customFormat="1" ht="13.5" customHeight="1">
      <c r="A66" s="1336"/>
      <c r="B66" s="1455"/>
      <c r="C66" s="1455" t="s">
        <v>2775</v>
      </c>
      <c r="D66" s="1455"/>
      <c r="E66" s="1456" t="s">
        <v>2617</v>
      </c>
      <c r="F66" s="1457" t="s">
        <v>2526</v>
      </c>
      <c r="G66" s="1458" t="str">
        <f t="shared" ref="G66:L66" si="34">+G3</f>
        <v>●●工事</v>
      </c>
      <c r="H66" s="1458">
        <f t="shared" si="34"/>
        <v>0</v>
      </c>
      <c r="I66" s="1458">
        <f t="shared" si="34"/>
        <v>0</v>
      </c>
      <c r="J66" s="1458">
        <f t="shared" si="34"/>
        <v>0</v>
      </c>
      <c r="K66" s="1458">
        <f t="shared" si="34"/>
        <v>0</v>
      </c>
      <c r="L66" s="1459">
        <f t="shared" si="34"/>
        <v>0</v>
      </c>
    </row>
    <row r="67" spans="1:12" s="1278" customFormat="1" ht="13.5" customHeight="1">
      <c r="A67" s="1343"/>
      <c r="B67" s="1460"/>
      <c r="C67" s="1460" t="s">
        <v>2613</v>
      </c>
      <c r="D67" s="1460"/>
      <c r="E67" s="1461" t="s">
        <v>2612</v>
      </c>
      <c r="F67" s="1462" t="s">
        <v>2614</v>
      </c>
      <c r="G67" s="1463"/>
      <c r="H67" s="1463"/>
      <c r="I67" s="1463"/>
      <c r="J67" s="1463"/>
      <c r="K67" s="1463"/>
      <c r="L67" s="1464"/>
    </row>
    <row r="68" spans="1:12" s="1278" customFormat="1" ht="13.5" customHeight="1">
      <c r="A68" s="1336"/>
      <c r="B68" s="1465" t="s">
        <v>2750</v>
      </c>
      <c r="C68" s="1466"/>
      <c r="D68" s="1466"/>
      <c r="E68" s="1467"/>
      <c r="F68" s="1468">
        <f>SUM(G68:L68)</f>
        <v>5000000</v>
      </c>
      <c r="G68" s="1469">
        <v>5000000</v>
      </c>
      <c r="H68" s="1469"/>
      <c r="I68" s="1469"/>
      <c r="J68" s="1469"/>
      <c r="K68" s="1469"/>
      <c r="L68" s="1470"/>
    </row>
    <row r="69" spans="1:12" s="1278" customFormat="1" ht="13.5" customHeight="1">
      <c r="A69" s="1343"/>
      <c r="B69" s="1471" t="s">
        <v>2776</v>
      </c>
      <c r="C69" s="1338"/>
      <c r="D69" s="1338"/>
      <c r="E69" s="1339"/>
      <c r="F69" s="1340">
        <f>SUM(G69:L69)</f>
        <v>1000000</v>
      </c>
      <c r="G69" s="1472">
        <v>1000000</v>
      </c>
      <c r="H69" s="1472"/>
      <c r="I69" s="1472"/>
      <c r="J69" s="1472"/>
      <c r="K69" s="1472"/>
      <c r="L69" s="1473"/>
    </row>
    <row r="70" spans="1:12" s="1278" customFormat="1" ht="13.5" customHeight="1">
      <c r="A70" s="1343"/>
      <c r="B70" s="1471"/>
      <c r="C70" s="1474" t="s">
        <v>2752</v>
      </c>
      <c r="D70" s="1474"/>
      <c r="E70" s="1475"/>
      <c r="F70" s="1476">
        <f>SUM(G70:L70)</f>
        <v>500000</v>
      </c>
      <c r="G70" s="1477">
        <v>500000</v>
      </c>
      <c r="H70" s="1477"/>
      <c r="I70" s="1477"/>
      <c r="J70" s="1477"/>
      <c r="K70" s="1477"/>
      <c r="L70" s="1478"/>
    </row>
    <row r="71" spans="1:12" s="1278" customFormat="1" ht="13.5" customHeight="1">
      <c r="A71" s="1336"/>
      <c r="B71" s="1479" t="s">
        <v>2777</v>
      </c>
      <c r="C71" s="1480"/>
      <c r="D71" s="1480"/>
      <c r="E71" s="1481"/>
      <c r="F71" s="1468">
        <f>SUM(G71:L71)</f>
        <v>5078688</v>
      </c>
      <c r="G71" s="896">
        <f t="shared" ref="G71:L71" si="35">SUM(G113:G126)</f>
        <v>5078688</v>
      </c>
      <c r="H71" s="896">
        <f t="shared" si="35"/>
        <v>0</v>
      </c>
      <c r="I71" s="896">
        <f t="shared" si="35"/>
        <v>0</v>
      </c>
      <c r="J71" s="896">
        <f t="shared" si="35"/>
        <v>0</v>
      </c>
      <c r="K71" s="896">
        <f t="shared" si="35"/>
        <v>0</v>
      </c>
      <c r="L71" s="897">
        <f t="shared" si="35"/>
        <v>0</v>
      </c>
    </row>
    <row r="72" spans="1:12" s="1278" customFormat="1" ht="13.5" customHeight="1">
      <c r="A72" s="1343"/>
      <c r="B72" s="1460"/>
      <c r="C72" s="1482" t="s">
        <v>2778</v>
      </c>
      <c r="D72" s="1483"/>
      <c r="E72" s="1484"/>
      <c r="F72" s="1340">
        <f>SUM(G72:L72)</f>
        <v>4178688</v>
      </c>
      <c r="G72" s="1485">
        <f t="shared" ref="G72:L72" si="36">G71-G75</f>
        <v>4178688</v>
      </c>
      <c r="H72" s="1485">
        <f t="shared" si="36"/>
        <v>0</v>
      </c>
      <c r="I72" s="1485">
        <f t="shared" si="36"/>
        <v>0</v>
      </c>
      <c r="J72" s="1485">
        <f t="shared" si="36"/>
        <v>0</v>
      </c>
      <c r="K72" s="1485">
        <f t="shared" si="36"/>
        <v>0</v>
      </c>
      <c r="L72" s="1486">
        <f t="shared" si="36"/>
        <v>0</v>
      </c>
    </row>
    <row r="73" spans="1:12" s="1278" customFormat="1" ht="13.5" customHeight="1">
      <c r="A73" s="1343"/>
      <c r="B73" s="1460"/>
      <c r="C73" s="1487"/>
      <c r="D73" s="1487"/>
      <c r="E73" s="1488"/>
      <c r="F73" s="1347" t="s">
        <v>2779</v>
      </c>
      <c r="G73" s="1489">
        <f t="shared" ref="G73:L73" si="37">SUM(G115:G126)</f>
        <v>4078688</v>
      </c>
      <c r="H73" s="1489">
        <f t="shared" si="37"/>
        <v>0</v>
      </c>
      <c r="I73" s="1489">
        <f t="shared" si="37"/>
        <v>0</v>
      </c>
      <c r="J73" s="1489">
        <f t="shared" si="37"/>
        <v>0</v>
      </c>
      <c r="K73" s="1489">
        <f t="shared" si="37"/>
        <v>0</v>
      </c>
      <c r="L73" s="1490">
        <f t="shared" si="37"/>
        <v>0</v>
      </c>
    </row>
    <row r="74" spans="1:12" s="1278" customFormat="1" ht="13.5" customHeight="1">
      <c r="A74" s="1343"/>
      <c r="B74" s="1460"/>
      <c r="C74" s="1487"/>
      <c r="D74" s="1487"/>
      <c r="E74" s="1488"/>
      <c r="F74" s="1347" t="s">
        <v>2620</v>
      </c>
      <c r="G74" s="1489">
        <f t="shared" ref="G74:L74" si="38">SUM(G115:G122,G107)</f>
        <v>4078688</v>
      </c>
      <c r="H74" s="1489">
        <f t="shared" si="38"/>
        <v>0</v>
      </c>
      <c r="I74" s="1489">
        <f t="shared" si="38"/>
        <v>0</v>
      </c>
      <c r="J74" s="1489">
        <f t="shared" si="38"/>
        <v>0</v>
      </c>
      <c r="K74" s="1489">
        <f t="shared" si="38"/>
        <v>0</v>
      </c>
      <c r="L74" s="1490">
        <f t="shared" si="38"/>
        <v>0</v>
      </c>
    </row>
    <row r="75" spans="1:12" s="1278" customFormat="1" ht="13.5" customHeight="1">
      <c r="A75" s="1491"/>
      <c r="B75" s="1474"/>
      <c r="C75" s="1492" t="s">
        <v>2780</v>
      </c>
      <c r="D75" s="1492"/>
      <c r="E75" s="1493"/>
      <c r="F75" s="1353">
        <f>SUM(G75:L75)</f>
        <v>900000</v>
      </c>
      <c r="G75" s="1064">
        <f t="shared" ref="G75:L75" si="39">+G115+G102+G104+G107+G106+G70</f>
        <v>900000</v>
      </c>
      <c r="H75" s="1064">
        <f t="shared" si="39"/>
        <v>0</v>
      </c>
      <c r="I75" s="1064">
        <f t="shared" si="39"/>
        <v>0</v>
      </c>
      <c r="J75" s="1064">
        <f t="shared" si="39"/>
        <v>0</v>
      </c>
      <c r="K75" s="1064">
        <f t="shared" si="39"/>
        <v>0</v>
      </c>
      <c r="L75" s="1064">
        <f t="shared" si="39"/>
        <v>0</v>
      </c>
    </row>
    <row r="76" spans="1:12" s="1278" customFormat="1" ht="13.5" customHeight="1">
      <c r="A76" s="1343"/>
      <c r="B76" s="1494" t="s">
        <v>2781</v>
      </c>
      <c r="C76" s="1494"/>
      <c r="D76" s="1494"/>
      <c r="E76" s="1495"/>
      <c r="F76" s="1496">
        <f t="shared" ref="F76:F82" si="40">SUM(G76:L76)</f>
        <v>1394312</v>
      </c>
      <c r="G76" s="1497">
        <f t="shared" ref="G76:L76" si="41">G77+G80</f>
        <v>1394312</v>
      </c>
      <c r="H76" s="1497">
        <f t="shared" si="41"/>
        <v>0</v>
      </c>
      <c r="I76" s="1497">
        <f t="shared" si="41"/>
        <v>0</v>
      </c>
      <c r="J76" s="1497">
        <f t="shared" si="41"/>
        <v>0</v>
      </c>
      <c r="K76" s="1497">
        <f t="shared" si="41"/>
        <v>0</v>
      </c>
      <c r="L76" s="1498">
        <f t="shared" si="41"/>
        <v>0</v>
      </c>
    </row>
    <row r="77" spans="1:12" s="1278" customFormat="1" ht="13.5" customHeight="1">
      <c r="A77" s="1343"/>
      <c r="B77" s="1460"/>
      <c r="C77" s="1499" t="s">
        <v>2624</v>
      </c>
      <c r="D77" s="1499"/>
      <c r="E77" s="1500"/>
      <c r="F77" s="1340">
        <f>SUM(G77:L77)</f>
        <v>686756</v>
      </c>
      <c r="G77" s="1485">
        <f t="shared" ref="G77:L77" si="42">SUM(G78:G79)</f>
        <v>686756</v>
      </c>
      <c r="H77" s="1485">
        <f t="shared" si="42"/>
        <v>0</v>
      </c>
      <c r="I77" s="1485">
        <f t="shared" si="42"/>
        <v>0</v>
      </c>
      <c r="J77" s="1485">
        <f t="shared" si="42"/>
        <v>0</v>
      </c>
      <c r="K77" s="1485">
        <f t="shared" si="42"/>
        <v>0</v>
      </c>
      <c r="L77" s="1486">
        <f t="shared" si="42"/>
        <v>0</v>
      </c>
    </row>
    <row r="78" spans="1:12" s="1278" customFormat="1" ht="13.5" customHeight="1">
      <c r="A78" s="1343"/>
      <c r="B78" s="1460"/>
      <c r="C78" s="1345" t="s">
        <v>2626</v>
      </c>
      <c r="D78" s="1345"/>
      <c r="E78" s="1488"/>
      <c r="F78" s="1347">
        <f t="shared" si="40"/>
        <v>226100</v>
      </c>
      <c r="G78" s="1489">
        <f t="shared" ref="G78:L78" si="43">+G129+G131</f>
        <v>226100</v>
      </c>
      <c r="H78" s="1489">
        <f t="shared" si="43"/>
        <v>0</v>
      </c>
      <c r="I78" s="1489">
        <f t="shared" si="43"/>
        <v>0</v>
      </c>
      <c r="J78" s="1489">
        <f t="shared" si="43"/>
        <v>0</v>
      </c>
      <c r="K78" s="1489">
        <f t="shared" si="43"/>
        <v>0</v>
      </c>
      <c r="L78" s="1489">
        <f t="shared" si="43"/>
        <v>0</v>
      </c>
    </row>
    <row r="79" spans="1:12" s="1278" customFormat="1" ht="13.5" customHeight="1">
      <c r="A79" s="1343"/>
      <c r="B79" s="1460"/>
      <c r="C79" s="1345" t="s">
        <v>2631</v>
      </c>
      <c r="D79" s="1345"/>
      <c r="E79" s="1488"/>
      <c r="F79" s="1347">
        <f t="shared" si="40"/>
        <v>460656</v>
      </c>
      <c r="G79" s="1489">
        <f>SUM(G132:G146)</f>
        <v>460656</v>
      </c>
      <c r="H79" s="1489">
        <f>SUM(H132:H145)</f>
        <v>0</v>
      </c>
      <c r="I79" s="1489">
        <f>SUM(I132:I145)</f>
        <v>0</v>
      </c>
      <c r="J79" s="1489">
        <f>SUM(J132:J145)</f>
        <v>0</v>
      </c>
      <c r="K79" s="1489">
        <f>SUM(K132:K145)</f>
        <v>0</v>
      </c>
      <c r="L79" s="1490">
        <f>SUM(L132:L145)</f>
        <v>0</v>
      </c>
    </row>
    <row r="80" spans="1:12" s="1508" customFormat="1" ht="13.5" customHeight="1">
      <c r="A80" s="1501"/>
      <c r="B80" s="1502"/>
      <c r="C80" s="1503" t="s">
        <v>2629</v>
      </c>
      <c r="D80" s="1503"/>
      <c r="E80" s="1504"/>
      <c r="F80" s="1505">
        <f>SUM(G80:L80)</f>
        <v>707556</v>
      </c>
      <c r="G80" s="1506">
        <f t="shared" ref="G80:L80" si="44">SUM(G81:G83)</f>
        <v>707556</v>
      </c>
      <c r="H80" s="1506">
        <f t="shared" si="44"/>
        <v>0</v>
      </c>
      <c r="I80" s="1506">
        <f t="shared" si="44"/>
        <v>0</v>
      </c>
      <c r="J80" s="1506">
        <f t="shared" si="44"/>
        <v>0</v>
      </c>
      <c r="K80" s="1506">
        <f t="shared" si="44"/>
        <v>0</v>
      </c>
      <c r="L80" s="1507">
        <f t="shared" si="44"/>
        <v>0</v>
      </c>
    </row>
    <row r="81" spans="1:12" s="1508" customFormat="1" ht="13.5" customHeight="1">
      <c r="A81" s="1501"/>
      <c r="B81" s="1502"/>
      <c r="C81" s="1509" t="s">
        <v>2626</v>
      </c>
      <c r="D81" s="1509"/>
      <c r="E81" s="1504"/>
      <c r="F81" s="1505">
        <f t="shared" si="40"/>
        <v>210993</v>
      </c>
      <c r="G81" s="1506">
        <f t="shared" ref="G81:L81" si="45">+G168-G183</f>
        <v>210993</v>
      </c>
      <c r="H81" s="1506">
        <f t="shared" si="45"/>
        <v>0</v>
      </c>
      <c r="I81" s="1506">
        <f t="shared" si="45"/>
        <v>0</v>
      </c>
      <c r="J81" s="1506">
        <f t="shared" si="45"/>
        <v>0</v>
      </c>
      <c r="K81" s="1506">
        <f t="shared" si="45"/>
        <v>0</v>
      </c>
      <c r="L81" s="1507">
        <f t="shared" si="45"/>
        <v>0</v>
      </c>
    </row>
    <row r="82" spans="1:12" s="1508" customFormat="1" ht="13.5" customHeight="1">
      <c r="A82" s="1501"/>
      <c r="B82" s="1502"/>
      <c r="C82" s="1509" t="s">
        <v>2630</v>
      </c>
      <c r="D82" s="1509"/>
      <c r="E82" s="1504"/>
      <c r="F82" s="1505">
        <f t="shared" si="40"/>
        <v>35907</v>
      </c>
      <c r="G82" s="1506">
        <f t="shared" ref="G82:L82" si="46">+G169+G170</f>
        <v>35907</v>
      </c>
      <c r="H82" s="1506">
        <f t="shared" si="46"/>
        <v>0</v>
      </c>
      <c r="I82" s="1506">
        <f t="shared" si="46"/>
        <v>0</v>
      </c>
      <c r="J82" s="1506">
        <f t="shared" si="46"/>
        <v>0</v>
      </c>
      <c r="K82" s="1506">
        <f t="shared" si="46"/>
        <v>0</v>
      </c>
      <c r="L82" s="1507">
        <f t="shared" si="46"/>
        <v>0</v>
      </c>
    </row>
    <row r="83" spans="1:12" s="1508" customFormat="1" ht="13.5" customHeight="1">
      <c r="A83" s="1501"/>
      <c r="B83" s="1510"/>
      <c r="C83" s="1511" t="s">
        <v>2631</v>
      </c>
      <c r="D83" s="1511"/>
      <c r="E83" s="1512"/>
      <c r="F83" s="1513">
        <f>SUM(G83:L83)</f>
        <v>460656</v>
      </c>
      <c r="G83" s="1514">
        <f t="shared" ref="G83:L83" si="47">SUM(G171:G175)</f>
        <v>460656</v>
      </c>
      <c r="H83" s="1514">
        <f t="shared" si="47"/>
        <v>0</v>
      </c>
      <c r="I83" s="1514">
        <f t="shared" si="47"/>
        <v>0</v>
      </c>
      <c r="J83" s="1514">
        <f t="shared" si="47"/>
        <v>0</v>
      </c>
      <c r="K83" s="1514">
        <f t="shared" si="47"/>
        <v>0</v>
      </c>
      <c r="L83" s="1515">
        <f t="shared" si="47"/>
        <v>0</v>
      </c>
    </row>
    <row r="84" spans="1:12" s="1278" customFormat="1" ht="13.5" customHeight="1">
      <c r="A84" s="1516"/>
      <c r="B84" s="1480" t="s">
        <v>2782</v>
      </c>
      <c r="C84" s="1517"/>
      <c r="D84" s="1480"/>
      <c r="E84" s="1518"/>
      <c r="F84" s="1468">
        <f>SUM(G84:L84)</f>
        <v>6473000</v>
      </c>
      <c r="G84" s="1519">
        <f t="shared" ref="G84:L84" si="48">G71+G76</f>
        <v>6473000</v>
      </c>
      <c r="H84" s="1519">
        <f t="shared" si="48"/>
        <v>0</v>
      </c>
      <c r="I84" s="1519">
        <f t="shared" si="48"/>
        <v>0</v>
      </c>
      <c r="J84" s="1519">
        <f t="shared" si="48"/>
        <v>0</v>
      </c>
      <c r="K84" s="1519">
        <f t="shared" si="48"/>
        <v>0</v>
      </c>
      <c r="L84" s="1520">
        <f t="shared" si="48"/>
        <v>0</v>
      </c>
    </row>
    <row r="85" spans="1:12" s="1278" customFormat="1" ht="13.5" customHeight="1">
      <c r="A85" s="1343"/>
      <c r="B85" s="1460"/>
      <c r="C85" s="1521" t="s">
        <v>2634</v>
      </c>
      <c r="D85" s="1521"/>
      <c r="E85" s="1522"/>
      <c r="F85" s="1523"/>
      <c r="G85" s="1524" t="s">
        <v>2635</v>
      </c>
      <c r="H85" s="1525"/>
      <c r="I85" s="1525"/>
      <c r="J85" s="1525"/>
      <c r="K85" s="1525"/>
      <c r="L85" s="1525"/>
    </row>
    <row r="86" spans="1:12" s="1278" customFormat="1" ht="13.5" customHeight="1">
      <c r="A86" s="1336"/>
      <c r="B86" s="1455"/>
      <c r="C86" s="1455"/>
      <c r="D86" s="1455"/>
      <c r="E86" s="1457"/>
      <c r="F86" s="1457" t="s">
        <v>2526</v>
      </c>
      <c r="G86" s="1458" t="str">
        <f t="shared" ref="G86:L86" si="49">+G66</f>
        <v>●●工事</v>
      </c>
      <c r="H86" s="1458">
        <f t="shared" si="49"/>
        <v>0</v>
      </c>
      <c r="I86" s="1458">
        <f t="shared" si="49"/>
        <v>0</v>
      </c>
      <c r="J86" s="1458">
        <f t="shared" si="49"/>
        <v>0</v>
      </c>
      <c r="K86" s="1458">
        <f t="shared" si="49"/>
        <v>0</v>
      </c>
      <c r="L86" s="1459">
        <f t="shared" si="49"/>
        <v>0</v>
      </c>
    </row>
    <row r="87" spans="1:12" s="1278" customFormat="1" ht="13.5" customHeight="1">
      <c r="A87" s="1526" t="s">
        <v>2783</v>
      </c>
      <c r="B87" s="1527"/>
      <c r="C87" s="1528"/>
      <c r="D87" s="1528"/>
      <c r="E87" s="1529"/>
      <c r="F87" s="1530"/>
      <c r="G87" s="1531"/>
      <c r="H87" s="1531"/>
      <c r="I87" s="1531"/>
      <c r="J87" s="1531"/>
      <c r="K87" s="1531"/>
      <c r="L87" s="1532"/>
    </row>
    <row r="88" spans="1:12" s="1278" customFormat="1" ht="13.5" customHeight="1">
      <c r="A88" s="2783"/>
      <c r="B88" s="2763" t="s">
        <v>2784</v>
      </c>
      <c r="C88" s="1533" t="s">
        <v>2551</v>
      </c>
      <c r="D88" s="1483"/>
      <c r="E88" s="1500"/>
      <c r="F88" s="1340">
        <f t="shared" ref="F88:F107" si="50">SUM(G88:L88)</f>
        <v>0</v>
      </c>
      <c r="G88" s="1534"/>
      <c r="H88" s="1534"/>
      <c r="I88" s="1534"/>
      <c r="J88" s="1534"/>
      <c r="K88" s="1534"/>
      <c r="L88" s="1535"/>
    </row>
    <row r="89" spans="1:12" s="1278" customFormat="1" ht="13.5" customHeight="1">
      <c r="A89" s="2784"/>
      <c r="B89" s="2767"/>
      <c r="C89" s="1536" t="s">
        <v>2552</v>
      </c>
      <c r="D89" s="1537"/>
      <c r="E89" s="1488"/>
      <c r="F89" s="1347">
        <f>SUM(G89:L89)</f>
        <v>1000000</v>
      </c>
      <c r="G89" s="903">
        <f t="shared" ref="G89:L89" si="51">IF(G105=0,G68+G69-SUM(G88,G90:G107),0)</f>
        <v>1000000</v>
      </c>
      <c r="H89" s="903">
        <f t="shared" si="51"/>
        <v>0</v>
      </c>
      <c r="I89" s="903">
        <f t="shared" si="51"/>
        <v>0</v>
      </c>
      <c r="J89" s="903">
        <f t="shared" si="51"/>
        <v>0</v>
      </c>
      <c r="K89" s="903">
        <f t="shared" si="51"/>
        <v>0</v>
      </c>
      <c r="L89" s="904">
        <f t="shared" si="51"/>
        <v>0</v>
      </c>
    </row>
    <row r="90" spans="1:12" s="1278" customFormat="1" ht="13.5" customHeight="1">
      <c r="A90" s="2784"/>
      <c r="B90" s="2766" t="s">
        <v>2757</v>
      </c>
      <c r="C90" s="1538" t="s">
        <v>2785</v>
      </c>
      <c r="D90" s="1537"/>
      <c r="E90" s="1488"/>
      <c r="F90" s="1347">
        <f t="shared" si="50"/>
        <v>500000</v>
      </c>
      <c r="G90" s="903">
        <f t="shared" ref="G90:L90" si="52">IF(G106=0,G69-G70,0)</f>
        <v>500000</v>
      </c>
      <c r="H90" s="903">
        <f t="shared" si="52"/>
        <v>0</v>
      </c>
      <c r="I90" s="903">
        <f t="shared" si="52"/>
        <v>0</v>
      </c>
      <c r="J90" s="903">
        <f t="shared" si="52"/>
        <v>0</v>
      </c>
      <c r="K90" s="903">
        <f t="shared" si="52"/>
        <v>0</v>
      </c>
      <c r="L90" s="904">
        <f t="shared" si="52"/>
        <v>0</v>
      </c>
    </row>
    <row r="91" spans="1:12" s="1278" customFormat="1" ht="13.5" customHeight="1">
      <c r="A91" s="2784"/>
      <c r="B91" s="2764"/>
      <c r="C91" s="1536" t="s">
        <v>2786</v>
      </c>
      <c r="D91" s="1537"/>
      <c r="E91" s="1488"/>
      <c r="F91" s="1347">
        <f t="shared" si="50"/>
        <v>500000</v>
      </c>
      <c r="G91" s="1539">
        <v>500000</v>
      </c>
      <c r="H91" s="1539"/>
      <c r="I91" s="1539"/>
      <c r="J91" s="1539"/>
      <c r="K91" s="1539"/>
      <c r="L91" s="1540"/>
    </row>
    <row r="92" spans="1:12" s="1278" customFormat="1" ht="13.5" customHeight="1">
      <c r="A92" s="2784"/>
      <c r="B92" s="2764"/>
      <c r="C92" s="1541" t="s">
        <v>2787</v>
      </c>
      <c r="D92" s="1542"/>
      <c r="E92" s="1488"/>
      <c r="F92" s="1347">
        <f t="shared" si="50"/>
        <v>4000000</v>
      </c>
      <c r="G92" s="1539">
        <v>4000000</v>
      </c>
      <c r="H92" s="1539"/>
      <c r="I92" s="1539"/>
      <c r="J92" s="1539"/>
      <c r="K92" s="1539"/>
      <c r="L92" s="1540"/>
    </row>
    <row r="93" spans="1:12" s="1278" customFormat="1" ht="13.5" customHeight="1">
      <c r="A93" s="2784"/>
      <c r="B93" s="2764"/>
      <c r="C93" s="1536" t="s">
        <v>2788</v>
      </c>
      <c r="D93" s="1537"/>
      <c r="E93" s="1488"/>
      <c r="F93" s="1347">
        <f t="shared" si="50"/>
        <v>0</v>
      </c>
      <c r="G93" s="1539"/>
      <c r="H93" s="1539"/>
      <c r="I93" s="1539"/>
      <c r="J93" s="1539"/>
      <c r="K93" s="1539"/>
      <c r="L93" s="1540"/>
    </row>
    <row r="94" spans="1:12" s="1278" customFormat="1" ht="13.5" customHeight="1">
      <c r="A94" s="2784"/>
      <c r="B94" s="2764"/>
      <c r="C94" s="1536" t="s">
        <v>2789</v>
      </c>
      <c r="D94" s="1537"/>
      <c r="E94" s="1488"/>
      <c r="F94" s="1347">
        <f t="shared" si="50"/>
        <v>0</v>
      </c>
      <c r="G94" s="1539"/>
      <c r="H94" s="1539"/>
      <c r="I94" s="1539"/>
      <c r="J94" s="1539"/>
      <c r="K94" s="1539"/>
      <c r="L94" s="1540"/>
    </row>
    <row r="95" spans="1:12" s="1278" customFormat="1" ht="13.5" customHeight="1">
      <c r="A95" s="2784"/>
      <c r="B95" s="2764"/>
      <c r="C95" s="1543" t="s">
        <v>2790</v>
      </c>
      <c r="D95" s="1537"/>
      <c r="E95" s="1488"/>
      <c r="F95" s="1347">
        <f t="shared" si="50"/>
        <v>0</v>
      </c>
      <c r="G95" s="1539"/>
      <c r="H95" s="1539"/>
      <c r="I95" s="1539"/>
      <c r="J95" s="1539"/>
      <c r="K95" s="1539"/>
      <c r="L95" s="1540"/>
    </row>
    <row r="96" spans="1:12" s="1278" customFormat="1" ht="13.5" customHeight="1">
      <c r="A96" s="2784"/>
      <c r="B96" s="2764"/>
      <c r="C96" s="1537"/>
      <c r="D96" s="1537"/>
      <c r="E96" s="1488"/>
      <c r="F96" s="1347">
        <f t="shared" si="50"/>
        <v>0</v>
      </c>
      <c r="G96" s="903"/>
      <c r="H96" s="903"/>
      <c r="I96" s="903"/>
      <c r="J96" s="903"/>
      <c r="K96" s="903"/>
      <c r="L96" s="904"/>
    </row>
    <row r="97" spans="1:12" s="1278" customFormat="1" ht="13.5" customHeight="1">
      <c r="A97" s="2784"/>
      <c r="B97" s="2767"/>
      <c r="C97" s="1544"/>
      <c r="D97" s="1545"/>
      <c r="E97" s="1546"/>
      <c r="F97" s="1347">
        <f t="shared" si="50"/>
        <v>0</v>
      </c>
      <c r="G97" s="903"/>
      <c r="H97" s="903"/>
      <c r="I97" s="903"/>
      <c r="J97" s="903"/>
      <c r="K97" s="903"/>
      <c r="L97" s="904"/>
    </row>
    <row r="98" spans="1:12" s="1278" customFormat="1" ht="13.5" customHeight="1">
      <c r="A98" s="2784"/>
      <c r="B98" s="2766" t="s">
        <v>489</v>
      </c>
      <c r="C98" s="1537" t="s">
        <v>2791</v>
      </c>
      <c r="D98" s="1537"/>
      <c r="E98" s="1488"/>
      <c r="F98" s="1347">
        <f t="shared" si="50"/>
        <v>0</v>
      </c>
      <c r="G98" s="1539"/>
      <c r="H98" s="1539"/>
      <c r="I98" s="1539"/>
      <c r="J98" s="1539"/>
      <c r="K98" s="1539"/>
      <c r="L98" s="1540"/>
    </row>
    <row r="99" spans="1:12" s="1278" customFormat="1" ht="13.5" customHeight="1">
      <c r="A99" s="2784"/>
      <c r="B99" s="2764"/>
      <c r="C99" s="1547" t="s">
        <v>2792</v>
      </c>
      <c r="D99" s="1537"/>
      <c r="E99" s="1488"/>
      <c r="F99" s="1347">
        <f t="shared" si="50"/>
        <v>0</v>
      </c>
      <c r="G99" s="1539"/>
      <c r="H99" s="1539"/>
      <c r="I99" s="1539"/>
      <c r="J99" s="1539"/>
      <c r="K99" s="1539"/>
      <c r="L99" s="1540"/>
    </row>
    <row r="100" spans="1:12" s="1278" customFormat="1" ht="13.5" customHeight="1">
      <c r="A100" s="2784"/>
      <c r="B100" s="2767"/>
      <c r="C100" s="1547" t="s">
        <v>2793</v>
      </c>
      <c r="D100" s="1537"/>
      <c r="E100" s="1488"/>
      <c r="F100" s="1347">
        <f t="shared" si="50"/>
        <v>0</v>
      </c>
      <c r="G100" s="1539"/>
      <c r="H100" s="1539"/>
      <c r="I100" s="1539"/>
      <c r="J100" s="1539"/>
      <c r="K100" s="1539"/>
      <c r="L100" s="1540"/>
    </row>
    <row r="101" spans="1:12" s="1278" customFormat="1" ht="13.5" customHeight="1">
      <c r="A101" s="2784"/>
      <c r="B101" s="2766" t="s">
        <v>2565</v>
      </c>
      <c r="C101" s="1537" t="s">
        <v>2794</v>
      </c>
      <c r="D101" s="1537"/>
      <c r="E101" s="1488"/>
      <c r="F101" s="1347">
        <f t="shared" si="50"/>
        <v>0</v>
      </c>
      <c r="G101" s="1539"/>
      <c r="H101" s="1539"/>
      <c r="I101" s="1539"/>
      <c r="J101" s="1539"/>
      <c r="K101" s="1539"/>
      <c r="L101" s="1540"/>
    </row>
    <row r="102" spans="1:12" s="1278" customFormat="1" ht="13.5" customHeight="1">
      <c r="A102" s="2784"/>
      <c r="B102" s="2764"/>
      <c r="C102" s="1537"/>
      <c r="D102" s="1537"/>
      <c r="E102" s="1488"/>
      <c r="F102" s="1347">
        <f t="shared" si="50"/>
        <v>0</v>
      </c>
      <c r="G102" s="1539"/>
      <c r="H102" s="1539"/>
      <c r="I102" s="1539"/>
      <c r="J102" s="1539"/>
      <c r="K102" s="1539"/>
      <c r="L102" s="1540"/>
    </row>
    <row r="103" spans="1:12" s="1278" customFormat="1" ht="13.5" customHeight="1">
      <c r="A103" s="2784"/>
      <c r="B103" s="2764"/>
      <c r="C103" s="1537" t="s">
        <v>2795</v>
      </c>
      <c r="D103" s="1537"/>
      <c r="E103" s="1488"/>
      <c r="F103" s="1347">
        <f t="shared" si="50"/>
        <v>0</v>
      </c>
      <c r="G103" s="1539"/>
      <c r="H103" s="1539"/>
      <c r="I103" s="1539"/>
      <c r="J103" s="1539"/>
      <c r="K103" s="1539"/>
      <c r="L103" s="1540"/>
    </row>
    <row r="104" spans="1:12" s="1278" customFormat="1" ht="13.5" customHeight="1">
      <c r="A104" s="2784"/>
      <c r="B104" s="2764"/>
      <c r="C104" s="1537" t="s">
        <v>2796</v>
      </c>
      <c r="D104" s="1537"/>
      <c r="E104" s="1488"/>
      <c r="F104" s="1347">
        <f t="shared" si="50"/>
        <v>0</v>
      </c>
      <c r="G104" s="1539"/>
      <c r="H104" s="1539"/>
      <c r="I104" s="1539"/>
      <c r="J104" s="1539"/>
      <c r="K104" s="1539"/>
      <c r="L104" s="1540"/>
    </row>
    <row r="105" spans="1:12" s="1278" customFormat="1" ht="13.5" customHeight="1">
      <c r="A105" s="2784"/>
      <c r="B105" s="2764"/>
      <c r="C105" s="1548" t="s">
        <v>2797</v>
      </c>
      <c r="D105" s="1548"/>
      <c r="E105" s="1549"/>
      <c r="F105" s="1347">
        <f>SUM(G105:M105)</f>
        <v>0</v>
      </c>
      <c r="G105" s="1388"/>
      <c r="H105" s="1388"/>
      <c r="I105" s="1388"/>
      <c r="J105" s="1388"/>
      <c r="K105" s="1388"/>
      <c r="L105" s="1389"/>
    </row>
    <row r="106" spans="1:12" s="1278" customFormat="1" ht="13.5" customHeight="1">
      <c r="A106" s="2784"/>
      <c r="B106" s="2764"/>
      <c r="C106" s="1548" t="s">
        <v>2798</v>
      </c>
      <c r="D106" s="1548"/>
      <c r="E106" s="1549"/>
      <c r="F106" s="1347">
        <f>SUM(G106:M106)</f>
        <v>0</v>
      </c>
      <c r="G106" s="1388"/>
      <c r="H106" s="1388"/>
      <c r="I106" s="1388"/>
      <c r="J106" s="1388"/>
      <c r="K106" s="1388"/>
      <c r="L106" s="1389"/>
    </row>
    <row r="107" spans="1:12" s="1278" customFormat="1" ht="13.5" customHeight="1">
      <c r="A107" s="2785"/>
      <c r="B107" s="2797"/>
      <c r="C107" s="1550" t="s">
        <v>2799</v>
      </c>
      <c r="D107" s="1551"/>
      <c r="E107" s="1493"/>
      <c r="F107" s="1353">
        <f t="shared" si="50"/>
        <v>0</v>
      </c>
      <c r="G107" s="1552"/>
      <c r="H107" s="1552"/>
      <c r="I107" s="1552"/>
      <c r="J107" s="1552"/>
      <c r="K107" s="1552"/>
      <c r="L107" s="1553"/>
    </row>
    <row r="108" spans="1:12" s="887" customFormat="1" ht="15" customHeight="1">
      <c r="A108" s="1034"/>
      <c r="B108" s="1034"/>
      <c r="C108" s="1554" t="s">
        <v>2663</v>
      </c>
      <c r="D108" s="808"/>
      <c r="E108" s="1033"/>
      <c r="F108" s="1033"/>
      <c r="G108" s="1037"/>
      <c r="H108" s="1037"/>
      <c r="I108" s="1037"/>
      <c r="J108" s="1037"/>
      <c r="K108" s="1037"/>
      <c r="L108" s="1091" t="s">
        <v>2800</v>
      </c>
    </row>
    <row r="109" spans="1:12" s="887" customFormat="1" ht="15" customHeight="1">
      <c r="A109" s="1034"/>
      <c r="B109" s="1034"/>
      <c r="C109" s="1555" t="s">
        <v>2801</v>
      </c>
      <c r="D109" s="1555"/>
      <c r="E109" s="1033"/>
      <c r="F109" s="1033"/>
      <c r="G109" s="1037"/>
      <c r="H109" s="1037"/>
      <c r="I109" s="1037"/>
      <c r="J109" s="1037"/>
      <c r="K109" s="1037"/>
      <c r="L109" s="1091"/>
    </row>
    <row r="110" spans="1:12" s="887" customFormat="1" ht="15" customHeight="1">
      <c r="A110" s="1556"/>
      <c r="B110" s="1557"/>
      <c r="C110" s="1557"/>
      <c r="D110" s="2779"/>
      <c r="E110" s="2779" t="s">
        <v>2681</v>
      </c>
      <c r="F110" s="1083" t="s">
        <v>2526</v>
      </c>
      <c r="G110" s="1084" t="str">
        <f t="shared" ref="G110:L110" si="53">+G66</f>
        <v>●●工事</v>
      </c>
      <c r="H110" s="1084">
        <f t="shared" si="53"/>
        <v>0</v>
      </c>
      <c r="I110" s="1084">
        <f t="shared" si="53"/>
        <v>0</v>
      </c>
      <c r="J110" s="1084">
        <f t="shared" si="53"/>
        <v>0</v>
      </c>
      <c r="K110" s="1084">
        <f t="shared" si="53"/>
        <v>0</v>
      </c>
      <c r="L110" s="1304">
        <f t="shared" si="53"/>
        <v>0</v>
      </c>
    </row>
    <row r="111" spans="1:12" s="887" customFormat="1" ht="15" customHeight="1">
      <c r="A111" s="2781" t="s">
        <v>2667</v>
      </c>
      <c r="B111" s="2782"/>
      <c r="C111" s="2782"/>
      <c r="D111" s="2780"/>
      <c r="E111" s="2780"/>
      <c r="F111" s="1092"/>
      <c r="G111" s="1093"/>
      <c r="H111" s="1093"/>
      <c r="I111" s="1093"/>
      <c r="J111" s="1093"/>
      <c r="K111" s="1093"/>
      <c r="L111" s="1558"/>
    </row>
    <row r="112" spans="1:12" s="887" customFormat="1" ht="14.25" customHeight="1">
      <c r="A112" s="1559"/>
      <c r="B112" s="1560" t="s">
        <v>2802</v>
      </c>
      <c r="C112" s="1561"/>
      <c r="D112" s="1084"/>
      <c r="E112" s="1562"/>
      <c r="F112" s="1099">
        <f>SUM(G112:L112)</f>
        <v>1000000</v>
      </c>
      <c r="G112" s="1100">
        <f t="shared" ref="G112:L112" si="54">SUM(G88:G89,G98:G104)</f>
        <v>1000000</v>
      </c>
      <c r="H112" s="1100">
        <f t="shared" si="54"/>
        <v>0</v>
      </c>
      <c r="I112" s="1100">
        <f t="shared" si="54"/>
        <v>0</v>
      </c>
      <c r="J112" s="1100">
        <f t="shared" si="54"/>
        <v>0</v>
      </c>
      <c r="K112" s="1100">
        <f t="shared" si="54"/>
        <v>0</v>
      </c>
      <c r="L112" s="1563">
        <f t="shared" si="54"/>
        <v>0</v>
      </c>
    </row>
    <row r="113" spans="1:12" s="887" customFormat="1" ht="15" customHeight="1">
      <c r="A113" s="1564"/>
      <c r="B113" s="2763" t="s">
        <v>2803</v>
      </c>
      <c r="C113" s="1483" t="s">
        <v>2551</v>
      </c>
      <c r="D113" s="1084"/>
      <c r="E113" s="1565" t="s">
        <v>2804</v>
      </c>
      <c r="F113" s="1099">
        <f>SUM(G113:L113)</f>
        <v>0</v>
      </c>
      <c r="G113" s="1566">
        <f>+G88</f>
        <v>0</v>
      </c>
      <c r="H113" s="1068">
        <f t="shared" ref="H113:L114" si="55">+H88</f>
        <v>0</v>
      </c>
      <c r="I113" s="1068">
        <f t="shared" si="55"/>
        <v>0</v>
      </c>
      <c r="J113" s="1068">
        <f t="shared" si="55"/>
        <v>0</v>
      </c>
      <c r="K113" s="1068">
        <f t="shared" si="55"/>
        <v>0</v>
      </c>
      <c r="L113" s="1069">
        <f t="shared" si="55"/>
        <v>0</v>
      </c>
    </row>
    <row r="114" spans="1:12" s="887" customFormat="1" ht="15" customHeight="1">
      <c r="A114" s="1567"/>
      <c r="B114" s="2767"/>
      <c r="C114" s="1537" t="s">
        <v>2552</v>
      </c>
      <c r="D114" s="1568"/>
      <c r="E114" s="1569" t="s">
        <v>2804</v>
      </c>
      <c r="F114" s="902">
        <f>SUM(G114:L114)</f>
        <v>1000000</v>
      </c>
      <c r="G114" s="1570">
        <f>+G89</f>
        <v>1000000</v>
      </c>
      <c r="H114" s="903">
        <f t="shared" si="55"/>
        <v>0</v>
      </c>
      <c r="I114" s="903">
        <f t="shared" si="55"/>
        <v>0</v>
      </c>
      <c r="J114" s="903">
        <f t="shared" si="55"/>
        <v>0</v>
      </c>
      <c r="K114" s="903">
        <f t="shared" si="55"/>
        <v>0</v>
      </c>
      <c r="L114" s="904">
        <f t="shared" si="55"/>
        <v>0</v>
      </c>
    </row>
    <row r="115" spans="1:12" s="887" customFormat="1" ht="15" customHeight="1">
      <c r="A115" s="1567"/>
      <c r="B115" s="2766" t="s">
        <v>2757</v>
      </c>
      <c r="C115" s="1537" t="s">
        <v>2805</v>
      </c>
      <c r="D115" s="1568"/>
      <c r="E115" s="1546">
        <v>0.25</v>
      </c>
      <c r="F115" s="903">
        <f t="shared" ref="F115:F120" si="56">INT(F90/(1+$E115))</f>
        <v>400000</v>
      </c>
      <c r="G115" s="1570">
        <f t="shared" ref="G115:G120" si="57">F115-SUM(H115:L115)</f>
        <v>400000</v>
      </c>
      <c r="H115" s="903">
        <f t="shared" ref="H115:L120" si="58">IF(H90=0,0,ROUND($F115/$F90*H90,0))</f>
        <v>0</v>
      </c>
      <c r="I115" s="903">
        <f t="shared" si="58"/>
        <v>0</v>
      </c>
      <c r="J115" s="903">
        <f t="shared" si="58"/>
        <v>0</v>
      </c>
      <c r="K115" s="903">
        <f t="shared" si="58"/>
        <v>0</v>
      </c>
      <c r="L115" s="904">
        <f t="shared" si="58"/>
        <v>0</v>
      </c>
    </row>
    <row r="116" spans="1:12" s="887" customFormat="1" ht="15" customHeight="1">
      <c r="A116" s="1567"/>
      <c r="B116" s="2764"/>
      <c r="C116" s="1537" t="s">
        <v>2806</v>
      </c>
      <c r="D116" s="1568"/>
      <c r="E116" s="1546">
        <v>0.25</v>
      </c>
      <c r="F116" s="903">
        <f t="shared" si="56"/>
        <v>400000</v>
      </c>
      <c r="G116" s="1570">
        <f t="shared" si="57"/>
        <v>400000</v>
      </c>
      <c r="H116" s="903">
        <f t="shared" si="58"/>
        <v>0</v>
      </c>
      <c r="I116" s="903">
        <f t="shared" si="58"/>
        <v>0</v>
      </c>
      <c r="J116" s="903">
        <f t="shared" si="58"/>
        <v>0</v>
      </c>
      <c r="K116" s="903">
        <f t="shared" si="58"/>
        <v>0</v>
      </c>
      <c r="L116" s="904">
        <f t="shared" si="58"/>
        <v>0</v>
      </c>
    </row>
    <row r="117" spans="1:12" s="887" customFormat="1" ht="15" customHeight="1">
      <c r="A117" s="1567"/>
      <c r="B117" s="2764"/>
      <c r="C117" s="1571" t="str">
        <f>+C92</f>
        <v>(5)塗装工事（下請経費共）</v>
      </c>
      <c r="D117" s="1568"/>
      <c r="E117" s="1572">
        <v>0.22</v>
      </c>
      <c r="F117" s="903">
        <f>INT(F92/(1+$E117))</f>
        <v>3278688</v>
      </c>
      <c r="G117" s="1570">
        <f t="shared" si="57"/>
        <v>3278688</v>
      </c>
      <c r="H117" s="903">
        <f t="shared" si="58"/>
        <v>0</v>
      </c>
      <c r="I117" s="903">
        <f t="shared" si="58"/>
        <v>0</v>
      </c>
      <c r="J117" s="903">
        <f t="shared" si="58"/>
        <v>0</v>
      </c>
      <c r="K117" s="903">
        <f t="shared" si="58"/>
        <v>0</v>
      </c>
      <c r="L117" s="904">
        <f t="shared" si="58"/>
        <v>0</v>
      </c>
    </row>
    <row r="118" spans="1:12" s="887" customFormat="1" ht="15" customHeight="1">
      <c r="A118" s="1567"/>
      <c r="B118" s="2764"/>
      <c r="C118" s="1537" t="s">
        <v>2807</v>
      </c>
      <c r="D118" s="1568"/>
      <c r="E118" s="1546">
        <v>0.25</v>
      </c>
      <c r="F118" s="903">
        <f t="shared" si="56"/>
        <v>0</v>
      </c>
      <c r="G118" s="1570">
        <f t="shared" si="57"/>
        <v>0</v>
      </c>
      <c r="H118" s="903">
        <f t="shared" si="58"/>
        <v>0</v>
      </c>
      <c r="I118" s="903">
        <f t="shared" si="58"/>
        <v>0</v>
      </c>
      <c r="J118" s="903">
        <f t="shared" si="58"/>
        <v>0</v>
      </c>
      <c r="K118" s="903">
        <f t="shared" si="58"/>
        <v>0</v>
      </c>
      <c r="L118" s="904">
        <f t="shared" si="58"/>
        <v>0</v>
      </c>
    </row>
    <row r="119" spans="1:12" s="887" customFormat="1" ht="15" customHeight="1">
      <c r="A119" s="1567"/>
      <c r="B119" s="2764"/>
      <c r="C119" s="1537" t="s">
        <v>2808</v>
      </c>
      <c r="D119" s="1568"/>
      <c r="E119" s="1546">
        <v>0.25</v>
      </c>
      <c r="F119" s="903">
        <f t="shared" si="56"/>
        <v>0</v>
      </c>
      <c r="G119" s="1570">
        <f t="shared" si="57"/>
        <v>0</v>
      </c>
      <c r="H119" s="903">
        <f t="shared" si="58"/>
        <v>0</v>
      </c>
      <c r="I119" s="903">
        <f t="shared" si="58"/>
        <v>0</v>
      </c>
      <c r="J119" s="903">
        <f t="shared" si="58"/>
        <v>0</v>
      </c>
      <c r="K119" s="903">
        <f t="shared" si="58"/>
        <v>0</v>
      </c>
      <c r="L119" s="904">
        <f t="shared" si="58"/>
        <v>0</v>
      </c>
    </row>
    <row r="120" spans="1:12" s="887" customFormat="1" ht="15" customHeight="1">
      <c r="A120" s="1567"/>
      <c r="B120" s="2764"/>
      <c r="C120" s="1537" t="s">
        <v>2809</v>
      </c>
      <c r="D120" s="1568"/>
      <c r="E120" s="1546">
        <v>0.25</v>
      </c>
      <c r="F120" s="903">
        <f t="shared" si="56"/>
        <v>0</v>
      </c>
      <c r="G120" s="1570">
        <f t="shared" si="57"/>
        <v>0</v>
      </c>
      <c r="H120" s="903">
        <f t="shared" si="58"/>
        <v>0</v>
      </c>
      <c r="I120" s="903">
        <f t="shared" si="58"/>
        <v>0</v>
      </c>
      <c r="J120" s="903">
        <f t="shared" si="58"/>
        <v>0</v>
      </c>
      <c r="K120" s="903">
        <f t="shared" si="58"/>
        <v>0</v>
      </c>
      <c r="L120" s="904">
        <f t="shared" si="58"/>
        <v>0</v>
      </c>
    </row>
    <row r="121" spans="1:12" s="887" customFormat="1" ht="15" customHeight="1">
      <c r="A121" s="1567"/>
      <c r="B121" s="2764"/>
      <c r="C121" s="1537"/>
      <c r="D121" s="1568"/>
      <c r="E121" s="1546"/>
      <c r="F121" s="902"/>
      <c r="G121" s="1570"/>
      <c r="H121" s="903"/>
      <c r="I121" s="903"/>
      <c r="J121" s="903"/>
      <c r="K121" s="903"/>
      <c r="L121" s="904"/>
    </row>
    <row r="122" spans="1:12" s="887" customFormat="1" ht="15" customHeight="1">
      <c r="A122" s="1567"/>
      <c r="B122" s="2767"/>
      <c r="C122" s="1537"/>
      <c r="D122" s="1568"/>
      <c r="E122" s="1546"/>
      <c r="F122" s="902"/>
      <c r="G122" s="1570"/>
      <c r="H122" s="903"/>
      <c r="I122" s="903"/>
      <c r="J122" s="903"/>
      <c r="K122" s="903"/>
      <c r="L122" s="904"/>
    </row>
    <row r="123" spans="1:12" s="887" customFormat="1" ht="15" customHeight="1">
      <c r="A123" s="1567"/>
      <c r="B123" s="2766" t="s">
        <v>489</v>
      </c>
      <c r="C123" s="1537" t="s">
        <v>2810</v>
      </c>
      <c r="D123" s="1568"/>
      <c r="E123" s="1546">
        <v>0.02</v>
      </c>
      <c r="F123" s="902">
        <f>SUM(G123:L123)</f>
        <v>0</v>
      </c>
      <c r="G123" s="1570">
        <f t="shared" ref="G123:L125" si="59">+G98</f>
        <v>0</v>
      </c>
      <c r="H123" s="903">
        <f t="shared" si="59"/>
        <v>0</v>
      </c>
      <c r="I123" s="903">
        <f t="shared" si="59"/>
        <v>0</v>
      </c>
      <c r="J123" s="903">
        <f t="shared" si="59"/>
        <v>0</v>
      </c>
      <c r="K123" s="903">
        <f t="shared" si="59"/>
        <v>0</v>
      </c>
      <c r="L123" s="904">
        <f t="shared" si="59"/>
        <v>0</v>
      </c>
    </row>
    <row r="124" spans="1:12" s="887" customFormat="1" ht="15" customHeight="1">
      <c r="A124" s="1567"/>
      <c r="B124" s="2764"/>
      <c r="C124" s="1547" t="s">
        <v>2811</v>
      </c>
      <c r="D124" s="1568"/>
      <c r="E124" s="1546">
        <v>0.02</v>
      </c>
      <c r="F124" s="902">
        <f>SUM(G124:L124)</f>
        <v>0</v>
      </c>
      <c r="G124" s="1570">
        <f t="shared" si="59"/>
        <v>0</v>
      </c>
      <c r="H124" s="903">
        <f t="shared" si="59"/>
        <v>0</v>
      </c>
      <c r="I124" s="903">
        <f t="shared" si="59"/>
        <v>0</v>
      </c>
      <c r="J124" s="903">
        <f t="shared" si="59"/>
        <v>0</v>
      </c>
      <c r="K124" s="903">
        <f t="shared" si="59"/>
        <v>0</v>
      </c>
      <c r="L124" s="904">
        <f t="shared" si="59"/>
        <v>0</v>
      </c>
    </row>
    <row r="125" spans="1:12" s="887" customFormat="1" ht="15" customHeight="1">
      <c r="A125" s="1567"/>
      <c r="B125" s="2767"/>
      <c r="C125" s="1547" t="s">
        <v>2812</v>
      </c>
      <c r="D125" s="1568"/>
      <c r="E125" s="1546">
        <v>0.02</v>
      </c>
      <c r="F125" s="902">
        <f>SUM(G125:L125)</f>
        <v>0</v>
      </c>
      <c r="G125" s="1570">
        <f t="shared" si="59"/>
        <v>0</v>
      </c>
      <c r="H125" s="903">
        <f t="shared" si="59"/>
        <v>0</v>
      </c>
      <c r="I125" s="903">
        <f t="shared" si="59"/>
        <v>0</v>
      </c>
      <c r="J125" s="903">
        <f t="shared" si="59"/>
        <v>0</v>
      </c>
      <c r="K125" s="903">
        <f t="shared" si="59"/>
        <v>0</v>
      </c>
      <c r="L125" s="904">
        <f t="shared" si="59"/>
        <v>0</v>
      </c>
    </row>
    <row r="126" spans="1:12" s="887" customFormat="1" ht="15" customHeight="1">
      <c r="A126" s="1567"/>
      <c r="B126" s="1573" t="s">
        <v>2652</v>
      </c>
      <c r="C126" s="1574" t="s">
        <v>2813</v>
      </c>
      <c r="D126" s="1568"/>
      <c r="E126" s="1546">
        <v>0</v>
      </c>
      <c r="F126" s="902">
        <f>SUM(G126:L126)</f>
        <v>0</v>
      </c>
      <c r="G126" s="1575">
        <f t="shared" ref="G126:L126" si="60">SUM(G101:G107)</f>
        <v>0</v>
      </c>
      <c r="H126" s="1064">
        <f t="shared" si="60"/>
        <v>0</v>
      </c>
      <c r="I126" s="1064">
        <f t="shared" si="60"/>
        <v>0</v>
      </c>
      <c r="J126" s="1064">
        <f t="shared" si="60"/>
        <v>0</v>
      </c>
      <c r="K126" s="1064">
        <f t="shared" si="60"/>
        <v>0</v>
      </c>
      <c r="L126" s="1065">
        <f t="shared" si="60"/>
        <v>0</v>
      </c>
    </row>
    <row r="127" spans="1:12" s="887" customFormat="1" ht="15" customHeight="1">
      <c r="A127" s="1576" t="s">
        <v>2573</v>
      </c>
      <c r="B127" s="1577"/>
      <c r="C127" s="1577"/>
      <c r="D127" s="1578"/>
      <c r="E127" s="1579" t="s">
        <v>2814</v>
      </c>
      <c r="F127" s="1580"/>
      <c r="G127" s="1581"/>
      <c r="H127" s="1581"/>
      <c r="I127" s="1581"/>
      <c r="J127" s="1581"/>
      <c r="K127" s="1581"/>
      <c r="L127" s="1582"/>
    </row>
    <row r="128" spans="1:12" s="887" customFormat="1" ht="15" customHeight="1">
      <c r="A128" s="1564"/>
      <c r="B128" s="2763" t="s">
        <v>2815</v>
      </c>
      <c r="C128" s="1114" t="s">
        <v>2551</v>
      </c>
      <c r="D128" s="1115"/>
      <c r="E128" s="1116" t="s">
        <v>2816</v>
      </c>
      <c r="F128" s="1117" t="s">
        <v>2817</v>
      </c>
      <c r="G128" s="1118">
        <f t="shared" ref="G128:L128" si="61">IF(G113=0,0,+G193/100)</f>
        <v>0</v>
      </c>
      <c r="H128" s="1118">
        <f t="shared" si="61"/>
        <v>0</v>
      </c>
      <c r="I128" s="1118">
        <f t="shared" si="61"/>
        <v>0</v>
      </c>
      <c r="J128" s="1118">
        <f t="shared" si="61"/>
        <v>0</v>
      </c>
      <c r="K128" s="1118">
        <f t="shared" si="61"/>
        <v>0</v>
      </c>
      <c r="L128" s="1119">
        <f t="shared" si="61"/>
        <v>0</v>
      </c>
    </row>
    <row r="129" spans="1:12" s="887" customFormat="1" ht="15" customHeight="1">
      <c r="A129" s="1567"/>
      <c r="B129" s="2764"/>
      <c r="C129" s="1120"/>
      <c r="D129" s="1583">
        <v>1</v>
      </c>
      <c r="E129" s="1122" t="s">
        <v>2816</v>
      </c>
      <c r="F129" s="1055">
        <f>SUM(G129:N129)</f>
        <v>0</v>
      </c>
      <c r="G129" s="1071">
        <f t="shared" ref="G129:L129" si="62">ROUNDDOWN(G113*G128*$D129,0)</f>
        <v>0</v>
      </c>
      <c r="H129" s="1071">
        <f t="shared" si="62"/>
        <v>0</v>
      </c>
      <c r="I129" s="1071">
        <f t="shared" si="62"/>
        <v>0</v>
      </c>
      <c r="J129" s="1071">
        <f t="shared" si="62"/>
        <v>0</v>
      </c>
      <c r="K129" s="1071">
        <f t="shared" si="62"/>
        <v>0</v>
      </c>
      <c r="L129" s="1072">
        <f t="shared" si="62"/>
        <v>0</v>
      </c>
    </row>
    <row r="130" spans="1:12" s="887" customFormat="1" ht="15" customHeight="1">
      <c r="A130" s="1567"/>
      <c r="B130" s="2764"/>
      <c r="C130" s="1123" t="s">
        <v>2552</v>
      </c>
      <c r="D130" s="1124"/>
      <c r="E130" s="1122" t="s">
        <v>2818</v>
      </c>
      <c r="F130" s="1125" t="s">
        <v>2819</v>
      </c>
      <c r="G130" s="1146">
        <f t="shared" ref="G130:L130" si="63">IF(G114=0,0,+G201/100)</f>
        <v>0.2261</v>
      </c>
      <c r="H130" s="1146">
        <f t="shared" si="63"/>
        <v>0</v>
      </c>
      <c r="I130" s="1146">
        <f t="shared" si="63"/>
        <v>0</v>
      </c>
      <c r="J130" s="1146">
        <f t="shared" si="63"/>
        <v>0</v>
      </c>
      <c r="K130" s="1146">
        <f t="shared" si="63"/>
        <v>0</v>
      </c>
      <c r="L130" s="1584">
        <f t="shared" si="63"/>
        <v>0</v>
      </c>
    </row>
    <row r="131" spans="1:12" s="887" customFormat="1" ht="15" customHeight="1">
      <c r="A131" s="1567"/>
      <c r="B131" s="2765"/>
      <c r="C131" s="1120"/>
      <c r="D131" s="1585">
        <v>1</v>
      </c>
      <c r="E131" s="1122" t="s">
        <v>2816</v>
      </c>
      <c r="F131" s="1055">
        <f>SUM(G131:N131)</f>
        <v>226100</v>
      </c>
      <c r="G131" s="1071">
        <f t="shared" ref="G131:L131" si="64">ROUNDDOWN(G114*G130*$D131,0)</f>
        <v>226100</v>
      </c>
      <c r="H131" s="1071">
        <f t="shared" si="64"/>
        <v>0</v>
      </c>
      <c r="I131" s="1071">
        <f t="shared" si="64"/>
        <v>0</v>
      </c>
      <c r="J131" s="1071">
        <f t="shared" si="64"/>
        <v>0</v>
      </c>
      <c r="K131" s="1071">
        <f t="shared" si="64"/>
        <v>0</v>
      </c>
      <c r="L131" s="1072">
        <f t="shared" si="64"/>
        <v>0</v>
      </c>
    </row>
    <row r="132" spans="1:12" s="887" customFormat="1" ht="15" customHeight="1">
      <c r="A132" s="1567"/>
      <c r="B132" s="2766" t="s">
        <v>2757</v>
      </c>
      <c r="C132" s="1537" t="str">
        <f>+C115</f>
        <v>(3)共通仮設工事</v>
      </c>
      <c r="D132" s="1586"/>
      <c r="E132" s="1546">
        <f t="shared" ref="E132:E137" si="65">+E115</f>
        <v>0.25</v>
      </c>
      <c r="F132" s="902">
        <f t="shared" ref="F132:F137" si="66">INT((F90-F115)*0.5)</f>
        <v>50000</v>
      </c>
      <c r="G132" s="903">
        <f t="shared" ref="G132:G137" si="67">F132-SUM(H132:L132)</f>
        <v>50000</v>
      </c>
      <c r="H132" s="903">
        <f t="shared" ref="H132:L137" si="68">IF(H115=0,0,ROUND($F132/$F115*H115,0))</f>
        <v>0</v>
      </c>
      <c r="I132" s="903">
        <f t="shared" si="68"/>
        <v>0</v>
      </c>
      <c r="J132" s="903">
        <f t="shared" si="68"/>
        <v>0</v>
      </c>
      <c r="K132" s="903">
        <f t="shared" si="68"/>
        <v>0</v>
      </c>
      <c r="L132" s="904">
        <f t="shared" si="68"/>
        <v>0</v>
      </c>
    </row>
    <row r="133" spans="1:12" s="887" customFormat="1" ht="15" customHeight="1">
      <c r="A133" s="1567"/>
      <c r="B133" s="2764"/>
      <c r="C133" s="1537" t="str">
        <f>+C116</f>
        <v>(4)直接仮設工事</v>
      </c>
      <c r="D133" s="1586"/>
      <c r="E133" s="1546">
        <f t="shared" si="65"/>
        <v>0.25</v>
      </c>
      <c r="F133" s="902">
        <f t="shared" si="66"/>
        <v>50000</v>
      </c>
      <c r="G133" s="903">
        <f t="shared" si="67"/>
        <v>50000</v>
      </c>
      <c r="H133" s="903">
        <f t="shared" si="68"/>
        <v>0</v>
      </c>
      <c r="I133" s="903">
        <f t="shared" si="68"/>
        <v>0</v>
      </c>
      <c r="J133" s="903">
        <f t="shared" si="68"/>
        <v>0</v>
      </c>
      <c r="K133" s="903">
        <f t="shared" si="68"/>
        <v>0</v>
      </c>
      <c r="L133" s="904">
        <f t="shared" si="68"/>
        <v>0</v>
      </c>
    </row>
    <row r="134" spans="1:12" s="887" customFormat="1" ht="15" customHeight="1">
      <c r="A134" s="1567"/>
      <c r="B134" s="2764"/>
      <c r="C134" s="1571" t="str">
        <f>C117</f>
        <v>(5)塗装工事（下請経費共）</v>
      </c>
      <c r="D134" s="1586"/>
      <c r="E134" s="1587">
        <f t="shared" si="65"/>
        <v>0.22</v>
      </c>
      <c r="F134" s="902">
        <f t="shared" si="66"/>
        <v>360656</v>
      </c>
      <c r="G134" s="903">
        <f>F134-SUM(H134:L134)</f>
        <v>360656</v>
      </c>
      <c r="H134" s="903">
        <f>IF(H117=0,0,ROUND($F134/$F117*H117,0))</f>
        <v>0</v>
      </c>
      <c r="I134" s="903">
        <f t="shared" si="68"/>
        <v>0</v>
      </c>
      <c r="J134" s="903">
        <f t="shared" si="68"/>
        <v>0</v>
      </c>
      <c r="K134" s="903">
        <f t="shared" si="68"/>
        <v>0</v>
      </c>
      <c r="L134" s="904">
        <f t="shared" si="68"/>
        <v>0</v>
      </c>
    </row>
    <row r="135" spans="1:12" s="887" customFormat="1" ht="15" customHeight="1">
      <c r="A135" s="1567"/>
      <c r="B135" s="2764"/>
      <c r="C135" s="1537" t="str">
        <f>+C118</f>
        <v>(6)場内小運搬費</v>
      </c>
      <c r="D135" s="1586"/>
      <c r="E135" s="1546">
        <f t="shared" si="65"/>
        <v>0.25</v>
      </c>
      <c r="F135" s="902">
        <f t="shared" si="66"/>
        <v>0</v>
      </c>
      <c r="G135" s="903">
        <f t="shared" si="67"/>
        <v>0</v>
      </c>
      <c r="H135" s="903">
        <f t="shared" si="68"/>
        <v>0</v>
      </c>
      <c r="I135" s="903">
        <f t="shared" si="68"/>
        <v>0</v>
      </c>
      <c r="J135" s="903">
        <f t="shared" si="68"/>
        <v>0</v>
      </c>
      <c r="K135" s="903">
        <f t="shared" si="68"/>
        <v>0</v>
      </c>
      <c r="L135" s="904">
        <f t="shared" si="68"/>
        <v>0</v>
      </c>
    </row>
    <row r="136" spans="1:12" s="887" customFormat="1" ht="15" customHeight="1">
      <c r="A136" s="1567"/>
      <c r="B136" s="2764"/>
      <c r="C136" s="1537" t="str">
        <f>+C119</f>
        <v>(7)〃人力積込み費</v>
      </c>
      <c r="D136" s="1586"/>
      <c r="E136" s="1546">
        <f t="shared" si="65"/>
        <v>0.25</v>
      </c>
      <c r="F136" s="902">
        <f t="shared" si="66"/>
        <v>0</v>
      </c>
      <c r="G136" s="903">
        <f t="shared" si="67"/>
        <v>0</v>
      </c>
      <c r="H136" s="903">
        <f t="shared" si="68"/>
        <v>0</v>
      </c>
      <c r="I136" s="903">
        <f t="shared" si="68"/>
        <v>0</v>
      </c>
      <c r="J136" s="903">
        <f t="shared" si="68"/>
        <v>0</v>
      </c>
      <c r="K136" s="903">
        <f t="shared" si="68"/>
        <v>0</v>
      </c>
      <c r="L136" s="904">
        <f t="shared" si="68"/>
        <v>0</v>
      </c>
    </row>
    <row r="137" spans="1:12" s="887" customFormat="1" ht="15" customHeight="1">
      <c r="A137" s="1567"/>
      <c r="B137" s="2764"/>
      <c r="C137" s="1537" t="str">
        <f>+C120</f>
        <v>(8)〃搬出準備費</v>
      </c>
      <c r="D137" s="1586"/>
      <c r="E137" s="1546">
        <f t="shared" si="65"/>
        <v>0.25</v>
      </c>
      <c r="F137" s="902">
        <f t="shared" si="66"/>
        <v>0</v>
      </c>
      <c r="G137" s="903">
        <f t="shared" si="67"/>
        <v>0</v>
      </c>
      <c r="H137" s="903">
        <f t="shared" si="68"/>
        <v>0</v>
      </c>
      <c r="I137" s="903">
        <f t="shared" si="68"/>
        <v>0</v>
      </c>
      <c r="J137" s="903">
        <f t="shared" si="68"/>
        <v>0</v>
      </c>
      <c r="K137" s="903">
        <f t="shared" si="68"/>
        <v>0</v>
      </c>
      <c r="L137" s="904">
        <f t="shared" si="68"/>
        <v>0</v>
      </c>
    </row>
    <row r="138" spans="1:12" s="887" customFormat="1" ht="15" customHeight="1">
      <c r="A138" s="1567"/>
      <c r="B138" s="2764"/>
      <c r="C138" s="1537"/>
      <c r="D138" s="1586"/>
      <c r="E138" s="1588"/>
      <c r="F138" s="902"/>
      <c r="G138" s="903"/>
      <c r="H138" s="903"/>
      <c r="I138" s="903"/>
      <c r="J138" s="903"/>
      <c r="K138" s="903"/>
      <c r="L138" s="904"/>
    </row>
    <row r="139" spans="1:12" s="887" customFormat="1" ht="15" customHeight="1">
      <c r="A139" s="1567"/>
      <c r="B139" s="2767"/>
      <c r="C139" s="1537"/>
      <c r="D139" s="1586"/>
      <c r="E139" s="1546"/>
      <c r="F139" s="902"/>
      <c r="G139" s="903"/>
      <c r="H139" s="903"/>
      <c r="I139" s="903"/>
      <c r="J139" s="903"/>
      <c r="K139" s="903"/>
      <c r="L139" s="904"/>
    </row>
    <row r="140" spans="1:12" s="887" customFormat="1" ht="15" customHeight="1">
      <c r="A140" s="1567"/>
      <c r="B140" s="2766" t="s">
        <v>489</v>
      </c>
      <c r="C140" s="1537" t="s">
        <v>2820</v>
      </c>
      <c r="D140" s="1586"/>
      <c r="E140" s="1546">
        <f>+E123</f>
        <v>0.02</v>
      </c>
      <c r="F140" s="902">
        <f>INT(F123*E140)</f>
        <v>0</v>
      </c>
      <c r="G140" s="903">
        <f>F140-SUM(H140:L140)</f>
        <v>0</v>
      </c>
      <c r="H140" s="903">
        <f t="shared" ref="H140:L142" si="69">IF(H123=0,0,ROUND($F140/$F123*H123,0))</f>
        <v>0</v>
      </c>
      <c r="I140" s="903">
        <f t="shared" si="69"/>
        <v>0</v>
      </c>
      <c r="J140" s="903">
        <f t="shared" si="69"/>
        <v>0</v>
      </c>
      <c r="K140" s="903">
        <f t="shared" si="69"/>
        <v>0</v>
      </c>
      <c r="L140" s="904">
        <f t="shared" si="69"/>
        <v>0</v>
      </c>
    </row>
    <row r="141" spans="1:12" s="887" customFormat="1" ht="15" customHeight="1">
      <c r="A141" s="1567"/>
      <c r="B141" s="2764"/>
      <c r="C141" s="1547" t="s">
        <v>2821</v>
      </c>
      <c r="D141" s="1586"/>
      <c r="E141" s="1546">
        <f>+E124</f>
        <v>0.02</v>
      </c>
      <c r="F141" s="902">
        <f>INT(F124*E141)</f>
        <v>0</v>
      </c>
      <c r="G141" s="903">
        <f>F141-SUM(H141:L141)</f>
        <v>0</v>
      </c>
      <c r="H141" s="903">
        <f t="shared" si="69"/>
        <v>0</v>
      </c>
      <c r="I141" s="903">
        <f t="shared" si="69"/>
        <v>0</v>
      </c>
      <c r="J141" s="903">
        <f t="shared" si="69"/>
        <v>0</v>
      </c>
      <c r="K141" s="903">
        <f t="shared" si="69"/>
        <v>0</v>
      </c>
      <c r="L141" s="904">
        <f t="shared" si="69"/>
        <v>0</v>
      </c>
    </row>
    <row r="142" spans="1:12" s="887" customFormat="1" ht="15" customHeight="1">
      <c r="A142" s="1567"/>
      <c r="B142" s="2767"/>
      <c r="C142" s="1547" t="s">
        <v>2822</v>
      </c>
      <c r="D142" s="1586"/>
      <c r="E142" s="1546">
        <f>+E125</f>
        <v>0.02</v>
      </c>
      <c r="F142" s="902">
        <f>INT(F125*E142)</f>
        <v>0</v>
      </c>
      <c r="G142" s="903">
        <f>F142-SUM(H142:L142)</f>
        <v>0</v>
      </c>
      <c r="H142" s="903">
        <f t="shared" si="69"/>
        <v>0</v>
      </c>
      <c r="I142" s="903">
        <f t="shared" si="69"/>
        <v>0</v>
      </c>
      <c r="J142" s="903">
        <f t="shared" si="69"/>
        <v>0</v>
      </c>
      <c r="K142" s="903">
        <f t="shared" si="69"/>
        <v>0</v>
      </c>
      <c r="L142" s="904">
        <f t="shared" si="69"/>
        <v>0</v>
      </c>
    </row>
    <row r="143" spans="1:12" s="887" customFormat="1" ht="14.25" customHeight="1">
      <c r="A143" s="1567"/>
      <c r="B143" s="1589" t="s">
        <v>2582</v>
      </c>
      <c r="C143" s="1590" t="s">
        <v>2823</v>
      </c>
      <c r="D143" s="1591"/>
      <c r="E143" s="1546"/>
      <c r="F143" s="902">
        <f>SUM(G143:M143)</f>
        <v>0</v>
      </c>
      <c r="G143" s="1388"/>
      <c r="H143" s="1388"/>
      <c r="I143" s="1388"/>
      <c r="J143" s="1388"/>
      <c r="K143" s="1388"/>
      <c r="L143" s="1389"/>
    </row>
    <row r="144" spans="1:12" s="887" customFormat="1" ht="14.25" customHeight="1">
      <c r="A144" s="1567"/>
      <c r="B144" s="1592" t="s">
        <v>2584</v>
      </c>
      <c r="C144" s="1593" t="s">
        <v>2824</v>
      </c>
      <c r="D144" s="1591"/>
      <c r="E144" s="1546"/>
      <c r="F144" s="902"/>
      <c r="G144" s="903"/>
      <c r="H144" s="903"/>
      <c r="I144" s="903"/>
      <c r="J144" s="903"/>
      <c r="K144" s="903"/>
      <c r="L144" s="904"/>
    </row>
    <row r="145" spans="1:12" s="887" customFormat="1" ht="15" customHeight="1">
      <c r="A145" s="1567"/>
      <c r="B145" s="1594" t="s">
        <v>2652</v>
      </c>
      <c r="C145" s="1595" t="s">
        <v>2825</v>
      </c>
      <c r="D145" s="1596"/>
      <c r="E145" s="1597">
        <f>+E126</f>
        <v>0</v>
      </c>
      <c r="F145" s="902">
        <f>INT(F126*E145)</f>
        <v>0</v>
      </c>
      <c r="G145" s="903">
        <f>F145-SUM(H145:L145)</f>
        <v>0</v>
      </c>
      <c r="H145" s="903">
        <f>IF(H126=0,0,ROUND($F145/$F126*H126,0))</f>
        <v>0</v>
      </c>
      <c r="I145" s="903">
        <f>IF(I126=0,0,ROUND($F145/$F126*I126,0))</f>
        <v>0</v>
      </c>
      <c r="J145" s="903">
        <f>IF(J126=0,0,ROUND($F145/$F126*J126,0))</f>
        <v>0</v>
      </c>
      <c r="K145" s="903">
        <f>IF(K126=0,0,ROUND($F145/$F126*K126,0))</f>
        <v>0</v>
      </c>
      <c r="L145" s="904">
        <f>IF(L126=0,0,ROUND($F145/$F126*L126,0))</f>
        <v>0</v>
      </c>
    </row>
    <row r="146" spans="1:12" s="887" customFormat="1" ht="15" customHeight="1" thickBot="1">
      <c r="A146" s="1598"/>
      <c r="B146" s="1599"/>
      <c r="C146" s="1600"/>
      <c r="D146" s="1601"/>
      <c r="E146" s="1597"/>
      <c r="F146" s="1135"/>
      <c r="G146" s="903"/>
      <c r="H146" s="1219"/>
      <c r="I146" s="1219"/>
      <c r="J146" s="1219"/>
      <c r="K146" s="1219"/>
      <c r="L146" s="1220"/>
    </row>
    <row r="147" spans="1:12" s="887" customFormat="1" ht="15" customHeight="1" thickTop="1">
      <c r="A147" s="1602"/>
      <c r="B147" s="1603"/>
      <c r="C147" s="1604" t="s">
        <v>2677</v>
      </c>
      <c r="D147" s="1605"/>
      <c r="E147" s="1606"/>
      <c r="F147" s="1160">
        <f>SUM(F128:F146)</f>
        <v>686756</v>
      </c>
      <c r="G147" s="1160">
        <f t="shared" ref="G147:L147" si="70">SUM(G131:G146)+G129</f>
        <v>686756</v>
      </c>
      <c r="H147" s="1160">
        <f t="shared" si="70"/>
        <v>0</v>
      </c>
      <c r="I147" s="1160">
        <f t="shared" si="70"/>
        <v>0</v>
      </c>
      <c r="J147" s="1160">
        <f t="shared" si="70"/>
        <v>0</v>
      </c>
      <c r="K147" s="1160">
        <f t="shared" si="70"/>
        <v>0</v>
      </c>
      <c r="L147" s="1161">
        <f t="shared" si="70"/>
        <v>0</v>
      </c>
    </row>
    <row r="148" spans="1:12" s="887" customFormat="1" ht="15" customHeight="1">
      <c r="A148" s="1607"/>
      <c r="B148" s="1608"/>
      <c r="C148" s="1609" t="s">
        <v>2678</v>
      </c>
      <c r="D148" s="1610"/>
      <c r="E148" s="1611"/>
      <c r="F148" s="937">
        <f>SUM(G148:L148)</f>
        <v>5765444</v>
      </c>
      <c r="G148" s="1064">
        <f t="shared" ref="G148:L148" si="71">+G71+G147</f>
        <v>5765444</v>
      </c>
      <c r="H148" s="1064">
        <f t="shared" si="71"/>
        <v>0</v>
      </c>
      <c r="I148" s="1064">
        <f t="shared" si="71"/>
        <v>0</v>
      </c>
      <c r="J148" s="1064">
        <f t="shared" si="71"/>
        <v>0</v>
      </c>
      <c r="K148" s="1064">
        <f t="shared" si="71"/>
        <v>0</v>
      </c>
      <c r="L148" s="1065">
        <f t="shared" si="71"/>
        <v>0</v>
      </c>
    </row>
    <row r="149" spans="1:12" s="887" customFormat="1" ht="15" customHeight="1">
      <c r="A149" s="1034"/>
      <c r="B149" s="1034"/>
      <c r="C149" s="1554" t="s">
        <v>2679</v>
      </c>
      <c r="D149" s="808"/>
      <c r="E149" s="1033"/>
      <c r="F149" s="1033"/>
      <c r="G149" s="1091"/>
      <c r="H149" s="1037"/>
      <c r="I149" s="1037"/>
      <c r="J149" s="1037"/>
      <c r="K149" s="1037"/>
      <c r="L149" s="1091" t="s">
        <v>2826</v>
      </c>
    </row>
    <row r="150" spans="1:12" s="887" customFormat="1" ht="15" customHeight="1">
      <c r="A150" s="1034"/>
      <c r="B150" s="1034"/>
      <c r="C150" s="1034"/>
      <c r="D150" s="1034"/>
      <c r="E150" s="1034"/>
      <c r="F150" s="1034"/>
      <c r="G150" s="1037"/>
      <c r="H150" s="1037"/>
      <c r="I150" s="1037"/>
      <c r="J150" s="1037"/>
      <c r="K150" s="1037"/>
      <c r="L150" s="1037"/>
    </row>
    <row r="151" spans="1:12" s="887" customFormat="1" ht="15" customHeight="1">
      <c r="A151" s="2768"/>
      <c r="B151" s="2769"/>
      <c r="C151" s="2769"/>
      <c r="D151" s="1612"/>
      <c r="E151" s="1083" t="s">
        <v>2681</v>
      </c>
      <c r="F151" s="1083" t="s">
        <v>2526</v>
      </c>
      <c r="G151" s="1084" t="str">
        <f t="shared" ref="G151:L151" si="72">+G66</f>
        <v>●●工事</v>
      </c>
      <c r="H151" s="1084">
        <f t="shared" si="72"/>
        <v>0</v>
      </c>
      <c r="I151" s="1084">
        <f t="shared" si="72"/>
        <v>0</v>
      </c>
      <c r="J151" s="1084">
        <f t="shared" si="72"/>
        <v>0</v>
      </c>
      <c r="K151" s="1084">
        <f t="shared" si="72"/>
        <v>0</v>
      </c>
      <c r="L151" s="1085">
        <f t="shared" si="72"/>
        <v>0</v>
      </c>
    </row>
    <row r="152" spans="1:12" s="887" customFormat="1" ht="15" customHeight="1">
      <c r="A152" s="2770"/>
      <c r="B152" s="2771"/>
      <c r="C152" s="2771"/>
      <c r="D152" s="1167"/>
      <c r="E152" s="924"/>
      <c r="F152" s="1613"/>
      <c r="G152" s="1169"/>
      <c r="H152" s="1169"/>
      <c r="I152" s="1169"/>
      <c r="J152" s="1169"/>
      <c r="K152" s="1169"/>
      <c r="L152" s="1170"/>
    </row>
    <row r="153" spans="1:12" s="887" customFormat="1" ht="15" customHeight="1">
      <c r="A153" s="1614"/>
      <c r="B153" s="1615"/>
      <c r="C153" s="1616" t="s">
        <v>2827</v>
      </c>
      <c r="D153" s="1617"/>
      <c r="E153" s="1618"/>
      <c r="F153" s="898">
        <f t="shared" ref="F153:L153" si="73">+F148</f>
        <v>5765444</v>
      </c>
      <c r="G153" s="898">
        <f>+G148</f>
        <v>5765444</v>
      </c>
      <c r="H153" s="898">
        <f>+H148</f>
        <v>0</v>
      </c>
      <c r="I153" s="898">
        <f t="shared" si="73"/>
        <v>0</v>
      </c>
      <c r="J153" s="898">
        <f t="shared" si="73"/>
        <v>0</v>
      </c>
      <c r="K153" s="898">
        <f t="shared" si="73"/>
        <v>0</v>
      </c>
      <c r="L153" s="1178">
        <f t="shared" si="73"/>
        <v>0</v>
      </c>
    </row>
    <row r="154" spans="1:12" s="887" customFormat="1" ht="15" customHeight="1">
      <c r="A154" s="1619"/>
      <c r="B154" s="1620"/>
      <c r="C154" s="1621"/>
      <c r="D154" s="1622"/>
      <c r="E154" s="1623" t="s">
        <v>2828</v>
      </c>
      <c r="F154" s="902">
        <f>SUM(G154:L154)</f>
        <v>1226100</v>
      </c>
      <c r="G154" s="903">
        <f t="shared" ref="G154:L154" si="74">G112+SUM(G140:G145)+G105+G106+G131</f>
        <v>1226100</v>
      </c>
      <c r="H154" s="903">
        <f t="shared" si="74"/>
        <v>0</v>
      </c>
      <c r="I154" s="903">
        <f t="shared" si="74"/>
        <v>0</v>
      </c>
      <c r="J154" s="903">
        <f t="shared" si="74"/>
        <v>0</v>
      </c>
      <c r="K154" s="903">
        <f t="shared" si="74"/>
        <v>0</v>
      </c>
      <c r="L154" s="904">
        <f t="shared" si="74"/>
        <v>0</v>
      </c>
    </row>
    <row r="155" spans="1:12" s="887" customFormat="1" ht="15" customHeight="1">
      <c r="A155" s="1607"/>
      <c r="B155" s="1608"/>
      <c r="C155" s="1624"/>
      <c r="D155" s="1610"/>
      <c r="E155" s="1625"/>
      <c r="F155" s="937"/>
      <c r="G155" s="1064"/>
      <c r="H155" s="1064"/>
      <c r="I155" s="1064"/>
      <c r="J155" s="1064"/>
      <c r="K155" s="1064"/>
      <c r="L155" s="1065"/>
    </row>
    <row r="156" spans="1:12" s="887" customFormat="1" ht="15" customHeight="1">
      <c r="A156" s="1556"/>
      <c r="B156" s="1557"/>
      <c r="C156" s="1557"/>
      <c r="D156" s="1626"/>
      <c r="E156" s="1618" t="str">
        <f>E66</f>
        <v>無し</v>
      </c>
      <c r="F156" s="2776" t="s">
        <v>2685</v>
      </c>
      <c r="G156" s="2776"/>
      <c r="H156" s="1068"/>
      <c r="I156" s="1068"/>
      <c r="J156" s="1068"/>
      <c r="K156" s="1068"/>
      <c r="L156" s="1069"/>
    </row>
    <row r="157" spans="1:12" s="887" customFormat="1" ht="15" customHeight="1">
      <c r="A157" s="2774" t="s">
        <v>2686</v>
      </c>
      <c r="B157" s="2774"/>
      <c r="C157" s="2777"/>
      <c r="D157" s="1627"/>
      <c r="E157" s="1625" t="str">
        <f>+E67</f>
        <v>有り</v>
      </c>
      <c r="F157" s="2778" t="s">
        <v>2687</v>
      </c>
      <c r="G157" s="2778"/>
      <c r="H157" s="1064"/>
      <c r="I157" s="1064"/>
      <c r="J157" s="1064"/>
      <c r="K157" s="1064"/>
      <c r="L157" s="1065"/>
    </row>
    <row r="158" spans="1:12" s="887" customFormat="1" ht="15" customHeight="1">
      <c r="A158" s="2772"/>
      <c r="B158" s="1628" t="s">
        <v>163</v>
      </c>
      <c r="C158" s="1629" t="s">
        <v>2829</v>
      </c>
      <c r="D158" s="1630"/>
      <c r="E158" s="1631">
        <f>G207/100</f>
        <v>0.1724</v>
      </c>
      <c r="F158" s="898">
        <f>SUM(G158:L158)</f>
        <v>1226100</v>
      </c>
      <c r="G158" s="1068">
        <f t="shared" ref="G158:L158" si="75">+G153-SUM(G162:G163)</f>
        <v>1226100</v>
      </c>
      <c r="H158" s="1068">
        <f t="shared" si="75"/>
        <v>0</v>
      </c>
      <c r="I158" s="1068">
        <f t="shared" si="75"/>
        <v>0</v>
      </c>
      <c r="J158" s="1068">
        <f t="shared" si="75"/>
        <v>0</v>
      </c>
      <c r="K158" s="1068">
        <f t="shared" si="75"/>
        <v>0</v>
      </c>
      <c r="L158" s="1069">
        <f t="shared" si="75"/>
        <v>0</v>
      </c>
    </row>
    <row r="159" spans="1:12" s="887" customFormat="1" ht="15" customHeight="1">
      <c r="A159" s="2773"/>
      <c r="B159" s="2761" t="s">
        <v>2689</v>
      </c>
      <c r="C159" s="1632" t="s">
        <v>2690</v>
      </c>
      <c r="D159" s="1591"/>
      <c r="E159" s="1633">
        <f>IF(E156="無し",0.05,0)</f>
        <v>0.05</v>
      </c>
      <c r="F159" s="902">
        <f>SUM(G159:L159)</f>
        <v>672035</v>
      </c>
      <c r="G159" s="903">
        <f t="shared" ref="G159:L159" si="76">+G168+SUM(G172:G175)</f>
        <v>672035</v>
      </c>
      <c r="H159" s="903">
        <f>+H168+SUM(H172:H175)</f>
        <v>0</v>
      </c>
      <c r="I159" s="903">
        <f t="shared" si="76"/>
        <v>0</v>
      </c>
      <c r="J159" s="903">
        <f t="shared" si="76"/>
        <v>0</v>
      </c>
      <c r="K159" s="903">
        <f t="shared" si="76"/>
        <v>0</v>
      </c>
      <c r="L159" s="904">
        <f t="shared" si="76"/>
        <v>0</v>
      </c>
    </row>
    <row r="160" spans="1:12" s="887" customFormat="1" ht="15" customHeight="1">
      <c r="A160" s="2773"/>
      <c r="B160" s="2761"/>
      <c r="C160" s="1632" t="s">
        <v>2691</v>
      </c>
      <c r="D160" s="1634"/>
      <c r="E160" s="1546">
        <f>IF(E157="無し",0,0.0004)</f>
        <v>4.0000000000000002E-4</v>
      </c>
      <c r="F160" s="902">
        <f>SUM(G160:L160)</f>
        <v>5765444</v>
      </c>
      <c r="G160" s="903">
        <f t="shared" ref="G160:L160" si="77">+G153</f>
        <v>5765444</v>
      </c>
      <c r="H160" s="903">
        <f>+H153</f>
        <v>0</v>
      </c>
      <c r="I160" s="903">
        <f t="shared" si="77"/>
        <v>0</v>
      </c>
      <c r="J160" s="903">
        <f t="shared" si="77"/>
        <v>0</v>
      </c>
      <c r="K160" s="903">
        <f t="shared" si="77"/>
        <v>0</v>
      </c>
      <c r="L160" s="904">
        <f t="shared" si="77"/>
        <v>0</v>
      </c>
    </row>
    <row r="161" spans="1:12" s="887" customFormat="1" ht="15" customHeight="1">
      <c r="A161" s="2773"/>
      <c r="B161" s="2759" t="s">
        <v>2830</v>
      </c>
      <c r="C161" s="1632"/>
      <c r="D161" s="1635"/>
      <c r="E161" s="1635"/>
      <c r="F161" s="902"/>
      <c r="G161" s="903"/>
      <c r="H161" s="903"/>
      <c r="I161" s="903"/>
      <c r="J161" s="903"/>
      <c r="K161" s="903"/>
      <c r="L161" s="904"/>
    </row>
    <row r="162" spans="1:12" s="887" customFormat="1" ht="15" customHeight="1">
      <c r="A162" s="2773"/>
      <c r="B162" s="2760"/>
      <c r="C162" s="1636" t="s">
        <v>2831</v>
      </c>
      <c r="D162" s="1635"/>
      <c r="E162" s="1635"/>
      <c r="F162" s="902">
        <f>SUM(G162:L162)</f>
        <v>4539344</v>
      </c>
      <c r="G162" s="903">
        <f t="shared" ref="G162:L162" si="78">+SUM(G115:G122,G132:G139)</f>
        <v>4539344</v>
      </c>
      <c r="H162" s="903">
        <f t="shared" si="78"/>
        <v>0</v>
      </c>
      <c r="I162" s="903">
        <f t="shared" si="78"/>
        <v>0</v>
      </c>
      <c r="J162" s="903">
        <f t="shared" si="78"/>
        <v>0</v>
      </c>
      <c r="K162" s="903">
        <f t="shared" si="78"/>
        <v>0</v>
      </c>
      <c r="L162" s="904">
        <f t="shared" si="78"/>
        <v>0</v>
      </c>
    </row>
    <row r="163" spans="1:12" s="887" customFormat="1" ht="15" customHeight="1">
      <c r="A163" s="2773"/>
      <c r="B163" s="2761" t="s">
        <v>2692</v>
      </c>
      <c r="C163" s="1195" t="s">
        <v>2832</v>
      </c>
      <c r="D163" s="1637"/>
      <c r="E163" s="1588">
        <v>0</v>
      </c>
      <c r="F163" s="902">
        <f>SUM(G163:L163)</f>
        <v>0</v>
      </c>
      <c r="G163" s="903">
        <f t="shared" ref="G163:L163" si="79">+G107</f>
        <v>0</v>
      </c>
      <c r="H163" s="903">
        <f t="shared" si="79"/>
        <v>0</v>
      </c>
      <c r="I163" s="903">
        <f t="shared" si="79"/>
        <v>0</v>
      </c>
      <c r="J163" s="903">
        <f t="shared" si="79"/>
        <v>0</v>
      </c>
      <c r="K163" s="903">
        <f t="shared" si="79"/>
        <v>0</v>
      </c>
      <c r="L163" s="904">
        <f t="shared" si="79"/>
        <v>0</v>
      </c>
    </row>
    <row r="164" spans="1:12" s="887" customFormat="1" ht="15" customHeight="1">
      <c r="A164" s="2773"/>
      <c r="B164" s="2761"/>
      <c r="C164" s="1622"/>
      <c r="D164" s="1638"/>
      <c r="E164" s="1588"/>
      <c r="F164" s="902"/>
      <c r="G164" s="903"/>
      <c r="H164" s="903"/>
      <c r="I164" s="903"/>
      <c r="J164" s="903"/>
      <c r="K164" s="903"/>
      <c r="L164" s="904"/>
    </row>
    <row r="165" spans="1:12" s="887" customFormat="1" ht="15" customHeight="1">
      <c r="A165" s="2773"/>
      <c r="B165" s="2759"/>
      <c r="C165" s="1639"/>
      <c r="D165" s="1640"/>
      <c r="E165" s="1641"/>
      <c r="F165" s="937"/>
      <c r="G165" s="1064"/>
      <c r="H165" s="1064"/>
      <c r="I165" s="1064"/>
      <c r="J165" s="1064"/>
      <c r="K165" s="1064"/>
      <c r="L165" s="1065"/>
    </row>
    <row r="166" spans="1:12" s="887" customFormat="1" ht="15" customHeight="1">
      <c r="A166" s="1556"/>
      <c r="B166" s="1557"/>
      <c r="C166" s="1642"/>
      <c r="D166" s="1643"/>
      <c r="E166" s="1644"/>
      <c r="F166" s="898"/>
      <c r="G166" s="1068"/>
      <c r="H166" s="1068"/>
      <c r="I166" s="1068"/>
      <c r="J166" s="1068"/>
      <c r="K166" s="1068"/>
      <c r="L166" s="1069"/>
    </row>
    <row r="167" spans="1:12" s="887" customFormat="1" ht="15" customHeight="1">
      <c r="A167" s="2774" t="s">
        <v>2693</v>
      </c>
      <c r="B167" s="2774"/>
      <c r="C167" s="2775"/>
      <c r="D167" s="1645"/>
      <c r="E167" s="1646"/>
      <c r="F167" s="937"/>
      <c r="G167" s="1064"/>
      <c r="H167" s="1064"/>
      <c r="I167" s="1064"/>
      <c r="J167" s="1064"/>
      <c r="K167" s="1064"/>
      <c r="L167" s="1065"/>
    </row>
    <row r="168" spans="1:12" s="887" customFormat="1" ht="15" customHeight="1">
      <c r="A168" s="1647"/>
      <c r="B168" s="1048" t="s">
        <v>163</v>
      </c>
      <c r="C168" s="1648" t="s">
        <v>2833</v>
      </c>
      <c r="D168" s="1630"/>
      <c r="E168" s="1649">
        <f>+E158</f>
        <v>0.1724</v>
      </c>
      <c r="F168" s="898">
        <f>INT(F158*E168)</f>
        <v>211379</v>
      </c>
      <c r="G168" s="1068">
        <f>F168-SUM(H168:L168)</f>
        <v>211379</v>
      </c>
      <c r="H168" s="1068">
        <f t="shared" ref="H168:L170" si="80">IF(H158=0,0,ROUND($F168/$F158*H158,0))</f>
        <v>0</v>
      </c>
      <c r="I168" s="1068">
        <f t="shared" si="80"/>
        <v>0</v>
      </c>
      <c r="J168" s="1068">
        <f t="shared" si="80"/>
        <v>0</v>
      </c>
      <c r="K168" s="1068">
        <f t="shared" si="80"/>
        <v>0</v>
      </c>
      <c r="L168" s="1069">
        <f t="shared" si="80"/>
        <v>0</v>
      </c>
    </row>
    <row r="169" spans="1:12" s="887" customFormat="1" ht="15" customHeight="1">
      <c r="A169" s="1647"/>
      <c r="B169" s="2761" t="s">
        <v>2689</v>
      </c>
      <c r="C169" s="1632" t="s">
        <v>2690</v>
      </c>
      <c r="D169" s="1637"/>
      <c r="E169" s="1546">
        <f>+E159</f>
        <v>0.05</v>
      </c>
      <c r="F169" s="902">
        <f>INT(F159*E169)</f>
        <v>33601</v>
      </c>
      <c r="G169" s="903">
        <f>F169-SUM(H169:L169)</f>
        <v>33601</v>
      </c>
      <c r="H169" s="903">
        <f t="shared" si="80"/>
        <v>0</v>
      </c>
      <c r="I169" s="903">
        <f t="shared" si="80"/>
        <v>0</v>
      </c>
      <c r="J169" s="903">
        <f t="shared" si="80"/>
        <v>0</v>
      </c>
      <c r="K169" s="903">
        <f t="shared" si="80"/>
        <v>0</v>
      </c>
      <c r="L169" s="904">
        <f t="shared" si="80"/>
        <v>0</v>
      </c>
    </row>
    <row r="170" spans="1:12" s="887" customFormat="1" ht="15" customHeight="1">
      <c r="A170" s="1647"/>
      <c r="B170" s="2761"/>
      <c r="C170" s="1632" t="s">
        <v>2691</v>
      </c>
      <c r="D170" s="1637"/>
      <c r="E170" s="1546">
        <f>+E160</f>
        <v>4.0000000000000002E-4</v>
      </c>
      <c r="F170" s="902">
        <f>INT(F160*E170)</f>
        <v>2306</v>
      </c>
      <c r="G170" s="903">
        <f>F170-SUM(H170:L170)</f>
        <v>2306</v>
      </c>
      <c r="H170" s="903">
        <f t="shared" si="80"/>
        <v>0</v>
      </c>
      <c r="I170" s="903">
        <f t="shared" si="80"/>
        <v>0</v>
      </c>
      <c r="J170" s="903">
        <f t="shared" si="80"/>
        <v>0</v>
      </c>
      <c r="K170" s="903">
        <f t="shared" si="80"/>
        <v>0</v>
      </c>
      <c r="L170" s="904">
        <f t="shared" si="80"/>
        <v>0</v>
      </c>
    </row>
    <row r="171" spans="1:12" s="887" customFormat="1" ht="15" customHeight="1">
      <c r="A171" s="1647"/>
      <c r="B171" s="2759" t="s">
        <v>2830</v>
      </c>
      <c r="C171" s="1632"/>
      <c r="D171" s="1635"/>
      <c r="E171" s="1650" t="s">
        <v>2834</v>
      </c>
      <c r="F171" s="902"/>
      <c r="G171" s="903"/>
      <c r="H171" s="903"/>
      <c r="I171" s="903"/>
      <c r="J171" s="903"/>
      <c r="K171" s="903"/>
      <c r="L171" s="904"/>
    </row>
    <row r="172" spans="1:12" s="887" customFormat="1" ht="15" customHeight="1">
      <c r="A172" s="1647"/>
      <c r="B172" s="2760"/>
      <c r="C172" s="1636" t="s">
        <v>2835</v>
      </c>
      <c r="D172" s="1635"/>
      <c r="E172" s="1635"/>
      <c r="F172" s="902">
        <f>SUM(G172:L172)</f>
        <v>460656</v>
      </c>
      <c r="G172" s="903">
        <f t="shared" ref="G172:L172" si="81">SUM(G90:G97)-SUM(G115:G122)-SUM(G132:G139)</f>
        <v>460656</v>
      </c>
      <c r="H172" s="903">
        <f t="shared" si="81"/>
        <v>0</v>
      </c>
      <c r="I172" s="903">
        <f t="shared" si="81"/>
        <v>0</v>
      </c>
      <c r="J172" s="903">
        <f t="shared" si="81"/>
        <v>0</v>
      </c>
      <c r="K172" s="903">
        <f t="shared" si="81"/>
        <v>0</v>
      </c>
      <c r="L172" s="904">
        <f t="shared" si="81"/>
        <v>0</v>
      </c>
    </row>
    <row r="173" spans="1:12" s="887" customFormat="1" ht="15" customHeight="1">
      <c r="A173" s="1647"/>
      <c r="B173" s="2761" t="s">
        <v>2692</v>
      </c>
      <c r="C173" s="1195" t="s">
        <v>2832</v>
      </c>
      <c r="D173" s="1637"/>
      <c r="E173" s="1546">
        <f>+E163</f>
        <v>0</v>
      </c>
      <c r="F173" s="902">
        <f>SUM(G173:L173)</f>
        <v>0</v>
      </c>
      <c r="G173" s="903">
        <f t="shared" ref="G173:L173" si="82">ROUNDDOWN($E173*$D173*G163,0)</f>
        <v>0</v>
      </c>
      <c r="H173" s="903">
        <f t="shared" si="82"/>
        <v>0</v>
      </c>
      <c r="I173" s="903">
        <f t="shared" si="82"/>
        <v>0</v>
      </c>
      <c r="J173" s="903">
        <f t="shared" si="82"/>
        <v>0</v>
      </c>
      <c r="K173" s="903">
        <f t="shared" si="82"/>
        <v>0</v>
      </c>
      <c r="L173" s="904">
        <f t="shared" si="82"/>
        <v>0</v>
      </c>
    </row>
    <row r="174" spans="1:12" s="887" customFormat="1" ht="15" customHeight="1">
      <c r="A174" s="1647"/>
      <c r="B174" s="2761"/>
      <c r="C174" s="1622"/>
      <c r="D174" s="1638"/>
      <c r="E174" s="1635">
        <f>+G165</f>
        <v>0</v>
      </c>
      <c r="F174" s="902"/>
      <c r="G174" s="903"/>
      <c r="H174" s="903"/>
      <c r="I174" s="903"/>
      <c r="J174" s="903"/>
      <c r="K174" s="903"/>
      <c r="L174" s="904"/>
    </row>
    <row r="175" spans="1:12" s="887" customFormat="1" ht="15" customHeight="1">
      <c r="A175" s="1651"/>
      <c r="B175" s="2762"/>
      <c r="C175" s="1610"/>
      <c r="D175" s="1640"/>
      <c r="E175" s="1646">
        <f>+G166</f>
        <v>0</v>
      </c>
      <c r="F175" s="937"/>
      <c r="G175" s="1064"/>
      <c r="H175" s="1064"/>
      <c r="I175" s="1064"/>
      <c r="J175" s="1064"/>
      <c r="K175" s="1064"/>
      <c r="L175" s="1065"/>
    </row>
    <row r="176" spans="1:12" s="887" customFormat="1" ht="15" customHeight="1">
      <c r="A176" s="1614"/>
      <c r="B176" s="1615"/>
      <c r="C176" s="1615"/>
      <c r="D176" s="1652"/>
      <c r="E176" s="1652"/>
      <c r="F176" s="898"/>
      <c r="G176" s="1068"/>
      <c r="H176" s="1068"/>
      <c r="I176" s="1068"/>
      <c r="J176" s="1068"/>
      <c r="K176" s="1068"/>
      <c r="L176" s="1069"/>
    </row>
    <row r="177" spans="1:12" s="887" customFormat="1" ht="15" customHeight="1">
      <c r="A177" s="1619"/>
      <c r="B177" s="1620"/>
      <c r="C177" s="1653" t="s">
        <v>2697</v>
      </c>
      <c r="D177" s="1622"/>
      <c r="E177" s="1632"/>
      <c r="F177" s="902">
        <f>SUM(G177:L177)</f>
        <v>707942</v>
      </c>
      <c r="G177" s="903">
        <f t="shared" ref="G177:L177" si="83">SUM(G168:G175)</f>
        <v>707942</v>
      </c>
      <c r="H177" s="903">
        <f t="shared" si="83"/>
        <v>0</v>
      </c>
      <c r="I177" s="903">
        <f t="shared" si="83"/>
        <v>0</v>
      </c>
      <c r="J177" s="903">
        <f t="shared" si="83"/>
        <v>0</v>
      </c>
      <c r="K177" s="903">
        <f t="shared" si="83"/>
        <v>0</v>
      </c>
      <c r="L177" s="904">
        <f t="shared" si="83"/>
        <v>0</v>
      </c>
    </row>
    <row r="178" spans="1:12" s="887" customFormat="1" ht="15" customHeight="1">
      <c r="A178" s="1619"/>
      <c r="B178" s="1620"/>
      <c r="C178" s="1653" t="s">
        <v>2678</v>
      </c>
      <c r="D178" s="1622"/>
      <c r="E178" s="1632"/>
      <c r="F178" s="902">
        <f>SUM(G178:L178)</f>
        <v>5765444</v>
      </c>
      <c r="G178" s="903">
        <f t="shared" ref="G178:L178" si="84">+G153</f>
        <v>5765444</v>
      </c>
      <c r="H178" s="903">
        <f t="shared" si="84"/>
        <v>0</v>
      </c>
      <c r="I178" s="903">
        <f t="shared" si="84"/>
        <v>0</v>
      </c>
      <c r="J178" s="903">
        <f t="shared" si="84"/>
        <v>0</v>
      </c>
      <c r="K178" s="903">
        <f t="shared" si="84"/>
        <v>0</v>
      </c>
      <c r="L178" s="904">
        <f t="shared" si="84"/>
        <v>0</v>
      </c>
    </row>
    <row r="179" spans="1:12" s="887" customFormat="1" ht="15" customHeight="1" thickBot="1">
      <c r="A179" s="1654"/>
      <c r="B179" s="1655"/>
      <c r="C179" s="1656" t="s">
        <v>2698</v>
      </c>
      <c r="D179" s="1657"/>
      <c r="E179" s="1658"/>
      <c r="F179" s="1135">
        <f>SUM(G179:L179)</f>
        <v>6473386</v>
      </c>
      <c r="G179" s="1219">
        <f t="shared" ref="G179:L179" si="85">SUM(G177:G178)</f>
        <v>6473386</v>
      </c>
      <c r="H179" s="1219">
        <f t="shared" si="85"/>
        <v>0</v>
      </c>
      <c r="I179" s="1219">
        <f t="shared" si="85"/>
        <v>0</v>
      </c>
      <c r="J179" s="1219">
        <f t="shared" si="85"/>
        <v>0</v>
      </c>
      <c r="K179" s="1219">
        <f t="shared" si="85"/>
        <v>0</v>
      </c>
      <c r="L179" s="1220">
        <f t="shared" si="85"/>
        <v>0</v>
      </c>
    </row>
    <row r="180" spans="1:12" s="887" customFormat="1" ht="15" customHeight="1" thickTop="1">
      <c r="A180" s="1647"/>
      <c r="B180" s="1034"/>
      <c r="C180" s="1034"/>
      <c r="D180" s="1294"/>
      <c r="E180" s="1294"/>
      <c r="F180" s="917"/>
      <c r="G180" s="1066"/>
      <c r="H180" s="1066"/>
      <c r="I180" s="1066"/>
      <c r="J180" s="1066"/>
      <c r="K180" s="1066"/>
      <c r="L180" s="1659"/>
    </row>
    <row r="181" spans="1:12" s="887" customFormat="1" ht="15" customHeight="1">
      <c r="A181" s="1619"/>
      <c r="B181" s="1620"/>
      <c r="C181" s="1653" t="s">
        <v>2678</v>
      </c>
      <c r="D181" s="1622"/>
      <c r="E181" s="1632"/>
      <c r="F181" s="902">
        <f>SUM(G181:L181)</f>
        <v>5765444</v>
      </c>
      <c r="G181" s="903">
        <f t="shared" ref="G181:L181" si="86">+G178</f>
        <v>5765444</v>
      </c>
      <c r="H181" s="903">
        <f t="shared" si="86"/>
        <v>0</v>
      </c>
      <c r="I181" s="903">
        <f t="shared" si="86"/>
        <v>0</v>
      </c>
      <c r="J181" s="903">
        <f t="shared" si="86"/>
        <v>0</v>
      </c>
      <c r="K181" s="903">
        <f t="shared" si="86"/>
        <v>0</v>
      </c>
      <c r="L181" s="1660">
        <f t="shared" si="86"/>
        <v>0</v>
      </c>
    </row>
    <row r="182" spans="1:12" s="887" customFormat="1" ht="15" customHeight="1">
      <c r="A182" s="1619"/>
      <c r="B182" s="1620"/>
      <c r="C182" s="1653" t="s">
        <v>2699</v>
      </c>
      <c r="D182" s="1622"/>
      <c r="E182" s="1632"/>
      <c r="F182" s="902">
        <f>SUM(G182:L182)</f>
        <v>707556</v>
      </c>
      <c r="G182" s="903">
        <f t="shared" ref="G182:L182" si="87">+G177-(G179-G184)</f>
        <v>707556</v>
      </c>
      <c r="H182" s="903">
        <f t="shared" si="87"/>
        <v>0</v>
      </c>
      <c r="I182" s="903">
        <f t="shared" si="87"/>
        <v>0</v>
      </c>
      <c r="J182" s="903">
        <f t="shared" si="87"/>
        <v>0</v>
      </c>
      <c r="K182" s="903">
        <f t="shared" si="87"/>
        <v>0</v>
      </c>
      <c r="L182" s="1660">
        <f t="shared" si="87"/>
        <v>0</v>
      </c>
    </row>
    <row r="183" spans="1:12" s="887" customFormat="1" ht="15" customHeight="1">
      <c r="A183" s="1619"/>
      <c r="B183" s="1620"/>
      <c r="C183" s="1620"/>
      <c r="D183" s="1632"/>
      <c r="E183" s="1661">
        <f>F185+SUM(H184:L184)</f>
        <v>6473000</v>
      </c>
      <c r="F183" s="902" t="s">
        <v>2700</v>
      </c>
      <c r="G183" s="903">
        <f t="shared" ref="G183:L183" si="88">+G177-G182</f>
        <v>386</v>
      </c>
      <c r="H183" s="903">
        <f t="shared" si="88"/>
        <v>0</v>
      </c>
      <c r="I183" s="903">
        <f t="shared" si="88"/>
        <v>0</v>
      </c>
      <c r="J183" s="903">
        <f t="shared" si="88"/>
        <v>0</v>
      </c>
      <c r="K183" s="1224">
        <f t="shared" si="88"/>
        <v>0</v>
      </c>
      <c r="L183" s="1662">
        <f t="shared" si="88"/>
        <v>0</v>
      </c>
    </row>
    <row r="184" spans="1:12" s="887" customFormat="1" ht="15" customHeight="1">
      <c r="A184" s="1226"/>
      <c r="B184" s="1054"/>
      <c r="C184" s="1054" t="s">
        <v>2701</v>
      </c>
      <c r="D184" s="1227"/>
      <c r="E184" s="1661">
        <f>ROUNDDOWN(E183,4-LEN(E183))</f>
        <v>6473000</v>
      </c>
      <c r="F184" s="1228">
        <f>SUM(G184:L184)</f>
        <v>6473000</v>
      </c>
      <c r="G184" s="1224">
        <f>F185-E185</f>
        <v>6473000</v>
      </c>
      <c r="H184" s="1224">
        <f>ROUNDDOWN(H179,H185)</f>
        <v>0</v>
      </c>
      <c r="I184" s="1224">
        <f>ROUNDDOWN(I179,I185)</f>
        <v>0</v>
      </c>
      <c r="J184" s="1224">
        <f>ROUNDDOWN(J179,J185)</f>
        <v>0</v>
      </c>
      <c r="K184" s="1224">
        <f>ROUNDDOWN(K179,K185)</f>
        <v>0</v>
      </c>
      <c r="L184" s="1662">
        <f>ROUNDDOWN(L179,L185)</f>
        <v>0</v>
      </c>
    </row>
    <row r="185" spans="1:12" s="887" customFormat="1" ht="15" customHeight="1">
      <c r="A185" s="1229"/>
      <c r="B185" s="1230"/>
      <c r="C185" s="1230"/>
      <c r="D185" s="1231"/>
      <c r="E185" s="1233">
        <f>E183-E184</f>
        <v>0</v>
      </c>
      <c r="F185" s="1233">
        <f>ROUNDDOWN(G179,G185)</f>
        <v>6473000</v>
      </c>
      <c r="G185" s="1232">
        <f t="shared" ref="G185:L185" si="89">IF(LEN(G179)&lt;=7,-3,IF(LEN(G179)=8,-4,IF(LEN(G179)&gt;=9,-5,-6)))</f>
        <v>-3</v>
      </c>
      <c r="H185" s="1232">
        <f t="shared" si="89"/>
        <v>-3</v>
      </c>
      <c r="I185" s="1232">
        <f t="shared" si="89"/>
        <v>-3</v>
      </c>
      <c r="J185" s="1232">
        <f t="shared" si="89"/>
        <v>-3</v>
      </c>
      <c r="K185" s="1232">
        <f t="shared" si="89"/>
        <v>-3</v>
      </c>
      <c r="L185" s="1663">
        <f t="shared" si="89"/>
        <v>-3</v>
      </c>
    </row>
    <row r="186" spans="1:12" s="1278" customFormat="1" ht="13.5" customHeight="1">
      <c r="G186" s="1279"/>
      <c r="H186" s="1279"/>
      <c r="I186" s="1279"/>
      <c r="J186" s="1279"/>
      <c r="K186" s="1279"/>
      <c r="L186" s="1279"/>
    </row>
    <row r="187" spans="1:12" s="1278" customFormat="1" ht="13.5" hidden="1" customHeight="1">
      <c r="A187" s="1238"/>
      <c r="B187" s="1239"/>
      <c r="C187" s="1240" t="s">
        <v>2717</v>
      </c>
      <c r="D187" s="1241"/>
      <c r="E187" s="1239"/>
      <c r="F187" s="1242" t="s">
        <v>2703</v>
      </c>
      <c r="G187" s="1664">
        <f t="shared" ref="G187:L187" si="90">+G195</f>
        <v>3.5</v>
      </c>
      <c r="H187" s="1664">
        <f t="shared" si="90"/>
        <v>0</v>
      </c>
      <c r="I187" s="1664">
        <f t="shared" si="90"/>
        <v>0</v>
      </c>
      <c r="J187" s="1664">
        <f t="shared" si="90"/>
        <v>0</v>
      </c>
      <c r="K187" s="1664">
        <f t="shared" si="90"/>
        <v>0</v>
      </c>
      <c r="L187" s="1664">
        <f t="shared" si="90"/>
        <v>0</v>
      </c>
    </row>
    <row r="188" spans="1:12" s="1278" customFormat="1" ht="13.5" hidden="1" customHeight="1">
      <c r="A188" s="2645"/>
      <c r="B188" s="2648" t="s">
        <v>2704</v>
      </c>
      <c r="C188" s="1245" t="s">
        <v>2718</v>
      </c>
      <c r="D188" s="1054"/>
      <c r="E188" s="1246"/>
      <c r="F188" s="1247" t="s">
        <v>2723</v>
      </c>
      <c r="G188" s="1665">
        <f t="shared" ref="G188:L188" si="91">IF($F112&lt;=10000000,ROUND(151.08*((10000)^-0.3396)*(G187^0.586),2),ROUND(151.08*(($F112/1000)^-0.3396)*(G187^0.586),2))</f>
        <v>13.79</v>
      </c>
      <c r="H188" s="1665">
        <f t="shared" si="91"/>
        <v>0</v>
      </c>
      <c r="I188" s="1665">
        <f t="shared" si="91"/>
        <v>0</v>
      </c>
      <c r="J188" s="1665">
        <f t="shared" si="91"/>
        <v>0</v>
      </c>
      <c r="K188" s="1665">
        <f t="shared" si="91"/>
        <v>0</v>
      </c>
      <c r="L188" s="1665">
        <f t="shared" si="91"/>
        <v>0</v>
      </c>
    </row>
    <row r="189" spans="1:12" s="1278" customFormat="1" ht="13.5" hidden="1" customHeight="1">
      <c r="A189" s="2646"/>
      <c r="B189" s="2649"/>
      <c r="C189" s="2653" t="s">
        <v>2720</v>
      </c>
      <c r="D189" s="1124"/>
      <c r="E189" s="1249"/>
      <c r="F189" s="1247" t="s">
        <v>2708</v>
      </c>
      <c r="G189" s="1666">
        <f t="shared" ref="G189:L189" si="92">IF($F112&lt;=10000000,ROUND(20.13,2),0)</f>
        <v>20.13</v>
      </c>
      <c r="H189" s="1666">
        <f t="shared" si="92"/>
        <v>20.13</v>
      </c>
      <c r="I189" s="1666">
        <f t="shared" si="92"/>
        <v>20.13</v>
      </c>
      <c r="J189" s="1666">
        <f t="shared" si="92"/>
        <v>20.13</v>
      </c>
      <c r="K189" s="1666">
        <f t="shared" si="92"/>
        <v>20.13</v>
      </c>
      <c r="L189" s="1666">
        <f t="shared" si="92"/>
        <v>20.13</v>
      </c>
    </row>
    <row r="190" spans="1:12" s="1278" customFormat="1" ht="13.5" hidden="1" customHeight="1">
      <c r="A190" s="2646"/>
      <c r="B190" s="2649"/>
      <c r="C190" s="2758"/>
      <c r="D190" s="1251"/>
      <c r="E190" s="1252"/>
      <c r="F190" s="1247" t="s">
        <v>2709</v>
      </c>
      <c r="G190" s="1666">
        <f t="shared" ref="G190:L190" si="93">IF($F112&lt;=10000000,ROUND(10.01,2),0)</f>
        <v>10.01</v>
      </c>
      <c r="H190" s="1666">
        <f t="shared" si="93"/>
        <v>10.01</v>
      </c>
      <c r="I190" s="1666">
        <f t="shared" si="93"/>
        <v>10.01</v>
      </c>
      <c r="J190" s="1666">
        <f t="shared" si="93"/>
        <v>10.01</v>
      </c>
      <c r="K190" s="1666">
        <f t="shared" si="93"/>
        <v>10.01</v>
      </c>
      <c r="L190" s="1666">
        <f t="shared" si="93"/>
        <v>10.01</v>
      </c>
    </row>
    <row r="191" spans="1:12" s="1278" customFormat="1" ht="13.5" hidden="1" customHeight="1">
      <c r="A191" s="2646"/>
      <c r="B191" s="2649"/>
      <c r="C191" s="2653" t="s">
        <v>2721</v>
      </c>
      <c r="D191" s="1124"/>
      <c r="E191" s="1249"/>
      <c r="F191" s="1247" t="s">
        <v>2708</v>
      </c>
      <c r="G191" s="1667">
        <f t="shared" ref="G191:L191" si="94">IF($F112&gt;10000000,ROUND(75.97*($F112/1000)^-0.1442,2),0)</f>
        <v>0</v>
      </c>
      <c r="H191" s="1667">
        <f t="shared" si="94"/>
        <v>0</v>
      </c>
      <c r="I191" s="1667">
        <f t="shared" si="94"/>
        <v>0</v>
      </c>
      <c r="J191" s="1667">
        <f t="shared" si="94"/>
        <v>0</v>
      </c>
      <c r="K191" s="1667">
        <f t="shared" si="94"/>
        <v>0</v>
      </c>
      <c r="L191" s="1667">
        <f t="shared" si="94"/>
        <v>0</v>
      </c>
    </row>
    <row r="192" spans="1:12" s="1278" customFormat="1" ht="13.5" hidden="1" customHeight="1">
      <c r="A192" s="2647"/>
      <c r="B192" s="2650"/>
      <c r="C192" s="2758"/>
      <c r="D192" s="1251"/>
      <c r="E192" s="1252"/>
      <c r="F192" s="1247" t="s">
        <v>2709</v>
      </c>
      <c r="G192" s="1667">
        <f t="shared" ref="G192:L192" si="95">IF($F112&gt;10000000,ROUND(37.76*($F112/1000)^-0.1442,2),0)</f>
        <v>0</v>
      </c>
      <c r="H192" s="1667">
        <f t="shared" si="95"/>
        <v>0</v>
      </c>
      <c r="I192" s="1667">
        <f t="shared" si="95"/>
        <v>0</v>
      </c>
      <c r="J192" s="1667">
        <f t="shared" si="95"/>
        <v>0</v>
      </c>
      <c r="K192" s="1667">
        <f t="shared" si="95"/>
        <v>0</v>
      </c>
      <c r="L192" s="1667">
        <f t="shared" si="95"/>
        <v>0</v>
      </c>
    </row>
    <row r="193" spans="1:12" s="1278" customFormat="1" ht="13.5" hidden="1" customHeight="1" thickBot="1">
      <c r="A193" s="2755" t="s">
        <v>2722</v>
      </c>
      <c r="B193" s="2756"/>
      <c r="C193" s="2756"/>
      <c r="D193" s="2757"/>
      <c r="E193" s="1668"/>
      <c r="F193" s="1669"/>
      <c r="G193" s="1670">
        <f t="shared" ref="G193:L193" si="96">IF($F112&lt;=10000000,IF(G188&gt;G189,G189,IF(G188&lt;G190,G190,G188)),IF(G188&gt;G191,G191,IF(G188&lt;G192,G192,G188)))</f>
        <v>13.79</v>
      </c>
      <c r="H193" s="1670">
        <f t="shared" si="96"/>
        <v>10.01</v>
      </c>
      <c r="I193" s="1670">
        <f t="shared" si="96"/>
        <v>10.01</v>
      </c>
      <c r="J193" s="1670">
        <f t="shared" si="96"/>
        <v>10.01</v>
      </c>
      <c r="K193" s="1670">
        <f t="shared" si="96"/>
        <v>10.01</v>
      </c>
      <c r="L193" s="1670">
        <f t="shared" si="96"/>
        <v>10.01</v>
      </c>
    </row>
    <row r="194" spans="1:12" s="1278" customFormat="1" ht="13.5" hidden="1" customHeight="1" thickBot="1">
      <c r="A194" s="887"/>
      <c r="B194" s="887"/>
      <c r="C194" s="887"/>
      <c r="D194" s="887"/>
      <c r="E194" s="887"/>
      <c r="F194" s="887"/>
      <c r="G194" s="1255"/>
      <c r="H194" s="1255"/>
      <c r="I194" s="1255"/>
      <c r="J194" s="1255"/>
      <c r="K194" s="1255"/>
      <c r="L194" s="1255"/>
    </row>
    <row r="195" spans="1:12" s="1278" customFormat="1" ht="13.5" hidden="1" customHeight="1">
      <c r="A195" s="1238"/>
      <c r="B195" s="1239"/>
      <c r="C195" s="1240" t="s">
        <v>2717</v>
      </c>
      <c r="D195" s="1241"/>
      <c r="E195" s="1239"/>
      <c r="F195" s="1242" t="s">
        <v>2703</v>
      </c>
      <c r="G195" s="1664">
        <f t="shared" ref="G195:L195" si="97">+G65</f>
        <v>3.5</v>
      </c>
      <c r="H195" s="1664">
        <f t="shared" si="97"/>
        <v>0</v>
      </c>
      <c r="I195" s="1664">
        <f t="shared" si="97"/>
        <v>0</v>
      </c>
      <c r="J195" s="1664">
        <f t="shared" si="97"/>
        <v>0</v>
      </c>
      <c r="K195" s="1664">
        <f t="shared" si="97"/>
        <v>0</v>
      </c>
      <c r="L195" s="1664">
        <f t="shared" si="97"/>
        <v>0</v>
      </c>
    </row>
    <row r="196" spans="1:12" s="1278" customFormat="1" ht="13.5" hidden="1" customHeight="1">
      <c r="A196" s="2645"/>
      <c r="B196" s="2648" t="s">
        <v>2713</v>
      </c>
      <c r="C196" s="1245" t="s">
        <v>2718</v>
      </c>
      <c r="D196" s="1054"/>
      <c r="E196" s="1246"/>
      <c r="F196" s="1247" t="s">
        <v>2836</v>
      </c>
      <c r="G196" s="1665">
        <f t="shared" ref="G196:L196" si="98">IF($F112&lt;=5000000,ROUND(356.2*((5000)^-0.4085)*(G195^0.5766),2),ROUND(356.2*(($F112/1000)^-0.4085)*(G195^0.5766),2))</f>
        <v>22.61</v>
      </c>
      <c r="H196" s="1665">
        <f t="shared" si="98"/>
        <v>0</v>
      </c>
      <c r="I196" s="1665">
        <f t="shared" si="98"/>
        <v>0</v>
      </c>
      <c r="J196" s="1665">
        <f t="shared" si="98"/>
        <v>0</v>
      </c>
      <c r="K196" s="1665">
        <f t="shared" si="98"/>
        <v>0</v>
      </c>
      <c r="L196" s="1665">
        <f t="shared" si="98"/>
        <v>0</v>
      </c>
    </row>
    <row r="197" spans="1:12" s="1278" customFormat="1" ht="13.5" hidden="1" customHeight="1">
      <c r="A197" s="2646"/>
      <c r="B197" s="2649"/>
      <c r="C197" s="2653" t="s">
        <v>2724</v>
      </c>
      <c r="D197" s="1124"/>
      <c r="E197" s="1249"/>
      <c r="F197" s="1247" t="s">
        <v>2708</v>
      </c>
      <c r="G197" s="1666">
        <f t="shared" ref="G197:L197" si="99">IF($F112&lt;=5000000,ROUND(26.86,2),0)</f>
        <v>26.86</v>
      </c>
      <c r="H197" s="1666">
        <f t="shared" si="99"/>
        <v>26.86</v>
      </c>
      <c r="I197" s="1666">
        <f t="shared" si="99"/>
        <v>26.86</v>
      </c>
      <c r="J197" s="1666">
        <f t="shared" si="99"/>
        <v>26.86</v>
      </c>
      <c r="K197" s="1666">
        <f t="shared" si="99"/>
        <v>26.86</v>
      </c>
      <c r="L197" s="1666">
        <f t="shared" si="99"/>
        <v>26.86</v>
      </c>
    </row>
    <row r="198" spans="1:12" s="1278" customFormat="1" ht="13.5" hidden="1" customHeight="1">
      <c r="A198" s="2646"/>
      <c r="B198" s="2649"/>
      <c r="C198" s="2758"/>
      <c r="D198" s="1251"/>
      <c r="E198" s="1252"/>
      <c r="F198" s="1247" t="s">
        <v>2709</v>
      </c>
      <c r="G198" s="1666">
        <f t="shared" ref="G198:L198" si="100">IF($F112&lt;=5000000,ROUND(12.7,2),0)</f>
        <v>12.7</v>
      </c>
      <c r="H198" s="1666">
        <f t="shared" si="100"/>
        <v>12.7</v>
      </c>
      <c r="I198" s="1666">
        <f t="shared" si="100"/>
        <v>12.7</v>
      </c>
      <c r="J198" s="1666">
        <f t="shared" si="100"/>
        <v>12.7</v>
      </c>
      <c r="K198" s="1666">
        <f t="shared" si="100"/>
        <v>12.7</v>
      </c>
      <c r="L198" s="1666">
        <f t="shared" si="100"/>
        <v>12.7</v>
      </c>
    </row>
    <row r="199" spans="1:12" s="1278" customFormat="1" ht="13.5" hidden="1" customHeight="1">
      <c r="A199" s="2646"/>
      <c r="B199" s="2649"/>
      <c r="C199" s="2653" t="s">
        <v>2725</v>
      </c>
      <c r="D199" s="1124"/>
      <c r="E199" s="1249"/>
      <c r="F199" s="1247" t="s">
        <v>2708</v>
      </c>
      <c r="G199" s="1667">
        <f t="shared" ref="G199:L199" si="101">IF($F112&gt;5000000,ROUND(184.58*($F112/1000)^-0.2263,2),0)</f>
        <v>0</v>
      </c>
      <c r="H199" s="1667">
        <f t="shared" si="101"/>
        <v>0</v>
      </c>
      <c r="I199" s="1667">
        <f t="shared" si="101"/>
        <v>0</v>
      </c>
      <c r="J199" s="1667">
        <f t="shared" si="101"/>
        <v>0</v>
      </c>
      <c r="K199" s="1667">
        <f t="shared" si="101"/>
        <v>0</v>
      </c>
      <c r="L199" s="1667">
        <f t="shared" si="101"/>
        <v>0</v>
      </c>
    </row>
    <row r="200" spans="1:12" s="1278" customFormat="1" ht="13.5" hidden="1" customHeight="1">
      <c r="A200" s="2647"/>
      <c r="B200" s="2650"/>
      <c r="C200" s="2758"/>
      <c r="D200" s="1251"/>
      <c r="E200" s="1252"/>
      <c r="F200" s="1247" t="s">
        <v>2709</v>
      </c>
      <c r="G200" s="1667">
        <f t="shared" ref="G200:L200" si="102">IF($F112&gt;5000000,ROUND(87.29*($F112/1000)^-0.2263,2),0)</f>
        <v>0</v>
      </c>
      <c r="H200" s="1667">
        <f t="shared" si="102"/>
        <v>0</v>
      </c>
      <c r="I200" s="1667">
        <f t="shared" si="102"/>
        <v>0</v>
      </c>
      <c r="J200" s="1667">
        <f t="shared" si="102"/>
        <v>0</v>
      </c>
      <c r="K200" s="1667">
        <f t="shared" si="102"/>
        <v>0</v>
      </c>
      <c r="L200" s="1667">
        <f t="shared" si="102"/>
        <v>0</v>
      </c>
    </row>
    <row r="201" spans="1:12" s="1278" customFormat="1" ht="13.5" hidden="1" customHeight="1" thickBot="1">
      <c r="A201" s="2755" t="s">
        <v>2722</v>
      </c>
      <c r="B201" s="2756"/>
      <c r="C201" s="2756"/>
      <c r="D201" s="2756"/>
      <c r="E201" s="1671"/>
      <c r="F201" s="1669"/>
      <c r="G201" s="1672">
        <f t="shared" ref="G201:L201" si="103">IF($F112&lt;=5000000,IF(G196&gt;G197,G197,IF(G196&lt;G198,G198,G196)),IF(G196&gt;G199,G199,IF(G196&lt;G200,G200,G196)))</f>
        <v>22.61</v>
      </c>
      <c r="H201" s="1672">
        <f t="shared" si="103"/>
        <v>12.7</v>
      </c>
      <c r="I201" s="1672">
        <f t="shared" si="103"/>
        <v>12.7</v>
      </c>
      <c r="J201" s="1672">
        <f t="shared" si="103"/>
        <v>12.7</v>
      </c>
      <c r="K201" s="1672">
        <f t="shared" si="103"/>
        <v>12.7</v>
      </c>
      <c r="L201" s="1672">
        <f t="shared" si="103"/>
        <v>12.7</v>
      </c>
    </row>
    <row r="202" spans="1:12" s="1278" customFormat="1" ht="13.5" hidden="1" customHeight="1" thickBot="1">
      <c r="A202" s="887"/>
      <c r="B202" s="887"/>
      <c r="C202" s="887"/>
      <c r="D202" s="887"/>
      <c r="E202" s="887"/>
      <c r="F202" s="887"/>
      <c r="G202" s="1237"/>
      <c r="H202" s="1237"/>
      <c r="I202" s="1237"/>
      <c r="J202" s="1237"/>
      <c r="K202" s="1237"/>
      <c r="L202" s="1237"/>
    </row>
    <row r="203" spans="1:12" s="1278" customFormat="1" ht="13.5" hidden="1" customHeight="1">
      <c r="A203" s="1238"/>
      <c r="B203" s="1239"/>
      <c r="C203" s="1240" t="s">
        <v>2726</v>
      </c>
      <c r="D203" s="1241"/>
      <c r="E203" s="1239"/>
      <c r="F203" s="1242"/>
      <c r="G203" s="1262"/>
      <c r="H203" s="1263"/>
      <c r="I203" s="1264"/>
      <c r="J203" s="1264"/>
      <c r="K203" s="1264"/>
      <c r="L203" s="1264"/>
    </row>
    <row r="204" spans="1:12" s="1278" customFormat="1" ht="13.5" hidden="1" customHeight="1">
      <c r="A204" s="2645"/>
      <c r="B204" s="2648" t="s">
        <v>81</v>
      </c>
      <c r="C204" s="1245" t="s">
        <v>2727</v>
      </c>
      <c r="D204" s="1054"/>
      <c r="E204" s="1246"/>
      <c r="F204" s="1247" t="s">
        <v>2837</v>
      </c>
      <c r="G204" s="1673">
        <f>ROUND(28.978-3.173*LOG($F154/1000),2)</f>
        <v>19.18</v>
      </c>
      <c r="H204" s="1266"/>
      <c r="I204" s="1267"/>
      <c r="J204" s="1267"/>
      <c r="K204" s="1267"/>
      <c r="L204" s="1267"/>
    </row>
    <row r="205" spans="1:12" s="1278" customFormat="1" ht="13.5" hidden="1" customHeight="1">
      <c r="A205" s="2646"/>
      <c r="B205" s="2649"/>
      <c r="C205" s="1268" t="s">
        <v>2729</v>
      </c>
      <c r="D205" s="1124"/>
      <c r="E205" s="1124"/>
      <c r="F205" s="1269"/>
      <c r="G205" s="1674">
        <f>IF($F154&lt;=5000000,17.24,0)</f>
        <v>17.239999999999998</v>
      </c>
      <c r="H205" s="1271"/>
      <c r="I205" s="1272"/>
      <c r="J205" s="150"/>
      <c r="K205" s="1272"/>
      <c r="L205" s="1272"/>
    </row>
    <row r="206" spans="1:12" s="1278" customFormat="1" ht="13.5" hidden="1" customHeight="1">
      <c r="A206" s="2646"/>
      <c r="B206" s="2649"/>
      <c r="C206" s="1268" t="s">
        <v>2730</v>
      </c>
      <c r="D206" s="1124"/>
      <c r="E206" s="1054"/>
      <c r="F206" s="1269"/>
      <c r="G206" s="1674">
        <f>IF($F154&gt;3000000000,8.43,0)</f>
        <v>0</v>
      </c>
      <c r="H206" s="1273"/>
      <c r="I206" s="1274"/>
      <c r="J206" s="1274"/>
      <c r="K206" s="1274"/>
      <c r="L206" s="1274"/>
    </row>
    <row r="207" spans="1:12" s="1278" customFormat="1" ht="13.5" hidden="1" customHeight="1" thickBot="1">
      <c r="A207" s="2753" t="s">
        <v>2731</v>
      </c>
      <c r="B207" s="2754"/>
      <c r="C207" s="2754"/>
      <c r="D207" s="2754"/>
      <c r="E207" s="1675"/>
      <c r="F207" s="1676"/>
      <c r="G207" s="1677">
        <f>IF($F154&lt;=5000000,G205,IF($F154&gt;3000000000,G206,G204))</f>
        <v>17.239999999999998</v>
      </c>
      <c r="H207" s="1678"/>
      <c r="I207" s="1679"/>
      <c r="J207" s="1679"/>
      <c r="K207" s="1679"/>
      <c r="L207" s="1679"/>
    </row>
    <row r="208" spans="1:12" s="1278" customFormat="1" ht="13.5" customHeight="1">
      <c r="A208" s="1034"/>
      <c r="B208" s="1034"/>
      <c r="C208" s="1033"/>
      <c r="D208" s="1033"/>
      <c r="E208" s="1446" t="s">
        <v>2522</v>
      </c>
      <c r="F208" s="1447" t="s">
        <v>2838</v>
      </c>
      <c r="G208" s="1448"/>
      <c r="H208" s="1448"/>
      <c r="I208" s="1037"/>
      <c r="J208" s="1037"/>
      <c r="K208" s="835"/>
      <c r="L208" s="1091" t="s">
        <v>2839</v>
      </c>
    </row>
    <row r="209" spans="1:12" s="1278" customFormat="1" ht="13.5" customHeight="1">
      <c r="A209" s="1034"/>
      <c r="B209" s="1034"/>
      <c r="C209" s="1449" t="s">
        <v>2733</v>
      </c>
      <c r="D209" s="808"/>
      <c r="E209" s="1033"/>
      <c r="F209" s="1033"/>
      <c r="G209" s="1091"/>
      <c r="H209" s="1037"/>
      <c r="I209" s="1037"/>
      <c r="J209" s="1037"/>
      <c r="K209" s="1034" t="s">
        <v>2773</v>
      </c>
      <c r="L209" s="1680" t="s">
        <v>2774</v>
      </c>
    </row>
    <row r="210" spans="1:12" s="1278" customFormat="1" ht="13.5" customHeight="1">
      <c r="A210" s="1451"/>
      <c r="B210" s="1452"/>
      <c r="C210" s="870" t="s">
        <v>2531</v>
      </c>
      <c r="D210" s="871"/>
      <c r="E210" s="872"/>
      <c r="F210" s="873" t="s">
        <v>2609</v>
      </c>
      <c r="G210" s="874">
        <f t="shared" ref="G210:L210" si="104">+G8</f>
        <v>3.5</v>
      </c>
      <c r="H210" s="874">
        <f t="shared" si="104"/>
        <v>0</v>
      </c>
      <c r="I210" s="874">
        <f t="shared" si="104"/>
        <v>0</v>
      </c>
      <c r="J210" s="874">
        <f t="shared" si="104"/>
        <v>0</v>
      </c>
      <c r="K210" s="874">
        <f t="shared" si="104"/>
        <v>0</v>
      </c>
      <c r="L210" s="1681">
        <f t="shared" si="104"/>
        <v>0</v>
      </c>
    </row>
    <row r="211" spans="1:12" s="1278" customFormat="1" ht="13.5" customHeight="1">
      <c r="A211" s="1336"/>
      <c r="B211" s="1455"/>
      <c r="C211" s="1455" t="s">
        <v>2775</v>
      </c>
      <c r="D211" s="1455"/>
      <c r="E211" s="1083" t="str">
        <f>+E66</f>
        <v>無し</v>
      </c>
      <c r="F211" s="1457" t="s">
        <v>2526</v>
      </c>
      <c r="G211" s="1458" t="s">
        <v>2840</v>
      </c>
      <c r="H211" s="1458" t="s">
        <v>2840</v>
      </c>
      <c r="I211" s="1458" t="s">
        <v>2841</v>
      </c>
      <c r="J211" s="1458" t="s">
        <v>2841</v>
      </c>
      <c r="K211" s="1458" t="s">
        <v>2841</v>
      </c>
      <c r="L211" s="1682" t="s">
        <v>2841</v>
      </c>
    </row>
    <row r="212" spans="1:12" s="1278" customFormat="1" ht="13.5" customHeight="1">
      <c r="A212" s="1343"/>
      <c r="B212" s="1460"/>
      <c r="C212" s="1460" t="s">
        <v>2613</v>
      </c>
      <c r="D212" s="1460"/>
      <c r="E212" s="1044" t="str">
        <f>+E67</f>
        <v>有り</v>
      </c>
      <c r="F212" s="1462" t="s">
        <v>2614</v>
      </c>
      <c r="G212" s="1463"/>
      <c r="H212" s="1463"/>
      <c r="I212" s="1463"/>
      <c r="J212" s="1463"/>
      <c r="K212" s="1463"/>
      <c r="L212" s="1683"/>
    </row>
    <row r="213" spans="1:12" s="1278" customFormat="1" ht="13.5" customHeight="1">
      <c r="A213" s="1336"/>
      <c r="B213" s="1465" t="s">
        <v>2750</v>
      </c>
      <c r="C213" s="1466"/>
      <c r="D213" s="1466"/>
      <c r="E213" s="1467"/>
      <c r="F213" s="1468">
        <f>SUM(G213:L213)</f>
        <v>7000000</v>
      </c>
      <c r="G213" s="1684">
        <f t="shared" ref="G213:L213" si="105">+G68+G9</f>
        <v>7000000</v>
      </c>
      <c r="H213" s="1684">
        <f t="shared" si="105"/>
        <v>0</v>
      </c>
      <c r="I213" s="1684">
        <f t="shared" si="105"/>
        <v>0</v>
      </c>
      <c r="J213" s="1684">
        <f t="shared" si="105"/>
        <v>0</v>
      </c>
      <c r="K213" s="1684">
        <f t="shared" si="105"/>
        <v>0</v>
      </c>
      <c r="L213" s="1685">
        <f t="shared" si="105"/>
        <v>0</v>
      </c>
    </row>
    <row r="214" spans="1:12" s="1278" customFormat="1" ht="13.5" customHeight="1">
      <c r="A214" s="1343"/>
      <c r="B214" s="1471" t="s">
        <v>2776</v>
      </c>
      <c r="C214" s="1338"/>
      <c r="D214" s="1338"/>
      <c r="E214" s="1339"/>
      <c r="F214" s="1340">
        <f>SUM(G214:L214)</f>
        <v>1100000</v>
      </c>
      <c r="G214" s="1686">
        <f t="shared" ref="G214:L215" si="106">G10+G69</f>
        <v>1100000</v>
      </c>
      <c r="H214" s="1686">
        <f t="shared" si="106"/>
        <v>0</v>
      </c>
      <c r="I214" s="1686">
        <f t="shared" si="106"/>
        <v>0</v>
      </c>
      <c r="J214" s="1686">
        <f t="shared" si="106"/>
        <v>0</v>
      </c>
      <c r="K214" s="1686">
        <f t="shared" si="106"/>
        <v>0</v>
      </c>
      <c r="L214" s="1686">
        <f t="shared" si="106"/>
        <v>0</v>
      </c>
    </row>
    <row r="215" spans="1:12" s="1278" customFormat="1" ht="13.5" customHeight="1">
      <c r="A215" s="1343"/>
      <c r="B215" s="1471"/>
      <c r="C215" s="1474" t="s">
        <v>2752</v>
      </c>
      <c r="D215" s="1474"/>
      <c r="E215" s="1475"/>
      <c r="F215" s="1476"/>
      <c r="G215" s="1687">
        <f t="shared" si="106"/>
        <v>570000</v>
      </c>
      <c r="H215" s="1687">
        <f t="shared" si="106"/>
        <v>0</v>
      </c>
      <c r="I215" s="1687">
        <f t="shared" si="106"/>
        <v>0</v>
      </c>
      <c r="J215" s="1687">
        <f t="shared" si="106"/>
        <v>0</v>
      </c>
      <c r="K215" s="1687">
        <f t="shared" si="106"/>
        <v>0</v>
      </c>
      <c r="L215" s="1687">
        <f t="shared" si="106"/>
        <v>0</v>
      </c>
    </row>
    <row r="216" spans="1:12" s="1278" customFormat="1" ht="13.5" customHeight="1">
      <c r="A216" s="1336"/>
      <c r="B216" s="1479" t="s">
        <v>2842</v>
      </c>
      <c r="C216" s="1480"/>
      <c r="D216" s="1480"/>
      <c r="E216" s="1481"/>
      <c r="F216" s="1468">
        <f>SUM(G216:L216)</f>
        <v>6902196</v>
      </c>
      <c r="G216" s="896">
        <f t="shared" ref="G216:L216" si="107">SUM(G258:G271)</f>
        <v>6902196</v>
      </c>
      <c r="H216" s="896">
        <f t="shared" si="107"/>
        <v>0</v>
      </c>
      <c r="I216" s="896">
        <f t="shared" si="107"/>
        <v>0</v>
      </c>
      <c r="J216" s="896">
        <f t="shared" si="107"/>
        <v>0</v>
      </c>
      <c r="K216" s="896">
        <f t="shared" si="107"/>
        <v>0</v>
      </c>
      <c r="L216" s="897">
        <f t="shared" si="107"/>
        <v>0</v>
      </c>
    </row>
    <row r="217" spans="1:12" s="1278" customFormat="1" ht="13.5" customHeight="1">
      <c r="A217" s="1343"/>
      <c r="B217" s="1460"/>
      <c r="C217" s="1482" t="s">
        <v>2778</v>
      </c>
      <c r="D217" s="1483"/>
      <c r="E217" s="1484"/>
      <c r="F217" s="1340">
        <f>SUM(G217:L217)</f>
        <v>5908196</v>
      </c>
      <c r="G217" s="1485">
        <f t="shared" ref="G217:L217" si="108">G216-G220</f>
        <v>5908196</v>
      </c>
      <c r="H217" s="1485">
        <f t="shared" si="108"/>
        <v>0</v>
      </c>
      <c r="I217" s="1485">
        <f t="shared" si="108"/>
        <v>0</v>
      </c>
      <c r="J217" s="1485">
        <f t="shared" si="108"/>
        <v>0</v>
      </c>
      <c r="K217" s="1485">
        <f t="shared" si="108"/>
        <v>0</v>
      </c>
      <c r="L217" s="1486">
        <f t="shared" si="108"/>
        <v>0</v>
      </c>
    </row>
    <row r="218" spans="1:12" s="1278" customFormat="1" ht="13.5" customHeight="1">
      <c r="A218" s="1343"/>
      <c r="B218" s="1460"/>
      <c r="C218" s="1487"/>
      <c r="D218" s="1487"/>
      <c r="E218" s="1488"/>
      <c r="F218" s="1347" t="s">
        <v>2779</v>
      </c>
      <c r="G218" s="1489">
        <f t="shared" ref="G218:L218" si="109">SUM(G260:G271)</f>
        <v>5332196</v>
      </c>
      <c r="H218" s="1489">
        <f t="shared" si="109"/>
        <v>0</v>
      </c>
      <c r="I218" s="1489">
        <f t="shared" si="109"/>
        <v>0</v>
      </c>
      <c r="J218" s="1489">
        <f t="shared" si="109"/>
        <v>0</v>
      </c>
      <c r="K218" s="1489">
        <f t="shared" si="109"/>
        <v>0</v>
      </c>
      <c r="L218" s="1490">
        <f t="shared" si="109"/>
        <v>0</v>
      </c>
    </row>
    <row r="219" spans="1:12" s="1278" customFormat="1" ht="13.5" customHeight="1">
      <c r="A219" s="1343"/>
      <c r="B219" s="1460"/>
      <c r="C219" s="1487"/>
      <c r="D219" s="1487"/>
      <c r="E219" s="1488"/>
      <c r="F219" s="1347" t="s">
        <v>2620</v>
      </c>
      <c r="G219" s="1489">
        <f t="shared" ref="G219:L219" si="110">SUM(G260:G267,G252)</f>
        <v>5332196</v>
      </c>
      <c r="H219" s="1489">
        <f t="shared" si="110"/>
        <v>0</v>
      </c>
      <c r="I219" s="1489">
        <f t="shared" si="110"/>
        <v>0</v>
      </c>
      <c r="J219" s="1489">
        <f t="shared" si="110"/>
        <v>0</v>
      </c>
      <c r="K219" s="1489">
        <f t="shared" si="110"/>
        <v>0</v>
      </c>
      <c r="L219" s="1490">
        <f t="shared" si="110"/>
        <v>0</v>
      </c>
    </row>
    <row r="220" spans="1:12" s="1278" customFormat="1" ht="13.5" customHeight="1">
      <c r="A220" s="1491"/>
      <c r="B220" s="1474"/>
      <c r="C220" s="1492" t="s">
        <v>2780</v>
      </c>
      <c r="D220" s="1492"/>
      <c r="E220" s="1493"/>
      <c r="F220" s="1353">
        <f t="shared" ref="F220:F229" si="111">SUM(G220:L220)</f>
        <v>994000</v>
      </c>
      <c r="G220" s="1064">
        <f t="shared" ref="G220:L220" si="112">+G260+G247+G249+G252+G251+G215</f>
        <v>994000</v>
      </c>
      <c r="H220" s="1064">
        <f t="shared" si="112"/>
        <v>0</v>
      </c>
      <c r="I220" s="1064">
        <f t="shared" si="112"/>
        <v>0</v>
      </c>
      <c r="J220" s="1064">
        <f t="shared" si="112"/>
        <v>0</v>
      </c>
      <c r="K220" s="1064">
        <f t="shared" si="112"/>
        <v>0</v>
      </c>
      <c r="L220" s="1064">
        <f t="shared" si="112"/>
        <v>0</v>
      </c>
    </row>
    <row r="221" spans="1:12" s="1278" customFormat="1" ht="13.5" customHeight="1">
      <c r="A221" s="1343"/>
      <c r="B221" s="1494" t="s">
        <v>2781</v>
      </c>
      <c r="C221" s="1494"/>
      <c r="D221" s="1494"/>
      <c r="E221" s="1495"/>
      <c r="F221" s="1496">
        <f t="shared" si="111"/>
        <v>1933804</v>
      </c>
      <c r="G221" s="1497">
        <f t="shared" ref="G221:L221" si="113">G222+G225</f>
        <v>1933804</v>
      </c>
      <c r="H221" s="1497">
        <f t="shared" si="113"/>
        <v>0</v>
      </c>
      <c r="I221" s="1497">
        <f t="shared" si="113"/>
        <v>0</v>
      </c>
      <c r="J221" s="1497">
        <f t="shared" si="113"/>
        <v>0</v>
      </c>
      <c r="K221" s="1497">
        <f t="shared" si="113"/>
        <v>0</v>
      </c>
      <c r="L221" s="1498">
        <f t="shared" si="113"/>
        <v>0</v>
      </c>
    </row>
    <row r="222" spans="1:12" s="1278" customFormat="1" ht="13.5" customHeight="1">
      <c r="A222" s="1343"/>
      <c r="B222" s="1460"/>
      <c r="C222" s="1499" t="s">
        <v>2624</v>
      </c>
      <c r="D222" s="1499"/>
      <c r="E222" s="1500"/>
      <c r="F222" s="1340">
        <f t="shared" si="111"/>
        <v>953879</v>
      </c>
      <c r="G222" s="1485">
        <f t="shared" ref="G222:L222" si="114">SUM(G223:G224)</f>
        <v>953879</v>
      </c>
      <c r="H222" s="1485">
        <f t="shared" si="114"/>
        <v>0</v>
      </c>
      <c r="I222" s="1485">
        <f t="shared" si="114"/>
        <v>0</v>
      </c>
      <c r="J222" s="1485">
        <f t="shared" si="114"/>
        <v>0</v>
      </c>
      <c r="K222" s="1485">
        <f t="shared" si="114"/>
        <v>0</v>
      </c>
      <c r="L222" s="1486">
        <f t="shared" si="114"/>
        <v>0</v>
      </c>
    </row>
    <row r="223" spans="1:12" s="1278" customFormat="1" ht="13.5" customHeight="1">
      <c r="A223" s="1343"/>
      <c r="B223" s="1460"/>
      <c r="C223" s="1345" t="s">
        <v>2626</v>
      </c>
      <c r="D223" s="1345"/>
      <c r="E223" s="1488"/>
      <c r="F223" s="1347">
        <f t="shared" si="111"/>
        <v>354977</v>
      </c>
      <c r="G223" s="1489">
        <f t="shared" ref="G223:L223" si="115">+G274+G276</f>
        <v>354977</v>
      </c>
      <c r="H223" s="1489">
        <f t="shared" si="115"/>
        <v>0</v>
      </c>
      <c r="I223" s="1489">
        <f t="shared" si="115"/>
        <v>0</v>
      </c>
      <c r="J223" s="1489">
        <f t="shared" si="115"/>
        <v>0</v>
      </c>
      <c r="K223" s="1489">
        <f t="shared" si="115"/>
        <v>0</v>
      </c>
      <c r="L223" s="1490">
        <f t="shared" si="115"/>
        <v>0</v>
      </c>
    </row>
    <row r="224" spans="1:12" s="1278" customFormat="1" ht="13.5" customHeight="1">
      <c r="A224" s="1343"/>
      <c r="B224" s="1460"/>
      <c r="C224" s="1345" t="s">
        <v>2631</v>
      </c>
      <c r="D224" s="1345"/>
      <c r="E224" s="1488"/>
      <c r="F224" s="1347">
        <f t="shared" si="111"/>
        <v>598902</v>
      </c>
      <c r="G224" s="1489">
        <f>SUM(G277:G291)</f>
        <v>598902</v>
      </c>
      <c r="H224" s="1489">
        <f>SUM(H277:H290)</f>
        <v>0</v>
      </c>
      <c r="I224" s="1489">
        <f>SUM(I277:I290)</f>
        <v>0</v>
      </c>
      <c r="J224" s="1489">
        <f>SUM(J277:J290)</f>
        <v>0</v>
      </c>
      <c r="K224" s="1489">
        <f>SUM(K277:K290)</f>
        <v>0</v>
      </c>
      <c r="L224" s="1490">
        <f>SUM(L277:L290)</f>
        <v>0</v>
      </c>
    </row>
    <row r="225" spans="1:12" s="1508" customFormat="1" ht="13.5" customHeight="1">
      <c r="A225" s="1501"/>
      <c r="B225" s="1502"/>
      <c r="C225" s="1503" t="s">
        <v>2629</v>
      </c>
      <c r="D225" s="1503"/>
      <c r="E225" s="1504"/>
      <c r="F225" s="1505">
        <f t="shared" si="111"/>
        <v>979925</v>
      </c>
      <c r="G225" s="1506">
        <f t="shared" ref="G225:L225" si="116">SUM(G226:G228)</f>
        <v>979925</v>
      </c>
      <c r="H225" s="1506">
        <f t="shared" si="116"/>
        <v>0</v>
      </c>
      <c r="I225" s="1506">
        <f t="shared" si="116"/>
        <v>0</v>
      </c>
      <c r="J225" s="1506">
        <f t="shared" si="116"/>
        <v>0</v>
      </c>
      <c r="K225" s="1506">
        <f t="shared" si="116"/>
        <v>0</v>
      </c>
      <c r="L225" s="1507">
        <f t="shared" si="116"/>
        <v>0</v>
      </c>
    </row>
    <row r="226" spans="1:12" s="1508" customFormat="1" ht="13.5" customHeight="1">
      <c r="A226" s="1501"/>
      <c r="B226" s="1502"/>
      <c r="C226" s="1509" t="s">
        <v>2626</v>
      </c>
      <c r="D226" s="1509"/>
      <c r="E226" s="1504"/>
      <c r="F226" s="1505">
        <f t="shared" si="111"/>
        <v>331343</v>
      </c>
      <c r="G226" s="1506">
        <f t="shared" ref="G226:L226" si="117">+G313-G328</f>
        <v>331343</v>
      </c>
      <c r="H226" s="1506">
        <f t="shared" si="117"/>
        <v>0</v>
      </c>
      <c r="I226" s="1506">
        <f t="shared" si="117"/>
        <v>0</v>
      </c>
      <c r="J226" s="1506">
        <f t="shared" si="117"/>
        <v>0</v>
      </c>
      <c r="K226" s="1506">
        <f t="shared" si="117"/>
        <v>0</v>
      </c>
      <c r="L226" s="1507">
        <f t="shared" si="117"/>
        <v>0</v>
      </c>
    </row>
    <row r="227" spans="1:12" s="1508" customFormat="1" ht="13.5" customHeight="1">
      <c r="A227" s="1501"/>
      <c r="B227" s="1502"/>
      <c r="C227" s="1509" t="s">
        <v>2630</v>
      </c>
      <c r="D227" s="1509"/>
      <c r="E227" s="1504"/>
      <c r="F227" s="1505">
        <f t="shared" si="111"/>
        <v>49680</v>
      </c>
      <c r="G227" s="1506">
        <f t="shared" ref="G227:L227" si="118">+G314+G315</f>
        <v>49680</v>
      </c>
      <c r="H227" s="1506">
        <f t="shared" si="118"/>
        <v>0</v>
      </c>
      <c r="I227" s="1506">
        <f t="shared" si="118"/>
        <v>0</v>
      </c>
      <c r="J227" s="1506">
        <f t="shared" si="118"/>
        <v>0</v>
      </c>
      <c r="K227" s="1506">
        <f t="shared" si="118"/>
        <v>0</v>
      </c>
      <c r="L227" s="1507">
        <f t="shared" si="118"/>
        <v>0</v>
      </c>
    </row>
    <row r="228" spans="1:12" s="1508" customFormat="1" ht="13.5" customHeight="1">
      <c r="A228" s="1501"/>
      <c r="B228" s="1510"/>
      <c r="C228" s="1511" t="s">
        <v>2631</v>
      </c>
      <c r="D228" s="1511"/>
      <c r="E228" s="1512"/>
      <c r="F228" s="1513">
        <f t="shared" si="111"/>
        <v>598902</v>
      </c>
      <c r="G228" s="1514">
        <f t="shared" ref="G228:L228" si="119">SUM(G316:G320)</f>
        <v>598902</v>
      </c>
      <c r="H228" s="1514">
        <f t="shared" si="119"/>
        <v>0</v>
      </c>
      <c r="I228" s="1514">
        <f t="shared" si="119"/>
        <v>0</v>
      </c>
      <c r="J228" s="1514">
        <f t="shared" si="119"/>
        <v>0</v>
      </c>
      <c r="K228" s="1514">
        <f t="shared" si="119"/>
        <v>0</v>
      </c>
      <c r="L228" s="1515">
        <f t="shared" si="119"/>
        <v>0</v>
      </c>
    </row>
    <row r="229" spans="1:12" s="1278" customFormat="1" ht="13.5" customHeight="1">
      <c r="A229" s="1516"/>
      <c r="B229" s="1480" t="s">
        <v>2633</v>
      </c>
      <c r="C229" s="1517"/>
      <c r="D229" s="1480"/>
      <c r="E229" s="1518"/>
      <c r="F229" s="1468">
        <f t="shared" si="111"/>
        <v>8836000</v>
      </c>
      <c r="G229" s="1519">
        <f t="shared" ref="G229:L229" si="120">G216+G221</f>
        <v>8836000</v>
      </c>
      <c r="H229" s="1519">
        <f t="shared" si="120"/>
        <v>0</v>
      </c>
      <c r="I229" s="1519">
        <f t="shared" si="120"/>
        <v>0</v>
      </c>
      <c r="J229" s="1519">
        <f t="shared" si="120"/>
        <v>0</v>
      </c>
      <c r="K229" s="1519">
        <f t="shared" si="120"/>
        <v>0</v>
      </c>
      <c r="L229" s="1520">
        <f t="shared" si="120"/>
        <v>0</v>
      </c>
    </row>
    <row r="230" spans="1:12" s="1278" customFormat="1" ht="13.5" customHeight="1">
      <c r="A230" s="1343"/>
      <c r="B230" s="1460"/>
      <c r="C230" s="1521" t="s">
        <v>2843</v>
      </c>
      <c r="D230" s="1521"/>
      <c r="E230" s="1522"/>
      <c r="F230" s="1523"/>
      <c r="G230" s="1524" t="s">
        <v>2635</v>
      </c>
      <c r="H230" s="1525"/>
      <c r="I230" s="1525"/>
      <c r="J230" s="1525"/>
      <c r="K230" s="1525"/>
      <c r="L230" s="1525"/>
    </row>
    <row r="231" spans="1:12" s="1278" customFormat="1" ht="13.5" customHeight="1">
      <c r="A231" s="1336"/>
      <c r="B231" s="1455"/>
      <c r="C231" s="1455"/>
      <c r="D231" s="1455"/>
      <c r="E231" s="1457"/>
      <c r="F231" s="1457" t="s">
        <v>2526</v>
      </c>
      <c r="G231" s="1458" t="str">
        <f t="shared" ref="G231:L231" si="121">+G211</f>
        <v>◇◇◇改造工事の部</v>
      </c>
      <c r="H231" s="1458" t="str">
        <f t="shared" si="121"/>
        <v>◇◇◇改造工事の部</v>
      </c>
      <c r="I231" s="1458" t="str">
        <f t="shared" si="121"/>
        <v>◇◇◇改造工事の部</v>
      </c>
      <c r="J231" s="1458" t="str">
        <f t="shared" si="121"/>
        <v>◇◇◇改造工事の部</v>
      </c>
      <c r="K231" s="1458" t="str">
        <f t="shared" si="121"/>
        <v>◇◇◇改造工事の部</v>
      </c>
      <c r="L231" s="1459" t="str">
        <f t="shared" si="121"/>
        <v>◇◇◇改造工事の部</v>
      </c>
    </row>
    <row r="232" spans="1:12" s="1278" customFormat="1" ht="13.5" customHeight="1">
      <c r="A232" s="1526" t="s">
        <v>2844</v>
      </c>
      <c r="B232" s="1527"/>
      <c r="C232" s="1528"/>
      <c r="D232" s="1528"/>
      <c r="E232" s="1529"/>
      <c r="F232" s="1530"/>
      <c r="G232" s="1531"/>
      <c r="H232" s="1531"/>
      <c r="I232" s="1531"/>
      <c r="J232" s="1531"/>
      <c r="K232" s="1531"/>
      <c r="L232" s="1532"/>
    </row>
    <row r="233" spans="1:12" s="1278" customFormat="1" ht="13.5" customHeight="1">
      <c r="A233" s="2783"/>
      <c r="B233" s="2763" t="s">
        <v>2550</v>
      </c>
      <c r="C233" s="1483" t="s">
        <v>2551</v>
      </c>
      <c r="D233" s="1483"/>
      <c r="E233" s="1500"/>
      <c r="F233" s="1340">
        <f>SUM(G233:L233)</f>
        <v>0</v>
      </c>
      <c r="G233" s="1688">
        <f t="shared" ref="G233:L242" si="122">+G88+G16</f>
        <v>0</v>
      </c>
      <c r="H233" s="1291">
        <f t="shared" si="122"/>
        <v>0</v>
      </c>
      <c r="I233" s="1291">
        <f t="shared" si="122"/>
        <v>0</v>
      </c>
      <c r="J233" s="1291">
        <f t="shared" si="122"/>
        <v>0</v>
      </c>
      <c r="K233" s="1291">
        <f t="shared" si="122"/>
        <v>0</v>
      </c>
      <c r="L233" s="1292">
        <f t="shared" si="122"/>
        <v>0</v>
      </c>
    </row>
    <row r="234" spans="1:12" s="1278" customFormat="1" ht="13.5" customHeight="1">
      <c r="A234" s="2784"/>
      <c r="B234" s="2767"/>
      <c r="C234" s="1537" t="s">
        <v>2552</v>
      </c>
      <c r="D234" s="1537"/>
      <c r="E234" s="1488"/>
      <c r="F234" s="1347">
        <f>SUM(G234:L234)</f>
        <v>1570000</v>
      </c>
      <c r="G234" s="1291">
        <f t="shared" si="122"/>
        <v>1570000</v>
      </c>
      <c r="H234" s="1291">
        <f t="shared" si="122"/>
        <v>0</v>
      </c>
      <c r="I234" s="1291">
        <f t="shared" si="122"/>
        <v>0</v>
      </c>
      <c r="J234" s="1291">
        <f t="shared" si="122"/>
        <v>0</v>
      </c>
      <c r="K234" s="1291">
        <f t="shared" si="122"/>
        <v>0</v>
      </c>
      <c r="L234" s="1292">
        <f t="shared" si="122"/>
        <v>0</v>
      </c>
    </row>
    <row r="235" spans="1:12" s="1278" customFormat="1" ht="13.5" customHeight="1">
      <c r="A235" s="2784"/>
      <c r="B235" s="2766" t="s">
        <v>2757</v>
      </c>
      <c r="C235" s="1689" t="s">
        <v>2785</v>
      </c>
      <c r="D235" s="1537"/>
      <c r="E235" s="1488"/>
      <c r="F235" s="1347">
        <f t="shared" ref="F235:F249" si="123">SUM(G235:L235)</f>
        <v>530000</v>
      </c>
      <c r="G235" s="1291">
        <f t="shared" si="122"/>
        <v>530000</v>
      </c>
      <c r="H235" s="1291">
        <f t="shared" si="122"/>
        <v>0</v>
      </c>
      <c r="I235" s="1291">
        <f t="shared" si="122"/>
        <v>0</v>
      </c>
      <c r="J235" s="1291">
        <f t="shared" si="122"/>
        <v>0</v>
      </c>
      <c r="K235" s="1291">
        <f t="shared" si="122"/>
        <v>0</v>
      </c>
      <c r="L235" s="1292">
        <f t="shared" si="122"/>
        <v>0</v>
      </c>
    </row>
    <row r="236" spans="1:12" s="1278" customFormat="1" ht="13.5" customHeight="1">
      <c r="A236" s="2784"/>
      <c r="B236" s="2764"/>
      <c r="C236" s="1537" t="s">
        <v>2786</v>
      </c>
      <c r="D236" s="1537"/>
      <c r="E236" s="1488"/>
      <c r="F236" s="1347">
        <f t="shared" si="123"/>
        <v>500000</v>
      </c>
      <c r="G236" s="1688">
        <f t="shared" si="122"/>
        <v>500000</v>
      </c>
      <c r="H236" s="1291">
        <f t="shared" si="122"/>
        <v>0</v>
      </c>
      <c r="I236" s="1291">
        <f t="shared" si="122"/>
        <v>0</v>
      </c>
      <c r="J236" s="1291">
        <f t="shared" si="122"/>
        <v>0</v>
      </c>
      <c r="K236" s="1291">
        <f t="shared" si="122"/>
        <v>0</v>
      </c>
      <c r="L236" s="1292">
        <f t="shared" si="122"/>
        <v>0</v>
      </c>
    </row>
    <row r="237" spans="1:12" s="1278" customFormat="1" ht="13.5" customHeight="1">
      <c r="A237" s="2784"/>
      <c r="B237" s="2764"/>
      <c r="C237" s="1571" t="s">
        <v>2845</v>
      </c>
      <c r="D237" s="1537"/>
      <c r="E237" s="1488"/>
      <c r="F237" s="1347">
        <f t="shared" si="123"/>
        <v>5500000</v>
      </c>
      <c r="G237" s="1291">
        <f t="shared" si="122"/>
        <v>5500000</v>
      </c>
      <c r="H237" s="1291">
        <f t="shared" si="122"/>
        <v>0</v>
      </c>
      <c r="I237" s="1291">
        <f t="shared" si="122"/>
        <v>0</v>
      </c>
      <c r="J237" s="1291">
        <f t="shared" si="122"/>
        <v>0</v>
      </c>
      <c r="K237" s="1291">
        <f t="shared" si="122"/>
        <v>0</v>
      </c>
      <c r="L237" s="1292">
        <f t="shared" si="122"/>
        <v>0</v>
      </c>
    </row>
    <row r="238" spans="1:12" s="1278" customFormat="1" ht="13.5" customHeight="1">
      <c r="A238" s="2784"/>
      <c r="B238" s="2764"/>
      <c r="C238" s="1537" t="s">
        <v>2788</v>
      </c>
      <c r="D238" s="1537"/>
      <c r="E238" s="1488"/>
      <c r="F238" s="1347">
        <f t="shared" si="123"/>
        <v>0</v>
      </c>
      <c r="G238" s="1291">
        <f t="shared" si="122"/>
        <v>0</v>
      </c>
      <c r="H238" s="1291">
        <f t="shared" si="122"/>
        <v>0</v>
      </c>
      <c r="I238" s="1291">
        <f t="shared" si="122"/>
        <v>0</v>
      </c>
      <c r="J238" s="1291">
        <f t="shared" si="122"/>
        <v>0</v>
      </c>
      <c r="K238" s="1291">
        <f t="shared" si="122"/>
        <v>0</v>
      </c>
      <c r="L238" s="1292">
        <f t="shared" si="122"/>
        <v>0</v>
      </c>
    </row>
    <row r="239" spans="1:12" s="1278" customFormat="1" ht="13.5" customHeight="1">
      <c r="A239" s="2784"/>
      <c r="B239" s="2764"/>
      <c r="C239" s="1537" t="s">
        <v>2789</v>
      </c>
      <c r="D239" s="1537"/>
      <c r="E239" s="1488"/>
      <c r="F239" s="1347">
        <f t="shared" si="123"/>
        <v>0</v>
      </c>
      <c r="G239" s="1291">
        <f t="shared" si="122"/>
        <v>0</v>
      </c>
      <c r="H239" s="1291">
        <f t="shared" si="122"/>
        <v>0</v>
      </c>
      <c r="I239" s="1291">
        <f t="shared" si="122"/>
        <v>0</v>
      </c>
      <c r="J239" s="1291">
        <f t="shared" si="122"/>
        <v>0</v>
      </c>
      <c r="K239" s="1291">
        <f t="shared" si="122"/>
        <v>0</v>
      </c>
      <c r="L239" s="1292">
        <f t="shared" si="122"/>
        <v>0</v>
      </c>
    </row>
    <row r="240" spans="1:12" s="1278" customFormat="1" ht="13.5" customHeight="1">
      <c r="A240" s="2784"/>
      <c r="B240" s="2764"/>
      <c r="C240" s="1547" t="s">
        <v>2846</v>
      </c>
      <c r="D240" s="1537"/>
      <c r="E240" s="1488"/>
      <c r="F240" s="1347">
        <f t="shared" si="123"/>
        <v>0</v>
      </c>
      <c r="G240" s="1291">
        <f t="shared" si="122"/>
        <v>0</v>
      </c>
      <c r="H240" s="1291">
        <f t="shared" si="122"/>
        <v>0</v>
      </c>
      <c r="I240" s="1291">
        <f t="shared" si="122"/>
        <v>0</v>
      </c>
      <c r="J240" s="1291">
        <f t="shared" si="122"/>
        <v>0</v>
      </c>
      <c r="K240" s="1291">
        <f t="shared" si="122"/>
        <v>0</v>
      </c>
      <c r="L240" s="1292">
        <f t="shared" si="122"/>
        <v>0</v>
      </c>
    </row>
    <row r="241" spans="1:12" s="1278" customFormat="1" ht="13.5" customHeight="1">
      <c r="A241" s="2784"/>
      <c r="B241" s="2764"/>
      <c r="C241" s="1537"/>
      <c r="D241" s="1537"/>
      <c r="E241" s="1488"/>
      <c r="F241" s="1347">
        <f t="shared" si="123"/>
        <v>0</v>
      </c>
      <c r="G241" s="1291">
        <f t="shared" si="122"/>
        <v>0</v>
      </c>
      <c r="H241" s="1291">
        <f t="shared" si="122"/>
        <v>0</v>
      </c>
      <c r="I241" s="1291">
        <f t="shared" si="122"/>
        <v>0</v>
      </c>
      <c r="J241" s="1291">
        <f t="shared" si="122"/>
        <v>0</v>
      </c>
      <c r="K241" s="1291">
        <f t="shared" si="122"/>
        <v>0</v>
      </c>
      <c r="L241" s="1292">
        <f t="shared" si="122"/>
        <v>0</v>
      </c>
    </row>
    <row r="242" spans="1:12" s="1278" customFormat="1" ht="13.5" customHeight="1">
      <c r="A242" s="2784"/>
      <c r="B242" s="2767"/>
      <c r="C242" s="1544"/>
      <c r="D242" s="1545"/>
      <c r="E242" s="1546"/>
      <c r="F242" s="1347">
        <f t="shared" si="123"/>
        <v>0</v>
      </c>
      <c r="G242" s="1291">
        <f t="shared" si="122"/>
        <v>0</v>
      </c>
      <c r="H242" s="1291">
        <f t="shared" si="122"/>
        <v>0</v>
      </c>
      <c r="I242" s="1291">
        <f t="shared" si="122"/>
        <v>0</v>
      </c>
      <c r="J242" s="1291">
        <f t="shared" si="122"/>
        <v>0</v>
      </c>
      <c r="K242" s="1291">
        <f t="shared" si="122"/>
        <v>0</v>
      </c>
      <c r="L242" s="1292">
        <f t="shared" si="122"/>
        <v>0</v>
      </c>
    </row>
    <row r="243" spans="1:12" s="1278" customFormat="1" ht="13.5" customHeight="1">
      <c r="A243" s="2784"/>
      <c r="B243" s="2766" t="s">
        <v>489</v>
      </c>
      <c r="C243" s="1537" t="s">
        <v>2847</v>
      </c>
      <c r="D243" s="1537"/>
      <c r="E243" s="1488"/>
      <c r="F243" s="1347">
        <f t="shared" si="123"/>
        <v>0</v>
      </c>
      <c r="G243" s="1291">
        <f t="shared" ref="G243:L252" si="124">+G98+G25</f>
        <v>0</v>
      </c>
      <c r="H243" s="1291">
        <f t="shared" si="124"/>
        <v>0</v>
      </c>
      <c r="I243" s="1291">
        <f t="shared" si="124"/>
        <v>0</v>
      </c>
      <c r="J243" s="1291">
        <f t="shared" si="124"/>
        <v>0</v>
      </c>
      <c r="K243" s="1291">
        <f t="shared" si="124"/>
        <v>0</v>
      </c>
      <c r="L243" s="1292">
        <f t="shared" si="124"/>
        <v>0</v>
      </c>
    </row>
    <row r="244" spans="1:12" s="1278" customFormat="1" ht="13.5" customHeight="1">
      <c r="A244" s="2784"/>
      <c r="B244" s="2764"/>
      <c r="C244" s="1543" t="s">
        <v>2848</v>
      </c>
      <c r="D244" s="1536"/>
      <c r="E244" s="1632"/>
      <c r="F244" s="902">
        <f t="shared" si="123"/>
        <v>0</v>
      </c>
      <c r="G244" s="903">
        <f t="shared" si="124"/>
        <v>0</v>
      </c>
      <c r="H244" s="903">
        <f t="shared" si="124"/>
        <v>0</v>
      </c>
      <c r="I244" s="903">
        <f t="shared" si="124"/>
        <v>0</v>
      </c>
      <c r="J244" s="903">
        <f t="shared" si="124"/>
        <v>0</v>
      </c>
      <c r="K244" s="903">
        <f t="shared" si="124"/>
        <v>0</v>
      </c>
      <c r="L244" s="904">
        <f t="shared" si="124"/>
        <v>0</v>
      </c>
    </row>
    <row r="245" spans="1:12" s="1278" customFormat="1" ht="13.5" customHeight="1">
      <c r="A245" s="2784"/>
      <c r="B245" s="2767"/>
      <c r="C245" s="1543" t="s">
        <v>2849</v>
      </c>
      <c r="D245" s="1536"/>
      <c r="E245" s="1632"/>
      <c r="F245" s="902">
        <f t="shared" si="123"/>
        <v>0</v>
      </c>
      <c r="G245" s="903">
        <f t="shared" si="124"/>
        <v>0</v>
      </c>
      <c r="H245" s="903">
        <f t="shared" si="124"/>
        <v>0</v>
      </c>
      <c r="I245" s="903">
        <f t="shared" si="124"/>
        <v>0</v>
      </c>
      <c r="J245" s="903">
        <f t="shared" si="124"/>
        <v>0</v>
      </c>
      <c r="K245" s="903">
        <f t="shared" si="124"/>
        <v>0</v>
      </c>
      <c r="L245" s="904">
        <f t="shared" si="124"/>
        <v>0</v>
      </c>
    </row>
    <row r="246" spans="1:12" s="1278" customFormat="1" ht="13.5" customHeight="1">
      <c r="A246" s="2784"/>
      <c r="B246" s="2786" t="s">
        <v>2565</v>
      </c>
      <c r="C246" s="1537" t="s">
        <v>2850</v>
      </c>
      <c r="D246" s="1537"/>
      <c r="E246" s="1488"/>
      <c r="F246" s="1347">
        <f t="shared" si="123"/>
        <v>0</v>
      </c>
      <c r="G246" s="1291">
        <f t="shared" si="124"/>
        <v>0</v>
      </c>
      <c r="H246" s="1291">
        <f t="shared" si="124"/>
        <v>0</v>
      </c>
      <c r="I246" s="1291">
        <f t="shared" si="124"/>
        <v>0</v>
      </c>
      <c r="J246" s="1291">
        <f t="shared" si="124"/>
        <v>0</v>
      </c>
      <c r="K246" s="1291">
        <f t="shared" si="124"/>
        <v>0</v>
      </c>
      <c r="L246" s="1292">
        <f t="shared" si="124"/>
        <v>0</v>
      </c>
    </row>
    <row r="247" spans="1:12" s="1278" customFormat="1" ht="13.5" customHeight="1">
      <c r="A247" s="2784"/>
      <c r="B247" s="2786"/>
      <c r="C247" s="1537"/>
      <c r="D247" s="1537"/>
      <c r="E247" s="1488"/>
      <c r="F247" s="1347">
        <f t="shared" si="123"/>
        <v>0</v>
      </c>
      <c r="G247" s="1291">
        <f t="shared" si="124"/>
        <v>0</v>
      </c>
      <c r="H247" s="1291">
        <f t="shared" si="124"/>
        <v>0</v>
      </c>
      <c r="I247" s="1291">
        <f t="shared" si="124"/>
        <v>0</v>
      </c>
      <c r="J247" s="1291">
        <f t="shared" si="124"/>
        <v>0</v>
      </c>
      <c r="K247" s="1291">
        <f t="shared" si="124"/>
        <v>0</v>
      </c>
      <c r="L247" s="1292">
        <f t="shared" si="124"/>
        <v>0</v>
      </c>
    </row>
    <row r="248" spans="1:12" s="1278" customFormat="1" ht="13.5" customHeight="1">
      <c r="A248" s="2784"/>
      <c r="B248" s="2786"/>
      <c r="C248" s="1537" t="s">
        <v>2851</v>
      </c>
      <c r="D248" s="1537"/>
      <c r="E248" s="1488"/>
      <c r="F248" s="1347">
        <f t="shared" si="123"/>
        <v>0</v>
      </c>
      <c r="G248" s="1291">
        <f t="shared" si="124"/>
        <v>0</v>
      </c>
      <c r="H248" s="1291">
        <f t="shared" si="124"/>
        <v>0</v>
      </c>
      <c r="I248" s="1291">
        <f t="shared" si="124"/>
        <v>0</v>
      </c>
      <c r="J248" s="1291">
        <f t="shared" si="124"/>
        <v>0</v>
      </c>
      <c r="K248" s="1291">
        <f t="shared" si="124"/>
        <v>0</v>
      </c>
      <c r="L248" s="1292">
        <f t="shared" si="124"/>
        <v>0</v>
      </c>
    </row>
    <row r="249" spans="1:12" s="1278" customFormat="1" ht="13.5" customHeight="1">
      <c r="A249" s="2784"/>
      <c r="B249" s="2786"/>
      <c r="C249" s="1537" t="s">
        <v>2852</v>
      </c>
      <c r="D249" s="1537"/>
      <c r="E249" s="1488"/>
      <c r="F249" s="1347">
        <f t="shared" si="123"/>
        <v>0</v>
      </c>
      <c r="G249" s="1291">
        <f t="shared" si="124"/>
        <v>0</v>
      </c>
      <c r="H249" s="1291">
        <f t="shared" si="124"/>
        <v>0</v>
      </c>
      <c r="I249" s="1291">
        <f t="shared" si="124"/>
        <v>0</v>
      </c>
      <c r="J249" s="1291">
        <f t="shared" si="124"/>
        <v>0</v>
      </c>
      <c r="K249" s="1291">
        <f t="shared" si="124"/>
        <v>0</v>
      </c>
      <c r="L249" s="1292">
        <f t="shared" si="124"/>
        <v>0</v>
      </c>
    </row>
    <row r="250" spans="1:12" s="1278" customFormat="1" ht="13.5" customHeight="1">
      <c r="A250" s="2784"/>
      <c r="B250" s="2766"/>
      <c r="C250" s="1548" t="s">
        <v>2797</v>
      </c>
      <c r="D250" s="1548"/>
      <c r="E250" s="1549"/>
      <c r="F250" s="1347">
        <f>SUM(G250:M250)</f>
        <v>0</v>
      </c>
      <c r="G250" s="1291">
        <f t="shared" si="124"/>
        <v>0</v>
      </c>
      <c r="H250" s="1291">
        <f t="shared" si="124"/>
        <v>0</v>
      </c>
      <c r="I250" s="1291">
        <f t="shared" si="124"/>
        <v>0</v>
      </c>
      <c r="J250" s="1291">
        <f t="shared" si="124"/>
        <v>0</v>
      </c>
      <c r="K250" s="1291">
        <f t="shared" si="124"/>
        <v>0</v>
      </c>
      <c r="L250" s="1292">
        <f t="shared" si="124"/>
        <v>0</v>
      </c>
    </row>
    <row r="251" spans="1:12" s="1278" customFormat="1" ht="13.5" customHeight="1">
      <c r="A251" s="2784"/>
      <c r="B251" s="2766"/>
      <c r="C251" s="1548" t="s">
        <v>2798</v>
      </c>
      <c r="D251" s="1548"/>
      <c r="E251" s="1549"/>
      <c r="F251" s="1347">
        <f>SUM(G251:M251)</f>
        <v>0</v>
      </c>
      <c r="G251" s="1291">
        <f t="shared" si="124"/>
        <v>0</v>
      </c>
      <c r="H251" s="1291">
        <f t="shared" si="124"/>
        <v>0</v>
      </c>
      <c r="I251" s="1291">
        <f t="shared" si="124"/>
        <v>0</v>
      </c>
      <c r="J251" s="1291">
        <f t="shared" si="124"/>
        <v>0</v>
      </c>
      <c r="K251" s="1291">
        <f t="shared" si="124"/>
        <v>0</v>
      </c>
      <c r="L251" s="1292">
        <f t="shared" si="124"/>
        <v>0</v>
      </c>
    </row>
    <row r="252" spans="1:12" s="1278" customFormat="1" ht="13.5" customHeight="1">
      <c r="A252" s="2785"/>
      <c r="B252" s="2787"/>
      <c r="C252" s="1550" t="s">
        <v>2832</v>
      </c>
      <c r="D252" s="1551"/>
      <c r="E252" s="1493"/>
      <c r="F252" s="1353">
        <f>SUM(G252:L252)</f>
        <v>0</v>
      </c>
      <c r="G252" s="1297">
        <f t="shared" si="124"/>
        <v>0</v>
      </c>
      <c r="H252" s="1297">
        <f t="shared" si="124"/>
        <v>0</v>
      </c>
      <c r="I252" s="1297">
        <f t="shared" si="124"/>
        <v>0</v>
      </c>
      <c r="J252" s="1297">
        <f t="shared" si="124"/>
        <v>0</v>
      </c>
      <c r="K252" s="1297">
        <f t="shared" si="124"/>
        <v>0</v>
      </c>
      <c r="L252" s="1298">
        <f t="shared" si="124"/>
        <v>0</v>
      </c>
    </row>
    <row r="253" spans="1:12" s="887" customFormat="1" ht="15" customHeight="1">
      <c r="A253" s="1034"/>
      <c r="B253" s="1034"/>
      <c r="C253" s="1554" t="s">
        <v>2741</v>
      </c>
      <c r="D253" s="808"/>
      <c r="E253" s="1033"/>
      <c r="F253" s="1033"/>
      <c r="G253" s="1037"/>
      <c r="H253" s="1037"/>
      <c r="I253" s="1037"/>
      <c r="J253" s="1037"/>
      <c r="K253" s="1037"/>
      <c r="L253" s="1091" t="s">
        <v>2853</v>
      </c>
    </row>
    <row r="254" spans="1:12" s="887" customFormat="1" ht="15" customHeight="1">
      <c r="A254" s="1034"/>
      <c r="B254" s="1034"/>
      <c r="C254" s="921" t="s">
        <v>2854</v>
      </c>
      <c r="D254" s="1555"/>
      <c r="E254" s="1033"/>
      <c r="F254" s="1033"/>
      <c r="G254" s="1037"/>
      <c r="H254" s="1037"/>
      <c r="I254" s="1037"/>
      <c r="J254" s="1037"/>
      <c r="K254" s="1037"/>
      <c r="L254" s="1091"/>
    </row>
    <row r="255" spans="1:12" s="887" customFormat="1" ht="15" customHeight="1">
      <c r="A255" s="1556"/>
      <c r="B255" s="1557"/>
      <c r="C255" s="1557"/>
      <c r="D255" s="2779"/>
      <c r="E255" s="2779" t="s">
        <v>2681</v>
      </c>
      <c r="F255" s="1083" t="s">
        <v>2526</v>
      </c>
      <c r="G255" s="1084" t="str">
        <f t="shared" ref="G255:L255" si="125">+G211</f>
        <v>◇◇◇改造工事の部</v>
      </c>
      <c r="H255" s="1084" t="str">
        <f t="shared" si="125"/>
        <v>◇◇◇改造工事の部</v>
      </c>
      <c r="I255" s="1084" t="str">
        <f t="shared" si="125"/>
        <v>◇◇◇改造工事の部</v>
      </c>
      <c r="J255" s="1084" t="str">
        <f t="shared" si="125"/>
        <v>◇◇◇改造工事の部</v>
      </c>
      <c r="K255" s="1084" t="str">
        <f t="shared" si="125"/>
        <v>◇◇◇改造工事の部</v>
      </c>
      <c r="L255" s="1304" t="str">
        <f t="shared" si="125"/>
        <v>◇◇◇改造工事の部</v>
      </c>
    </row>
    <row r="256" spans="1:12" s="887" customFormat="1" ht="15" customHeight="1">
      <c r="A256" s="2781" t="s">
        <v>2667</v>
      </c>
      <c r="B256" s="2782"/>
      <c r="C256" s="2782"/>
      <c r="D256" s="2780"/>
      <c r="E256" s="2780"/>
      <c r="F256" s="1092"/>
      <c r="G256" s="1093"/>
      <c r="H256" s="1093"/>
      <c r="I256" s="1093"/>
      <c r="J256" s="1093"/>
      <c r="K256" s="1093"/>
      <c r="L256" s="1558"/>
    </row>
    <row r="257" spans="1:12" s="887" customFormat="1" ht="14.25" customHeight="1">
      <c r="A257" s="1559"/>
      <c r="B257" s="1560" t="s">
        <v>2802</v>
      </c>
      <c r="C257" s="1561"/>
      <c r="D257" s="1084"/>
      <c r="E257" s="1562"/>
      <c r="F257" s="1099">
        <f>SUM(G257:L257)</f>
        <v>1570000</v>
      </c>
      <c r="G257" s="1100">
        <f t="shared" ref="G257:L257" si="126">SUM(G233:G234,G243:G249)</f>
        <v>1570000</v>
      </c>
      <c r="H257" s="1100">
        <f t="shared" si="126"/>
        <v>0</v>
      </c>
      <c r="I257" s="1100">
        <f t="shared" si="126"/>
        <v>0</v>
      </c>
      <c r="J257" s="1100">
        <f t="shared" si="126"/>
        <v>0</v>
      </c>
      <c r="K257" s="1100">
        <f t="shared" si="126"/>
        <v>0</v>
      </c>
      <c r="L257" s="1563">
        <f t="shared" si="126"/>
        <v>0</v>
      </c>
    </row>
    <row r="258" spans="1:12" s="887" customFormat="1" ht="15" customHeight="1">
      <c r="A258" s="1564"/>
      <c r="B258" s="2763" t="s">
        <v>2855</v>
      </c>
      <c r="C258" s="1483" t="s">
        <v>2551</v>
      </c>
      <c r="D258" s="1084"/>
      <c r="E258" s="1565" t="s">
        <v>2804</v>
      </c>
      <c r="F258" s="1099">
        <f>SUM(G258:L258)</f>
        <v>0</v>
      </c>
      <c r="G258" s="1068">
        <f>+G233</f>
        <v>0</v>
      </c>
      <c r="H258" s="1068">
        <f t="shared" ref="G258:L259" si="127">+H233</f>
        <v>0</v>
      </c>
      <c r="I258" s="1068">
        <f t="shared" si="127"/>
        <v>0</v>
      </c>
      <c r="J258" s="1068">
        <f t="shared" si="127"/>
        <v>0</v>
      </c>
      <c r="K258" s="1068">
        <f t="shared" si="127"/>
        <v>0</v>
      </c>
      <c r="L258" s="1069">
        <f t="shared" si="127"/>
        <v>0</v>
      </c>
    </row>
    <row r="259" spans="1:12" s="887" customFormat="1" ht="15" customHeight="1">
      <c r="A259" s="1567"/>
      <c r="B259" s="2767"/>
      <c r="C259" s="1537" t="s">
        <v>2552</v>
      </c>
      <c r="D259" s="1568"/>
      <c r="E259" s="1569" t="s">
        <v>2804</v>
      </c>
      <c r="F259" s="902">
        <f>SUM(G259:L259)</f>
        <v>1570000</v>
      </c>
      <c r="G259" s="903">
        <f t="shared" si="127"/>
        <v>1570000</v>
      </c>
      <c r="H259" s="903">
        <f t="shared" si="127"/>
        <v>0</v>
      </c>
      <c r="I259" s="903">
        <f t="shared" si="127"/>
        <v>0</v>
      </c>
      <c r="J259" s="903">
        <f t="shared" si="127"/>
        <v>0</v>
      </c>
      <c r="K259" s="903">
        <f t="shared" si="127"/>
        <v>0</v>
      </c>
      <c r="L259" s="904">
        <f t="shared" si="127"/>
        <v>0</v>
      </c>
    </row>
    <row r="260" spans="1:12" s="887" customFormat="1" ht="15" customHeight="1">
      <c r="A260" s="1567"/>
      <c r="B260" s="2766" t="s">
        <v>2757</v>
      </c>
      <c r="C260" s="1537" t="s">
        <v>2856</v>
      </c>
      <c r="D260" s="1568"/>
      <c r="E260" s="1546">
        <f t="shared" ref="E260:E265" si="128">+E132</f>
        <v>0.25</v>
      </c>
      <c r="F260" s="903">
        <f t="shared" ref="F260:F265" si="129">INT(F235/(1+$E260))</f>
        <v>424000</v>
      </c>
      <c r="G260" s="903">
        <f t="shared" ref="G260:G265" si="130">F260-SUM(H260:L260)</f>
        <v>424000</v>
      </c>
      <c r="H260" s="903">
        <f t="shared" ref="H260:L265" si="131">IF(H235=0,0,ROUND($F260/$F235*H235,0))</f>
        <v>0</v>
      </c>
      <c r="I260" s="903">
        <f t="shared" si="131"/>
        <v>0</v>
      </c>
      <c r="J260" s="903">
        <f t="shared" si="131"/>
        <v>0</v>
      </c>
      <c r="K260" s="903">
        <f t="shared" si="131"/>
        <v>0</v>
      </c>
      <c r="L260" s="904">
        <f t="shared" si="131"/>
        <v>0</v>
      </c>
    </row>
    <row r="261" spans="1:12" s="887" customFormat="1" ht="15" customHeight="1">
      <c r="A261" s="1567"/>
      <c r="B261" s="2764"/>
      <c r="C261" s="1537" t="s">
        <v>2857</v>
      </c>
      <c r="D261" s="1568"/>
      <c r="E261" s="1546">
        <f t="shared" si="128"/>
        <v>0.25</v>
      </c>
      <c r="F261" s="903">
        <f t="shared" si="129"/>
        <v>400000</v>
      </c>
      <c r="G261" s="903">
        <f t="shared" si="130"/>
        <v>400000</v>
      </c>
      <c r="H261" s="903">
        <f t="shared" si="131"/>
        <v>0</v>
      </c>
      <c r="I261" s="903">
        <f t="shared" si="131"/>
        <v>0</v>
      </c>
      <c r="J261" s="903">
        <f t="shared" si="131"/>
        <v>0</v>
      </c>
      <c r="K261" s="903">
        <f t="shared" si="131"/>
        <v>0</v>
      </c>
      <c r="L261" s="904">
        <f t="shared" si="131"/>
        <v>0</v>
      </c>
    </row>
    <row r="262" spans="1:12" s="887" customFormat="1" ht="15" customHeight="1">
      <c r="A262" s="1567"/>
      <c r="B262" s="2764"/>
      <c r="C262" s="1571" t="s">
        <v>2858</v>
      </c>
      <c r="D262" s="1568"/>
      <c r="E262" s="1546">
        <f t="shared" si="128"/>
        <v>0.22</v>
      </c>
      <c r="F262" s="903">
        <f t="shared" si="129"/>
        <v>4508196</v>
      </c>
      <c r="G262" s="903">
        <f t="shared" si="130"/>
        <v>4508196</v>
      </c>
      <c r="H262" s="903">
        <f t="shared" si="131"/>
        <v>0</v>
      </c>
      <c r="I262" s="903">
        <f t="shared" si="131"/>
        <v>0</v>
      </c>
      <c r="J262" s="903">
        <f t="shared" si="131"/>
        <v>0</v>
      </c>
      <c r="K262" s="903">
        <f t="shared" si="131"/>
        <v>0</v>
      </c>
      <c r="L262" s="904">
        <f t="shared" si="131"/>
        <v>0</v>
      </c>
    </row>
    <row r="263" spans="1:12" s="887" customFormat="1" ht="15" customHeight="1">
      <c r="A263" s="1567"/>
      <c r="B263" s="2764"/>
      <c r="C263" s="1537" t="s">
        <v>2859</v>
      </c>
      <c r="D263" s="1568"/>
      <c r="E263" s="1546">
        <f t="shared" si="128"/>
        <v>0.25</v>
      </c>
      <c r="F263" s="903">
        <f t="shared" si="129"/>
        <v>0</v>
      </c>
      <c r="G263" s="903">
        <f t="shared" si="130"/>
        <v>0</v>
      </c>
      <c r="H263" s="903">
        <f t="shared" si="131"/>
        <v>0</v>
      </c>
      <c r="I263" s="903">
        <f t="shared" si="131"/>
        <v>0</v>
      </c>
      <c r="J263" s="903">
        <f t="shared" si="131"/>
        <v>0</v>
      </c>
      <c r="K263" s="903">
        <f t="shared" si="131"/>
        <v>0</v>
      </c>
      <c r="L263" s="904">
        <f t="shared" si="131"/>
        <v>0</v>
      </c>
    </row>
    <row r="264" spans="1:12" s="887" customFormat="1" ht="15" customHeight="1">
      <c r="A264" s="1567"/>
      <c r="B264" s="2764"/>
      <c r="C264" s="1537" t="s">
        <v>2860</v>
      </c>
      <c r="D264" s="1568"/>
      <c r="E264" s="1546">
        <f t="shared" si="128"/>
        <v>0.25</v>
      </c>
      <c r="F264" s="903">
        <f t="shared" si="129"/>
        <v>0</v>
      </c>
      <c r="G264" s="903">
        <f t="shared" si="130"/>
        <v>0</v>
      </c>
      <c r="H264" s="903">
        <f t="shared" si="131"/>
        <v>0</v>
      </c>
      <c r="I264" s="903">
        <f t="shared" si="131"/>
        <v>0</v>
      </c>
      <c r="J264" s="903">
        <f t="shared" si="131"/>
        <v>0</v>
      </c>
      <c r="K264" s="903">
        <f t="shared" si="131"/>
        <v>0</v>
      </c>
      <c r="L264" s="904">
        <f t="shared" si="131"/>
        <v>0</v>
      </c>
    </row>
    <row r="265" spans="1:12" s="887" customFormat="1" ht="15" customHeight="1">
      <c r="A265" s="1567"/>
      <c r="B265" s="2764"/>
      <c r="C265" s="1537" t="s">
        <v>2861</v>
      </c>
      <c r="D265" s="1568"/>
      <c r="E265" s="1546">
        <f t="shared" si="128"/>
        <v>0.25</v>
      </c>
      <c r="F265" s="903">
        <f t="shared" si="129"/>
        <v>0</v>
      </c>
      <c r="G265" s="903">
        <f t="shared" si="130"/>
        <v>0</v>
      </c>
      <c r="H265" s="903">
        <f t="shared" si="131"/>
        <v>0</v>
      </c>
      <c r="I265" s="903">
        <f t="shared" si="131"/>
        <v>0</v>
      </c>
      <c r="J265" s="903">
        <f t="shared" si="131"/>
        <v>0</v>
      </c>
      <c r="K265" s="903">
        <f t="shared" si="131"/>
        <v>0</v>
      </c>
      <c r="L265" s="904">
        <f t="shared" si="131"/>
        <v>0</v>
      </c>
    </row>
    <row r="266" spans="1:12" s="887" customFormat="1" ht="15" customHeight="1">
      <c r="A266" s="1567"/>
      <c r="B266" s="2764"/>
      <c r="C266" s="1537"/>
      <c r="D266" s="1568"/>
      <c r="E266" s="1546"/>
      <c r="F266" s="902"/>
      <c r="G266" s="903"/>
      <c r="H266" s="903"/>
      <c r="I266" s="903"/>
      <c r="J266" s="903"/>
      <c r="K266" s="903"/>
      <c r="L266" s="904"/>
    </row>
    <row r="267" spans="1:12" s="887" customFormat="1" ht="15" customHeight="1">
      <c r="A267" s="1567"/>
      <c r="B267" s="2767"/>
      <c r="C267" s="1537"/>
      <c r="D267" s="1568"/>
      <c r="E267" s="1546"/>
      <c r="F267" s="902"/>
      <c r="G267" s="903"/>
      <c r="H267" s="903"/>
      <c r="I267" s="903"/>
      <c r="J267" s="903"/>
      <c r="K267" s="903"/>
      <c r="L267" s="904"/>
    </row>
    <row r="268" spans="1:12" s="887" customFormat="1" ht="15" customHeight="1">
      <c r="A268" s="1567"/>
      <c r="B268" s="2766" t="s">
        <v>489</v>
      </c>
      <c r="C268" s="1537" t="s">
        <v>2862</v>
      </c>
      <c r="D268" s="1568"/>
      <c r="E268" s="1546">
        <v>0.02</v>
      </c>
      <c r="F268" s="902">
        <f>SUM(G268:L268)</f>
        <v>0</v>
      </c>
      <c r="G268" s="903">
        <f>+G243</f>
        <v>0</v>
      </c>
      <c r="H268" s="903">
        <f t="shared" ref="G268:L270" si="132">+H243</f>
        <v>0</v>
      </c>
      <c r="I268" s="903">
        <f t="shared" si="132"/>
        <v>0</v>
      </c>
      <c r="J268" s="903">
        <f t="shared" si="132"/>
        <v>0</v>
      </c>
      <c r="K268" s="903">
        <f t="shared" si="132"/>
        <v>0</v>
      </c>
      <c r="L268" s="904">
        <f t="shared" si="132"/>
        <v>0</v>
      </c>
    </row>
    <row r="269" spans="1:12" s="887" customFormat="1" ht="15" customHeight="1">
      <c r="A269" s="1567"/>
      <c r="B269" s="2764"/>
      <c r="C269" s="1547" t="s">
        <v>2863</v>
      </c>
      <c r="D269" s="1568"/>
      <c r="E269" s="1546">
        <v>0.02</v>
      </c>
      <c r="F269" s="902">
        <f>SUM(G269:L269)</f>
        <v>0</v>
      </c>
      <c r="G269" s="903">
        <f t="shared" si="132"/>
        <v>0</v>
      </c>
      <c r="H269" s="903">
        <f t="shared" si="132"/>
        <v>0</v>
      </c>
      <c r="I269" s="903">
        <f t="shared" si="132"/>
        <v>0</v>
      </c>
      <c r="J269" s="903">
        <f t="shared" si="132"/>
        <v>0</v>
      </c>
      <c r="K269" s="903">
        <f t="shared" si="132"/>
        <v>0</v>
      </c>
      <c r="L269" s="904">
        <f t="shared" si="132"/>
        <v>0</v>
      </c>
    </row>
    <row r="270" spans="1:12" s="887" customFormat="1" ht="15" customHeight="1">
      <c r="A270" s="1567"/>
      <c r="B270" s="2767"/>
      <c r="C270" s="1547" t="s">
        <v>2864</v>
      </c>
      <c r="D270" s="1568"/>
      <c r="E270" s="1546">
        <v>0.02</v>
      </c>
      <c r="F270" s="902">
        <f>SUM(G270:L270)</f>
        <v>0</v>
      </c>
      <c r="G270" s="903">
        <f t="shared" si="132"/>
        <v>0</v>
      </c>
      <c r="H270" s="903">
        <f t="shared" si="132"/>
        <v>0</v>
      </c>
      <c r="I270" s="903">
        <f t="shared" si="132"/>
        <v>0</v>
      </c>
      <c r="J270" s="903">
        <f t="shared" si="132"/>
        <v>0</v>
      </c>
      <c r="K270" s="903">
        <f t="shared" si="132"/>
        <v>0</v>
      </c>
      <c r="L270" s="904">
        <f t="shared" si="132"/>
        <v>0</v>
      </c>
    </row>
    <row r="271" spans="1:12" s="887" customFormat="1" ht="15" customHeight="1">
      <c r="A271" s="1567"/>
      <c r="B271" s="1573" t="s">
        <v>2652</v>
      </c>
      <c r="C271" s="1574" t="s">
        <v>2865</v>
      </c>
      <c r="D271" s="1568"/>
      <c r="E271" s="1546">
        <v>0</v>
      </c>
      <c r="F271" s="902">
        <f>SUM(G271:L271)</f>
        <v>0</v>
      </c>
      <c r="G271" s="1064">
        <f t="shared" ref="G271:L271" si="133">SUM(G246:G252)</f>
        <v>0</v>
      </c>
      <c r="H271" s="1064">
        <f t="shared" si="133"/>
        <v>0</v>
      </c>
      <c r="I271" s="1064">
        <f t="shared" si="133"/>
        <v>0</v>
      </c>
      <c r="J271" s="1064">
        <f t="shared" si="133"/>
        <v>0</v>
      </c>
      <c r="K271" s="1064">
        <f t="shared" si="133"/>
        <v>0</v>
      </c>
      <c r="L271" s="1065">
        <f t="shared" si="133"/>
        <v>0</v>
      </c>
    </row>
    <row r="272" spans="1:12" s="887" customFormat="1" ht="15" customHeight="1">
      <c r="A272" s="1576" t="s">
        <v>2573</v>
      </c>
      <c r="B272" s="1577"/>
      <c r="C272" s="1577"/>
      <c r="D272" s="1578"/>
      <c r="E272" s="1579" t="s">
        <v>2814</v>
      </c>
      <c r="F272" s="1580"/>
      <c r="G272" s="1581"/>
      <c r="H272" s="1581"/>
      <c r="I272" s="1581"/>
      <c r="J272" s="1581"/>
      <c r="K272" s="1581"/>
      <c r="L272" s="1582"/>
    </row>
    <row r="273" spans="1:12" s="887" customFormat="1" ht="15" customHeight="1">
      <c r="A273" s="1564"/>
      <c r="B273" s="2763" t="s">
        <v>2855</v>
      </c>
      <c r="C273" s="1114" t="s">
        <v>2551</v>
      </c>
      <c r="D273" s="1115"/>
      <c r="E273" s="1116" t="s">
        <v>2866</v>
      </c>
      <c r="F273" s="1117" t="s">
        <v>2867</v>
      </c>
      <c r="G273" s="1118">
        <f t="shared" ref="G273:L273" si="134">IF(G258=0,0,+G338/100)</f>
        <v>0</v>
      </c>
      <c r="H273" s="1118">
        <f t="shared" si="134"/>
        <v>0</v>
      </c>
      <c r="I273" s="1118">
        <f t="shared" si="134"/>
        <v>0</v>
      </c>
      <c r="J273" s="1118">
        <f t="shared" si="134"/>
        <v>0</v>
      </c>
      <c r="K273" s="1118">
        <f t="shared" si="134"/>
        <v>0</v>
      </c>
      <c r="L273" s="1119">
        <f t="shared" si="134"/>
        <v>0</v>
      </c>
    </row>
    <row r="274" spans="1:12" s="887" customFormat="1" ht="15" customHeight="1">
      <c r="A274" s="1567"/>
      <c r="B274" s="2764"/>
      <c r="C274" s="1120"/>
      <c r="D274" s="1583">
        <v>1</v>
      </c>
      <c r="E274" s="1122" t="s">
        <v>2866</v>
      </c>
      <c r="F274" s="1055">
        <f>SUM(G274:N274)</f>
        <v>0</v>
      </c>
      <c r="G274" s="1071">
        <f t="shared" ref="G274:L274" si="135">ROUNDDOWN(G258*G273*$D274,0)</f>
        <v>0</v>
      </c>
      <c r="H274" s="1071">
        <f t="shared" si="135"/>
        <v>0</v>
      </c>
      <c r="I274" s="1071">
        <f t="shared" si="135"/>
        <v>0</v>
      </c>
      <c r="J274" s="1071">
        <f t="shared" si="135"/>
        <v>0</v>
      </c>
      <c r="K274" s="1071">
        <f t="shared" si="135"/>
        <v>0</v>
      </c>
      <c r="L274" s="1072">
        <f t="shared" si="135"/>
        <v>0</v>
      </c>
    </row>
    <row r="275" spans="1:12" s="887" customFormat="1" ht="15" customHeight="1">
      <c r="A275" s="1567"/>
      <c r="B275" s="2764"/>
      <c r="C275" s="1123" t="s">
        <v>2552</v>
      </c>
      <c r="D275" s="1124"/>
      <c r="E275" s="1122" t="s">
        <v>2866</v>
      </c>
      <c r="F275" s="1125" t="s">
        <v>2868</v>
      </c>
      <c r="G275" s="1146">
        <f t="shared" ref="G275:L275" si="136">IF(G259=0,0,+G346/100)</f>
        <v>0.2261</v>
      </c>
      <c r="H275" s="1146">
        <f t="shared" si="136"/>
        <v>0</v>
      </c>
      <c r="I275" s="1146">
        <f t="shared" si="136"/>
        <v>0</v>
      </c>
      <c r="J275" s="1146">
        <f t="shared" si="136"/>
        <v>0</v>
      </c>
      <c r="K275" s="1146">
        <f t="shared" si="136"/>
        <v>0</v>
      </c>
      <c r="L275" s="1584">
        <f t="shared" si="136"/>
        <v>0</v>
      </c>
    </row>
    <row r="276" spans="1:12" s="887" customFormat="1" ht="15" customHeight="1">
      <c r="A276" s="1567"/>
      <c r="B276" s="2765"/>
      <c r="C276" s="1120"/>
      <c r="D276" s="1585">
        <v>1</v>
      </c>
      <c r="E276" s="1122" t="s">
        <v>2866</v>
      </c>
      <c r="F276" s="1055">
        <f>SUM(G276:N276)</f>
        <v>354977</v>
      </c>
      <c r="G276" s="1071">
        <f t="shared" ref="G276:L276" si="137">ROUNDDOWN(G259*G275*$D276,0)</f>
        <v>354977</v>
      </c>
      <c r="H276" s="1071">
        <f t="shared" si="137"/>
        <v>0</v>
      </c>
      <c r="I276" s="1071">
        <f t="shared" si="137"/>
        <v>0</v>
      </c>
      <c r="J276" s="1071">
        <f t="shared" si="137"/>
        <v>0</v>
      </c>
      <c r="K276" s="1071">
        <f t="shared" si="137"/>
        <v>0</v>
      </c>
      <c r="L276" s="1072">
        <f t="shared" si="137"/>
        <v>0</v>
      </c>
    </row>
    <row r="277" spans="1:12" s="887" customFormat="1" ht="15" customHeight="1">
      <c r="A277" s="1567"/>
      <c r="B277" s="2766" t="s">
        <v>2757</v>
      </c>
      <c r="C277" s="1537" t="str">
        <f>+C260</f>
        <v>(3)共通仮設工事</v>
      </c>
      <c r="D277" s="1586"/>
      <c r="E277" s="1546">
        <f t="shared" ref="E277:E282" si="138">+E260</f>
        <v>0.25</v>
      </c>
      <c r="F277" s="902">
        <f t="shared" ref="F277:F282" si="139">INT((F235-F260)*0.5)</f>
        <v>53000</v>
      </c>
      <c r="G277" s="903">
        <f t="shared" ref="G277:G282" si="140">F277-SUM(H277:L277)</f>
        <v>53000</v>
      </c>
      <c r="H277" s="903">
        <f t="shared" ref="H277:L282" si="141">IF(H260=0,0,ROUND($F277/$F260*H260,0))</f>
        <v>0</v>
      </c>
      <c r="I277" s="903">
        <f t="shared" si="141"/>
        <v>0</v>
      </c>
      <c r="J277" s="903">
        <f t="shared" si="141"/>
        <v>0</v>
      </c>
      <c r="K277" s="903">
        <f t="shared" si="141"/>
        <v>0</v>
      </c>
      <c r="L277" s="904">
        <f t="shared" si="141"/>
        <v>0</v>
      </c>
    </row>
    <row r="278" spans="1:12" s="887" customFormat="1" ht="15" customHeight="1">
      <c r="A278" s="1567"/>
      <c r="B278" s="2764"/>
      <c r="C278" s="1537" t="str">
        <f>+C261</f>
        <v>(4)直接仮設工事</v>
      </c>
      <c r="D278" s="1586"/>
      <c r="E278" s="1546">
        <f t="shared" si="138"/>
        <v>0.25</v>
      </c>
      <c r="F278" s="902">
        <f t="shared" si="139"/>
        <v>50000</v>
      </c>
      <c r="G278" s="903">
        <f t="shared" si="140"/>
        <v>50000</v>
      </c>
      <c r="H278" s="903">
        <f t="shared" si="141"/>
        <v>0</v>
      </c>
      <c r="I278" s="903">
        <f t="shared" si="141"/>
        <v>0</v>
      </c>
      <c r="J278" s="903">
        <f t="shared" si="141"/>
        <v>0</v>
      </c>
      <c r="K278" s="903">
        <f t="shared" si="141"/>
        <v>0</v>
      </c>
      <c r="L278" s="904">
        <f t="shared" si="141"/>
        <v>0</v>
      </c>
    </row>
    <row r="279" spans="1:12" s="887" customFormat="1" ht="15" customHeight="1">
      <c r="A279" s="1567"/>
      <c r="B279" s="2764"/>
      <c r="C279" s="1571" t="str">
        <f>C262</f>
        <v>(5)建具工事</v>
      </c>
      <c r="D279" s="1586"/>
      <c r="E279" s="1587">
        <f t="shared" si="138"/>
        <v>0.22</v>
      </c>
      <c r="F279" s="902">
        <f t="shared" si="139"/>
        <v>495902</v>
      </c>
      <c r="G279" s="903">
        <f t="shared" si="140"/>
        <v>495902</v>
      </c>
      <c r="H279" s="903">
        <f t="shared" si="141"/>
        <v>0</v>
      </c>
      <c r="I279" s="903">
        <f t="shared" si="141"/>
        <v>0</v>
      </c>
      <c r="J279" s="903">
        <f t="shared" si="141"/>
        <v>0</v>
      </c>
      <c r="K279" s="903">
        <f t="shared" si="141"/>
        <v>0</v>
      </c>
      <c r="L279" s="904">
        <f t="shared" si="141"/>
        <v>0</v>
      </c>
    </row>
    <row r="280" spans="1:12" s="887" customFormat="1" ht="15" customHeight="1">
      <c r="A280" s="1567"/>
      <c r="B280" s="2764"/>
      <c r="C280" s="1537" t="str">
        <f>+C263</f>
        <v>(6)場内小運搬費</v>
      </c>
      <c r="D280" s="1586"/>
      <c r="E280" s="1546">
        <f t="shared" si="138"/>
        <v>0.25</v>
      </c>
      <c r="F280" s="902">
        <f t="shared" si="139"/>
        <v>0</v>
      </c>
      <c r="G280" s="903">
        <f t="shared" si="140"/>
        <v>0</v>
      </c>
      <c r="H280" s="903">
        <f t="shared" si="141"/>
        <v>0</v>
      </c>
      <c r="I280" s="903">
        <f t="shared" si="141"/>
        <v>0</v>
      </c>
      <c r="J280" s="903">
        <f t="shared" si="141"/>
        <v>0</v>
      </c>
      <c r="K280" s="903">
        <f t="shared" si="141"/>
        <v>0</v>
      </c>
      <c r="L280" s="904">
        <f t="shared" si="141"/>
        <v>0</v>
      </c>
    </row>
    <row r="281" spans="1:12" s="887" customFormat="1" ht="15" customHeight="1">
      <c r="A281" s="1567"/>
      <c r="B281" s="2764"/>
      <c r="C281" s="1537" t="str">
        <f>+C264</f>
        <v>(7)〃人力積込み費</v>
      </c>
      <c r="D281" s="1586"/>
      <c r="E281" s="1546">
        <f t="shared" si="138"/>
        <v>0.25</v>
      </c>
      <c r="F281" s="902">
        <f t="shared" si="139"/>
        <v>0</v>
      </c>
      <c r="G281" s="903">
        <f t="shared" si="140"/>
        <v>0</v>
      </c>
      <c r="H281" s="903">
        <f t="shared" si="141"/>
        <v>0</v>
      </c>
      <c r="I281" s="903">
        <f t="shared" si="141"/>
        <v>0</v>
      </c>
      <c r="J281" s="903">
        <f t="shared" si="141"/>
        <v>0</v>
      </c>
      <c r="K281" s="903">
        <f t="shared" si="141"/>
        <v>0</v>
      </c>
      <c r="L281" s="904">
        <f t="shared" si="141"/>
        <v>0</v>
      </c>
    </row>
    <row r="282" spans="1:12" s="887" customFormat="1" ht="15" customHeight="1">
      <c r="A282" s="1567"/>
      <c r="B282" s="2764"/>
      <c r="C282" s="1537" t="str">
        <f>+C265</f>
        <v>(8)〃搬出準備費</v>
      </c>
      <c r="D282" s="1586"/>
      <c r="E282" s="1546">
        <f t="shared" si="138"/>
        <v>0.25</v>
      </c>
      <c r="F282" s="902">
        <f t="shared" si="139"/>
        <v>0</v>
      </c>
      <c r="G282" s="903">
        <f t="shared" si="140"/>
        <v>0</v>
      </c>
      <c r="H282" s="903">
        <f t="shared" si="141"/>
        <v>0</v>
      </c>
      <c r="I282" s="903">
        <f t="shared" si="141"/>
        <v>0</v>
      </c>
      <c r="J282" s="903">
        <f t="shared" si="141"/>
        <v>0</v>
      </c>
      <c r="K282" s="903">
        <f t="shared" si="141"/>
        <v>0</v>
      </c>
      <c r="L282" s="904">
        <f t="shared" si="141"/>
        <v>0</v>
      </c>
    </row>
    <row r="283" spans="1:12" s="887" customFormat="1" ht="15" customHeight="1">
      <c r="A283" s="1567"/>
      <c r="B283" s="2764"/>
      <c r="C283" s="1537"/>
      <c r="D283" s="1586"/>
      <c r="E283" s="1588"/>
      <c r="F283" s="902"/>
      <c r="G283" s="903"/>
      <c r="H283" s="903"/>
      <c r="I283" s="903"/>
      <c r="J283" s="903"/>
      <c r="K283" s="903"/>
      <c r="L283" s="904"/>
    </row>
    <row r="284" spans="1:12" s="887" customFormat="1" ht="15" customHeight="1">
      <c r="A284" s="1567"/>
      <c r="B284" s="2767"/>
      <c r="C284" s="1537"/>
      <c r="D284" s="1586"/>
      <c r="E284" s="1546"/>
      <c r="F284" s="902"/>
      <c r="G284" s="903"/>
      <c r="H284" s="903"/>
      <c r="I284" s="903"/>
      <c r="J284" s="903"/>
      <c r="K284" s="903"/>
      <c r="L284" s="904"/>
    </row>
    <row r="285" spans="1:12" s="887" customFormat="1" ht="15" customHeight="1">
      <c r="A285" s="1567"/>
      <c r="B285" s="2766" t="s">
        <v>489</v>
      </c>
      <c r="C285" s="1537" t="s">
        <v>2847</v>
      </c>
      <c r="D285" s="1586"/>
      <c r="E285" s="1546">
        <f>+E268</f>
        <v>0.02</v>
      </c>
      <c r="F285" s="902">
        <f>INT(F268*E285)</f>
        <v>0</v>
      </c>
      <c r="G285" s="903">
        <f>F285-SUM(H285:L285)</f>
        <v>0</v>
      </c>
      <c r="H285" s="903">
        <f t="shared" ref="H285:L287" si="142">IF(H268=0,0,ROUND($F285/$F268*H268,0))</f>
        <v>0</v>
      </c>
      <c r="I285" s="903">
        <f t="shared" si="142"/>
        <v>0</v>
      </c>
      <c r="J285" s="903">
        <f t="shared" si="142"/>
        <v>0</v>
      </c>
      <c r="K285" s="903">
        <f t="shared" si="142"/>
        <v>0</v>
      </c>
      <c r="L285" s="904">
        <f t="shared" si="142"/>
        <v>0</v>
      </c>
    </row>
    <row r="286" spans="1:12" s="887" customFormat="1" ht="15" customHeight="1">
      <c r="A286" s="1567"/>
      <c r="B286" s="2764"/>
      <c r="C286" s="1547" t="s">
        <v>2863</v>
      </c>
      <c r="D286" s="1586"/>
      <c r="E286" s="1546">
        <f>+E269</f>
        <v>0.02</v>
      </c>
      <c r="F286" s="902">
        <f>INT(F269*E286)</f>
        <v>0</v>
      </c>
      <c r="G286" s="903">
        <f>F286-SUM(H286:L286)</f>
        <v>0</v>
      </c>
      <c r="H286" s="903">
        <f t="shared" si="142"/>
        <v>0</v>
      </c>
      <c r="I286" s="903">
        <f t="shared" si="142"/>
        <v>0</v>
      </c>
      <c r="J286" s="903">
        <f t="shared" si="142"/>
        <v>0</v>
      </c>
      <c r="K286" s="903">
        <f t="shared" si="142"/>
        <v>0</v>
      </c>
      <c r="L286" s="904">
        <f t="shared" si="142"/>
        <v>0</v>
      </c>
    </row>
    <row r="287" spans="1:12" s="887" customFormat="1" ht="15" customHeight="1">
      <c r="A287" s="1567"/>
      <c r="B287" s="2767"/>
      <c r="C287" s="1547" t="s">
        <v>2864</v>
      </c>
      <c r="D287" s="1586"/>
      <c r="E287" s="1546">
        <f>+E270</f>
        <v>0.02</v>
      </c>
      <c r="F287" s="902">
        <f>INT(F270*E287)</f>
        <v>0</v>
      </c>
      <c r="G287" s="903">
        <f>F287-SUM(H287:L287)</f>
        <v>0</v>
      </c>
      <c r="H287" s="903">
        <f t="shared" si="142"/>
        <v>0</v>
      </c>
      <c r="I287" s="903">
        <f t="shared" si="142"/>
        <v>0</v>
      </c>
      <c r="J287" s="903">
        <f t="shared" si="142"/>
        <v>0</v>
      </c>
      <c r="K287" s="903">
        <f t="shared" si="142"/>
        <v>0</v>
      </c>
      <c r="L287" s="904">
        <f t="shared" si="142"/>
        <v>0</v>
      </c>
    </row>
    <row r="288" spans="1:12" s="887" customFormat="1" ht="14.25" customHeight="1">
      <c r="A288" s="1567"/>
      <c r="B288" s="1589" t="s">
        <v>2582</v>
      </c>
      <c r="C288" s="1690" t="s">
        <v>2823</v>
      </c>
      <c r="D288" s="1591"/>
      <c r="E288" s="1546"/>
      <c r="F288" s="902">
        <f>SUM(G288:M288)</f>
        <v>0</v>
      </c>
      <c r="G288" s="1291">
        <f t="shared" ref="G288:L288" si="143">+G143+G42</f>
        <v>0</v>
      </c>
      <c r="H288" s="1291">
        <f t="shared" si="143"/>
        <v>0</v>
      </c>
      <c r="I288" s="1291">
        <f t="shared" si="143"/>
        <v>0</v>
      </c>
      <c r="J288" s="1291">
        <f t="shared" si="143"/>
        <v>0</v>
      </c>
      <c r="K288" s="1291">
        <f t="shared" si="143"/>
        <v>0</v>
      </c>
      <c r="L288" s="1292">
        <f t="shared" si="143"/>
        <v>0</v>
      </c>
    </row>
    <row r="289" spans="1:12" s="887" customFormat="1" ht="14.25" customHeight="1">
      <c r="A289" s="1567"/>
      <c r="B289" s="1592" t="s">
        <v>2584</v>
      </c>
      <c r="C289" s="1212" t="s">
        <v>2824</v>
      </c>
      <c r="D289" s="1591"/>
      <c r="E289" s="1546"/>
      <c r="F289" s="902"/>
      <c r="G289" s="903"/>
      <c r="H289" s="903"/>
      <c r="I289" s="903"/>
      <c r="J289" s="903"/>
      <c r="K289" s="903"/>
      <c r="L289" s="904"/>
    </row>
    <row r="290" spans="1:12" s="887" customFormat="1" ht="15" customHeight="1">
      <c r="A290" s="1567"/>
      <c r="B290" s="1594" t="s">
        <v>2652</v>
      </c>
      <c r="C290" s="1595" t="s">
        <v>2825</v>
      </c>
      <c r="D290" s="1596"/>
      <c r="E290" s="1597">
        <f>+E271</f>
        <v>0</v>
      </c>
      <c r="F290" s="902">
        <f>INT(F271*E290)</f>
        <v>0</v>
      </c>
      <c r="G290" s="903">
        <f>F290-SUM(H290:L290)</f>
        <v>0</v>
      </c>
      <c r="H290" s="903">
        <f>IF(H271=0,0,ROUND($F290/$F271*H271,0))</f>
        <v>0</v>
      </c>
      <c r="I290" s="903">
        <f>IF(I271=0,0,ROUND($F290/$F271*I271,0))</f>
        <v>0</v>
      </c>
      <c r="J290" s="903">
        <f>IF(J271=0,0,ROUND($F290/$F271*J271,0))</f>
        <v>0</v>
      </c>
      <c r="K290" s="903">
        <f>IF(K271=0,0,ROUND($F290/$F271*K271,0))</f>
        <v>0</v>
      </c>
      <c r="L290" s="904">
        <f>IF(L271=0,0,ROUND($F290/$F271*L271,0))</f>
        <v>0</v>
      </c>
    </row>
    <row r="291" spans="1:12" s="887" customFormat="1" ht="15" customHeight="1" thickBot="1">
      <c r="A291" s="1598"/>
      <c r="B291" s="1599"/>
      <c r="C291" s="1600"/>
      <c r="D291" s="1601"/>
      <c r="E291" s="1597"/>
      <c r="F291" s="1135"/>
      <c r="G291" s="903"/>
      <c r="H291" s="1219"/>
      <c r="I291" s="1219"/>
      <c r="J291" s="1219"/>
      <c r="K291" s="1219"/>
      <c r="L291" s="1220"/>
    </row>
    <row r="292" spans="1:12" s="887" customFormat="1" ht="15" customHeight="1" thickTop="1">
      <c r="A292" s="1602"/>
      <c r="B292" s="1603"/>
      <c r="C292" s="1604" t="s">
        <v>2677</v>
      </c>
      <c r="D292" s="1605"/>
      <c r="E292" s="1606"/>
      <c r="F292" s="1160">
        <f>SUM(F273:F291)</f>
        <v>953879</v>
      </c>
      <c r="G292" s="1160">
        <f t="shared" ref="G292:L292" si="144">SUM(G276:G291)+G274</f>
        <v>953879</v>
      </c>
      <c r="H292" s="1160">
        <f t="shared" si="144"/>
        <v>0</v>
      </c>
      <c r="I292" s="1160">
        <f t="shared" si="144"/>
        <v>0</v>
      </c>
      <c r="J292" s="1160">
        <f t="shared" si="144"/>
        <v>0</v>
      </c>
      <c r="K292" s="1160">
        <f t="shared" si="144"/>
        <v>0</v>
      </c>
      <c r="L292" s="1161">
        <f t="shared" si="144"/>
        <v>0</v>
      </c>
    </row>
    <row r="293" spans="1:12" s="887" customFormat="1" ht="15" customHeight="1">
      <c r="A293" s="1607"/>
      <c r="B293" s="1608"/>
      <c r="C293" s="1609" t="s">
        <v>2678</v>
      </c>
      <c r="D293" s="1610"/>
      <c r="E293" s="1611"/>
      <c r="F293" s="937">
        <f>SUM(G293:L293)</f>
        <v>7856075</v>
      </c>
      <c r="G293" s="1064">
        <f t="shared" ref="G293:L293" si="145">+G216+G292</f>
        <v>7856075</v>
      </c>
      <c r="H293" s="1064">
        <f t="shared" si="145"/>
        <v>0</v>
      </c>
      <c r="I293" s="1064">
        <f t="shared" si="145"/>
        <v>0</v>
      </c>
      <c r="J293" s="1064">
        <f t="shared" si="145"/>
        <v>0</v>
      </c>
      <c r="K293" s="1064">
        <f t="shared" si="145"/>
        <v>0</v>
      </c>
      <c r="L293" s="1065">
        <f t="shared" si="145"/>
        <v>0</v>
      </c>
    </row>
    <row r="294" spans="1:12" s="887" customFormat="1" ht="15" customHeight="1">
      <c r="A294" s="1034"/>
      <c r="B294" s="1034"/>
      <c r="C294" s="1554" t="s">
        <v>2745</v>
      </c>
      <c r="D294" s="808"/>
      <c r="E294" s="1033"/>
      <c r="F294" s="1033"/>
      <c r="G294" s="1091"/>
      <c r="H294" s="1037"/>
      <c r="I294" s="1037"/>
      <c r="J294" s="1037"/>
      <c r="K294" s="1037"/>
      <c r="L294" s="1091" t="s">
        <v>2869</v>
      </c>
    </row>
    <row r="295" spans="1:12" s="887" customFormat="1" ht="15" customHeight="1">
      <c r="A295" s="1034"/>
      <c r="B295" s="1034"/>
      <c r="C295" s="1034"/>
      <c r="D295" s="1034"/>
      <c r="E295" s="1034"/>
      <c r="F295" s="1034"/>
      <c r="G295" s="1037"/>
      <c r="H295" s="1037"/>
      <c r="I295" s="1037"/>
      <c r="J295" s="1037"/>
      <c r="K295" s="1037"/>
      <c r="L295" s="1037"/>
    </row>
    <row r="296" spans="1:12" s="887" customFormat="1" ht="15" customHeight="1">
      <c r="A296" s="2768"/>
      <c r="B296" s="2769"/>
      <c r="C296" s="2769"/>
      <c r="D296" s="1612"/>
      <c r="E296" s="1083" t="s">
        <v>2681</v>
      </c>
      <c r="F296" s="1083" t="s">
        <v>2526</v>
      </c>
      <c r="G296" s="1084" t="str">
        <f t="shared" ref="G296:L296" si="146">+G211</f>
        <v>◇◇◇改造工事の部</v>
      </c>
      <c r="H296" s="1084" t="str">
        <f t="shared" si="146"/>
        <v>◇◇◇改造工事の部</v>
      </c>
      <c r="I296" s="1084" t="str">
        <f t="shared" si="146"/>
        <v>◇◇◇改造工事の部</v>
      </c>
      <c r="J296" s="1084" t="str">
        <f t="shared" si="146"/>
        <v>◇◇◇改造工事の部</v>
      </c>
      <c r="K296" s="1084" t="str">
        <f t="shared" si="146"/>
        <v>◇◇◇改造工事の部</v>
      </c>
      <c r="L296" s="1304" t="str">
        <f t="shared" si="146"/>
        <v>◇◇◇改造工事の部</v>
      </c>
    </row>
    <row r="297" spans="1:12" s="887" customFormat="1" ht="15" customHeight="1">
      <c r="A297" s="2770"/>
      <c r="B297" s="2771"/>
      <c r="C297" s="2771"/>
      <c r="D297" s="1167"/>
      <c r="E297" s="924"/>
      <c r="F297" s="1613"/>
      <c r="G297" s="1169"/>
      <c r="H297" s="1169"/>
      <c r="I297" s="1169"/>
      <c r="J297" s="1169"/>
      <c r="K297" s="1169"/>
      <c r="L297" s="1691"/>
    </row>
    <row r="298" spans="1:12" s="887" customFormat="1" ht="15" customHeight="1">
      <c r="A298" s="1614"/>
      <c r="B298" s="1615"/>
      <c r="C298" s="1616" t="s">
        <v>2870</v>
      </c>
      <c r="D298" s="1617"/>
      <c r="E298" s="1618"/>
      <c r="F298" s="898">
        <f t="shared" ref="F298:L298" si="147">+F293</f>
        <v>7856075</v>
      </c>
      <c r="G298" s="898">
        <f t="shared" si="147"/>
        <v>7856075</v>
      </c>
      <c r="H298" s="898">
        <f t="shared" si="147"/>
        <v>0</v>
      </c>
      <c r="I298" s="898">
        <f t="shared" si="147"/>
        <v>0</v>
      </c>
      <c r="J298" s="898">
        <f t="shared" si="147"/>
        <v>0</v>
      </c>
      <c r="K298" s="898">
        <f t="shared" si="147"/>
        <v>0</v>
      </c>
      <c r="L298" s="1692">
        <f t="shared" si="147"/>
        <v>0</v>
      </c>
    </row>
    <row r="299" spans="1:12" s="887" customFormat="1" ht="15" customHeight="1">
      <c r="A299" s="1619"/>
      <c r="B299" s="1620"/>
      <c r="C299" s="1621"/>
      <c r="D299" s="1622"/>
      <c r="E299" s="1623" t="s">
        <v>2871</v>
      </c>
      <c r="F299" s="902">
        <f>SUM(G299:L299)</f>
        <v>1924977</v>
      </c>
      <c r="G299" s="903">
        <f t="shared" ref="G299:L299" si="148">G257+SUM(G285:G290)+G250+G251+G276</f>
        <v>1924977</v>
      </c>
      <c r="H299" s="903">
        <f t="shared" si="148"/>
        <v>0</v>
      </c>
      <c r="I299" s="903">
        <f t="shared" si="148"/>
        <v>0</v>
      </c>
      <c r="J299" s="903">
        <f t="shared" si="148"/>
        <v>0</v>
      </c>
      <c r="K299" s="903">
        <f t="shared" si="148"/>
        <v>0</v>
      </c>
      <c r="L299" s="904">
        <f t="shared" si="148"/>
        <v>0</v>
      </c>
    </row>
    <row r="300" spans="1:12" s="887" customFormat="1" ht="15" customHeight="1">
      <c r="A300" s="1607"/>
      <c r="B300" s="1608"/>
      <c r="C300" s="1624"/>
      <c r="D300" s="1610"/>
      <c r="E300" s="1625"/>
      <c r="F300" s="937"/>
      <c r="G300" s="1064"/>
      <c r="H300" s="1064"/>
      <c r="I300" s="1064"/>
      <c r="J300" s="1064"/>
      <c r="K300" s="1064"/>
      <c r="L300" s="1693"/>
    </row>
    <row r="301" spans="1:12" s="887" customFormat="1" ht="15" customHeight="1">
      <c r="A301" s="1556"/>
      <c r="B301" s="1557"/>
      <c r="C301" s="1557"/>
      <c r="D301" s="1626"/>
      <c r="E301" s="1618" t="str">
        <f>E211</f>
        <v>無し</v>
      </c>
      <c r="F301" s="2776" t="s">
        <v>2685</v>
      </c>
      <c r="G301" s="2776"/>
      <c r="H301" s="1068"/>
      <c r="I301" s="1068"/>
      <c r="J301" s="1068"/>
      <c r="K301" s="1068"/>
      <c r="L301" s="1694"/>
    </row>
    <row r="302" spans="1:12" s="887" customFormat="1" ht="15" customHeight="1">
      <c r="A302" s="2774" t="s">
        <v>2686</v>
      </c>
      <c r="B302" s="2774"/>
      <c r="C302" s="2777"/>
      <c r="D302" s="1627"/>
      <c r="E302" s="1625" t="str">
        <f>+E212</f>
        <v>有り</v>
      </c>
      <c r="F302" s="2778" t="s">
        <v>2687</v>
      </c>
      <c r="G302" s="2778"/>
      <c r="H302" s="1064"/>
      <c r="I302" s="1064"/>
      <c r="J302" s="1064"/>
      <c r="K302" s="1064"/>
      <c r="L302" s="1693"/>
    </row>
    <row r="303" spans="1:12" s="887" customFormat="1" ht="15" customHeight="1">
      <c r="A303" s="2772"/>
      <c r="B303" s="1628" t="s">
        <v>163</v>
      </c>
      <c r="C303" s="1629" t="s">
        <v>2829</v>
      </c>
      <c r="D303" s="1630"/>
      <c r="E303" s="1631">
        <f>G352/100</f>
        <v>0.1724</v>
      </c>
      <c r="F303" s="898">
        <f>SUM(G303:L303)</f>
        <v>1924977</v>
      </c>
      <c r="G303" s="1068">
        <f t="shared" ref="G303:L303" si="149">+G298-SUM(G307:G308)</f>
        <v>1924977</v>
      </c>
      <c r="H303" s="1068">
        <f t="shared" si="149"/>
        <v>0</v>
      </c>
      <c r="I303" s="1068">
        <f t="shared" si="149"/>
        <v>0</v>
      </c>
      <c r="J303" s="1068">
        <f t="shared" si="149"/>
        <v>0</v>
      </c>
      <c r="K303" s="1068">
        <f t="shared" si="149"/>
        <v>0</v>
      </c>
      <c r="L303" s="1069">
        <f t="shared" si="149"/>
        <v>0</v>
      </c>
    </row>
    <row r="304" spans="1:12" s="887" customFormat="1" ht="15" customHeight="1">
      <c r="A304" s="2773"/>
      <c r="B304" s="2761" t="s">
        <v>2689</v>
      </c>
      <c r="C304" s="1632" t="s">
        <v>2690</v>
      </c>
      <c r="D304" s="1591"/>
      <c r="E304" s="1633">
        <f>IF(E301="無し",0.05,0)</f>
        <v>0.05</v>
      </c>
      <c r="F304" s="902">
        <f>SUM(G304:L304)</f>
        <v>930768</v>
      </c>
      <c r="G304" s="903">
        <f t="shared" ref="G304:L304" si="150">+G313+SUM(G317:G320)</f>
        <v>930768</v>
      </c>
      <c r="H304" s="903">
        <f t="shared" si="150"/>
        <v>0</v>
      </c>
      <c r="I304" s="903">
        <f t="shared" si="150"/>
        <v>0</v>
      </c>
      <c r="J304" s="903">
        <f t="shared" si="150"/>
        <v>0</v>
      </c>
      <c r="K304" s="903">
        <f t="shared" si="150"/>
        <v>0</v>
      </c>
      <c r="L304" s="904">
        <f t="shared" si="150"/>
        <v>0</v>
      </c>
    </row>
    <row r="305" spans="1:12" s="887" customFormat="1" ht="15" customHeight="1">
      <c r="A305" s="2773"/>
      <c r="B305" s="2761"/>
      <c r="C305" s="1632" t="s">
        <v>2691</v>
      </c>
      <c r="D305" s="1634"/>
      <c r="E305" s="1546">
        <f>IF(E302="無し",0,0.0004)</f>
        <v>4.0000000000000002E-4</v>
      </c>
      <c r="F305" s="902">
        <f>SUM(G305:L305)</f>
        <v>7856075</v>
      </c>
      <c r="G305" s="903">
        <f t="shared" ref="G305:L305" si="151">+G298</f>
        <v>7856075</v>
      </c>
      <c r="H305" s="903">
        <f t="shared" si="151"/>
        <v>0</v>
      </c>
      <c r="I305" s="903">
        <f t="shared" si="151"/>
        <v>0</v>
      </c>
      <c r="J305" s="903">
        <f t="shared" si="151"/>
        <v>0</v>
      </c>
      <c r="K305" s="903">
        <f t="shared" si="151"/>
        <v>0</v>
      </c>
      <c r="L305" s="904">
        <f t="shared" si="151"/>
        <v>0</v>
      </c>
    </row>
    <row r="306" spans="1:12" s="887" customFormat="1" ht="15" customHeight="1">
      <c r="A306" s="2773"/>
      <c r="B306" s="2759" t="s">
        <v>2830</v>
      </c>
      <c r="C306" s="1632"/>
      <c r="D306" s="1635"/>
      <c r="E306" s="1635"/>
      <c r="F306" s="902"/>
      <c r="G306" s="903"/>
      <c r="H306" s="903"/>
      <c r="I306" s="903"/>
      <c r="J306" s="903"/>
      <c r="K306" s="903"/>
      <c r="L306" s="904"/>
    </row>
    <row r="307" spans="1:12" s="887" customFormat="1" ht="15" customHeight="1">
      <c r="A307" s="2773"/>
      <c r="B307" s="2760"/>
      <c r="C307" s="1636" t="s">
        <v>2872</v>
      </c>
      <c r="D307" s="1635"/>
      <c r="E307" s="1635"/>
      <c r="F307" s="902">
        <f>SUM(G307:L307)</f>
        <v>5931098</v>
      </c>
      <c r="G307" s="903">
        <f t="shared" ref="G307:L307" si="152">+SUM(G260:G267,G277:G284)</f>
        <v>5931098</v>
      </c>
      <c r="H307" s="903">
        <f t="shared" si="152"/>
        <v>0</v>
      </c>
      <c r="I307" s="903">
        <f t="shared" si="152"/>
        <v>0</v>
      </c>
      <c r="J307" s="903">
        <f t="shared" si="152"/>
        <v>0</v>
      </c>
      <c r="K307" s="903">
        <f t="shared" si="152"/>
        <v>0</v>
      </c>
      <c r="L307" s="904">
        <f t="shared" si="152"/>
        <v>0</v>
      </c>
    </row>
    <row r="308" spans="1:12" s="887" customFormat="1" ht="15" customHeight="1">
      <c r="A308" s="2773"/>
      <c r="B308" s="2761" t="s">
        <v>2692</v>
      </c>
      <c r="C308" s="1195" t="s">
        <v>2832</v>
      </c>
      <c r="D308" s="1637"/>
      <c r="E308" s="1588">
        <v>0</v>
      </c>
      <c r="F308" s="902">
        <f>SUM(G308:L308)</f>
        <v>0</v>
      </c>
      <c r="G308" s="903">
        <f t="shared" ref="G308:L308" si="153">+G252</f>
        <v>0</v>
      </c>
      <c r="H308" s="903">
        <f t="shared" si="153"/>
        <v>0</v>
      </c>
      <c r="I308" s="903">
        <f t="shared" si="153"/>
        <v>0</v>
      </c>
      <c r="J308" s="903">
        <f t="shared" si="153"/>
        <v>0</v>
      </c>
      <c r="K308" s="903">
        <f t="shared" si="153"/>
        <v>0</v>
      </c>
      <c r="L308" s="904">
        <f t="shared" si="153"/>
        <v>0</v>
      </c>
    </row>
    <row r="309" spans="1:12" s="887" customFormat="1" ht="15" customHeight="1">
      <c r="A309" s="2773"/>
      <c r="B309" s="2761"/>
      <c r="C309" s="1622"/>
      <c r="D309" s="1638"/>
      <c r="E309" s="1588"/>
      <c r="F309" s="902"/>
      <c r="G309" s="903"/>
      <c r="H309" s="903"/>
      <c r="I309" s="903"/>
      <c r="J309" s="903"/>
      <c r="K309" s="903"/>
      <c r="L309" s="1660"/>
    </row>
    <row r="310" spans="1:12" s="887" customFormat="1" ht="15" customHeight="1">
      <c r="A310" s="2773"/>
      <c r="B310" s="2759"/>
      <c r="C310" s="1639"/>
      <c r="D310" s="1640"/>
      <c r="E310" s="1641"/>
      <c r="F310" s="937"/>
      <c r="G310" s="1064"/>
      <c r="H310" s="1064"/>
      <c r="I310" s="1064"/>
      <c r="J310" s="1064"/>
      <c r="K310" s="1064"/>
      <c r="L310" s="1693"/>
    </row>
    <row r="311" spans="1:12" s="887" customFormat="1" ht="15" customHeight="1">
      <c r="A311" s="1556"/>
      <c r="B311" s="1557"/>
      <c r="C311" s="1642"/>
      <c r="D311" s="1643"/>
      <c r="E311" s="1644"/>
      <c r="F311" s="898"/>
      <c r="G311" s="1068"/>
      <c r="H311" s="1068"/>
      <c r="I311" s="1068"/>
      <c r="J311" s="1068"/>
      <c r="K311" s="1068"/>
      <c r="L311" s="1694"/>
    </row>
    <row r="312" spans="1:12" s="887" customFormat="1" ht="15" customHeight="1">
      <c r="A312" s="2774" t="s">
        <v>2693</v>
      </c>
      <c r="B312" s="2774"/>
      <c r="C312" s="2775"/>
      <c r="D312" s="1645"/>
      <c r="E312" s="1646"/>
      <c r="F312" s="937"/>
      <c r="G312" s="1064"/>
      <c r="H312" s="1064"/>
      <c r="I312" s="1064"/>
      <c r="J312" s="1064"/>
      <c r="K312" s="1064"/>
      <c r="L312" s="1693"/>
    </row>
    <row r="313" spans="1:12" s="887" customFormat="1" ht="15" customHeight="1">
      <c r="A313" s="1647"/>
      <c r="B313" s="1048" t="s">
        <v>163</v>
      </c>
      <c r="C313" s="1648" t="s">
        <v>2873</v>
      </c>
      <c r="D313" s="1630"/>
      <c r="E313" s="1649">
        <f>+E303</f>
        <v>0.1724</v>
      </c>
      <c r="F313" s="898">
        <f>INT(F303*E313)</f>
        <v>331866</v>
      </c>
      <c r="G313" s="1068">
        <f>F313-SUM(H313:L313)</f>
        <v>331866</v>
      </c>
      <c r="H313" s="1068">
        <f t="shared" ref="H313:L315" si="154">IF(H303=0,0,ROUND($F313/$F303*H303,0))</f>
        <v>0</v>
      </c>
      <c r="I313" s="1068">
        <f t="shared" si="154"/>
        <v>0</v>
      </c>
      <c r="J313" s="1068">
        <f t="shared" si="154"/>
        <v>0</v>
      </c>
      <c r="K313" s="1068">
        <f t="shared" si="154"/>
        <v>0</v>
      </c>
      <c r="L313" s="1069">
        <f t="shared" si="154"/>
        <v>0</v>
      </c>
    </row>
    <row r="314" spans="1:12" s="887" customFormat="1" ht="15" customHeight="1">
      <c r="A314" s="1647"/>
      <c r="B314" s="2761" t="s">
        <v>2689</v>
      </c>
      <c r="C314" s="1632" t="s">
        <v>2690</v>
      </c>
      <c r="D314" s="1637"/>
      <c r="E314" s="1546">
        <f>+E304</f>
        <v>0.05</v>
      </c>
      <c r="F314" s="902">
        <f>INT(F304*E314)</f>
        <v>46538</v>
      </c>
      <c r="G314" s="903">
        <f>F314-SUM(H314:L314)</f>
        <v>46538</v>
      </c>
      <c r="H314" s="903">
        <f t="shared" si="154"/>
        <v>0</v>
      </c>
      <c r="I314" s="903">
        <f t="shared" si="154"/>
        <v>0</v>
      </c>
      <c r="J314" s="903">
        <f t="shared" si="154"/>
        <v>0</v>
      </c>
      <c r="K314" s="903">
        <f t="shared" si="154"/>
        <v>0</v>
      </c>
      <c r="L314" s="904">
        <f t="shared" si="154"/>
        <v>0</v>
      </c>
    </row>
    <row r="315" spans="1:12" s="887" customFormat="1" ht="15" customHeight="1">
      <c r="A315" s="1647"/>
      <c r="B315" s="2761"/>
      <c r="C315" s="1632" t="s">
        <v>2691</v>
      </c>
      <c r="D315" s="1637"/>
      <c r="E315" s="1546">
        <f>+E305</f>
        <v>4.0000000000000002E-4</v>
      </c>
      <c r="F315" s="902">
        <f>INT(F305*E315)</f>
        <v>3142</v>
      </c>
      <c r="G315" s="903">
        <f>F315-SUM(H315:L315)</f>
        <v>3142</v>
      </c>
      <c r="H315" s="903">
        <f t="shared" si="154"/>
        <v>0</v>
      </c>
      <c r="I315" s="903">
        <f t="shared" si="154"/>
        <v>0</v>
      </c>
      <c r="J315" s="903">
        <f t="shared" si="154"/>
        <v>0</v>
      </c>
      <c r="K315" s="903">
        <f t="shared" si="154"/>
        <v>0</v>
      </c>
      <c r="L315" s="904">
        <f t="shared" si="154"/>
        <v>0</v>
      </c>
    </row>
    <row r="316" spans="1:12" s="887" customFormat="1" ht="15" customHeight="1">
      <c r="A316" s="1647"/>
      <c r="B316" s="2759" t="s">
        <v>2830</v>
      </c>
      <c r="C316" s="1632"/>
      <c r="D316" s="1635"/>
      <c r="E316" s="1650" t="s">
        <v>2834</v>
      </c>
      <c r="F316" s="902"/>
      <c r="G316" s="903"/>
      <c r="H316" s="903"/>
      <c r="I316" s="903"/>
      <c r="J316" s="903"/>
      <c r="K316" s="903"/>
      <c r="L316" s="1660"/>
    </row>
    <row r="317" spans="1:12" s="887" customFormat="1" ht="15" customHeight="1">
      <c r="A317" s="1647"/>
      <c r="B317" s="2760"/>
      <c r="C317" s="1636" t="s">
        <v>2872</v>
      </c>
      <c r="D317" s="1635"/>
      <c r="E317" s="1635"/>
      <c r="F317" s="902">
        <f>SUM(G317:L317)</f>
        <v>598902</v>
      </c>
      <c r="G317" s="903">
        <f t="shared" ref="G317:L317" si="155">SUM(G235:G242)-SUM(G260:G267)-SUM(G277:G284)</f>
        <v>598902</v>
      </c>
      <c r="H317" s="903">
        <f t="shared" si="155"/>
        <v>0</v>
      </c>
      <c r="I317" s="903">
        <f t="shared" si="155"/>
        <v>0</v>
      </c>
      <c r="J317" s="903">
        <f t="shared" si="155"/>
        <v>0</v>
      </c>
      <c r="K317" s="903">
        <f t="shared" si="155"/>
        <v>0</v>
      </c>
      <c r="L317" s="904">
        <f t="shared" si="155"/>
        <v>0</v>
      </c>
    </row>
    <row r="318" spans="1:12" s="887" customFormat="1" ht="15" customHeight="1">
      <c r="A318" s="1647"/>
      <c r="B318" s="2761" t="s">
        <v>2692</v>
      </c>
      <c r="C318" s="1195" t="s">
        <v>2832</v>
      </c>
      <c r="D318" s="1637"/>
      <c r="E318" s="1546">
        <f>+E308</f>
        <v>0</v>
      </c>
      <c r="F318" s="902">
        <f>SUM(G318:L318)</f>
        <v>0</v>
      </c>
      <c r="G318" s="903">
        <f t="shared" ref="G318:L318" si="156">ROUNDDOWN($E318*$D318*G308,0)</f>
        <v>0</v>
      </c>
      <c r="H318" s="903">
        <f t="shared" si="156"/>
        <v>0</v>
      </c>
      <c r="I318" s="903">
        <f t="shared" si="156"/>
        <v>0</v>
      </c>
      <c r="J318" s="903">
        <f t="shared" si="156"/>
        <v>0</v>
      </c>
      <c r="K318" s="903">
        <f t="shared" si="156"/>
        <v>0</v>
      </c>
      <c r="L318" s="1660">
        <f t="shared" si="156"/>
        <v>0</v>
      </c>
    </row>
    <row r="319" spans="1:12" s="887" customFormat="1" ht="15" customHeight="1">
      <c r="A319" s="1647"/>
      <c r="B319" s="2761"/>
      <c r="C319" s="1622"/>
      <c r="D319" s="1638"/>
      <c r="E319" s="1635">
        <f>+G310</f>
        <v>0</v>
      </c>
      <c r="F319" s="902"/>
      <c r="G319" s="903"/>
      <c r="H319" s="903"/>
      <c r="I319" s="903"/>
      <c r="J319" s="903"/>
      <c r="K319" s="903"/>
      <c r="L319" s="1660"/>
    </row>
    <row r="320" spans="1:12" s="887" customFormat="1" ht="15" customHeight="1">
      <c r="A320" s="1651"/>
      <c r="B320" s="2762"/>
      <c r="C320" s="1610"/>
      <c r="D320" s="1640"/>
      <c r="E320" s="1646">
        <f>+G311</f>
        <v>0</v>
      </c>
      <c r="F320" s="937"/>
      <c r="G320" s="1064"/>
      <c r="H320" s="1064"/>
      <c r="I320" s="1064"/>
      <c r="J320" s="1064"/>
      <c r="K320" s="1064"/>
      <c r="L320" s="1693"/>
    </row>
    <row r="321" spans="1:12" s="887" customFormat="1" ht="15" customHeight="1">
      <c r="A321" s="1614"/>
      <c r="B321" s="1615"/>
      <c r="C321" s="1615"/>
      <c r="D321" s="1652"/>
      <c r="E321" s="1652"/>
      <c r="F321" s="898"/>
      <c r="G321" s="1068"/>
      <c r="H321" s="1068"/>
      <c r="I321" s="1068"/>
      <c r="J321" s="1068"/>
      <c r="K321" s="1068"/>
      <c r="L321" s="1694"/>
    </row>
    <row r="322" spans="1:12" s="887" customFormat="1" ht="15" customHeight="1">
      <c r="A322" s="1619"/>
      <c r="B322" s="1620"/>
      <c r="C322" s="1653" t="s">
        <v>2697</v>
      </c>
      <c r="D322" s="1622"/>
      <c r="E322" s="1632"/>
      <c r="F322" s="902">
        <f>SUM(G322:L322)</f>
        <v>980448</v>
      </c>
      <c r="G322" s="903">
        <f t="shared" ref="G322:L322" si="157">SUM(G313:G320)</f>
        <v>980448</v>
      </c>
      <c r="H322" s="903">
        <f t="shared" si="157"/>
        <v>0</v>
      </c>
      <c r="I322" s="903">
        <f t="shared" si="157"/>
        <v>0</v>
      </c>
      <c r="J322" s="903">
        <f t="shared" si="157"/>
        <v>0</v>
      </c>
      <c r="K322" s="903">
        <f t="shared" si="157"/>
        <v>0</v>
      </c>
      <c r="L322" s="1660">
        <f t="shared" si="157"/>
        <v>0</v>
      </c>
    </row>
    <row r="323" spans="1:12" s="887" customFormat="1" ht="15" customHeight="1">
      <c r="A323" s="1619"/>
      <c r="B323" s="1620"/>
      <c r="C323" s="1653" t="s">
        <v>2678</v>
      </c>
      <c r="D323" s="1622"/>
      <c r="E323" s="1632"/>
      <c r="F323" s="902">
        <f>SUM(G323:L323)</f>
        <v>7856075</v>
      </c>
      <c r="G323" s="903">
        <f t="shared" ref="G323:L323" si="158">+G298</f>
        <v>7856075</v>
      </c>
      <c r="H323" s="903">
        <f t="shared" si="158"/>
        <v>0</v>
      </c>
      <c r="I323" s="903">
        <f t="shared" si="158"/>
        <v>0</v>
      </c>
      <c r="J323" s="903">
        <f t="shared" si="158"/>
        <v>0</v>
      </c>
      <c r="K323" s="903">
        <f t="shared" si="158"/>
        <v>0</v>
      </c>
      <c r="L323" s="1660">
        <f t="shared" si="158"/>
        <v>0</v>
      </c>
    </row>
    <row r="324" spans="1:12" s="887" customFormat="1" ht="15" customHeight="1" thickBot="1">
      <c r="A324" s="1654"/>
      <c r="B324" s="1655"/>
      <c r="C324" s="1656" t="s">
        <v>2698</v>
      </c>
      <c r="D324" s="1657"/>
      <c r="E324" s="1658"/>
      <c r="F324" s="1135">
        <f>SUM(G324:L324)</f>
        <v>8836523</v>
      </c>
      <c r="G324" s="1219">
        <f t="shared" ref="G324:L324" si="159">SUM(G322:G323)</f>
        <v>8836523</v>
      </c>
      <c r="H324" s="1219">
        <f t="shared" si="159"/>
        <v>0</v>
      </c>
      <c r="I324" s="1219">
        <f t="shared" si="159"/>
        <v>0</v>
      </c>
      <c r="J324" s="1219">
        <f t="shared" si="159"/>
        <v>0</v>
      </c>
      <c r="K324" s="1219">
        <f t="shared" si="159"/>
        <v>0</v>
      </c>
      <c r="L324" s="1695">
        <f t="shared" si="159"/>
        <v>0</v>
      </c>
    </row>
    <row r="325" spans="1:12" s="887" customFormat="1" ht="15" customHeight="1" thickTop="1">
      <c r="A325" s="1647"/>
      <c r="B325" s="1034"/>
      <c r="C325" s="1034"/>
      <c r="D325" s="1294"/>
      <c r="E325" s="1294"/>
      <c r="F325" s="917"/>
      <c r="G325" s="1066"/>
      <c r="H325" s="1066"/>
      <c r="I325" s="1066"/>
      <c r="J325" s="1066"/>
      <c r="K325" s="1066"/>
      <c r="L325" s="1659"/>
    </row>
    <row r="326" spans="1:12" s="887" customFormat="1" ht="15" customHeight="1">
      <c r="A326" s="1619"/>
      <c r="B326" s="1620"/>
      <c r="C326" s="1653" t="s">
        <v>2678</v>
      </c>
      <c r="D326" s="1622"/>
      <c r="E326" s="1632"/>
      <c r="F326" s="902">
        <f>SUM(G326:L326)</f>
        <v>7856075</v>
      </c>
      <c r="G326" s="903">
        <f t="shared" ref="G326:L326" si="160">+G323</f>
        <v>7856075</v>
      </c>
      <c r="H326" s="903">
        <f t="shared" si="160"/>
        <v>0</v>
      </c>
      <c r="I326" s="903">
        <f t="shared" si="160"/>
        <v>0</v>
      </c>
      <c r="J326" s="903">
        <f t="shared" si="160"/>
        <v>0</v>
      </c>
      <c r="K326" s="903">
        <f t="shared" si="160"/>
        <v>0</v>
      </c>
      <c r="L326" s="1660">
        <f t="shared" si="160"/>
        <v>0</v>
      </c>
    </row>
    <row r="327" spans="1:12" s="887" customFormat="1" ht="15" customHeight="1">
      <c r="A327" s="1619"/>
      <c r="B327" s="1620"/>
      <c r="C327" s="1653" t="s">
        <v>2699</v>
      </c>
      <c r="D327" s="1622"/>
      <c r="E327" s="1632"/>
      <c r="F327" s="902">
        <f>SUM(G327:L327)</f>
        <v>979925</v>
      </c>
      <c r="G327" s="903">
        <f t="shared" ref="G327:L327" si="161">+G322-(G324-G329)</f>
        <v>979925</v>
      </c>
      <c r="H327" s="903">
        <f t="shared" si="161"/>
        <v>0</v>
      </c>
      <c r="I327" s="903">
        <f t="shared" si="161"/>
        <v>0</v>
      </c>
      <c r="J327" s="903">
        <f t="shared" si="161"/>
        <v>0</v>
      </c>
      <c r="K327" s="903">
        <f t="shared" si="161"/>
        <v>0</v>
      </c>
      <c r="L327" s="1660">
        <f t="shared" si="161"/>
        <v>0</v>
      </c>
    </row>
    <row r="328" spans="1:12" s="887" customFormat="1" ht="15" customHeight="1">
      <c r="A328" s="1619"/>
      <c r="B328" s="1620"/>
      <c r="C328" s="1620"/>
      <c r="D328" s="1632"/>
      <c r="E328" s="1661">
        <f>F330+SUM(H329:L329)</f>
        <v>8836000</v>
      </c>
      <c r="F328" s="902" t="s">
        <v>2700</v>
      </c>
      <c r="G328" s="903">
        <f t="shared" ref="G328:L328" si="162">+G322-G327</f>
        <v>523</v>
      </c>
      <c r="H328" s="903">
        <f t="shared" si="162"/>
        <v>0</v>
      </c>
      <c r="I328" s="903">
        <f t="shared" si="162"/>
        <v>0</v>
      </c>
      <c r="J328" s="903">
        <f t="shared" si="162"/>
        <v>0</v>
      </c>
      <c r="K328" s="1224">
        <f t="shared" si="162"/>
        <v>0</v>
      </c>
      <c r="L328" s="1662">
        <f t="shared" si="162"/>
        <v>0</v>
      </c>
    </row>
    <row r="329" spans="1:12" s="887" customFormat="1" ht="15" customHeight="1">
      <c r="A329" s="1226"/>
      <c r="B329" s="1054"/>
      <c r="C329" s="1054" t="s">
        <v>2701</v>
      </c>
      <c r="D329" s="1227"/>
      <c r="E329" s="1661">
        <f>ROUNDDOWN(E328,4-LEN(E328))</f>
        <v>8836000</v>
      </c>
      <c r="F329" s="1228">
        <f>SUM(G329:L329)</f>
        <v>8836000</v>
      </c>
      <c r="G329" s="1224">
        <f>F330-E330</f>
        <v>8836000</v>
      </c>
      <c r="H329" s="1224">
        <f>ROUNDDOWN(H324,H330)</f>
        <v>0</v>
      </c>
      <c r="I329" s="1224">
        <f>ROUNDDOWN(I324,I330)</f>
        <v>0</v>
      </c>
      <c r="J329" s="1224">
        <f>ROUNDDOWN(J324,J330)</f>
        <v>0</v>
      </c>
      <c r="K329" s="1224">
        <f>ROUNDDOWN(K324,K330)</f>
        <v>0</v>
      </c>
      <c r="L329" s="1662">
        <f>ROUNDDOWN(L324,L330)</f>
        <v>0</v>
      </c>
    </row>
    <row r="330" spans="1:12" s="887" customFormat="1" ht="15" customHeight="1">
      <c r="A330" s="1229"/>
      <c r="B330" s="1230"/>
      <c r="C330" s="1230"/>
      <c r="D330" s="1231"/>
      <c r="E330" s="1233">
        <f>E328-E329</f>
        <v>0</v>
      </c>
      <c r="F330" s="1233">
        <f>ROUNDDOWN(G324,G330)</f>
        <v>8836000</v>
      </c>
      <c r="G330" s="1232">
        <f t="shared" ref="G330:L330" si="163">IF(LEN(G324)&lt;=7,-3,IF(LEN(G324)=8,-4,IF(LEN(G324)&gt;=9,-5,-6)))</f>
        <v>-3</v>
      </c>
      <c r="H330" s="1232">
        <f t="shared" si="163"/>
        <v>-3</v>
      </c>
      <c r="I330" s="1232">
        <f t="shared" si="163"/>
        <v>-3</v>
      </c>
      <c r="J330" s="1232">
        <f t="shared" si="163"/>
        <v>-3</v>
      </c>
      <c r="K330" s="1232">
        <f t="shared" si="163"/>
        <v>-3</v>
      </c>
      <c r="L330" s="1663">
        <f t="shared" si="163"/>
        <v>-3</v>
      </c>
    </row>
    <row r="331" spans="1:12" s="1278" customFormat="1" ht="13.5" customHeight="1" thickBot="1">
      <c r="G331" s="1279"/>
      <c r="H331" s="1279"/>
      <c r="I331" s="1279"/>
      <c r="J331" s="1279"/>
      <c r="K331" s="1279"/>
      <c r="L331" s="1279"/>
    </row>
    <row r="332" spans="1:12" s="1278" customFormat="1" ht="13.5" customHeight="1">
      <c r="A332" s="1238"/>
      <c r="B332" s="1239"/>
      <c r="C332" s="1240" t="s">
        <v>2717</v>
      </c>
      <c r="D332" s="1241"/>
      <c r="E332" s="1239"/>
      <c r="F332" s="1242" t="s">
        <v>2703</v>
      </c>
      <c r="G332" s="1664">
        <f t="shared" ref="G332:L332" si="164">+G340</f>
        <v>3.5</v>
      </c>
      <c r="H332" s="1664">
        <f t="shared" si="164"/>
        <v>0</v>
      </c>
      <c r="I332" s="1664">
        <f t="shared" si="164"/>
        <v>0</v>
      </c>
      <c r="J332" s="1664">
        <f t="shared" si="164"/>
        <v>0</v>
      </c>
      <c r="K332" s="1664">
        <f t="shared" si="164"/>
        <v>0</v>
      </c>
      <c r="L332" s="1696">
        <f t="shared" si="164"/>
        <v>0</v>
      </c>
    </row>
    <row r="333" spans="1:12" s="1278" customFormat="1" ht="13.5" customHeight="1">
      <c r="A333" s="2645"/>
      <c r="B333" s="2648" t="s">
        <v>2704</v>
      </c>
      <c r="C333" s="1245" t="s">
        <v>2718</v>
      </c>
      <c r="D333" s="1054"/>
      <c r="E333" s="1246"/>
      <c r="F333" s="1247" t="s">
        <v>2874</v>
      </c>
      <c r="G333" s="1665">
        <f t="shared" ref="G333:L333" si="165">IF($F257&lt;=10000000,ROUND(151.08*((10000)^-0.3396)*(G332^0.586),2),ROUND(151.08*(($F257/1000)^-0.3396)*(G332^0.586),2))</f>
        <v>13.79</v>
      </c>
      <c r="H333" s="1665">
        <f t="shared" si="165"/>
        <v>0</v>
      </c>
      <c r="I333" s="1665">
        <f t="shared" si="165"/>
        <v>0</v>
      </c>
      <c r="J333" s="1665">
        <f t="shared" si="165"/>
        <v>0</v>
      </c>
      <c r="K333" s="1665">
        <f t="shared" si="165"/>
        <v>0</v>
      </c>
      <c r="L333" s="1697">
        <f t="shared" si="165"/>
        <v>0</v>
      </c>
    </row>
    <row r="334" spans="1:12" s="1278" customFormat="1" ht="13.5" customHeight="1">
      <c r="A334" s="2646"/>
      <c r="B334" s="2649"/>
      <c r="C334" s="2653" t="s">
        <v>2720</v>
      </c>
      <c r="D334" s="1124"/>
      <c r="E334" s="1249"/>
      <c r="F334" s="1247" t="s">
        <v>2708</v>
      </c>
      <c r="G334" s="1666">
        <f t="shared" ref="G334:L334" si="166">IF($F257&lt;=10000000,ROUND(20.13,2),0)</f>
        <v>20.13</v>
      </c>
      <c r="H334" s="1666">
        <f t="shared" si="166"/>
        <v>20.13</v>
      </c>
      <c r="I334" s="1666">
        <f t="shared" si="166"/>
        <v>20.13</v>
      </c>
      <c r="J334" s="1666">
        <f t="shared" si="166"/>
        <v>20.13</v>
      </c>
      <c r="K334" s="1666">
        <f t="shared" si="166"/>
        <v>20.13</v>
      </c>
      <c r="L334" s="1698">
        <f t="shared" si="166"/>
        <v>20.13</v>
      </c>
    </row>
    <row r="335" spans="1:12" s="1278" customFormat="1" ht="13.5" customHeight="1">
      <c r="A335" s="2646"/>
      <c r="B335" s="2649"/>
      <c r="C335" s="2758"/>
      <c r="D335" s="1251"/>
      <c r="E335" s="1252"/>
      <c r="F335" s="1247" t="s">
        <v>2709</v>
      </c>
      <c r="G335" s="1666">
        <f t="shared" ref="G335:L335" si="167">IF($F257&lt;=10000000,ROUND(10.01,2),0)</f>
        <v>10.01</v>
      </c>
      <c r="H335" s="1666">
        <f t="shared" si="167"/>
        <v>10.01</v>
      </c>
      <c r="I335" s="1666">
        <f t="shared" si="167"/>
        <v>10.01</v>
      </c>
      <c r="J335" s="1666">
        <f t="shared" si="167"/>
        <v>10.01</v>
      </c>
      <c r="K335" s="1666">
        <f t="shared" si="167"/>
        <v>10.01</v>
      </c>
      <c r="L335" s="1698">
        <f t="shared" si="167"/>
        <v>10.01</v>
      </c>
    </row>
    <row r="336" spans="1:12" s="1278" customFormat="1" ht="13.5" customHeight="1">
      <c r="A336" s="2646"/>
      <c r="B336" s="2649"/>
      <c r="C336" s="2653" t="s">
        <v>2721</v>
      </c>
      <c r="D336" s="1124"/>
      <c r="E336" s="1249"/>
      <c r="F336" s="1247" t="s">
        <v>2708</v>
      </c>
      <c r="G336" s="1667">
        <f t="shared" ref="G336:L336" si="168">IF($F257&gt;10000000,ROUND(75.97*($F257/1000)^-0.1442,2),0)</f>
        <v>0</v>
      </c>
      <c r="H336" s="1667">
        <f t="shared" si="168"/>
        <v>0</v>
      </c>
      <c r="I336" s="1667">
        <f t="shared" si="168"/>
        <v>0</v>
      </c>
      <c r="J336" s="1667">
        <f t="shared" si="168"/>
        <v>0</v>
      </c>
      <c r="K336" s="1667">
        <f t="shared" si="168"/>
        <v>0</v>
      </c>
      <c r="L336" s="1699">
        <f t="shared" si="168"/>
        <v>0</v>
      </c>
    </row>
    <row r="337" spans="1:12" s="1278" customFormat="1" ht="13.5" customHeight="1">
      <c r="A337" s="2647"/>
      <c r="B337" s="2650"/>
      <c r="C337" s="2758"/>
      <c r="D337" s="1251"/>
      <c r="E337" s="1252"/>
      <c r="F337" s="1247" t="s">
        <v>2709</v>
      </c>
      <c r="G337" s="1667">
        <f t="shared" ref="G337:L337" si="169">IF($F257&gt;10000000,ROUND(37.76*($F257/1000)^-0.1442,2),0)</f>
        <v>0</v>
      </c>
      <c r="H337" s="1667">
        <f t="shared" si="169"/>
        <v>0</v>
      </c>
      <c r="I337" s="1667">
        <f t="shared" si="169"/>
        <v>0</v>
      </c>
      <c r="J337" s="1667">
        <f t="shared" si="169"/>
        <v>0</v>
      </c>
      <c r="K337" s="1667">
        <f t="shared" si="169"/>
        <v>0</v>
      </c>
      <c r="L337" s="1699">
        <f t="shared" si="169"/>
        <v>0</v>
      </c>
    </row>
    <row r="338" spans="1:12" s="1278" customFormat="1" ht="13.5" customHeight="1" thickBot="1">
      <c r="A338" s="2755" t="s">
        <v>2722</v>
      </c>
      <c r="B338" s="2756"/>
      <c r="C338" s="2756"/>
      <c r="D338" s="2757"/>
      <c r="E338" s="1668"/>
      <c r="F338" s="1669"/>
      <c r="G338" s="1670">
        <f t="shared" ref="G338:L338" si="170">IF($F257&lt;=10000000,IF(G333&gt;G334,G334,IF(G333&lt;G335,G335,G333)),IF(G333&gt;G336,G336,IF(G333&lt;G337,G337,G333)))</f>
        <v>13.79</v>
      </c>
      <c r="H338" s="1670">
        <f t="shared" si="170"/>
        <v>10.01</v>
      </c>
      <c r="I338" s="1670">
        <f t="shared" si="170"/>
        <v>10.01</v>
      </c>
      <c r="J338" s="1670">
        <f t="shared" si="170"/>
        <v>10.01</v>
      </c>
      <c r="K338" s="1670">
        <f t="shared" si="170"/>
        <v>10.01</v>
      </c>
      <c r="L338" s="1700">
        <f t="shared" si="170"/>
        <v>10.01</v>
      </c>
    </row>
    <row r="339" spans="1:12" s="1278" customFormat="1" ht="13.5" customHeight="1" thickBot="1">
      <c r="A339" s="887"/>
      <c r="B339" s="887"/>
      <c r="C339" s="887"/>
      <c r="D339" s="887"/>
      <c r="E339" s="887"/>
      <c r="F339" s="887"/>
      <c r="G339" s="1255"/>
      <c r="H339" s="1255"/>
      <c r="I339" s="1255"/>
      <c r="J339" s="1255"/>
      <c r="K339" s="1255"/>
      <c r="L339" s="1255"/>
    </row>
    <row r="340" spans="1:12" s="1278" customFormat="1" ht="13.5" customHeight="1">
      <c r="A340" s="1238"/>
      <c r="B340" s="1239"/>
      <c r="C340" s="1240" t="s">
        <v>2717</v>
      </c>
      <c r="D340" s="1241"/>
      <c r="E340" s="1239"/>
      <c r="F340" s="1242" t="s">
        <v>2703</v>
      </c>
      <c r="G340" s="1664">
        <f t="shared" ref="G340:L340" si="171">+G210</f>
        <v>3.5</v>
      </c>
      <c r="H340" s="1664">
        <f t="shared" si="171"/>
        <v>0</v>
      </c>
      <c r="I340" s="1664">
        <f t="shared" si="171"/>
        <v>0</v>
      </c>
      <c r="J340" s="1664">
        <f t="shared" si="171"/>
        <v>0</v>
      </c>
      <c r="K340" s="1664">
        <f t="shared" si="171"/>
        <v>0</v>
      </c>
      <c r="L340" s="1696">
        <f t="shared" si="171"/>
        <v>0</v>
      </c>
    </row>
    <row r="341" spans="1:12" s="1278" customFormat="1" ht="13.5" customHeight="1">
      <c r="A341" s="2645"/>
      <c r="B341" s="2648" t="s">
        <v>2713</v>
      </c>
      <c r="C341" s="1245" t="s">
        <v>2718</v>
      </c>
      <c r="D341" s="1054"/>
      <c r="E341" s="1246"/>
      <c r="F341" s="1247" t="s">
        <v>2875</v>
      </c>
      <c r="G341" s="1665">
        <f t="shared" ref="G341:L341" si="172">IF($F257&lt;=5000000,ROUND(356.2*((5000)^-0.4085)*(G340^0.5766),2),ROUND(356.2*(($F257/1000)^-0.4085)*(G340^0.5766),2))</f>
        <v>22.61</v>
      </c>
      <c r="H341" s="1665">
        <f t="shared" si="172"/>
        <v>0</v>
      </c>
      <c r="I341" s="1665">
        <f t="shared" si="172"/>
        <v>0</v>
      </c>
      <c r="J341" s="1665">
        <f t="shared" si="172"/>
        <v>0</v>
      </c>
      <c r="K341" s="1665">
        <f t="shared" si="172"/>
        <v>0</v>
      </c>
      <c r="L341" s="1697">
        <f t="shared" si="172"/>
        <v>0</v>
      </c>
    </row>
    <row r="342" spans="1:12" s="1278" customFormat="1" ht="13.5" customHeight="1">
      <c r="A342" s="2646"/>
      <c r="B342" s="2649"/>
      <c r="C342" s="2653" t="s">
        <v>2724</v>
      </c>
      <c r="D342" s="1124"/>
      <c r="E342" s="1249"/>
      <c r="F342" s="1247" t="s">
        <v>2708</v>
      </c>
      <c r="G342" s="1666">
        <f t="shared" ref="G342:L342" si="173">IF($F257&lt;=5000000,ROUND(26.86,2),0)</f>
        <v>26.86</v>
      </c>
      <c r="H342" s="1666">
        <f t="shared" si="173"/>
        <v>26.86</v>
      </c>
      <c r="I342" s="1666">
        <f t="shared" si="173"/>
        <v>26.86</v>
      </c>
      <c r="J342" s="1666">
        <f t="shared" si="173"/>
        <v>26.86</v>
      </c>
      <c r="K342" s="1666">
        <f t="shared" si="173"/>
        <v>26.86</v>
      </c>
      <c r="L342" s="1698">
        <f t="shared" si="173"/>
        <v>26.86</v>
      </c>
    </row>
    <row r="343" spans="1:12" s="1278" customFormat="1" ht="13.5" customHeight="1">
      <c r="A343" s="2646"/>
      <c r="B343" s="2649"/>
      <c r="C343" s="2758"/>
      <c r="D343" s="1251"/>
      <c r="E343" s="1252"/>
      <c r="F343" s="1247" t="s">
        <v>2709</v>
      </c>
      <c r="G343" s="1666">
        <f t="shared" ref="G343:L343" si="174">IF($F257&lt;=5000000,ROUND(12.7,2),0)</f>
        <v>12.7</v>
      </c>
      <c r="H343" s="1666">
        <f t="shared" si="174"/>
        <v>12.7</v>
      </c>
      <c r="I343" s="1666">
        <f t="shared" si="174"/>
        <v>12.7</v>
      </c>
      <c r="J343" s="1666">
        <f t="shared" si="174"/>
        <v>12.7</v>
      </c>
      <c r="K343" s="1666">
        <f t="shared" si="174"/>
        <v>12.7</v>
      </c>
      <c r="L343" s="1698">
        <f t="shared" si="174"/>
        <v>12.7</v>
      </c>
    </row>
    <row r="344" spans="1:12" s="1278" customFormat="1" ht="13.5" customHeight="1">
      <c r="A344" s="2646"/>
      <c r="B344" s="2649"/>
      <c r="C344" s="2653" t="s">
        <v>2725</v>
      </c>
      <c r="D344" s="1124"/>
      <c r="E344" s="1249"/>
      <c r="F344" s="1247" t="s">
        <v>2708</v>
      </c>
      <c r="G344" s="1667">
        <f t="shared" ref="G344:L344" si="175">IF($F257&gt;5000000,ROUND(184.58*($F257/1000)^-0.2263,2),0)</f>
        <v>0</v>
      </c>
      <c r="H344" s="1667">
        <f t="shared" si="175"/>
        <v>0</v>
      </c>
      <c r="I344" s="1667">
        <f t="shared" si="175"/>
        <v>0</v>
      </c>
      <c r="J344" s="1667">
        <f t="shared" si="175"/>
        <v>0</v>
      </c>
      <c r="K344" s="1667">
        <f t="shared" si="175"/>
        <v>0</v>
      </c>
      <c r="L344" s="1699">
        <f t="shared" si="175"/>
        <v>0</v>
      </c>
    </row>
    <row r="345" spans="1:12" s="1278" customFormat="1" ht="13.5" customHeight="1">
      <c r="A345" s="2647"/>
      <c r="B345" s="2650"/>
      <c r="C345" s="2758"/>
      <c r="D345" s="1251"/>
      <c r="E345" s="1252"/>
      <c r="F345" s="1247" t="s">
        <v>2709</v>
      </c>
      <c r="G345" s="1667">
        <f t="shared" ref="G345:L345" si="176">IF($F257&gt;5000000,ROUND(87.29*($F257/1000)^-0.2263,2),0)</f>
        <v>0</v>
      </c>
      <c r="H345" s="1667">
        <f t="shared" si="176"/>
        <v>0</v>
      </c>
      <c r="I345" s="1667">
        <f t="shared" si="176"/>
        <v>0</v>
      </c>
      <c r="J345" s="1667">
        <f t="shared" si="176"/>
        <v>0</v>
      </c>
      <c r="K345" s="1667">
        <f t="shared" si="176"/>
        <v>0</v>
      </c>
      <c r="L345" s="1699">
        <f t="shared" si="176"/>
        <v>0</v>
      </c>
    </row>
    <row r="346" spans="1:12" s="1278" customFormat="1" ht="13.5" customHeight="1" thickBot="1">
      <c r="A346" s="2755" t="s">
        <v>2722</v>
      </c>
      <c r="B346" s="2756"/>
      <c r="C346" s="2756"/>
      <c r="D346" s="2756"/>
      <c r="E346" s="1671"/>
      <c r="F346" s="1669"/>
      <c r="G346" s="1672">
        <f t="shared" ref="G346:L346" si="177">IF($F257&lt;=5000000,IF(G341&gt;G342,G342,IF(G341&lt;G343,G343,G341)),IF(G341&gt;G344,G344,IF(G341&lt;G345,G345,G341)))</f>
        <v>22.61</v>
      </c>
      <c r="H346" s="1672">
        <f t="shared" si="177"/>
        <v>12.7</v>
      </c>
      <c r="I346" s="1672">
        <f t="shared" si="177"/>
        <v>12.7</v>
      </c>
      <c r="J346" s="1672">
        <f t="shared" si="177"/>
        <v>12.7</v>
      </c>
      <c r="K346" s="1672">
        <f t="shared" si="177"/>
        <v>12.7</v>
      </c>
      <c r="L346" s="1701">
        <f t="shared" si="177"/>
        <v>12.7</v>
      </c>
    </row>
    <row r="347" spans="1:12" s="1278" customFormat="1" ht="13.5" customHeight="1" thickBot="1">
      <c r="A347" s="887"/>
      <c r="B347" s="887"/>
      <c r="C347" s="887"/>
      <c r="D347" s="887"/>
      <c r="E347" s="887"/>
      <c r="F347" s="887"/>
      <c r="G347" s="1237"/>
      <c r="H347" s="1237"/>
      <c r="I347" s="1237"/>
      <c r="J347" s="1237"/>
      <c r="K347" s="1237"/>
      <c r="L347" s="1237"/>
    </row>
    <row r="348" spans="1:12" s="1278" customFormat="1" ht="13.5" customHeight="1">
      <c r="A348" s="1238"/>
      <c r="B348" s="1239"/>
      <c r="C348" s="1240" t="s">
        <v>2726</v>
      </c>
      <c r="D348" s="1241"/>
      <c r="E348" s="1239"/>
      <c r="F348" s="1242"/>
      <c r="G348" s="1262"/>
      <c r="H348" s="1263"/>
      <c r="I348" s="1264"/>
      <c r="J348" s="1264"/>
      <c r="K348" s="1264"/>
      <c r="L348" s="1264"/>
    </row>
    <row r="349" spans="1:12" s="1278" customFormat="1" ht="13.5" customHeight="1">
      <c r="A349" s="2645"/>
      <c r="B349" s="2648" t="s">
        <v>81</v>
      </c>
      <c r="C349" s="1245" t="s">
        <v>2727</v>
      </c>
      <c r="D349" s="1054"/>
      <c r="E349" s="1246"/>
      <c r="F349" s="1247" t="s">
        <v>2876</v>
      </c>
      <c r="G349" s="1673">
        <f>ROUND(28.978-3.173*LOG($F299/1000),2)</f>
        <v>18.559999999999999</v>
      </c>
      <c r="H349" s="1266"/>
      <c r="I349" s="1267"/>
      <c r="J349" s="1267"/>
      <c r="K349" s="1267"/>
      <c r="L349" s="1267"/>
    </row>
    <row r="350" spans="1:12" s="1278" customFormat="1" ht="13.5" customHeight="1">
      <c r="A350" s="2646"/>
      <c r="B350" s="2649"/>
      <c r="C350" s="1268" t="s">
        <v>2729</v>
      </c>
      <c r="D350" s="1124"/>
      <c r="E350" s="1124"/>
      <c r="F350" s="1269"/>
      <c r="G350" s="1674">
        <f>IF($F299&lt;=5000000,17.24,0)</f>
        <v>17.239999999999998</v>
      </c>
      <c r="H350" s="1271"/>
      <c r="I350" s="1272"/>
      <c r="J350" s="150"/>
      <c r="K350" s="1272"/>
      <c r="L350" s="1272"/>
    </row>
    <row r="351" spans="1:12" s="1278" customFormat="1" ht="13.5" customHeight="1">
      <c r="A351" s="2646"/>
      <c r="B351" s="2649"/>
      <c r="C351" s="1268" t="s">
        <v>2730</v>
      </c>
      <c r="D351" s="1124"/>
      <c r="E351" s="1054"/>
      <c r="F351" s="1269"/>
      <c r="G351" s="1674">
        <f>IF($F299&gt;3000000000,8.43,0)</f>
        <v>0</v>
      </c>
      <c r="H351" s="1273"/>
      <c r="I351" s="1274"/>
      <c r="J351" s="1274"/>
      <c r="K351" s="1274"/>
      <c r="L351" s="1274"/>
    </row>
    <row r="352" spans="1:12" s="1278" customFormat="1" ht="13.5" customHeight="1" thickBot="1">
      <c r="A352" s="2753" t="s">
        <v>2731</v>
      </c>
      <c r="B352" s="2754"/>
      <c r="C352" s="2754"/>
      <c r="D352" s="2754"/>
      <c r="E352" s="1675"/>
      <c r="F352" s="1676"/>
      <c r="G352" s="1677">
        <f>IF($F299&lt;=5000000,G350,IF($F299&gt;3000000000,G351,G349))</f>
        <v>17.239999999999998</v>
      </c>
      <c r="H352" s="1678"/>
      <c r="I352" s="1679"/>
      <c r="J352" s="1679"/>
      <c r="K352" s="1679"/>
      <c r="L352" s="1679"/>
    </row>
  </sheetData>
  <mergeCells count="95">
    <mergeCell ref="B43:C43"/>
    <mergeCell ref="C2:E2"/>
    <mergeCell ref="B4:D4"/>
    <mergeCell ref="B5:D5"/>
    <mergeCell ref="B6:D6"/>
    <mergeCell ref="B16:B17"/>
    <mergeCell ref="B18:B24"/>
    <mergeCell ref="B25:B27"/>
    <mergeCell ref="B28:B34"/>
    <mergeCell ref="A37:C37"/>
    <mergeCell ref="A38:A42"/>
    <mergeCell ref="B41:B42"/>
    <mergeCell ref="A88:A107"/>
    <mergeCell ref="B88:B89"/>
    <mergeCell ref="B90:B97"/>
    <mergeCell ref="B98:B100"/>
    <mergeCell ref="B101:B107"/>
    <mergeCell ref="B48:C48"/>
    <mergeCell ref="B50:C50"/>
    <mergeCell ref="B55:C55"/>
    <mergeCell ref="B58:B59"/>
    <mergeCell ref="B61:B62"/>
    <mergeCell ref="F156:G156"/>
    <mergeCell ref="A157:C157"/>
    <mergeCell ref="F157:G157"/>
    <mergeCell ref="D110:D111"/>
    <mergeCell ref="E110:E111"/>
    <mergeCell ref="A111:C111"/>
    <mergeCell ref="B113:B114"/>
    <mergeCell ref="B115:B122"/>
    <mergeCell ref="B123:B125"/>
    <mergeCell ref="B169:B170"/>
    <mergeCell ref="B128:B131"/>
    <mergeCell ref="B132:B139"/>
    <mergeCell ref="B140:B142"/>
    <mergeCell ref="A151:C152"/>
    <mergeCell ref="A158:A165"/>
    <mergeCell ref="B159:B160"/>
    <mergeCell ref="B161:B162"/>
    <mergeCell ref="B163:B165"/>
    <mergeCell ref="A167:C167"/>
    <mergeCell ref="A201:D201"/>
    <mergeCell ref="B171:B172"/>
    <mergeCell ref="B173:B175"/>
    <mergeCell ref="A188:A192"/>
    <mergeCell ref="B188:B192"/>
    <mergeCell ref="C189:C190"/>
    <mergeCell ref="C191:C192"/>
    <mergeCell ref="A193:D193"/>
    <mergeCell ref="A196:A200"/>
    <mergeCell ref="B196:B200"/>
    <mergeCell ref="C197:C198"/>
    <mergeCell ref="C199:C200"/>
    <mergeCell ref="A204:A206"/>
    <mergeCell ref="B204:B206"/>
    <mergeCell ref="A207:D207"/>
    <mergeCell ref="A233:A252"/>
    <mergeCell ref="B233:B234"/>
    <mergeCell ref="B235:B242"/>
    <mergeCell ref="B243:B245"/>
    <mergeCell ref="B246:B252"/>
    <mergeCell ref="F301:G301"/>
    <mergeCell ref="A302:C302"/>
    <mergeCell ref="F302:G302"/>
    <mergeCell ref="D255:D256"/>
    <mergeCell ref="E255:E256"/>
    <mergeCell ref="A256:C256"/>
    <mergeCell ref="B258:B259"/>
    <mergeCell ref="B260:B267"/>
    <mergeCell ref="B268:B270"/>
    <mergeCell ref="B314:B315"/>
    <mergeCell ref="B273:B276"/>
    <mergeCell ref="B277:B284"/>
    <mergeCell ref="B285:B287"/>
    <mergeCell ref="A296:C297"/>
    <mergeCell ref="A303:A310"/>
    <mergeCell ref="B304:B305"/>
    <mergeCell ref="B306:B307"/>
    <mergeCell ref="B308:B310"/>
    <mergeCell ref="A312:C312"/>
    <mergeCell ref="B316:B317"/>
    <mergeCell ref="B318:B320"/>
    <mergeCell ref="A333:A337"/>
    <mergeCell ref="B333:B337"/>
    <mergeCell ref="C334:C335"/>
    <mergeCell ref="C336:C337"/>
    <mergeCell ref="A349:A351"/>
    <mergeCell ref="B349:B351"/>
    <mergeCell ref="A352:D352"/>
    <mergeCell ref="A338:D338"/>
    <mergeCell ref="A341:A345"/>
    <mergeCell ref="B341:B345"/>
    <mergeCell ref="C342:C343"/>
    <mergeCell ref="C344:C345"/>
    <mergeCell ref="A346:D346"/>
  </mergeCells>
  <phoneticPr fontId="2"/>
  <conditionalFormatting sqref="F67">
    <cfRule type="expression" dxfId="3" priority="2" stopIfTrue="1">
      <formula>AND($F$27&gt;5000000,OR($E$5="無し",$E$5="なし"))</formula>
    </cfRule>
  </conditionalFormatting>
  <conditionalFormatting sqref="F212">
    <cfRule type="expression" dxfId="2" priority="1" stopIfTrue="1">
      <formula>AND($F$27&gt;5000000,OR($E$5="無し",$E$5="なし"))</formula>
    </cfRule>
  </conditionalFormatting>
  <dataValidations count="1">
    <dataValidation type="list" allowBlank="1" showInputMessage="1" showErrorMessage="1" sqref="E66:E67 JA66:JA67 SW66:SW67 ACS66:ACS67 AMO66:AMO67 AWK66:AWK67 BGG66:BGG67 BQC66:BQC67 BZY66:BZY67 CJU66:CJU67 CTQ66:CTQ67 DDM66:DDM67 DNI66:DNI67 DXE66:DXE67 EHA66:EHA67 EQW66:EQW67 FAS66:FAS67 FKO66:FKO67 FUK66:FUK67 GEG66:GEG67 GOC66:GOC67 GXY66:GXY67 HHU66:HHU67 HRQ66:HRQ67 IBM66:IBM67 ILI66:ILI67 IVE66:IVE67 JFA66:JFA67 JOW66:JOW67 JYS66:JYS67 KIO66:KIO67 KSK66:KSK67 LCG66:LCG67 LMC66:LMC67 LVY66:LVY67 MFU66:MFU67 MPQ66:MPQ67 MZM66:MZM67 NJI66:NJI67 NTE66:NTE67 ODA66:ODA67 OMW66:OMW67 OWS66:OWS67 PGO66:PGO67 PQK66:PQK67 QAG66:QAG67 QKC66:QKC67 QTY66:QTY67 RDU66:RDU67 RNQ66:RNQ67 RXM66:RXM67 SHI66:SHI67 SRE66:SRE67 TBA66:TBA67 TKW66:TKW67 TUS66:TUS67 UEO66:UEO67 UOK66:UOK67 UYG66:UYG67 VIC66:VIC67 VRY66:VRY67 WBU66:WBU67 WLQ66:WLQ67 WVM66:WVM67 E65602:E65603 JA65602:JA65603 SW65602:SW65603 ACS65602:ACS65603 AMO65602:AMO65603 AWK65602:AWK65603 BGG65602:BGG65603 BQC65602:BQC65603 BZY65602:BZY65603 CJU65602:CJU65603 CTQ65602:CTQ65603 DDM65602:DDM65603 DNI65602:DNI65603 DXE65602:DXE65603 EHA65602:EHA65603 EQW65602:EQW65603 FAS65602:FAS65603 FKO65602:FKO65603 FUK65602:FUK65603 GEG65602:GEG65603 GOC65602:GOC65603 GXY65602:GXY65603 HHU65602:HHU65603 HRQ65602:HRQ65603 IBM65602:IBM65603 ILI65602:ILI65603 IVE65602:IVE65603 JFA65602:JFA65603 JOW65602:JOW65603 JYS65602:JYS65603 KIO65602:KIO65603 KSK65602:KSK65603 LCG65602:LCG65603 LMC65602:LMC65603 LVY65602:LVY65603 MFU65602:MFU65603 MPQ65602:MPQ65603 MZM65602:MZM65603 NJI65602:NJI65603 NTE65602:NTE65603 ODA65602:ODA65603 OMW65602:OMW65603 OWS65602:OWS65603 PGO65602:PGO65603 PQK65602:PQK65603 QAG65602:QAG65603 QKC65602:QKC65603 QTY65602:QTY65603 RDU65602:RDU65603 RNQ65602:RNQ65603 RXM65602:RXM65603 SHI65602:SHI65603 SRE65602:SRE65603 TBA65602:TBA65603 TKW65602:TKW65603 TUS65602:TUS65603 UEO65602:UEO65603 UOK65602:UOK65603 UYG65602:UYG65603 VIC65602:VIC65603 VRY65602:VRY65603 WBU65602:WBU65603 WLQ65602:WLQ65603 WVM65602:WVM65603 E131138:E131139 JA131138:JA131139 SW131138:SW131139 ACS131138:ACS131139 AMO131138:AMO131139 AWK131138:AWK131139 BGG131138:BGG131139 BQC131138:BQC131139 BZY131138:BZY131139 CJU131138:CJU131139 CTQ131138:CTQ131139 DDM131138:DDM131139 DNI131138:DNI131139 DXE131138:DXE131139 EHA131138:EHA131139 EQW131138:EQW131139 FAS131138:FAS131139 FKO131138:FKO131139 FUK131138:FUK131139 GEG131138:GEG131139 GOC131138:GOC131139 GXY131138:GXY131139 HHU131138:HHU131139 HRQ131138:HRQ131139 IBM131138:IBM131139 ILI131138:ILI131139 IVE131138:IVE131139 JFA131138:JFA131139 JOW131138:JOW131139 JYS131138:JYS131139 KIO131138:KIO131139 KSK131138:KSK131139 LCG131138:LCG131139 LMC131138:LMC131139 LVY131138:LVY131139 MFU131138:MFU131139 MPQ131138:MPQ131139 MZM131138:MZM131139 NJI131138:NJI131139 NTE131138:NTE131139 ODA131138:ODA131139 OMW131138:OMW131139 OWS131138:OWS131139 PGO131138:PGO131139 PQK131138:PQK131139 QAG131138:QAG131139 QKC131138:QKC131139 QTY131138:QTY131139 RDU131138:RDU131139 RNQ131138:RNQ131139 RXM131138:RXM131139 SHI131138:SHI131139 SRE131138:SRE131139 TBA131138:TBA131139 TKW131138:TKW131139 TUS131138:TUS131139 UEO131138:UEO131139 UOK131138:UOK131139 UYG131138:UYG131139 VIC131138:VIC131139 VRY131138:VRY131139 WBU131138:WBU131139 WLQ131138:WLQ131139 WVM131138:WVM131139 E196674:E196675 JA196674:JA196675 SW196674:SW196675 ACS196674:ACS196675 AMO196674:AMO196675 AWK196674:AWK196675 BGG196674:BGG196675 BQC196674:BQC196675 BZY196674:BZY196675 CJU196674:CJU196675 CTQ196674:CTQ196675 DDM196674:DDM196675 DNI196674:DNI196675 DXE196674:DXE196675 EHA196674:EHA196675 EQW196674:EQW196675 FAS196674:FAS196675 FKO196674:FKO196675 FUK196674:FUK196675 GEG196674:GEG196675 GOC196674:GOC196675 GXY196674:GXY196675 HHU196674:HHU196675 HRQ196674:HRQ196675 IBM196674:IBM196675 ILI196674:ILI196675 IVE196674:IVE196675 JFA196674:JFA196675 JOW196674:JOW196675 JYS196674:JYS196675 KIO196674:KIO196675 KSK196674:KSK196675 LCG196674:LCG196675 LMC196674:LMC196675 LVY196674:LVY196675 MFU196674:MFU196675 MPQ196674:MPQ196675 MZM196674:MZM196675 NJI196674:NJI196675 NTE196674:NTE196675 ODA196674:ODA196675 OMW196674:OMW196675 OWS196674:OWS196675 PGO196674:PGO196675 PQK196674:PQK196675 QAG196674:QAG196675 QKC196674:QKC196675 QTY196674:QTY196675 RDU196674:RDU196675 RNQ196674:RNQ196675 RXM196674:RXM196675 SHI196674:SHI196675 SRE196674:SRE196675 TBA196674:TBA196675 TKW196674:TKW196675 TUS196674:TUS196675 UEO196674:UEO196675 UOK196674:UOK196675 UYG196674:UYG196675 VIC196674:VIC196675 VRY196674:VRY196675 WBU196674:WBU196675 WLQ196674:WLQ196675 WVM196674:WVM196675 E262210:E262211 JA262210:JA262211 SW262210:SW262211 ACS262210:ACS262211 AMO262210:AMO262211 AWK262210:AWK262211 BGG262210:BGG262211 BQC262210:BQC262211 BZY262210:BZY262211 CJU262210:CJU262211 CTQ262210:CTQ262211 DDM262210:DDM262211 DNI262210:DNI262211 DXE262210:DXE262211 EHA262210:EHA262211 EQW262210:EQW262211 FAS262210:FAS262211 FKO262210:FKO262211 FUK262210:FUK262211 GEG262210:GEG262211 GOC262210:GOC262211 GXY262210:GXY262211 HHU262210:HHU262211 HRQ262210:HRQ262211 IBM262210:IBM262211 ILI262210:ILI262211 IVE262210:IVE262211 JFA262210:JFA262211 JOW262210:JOW262211 JYS262210:JYS262211 KIO262210:KIO262211 KSK262210:KSK262211 LCG262210:LCG262211 LMC262210:LMC262211 LVY262210:LVY262211 MFU262210:MFU262211 MPQ262210:MPQ262211 MZM262210:MZM262211 NJI262210:NJI262211 NTE262210:NTE262211 ODA262210:ODA262211 OMW262210:OMW262211 OWS262210:OWS262211 PGO262210:PGO262211 PQK262210:PQK262211 QAG262210:QAG262211 QKC262210:QKC262211 QTY262210:QTY262211 RDU262210:RDU262211 RNQ262210:RNQ262211 RXM262210:RXM262211 SHI262210:SHI262211 SRE262210:SRE262211 TBA262210:TBA262211 TKW262210:TKW262211 TUS262210:TUS262211 UEO262210:UEO262211 UOK262210:UOK262211 UYG262210:UYG262211 VIC262210:VIC262211 VRY262210:VRY262211 WBU262210:WBU262211 WLQ262210:WLQ262211 WVM262210:WVM262211 E327746:E327747 JA327746:JA327747 SW327746:SW327747 ACS327746:ACS327747 AMO327746:AMO327747 AWK327746:AWK327747 BGG327746:BGG327747 BQC327746:BQC327747 BZY327746:BZY327747 CJU327746:CJU327747 CTQ327746:CTQ327747 DDM327746:DDM327747 DNI327746:DNI327747 DXE327746:DXE327747 EHA327746:EHA327747 EQW327746:EQW327747 FAS327746:FAS327747 FKO327746:FKO327747 FUK327746:FUK327747 GEG327746:GEG327747 GOC327746:GOC327747 GXY327746:GXY327747 HHU327746:HHU327747 HRQ327746:HRQ327747 IBM327746:IBM327747 ILI327746:ILI327747 IVE327746:IVE327747 JFA327746:JFA327747 JOW327746:JOW327747 JYS327746:JYS327747 KIO327746:KIO327747 KSK327746:KSK327747 LCG327746:LCG327747 LMC327746:LMC327747 LVY327746:LVY327747 MFU327746:MFU327747 MPQ327746:MPQ327747 MZM327746:MZM327747 NJI327746:NJI327747 NTE327746:NTE327747 ODA327746:ODA327747 OMW327746:OMW327747 OWS327746:OWS327747 PGO327746:PGO327747 PQK327746:PQK327747 QAG327746:QAG327747 QKC327746:QKC327747 QTY327746:QTY327747 RDU327746:RDU327747 RNQ327746:RNQ327747 RXM327746:RXM327747 SHI327746:SHI327747 SRE327746:SRE327747 TBA327746:TBA327747 TKW327746:TKW327747 TUS327746:TUS327747 UEO327746:UEO327747 UOK327746:UOK327747 UYG327746:UYG327747 VIC327746:VIC327747 VRY327746:VRY327747 WBU327746:WBU327747 WLQ327746:WLQ327747 WVM327746:WVM327747 E393282:E393283 JA393282:JA393283 SW393282:SW393283 ACS393282:ACS393283 AMO393282:AMO393283 AWK393282:AWK393283 BGG393282:BGG393283 BQC393282:BQC393283 BZY393282:BZY393283 CJU393282:CJU393283 CTQ393282:CTQ393283 DDM393282:DDM393283 DNI393282:DNI393283 DXE393282:DXE393283 EHA393282:EHA393283 EQW393282:EQW393283 FAS393282:FAS393283 FKO393282:FKO393283 FUK393282:FUK393283 GEG393282:GEG393283 GOC393282:GOC393283 GXY393282:GXY393283 HHU393282:HHU393283 HRQ393282:HRQ393283 IBM393282:IBM393283 ILI393282:ILI393283 IVE393282:IVE393283 JFA393282:JFA393283 JOW393282:JOW393283 JYS393282:JYS393283 KIO393282:KIO393283 KSK393282:KSK393283 LCG393282:LCG393283 LMC393282:LMC393283 LVY393282:LVY393283 MFU393282:MFU393283 MPQ393282:MPQ393283 MZM393282:MZM393283 NJI393282:NJI393283 NTE393282:NTE393283 ODA393282:ODA393283 OMW393282:OMW393283 OWS393282:OWS393283 PGO393282:PGO393283 PQK393282:PQK393283 QAG393282:QAG393283 QKC393282:QKC393283 QTY393282:QTY393283 RDU393282:RDU393283 RNQ393282:RNQ393283 RXM393282:RXM393283 SHI393282:SHI393283 SRE393282:SRE393283 TBA393282:TBA393283 TKW393282:TKW393283 TUS393282:TUS393283 UEO393282:UEO393283 UOK393282:UOK393283 UYG393282:UYG393283 VIC393282:VIC393283 VRY393282:VRY393283 WBU393282:WBU393283 WLQ393282:WLQ393283 WVM393282:WVM393283 E458818:E458819 JA458818:JA458819 SW458818:SW458819 ACS458818:ACS458819 AMO458818:AMO458819 AWK458818:AWK458819 BGG458818:BGG458819 BQC458818:BQC458819 BZY458818:BZY458819 CJU458818:CJU458819 CTQ458818:CTQ458819 DDM458818:DDM458819 DNI458818:DNI458819 DXE458818:DXE458819 EHA458818:EHA458819 EQW458818:EQW458819 FAS458818:FAS458819 FKO458818:FKO458819 FUK458818:FUK458819 GEG458818:GEG458819 GOC458818:GOC458819 GXY458818:GXY458819 HHU458818:HHU458819 HRQ458818:HRQ458819 IBM458818:IBM458819 ILI458818:ILI458819 IVE458818:IVE458819 JFA458818:JFA458819 JOW458818:JOW458819 JYS458818:JYS458819 KIO458818:KIO458819 KSK458818:KSK458819 LCG458818:LCG458819 LMC458818:LMC458819 LVY458818:LVY458819 MFU458818:MFU458819 MPQ458818:MPQ458819 MZM458818:MZM458819 NJI458818:NJI458819 NTE458818:NTE458819 ODA458818:ODA458819 OMW458818:OMW458819 OWS458818:OWS458819 PGO458818:PGO458819 PQK458818:PQK458819 QAG458818:QAG458819 QKC458818:QKC458819 QTY458818:QTY458819 RDU458818:RDU458819 RNQ458818:RNQ458819 RXM458818:RXM458819 SHI458818:SHI458819 SRE458818:SRE458819 TBA458818:TBA458819 TKW458818:TKW458819 TUS458818:TUS458819 UEO458818:UEO458819 UOK458818:UOK458819 UYG458818:UYG458819 VIC458818:VIC458819 VRY458818:VRY458819 WBU458818:WBU458819 WLQ458818:WLQ458819 WVM458818:WVM458819 E524354:E524355 JA524354:JA524355 SW524354:SW524355 ACS524354:ACS524355 AMO524354:AMO524355 AWK524354:AWK524355 BGG524354:BGG524355 BQC524354:BQC524355 BZY524354:BZY524355 CJU524354:CJU524355 CTQ524354:CTQ524355 DDM524354:DDM524355 DNI524354:DNI524355 DXE524354:DXE524355 EHA524354:EHA524355 EQW524354:EQW524355 FAS524354:FAS524355 FKO524354:FKO524355 FUK524354:FUK524355 GEG524354:GEG524355 GOC524354:GOC524355 GXY524354:GXY524355 HHU524354:HHU524355 HRQ524354:HRQ524355 IBM524354:IBM524355 ILI524354:ILI524355 IVE524354:IVE524355 JFA524354:JFA524355 JOW524354:JOW524355 JYS524354:JYS524355 KIO524354:KIO524355 KSK524354:KSK524355 LCG524354:LCG524355 LMC524354:LMC524355 LVY524354:LVY524355 MFU524354:MFU524355 MPQ524354:MPQ524355 MZM524354:MZM524355 NJI524354:NJI524355 NTE524354:NTE524355 ODA524354:ODA524355 OMW524354:OMW524355 OWS524354:OWS524355 PGO524354:PGO524355 PQK524354:PQK524355 QAG524354:QAG524355 QKC524354:QKC524355 QTY524354:QTY524355 RDU524354:RDU524355 RNQ524354:RNQ524355 RXM524354:RXM524355 SHI524354:SHI524355 SRE524354:SRE524355 TBA524354:TBA524355 TKW524354:TKW524355 TUS524354:TUS524355 UEO524354:UEO524355 UOK524354:UOK524355 UYG524354:UYG524355 VIC524354:VIC524355 VRY524354:VRY524355 WBU524354:WBU524355 WLQ524354:WLQ524355 WVM524354:WVM524355 E589890:E589891 JA589890:JA589891 SW589890:SW589891 ACS589890:ACS589891 AMO589890:AMO589891 AWK589890:AWK589891 BGG589890:BGG589891 BQC589890:BQC589891 BZY589890:BZY589891 CJU589890:CJU589891 CTQ589890:CTQ589891 DDM589890:DDM589891 DNI589890:DNI589891 DXE589890:DXE589891 EHA589890:EHA589891 EQW589890:EQW589891 FAS589890:FAS589891 FKO589890:FKO589891 FUK589890:FUK589891 GEG589890:GEG589891 GOC589890:GOC589891 GXY589890:GXY589891 HHU589890:HHU589891 HRQ589890:HRQ589891 IBM589890:IBM589891 ILI589890:ILI589891 IVE589890:IVE589891 JFA589890:JFA589891 JOW589890:JOW589891 JYS589890:JYS589891 KIO589890:KIO589891 KSK589890:KSK589891 LCG589890:LCG589891 LMC589890:LMC589891 LVY589890:LVY589891 MFU589890:MFU589891 MPQ589890:MPQ589891 MZM589890:MZM589891 NJI589890:NJI589891 NTE589890:NTE589891 ODA589890:ODA589891 OMW589890:OMW589891 OWS589890:OWS589891 PGO589890:PGO589891 PQK589890:PQK589891 QAG589890:QAG589891 QKC589890:QKC589891 QTY589890:QTY589891 RDU589890:RDU589891 RNQ589890:RNQ589891 RXM589890:RXM589891 SHI589890:SHI589891 SRE589890:SRE589891 TBA589890:TBA589891 TKW589890:TKW589891 TUS589890:TUS589891 UEO589890:UEO589891 UOK589890:UOK589891 UYG589890:UYG589891 VIC589890:VIC589891 VRY589890:VRY589891 WBU589890:WBU589891 WLQ589890:WLQ589891 WVM589890:WVM589891 E655426:E655427 JA655426:JA655427 SW655426:SW655427 ACS655426:ACS655427 AMO655426:AMO655427 AWK655426:AWK655427 BGG655426:BGG655427 BQC655426:BQC655427 BZY655426:BZY655427 CJU655426:CJU655427 CTQ655426:CTQ655427 DDM655426:DDM655427 DNI655426:DNI655427 DXE655426:DXE655427 EHA655426:EHA655427 EQW655426:EQW655427 FAS655426:FAS655427 FKO655426:FKO655427 FUK655426:FUK655427 GEG655426:GEG655427 GOC655426:GOC655427 GXY655426:GXY655427 HHU655426:HHU655427 HRQ655426:HRQ655427 IBM655426:IBM655427 ILI655426:ILI655427 IVE655426:IVE655427 JFA655426:JFA655427 JOW655426:JOW655427 JYS655426:JYS655427 KIO655426:KIO655427 KSK655426:KSK655427 LCG655426:LCG655427 LMC655426:LMC655427 LVY655426:LVY655427 MFU655426:MFU655427 MPQ655426:MPQ655427 MZM655426:MZM655427 NJI655426:NJI655427 NTE655426:NTE655427 ODA655426:ODA655427 OMW655426:OMW655427 OWS655426:OWS655427 PGO655426:PGO655427 PQK655426:PQK655427 QAG655426:QAG655427 QKC655426:QKC655427 QTY655426:QTY655427 RDU655426:RDU655427 RNQ655426:RNQ655427 RXM655426:RXM655427 SHI655426:SHI655427 SRE655426:SRE655427 TBA655426:TBA655427 TKW655426:TKW655427 TUS655426:TUS655427 UEO655426:UEO655427 UOK655426:UOK655427 UYG655426:UYG655427 VIC655426:VIC655427 VRY655426:VRY655427 WBU655426:WBU655427 WLQ655426:WLQ655427 WVM655426:WVM655427 E720962:E720963 JA720962:JA720963 SW720962:SW720963 ACS720962:ACS720963 AMO720962:AMO720963 AWK720962:AWK720963 BGG720962:BGG720963 BQC720962:BQC720963 BZY720962:BZY720963 CJU720962:CJU720963 CTQ720962:CTQ720963 DDM720962:DDM720963 DNI720962:DNI720963 DXE720962:DXE720963 EHA720962:EHA720963 EQW720962:EQW720963 FAS720962:FAS720963 FKO720962:FKO720963 FUK720962:FUK720963 GEG720962:GEG720963 GOC720962:GOC720963 GXY720962:GXY720963 HHU720962:HHU720963 HRQ720962:HRQ720963 IBM720962:IBM720963 ILI720962:ILI720963 IVE720962:IVE720963 JFA720962:JFA720963 JOW720962:JOW720963 JYS720962:JYS720963 KIO720962:KIO720963 KSK720962:KSK720963 LCG720962:LCG720963 LMC720962:LMC720963 LVY720962:LVY720963 MFU720962:MFU720963 MPQ720962:MPQ720963 MZM720962:MZM720963 NJI720962:NJI720963 NTE720962:NTE720963 ODA720962:ODA720963 OMW720962:OMW720963 OWS720962:OWS720963 PGO720962:PGO720963 PQK720962:PQK720963 QAG720962:QAG720963 QKC720962:QKC720963 QTY720962:QTY720963 RDU720962:RDU720963 RNQ720962:RNQ720963 RXM720962:RXM720963 SHI720962:SHI720963 SRE720962:SRE720963 TBA720962:TBA720963 TKW720962:TKW720963 TUS720962:TUS720963 UEO720962:UEO720963 UOK720962:UOK720963 UYG720962:UYG720963 VIC720962:VIC720963 VRY720962:VRY720963 WBU720962:WBU720963 WLQ720962:WLQ720963 WVM720962:WVM720963 E786498:E786499 JA786498:JA786499 SW786498:SW786499 ACS786498:ACS786499 AMO786498:AMO786499 AWK786498:AWK786499 BGG786498:BGG786499 BQC786498:BQC786499 BZY786498:BZY786499 CJU786498:CJU786499 CTQ786498:CTQ786499 DDM786498:DDM786499 DNI786498:DNI786499 DXE786498:DXE786499 EHA786498:EHA786499 EQW786498:EQW786499 FAS786498:FAS786499 FKO786498:FKO786499 FUK786498:FUK786499 GEG786498:GEG786499 GOC786498:GOC786499 GXY786498:GXY786499 HHU786498:HHU786499 HRQ786498:HRQ786499 IBM786498:IBM786499 ILI786498:ILI786499 IVE786498:IVE786499 JFA786498:JFA786499 JOW786498:JOW786499 JYS786498:JYS786499 KIO786498:KIO786499 KSK786498:KSK786499 LCG786498:LCG786499 LMC786498:LMC786499 LVY786498:LVY786499 MFU786498:MFU786499 MPQ786498:MPQ786499 MZM786498:MZM786499 NJI786498:NJI786499 NTE786498:NTE786499 ODA786498:ODA786499 OMW786498:OMW786499 OWS786498:OWS786499 PGO786498:PGO786499 PQK786498:PQK786499 QAG786498:QAG786499 QKC786498:QKC786499 QTY786498:QTY786499 RDU786498:RDU786499 RNQ786498:RNQ786499 RXM786498:RXM786499 SHI786498:SHI786499 SRE786498:SRE786499 TBA786498:TBA786499 TKW786498:TKW786499 TUS786498:TUS786499 UEO786498:UEO786499 UOK786498:UOK786499 UYG786498:UYG786499 VIC786498:VIC786499 VRY786498:VRY786499 WBU786498:WBU786499 WLQ786498:WLQ786499 WVM786498:WVM786499 E852034:E852035 JA852034:JA852035 SW852034:SW852035 ACS852034:ACS852035 AMO852034:AMO852035 AWK852034:AWK852035 BGG852034:BGG852035 BQC852034:BQC852035 BZY852034:BZY852035 CJU852034:CJU852035 CTQ852034:CTQ852035 DDM852034:DDM852035 DNI852034:DNI852035 DXE852034:DXE852035 EHA852034:EHA852035 EQW852034:EQW852035 FAS852034:FAS852035 FKO852034:FKO852035 FUK852034:FUK852035 GEG852034:GEG852035 GOC852034:GOC852035 GXY852034:GXY852035 HHU852034:HHU852035 HRQ852034:HRQ852035 IBM852034:IBM852035 ILI852034:ILI852035 IVE852034:IVE852035 JFA852034:JFA852035 JOW852034:JOW852035 JYS852034:JYS852035 KIO852034:KIO852035 KSK852034:KSK852035 LCG852034:LCG852035 LMC852034:LMC852035 LVY852034:LVY852035 MFU852034:MFU852035 MPQ852034:MPQ852035 MZM852034:MZM852035 NJI852034:NJI852035 NTE852034:NTE852035 ODA852034:ODA852035 OMW852034:OMW852035 OWS852034:OWS852035 PGO852034:PGO852035 PQK852034:PQK852035 QAG852034:QAG852035 QKC852034:QKC852035 QTY852034:QTY852035 RDU852034:RDU852035 RNQ852034:RNQ852035 RXM852034:RXM852035 SHI852034:SHI852035 SRE852034:SRE852035 TBA852034:TBA852035 TKW852034:TKW852035 TUS852034:TUS852035 UEO852034:UEO852035 UOK852034:UOK852035 UYG852034:UYG852035 VIC852034:VIC852035 VRY852034:VRY852035 WBU852034:WBU852035 WLQ852034:WLQ852035 WVM852034:WVM852035 E917570:E917571 JA917570:JA917571 SW917570:SW917571 ACS917570:ACS917571 AMO917570:AMO917571 AWK917570:AWK917571 BGG917570:BGG917571 BQC917570:BQC917571 BZY917570:BZY917571 CJU917570:CJU917571 CTQ917570:CTQ917571 DDM917570:DDM917571 DNI917570:DNI917571 DXE917570:DXE917571 EHA917570:EHA917571 EQW917570:EQW917571 FAS917570:FAS917571 FKO917570:FKO917571 FUK917570:FUK917571 GEG917570:GEG917571 GOC917570:GOC917571 GXY917570:GXY917571 HHU917570:HHU917571 HRQ917570:HRQ917571 IBM917570:IBM917571 ILI917570:ILI917571 IVE917570:IVE917571 JFA917570:JFA917571 JOW917570:JOW917571 JYS917570:JYS917571 KIO917570:KIO917571 KSK917570:KSK917571 LCG917570:LCG917571 LMC917570:LMC917571 LVY917570:LVY917571 MFU917570:MFU917571 MPQ917570:MPQ917571 MZM917570:MZM917571 NJI917570:NJI917571 NTE917570:NTE917571 ODA917570:ODA917571 OMW917570:OMW917571 OWS917570:OWS917571 PGO917570:PGO917571 PQK917570:PQK917571 QAG917570:QAG917571 QKC917570:QKC917571 QTY917570:QTY917571 RDU917570:RDU917571 RNQ917570:RNQ917571 RXM917570:RXM917571 SHI917570:SHI917571 SRE917570:SRE917571 TBA917570:TBA917571 TKW917570:TKW917571 TUS917570:TUS917571 UEO917570:UEO917571 UOK917570:UOK917571 UYG917570:UYG917571 VIC917570:VIC917571 VRY917570:VRY917571 WBU917570:WBU917571 WLQ917570:WLQ917571 WVM917570:WVM917571 E983106:E983107 JA983106:JA983107 SW983106:SW983107 ACS983106:ACS983107 AMO983106:AMO983107 AWK983106:AWK983107 BGG983106:BGG983107 BQC983106:BQC983107 BZY983106:BZY983107 CJU983106:CJU983107 CTQ983106:CTQ983107 DDM983106:DDM983107 DNI983106:DNI983107 DXE983106:DXE983107 EHA983106:EHA983107 EQW983106:EQW983107 FAS983106:FAS983107 FKO983106:FKO983107 FUK983106:FUK983107 GEG983106:GEG983107 GOC983106:GOC983107 GXY983106:GXY983107 HHU983106:HHU983107 HRQ983106:HRQ983107 IBM983106:IBM983107 ILI983106:ILI983107 IVE983106:IVE983107 JFA983106:JFA983107 JOW983106:JOW983107 JYS983106:JYS983107 KIO983106:KIO983107 KSK983106:KSK983107 LCG983106:LCG983107 LMC983106:LMC983107 LVY983106:LVY983107 MFU983106:MFU983107 MPQ983106:MPQ983107 MZM983106:MZM983107 NJI983106:NJI983107 NTE983106:NTE983107 ODA983106:ODA983107 OMW983106:OMW983107 OWS983106:OWS983107 PGO983106:PGO983107 PQK983106:PQK983107 QAG983106:QAG983107 QKC983106:QKC983107 QTY983106:QTY983107 RDU983106:RDU983107 RNQ983106:RNQ983107 RXM983106:RXM983107 SHI983106:SHI983107 SRE983106:SRE983107 TBA983106:TBA983107 TKW983106:TKW983107 TUS983106:TUS983107 UEO983106:UEO983107 UOK983106:UOK983107 UYG983106:UYG983107 VIC983106:VIC983107 VRY983106:VRY983107 WBU983106:WBU983107 WLQ983106:WLQ983107 WVM983106:WVM983107 E211:E212 JA211:JA212 SW211:SW212 ACS211:ACS212 AMO211:AMO212 AWK211:AWK212 BGG211:BGG212 BQC211:BQC212 BZY211:BZY212 CJU211:CJU212 CTQ211:CTQ212 DDM211:DDM212 DNI211:DNI212 DXE211:DXE212 EHA211:EHA212 EQW211:EQW212 FAS211:FAS212 FKO211:FKO212 FUK211:FUK212 GEG211:GEG212 GOC211:GOC212 GXY211:GXY212 HHU211:HHU212 HRQ211:HRQ212 IBM211:IBM212 ILI211:ILI212 IVE211:IVE212 JFA211:JFA212 JOW211:JOW212 JYS211:JYS212 KIO211:KIO212 KSK211:KSK212 LCG211:LCG212 LMC211:LMC212 LVY211:LVY212 MFU211:MFU212 MPQ211:MPQ212 MZM211:MZM212 NJI211:NJI212 NTE211:NTE212 ODA211:ODA212 OMW211:OMW212 OWS211:OWS212 PGO211:PGO212 PQK211:PQK212 QAG211:QAG212 QKC211:QKC212 QTY211:QTY212 RDU211:RDU212 RNQ211:RNQ212 RXM211:RXM212 SHI211:SHI212 SRE211:SRE212 TBA211:TBA212 TKW211:TKW212 TUS211:TUS212 UEO211:UEO212 UOK211:UOK212 UYG211:UYG212 VIC211:VIC212 VRY211:VRY212 WBU211:WBU212 WLQ211:WLQ212 WVM211:WVM212 E65747:E65748 JA65747:JA65748 SW65747:SW65748 ACS65747:ACS65748 AMO65747:AMO65748 AWK65747:AWK65748 BGG65747:BGG65748 BQC65747:BQC65748 BZY65747:BZY65748 CJU65747:CJU65748 CTQ65747:CTQ65748 DDM65747:DDM65748 DNI65747:DNI65748 DXE65747:DXE65748 EHA65747:EHA65748 EQW65747:EQW65748 FAS65747:FAS65748 FKO65747:FKO65748 FUK65747:FUK65748 GEG65747:GEG65748 GOC65747:GOC65748 GXY65747:GXY65748 HHU65747:HHU65748 HRQ65747:HRQ65748 IBM65747:IBM65748 ILI65747:ILI65748 IVE65747:IVE65748 JFA65747:JFA65748 JOW65747:JOW65748 JYS65747:JYS65748 KIO65747:KIO65748 KSK65747:KSK65748 LCG65747:LCG65748 LMC65747:LMC65748 LVY65747:LVY65748 MFU65747:MFU65748 MPQ65747:MPQ65748 MZM65747:MZM65748 NJI65747:NJI65748 NTE65747:NTE65748 ODA65747:ODA65748 OMW65747:OMW65748 OWS65747:OWS65748 PGO65747:PGO65748 PQK65747:PQK65748 QAG65747:QAG65748 QKC65747:QKC65748 QTY65747:QTY65748 RDU65747:RDU65748 RNQ65747:RNQ65748 RXM65747:RXM65748 SHI65747:SHI65748 SRE65747:SRE65748 TBA65747:TBA65748 TKW65747:TKW65748 TUS65747:TUS65748 UEO65747:UEO65748 UOK65747:UOK65748 UYG65747:UYG65748 VIC65747:VIC65748 VRY65747:VRY65748 WBU65747:WBU65748 WLQ65747:WLQ65748 WVM65747:WVM65748 E131283:E131284 JA131283:JA131284 SW131283:SW131284 ACS131283:ACS131284 AMO131283:AMO131284 AWK131283:AWK131284 BGG131283:BGG131284 BQC131283:BQC131284 BZY131283:BZY131284 CJU131283:CJU131284 CTQ131283:CTQ131284 DDM131283:DDM131284 DNI131283:DNI131284 DXE131283:DXE131284 EHA131283:EHA131284 EQW131283:EQW131284 FAS131283:FAS131284 FKO131283:FKO131284 FUK131283:FUK131284 GEG131283:GEG131284 GOC131283:GOC131284 GXY131283:GXY131284 HHU131283:HHU131284 HRQ131283:HRQ131284 IBM131283:IBM131284 ILI131283:ILI131284 IVE131283:IVE131284 JFA131283:JFA131284 JOW131283:JOW131284 JYS131283:JYS131284 KIO131283:KIO131284 KSK131283:KSK131284 LCG131283:LCG131284 LMC131283:LMC131284 LVY131283:LVY131284 MFU131283:MFU131284 MPQ131283:MPQ131284 MZM131283:MZM131284 NJI131283:NJI131284 NTE131283:NTE131284 ODA131283:ODA131284 OMW131283:OMW131284 OWS131283:OWS131284 PGO131283:PGO131284 PQK131283:PQK131284 QAG131283:QAG131284 QKC131283:QKC131284 QTY131283:QTY131284 RDU131283:RDU131284 RNQ131283:RNQ131284 RXM131283:RXM131284 SHI131283:SHI131284 SRE131283:SRE131284 TBA131283:TBA131284 TKW131283:TKW131284 TUS131283:TUS131284 UEO131283:UEO131284 UOK131283:UOK131284 UYG131283:UYG131284 VIC131283:VIC131284 VRY131283:VRY131284 WBU131283:WBU131284 WLQ131283:WLQ131284 WVM131283:WVM131284 E196819:E196820 JA196819:JA196820 SW196819:SW196820 ACS196819:ACS196820 AMO196819:AMO196820 AWK196819:AWK196820 BGG196819:BGG196820 BQC196819:BQC196820 BZY196819:BZY196820 CJU196819:CJU196820 CTQ196819:CTQ196820 DDM196819:DDM196820 DNI196819:DNI196820 DXE196819:DXE196820 EHA196819:EHA196820 EQW196819:EQW196820 FAS196819:FAS196820 FKO196819:FKO196820 FUK196819:FUK196820 GEG196819:GEG196820 GOC196819:GOC196820 GXY196819:GXY196820 HHU196819:HHU196820 HRQ196819:HRQ196820 IBM196819:IBM196820 ILI196819:ILI196820 IVE196819:IVE196820 JFA196819:JFA196820 JOW196819:JOW196820 JYS196819:JYS196820 KIO196819:KIO196820 KSK196819:KSK196820 LCG196819:LCG196820 LMC196819:LMC196820 LVY196819:LVY196820 MFU196819:MFU196820 MPQ196819:MPQ196820 MZM196819:MZM196820 NJI196819:NJI196820 NTE196819:NTE196820 ODA196819:ODA196820 OMW196819:OMW196820 OWS196819:OWS196820 PGO196819:PGO196820 PQK196819:PQK196820 QAG196819:QAG196820 QKC196819:QKC196820 QTY196819:QTY196820 RDU196819:RDU196820 RNQ196819:RNQ196820 RXM196819:RXM196820 SHI196819:SHI196820 SRE196819:SRE196820 TBA196819:TBA196820 TKW196819:TKW196820 TUS196819:TUS196820 UEO196819:UEO196820 UOK196819:UOK196820 UYG196819:UYG196820 VIC196819:VIC196820 VRY196819:VRY196820 WBU196819:WBU196820 WLQ196819:WLQ196820 WVM196819:WVM196820 E262355:E262356 JA262355:JA262356 SW262355:SW262356 ACS262355:ACS262356 AMO262355:AMO262356 AWK262355:AWK262356 BGG262355:BGG262356 BQC262355:BQC262356 BZY262355:BZY262356 CJU262355:CJU262356 CTQ262355:CTQ262356 DDM262355:DDM262356 DNI262355:DNI262356 DXE262355:DXE262356 EHA262355:EHA262356 EQW262355:EQW262356 FAS262355:FAS262356 FKO262355:FKO262356 FUK262355:FUK262356 GEG262355:GEG262356 GOC262355:GOC262356 GXY262355:GXY262356 HHU262355:HHU262356 HRQ262355:HRQ262356 IBM262355:IBM262356 ILI262355:ILI262356 IVE262355:IVE262356 JFA262355:JFA262356 JOW262355:JOW262356 JYS262355:JYS262356 KIO262355:KIO262356 KSK262355:KSK262356 LCG262355:LCG262356 LMC262355:LMC262356 LVY262355:LVY262356 MFU262355:MFU262356 MPQ262355:MPQ262356 MZM262355:MZM262356 NJI262355:NJI262356 NTE262355:NTE262356 ODA262355:ODA262356 OMW262355:OMW262356 OWS262355:OWS262356 PGO262355:PGO262356 PQK262355:PQK262356 QAG262355:QAG262356 QKC262355:QKC262356 QTY262355:QTY262356 RDU262355:RDU262356 RNQ262355:RNQ262356 RXM262355:RXM262356 SHI262355:SHI262356 SRE262355:SRE262356 TBA262355:TBA262356 TKW262355:TKW262356 TUS262355:TUS262356 UEO262355:UEO262356 UOK262355:UOK262356 UYG262355:UYG262356 VIC262355:VIC262356 VRY262355:VRY262356 WBU262355:WBU262356 WLQ262355:WLQ262356 WVM262355:WVM262356 E327891:E327892 JA327891:JA327892 SW327891:SW327892 ACS327891:ACS327892 AMO327891:AMO327892 AWK327891:AWK327892 BGG327891:BGG327892 BQC327891:BQC327892 BZY327891:BZY327892 CJU327891:CJU327892 CTQ327891:CTQ327892 DDM327891:DDM327892 DNI327891:DNI327892 DXE327891:DXE327892 EHA327891:EHA327892 EQW327891:EQW327892 FAS327891:FAS327892 FKO327891:FKO327892 FUK327891:FUK327892 GEG327891:GEG327892 GOC327891:GOC327892 GXY327891:GXY327892 HHU327891:HHU327892 HRQ327891:HRQ327892 IBM327891:IBM327892 ILI327891:ILI327892 IVE327891:IVE327892 JFA327891:JFA327892 JOW327891:JOW327892 JYS327891:JYS327892 KIO327891:KIO327892 KSK327891:KSK327892 LCG327891:LCG327892 LMC327891:LMC327892 LVY327891:LVY327892 MFU327891:MFU327892 MPQ327891:MPQ327892 MZM327891:MZM327892 NJI327891:NJI327892 NTE327891:NTE327892 ODA327891:ODA327892 OMW327891:OMW327892 OWS327891:OWS327892 PGO327891:PGO327892 PQK327891:PQK327892 QAG327891:QAG327892 QKC327891:QKC327892 QTY327891:QTY327892 RDU327891:RDU327892 RNQ327891:RNQ327892 RXM327891:RXM327892 SHI327891:SHI327892 SRE327891:SRE327892 TBA327891:TBA327892 TKW327891:TKW327892 TUS327891:TUS327892 UEO327891:UEO327892 UOK327891:UOK327892 UYG327891:UYG327892 VIC327891:VIC327892 VRY327891:VRY327892 WBU327891:WBU327892 WLQ327891:WLQ327892 WVM327891:WVM327892 E393427:E393428 JA393427:JA393428 SW393427:SW393428 ACS393427:ACS393428 AMO393427:AMO393428 AWK393427:AWK393428 BGG393427:BGG393428 BQC393427:BQC393428 BZY393427:BZY393428 CJU393427:CJU393428 CTQ393427:CTQ393428 DDM393427:DDM393428 DNI393427:DNI393428 DXE393427:DXE393428 EHA393427:EHA393428 EQW393427:EQW393428 FAS393427:FAS393428 FKO393427:FKO393428 FUK393427:FUK393428 GEG393427:GEG393428 GOC393427:GOC393428 GXY393427:GXY393428 HHU393427:HHU393428 HRQ393427:HRQ393428 IBM393427:IBM393428 ILI393427:ILI393428 IVE393427:IVE393428 JFA393427:JFA393428 JOW393427:JOW393428 JYS393427:JYS393428 KIO393427:KIO393428 KSK393427:KSK393428 LCG393427:LCG393428 LMC393427:LMC393428 LVY393427:LVY393428 MFU393427:MFU393428 MPQ393427:MPQ393428 MZM393427:MZM393428 NJI393427:NJI393428 NTE393427:NTE393428 ODA393427:ODA393428 OMW393427:OMW393428 OWS393427:OWS393428 PGO393427:PGO393428 PQK393427:PQK393428 QAG393427:QAG393428 QKC393427:QKC393428 QTY393427:QTY393428 RDU393427:RDU393428 RNQ393427:RNQ393428 RXM393427:RXM393428 SHI393427:SHI393428 SRE393427:SRE393428 TBA393427:TBA393428 TKW393427:TKW393428 TUS393427:TUS393428 UEO393427:UEO393428 UOK393427:UOK393428 UYG393427:UYG393428 VIC393427:VIC393428 VRY393427:VRY393428 WBU393427:WBU393428 WLQ393427:WLQ393428 WVM393427:WVM393428 E458963:E458964 JA458963:JA458964 SW458963:SW458964 ACS458963:ACS458964 AMO458963:AMO458964 AWK458963:AWK458964 BGG458963:BGG458964 BQC458963:BQC458964 BZY458963:BZY458964 CJU458963:CJU458964 CTQ458963:CTQ458964 DDM458963:DDM458964 DNI458963:DNI458964 DXE458963:DXE458964 EHA458963:EHA458964 EQW458963:EQW458964 FAS458963:FAS458964 FKO458963:FKO458964 FUK458963:FUK458964 GEG458963:GEG458964 GOC458963:GOC458964 GXY458963:GXY458964 HHU458963:HHU458964 HRQ458963:HRQ458964 IBM458963:IBM458964 ILI458963:ILI458964 IVE458963:IVE458964 JFA458963:JFA458964 JOW458963:JOW458964 JYS458963:JYS458964 KIO458963:KIO458964 KSK458963:KSK458964 LCG458963:LCG458964 LMC458963:LMC458964 LVY458963:LVY458964 MFU458963:MFU458964 MPQ458963:MPQ458964 MZM458963:MZM458964 NJI458963:NJI458964 NTE458963:NTE458964 ODA458963:ODA458964 OMW458963:OMW458964 OWS458963:OWS458964 PGO458963:PGO458964 PQK458963:PQK458964 QAG458963:QAG458964 QKC458963:QKC458964 QTY458963:QTY458964 RDU458963:RDU458964 RNQ458963:RNQ458964 RXM458963:RXM458964 SHI458963:SHI458964 SRE458963:SRE458964 TBA458963:TBA458964 TKW458963:TKW458964 TUS458963:TUS458964 UEO458963:UEO458964 UOK458963:UOK458964 UYG458963:UYG458964 VIC458963:VIC458964 VRY458963:VRY458964 WBU458963:WBU458964 WLQ458963:WLQ458964 WVM458963:WVM458964 E524499:E524500 JA524499:JA524500 SW524499:SW524500 ACS524499:ACS524500 AMO524499:AMO524500 AWK524499:AWK524500 BGG524499:BGG524500 BQC524499:BQC524500 BZY524499:BZY524500 CJU524499:CJU524500 CTQ524499:CTQ524500 DDM524499:DDM524500 DNI524499:DNI524500 DXE524499:DXE524500 EHA524499:EHA524500 EQW524499:EQW524500 FAS524499:FAS524500 FKO524499:FKO524500 FUK524499:FUK524500 GEG524499:GEG524500 GOC524499:GOC524500 GXY524499:GXY524500 HHU524499:HHU524500 HRQ524499:HRQ524500 IBM524499:IBM524500 ILI524499:ILI524500 IVE524499:IVE524500 JFA524499:JFA524500 JOW524499:JOW524500 JYS524499:JYS524500 KIO524499:KIO524500 KSK524499:KSK524500 LCG524499:LCG524500 LMC524499:LMC524500 LVY524499:LVY524500 MFU524499:MFU524500 MPQ524499:MPQ524500 MZM524499:MZM524500 NJI524499:NJI524500 NTE524499:NTE524500 ODA524499:ODA524500 OMW524499:OMW524500 OWS524499:OWS524500 PGO524499:PGO524500 PQK524499:PQK524500 QAG524499:QAG524500 QKC524499:QKC524500 QTY524499:QTY524500 RDU524499:RDU524500 RNQ524499:RNQ524500 RXM524499:RXM524500 SHI524499:SHI524500 SRE524499:SRE524500 TBA524499:TBA524500 TKW524499:TKW524500 TUS524499:TUS524500 UEO524499:UEO524500 UOK524499:UOK524500 UYG524499:UYG524500 VIC524499:VIC524500 VRY524499:VRY524500 WBU524499:WBU524500 WLQ524499:WLQ524500 WVM524499:WVM524500 E590035:E590036 JA590035:JA590036 SW590035:SW590036 ACS590035:ACS590036 AMO590035:AMO590036 AWK590035:AWK590036 BGG590035:BGG590036 BQC590035:BQC590036 BZY590035:BZY590036 CJU590035:CJU590036 CTQ590035:CTQ590036 DDM590035:DDM590036 DNI590035:DNI590036 DXE590035:DXE590036 EHA590035:EHA590036 EQW590035:EQW590036 FAS590035:FAS590036 FKO590035:FKO590036 FUK590035:FUK590036 GEG590035:GEG590036 GOC590035:GOC590036 GXY590035:GXY590036 HHU590035:HHU590036 HRQ590035:HRQ590036 IBM590035:IBM590036 ILI590035:ILI590036 IVE590035:IVE590036 JFA590035:JFA590036 JOW590035:JOW590036 JYS590035:JYS590036 KIO590035:KIO590036 KSK590035:KSK590036 LCG590035:LCG590036 LMC590035:LMC590036 LVY590035:LVY590036 MFU590035:MFU590036 MPQ590035:MPQ590036 MZM590035:MZM590036 NJI590035:NJI590036 NTE590035:NTE590036 ODA590035:ODA590036 OMW590035:OMW590036 OWS590035:OWS590036 PGO590035:PGO590036 PQK590035:PQK590036 QAG590035:QAG590036 QKC590035:QKC590036 QTY590035:QTY590036 RDU590035:RDU590036 RNQ590035:RNQ590036 RXM590035:RXM590036 SHI590035:SHI590036 SRE590035:SRE590036 TBA590035:TBA590036 TKW590035:TKW590036 TUS590035:TUS590036 UEO590035:UEO590036 UOK590035:UOK590036 UYG590035:UYG590036 VIC590035:VIC590036 VRY590035:VRY590036 WBU590035:WBU590036 WLQ590035:WLQ590036 WVM590035:WVM590036 E655571:E655572 JA655571:JA655572 SW655571:SW655572 ACS655571:ACS655572 AMO655571:AMO655572 AWK655571:AWK655572 BGG655571:BGG655572 BQC655571:BQC655572 BZY655571:BZY655572 CJU655571:CJU655572 CTQ655571:CTQ655572 DDM655571:DDM655572 DNI655571:DNI655572 DXE655571:DXE655572 EHA655571:EHA655572 EQW655571:EQW655572 FAS655571:FAS655572 FKO655571:FKO655572 FUK655571:FUK655572 GEG655571:GEG655572 GOC655571:GOC655572 GXY655571:GXY655572 HHU655571:HHU655572 HRQ655571:HRQ655572 IBM655571:IBM655572 ILI655571:ILI655572 IVE655571:IVE655572 JFA655571:JFA655572 JOW655571:JOW655572 JYS655571:JYS655572 KIO655571:KIO655572 KSK655571:KSK655572 LCG655571:LCG655572 LMC655571:LMC655572 LVY655571:LVY655572 MFU655571:MFU655572 MPQ655571:MPQ655572 MZM655571:MZM655572 NJI655571:NJI655572 NTE655571:NTE655572 ODA655571:ODA655572 OMW655571:OMW655572 OWS655571:OWS655572 PGO655571:PGO655572 PQK655571:PQK655572 QAG655571:QAG655572 QKC655571:QKC655572 QTY655571:QTY655572 RDU655571:RDU655572 RNQ655571:RNQ655572 RXM655571:RXM655572 SHI655571:SHI655572 SRE655571:SRE655572 TBA655571:TBA655572 TKW655571:TKW655572 TUS655571:TUS655572 UEO655571:UEO655572 UOK655571:UOK655572 UYG655571:UYG655572 VIC655571:VIC655572 VRY655571:VRY655572 WBU655571:WBU655572 WLQ655571:WLQ655572 WVM655571:WVM655572 E721107:E721108 JA721107:JA721108 SW721107:SW721108 ACS721107:ACS721108 AMO721107:AMO721108 AWK721107:AWK721108 BGG721107:BGG721108 BQC721107:BQC721108 BZY721107:BZY721108 CJU721107:CJU721108 CTQ721107:CTQ721108 DDM721107:DDM721108 DNI721107:DNI721108 DXE721107:DXE721108 EHA721107:EHA721108 EQW721107:EQW721108 FAS721107:FAS721108 FKO721107:FKO721108 FUK721107:FUK721108 GEG721107:GEG721108 GOC721107:GOC721108 GXY721107:GXY721108 HHU721107:HHU721108 HRQ721107:HRQ721108 IBM721107:IBM721108 ILI721107:ILI721108 IVE721107:IVE721108 JFA721107:JFA721108 JOW721107:JOW721108 JYS721107:JYS721108 KIO721107:KIO721108 KSK721107:KSK721108 LCG721107:LCG721108 LMC721107:LMC721108 LVY721107:LVY721108 MFU721107:MFU721108 MPQ721107:MPQ721108 MZM721107:MZM721108 NJI721107:NJI721108 NTE721107:NTE721108 ODA721107:ODA721108 OMW721107:OMW721108 OWS721107:OWS721108 PGO721107:PGO721108 PQK721107:PQK721108 QAG721107:QAG721108 QKC721107:QKC721108 QTY721107:QTY721108 RDU721107:RDU721108 RNQ721107:RNQ721108 RXM721107:RXM721108 SHI721107:SHI721108 SRE721107:SRE721108 TBA721107:TBA721108 TKW721107:TKW721108 TUS721107:TUS721108 UEO721107:UEO721108 UOK721107:UOK721108 UYG721107:UYG721108 VIC721107:VIC721108 VRY721107:VRY721108 WBU721107:WBU721108 WLQ721107:WLQ721108 WVM721107:WVM721108 E786643:E786644 JA786643:JA786644 SW786643:SW786644 ACS786643:ACS786644 AMO786643:AMO786644 AWK786643:AWK786644 BGG786643:BGG786644 BQC786643:BQC786644 BZY786643:BZY786644 CJU786643:CJU786644 CTQ786643:CTQ786644 DDM786643:DDM786644 DNI786643:DNI786644 DXE786643:DXE786644 EHA786643:EHA786644 EQW786643:EQW786644 FAS786643:FAS786644 FKO786643:FKO786644 FUK786643:FUK786644 GEG786643:GEG786644 GOC786643:GOC786644 GXY786643:GXY786644 HHU786643:HHU786644 HRQ786643:HRQ786644 IBM786643:IBM786644 ILI786643:ILI786644 IVE786643:IVE786644 JFA786643:JFA786644 JOW786643:JOW786644 JYS786643:JYS786644 KIO786643:KIO786644 KSK786643:KSK786644 LCG786643:LCG786644 LMC786643:LMC786644 LVY786643:LVY786644 MFU786643:MFU786644 MPQ786643:MPQ786644 MZM786643:MZM786644 NJI786643:NJI786644 NTE786643:NTE786644 ODA786643:ODA786644 OMW786643:OMW786644 OWS786643:OWS786644 PGO786643:PGO786644 PQK786643:PQK786644 QAG786643:QAG786644 QKC786643:QKC786644 QTY786643:QTY786644 RDU786643:RDU786644 RNQ786643:RNQ786644 RXM786643:RXM786644 SHI786643:SHI786644 SRE786643:SRE786644 TBA786643:TBA786644 TKW786643:TKW786644 TUS786643:TUS786644 UEO786643:UEO786644 UOK786643:UOK786644 UYG786643:UYG786644 VIC786643:VIC786644 VRY786643:VRY786644 WBU786643:WBU786644 WLQ786643:WLQ786644 WVM786643:WVM786644 E852179:E852180 JA852179:JA852180 SW852179:SW852180 ACS852179:ACS852180 AMO852179:AMO852180 AWK852179:AWK852180 BGG852179:BGG852180 BQC852179:BQC852180 BZY852179:BZY852180 CJU852179:CJU852180 CTQ852179:CTQ852180 DDM852179:DDM852180 DNI852179:DNI852180 DXE852179:DXE852180 EHA852179:EHA852180 EQW852179:EQW852180 FAS852179:FAS852180 FKO852179:FKO852180 FUK852179:FUK852180 GEG852179:GEG852180 GOC852179:GOC852180 GXY852179:GXY852180 HHU852179:HHU852180 HRQ852179:HRQ852180 IBM852179:IBM852180 ILI852179:ILI852180 IVE852179:IVE852180 JFA852179:JFA852180 JOW852179:JOW852180 JYS852179:JYS852180 KIO852179:KIO852180 KSK852179:KSK852180 LCG852179:LCG852180 LMC852179:LMC852180 LVY852179:LVY852180 MFU852179:MFU852180 MPQ852179:MPQ852180 MZM852179:MZM852180 NJI852179:NJI852180 NTE852179:NTE852180 ODA852179:ODA852180 OMW852179:OMW852180 OWS852179:OWS852180 PGO852179:PGO852180 PQK852179:PQK852180 QAG852179:QAG852180 QKC852179:QKC852180 QTY852179:QTY852180 RDU852179:RDU852180 RNQ852179:RNQ852180 RXM852179:RXM852180 SHI852179:SHI852180 SRE852179:SRE852180 TBA852179:TBA852180 TKW852179:TKW852180 TUS852179:TUS852180 UEO852179:UEO852180 UOK852179:UOK852180 UYG852179:UYG852180 VIC852179:VIC852180 VRY852179:VRY852180 WBU852179:WBU852180 WLQ852179:WLQ852180 WVM852179:WVM852180 E917715:E917716 JA917715:JA917716 SW917715:SW917716 ACS917715:ACS917716 AMO917715:AMO917716 AWK917715:AWK917716 BGG917715:BGG917716 BQC917715:BQC917716 BZY917715:BZY917716 CJU917715:CJU917716 CTQ917715:CTQ917716 DDM917715:DDM917716 DNI917715:DNI917716 DXE917715:DXE917716 EHA917715:EHA917716 EQW917715:EQW917716 FAS917715:FAS917716 FKO917715:FKO917716 FUK917715:FUK917716 GEG917715:GEG917716 GOC917715:GOC917716 GXY917715:GXY917716 HHU917715:HHU917716 HRQ917715:HRQ917716 IBM917715:IBM917716 ILI917715:ILI917716 IVE917715:IVE917716 JFA917715:JFA917716 JOW917715:JOW917716 JYS917715:JYS917716 KIO917715:KIO917716 KSK917715:KSK917716 LCG917715:LCG917716 LMC917715:LMC917716 LVY917715:LVY917716 MFU917715:MFU917716 MPQ917715:MPQ917716 MZM917715:MZM917716 NJI917715:NJI917716 NTE917715:NTE917716 ODA917715:ODA917716 OMW917715:OMW917716 OWS917715:OWS917716 PGO917715:PGO917716 PQK917715:PQK917716 QAG917715:QAG917716 QKC917715:QKC917716 QTY917715:QTY917716 RDU917715:RDU917716 RNQ917715:RNQ917716 RXM917715:RXM917716 SHI917715:SHI917716 SRE917715:SRE917716 TBA917715:TBA917716 TKW917715:TKW917716 TUS917715:TUS917716 UEO917715:UEO917716 UOK917715:UOK917716 UYG917715:UYG917716 VIC917715:VIC917716 VRY917715:VRY917716 WBU917715:WBU917716 WLQ917715:WLQ917716 WVM917715:WVM917716 E983251:E983252 JA983251:JA983252 SW983251:SW983252 ACS983251:ACS983252 AMO983251:AMO983252 AWK983251:AWK983252 BGG983251:BGG983252 BQC983251:BQC983252 BZY983251:BZY983252 CJU983251:CJU983252 CTQ983251:CTQ983252 DDM983251:DDM983252 DNI983251:DNI983252 DXE983251:DXE983252 EHA983251:EHA983252 EQW983251:EQW983252 FAS983251:FAS983252 FKO983251:FKO983252 FUK983251:FUK983252 GEG983251:GEG983252 GOC983251:GOC983252 GXY983251:GXY983252 HHU983251:HHU983252 HRQ983251:HRQ983252 IBM983251:IBM983252 ILI983251:ILI983252 IVE983251:IVE983252 JFA983251:JFA983252 JOW983251:JOW983252 JYS983251:JYS983252 KIO983251:KIO983252 KSK983251:KSK983252 LCG983251:LCG983252 LMC983251:LMC983252 LVY983251:LVY983252 MFU983251:MFU983252 MPQ983251:MPQ983252 MZM983251:MZM983252 NJI983251:NJI983252 NTE983251:NTE983252 ODA983251:ODA983252 OMW983251:OMW983252 OWS983251:OWS983252 PGO983251:PGO983252 PQK983251:PQK983252 QAG983251:QAG983252 QKC983251:QKC983252 QTY983251:QTY983252 RDU983251:RDU983252 RNQ983251:RNQ983252 RXM983251:RXM983252 SHI983251:SHI983252 SRE983251:SRE983252 TBA983251:TBA983252 TKW983251:TKW983252 TUS983251:TUS983252 UEO983251:UEO983252 UOK983251:UOK983252 UYG983251:UYG983252 VIC983251:VIC983252 VRY983251:VRY983252 WBU983251:WBU983252 WLQ983251:WLQ983252 WVM983251:WVM983252">
      <formula1>"有り,無し"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9" scale="65" fitToHeight="7" orientation="landscape" cellComments="asDisplayed" r:id="rId1"/>
  <rowBreaks count="6" manualBreakCount="6">
    <brk id="62" max="11" man="1"/>
    <brk id="107" max="11" man="1"/>
    <brk id="148" max="11" man="1"/>
    <brk id="207" max="11" man="1"/>
    <brk id="252" max="11" man="1"/>
    <brk id="293" max="11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FF00"/>
  </sheetPr>
  <dimension ref="A1:IV509"/>
  <sheetViews>
    <sheetView view="pageBreakPreview" zoomScale="85" zoomScaleNormal="115" zoomScaleSheetLayoutView="85" workbookViewId="0"/>
  </sheetViews>
  <sheetFormatPr defaultRowHeight="13.5" customHeight="1"/>
  <cols>
    <col min="1" max="1" width="2.5" style="2021" customWidth="1"/>
    <col min="2" max="2" width="2.875" style="2021" customWidth="1"/>
    <col min="3" max="3" width="21.625" style="2021" customWidth="1"/>
    <col min="4" max="4" width="3.5" style="2021" customWidth="1"/>
    <col min="5" max="5" width="5.625" style="2021" customWidth="1"/>
    <col min="6" max="6" width="15.25" style="2021" customWidth="1"/>
    <col min="7" max="14" width="18.125" style="2531" customWidth="1"/>
    <col min="15" max="256" width="9" style="1760"/>
    <col min="257" max="257" width="2.5" style="1760" customWidth="1"/>
    <col min="258" max="258" width="2.875" style="1760" customWidth="1"/>
    <col min="259" max="259" width="21.625" style="1760" customWidth="1"/>
    <col min="260" max="260" width="3.5" style="1760" customWidth="1"/>
    <col min="261" max="261" width="5.625" style="1760" customWidth="1"/>
    <col min="262" max="262" width="15.25" style="1760" customWidth="1"/>
    <col min="263" max="270" width="18.125" style="1760" customWidth="1"/>
    <col min="271" max="512" width="9" style="1760"/>
    <col min="513" max="513" width="2.5" style="1760" customWidth="1"/>
    <col min="514" max="514" width="2.875" style="1760" customWidth="1"/>
    <col min="515" max="515" width="21.625" style="1760" customWidth="1"/>
    <col min="516" max="516" width="3.5" style="1760" customWidth="1"/>
    <col min="517" max="517" width="5.625" style="1760" customWidth="1"/>
    <col min="518" max="518" width="15.25" style="1760" customWidth="1"/>
    <col min="519" max="526" width="18.125" style="1760" customWidth="1"/>
    <col min="527" max="768" width="9" style="1760"/>
    <col min="769" max="769" width="2.5" style="1760" customWidth="1"/>
    <col min="770" max="770" width="2.875" style="1760" customWidth="1"/>
    <col min="771" max="771" width="21.625" style="1760" customWidth="1"/>
    <col min="772" max="772" width="3.5" style="1760" customWidth="1"/>
    <col min="773" max="773" width="5.625" style="1760" customWidth="1"/>
    <col min="774" max="774" width="15.25" style="1760" customWidth="1"/>
    <col min="775" max="782" width="18.125" style="1760" customWidth="1"/>
    <col min="783" max="1024" width="9" style="1760"/>
    <col min="1025" max="1025" width="2.5" style="1760" customWidth="1"/>
    <col min="1026" max="1026" width="2.875" style="1760" customWidth="1"/>
    <col min="1027" max="1027" width="21.625" style="1760" customWidth="1"/>
    <col min="1028" max="1028" width="3.5" style="1760" customWidth="1"/>
    <col min="1029" max="1029" width="5.625" style="1760" customWidth="1"/>
    <col min="1030" max="1030" width="15.25" style="1760" customWidth="1"/>
    <col min="1031" max="1038" width="18.125" style="1760" customWidth="1"/>
    <col min="1039" max="1280" width="9" style="1760"/>
    <col min="1281" max="1281" width="2.5" style="1760" customWidth="1"/>
    <col min="1282" max="1282" width="2.875" style="1760" customWidth="1"/>
    <col min="1283" max="1283" width="21.625" style="1760" customWidth="1"/>
    <col min="1284" max="1284" width="3.5" style="1760" customWidth="1"/>
    <col min="1285" max="1285" width="5.625" style="1760" customWidth="1"/>
    <col min="1286" max="1286" width="15.25" style="1760" customWidth="1"/>
    <col min="1287" max="1294" width="18.125" style="1760" customWidth="1"/>
    <col min="1295" max="1536" width="9" style="1760"/>
    <col min="1537" max="1537" width="2.5" style="1760" customWidth="1"/>
    <col min="1538" max="1538" width="2.875" style="1760" customWidth="1"/>
    <col min="1539" max="1539" width="21.625" style="1760" customWidth="1"/>
    <col min="1540" max="1540" width="3.5" style="1760" customWidth="1"/>
    <col min="1541" max="1541" width="5.625" style="1760" customWidth="1"/>
    <col min="1542" max="1542" width="15.25" style="1760" customWidth="1"/>
    <col min="1543" max="1550" width="18.125" style="1760" customWidth="1"/>
    <col min="1551" max="1792" width="9" style="1760"/>
    <col min="1793" max="1793" width="2.5" style="1760" customWidth="1"/>
    <col min="1794" max="1794" width="2.875" style="1760" customWidth="1"/>
    <col min="1795" max="1795" width="21.625" style="1760" customWidth="1"/>
    <col min="1796" max="1796" width="3.5" style="1760" customWidth="1"/>
    <col min="1797" max="1797" width="5.625" style="1760" customWidth="1"/>
    <col min="1798" max="1798" width="15.25" style="1760" customWidth="1"/>
    <col min="1799" max="1806" width="18.125" style="1760" customWidth="1"/>
    <col min="1807" max="2048" width="9" style="1760"/>
    <col min="2049" max="2049" width="2.5" style="1760" customWidth="1"/>
    <col min="2050" max="2050" width="2.875" style="1760" customWidth="1"/>
    <col min="2051" max="2051" width="21.625" style="1760" customWidth="1"/>
    <col min="2052" max="2052" width="3.5" style="1760" customWidth="1"/>
    <col min="2053" max="2053" width="5.625" style="1760" customWidth="1"/>
    <col min="2054" max="2054" width="15.25" style="1760" customWidth="1"/>
    <col min="2055" max="2062" width="18.125" style="1760" customWidth="1"/>
    <col min="2063" max="2304" width="9" style="1760"/>
    <col min="2305" max="2305" width="2.5" style="1760" customWidth="1"/>
    <col min="2306" max="2306" width="2.875" style="1760" customWidth="1"/>
    <col min="2307" max="2307" width="21.625" style="1760" customWidth="1"/>
    <col min="2308" max="2308" width="3.5" style="1760" customWidth="1"/>
    <col min="2309" max="2309" width="5.625" style="1760" customWidth="1"/>
    <col min="2310" max="2310" width="15.25" style="1760" customWidth="1"/>
    <col min="2311" max="2318" width="18.125" style="1760" customWidth="1"/>
    <col min="2319" max="2560" width="9" style="1760"/>
    <col min="2561" max="2561" width="2.5" style="1760" customWidth="1"/>
    <col min="2562" max="2562" width="2.875" style="1760" customWidth="1"/>
    <col min="2563" max="2563" width="21.625" style="1760" customWidth="1"/>
    <col min="2564" max="2564" width="3.5" style="1760" customWidth="1"/>
    <col min="2565" max="2565" width="5.625" style="1760" customWidth="1"/>
    <col min="2566" max="2566" width="15.25" style="1760" customWidth="1"/>
    <col min="2567" max="2574" width="18.125" style="1760" customWidth="1"/>
    <col min="2575" max="2816" width="9" style="1760"/>
    <col min="2817" max="2817" width="2.5" style="1760" customWidth="1"/>
    <col min="2818" max="2818" width="2.875" style="1760" customWidth="1"/>
    <col min="2819" max="2819" width="21.625" style="1760" customWidth="1"/>
    <col min="2820" max="2820" width="3.5" style="1760" customWidth="1"/>
    <col min="2821" max="2821" width="5.625" style="1760" customWidth="1"/>
    <col min="2822" max="2822" width="15.25" style="1760" customWidth="1"/>
    <col min="2823" max="2830" width="18.125" style="1760" customWidth="1"/>
    <col min="2831" max="3072" width="9" style="1760"/>
    <col min="3073" max="3073" width="2.5" style="1760" customWidth="1"/>
    <col min="3074" max="3074" width="2.875" style="1760" customWidth="1"/>
    <col min="3075" max="3075" width="21.625" style="1760" customWidth="1"/>
    <col min="3076" max="3076" width="3.5" style="1760" customWidth="1"/>
    <col min="3077" max="3077" width="5.625" style="1760" customWidth="1"/>
    <col min="3078" max="3078" width="15.25" style="1760" customWidth="1"/>
    <col min="3079" max="3086" width="18.125" style="1760" customWidth="1"/>
    <col min="3087" max="3328" width="9" style="1760"/>
    <col min="3329" max="3329" width="2.5" style="1760" customWidth="1"/>
    <col min="3330" max="3330" width="2.875" style="1760" customWidth="1"/>
    <col min="3331" max="3331" width="21.625" style="1760" customWidth="1"/>
    <col min="3332" max="3332" width="3.5" style="1760" customWidth="1"/>
    <col min="3333" max="3333" width="5.625" style="1760" customWidth="1"/>
    <col min="3334" max="3334" width="15.25" style="1760" customWidth="1"/>
    <col min="3335" max="3342" width="18.125" style="1760" customWidth="1"/>
    <col min="3343" max="3584" width="9" style="1760"/>
    <col min="3585" max="3585" width="2.5" style="1760" customWidth="1"/>
    <col min="3586" max="3586" width="2.875" style="1760" customWidth="1"/>
    <col min="3587" max="3587" width="21.625" style="1760" customWidth="1"/>
    <col min="3588" max="3588" width="3.5" style="1760" customWidth="1"/>
    <col min="3589" max="3589" width="5.625" style="1760" customWidth="1"/>
    <col min="3590" max="3590" width="15.25" style="1760" customWidth="1"/>
    <col min="3591" max="3598" width="18.125" style="1760" customWidth="1"/>
    <col min="3599" max="3840" width="9" style="1760"/>
    <col min="3841" max="3841" width="2.5" style="1760" customWidth="1"/>
    <col min="3842" max="3842" width="2.875" style="1760" customWidth="1"/>
    <col min="3843" max="3843" width="21.625" style="1760" customWidth="1"/>
    <col min="3844" max="3844" width="3.5" style="1760" customWidth="1"/>
    <col min="3845" max="3845" width="5.625" style="1760" customWidth="1"/>
    <col min="3846" max="3846" width="15.25" style="1760" customWidth="1"/>
    <col min="3847" max="3854" width="18.125" style="1760" customWidth="1"/>
    <col min="3855" max="4096" width="9" style="1760"/>
    <col min="4097" max="4097" width="2.5" style="1760" customWidth="1"/>
    <col min="4098" max="4098" width="2.875" style="1760" customWidth="1"/>
    <col min="4099" max="4099" width="21.625" style="1760" customWidth="1"/>
    <col min="4100" max="4100" width="3.5" style="1760" customWidth="1"/>
    <col min="4101" max="4101" width="5.625" style="1760" customWidth="1"/>
    <col min="4102" max="4102" width="15.25" style="1760" customWidth="1"/>
    <col min="4103" max="4110" width="18.125" style="1760" customWidth="1"/>
    <col min="4111" max="4352" width="9" style="1760"/>
    <col min="4353" max="4353" width="2.5" style="1760" customWidth="1"/>
    <col min="4354" max="4354" width="2.875" style="1760" customWidth="1"/>
    <col min="4355" max="4355" width="21.625" style="1760" customWidth="1"/>
    <col min="4356" max="4356" width="3.5" style="1760" customWidth="1"/>
    <col min="4357" max="4357" width="5.625" style="1760" customWidth="1"/>
    <col min="4358" max="4358" width="15.25" style="1760" customWidth="1"/>
    <col min="4359" max="4366" width="18.125" style="1760" customWidth="1"/>
    <col min="4367" max="4608" width="9" style="1760"/>
    <col min="4609" max="4609" width="2.5" style="1760" customWidth="1"/>
    <col min="4610" max="4610" width="2.875" style="1760" customWidth="1"/>
    <col min="4611" max="4611" width="21.625" style="1760" customWidth="1"/>
    <col min="4612" max="4612" width="3.5" style="1760" customWidth="1"/>
    <col min="4613" max="4613" width="5.625" style="1760" customWidth="1"/>
    <col min="4614" max="4614" width="15.25" style="1760" customWidth="1"/>
    <col min="4615" max="4622" width="18.125" style="1760" customWidth="1"/>
    <col min="4623" max="4864" width="9" style="1760"/>
    <col min="4865" max="4865" width="2.5" style="1760" customWidth="1"/>
    <col min="4866" max="4866" width="2.875" style="1760" customWidth="1"/>
    <col min="4867" max="4867" width="21.625" style="1760" customWidth="1"/>
    <col min="4868" max="4868" width="3.5" style="1760" customWidth="1"/>
    <col min="4869" max="4869" width="5.625" style="1760" customWidth="1"/>
    <col min="4870" max="4870" width="15.25" style="1760" customWidth="1"/>
    <col min="4871" max="4878" width="18.125" style="1760" customWidth="1"/>
    <col min="4879" max="5120" width="9" style="1760"/>
    <col min="5121" max="5121" width="2.5" style="1760" customWidth="1"/>
    <col min="5122" max="5122" width="2.875" style="1760" customWidth="1"/>
    <col min="5123" max="5123" width="21.625" style="1760" customWidth="1"/>
    <col min="5124" max="5124" width="3.5" style="1760" customWidth="1"/>
    <col min="5125" max="5125" width="5.625" style="1760" customWidth="1"/>
    <col min="5126" max="5126" width="15.25" style="1760" customWidth="1"/>
    <col min="5127" max="5134" width="18.125" style="1760" customWidth="1"/>
    <col min="5135" max="5376" width="9" style="1760"/>
    <col min="5377" max="5377" width="2.5" style="1760" customWidth="1"/>
    <col min="5378" max="5378" width="2.875" style="1760" customWidth="1"/>
    <col min="5379" max="5379" width="21.625" style="1760" customWidth="1"/>
    <col min="5380" max="5380" width="3.5" style="1760" customWidth="1"/>
    <col min="5381" max="5381" width="5.625" style="1760" customWidth="1"/>
    <col min="5382" max="5382" width="15.25" style="1760" customWidth="1"/>
    <col min="5383" max="5390" width="18.125" style="1760" customWidth="1"/>
    <col min="5391" max="5632" width="9" style="1760"/>
    <col min="5633" max="5633" width="2.5" style="1760" customWidth="1"/>
    <col min="5634" max="5634" width="2.875" style="1760" customWidth="1"/>
    <col min="5635" max="5635" width="21.625" style="1760" customWidth="1"/>
    <col min="5636" max="5636" width="3.5" style="1760" customWidth="1"/>
    <col min="5637" max="5637" width="5.625" style="1760" customWidth="1"/>
    <col min="5638" max="5638" width="15.25" style="1760" customWidth="1"/>
    <col min="5639" max="5646" width="18.125" style="1760" customWidth="1"/>
    <col min="5647" max="5888" width="9" style="1760"/>
    <col min="5889" max="5889" width="2.5" style="1760" customWidth="1"/>
    <col min="5890" max="5890" width="2.875" style="1760" customWidth="1"/>
    <col min="5891" max="5891" width="21.625" style="1760" customWidth="1"/>
    <col min="5892" max="5892" width="3.5" style="1760" customWidth="1"/>
    <col min="5893" max="5893" width="5.625" style="1760" customWidth="1"/>
    <col min="5894" max="5894" width="15.25" style="1760" customWidth="1"/>
    <col min="5895" max="5902" width="18.125" style="1760" customWidth="1"/>
    <col min="5903" max="6144" width="9" style="1760"/>
    <col min="6145" max="6145" width="2.5" style="1760" customWidth="1"/>
    <col min="6146" max="6146" width="2.875" style="1760" customWidth="1"/>
    <col min="6147" max="6147" width="21.625" style="1760" customWidth="1"/>
    <col min="6148" max="6148" width="3.5" style="1760" customWidth="1"/>
    <col min="6149" max="6149" width="5.625" style="1760" customWidth="1"/>
    <col min="6150" max="6150" width="15.25" style="1760" customWidth="1"/>
    <col min="6151" max="6158" width="18.125" style="1760" customWidth="1"/>
    <col min="6159" max="6400" width="9" style="1760"/>
    <col min="6401" max="6401" width="2.5" style="1760" customWidth="1"/>
    <col min="6402" max="6402" width="2.875" style="1760" customWidth="1"/>
    <col min="6403" max="6403" width="21.625" style="1760" customWidth="1"/>
    <col min="6404" max="6404" width="3.5" style="1760" customWidth="1"/>
    <col min="6405" max="6405" width="5.625" style="1760" customWidth="1"/>
    <col min="6406" max="6406" width="15.25" style="1760" customWidth="1"/>
    <col min="6407" max="6414" width="18.125" style="1760" customWidth="1"/>
    <col min="6415" max="6656" width="9" style="1760"/>
    <col min="6657" max="6657" width="2.5" style="1760" customWidth="1"/>
    <col min="6658" max="6658" width="2.875" style="1760" customWidth="1"/>
    <col min="6659" max="6659" width="21.625" style="1760" customWidth="1"/>
    <col min="6660" max="6660" width="3.5" style="1760" customWidth="1"/>
    <col min="6661" max="6661" width="5.625" style="1760" customWidth="1"/>
    <col min="6662" max="6662" width="15.25" style="1760" customWidth="1"/>
    <col min="6663" max="6670" width="18.125" style="1760" customWidth="1"/>
    <col min="6671" max="6912" width="9" style="1760"/>
    <col min="6913" max="6913" width="2.5" style="1760" customWidth="1"/>
    <col min="6914" max="6914" width="2.875" style="1760" customWidth="1"/>
    <col min="6915" max="6915" width="21.625" style="1760" customWidth="1"/>
    <col min="6916" max="6916" width="3.5" style="1760" customWidth="1"/>
    <col min="6917" max="6917" width="5.625" style="1760" customWidth="1"/>
    <col min="6918" max="6918" width="15.25" style="1760" customWidth="1"/>
    <col min="6919" max="6926" width="18.125" style="1760" customWidth="1"/>
    <col min="6927" max="7168" width="9" style="1760"/>
    <col min="7169" max="7169" width="2.5" style="1760" customWidth="1"/>
    <col min="7170" max="7170" width="2.875" style="1760" customWidth="1"/>
    <col min="7171" max="7171" width="21.625" style="1760" customWidth="1"/>
    <col min="7172" max="7172" width="3.5" style="1760" customWidth="1"/>
    <col min="7173" max="7173" width="5.625" style="1760" customWidth="1"/>
    <col min="7174" max="7174" width="15.25" style="1760" customWidth="1"/>
    <col min="7175" max="7182" width="18.125" style="1760" customWidth="1"/>
    <col min="7183" max="7424" width="9" style="1760"/>
    <col min="7425" max="7425" width="2.5" style="1760" customWidth="1"/>
    <col min="7426" max="7426" width="2.875" style="1760" customWidth="1"/>
    <col min="7427" max="7427" width="21.625" style="1760" customWidth="1"/>
    <col min="7428" max="7428" width="3.5" style="1760" customWidth="1"/>
    <col min="7429" max="7429" width="5.625" style="1760" customWidth="1"/>
    <col min="7430" max="7430" width="15.25" style="1760" customWidth="1"/>
    <col min="7431" max="7438" width="18.125" style="1760" customWidth="1"/>
    <col min="7439" max="7680" width="9" style="1760"/>
    <col min="7681" max="7681" width="2.5" style="1760" customWidth="1"/>
    <col min="7682" max="7682" width="2.875" style="1760" customWidth="1"/>
    <col min="7683" max="7683" width="21.625" style="1760" customWidth="1"/>
    <col min="7684" max="7684" width="3.5" style="1760" customWidth="1"/>
    <col min="7685" max="7685" width="5.625" style="1760" customWidth="1"/>
    <col min="7686" max="7686" width="15.25" style="1760" customWidth="1"/>
    <col min="7687" max="7694" width="18.125" style="1760" customWidth="1"/>
    <col min="7695" max="7936" width="9" style="1760"/>
    <col min="7937" max="7937" width="2.5" style="1760" customWidth="1"/>
    <col min="7938" max="7938" width="2.875" style="1760" customWidth="1"/>
    <col min="7939" max="7939" width="21.625" style="1760" customWidth="1"/>
    <col min="7940" max="7940" width="3.5" style="1760" customWidth="1"/>
    <col min="7941" max="7941" width="5.625" style="1760" customWidth="1"/>
    <col min="7942" max="7942" width="15.25" style="1760" customWidth="1"/>
    <col min="7943" max="7950" width="18.125" style="1760" customWidth="1"/>
    <col min="7951" max="8192" width="9" style="1760"/>
    <col min="8193" max="8193" width="2.5" style="1760" customWidth="1"/>
    <col min="8194" max="8194" width="2.875" style="1760" customWidth="1"/>
    <col min="8195" max="8195" width="21.625" style="1760" customWidth="1"/>
    <col min="8196" max="8196" width="3.5" style="1760" customWidth="1"/>
    <col min="8197" max="8197" width="5.625" style="1760" customWidth="1"/>
    <col min="8198" max="8198" width="15.25" style="1760" customWidth="1"/>
    <col min="8199" max="8206" width="18.125" style="1760" customWidth="1"/>
    <col min="8207" max="8448" width="9" style="1760"/>
    <col min="8449" max="8449" width="2.5" style="1760" customWidth="1"/>
    <col min="8450" max="8450" width="2.875" style="1760" customWidth="1"/>
    <col min="8451" max="8451" width="21.625" style="1760" customWidth="1"/>
    <col min="8452" max="8452" width="3.5" style="1760" customWidth="1"/>
    <col min="8453" max="8453" width="5.625" style="1760" customWidth="1"/>
    <col min="8454" max="8454" width="15.25" style="1760" customWidth="1"/>
    <col min="8455" max="8462" width="18.125" style="1760" customWidth="1"/>
    <col min="8463" max="8704" width="9" style="1760"/>
    <col min="8705" max="8705" width="2.5" style="1760" customWidth="1"/>
    <col min="8706" max="8706" width="2.875" style="1760" customWidth="1"/>
    <col min="8707" max="8707" width="21.625" style="1760" customWidth="1"/>
    <col min="8708" max="8708" width="3.5" style="1760" customWidth="1"/>
    <col min="8709" max="8709" width="5.625" style="1760" customWidth="1"/>
    <col min="8710" max="8710" width="15.25" style="1760" customWidth="1"/>
    <col min="8711" max="8718" width="18.125" style="1760" customWidth="1"/>
    <col min="8719" max="8960" width="9" style="1760"/>
    <col min="8961" max="8961" width="2.5" style="1760" customWidth="1"/>
    <col min="8962" max="8962" width="2.875" style="1760" customWidth="1"/>
    <col min="8963" max="8963" width="21.625" style="1760" customWidth="1"/>
    <col min="8964" max="8964" width="3.5" style="1760" customWidth="1"/>
    <col min="8965" max="8965" width="5.625" style="1760" customWidth="1"/>
    <col min="8966" max="8966" width="15.25" style="1760" customWidth="1"/>
    <col min="8967" max="8974" width="18.125" style="1760" customWidth="1"/>
    <col min="8975" max="9216" width="9" style="1760"/>
    <col min="9217" max="9217" width="2.5" style="1760" customWidth="1"/>
    <col min="9218" max="9218" width="2.875" style="1760" customWidth="1"/>
    <col min="9219" max="9219" width="21.625" style="1760" customWidth="1"/>
    <col min="9220" max="9220" width="3.5" style="1760" customWidth="1"/>
    <col min="9221" max="9221" width="5.625" style="1760" customWidth="1"/>
    <col min="9222" max="9222" width="15.25" style="1760" customWidth="1"/>
    <col min="9223" max="9230" width="18.125" style="1760" customWidth="1"/>
    <col min="9231" max="9472" width="9" style="1760"/>
    <col min="9473" max="9473" width="2.5" style="1760" customWidth="1"/>
    <col min="9474" max="9474" width="2.875" style="1760" customWidth="1"/>
    <col min="9475" max="9475" width="21.625" style="1760" customWidth="1"/>
    <col min="9476" max="9476" width="3.5" style="1760" customWidth="1"/>
    <col min="9477" max="9477" width="5.625" style="1760" customWidth="1"/>
    <col min="9478" max="9478" width="15.25" style="1760" customWidth="1"/>
    <col min="9479" max="9486" width="18.125" style="1760" customWidth="1"/>
    <col min="9487" max="9728" width="9" style="1760"/>
    <col min="9729" max="9729" width="2.5" style="1760" customWidth="1"/>
    <col min="9730" max="9730" width="2.875" style="1760" customWidth="1"/>
    <col min="9731" max="9731" width="21.625" style="1760" customWidth="1"/>
    <col min="9732" max="9732" width="3.5" style="1760" customWidth="1"/>
    <col min="9733" max="9733" width="5.625" style="1760" customWidth="1"/>
    <col min="9734" max="9734" width="15.25" style="1760" customWidth="1"/>
    <col min="9735" max="9742" width="18.125" style="1760" customWidth="1"/>
    <col min="9743" max="9984" width="9" style="1760"/>
    <col min="9985" max="9985" width="2.5" style="1760" customWidth="1"/>
    <col min="9986" max="9986" width="2.875" style="1760" customWidth="1"/>
    <col min="9987" max="9987" width="21.625" style="1760" customWidth="1"/>
    <col min="9988" max="9988" width="3.5" style="1760" customWidth="1"/>
    <col min="9989" max="9989" width="5.625" style="1760" customWidth="1"/>
    <col min="9990" max="9990" width="15.25" style="1760" customWidth="1"/>
    <col min="9991" max="9998" width="18.125" style="1760" customWidth="1"/>
    <col min="9999" max="10240" width="9" style="1760"/>
    <col min="10241" max="10241" width="2.5" style="1760" customWidth="1"/>
    <col min="10242" max="10242" width="2.875" style="1760" customWidth="1"/>
    <col min="10243" max="10243" width="21.625" style="1760" customWidth="1"/>
    <col min="10244" max="10244" width="3.5" style="1760" customWidth="1"/>
    <col min="10245" max="10245" width="5.625" style="1760" customWidth="1"/>
    <col min="10246" max="10246" width="15.25" style="1760" customWidth="1"/>
    <col min="10247" max="10254" width="18.125" style="1760" customWidth="1"/>
    <col min="10255" max="10496" width="9" style="1760"/>
    <col min="10497" max="10497" width="2.5" style="1760" customWidth="1"/>
    <col min="10498" max="10498" width="2.875" style="1760" customWidth="1"/>
    <col min="10499" max="10499" width="21.625" style="1760" customWidth="1"/>
    <col min="10500" max="10500" width="3.5" style="1760" customWidth="1"/>
    <col min="10501" max="10501" width="5.625" style="1760" customWidth="1"/>
    <col min="10502" max="10502" width="15.25" style="1760" customWidth="1"/>
    <col min="10503" max="10510" width="18.125" style="1760" customWidth="1"/>
    <col min="10511" max="10752" width="9" style="1760"/>
    <col min="10753" max="10753" width="2.5" style="1760" customWidth="1"/>
    <col min="10754" max="10754" width="2.875" style="1760" customWidth="1"/>
    <col min="10755" max="10755" width="21.625" style="1760" customWidth="1"/>
    <col min="10756" max="10756" width="3.5" style="1760" customWidth="1"/>
    <col min="10757" max="10757" width="5.625" style="1760" customWidth="1"/>
    <col min="10758" max="10758" width="15.25" style="1760" customWidth="1"/>
    <col min="10759" max="10766" width="18.125" style="1760" customWidth="1"/>
    <col min="10767" max="11008" width="9" style="1760"/>
    <col min="11009" max="11009" width="2.5" style="1760" customWidth="1"/>
    <col min="11010" max="11010" width="2.875" style="1760" customWidth="1"/>
    <col min="11011" max="11011" width="21.625" style="1760" customWidth="1"/>
    <col min="11012" max="11012" width="3.5" style="1760" customWidth="1"/>
    <col min="11013" max="11013" width="5.625" style="1760" customWidth="1"/>
    <col min="11014" max="11014" width="15.25" style="1760" customWidth="1"/>
    <col min="11015" max="11022" width="18.125" style="1760" customWidth="1"/>
    <col min="11023" max="11264" width="9" style="1760"/>
    <col min="11265" max="11265" width="2.5" style="1760" customWidth="1"/>
    <col min="11266" max="11266" width="2.875" style="1760" customWidth="1"/>
    <col min="11267" max="11267" width="21.625" style="1760" customWidth="1"/>
    <col min="11268" max="11268" width="3.5" style="1760" customWidth="1"/>
    <col min="11269" max="11269" width="5.625" style="1760" customWidth="1"/>
    <col min="11270" max="11270" width="15.25" style="1760" customWidth="1"/>
    <col min="11271" max="11278" width="18.125" style="1760" customWidth="1"/>
    <col min="11279" max="11520" width="9" style="1760"/>
    <col min="11521" max="11521" width="2.5" style="1760" customWidth="1"/>
    <col min="11522" max="11522" width="2.875" style="1760" customWidth="1"/>
    <col min="11523" max="11523" width="21.625" style="1760" customWidth="1"/>
    <col min="11524" max="11524" width="3.5" style="1760" customWidth="1"/>
    <col min="11525" max="11525" width="5.625" style="1760" customWidth="1"/>
    <col min="11526" max="11526" width="15.25" style="1760" customWidth="1"/>
    <col min="11527" max="11534" width="18.125" style="1760" customWidth="1"/>
    <col min="11535" max="11776" width="9" style="1760"/>
    <col min="11777" max="11777" width="2.5" style="1760" customWidth="1"/>
    <col min="11778" max="11778" width="2.875" style="1760" customWidth="1"/>
    <col min="11779" max="11779" width="21.625" style="1760" customWidth="1"/>
    <col min="11780" max="11780" width="3.5" style="1760" customWidth="1"/>
    <col min="11781" max="11781" width="5.625" style="1760" customWidth="1"/>
    <col min="11782" max="11782" width="15.25" style="1760" customWidth="1"/>
    <col min="11783" max="11790" width="18.125" style="1760" customWidth="1"/>
    <col min="11791" max="12032" width="9" style="1760"/>
    <col min="12033" max="12033" width="2.5" style="1760" customWidth="1"/>
    <col min="12034" max="12034" width="2.875" style="1760" customWidth="1"/>
    <col min="12035" max="12035" width="21.625" style="1760" customWidth="1"/>
    <col min="12036" max="12036" width="3.5" style="1760" customWidth="1"/>
    <col min="12037" max="12037" width="5.625" style="1760" customWidth="1"/>
    <col min="12038" max="12038" width="15.25" style="1760" customWidth="1"/>
    <col min="12039" max="12046" width="18.125" style="1760" customWidth="1"/>
    <col min="12047" max="12288" width="9" style="1760"/>
    <col min="12289" max="12289" width="2.5" style="1760" customWidth="1"/>
    <col min="12290" max="12290" width="2.875" style="1760" customWidth="1"/>
    <col min="12291" max="12291" width="21.625" style="1760" customWidth="1"/>
    <col min="12292" max="12292" width="3.5" style="1760" customWidth="1"/>
    <col min="12293" max="12293" width="5.625" style="1760" customWidth="1"/>
    <col min="12294" max="12294" width="15.25" style="1760" customWidth="1"/>
    <col min="12295" max="12302" width="18.125" style="1760" customWidth="1"/>
    <col min="12303" max="12544" width="9" style="1760"/>
    <col min="12545" max="12545" width="2.5" style="1760" customWidth="1"/>
    <col min="12546" max="12546" width="2.875" style="1760" customWidth="1"/>
    <col min="12547" max="12547" width="21.625" style="1760" customWidth="1"/>
    <col min="12548" max="12548" width="3.5" style="1760" customWidth="1"/>
    <col min="12549" max="12549" width="5.625" style="1760" customWidth="1"/>
    <col min="12550" max="12550" width="15.25" style="1760" customWidth="1"/>
    <col min="12551" max="12558" width="18.125" style="1760" customWidth="1"/>
    <col min="12559" max="12800" width="9" style="1760"/>
    <col min="12801" max="12801" width="2.5" style="1760" customWidth="1"/>
    <col min="12802" max="12802" width="2.875" style="1760" customWidth="1"/>
    <col min="12803" max="12803" width="21.625" style="1760" customWidth="1"/>
    <col min="12804" max="12804" width="3.5" style="1760" customWidth="1"/>
    <col min="12805" max="12805" width="5.625" style="1760" customWidth="1"/>
    <col min="12806" max="12806" width="15.25" style="1760" customWidth="1"/>
    <col min="12807" max="12814" width="18.125" style="1760" customWidth="1"/>
    <col min="12815" max="13056" width="9" style="1760"/>
    <col min="13057" max="13057" width="2.5" style="1760" customWidth="1"/>
    <col min="13058" max="13058" width="2.875" style="1760" customWidth="1"/>
    <col min="13059" max="13059" width="21.625" style="1760" customWidth="1"/>
    <col min="13060" max="13060" width="3.5" style="1760" customWidth="1"/>
    <col min="13061" max="13061" width="5.625" style="1760" customWidth="1"/>
    <col min="13062" max="13062" width="15.25" style="1760" customWidth="1"/>
    <col min="13063" max="13070" width="18.125" style="1760" customWidth="1"/>
    <col min="13071" max="13312" width="9" style="1760"/>
    <col min="13313" max="13313" width="2.5" style="1760" customWidth="1"/>
    <col min="13314" max="13314" width="2.875" style="1760" customWidth="1"/>
    <col min="13315" max="13315" width="21.625" style="1760" customWidth="1"/>
    <col min="13316" max="13316" width="3.5" style="1760" customWidth="1"/>
    <col min="13317" max="13317" width="5.625" style="1760" customWidth="1"/>
    <col min="13318" max="13318" width="15.25" style="1760" customWidth="1"/>
    <col min="13319" max="13326" width="18.125" style="1760" customWidth="1"/>
    <col min="13327" max="13568" width="9" style="1760"/>
    <col min="13569" max="13569" width="2.5" style="1760" customWidth="1"/>
    <col min="13570" max="13570" width="2.875" style="1760" customWidth="1"/>
    <col min="13571" max="13571" width="21.625" style="1760" customWidth="1"/>
    <col min="13572" max="13572" width="3.5" style="1760" customWidth="1"/>
    <col min="13573" max="13573" width="5.625" style="1760" customWidth="1"/>
    <col min="13574" max="13574" width="15.25" style="1760" customWidth="1"/>
    <col min="13575" max="13582" width="18.125" style="1760" customWidth="1"/>
    <col min="13583" max="13824" width="9" style="1760"/>
    <col min="13825" max="13825" width="2.5" style="1760" customWidth="1"/>
    <col min="13826" max="13826" width="2.875" style="1760" customWidth="1"/>
    <col min="13827" max="13827" width="21.625" style="1760" customWidth="1"/>
    <col min="13828" max="13828" width="3.5" style="1760" customWidth="1"/>
    <col min="13829" max="13829" width="5.625" style="1760" customWidth="1"/>
    <col min="13830" max="13830" width="15.25" style="1760" customWidth="1"/>
    <col min="13831" max="13838" width="18.125" style="1760" customWidth="1"/>
    <col min="13839" max="14080" width="9" style="1760"/>
    <col min="14081" max="14081" width="2.5" style="1760" customWidth="1"/>
    <col min="14082" max="14082" width="2.875" style="1760" customWidth="1"/>
    <col min="14083" max="14083" width="21.625" style="1760" customWidth="1"/>
    <col min="14084" max="14084" width="3.5" style="1760" customWidth="1"/>
    <col min="14085" max="14085" width="5.625" style="1760" customWidth="1"/>
    <col min="14086" max="14086" width="15.25" style="1760" customWidth="1"/>
    <col min="14087" max="14094" width="18.125" style="1760" customWidth="1"/>
    <col min="14095" max="14336" width="9" style="1760"/>
    <col min="14337" max="14337" width="2.5" style="1760" customWidth="1"/>
    <col min="14338" max="14338" width="2.875" style="1760" customWidth="1"/>
    <col min="14339" max="14339" width="21.625" style="1760" customWidth="1"/>
    <col min="14340" max="14340" width="3.5" style="1760" customWidth="1"/>
    <col min="14341" max="14341" width="5.625" style="1760" customWidth="1"/>
    <col min="14342" max="14342" width="15.25" style="1760" customWidth="1"/>
    <col min="14343" max="14350" width="18.125" style="1760" customWidth="1"/>
    <col min="14351" max="14592" width="9" style="1760"/>
    <col min="14593" max="14593" width="2.5" style="1760" customWidth="1"/>
    <col min="14594" max="14594" width="2.875" style="1760" customWidth="1"/>
    <col min="14595" max="14595" width="21.625" style="1760" customWidth="1"/>
    <col min="14596" max="14596" width="3.5" style="1760" customWidth="1"/>
    <col min="14597" max="14597" width="5.625" style="1760" customWidth="1"/>
    <col min="14598" max="14598" width="15.25" style="1760" customWidth="1"/>
    <col min="14599" max="14606" width="18.125" style="1760" customWidth="1"/>
    <col min="14607" max="14848" width="9" style="1760"/>
    <col min="14849" max="14849" width="2.5" style="1760" customWidth="1"/>
    <col min="14850" max="14850" width="2.875" style="1760" customWidth="1"/>
    <col min="14851" max="14851" width="21.625" style="1760" customWidth="1"/>
    <col min="14852" max="14852" width="3.5" style="1760" customWidth="1"/>
    <col min="14853" max="14853" width="5.625" style="1760" customWidth="1"/>
    <col min="14854" max="14854" width="15.25" style="1760" customWidth="1"/>
    <col min="14855" max="14862" width="18.125" style="1760" customWidth="1"/>
    <col min="14863" max="15104" width="9" style="1760"/>
    <col min="15105" max="15105" width="2.5" style="1760" customWidth="1"/>
    <col min="15106" max="15106" width="2.875" style="1760" customWidth="1"/>
    <col min="15107" max="15107" width="21.625" style="1760" customWidth="1"/>
    <col min="15108" max="15108" width="3.5" style="1760" customWidth="1"/>
    <col min="15109" max="15109" width="5.625" style="1760" customWidth="1"/>
    <col min="15110" max="15110" width="15.25" style="1760" customWidth="1"/>
    <col min="15111" max="15118" width="18.125" style="1760" customWidth="1"/>
    <col min="15119" max="15360" width="9" style="1760"/>
    <col min="15361" max="15361" width="2.5" style="1760" customWidth="1"/>
    <col min="15362" max="15362" width="2.875" style="1760" customWidth="1"/>
    <col min="15363" max="15363" width="21.625" style="1760" customWidth="1"/>
    <col min="15364" max="15364" width="3.5" style="1760" customWidth="1"/>
    <col min="15365" max="15365" width="5.625" style="1760" customWidth="1"/>
    <col min="15366" max="15366" width="15.25" style="1760" customWidth="1"/>
    <col min="15367" max="15374" width="18.125" style="1760" customWidth="1"/>
    <col min="15375" max="15616" width="9" style="1760"/>
    <col min="15617" max="15617" width="2.5" style="1760" customWidth="1"/>
    <col min="15618" max="15618" width="2.875" style="1760" customWidth="1"/>
    <col min="15619" max="15619" width="21.625" style="1760" customWidth="1"/>
    <col min="15620" max="15620" width="3.5" style="1760" customWidth="1"/>
    <col min="15621" max="15621" width="5.625" style="1760" customWidth="1"/>
    <col min="15622" max="15622" width="15.25" style="1760" customWidth="1"/>
    <col min="15623" max="15630" width="18.125" style="1760" customWidth="1"/>
    <col min="15631" max="15872" width="9" style="1760"/>
    <col min="15873" max="15873" width="2.5" style="1760" customWidth="1"/>
    <col min="15874" max="15874" width="2.875" style="1760" customWidth="1"/>
    <col min="15875" max="15875" width="21.625" style="1760" customWidth="1"/>
    <col min="15876" max="15876" width="3.5" style="1760" customWidth="1"/>
    <col min="15877" max="15877" width="5.625" style="1760" customWidth="1"/>
    <col min="15878" max="15878" width="15.25" style="1760" customWidth="1"/>
    <col min="15879" max="15886" width="18.125" style="1760" customWidth="1"/>
    <col min="15887" max="16128" width="9" style="1760"/>
    <col min="16129" max="16129" width="2.5" style="1760" customWidth="1"/>
    <col min="16130" max="16130" width="2.875" style="1760" customWidth="1"/>
    <col min="16131" max="16131" width="21.625" style="1760" customWidth="1"/>
    <col min="16132" max="16132" width="3.5" style="1760" customWidth="1"/>
    <col min="16133" max="16133" width="5.625" style="1760" customWidth="1"/>
    <col min="16134" max="16134" width="15.25" style="1760" customWidth="1"/>
    <col min="16135" max="16142" width="18.125" style="1760" customWidth="1"/>
    <col min="16143" max="16384" width="9" style="1760"/>
  </cols>
  <sheetData>
    <row r="1" spans="1:256" s="1710" customFormat="1" ht="16.5">
      <c r="A1" s="1703"/>
      <c r="B1" s="1703"/>
      <c r="C1" s="1704"/>
      <c r="D1" s="1704"/>
      <c r="E1" s="1705" t="s">
        <v>2522</v>
      </c>
      <c r="F1" s="1706"/>
      <c r="G1" s="1707"/>
      <c r="H1" s="1707"/>
      <c r="I1" s="1707"/>
      <c r="J1" s="1707"/>
      <c r="K1" s="1707"/>
      <c r="L1" s="1707"/>
      <c r="M1" s="1708">
        <v>20190116</v>
      </c>
      <c r="N1" s="1709" t="s">
        <v>2747</v>
      </c>
      <c r="IA1" s="1711"/>
      <c r="IB1" s="1711"/>
      <c r="IC1" s="1711"/>
      <c r="ID1" s="1711"/>
      <c r="IE1" s="1711"/>
      <c r="IF1" s="1711"/>
      <c r="IG1" s="1711"/>
      <c r="IH1" s="1711"/>
      <c r="II1" s="1711"/>
      <c r="IJ1" s="1711"/>
      <c r="IK1" s="1711"/>
      <c r="IL1" s="1711"/>
      <c r="IM1" s="1711"/>
      <c r="IN1" s="1711"/>
      <c r="IO1" s="1711"/>
      <c r="IP1" s="1711"/>
      <c r="IQ1" s="1711"/>
      <c r="IR1" s="1711"/>
      <c r="IS1" s="1711"/>
      <c r="IT1" s="1711"/>
      <c r="IU1" s="1711"/>
      <c r="IV1" s="1711"/>
    </row>
    <row r="2" spans="1:256" s="1710" customFormat="1" ht="15.75">
      <c r="A2" s="1703"/>
      <c r="B2" s="1703"/>
      <c r="C2" s="2924" t="s">
        <v>2524</v>
      </c>
      <c r="D2" s="2925"/>
      <c r="E2" s="2925"/>
      <c r="F2" s="1703" t="s">
        <v>2525</v>
      </c>
      <c r="G2" s="1712"/>
      <c r="H2" s="1713"/>
      <c r="I2" s="1713"/>
      <c r="J2" s="1713"/>
      <c r="K2" s="1713"/>
      <c r="L2" s="1713"/>
      <c r="M2" s="1703"/>
      <c r="N2" s="1713" t="s">
        <v>252</v>
      </c>
      <c r="IA2" s="1711"/>
      <c r="IB2" s="1711"/>
      <c r="IC2" s="1711"/>
      <c r="ID2" s="1711"/>
      <c r="IE2" s="1711"/>
      <c r="IF2" s="1711"/>
      <c r="IG2" s="1711"/>
      <c r="IH2" s="1711"/>
      <c r="II2" s="1711"/>
      <c r="IJ2" s="1711"/>
      <c r="IK2" s="1711"/>
      <c r="IL2" s="1711"/>
      <c r="IM2" s="1711"/>
      <c r="IN2" s="1711"/>
      <c r="IO2" s="1711"/>
      <c r="IP2" s="1711"/>
      <c r="IQ2" s="1711"/>
      <c r="IR2" s="1711"/>
      <c r="IS2" s="1711"/>
      <c r="IT2" s="1711"/>
      <c r="IU2" s="1711"/>
      <c r="IV2" s="1711"/>
    </row>
    <row r="3" spans="1:256" s="1710" customFormat="1" ht="15.75">
      <c r="A3" s="1714"/>
      <c r="B3" s="1715"/>
      <c r="C3" s="1716"/>
      <c r="D3" s="1717"/>
      <c r="E3" s="1718"/>
      <c r="F3" s="1719" t="s">
        <v>2877</v>
      </c>
      <c r="G3" s="1720"/>
      <c r="H3" s="1720"/>
      <c r="I3" s="1720"/>
      <c r="J3" s="1720"/>
      <c r="K3" s="1720"/>
      <c r="L3" s="1720"/>
      <c r="M3" s="1720"/>
      <c r="N3" s="1721"/>
      <c r="IA3" s="1711"/>
      <c r="IB3" s="1711"/>
      <c r="IC3" s="1711"/>
      <c r="ID3" s="1711"/>
      <c r="IE3" s="1711"/>
      <c r="IF3" s="1711"/>
      <c r="IG3" s="1711"/>
      <c r="IH3" s="1711"/>
      <c r="II3" s="1711"/>
      <c r="IJ3" s="1711"/>
      <c r="IK3" s="1711"/>
      <c r="IL3" s="1711"/>
      <c r="IM3" s="1711"/>
      <c r="IN3" s="1711"/>
      <c r="IO3" s="1711"/>
      <c r="IP3" s="1711"/>
      <c r="IQ3" s="1711"/>
      <c r="IR3" s="1711"/>
      <c r="IS3" s="1711"/>
      <c r="IT3" s="1711"/>
      <c r="IU3" s="1711"/>
      <c r="IV3" s="1711"/>
    </row>
    <row r="4" spans="1:256" s="1710" customFormat="1" ht="15.75">
      <c r="A4" s="1714"/>
      <c r="B4" s="2926" t="s">
        <v>2527</v>
      </c>
      <c r="C4" s="2927"/>
      <c r="D4" s="2927"/>
      <c r="E4" s="1718"/>
      <c r="F4" s="1722">
        <f>SUM(G4:N4)</f>
        <v>0</v>
      </c>
      <c r="G4" s="1723">
        <f>G81</f>
        <v>0</v>
      </c>
      <c r="H4" s="1724">
        <f t="shared" ref="G4:N5" si="0">H81</f>
        <v>0</v>
      </c>
      <c r="I4" s="1724">
        <f t="shared" si="0"/>
        <v>0</v>
      </c>
      <c r="J4" s="1724">
        <f>J81</f>
        <v>0</v>
      </c>
      <c r="K4" s="1724">
        <f>K81</f>
        <v>0</v>
      </c>
      <c r="L4" s="1724">
        <f t="shared" si="0"/>
        <v>0</v>
      </c>
      <c r="M4" s="1722">
        <f t="shared" si="0"/>
        <v>0</v>
      </c>
      <c r="N4" s="1725">
        <f t="shared" si="0"/>
        <v>0</v>
      </c>
      <c r="IA4" s="1711"/>
      <c r="IB4" s="1711"/>
      <c r="IC4" s="1711"/>
      <c r="ID4" s="1711"/>
      <c r="IE4" s="1711"/>
      <c r="IF4" s="1711"/>
      <c r="IG4" s="1711"/>
      <c r="IH4" s="1711"/>
      <c r="II4" s="1711"/>
      <c r="IJ4" s="1711"/>
      <c r="IK4" s="1711"/>
      <c r="IL4" s="1711"/>
      <c r="IM4" s="1711"/>
      <c r="IN4" s="1711"/>
      <c r="IO4" s="1711"/>
      <c r="IP4" s="1711"/>
      <c r="IQ4" s="1711"/>
      <c r="IR4" s="1711"/>
      <c r="IS4" s="1711"/>
      <c r="IT4" s="1711"/>
      <c r="IU4" s="1711"/>
      <c r="IV4" s="1711"/>
    </row>
    <row r="5" spans="1:256" s="1710" customFormat="1" ht="15.75">
      <c r="A5" s="1726"/>
      <c r="B5" s="2928" t="s">
        <v>2528</v>
      </c>
      <c r="C5" s="2929"/>
      <c r="D5" s="2929"/>
      <c r="E5" s="1727"/>
      <c r="F5" s="1728">
        <f>SUM(G5:N5)</f>
        <v>0</v>
      </c>
      <c r="G5" s="1729">
        <f t="shared" si="0"/>
        <v>0</v>
      </c>
      <c r="H5" s="1730">
        <f t="shared" si="0"/>
        <v>0</v>
      </c>
      <c r="I5" s="1730">
        <f t="shared" si="0"/>
        <v>0</v>
      </c>
      <c r="J5" s="1730">
        <f>J82</f>
        <v>0</v>
      </c>
      <c r="K5" s="1730">
        <f>K82</f>
        <v>0</v>
      </c>
      <c r="L5" s="1730">
        <f t="shared" si="0"/>
        <v>0</v>
      </c>
      <c r="M5" s="1728">
        <f t="shared" si="0"/>
        <v>0</v>
      </c>
      <c r="N5" s="1731">
        <f t="shared" si="0"/>
        <v>0</v>
      </c>
      <c r="IA5" s="1711"/>
      <c r="IB5" s="1711"/>
      <c r="IC5" s="1711"/>
      <c r="ID5" s="1711"/>
      <c r="IE5" s="1711"/>
      <c r="IF5" s="1711"/>
      <c r="IG5" s="1711"/>
      <c r="IH5" s="1711"/>
      <c r="II5" s="1711"/>
      <c r="IJ5" s="1711"/>
      <c r="IK5" s="1711"/>
      <c r="IL5" s="1711"/>
      <c r="IM5" s="1711"/>
      <c r="IN5" s="1711"/>
      <c r="IO5" s="1711"/>
      <c r="IP5" s="1711"/>
      <c r="IQ5" s="1711"/>
      <c r="IR5" s="1711"/>
      <c r="IS5" s="1711"/>
      <c r="IT5" s="1711"/>
      <c r="IU5" s="1711"/>
      <c r="IV5" s="1711"/>
    </row>
    <row r="6" spans="1:256" s="1710" customFormat="1" ht="15.75">
      <c r="A6" s="1732"/>
      <c r="B6" s="2930" t="s">
        <v>240</v>
      </c>
      <c r="C6" s="2931"/>
      <c r="D6" s="2931"/>
      <c r="E6" s="1733"/>
      <c r="F6" s="1734">
        <f>SUM(G6:N6)</f>
        <v>0</v>
      </c>
      <c r="G6" s="1735">
        <f t="shared" ref="G6:N6" si="1">G80</f>
        <v>0</v>
      </c>
      <c r="H6" s="1736">
        <f t="shared" si="1"/>
        <v>0</v>
      </c>
      <c r="I6" s="1736">
        <f t="shared" si="1"/>
        <v>0</v>
      </c>
      <c r="J6" s="1736">
        <f>J80</f>
        <v>0</v>
      </c>
      <c r="K6" s="1736">
        <f>K80</f>
        <v>0</v>
      </c>
      <c r="L6" s="1736">
        <f t="shared" si="1"/>
        <v>0</v>
      </c>
      <c r="M6" s="1734">
        <f t="shared" si="1"/>
        <v>0</v>
      </c>
      <c r="N6" s="1737">
        <f t="shared" si="1"/>
        <v>0</v>
      </c>
      <c r="IA6" s="1711"/>
      <c r="IB6" s="1711"/>
      <c r="IC6" s="1711"/>
      <c r="ID6" s="1711"/>
      <c r="IE6" s="1711"/>
      <c r="IF6" s="1711"/>
      <c r="IG6" s="1711"/>
      <c r="IH6" s="1711"/>
      <c r="II6" s="1711"/>
      <c r="IJ6" s="1711"/>
      <c r="IK6" s="1711"/>
      <c r="IL6" s="1711"/>
      <c r="IM6" s="1711"/>
      <c r="IN6" s="1711"/>
      <c r="IO6" s="1711"/>
      <c r="IP6" s="1711"/>
      <c r="IQ6" s="1711"/>
      <c r="IR6" s="1711"/>
      <c r="IS6" s="1711"/>
      <c r="IT6" s="1711"/>
      <c r="IU6" s="1711"/>
      <c r="IV6" s="1711"/>
    </row>
    <row r="7" spans="1:256" s="1710" customFormat="1" ht="15.75">
      <c r="A7" s="1726"/>
      <c r="B7" s="1738"/>
      <c r="C7" s="1739"/>
      <c r="D7" s="1740"/>
      <c r="E7" s="1741"/>
      <c r="F7" s="1742"/>
      <c r="G7" s="1743" t="s">
        <v>2529</v>
      </c>
      <c r="H7" s="1744"/>
      <c r="I7" s="1745"/>
      <c r="J7" s="1745"/>
      <c r="K7" s="1745"/>
      <c r="L7" s="1745"/>
      <c r="M7" s="1745"/>
      <c r="N7" s="1746" t="s">
        <v>2530</v>
      </c>
      <c r="IA7" s="1711"/>
      <c r="IB7" s="1711"/>
      <c r="IC7" s="1711"/>
      <c r="ID7" s="1711"/>
      <c r="IE7" s="1711"/>
      <c r="IF7" s="1711"/>
      <c r="IG7" s="1711"/>
      <c r="IH7" s="1711"/>
      <c r="II7" s="1711"/>
      <c r="IJ7" s="1711"/>
      <c r="IK7" s="1711"/>
      <c r="IL7" s="1711"/>
      <c r="IM7" s="1711"/>
      <c r="IN7" s="1711"/>
      <c r="IO7" s="1711"/>
      <c r="IP7" s="1711"/>
      <c r="IQ7" s="1711"/>
      <c r="IR7" s="1711"/>
      <c r="IS7" s="1711"/>
      <c r="IT7" s="1711"/>
      <c r="IU7" s="1711"/>
      <c r="IV7" s="1711"/>
    </row>
    <row r="8" spans="1:256" s="1710" customFormat="1" ht="15.75">
      <c r="A8" s="1747"/>
      <c r="B8" s="1748"/>
      <c r="C8" s="1749" t="s">
        <v>2531</v>
      </c>
      <c r="D8" s="2932" t="s">
        <v>2878</v>
      </c>
      <c r="E8" s="2932"/>
      <c r="F8" s="2933"/>
      <c r="G8" s="1750" t="str">
        <f>IF(G87="","",G87)</f>
        <v/>
      </c>
      <c r="H8" s="1750" t="str">
        <f t="shared" ref="H8:N9" si="2">IF(H87="","",H87)</f>
        <v/>
      </c>
      <c r="I8" s="1750" t="str">
        <f t="shared" si="2"/>
        <v/>
      </c>
      <c r="J8" s="1750" t="str">
        <f t="shared" si="2"/>
        <v/>
      </c>
      <c r="K8" s="1750" t="str">
        <f t="shared" si="2"/>
        <v/>
      </c>
      <c r="L8" s="1750" t="str">
        <f t="shared" si="2"/>
        <v/>
      </c>
      <c r="M8" s="1750" t="str">
        <f t="shared" si="2"/>
        <v/>
      </c>
      <c r="N8" s="1751" t="str">
        <f t="shared" si="2"/>
        <v/>
      </c>
      <c r="IA8" s="1711"/>
      <c r="IB8" s="1711"/>
      <c r="IC8" s="1711"/>
      <c r="ID8" s="1711"/>
      <c r="IE8" s="1711"/>
      <c r="IF8" s="1711"/>
      <c r="IG8" s="1711"/>
      <c r="IH8" s="1711"/>
      <c r="II8" s="1711"/>
      <c r="IJ8" s="1711"/>
      <c r="IK8" s="1711"/>
      <c r="IL8" s="1711"/>
      <c r="IM8" s="1711"/>
      <c r="IN8" s="1711"/>
      <c r="IO8" s="1711"/>
      <c r="IP8" s="1711"/>
      <c r="IQ8" s="1711"/>
      <c r="IR8" s="1711"/>
      <c r="IS8" s="1711"/>
      <c r="IT8" s="1711"/>
      <c r="IU8" s="1711"/>
      <c r="IV8" s="1711"/>
    </row>
    <row r="9" spans="1:256" s="1710" customFormat="1" ht="15.75">
      <c r="A9" s="1752"/>
      <c r="B9" s="1753"/>
      <c r="C9" s="1754" t="s">
        <v>2533</v>
      </c>
      <c r="D9" s="2934" t="s">
        <v>2879</v>
      </c>
      <c r="E9" s="2934"/>
      <c r="F9" s="2935"/>
      <c r="G9" s="1755" t="str">
        <f>IF(G88="","",G88)</f>
        <v/>
      </c>
      <c r="H9" s="1755" t="str">
        <f t="shared" si="2"/>
        <v/>
      </c>
      <c r="I9" s="1755" t="str">
        <f t="shared" si="2"/>
        <v/>
      </c>
      <c r="J9" s="1755" t="str">
        <f t="shared" si="2"/>
        <v/>
      </c>
      <c r="K9" s="1755" t="str">
        <f t="shared" si="2"/>
        <v/>
      </c>
      <c r="L9" s="1755" t="str">
        <f t="shared" si="2"/>
        <v/>
      </c>
      <c r="M9" s="1755" t="str">
        <f t="shared" si="2"/>
        <v/>
      </c>
      <c r="N9" s="1756" t="str">
        <f t="shared" si="2"/>
        <v/>
      </c>
      <c r="IA9" s="1711"/>
      <c r="IB9" s="1711"/>
      <c r="IC9" s="1711"/>
      <c r="ID9" s="1711"/>
      <c r="IE9" s="1711"/>
      <c r="IF9" s="1711"/>
      <c r="IG9" s="1711"/>
      <c r="IH9" s="1711"/>
      <c r="II9" s="1711"/>
      <c r="IJ9" s="1711"/>
      <c r="IK9" s="1711"/>
      <c r="IL9" s="1711"/>
      <c r="IM9" s="1711"/>
      <c r="IN9" s="1711"/>
      <c r="IO9" s="1711"/>
      <c r="IP9" s="1711"/>
      <c r="IQ9" s="1711"/>
      <c r="IR9" s="1711"/>
      <c r="IS9" s="1711"/>
      <c r="IT9" s="1711"/>
      <c r="IU9" s="1711"/>
      <c r="IV9" s="1711"/>
    </row>
    <row r="10" spans="1:256" ht="13.5" customHeight="1">
      <c r="A10" s="1757"/>
      <c r="B10" s="1738"/>
      <c r="C10" s="2917" t="s">
        <v>2880</v>
      </c>
      <c r="D10" s="2917"/>
      <c r="E10" s="2917"/>
      <c r="F10" s="2918"/>
      <c r="G10" s="1758" t="str">
        <f>IF(G91="","",G91)</f>
        <v/>
      </c>
      <c r="H10" s="1758" t="str">
        <f t="shared" ref="H10:N12" si="3">IF(H91="","",H91)</f>
        <v/>
      </c>
      <c r="I10" s="1758" t="str">
        <f t="shared" si="3"/>
        <v/>
      </c>
      <c r="J10" s="1758" t="str">
        <f t="shared" si="3"/>
        <v/>
      </c>
      <c r="K10" s="1758" t="str">
        <f t="shared" si="3"/>
        <v/>
      </c>
      <c r="L10" s="1758" t="str">
        <f t="shared" si="3"/>
        <v/>
      </c>
      <c r="M10" s="1758" t="str">
        <f t="shared" si="3"/>
        <v/>
      </c>
      <c r="N10" s="1759" t="str">
        <f t="shared" si="3"/>
        <v/>
      </c>
    </row>
    <row r="11" spans="1:256" ht="30" customHeight="1">
      <c r="A11" s="2894" t="s">
        <v>2881</v>
      </c>
      <c r="B11" s="2919"/>
      <c r="C11" s="2919"/>
      <c r="D11" s="2919"/>
      <c r="E11" s="2919"/>
      <c r="F11" s="2920"/>
      <c r="G11" s="1761" t="str">
        <f>IF(G92="","",G92)</f>
        <v/>
      </c>
      <c r="H11" s="1761" t="str">
        <f t="shared" si="3"/>
        <v/>
      </c>
      <c r="I11" s="1761" t="str">
        <f t="shared" si="3"/>
        <v/>
      </c>
      <c r="J11" s="1761" t="str">
        <f t="shared" si="3"/>
        <v/>
      </c>
      <c r="K11" s="1761" t="str">
        <f t="shared" si="3"/>
        <v/>
      </c>
      <c r="L11" s="1761" t="str">
        <f t="shared" si="3"/>
        <v/>
      </c>
      <c r="M11" s="1761" t="str">
        <f t="shared" si="3"/>
        <v/>
      </c>
      <c r="N11" s="1762" t="str">
        <f t="shared" si="3"/>
        <v/>
      </c>
    </row>
    <row r="12" spans="1:256" ht="30" customHeight="1">
      <c r="A12" s="2921" t="s">
        <v>2882</v>
      </c>
      <c r="B12" s="2922"/>
      <c r="C12" s="2922"/>
      <c r="D12" s="2922"/>
      <c r="E12" s="2922"/>
      <c r="F12" s="2923"/>
      <c r="G12" s="1763" t="str">
        <f>IF(G93="","",G93)</f>
        <v/>
      </c>
      <c r="H12" s="1763" t="str">
        <f t="shared" si="3"/>
        <v/>
      </c>
      <c r="I12" s="1763" t="str">
        <f t="shared" si="3"/>
        <v/>
      </c>
      <c r="J12" s="1763" t="str">
        <f t="shared" si="3"/>
        <v/>
      </c>
      <c r="K12" s="1763" t="str">
        <f t="shared" si="3"/>
        <v/>
      </c>
      <c r="L12" s="1763" t="str">
        <f t="shared" si="3"/>
        <v/>
      </c>
      <c r="M12" s="1763" t="str">
        <f t="shared" si="3"/>
        <v/>
      </c>
      <c r="N12" s="1764" t="str">
        <f t="shared" si="3"/>
        <v/>
      </c>
    </row>
    <row r="13" spans="1:256" s="1772" customFormat="1" ht="13.5" customHeight="1">
      <c r="A13" s="1765"/>
      <c r="B13" s="1766" t="s">
        <v>2750</v>
      </c>
      <c r="C13" s="1767"/>
      <c r="D13" s="1767"/>
      <c r="E13" s="1768"/>
      <c r="F13" s="1769">
        <f>SUM(G13:N13)</f>
        <v>0</v>
      </c>
      <c r="G13" s="1770"/>
      <c r="H13" s="1770"/>
      <c r="I13" s="1770"/>
      <c r="J13" s="1770"/>
      <c r="K13" s="1770"/>
      <c r="L13" s="1770"/>
      <c r="M13" s="1770"/>
      <c r="N13" s="1771"/>
    </row>
    <row r="14" spans="1:256" s="1772" customFormat="1" ht="13.5" customHeight="1">
      <c r="A14" s="1773"/>
      <c r="B14" s="1774" t="s">
        <v>2751</v>
      </c>
      <c r="C14" s="1775"/>
      <c r="D14" s="1775"/>
      <c r="E14" s="1776"/>
      <c r="F14" s="1777"/>
      <c r="G14" s="1778">
        <f>SUM(G15:G16)</f>
        <v>0</v>
      </c>
      <c r="H14" s="1778">
        <f t="shared" ref="H14:N14" si="4">SUM(H15:H16)</f>
        <v>0</v>
      </c>
      <c r="I14" s="1778">
        <f t="shared" si="4"/>
        <v>0</v>
      </c>
      <c r="J14" s="1778">
        <f t="shared" si="4"/>
        <v>0</v>
      </c>
      <c r="K14" s="1778">
        <f t="shared" si="4"/>
        <v>0</v>
      </c>
      <c r="L14" s="1778">
        <f t="shared" si="4"/>
        <v>0</v>
      </c>
      <c r="M14" s="1778">
        <f t="shared" si="4"/>
        <v>0</v>
      </c>
      <c r="N14" s="1779">
        <f t="shared" si="4"/>
        <v>0</v>
      </c>
    </row>
    <row r="15" spans="1:256" s="1772" customFormat="1" ht="13.5" customHeight="1">
      <c r="A15" s="1773"/>
      <c r="B15" s="1780" t="s">
        <v>2540</v>
      </c>
      <c r="C15" s="1781"/>
      <c r="D15" s="1781"/>
      <c r="E15" s="1782"/>
      <c r="F15" s="1783"/>
      <c r="G15" s="1784">
        <f t="shared" ref="G15:N15" si="5">G309-G96</f>
        <v>0</v>
      </c>
      <c r="H15" s="1784">
        <f t="shared" si="5"/>
        <v>0</v>
      </c>
      <c r="I15" s="1784">
        <f t="shared" si="5"/>
        <v>0</v>
      </c>
      <c r="J15" s="1784">
        <f>J309-J96</f>
        <v>0</v>
      </c>
      <c r="K15" s="1784">
        <f>K309-K96</f>
        <v>0</v>
      </c>
      <c r="L15" s="1784">
        <f t="shared" si="5"/>
        <v>0</v>
      </c>
      <c r="M15" s="1784">
        <f t="shared" si="5"/>
        <v>0</v>
      </c>
      <c r="N15" s="1785">
        <f t="shared" si="5"/>
        <v>0</v>
      </c>
    </row>
    <row r="16" spans="1:256" s="1772" customFormat="1" ht="13.5" customHeight="1">
      <c r="A16" s="1773"/>
      <c r="B16" s="1780" t="s">
        <v>2546</v>
      </c>
      <c r="C16" s="1781"/>
      <c r="D16" s="1781"/>
      <c r="E16" s="1782"/>
      <c r="F16" s="1783"/>
      <c r="G16" s="1786"/>
      <c r="H16" s="1786"/>
      <c r="I16" s="1786"/>
      <c r="J16" s="1786"/>
      <c r="K16" s="1786"/>
      <c r="L16" s="1786"/>
      <c r="M16" s="1786"/>
      <c r="N16" s="1787"/>
    </row>
    <row r="17" spans="1:256" s="1772" customFormat="1" ht="13.5" customHeight="1">
      <c r="A17" s="1773"/>
      <c r="B17" s="1788" t="s">
        <v>2883</v>
      </c>
      <c r="C17" s="1789"/>
      <c r="D17" s="1789"/>
      <c r="E17" s="1790"/>
      <c r="F17" s="1791"/>
      <c r="G17" s="1792"/>
      <c r="H17" s="1792"/>
      <c r="I17" s="1792"/>
      <c r="J17" s="1792"/>
      <c r="K17" s="1792"/>
      <c r="L17" s="1792"/>
      <c r="M17" s="1792"/>
      <c r="N17" s="1793"/>
    </row>
    <row r="18" spans="1:256" s="1772" customFormat="1" ht="13.5" customHeight="1">
      <c r="A18" s="1794"/>
      <c r="B18" s="1795" t="s">
        <v>2753</v>
      </c>
      <c r="C18" s="1796"/>
      <c r="D18" s="1796"/>
      <c r="E18" s="1797"/>
      <c r="F18" s="1798">
        <f>SUM(G18:N18)</f>
        <v>0</v>
      </c>
      <c r="G18" s="1799">
        <f t="shared" ref="G18:N18" si="6">G318-G105</f>
        <v>0</v>
      </c>
      <c r="H18" s="1799">
        <f t="shared" si="6"/>
        <v>0</v>
      </c>
      <c r="I18" s="1799">
        <f t="shared" si="6"/>
        <v>0</v>
      </c>
      <c r="J18" s="1799">
        <f>J318-J105</f>
        <v>0</v>
      </c>
      <c r="K18" s="1799">
        <f>K318-K105</f>
        <v>0</v>
      </c>
      <c r="L18" s="1799">
        <f t="shared" si="6"/>
        <v>0</v>
      </c>
      <c r="M18" s="1799">
        <f t="shared" si="6"/>
        <v>0</v>
      </c>
      <c r="N18" s="1800">
        <f t="shared" si="6"/>
        <v>0</v>
      </c>
    </row>
    <row r="19" spans="1:256" s="1772" customFormat="1" ht="13.5" hidden="1" customHeight="1">
      <c r="A19" s="1773"/>
      <c r="B19" s="1795" t="s">
        <v>2754</v>
      </c>
      <c r="C19" s="1796"/>
      <c r="D19" s="1796"/>
      <c r="E19" s="1797"/>
      <c r="F19" s="1798" t="e">
        <f>SUM(G19:N19)</f>
        <v>#REF!</v>
      </c>
      <c r="G19" s="1801" t="e">
        <f>G204-#REF!</f>
        <v>#REF!</v>
      </c>
      <c r="H19" s="1801" t="e">
        <f>H204-#REF!</f>
        <v>#REF!</v>
      </c>
      <c r="I19" s="1801" t="e">
        <f>I204-#REF!</f>
        <v>#REF!</v>
      </c>
      <c r="J19" s="1801" t="e">
        <f>J204-#REF!</f>
        <v>#REF!</v>
      </c>
      <c r="K19" s="1801" t="e">
        <f>K204-#REF!</f>
        <v>#REF!</v>
      </c>
      <c r="L19" s="1801" t="e">
        <f>L204-#REF!</f>
        <v>#REF!</v>
      </c>
      <c r="M19" s="1801" t="e">
        <f>M204-#REF!</f>
        <v>#REF!</v>
      </c>
      <c r="N19" s="1802" t="e">
        <f>N204-#REF!</f>
        <v>#REF!</v>
      </c>
    </row>
    <row r="20" spans="1:256" s="1772" customFormat="1" ht="13.5" customHeight="1">
      <c r="A20" s="1773"/>
      <c r="B20" s="1803" t="s">
        <v>2755</v>
      </c>
      <c r="C20" s="1789"/>
      <c r="D20" s="1789"/>
      <c r="E20" s="1790"/>
      <c r="F20" s="1804">
        <f>SUM(G20:N20)</f>
        <v>0</v>
      </c>
      <c r="G20" s="1805">
        <f t="shared" ref="G20:N20" si="7">G321-G108</f>
        <v>0</v>
      </c>
      <c r="H20" s="1805">
        <f t="shared" si="7"/>
        <v>0</v>
      </c>
      <c r="I20" s="1805">
        <f t="shared" si="7"/>
        <v>0</v>
      </c>
      <c r="J20" s="1805">
        <f>J321-J108</f>
        <v>0</v>
      </c>
      <c r="K20" s="1805">
        <f>K321-K108</f>
        <v>0</v>
      </c>
      <c r="L20" s="1805">
        <f t="shared" si="7"/>
        <v>0</v>
      </c>
      <c r="M20" s="1805">
        <f t="shared" si="7"/>
        <v>0</v>
      </c>
      <c r="N20" s="1806">
        <f t="shared" si="7"/>
        <v>0</v>
      </c>
    </row>
    <row r="21" spans="1:256" s="1710" customFormat="1" ht="15.75">
      <c r="A21" s="1807" t="s">
        <v>2884</v>
      </c>
      <c r="B21" s="1808"/>
      <c r="C21" s="1809"/>
      <c r="D21" s="1810" t="s">
        <v>2641</v>
      </c>
      <c r="E21" s="1810" t="s">
        <v>2681</v>
      </c>
      <c r="F21" s="1810"/>
      <c r="G21" s="1810"/>
      <c r="H21" s="1810"/>
      <c r="I21" s="1810"/>
      <c r="J21" s="1810"/>
      <c r="K21" s="1810"/>
      <c r="L21" s="1810"/>
      <c r="M21" s="1810"/>
      <c r="N21" s="1811"/>
      <c r="IA21" s="1711"/>
      <c r="IB21" s="1711"/>
      <c r="IC21" s="1711"/>
      <c r="ID21" s="1711"/>
      <c r="IE21" s="1711"/>
      <c r="IF21" s="1711"/>
      <c r="IG21" s="1711"/>
      <c r="IH21" s="1711"/>
      <c r="II21" s="1711"/>
      <c r="IJ21" s="1711"/>
      <c r="IK21" s="1711"/>
      <c r="IL21" s="1711"/>
      <c r="IM21" s="1711"/>
      <c r="IN21" s="1711"/>
      <c r="IO21" s="1711"/>
      <c r="IP21" s="1711"/>
      <c r="IQ21" s="1711"/>
      <c r="IR21" s="1711"/>
      <c r="IS21" s="1711"/>
      <c r="IT21" s="1711"/>
      <c r="IU21" s="1711"/>
      <c r="IV21" s="1711"/>
    </row>
    <row r="22" spans="1:256" s="1710" customFormat="1" ht="15.75">
      <c r="A22" s="1812"/>
      <c r="B22" s="2846" t="s">
        <v>2550</v>
      </c>
      <c r="C22" s="1813" t="str">
        <f>C121</f>
        <v>(1)新築一般建築工事</v>
      </c>
      <c r="D22" s="1813"/>
      <c r="E22" s="1814"/>
      <c r="F22" s="1815">
        <f>SUM(G22:N22)</f>
        <v>0</v>
      </c>
      <c r="G22" s="1816">
        <f>IF(G9="新営",G13-SUM(G27:G33)-G34-G37-G41,0)</f>
        <v>0</v>
      </c>
      <c r="H22" s="1816">
        <f t="shared" ref="H22:N22" si="8">IF(H9="新営",H13-SUM(H27:H33)-H34-H37-H41,0)</f>
        <v>0</v>
      </c>
      <c r="I22" s="1816">
        <f t="shared" si="8"/>
        <v>0</v>
      </c>
      <c r="J22" s="1816">
        <f t="shared" si="8"/>
        <v>0</v>
      </c>
      <c r="K22" s="1816">
        <f t="shared" si="8"/>
        <v>0</v>
      </c>
      <c r="L22" s="1816">
        <f t="shared" si="8"/>
        <v>0</v>
      </c>
      <c r="M22" s="1816">
        <f t="shared" si="8"/>
        <v>0</v>
      </c>
      <c r="N22" s="1817">
        <f t="shared" si="8"/>
        <v>0</v>
      </c>
      <c r="IA22" s="1711"/>
      <c r="IB22" s="1711"/>
      <c r="IC22" s="1711"/>
      <c r="ID22" s="1711"/>
      <c r="IE22" s="1711"/>
      <c r="IF22" s="1711"/>
      <c r="IG22" s="1711"/>
      <c r="IH22" s="1711"/>
      <c r="II22" s="1711"/>
      <c r="IJ22" s="1711"/>
      <c r="IK22" s="1711"/>
      <c r="IL22" s="1711"/>
      <c r="IM22" s="1711"/>
      <c r="IN22" s="1711"/>
      <c r="IO22" s="1711"/>
      <c r="IP22" s="1711"/>
      <c r="IQ22" s="1711"/>
      <c r="IR22" s="1711"/>
      <c r="IS22" s="1711"/>
      <c r="IT22" s="1711"/>
      <c r="IU22" s="1711"/>
      <c r="IV22" s="1711"/>
    </row>
    <row r="23" spans="1:256" s="1710" customFormat="1" ht="15.75">
      <c r="A23" s="1812"/>
      <c r="B23" s="2847"/>
      <c r="C23" s="1818" t="str">
        <f t="shared" ref="C23:C43" si="9">C122</f>
        <v>（２）改修一般建築工事</v>
      </c>
      <c r="D23" s="1819"/>
      <c r="E23" s="1820"/>
      <c r="F23" s="1821">
        <f>SUM(G23:N23)</f>
        <v>0</v>
      </c>
      <c r="G23" s="1822">
        <f>IF(G9="改修",G13-SUM(G27:G33)-G34-G37-G41,0)</f>
        <v>0</v>
      </c>
      <c r="H23" s="1822">
        <f t="shared" ref="H23:N23" si="10">IF(H9="改修",H13-SUM(H27:H33)-H34-H37-H41,0)</f>
        <v>0</v>
      </c>
      <c r="I23" s="1822">
        <f t="shared" si="10"/>
        <v>0</v>
      </c>
      <c r="J23" s="1822">
        <f t="shared" si="10"/>
        <v>0</v>
      </c>
      <c r="K23" s="1822">
        <f t="shared" si="10"/>
        <v>0</v>
      </c>
      <c r="L23" s="1822">
        <f t="shared" si="10"/>
        <v>0</v>
      </c>
      <c r="M23" s="1822">
        <f t="shared" si="10"/>
        <v>0</v>
      </c>
      <c r="N23" s="1823">
        <f t="shared" si="10"/>
        <v>0</v>
      </c>
      <c r="IA23" s="1711"/>
      <c r="IB23" s="1711"/>
      <c r="IC23" s="1711"/>
      <c r="ID23" s="1711"/>
      <c r="IE23" s="1711"/>
      <c r="IF23" s="1711"/>
      <c r="IG23" s="1711"/>
      <c r="IH23" s="1711"/>
      <c r="II23" s="1711"/>
      <c r="IJ23" s="1711"/>
      <c r="IK23" s="1711"/>
      <c r="IL23" s="1711"/>
      <c r="IM23" s="1711"/>
      <c r="IN23" s="1711"/>
      <c r="IO23" s="1711"/>
      <c r="IP23" s="1711"/>
      <c r="IQ23" s="1711"/>
      <c r="IR23" s="1711"/>
      <c r="IS23" s="1711"/>
      <c r="IT23" s="1711"/>
      <c r="IU23" s="1711"/>
      <c r="IV23" s="1711"/>
    </row>
    <row r="24" spans="1:256" s="1710" customFormat="1" ht="15.75">
      <c r="A24" s="1812"/>
      <c r="B24" s="2847"/>
      <c r="C24" s="1818" t="str">
        <f t="shared" si="9"/>
        <v>（３）警備員費（共通仮設費）</v>
      </c>
      <c r="D24" s="1819"/>
      <c r="E24" s="1820"/>
      <c r="F24" s="1821">
        <f>SUM(G24:N24)</f>
        <v>0</v>
      </c>
      <c r="G24" s="1822">
        <f t="shared" ref="G24:N24" si="11">G17</f>
        <v>0</v>
      </c>
      <c r="H24" s="1822">
        <f t="shared" si="11"/>
        <v>0</v>
      </c>
      <c r="I24" s="1822">
        <f t="shared" si="11"/>
        <v>0</v>
      </c>
      <c r="J24" s="1822">
        <f>J17</f>
        <v>0</v>
      </c>
      <c r="K24" s="1822">
        <f>K17</f>
        <v>0</v>
      </c>
      <c r="L24" s="1822">
        <f t="shared" si="11"/>
        <v>0</v>
      </c>
      <c r="M24" s="1822">
        <f t="shared" si="11"/>
        <v>0</v>
      </c>
      <c r="N24" s="1823">
        <f t="shared" si="11"/>
        <v>0</v>
      </c>
      <c r="IA24" s="1711"/>
      <c r="IB24" s="1711"/>
      <c r="IC24" s="1711"/>
      <c r="ID24" s="1711"/>
      <c r="IE24" s="1711"/>
      <c r="IF24" s="1711"/>
      <c r="IG24" s="1711"/>
      <c r="IH24" s="1711"/>
      <c r="II24" s="1711"/>
      <c r="IJ24" s="1711"/>
      <c r="IK24" s="1711"/>
      <c r="IL24" s="1711"/>
      <c r="IM24" s="1711"/>
      <c r="IN24" s="1711"/>
      <c r="IO24" s="1711"/>
      <c r="IP24" s="1711"/>
      <c r="IQ24" s="1711"/>
      <c r="IR24" s="1711"/>
      <c r="IS24" s="1711"/>
      <c r="IT24" s="1711"/>
      <c r="IU24" s="1711"/>
      <c r="IV24" s="1711"/>
    </row>
    <row r="25" spans="1:256" s="1710" customFormat="1" ht="15.75">
      <c r="A25" s="1812"/>
      <c r="B25" s="2914"/>
      <c r="C25" s="1824" t="str">
        <f t="shared" si="9"/>
        <v>(4-1)率算出共通仮設工事</v>
      </c>
      <c r="D25" s="1824"/>
      <c r="E25" s="1825"/>
      <c r="F25" s="1826">
        <f t="shared" ref="F25:F31" si="12">SUM(G25:N25)</f>
        <v>0</v>
      </c>
      <c r="G25" s="1827">
        <f t="shared" ref="G25:N25" si="13">G337-G124</f>
        <v>0</v>
      </c>
      <c r="H25" s="1827">
        <f t="shared" si="13"/>
        <v>0</v>
      </c>
      <c r="I25" s="1827">
        <f t="shared" si="13"/>
        <v>0</v>
      </c>
      <c r="J25" s="1827">
        <f>J337-J124</f>
        <v>0</v>
      </c>
      <c r="K25" s="1827">
        <f>K337-K124</f>
        <v>0</v>
      </c>
      <c r="L25" s="1827">
        <f t="shared" si="13"/>
        <v>0</v>
      </c>
      <c r="M25" s="1827">
        <f t="shared" si="13"/>
        <v>0</v>
      </c>
      <c r="N25" s="1828">
        <f t="shared" si="13"/>
        <v>0</v>
      </c>
      <c r="IA25" s="1711"/>
      <c r="IB25" s="1711"/>
      <c r="IC25" s="1711"/>
      <c r="ID25" s="1711"/>
      <c r="IE25" s="1711"/>
      <c r="IF25" s="1711"/>
      <c r="IG25" s="1711"/>
      <c r="IH25" s="1711"/>
      <c r="II25" s="1711"/>
      <c r="IJ25" s="1711"/>
      <c r="IK25" s="1711"/>
      <c r="IL25" s="1711"/>
      <c r="IM25" s="1711"/>
      <c r="IN25" s="1711"/>
      <c r="IO25" s="1711"/>
      <c r="IP25" s="1711"/>
      <c r="IQ25" s="1711"/>
      <c r="IR25" s="1711"/>
      <c r="IS25" s="1711"/>
      <c r="IT25" s="1711"/>
      <c r="IU25" s="1711"/>
      <c r="IV25" s="1711"/>
    </row>
    <row r="26" spans="1:256" s="1710" customFormat="1" ht="15.75">
      <c r="A26" s="1812"/>
      <c r="B26" s="2846" t="s">
        <v>2757</v>
      </c>
      <c r="C26" s="1813" t="str">
        <f t="shared" si="9"/>
        <v>(4-2)積上げ共通仮設工事※警備員費・率除外項目除く</v>
      </c>
      <c r="D26" s="1813"/>
      <c r="E26" s="1829">
        <f>+E105</f>
        <v>0</v>
      </c>
      <c r="F26" s="1815">
        <f t="shared" si="12"/>
        <v>0</v>
      </c>
      <c r="G26" s="1816">
        <f t="shared" ref="G26:N26" si="14">G16-G17-G38-G39-G40-G42-G43</f>
        <v>0</v>
      </c>
      <c r="H26" s="1816">
        <f t="shared" si="14"/>
        <v>0</v>
      </c>
      <c r="I26" s="1816">
        <f t="shared" si="14"/>
        <v>0</v>
      </c>
      <c r="J26" s="1816">
        <f>J16-J17-J38-J39-J40-J42-J43</f>
        <v>0</v>
      </c>
      <c r="K26" s="1816">
        <f>K16-K17-K38-K39-K40-K42-K43</f>
        <v>0</v>
      </c>
      <c r="L26" s="1816">
        <f t="shared" si="14"/>
        <v>0</v>
      </c>
      <c r="M26" s="1816">
        <f t="shared" si="14"/>
        <v>0</v>
      </c>
      <c r="N26" s="1817">
        <f t="shared" si="14"/>
        <v>0</v>
      </c>
      <c r="IA26" s="1711"/>
      <c r="IB26" s="1711"/>
      <c r="IC26" s="1711"/>
      <c r="ID26" s="1711"/>
      <c r="IE26" s="1711"/>
      <c r="IF26" s="1711"/>
      <c r="IG26" s="1711"/>
      <c r="IH26" s="1711"/>
      <c r="II26" s="1711"/>
      <c r="IJ26" s="1711"/>
      <c r="IK26" s="1711"/>
      <c r="IL26" s="1711"/>
      <c r="IM26" s="1711"/>
      <c r="IN26" s="1711"/>
      <c r="IO26" s="1711"/>
      <c r="IP26" s="1711"/>
      <c r="IQ26" s="1711"/>
      <c r="IR26" s="1711"/>
      <c r="IS26" s="1711"/>
      <c r="IT26" s="1711"/>
      <c r="IU26" s="1711"/>
      <c r="IV26" s="1711"/>
    </row>
    <row r="27" spans="1:256" s="1710" customFormat="1" ht="15.75">
      <c r="A27" s="1812"/>
      <c r="B27" s="2847"/>
      <c r="C27" s="1818" t="str">
        <f t="shared" si="9"/>
        <v>(5)直接仮設工事（下請経費共）</v>
      </c>
      <c r="D27" s="1818"/>
      <c r="E27" s="1830">
        <f>+E106</f>
        <v>0</v>
      </c>
      <c r="F27" s="1821">
        <f t="shared" si="12"/>
        <v>0</v>
      </c>
      <c r="G27" s="1831"/>
      <c r="H27" s="1831"/>
      <c r="I27" s="1831"/>
      <c r="J27" s="1831"/>
      <c r="K27" s="1831"/>
      <c r="L27" s="1831"/>
      <c r="M27" s="1831"/>
      <c r="N27" s="1832"/>
      <c r="IA27" s="1711"/>
      <c r="IB27" s="1711"/>
      <c r="IC27" s="1711"/>
      <c r="ID27" s="1711"/>
      <c r="IE27" s="1711"/>
      <c r="IF27" s="1711"/>
      <c r="IG27" s="1711"/>
      <c r="IH27" s="1711"/>
      <c r="II27" s="1711"/>
      <c r="IJ27" s="1711"/>
      <c r="IK27" s="1711"/>
      <c r="IL27" s="1711"/>
      <c r="IM27" s="1711"/>
      <c r="IN27" s="1711"/>
      <c r="IO27" s="1711"/>
      <c r="IP27" s="1711"/>
      <c r="IQ27" s="1711"/>
      <c r="IR27" s="1711"/>
      <c r="IS27" s="1711"/>
      <c r="IT27" s="1711"/>
      <c r="IU27" s="1711"/>
      <c r="IV27" s="1711"/>
    </row>
    <row r="28" spans="1:256" s="1710" customFormat="1" ht="15.75">
      <c r="A28" s="1812"/>
      <c r="B28" s="2847"/>
      <c r="C28" s="1818" t="str">
        <f t="shared" si="9"/>
        <v>(6)建具工事（下請経費共）</v>
      </c>
      <c r="D28" s="1818"/>
      <c r="E28" s="1830">
        <f>+E107</f>
        <v>0</v>
      </c>
      <c r="F28" s="1821">
        <f t="shared" si="12"/>
        <v>0</v>
      </c>
      <c r="G28" s="1831"/>
      <c r="H28" s="1831"/>
      <c r="I28" s="1831"/>
      <c r="J28" s="1831"/>
      <c r="K28" s="1831"/>
      <c r="L28" s="1831"/>
      <c r="M28" s="1831"/>
      <c r="N28" s="1832"/>
      <c r="IA28" s="1711"/>
      <c r="IB28" s="1711"/>
      <c r="IC28" s="1711"/>
      <c r="ID28" s="1711"/>
      <c r="IE28" s="1711"/>
      <c r="IF28" s="1711"/>
      <c r="IG28" s="1711"/>
      <c r="IH28" s="1711"/>
      <c r="II28" s="1711"/>
      <c r="IJ28" s="1711"/>
      <c r="IK28" s="1711"/>
      <c r="IL28" s="1711"/>
      <c r="IM28" s="1711"/>
      <c r="IN28" s="1711"/>
      <c r="IO28" s="1711"/>
      <c r="IP28" s="1711"/>
      <c r="IQ28" s="1711"/>
      <c r="IR28" s="1711"/>
      <c r="IS28" s="1711"/>
      <c r="IT28" s="1711"/>
      <c r="IU28" s="1711"/>
      <c r="IV28" s="1711"/>
    </row>
    <row r="29" spans="1:256" s="1710" customFormat="1" ht="15.75">
      <c r="A29" s="1812"/>
      <c r="B29" s="2847"/>
      <c r="C29" s="1818" t="str">
        <f t="shared" si="9"/>
        <v>(7)場内小運搬費（下請経費共）</v>
      </c>
      <c r="D29" s="1818"/>
      <c r="E29" s="1830">
        <f>+E108</f>
        <v>0</v>
      </c>
      <c r="F29" s="1821">
        <f t="shared" si="12"/>
        <v>0</v>
      </c>
      <c r="G29" s="1831"/>
      <c r="H29" s="1831"/>
      <c r="I29" s="1831"/>
      <c r="J29" s="1831"/>
      <c r="K29" s="1831"/>
      <c r="L29" s="1831"/>
      <c r="M29" s="1831"/>
      <c r="N29" s="1832"/>
      <c r="IA29" s="1711"/>
      <c r="IB29" s="1711"/>
      <c r="IC29" s="1711"/>
      <c r="ID29" s="1711"/>
      <c r="IE29" s="1711"/>
      <c r="IF29" s="1711"/>
      <c r="IG29" s="1711"/>
      <c r="IH29" s="1711"/>
      <c r="II29" s="1711"/>
      <c r="IJ29" s="1711"/>
      <c r="IK29" s="1711"/>
      <c r="IL29" s="1711"/>
      <c r="IM29" s="1711"/>
      <c r="IN29" s="1711"/>
      <c r="IO29" s="1711"/>
      <c r="IP29" s="1711"/>
      <c r="IQ29" s="1711"/>
      <c r="IR29" s="1711"/>
      <c r="IS29" s="1711"/>
      <c r="IT29" s="1711"/>
      <c r="IU29" s="1711"/>
      <c r="IV29" s="1711"/>
    </row>
    <row r="30" spans="1:256" s="1710" customFormat="1" ht="15.75">
      <c r="A30" s="1812"/>
      <c r="B30" s="2847"/>
      <c r="C30" s="1818" t="str">
        <f t="shared" si="9"/>
        <v>(8)〃人力積込み費（下請経費共）</v>
      </c>
      <c r="D30" s="1818"/>
      <c r="E30" s="1830">
        <f>+E109</f>
        <v>0</v>
      </c>
      <c r="F30" s="1821">
        <f t="shared" si="12"/>
        <v>0</v>
      </c>
      <c r="G30" s="1831"/>
      <c r="H30" s="1831"/>
      <c r="I30" s="1831"/>
      <c r="J30" s="1831"/>
      <c r="K30" s="1831"/>
      <c r="L30" s="1831"/>
      <c r="M30" s="1831"/>
      <c r="N30" s="1832"/>
      <c r="IA30" s="1711"/>
      <c r="IB30" s="1711"/>
      <c r="IC30" s="1711"/>
      <c r="ID30" s="1711"/>
      <c r="IE30" s="1711"/>
      <c r="IF30" s="1711"/>
      <c r="IG30" s="1711"/>
      <c r="IH30" s="1711"/>
      <c r="II30" s="1711"/>
      <c r="IJ30" s="1711"/>
      <c r="IK30" s="1711"/>
      <c r="IL30" s="1711"/>
      <c r="IM30" s="1711"/>
      <c r="IN30" s="1711"/>
      <c r="IO30" s="1711"/>
      <c r="IP30" s="1711"/>
      <c r="IQ30" s="1711"/>
      <c r="IR30" s="1711"/>
      <c r="IS30" s="1711"/>
      <c r="IT30" s="1711"/>
      <c r="IU30" s="1711"/>
      <c r="IV30" s="1711"/>
    </row>
    <row r="31" spans="1:256" s="1710" customFormat="1" ht="15.75">
      <c r="A31" s="1812"/>
      <c r="B31" s="2847"/>
      <c r="C31" s="1818" t="str">
        <f t="shared" si="9"/>
        <v>(9)〃搬出準備費</v>
      </c>
      <c r="D31" s="1818"/>
      <c r="E31" s="1830"/>
      <c r="F31" s="1821">
        <f t="shared" si="12"/>
        <v>0</v>
      </c>
      <c r="G31" s="1833"/>
      <c r="H31" s="1833"/>
      <c r="I31" s="1833"/>
      <c r="J31" s="1833"/>
      <c r="K31" s="1833"/>
      <c r="L31" s="1833"/>
      <c r="M31" s="1833"/>
      <c r="N31" s="1834"/>
      <c r="IA31" s="1711"/>
      <c r="IB31" s="1711"/>
      <c r="IC31" s="1711"/>
      <c r="ID31" s="1711"/>
      <c r="IE31" s="1711"/>
      <c r="IF31" s="1711"/>
      <c r="IG31" s="1711"/>
      <c r="IH31" s="1711"/>
      <c r="II31" s="1711"/>
      <c r="IJ31" s="1711"/>
      <c r="IK31" s="1711"/>
      <c r="IL31" s="1711"/>
      <c r="IM31" s="1711"/>
      <c r="IN31" s="1711"/>
      <c r="IO31" s="1711"/>
      <c r="IP31" s="1711"/>
      <c r="IQ31" s="1711"/>
      <c r="IR31" s="1711"/>
      <c r="IS31" s="1711"/>
      <c r="IT31" s="1711"/>
      <c r="IU31" s="1711"/>
      <c r="IV31" s="1711"/>
    </row>
    <row r="32" spans="1:256" s="1710" customFormat="1" ht="15.75">
      <c r="A32" s="1812"/>
      <c r="B32" s="2847"/>
      <c r="C32" s="1818">
        <f t="shared" si="9"/>
        <v>0</v>
      </c>
      <c r="D32" s="1818"/>
      <c r="E32" s="1830"/>
      <c r="F32" s="1821"/>
      <c r="G32" s="1833"/>
      <c r="H32" s="1833"/>
      <c r="I32" s="1833"/>
      <c r="J32" s="1833"/>
      <c r="K32" s="1833"/>
      <c r="L32" s="1833"/>
      <c r="M32" s="1833"/>
      <c r="N32" s="1834"/>
      <c r="IA32" s="1711"/>
      <c r="IB32" s="1711"/>
      <c r="IC32" s="1711"/>
      <c r="ID32" s="1711"/>
      <c r="IE32" s="1711"/>
      <c r="IF32" s="1711"/>
      <c r="IG32" s="1711"/>
      <c r="IH32" s="1711"/>
      <c r="II32" s="1711"/>
      <c r="IJ32" s="1711"/>
      <c r="IK32" s="1711"/>
      <c r="IL32" s="1711"/>
      <c r="IM32" s="1711"/>
      <c r="IN32" s="1711"/>
      <c r="IO32" s="1711"/>
      <c r="IP32" s="1711"/>
      <c r="IQ32" s="1711"/>
      <c r="IR32" s="1711"/>
      <c r="IS32" s="1711"/>
      <c r="IT32" s="1711"/>
      <c r="IU32" s="1711"/>
      <c r="IV32" s="1711"/>
    </row>
    <row r="33" spans="1:256" s="1710" customFormat="1" ht="15.75">
      <c r="A33" s="1812"/>
      <c r="B33" s="2914"/>
      <c r="C33" s="1824">
        <f t="shared" si="9"/>
        <v>0</v>
      </c>
      <c r="D33" s="1824"/>
      <c r="E33" s="1825"/>
      <c r="F33" s="1826">
        <f t="shared" ref="F33:F43" si="15">SUM(G33:N33)</f>
        <v>0</v>
      </c>
      <c r="G33" s="1835"/>
      <c r="H33" s="1835"/>
      <c r="I33" s="1835"/>
      <c r="J33" s="1835"/>
      <c r="K33" s="1835"/>
      <c r="L33" s="1835"/>
      <c r="M33" s="1835"/>
      <c r="N33" s="1836"/>
      <c r="IA33" s="1711"/>
      <c r="IB33" s="1711"/>
      <c r="IC33" s="1711"/>
      <c r="ID33" s="1711"/>
      <c r="IE33" s="1711"/>
      <c r="IF33" s="1711"/>
      <c r="IG33" s="1711"/>
      <c r="IH33" s="1711"/>
      <c r="II33" s="1711"/>
      <c r="IJ33" s="1711"/>
      <c r="IK33" s="1711"/>
      <c r="IL33" s="1711"/>
      <c r="IM33" s="1711"/>
      <c r="IN33" s="1711"/>
      <c r="IO33" s="1711"/>
      <c r="IP33" s="1711"/>
      <c r="IQ33" s="1711"/>
      <c r="IR33" s="1711"/>
      <c r="IS33" s="1711"/>
      <c r="IT33" s="1711"/>
      <c r="IU33" s="1711"/>
      <c r="IV33" s="1711"/>
    </row>
    <row r="34" spans="1:256" s="1710" customFormat="1" ht="15.75">
      <c r="A34" s="1812"/>
      <c r="B34" s="2846" t="s">
        <v>489</v>
      </c>
      <c r="C34" s="1813" t="str">
        <f t="shared" si="9"/>
        <v>(10)その他工事</v>
      </c>
      <c r="D34" s="1813"/>
      <c r="E34" s="1814"/>
      <c r="F34" s="1815">
        <f t="shared" si="15"/>
        <v>0</v>
      </c>
      <c r="G34" s="1837"/>
      <c r="H34" s="1837"/>
      <c r="I34" s="1837"/>
      <c r="J34" s="1837"/>
      <c r="K34" s="1837"/>
      <c r="L34" s="1837"/>
      <c r="M34" s="1837"/>
      <c r="N34" s="1838"/>
      <c r="IA34" s="1711"/>
      <c r="IB34" s="1711"/>
      <c r="IC34" s="1711"/>
      <c r="ID34" s="1711"/>
      <c r="IE34" s="1711"/>
      <c r="IF34" s="1711"/>
      <c r="IG34" s="1711"/>
      <c r="IH34" s="1711"/>
      <c r="II34" s="1711"/>
      <c r="IJ34" s="1711"/>
      <c r="IK34" s="1711"/>
      <c r="IL34" s="1711"/>
      <c r="IM34" s="1711"/>
      <c r="IN34" s="1711"/>
      <c r="IO34" s="1711"/>
      <c r="IP34" s="1711"/>
      <c r="IQ34" s="1711"/>
      <c r="IR34" s="1711"/>
      <c r="IS34" s="1711"/>
      <c r="IT34" s="1711"/>
      <c r="IU34" s="1711"/>
      <c r="IV34" s="1711"/>
    </row>
    <row r="35" spans="1:256" s="1710" customFormat="1" ht="15.75">
      <c r="A35" s="1812"/>
      <c r="B35" s="2847"/>
      <c r="C35" s="1818" t="str">
        <f t="shared" si="9"/>
        <v>(11)</v>
      </c>
      <c r="D35" s="1818"/>
      <c r="E35" s="1839"/>
      <c r="F35" s="1821">
        <f t="shared" si="15"/>
        <v>0</v>
      </c>
      <c r="G35" s="1831"/>
      <c r="H35" s="1831"/>
      <c r="I35" s="1831"/>
      <c r="J35" s="1831"/>
      <c r="K35" s="1831"/>
      <c r="L35" s="1831"/>
      <c r="M35" s="1831"/>
      <c r="N35" s="1832"/>
      <c r="IA35" s="1711"/>
      <c r="IB35" s="1711"/>
      <c r="IC35" s="1711"/>
      <c r="ID35" s="1711"/>
      <c r="IE35" s="1711"/>
      <c r="IF35" s="1711"/>
      <c r="IG35" s="1711"/>
      <c r="IH35" s="1711"/>
      <c r="II35" s="1711"/>
      <c r="IJ35" s="1711"/>
      <c r="IK35" s="1711"/>
      <c r="IL35" s="1711"/>
      <c r="IM35" s="1711"/>
      <c r="IN35" s="1711"/>
      <c r="IO35" s="1711"/>
      <c r="IP35" s="1711"/>
      <c r="IQ35" s="1711"/>
      <c r="IR35" s="1711"/>
      <c r="IS35" s="1711"/>
      <c r="IT35" s="1711"/>
      <c r="IU35" s="1711"/>
      <c r="IV35" s="1711"/>
    </row>
    <row r="36" spans="1:256" s="1710" customFormat="1" ht="15.75">
      <c r="A36" s="1812"/>
      <c r="B36" s="2914"/>
      <c r="C36" s="1824" t="str">
        <f t="shared" si="9"/>
        <v>(12)</v>
      </c>
      <c r="D36" s="1824"/>
      <c r="E36" s="1825"/>
      <c r="F36" s="1826">
        <f t="shared" si="15"/>
        <v>0</v>
      </c>
      <c r="G36" s="1840"/>
      <c r="H36" s="1840"/>
      <c r="I36" s="1840"/>
      <c r="J36" s="1840"/>
      <c r="K36" s="1840"/>
      <c r="L36" s="1840"/>
      <c r="M36" s="1840"/>
      <c r="N36" s="1841"/>
      <c r="IA36" s="1711"/>
      <c r="IB36" s="1711"/>
      <c r="IC36" s="1711"/>
      <c r="ID36" s="1711"/>
      <c r="IE36" s="1711"/>
      <c r="IF36" s="1711"/>
      <c r="IG36" s="1711"/>
      <c r="IH36" s="1711"/>
      <c r="II36" s="1711"/>
      <c r="IJ36" s="1711"/>
      <c r="IK36" s="1711"/>
      <c r="IL36" s="1711"/>
      <c r="IM36" s="1711"/>
      <c r="IN36" s="1711"/>
      <c r="IO36" s="1711"/>
      <c r="IP36" s="1711"/>
      <c r="IQ36" s="1711"/>
      <c r="IR36" s="1711"/>
      <c r="IS36" s="1711"/>
      <c r="IT36" s="1711"/>
      <c r="IU36" s="1711"/>
      <c r="IV36" s="1711"/>
    </row>
    <row r="37" spans="1:256" s="1710" customFormat="1" ht="13.5" customHeight="1">
      <c r="A37" s="1812"/>
      <c r="B37" s="2846" t="s">
        <v>2565</v>
      </c>
      <c r="C37" s="1813" t="str">
        <f t="shared" si="9"/>
        <v>(13)残材処分費及び残土処分費（直工費のみ）</v>
      </c>
      <c r="D37" s="1813"/>
      <c r="E37" s="1814"/>
      <c r="F37" s="1815">
        <f t="shared" si="15"/>
        <v>0</v>
      </c>
      <c r="G37" s="1837"/>
      <c r="H37" s="1837"/>
      <c r="I37" s="1837"/>
      <c r="J37" s="1837"/>
      <c r="K37" s="1837"/>
      <c r="L37" s="1837"/>
      <c r="M37" s="1837"/>
      <c r="N37" s="1838"/>
      <c r="IA37" s="1711"/>
      <c r="IB37" s="1711"/>
      <c r="IC37" s="1711"/>
      <c r="ID37" s="1711"/>
      <c r="IE37" s="1711"/>
      <c r="IF37" s="1711"/>
      <c r="IG37" s="1711"/>
      <c r="IH37" s="1711"/>
      <c r="II37" s="1711"/>
      <c r="IJ37" s="1711"/>
      <c r="IK37" s="1711"/>
      <c r="IL37" s="1711"/>
      <c r="IM37" s="1711"/>
      <c r="IN37" s="1711"/>
      <c r="IO37" s="1711"/>
      <c r="IP37" s="1711"/>
      <c r="IQ37" s="1711"/>
      <c r="IR37" s="1711"/>
      <c r="IS37" s="1711"/>
      <c r="IT37" s="1711"/>
      <c r="IU37" s="1711"/>
      <c r="IV37" s="1711"/>
    </row>
    <row r="38" spans="1:256" s="1710" customFormat="1" ht="15.75">
      <c r="A38" s="1812"/>
      <c r="B38" s="2847"/>
      <c r="C38" s="1818" t="str">
        <f t="shared" si="9"/>
        <v>(14)残材処分費及び残土処分費(共通仮設)</v>
      </c>
      <c r="D38" s="1818"/>
      <c r="E38" s="1839"/>
      <c r="F38" s="1821">
        <f t="shared" si="15"/>
        <v>0</v>
      </c>
      <c r="G38" s="1831"/>
      <c r="H38" s="1831"/>
      <c r="I38" s="1831"/>
      <c r="J38" s="1831"/>
      <c r="K38" s="1831"/>
      <c r="L38" s="1831"/>
      <c r="M38" s="1831"/>
      <c r="N38" s="1832"/>
      <c r="IA38" s="1711"/>
      <c r="IB38" s="1711"/>
      <c r="IC38" s="1711"/>
      <c r="ID38" s="1711"/>
      <c r="IE38" s="1711"/>
      <c r="IF38" s="1711"/>
      <c r="IG38" s="1711"/>
      <c r="IH38" s="1711"/>
      <c r="II38" s="1711"/>
      <c r="IJ38" s="1711"/>
      <c r="IK38" s="1711"/>
      <c r="IL38" s="1711"/>
      <c r="IM38" s="1711"/>
      <c r="IN38" s="1711"/>
      <c r="IO38" s="1711"/>
      <c r="IP38" s="1711"/>
      <c r="IQ38" s="1711"/>
      <c r="IR38" s="1711"/>
      <c r="IS38" s="1711"/>
      <c r="IT38" s="1711"/>
      <c r="IU38" s="1711"/>
      <c r="IV38" s="1711"/>
    </row>
    <row r="39" spans="1:256" s="1710" customFormat="1" ht="15.75">
      <c r="A39" s="1812"/>
      <c r="B39" s="2847"/>
      <c r="C39" s="1818" t="str">
        <f t="shared" si="9"/>
        <v>(15)リース料</v>
      </c>
      <c r="D39" s="1818"/>
      <c r="E39" s="1839"/>
      <c r="F39" s="1821">
        <f t="shared" si="15"/>
        <v>0</v>
      </c>
      <c r="G39" s="1831"/>
      <c r="H39" s="1831"/>
      <c r="I39" s="1831"/>
      <c r="J39" s="1831"/>
      <c r="K39" s="1831"/>
      <c r="L39" s="1831"/>
      <c r="M39" s="1831"/>
      <c r="N39" s="1832"/>
      <c r="IA39" s="1711"/>
      <c r="IB39" s="1711"/>
      <c r="IC39" s="1711"/>
      <c r="ID39" s="1711"/>
      <c r="IE39" s="1711"/>
      <c r="IF39" s="1711"/>
      <c r="IG39" s="1711"/>
      <c r="IH39" s="1711"/>
      <c r="II39" s="1711"/>
      <c r="IJ39" s="1711"/>
      <c r="IK39" s="1711"/>
      <c r="IL39" s="1711"/>
      <c r="IM39" s="1711"/>
      <c r="IN39" s="1711"/>
      <c r="IO39" s="1711"/>
      <c r="IP39" s="1711"/>
      <c r="IQ39" s="1711"/>
      <c r="IR39" s="1711"/>
      <c r="IS39" s="1711"/>
      <c r="IT39" s="1711"/>
      <c r="IU39" s="1711"/>
      <c r="IV39" s="1711"/>
    </row>
    <row r="40" spans="1:256" s="1710" customFormat="1" ht="15.75">
      <c r="A40" s="1812"/>
      <c r="B40" s="2847"/>
      <c r="C40" s="1818" t="str">
        <f t="shared" si="9"/>
        <v>(16)借地借家料（共通仮設）</v>
      </c>
      <c r="D40" s="1842"/>
      <c r="E40" s="1843"/>
      <c r="F40" s="1844">
        <f t="shared" si="15"/>
        <v>0</v>
      </c>
      <c r="G40" s="1845"/>
      <c r="H40" s="1845"/>
      <c r="I40" s="1845"/>
      <c r="J40" s="1845"/>
      <c r="K40" s="1845"/>
      <c r="L40" s="1845"/>
      <c r="M40" s="1845"/>
      <c r="N40" s="1846"/>
      <c r="IA40" s="1711"/>
      <c r="IB40" s="1711"/>
      <c r="IC40" s="1711"/>
      <c r="ID40" s="1711"/>
      <c r="IE40" s="1711"/>
      <c r="IF40" s="1711"/>
      <c r="IG40" s="1711"/>
      <c r="IH40" s="1711"/>
      <c r="II40" s="1711"/>
      <c r="IJ40" s="1711"/>
      <c r="IK40" s="1711"/>
      <c r="IL40" s="1711"/>
      <c r="IM40" s="1711"/>
      <c r="IN40" s="1711"/>
      <c r="IO40" s="1711"/>
      <c r="IP40" s="1711"/>
      <c r="IQ40" s="1711"/>
      <c r="IR40" s="1711"/>
      <c r="IS40" s="1711"/>
      <c r="IT40" s="1711"/>
      <c r="IU40" s="1711"/>
      <c r="IV40" s="1711"/>
    </row>
    <row r="41" spans="1:256" s="1710" customFormat="1" ht="15.75">
      <c r="A41" s="1812"/>
      <c r="B41" s="2847"/>
      <c r="C41" s="1818" t="str">
        <f t="shared" si="9"/>
        <v>(17)別途算定（直工費）</v>
      </c>
      <c r="D41" s="1818"/>
      <c r="E41" s="1839"/>
      <c r="F41" s="1821">
        <f t="shared" si="15"/>
        <v>0</v>
      </c>
      <c r="G41" s="1847"/>
      <c r="H41" s="1847"/>
      <c r="I41" s="1847"/>
      <c r="J41" s="1847"/>
      <c r="K41" s="1847"/>
      <c r="L41" s="1847"/>
      <c r="M41" s="1847"/>
      <c r="N41" s="1848"/>
      <c r="IA41" s="1711"/>
      <c r="IB41" s="1711"/>
      <c r="IC41" s="1711"/>
      <c r="ID41" s="1711"/>
      <c r="IE41" s="1711"/>
      <c r="IF41" s="1711"/>
      <c r="IG41" s="1711"/>
      <c r="IH41" s="1711"/>
      <c r="II41" s="1711"/>
      <c r="IJ41" s="1711"/>
      <c r="IK41" s="1711"/>
      <c r="IL41" s="1711"/>
      <c r="IM41" s="1711"/>
      <c r="IN41" s="1711"/>
      <c r="IO41" s="1711"/>
      <c r="IP41" s="1711"/>
      <c r="IQ41" s="1711"/>
      <c r="IR41" s="1711"/>
      <c r="IS41" s="1711"/>
      <c r="IT41" s="1711"/>
      <c r="IU41" s="1711"/>
      <c r="IV41" s="1711"/>
    </row>
    <row r="42" spans="1:256" s="1710" customFormat="1" ht="15.75">
      <c r="A42" s="1812"/>
      <c r="B42" s="2847"/>
      <c r="C42" s="1818" t="str">
        <f t="shared" si="9"/>
        <v>(18)別途算定（共通仮設）</v>
      </c>
      <c r="D42" s="1818"/>
      <c r="E42" s="1839"/>
      <c r="F42" s="1821">
        <f t="shared" si="15"/>
        <v>0</v>
      </c>
      <c r="G42" s="1847"/>
      <c r="H42" s="1847"/>
      <c r="I42" s="1847"/>
      <c r="J42" s="1847"/>
      <c r="K42" s="1847"/>
      <c r="L42" s="1847"/>
      <c r="M42" s="1847"/>
      <c r="N42" s="1848"/>
      <c r="IA42" s="1711"/>
      <c r="IB42" s="1711"/>
      <c r="IC42" s="1711"/>
      <c r="ID42" s="1711"/>
      <c r="IE42" s="1711"/>
      <c r="IF42" s="1711"/>
      <c r="IG42" s="1711"/>
      <c r="IH42" s="1711"/>
      <c r="II42" s="1711"/>
      <c r="IJ42" s="1711"/>
      <c r="IK42" s="1711"/>
      <c r="IL42" s="1711"/>
      <c r="IM42" s="1711"/>
      <c r="IN42" s="1711"/>
      <c r="IO42" s="1711"/>
      <c r="IP42" s="1711"/>
      <c r="IQ42" s="1711"/>
      <c r="IR42" s="1711"/>
      <c r="IS42" s="1711"/>
      <c r="IT42" s="1711"/>
      <c r="IU42" s="1711"/>
      <c r="IV42" s="1711"/>
    </row>
    <row r="43" spans="1:256" s="1710" customFormat="1" ht="15.75">
      <c r="A43" s="1849"/>
      <c r="B43" s="2914"/>
      <c r="C43" s="1824" t="str">
        <f t="shared" si="9"/>
        <v>(19)下水道使用料、各種負担金（共通仮設）</v>
      </c>
      <c r="D43" s="1824"/>
      <c r="E43" s="1825"/>
      <c r="F43" s="1826">
        <f t="shared" si="15"/>
        <v>0</v>
      </c>
      <c r="G43" s="1840"/>
      <c r="H43" s="1840"/>
      <c r="I43" s="1840"/>
      <c r="J43" s="1840"/>
      <c r="K43" s="1840"/>
      <c r="L43" s="1840"/>
      <c r="M43" s="1840"/>
      <c r="N43" s="1841"/>
      <c r="IA43" s="1711"/>
      <c r="IB43" s="1711"/>
      <c r="IC43" s="1711"/>
      <c r="ID43" s="1711"/>
      <c r="IE43" s="1711"/>
      <c r="IF43" s="1711"/>
      <c r="IG43" s="1711"/>
      <c r="IH43" s="1711"/>
      <c r="II43" s="1711"/>
      <c r="IJ43" s="1711"/>
      <c r="IK43" s="1711"/>
      <c r="IL43" s="1711"/>
      <c r="IM43" s="1711"/>
      <c r="IN43" s="1711"/>
      <c r="IO43" s="1711"/>
      <c r="IP43" s="1711"/>
      <c r="IQ43" s="1711"/>
      <c r="IR43" s="1711"/>
      <c r="IS43" s="1711"/>
      <c r="IT43" s="1711"/>
      <c r="IU43" s="1711"/>
      <c r="IV43" s="1711"/>
    </row>
    <row r="44" spans="1:256" s="1710" customFormat="1" ht="15.75">
      <c r="A44" s="2915" t="s">
        <v>2885</v>
      </c>
      <c r="B44" s="2915"/>
      <c r="C44" s="2916"/>
      <c r="D44" s="1850"/>
      <c r="E44" s="1851"/>
      <c r="F44" s="1852"/>
      <c r="G44" s="1853"/>
      <c r="H44" s="1853"/>
      <c r="I44" s="1853"/>
      <c r="J44" s="1853"/>
      <c r="K44" s="1853"/>
      <c r="L44" s="1853"/>
      <c r="M44" s="1853"/>
      <c r="N44" s="1854"/>
      <c r="IA44" s="1711"/>
      <c r="IB44" s="1711"/>
      <c r="IC44" s="1711"/>
      <c r="ID44" s="1711"/>
      <c r="IE44" s="1711"/>
      <c r="IF44" s="1711"/>
      <c r="IG44" s="1711"/>
      <c r="IH44" s="1711"/>
      <c r="II44" s="1711"/>
      <c r="IJ44" s="1711"/>
      <c r="IK44" s="1711"/>
      <c r="IL44" s="1711"/>
      <c r="IM44" s="1711"/>
      <c r="IN44" s="1711"/>
      <c r="IO44" s="1711"/>
      <c r="IP44" s="1711"/>
      <c r="IQ44" s="1711"/>
      <c r="IR44" s="1711"/>
      <c r="IS44" s="1711"/>
      <c r="IT44" s="1711"/>
      <c r="IU44" s="1711"/>
      <c r="IV44" s="1711"/>
    </row>
    <row r="45" spans="1:256" s="1710" customFormat="1" ht="13.5" customHeight="1">
      <c r="A45" s="2903"/>
      <c r="B45" s="1855" t="s">
        <v>2761</v>
      </c>
      <c r="C45" s="1856" t="s">
        <v>2762</v>
      </c>
      <c r="D45" s="1857"/>
      <c r="E45" s="1858"/>
      <c r="F45" s="1859">
        <f t="shared" ref="F45:F51" si="16">SUM(G45:N45)</f>
        <v>0</v>
      </c>
      <c r="G45" s="1860">
        <f t="shared" ref="G45:N45" si="17">+(G374+G376)-(G161+G163)</f>
        <v>0</v>
      </c>
      <c r="H45" s="1860">
        <f t="shared" si="17"/>
        <v>0</v>
      </c>
      <c r="I45" s="1860">
        <f t="shared" si="17"/>
        <v>0</v>
      </c>
      <c r="J45" s="1860">
        <f>+(J374+J376)-(J161+J163)</f>
        <v>0</v>
      </c>
      <c r="K45" s="1860">
        <f>+(K374+K376)-(K161+K163)</f>
        <v>0</v>
      </c>
      <c r="L45" s="1860">
        <f t="shared" si="17"/>
        <v>0</v>
      </c>
      <c r="M45" s="1860">
        <f t="shared" si="17"/>
        <v>0</v>
      </c>
      <c r="N45" s="1861">
        <f t="shared" si="17"/>
        <v>0</v>
      </c>
      <c r="IA45" s="1711"/>
      <c r="IB45" s="1711"/>
      <c r="IC45" s="1711"/>
      <c r="ID45" s="1711"/>
      <c r="IE45" s="1711"/>
      <c r="IF45" s="1711"/>
      <c r="IG45" s="1711"/>
      <c r="IH45" s="1711"/>
      <c r="II45" s="1711"/>
      <c r="IJ45" s="1711"/>
      <c r="IK45" s="1711"/>
      <c r="IL45" s="1711"/>
      <c r="IM45" s="1711"/>
      <c r="IN45" s="1711"/>
      <c r="IO45" s="1711"/>
      <c r="IP45" s="1711"/>
      <c r="IQ45" s="1711"/>
      <c r="IR45" s="1711"/>
      <c r="IS45" s="1711"/>
      <c r="IT45" s="1711"/>
      <c r="IU45" s="1711"/>
      <c r="IV45" s="1711"/>
    </row>
    <row r="46" spans="1:256" s="1710" customFormat="1" ht="15.75">
      <c r="A46" s="2903"/>
      <c r="B46" s="1862" t="s">
        <v>2763</v>
      </c>
      <c r="C46" s="1863" t="s">
        <v>2764</v>
      </c>
      <c r="D46" s="1857"/>
      <c r="E46" s="1858"/>
      <c r="F46" s="1859">
        <f t="shared" si="16"/>
        <v>0</v>
      </c>
      <c r="G46" s="1860">
        <f t="shared" ref="G46:N46" si="18">SUM(G377:G381)-SUM(G164:G168)</f>
        <v>0</v>
      </c>
      <c r="H46" s="1860">
        <f t="shared" si="18"/>
        <v>0</v>
      </c>
      <c r="I46" s="1860">
        <f t="shared" si="18"/>
        <v>0</v>
      </c>
      <c r="J46" s="1860">
        <f>SUM(J377:J381)-SUM(J164:J168)</f>
        <v>0</v>
      </c>
      <c r="K46" s="1860">
        <f>SUM(K377:K381)-SUM(K164:K168)</f>
        <v>0</v>
      </c>
      <c r="L46" s="1860">
        <f t="shared" si="18"/>
        <v>0</v>
      </c>
      <c r="M46" s="1860">
        <f t="shared" si="18"/>
        <v>0</v>
      </c>
      <c r="N46" s="1861">
        <f t="shared" si="18"/>
        <v>0</v>
      </c>
      <c r="IA46" s="1711"/>
      <c r="IB46" s="1711"/>
      <c r="IC46" s="1711"/>
      <c r="ID46" s="1711"/>
      <c r="IE46" s="1711"/>
      <c r="IF46" s="1711"/>
      <c r="IG46" s="1711"/>
      <c r="IH46" s="1711"/>
      <c r="II46" s="1711"/>
      <c r="IJ46" s="1711"/>
      <c r="IK46" s="1711"/>
      <c r="IL46" s="1711"/>
      <c r="IM46" s="1711"/>
      <c r="IN46" s="1711"/>
      <c r="IO46" s="1711"/>
      <c r="IP46" s="1711"/>
      <c r="IQ46" s="1711"/>
      <c r="IR46" s="1711"/>
      <c r="IS46" s="1711"/>
      <c r="IT46" s="1711"/>
      <c r="IU46" s="1711"/>
      <c r="IV46" s="1711"/>
    </row>
    <row r="47" spans="1:256" s="1710" customFormat="1" ht="15.75">
      <c r="A47" s="2903"/>
      <c r="B47" s="1864" t="s">
        <v>489</v>
      </c>
      <c r="C47" s="1863" t="s">
        <v>2765</v>
      </c>
      <c r="D47" s="1857">
        <f>IF(OR($AA$2="下請け",$AA$2="下請"),0.6,1)</f>
        <v>1</v>
      </c>
      <c r="E47" s="1858">
        <v>0.02</v>
      </c>
      <c r="F47" s="1859">
        <f t="shared" si="16"/>
        <v>0</v>
      </c>
      <c r="G47" s="1860">
        <f t="shared" ref="G47:N47" si="19">SUM(G382:G383)-SUM(G169:G170)</f>
        <v>0</v>
      </c>
      <c r="H47" s="1860">
        <f t="shared" si="19"/>
        <v>0</v>
      </c>
      <c r="I47" s="1860">
        <f t="shared" si="19"/>
        <v>0</v>
      </c>
      <c r="J47" s="1860">
        <f>SUM(J382:J383)-SUM(J169:J170)</f>
        <v>0</v>
      </c>
      <c r="K47" s="1860">
        <f>SUM(K382:K383)-SUM(K169:K170)</f>
        <v>0</v>
      </c>
      <c r="L47" s="1860">
        <f t="shared" si="19"/>
        <v>0</v>
      </c>
      <c r="M47" s="1860">
        <f t="shared" si="19"/>
        <v>0</v>
      </c>
      <c r="N47" s="1861">
        <f t="shared" si="19"/>
        <v>0</v>
      </c>
      <c r="IA47" s="1711"/>
      <c r="IB47" s="1711"/>
      <c r="IC47" s="1711"/>
      <c r="ID47" s="1711"/>
      <c r="IE47" s="1711"/>
      <c r="IF47" s="1711"/>
      <c r="IG47" s="1711"/>
      <c r="IH47" s="1711"/>
      <c r="II47" s="1711"/>
      <c r="IJ47" s="1711"/>
      <c r="IK47" s="1711"/>
      <c r="IL47" s="1711"/>
      <c r="IM47" s="1711"/>
      <c r="IN47" s="1711"/>
      <c r="IO47" s="1711"/>
      <c r="IP47" s="1711"/>
      <c r="IQ47" s="1711"/>
      <c r="IR47" s="1711"/>
      <c r="IS47" s="1711"/>
      <c r="IT47" s="1711"/>
      <c r="IU47" s="1711"/>
      <c r="IV47" s="1711"/>
    </row>
    <row r="48" spans="1:256" s="1710" customFormat="1" ht="13.5" customHeight="1">
      <c r="A48" s="2903"/>
      <c r="B48" s="1865" t="s">
        <v>2580</v>
      </c>
      <c r="C48" s="1866" t="s">
        <v>2766</v>
      </c>
      <c r="D48" s="1867">
        <f>IF(OR($AA$2="下請け",$AA$2="下請"),0.6,1)</f>
        <v>1</v>
      </c>
      <c r="E48" s="1868">
        <v>0</v>
      </c>
      <c r="F48" s="1869">
        <f t="shared" si="16"/>
        <v>0</v>
      </c>
      <c r="G48" s="1870">
        <v>0</v>
      </c>
      <c r="H48" s="1870">
        <v>0</v>
      </c>
      <c r="I48" s="1870">
        <v>0</v>
      </c>
      <c r="J48" s="1870">
        <v>0</v>
      </c>
      <c r="K48" s="1870">
        <v>0</v>
      </c>
      <c r="L48" s="1870">
        <v>0</v>
      </c>
      <c r="M48" s="1870">
        <v>0</v>
      </c>
      <c r="N48" s="1871">
        <v>0</v>
      </c>
      <c r="IA48" s="1711"/>
      <c r="IB48" s="1711"/>
      <c r="IC48" s="1711"/>
      <c r="ID48" s="1711"/>
      <c r="IE48" s="1711"/>
      <c r="IF48" s="1711"/>
      <c r="IG48" s="1711"/>
      <c r="IH48" s="1711"/>
      <c r="II48" s="1711"/>
      <c r="IJ48" s="1711"/>
      <c r="IK48" s="1711"/>
      <c r="IL48" s="1711"/>
      <c r="IM48" s="1711"/>
      <c r="IN48" s="1711"/>
      <c r="IO48" s="1711"/>
      <c r="IP48" s="1711"/>
      <c r="IQ48" s="1711"/>
      <c r="IR48" s="1711"/>
      <c r="IS48" s="1711"/>
      <c r="IT48" s="1711"/>
      <c r="IU48" s="1711"/>
      <c r="IV48" s="1711"/>
    </row>
    <row r="49" spans="1:256" s="1710" customFormat="1" ht="15.75">
      <c r="A49" s="1872"/>
      <c r="B49" s="2906" t="s">
        <v>2886</v>
      </c>
      <c r="C49" s="2907"/>
      <c r="D49" s="1873"/>
      <c r="E49" s="1874"/>
      <c r="F49" s="1875">
        <f t="shared" si="16"/>
        <v>0</v>
      </c>
      <c r="G49" s="1860">
        <f t="shared" ref="G49:N49" si="20">G385-G172</f>
        <v>0</v>
      </c>
      <c r="H49" s="1860">
        <f t="shared" si="20"/>
        <v>0</v>
      </c>
      <c r="I49" s="1860">
        <f t="shared" si="20"/>
        <v>0</v>
      </c>
      <c r="J49" s="1860">
        <f>J385-J172</f>
        <v>0</v>
      </c>
      <c r="K49" s="1860">
        <f>K385-K172</f>
        <v>0</v>
      </c>
      <c r="L49" s="1860">
        <f t="shared" si="20"/>
        <v>0</v>
      </c>
      <c r="M49" s="1860">
        <f t="shared" si="20"/>
        <v>0</v>
      </c>
      <c r="N49" s="1861">
        <f t="shared" si="20"/>
        <v>0</v>
      </c>
      <c r="IA49" s="1711"/>
      <c r="IB49" s="1711"/>
      <c r="IC49" s="1711"/>
      <c r="ID49" s="1711"/>
      <c r="IE49" s="1711"/>
      <c r="IF49" s="1711"/>
      <c r="IG49" s="1711"/>
      <c r="IH49" s="1711"/>
      <c r="II49" s="1711"/>
      <c r="IJ49" s="1711"/>
      <c r="IK49" s="1711"/>
      <c r="IL49" s="1711"/>
      <c r="IM49" s="1711"/>
      <c r="IN49" s="1711"/>
      <c r="IO49" s="1711"/>
      <c r="IP49" s="1711"/>
      <c r="IQ49" s="1711"/>
      <c r="IR49" s="1711"/>
      <c r="IS49" s="1711"/>
      <c r="IT49" s="1711"/>
      <c r="IU49" s="1711"/>
      <c r="IV49" s="1711"/>
    </row>
    <row r="50" spans="1:256" s="1710" customFormat="1" ht="15.75">
      <c r="A50" s="1872"/>
      <c r="B50" s="1876"/>
      <c r="C50" s="1877" t="s">
        <v>2587</v>
      </c>
      <c r="D50" s="1873"/>
      <c r="E50" s="1874"/>
      <c r="F50" s="1875">
        <f t="shared" si="16"/>
        <v>0</v>
      </c>
      <c r="G50" s="1860">
        <f t="shared" ref="G50:N50" si="21">IF(G$13=0,IF(G$8=G$87,G$49,0),0)</f>
        <v>0</v>
      </c>
      <c r="H50" s="1860">
        <f t="shared" si="21"/>
        <v>0</v>
      </c>
      <c r="I50" s="1860">
        <f t="shared" si="21"/>
        <v>0</v>
      </c>
      <c r="J50" s="1860">
        <f t="shared" si="21"/>
        <v>0</v>
      </c>
      <c r="K50" s="1860">
        <f t="shared" si="21"/>
        <v>0</v>
      </c>
      <c r="L50" s="1860">
        <f t="shared" si="21"/>
        <v>0</v>
      </c>
      <c r="M50" s="1860">
        <f t="shared" si="21"/>
        <v>0</v>
      </c>
      <c r="N50" s="1861">
        <f t="shared" si="21"/>
        <v>0</v>
      </c>
      <c r="IA50" s="1711"/>
      <c r="IB50" s="1711"/>
      <c r="IC50" s="1711"/>
      <c r="ID50" s="1711"/>
      <c r="IE50" s="1711"/>
      <c r="IF50" s="1711"/>
      <c r="IG50" s="1711"/>
      <c r="IH50" s="1711"/>
      <c r="II50" s="1711"/>
      <c r="IJ50" s="1711"/>
      <c r="IK50" s="1711"/>
      <c r="IL50" s="1711"/>
      <c r="IM50" s="1711"/>
      <c r="IN50" s="1711"/>
      <c r="IO50" s="1711"/>
      <c r="IP50" s="1711"/>
      <c r="IQ50" s="1711"/>
      <c r="IR50" s="1711"/>
      <c r="IS50" s="1711"/>
      <c r="IT50" s="1711"/>
      <c r="IU50" s="1711"/>
      <c r="IV50" s="1711"/>
    </row>
    <row r="51" spans="1:256" s="1710" customFormat="1" ht="15.75">
      <c r="A51" s="1872"/>
      <c r="B51" s="1876"/>
      <c r="C51" s="1877" t="s">
        <v>2542</v>
      </c>
      <c r="D51" s="1873"/>
      <c r="E51" s="1874"/>
      <c r="F51" s="1875">
        <f t="shared" si="16"/>
        <v>0</v>
      </c>
      <c r="G51" s="1860">
        <f t="shared" ref="G51:N51" si="22">G13-G41</f>
        <v>0</v>
      </c>
      <c r="H51" s="1860">
        <f t="shared" si="22"/>
        <v>0</v>
      </c>
      <c r="I51" s="1860">
        <f t="shared" si="22"/>
        <v>0</v>
      </c>
      <c r="J51" s="1860">
        <f>J13-J41</f>
        <v>0</v>
      </c>
      <c r="K51" s="1860">
        <f>K13-K41</f>
        <v>0</v>
      </c>
      <c r="L51" s="1860">
        <f t="shared" si="22"/>
        <v>0</v>
      </c>
      <c r="M51" s="1860">
        <f t="shared" si="22"/>
        <v>0</v>
      </c>
      <c r="N51" s="1861">
        <f t="shared" si="22"/>
        <v>0</v>
      </c>
      <c r="IA51" s="1711"/>
      <c r="IB51" s="1711"/>
      <c r="IC51" s="1711"/>
      <c r="ID51" s="1711"/>
      <c r="IE51" s="1711"/>
      <c r="IF51" s="1711"/>
      <c r="IG51" s="1711"/>
      <c r="IH51" s="1711"/>
      <c r="II51" s="1711"/>
      <c r="IJ51" s="1711"/>
      <c r="IK51" s="1711"/>
      <c r="IL51" s="1711"/>
      <c r="IM51" s="1711"/>
      <c r="IN51" s="1711"/>
      <c r="IO51" s="1711"/>
      <c r="IP51" s="1711"/>
      <c r="IQ51" s="1711"/>
      <c r="IR51" s="1711"/>
      <c r="IS51" s="1711"/>
      <c r="IT51" s="1711"/>
      <c r="IU51" s="1711"/>
      <c r="IV51" s="1711"/>
    </row>
    <row r="52" spans="1:256" s="1710" customFormat="1" ht="15.75">
      <c r="A52" s="1872"/>
      <c r="B52" s="1876"/>
      <c r="C52" s="1877" t="s">
        <v>2887</v>
      </c>
      <c r="D52" s="1873"/>
      <c r="E52" s="1874"/>
      <c r="F52" s="1875">
        <f>SUM(G52:P52)</f>
        <v>0</v>
      </c>
      <c r="G52" s="1860">
        <f t="shared" ref="G52:N52" si="23">IF($F$50=0,0,IF(G50=0,INT(G51/$F51*$F50),0))</f>
        <v>0</v>
      </c>
      <c r="H52" s="1860">
        <f t="shared" si="23"/>
        <v>0</v>
      </c>
      <c r="I52" s="1860">
        <f t="shared" si="23"/>
        <v>0</v>
      </c>
      <c r="J52" s="1860">
        <f>IF($F$50=0,0,IF(J50=0,INT(J51/$F51*$F50),0))</f>
        <v>0</v>
      </c>
      <c r="K52" s="1860">
        <f>IF($F$50=0,0,IF(K50=0,INT(K51/$F51*$F50),0))</f>
        <v>0</v>
      </c>
      <c r="L52" s="1860">
        <f t="shared" si="23"/>
        <v>0</v>
      </c>
      <c r="M52" s="1860">
        <f t="shared" si="23"/>
        <v>0</v>
      </c>
      <c r="N52" s="1861">
        <f t="shared" si="23"/>
        <v>0</v>
      </c>
      <c r="IA52" s="1711"/>
      <c r="IB52" s="1711"/>
      <c r="IC52" s="1711"/>
      <c r="ID52" s="1711"/>
      <c r="IE52" s="1711"/>
      <c r="IF52" s="1711"/>
      <c r="IG52" s="1711"/>
      <c r="IH52" s="1711"/>
      <c r="II52" s="1711"/>
      <c r="IJ52" s="1711"/>
      <c r="IK52" s="1711"/>
      <c r="IL52" s="1711"/>
      <c r="IM52" s="1711"/>
      <c r="IN52" s="1711"/>
      <c r="IO52" s="1711"/>
      <c r="IP52" s="1711"/>
      <c r="IQ52" s="1711"/>
      <c r="IR52" s="1711"/>
      <c r="IS52" s="1711"/>
      <c r="IT52" s="1711"/>
      <c r="IU52" s="1711"/>
      <c r="IV52" s="1711"/>
    </row>
    <row r="53" spans="1:256" s="1710" customFormat="1" ht="15.75">
      <c r="A53" s="1872"/>
      <c r="B53" s="1876"/>
      <c r="C53" s="1877" t="s">
        <v>2888</v>
      </c>
      <c r="D53" s="1873"/>
      <c r="E53" s="1874"/>
      <c r="F53" s="1875">
        <f>F50-F52</f>
        <v>0</v>
      </c>
      <c r="G53" s="1860">
        <f>IF($F53=0,0,IF(G52=0,0,$F53))</f>
        <v>0</v>
      </c>
      <c r="H53" s="1860">
        <f>IF($F53=0,0,IF(H52=0,0,IF(SUM($G53:G53)=0,$F53,0)))</f>
        <v>0</v>
      </c>
      <c r="I53" s="1860">
        <f>IF($F53=0,0,IF(I52=0,0,IF(SUM($G53:H53)=0,$F53,0)))</f>
        <v>0</v>
      </c>
      <c r="J53" s="1860">
        <f>IF($F53=0,0,IF(J52=0,0,IF(SUM($G53:I53)=0,$F53,0)))</f>
        <v>0</v>
      </c>
      <c r="K53" s="1860">
        <f>IF($F53=0,0,IF(K52=0,0,IF(SUM($G53:J53)=0,$F53,0)))</f>
        <v>0</v>
      </c>
      <c r="L53" s="1860">
        <f>IF($F53=0,0,IF(L52=0,0,IF(SUM($G53:I53)=0,$F53,0)))</f>
        <v>0</v>
      </c>
      <c r="M53" s="1860">
        <f>IF($F53=0,0,IF(M52=0,0,IF(SUM($G53:L53)=0,$F53,0)))</f>
        <v>0</v>
      </c>
      <c r="N53" s="1861">
        <f>IF($F53=0,0,IF(N52=0,0,IF(SUM($G53:M53)=0,$F53,0)))</f>
        <v>0</v>
      </c>
      <c r="IA53" s="1711"/>
      <c r="IB53" s="1711"/>
      <c r="IC53" s="1711"/>
      <c r="ID53" s="1711"/>
      <c r="IE53" s="1711"/>
      <c r="IF53" s="1711"/>
      <c r="IG53" s="1711"/>
      <c r="IH53" s="1711"/>
      <c r="II53" s="1711"/>
      <c r="IJ53" s="1711"/>
      <c r="IK53" s="1711"/>
      <c r="IL53" s="1711"/>
      <c r="IM53" s="1711"/>
      <c r="IN53" s="1711"/>
      <c r="IO53" s="1711"/>
      <c r="IP53" s="1711"/>
      <c r="IQ53" s="1711"/>
      <c r="IR53" s="1711"/>
      <c r="IS53" s="1711"/>
      <c r="IT53" s="1711"/>
      <c r="IU53" s="1711"/>
      <c r="IV53" s="1711"/>
    </row>
    <row r="54" spans="1:256" s="1710" customFormat="1" ht="16.5" thickBot="1">
      <c r="A54" s="1872"/>
      <c r="B54" s="2908" t="s">
        <v>2889</v>
      </c>
      <c r="C54" s="2909"/>
      <c r="D54" s="1878"/>
      <c r="E54" s="1879"/>
      <c r="F54" s="1880">
        <f>SUM(G54:P54)</f>
        <v>0</v>
      </c>
      <c r="G54" s="1827">
        <f t="shared" ref="G54:N54" si="24">IF(G42=0,IF(G13=0,IF(G8=G87,0,G49+G52+G53),G49+G52+G53),G42)</f>
        <v>0</v>
      </c>
      <c r="H54" s="1827">
        <f t="shared" si="24"/>
        <v>0</v>
      </c>
      <c r="I54" s="1827">
        <f t="shared" si="24"/>
        <v>0</v>
      </c>
      <c r="J54" s="1827">
        <f t="shared" si="24"/>
        <v>0</v>
      </c>
      <c r="K54" s="1827">
        <f t="shared" si="24"/>
        <v>0</v>
      </c>
      <c r="L54" s="1827">
        <f t="shared" si="24"/>
        <v>0</v>
      </c>
      <c r="M54" s="1827">
        <f t="shared" si="24"/>
        <v>0</v>
      </c>
      <c r="N54" s="1828">
        <f t="shared" si="24"/>
        <v>0</v>
      </c>
      <c r="IA54" s="1711"/>
      <c r="IB54" s="1711"/>
      <c r="IC54" s="1711"/>
      <c r="ID54" s="1711"/>
      <c r="IE54" s="1711"/>
      <c r="IF54" s="1711"/>
      <c r="IG54" s="1711"/>
      <c r="IH54" s="1711"/>
      <c r="II54" s="1711"/>
      <c r="IJ54" s="1711"/>
      <c r="IK54" s="1711"/>
      <c r="IL54" s="1711"/>
      <c r="IM54" s="1711"/>
      <c r="IN54" s="1711"/>
      <c r="IO54" s="1711"/>
      <c r="IP54" s="1711"/>
      <c r="IQ54" s="1711"/>
      <c r="IR54" s="1711"/>
      <c r="IS54" s="1711"/>
      <c r="IT54" s="1711"/>
      <c r="IU54" s="1711"/>
      <c r="IV54" s="1711"/>
    </row>
    <row r="55" spans="1:256" s="1710" customFormat="1" ht="15.75">
      <c r="A55" s="1881"/>
      <c r="B55" s="1882"/>
      <c r="C55" s="1883" t="s">
        <v>2758</v>
      </c>
      <c r="D55" s="1884"/>
      <c r="E55" s="1885"/>
      <c r="F55" s="1886">
        <f>SUM(G55:N55)</f>
        <v>0</v>
      </c>
      <c r="G55" s="1887">
        <f t="shared" ref="G55:N55" si="25">G13+G14</f>
        <v>0</v>
      </c>
      <c r="H55" s="1887">
        <f t="shared" si="25"/>
        <v>0</v>
      </c>
      <c r="I55" s="1887">
        <f t="shared" si="25"/>
        <v>0</v>
      </c>
      <c r="J55" s="1887">
        <f>J13+J14</f>
        <v>0</v>
      </c>
      <c r="K55" s="1887">
        <f>K13+K14</f>
        <v>0</v>
      </c>
      <c r="L55" s="1887">
        <f t="shared" si="25"/>
        <v>0</v>
      </c>
      <c r="M55" s="1887">
        <f t="shared" si="25"/>
        <v>0</v>
      </c>
      <c r="N55" s="1888">
        <f t="shared" si="25"/>
        <v>0</v>
      </c>
      <c r="IA55" s="1711"/>
      <c r="IB55" s="1711"/>
      <c r="IC55" s="1711"/>
      <c r="ID55" s="1711"/>
      <c r="IE55" s="1711"/>
      <c r="IF55" s="1711"/>
      <c r="IG55" s="1711"/>
      <c r="IH55" s="1711"/>
      <c r="II55" s="1711"/>
      <c r="IJ55" s="1711"/>
      <c r="IK55" s="1711"/>
      <c r="IL55" s="1711"/>
      <c r="IM55" s="1711"/>
      <c r="IN55" s="1711"/>
      <c r="IO55" s="1711"/>
      <c r="IP55" s="1711"/>
      <c r="IQ55" s="1711"/>
      <c r="IR55" s="1711"/>
      <c r="IS55" s="1711"/>
      <c r="IT55" s="1711"/>
      <c r="IU55" s="1711"/>
      <c r="IV55" s="1711"/>
    </row>
    <row r="56" spans="1:256" s="1710" customFormat="1" ht="15.75">
      <c r="A56" s="1889"/>
      <c r="B56" s="1890"/>
      <c r="C56" s="1891" t="s">
        <v>2759</v>
      </c>
      <c r="D56" s="1892"/>
      <c r="E56" s="1893"/>
      <c r="F56" s="1894">
        <f>SUM(G56:N56)</f>
        <v>0</v>
      </c>
      <c r="G56" s="1895">
        <f t="shared" ref="G56:N56" si="26">G317-G104</f>
        <v>0</v>
      </c>
      <c r="H56" s="1895">
        <f t="shared" si="26"/>
        <v>0</v>
      </c>
      <c r="I56" s="1895">
        <f t="shared" si="26"/>
        <v>0</v>
      </c>
      <c r="J56" s="1895">
        <f>J317-J104</f>
        <v>0</v>
      </c>
      <c r="K56" s="1895">
        <f>K317-K104</f>
        <v>0</v>
      </c>
      <c r="L56" s="1895">
        <f t="shared" si="26"/>
        <v>0</v>
      </c>
      <c r="M56" s="1895">
        <f t="shared" si="26"/>
        <v>0</v>
      </c>
      <c r="N56" s="1896">
        <f t="shared" si="26"/>
        <v>0</v>
      </c>
      <c r="IA56" s="1711"/>
      <c r="IB56" s="1711"/>
      <c r="IC56" s="1711"/>
      <c r="ID56" s="1711"/>
      <c r="IE56" s="1711"/>
      <c r="IF56" s="1711"/>
      <c r="IG56" s="1711"/>
      <c r="IH56" s="1711"/>
      <c r="II56" s="1711"/>
      <c r="IJ56" s="1711"/>
      <c r="IK56" s="1711"/>
      <c r="IL56" s="1711"/>
      <c r="IM56" s="1711"/>
      <c r="IN56" s="1711"/>
      <c r="IO56" s="1711"/>
      <c r="IP56" s="1711"/>
      <c r="IQ56" s="1711"/>
      <c r="IR56" s="1711"/>
      <c r="IS56" s="1711"/>
      <c r="IT56" s="1711"/>
      <c r="IU56" s="1711"/>
      <c r="IV56" s="1711"/>
    </row>
    <row r="57" spans="1:256" s="1710" customFormat="1" ht="15.75">
      <c r="A57" s="2915" t="s">
        <v>2890</v>
      </c>
      <c r="B57" s="2915"/>
      <c r="C57" s="2916"/>
      <c r="D57" s="1897"/>
      <c r="E57" s="1898"/>
      <c r="F57" s="1899"/>
      <c r="G57" s="1900"/>
      <c r="H57" s="1900"/>
      <c r="I57" s="1900"/>
      <c r="J57" s="1900"/>
      <c r="K57" s="1900"/>
      <c r="L57" s="1900"/>
      <c r="M57" s="1900"/>
      <c r="N57" s="1901"/>
      <c r="IA57" s="1711"/>
      <c r="IB57" s="1711"/>
      <c r="IC57" s="1711"/>
      <c r="ID57" s="1711"/>
      <c r="IE57" s="1711"/>
      <c r="IF57" s="1711"/>
      <c r="IG57" s="1711"/>
      <c r="IH57" s="1711"/>
      <c r="II57" s="1711"/>
      <c r="IJ57" s="1711"/>
      <c r="IK57" s="1711"/>
      <c r="IL57" s="1711"/>
      <c r="IM57" s="1711"/>
      <c r="IN57" s="1711"/>
      <c r="IO57" s="1711"/>
      <c r="IP57" s="1711"/>
      <c r="IQ57" s="1711"/>
      <c r="IR57" s="1711"/>
      <c r="IS57" s="1711"/>
      <c r="IT57" s="1711"/>
      <c r="IU57" s="1711"/>
      <c r="IV57" s="1711"/>
    </row>
    <row r="58" spans="1:256" s="1710" customFormat="1" ht="13.5" customHeight="1">
      <c r="A58" s="2903"/>
      <c r="B58" s="1855" t="s">
        <v>2761</v>
      </c>
      <c r="C58" s="1856" t="s">
        <v>2762</v>
      </c>
      <c r="D58" s="1857"/>
      <c r="E58" s="1858"/>
      <c r="F58" s="1859">
        <f t="shared" ref="F58:F65" si="27">SUM(G58:N58)</f>
        <v>0</v>
      </c>
      <c r="G58" s="1860">
        <f t="shared" ref="G58:N58" si="28">+(G410+G412+G414+G415)-(G197+G199+G201+G202)</f>
        <v>0</v>
      </c>
      <c r="H58" s="1860">
        <f t="shared" si="28"/>
        <v>0</v>
      </c>
      <c r="I58" s="1860">
        <f t="shared" si="28"/>
        <v>0</v>
      </c>
      <c r="J58" s="1860">
        <f>+(J410+J412+J414+J415)-(J197+J199+J201+J202)</f>
        <v>0</v>
      </c>
      <c r="K58" s="1860">
        <f>+(K410+K412+K414+K415)-(K197+K199+K201+K202)</f>
        <v>0</v>
      </c>
      <c r="L58" s="1860">
        <f t="shared" si="28"/>
        <v>0</v>
      </c>
      <c r="M58" s="1860">
        <f t="shared" si="28"/>
        <v>0</v>
      </c>
      <c r="N58" s="1861">
        <f t="shared" si="28"/>
        <v>0</v>
      </c>
      <c r="IA58" s="1711"/>
      <c r="IB58" s="1711"/>
      <c r="IC58" s="1711"/>
      <c r="ID58" s="1711"/>
      <c r="IE58" s="1711"/>
      <c r="IF58" s="1711"/>
      <c r="IG58" s="1711"/>
      <c r="IH58" s="1711"/>
      <c r="II58" s="1711"/>
      <c r="IJ58" s="1711"/>
      <c r="IK58" s="1711"/>
      <c r="IL58" s="1711"/>
      <c r="IM58" s="1711"/>
      <c r="IN58" s="1711"/>
      <c r="IO58" s="1711"/>
      <c r="IP58" s="1711"/>
      <c r="IQ58" s="1711"/>
      <c r="IR58" s="1711"/>
      <c r="IS58" s="1711"/>
      <c r="IT58" s="1711"/>
      <c r="IU58" s="1711"/>
      <c r="IV58" s="1711"/>
    </row>
    <row r="59" spans="1:256" s="1710" customFormat="1" ht="15.75">
      <c r="A59" s="2903"/>
      <c r="B59" s="1862" t="s">
        <v>2763</v>
      </c>
      <c r="C59" s="1863" t="s">
        <v>2764</v>
      </c>
      <c r="D59" s="1857"/>
      <c r="E59" s="1858"/>
      <c r="F59" s="1859">
        <f t="shared" si="27"/>
        <v>0</v>
      </c>
      <c r="G59" s="1860">
        <f t="shared" ref="G59:N59" si="29">SUM(G416:G423)-SUM(G203:G210)</f>
        <v>0</v>
      </c>
      <c r="H59" s="1860">
        <f t="shared" si="29"/>
        <v>0</v>
      </c>
      <c r="I59" s="1860">
        <f t="shared" si="29"/>
        <v>0</v>
      </c>
      <c r="J59" s="1860">
        <f>SUM(J416:J423)-SUM(J203:J210)</f>
        <v>0</v>
      </c>
      <c r="K59" s="1860">
        <f>SUM(K416:K423)-SUM(K203:K210)</f>
        <v>0</v>
      </c>
      <c r="L59" s="1860">
        <f t="shared" si="29"/>
        <v>0</v>
      </c>
      <c r="M59" s="1860">
        <f t="shared" si="29"/>
        <v>0</v>
      </c>
      <c r="N59" s="1861">
        <f t="shared" si="29"/>
        <v>0</v>
      </c>
      <c r="IA59" s="1711"/>
      <c r="IB59" s="1711"/>
      <c r="IC59" s="1711"/>
      <c r="ID59" s="1711"/>
      <c r="IE59" s="1711"/>
      <c r="IF59" s="1711"/>
      <c r="IG59" s="1711"/>
      <c r="IH59" s="1711"/>
      <c r="II59" s="1711"/>
      <c r="IJ59" s="1711"/>
      <c r="IK59" s="1711"/>
      <c r="IL59" s="1711"/>
      <c r="IM59" s="1711"/>
      <c r="IN59" s="1711"/>
      <c r="IO59" s="1711"/>
      <c r="IP59" s="1711"/>
      <c r="IQ59" s="1711"/>
      <c r="IR59" s="1711"/>
      <c r="IS59" s="1711"/>
      <c r="IT59" s="1711"/>
      <c r="IU59" s="1711"/>
      <c r="IV59" s="1711"/>
    </row>
    <row r="60" spans="1:256" s="1710" customFormat="1" ht="15.75">
      <c r="A60" s="2903"/>
      <c r="B60" s="1864" t="s">
        <v>489</v>
      </c>
      <c r="C60" s="1863" t="s">
        <v>2765</v>
      </c>
      <c r="D60" s="1857">
        <f>IF(OR($AA$2="下請け",$AA$2="下請"),0.6,1)</f>
        <v>1</v>
      </c>
      <c r="E60" s="1858">
        <v>0.02</v>
      </c>
      <c r="F60" s="1859">
        <f t="shared" si="27"/>
        <v>0</v>
      </c>
      <c r="G60" s="1860">
        <f t="shared" ref="G60:N60" si="30">SUM(G424:G426)-SUM(G211:G213)</f>
        <v>0</v>
      </c>
      <c r="H60" s="1860">
        <f t="shared" si="30"/>
        <v>0</v>
      </c>
      <c r="I60" s="1860">
        <f t="shared" si="30"/>
        <v>0</v>
      </c>
      <c r="J60" s="1860">
        <f>SUM(J424:J426)-SUM(J211:J213)</f>
        <v>0</v>
      </c>
      <c r="K60" s="1860">
        <f>SUM(K424:K426)-SUM(K211:K213)</f>
        <v>0</v>
      </c>
      <c r="L60" s="1860">
        <f t="shared" si="30"/>
        <v>0</v>
      </c>
      <c r="M60" s="1860">
        <f t="shared" si="30"/>
        <v>0</v>
      </c>
      <c r="N60" s="1861">
        <f t="shared" si="30"/>
        <v>0</v>
      </c>
      <c r="IA60" s="1711"/>
      <c r="IB60" s="1711"/>
      <c r="IC60" s="1711"/>
      <c r="ID60" s="1711"/>
      <c r="IE60" s="1711"/>
      <c r="IF60" s="1711"/>
      <c r="IG60" s="1711"/>
      <c r="IH60" s="1711"/>
      <c r="II60" s="1711"/>
      <c r="IJ60" s="1711"/>
      <c r="IK60" s="1711"/>
      <c r="IL60" s="1711"/>
      <c r="IM60" s="1711"/>
      <c r="IN60" s="1711"/>
      <c r="IO60" s="1711"/>
      <c r="IP60" s="1711"/>
      <c r="IQ60" s="1711"/>
      <c r="IR60" s="1711"/>
      <c r="IS60" s="1711"/>
      <c r="IT60" s="1711"/>
      <c r="IU60" s="1711"/>
      <c r="IV60" s="1711"/>
    </row>
    <row r="61" spans="1:256" s="1710" customFormat="1" ht="15.75">
      <c r="A61" s="2903"/>
      <c r="B61" s="2904" t="s">
        <v>2580</v>
      </c>
      <c r="C61" s="1866" t="s">
        <v>2766</v>
      </c>
      <c r="D61" s="1867">
        <f>IF(OR($AA$2="下請け",$AA$2="下請"),0.6,1)</f>
        <v>1</v>
      </c>
      <c r="E61" s="1868">
        <v>0</v>
      </c>
      <c r="F61" s="1869">
        <f t="shared" si="27"/>
        <v>0</v>
      </c>
      <c r="G61" s="1902">
        <v>0</v>
      </c>
      <c r="H61" s="1902">
        <v>0</v>
      </c>
      <c r="I61" s="1902">
        <v>0</v>
      </c>
      <c r="J61" s="1902">
        <v>0</v>
      </c>
      <c r="K61" s="1902">
        <v>0</v>
      </c>
      <c r="L61" s="1902">
        <v>0</v>
      </c>
      <c r="M61" s="1902">
        <v>0</v>
      </c>
      <c r="N61" s="1903">
        <v>0</v>
      </c>
      <c r="IA61" s="1711"/>
      <c r="IB61" s="1711"/>
      <c r="IC61" s="1711"/>
      <c r="ID61" s="1711"/>
      <c r="IE61" s="1711"/>
      <c r="IF61" s="1711"/>
      <c r="IG61" s="1711"/>
      <c r="IH61" s="1711"/>
      <c r="II61" s="1711"/>
      <c r="IJ61" s="1711"/>
      <c r="IK61" s="1711"/>
      <c r="IL61" s="1711"/>
      <c r="IM61" s="1711"/>
      <c r="IN61" s="1711"/>
      <c r="IO61" s="1711"/>
      <c r="IP61" s="1711"/>
      <c r="IQ61" s="1711"/>
      <c r="IR61" s="1711"/>
      <c r="IS61" s="1711"/>
      <c r="IT61" s="1711"/>
      <c r="IU61" s="1711"/>
      <c r="IV61" s="1711"/>
    </row>
    <row r="62" spans="1:256" s="1710" customFormat="1" ht="15.75">
      <c r="A62" s="2903"/>
      <c r="B62" s="2905"/>
      <c r="C62" s="1866" t="s">
        <v>2767</v>
      </c>
      <c r="D62" s="1867">
        <f>IF(OR($AA$2="下請け",$AA$2="下請"),0.6,1)</f>
        <v>1</v>
      </c>
      <c r="E62" s="1868">
        <v>0</v>
      </c>
      <c r="F62" s="1869">
        <f t="shared" si="27"/>
        <v>0</v>
      </c>
      <c r="G62" s="1847"/>
      <c r="H62" s="1847"/>
      <c r="I62" s="1847"/>
      <c r="J62" s="1847"/>
      <c r="K62" s="1847"/>
      <c r="L62" s="1847"/>
      <c r="M62" s="1847"/>
      <c r="N62" s="1848"/>
      <c r="IA62" s="1711"/>
      <c r="IB62" s="1711"/>
      <c r="IC62" s="1711"/>
      <c r="ID62" s="1711"/>
      <c r="IE62" s="1711"/>
      <c r="IF62" s="1711"/>
      <c r="IG62" s="1711"/>
      <c r="IH62" s="1711"/>
      <c r="II62" s="1711"/>
      <c r="IJ62" s="1711"/>
      <c r="IK62" s="1711"/>
      <c r="IL62" s="1711"/>
      <c r="IM62" s="1711"/>
      <c r="IN62" s="1711"/>
      <c r="IO62" s="1711"/>
      <c r="IP62" s="1711"/>
      <c r="IQ62" s="1711"/>
      <c r="IR62" s="1711"/>
      <c r="IS62" s="1711"/>
      <c r="IT62" s="1711"/>
      <c r="IU62" s="1711"/>
      <c r="IV62" s="1711"/>
    </row>
    <row r="63" spans="1:256" s="1710" customFormat="1" ht="15.75">
      <c r="A63" s="1872"/>
      <c r="B63" s="2906" t="s">
        <v>2586</v>
      </c>
      <c r="C63" s="2907"/>
      <c r="D63" s="1873"/>
      <c r="E63" s="1874"/>
      <c r="F63" s="1875">
        <f t="shared" si="27"/>
        <v>0</v>
      </c>
      <c r="G63" s="1860">
        <f t="shared" ref="G63:N63" si="31">G431-G218</f>
        <v>0</v>
      </c>
      <c r="H63" s="1860">
        <f t="shared" si="31"/>
        <v>0</v>
      </c>
      <c r="I63" s="1860">
        <f t="shared" si="31"/>
        <v>0</v>
      </c>
      <c r="J63" s="1860">
        <f>J431-J218</f>
        <v>0</v>
      </c>
      <c r="K63" s="1860">
        <f>K431-K218</f>
        <v>0</v>
      </c>
      <c r="L63" s="1860">
        <f t="shared" si="31"/>
        <v>0</v>
      </c>
      <c r="M63" s="1860">
        <f t="shared" si="31"/>
        <v>0</v>
      </c>
      <c r="N63" s="1861">
        <f t="shared" si="31"/>
        <v>0</v>
      </c>
      <c r="IA63" s="1711"/>
      <c r="IB63" s="1711"/>
      <c r="IC63" s="1711"/>
      <c r="ID63" s="1711"/>
      <c r="IE63" s="1711"/>
      <c r="IF63" s="1711"/>
      <c r="IG63" s="1711"/>
      <c r="IH63" s="1711"/>
      <c r="II63" s="1711"/>
      <c r="IJ63" s="1711"/>
      <c r="IK63" s="1711"/>
      <c r="IL63" s="1711"/>
      <c r="IM63" s="1711"/>
      <c r="IN63" s="1711"/>
      <c r="IO63" s="1711"/>
      <c r="IP63" s="1711"/>
      <c r="IQ63" s="1711"/>
      <c r="IR63" s="1711"/>
      <c r="IS63" s="1711"/>
      <c r="IT63" s="1711"/>
      <c r="IU63" s="1711"/>
      <c r="IV63" s="1711"/>
    </row>
    <row r="64" spans="1:256" s="1710" customFormat="1" ht="15.75">
      <c r="A64" s="1872"/>
      <c r="B64" s="1876"/>
      <c r="C64" s="1877" t="s">
        <v>2587</v>
      </c>
      <c r="D64" s="1873"/>
      <c r="E64" s="1874"/>
      <c r="F64" s="1875">
        <f t="shared" si="27"/>
        <v>0</v>
      </c>
      <c r="G64" s="1860">
        <f t="shared" ref="G64:N64" si="32">IF(G13=0,IF(G8=G87,G63,0),0)</f>
        <v>0</v>
      </c>
      <c r="H64" s="1860">
        <f t="shared" si="32"/>
        <v>0</v>
      </c>
      <c r="I64" s="1860">
        <f t="shared" si="32"/>
        <v>0</v>
      </c>
      <c r="J64" s="1860">
        <f t="shared" si="32"/>
        <v>0</v>
      </c>
      <c r="K64" s="1860">
        <f t="shared" si="32"/>
        <v>0</v>
      </c>
      <c r="L64" s="1860">
        <f t="shared" si="32"/>
        <v>0</v>
      </c>
      <c r="M64" s="1860">
        <f t="shared" si="32"/>
        <v>0</v>
      </c>
      <c r="N64" s="1861">
        <f t="shared" si="32"/>
        <v>0</v>
      </c>
      <c r="IA64" s="1711"/>
      <c r="IB64" s="1711"/>
      <c r="IC64" s="1711"/>
      <c r="ID64" s="1711"/>
      <c r="IE64" s="1711"/>
      <c r="IF64" s="1711"/>
      <c r="IG64" s="1711"/>
      <c r="IH64" s="1711"/>
      <c r="II64" s="1711"/>
      <c r="IJ64" s="1711"/>
      <c r="IK64" s="1711"/>
      <c r="IL64" s="1711"/>
      <c r="IM64" s="1711"/>
      <c r="IN64" s="1711"/>
      <c r="IO64" s="1711"/>
      <c r="IP64" s="1711"/>
      <c r="IQ64" s="1711"/>
      <c r="IR64" s="1711"/>
      <c r="IS64" s="1711"/>
      <c r="IT64" s="1711"/>
      <c r="IU64" s="1711"/>
      <c r="IV64" s="1711"/>
    </row>
    <row r="65" spans="1:256" s="1710" customFormat="1" ht="15.75">
      <c r="A65" s="1872"/>
      <c r="B65" s="1876"/>
      <c r="C65" s="1877" t="s">
        <v>2588</v>
      </c>
      <c r="D65" s="1873"/>
      <c r="E65" s="1874"/>
      <c r="F65" s="1875">
        <f t="shared" si="27"/>
        <v>0</v>
      </c>
      <c r="G65" s="1860">
        <f t="shared" ref="G65:N65" si="33">G55-(G41+G42)</f>
        <v>0</v>
      </c>
      <c r="H65" s="1860">
        <f t="shared" si="33"/>
        <v>0</v>
      </c>
      <c r="I65" s="1860">
        <f t="shared" si="33"/>
        <v>0</v>
      </c>
      <c r="J65" s="1860">
        <f>J55-(J41+J42)</f>
        <v>0</v>
      </c>
      <c r="K65" s="1860">
        <f>K55-(K41+K42)</f>
        <v>0</v>
      </c>
      <c r="L65" s="1860">
        <f t="shared" si="33"/>
        <v>0</v>
      </c>
      <c r="M65" s="1860">
        <f t="shared" si="33"/>
        <v>0</v>
      </c>
      <c r="N65" s="1861">
        <f t="shared" si="33"/>
        <v>0</v>
      </c>
      <c r="IA65" s="1711"/>
      <c r="IB65" s="1711"/>
      <c r="IC65" s="1711"/>
      <c r="ID65" s="1711"/>
      <c r="IE65" s="1711"/>
      <c r="IF65" s="1711"/>
      <c r="IG65" s="1711"/>
      <c r="IH65" s="1711"/>
      <c r="II65" s="1711"/>
      <c r="IJ65" s="1711"/>
      <c r="IK65" s="1711"/>
      <c r="IL65" s="1711"/>
      <c r="IM65" s="1711"/>
      <c r="IN65" s="1711"/>
      <c r="IO65" s="1711"/>
      <c r="IP65" s="1711"/>
      <c r="IQ65" s="1711"/>
      <c r="IR65" s="1711"/>
      <c r="IS65" s="1711"/>
      <c r="IT65" s="1711"/>
      <c r="IU65" s="1711"/>
      <c r="IV65" s="1711"/>
    </row>
    <row r="66" spans="1:256" s="1710" customFormat="1" ht="15.75">
      <c r="A66" s="1872"/>
      <c r="B66" s="1876"/>
      <c r="C66" s="1877" t="s">
        <v>2589</v>
      </c>
      <c r="D66" s="1873"/>
      <c r="E66" s="1874"/>
      <c r="F66" s="1875">
        <f>SUM(G66:P66)</f>
        <v>0</v>
      </c>
      <c r="G66" s="1833">
        <f t="shared" ref="G66:N66" si="34">IF($F$64=0,0,IF(G64=0,INT(G65/$F65*$F64),0))</f>
        <v>0</v>
      </c>
      <c r="H66" s="1833">
        <f t="shared" si="34"/>
        <v>0</v>
      </c>
      <c r="I66" s="1833">
        <f t="shared" si="34"/>
        <v>0</v>
      </c>
      <c r="J66" s="1833">
        <f>IF($F$64=0,0,IF(J64=0,INT(J65/$F65*$F64),0))</f>
        <v>0</v>
      </c>
      <c r="K66" s="1833">
        <f>IF($F$64=0,0,IF(K64=0,INT(K65/$F65*$F64),0))</f>
        <v>0</v>
      </c>
      <c r="L66" s="1833">
        <f t="shared" si="34"/>
        <v>0</v>
      </c>
      <c r="M66" s="1833">
        <f t="shared" si="34"/>
        <v>0</v>
      </c>
      <c r="N66" s="1834">
        <f t="shared" si="34"/>
        <v>0</v>
      </c>
      <c r="IA66" s="1711"/>
      <c r="IB66" s="1711"/>
      <c r="IC66" s="1711"/>
      <c r="ID66" s="1711"/>
      <c r="IE66" s="1711"/>
      <c r="IF66" s="1711"/>
      <c r="IG66" s="1711"/>
      <c r="IH66" s="1711"/>
      <c r="II66" s="1711"/>
      <c r="IJ66" s="1711"/>
      <c r="IK66" s="1711"/>
      <c r="IL66" s="1711"/>
      <c r="IM66" s="1711"/>
      <c r="IN66" s="1711"/>
      <c r="IO66" s="1711"/>
      <c r="IP66" s="1711"/>
      <c r="IQ66" s="1711"/>
      <c r="IR66" s="1711"/>
      <c r="IS66" s="1711"/>
      <c r="IT66" s="1711"/>
      <c r="IU66" s="1711"/>
      <c r="IV66" s="1711"/>
    </row>
    <row r="67" spans="1:256" s="1710" customFormat="1" ht="15.75">
      <c r="A67" s="1872"/>
      <c r="B67" s="1876"/>
      <c r="C67" s="1877" t="s">
        <v>2590</v>
      </c>
      <c r="D67" s="1873"/>
      <c r="E67" s="1874"/>
      <c r="F67" s="1875">
        <f>F64-F66</f>
        <v>0</v>
      </c>
      <c r="G67" s="1833">
        <f>IF($F67=0,0,IF(G66=0,0,$F67))</f>
        <v>0</v>
      </c>
      <c r="H67" s="1833">
        <f>IF($F67=0,0,IF(H66=0,0,IF(SUM($G67:G67)=0,$F67,0)))</f>
        <v>0</v>
      </c>
      <c r="I67" s="1833">
        <f>IF($F67=0,0,IF(I66=0,0,IF(SUM($G67:H67)=0,$F67,0)))</f>
        <v>0</v>
      </c>
      <c r="J67" s="1833">
        <f>IF($F67=0,0,IF(J66=0,0,IF(SUM($G67:I67)=0,$F67,0)))</f>
        <v>0</v>
      </c>
      <c r="K67" s="1833">
        <f>IF($F67=0,0,IF(K66=0,0,IF(SUM($G67:J67)=0,$F67,0)))</f>
        <v>0</v>
      </c>
      <c r="L67" s="1833">
        <f>IF($F67=0,0,IF(L66=0,0,IF(SUM($G67:I67)=0,$F67,0)))</f>
        <v>0</v>
      </c>
      <c r="M67" s="1833">
        <f>IF($F67=0,0,IF(M66=0,0,IF(SUM($G67:L67)=0,$F67,0)))</f>
        <v>0</v>
      </c>
      <c r="N67" s="1834">
        <f>IF($F67=0,0,IF(N66=0,0,IF(SUM($G67:M67)=0,$F67,0)))</f>
        <v>0</v>
      </c>
      <c r="IA67" s="1711"/>
      <c r="IB67" s="1711"/>
      <c r="IC67" s="1711"/>
      <c r="ID67" s="1711"/>
      <c r="IE67" s="1711"/>
      <c r="IF67" s="1711"/>
      <c r="IG67" s="1711"/>
      <c r="IH67" s="1711"/>
      <c r="II67" s="1711"/>
      <c r="IJ67" s="1711"/>
      <c r="IK67" s="1711"/>
      <c r="IL67" s="1711"/>
      <c r="IM67" s="1711"/>
      <c r="IN67" s="1711"/>
      <c r="IO67" s="1711"/>
      <c r="IP67" s="1711"/>
      <c r="IQ67" s="1711"/>
      <c r="IR67" s="1711"/>
      <c r="IS67" s="1711"/>
      <c r="IT67" s="1711"/>
      <c r="IU67" s="1711"/>
      <c r="IV67" s="1711"/>
    </row>
    <row r="68" spans="1:256" s="1710" customFormat="1" ht="15.75">
      <c r="A68" s="1872"/>
      <c r="B68" s="2908" t="s">
        <v>2768</v>
      </c>
      <c r="C68" s="2909"/>
      <c r="D68" s="1878"/>
      <c r="E68" s="1879"/>
      <c r="F68" s="1880">
        <f>SUM(G68:P68)</f>
        <v>0</v>
      </c>
      <c r="G68" s="1835">
        <f t="shared" ref="G68:N68" si="35">IF(G62=0,IF(G55=0,IF(G8=G87,0,G63+G66+G67),G63+G66+G67),G62)</f>
        <v>0</v>
      </c>
      <c r="H68" s="1835">
        <f t="shared" si="35"/>
        <v>0</v>
      </c>
      <c r="I68" s="1835">
        <f t="shared" si="35"/>
        <v>0</v>
      </c>
      <c r="J68" s="1835">
        <f t="shared" si="35"/>
        <v>0</v>
      </c>
      <c r="K68" s="1835">
        <f t="shared" si="35"/>
        <v>0</v>
      </c>
      <c r="L68" s="1835">
        <f t="shared" si="35"/>
        <v>0</v>
      </c>
      <c r="M68" s="1835">
        <f t="shared" si="35"/>
        <v>0</v>
      </c>
      <c r="N68" s="1836">
        <f t="shared" si="35"/>
        <v>0</v>
      </c>
      <c r="IA68" s="1711"/>
      <c r="IB68" s="1711"/>
      <c r="IC68" s="1711"/>
      <c r="ID68" s="1711"/>
      <c r="IE68" s="1711"/>
      <c r="IF68" s="1711"/>
      <c r="IG68" s="1711"/>
      <c r="IH68" s="1711"/>
      <c r="II68" s="1711"/>
      <c r="IJ68" s="1711"/>
      <c r="IK68" s="1711"/>
      <c r="IL68" s="1711"/>
      <c r="IM68" s="1711"/>
      <c r="IN68" s="1711"/>
      <c r="IO68" s="1711"/>
      <c r="IP68" s="1711"/>
      <c r="IQ68" s="1711"/>
      <c r="IR68" s="1711"/>
      <c r="IS68" s="1711"/>
      <c r="IT68" s="1711"/>
      <c r="IU68" s="1711"/>
      <c r="IV68" s="1711"/>
    </row>
    <row r="69" spans="1:256" s="1710" customFormat="1" ht="15.75">
      <c r="A69" s="1904" t="s">
        <v>2592</v>
      </c>
      <c r="B69" s="1905"/>
      <c r="C69" s="1906"/>
      <c r="D69" s="1907"/>
      <c r="E69" s="1908" t="s">
        <v>2769</v>
      </c>
      <c r="F69" s="1909">
        <f>SUM(G69:N69)</f>
        <v>0</v>
      </c>
      <c r="G69" s="1910">
        <f>G437-G224</f>
        <v>0</v>
      </c>
      <c r="H69" s="1910">
        <f t="shared" ref="H69:N69" si="36">H437-H224</f>
        <v>0</v>
      </c>
      <c r="I69" s="1910">
        <f t="shared" si="36"/>
        <v>0</v>
      </c>
      <c r="J69" s="1910">
        <f>J437-J224</f>
        <v>0</v>
      </c>
      <c r="K69" s="1910">
        <f>K437-K224</f>
        <v>0</v>
      </c>
      <c r="L69" s="1910">
        <f t="shared" si="36"/>
        <v>0</v>
      </c>
      <c r="M69" s="1910">
        <f t="shared" si="36"/>
        <v>0</v>
      </c>
      <c r="N69" s="1911">
        <f t="shared" si="36"/>
        <v>0</v>
      </c>
      <c r="IA69" s="1711"/>
      <c r="IB69" s="1711"/>
      <c r="IC69" s="1711"/>
      <c r="ID69" s="1711"/>
      <c r="IE69" s="1711"/>
      <c r="IF69" s="1711"/>
      <c r="IG69" s="1711"/>
      <c r="IH69" s="1711"/>
      <c r="II69" s="1711"/>
      <c r="IJ69" s="1711"/>
      <c r="IK69" s="1711"/>
      <c r="IL69" s="1711"/>
      <c r="IM69" s="1711"/>
      <c r="IN69" s="1711"/>
      <c r="IO69" s="1711"/>
      <c r="IP69" s="1711"/>
      <c r="IQ69" s="1711"/>
      <c r="IR69" s="1711"/>
      <c r="IS69" s="1711"/>
      <c r="IT69" s="1711"/>
      <c r="IU69" s="1711"/>
      <c r="IV69" s="1711"/>
    </row>
    <row r="70" spans="1:256" s="1710" customFormat="1" ht="15.75">
      <c r="A70" s="1912"/>
      <c r="B70" s="2910" t="s">
        <v>2592</v>
      </c>
      <c r="C70" s="2911"/>
      <c r="D70" s="1913"/>
      <c r="E70" s="1914"/>
      <c r="F70" s="1909">
        <f>SUM(G70:N70)</f>
        <v>0</v>
      </c>
      <c r="G70" s="1915">
        <f t="shared" ref="G70:N70" si="37">G461-G248</f>
        <v>0</v>
      </c>
      <c r="H70" s="1915">
        <f t="shared" si="37"/>
        <v>0</v>
      </c>
      <c r="I70" s="1915">
        <f t="shared" si="37"/>
        <v>0</v>
      </c>
      <c r="J70" s="1915">
        <f>J461-J248</f>
        <v>0</v>
      </c>
      <c r="K70" s="1915">
        <f>K461-K248</f>
        <v>0</v>
      </c>
      <c r="L70" s="1915">
        <f t="shared" si="37"/>
        <v>0</v>
      </c>
      <c r="M70" s="1915">
        <f t="shared" si="37"/>
        <v>0</v>
      </c>
      <c r="N70" s="1916">
        <f t="shared" si="37"/>
        <v>0</v>
      </c>
      <c r="IA70" s="1711"/>
      <c r="IB70" s="1711"/>
      <c r="IC70" s="1711"/>
      <c r="ID70" s="1711"/>
      <c r="IE70" s="1711"/>
      <c r="IF70" s="1711"/>
      <c r="IG70" s="1711"/>
      <c r="IH70" s="1711"/>
      <c r="II70" s="1711"/>
      <c r="IJ70" s="1711"/>
      <c r="IK70" s="1711"/>
      <c r="IL70" s="1711"/>
      <c r="IM70" s="1711"/>
      <c r="IN70" s="1711"/>
      <c r="IO70" s="1711"/>
      <c r="IP70" s="1711"/>
      <c r="IQ70" s="1711"/>
      <c r="IR70" s="1711"/>
      <c r="IS70" s="1711"/>
      <c r="IT70" s="1711"/>
      <c r="IU70" s="1711"/>
      <c r="IV70" s="1711"/>
    </row>
    <row r="71" spans="1:256" s="1710" customFormat="1" ht="15.75">
      <c r="A71" s="1912"/>
      <c r="B71" s="1917"/>
      <c r="C71" s="1918" t="s">
        <v>2587</v>
      </c>
      <c r="D71" s="1919"/>
      <c r="E71" s="1920"/>
      <c r="F71" s="1921">
        <f>SUM(G71:N71)</f>
        <v>0</v>
      </c>
      <c r="G71" s="1922">
        <f t="shared" ref="G71:N71" si="38">IF(G55=0,IF(G8=G87,G70,0),0)</f>
        <v>0</v>
      </c>
      <c r="H71" s="1922">
        <f t="shared" si="38"/>
        <v>0</v>
      </c>
      <c r="I71" s="1922">
        <f t="shared" si="38"/>
        <v>0</v>
      </c>
      <c r="J71" s="1922">
        <f t="shared" si="38"/>
        <v>0</v>
      </c>
      <c r="K71" s="1922">
        <f t="shared" si="38"/>
        <v>0</v>
      </c>
      <c r="L71" s="1922">
        <f t="shared" si="38"/>
        <v>0</v>
      </c>
      <c r="M71" s="1922">
        <f t="shared" si="38"/>
        <v>0</v>
      </c>
      <c r="N71" s="1923">
        <f t="shared" si="38"/>
        <v>0</v>
      </c>
      <c r="IA71" s="1711"/>
      <c r="IB71" s="1711"/>
      <c r="IC71" s="1711"/>
      <c r="ID71" s="1711"/>
      <c r="IE71" s="1711"/>
      <c r="IF71" s="1711"/>
      <c r="IG71" s="1711"/>
      <c r="IH71" s="1711"/>
      <c r="II71" s="1711"/>
      <c r="IJ71" s="1711"/>
      <c r="IK71" s="1711"/>
      <c r="IL71" s="1711"/>
      <c r="IM71" s="1711"/>
      <c r="IN71" s="1711"/>
      <c r="IO71" s="1711"/>
      <c r="IP71" s="1711"/>
      <c r="IQ71" s="1711"/>
      <c r="IR71" s="1711"/>
      <c r="IS71" s="1711"/>
      <c r="IT71" s="1711"/>
      <c r="IU71" s="1711"/>
      <c r="IV71" s="1711"/>
    </row>
    <row r="72" spans="1:256" s="1710" customFormat="1" ht="15.75">
      <c r="A72" s="1912"/>
      <c r="B72" s="1924"/>
      <c r="C72" s="1925" t="s">
        <v>2596</v>
      </c>
      <c r="D72" s="1857"/>
      <c r="E72" s="1926"/>
      <c r="F72" s="1927">
        <f>SUM(G72:N72)</f>
        <v>0</v>
      </c>
      <c r="G72" s="1928">
        <f t="shared" ref="G72:N72" si="39">+G69</f>
        <v>0</v>
      </c>
      <c r="H72" s="1928">
        <f t="shared" si="39"/>
        <v>0</v>
      </c>
      <c r="I72" s="1928">
        <f t="shared" si="39"/>
        <v>0</v>
      </c>
      <c r="J72" s="1928">
        <f>+J69</f>
        <v>0</v>
      </c>
      <c r="K72" s="1928">
        <f>+K69</f>
        <v>0</v>
      </c>
      <c r="L72" s="1928">
        <f t="shared" si="39"/>
        <v>0</v>
      </c>
      <c r="M72" s="1928">
        <f t="shared" si="39"/>
        <v>0</v>
      </c>
      <c r="N72" s="1929">
        <f t="shared" si="39"/>
        <v>0</v>
      </c>
      <c r="IA72" s="1711"/>
      <c r="IB72" s="1711"/>
      <c r="IC72" s="1711"/>
      <c r="ID72" s="1711"/>
      <c r="IE72" s="1711"/>
      <c r="IF72" s="1711"/>
      <c r="IG72" s="1711"/>
      <c r="IH72" s="1711"/>
      <c r="II72" s="1711"/>
      <c r="IJ72" s="1711"/>
      <c r="IK72" s="1711"/>
      <c r="IL72" s="1711"/>
      <c r="IM72" s="1711"/>
      <c r="IN72" s="1711"/>
      <c r="IO72" s="1711"/>
      <c r="IP72" s="1711"/>
      <c r="IQ72" s="1711"/>
      <c r="IR72" s="1711"/>
      <c r="IS72" s="1711"/>
      <c r="IT72" s="1711"/>
      <c r="IU72" s="1711"/>
      <c r="IV72" s="1711"/>
    </row>
    <row r="73" spans="1:256" s="1710" customFormat="1" ht="15.75">
      <c r="A73" s="1912"/>
      <c r="B73" s="1924"/>
      <c r="C73" s="1925" t="s">
        <v>2597</v>
      </c>
      <c r="D73" s="1857"/>
      <c r="E73" s="1926"/>
      <c r="F73" s="1927">
        <f>SUM(G73:N73)</f>
        <v>0</v>
      </c>
      <c r="G73" s="1928">
        <f t="shared" ref="G73:N73" si="40">IF($F$71=0,0,INT(G72/$F72*$F71))</f>
        <v>0</v>
      </c>
      <c r="H73" s="1928">
        <f t="shared" si="40"/>
        <v>0</v>
      </c>
      <c r="I73" s="1928">
        <f t="shared" si="40"/>
        <v>0</v>
      </c>
      <c r="J73" s="1928">
        <f>IF($F$71=0,0,INT(J72/$F72*$F71))</f>
        <v>0</v>
      </c>
      <c r="K73" s="1928">
        <f>IF($F$71=0,0,INT(K72/$F72*$F71))</f>
        <v>0</v>
      </c>
      <c r="L73" s="1928">
        <f t="shared" si="40"/>
        <v>0</v>
      </c>
      <c r="M73" s="1928">
        <f t="shared" si="40"/>
        <v>0</v>
      </c>
      <c r="N73" s="1929">
        <f t="shared" si="40"/>
        <v>0</v>
      </c>
      <c r="IA73" s="1711"/>
      <c r="IB73" s="1711"/>
      <c r="IC73" s="1711"/>
      <c r="ID73" s="1711"/>
      <c r="IE73" s="1711"/>
      <c r="IF73" s="1711"/>
      <c r="IG73" s="1711"/>
      <c r="IH73" s="1711"/>
      <c r="II73" s="1711"/>
      <c r="IJ73" s="1711"/>
      <c r="IK73" s="1711"/>
      <c r="IL73" s="1711"/>
      <c r="IM73" s="1711"/>
      <c r="IN73" s="1711"/>
      <c r="IO73" s="1711"/>
      <c r="IP73" s="1711"/>
      <c r="IQ73" s="1711"/>
      <c r="IR73" s="1711"/>
      <c r="IS73" s="1711"/>
      <c r="IT73" s="1711"/>
      <c r="IU73" s="1711"/>
      <c r="IV73" s="1711"/>
    </row>
    <row r="74" spans="1:256" s="1710" customFormat="1" ht="15.75">
      <c r="A74" s="1912"/>
      <c r="B74" s="1924"/>
      <c r="C74" s="1925" t="s">
        <v>2598</v>
      </c>
      <c r="D74" s="1857"/>
      <c r="E74" s="1926"/>
      <c r="F74" s="1927">
        <f>F71-F73</f>
        <v>0</v>
      </c>
      <c r="G74" s="1928">
        <f>IF($F74=0,0,IF(G73=0,0,$F74))</f>
        <v>0</v>
      </c>
      <c r="H74" s="1928">
        <f>IF($F74=0,0,IF(H73=0,0,IF(SUM($G74:G74)=0,$F74,0)))</f>
        <v>0</v>
      </c>
      <c r="I74" s="1928">
        <f>IF($F74=0,0,IF(I73=0,0,IF(SUM($G74:H74)=0,$F74,0)))</f>
        <v>0</v>
      </c>
      <c r="J74" s="1928">
        <f>IF($F74=0,0,IF(J73=0,0,IF(SUM($G74:I74)=0,$F74,0)))</f>
        <v>0</v>
      </c>
      <c r="K74" s="1928">
        <f>IF($F74=0,0,IF(K73=0,0,IF(SUM($G74:J74)=0,$F74,0)))</f>
        <v>0</v>
      </c>
      <c r="L74" s="1928">
        <f>IF($F74=0,0,IF(L73=0,0,IF(SUM($G74:I74)=0,$F74,0)))</f>
        <v>0</v>
      </c>
      <c r="M74" s="1928">
        <f>IF($F74=0,0,IF(M73=0,0,IF(SUM($G74:L74)=0,$F74,0)))</f>
        <v>0</v>
      </c>
      <c r="N74" s="1929">
        <f>IF($F74=0,0,IF(N73=0,0,IF(SUM($G74:M74)=0,$F74,0)))</f>
        <v>0</v>
      </c>
      <c r="IA74" s="1711"/>
      <c r="IB74" s="1711"/>
      <c r="IC74" s="1711"/>
      <c r="ID74" s="1711"/>
      <c r="IE74" s="1711"/>
      <c r="IF74" s="1711"/>
      <c r="IG74" s="1711"/>
      <c r="IH74" s="1711"/>
      <c r="II74" s="1711"/>
      <c r="IJ74" s="1711"/>
      <c r="IK74" s="1711"/>
      <c r="IL74" s="1711"/>
      <c r="IM74" s="1711"/>
      <c r="IN74" s="1711"/>
      <c r="IO74" s="1711"/>
      <c r="IP74" s="1711"/>
      <c r="IQ74" s="1711"/>
      <c r="IR74" s="1711"/>
      <c r="IS74" s="1711"/>
      <c r="IT74" s="1711"/>
      <c r="IU74" s="1711"/>
      <c r="IV74" s="1711"/>
    </row>
    <row r="75" spans="1:256" s="1710" customFormat="1" ht="15.75">
      <c r="A75" s="1912"/>
      <c r="B75" s="2912" t="s">
        <v>2599</v>
      </c>
      <c r="C75" s="2913"/>
      <c r="D75" s="1930"/>
      <c r="E75" s="1931"/>
      <c r="F75" s="1932">
        <f t="shared" ref="F75:F82" si="41">SUM(G75:N75)</f>
        <v>0</v>
      </c>
      <c r="G75" s="1933">
        <f t="shared" ref="G75:N75" si="42">IF(G55=0,IF(G8=G87,0,G70+G73+G74),G70+G73+G74)</f>
        <v>0</v>
      </c>
      <c r="H75" s="1933">
        <f t="shared" si="42"/>
        <v>0</v>
      </c>
      <c r="I75" s="1933">
        <f t="shared" si="42"/>
        <v>0</v>
      </c>
      <c r="J75" s="1933">
        <f t="shared" si="42"/>
        <v>0</v>
      </c>
      <c r="K75" s="1933">
        <f t="shared" si="42"/>
        <v>0</v>
      </c>
      <c r="L75" s="1933">
        <f t="shared" si="42"/>
        <v>0</v>
      </c>
      <c r="M75" s="1933">
        <f t="shared" si="42"/>
        <v>0</v>
      </c>
      <c r="N75" s="1934">
        <f t="shared" si="42"/>
        <v>0</v>
      </c>
      <c r="IA75" s="1711"/>
      <c r="IB75" s="1711"/>
      <c r="IC75" s="1711"/>
      <c r="ID75" s="1711"/>
      <c r="IE75" s="1711"/>
      <c r="IF75" s="1711"/>
      <c r="IG75" s="1711"/>
      <c r="IH75" s="1711"/>
      <c r="II75" s="1711"/>
      <c r="IJ75" s="1711"/>
      <c r="IK75" s="1711"/>
      <c r="IL75" s="1711"/>
      <c r="IM75" s="1711"/>
      <c r="IN75" s="1711"/>
      <c r="IO75" s="1711"/>
      <c r="IP75" s="1711"/>
      <c r="IQ75" s="1711"/>
      <c r="IR75" s="1711"/>
      <c r="IS75" s="1711"/>
      <c r="IT75" s="1711"/>
      <c r="IU75" s="1711"/>
      <c r="IV75" s="1711"/>
    </row>
    <row r="76" spans="1:256" s="1710" customFormat="1" ht="16.5" thickBot="1">
      <c r="A76" s="1935" t="s">
        <v>406</v>
      </c>
      <c r="B76" s="1936"/>
      <c r="C76" s="1937"/>
      <c r="D76" s="1938"/>
      <c r="E76" s="1939"/>
      <c r="F76" s="1940">
        <f t="shared" si="41"/>
        <v>0</v>
      </c>
      <c r="G76" s="1941">
        <f t="shared" ref="G76:N76" si="43">G68+G75+G56</f>
        <v>0</v>
      </c>
      <c r="H76" s="1941">
        <f t="shared" si="43"/>
        <v>0</v>
      </c>
      <c r="I76" s="1941">
        <f t="shared" si="43"/>
        <v>0</v>
      </c>
      <c r="J76" s="1941">
        <f>J68+J75+J56</f>
        <v>0</v>
      </c>
      <c r="K76" s="1941">
        <f>K68+K75+K56</f>
        <v>0</v>
      </c>
      <c r="L76" s="1941">
        <f t="shared" si="43"/>
        <v>0</v>
      </c>
      <c r="M76" s="1941">
        <f t="shared" si="43"/>
        <v>0</v>
      </c>
      <c r="N76" s="1942">
        <f t="shared" si="43"/>
        <v>0</v>
      </c>
      <c r="IA76" s="1711"/>
      <c r="IB76" s="1711"/>
      <c r="IC76" s="1711"/>
      <c r="ID76" s="1711"/>
      <c r="IE76" s="1711"/>
      <c r="IF76" s="1711"/>
      <c r="IG76" s="1711"/>
      <c r="IH76" s="1711"/>
      <c r="II76" s="1711"/>
      <c r="IJ76" s="1711"/>
      <c r="IK76" s="1711"/>
      <c r="IL76" s="1711"/>
      <c r="IM76" s="1711"/>
      <c r="IN76" s="1711"/>
      <c r="IO76" s="1711"/>
      <c r="IP76" s="1711"/>
      <c r="IQ76" s="1711"/>
      <c r="IR76" s="1711"/>
      <c r="IS76" s="1711"/>
      <c r="IT76" s="1711"/>
      <c r="IU76" s="1711"/>
      <c r="IV76" s="1711"/>
    </row>
    <row r="77" spans="1:256" s="1710" customFormat="1" ht="16.5" thickTop="1">
      <c r="A77" s="1943" t="s">
        <v>240</v>
      </c>
      <c r="B77" s="1944"/>
      <c r="C77" s="1944"/>
      <c r="D77" s="1944"/>
      <c r="E77" s="1945" t="s">
        <v>2601</v>
      </c>
      <c r="F77" s="1946">
        <f t="shared" si="41"/>
        <v>0</v>
      </c>
      <c r="G77" s="1947">
        <f t="shared" ref="G77:N77" si="44">IF(G76&lt;0,ROUNDUP(G76,-3),ROUNDDOWN(G76,-3))</f>
        <v>0</v>
      </c>
      <c r="H77" s="1947">
        <f t="shared" si="44"/>
        <v>0</v>
      </c>
      <c r="I77" s="1947">
        <f t="shared" si="44"/>
        <v>0</v>
      </c>
      <c r="J77" s="1947">
        <f>IF(J76&lt;0,ROUNDUP(J76,-3),ROUNDDOWN(J76,-3))</f>
        <v>0</v>
      </c>
      <c r="K77" s="1947">
        <f>IF(K76&lt;0,ROUNDUP(K76,-3),ROUNDDOWN(K76,-3))</f>
        <v>0</v>
      </c>
      <c r="L77" s="1947">
        <f t="shared" si="44"/>
        <v>0</v>
      </c>
      <c r="M77" s="1947">
        <f t="shared" si="44"/>
        <v>0</v>
      </c>
      <c r="N77" s="1948">
        <f t="shared" si="44"/>
        <v>0</v>
      </c>
      <c r="IA77" s="1711"/>
      <c r="IB77" s="1711"/>
      <c r="IC77" s="1711"/>
      <c r="ID77" s="1711"/>
      <c r="IE77" s="1711"/>
      <c r="IF77" s="1711"/>
      <c r="IG77" s="1711"/>
      <c r="IH77" s="1711"/>
      <c r="II77" s="1711"/>
      <c r="IJ77" s="1711"/>
      <c r="IK77" s="1711"/>
      <c r="IL77" s="1711"/>
      <c r="IM77" s="1711"/>
      <c r="IN77" s="1711"/>
      <c r="IO77" s="1711"/>
      <c r="IP77" s="1711"/>
      <c r="IQ77" s="1711"/>
      <c r="IR77" s="1711"/>
      <c r="IS77" s="1711"/>
      <c r="IT77" s="1711"/>
      <c r="IU77" s="1711"/>
      <c r="IV77" s="1711"/>
    </row>
    <row r="78" spans="1:256" s="1710" customFormat="1" ht="15.75">
      <c r="A78" s="1949"/>
      <c r="B78" s="2900" t="s">
        <v>2602</v>
      </c>
      <c r="C78" s="1950" t="s">
        <v>2770</v>
      </c>
      <c r="D78" s="1950"/>
      <c r="E78" s="1950"/>
      <c r="F78" s="1921">
        <f t="shared" si="41"/>
        <v>0</v>
      </c>
      <c r="G78" s="1922">
        <f t="shared" ref="G78:N78" si="45">+G317-G104</f>
        <v>0</v>
      </c>
      <c r="H78" s="1922">
        <f t="shared" si="45"/>
        <v>0</v>
      </c>
      <c r="I78" s="1922">
        <f t="shared" si="45"/>
        <v>0</v>
      </c>
      <c r="J78" s="1922">
        <f>+J317-J104</f>
        <v>0</v>
      </c>
      <c r="K78" s="1922">
        <f>+K317-K104</f>
        <v>0</v>
      </c>
      <c r="L78" s="1922">
        <f t="shared" si="45"/>
        <v>0</v>
      </c>
      <c r="M78" s="1922">
        <f t="shared" si="45"/>
        <v>0</v>
      </c>
      <c r="N78" s="1923">
        <f t="shared" si="45"/>
        <v>0</v>
      </c>
      <c r="IA78" s="1711"/>
      <c r="IB78" s="1711"/>
      <c r="IC78" s="1711"/>
      <c r="ID78" s="1711"/>
      <c r="IE78" s="1711"/>
      <c r="IF78" s="1711"/>
      <c r="IG78" s="1711"/>
      <c r="IH78" s="1711"/>
      <c r="II78" s="1711"/>
      <c r="IJ78" s="1711"/>
      <c r="IK78" s="1711"/>
      <c r="IL78" s="1711"/>
      <c r="IM78" s="1711"/>
      <c r="IN78" s="1711"/>
      <c r="IO78" s="1711"/>
      <c r="IP78" s="1711"/>
      <c r="IQ78" s="1711"/>
      <c r="IR78" s="1711"/>
      <c r="IS78" s="1711"/>
      <c r="IT78" s="1711"/>
      <c r="IU78" s="1711"/>
      <c r="IV78" s="1711"/>
    </row>
    <row r="79" spans="1:256" s="1710" customFormat="1" ht="16.5" thickBot="1">
      <c r="A79" s="1951"/>
      <c r="B79" s="2901"/>
      <c r="C79" s="1952" t="s">
        <v>2604</v>
      </c>
      <c r="D79" s="1952"/>
      <c r="E79" s="1952"/>
      <c r="F79" s="1932">
        <f t="shared" si="41"/>
        <v>0</v>
      </c>
      <c r="G79" s="1953">
        <f t="shared" ref="G79:N79" si="46">+G77-G78</f>
        <v>0</v>
      </c>
      <c r="H79" s="1953">
        <f t="shared" si="46"/>
        <v>0</v>
      </c>
      <c r="I79" s="1953">
        <f t="shared" si="46"/>
        <v>0</v>
      </c>
      <c r="J79" s="1953">
        <f>+J77-J78</f>
        <v>0</v>
      </c>
      <c r="K79" s="1953">
        <f>+K77-K78</f>
        <v>0</v>
      </c>
      <c r="L79" s="1953">
        <f t="shared" si="46"/>
        <v>0</v>
      </c>
      <c r="M79" s="1953">
        <f t="shared" si="46"/>
        <v>0</v>
      </c>
      <c r="N79" s="1954">
        <f t="shared" si="46"/>
        <v>0</v>
      </c>
      <c r="IA79" s="1711"/>
      <c r="IB79" s="1711"/>
      <c r="IC79" s="1711"/>
      <c r="ID79" s="1711"/>
      <c r="IE79" s="1711"/>
      <c r="IF79" s="1711"/>
      <c r="IG79" s="1711"/>
      <c r="IH79" s="1711"/>
      <c r="II79" s="1711"/>
      <c r="IJ79" s="1711"/>
      <c r="IK79" s="1711"/>
      <c r="IL79" s="1711"/>
      <c r="IM79" s="1711"/>
      <c r="IN79" s="1711"/>
      <c r="IO79" s="1711"/>
      <c r="IP79" s="1711"/>
      <c r="IQ79" s="1711"/>
      <c r="IR79" s="1711"/>
      <c r="IS79" s="1711"/>
      <c r="IT79" s="1711"/>
      <c r="IU79" s="1711"/>
      <c r="IV79" s="1711"/>
    </row>
    <row r="80" spans="1:256" s="1710" customFormat="1" ht="16.5" thickTop="1">
      <c r="A80" s="1943" t="s">
        <v>2605</v>
      </c>
      <c r="B80" s="1944"/>
      <c r="C80" s="1944"/>
      <c r="D80" s="1944"/>
      <c r="E80" s="1945" t="s">
        <v>2601</v>
      </c>
      <c r="F80" s="1946">
        <f t="shared" si="41"/>
        <v>0</v>
      </c>
      <c r="G80" s="1947">
        <f t="shared" ref="G80:N80" si="47">IF(G76&lt;0,ROUNDUP(G76*$G$2,-3),ROUNDDOWN(G76*$G$2,-3))</f>
        <v>0</v>
      </c>
      <c r="H80" s="1947">
        <f t="shared" si="47"/>
        <v>0</v>
      </c>
      <c r="I80" s="1947">
        <f t="shared" si="47"/>
        <v>0</v>
      </c>
      <c r="J80" s="1947">
        <f>IF(J76&lt;0,ROUNDUP(J76*$G$2,-3),ROUNDDOWN(J76*$G$2,-3))</f>
        <v>0</v>
      </c>
      <c r="K80" s="1947">
        <f>IF(K76&lt;0,ROUNDUP(K76*$G$2,-3),ROUNDDOWN(K76*$G$2,-3))</f>
        <v>0</v>
      </c>
      <c r="L80" s="1947">
        <f t="shared" si="47"/>
        <v>0</v>
      </c>
      <c r="M80" s="1947">
        <f t="shared" si="47"/>
        <v>0</v>
      </c>
      <c r="N80" s="1955">
        <f t="shared" si="47"/>
        <v>0</v>
      </c>
      <c r="IA80" s="1711"/>
      <c r="IB80" s="1711"/>
      <c r="IC80" s="1711"/>
      <c r="ID80" s="1711"/>
      <c r="IE80" s="1711"/>
      <c r="IF80" s="1711"/>
      <c r="IG80" s="1711"/>
      <c r="IH80" s="1711"/>
      <c r="II80" s="1711"/>
      <c r="IJ80" s="1711"/>
      <c r="IK80" s="1711"/>
      <c r="IL80" s="1711"/>
      <c r="IM80" s="1711"/>
      <c r="IN80" s="1711"/>
      <c r="IO80" s="1711"/>
      <c r="IP80" s="1711"/>
      <c r="IQ80" s="1711"/>
      <c r="IR80" s="1711"/>
      <c r="IS80" s="1711"/>
      <c r="IT80" s="1711"/>
      <c r="IU80" s="1711"/>
      <c r="IV80" s="1711"/>
    </row>
    <row r="81" spans="1:256" s="1710" customFormat="1" ht="15.75">
      <c r="A81" s="1949"/>
      <c r="B81" s="2900" t="s">
        <v>2602</v>
      </c>
      <c r="C81" s="1950" t="s">
        <v>2770</v>
      </c>
      <c r="D81" s="1950"/>
      <c r="E81" s="1950"/>
      <c r="F81" s="1921">
        <f t="shared" si="41"/>
        <v>0</v>
      </c>
      <c r="G81" s="1956">
        <f t="shared" ref="G81:N81" si="48">IF(G78&lt;0,ROUNDDOWN(G78*$G$2,0),ROUNDUP(G78*$G$2,0))</f>
        <v>0</v>
      </c>
      <c r="H81" s="1956">
        <f t="shared" si="48"/>
        <v>0</v>
      </c>
      <c r="I81" s="1956">
        <f t="shared" si="48"/>
        <v>0</v>
      </c>
      <c r="J81" s="1956">
        <f>IF(J78&lt;0,ROUNDDOWN(J78*$G$2,0),ROUNDUP(J78*$G$2,0))</f>
        <v>0</v>
      </c>
      <c r="K81" s="1956">
        <f>IF(K78&lt;0,ROUNDDOWN(K78*$G$2,0),ROUNDUP(K78*$G$2,0))</f>
        <v>0</v>
      </c>
      <c r="L81" s="1956">
        <f t="shared" si="48"/>
        <v>0</v>
      </c>
      <c r="M81" s="1956">
        <f t="shared" si="48"/>
        <v>0</v>
      </c>
      <c r="N81" s="1957">
        <f t="shared" si="48"/>
        <v>0</v>
      </c>
      <c r="IA81" s="1711"/>
      <c r="IB81" s="1711"/>
      <c r="IC81" s="1711"/>
      <c r="ID81" s="1711"/>
      <c r="IE81" s="1711"/>
      <c r="IF81" s="1711"/>
      <c r="IG81" s="1711"/>
      <c r="IH81" s="1711"/>
      <c r="II81" s="1711"/>
      <c r="IJ81" s="1711"/>
      <c r="IK81" s="1711"/>
      <c r="IL81" s="1711"/>
      <c r="IM81" s="1711"/>
      <c r="IN81" s="1711"/>
      <c r="IO81" s="1711"/>
      <c r="IP81" s="1711"/>
      <c r="IQ81" s="1711"/>
      <c r="IR81" s="1711"/>
      <c r="IS81" s="1711"/>
      <c r="IT81" s="1711"/>
      <c r="IU81" s="1711"/>
      <c r="IV81" s="1711"/>
    </row>
    <row r="82" spans="1:256" s="1710" customFormat="1" ht="15.75">
      <c r="A82" s="1951"/>
      <c r="B82" s="2902"/>
      <c r="C82" s="1952" t="s">
        <v>2604</v>
      </c>
      <c r="D82" s="1952"/>
      <c r="E82" s="1952"/>
      <c r="F82" s="1932">
        <f t="shared" si="41"/>
        <v>0</v>
      </c>
      <c r="G82" s="1953">
        <f t="shared" ref="G82:N82" si="49">+G80-G81</f>
        <v>0</v>
      </c>
      <c r="H82" s="1953">
        <f t="shared" si="49"/>
        <v>0</v>
      </c>
      <c r="I82" s="1953">
        <f t="shared" si="49"/>
        <v>0</v>
      </c>
      <c r="J82" s="1953">
        <f>+J80-J81</f>
        <v>0</v>
      </c>
      <c r="K82" s="1953">
        <f>+K80-K81</f>
        <v>0</v>
      </c>
      <c r="L82" s="1953">
        <f t="shared" si="49"/>
        <v>0</v>
      </c>
      <c r="M82" s="1953">
        <f t="shared" si="49"/>
        <v>0</v>
      </c>
      <c r="N82" s="1954">
        <f t="shared" si="49"/>
        <v>0</v>
      </c>
      <c r="IA82" s="1711"/>
      <c r="IB82" s="1711"/>
      <c r="IC82" s="1711"/>
      <c r="ID82" s="1711"/>
      <c r="IE82" s="1711"/>
      <c r="IF82" s="1711"/>
      <c r="IG82" s="1711"/>
      <c r="IH82" s="1711"/>
      <c r="II82" s="1711"/>
      <c r="IJ82" s="1711"/>
      <c r="IK82" s="1711"/>
      <c r="IL82" s="1711"/>
      <c r="IM82" s="1711"/>
      <c r="IN82" s="1711"/>
      <c r="IO82" s="1711"/>
      <c r="IP82" s="1711"/>
      <c r="IQ82" s="1711"/>
      <c r="IR82" s="1711"/>
      <c r="IS82" s="1711"/>
      <c r="IT82" s="1711"/>
      <c r="IU82" s="1711"/>
      <c r="IV82" s="1711"/>
    </row>
    <row r="85" spans="1:256" ht="13.5" customHeight="1">
      <c r="A85" s="1703"/>
      <c r="B85" s="1703"/>
      <c r="C85" s="1704"/>
      <c r="D85" s="1704"/>
      <c r="E85" s="1705" t="s">
        <v>2522</v>
      </c>
      <c r="F85" s="1958" t="s">
        <v>2838</v>
      </c>
      <c r="G85" s="1959"/>
      <c r="H85" s="1959"/>
      <c r="I85" s="1713"/>
      <c r="J85" s="1713"/>
      <c r="K85" s="1713"/>
      <c r="L85" s="1713"/>
      <c r="M85" s="1960"/>
      <c r="N85" s="1709" t="s">
        <v>2891</v>
      </c>
    </row>
    <row r="86" spans="1:256" ht="13.5" customHeight="1">
      <c r="A86" s="1703"/>
      <c r="B86" s="1703"/>
      <c r="C86" s="1961" t="s">
        <v>2892</v>
      </c>
      <c r="D86" s="1962"/>
      <c r="E86" s="1704"/>
      <c r="F86" s="1704"/>
      <c r="G86" s="1963"/>
      <c r="H86" s="1713"/>
      <c r="I86" s="1713"/>
      <c r="J86" s="1713"/>
      <c r="K86" s="1713"/>
      <c r="L86" s="1713"/>
      <c r="M86" s="1703"/>
      <c r="N86" s="1964"/>
    </row>
    <row r="87" spans="1:256" ht="13.5" customHeight="1">
      <c r="A87" s="1965"/>
      <c r="B87" s="1966"/>
      <c r="C87" s="1967" t="s">
        <v>2531</v>
      </c>
      <c r="D87" s="1968"/>
      <c r="E87" s="1969"/>
      <c r="F87" s="1970" t="s">
        <v>2609</v>
      </c>
      <c r="G87" s="1971"/>
      <c r="H87" s="1971"/>
      <c r="I87" s="1971"/>
      <c r="J87" s="1971"/>
      <c r="K87" s="1971"/>
      <c r="L87" s="1972"/>
      <c r="M87" s="1972"/>
      <c r="N87" s="1973"/>
    </row>
    <row r="88" spans="1:256" ht="13.5" customHeight="1">
      <c r="A88" s="1974"/>
      <c r="B88" s="1975"/>
      <c r="C88" s="1976" t="s">
        <v>2533</v>
      </c>
      <c r="D88" s="1977"/>
      <c r="E88" s="1978"/>
      <c r="F88" s="1979" t="s">
        <v>2893</v>
      </c>
      <c r="G88" s="1980"/>
      <c r="H88" s="1980"/>
      <c r="I88" s="1980"/>
      <c r="J88" s="1980"/>
      <c r="K88" s="1980"/>
      <c r="L88" s="1980"/>
      <c r="M88" s="1980"/>
      <c r="N88" s="1981"/>
    </row>
    <row r="89" spans="1:256" ht="13.5" customHeight="1">
      <c r="A89" s="1982"/>
      <c r="B89" s="1983"/>
      <c r="C89" s="1983" t="s">
        <v>2775</v>
      </c>
      <c r="D89" s="1983"/>
      <c r="E89" s="1984" t="s">
        <v>2612</v>
      </c>
      <c r="F89" s="1985" t="s">
        <v>2526</v>
      </c>
      <c r="G89" s="1986"/>
      <c r="H89" s="1986"/>
      <c r="I89" s="1986"/>
      <c r="J89" s="1986"/>
      <c r="K89" s="1986"/>
      <c r="L89" s="1987"/>
      <c r="M89" s="1987"/>
      <c r="N89" s="1988"/>
    </row>
    <row r="90" spans="1:256" ht="13.5" customHeight="1">
      <c r="A90" s="1757"/>
      <c r="B90" s="1738"/>
      <c r="C90" s="1989" t="s">
        <v>2613</v>
      </c>
      <c r="D90" s="1989"/>
      <c r="E90" s="1990" t="s">
        <v>2612</v>
      </c>
      <c r="F90" s="1991" t="s">
        <v>2614</v>
      </c>
      <c r="G90" s="1992"/>
      <c r="H90" s="1992"/>
      <c r="I90" s="1992"/>
      <c r="J90" s="1992"/>
      <c r="K90" s="1992"/>
      <c r="L90" s="1992"/>
      <c r="M90" s="1992"/>
      <c r="N90" s="1993"/>
    </row>
    <row r="91" spans="1:256" ht="13.5" customHeight="1">
      <c r="A91" s="1757"/>
      <c r="B91" s="1738"/>
      <c r="C91" s="2892" t="s">
        <v>2880</v>
      </c>
      <c r="D91" s="2892"/>
      <c r="E91" s="2892"/>
      <c r="F91" s="2893"/>
      <c r="G91" s="1994"/>
      <c r="H91" s="1994"/>
      <c r="I91" s="1994"/>
      <c r="J91" s="1994"/>
      <c r="K91" s="1994"/>
      <c r="L91" s="1994"/>
      <c r="M91" s="1994"/>
      <c r="N91" s="1995"/>
    </row>
    <row r="92" spans="1:256" ht="30" customHeight="1">
      <c r="A92" s="2894" t="s">
        <v>2535</v>
      </c>
      <c r="B92" s="2895"/>
      <c r="C92" s="2895"/>
      <c r="D92" s="2895"/>
      <c r="E92" s="2895"/>
      <c r="F92" s="2896"/>
      <c r="G92" s="1996"/>
      <c r="H92" s="1996"/>
      <c r="I92" s="1996"/>
      <c r="J92" s="1996"/>
      <c r="K92" s="1996"/>
      <c r="L92" s="1996"/>
      <c r="M92" s="1996"/>
      <c r="N92" s="1997"/>
    </row>
    <row r="93" spans="1:256" ht="30" customHeight="1">
      <c r="A93" s="2897" t="s">
        <v>2536</v>
      </c>
      <c r="B93" s="2898"/>
      <c r="C93" s="2898"/>
      <c r="D93" s="2898"/>
      <c r="E93" s="2898"/>
      <c r="F93" s="2899"/>
      <c r="G93" s="1998"/>
      <c r="H93" s="1998"/>
      <c r="I93" s="1998"/>
      <c r="J93" s="1998"/>
      <c r="K93" s="1998"/>
      <c r="L93" s="1998"/>
      <c r="M93" s="1998"/>
      <c r="N93" s="1999"/>
    </row>
    <row r="94" spans="1:256" ht="13.5" customHeight="1">
      <c r="A94" s="1982"/>
      <c r="B94" s="2000" t="s">
        <v>2750</v>
      </c>
      <c r="C94" s="2001"/>
      <c r="D94" s="2001"/>
      <c r="E94" s="2002"/>
      <c r="F94" s="2003">
        <f t="shared" ref="F94:F105" si="50">SUM(G94:N94)</f>
        <v>0</v>
      </c>
      <c r="G94" s="2004"/>
      <c r="H94" s="2004"/>
      <c r="I94" s="2004"/>
      <c r="J94" s="2004"/>
      <c r="K94" s="2004"/>
      <c r="L94" s="2005"/>
      <c r="M94" s="2005"/>
      <c r="N94" s="2006"/>
    </row>
    <row r="95" spans="1:256" ht="13.5" customHeight="1">
      <c r="A95" s="1757"/>
      <c r="B95" s="1780" t="s">
        <v>2539</v>
      </c>
      <c r="C95" s="2007"/>
      <c r="D95" s="2008"/>
      <c r="E95" s="2009"/>
      <c r="F95" s="2010">
        <f t="shared" si="50"/>
        <v>0</v>
      </c>
      <c r="G95" s="2011">
        <f t="shared" ref="G95:N95" si="51">SUM(G96:G97)</f>
        <v>0</v>
      </c>
      <c r="H95" s="2011">
        <f t="shared" si="51"/>
        <v>0</v>
      </c>
      <c r="I95" s="2011">
        <f t="shared" si="51"/>
        <v>0</v>
      </c>
      <c r="J95" s="2011">
        <f>SUM(J96:J97)</f>
        <v>0</v>
      </c>
      <c r="K95" s="2011">
        <f>SUM(K96:K97)</f>
        <v>0</v>
      </c>
      <c r="L95" s="2011">
        <f t="shared" si="51"/>
        <v>0</v>
      </c>
      <c r="M95" s="2011">
        <f t="shared" si="51"/>
        <v>0</v>
      </c>
      <c r="N95" s="2012">
        <f t="shared" si="51"/>
        <v>0</v>
      </c>
    </row>
    <row r="96" spans="1:256" ht="13.5" customHeight="1">
      <c r="A96" s="1757"/>
      <c r="B96" s="1780" t="s">
        <v>2540</v>
      </c>
      <c r="C96" s="1989"/>
      <c r="D96" s="1989"/>
      <c r="E96" s="2013"/>
      <c r="F96" s="2014">
        <f t="shared" si="50"/>
        <v>0</v>
      </c>
      <c r="G96" s="2015">
        <f t="shared" ref="G96:N96" si="52">G172</f>
        <v>0</v>
      </c>
      <c r="H96" s="2015">
        <f t="shared" si="52"/>
        <v>0</v>
      </c>
      <c r="I96" s="2015">
        <f t="shared" si="52"/>
        <v>0</v>
      </c>
      <c r="J96" s="2015">
        <f>J172</f>
        <v>0</v>
      </c>
      <c r="K96" s="2015">
        <f>K172</f>
        <v>0</v>
      </c>
      <c r="L96" s="2015">
        <f t="shared" si="52"/>
        <v>0</v>
      </c>
      <c r="M96" s="2015">
        <f t="shared" si="52"/>
        <v>0</v>
      </c>
      <c r="N96" s="2016">
        <f t="shared" si="52"/>
        <v>0</v>
      </c>
    </row>
    <row r="97" spans="1:14" ht="13.5" customHeight="1">
      <c r="A97" s="1757"/>
      <c r="B97" s="1780" t="s">
        <v>2546</v>
      </c>
      <c r="C97" s="1989"/>
      <c r="D97" s="1989"/>
      <c r="E97" s="2013"/>
      <c r="F97" s="2017">
        <f t="shared" si="50"/>
        <v>0</v>
      </c>
      <c r="G97" s="2018"/>
      <c r="H97" s="2018"/>
      <c r="I97" s="2018"/>
      <c r="J97" s="2018"/>
      <c r="K97" s="2018"/>
      <c r="L97" s="2019"/>
      <c r="M97" s="2019"/>
      <c r="N97" s="2020"/>
    </row>
    <row r="98" spans="1:14" ht="13.5" customHeight="1">
      <c r="A98" s="1757"/>
      <c r="B98" s="2021" t="s">
        <v>2883</v>
      </c>
      <c r="C98" s="2022"/>
      <c r="D98" s="2023"/>
      <c r="E98" s="2024"/>
      <c r="F98" s="2025">
        <f t="shared" si="50"/>
        <v>0</v>
      </c>
      <c r="G98" s="2026"/>
      <c r="H98" s="2026"/>
      <c r="I98" s="2026"/>
      <c r="J98" s="2026"/>
      <c r="K98" s="2026"/>
      <c r="L98" s="2027"/>
      <c r="M98" s="2027"/>
      <c r="N98" s="2028"/>
    </row>
    <row r="99" spans="1:14" ht="13.5" hidden="1" customHeight="1">
      <c r="A99" s="2029"/>
      <c r="B99" s="2030"/>
      <c r="C99" s="2031" t="s">
        <v>2894</v>
      </c>
      <c r="D99" s="2032"/>
      <c r="E99" s="2033"/>
      <c r="F99" s="2034">
        <f t="shared" si="50"/>
        <v>0</v>
      </c>
      <c r="G99" s="2035"/>
      <c r="H99" s="2035"/>
      <c r="I99" s="2035"/>
      <c r="J99" s="2035"/>
      <c r="K99" s="2035"/>
      <c r="L99" s="2036"/>
      <c r="M99" s="2036"/>
      <c r="N99" s="2037"/>
    </row>
    <row r="100" spans="1:14" ht="13.5" hidden="1" customHeight="1">
      <c r="A100" s="2029"/>
      <c r="B100" s="2030"/>
      <c r="C100" s="2031" t="s">
        <v>2895</v>
      </c>
      <c r="D100" s="2032"/>
      <c r="E100" s="2033"/>
      <c r="F100" s="2034">
        <f t="shared" si="50"/>
        <v>0</v>
      </c>
      <c r="G100" s="2035"/>
      <c r="H100" s="2035"/>
      <c r="I100" s="2035"/>
      <c r="J100" s="2035"/>
      <c r="K100" s="2035"/>
      <c r="L100" s="2036"/>
      <c r="M100" s="2036"/>
      <c r="N100" s="2037"/>
    </row>
    <row r="101" spans="1:14" ht="13.5" hidden="1" customHeight="1">
      <c r="A101" s="2029"/>
      <c r="B101" s="2030"/>
      <c r="C101" s="2031" t="s">
        <v>2548</v>
      </c>
      <c r="D101" s="2032"/>
      <c r="E101" s="2033"/>
      <c r="F101" s="2034">
        <f t="shared" si="50"/>
        <v>0</v>
      </c>
      <c r="G101" s="2035"/>
      <c r="H101" s="2035"/>
      <c r="I101" s="2035"/>
      <c r="J101" s="2035"/>
      <c r="K101" s="2035"/>
      <c r="L101" s="2036"/>
      <c r="M101" s="2036"/>
      <c r="N101" s="2037"/>
    </row>
    <row r="102" spans="1:14" ht="13.5" hidden="1" customHeight="1">
      <c r="A102" s="2038"/>
      <c r="B102" s="2039"/>
      <c r="C102" s="2040" t="s">
        <v>2896</v>
      </c>
      <c r="D102" s="2041"/>
      <c r="E102" s="2024"/>
      <c r="F102" s="2042">
        <f t="shared" si="50"/>
        <v>0</v>
      </c>
      <c r="G102" s="2026"/>
      <c r="H102" s="2026"/>
      <c r="I102" s="2026"/>
      <c r="J102" s="2026"/>
      <c r="K102" s="2026"/>
      <c r="L102" s="2027"/>
      <c r="M102" s="2027"/>
      <c r="N102" s="2028"/>
    </row>
    <row r="103" spans="1:14" ht="13.5" hidden="1" customHeight="1">
      <c r="A103" s="2043"/>
      <c r="B103" s="2044"/>
      <c r="C103" s="2045" t="s">
        <v>2622</v>
      </c>
      <c r="D103" s="2046"/>
      <c r="E103" s="2047"/>
      <c r="F103" s="2048">
        <f t="shared" si="50"/>
        <v>0</v>
      </c>
      <c r="G103" s="2049"/>
      <c r="H103" s="2049"/>
      <c r="I103" s="2049"/>
      <c r="J103" s="2049"/>
      <c r="K103" s="2049"/>
      <c r="L103" s="2050"/>
      <c r="M103" s="2050"/>
      <c r="N103" s="2051"/>
    </row>
    <row r="104" spans="1:14" ht="13.5" customHeight="1">
      <c r="A104" s="1982"/>
      <c r="B104" s="2052" t="s">
        <v>2842</v>
      </c>
      <c r="C104" s="2053"/>
      <c r="D104" s="2053"/>
      <c r="E104" s="2054"/>
      <c r="F104" s="2003">
        <f t="shared" si="50"/>
        <v>0</v>
      </c>
      <c r="G104" s="2055">
        <f t="shared" ref="G104:N104" si="53">SUM(G179:G194)</f>
        <v>0</v>
      </c>
      <c r="H104" s="2055">
        <f t="shared" si="53"/>
        <v>0</v>
      </c>
      <c r="I104" s="2055">
        <f t="shared" si="53"/>
        <v>0</v>
      </c>
      <c r="J104" s="2055">
        <f>SUM(J179:J194)</f>
        <v>0</v>
      </c>
      <c r="K104" s="2055">
        <f>SUM(K179:K194)</f>
        <v>0</v>
      </c>
      <c r="L104" s="2055">
        <f t="shared" si="53"/>
        <v>0</v>
      </c>
      <c r="M104" s="2055">
        <f t="shared" si="53"/>
        <v>0</v>
      </c>
      <c r="N104" s="2056">
        <f t="shared" si="53"/>
        <v>0</v>
      </c>
    </row>
    <row r="105" spans="1:14" ht="13.5" customHeight="1">
      <c r="A105" s="1757"/>
      <c r="B105" s="1738"/>
      <c r="C105" s="2057" t="s">
        <v>2897</v>
      </c>
      <c r="D105" s="2058"/>
      <c r="E105" s="2059"/>
      <c r="F105" s="2010">
        <f t="shared" si="50"/>
        <v>0</v>
      </c>
      <c r="G105" s="2060">
        <f t="shared" ref="G105:N105" si="54">G104-G108</f>
        <v>0</v>
      </c>
      <c r="H105" s="2060">
        <f t="shared" si="54"/>
        <v>0</v>
      </c>
      <c r="I105" s="2060">
        <f t="shared" si="54"/>
        <v>0</v>
      </c>
      <c r="J105" s="2060">
        <f>J104-J108</f>
        <v>0</v>
      </c>
      <c r="K105" s="2060">
        <f>K104-K108</f>
        <v>0</v>
      </c>
      <c r="L105" s="2060">
        <f t="shared" si="54"/>
        <v>0</v>
      </c>
      <c r="M105" s="2060">
        <f t="shared" si="54"/>
        <v>0</v>
      </c>
      <c r="N105" s="2061">
        <f t="shared" si="54"/>
        <v>0</v>
      </c>
    </row>
    <row r="106" spans="1:14" ht="13.5" customHeight="1">
      <c r="A106" s="1757"/>
      <c r="B106" s="1738"/>
      <c r="C106" s="2062"/>
      <c r="D106" s="2062"/>
      <c r="E106" s="2063"/>
      <c r="F106" s="2064" t="s">
        <v>2779</v>
      </c>
      <c r="G106" s="2065">
        <f t="shared" ref="G106:N106" si="55">SUM(G183:G194)</f>
        <v>0</v>
      </c>
      <c r="H106" s="2065">
        <f t="shared" si="55"/>
        <v>0</v>
      </c>
      <c r="I106" s="2065">
        <f t="shared" si="55"/>
        <v>0</v>
      </c>
      <c r="J106" s="2065">
        <f>SUM(J183:J194)</f>
        <v>0</v>
      </c>
      <c r="K106" s="2065">
        <f>SUM(K183:K194)</f>
        <v>0</v>
      </c>
      <c r="L106" s="2065">
        <f t="shared" si="55"/>
        <v>0</v>
      </c>
      <c r="M106" s="2065">
        <f t="shared" si="55"/>
        <v>0</v>
      </c>
      <c r="N106" s="2066">
        <f t="shared" si="55"/>
        <v>0</v>
      </c>
    </row>
    <row r="107" spans="1:14" ht="13.5" customHeight="1">
      <c r="A107" s="1757"/>
      <c r="B107" s="1738"/>
      <c r="C107" s="2062"/>
      <c r="D107" s="2062"/>
      <c r="E107" s="2063"/>
      <c r="F107" s="2064" t="s">
        <v>2620</v>
      </c>
      <c r="G107" s="2065">
        <f t="shared" ref="G107:N107" si="56">SUM(G183:G190,G142)</f>
        <v>0</v>
      </c>
      <c r="H107" s="2065">
        <f t="shared" si="56"/>
        <v>0</v>
      </c>
      <c r="I107" s="2065">
        <f t="shared" si="56"/>
        <v>0</v>
      </c>
      <c r="J107" s="2065">
        <f>SUM(J183:J190,J142)</f>
        <v>0</v>
      </c>
      <c r="K107" s="2065">
        <f>SUM(K183:K190,K142)</f>
        <v>0</v>
      </c>
      <c r="L107" s="2065">
        <f t="shared" si="56"/>
        <v>0</v>
      </c>
      <c r="M107" s="2065">
        <f t="shared" si="56"/>
        <v>0</v>
      </c>
      <c r="N107" s="2066">
        <f t="shared" si="56"/>
        <v>0</v>
      </c>
    </row>
    <row r="108" spans="1:14" ht="13.5" customHeight="1">
      <c r="A108" s="2067"/>
      <c r="B108" s="2068"/>
      <c r="C108" s="2069" t="s">
        <v>2780</v>
      </c>
      <c r="D108" s="2069"/>
      <c r="E108" s="2070"/>
      <c r="F108" s="2071">
        <f t="shared" ref="F108:F117" si="57">SUM(G108:N108)</f>
        <v>0</v>
      </c>
      <c r="G108" s="2072">
        <f t="shared" ref="G108:N108" si="58">G98+G137+G138+G139+G142+G141+G182+G183</f>
        <v>0</v>
      </c>
      <c r="H108" s="2072">
        <f t="shared" si="58"/>
        <v>0</v>
      </c>
      <c r="I108" s="2072">
        <f t="shared" si="58"/>
        <v>0</v>
      </c>
      <c r="J108" s="2072">
        <f>J98+J137+J138+J139+J142+J141+J182+J183</f>
        <v>0</v>
      </c>
      <c r="K108" s="2072">
        <f>K98+K137+K138+K139+K142+K141+K182+K183</f>
        <v>0</v>
      </c>
      <c r="L108" s="2072">
        <f t="shared" si="58"/>
        <v>0</v>
      </c>
      <c r="M108" s="2072">
        <f t="shared" si="58"/>
        <v>0</v>
      </c>
      <c r="N108" s="2073">
        <f t="shared" si="58"/>
        <v>0</v>
      </c>
    </row>
    <row r="109" spans="1:14" ht="13.5" customHeight="1">
      <c r="A109" s="1757"/>
      <c r="B109" s="2074" t="s">
        <v>2781</v>
      </c>
      <c r="C109" s="2074"/>
      <c r="D109" s="2074"/>
      <c r="E109" s="2075"/>
      <c r="F109" s="2076">
        <f t="shared" si="57"/>
        <v>0</v>
      </c>
      <c r="G109" s="2077">
        <f t="shared" ref="G109:N109" si="59">G110+G113</f>
        <v>0</v>
      </c>
      <c r="H109" s="2077">
        <f t="shared" si="59"/>
        <v>0</v>
      </c>
      <c r="I109" s="2077">
        <f t="shared" si="59"/>
        <v>0</v>
      </c>
      <c r="J109" s="2077">
        <f>J110+J113</f>
        <v>0</v>
      </c>
      <c r="K109" s="2077">
        <f>K110+K113</f>
        <v>0</v>
      </c>
      <c r="L109" s="2077">
        <f t="shared" si="59"/>
        <v>0</v>
      </c>
      <c r="M109" s="2077">
        <f t="shared" si="59"/>
        <v>0</v>
      </c>
      <c r="N109" s="2078">
        <f t="shared" si="59"/>
        <v>0</v>
      </c>
    </row>
    <row r="110" spans="1:14" ht="13.5" customHeight="1">
      <c r="A110" s="1757"/>
      <c r="B110" s="1738"/>
      <c r="C110" s="2079" t="s">
        <v>2624</v>
      </c>
      <c r="D110" s="2079"/>
      <c r="E110" s="2080"/>
      <c r="F110" s="2010">
        <f t="shared" si="57"/>
        <v>0</v>
      </c>
      <c r="G110" s="2060">
        <f t="shared" ref="G110:N110" si="60">SUM(G111:G112)</f>
        <v>0</v>
      </c>
      <c r="H110" s="2060">
        <f t="shared" si="60"/>
        <v>0</v>
      </c>
      <c r="I110" s="2060">
        <f t="shared" si="60"/>
        <v>0</v>
      </c>
      <c r="J110" s="2060">
        <f>SUM(J111:J112)</f>
        <v>0</v>
      </c>
      <c r="K110" s="2060">
        <f>SUM(K111:K112)</f>
        <v>0</v>
      </c>
      <c r="L110" s="2060">
        <f t="shared" si="60"/>
        <v>0</v>
      </c>
      <c r="M110" s="2060">
        <f t="shared" si="60"/>
        <v>0</v>
      </c>
      <c r="N110" s="2061">
        <f t="shared" si="60"/>
        <v>0</v>
      </c>
    </row>
    <row r="111" spans="1:14" ht="13.5" customHeight="1">
      <c r="A111" s="1757"/>
      <c r="B111" s="1738"/>
      <c r="C111" s="2081" t="s">
        <v>2626</v>
      </c>
      <c r="D111" s="2081"/>
      <c r="E111" s="2063"/>
      <c r="F111" s="2082">
        <f t="shared" si="57"/>
        <v>0</v>
      </c>
      <c r="G111" s="2065">
        <f t="shared" ref="G111:N111" si="61">+G197+G199+G201+G202</f>
        <v>0</v>
      </c>
      <c r="H111" s="2065">
        <f t="shared" si="61"/>
        <v>0</v>
      </c>
      <c r="I111" s="2065">
        <f t="shared" si="61"/>
        <v>0</v>
      </c>
      <c r="J111" s="2065">
        <f>+J197+J199+J201+J202</f>
        <v>0</v>
      </c>
      <c r="K111" s="2065">
        <f>+K197+K199+K201+K202</f>
        <v>0</v>
      </c>
      <c r="L111" s="2065">
        <f t="shared" si="61"/>
        <v>0</v>
      </c>
      <c r="M111" s="2065">
        <f t="shared" si="61"/>
        <v>0</v>
      </c>
      <c r="N111" s="2066">
        <f t="shared" si="61"/>
        <v>0</v>
      </c>
    </row>
    <row r="112" spans="1:14" ht="13.5" customHeight="1">
      <c r="A112" s="1757"/>
      <c r="B112" s="1738"/>
      <c r="C112" s="2081" t="s">
        <v>2631</v>
      </c>
      <c r="D112" s="2081"/>
      <c r="E112" s="2063"/>
      <c r="F112" s="2082">
        <f t="shared" si="57"/>
        <v>0</v>
      </c>
      <c r="G112" s="2065">
        <f t="shared" ref="G112:N112" si="62">SUM(G203:G216)</f>
        <v>0</v>
      </c>
      <c r="H112" s="2065">
        <f t="shared" si="62"/>
        <v>0</v>
      </c>
      <c r="I112" s="2065">
        <f t="shared" si="62"/>
        <v>0</v>
      </c>
      <c r="J112" s="2065">
        <f>SUM(J203:J216)</f>
        <v>0</v>
      </c>
      <c r="K112" s="2065">
        <f>SUM(K203:K216)</f>
        <v>0</v>
      </c>
      <c r="L112" s="2065">
        <f t="shared" si="62"/>
        <v>0</v>
      </c>
      <c r="M112" s="2065">
        <f t="shared" si="62"/>
        <v>0</v>
      </c>
      <c r="N112" s="2066">
        <f t="shared" si="62"/>
        <v>0</v>
      </c>
    </row>
    <row r="113" spans="1:14" ht="13.5" customHeight="1">
      <c r="A113" s="2083"/>
      <c r="B113" s="2084"/>
      <c r="C113" s="2085" t="s">
        <v>2629</v>
      </c>
      <c r="D113" s="2085"/>
      <c r="E113" s="2086"/>
      <c r="F113" s="2087">
        <f t="shared" si="57"/>
        <v>0</v>
      </c>
      <c r="G113" s="2088">
        <f t="shared" ref="G113:N113" si="63">SUM(G114:G116)</f>
        <v>0</v>
      </c>
      <c r="H113" s="2088">
        <f t="shared" si="63"/>
        <v>0</v>
      </c>
      <c r="I113" s="2088">
        <f t="shared" si="63"/>
        <v>0</v>
      </c>
      <c r="J113" s="2088">
        <f>SUM(J114:J116)</f>
        <v>0</v>
      </c>
      <c r="K113" s="2088">
        <f>SUM(K114:K116)</f>
        <v>0</v>
      </c>
      <c r="L113" s="2088">
        <f t="shared" si="63"/>
        <v>0</v>
      </c>
      <c r="M113" s="2088">
        <f t="shared" si="63"/>
        <v>0</v>
      </c>
      <c r="N113" s="2089">
        <f t="shared" si="63"/>
        <v>0</v>
      </c>
    </row>
    <row r="114" spans="1:14" ht="13.5" customHeight="1">
      <c r="A114" s="2083"/>
      <c r="B114" s="2084"/>
      <c r="C114" s="2090" t="s">
        <v>2626</v>
      </c>
      <c r="D114" s="2090"/>
      <c r="E114" s="2086"/>
      <c r="F114" s="2087">
        <f t="shared" si="57"/>
        <v>0</v>
      </c>
      <c r="G114" s="2088">
        <f t="shared" ref="G114:N114" si="64">+G239-G254</f>
        <v>0</v>
      </c>
      <c r="H114" s="2088">
        <f t="shared" si="64"/>
        <v>0</v>
      </c>
      <c r="I114" s="2088">
        <f t="shared" si="64"/>
        <v>0</v>
      </c>
      <c r="J114" s="2088">
        <f>+J239-J254</f>
        <v>0</v>
      </c>
      <c r="K114" s="2088">
        <f>+K239-K254</f>
        <v>0</v>
      </c>
      <c r="L114" s="2088">
        <f t="shared" si="64"/>
        <v>0</v>
      </c>
      <c r="M114" s="2088">
        <f t="shared" si="64"/>
        <v>0</v>
      </c>
      <c r="N114" s="2089">
        <f t="shared" si="64"/>
        <v>0</v>
      </c>
    </row>
    <row r="115" spans="1:14" ht="13.5" customHeight="1">
      <c r="A115" s="2083"/>
      <c r="B115" s="2084"/>
      <c r="C115" s="2090" t="s">
        <v>2630</v>
      </c>
      <c r="D115" s="2090"/>
      <c r="E115" s="2086"/>
      <c r="F115" s="2087">
        <f t="shared" si="57"/>
        <v>0</v>
      </c>
      <c r="G115" s="2088">
        <f t="shared" ref="G115:N115" si="65">+G240+G241</f>
        <v>0</v>
      </c>
      <c r="H115" s="2088">
        <f t="shared" si="65"/>
        <v>0</v>
      </c>
      <c r="I115" s="2088">
        <f t="shared" si="65"/>
        <v>0</v>
      </c>
      <c r="J115" s="2088">
        <f>+J240+J241</f>
        <v>0</v>
      </c>
      <c r="K115" s="2088">
        <f>+K240+K241</f>
        <v>0</v>
      </c>
      <c r="L115" s="2088">
        <f t="shared" si="65"/>
        <v>0</v>
      </c>
      <c r="M115" s="2088">
        <f t="shared" si="65"/>
        <v>0</v>
      </c>
      <c r="N115" s="2089">
        <f t="shared" si="65"/>
        <v>0</v>
      </c>
    </row>
    <row r="116" spans="1:14" ht="13.5" customHeight="1">
      <c r="A116" s="2083"/>
      <c r="B116" s="2091"/>
      <c r="C116" s="2023" t="s">
        <v>2631</v>
      </c>
      <c r="D116" s="2023"/>
      <c r="E116" s="2092"/>
      <c r="F116" s="2093">
        <f t="shared" si="57"/>
        <v>0</v>
      </c>
      <c r="G116" s="2094">
        <f t="shared" ref="G116:N116" si="66">SUM(G242:G246)</f>
        <v>0</v>
      </c>
      <c r="H116" s="2094">
        <f t="shared" si="66"/>
        <v>0</v>
      </c>
      <c r="I116" s="2094">
        <f t="shared" si="66"/>
        <v>0</v>
      </c>
      <c r="J116" s="2094">
        <f>SUM(J242:J246)</f>
        <v>0</v>
      </c>
      <c r="K116" s="2094">
        <f>SUM(K242:K246)</f>
        <v>0</v>
      </c>
      <c r="L116" s="2094">
        <f t="shared" si="66"/>
        <v>0</v>
      </c>
      <c r="M116" s="2094">
        <f t="shared" si="66"/>
        <v>0</v>
      </c>
      <c r="N116" s="2095">
        <f t="shared" si="66"/>
        <v>0</v>
      </c>
    </row>
    <row r="117" spans="1:14" ht="13.5" customHeight="1">
      <c r="A117" s="2096"/>
      <c r="B117" s="2053" t="s">
        <v>2633</v>
      </c>
      <c r="C117" s="2097"/>
      <c r="D117" s="2053"/>
      <c r="E117" s="2098"/>
      <c r="F117" s="2003">
        <f t="shared" si="57"/>
        <v>0</v>
      </c>
      <c r="G117" s="2099">
        <f t="shared" ref="G117:N117" si="67">G104+G109</f>
        <v>0</v>
      </c>
      <c r="H117" s="2099">
        <f t="shared" si="67"/>
        <v>0</v>
      </c>
      <c r="I117" s="2099">
        <f t="shared" si="67"/>
        <v>0</v>
      </c>
      <c r="J117" s="2099">
        <f>J104+J109</f>
        <v>0</v>
      </c>
      <c r="K117" s="2099">
        <f>K104+K109</f>
        <v>0</v>
      </c>
      <c r="L117" s="2099">
        <f t="shared" si="67"/>
        <v>0</v>
      </c>
      <c r="M117" s="2099">
        <f t="shared" si="67"/>
        <v>0</v>
      </c>
      <c r="N117" s="2100">
        <f t="shared" si="67"/>
        <v>0</v>
      </c>
    </row>
    <row r="118" spans="1:14" ht="13.5" customHeight="1">
      <c r="A118" s="2001"/>
      <c r="B118" s="2001"/>
      <c r="C118" s="2101" t="s">
        <v>2843</v>
      </c>
      <c r="D118" s="2101"/>
      <c r="E118" s="2102"/>
      <c r="F118" s="2103"/>
      <c r="G118" s="2104" t="s">
        <v>2635</v>
      </c>
      <c r="H118" s="2105"/>
      <c r="I118" s="2105"/>
      <c r="J118" s="2105"/>
      <c r="K118" s="2105"/>
      <c r="L118" s="2105"/>
      <c r="M118" s="2105"/>
      <c r="N118" s="2105"/>
    </row>
    <row r="119" spans="1:14" ht="13.5" customHeight="1">
      <c r="A119" s="1982"/>
      <c r="B119" s="1983"/>
      <c r="C119" s="1983"/>
      <c r="D119" s="2106"/>
      <c r="E119" s="1985"/>
      <c r="F119" s="1985" t="s">
        <v>2526</v>
      </c>
      <c r="G119" s="1987">
        <f t="shared" ref="G119:N119" si="68">+G89</f>
        <v>0</v>
      </c>
      <c r="H119" s="1987">
        <f t="shared" si="68"/>
        <v>0</v>
      </c>
      <c r="I119" s="1987">
        <f t="shared" si="68"/>
        <v>0</v>
      </c>
      <c r="J119" s="1987">
        <f>+J89</f>
        <v>0</v>
      </c>
      <c r="K119" s="1987">
        <f>+K89</f>
        <v>0</v>
      </c>
      <c r="L119" s="1987">
        <f t="shared" si="68"/>
        <v>0</v>
      </c>
      <c r="M119" s="1987">
        <f t="shared" si="68"/>
        <v>0</v>
      </c>
      <c r="N119" s="1988">
        <f t="shared" si="68"/>
        <v>0</v>
      </c>
    </row>
    <row r="120" spans="1:14" ht="13.5" customHeight="1">
      <c r="A120" s="2107" t="s">
        <v>2844</v>
      </c>
      <c r="B120" s="2108"/>
      <c r="C120" s="2109"/>
      <c r="D120" s="2109"/>
      <c r="E120" s="2110"/>
      <c r="F120" s="2111"/>
      <c r="G120" s="2112"/>
      <c r="H120" s="2112"/>
      <c r="I120" s="2112"/>
      <c r="J120" s="2112"/>
      <c r="K120" s="2112"/>
      <c r="L120" s="2112"/>
      <c r="M120" s="2112"/>
      <c r="N120" s="2113"/>
    </row>
    <row r="121" spans="1:14" ht="13.5" customHeight="1">
      <c r="A121" s="2880"/>
      <c r="B121" s="2883" t="s">
        <v>2550</v>
      </c>
      <c r="C121" s="2058" t="s">
        <v>2551</v>
      </c>
      <c r="D121" s="2058"/>
      <c r="E121" s="2080"/>
      <c r="F121" s="2010">
        <f t="shared" ref="F121:F142" si="69">SUM(G121:N121)</f>
        <v>0</v>
      </c>
      <c r="G121" s="2114">
        <f t="shared" ref="G121:N121" si="70">IF(G88="新営",G94-SUM(G126:G132)-G136-G140,0)</f>
        <v>0</v>
      </c>
      <c r="H121" s="2114">
        <f t="shared" si="70"/>
        <v>0</v>
      </c>
      <c r="I121" s="2114">
        <f t="shared" si="70"/>
        <v>0</v>
      </c>
      <c r="J121" s="2114">
        <f>IF(J88="新営",J94-SUM(J126:J132)-J136-J140,0)</f>
        <v>0</v>
      </c>
      <c r="K121" s="2114">
        <f>IF(K88="新営",K94-SUM(K126:K132)-K136-K140,0)</f>
        <v>0</v>
      </c>
      <c r="L121" s="2114">
        <f t="shared" si="70"/>
        <v>0</v>
      </c>
      <c r="M121" s="2114">
        <f t="shared" si="70"/>
        <v>0</v>
      </c>
      <c r="N121" s="2115">
        <f t="shared" si="70"/>
        <v>0</v>
      </c>
    </row>
    <row r="122" spans="1:14" ht="13.5" customHeight="1">
      <c r="A122" s="2881"/>
      <c r="B122" s="2884"/>
      <c r="C122" s="2116" t="s">
        <v>2898</v>
      </c>
      <c r="D122" s="2116"/>
      <c r="E122" s="2117"/>
      <c r="F122" s="2118">
        <f t="shared" si="69"/>
        <v>0</v>
      </c>
      <c r="G122" s="2119">
        <f t="shared" ref="G122:N122" si="71">IF(G88="改修",G94-SUM(G126:G132)-G136-G140,0)</f>
        <v>0</v>
      </c>
      <c r="H122" s="2119">
        <f t="shared" si="71"/>
        <v>0</v>
      </c>
      <c r="I122" s="2119">
        <f t="shared" si="71"/>
        <v>0</v>
      </c>
      <c r="J122" s="2119">
        <f>IF(J88="改修",J94-SUM(J126:J132)-J136-J140,0)</f>
        <v>0</v>
      </c>
      <c r="K122" s="2119">
        <f>IF(K88="改修",K94-SUM(K126:K132)-K136-K140,0)</f>
        <v>0</v>
      </c>
      <c r="L122" s="2119">
        <f t="shared" si="71"/>
        <v>0</v>
      </c>
      <c r="M122" s="2119">
        <f t="shared" si="71"/>
        <v>0</v>
      </c>
      <c r="N122" s="2120">
        <f t="shared" si="71"/>
        <v>0</v>
      </c>
    </row>
    <row r="123" spans="1:14" ht="13.5" customHeight="1">
      <c r="A123" s="2881"/>
      <c r="B123" s="2884"/>
      <c r="C123" s="2121" t="s">
        <v>2899</v>
      </c>
      <c r="D123" s="2121"/>
      <c r="E123" s="2122"/>
      <c r="F123" s="2082">
        <f t="shared" si="69"/>
        <v>0</v>
      </c>
      <c r="G123" s="2065">
        <f t="shared" ref="G123:N123" si="72">G98</f>
        <v>0</v>
      </c>
      <c r="H123" s="2065">
        <f t="shared" si="72"/>
        <v>0</v>
      </c>
      <c r="I123" s="2065">
        <f t="shared" si="72"/>
        <v>0</v>
      </c>
      <c r="J123" s="2065">
        <f>J98</f>
        <v>0</v>
      </c>
      <c r="K123" s="2065">
        <f>K98</f>
        <v>0</v>
      </c>
      <c r="L123" s="2065">
        <f t="shared" si="72"/>
        <v>0</v>
      </c>
      <c r="M123" s="2065">
        <f t="shared" si="72"/>
        <v>0</v>
      </c>
      <c r="N123" s="2066">
        <f t="shared" si="72"/>
        <v>0</v>
      </c>
    </row>
    <row r="124" spans="1:14" ht="13.5" customHeight="1">
      <c r="A124" s="2881"/>
      <c r="B124" s="2885"/>
      <c r="C124" s="2123" t="s">
        <v>2900</v>
      </c>
      <c r="D124" s="2124"/>
      <c r="E124" s="2063"/>
      <c r="F124" s="2064">
        <f t="shared" si="69"/>
        <v>0</v>
      </c>
      <c r="G124" s="2125">
        <f t="shared" ref="G124:N124" si="73">IF(G$91="積上げ",0,G172)</f>
        <v>0</v>
      </c>
      <c r="H124" s="2125">
        <f t="shared" si="73"/>
        <v>0</v>
      </c>
      <c r="I124" s="2125">
        <f t="shared" si="73"/>
        <v>0</v>
      </c>
      <c r="J124" s="2125">
        <f>IF(J$91="積上げ",0,J172)</f>
        <v>0</v>
      </c>
      <c r="K124" s="2125">
        <f>IF(K$91="積上げ",0,K172)</f>
        <v>0</v>
      </c>
      <c r="L124" s="2125">
        <f t="shared" si="73"/>
        <v>0</v>
      </c>
      <c r="M124" s="2125">
        <f t="shared" si="73"/>
        <v>0</v>
      </c>
      <c r="N124" s="2126">
        <f t="shared" si="73"/>
        <v>0</v>
      </c>
    </row>
    <row r="125" spans="1:14" ht="13.5" customHeight="1">
      <c r="A125" s="2881"/>
      <c r="B125" s="2886" t="s">
        <v>2757</v>
      </c>
      <c r="C125" s="2887" t="s">
        <v>2901</v>
      </c>
      <c r="D125" s="2888"/>
      <c r="E125" s="2889"/>
      <c r="F125" s="2082">
        <f t="shared" si="69"/>
        <v>0</v>
      </c>
      <c r="G125" s="2127">
        <f t="shared" ref="G125:N125" si="74">G97-G98-G137-G138-G139-G141-G142</f>
        <v>0</v>
      </c>
      <c r="H125" s="2127">
        <f t="shared" si="74"/>
        <v>0</v>
      </c>
      <c r="I125" s="2127">
        <f t="shared" si="74"/>
        <v>0</v>
      </c>
      <c r="J125" s="2127">
        <f>J97-J98-J137-J138-J139-J141-J142</f>
        <v>0</v>
      </c>
      <c r="K125" s="2127">
        <f>K97-K98-K137-K138-K139-K141-K142</f>
        <v>0</v>
      </c>
      <c r="L125" s="2127">
        <f t="shared" si="74"/>
        <v>0</v>
      </c>
      <c r="M125" s="2127">
        <f t="shared" si="74"/>
        <v>0</v>
      </c>
      <c r="N125" s="2128">
        <f t="shared" si="74"/>
        <v>0</v>
      </c>
    </row>
    <row r="126" spans="1:14" ht="13.5" customHeight="1">
      <c r="A126" s="2881"/>
      <c r="B126" s="2884"/>
      <c r="C126" s="2124" t="s">
        <v>2902</v>
      </c>
      <c r="D126" s="2124"/>
      <c r="E126" s="2063"/>
      <c r="F126" s="2064">
        <f t="shared" si="69"/>
        <v>0</v>
      </c>
      <c r="G126" s="2129"/>
      <c r="H126" s="2129"/>
      <c r="I126" s="2129"/>
      <c r="J126" s="2129"/>
      <c r="K126" s="2129"/>
      <c r="L126" s="2130"/>
      <c r="M126" s="2130"/>
      <c r="N126" s="2131"/>
    </row>
    <row r="127" spans="1:14" ht="13.5" customHeight="1">
      <c r="A127" s="2881"/>
      <c r="B127" s="2884"/>
      <c r="C127" s="2132" t="s">
        <v>2903</v>
      </c>
      <c r="D127" s="2124"/>
      <c r="E127" s="2063"/>
      <c r="F127" s="2064">
        <f t="shared" si="69"/>
        <v>0</v>
      </c>
      <c r="G127" s="2129"/>
      <c r="H127" s="2129"/>
      <c r="I127" s="2129"/>
      <c r="J127" s="2129"/>
      <c r="K127" s="2129"/>
      <c r="L127" s="2130"/>
      <c r="M127" s="2130"/>
      <c r="N127" s="2131"/>
    </row>
    <row r="128" spans="1:14" ht="13.5" customHeight="1">
      <c r="A128" s="2881"/>
      <c r="B128" s="2884"/>
      <c r="C128" s="2124" t="s">
        <v>2904</v>
      </c>
      <c r="D128" s="2124"/>
      <c r="E128" s="2063"/>
      <c r="F128" s="2064">
        <f t="shared" si="69"/>
        <v>0</v>
      </c>
      <c r="G128" s="2129"/>
      <c r="H128" s="2129"/>
      <c r="I128" s="2129"/>
      <c r="J128" s="2129"/>
      <c r="K128" s="2129"/>
      <c r="L128" s="2130"/>
      <c r="M128" s="2130"/>
      <c r="N128" s="2131"/>
    </row>
    <row r="129" spans="1:16" ht="13.5" customHeight="1">
      <c r="A129" s="2881"/>
      <c r="B129" s="2884"/>
      <c r="C129" s="2124" t="s">
        <v>2905</v>
      </c>
      <c r="D129" s="2124"/>
      <c r="E129" s="2063"/>
      <c r="F129" s="2064">
        <f t="shared" si="69"/>
        <v>0</v>
      </c>
      <c r="G129" s="2129"/>
      <c r="H129" s="2129"/>
      <c r="I129" s="2129"/>
      <c r="J129" s="2129"/>
      <c r="K129" s="2129"/>
      <c r="L129" s="2130"/>
      <c r="M129" s="2130"/>
      <c r="N129" s="2131"/>
    </row>
    <row r="130" spans="1:16" ht="13.5" customHeight="1">
      <c r="A130" s="2881"/>
      <c r="B130" s="2884"/>
      <c r="C130" s="2133" t="s">
        <v>2906</v>
      </c>
      <c r="D130" s="2124"/>
      <c r="E130" s="2063"/>
      <c r="F130" s="2064">
        <f t="shared" si="69"/>
        <v>0</v>
      </c>
      <c r="G130" s="2129"/>
      <c r="H130" s="2129"/>
      <c r="I130" s="2129"/>
      <c r="J130" s="2129"/>
      <c r="K130" s="2129"/>
      <c r="L130" s="2130"/>
      <c r="M130" s="2130"/>
      <c r="N130" s="2131"/>
    </row>
    <row r="131" spans="1:16" ht="13.5" customHeight="1">
      <c r="A131" s="2881"/>
      <c r="B131" s="2884"/>
      <c r="C131" s="2124"/>
      <c r="D131" s="2124"/>
      <c r="E131" s="2063"/>
      <c r="F131" s="2064">
        <f t="shared" si="69"/>
        <v>0</v>
      </c>
      <c r="G131" s="1902"/>
      <c r="H131" s="1902"/>
      <c r="I131" s="1902"/>
      <c r="J131" s="1902"/>
      <c r="K131" s="1902"/>
      <c r="L131" s="2134"/>
      <c r="M131" s="2134"/>
      <c r="N131" s="2135"/>
    </row>
    <row r="132" spans="1:16" ht="13.5" customHeight="1">
      <c r="A132" s="2881"/>
      <c r="B132" s="2885"/>
      <c r="C132" s="2136"/>
      <c r="D132" s="2137"/>
      <c r="E132" s="2138"/>
      <c r="F132" s="2064">
        <f t="shared" si="69"/>
        <v>0</v>
      </c>
      <c r="G132" s="1902"/>
      <c r="H132" s="1902"/>
      <c r="I132" s="1902"/>
      <c r="J132" s="1902"/>
      <c r="K132" s="1902"/>
      <c r="L132" s="2134"/>
      <c r="M132" s="2134"/>
      <c r="N132" s="2135"/>
    </row>
    <row r="133" spans="1:16" ht="13.5" customHeight="1">
      <c r="A133" s="2881"/>
      <c r="B133" s="2886" t="s">
        <v>489</v>
      </c>
      <c r="C133" s="2139" t="s">
        <v>2907</v>
      </c>
      <c r="D133" s="2124"/>
      <c r="E133" s="2063"/>
      <c r="F133" s="2064">
        <f t="shared" si="69"/>
        <v>0</v>
      </c>
      <c r="G133" s="2129"/>
      <c r="H133" s="2129"/>
      <c r="I133" s="2129"/>
      <c r="J133" s="2129"/>
      <c r="K133" s="2129"/>
      <c r="L133" s="2130"/>
      <c r="M133" s="2130"/>
      <c r="N133" s="2131"/>
    </row>
    <row r="134" spans="1:16" ht="13.5" customHeight="1">
      <c r="A134" s="2881"/>
      <c r="B134" s="2884"/>
      <c r="C134" s="2140" t="s">
        <v>2908</v>
      </c>
      <c r="D134" s="2124"/>
      <c r="E134" s="2063"/>
      <c r="F134" s="2064">
        <f t="shared" si="69"/>
        <v>0</v>
      </c>
      <c r="G134" s="2129"/>
      <c r="H134" s="2129"/>
      <c r="I134" s="2129"/>
      <c r="J134" s="2129"/>
      <c r="K134" s="2129"/>
      <c r="L134" s="2130"/>
      <c r="M134" s="2130"/>
      <c r="N134" s="2131"/>
    </row>
    <row r="135" spans="1:16" ht="13.5" customHeight="1">
      <c r="A135" s="2881"/>
      <c r="B135" s="2885"/>
      <c r="C135" s="2140" t="s">
        <v>2909</v>
      </c>
      <c r="D135" s="2124"/>
      <c r="E135" s="2063"/>
      <c r="F135" s="2064">
        <f t="shared" si="69"/>
        <v>0</v>
      </c>
      <c r="G135" s="2129"/>
      <c r="H135" s="2129"/>
      <c r="I135" s="2129"/>
      <c r="J135" s="2129"/>
      <c r="K135" s="2129"/>
      <c r="L135" s="2130"/>
      <c r="M135" s="2130"/>
      <c r="N135" s="2131"/>
    </row>
    <row r="136" spans="1:16" ht="13.5" customHeight="1">
      <c r="A136" s="2881"/>
      <c r="B136" s="2890" t="s">
        <v>2565</v>
      </c>
      <c r="C136" s="2141" t="s">
        <v>2910</v>
      </c>
      <c r="D136" s="2124"/>
      <c r="E136" s="2063"/>
      <c r="F136" s="2064">
        <f t="shared" si="69"/>
        <v>0</v>
      </c>
      <c r="G136" s="2129"/>
      <c r="H136" s="2129"/>
      <c r="I136" s="2129"/>
      <c r="J136" s="2129"/>
      <c r="K136" s="2129"/>
      <c r="L136" s="2130"/>
      <c r="M136" s="2130"/>
      <c r="N136" s="2131"/>
    </row>
    <row r="137" spans="1:16" ht="13.5" customHeight="1">
      <c r="A137" s="2881"/>
      <c r="B137" s="2890"/>
      <c r="C137" s="2142" t="s">
        <v>2911</v>
      </c>
      <c r="D137" s="2124"/>
      <c r="E137" s="2063"/>
      <c r="F137" s="2064">
        <f t="shared" si="69"/>
        <v>0</v>
      </c>
      <c r="G137" s="2143">
        <f t="shared" ref="G137:N137" si="75">G101</f>
        <v>0</v>
      </c>
      <c r="H137" s="2143">
        <f t="shared" si="75"/>
        <v>0</v>
      </c>
      <c r="I137" s="2143">
        <f t="shared" si="75"/>
        <v>0</v>
      </c>
      <c r="J137" s="2143">
        <f>J101</f>
        <v>0</v>
      </c>
      <c r="K137" s="2143">
        <f>K101</f>
        <v>0</v>
      </c>
      <c r="L137" s="2143">
        <f t="shared" si="75"/>
        <v>0</v>
      </c>
      <c r="M137" s="2143">
        <f t="shared" si="75"/>
        <v>0</v>
      </c>
      <c r="N137" s="2144">
        <f t="shared" si="75"/>
        <v>0</v>
      </c>
    </row>
    <row r="138" spans="1:16" ht="13.5" customHeight="1">
      <c r="A138" s="2881"/>
      <c r="B138" s="2890"/>
      <c r="C138" s="2139" t="s">
        <v>2912</v>
      </c>
      <c r="D138" s="2124"/>
      <c r="E138" s="2063"/>
      <c r="F138" s="2064">
        <f t="shared" si="69"/>
        <v>0</v>
      </c>
      <c r="G138" s="2143">
        <f t="shared" ref="G138:N139" si="76">G99</f>
        <v>0</v>
      </c>
      <c r="H138" s="2143">
        <f t="shared" si="76"/>
        <v>0</v>
      </c>
      <c r="I138" s="2143">
        <f t="shared" si="76"/>
        <v>0</v>
      </c>
      <c r="J138" s="2143">
        <f>J99</f>
        <v>0</v>
      </c>
      <c r="K138" s="2143">
        <f>K99</f>
        <v>0</v>
      </c>
      <c r="L138" s="2143">
        <f t="shared" si="76"/>
        <v>0</v>
      </c>
      <c r="M138" s="2143">
        <f t="shared" si="76"/>
        <v>0</v>
      </c>
      <c r="N138" s="2144">
        <f t="shared" si="76"/>
        <v>0</v>
      </c>
    </row>
    <row r="139" spans="1:16" ht="13.5" customHeight="1">
      <c r="A139" s="2881"/>
      <c r="B139" s="2890"/>
      <c r="C139" s="2139" t="s">
        <v>2913</v>
      </c>
      <c r="D139" s="2124"/>
      <c r="E139" s="2063"/>
      <c r="F139" s="2064">
        <f t="shared" si="69"/>
        <v>0</v>
      </c>
      <c r="G139" s="2143">
        <f t="shared" si="76"/>
        <v>0</v>
      </c>
      <c r="H139" s="2143">
        <f t="shared" si="76"/>
        <v>0</v>
      </c>
      <c r="I139" s="2143">
        <f t="shared" si="76"/>
        <v>0</v>
      </c>
      <c r="J139" s="2143">
        <f>J100</f>
        <v>0</v>
      </c>
      <c r="K139" s="2143">
        <f>K100</f>
        <v>0</v>
      </c>
      <c r="L139" s="2143">
        <f t="shared" si="76"/>
        <v>0</v>
      </c>
      <c r="M139" s="2143">
        <f t="shared" si="76"/>
        <v>0</v>
      </c>
      <c r="N139" s="2144">
        <f t="shared" si="76"/>
        <v>0</v>
      </c>
    </row>
    <row r="140" spans="1:16" ht="13.5" customHeight="1">
      <c r="A140" s="2881"/>
      <c r="B140" s="2886"/>
      <c r="C140" s="2145" t="s">
        <v>2914</v>
      </c>
      <c r="D140" s="2145"/>
      <c r="E140" s="2146"/>
      <c r="F140" s="2034">
        <f t="shared" si="69"/>
        <v>0</v>
      </c>
      <c r="G140" s="2147"/>
      <c r="H140" s="2147"/>
      <c r="I140" s="2147"/>
      <c r="J140" s="2147"/>
      <c r="K140" s="2147"/>
      <c r="L140" s="2147"/>
      <c r="M140" s="2147"/>
      <c r="N140" s="2148"/>
    </row>
    <row r="141" spans="1:16" ht="13.5" customHeight="1">
      <c r="A141" s="2881"/>
      <c r="B141" s="2886"/>
      <c r="C141" s="2149" t="s">
        <v>2915</v>
      </c>
      <c r="D141" s="2145"/>
      <c r="E141" s="2146"/>
      <c r="F141" s="2034">
        <f t="shared" si="69"/>
        <v>0</v>
      </c>
      <c r="G141" s="2143">
        <f t="shared" ref="G141:N141" si="77">G103</f>
        <v>0</v>
      </c>
      <c r="H141" s="2143">
        <f t="shared" si="77"/>
        <v>0</v>
      </c>
      <c r="I141" s="2143">
        <f t="shared" si="77"/>
        <v>0</v>
      </c>
      <c r="J141" s="2143">
        <f>J103</f>
        <v>0</v>
      </c>
      <c r="K141" s="2143">
        <f>K103</f>
        <v>0</v>
      </c>
      <c r="L141" s="2143">
        <f t="shared" si="77"/>
        <v>0</v>
      </c>
      <c r="M141" s="2143">
        <f t="shared" si="77"/>
        <v>0</v>
      </c>
      <c r="N141" s="2144">
        <f t="shared" si="77"/>
        <v>0</v>
      </c>
    </row>
    <row r="142" spans="1:16" ht="15" customHeight="1">
      <c r="A142" s="2882"/>
      <c r="B142" s="2891"/>
      <c r="C142" s="2150" t="s">
        <v>2916</v>
      </c>
      <c r="D142" s="2151"/>
      <c r="E142" s="2070"/>
      <c r="F142" s="2152">
        <f t="shared" si="69"/>
        <v>0</v>
      </c>
      <c r="G142" s="2153">
        <f t="shared" ref="G142:N142" si="78">G102</f>
        <v>0</v>
      </c>
      <c r="H142" s="2153">
        <f t="shared" si="78"/>
        <v>0</v>
      </c>
      <c r="I142" s="2153">
        <f t="shared" si="78"/>
        <v>0</v>
      </c>
      <c r="J142" s="2153">
        <f>J102</f>
        <v>0</v>
      </c>
      <c r="K142" s="2153">
        <f>K102</f>
        <v>0</v>
      </c>
      <c r="L142" s="2153">
        <f t="shared" si="78"/>
        <v>0</v>
      </c>
      <c r="M142" s="2153">
        <f t="shared" si="78"/>
        <v>0</v>
      </c>
      <c r="N142" s="2154">
        <f t="shared" si="78"/>
        <v>0</v>
      </c>
    </row>
    <row r="143" spans="1:16" s="2160" customFormat="1" ht="14.25" customHeight="1">
      <c r="A143" s="2155"/>
      <c r="B143" s="2155"/>
      <c r="C143" s="2156" t="s">
        <v>2638</v>
      </c>
      <c r="D143" s="2156"/>
      <c r="E143" s="2157"/>
      <c r="F143" s="2157"/>
      <c r="G143" s="2158"/>
      <c r="H143" s="2158"/>
      <c r="I143" s="2158"/>
      <c r="J143" s="2158"/>
      <c r="K143" s="2158"/>
      <c r="L143" s="2158"/>
      <c r="M143" s="2158"/>
      <c r="N143" s="1709" t="s">
        <v>2917</v>
      </c>
      <c r="O143" s="2158"/>
      <c r="P143" s="2159"/>
    </row>
    <row r="144" spans="1:16" s="2160" customFormat="1" ht="14.25" customHeight="1">
      <c r="A144" s="2155"/>
      <c r="B144" s="2155"/>
      <c r="C144" s="2161" t="s">
        <v>2640</v>
      </c>
      <c r="D144" s="2161"/>
      <c r="E144" s="2157"/>
      <c r="F144" s="2157"/>
      <c r="G144" s="2158"/>
      <c r="H144" s="2158"/>
      <c r="I144" s="2158"/>
      <c r="J144" s="2158"/>
      <c r="K144" s="2158"/>
      <c r="L144" s="2158"/>
      <c r="M144" s="2158"/>
      <c r="N144" s="2162"/>
      <c r="O144" s="2158"/>
      <c r="P144" s="2159"/>
    </row>
    <row r="145" spans="1:16" s="2160" customFormat="1" ht="14.25" customHeight="1">
      <c r="A145" s="2163"/>
      <c r="B145" s="2164"/>
      <c r="C145" s="2164"/>
      <c r="D145" s="2876" t="s">
        <v>2641</v>
      </c>
      <c r="E145" s="2876" t="s">
        <v>2918</v>
      </c>
      <c r="F145" s="2165" t="s">
        <v>2526</v>
      </c>
      <c r="G145" s="2166">
        <f t="shared" ref="G145:N145" si="79">G89</f>
        <v>0</v>
      </c>
      <c r="H145" s="2166">
        <f t="shared" si="79"/>
        <v>0</v>
      </c>
      <c r="I145" s="2166">
        <f t="shared" si="79"/>
        <v>0</v>
      </c>
      <c r="J145" s="2166">
        <f>J89</f>
        <v>0</v>
      </c>
      <c r="K145" s="2166">
        <f>K89</f>
        <v>0</v>
      </c>
      <c r="L145" s="2166">
        <f t="shared" si="79"/>
        <v>0</v>
      </c>
      <c r="M145" s="2166">
        <f t="shared" si="79"/>
        <v>0</v>
      </c>
      <c r="N145" s="2167">
        <f t="shared" si="79"/>
        <v>0</v>
      </c>
      <c r="O145" s="2159"/>
      <c r="P145" s="2159"/>
    </row>
    <row r="146" spans="1:16" s="2160" customFormat="1" ht="14.25" customHeight="1">
      <c r="A146" s="2867" t="s">
        <v>2643</v>
      </c>
      <c r="B146" s="2878"/>
      <c r="C146" s="2878"/>
      <c r="D146" s="2877"/>
      <c r="E146" s="2877"/>
      <c r="F146" s="2168"/>
      <c r="G146" s="2169"/>
      <c r="H146" s="2169"/>
      <c r="I146" s="2169"/>
      <c r="J146" s="2169"/>
      <c r="K146" s="2169"/>
      <c r="L146" s="2169"/>
      <c r="M146" s="2169"/>
      <c r="N146" s="2170"/>
      <c r="O146" s="2171"/>
      <c r="P146" s="2171"/>
    </row>
    <row r="147" spans="1:16" s="2160" customFormat="1" ht="14.25" customHeight="1">
      <c r="A147" s="2868"/>
      <c r="B147" s="2172" t="s">
        <v>2919</v>
      </c>
      <c r="C147" s="2173"/>
      <c r="D147" s="2173"/>
      <c r="E147" s="2174"/>
      <c r="F147" s="2175">
        <f>SUM(G147:N147)</f>
        <v>0</v>
      </c>
      <c r="G147" s="2176">
        <f t="shared" ref="G147:N147" si="80">SUM(G148:G154)+G138</f>
        <v>0</v>
      </c>
      <c r="H147" s="2176">
        <f t="shared" si="80"/>
        <v>0</v>
      </c>
      <c r="I147" s="2176">
        <f t="shared" si="80"/>
        <v>0</v>
      </c>
      <c r="J147" s="2176">
        <f>SUM(J148:J154)+J138</f>
        <v>0</v>
      </c>
      <c r="K147" s="2176">
        <f>SUM(K148:K154)+K138</f>
        <v>0</v>
      </c>
      <c r="L147" s="2176">
        <f t="shared" si="80"/>
        <v>0</v>
      </c>
      <c r="M147" s="2176">
        <f t="shared" si="80"/>
        <v>0</v>
      </c>
      <c r="N147" s="2177">
        <f t="shared" si="80"/>
        <v>0</v>
      </c>
      <c r="O147" s="2178"/>
      <c r="P147" s="2178"/>
    </row>
    <row r="148" spans="1:16" s="2160" customFormat="1" ht="14.25" customHeight="1">
      <c r="A148" s="2869"/>
      <c r="B148" s="2875" t="s">
        <v>2920</v>
      </c>
      <c r="C148" s="2179" t="s">
        <v>2551</v>
      </c>
      <c r="D148" s="2180">
        <v>1</v>
      </c>
      <c r="E148" s="2181" t="s">
        <v>2921</v>
      </c>
      <c r="F148" s="2182">
        <f>SUM(G148:N148)</f>
        <v>0</v>
      </c>
      <c r="G148" s="2183">
        <f t="shared" ref="G148:N149" si="81">IF(G$91="積上げ",0,G121)</f>
        <v>0</v>
      </c>
      <c r="H148" s="2183">
        <f t="shared" si="81"/>
        <v>0</v>
      </c>
      <c r="I148" s="2183">
        <f t="shared" si="81"/>
        <v>0</v>
      </c>
      <c r="J148" s="2183">
        <f>IF(J$91="積上げ",0,J121)</f>
        <v>0</v>
      </c>
      <c r="K148" s="2183">
        <f>IF(K$91="積上げ",0,K121)</f>
        <v>0</v>
      </c>
      <c r="L148" s="2183">
        <f t="shared" si="81"/>
        <v>0</v>
      </c>
      <c r="M148" s="2183">
        <f t="shared" si="81"/>
        <v>0</v>
      </c>
      <c r="N148" s="2184">
        <f t="shared" si="81"/>
        <v>0</v>
      </c>
      <c r="O148" s="2171"/>
      <c r="P148" s="2171"/>
    </row>
    <row r="149" spans="1:16" s="2160" customFormat="1" ht="14.25" customHeight="1">
      <c r="A149" s="2869"/>
      <c r="B149" s="2875"/>
      <c r="C149" s="2179" t="s">
        <v>2552</v>
      </c>
      <c r="D149" s="2180">
        <v>1</v>
      </c>
      <c r="E149" s="2181" t="s">
        <v>2921</v>
      </c>
      <c r="F149" s="2182">
        <f>SUM(G149:N149)</f>
        <v>0</v>
      </c>
      <c r="G149" s="2183">
        <f t="shared" si="81"/>
        <v>0</v>
      </c>
      <c r="H149" s="2183">
        <f t="shared" si="81"/>
        <v>0</v>
      </c>
      <c r="I149" s="2183">
        <f t="shared" si="81"/>
        <v>0</v>
      </c>
      <c r="J149" s="2183">
        <f>IF(J$91="積上げ",0,J122)</f>
        <v>0</v>
      </c>
      <c r="K149" s="2183">
        <f>IF(K$91="積上げ",0,K122)</f>
        <v>0</v>
      </c>
      <c r="L149" s="2183">
        <f t="shared" si="81"/>
        <v>0</v>
      </c>
      <c r="M149" s="2183">
        <f t="shared" si="81"/>
        <v>0</v>
      </c>
      <c r="N149" s="2184">
        <f t="shared" si="81"/>
        <v>0</v>
      </c>
      <c r="O149" s="2171"/>
      <c r="P149" s="2171"/>
    </row>
    <row r="150" spans="1:16" s="2160" customFormat="1" ht="14.25" customHeight="1">
      <c r="A150" s="2869"/>
      <c r="B150" s="2874" t="s">
        <v>2757</v>
      </c>
      <c r="C150" s="2124" t="s">
        <v>2922</v>
      </c>
      <c r="D150" s="2180">
        <v>1</v>
      </c>
      <c r="E150" s="2185">
        <v>0.2</v>
      </c>
      <c r="F150" s="2183">
        <f>INT(F126/(1+$E150))</f>
        <v>0</v>
      </c>
      <c r="G150" s="2183">
        <f t="shared" ref="G150:N154" si="82">IF(G$91="積上げ",0,G184)</f>
        <v>0</v>
      </c>
      <c r="H150" s="2183">
        <f t="shared" si="82"/>
        <v>0</v>
      </c>
      <c r="I150" s="2183">
        <f t="shared" si="82"/>
        <v>0</v>
      </c>
      <c r="J150" s="2183">
        <f t="shared" si="82"/>
        <v>0</v>
      </c>
      <c r="K150" s="2183">
        <f t="shared" si="82"/>
        <v>0</v>
      </c>
      <c r="L150" s="2183">
        <f t="shared" si="82"/>
        <v>0</v>
      </c>
      <c r="M150" s="2183">
        <f t="shared" si="82"/>
        <v>0</v>
      </c>
      <c r="N150" s="2184">
        <f t="shared" si="82"/>
        <v>0</v>
      </c>
      <c r="O150" s="2171"/>
      <c r="P150" s="2171"/>
    </row>
    <row r="151" spans="1:16" s="2160" customFormat="1" ht="14.25" customHeight="1">
      <c r="A151" s="2869"/>
      <c r="B151" s="2872"/>
      <c r="C151" s="2132" t="s">
        <v>2923</v>
      </c>
      <c r="D151" s="2180">
        <v>1</v>
      </c>
      <c r="E151" s="2186">
        <v>0.25</v>
      </c>
      <c r="F151" s="2183">
        <f>INT(F127/(1+$E151))</f>
        <v>0</v>
      </c>
      <c r="G151" s="2183">
        <f t="shared" si="82"/>
        <v>0</v>
      </c>
      <c r="H151" s="2183">
        <f t="shared" si="82"/>
        <v>0</v>
      </c>
      <c r="I151" s="2183">
        <f t="shared" si="82"/>
        <v>0</v>
      </c>
      <c r="J151" s="2183">
        <f t="shared" si="82"/>
        <v>0</v>
      </c>
      <c r="K151" s="2183">
        <f t="shared" si="82"/>
        <v>0</v>
      </c>
      <c r="L151" s="2183">
        <f t="shared" si="82"/>
        <v>0</v>
      </c>
      <c r="M151" s="2183">
        <f t="shared" si="82"/>
        <v>0</v>
      </c>
      <c r="N151" s="2184">
        <f t="shared" si="82"/>
        <v>0</v>
      </c>
      <c r="O151" s="2171"/>
      <c r="P151" s="2171"/>
    </row>
    <row r="152" spans="1:16" s="2160" customFormat="1" ht="14.25" customHeight="1">
      <c r="A152" s="2869"/>
      <c r="B152" s="2872"/>
      <c r="C152" s="2124" t="s">
        <v>2924</v>
      </c>
      <c r="D152" s="2180">
        <v>1</v>
      </c>
      <c r="E152" s="2185">
        <v>0.2</v>
      </c>
      <c r="F152" s="2183">
        <f>INT(F128/(1+$E152))</f>
        <v>0</v>
      </c>
      <c r="G152" s="2183">
        <f t="shared" si="82"/>
        <v>0</v>
      </c>
      <c r="H152" s="2183">
        <f t="shared" si="82"/>
        <v>0</v>
      </c>
      <c r="I152" s="2183">
        <f t="shared" si="82"/>
        <v>0</v>
      </c>
      <c r="J152" s="2183">
        <f t="shared" si="82"/>
        <v>0</v>
      </c>
      <c r="K152" s="2183">
        <f t="shared" si="82"/>
        <v>0</v>
      </c>
      <c r="L152" s="2183">
        <f t="shared" si="82"/>
        <v>0</v>
      </c>
      <c r="M152" s="2183">
        <f t="shared" si="82"/>
        <v>0</v>
      </c>
      <c r="N152" s="2184">
        <f t="shared" si="82"/>
        <v>0</v>
      </c>
      <c r="O152" s="2171"/>
      <c r="P152" s="2171"/>
    </row>
    <row r="153" spans="1:16" s="2160" customFormat="1" ht="14.25" customHeight="1">
      <c r="A153" s="2869"/>
      <c r="B153" s="2872"/>
      <c r="C153" s="2124" t="s">
        <v>2925</v>
      </c>
      <c r="D153" s="2180">
        <v>1</v>
      </c>
      <c r="E153" s="2185">
        <v>0.2</v>
      </c>
      <c r="F153" s="2183">
        <f>INT(F129/(1+$E153))</f>
        <v>0</v>
      </c>
      <c r="G153" s="2183">
        <f t="shared" si="82"/>
        <v>0</v>
      </c>
      <c r="H153" s="2183">
        <f t="shared" si="82"/>
        <v>0</v>
      </c>
      <c r="I153" s="2183">
        <f t="shared" si="82"/>
        <v>0</v>
      </c>
      <c r="J153" s="2183">
        <f t="shared" si="82"/>
        <v>0</v>
      </c>
      <c r="K153" s="2183">
        <f t="shared" si="82"/>
        <v>0</v>
      </c>
      <c r="L153" s="2183">
        <f t="shared" si="82"/>
        <v>0</v>
      </c>
      <c r="M153" s="2183">
        <f t="shared" si="82"/>
        <v>0</v>
      </c>
      <c r="N153" s="2184">
        <f t="shared" si="82"/>
        <v>0</v>
      </c>
      <c r="O153" s="2171"/>
      <c r="P153" s="2171"/>
    </row>
    <row r="154" spans="1:16" s="2160" customFormat="1" ht="14.25" customHeight="1">
      <c r="A154" s="2869"/>
      <c r="B154" s="2851"/>
      <c r="C154" s="2133" t="s">
        <v>2926</v>
      </c>
      <c r="D154" s="2187">
        <v>1</v>
      </c>
      <c r="E154" s="2185">
        <v>0.2</v>
      </c>
      <c r="F154" s="2183">
        <f>INT(F130/(1+$E154))</f>
        <v>0</v>
      </c>
      <c r="G154" s="2183">
        <f t="shared" si="82"/>
        <v>0</v>
      </c>
      <c r="H154" s="2183">
        <f t="shared" si="82"/>
        <v>0</v>
      </c>
      <c r="I154" s="2183">
        <f t="shared" si="82"/>
        <v>0</v>
      </c>
      <c r="J154" s="2183">
        <f t="shared" si="82"/>
        <v>0</v>
      </c>
      <c r="K154" s="2183">
        <f t="shared" si="82"/>
        <v>0</v>
      </c>
      <c r="L154" s="2183">
        <f t="shared" si="82"/>
        <v>0</v>
      </c>
      <c r="M154" s="2183">
        <f t="shared" si="82"/>
        <v>0</v>
      </c>
      <c r="N154" s="2184">
        <f t="shared" si="82"/>
        <v>0</v>
      </c>
      <c r="O154" s="2171"/>
      <c r="P154" s="2171"/>
    </row>
    <row r="155" spans="1:16" s="2160" customFormat="1" ht="14.25" customHeight="1">
      <c r="A155" s="2869"/>
      <c r="B155" s="2875"/>
      <c r="C155" s="2188" t="s">
        <v>2927</v>
      </c>
      <c r="D155" s="2180">
        <v>1</v>
      </c>
      <c r="E155" s="2189"/>
      <c r="F155" s="2183"/>
      <c r="G155" s="2183"/>
      <c r="H155" s="2183"/>
      <c r="I155" s="2190"/>
      <c r="J155" s="2190"/>
      <c r="K155" s="2190"/>
      <c r="L155" s="2190"/>
      <c r="M155" s="2190"/>
      <c r="N155" s="2191"/>
      <c r="O155" s="2171"/>
      <c r="P155" s="2171"/>
    </row>
    <row r="156" spans="1:16" s="2160" customFormat="1" ht="14.25" customHeight="1">
      <c r="A156" s="2869"/>
      <c r="B156" s="2875"/>
      <c r="C156" s="2188" t="s">
        <v>2928</v>
      </c>
      <c r="D156" s="2180">
        <v>1</v>
      </c>
      <c r="E156" s="2189"/>
      <c r="F156" s="2183"/>
      <c r="G156" s="2183"/>
      <c r="H156" s="2183"/>
      <c r="I156" s="2190"/>
      <c r="J156" s="2190"/>
      <c r="K156" s="2190"/>
      <c r="L156" s="2190"/>
      <c r="M156" s="2190"/>
      <c r="N156" s="2191"/>
      <c r="O156" s="2171"/>
      <c r="P156" s="2171"/>
    </row>
    <row r="157" spans="1:16" s="2160" customFormat="1" ht="14.25" customHeight="1">
      <c r="A157" s="2879"/>
      <c r="B157" s="2192" t="s">
        <v>2652</v>
      </c>
      <c r="C157" s="2193" t="s">
        <v>2929</v>
      </c>
      <c r="D157" s="2194">
        <v>1</v>
      </c>
      <c r="E157" s="2195">
        <v>0</v>
      </c>
      <c r="F157" s="2196">
        <f>SUM(G157:N157)</f>
        <v>0</v>
      </c>
      <c r="G157" s="2197">
        <f t="shared" ref="G157:N157" si="83">IF(G91="積上げ",0,SUM(G136:G138)+G140)</f>
        <v>0</v>
      </c>
      <c r="H157" s="2197">
        <f t="shared" si="83"/>
        <v>0</v>
      </c>
      <c r="I157" s="2197">
        <f t="shared" si="83"/>
        <v>0</v>
      </c>
      <c r="J157" s="2197">
        <f>IF(J91="積上げ",0,SUM(J136:J138)+J140)</f>
        <v>0</v>
      </c>
      <c r="K157" s="2197">
        <f>IF(K91="積上げ",0,SUM(K136:K138)+K140)</f>
        <v>0</v>
      </c>
      <c r="L157" s="2197">
        <f t="shared" si="83"/>
        <v>0</v>
      </c>
      <c r="M157" s="2197">
        <f t="shared" si="83"/>
        <v>0</v>
      </c>
      <c r="N157" s="2198">
        <f t="shared" si="83"/>
        <v>0</v>
      </c>
      <c r="O157" s="2171"/>
      <c r="P157" s="2171"/>
    </row>
    <row r="158" spans="1:16" s="2160" customFormat="1" ht="14.25" customHeight="1">
      <c r="A158" s="2199"/>
      <c r="B158" s="2200"/>
      <c r="C158" s="2201"/>
      <c r="D158" s="2864"/>
      <c r="E158" s="2864"/>
      <c r="F158" s="2202"/>
      <c r="G158" s="2203"/>
      <c r="H158" s="2203"/>
      <c r="I158" s="2203"/>
      <c r="J158" s="2203"/>
      <c r="K158" s="2203"/>
      <c r="L158" s="2203"/>
      <c r="M158" s="2203"/>
      <c r="N158" s="2204"/>
      <c r="O158" s="2171"/>
      <c r="P158" s="2171"/>
    </row>
    <row r="159" spans="1:16" s="2160" customFormat="1" ht="14.25" customHeight="1">
      <c r="A159" s="2866" t="s">
        <v>2654</v>
      </c>
      <c r="B159" s="2866"/>
      <c r="C159" s="2867"/>
      <c r="D159" s="2865"/>
      <c r="E159" s="2865"/>
      <c r="F159" s="2168"/>
      <c r="G159" s="2169"/>
      <c r="H159" s="2169"/>
      <c r="I159" s="2169"/>
      <c r="J159" s="2169"/>
      <c r="K159" s="2169"/>
      <c r="L159" s="2169"/>
      <c r="M159" s="2169"/>
      <c r="N159" s="2170"/>
      <c r="O159" s="2171"/>
      <c r="P159" s="2171"/>
    </row>
    <row r="160" spans="1:16" s="2160" customFormat="1" ht="14.25" customHeight="1">
      <c r="A160" s="2868"/>
      <c r="B160" s="2871" t="s">
        <v>2920</v>
      </c>
      <c r="C160" s="2205" t="s">
        <v>2551</v>
      </c>
      <c r="D160" s="2206"/>
      <c r="E160" s="2207" t="s">
        <v>2921</v>
      </c>
      <c r="F160" s="2208" t="s">
        <v>2930</v>
      </c>
      <c r="G160" s="2209">
        <f t="shared" ref="G160:N160" si="84">IF(G88="新営",IF(G93="有り",+G264/100,G265/100),0)</f>
        <v>0</v>
      </c>
      <c r="H160" s="2209">
        <f t="shared" si="84"/>
        <v>0</v>
      </c>
      <c r="I160" s="2209">
        <f t="shared" si="84"/>
        <v>0</v>
      </c>
      <c r="J160" s="2209">
        <f>IF(J88="新営",IF(J93="有り",+J264/100,J265/100),0)</f>
        <v>0</v>
      </c>
      <c r="K160" s="2209">
        <f>IF(K88="新営",IF(K93="有り",+K264/100,K265/100),0)</f>
        <v>0</v>
      </c>
      <c r="L160" s="2209">
        <f t="shared" si="84"/>
        <v>0</v>
      </c>
      <c r="M160" s="2209">
        <f t="shared" si="84"/>
        <v>0</v>
      </c>
      <c r="N160" s="2210">
        <f t="shared" si="84"/>
        <v>0</v>
      </c>
      <c r="O160" s="2211"/>
      <c r="P160" s="2211"/>
    </row>
    <row r="161" spans="1:16" s="2160" customFormat="1" ht="14.25" customHeight="1">
      <c r="A161" s="2869"/>
      <c r="B161" s="2872"/>
      <c r="C161" s="2212"/>
      <c r="D161" s="2213">
        <f>+D148</f>
        <v>1</v>
      </c>
      <c r="E161" s="2214" t="s">
        <v>2921</v>
      </c>
      <c r="F161" s="2215">
        <f>SUM(G161:N161)</f>
        <v>0</v>
      </c>
      <c r="G161" s="2216">
        <f t="shared" ref="G161:N161" si="85">ROUNDDOWN(G148*G160*$D161,0)</f>
        <v>0</v>
      </c>
      <c r="H161" s="2216">
        <f t="shared" si="85"/>
        <v>0</v>
      </c>
      <c r="I161" s="2216">
        <f t="shared" si="85"/>
        <v>0</v>
      </c>
      <c r="J161" s="2216">
        <f>ROUNDDOWN(J148*J160*$D161,0)</f>
        <v>0</v>
      </c>
      <c r="K161" s="2216">
        <f>ROUNDDOWN(K148*K160*$D161,0)</f>
        <v>0</v>
      </c>
      <c r="L161" s="2216">
        <f t="shared" si="85"/>
        <v>0</v>
      </c>
      <c r="M161" s="2216">
        <f t="shared" si="85"/>
        <v>0</v>
      </c>
      <c r="N161" s="2191">
        <f t="shared" si="85"/>
        <v>0</v>
      </c>
      <c r="O161" s="2171"/>
      <c r="P161" s="2171"/>
    </row>
    <row r="162" spans="1:16" s="2160" customFormat="1" ht="14.25" customHeight="1">
      <c r="A162" s="2869"/>
      <c r="B162" s="2872"/>
      <c r="C162" s="2217" t="s">
        <v>2552</v>
      </c>
      <c r="D162" s="2218"/>
      <c r="E162" s="2214" t="s">
        <v>2921</v>
      </c>
      <c r="F162" s="2219" t="s">
        <v>2930</v>
      </c>
      <c r="G162" s="2220">
        <f t="shared" ref="G162:N162" si="86">IF(G88="改修",IF(G93="有り",+G273/100,G274/100),0)</f>
        <v>0</v>
      </c>
      <c r="H162" s="2220">
        <f t="shared" si="86"/>
        <v>0</v>
      </c>
      <c r="I162" s="2220">
        <f t="shared" si="86"/>
        <v>0</v>
      </c>
      <c r="J162" s="2220">
        <f>IF(J88="改修",IF(J93="有り",+J273/100,J274/100),0)</f>
        <v>0</v>
      </c>
      <c r="K162" s="2220">
        <f>IF(K88="改修",IF(K93="有り",+K273/100,K274/100),0)</f>
        <v>0</v>
      </c>
      <c r="L162" s="2220">
        <f t="shared" si="86"/>
        <v>0</v>
      </c>
      <c r="M162" s="2220">
        <f t="shared" si="86"/>
        <v>0</v>
      </c>
      <c r="N162" s="2221">
        <f t="shared" si="86"/>
        <v>0</v>
      </c>
      <c r="O162" s="2211"/>
      <c r="P162" s="2211"/>
    </row>
    <row r="163" spans="1:16" s="2160" customFormat="1" ht="14.25" customHeight="1">
      <c r="A163" s="2869"/>
      <c r="B163" s="2873"/>
      <c r="C163" s="2212"/>
      <c r="D163" s="2213">
        <f>+D149</f>
        <v>1</v>
      </c>
      <c r="E163" s="2214" t="s">
        <v>2921</v>
      </c>
      <c r="F163" s="2215">
        <f t="shared" ref="F163:F172" si="87">SUM(G163:N163)</f>
        <v>0</v>
      </c>
      <c r="G163" s="2216">
        <f t="shared" ref="G163:N163" si="88">ROUNDDOWN(G149*G162*$D163,0)</f>
        <v>0</v>
      </c>
      <c r="H163" s="2216">
        <f t="shared" si="88"/>
        <v>0</v>
      </c>
      <c r="I163" s="2216">
        <f t="shared" si="88"/>
        <v>0</v>
      </c>
      <c r="J163" s="2216">
        <f>ROUNDDOWN(J149*J162*$D163,0)</f>
        <v>0</v>
      </c>
      <c r="K163" s="2216">
        <f>ROUNDDOWN(K149*K162*$D163,0)</f>
        <v>0</v>
      </c>
      <c r="L163" s="2216">
        <f t="shared" si="88"/>
        <v>0</v>
      </c>
      <c r="M163" s="2216">
        <f t="shared" si="88"/>
        <v>0</v>
      </c>
      <c r="N163" s="2222">
        <f t="shared" si="88"/>
        <v>0</v>
      </c>
      <c r="O163" s="2171"/>
      <c r="P163" s="2171"/>
    </row>
    <row r="164" spans="1:16" s="2160" customFormat="1" ht="14.25" customHeight="1">
      <c r="A164" s="2869"/>
      <c r="B164" s="2874" t="s">
        <v>2757</v>
      </c>
      <c r="C164" s="2124" t="s">
        <v>2922</v>
      </c>
      <c r="D164" s="2213">
        <v>1</v>
      </c>
      <c r="E164" s="2223"/>
      <c r="F164" s="2215">
        <f t="shared" si="87"/>
        <v>0</v>
      </c>
      <c r="G164" s="2216">
        <f t="shared" ref="G164:N164" si="89">IF(G$88="改修",ROUNDDOWN(G150*G$162*$D164,0),ROUNDDOWN(G150*G$160*$D164,0))</f>
        <v>0</v>
      </c>
      <c r="H164" s="2216">
        <f t="shared" si="89"/>
        <v>0</v>
      </c>
      <c r="I164" s="2216">
        <f t="shared" si="89"/>
        <v>0</v>
      </c>
      <c r="J164" s="2216">
        <f>IF(J$88="改修",ROUNDDOWN(J150*J$162*$D164,0),ROUNDDOWN(J150*J$160*$D164,0))</f>
        <v>0</v>
      </c>
      <c r="K164" s="2216">
        <f>IF(K$88="改修",ROUNDDOWN(K150*K$162*$D164,0),ROUNDDOWN(K150*K$160*$D164,0))</f>
        <v>0</v>
      </c>
      <c r="L164" s="2216">
        <f t="shared" si="89"/>
        <v>0</v>
      </c>
      <c r="M164" s="2216">
        <f t="shared" si="89"/>
        <v>0</v>
      </c>
      <c r="N164" s="2222">
        <f t="shared" si="89"/>
        <v>0</v>
      </c>
      <c r="O164" s="2171"/>
      <c r="P164" s="2171"/>
    </row>
    <row r="165" spans="1:16" s="2160" customFormat="1" ht="14.25" customHeight="1">
      <c r="A165" s="2869"/>
      <c r="B165" s="2872"/>
      <c r="C165" s="2132" t="s">
        <v>2923</v>
      </c>
      <c r="D165" s="2213">
        <v>1</v>
      </c>
      <c r="E165" s="2214"/>
      <c r="F165" s="2215">
        <f t="shared" si="87"/>
        <v>0</v>
      </c>
      <c r="G165" s="2216">
        <f t="shared" ref="G165:N165" si="90">IF(G$88="改修",ROUNDDOWN(G151*G$162*$D165,0),IF(G88="新営",ROUNDDOWN(G151*G$160*$D165,0),0))</f>
        <v>0</v>
      </c>
      <c r="H165" s="2216">
        <f t="shared" si="90"/>
        <v>0</v>
      </c>
      <c r="I165" s="2216">
        <f t="shared" si="90"/>
        <v>0</v>
      </c>
      <c r="J165" s="2216">
        <f>IF(J$88="改修",ROUNDDOWN(J151*J$162*$D165,0),IF(J88="新営",ROUNDDOWN(J151*J$160*$D165,0),0))</f>
        <v>0</v>
      </c>
      <c r="K165" s="2216">
        <f>IF(K$88="改修",ROUNDDOWN(K151*K$162*$D165,0),IF(K88="新営",ROUNDDOWN(K151*K$160*$D165,0),0))</f>
        <v>0</v>
      </c>
      <c r="L165" s="2216">
        <f t="shared" si="90"/>
        <v>0</v>
      </c>
      <c r="M165" s="2216">
        <f t="shared" si="90"/>
        <v>0</v>
      </c>
      <c r="N165" s="2222">
        <f t="shared" si="90"/>
        <v>0</v>
      </c>
      <c r="O165" s="2171"/>
      <c r="P165" s="2171"/>
    </row>
    <row r="166" spans="1:16" s="2160" customFormat="1" ht="14.25" customHeight="1">
      <c r="A166" s="2869"/>
      <c r="B166" s="2872"/>
      <c r="C166" s="2124" t="s">
        <v>2924</v>
      </c>
      <c r="D166" s="2213">
        <v>1</v>
      </c>
      <c r="E166" s="2214"/>
      <c r="F166" s="2215">
        <f t="shared" si="87"/>
        <v>0</v>
      </c>
      <c r="G166" s="2216">
        <f t="shared" ref="G166:N166" si="91">IF(G$88="改修",ROUNDDOWN(G152*G$162*$D166,0),IF(G88="新営",ROUNDDOWN(G152*G$160*$D166,0),0))</f>
        <v>0</v>
      </c>
      <c r="H166" s="2216">
        <f t="shared" si="91"/>
        <v>0</v>
      </c>
      <c r="I166" s="2216">
        <f t="shared" si="91"/>
        <v>0</v>
      </c>
      <c r="J166" s="2216">
        <f>IF(J$88="改修",ROUNDDOWN(J152*J$162*$D166,0),IF(J88="新営",ROUNDDOWN(J152*J$160*$D166,0),0))</f>
        <v>0</v>
      </c>
      <c r="K166" s="2216">
        <f>IF(K$88="改修",ROUNDDOWN(K152*K$162*$D166,0),IF(K88="新営",ROUNDDOWN(K152*K$160*$D166,0),0))</f>
        <v>0</v>
      </c>
      <c r="L166" s="2216">
        <f t="shared" si="91"/>
        <v>0</v>
      </c>
      <c r="M166" s="2216">
        <f t="shared" si="91"/>
        <v>0</v>
      </c>
      <c r="N166" s="2222">
        <f t="shared" si="91"/>
        <v>0</v>
      </c>
      <c r="O166" s="2171"/>
      <c r="P166" s="2171"/>
    </row>
    <row r="167" spans="1:16" s="2160" customFormat="1" ht="14.25" customHeight="1">
      <c r="A167" s="2869"/>
      <c r="B167" s="2872"/>
      <c r="C167" s="2124" t="s">
        <v>2925</v>
      </c>
      <c r="D167" s="2213">
        <v>1</v>
      </c>
      <c r="E167" s="2214"/>
      <c r="F167" s="2215">
        <f t="shared" si="87"/>
        <v>0</v>
      </c>
      <c r="G167" s="2216">
        <f t="shared" ref="G167:N168" si="92">IF(G$88="改修",ROUNDDOWN(G153*G$162*$D167,0),IF(G88="新営",ROUNDDOWN(G153*G$160*$D167,0),0))</f>
        <v>0</v>
      </c>
      <c r="H167" s="2216">
        <f t="shared" si="92"/>
        <v>0</v>
      </c>
      <c r="I167" s="2216">
        <f t="shared" si="92"/>
        <v>0</v>
      </c>
      <c r="J167" s="2216">
        <f>IF(J$88="改修",ROUNDDOWN(J153*J$162*$D167,0),IF(J88="新営",ROUNDDOWN(J153*J$160*$D167,0),0))</f>
        <v>0</v>
      </c>
      <c r="K167" s="2216">
        <f>IF(K$88="改修",ROUNDDOWN(K153*K$162*$D167,0),IF(K88="新営",ROUNDDOWN(K153*K$160*$D167,0),0))</f>
        <v>0</v>
      </c>
      <c r="L167" s="2216">
        <f t="shared" si="92"/>
        <v>0</v>
      </c>
      <c r="M167" s="2216">
        <f t="shared" si="92"/>
        <v>0</v>
      </c>
      <c r="N167" s="2222">
        <f t="shared" si="92"/>
        <v>0</v>
      </c>
      <c r="O167" s="2171"/>
      <c r="P167" s="2171"/>
    </row>
    <row r="168" spans="1:16" s="2160" customFormat="1" ht="14.25" customHeight="1">
      <c r="A168" s="2869"/>
      <c r="B168" s="2224"/>
      <c r="C168" s="2133" t="s">
        <v>2926</v>
      </c>
      <c r="D168" s="2187">
        <v>1</v>
      </c>
      <c r="E168" s="2214"/>
      <c r="F168" s="2182">
        <f t="shared" si="87"/>
        <v>0</v>
      </c>
      <c r="G168" s="2225">
        <f t="shared" si="92"/>
        <v>0</v>
      </c>
      <c r="H168" s="2225">
        <f t="shared" si="92"/>
        <v>0</v>
      </c>
      <c r="I168" s="2225">
        <f t="shared" si="92"/>
        <v>0</v>
      </c>
      <c r="J168" s="2225">
        <f>IF(J$88="改修",ROUNDDOWN(J154*J$162*$D168,0),IF(J89="新営",ROUNDDOWN(J154*J$160*$D168,0),0))</f>
        <v>0</v>
      </c>
      <c r="K168" s="2225">
        <f>IF(K$88="改修",ROUNDDOWN(K154*K$162*$D168,0),IF(K89="新営",ROUNDDOWN(K154*K$160*$D168,0),0))</f>
        <v>0</v>
      </c>
      <c r="L168" s="2225">
        <f t="shared" si="92"/>
        <v>0</v>
      </c>
      <c r="M168" s="2225">
        <f t="shared" si="92"/>
        <v>0</v>
      </c>
      <c r="N168" s="2226">
        <f t="shared" si="92"/>
        <v>0</v>
      </c>
      <c r="O168" s="2171"/>
      <c r="P168" s="2171"/>
    </row>
    <row r="169" spans="1:16" s="2160" customFormat="1" ht="14.25" customHeight="1">
      <c r="A169" s="2869"/>
      <c r="B169" s="2875"/>
      <c r="C169" s="2188" t="s">
        <v>2927</v>
      </c>
      <c r="D169" s="2227">
        <f t="shared" ref="D169:E171" si="93">+D155</f>
        <v>1</v>
      </c>
      <c r="E169" s="2189">
        <f t="shared" si="93"/>
        <v>0</v>
      </c>
      <c r="F169" s="2215">
        <f t="shared" si="87"/>
        <v>0</v>
      </c>
      <c r="G169" s="2216">
        <f>ROUNDDOWN(G155*$E169*$D169,0)</f>
        <v>0</v>
      </c>
      <c r="H169" s="2216">
        <f t="shared" ref="H169:N171" si="94">ROUNDDOWN(H155*$E169*$D169,0)</f>
        <v>0</v>
      </c>
      <c r="I169" s="2216">
        <f t="shared" si="94"/>
        <v>0</v>
      </c>
      <c r="J169" s="2216">
        <f t="shared" si="94"/>
        <v>0</v>
      </c>
      <c r="K169" s="2216">
        <f t="shared" si="94"/>
        <v>0</v>
      </c>
      <c r="L169" s="2216">
        <f t="shared" si="94"/>
        <v>0</v>
      </c>
      <c r="M169" s="2216">
        <f t="shared" si="94"/>
        <v>0</v>
      </c>
      <c r="N169" s="2222">
        <f t="shared" si="94"/>
        <v>0</v>
      </c>
      <c r="O169" s="2171"/>
      <c r="P169" s="2171"/>
    </row>
    <row r="170" spans="1:16" s="2160" customFormat="1" ht="14.25" customHeight="1">
      <c r="A170" s="2869"/>
      <c r="B170" s="2875"/>
      <c r="C170" s="2188" t="s">
        <v>2928</v>
      </c>
      <c r="D170" s="2227">
        <f t="shared" si="93"/>
        <v>1</v>
      </c>
      <c r="E170" s="2189">
        <f t="shared" si="93"/>
        <v>0</v>
      </c>
      <c r="F170" s="2215">
        <f t="shared" si="87"/>
        <v>0</v>
      </c>
      <c r="G170" s="2216">
        <f>ROUNDDOWN(G156*$E170*$D170,0)</f>
        <v>0</v>
      </c>
      <c r="H170" s="2216">
        <f t="shared" si="94"/>
        <v>0</v>
      </c>
      <c r="I170" s="2216">
        <f t="shared" si="94"/>
        <v>0</v>
      </c>
      <c r="J170" s="2216">
        <f t="shared" si="94"/>
        <v>0</v>
      </c>
      <c r="K170" s="2216">
        <f t="shared" si="94"/>
        <v>0</v>
      </c>
      <c r="L170" s="2216">
        <f t="shared" si="94"/>
        <v>0</v>
      </c>
      <c r="M170" s="2216">
        <f t="shared" si="94"/>
        <v>0</v>
      </c>
      <c r="N170" s="2222">
        <f t="shared" si="94"/>
        <v>0</v>
      </c>
      <c r="O170" s="2171"/>
      <c r="P170" s="2171"/>
    </row>
    <row r="171" spans="1:16" s="2160" customFormat="1" ht="14.25" customHeight="1" thickBot="1">
      <c r="A171" s="2870"/>
      <c r="B171" s="2228" t="s">
        <v>2652</v>
      </c>
      <c r="C171" s="2193" t="s">
        <v>2929</v>
      </c>
      <c r="D171" s="2229">
        <f t="shared" si="93"/>
        <v>1</v>
      </c>
      <c r="E171" s="2230">
        <f t="shared" si="93"/>
        <v>0</v>
      </c>
      <c r="F171" s="2215">
        <f t="shared" si="87"/>
        <v>0</v>
      </c>
      <c r="G171" s="2216">
        <f>ROUNDDOWN(G157*$E171*$D171,0)</f>
        <v>0</v>
      </c>
      <c r="H171" s="2216">
        <f t="shared" si="94"/>
        <v>0</v>
      </c>
      <c r="I171" s="2216">
        <f t="shared" si="94"/>
        <v>0</v>
      </c>
      <c r="J171" s="2216">
        <f t="shared" si="94"/>
        <v>0</v>
      </c>
      <c r="K171" s="2216">
        <f t="shared" si="94"/>
        <v>0</v>
      </c>
      <c r="L171" s="2216">
        <f t="shared" si="94"/>
        <v>0</v>
      </c>
      <c r="M171" s="2216">
        <f t="shared" si="94"/>
        <v>0</v>
      </c>
      <c r="N171" s="2222">
        <f t="shared" si="94"/>
        <v>0</v>
      </c>
      <c r="O171" s="2171"/>
      <c r="P171" s="2171"/>
    </row>
    <row r="172" spans="1:16" s="2160" customFormat="1" ht="14.25" customHeight="1" thickTop="1">
      <c r="A172" s="2231"/>
      <c r="B172" s="2232"/>
      <c r="C172" s="2233" t="s">
        <v>2662</v>
      </c>
      <c r="D172" s="2234"/>
      <c r="E172" s="2235"/>
      <c r="F172" s="2236">
        <f t="shared" si="87"/>
        <v>0</v>
      </c>
      <c r="G172" s="2237">
        <f t="shared" ref="G172:N172" si="95">SUM(G163:G171)+G161</f>
        <v>0</v>
      </c>
      <c r="H172" s="2237">
        <f t="shared" si="95"/>
        <v>0</v>
      </c>
      <c r="I172" s="2237">
        <f t="shared" si="95"/>
        <v>0</v>
      </c>
      <c r="J172" s="2237">
        <f>SUM(J163:J171)+J161</f>
        <v>0</v>
      </c>
      <c r="K172" s="2237">
        <f>SUM(K163:K171)+K161</f>
        <v>0</v>
      </c>
      <c r="L172" s="2237">
        <f t="shared" si="95"/>
        <v>0</v>
      </c>
      <c r="M172" s="2237">
        <f t="shared" si="95"/>
        <v>0</v>
      </c>
      <c r="N172" s="2238">
        <f t="shared" si="95"/>
        <v>0</v>
      </c>
      <c r="O172" s="2171"/>
      <c r="P172" s="2171"/>
    </row>
    <row r="173" spans="1:16" ht="15" customHeight="1">
      <c r="A173" s="1742"/>
      <c r="B173" s="2239"/>
      <c r="C173" s="2240"/>
      <c r="D173" s="2241"/>
      <c r="E173" s="1738"/>
      <c r="F173" s="2242"/>
      <c r="G173" s="2243"/>
      <c r="H173" s="2243"/>
      <c r="I173" s="2243"/>
      <c r="J173" s="2243"/>
      <c r="K173" s="2243"/>
      <c r="L173" s="2243"/>
      <c r="M173" s="2243"/>
      <c r="N173" s="2243"/>
    </row>
    <row r="174" spans="1:16" ht="15" customHeight="1">
      <c r="A174" s="1703"/>
      <c r="B174" s="1703"/>
      <c r="C174" s="1962" t="s">
        <v>2931</v>
      </c>
      <c r="D174" s="1962"/>
      <c r="E174" s="1704"/>
      <c r="F174" s="1704"/>
      <c r="G174" s="1713"/>
      <c r="H174" s="1713"/>
      <c r="I174" s="1713"/>
      <c r="J174" s="1713"/>
      <c r="K174" s="1713"/>
      <c r="L174" s="1713"/>
      <c r="M174" s="1713"/>
      <c r="N174" s="1709" t="s">
        <v>2932</v>
      </c>
    </row>
    <row r="175" spans="1:16" ht="15" customHeight="1">
      <c r="A175" s="1703"/>
      <c r="B175" s="1703"/>
      <c r="C175" s="2244" t="s">
        <v>2933</v>
      </c>
      <c r="D175" s="2244"/>
      <c r="E175" s="1704"/>
      <c r="F175" s="1704"/>
      <c r="G175" s="1713"/>
      <c r="H175" s="1713"/>
      <c r="I175" s="1713"/>
      <c r="J175" s="1713"/>
      <c r="K175" s="1713"/>
      <c r="L175" s="1713"/>
      <c r="M175" s="1713"/>
      <c r="N175" s="1963"/>
    </row>
    <row r="176" spans="1:16" ht="15" customHeight="1">
      <c r="A176" s="1714"/>
      <c r="B176" s="1715"/>
      <c r="C176" s="1715"/>
      <c r="D176" s="2860"/>
      <c r="E176" s="2860" t="s">
        <v>2681</v>
      </c>
      <c r="F176" s="2245" t="s">
        <v>2526</v>
      </c>
      <c r="G176" s="2246">
        <f t="shared" ref="G176:N176" si="96">+G89</f>
        <v>0</v>
      </c>
      <c r="H176" s="2246">
        <f t="shared" si="96"/>
        <v>0</v>
      </c>
      <c r="I176" s="2246">
        <f t="shared" si="96"/>
        <v>0</v>
      </c>
      <c r="J176" s="2246">
        <f>+J89</f>
        <v>0</v>
      </c>
      <c r="K176" s="2246">
        <f>+K89</f>
        <v>0</v>
      </c>
      <c r="L176" s="2246">
        <f t="shared" si="96"/>
        <v>0</v>
      </c>
      <c r="M176" s="2246">
        <f t="shared" si="96"/>
        <v>0</v>
      </c>
      <c r="N176" s="2247">
        <f t="shared" si="96"/>
        <v>0</v>
      </c>
    </row>
    <row r="177" spans="1:14" ht="14.25" customHeight="1">
      <c r="A177" s="2862" t="s">
        <v>2667</v>
      </c>
      <c r="B177" s="2863"/>
      <c r="C177" s="2863"/>
      <c r="D177" s="2861"/>
      <c r="E177" s="2861"/>
      <c r="F177" s="2248"/>
      <c r="G177" s="2249"/>
      <c r="H177" s="2249"/>
      <c r="I177" s="2249"/>
      <c r="J177" s="2249"/>
      <c r="K177" s="2249"/>
      <c r="L177" s="2249"/>
      <c r="M177" s="2249"/>
      <c r="N177" s="2250"/>
    </row>
    <row r="178" spans="1:14" ht="15" customHeight="1">
      <c r="A178" s="2251"/>
      <c r="B178" s="2252" t="s">
        <v>2802</v>
      </c>
      <c r="C178" s="2253"/>
      <c r="D178" s="2246"/>
      <c r="E178" s="2254"/>
      <c r="F178" s="2255">
        <f>SUM(G178:N178)</f>
        <v>0</v>
      </c>
      <c r="G178" s="2256">
        <f t="shared" ref="G178:N178" si="97">SUM(G121:G124)</f>
        <v>0</v>
      </c>
      <c r="H178" s="2256">
        <f t="shared" si="97"/>
        <v>0</v>
      </c>
      <c r="I178" s="2256">
        <f t="shared" si="97"/>
        <v>0</v>
      </c>
      <c r="J178" s="2256">
        <f>SUM(J121:J124)</f>
        <v>0</v>
      </c>
      <c r="K178" s="2256">
        <f>SUM(K121:K124)</f>
        <v>0</v>
      </c>
      <c r="L178" s="2256">
        <f t="shared" si="97"/>
        <v>0</v>
      </c>
      <c r="M178" s="2256">
        <f t="shared" si="97"/>
        <v>0</v>
      </c>
      <c r="N178" s="2257">
        <f t="shared" si="97"/>
        <v>0</v>
      </c>
    </row>
    <row r="179" spans="1:14" ht="15" customHeight="1">
      <c r="A179" s="2258"/>
      <c r="B179" s="2846" t="s">
        <v>2920</v>
      </c>
      <c r="C179" s="2058" t="s">
        <v>2551</v>
      </c>
      <c r="D179" s="2246"/>
      <c r="E179" s="2259" t="s">
        <v>2804</v>
      </c>
      <c r="F179" s="2255">
        <f>SUM(G179:N179)</f>
        <v>0</v>
      </c>
      <c r="G179" s="2260">
        <f t="shared" ref="G179:N179" si="98">+G121</f>
        <v>0</v>
      </c>
      <c r="H179" s="2260">
        <f t="shared" si="98"/>
        <v>0</v>
      </c>
      <c r="I179" s="2260">
        <f t="shared" si="98"/>
        <v>0</v>
      </c>
      <c r="J179" s="2260">
        <f>+J121</f>
        <v>0</v>
      </c>
      <c r="K179" s="2260">
        <f>+K121</f>
        <v>0</v>
      </c>
      <c r="L179" s="2260">
        <f t="shared" si="98"/>
        <v>0</v>
      </c>
      <c r="M179" s="2260">
        <f t="shared" si="98"/>
        <v>0</v>
      </c>
      <c r="N179" s="2261">
        <f t="shared" si="98"/>
        <v>0</v>
      </c>
    </row>
    <row r="180" spans="1:14" ht="15" customHeight="1">
      <c r="A180" s="2262"/>
      <c r="B180" s="2847"/>
      <c r="C180" s="2124" t="s">
        <v>2552</v>
      </c>
      <c r="D180" s="2263"/>
      <c r="E180" s="2264" t="s">
        <v>2804</v>
      </c>
      <c r="F180" s="2265">
        <f>SUM(G180:N180)</f>
        <v>0</v>
      </c>
      <c r="G180" s="2134">
        <f t="shared" ref="G180:N181" si="99">G122</f>
        <v>0</v>
      </c>
      <c r="H180" s="2134">
        <f t="shared" si="99"/>
        <v>0</v>
      </c>
      <c r="I180" s="2134">
        <f t="shared" si="99"/>
        <v>0</v>
      </c>
      <c r="J180" s="2134">
        <f>J122</f>
        <v>0</v>
      </c>
      <c r="K180" s="2134">
        <f>K122</f>
        <v>0</v>
      </c>
      <c r="L180" s="2134">
        <f t="shared" si="99"/>
        <v>0</v>
      </c>
      <c r="M180" s="2134">
        <f t="shared" si="99"/>
        <v>0</v>
      </c>
      <c r="N180" s="2135">
        <f t="shared" si="99"/>
        <v>0</v>
      </c>
    </row>
    <row r="181" spans="1:14" ht="15" customHeight="1">
      <c r="A181" s="2262"/>
      <c r="B181" s="2847"/>
      <c r="C181" s="2124" t="s">
        <v>2934</v>
      </c>
      <c r="D181" s="2263"/>
      <c r="E181" s="2264" t="s">
        <v>2804</v>
      </c>
      <c r="F181" s="2265">
        <f>SUM(G181:N181)</f>
        <v>0</v>
      </c>
      <c r="G181" s="2134">
        <f t="shared" si="99"/>
        <v>0</v>
      </c>
      <c r="H181" s="2134">
        <f t="shared" si="99"/>
        <v>0</v>
      </c>
      <c r="I181" s="2134">
        <f t="shared" si="99"/>
        <v>0</v>
      </c>
      <c r="J181" s="2134">
        <f>J123</f>
        <v>0</v>
      </c>
      <c r="K181" s="2134">
        <f>K123</f>
        <v>0</v>
      </c>
      <c r="L181" s="2134">
        <f t="shared" si="99"/>
        <v>0</v>
      </c>
      <c r="M181" s="2134">
        <f t="shared" si="99"/>
        <v>0</v>
      </c>
      <c r="N181" s="2135">
        <f t="shared" si="99"/>
        <v>0</v>
      </c>
    </row>
    <row r="182" spans="1:14" ht="15" customHeight="1">
      <c r="A182" s="2262"/>
      <c r="B182" s="2852"/>
      <c r="C182" s="2266" t="s">
        <v>2900</v>
      </c>
      <c r="D182" s="2263"/>
      <c r="E182" s="2264" t="s">
        <v>2804</v>
      </c>
      <c r="F182" s="2125">
        <f>F172</f>
        <v>0</v>
      </c>
      <c r="G182" s="2125">
        <f t="shared" ref="G182:N182" si="100">G172</f>
        <v>0</v>
      </c>
      <c r="H182" s="2125">
        <f t="shared" si="100"/>
        <v>0</v>
      </c>
      <c r="I182" s="2125">
        <f t="shared" si="100"/>
        <v>0</v>
      </c>
      <c r="J182" s="2125">
        <f>J172</f>
        <v>0</v>
      </c>
      <c r="K182" s="2125">
        <f>K172</f>
        <v>0</v>
      </c>
      <c r="L182" s="2125">
        <f t="shared" si="100"/>
        <v>0</v>
      </c>
      <c r="M182" s="2125">
        <f t="shared" si="100"/>
        <v>0</v>
      </c>
      <c r="N182" s="2126">
        <f t="shared" si="100"/>
        <v>0</v>
      </c>
    </row>
    <row r="183" spans="1:14" ht="15" customHeight="1">
      <c r="A183" s="2262"/>
      <c r="B183" s="2850" t="s">
        <v>2757</v>
      </c>
      <c r="C183" s="2267" t="s">
        <v>2901</v>
      </c>
      <c r="D183" s="2263"/>
      <c r="E183" s="2138">
        <v>0.2</v>
      </c>
      <c r="F183" s="2134">
        <f t="shared" ref="F183:F188" si="101">INT(F125/(1+$E183))</f>
        <v>0</v>
      </c>
      <c r="G183" s="2134">
        <f t="shared" ref="G183:G188" si="102">F183-SUM(H183:N183)</f>
        <v>0</v>
      </c>
      <c r="H183" s="2134">
        <f t="shared" ref="H183:N183" si="103">INT(H125/(1+$E183))</f>
        <v>0</v>
      </c>
      <c r="I183" s="2134">
        <f t="shared" si="103"/>
        <v>0</v>
      </c>
      <c r="J183" s="2134">
        <f t="shared" si="103"/>
        <v>0</v>
      </c>
      <c r="K183" s="2134">
        <f t="shared" si="103"/>
        <v>0</v>
      </c>
      <c r="L183" s="2134">
        <f t="shared" si="103"/>
        <v>0</v>
      </c>
      <c r="M183" s="2134">
        <f t="shared" si="103"/>
        <v>0</v>
      </c>
      <c r="N183" s="2135">
        <f t="shared" si="103"/>
        <v>0</v>
      </c>
    </row>
    <row r="184" spans="1:14" ht="15" customHeight="1">
      <c r="A184" s="2262"/>
      <c r="B184" s="2848"/>
      <c r="C184" s="2124" t="s">
        <v>2922</v>
      </c>
      <c r="D184" s="2263"/>
      <c r="E184" s="2138">
        <v>0.2</v>
      </c>
      <c r="F184" s="2134">
        <f t="shared" si="101"/>
        <v>0</v>
      </c>
      <c r="G184" s="2134">
        <f t="shared" si="102"/>
        <v>0</v>
      </c>
      <c r="H184" s="2134">
        <f t="shared" ref="H184:N188" si="104">IF(H126=0,0,ROUND($F184/$F126*H126,0))</f>
        <v>0</v>
      </c>
      <c r="I184" s="2134">
        <f t="shared" si="104"/>
        <v>0</v>
      </c>
      <c r="J184" s="2134">
        <f t="shared" si="104"/>
        <v>0</v>
      </c>
      <c r="K184" s="2134">
        <f t="shared" si="104"/>
        <v>0</v>
      </c>
      <c r="L184" s="2134">
        <f t="shared" si="104"/>
        <v>0</v>
      </c>
      <c r="M184" s="2134">
        <f t="shared" si="104"/>
        <v>0</v>
      </c>
      <c r="N184" s="2135">
        <f t="shared" si="104"/>
        <v>0</v>
      </c>
    </row>
    <row r="185" spans="1:14" ht="15" customHeight="1">
      <c r="A185" s="2262"/>
      <c r="B185" s="2848"/>
      <c r="C185" s="2132" t="s">
        <v>2935</v>
      </c>
      <c r="D185" s="2263"/>
      <c r="E185" s="2268">
        <f>E151</f>
        <v>0.25</v>
      </c>
      <c r="F185" s="2134">
        <f t="shared" si="101"/>
        <v>0</v>
      </c>
      <c r="G185" s="2134">
        <f t="shared" si="102"/>
        <v>0</v>
      </c>
      <c r="H185" s="2134">
        <f t="shared" si="104"/>
        <v>0</v>
      </c>
      <c r="I185" s="2134">
        <f t="shared" si="104"/>
        <v>0</v>
      </c>
      <c r="J185" s="2134">
        <f t="shared" si="104"/>
        <v>0</v>
      </c>
      <c r="K185" s="2134">
        <f t="shared" si="104"/>
        <v>0</v>
      </c>
      <c r="L185" s="2134">
        <f t="shared" si="104"/>
        <v>0</v>
      </c>
      <c r="M185" s="2134">
        <f t="shared" si="104"/>
        <v>0</v>
      </c>
      <c r="N185" s="2135">
        <f t="shared" si="104"/>
        <v>0</v>
      </c>
    </row>
    <row r="186" spans="1:14" ht="15" customHeight="1">
      <c r="A186" s="2262"/>
      <c r="B186" s="2848"/>
      <c r="C186" s="2124" t="s">
        <v>2924</v>
      </c>
      <c r="D186" s="2263"/>
      <c r="E186" s="2138">
        <v>0.2</v>
      </c>
      <c r="F186" s="2134">
        <f t="shared" si="101"/>
        <v>0</v>
      </c>
      <c r="G186" s="2134">
        <f t="shared" si="102"/>
        <v>0</v>
      </c>
      <c r="H186" s="2134">
        <f t="shared" si="104"/>
        <v>0</v>
      </c>
      <c r="I186" s="2134">
        <f t="shared" si="104"/>
        <v>0</v>
      </c>
      <c r="J186" s="2134">
        <f t="shared" si="104"/>
        <v>0</v>
      </c>
      <c r="K186" s="2134">
        <f t="shared" si="104"/>
        <v>0</v>
      </c>
      <c r="L186" s="2134">
        <f t="shared" si="104"/>
        <v>0</v>
      </c>
      <c r="M186" s="2134">
        <f t="shared" si="104"/>
        <v>0</v>
      </c>
      <c r="N186" s="2135">
        <f t="shared" si="104"/>
        <v>0</v>
      </c>
    </row>
    <row r="187" spans="1:14" ht="15" customHeight="1">
      <c r="A187" s="2262"/>
      <c r="B187" s="2848"/>
      <c r="C187" s="2124" t="s">
        <v>2925</v>
      </c>
      <c r="D187" s="2263"/>
      <c r="E187" s="2138">
        <v>0.2</v>
      </c>
      <c r="F187" s="2134">
        <f t="shared" si="101"/>
        <v>0</v>
      </c>
      <c r="G187" s="2134">
        <f t="shared" si="102"/>
        <v>0</v>
      </c>
      <c r="H187" s="2134">
        <f t="shared" si="104"/>
        <v>0</v>
      </c>
      <c r="I187" s="2134">
        <f t="shared" si="104"/>
        <v>0</v>
      </c>
      <c r="J187" s="2134">
        <f t="shared" si="104"/>
        <v>0</v>
      </c>
      <c r="K187" s="2134">
        <f t="shared" si="104"/>
        <v>0</v>
      </c>
      <c r="L187" s="2134">
        <f t="shared" si="104"/>
        <v>0</v>
      </c>
      <c r="M187" s="2134">
        <f t="shared" si="104"/>
        <v>0</v>
      </c>
      <c r="N187" s="2135">
        <f t="shared" si="104"/>
        <v>0</v>
      </c>
    </row>
    <row r="188" spans="1:14" ht="15" customHeight="1">
      <c r="A188" s="2262"/>
      <c r="B188" s="2848"/>
      <c r="C188" s="2124" t="s">
        <v>2926</v>
      </c>
      <c r="D188" s="2263"/>
      <c r="E188" s="2138">
        <v>0.2</v>
      </c>
      <c r="F188" s="2134">
        <f t="shared" si="101"/>
        <v>0</v>
      </c>
      <c r="G188" s="2134">
        <f t="shared" si="102"/>
        <v>0</v>
      </c>
      <c r="H188" s="2134">
        <f t="shared" si="104"/>
        <v>0</v>
      </c>
      <c r="I188" s="2134">
        <f t="shared" si="104"/>
        <v>0</v>
      </c>
      <c r="J188" s="2134">
        <f t="shared" si="104"/>
        <v>0</v>
      </c>
      <c r="K188" s="2134">
        <f t="shared" si="104"/>
        <v>0</v>
      </c>
      <c r="L188" s="2134">
        <f t="shared" si="104"/>
        <v>0</v>
      </c>
      <c r="M188" s="2134">
        <f t="shared" si="104"/>
        <v>0</v>
      </c>
      <c r="N188" s="2135">
        <f t="shared" si="104"/>
        <v>0</v>
      </c>
    </row>
    <row r="189" spans="1:14" ht="15" customHeight="1">
      <c r="A189" s="2262"/>
      <c r="B189" s="2848"/>
      <c r="C189" s="2124"/>
      <c r="D189" s="2263"/>
      <c r="E189" s="2138"/>
      <c r="F189" s="2265"/>
      <c r="G189" s="2134"/>
      <c r="H189" s="2134"/>
      <c r="I189" s="2134"/>
      <c r="J189" s="2134"/>
      <c r="K189" s="2134"/>
      <c r="L189" s="2134"/>
      <c r="M189" s="2134"/>
      <c r="N189" s="2135"/>
    </row>
    <row r="190" spans="1:14" ht="15" customHeight="1">
      <c r="A190" s="2262"/>
      <c r="B190" s="2851"/>
      <c r="C190" s="2124"/>
      <c r="D190" s="2263"/>
      <c r="E190" s="2138"/>
      <c r="F190" s="2265"/>
      <c r="G190" s="2134"/>
      <c r="H190" s="2134"/>
      <c r="I190" s="2134"/>
      <c r="J190" s="2134"/>
      <c r="K190" s="2134"/>
      <c r="L190" s="2134"/>
      <c r="M190" s="2134"/>
      <c r="N190" s="2135"/>
    </row>
    <row r="191" spans="1:14" ht="15" customHeight="1">
      <c r="A191" s="2262"/>
      <c r="B191" s="2850" t="s">
        <v>489</v>
      </c>
      <c r="C191" s="2124" t="s">
        <v>2936</v>
      </c>
      <c r="D191" s="2263"/>
      <c r="E191" s="2138">
        <v>0.02</v>
      </c>
      <c r="F191" s="2265">
        <f>SUM(G191:N191)</f>
        <v>0</v>
      </c>
      <c r="G191" s="2134">
        <f>+G133</f>
        <v>0</v>
      </c>
      <c r="H191" s="2134">
        <f t="shared" ref="H191:N193" si="105">+H133</f>
        <v>0</v>
      </c>
      <c r="I191" s="2134">
        <f t="shared" si="105"/>
        <v>0</v>
      </c>
      <c r="J191" s="2134">
        <f t="shared" si="105"/>
        <v>0</v>
      </c>
      <c r="K191" s="2134">
        <f t="shared" si="105"/>
        <v>0</v>
      </c>
      <c r="L191" s="2134">
        <f t="shared" si="105"/>
        <v>0</v>
      </c>
      <c r="M191" s="2134">
        <f t="shared" si="105"/>
        <v>0</v>
      </c>
      <c r="N191" s="2135">
        <f t="shared" si="105"/>
        <v>0</v>
      </c>
    </row>
    <row r="192" spans="1:14" ht="15" customHeight="1">
      <c r="A192" s="2262"/>
      <c r="B192" s="2847"/>
      <c r="C192" s="2140" t="s">
        <v>2937</v>
      </c>
      <c r="D192" s="2263"/>
      <c r="E192" s="2138">
        <v>0.02</v>
      </c>
      <c r="F192" s="2265">
        <f>SUM(G192:N192)</f>
        <v>0</v>
      </c>
      <c r="G192" s="2134">
        <f>+G134</f>
        <v>0</v>
      </c>
      <c r="H192" s="2134">
        <f t="shared" si="105"/>
        <v>0</v>
      </c>
      <c r="I192" s="2134">
        <f t="shared" si="105"/>
        <v>0</v>
      </c>
      <c r="J192" s="2134">
        <f t="shared" si="105"/>
        <v>0</v>
      </c>
      <c r="K192" s="2134">
        <f t="shared" si="105"/>
        <v>0</v>
      </c>
      <c r="L192" s="2134">
        <f t="shared" si="105"/>
        <v>0</v>
      </c>
      <c r="M192" s="2134">
        <f t="shared" si="105"/>
        <v>0</v>
      </c>
      <c r="N192" s="2135">
        <f t="shared" si="105"/>
        <v>0</v>
      </c>
    </row>
    <row r="193" spans="1:14" ht="15" customHeight="1">
      <c r="A193" s="2262"/>
      <c r="B193" s="2852"/>
      <c r="C193" s="2140" t="s">
        <v>2938</v>
      </c>
      <c r="D193" s="2263"/>
      <c r="E193" s="2138">
        <v>0.02</v>
      </c>
      <c r="F193" s="2265">
        <f>SUM(G193:N193)</f>
        <v>0</v>
      </c>
      <c r="G193" s="2134">
        <f>+G135</f>
        <v>0</v>
      </c>
      <c r="H193" s="2134">
        <f t="shared" si="105"/>
        <v>0</v>
      </c>
      <c r="I193" s="2134">
        <f t="shared" si="105"/>
        <v>0</v>
      </c>
      <c r="J193" s="2134">
        <f t="shared" si="105"/>
        <v>0</v>
      </c>
      <c r="K193" s="2134">
        <f t="shared" si="105"/>
        <v>0</v>
      </c>
      <c r="L193" s="2134">
        <f t="shared" si="105"/>
        <v>0</v>
      </c>
      <c r="M193" s="2134">
        <f t="shared" si="105"/>
        <v>0</v>
      </c>
      <c r="N193" s="2135">
        <f t="shared" si="105"/>
        <v>0</v>
      </c>
    </row>
    <row r="194" spans="1:14" ht="15" customHeight="1">
      <c r="A194" s="2269"/>
      <c r="B194" s="2270" t="s">
        <v>2652</v>
      </c>
      <c r="C194" s="2271" t="s">
        <v>2939</v>
      </c>
      <c r="D194" s="2272"/>
      <c r="E194" s="2273">
        <v>0</v>
      </c>
      <c r="F194" s="2274">
        <f>SUM(G194:N194)</f>
        <v>0</v>
      </c>
      <c r="G194" s="2275">
        <f t="shared" ref="G194:N194" si="106">SUM(G136:G142)</f>
        <v>0</v>
      </c>
      <c r="H194" s="2275">
        <f t="shared" si="106"/>
        <v>0</v>
      </c>
      <c r="I194" s="2275">
        <f t="shared" si="106"/>
        <v>0</v>
      </c>
      <c r="J194" s="2275">
        <f>SUM(J136:J142)</f>
        <v>0</v>
      </c>
      <c r="K194" s="2275">
        <f>SUM(K136:K142)</f>
        <v>0</v>
      </c>
      <c r="L194" s="2275">
        <f t="shared" si="106"/>
        <v>0</v>
      </c>
      <c r="M194" s="2275">
        <f t="shared" si="106"/>
        <v>0</v>
      </c>
      <c r="N194" s="2276">
        <f t="shared" si="106"/>
        <v>0</v>
      </c>
    </row>
    <row r="195" spans="1:14" ht="15" customHeight="1">
      <c r="A195" s="2277" t="s">
        <v>2573</v>
      </c>
      <c r="B195" s="2278"/>
      <c r="C195" s="2278"/>
      <c r="D195" s="2279"/>
      <c r="E195" s="2280" t="s">
        <v>2814</v>
      </c>
      <c r="F195" s="2281"/>
      <c r="G195" s="2282"/>
      <c r="H195" s="2282"/>
      <c r="I195" s="2282"/>
      <c r="J195" s="2282"/>
      <c r="K195" s="2282"/>
      <c r="L195" s="2282"/>
      <c r="M195" s="2282"/>
      <c r="N195" s="2283"/>
    </row>
    <row r="196" spans="1:14" ht="15" customHeight="1">
      <c r="A196" s="2258"/>
      <c r="B196" s="2846" t="s">
        <v>2920</v>
      </c>
      <c r="C196" s="2284" t="s">
        <v>2551</v>
      </c>
      <c r="D196" s="2285"/>
      <c r="E196" s="2286" t="s">
        <v>2921</v>
      </c>
      <c r="F196" s="2287" t="s">
        <v>2930</v>
      </c>
      <c r="G196" s="2288">
        <f t="shared" ref="G196:N196" si="107">IF(G179=0,0,+G282/100)</f>
        <v>0</v>
      </c>
      <c r="H196" s="2288">
        <f t="shared" si="107"/>
        <v>0</v>
      </c>
      <c r="I196" s="2288">
        <f t="shared" si="107"/>
        <v>0</v>
      </c>
      <c r="J196" s="2288">
        <f>IF(J179=0,0,+J282/100)</f>
        <v>0</v>
      </c>
      <c r="K196" s="2288">
        <f>IF(K179=0,0,+K282/100)</f>
        <v>0</v>
      </c>
      <c r="L196" s="2288">
        <f t="shared" si="107"/>
        <v>0</v>
      </c>
      <c r="M196" s="2288">
        <f t="shared" si="107"/>
        <v>0</v>
      </c>
      <c r="N196" s="2289">
        <f t="shared" si="107"/>
        <v>0</v>
      </c>
    </row>
    <row r="197" spans="1:14" ht="15" customHeight="1">
      <c r="A197" s="2262"/>
      <c r="B197" s="2847"/>
      <c r="C197" s="2290"/>
      <c r="D197" s="2291">
        <v>1</v>
      </c>
      <c r="E197" s="2292" t="s">
        <v>2921</v>
      </c>
      <c r="F197" s="2034">
        <f>SUM(G197:N197)</f>
        <v>0</v>
      </c>
      <c r="G197" s="2293">
        <f t="shared" ref="G197:N197" si="108">ROUNDDOWN(G179*G196*$D197,0)</f>
        <v>0</v>
      </c>
      <c r="H197" s="2293">
        <f t="shared" si="108"/>
        <v>0</v>
      </c>
      <c r="I197" s="2293">
        <f t="shared" si="108"/>
        <v>0</v>
      </c>
      <c r="J197" s="2293">
        <f>ROUNDDOWN(J179*J196*$D197,0)</f>
        <v>0</v>
      </c>
      <c r="K197" s="2293">
        <f>ROUNDDOWN(K179*K196*$D197,0)</f>
        <v>0</v>
      </c>
      <c r="L197" s="2293">
        <f t="shared" si="108"/>
        <v>0</v>
      </c>
      <c r="M197" s="2293">
        <f t="shared" si="108"/>
        <v>0</v>
      </c>
      <c r="N197" s="2294">
        <f t="shared" si="108"/>
        <v>0</v>
      </c>
    </row>
    <row r="198" spans="1:14" ht="15" customHeight="1">
      <c r="A198" s="2262"/>
      <c r="B198" s="2847"/>
      <c r="C198" s="2295" t="s">
        <v>2552</v>
      </c>
      <c r="D198" s="2039"/>
      <c r="E198" s="2292" t="s">
        <v>2921</v>
      </c>
      <c r="F198" s="2296" t="s">
        <v>2930</v>
      </c>
      <c r="G198" s="2297">
        <f t="shared" ref="G198:N198" si="109">IF(G180=0,0,+G290/100)</f>
        <v>0</v>
      </c>
      <c r="H198" s="2297">
        <f t="shared" si="109"/>
        <v>0</v>
      </c>
      <c r="I198" s="2297">
        <f t="shared" si="109"/>
        <v>0</v>
      </c>
      <c r="J198" s="2297">
        <f>IF(J180=0,0,+J290/100)</f>
        <v>0</v>
      </c>
      <c r="K198" s="2297">
        <f>IF(K180=0,0,+K290/100)</f>
        <v>0</v>
      </c>
      <c r="L198" s="2297">
        <f t="shared" si="109"/>
        <v>0</v>
      </c>
      <c r="M198" s="2297">
        <f t="shared" si="109"/>
        <v>0</v>
      </c>
      <c r="N198" s="2298">
        <f t="shared" si="109"/>
        <v>0</v>
      </c>
    </row>
    <row r="199" spans="1:14" ht="15" customHeight="1">
      <c r="A199" s="2262"/>
      <c r="B199" s="2848"/>
      <c r="C199" s="2290"/>
      <c r="D199" s="2291">
        <v>1</v>
      </c>
      <c r="E199" s="2292" t="s">
        <v>2921</v>
      </c>
      <c r="F199" s="2034">
        <f>SUM(G199:N199)</f>
        <v>0</v>
      </c>
      <c r="G199" s="2293">
        <f t="shared" ref="G199:N199" si="110">IF(G88="改修",ROUNDDOWN(G180*G198*$D199,0),0)</f>
        <v>0</v>
      </c>
      <c r="H199" s="2293">
        <f t="shared" si="110"/>
        <v>0</v>
      </c>
      <c r="I199" s="2293">
        <f t="shared" si="110"/>
        <v>0</v>
      </c>
      <c r="J199" s="2293">
        <f>IF(J88="改修",ROUNDDOWN(J180*J198*$D199,0),0)</f>
        <v>0</v>
      </c>
      <c r="K199" s="2293">
        <f>IF(K88="改修",ROUNDDOWN(K180*K198*$D199,0),0)</f>
        <v>0</v>
      </c>
      <c r="L199" s="2293">
        <f t="shared" si="110"/>
        <v>0</v>
      </c>
      <c r="M199" s="2293">
        <f t="shared" si="110"/>
        <v>0</v>
      </c>
      <c r="N199" s="2294">
        <f t="shared" si="110"/>
        <v>0</v>
      </c>
    </row>
    <row r="200" spans="1:14" ht="15" customHeight="1">
      <c r="A200" s="2262"/>
      <c r="B200" s="2848"/>
      <c r="C200" s="2299" t="s">
        <v>2940</v>
      </c>
      <c r="D200" s="2300"/>
      <c r="E200" s="2301"/>
      <c r="F200" s="2302" t="s">
        <v>2930</v>
      </c>
      <c r="G200" s="2303">
        <f t="shared" ref="G200:N200" si="111">IF(G182=0,0,IF(G88="改修",G290/100,G282/100))</f>
        <v>0</v>
      </c>
      <c r="H200" s="2303">
        <f t="shared" si="111"/>
        <v>0</v>
      </c>
      <c r="I200" s="2303">
        <f t="shared" si="111"/>
        <v>0</v>
      </c>
      <c r="J200" s="2303">
        <f>IF(J182=0,0,IF(J88="改修",J290/100,J282/100))</f>
        <v>0</v>
      </c>
      <c r="K200" s="2303">
        <f>IF(K182=0,0,IF(K88="改修",K290/100,K282/100))</f>
        <v>0</v>
      </c>
      <c r="L200" s="2303">
        <f t="shared" si="111"/>
        <v>0</v>
      </c>
      <c r="M200" s="2303">
        <f t="shared" si="111"/>
        <v>0</v>
      </c>
      <c r="N200" s="2304">
        <f t="shared" si="111"/>
        <v>0</v>
      </c>
    </row>
    <row r="201" spans="1:14" ht="15" customHeight="1">
      <c r="A201" s="2262"/>
      <c r="B201" s="2848"/>
      <c r="C201" s="2305" t="s">
        <v>2941</v>
      </c>
      <c r="D201" s="2306"/>
      <c r="E201" s="2301"/>
      <c r="F201" s="2302"/>
      <c r="G201" s="2119">
        <f t="shared" ref="G201:N201" si="112">ROUND(G181*G200,0)</f>
        <v>0</v>
      </c>
      <c r="H201" s="2119">
        <f t="shared" si="112"/>
        <v>0</v>
      </c>
      <c r="I201" s="2119">
        <f t="shared" si="112"/>
        <v>0</v>
      </c>
      <c r="J201" s="2119">
        <f>ROUND(J181*J200,0)</f>
        <v>0</v>
      </c>
      <c r="K201" s="2119">
        <f>ROUND(K181*K200,0)</f>
        <v>0</v>
      </c>
      <c r="L201" s="2119">
        <f t="shared" si="112"/>
        <v>0</v>
      </c>
      <c r="M201" s="2119">
        <f t="shared" si="112"/>
        <v>0</v>
      </c>
      <c r="N201" s="2120">
        <f t="shared" si="112"/>
        <v>0</v>
      </c>
    </row>
    <row r="202" spans="1:14" ht="15" customHeight="1">
      <c r="A202" s="2262"/>
      <c r="B202" s="2849"/>
      <c r="C202" s="2307" t="s">
        <v>2942</v>
      </c>
      <c r="D202" s="2308"/>
      <c r="E202" s="2309"/>
      <c r="F202" s="2310">
        <f>SUM(G202:N202)</f>
        <v>0</v>
      </c>
      <c r="G202" s="2127">
        <f t="shared" ref="G202:N202" si="113">ROUND(G182*G200,0)</f>
        <v>0</v>
      </c>
      <c r="H202" s="2127">
        <f t="shared" si="113"/>
        <v>0</v>
      </c>
      <c r="I202" s="2127">
        <f t="shared" si="113"/>
        <v>0</v>
      </c>
      <c r="J202" s="2127">
        <f>ROUND(J182*J200,0)</f>
        <v>0</v>
      </c>
      <c r="K202" s="2127">
        <f>ROUND(K182*K200,0)</f>
        <v>0</v>
      </c>
      <c r="L202" s="2127">
        <f t="shared" si="113"/>
        <v>0</v>
      </c>
      <c r="M202" s="2127">
        <f t="shared" si="113"/>
        <v>0</v>
      </c>
      <c r="N202" s="2128">
        <f t="shared" si="113"/>
        <v>0</v>
      </c>
    </row>
    <row r="203" spans="1:14" ht="15" customHeight="1">
      <c r="A203" s="2262"/>
      <c r="B203" s="2850" t="s">
        <v>2757</v>
      </c>
      <c r="C203" s="2124" t="str">
        <f>+C183</f>
        <v>(4-2)積上げ共通仮設工事※警備員費・率除外項目除く</v>
      </c>
      <c r="D203" s="2311"/>
      <c r="E203" s="2138">
        <f t="shared" ref="E203:E208" si="114">+E183</f>
        <v>0.2</v>
      </c>
      <c r="F203" s="2034">
        <f t="shared" ref="F203:F208" si="115">INT((F125-F183)*0.5)</f>
        <v>0</v>
      </c>
      <c r="G203" s="2134">
        <f t="shared" ref="G203:G208" si="116">F203-SUM(H203:N203)</f>
        <v>0</v>
      </c>
      <c r="H203" s="2134">
        <f t="shared" ref="H203:N208" si="117">IF(H183=0,0,ROUND($F203/$F183*H183,0))</f>
        <v>0</v>
      </c>
      <c r="I203" s="2134">
        <f t="shared" si="117"/>
        <v>0</v>
      </c>
      <c r="J203" s="2134">
        <f t="shared" si="117"/>
        <v>0</v>
      </c>
      <c r="K203" s="2134">
        <f t="shared" si="117"/>
        <v>0</v>
      </c>
      <c r="L203" s="2134">
        <f t="shared" si="117"/>
        <v>0</v>
      </c>
      <c r="M203" s="2134">
        <f t="shared" si="117"/>
        <v>0</v>
      </c>
      <c r="N203" s="2135">
        <f t="shared" si="117"/>
        <v>0</v>
      </c>
    </row>
    <row r="204" spans="1:14" ht="15" customHeight="1">
      <c r="A204" s="2262"/>
      <c r="B204" s="2848"/>
      <c r="C204" s="2124" t="str">
        <f>+C184</f>
        <v>(5)直接仮設工事</v>
      </c>
      <c r="D204" s="2311"/>
      <c r="E204" s="2138">
        <f t="shared" si="114"/>
        <v>0.2</v>
      </c>
      <c r="F204" s="2034">
        <f t="shared" si="115"/>
        <v>0</v>
      </c>
      <c r="G204" s="2134">
        <f t="shared" si="116"/>
        <v>0</v>
      </c>
      <c r="H204" s="2134">
        <f t="shared" si="117"/>
        <v>0</v>
      </c>
      <c r="I204" s="2134">
        <f t="shared" si="117"/>
        <v>0</v>
      </c>
      <c r="J204" s="2134">
        <f t="shared" si="117"/>
        <v>0</v>
      </c>
      <c r="K204" s="2134">
        <f t="shared" si="117"/>
        <v>0</v>
      </c>
      <c r="L204" s="2134">
        <f t="shared" si="117"/>
        <v>0</v>
      </c>
      <c r="M204" s="2134">
        <f t="shared" si="117"/>
        <v>0</v>
      </c>
      <c r="N204" s="2135">
        <f t="shared" si="117"/>
        <v>0</v>
      </c>
    </row>
    <row r="205" spans="1:14" ht="15" customHeight="1">
      <c r="A205" s="2262"/>
      <c r="B205" s="2848"/>
      <c r="C205" s="2132" t="str">
        <f>C185</f>
        <v>(6)建具工事</v>
      </c>
      <c r="D205" s="2311"/>
      <c r="E205" s="2312">
        <f t="shared" si="114"/>
        <v>0.25</v>
      </c>
      <c r="F205" s="2034">
        <f t="shared" si="115"/>
        <v>0</v>
      </c>
      <c r="G205" s="2134">
        <f t="shared" si="116"/>
        <v>0</v>
      </c>
      <c r="H205" s="2134">
        <f t="shared" si="117"/>
        <v>0</v>
      </c>
      <c r="I205" s="2134">
        <f t="shared" si="117"/>
        <v>0</v>
      </c>
      <c r="J205" s="2134">
        <f t="shared" si="117"/>
        <v>0</v>
      </c>
      <c r="K205" s="2134">
        <f t="shared" si="117"/>
        <v>0</v>
      </c>
      <c r="L205" s="2134">
        <f t="shared" si="117"/>
        <v>0</v>
      </c>
      <c r="M205" s="2134">
        <f t="shared" si="117"/>
        <v>0</v>
      </c>
      <c r="N205" s="2135">
        <f t="shared" si="117"/>
        <v>0</v>
      </c>
    </row>
    <row r="206" spans="1:14" ht="15" customHeight="1">
      <c r="A206" s="2262"/>
      <c r="B206" s="2848"/>
      <c r="C206" s="2124" t="str">
        <f>+C186</f>
        <v>(7)場内小運搬費</v>
      </c>
      <c r="D206" s="2311"/>
      <c r="E206" s="2138">
        <f t="shared" si="114"/>
        <v>0.2</v>
      </c>
      <c r="F206" s="2034">
        <f t="shared" si="115"/>
        <v>0</v>
      </c>
      <c r="G206" s="2134">
        <f t="shared" si="116"/>
        <v>0</v>
      </c>
      <c r="H206" s="2134">
        <f t="shared" si="117"/>
        <v>0</v>
      </c>
      <c r="I206" s="2134">
        <f t="shared" si="117"/>
        <v>0</v>
      </c>
      <c r="J206" s="2134">
        <f t="shared" si="117"/>
        <v>0</v>
      </c>
      <c r="K206" s="2134">
        <f t="shared" si="117"/>
        <v>0</v>
      </c>
      <c r="L206" s="2134">
        <f t="shared" si="117"/>
        <v>0</v>
      </c>
      <c r="M206" s="2134">
        <f t="shared" si="117"/>
        <v>0</v>
      </c>
      <c r="N206" s="2135">
        <f t="shared" si="117"/>
        <v>0</v>
      </c>
    </row>
    <row r="207" spans="1:14" ht="15" customHeight="1">
      <c r="A207" s="2262"/>
      <c r="B207" s="2848"/>
      <c r="C207" s="2124" t="str">
        <f>+C187</f>
        <v>(8)〃人力積込み費</v>
      </c>
      <c r="D207" s="2311"/>
      <c r="E207" s="2138">
        <f t="shared" si="114"/>
        <v>0.2</v>
      </c>
      <c r="F207" s="2034">
        <f t="shared" si="115"/>
        <v>0</v>
      </c>
      <c r="G207" s="2134">
        <f t="shared" si="116"/>
        <v>0</v>
      </c>
      <c r="H207" s="2134">
        <f t="shared" si="117"/>
        <v>0</v>
      </c>
      <c r="I207" s="2134">
        <f t="shared" si="117"/>
        <v>0</v>
      </c>
      <c r="J207" s="2134">
        <f t="shared" si="117"/>
        <v>0</v>
      </c>
      <c r="K207" s="2134">
        <f t="shared" si="117"/>
        <v>0</v>
      </c>
      <c r="L207" s="2134">
        <f t="shared" si="117"/>
        <v>0</v>
      </c>
      <c r="M207" s="2134">
        <f t="shared" si="117"/>
        <v>0</v>
      </c>
      <c r="N207" s="2313">
        <f t="shared" si="117"/>
        <v>0</v>
      </c>
    </row>
    <row r="208" spans="1:14" ht="15" customHeight="1">
      <c r="A208" s="2262"/>
      <c r="B208" s="2848"/>
      <c r="C208" s="2124" t="str">
        <f>+C188</f>
        <v>(9)〃搬出準備費</v>
      </c>
      <c r="D208" s="2311"/>
      <c r="E208" s="2138">
        <f t="shared" si="114"/>
        <v>0.2</v>
      </c>
      <c r="F208" s="2034">
        <f t="shared" si="115"/>
        <v>0</v>
      </c>
      <c r="G208" s="2134">
        <f t="shared" si="116"/>
        <v>0</v>
      </c>
      <c r="H208" s="2134">
        <f t="shared" si="117"/>
        <v>0</v>
      </c>
      <c r="I208" s="2134">
        <f t="shared" si="117"/>
        <v>0</v>
      </c>
      <c r="J208" s="2134">
        <f t="shared" si="117"/>
        <v>0</v>
      </c>
      <c r="K208" s="2134">
        <f t="shared" si="117"/>
        <v>0</v>
      </c>
      <c r="L208" s="2134">
        <f t="shared" si="117"/>
        <v>0</v>
      </c>
      <c r="M208" s="2134">
        <f t="shared" si="117"/>
        <v>0</v>
      </c>
      <c r="N208" s="2313">
        <f t="shared" si="117"/>
        <v>0</v>
      </c>
    </row>
    <row r="209" spans="1:14" ht="15" customHeight="1">
      <c r="A209" s="2262"/>
      <c r="B209" s="2848"/>
      <c r="C209" s="2124"/>
      <c r="D209" s="2311"/>
      <c r="E209" s="2314"/>
      <c r="F209" s="2034"/>
      <c r="G209" s="2134"/>
      <c r="H209" s="2134"/>
      <c r="I209" s="2134"/>
      <c r="J209" s="2134"/>
      <c r="K209" s="2134"/>
      <c r="L209" s="2134"/>
      <c r="M209" s="2134"/>
      <c r="N209" s="2135"/>
    </row>
    <row r="210" spans="1:14" ht="15" customHeight="1">
      <c r="A210" s="2262"/>
      <c r="B210" s="2851"/>
      <c r="C210" s="2124"/>
      <c r="D210" s="2311"/>
      <c r="E210" s="2138"/>
      <c r="F210" s="2034"/>
      <c r="G210" s="2134"/>
      <c r="H210" s="2134"/>
      <c r="I210" s="2134"/>
      <c r="J210" s="2134"/>
      <c r="K210" s="2134"/>
      <c r="L210" s="2134"/>
      <c r="M210" s="2134"/>
      <c r="N210" s="2135"/>
    </row>
    <row r="211" spans="1:14" ht="15" customHeight="1">
      <c r="A211" s="2262"/>
      <c r="B211" s="2850" t="s">
        <v>489</v>
      </c>
      <c r="C211" s="2124" t="s">
        <v>2936</v>
      </c>
      <c r="D211" s="2311"/>
      <c r="E211" s="2138">
        <f>+E191</f>
        <v>0.02</v>
      </c>
      <c r="F211" s="2034">
        <f>INT(F191*E211)</f>
        <v>0</v>
      </c>
      <c r="G211" s="2134">
        <f>F211-SUM(H211:N211)</f>
        <v>0</v>
      </c>
      <c r="H211" s="2134">
        <f t="shared" ref="H211:N213" si="118">IF(H191=0,0,ROUND($F211/$F191*H191,0))</f>
        <v>0</v>
      </c>
      <c r="I211" s="2134">
        <f t="shared" si="118"/>
        <v>0</v>
      </c>
      <c r="J211" s="2134">
        <f t="shared" si="118"/>
        <v>0</v>
      </c>
      <c r="K211" s="2134">
        <f t="shared" si="118"/>
        <v>0</v>
      </c>
      <c r="L211" s="2134">
        <f t="shared" si="118"/>
        <v>0</v>
      </c>
      <c r="M211" s="2134">
        <f t="shared" si="118"/>
        <v>0</v>
      </c>
      <c r="N211" s="2313">
        <f t="shared" si="118"/>
        <v>0</v>
      </c>
    </row>
    <row r="212" spans="1:14" ht="15" customHeight="1">
      <c r="A212" s="2262"/>
      <c r="B212" s="2847"/>
      <c r="C212" s="2140" t="s">
        <v>2937</v>
      </c>
      <c r="D212" s="2311"/>
      <c r="E212" s="2138">
        <f>+E192</f>
        <v>0.02</v>
      </c>
      <c r="F212" s="2034">
        <f>INT(F192*E212)</f>
        <v>0</v>
      </c>
      <c r="G212" s="2134">
        <f>F212-SUM(H212:N212)</f>
        <v>0</v>
      </c>
      <c r="H212" s="2134">
        <f t="shared" si="118"/>
        <v>0</v>
      </c>
      <c r="I212" s="2134">
        <f t="shared" si="118"/>
        <v>0</v>
      </c>
      <c r="J212" s="2134">
        <f t="shared" si="118"/>
        <v>0</v>
      </c>
      <c r="K212" s="2134">
        <f t="shared" si="118"/>
        <v>0</v>
      </c>
      <c r="L212" s="2134">
        <f t="shared" si="118"/>
        <v>0</v>
      </c>
      <c r="M212" s="2134">
        <f t="shared" si="118"/>
        <v>0</v>
      </c>
      <c r="N212" s="2313">
        <f t="shared" si="118"/>
        <v>0</v>
      </c>
    </row>
    <row r="213" spans="1:14" ht="14.25" customHeight="1">
      <c r="A213" s="2262"/>
      <c r="B213" s="2852"/>
      <c r="C213" s="2140" t="s">
        <v>2943</v>
      </c>
      <c r="D213" s="2311"/>
      <c r="E213" s="2138">
        <f>+E193</f>
        <v>0.02</v>
      </c>
      <c r="F213" s="2034">
        <f>INT(F193*E213)</f>
        <v>0</v>
      </c>
      <c r="G213" s="2134">
        <f>F213-SUM(H213:N213)</f>
        <v>0</v>
      </c>
      <c r="H213" s="2134">
        <f t="shared" si="118"/>
        <v>0</v>
      </c>
      <c r="I213" s="2134">
        <f t="shared" si="118"/>
        <v>0</v>
      </c>
      <c r="J213" s="2134">
        <f t="shared" si="118"/>
        <v>0</v>
      </c>
      <c r="K213" s="2134">
        <f t="shared" si="118"/>
        <v>0</v>
      </c>
      <c r="L213" s="2134">
        <f t="shared" si="118"/>
        <v>0</v>
      </c>
      <c r="M213" s="2134">
        <f t="shared" si="118"/>
        <v>0</v>
      </c>
      <c r="N213" s="2313">
        <f t="shared" si="118"/>
        <v>0</v>
      </c>
    </row>
    <row r="214" spans="1:14" ht="14.25" customHeight="1">
      <c r="A214" s="2262"/>
      <c r="B214" s="2315" t="s">
        <v>2582</v>
      </c>
      <c r="C214" s="2316" t="s">
        <v>2944</v>
      </c>
      <c r="D214" s="2317"/>
      <c r="E214" s="2138"/>
      <c r="F214" s="2318">
        <f>SUM(G214:N214)</f>
        <v>0</v>
      </c>
      <c r="G214" s="2147"/>
      <c r="H214" s="2147"/>
      <c r="I214" s="2147"/>
      <c r="J214" s="2147"/>
      <c r="K214" s="2147"/>
      <c r="L214" s="2147"/>
      <c r="M214" s="2147"/>
      <c r="N214" s="2148"/>
    </row>
    <row r="215" spans="1:14" ht="15" customHeight="1">
      <c r="A215" s="2262"/>
      <c r="B215" s="2319" t="s">
        <v>2584</v>
      </c>
      <c r="C215" s="2320" t="s">
        <v>2824</v>
      </c>
      <c r="D215" s="2317"/>
      <c r="E215" s="2138"/>
      <c r="F215" s="2265"/>
      <c r="G215" s="2134"/>
      <c r="H215" s="2134"/>
      <c r="I215" s="2134"/>
      <c r="J215" s="2134"/>
      <c r="K215" s="2134"/>
      <c r="L215" s="2134"/>
      <c r="M215" s="2134"/>
      <c r="N215" s="2135"/>
    </row>
    <row r="216" spans="1:14" ht="15" customHeight="1">
      <c r="A216" s="2262"/>
      <c r="B216" s="2321" t="s">
        <v>2652</v>
      </c>
      <c r="C216" s="2322" t="s">
        <v>2945</v>
      </c>
      <c r="D216" s="2323"/>
      <c r="E216" s="2324">
        <f>+E194</f>
        <v>0</v>
      </c>
      <c r="F216" s="2265">
        <f>INT(F194*E216)</f>
        <v>0</v>
      </c>
      <c r="G216" s="2134">
        <f>F216-SUM(H216:N216)</f>
        <v>0</v>
      </c>
      <c r="H216" s="2134">
        <f t="shared" ref="H216:N216" si="119">IF(H194=0,0,ROUND($F216/$F194*H194,0))</f>
        <v>0</v>
      </c>
      <c r="I216" s="2134">
        <f t="shared" si="119"/>
        <v>0</v>
      </c>
      <c r="J216" s="2134">
        <f t="shared" si="119"/>
        <v>0</v>
      </c>
      <c r="K216" s="2134">
        <f t="shared" si="119"/>
        <v>0</v>
      </c>
      <c r="L216" s="2134">
        <f t="shared" si="119"/>
        <v>0</v>
      </c>
      <c r="M216" s="2134">
        <f t="shared" si="119"/>
        <v>0</v>
      </c>
      <c r="N216" s="2313">
        <f t="shared" si="119"/>
        <v>0</v>
      </c>
    </row>
    <row r="217" spans="1:14" ht="15" customHeight="1" thickBot="1">
      <c r="A217" s="2325"/>
      <c r="B217" s="2326"/>
      <c r="C217" s="2327"/>
      <c r="D217" s="2328"/>
      <c r="E217" s="2324"/>
      <c r="F217" s="2329"/>
      <c r="G217" s="2134"/>
      <c r="H217" s="2330"/>
      <c r="I217" s="2330"/>
      <c r="J217" s="2330"/>
      <c r="K217" s="2330"/>
      <c r="L217" s="2330"/>
      <c r="M217" s="2330"/>
      <c r="N217" s="2331"/>
    </row>
    <row r="218" spans="1:14" ht="15" customHeight="1" thickTop="1">
      <c r="A218" s="2332"/>
      <c r="B218" s="2333"/>
      <c r="C218" s="2334" t="s">
        <v>2677</v>
      </c>
      <c r="D218" s="2335"/>
      <c r="E218" s="2336"/>
      <c r="F218" s="2337">
        <f>SUM(F196:F217)</f>
        <v>0</v>
      </c>
      <c r="G218" s="2337">
        <f t="shared" ref="G218:N218" si="120">G197+G199+SUM(G201:G216)</f>
        <v>0</v>
      </c>
      <c r="H218" s="2337">
        <f t="shared" si="120"/>
        <v>0</v>
      </c>
      <c r="I218" s="2337">
        <f t="shared" si="120"/>
        <v>0</v>
      </c>
      <c r="J218" s="2337">
        <f>J197+J199+SUM(J201:J216)</f>
        <v>0</v>
      </c>
      <c r="K218" s="2337">
        <f>K197+K199+SUM(K201:K216)</f>
        <v>0</v>
      </c>
      <c r="L218" s="2337">
        <f t="shared" si="120"/>
        <v>0</v>
      </c>
      <c r="M218" s="2337">
        <f t="shared" si="120"/>
        <v>0</v>
      </c>
      <c r="N218" s="2338">
        <f t="shared" si="120"/>
        <v>0</v>
      </c>
    </row>
    <row r="219" spans="1:14" ht="15" customHeight="1">
      <c r="A219" s="2339"/>
      <c r="B219" s="2340"/>
      <c r="C219" s="2341" t="s">
        <v>2678</v>
      </c>
      <c r="D219" s="2342"/>
      <c r="E219" s="2343"/>
      <c r="F219" s="2248">
        <f>SUM(G219:N219)</f>
        <v>0</v>
      </c>
      <c r="G219" s="2249">
        <f t="shared" ref="G219:N219" si="121">+G104+G218</f>
        <v>0</v>
      </c>
      <c r="H219" s="2249">
        <f t="shared" si="121"/>
        <v>0</v>
      </c>
      <c r="I219" s="2249">
        <f t="shared" si="121"/>
        <v>0</v>
      </c>
      <c r="J219" s="2249">
        <f>+J104+J218</f>
        <v>0</v>
      </c>
      <c r="K219" s="2249">
        <f>+K104+K218</f>
        <v>0</v>
      </c>
      <c r="L219" s="2249">
        <f t="shared" si="121"/>
        <v>0</v>
      </c>
      <c r="M219" s="2249">
        <f t="shared" si="121"/>
        <v>0</v>
      </c>
      <c r="N219" s="2344">
        <f t="shared" si="121"/>
        <v>0</v>
      </c>
    </row>
    <row r="220" spans="1:14" ht="15" customHeight="1">
      <c r="A220" s="1703"/>
      <c r="B220" s="1703"/>
      <c r="C220" s="1962" t="s">
        <v>2946</v>
      </c>
      <c r="D220" s="1962"/>
      <c r="E220" s="1704"/>
      <c r="F220" s="1704"/>
      <c r="G220" s="1963"/>
      <c r="H220" s="1713"/>
      <c r="I220" s="1713"/>
      <c r="J220" s="1713"/>
      <c r="K220" s="1713"/>
      <c r="L220" s="1713"/>
      <c r="M220" s="1713"/>
      <c r="N220" s="1709" t="s">
        <v>2947</v>
      </c>
    </row>
    <row r="221" spans="1:14" ht="15" customHeight="1">
      <c r="A221" s="1703"/>
      <c r="B221" s="1703"/>
      <c r="C221" s="1703"/>
      <c r="D221" s="1703"/>
      <c r="E221" s="1703"/>
      <c r="F221" s="1703"/>
      <c r="G221" s="1713"/>
      <c r="H221" s="1713"/>
      <c r="I221" s="1713"/>
      <c r="J221" s="1713"/>
      <c r="K221" s="1713"/>
      <c r="L221" s="1713"/>
      <c r="M221" s="1713"/>
      <c r="N221" s="1713"/>
    </row>
    <row r="222" spans="1:14" ht="15" customHeight="1">
      <c r="A222" s="2853"/>
      <c r="B222" s="2854"/>
      <c r="C222" s="2854"/>
      <c r="D222" s="2345"/>
      <c r="E222" s="2245" t="s">
        <v>2681</v>
      </c>
      <c r="F222" s="2245" t="s">
        <v>2526</v>
      </c>
      <c r="G222" s="2246">
        <f t="shared" ref="G222:N222" si="122">+G89</f>
        <v>0</v>
      </c>
      <c r="H222" s="2246">
        <f t="shared" si="122"/>
        <v>0</v>
      </c>
      <c r="I222" s="2246">
        <f t="shared" si="122"/>
        <v>0</v>
      </c>
      <c r="J222" s="2246">
        <f>+J89</f>
        <v>0</v>
      </c>
      <c r="K222" s="2246">
        <f>+K89</f>
        <v>0</v>
      </c>
      <c r="L222" s="2246">
        <f t="shared" si="122"/>
        <v>0</v>
      </c>
      <c r="M222" s="2246">
        <f t="shared" si="122"/>
        <v>0</v>
      </c>
      <c r="N222" s="2346">
        <f t="shared" si="122"/>
        <v>0</v>
      </c>
    </row>
    <row r="223" spans="1:14" ht="15" customHeight="1">
      <c r="A223" s="2855"/>
      <c r="B223" s="2856"/>
      <c r="C223" s="2856"/>
      <c r="D223" s="2347"/>
      <c r="E223" s="2343"/>
      <c r="F223" s="2348"/>
      <c r="G223" s="2349"/>
      <c r="H223" s="2349"/>
      <c r="I223" s="2349"/>
      <c r="J223" s="2349"/>
      <c r="K223" s="2349"/>
      <c r="L223" s="2349"/>
      <c r="M223" s="2349"/>
      <c r="N223" s="2350"/>
    </row>
    <row r="224" spans="1:14" ht="15" customHeight="1">
      <c r="A224" s="2351"/>
      <c r="B224" s="2352"/>
      <c r="C224" s="2353" t="s">
        <v>2948</v>
      </c>
      <c r="D224" s="2354"/>
      <c r="E224" s="2355"/>
      <c r="F224" s="2356">
        <f t="shared" ref="F224:N224" si="123">+F219</f>
        <v>0</v>
      </c>
      <c r="G224" s="2356">
        <f t="shared" si="123"/>
        <v>0</v>
      </c>
      <c r="H224" s="2356">
        <f t="shared" si="123"/>
        <v>0</v>
      </c>
      <c r="I224" s="2356">
        <f t="shared" si="123"/>
        <v>0</v>
      </c>
      <c r="J224" s="2356">
        <f>+J219</f>
        <v>0</v>
      </c>
      <c r="K224" s="2356">
        <f>+K219</f>
        <v>0</v>
      </c>
      <c r="L224" s="2356">
        <f t="shared" si="123"/>
        <v>0</v>
      </c>
      <c r="M224" s="2356">
        <f t="shared" si="123"/>
        <v>0</v>
      </c>
      <c r="N224" s="2357">
        <f t="shared" si="123"/>
        <v>0</v>
      </c>
    </row>
    <row r="225" spans="1:14" ht="15" customHeight="1">
      <c r="A225" s="2029"/>
      <c r="B225" s="2032"/>
      <c r="C225" s="2358"/>
      <c r="D225" s="2359"/>
      <c r="E225" s="1874" t="s">
        <v>2949</v>
      </c>
      <c r="F225" s="2360">
        <f>SUM(G225:N225)</f>
        <v>0</v>
      </c>
      <c r="G225" s="2125">
        <f t="shared" ref="G225:N225" si="124">G178+G199+G202+G140+G141</f>
        <v>0</v>
      </c>
      <c r="H225" s="2125">
        <f t="shared" si="124"/>
        <v>0</v>
      </c>
      <c r="I225" s="2125">
        <f t="shared" si="124"/>
        <v>0</v>
      </c>
      <c r="J225" s="2125">
        <f>J178+J199+J202+J140+J141</f>
        <v>0</v>
      </c>
      <c r="K225" s="2125">
        <f>K178+K199+K202+K140+K141</f>
        <v>0</v>
      </c>
      <c r="L225" s="2125">
        <f t="shared" si="124"/>
        <v>0</v>
      </c>
      <c r="M225" s="2125">
        <f t="shared" si="124"/>
        <v>0</v>
      </c>
      <c r="N225" s="2126">
        <f t="shared" si="124"/>
        <v>0</v>
      </c>
    </row>
    <row r="226" spans="1:14" ht="15" customHeight="1">
      <c r="A226" s="2043"/>
      <c r="B226" s="2046"/>
      <c r="C226" s="2361"/>
      <c r="D226" s="2362"/>
      <c r="E226" s="2363"/>
      <c r="F226" s="2274"/>
      <c r="G226" s="2275"/>
      <c r="H226" s="2275"/>
      <c r="I226" s="2275"/>
      <c r="J226" s="2275"/>
      <c r="K226" s="2275"/>
      <c r="L226" s="2275"/>
      <c r="M226" s="2275"/>
      <c r="N226" s="2276"/>
    </row>
    <row r="227" spans="1:14" ht="15" customHeight="1">
      <c r="A227" s="1714"/>
      <c r="B227" s="1715"/>
      <c r="C227" s="1715"/>
      <c r="D227" s="2364"/>
      <c r="E227" s="2355" t="str">
        <f>E89</f>
        <v>有り</v>
      </c>
      <c r="F227" s="2857" t="s">
        <v>2685</v>
      </c>
      <c r="G227" s="2857"/>
      <c r="H227" s="2260"/>
      <c r="I227" s="2260"/>
      <c r="J227" s="2260"/>
      <c r="K227" s="2260"/>
      <c r="L227" s="2260"/>
      <c r="M227" s="2260"/>
      <c r="N227" s="2261"/>
    </row>
    <row r="228" spans="1:14" ht="15" customHeight="1">
      <c r="A228" s="2844" t="s">
        <v>2686</v>
      </c>
      <c r="B228" s="2844"/>
      <c r="C228" s="2858"/>
      <c r="D228" s="2365"/>
      <c r="E228" s="2363" t="str">
        <f>+E90</f>
        <v>有り</v>
      </c>
      <c r="F228" s="2859" t="s">
        <v>2687</v>
      </c>
      <c r="G228" s="2859"/>
      <c r="H228" s="2275"/>
      <c r="I228" s="2275"/>
      <c r="J228" s="2275"/>
      <c r="K228" s="2275"/>
      <c r="L228" s="2275"/>
      <c r="M228" s="2275"/>
      <c r="N228" s="2276"/>
    </row>
    <row r="229" spans="1:14" ht="15" customHeight="1">
      <c r="A229" s="2842"/>
      <c r="B229" s="2366" t="s">
        <v>163</v>
      </c>
      <c r="C229" s="2367" t="s">
        <v>2950</v>
      </c>
      <c r="D229" s="2368"/>
      <c r="E229" s="2369">
        <f>G296/100</f>
        <v>0.11259999999999999</v>
      </c>
      <c r="F229" s="2356">
        <f>SUM(G229:N229)</f>
        <v>0</v>
      </c>
      <c r="G229" s="2370">
        <f t="shared" ref="G229:N229" si="125">G122+G123+G124+G140+G141+G197+G199+G202+SUM(G211:G216)-G234</f>
        <v>0</v>
      </c>
      <c r="H229" s="2370">
        <f t="shared" si="125"/>
        <v>0</v>
      </c>
      <c r="I229" s="2370">
        <f t="shared" si="125"/>
        <v>0</v>
      </c>
      <c r="J229" s="2370">
        <f>J122+J123+J124+J140+J141+J197+J199+J202+SUM(J211:J216)-J234</f>
        <v>0</v>
      </c>
      <c r="K229" s="2370">
        <f>K122+K123+K124+K140+K141+K197+K199+K202+SUM(K211:K216)-K234</f>
        <v>0</v>
      </c>
      <c r="L229" s="2370">
        <f t="shared" si="125"/>
        <v>0</v>
      </c>
      <c r="M229" s="2370">
        <f t="shared" si="125"/>
        <v>0</v>
      </c>
      <c r="N229" s="2371">
        <f t="shared" si="125"/>
        <v>0</v>
      </c>
    </row>
    <row r="230" spans="1:14" ht="15" customHeight="1">
      <c r="A230" s="2843"/>
      <c r="B230" s="2832" t="s">
        <v>2689</v>
      </c>
      <c r="C230" s="2372" t="s">
        <v>2690</v>
      </c>
      <c r="D230" s="2317"/>
      <c r="E230" s="2373">
        <f>IF(E227="無し",0.05,0)</f>
        <v>0</v>
      </c>
      <c r="F230" s="2265">
        <f>SUM(G230:N230)</f>
        <v>0</v>
      </c>
      <c r="G230" s="2125">
        <f t="shared" ref="G230:N230" si="126">G229</f>
        <v>0</v>
      </c>
      <c r="H230" s="2125">
        <f t="shared" si="126"/>
        <v>0</v>
      </c>
      <c r="I230" s="2125">
        <f t="shared" si="126"/>
        <v>0</v>
      </c>
      <c r="J230" s="2125">
        <f>J229</f>
        <v>0</v>
      </c>
      <c r="K230" s="2125">
        <f>K229</f>
        <v>0</v>
      </c>
      <c r="L230" s="2125">
        <f t="shared" si="126"/>
        <v>0</v>
      </c>
      <c r="M230" s="2125">
        <f t="shared" si="126"/>
        <v>0</v>
      </c>
      <c r="N230" s="2126">
        <f t="shared" si="126"/>
        <v>0</v>
      </c>
    </row>
    <row r="231" spans="1:14" ht="15" customHeight="1">
      <c r="A231" s="2843"/>
      <c r="B231" s="2832"/>
      <c r="C231" s="2372" t="s">
        <v>2691</v>
      </c>
      <c r="D231" s="2374"/>
      <c r="E231" s="2138">
        <f>IF(E228="無し",0,0.0004)</f>
        <v>4.0000000000000002E-4</v>
      </c>
      <c r="F231" s="2125">
        <f t="shared" ref="F231:N231" si="127">F229</f>
        <v>0</v>
      </c>
      <c r="G231" s="2125">
        <f t="shared" si="127"/>
        <v>0</v>
      </c>
      <c r="H231" s="2125">
        <f t="shared" si="127"/>
        <v>0</v>
      </c>
      <c r="I231" s="2125">
        <f t="shared" si="127"/>
        <v>0</v>
      </c>
      <c r="J231" s="2125">
        <f>J229</f>
        <v>0</v>
      </c>
      <c r="K231" s="2125">
        <f>K229</f>
        <v>0</v>
      </c>
      <c r="L231" s="2125">
        <f t="shared" si="127"/>
        <v>0</v>
      </c>
      <c r="M231" s="2125">
        <f t="shared" si="127"/>
        <v>0</v>
      </c>
      <c r="N231" s="2126">
        <f t="shared" si="127"/>
        <v>0</v>
      </c>
    </row>
    <row r="232" spans="1:14" ht="15" customHeight="1">
      <c r="A232" s="2843"/>
      <c r="B232" s="2830" t="s">
        <v>2830</v>
      </c>
      <c r="C232" s="2372"/>
      <c r="D232" s="2375"/>
      <c r="E232" s="2375"/>
      <c r="F232" s="2265"/>
      <c r="G232" s="2134"/>
      <c r="H232" s="2134"/>
      <c r="I232" s="2134"/>
      <c r="J232" s="2134"/>
      <c r="K232" s="2134"/>
      <c r="L232" s="2134"/>
      <c r="M232" s="2134"/>
      <c r="N232" s="2135"/>
    </row>
    <row r="233" spans="1:14" ht="15" customHeight="1">
      <c r="A233" s="2843"/>
      <c r="B233" s="2831"/>
      <c r="C233" s="2376" t="s">
        <v>2951</v>
      </c>
      <c r="D233" s="2375"/>
      <c r="E233" s="2375"/>
      <c r="F233" s="2265">
        <f>SUM(G233:N233)</f>
        <v>0</v>
      </c>
      <c r="G233" s="2134">
        <f t="shared" ref="G233:N233" si="128">+SUM(G182:G190,G202:G210)</f>
        <v>0</v>
      </c>
      <c r="H233" s="2134">
        <f t="shared" si="128"/>
        <v>0</v>
      </c>
      <c r="I233" s="2134">
        <f t="shared" si="128"/>
        <v>0</v>
      </c>
      <c r="J233" s="2134">
        <f>+SUM(J182:J190,J202:J210)</f>
        <v>0</v>
      </c>
      <c r="K233" s="2134">
        <f>+SUM(K182:K190,K202:K210)</f>
        <v>0</v>
      </c>
      <c r="L233" s="2134">
        <f t="shared" si="128"/>
        <v>0</v>
      </c>
      <c r="M233" s="2134">
        <f t="shared" si="128"/>
        <v>0</v>
      </c>
      <c r="N233" s="2135">
        <f t="shared" si="128"/>
        <v>0</v>
      </c>
    </row>
    <row r="234" spans="1:14" ht="15" customHeight="1">
      <c r="A234" s="2843"/>
      <c r="B234" s="2832" t="s">
        <v>2692</v>
      </c>
      <c r="C234" s="2377" t="s">
        <v>2832</v>
      </c>
      <c r="D234" s="2378"/>
      <c r="E234" s="2314">
        <v>0</v>
      </c>
      <c r="F234" s="2265">
        <f>SUM(G234:N234)</f>
        <v>0</v>
      </c>
      <c r="G234" s="2134">
        <f t="shared" ref="G234:N234" si="129">+G142</f>
        <v>0</v>
      </c>
      <c r="H234" s="2134">
        <f t="shared" si="129"/>
        <v>0</v>
      </c>
      <c r="I234" s="2134">
        <f t="shared" si="129"/>
        <v>0</v>
      </c>
      <c r="J234" s="2134">
        <f>+J142</f>
        <v>0</v>
      </c>
      <c r="K234" s="2134">
        <f>+K142</f>
        <v>0</v>
      </c>
      <c r="L234" s="2134">
        <f t="shared" si="129"/>
        <v>0</v>
      </c>
      <c r="M234" s="2134">
        <f t="shared" si="129"/>
        <v>0</v>
      </c>
      <c r="N234" s="2135">
        <f t="shared" si="129"/>
        <v>0</v>
      </c>
    </row>
    <row r="235" spans="1:14" ht="15" customHeight="1">
      <c r="A235" s="2843"/>
      <c r="B235" s="2832"/>
      <c r="C235" s="2359"/>
      <c r="D235" s="2379"/>
      <c r="E235" s="2314"/>
      <c r="F235" s="2265"/>
      <c r="G235" s="2134"/>
      <c r="H235" s="2134"/>
      <c r="I235" s="2134"/>
      <c r="J235" s="2134"/>
      <c r="K235" s="2134"/>
      <c r="L235" s="2134"/>
      <c r="M235" s="2134"/>
      <c r="N235" s="2135"/>
    </row>
    <row r="236" spans="1:14" ht="15" customHeight="1">
      <c r="A236" s="2843"/>
      <c r="B236" s="2830"/>
      <c r="C236" s="2380"/>
      <c r="D236" s="2381"/>
      <c r="E236" s="2382"/>
      <c r="F236" s="2274"/>
      <c r="G236" s="2275"/>
      <c r="H236" s="2275"/>
      <c r="I236" s="2275"/>
      <c r="J236" s="2275"/>
      <c r="K236" s="2275"/>
      <c r="L236" s="2275"/>
      <c r="M236" s="2275"/>
      <c r="N236" s="2276"/>
    </row>
    <row r="237" spans="1:14" ht="15" customHeight="1">
      <c r="A237" s="1714"/>
      <c r="B237" s="1715"/>
      <c r="C237" s="2383"/>
      <c r="D237" s="2384"/>
      <c r="E237" s="2385"/>
      <c r="F237" s="2356"/>
      <c r="G237" s="2260"/>
      <c r="H237" s="2260"/>
      <c r="I237" s="2260"/>
      <c r="J237" s="2260"/>
      <c r="K237" s="2260"/>
      <c r="L237" s="2260"/>
      <c r="M237" s="2260"/>
      <c r="N237" s="2261"/>
    </row>
    <row r="238" spans="1:14" ht="15" customHeight="1">
      <c r="A238" s="2844" t="s">
        <v>2693</v>
      </c>
      <c r="B238" s="2844"/>
      <c r="C238" s="2845"/>
      <c r="D238" s="2386"/>
      <c r="E238" s="2387"/>
      <c r="F238" s="2274"/>
      <c r="G238" s="2275"/>
      <c r="H238" s="2275"/>
      <c r="I238" s="2275"/>
      <c r="J238" s="2275"/>
      <c r="K238" s="2275"/>
      <c r="L238" s="2275"/>
      <c r="M238" s="2275"/>
      <c r="N238" s="2276"/>
    </row>
    <row r="239" spans="1:14" ht="15" customHeight="1">
      <c r="A239" s="1726"/>
      <c r="B239" s="2388" t="s">
        <v>163</v>
      </c>
      <c r="C239" s="2389" t="s">
        <v>2952</v>
      </c>
      <c r="D239" s="2368"/>
      <c r="E239" s="2390">
        <f>+E229</f>
        <v>0.11259999999999999</v>
      </c>
      <c r="F239" s="2356">
        <f>INT(F229*E239)</f>
        <v>0</v>
      </c>
      <c r="G239" s="2260">
        <f>F239-SUM(H239:N239)</f>
        <v>0</v>
      </c>
      <c r="H239" s="2260">
        <f t="shared" ref="H239:N239" si="130">IF(H229=0,0,ROUND($F239/$F229*H229,0))</f>
        <v>0</v>
      </c>
      <c r="I239" s="2260">
        <f t="shared" si="130"/>
        <v>0</v>
      </c>
      <c r="J239" s="2260">
        <f t="shared" si="130"/>
        <v>0</v>
      </c>
      <c r="K239" s="2260">
        <f t="shared" si="130"/>
        <v>0</v>
      </c>
      <c r="L239" s="2260">
        <f t="shared" si="130"/>
        <v>0</v>
      </c>
      <c r="M239" s="2260">
        <f t="shared" si="130"/>
        <v>0</v>
      </c>
      <c r="N239" s="2261">
        <f t="shared" si="130"/>
        <v>0</v>
      </c>
    </row>
    <row r="240" spans="1:14" ht="15" customHeight="1">
      <c r="A240" s="1726"/>
      <c r="B240" s="2832" t="s">
        <v>2689</v>
      </c>
      <c r="C240" s="2372" t="s">
        <v>2690</v>
      </c>
      <c r="D240" s="2378"/>
      <c r="E240" s="2138">
        <f>+E230</f>
        <v>0</v>
      </c>
      <c r="F240" s="2265">
        <f>INT((F230*E239*E240)+(F243*E240))</f>
        <v>0</v>
      </c>
      <c r="G240" s="2134">
        <f>F240-SUM(H240:N240)</f>
        <v>0</v>
      </c>
      <c r="H240" s="2134">
        <f t="shared" ref="H240:N240" si="131">IF(H230+H243=0,0,ROUND($F240/$F230*H230,0))</f>
        <v>0</v>
      </c>
      <c r="I240" s="2134">
        <f t="shared" si="131"/>
        <v>0</v>
      </c>
      <c r="J240" s="2134">
        <f t="shared" si="131"/>
        <v>0</v>
      </c>
      <c r="K240" s="2134">
        <f t="shared" si="131"/>
        <v>0</v>
      </c>
      <c r="L240" s="2134">
        <f t="shared" si="131"/>
        <v>0</v>
      </c>
      <c r="M240" s="2134">
        <f t="shared" si="131"/>
        <v>0</v>
      </c>
      <c r="N240" s="2135">
        <f t="shared" si="131"/>
        <v>0</v>
      </c>
    </row>
    <row r="241" spans="1:14" ht="15" customHeight="1">
      <c r="A241" s="1726"/>
      <c r="B241" s="2832"/>
      <c r="C241" s="2372" t="s">
        <v>2691</v>
      </c>
      <c r="D241" s="2378"/>
      <c r="E241" s="2138">
        <f>+E231</f>
        <v>4.0000000000000002E-4</v>
      </c>
      <c r="F241" s="2265">
        <f>INT((F231*E241)+(F243*E241))</f>
        <v>0</v>
      </c>
      <c r="G241" s="2134">
        <f>F241-SUM(H241:N241)</f>
        <v>0</v>
      </c>
      <c r="H241" s="2134">
        <f t="shared" ref="H241:N241" si="132">IF(H231+H243=0,0,ROUND($F241/$F231*H231,0))</f>
        <v>0</v>
      </c>
      <c r="I241" s="2134">
        <f t="shared" si="132"/>
        <v>0</v>
      </c>
      <c r="J241" s="2134">
        <f t="shared" si="132"/>
        <v>0</v>
      </c>
      <c r="K241" s="2134">
        <f t="shared" si="132"/>
        <v>0</v>
      </c>
      <c r="L241" s="2134">
        <f t="shared" si="132"/>
        <v>0</v>
      </c>
      <c r="M241" s="2134">
        <f t="shared" si="132"/>
        <v>0</v>
      </c>
      <c r="N241" s="2135">
        <f t="shared" si="132"/>
        <v>0</v>
      </c>
    </row>
    <row r="242" spans="1:14" ht="15" customHeight="1">
      <c r="A242" s="1726"/>
      <c r="B242" s="2830" t="s">
        <v>2830</v>
      </c>
      <c r="C242" s="2372"/>
      <c r="D242" s="2375"/>
      <c r="E242" s="2391" t="s">
        <v>2834</v>
      </c>
      <c r="F242" s="2265"/>
      <c r="G242" s="2134"/>
      <c r="H242" s="2134"/>
      <c r="I242" s="2134"/>
      <c r="J242" s="2134"/>
      <c r="K242" s="2134"/>
      <c r="L242" s="2134"/>
      <c r="M242" s="2134"/>
      <c r="N242" s="2135"/>
    </row>
    <row r="243" spans="1:14" ht="15" customHeight="1">
      <c r="A243" s="1726"/>
      <c r="B243" s="2831"/>
      <c r="C243" s="2392" t="s">
        <v>2953</v>
      </c>
      <c r="D243" s="2375"/>
      <c r="E243" s="2375"/>
      <c r="F243" s="2082">
        <f>SUM(G243:N243)</f>
        <v>0</v>
      </c>
      <c r="G243" s="2065">
        <f t="shared" ref="G243:N243" si="133">SUM(G125:G132)-SUM(G183:G190)-SUM(G203:G210)</f>
        <v>0</v>
      </c>
      <c r="H243" s="2065">
        <f t="shared" si="133"/>
        <v>0</v>
      </c>
      <c r="I243" s="2065">
        <f t="shared" si="133"/>
        <v>0</v>
      </c>
      <c r="J243" s="2065">
        <f>SUM(J125:J132)-SUM(J183:J190)-SUM(J203:J210)</f>
        <v>0</v>
      </c>
      <c r="K243" s="2065">
        <f>SUM(K125:K132)-SUM(K183:K190)-SUM(K203:K210)</f>
        <v>0</v>
      </c>
      <c r="L243" s="2065">
        <f t="shared" si="133"/>
        <v>0</v>
      </c>
      <c r="M243" s="2065">
        <f t="shared" si="133"/>
        <v>0</v>
      </c>
      <c r="N243" s="2066">
        <f t="shared" si="133"/>
        <v>0</v>
      </c>
    </row>
    <row r="244" spans="1:14" ht="15" customHeight="1">
      <c r="A244" s="1726"/>
      <c r="B244" s="2832" t="s">
        <v>2692</v>
      </c>
      <c r="C244" s="2377" t="s">
        <v>2832</v>
      </c>
      <c r="D244" s="2378"/>
      <c r="E244" s="2138">
        <f>+E234</f>
        <v>0</v>
      </c>
      <c r="F244" s="2265">
        <f>SUM(G244:N244)</f>
        <v>0</v>
      </c>
      <c r="G244" s="2134">
        <f t="shared" ref="G244:N244" si="134">ROUNDDOWN($E244*$D244*G234,0)</f>
        <v>0</v>
      </c>
      <c r="H244" s="2134">
        <f t="shared" si="134"/>
        <v>0</v>
      </c>
      <c r="I244" s="2134">
        <f t="shared" si="134"/>
        <v>0</v>
      </c>
      <c r="J244" s="2134">
        <f>ROUNDDOWN($E244*$D244*J234,0)</f>
        <v>0</v>
      </c>
      <c r="K244" s="2134">
        <f>ROUNDDOWN($E244*$D244*K234,0)</f>
        <v>0</v>
      </c>
      <c r="L244" s="2134">
        <f t="shared" si="134"/>
        <v>0</v>
      </c>
      <c r="M244" s="2134">
        <f t="shared" si="134"/>
        <v>0</v>
      </c>
      <c r="N244" s="2135">
        <f t="shared" si="134"/>
        <v>0</v>
      </c>
    </row>
    <row r="245" spans="1:14" ht="15" customHeight="1">
      <c r="A245" s="1726"/>
      <c r="B245" s="2832"/>
      <c r="C245" s="2359"/>
      <c r="D245" s="2379"/>
      <c r="E245" s="2375">
        <f>+G236</f>
        <v>0</v>
      </c>
      <c r="F245" s="2265"/>
      <c r="G245" s="2134"/>
      <c r="H245" s="2134"/>
      <c r="I245" s="2134"/>
      <c r="J245" s="2134"/>
      <c r="K245" s="2134"/>
      <c r="L245" s="2134"/>
      <c r="M245" s="2134"/>
      <c r="N245" s="2135"/>
    </row>
    <row r="246" spans="1:14" ht="15" customHeight="1">
      <c r="A246" s="2339"/>
      <c r="B246" s="2833"/>
      <c r="C246" s="2362"/>
      <c r="D246" s="2381"/>
      <c r="E246" s="2387">
        <f>+G237</f>
        <v>0</v>
      </c>
      <c r="F246" s="2274"/>
      <c r="G246" s="2275"/>
      <c r="H246" s="2275"/>
      <c r="I246" s="2275"/>
      <c r="J246" s="2275"/>
      <c r="K246" s="2275"/>
      <c r="L246" s="2275"/>
      <c r="M246" s="2275"/>
      <c r="N246" s="2276"/>
    </row>
    <row r="247" spans="1:14" ht="15" customHeight="1">
      <c r="A247" s="2351"/>
      <c r="B247" s="2352"/>
      <c r="C247" s="2352"/>
      <c r="D247" s="2393"/>
      <c r="E247" s="2393"/>
      <c r="F247" s="2356"/>
      <c r="G247" s="2260"/>
      <c r="H247" s="2260"/>
      <c r="I247" s="2260"/>
      <c r="J247" s="2260"/>
      <c r="K247" s="2260"/>
      <c r="L247" s="2260"/>
      <c r="M247" s="2260"/>
      <c r="N247" s="2261"/>
    </row>
    <row r="248" spans="1:14" ht="15" customHeight="1">
      <c r="A248" s="2029"/>
      <c r="B248" s="2032"/>
      <c r="C248" s="2394" t="s">
        <v>2697</v>
      </c>
      <c r="D248" s="2359"/>
      <c r="E248" s="2372"/>
      <c r="F248" s="2265">
        <f>SUM(G248:N248)</f>
        <v>0</v>
      </c>
      <c r="G248" s="2134">
        <f t="shared" ref="G248:N248" si="135">SUM(G239:G246)</f>
        <v>0</v>
      </c>
      <c r="H248" s="2134">
        <f t="shared" si="135"/>
        <v>0</v>
      </c>
      <c r="I248" s="2134">
        <f t="shared" si="135"/>
        <v>0</v>
      </c>
      <c r="J248" s="2134">
        <f>SUM(J239:J246)</f>
        <v>0</v>
      </c>
      <c r="K248" s="2134">
        <f>SUM(K239:K246)</f>
        <v>0</v>
      </c>
      <c r="L248" s="2134">
        <f t="shared" si="135"/>
        <v>0</v>
      </c>
      <c r="M248" s="2134">
        <f t="shared" si="135"/>
        <v>0</v>
      </c>
      <c r="N248" s="2135">
        <f t="shared" si="135"/>
        <v>0</v>
      </c>
    </row>
    <row r="249" spans="1:14" ht="15" customHeight="1">
      <c r="A249" s="2029"/>
      <c r="B249" s="2032"/>
      <c r="C249" s="2394" t="s">
        <v>2678</v>
      </c>
      <c r="D249" s="2359"/>
      <c r="E249" s="2372"/>
      <c r="F249" s="2265">
        <f>SUM(G249:N249)</f>
        <v>0</v>
      </c>
      <c r="G249" s="2134">
        <f t="shared" ref="G249:N249" si="136">+G224</f>
        <v>0</v>
      </c>
      <c r="H249" s="2134">
        <f t="shared" si="136"/>
        <v>0</v>
      </c>
      <c r="I249" s="2134">
        <f t="shared" si="136"/>
        <v>0</v>
      </c>
      <c r="J249" s="2134">
        <f>+J224</f>
        <v>0</v>
      </c>
      <c r="K249" s="2134">
        <f>+K224</f>
        <v>0</v>
      </c>
      <c r="L249" s="2134">
        <f t="shared" si="136"/>
        <v>0</v>
      </c>
      <c r="M249" s="2134">
        <f t="shared" si="136"/>
        <v>0</v>
      </c>
      <c r="N249" s="2135">
        <f t="shared" si="136"/>
        <v>0</v>
      </c>
    </row>
    <row r="250" spans="1:14" ht="15" customHeight="1" thickBot="1">
      <c r="A250" s="2395"/>
      <c r="B250" s="2396"/>
      <c r="C250" s="2397" t="s">
        <v>2698</v>
      </c>
      <c r="D250" s="2398"/>
      <c r="E250" s="2399"/>
      <c r="F250" s="2329">
        <f>SUM(G250:N250)</f>
        <v>0</v>
      </c>
      <c r="G250" s="2330">
        <f t="shared" ref="G250:N250" si="137">SUM(G248:G249)</f>
        <v>0</v>
      </c>
      <c r="H250" s="2330">
        <f t="shared" si="137"/>
        <v>0</v>
      </c>
      <c r="I250" s="2330">
        <f t="shared" si="137"/>
        <v>0</v>
      </c>
      <c r="J250" s="2330">
        <f>SUM(J248:J249)</f>
        <v>0</v>
      </c>
      <c r="K250" s="2330">
        <f>SUM(K248:K249)</f>
        <v>0</v>
      </c>
      <c r="L250" s="2330">
        <f t="shared" si="137"/>
        <v>0</v>
      </c>
      <c r="M250" s="2330">
        <f t="shared" si="137"/>
        <v>0</v>
      </c>
      <c r="N250" s="2331">
        <f t="shared" si="137"/>
        <v>0</v>
      </c>
    </row>
    <row r="251" spans="1:14" ht="15" customHeight="1" thickTop="1">
      <c r="A251" s="1726"/>
      <c r="B251" s="1703"/>
      <c r="C251" s="1703"/>
      <c r="D251" s="2400"/>
      <c r="E251" s="2400"/>
      <c r="F251" s="2401"/>
      <c r="G251" s="2402"/>
      <c r="H251" s="2402"/>
      <c r="I251" s="2402"/>
      <c r="J251" s="2402"/>
      <c r="K251" s="2402"/>
      <c r="L251" s="2402"/>
      <c r="M251" s="2402"/>
      <c r="N251" s="2403"/>
    </row>
    <row r="252" spans="1:14" ht="15" customHeight="1">
      <c r="A252" s="2029"/>
      <c r="B252" s="2032"/>
      <c r="C252" s="2394" t="s">
        <v>2678</v>
      </c>
      <c r="D252" s="2359"/>
      <c r="E252" s="2372"/>
      <c r="F252" s="2265">
        <f>SUM(G252:N252)</f>
        <v>0</v>
      </c>
      <c r="G252" s="2134">
        <f t="shared" ref="G252:N252" si="138">+G249</f>
        <v>0</v>
      </c>
      <c r="H252" s="2134">
        <f t="shared" si="138"/>
        <v>0</v>
      </c>
      <c r="I252" s="2134">
        <f t="shared" si="138"/>
        <v>0</v>
      </c>
      <c r="J252" s="2134">
        <f>+J249</f>
        <v>0</v>
      </c>
      <c r="K252" s="2134">
        <f>+K249</f>
        <v>0</v>
      </c>
      <c r="L252" s="2134">
        <f t="shared" si="138"/>
        <v>0</v>
      </c>
      <c r="M252" s="2134">
        <f t="shared" si="138"/>
        <v>0</v>
      </c>
      <c r="N252" s="2135">
        <f t="shared" si="138"/>
        <v>0</v>
      </c>
    </row>
    <row r="253" spans="1:14" ht="15" customHeight="1">
      <c r="A253" s="2029"/>
      <c r="B253" s="2032"/>
      <c r="C253" s="2394" t="s">
        <v>2699</v>
      </c>
      <c r="D253" s="2359"/>
      <c r="E253" s="2372"/>
      <c r="F253" s="2265">
        <f>SUM(G253:N253)</f>
        <v>0</v>
      </c>
      <c r="G253" s="2134">
        <f t="shared" ref="G253:N253" si="139">+G248-(G250-G255)</f>
        <v>0</v>
      </c>
      <c r="H253" s="2134">
        <f t="shared" si="139"/>
        <v>0</v>
      </c>
      <c r="I253" s="2134">
        <f t="shared" si="139"/>
        <v>0</v>
      </c>
      <c r="J253" s="2134">
        <f>+J248-(J250-J255)</f>
        <v>0</v>
      </c>
      <c r="K253" s="2134">
        <f>+K248-(K250-K255)</f>
        <v>0</v>
      </c>
      <c r="L253" s="2134">
        <f t="shared" si="139"/>
        <v>0</v>
      </c>
      <c r="M253" s="2134">
        <f t="shared" si="139"/>
        <v>0</v>
      </c>
      <c r="N253" s="2135">
        <f t="shared" si="139"/>
        <v>0</v>
      </c>
    </row>
    <row r="254" spans="1:14" ht="15" customHeight="1">
      <c r="A254" s="2029"/>
      <c r="B254" s="2032"/>
      <c r="C254" s="2032"/>
      <c r="D254" s="2372"/>
      <c r="E254" s="2404">
        <f>F256+SUM(H255:N255)</f>
        <v>0</v>
      </c>
      <c r="F254" s="2265" t="s">
        <v>2700</v>
      </c>
      <c r="G254" s="2134">
        <f t="shared" ref="G254:N254" si="140">+G248-G253</f>
        <v>0</v>
      </c>
      <c r="H254" s="2134">
        <f t="shared" si="140"/>
        <v>0</v>
      </c>
      <c r="I254" s="2134">
        <f t="shared" si="140"/>
        <v>0</v>
      </c>
      <c r="J254" s="2134">
        <f>+J248-J253</f>
        <v>0</v>
      </c>
      <c r="K254" s="2134">
        <f>+K248-K253</f>
        <v>0</v>
      </c>
      <c r="L254" s="2134">
        <f t="shared" si="140"/>
        <v>0</v>
      </c>
      <c r="M254" s="2134">
        <f t="shared" si="140"/>
        <v>0</v>
      </c>
      <c r="N254" s="2135">
        <f t="shared" si="140"/>
        <v>0</v>
      </c>
    </row>
    <row r="255" spans="1:14" ht="15" customHeight="1">
      <c r="A255" s="2405"/>
      <c r="B255" s="2030"/>
      <c r="C255" s="2030" t="s">
        <v>2701</v>
      </c>
      <c r="D255" s="2406"/>
      <c r="E255" s="2404">
        <f>ROUNDDOWN(E254,4-LEN(E254))</f>
        <v>0</v>
      </c>
      <c r="F255" s="2407">
        <f>SUM(G255:N255)</f>
        <v>0</v>
      </c>
      <c r="G255" s="2408">
        <f>F256-E256</f>
        <v>0</v>
      </c>
      <c r="H255" s="2408">
        <f t="shared" ref="H255:N255" si="141">ROUNDDOWN(H250,H256)</f>
        <v>0</v>
      </c>
      <c r="I255" s="2408">
        <f t="shared" si="141"/>
        <v>0</v>
      </c>
      <c r="J255" s="2408">
        <f t="shared" si="141"/>
        <v>0</v>
      </c>
      <c r="K255" s="2408">
        <f t="shared" si="141"/>
        <v>0</v>
      </c>
      <c r="L255" s="2408">
        <f t="shared" si="141"/>
        <v>0</v>
      </c>
      <c r="M255" s="2408">
        <f t="shared" si="141"/>
        <v>0</v>
      </c>
      <c r="N255" s="2409">
        <f t="shared" si="141"/>
        <v>0</v>
      </c>
    </row>
    <row r="256" spans="1:14" ht="13.5" customHeight="1">
      <c r="A256" s="2410"/>
      <c r="B256" s="2411"/>
      <c r="C256" s="2411"/>
      <c r="D256" s="2412"/>
      <c r="E256" s="2413">
        <f>E254-E255</f>
        <v>0</v>
      </c>
      <c r="F256" s="2413">
        <f>ROUNDDOWN(G250,G256)</f>
        <v>0</v>
      </c>
      <c r="G256" s="2414">
        <f t="shared" ref="G256:N256" si="142">IF(LEN(G250)&lt;=7,-3,IF(LEN(G250)=8,-4,IF(LEN(G250)&gt;=9,-5,-6)))</f>
        <v>-3</v>
      </c>
      <c r="H256" s="2414">
        <f t="shared" si="142"/>
        <v>-3</v>
      </c>
      <c r="I256" s="2414">
        <f t="shared" si="142"/>
        <v>-3</v>
      </c>
      <c r="J256" s="2414">
        <f>IF(LEN(J250)&lt;=7,-3,IF(LEN(J250)=8,-4,IF(LEN(J250)&gt;=9,-5,-6)))</f>
        <v>-3</v>
      </c>
      <c r="K256" s="2414">
        <f>IF(LEN(K250)&lt;=7,-3,IF(LEN(K250)=8,-4,IF(LEN(K250)&gt;=9,-5,-6)))</f>
        <v>-3</v>
      </c>
      <c r="L256" s="2414">
        <f t="shared" si="142"/>
        <v>-3</v>
      </c>
      <c r="M256" s="2414">
        <f t="shared" si="142"/>
        <v>-3</v>
      </c>
      <c r="N256" s="2415">
        <f t="shared" si="142"/>
        <v>-3</v>
      </c>
    </row>
    <row r="257" spans="1:16" ht="13.5" hidden="1" customHeight="1" thickBot="1">
      <c r="A257" s="2416"/>
      <c r="B257" s="2416"/>
      <c r="C257" s="2416"/>
      <c r="D257" s="2416"/>
      <c r="E257" s="2417"/>
      <c r="F257" s="2417"/>
      <c r="G257" s="2418"/>
      <c r="H257" s="2418"/>
      <c r="I257" s="2418"/>
      <c r="J257" s="2418"/>
      <c r="K257" s="2418"/>
      <c r="L257" s="2418"/>
      <c r="M257" s="2418"/>
      <c r="N257" s="2418"/>
    </row>
    <row r="258" spans="1:16" ht="13.5" hidden="1" customHeight="1">
      <c r="A258" s="2419"/>
      <c r="B258" s="2420"/>
      <c r="C258" s="2421" t="s">
        <v>2702</v>
      </c>
      <c r="D258" s="2422"/>
      <c r="E258" s="2420"/>
      <c r="F258" s="2423" t="s">
        <v>2703</v>
      </c>
      <c r="G258" s="2424">
        <f t="shared" ref="G258:N258" si="143">G87</f>
        <v>0</v>
      </c>
      <c r="H258" s="2424">
        <f t="shared" si="143"/>
        <v>0</v>
      </c>
      <c r="I258" s="2424">
        <f t="shared" si="143"/>
        <v>0</v>
      </c>
      <c r="J258" s="2424">
        <f>J87</f>
        <v>0</v>
      </c>
      <c r="K258" s="2424">
        <f>K87</f>
        <v>0</v>
      </c>
      <c r="L258" s="2424">
        <f t="shared" si="143"/>
        <v>0</v>
      </c>
      <c r="M258" s="2424">
        <f t="shared" si="143"/>
        <v>0</v>
      </c>
      <c r="N258" s="2425">
        <f t="shared" si="143"/>
        <v>0</v>
      </c>
      <c r="O258" s="2426"/>
      <c r="P258" s="2426"/>
    </row>
    <row r="259" spans="1:16" ht="13.5" hidden="1" customHeight="1">
      <c r="A259" s="2834"/>
      <c r="B259" s="2837" t="s">
        <v>2704</v>
      </c>
      <c r="C259" s="2427" t="s">
        <v>2705</v>
      </c>
      <c r="D259" s="2062"/>
      <c r="E259" s="2428"/>
      <c r="F259" s="2429" t="s">
        <v>2954</v>
      </c>
      <c r="G259" s="2430">
        <f t="shared" ref="G259:N259" si="144">IF($F$147&lt;=10000000,ROUND(7.56*(10000^-0.1105)*(G258^0.2389),2),ROUND(7.56*(($F$147/1000)^-0.1105)*(G258^0.2389),2))</f>
        <v>0</v>
      </c>
      <c r="H259" s="2430">
        <f t="shared" si="144"/>
        <v>0</v>
      </c>
      <c r="I259" s="2430">
        <f t="shared" si="144"/>
        <v>0</v>
      </c>
      <c r="J259" s="2430">
        <f>IF($F$147&lt;=10000000,ROUND(7.56*(10000^-0.1105)*(J258^0.2389),2),ROUND(7.56*(($F$147/1000)^-0.1105)*(J258^0.2389),2))</f>
        <v>0</v>
      </c>
      <c r="K259" s="2430">
        <f>IF($F$147&lt;=10000000,ROUND(7.56*(10000^-0.1105)*(K258^0.2389),2),ROUND(7.56*(($F$147/1000)^-0.1105)*(K258^0.2389),2))</f>
        <v>0</v>
      </c>
      <c r="L259" s="2430">
        <f t="shared" si="144"/>
        <v>0</v>
      </c>
      <c r="M259" s="2430">
        <f t="shared" si="144"/>
        <v>0</v>
      </c>
      <c r="N259" s="2431">
        <f t="shared" si="144"/>
        <v>0</v>
      </c>
      <c r="O259" s="2432"/>
      <c r="P259" s="2432"/>
    </row>
    <row r="260" spans="1:16" ht="13.5" hidden="1" customHeight="1">
      <c r="A260" s="2835"/>
      <c r="B260" s="2838"/>
      <c r="C260" s="2840" t="s">
        <v>2707</v>
      </c>
      <c r="D260" s="2433"/>
      <c r="E260" s="2434"/>
      <c r="F260" s="2429" t="s">
        <v>2708</v>
      </c>
      <c r="G260" s="2435">
        <f t="shared" ref="G260:N260" si="145">IF($F$147&lt;=10000000,ROUND(4.33,2),0)</f>
        <v>4.33</v>
      </c>
      <c r="H260" s="2435">
        <f t="shared" si="145"/>
        <v>4.33</v>
      </c>
      <c r="I260" s="2435">
        <f t="shared" si="145"/>
        <v>4.33</v>
      </c>
      <c r="J260" s="2435">
        <f t="shared" si="145"/>
        <v>4.33</v>
      </c>
      <c r="K260" s="2435">
        <f t="shared" si="145"/>
        <v>4.33</v>
      </c>
      <c r="L260" s="2435">
        <f t="shared" si="145"/>
        <v>4.33</v>
      </c>
      <c r="M260" s="2435">
        <f t="shared" si="145"/>
        <v>4.33</v>
      </c>
      <c r="N260" s="2436">
        <f t="shared" si="145"/>
        <v>4.33</v>
      </c>
      <c r="O260" s="2437"/>
      <c r="P260" s="2437"/>
    </row>
    <row r="261" spans="1:16" ht="13.5" hidden="1" customHeight="1">
      <c r="A261" s="2835"/>
      <c r="B261" s="2838"/>
      <c r="C261" s="2841"/>
      <c r="D261" s="2438"/>
      <c r="E261" s="2439"/>
      <c r="F261" s="2429" t="s">
        <v>2709</v>
      </c>
      <c r="G261" s="2435">
        <f t="shared" ref="G261:N261" si="146">IF($F$147&lt;=10000000,ROUND(3.25,2),0)</f>
        <v>3.25</v>
      </c>
      <c r="H261" s="2435">
        <f t="shared" si="146"/>
        <v>3.25</v>
      </c>
      <c r="I261" s="2435">
        <f t="shared" si="146"/>
        <v>3.25</v>
      </c>
      <c r="J261" s="2435">
        <f t="shared" si="146"/>
        <v>3.25</v>
      </c>
      <c r="K261" s="2435">
        <f t="shared" si="146"/>
        <v>3.25</v>
      </c>
      <c r="L261" s="2435">
        <f t="shared" si="146"/>
        <v>3.25</v>
      </c>
      <c r="M261" s="2435">
        <f t="shared" si="146"/>
        <v>3.25</v>
      </c>
      <c r="N261" s="2436">
        <f t="shared" si="146"/>
        <v>3.25</v>
      </c>
      <c r="O261" s="2437"/>
      <c r="P261" s="2437"/>
    </row>
    <row r="262" spans="1:16" ht="13.5" hidden="1" customHeight="1">
      <c r="A262" s="2835"/>
      <c r="B262" s="2838"/>
      <c r="C262" s="2840" t="s">
        <v>2710</v>
      </c>
      <c r="D262" s="2433"/>
      <c r="E262" s="2434"/>
      <c r="F262" s="2429" t="s">
        <v>2708</v>
      </c>
      <c r="G262" s="2440">
        <f t="shared" ref="G262:N262" si="147">IF($F$147&gt;10000000,ROUND(5.78*($F$147/1000)^-0.0313,2),0)</f>
        <v>0</v>
      </c>
      <c r="H262" s="2440">
        <f t="shared" si="147"/>
        <v>0</v>
      </c>
      <c r="I262" s="2440">
        <f t="shared" si="147"/>
        <v>0</v>
      </c>
      <c r="J262" s="2440">
        <f t="shared" si="147"/>
        <v>0</v>
      </c>
      <c r="K262" s="2440">
        <f t="shared" si="147"/>
        <v>0</v>
      </c>
      <c r="L262" s="2440">
        <f t="shared" si="147"/>
        <v>0</v>
      </c>
      <c r="M262" s="2440">
        <f t="shared" si="147"/>
        <v>0</v>
      </c>
      <c r="N262" s="2441">
        <f t="shared" si="147"/>
        <v>0</v>
      </c>
      <c r="O262" s="2442"/>
      <c r="P262" s="2442"/>
    </row>
    <row r="263" spans="1:16" ht="13.5" hidden="1" customHeight="1">
      <c r="A263" s="2836"/>
      <c r="B263" s="2839"/>
      <c r="C263" s="2841"/>
      <c r="D263" s="2438"/>
      <c r="E263" s="2439"/>
      <c r="F263" s="2429" t="s">
        <v>2709</v>
      </c>
      <c r="G263" s="2440">
        <f t="shared" ref="G263:N263" si="148">IF($F$147&gt;10000000,ROUND(4.34*($F$147/1000)^-0.0313,2),0)</f>
        <v>0</v>
      </c>
      <c r="H263" s="2440">
        <f t="shared" si="148"/>
        <v>0</v>
      </c>
      <c r="I263" s="2440">
        <f t="shared" si="148"/>
        <v>0</v>
      </c>
      <c r="J263" s="2440">
        <f t="shared" si="148"/>
        <v>0</v>
      </c>
      <c r="K263" s="2440">
        <f t="shared" si="148"/>
        <v>0</v>
      </c>
      <c r="L263" s="2440">
        <f t="shared" si="148"/>
        <v>0</v>
      </c>
      <c r="M263" s="2440">
        <f t="shared" si="148"/>
        <v>0</v>
      </c>
      <c r="N263" s="2441">
        <f t="shared" si="148"/>
        <v>0</v>
      </c>
      <c r="O263" s="2442"/>
      <c r="P263" s="2442"/>
    </row>
    <row r="264" spans="1:16" ht="13.5" hidden="1" customHeight="1">
      <c r="A264" s="2824" t="s">
        <v>2711</v>
      </c>
      <c r="B264" s="2825"/>
      <c r="C264" s="2825"/>
      <c r="D264" s="2825"/>
      <c r="E264" s="2825"/>
      <c r="F264" s="2826"/>
      <c r="G264" s="2443">
        <f t="shared" ref="G264:N264" si="149">IF($F$147&lt;=10000000,IF(G$259&gt;G$260,G$260,IF(G$259&lt;G$261,G$261,G$259)),IF(G$259&gt;G$262,G$262,IF(G$259&lt;G$263,G$263,G$259)))</f>
        <v>3.25</v>
      </c>
      <c r="H264" s="2443">
        <f t="shared" si="149"/>
        <v>3.25</v>
      </c>
      <c r="I264" s="2443">
        <f t="shared" si="149"/>
        <v>3.25</v>
      </c>
      <c r="J264" s="2443">
        <f t="shared" si="149"/>
        <v>3.25</v>
      </c>
      <c r="K264" s="2443">
        <f t="shared" si="149"/>
        <v>3.25</v>
      </c>
      <c r="L264" s="2443">
        <f t="shared" si="149"/>
        <v>3.25</v>
      </c>
      <c r="M264" s="2443">
        <f t="shared" si="149"/>
        <v>3.25</v>
      </c>
      <c r="N264" s="2444">
        <f t="shared" si="149"/>
        <v>3.25</v>
      </c>
      <c r="O264" s="2442"/>
      <c r="P264" s="2442"/>
    </row>
    <row r="265" spans="1:16" ht="13.5" hidden="1" customHeight="1" thickBot="1">
      <c r="A265" s="2827" t="s">
        <v>2712</v>
      </c>
      <c r="B265" s="2828"/>
      <c r="C265" s="2828"/>
      <c r="D265" s="2828"/>
      <c r="E265" s="2828"/>
      <c r="F265" s="2829"/>
      <c r="G265" s="2445">
        <f t="shared" ref="G265:N265" si="150">ROUND(G264*IF(AND(G92="駅施設",G93="無し"),0.7,IF(AND(G92="駅施設",G93="有り"),0.7,IF(AND(G92="地上建物",G93="無し"),0.9,IF(AND(G92="地上建物",G93="有り"),1,0)))),2)</f>
        <v>0</v>
      </c>
      <c r="H265" s="2445">
        <f t="shared" si="150"/>
        <v>0</v>
      </c>
      <c r="I265" s="2445">
        <f t="shared" si="150"/>
        <v>0</v>
      </c>
      <c r="J265" s="2445">
        <f>ROUND(J264*IF(AND(J92="駅施設",J93="無し"),0.7,IF(AND(J92="駅施設",J93="有り"),0.7,IF(AND(J92="地上建物",J93="無し"),0.9,IF(AND(J92="地上建物",J93="有り"),1,0)))),2)</f>
        <v>0</v>
      </c>
      <c r="K265" s="2445">
        <f>ROUND(K264*IF(AND(K92="駅施設",K93="無し"),0.7,IF(AND(K92="駅施設",K93="有り"),0.7,IF(AND(K92="地上建物",K93="無し"),0.9,IF(AND(K92="地上建物",K93="有り"),1,0)))),2)</f>
        <v>0</v>
      </c>
      <c r="L265" s="2445">
        <f t="shared" si="150"/>
        <v>0</v>
      </c>
      <c r="M265" s="2445">
        <f t="shared" si="150"/>
        <v>0</v>
      </c>
      <c r="N265" s="2446">
        <f t="shared" si="150"/>
        <v>0</v>
      </c>
      <c r="O265" s="2442"/>
      <c r="P265" s="2442"/>
    </row>
    <row r="266" spans="1:16" ht="13.5" hidden="1" customHeight="1" thickBot="1">
      <c r="A266" s="2447"/>
      <c r="B266" s="2448"/>
      <c r="C266" s="2448"/>
      <c r="D266" s="2448"/>
      <c r="E266" s="2448"/>
      <c r="F266" s="2448"/>
      <c r="G266" s="2449"/>
      <c r="H266" s="2449"/>
      <c r="I266" s="2449"/>
      <c r="J266" s="2449"/>
      <c r="K266" s="2449"/>
      <c r="L266" s="2449"/>
      <c r="M266" s="2449"/>
      <c r="N266" s="2449"/>
      <c r="O266" s="2442"/>
      <c r="P266" s="2442"/>
    </row>
    <row r="267" spans="1:16" ht="13.5" hidden="1" customHeight="1">
      <c r="A267" s="2450"/>
      <c r="B267" s="2451"/>
      <c r="C267" s="2452" t="s">
        <v>2702</v>
      </c>
      <c r="D267" s="2453"/>
      <c r="E267" s="2451"/>
      <c r="F267" s="2454" t="s">
        <v>2703</v>
      </c>
      <c r="G267" s="2424">
        <f t="shared" ref="G267:N267" si="151">G87</f>
        <v>0</v>
      </c>
      <c r="H267" s="2424">
        <f t="shared" si="151"/>
        <v>0</v>
      </c>
      <c r="I267" s="2424">
        <f t="shared" si="151"/>
        <v>0</v>
      </c>
      <c r="J267" s="2424">
        <f>J87</f>
        <v>0</v>
      </c>
      <c r="K267" s="2424">
        <f>K87</f>
        <v>0</v>
      </c>
      <c r="L267" s="2424">
        <f t="shared" si="151"/>
        <v>0</v>
      </c>
      <c r="M267" s="2424">
        <f t="shared" si="151"/>
        <v>0</v>
      </c>
      <c r="N267" s="2425">
        <f t="shared" si="151"/>
        <v>0</v>
      </c>
      <c r="O267" s="2426"/>
      <c r="P267" s="2426"/>
    </row>
    <row r="268" spans="1:16" ht="13.5" hidden="1" customHeight="1">
      <c r="A268" s="2811"/>
      <c r="B268" s="2813" t="s">
        <v>2713</v>
      </c>
      <c r="C268" s="2455" t="s">
        <v>2705</v>
      </c>
      <c r="D268" s="2030"/>
      <c r="E268" s="2456"/>
      <c r="F268" s="1978" t="s">
        <v>2714</v>
      </c>
      <c r="G268" s="2430">
        <f t="shared" ref="G268:N268" si="152">IF($F$147&lt;=5000000,ROUND(18.03*(5000^-0.2027)*(G267^0.4017),2),ROUND(18.03*(($F$147/1000)^-0.2027)*(G267^0.4017),2))</f>
        <v>0</v>
      </c>
      <c r="H268" s="2430">
        <f t="shared" si="152"/>
        <v>0</v>
      </c>
      <c r="I268" s="2430">
        <f t="shared" si="152"/>
        <v>0</v>
      </c>
      <c r="J268" s="2430">
        <f>IF($F$147&lt;=5000000,ROUND(18.03*(5000^-0.2027)*(J267^0.4017),2),ROUND(18.03*(($F$147/1000)^-0.2027)*(J267^0.4017),2))</f>
        <v>0</v>
      </c>
      <c r="K268" s="2430">
        <f>IF($F$147&lt;=5000000,ROUND(18.03*(5000^-0.2027)*(K267^0.4017),2),ROUND(18.03*(($F$147/1000)^-0.2027)*(K267^0.4017),2))</f>
        <v>0</v>
      </c>
      <c r="L268" s="2430">
        <f t="shared" si="152"/>
        <v>0</v>
      </c>
      <c r="M268" s="2430">
        <f t="shared" si="152"/>
        <v>0</v>
      </c>
      <c r="N268" s="2431">
        <f t="shared" si="152"/>
        <v>0</v>
      </c>
      <c r="O268" s="2432"/>
      <c r="P268" s="2432"/>
    </row>
    <row r="269" spans="1:16" ht="13.5" hidden="1" customHeight="1">
      <c r="A269" s="2812"/>
      <c r="B269" s="2814"/>
      <c r="C269" s="2822" t="s">
        <v>2715</v>
      </c>
      <c r="D269" s="2039"/>
      <c r="E269" s="2457"/>
      <c r="F269" s="1978" t="s">
        <v>2708</v>
      </c>
      <c r="G269" s="2458">
        <f t="shared" ref="G269:N269" si="153">IF($F$147&lt;=5000000,ROUND(6.07,2),0)</f>
        <v>6.07</v>
      </c>
      <c r="H269" s="2458">
        <f t="shared" si="153"/>
        <v>6.07</v>
      </c>
      <c r="I269" s="2458">
        <f t="shared" si="153"/>
        <v>6.07</v>
      </c>
      <c r="J269" s="2458">
        <f t="shared" si="153"/>
        <v>6.07</v>
      </c>
      <c r="K269" s="2458">
        <f t="shared" si="153"/>
        <v>6.07</v>
      </c>
      <c r="L269" s="2458">
        <f t="shared" si="153"/>
        <v>6.07</v>
      </c>
      <c r="M269" s="2458">
        <f t="shared" si="153"/>
        <v>6.07</v>
      </c>
      <c r="N269" s="2459">
        <f t="shared" si="153"/>
        <v>6.07</v>
      </c>
      <c r="O269" s="2437"/>
      <c r="P269" s="2437"/>
    </row>
    <row r="270" spans="1:16" ht="13.5" hidden="1" customHeight="1">
      <c r="A270" s="2812"/>
      <c r="B270" s="2814"/>
      <c r="C270" s="2823"/>
      <c r="D270" s="2460"/>
      <c r="E270" s="2461"/>
      <c r="F270" s="1978" t="s">
        <v>2709</v>
      </c>
      <c r="G270" s="2458">
        <f t="shared" ref="G270:N270" si="154">IF($F$147&lt;=5000000,ROUND(3.59,2),0)</f>
        <v>3.59</v>
      </c>
      <c r="H270" s="2458">
        <f t="shared" si="154"/>
        <v>3.59</v>
      </c>
      <c r="I270" s="2458">
        <f t="shared" si="154"/>
        <v>3.59</v>
      </c>
      <c r="J270" s="2458">
        <f t="shared" si="154"/>
        <v>3.59</v>
      </c>
      <c r="K270" s="2458">
        <f t="shared" si="154"/>
        <v>3.59</v>
      </c>
      <c r="L270" s="2458">
        <f t="shared" si="154"/>
        <v>3.59</v>
      </c>
      <c r="M270" s="2458">
        <f t="shared" si="154"/>
        <v>3.59</v>
      </c>
      <c r="N270" s="2459">
        <f t="shared" si="154"/>
        <v>3.59</v>
      </c>
      <c r="O270" s="2437"/>
      <c r="P270" s="2437"/>
    </row>
    <row r="271" spans="1:16" ht="13.5" hidden="1" customHeight="1">
      <c r="A271" s="2812"/>
      <c r="B271" s="2814"/>
      <c r="C271" s="2822" t="s">
        <v>2716</v>
      </c>
      <c r="D271" s="2039"/>
      <c r="E271" s="2457"/>
      <c r="F271" s="1978" t="s">
        <v>2708</v>
      </c>
      <c r="G271" s="2462">
        <f t="shared" ref="G271:N271" si="155">IF($F$147&gt;5000000,ROUND(11.74*($F$147/1000)^-0.0774,2),0)</f>
        <v>0</v>
      </c>
      <c r="H271" s="2462">
        <f t="shared" si="155"/>
        <v>0</v>
      </c>
      <c r="I271" s="2462">
        <f t="shared" si="155"/>
        <v>0</v>
      </c>
      <c r="J271" s="2462">
        <f t="shared" si="155"/>
        <v>0</v>
      </c>
      <c r="K271" s="2462">
        <f t="shared" si="155"/>
        <v>0</v>
      </c>
      <c r="L271" s="2462">
        <f t="shared" si="155"/>
        <v>0</v>
      </c>
      <c r="M271" s="2462">
        <f t="shared" si="155"/>
        <v>0</v>
      </c>
      <c r="N271" s="2463">
        <f t="shared" si="155"/>
        <v>0</v>
      </c>
      <c r="O271" s="2442"/>
      <c r="P271" s="2442"/>
    </row>
    <row r="272" spans="1:16" ht="13.5" hidden="1" customHeight="1">
      <c r="A272" s="2820"/>
      <c r="B272" s="2821"/>
      <c r="C272" s="2823"/>
      <c r="D272" s="2460"/>
      <c r="E272" s="2461"/>
      <c r="F272" s="1978" t="s">
        <v>2709</v>
      </c>
      <c r="G272" s="2462">
        <f t="shared" ref="G272:N272" si="156">IF($F$147&gt;5000000,ROUND(6.94*($F$147/1000)^-0.0774,2),0)</f>
        <v>0</v>
      </c>
      <c r="H272" s="2462">
        <f t="shared" si="156"/>
        <v>0</v>
      </c>
      <c r="I272" s="2462">
        <f t="shared" si="156"/>
        <v>0</v>
      </c>
      <c r="J272" s="2462">
        <f t="shared" si="156"/>
        <v>0</v>
      </c>
      <c r="K272" s="2462">
        <f t="shared" si="156"/>
        <v>0</v>
      </c>
      <c r="L272" s="2462">
        <f t="shared" si="156"/>
        <v>0</v>
      </c>
      <c r="M272" s="2462">
        <f t="shared" si="156"/>
        <v>0</v>
      </c>
      <c r="N272" s="2463">
        <f t="shared" si="156"/>
        <v>0</v>
      </c>
      <c r="O272" s="2442"/>
      <c r="P272" s="2442"/>
    </row>
    <row r="273" spans="1:16" ht="13.5" hidden="1" customHeight="1">
      <c r="A273" s="2824" t="s">
        <v>2711</v>
      </c>
      <c r="B273" s="2825"/>
      <c r="C273" s="2825"/>
      <c r="D273" s="2825"/>
      <c r="E273" s="2825"/>
      <c r="F273" s="2826"/>
      <c r="G273" s="2464">
        <f t="shared" ref="G273:N273" si="157">IF($F$147&lt;=5000000,IF(G$268&gt;G$269,G$269,IF(G$268&lt;G$270,G$270,G$268)),IF(G$268&gt;G$271,G$271,IF(G$268&lt;G$272,G$272,G$268)))</f>
        <v>3.59</v>
      </c>
      <c r="H273" s="2464">
        <f t="shared" si="157"/>
        <v>3.59</v>
      </c>
      <c r="I273" s="2464">
        <f t="shared" si="157"/>
        <v>3.59</v>
      </c>
      <c r="J273" s="2464">
        <f t="shared" si="157"/>
        <v>3.59</v>
      </c>
      <c r="K273" s="2464">
        <f t="shared" si="157"/>
        <v>3.59</v>
      </c>
      <c r="L273" s="2464">
        <f t="shared" si="157"/>
        <v>3.59</v>
      </c>
      <c r="M273" s="2464">
        <f t="shared" si="157"/>
        <v>3.59</v>
      </c>
      <c r="N273" s="2465">
        <f t="shared" si="157"/>
        <v>3.59</v>
      </c>
      <c r="O273" s="2466"/>
      <c r="P273" s="2466"/>
    </row>
    <row r="274" spans="1:16" ht="13.5" hidden="1" customHeight="1" thickBot="1">
      <c r="A274" s="2827" t="s">
        <v>2712</v>
      </c>
      <c r="B274" s="2828"/>
      <c r="C274" s="2828"/>
      <c r="D274" s="2828"/>
      <c r="E274" s="2828"/>
      <c r="F274" s="2829"/>
      <c r="G274" s="2445">
        <f t="shared" ref="G274:N274" si="158">ROUND(G273*IF(AND(G92="駅施設",G93="無し"),0.7,IF(AND(G92="駅施設",G93="有り"),0.7,IF(AND(G92="地上建物",G93="無し"),0.9,IF(AND(G92="地上建物",G93="有り"),1,0)))),2)</f>
        <v>0</v>
      </c>
      <c r="H274" s="2445">
        <f t="shared" si="158"/>
        <v>0</v>
      </c>
      <c r="I274" s="2445">
        <f t="shared" si="158"/>
        <v>0</v>
      </c>
      <c r="J274" s="2445">
        <f>ROUND(J273*IF(AND(J92="駅施設",J93="無し"),0.7,IF(AND(J92="駅施設",J93="有り"),0.7,IF(AND(J92="地上建物",J93="無し"),0.9,IF(AND(J92="地上建物",J93="有り"),1,0)))),2)</f>
        <v>0</v>
      </c>
      <c r="K274" s="2445">
        <f>ROUND(K273*IF(AND(K92="駅施設",K93="無し"),0.7,IF(AND(K92="駅施設",K93="有り"),0.7,IF(AND(K92="地上建物",K93="無し"),0.9,IF(AND(K92="地上建物",K93="有り"),1,0)))),2)</f>
        <v>0</v>
      </c>
      <c r="L274" s="2445">
        <f t="shared" si="158"/>
        <v>0</v>
      </c>
      <c r="M274" s="2445">
        <f t="shared" si="158"/>
        <v>0</v>
      </c>
      <c r="N274" s="2446">
        <f t="shared" si="158"/>
        <v>0</v>
      </c>
      <c r="O274" s="2442"/>
      <c r="P274" s="2442"/>
    </row>
    <row r="275" spans="1:16" ht="13.5" hidden="1" customHeight="1" thickBot="1">
      <c r="A275" s="1760"/>
      <c r="B275" s="1760"/>
      <c r="C275" s="1760"/>
      <c r="D275" s="1760"/>
      <c r="E275" s="2467"/>
      <c r="F275" s="2467"/>
      <c r="G275" s="2468"/>
      <c r="H275" s="2468"/>
      <c r="I275" s="2468"/>
      <c r="J275" s="2468"/>
      <c r="K275" s="2468"/>
      <c r="L275" s="2468"/>
      <c r="M275" s="2468"/>
      <c r="N275" s="2468"/>
    </row>
    <row r="276" spans="1:16" ht="13.5" hidden="1" customHeight="1">
      <c r="A276" s="2450"/>
      <c r="B276" s="2451"/>
      <c r="C276" s="2452" t="s">
        <v>2717</v>
      </c>
      <c r="D276" s="2453"/>
      <c r="E276" s="2451"/>
      <c r="F276" s="2454" t="s">
        <v>2703</v>
      </c>
      <c r="G276" s="2469">
        <f t="shared" ref="G276:N276" si="159">+G284</f>
        <v>0</v>
      </c>
      <c r="H276" s="2469">
        <f t="shared" si="159"/>
        <v>0</v>
      </c>
      <c r="I276" s="2469">
        <f t="shared" si="159"/>
        <v>0</v>
      </c>
      <c r="J276" s="2469">
        <f>+J284</f>
        <v>0</v>
      </c>
      <c r="K276" s="2469">
        <f>+K284</f>
        <v>0</v>
      </c>
      <c r="L276" s="2469">
        <f t="shared" si="159"/>
        <v>0</v>
      </c>
      <c r="M276" s="2469">
        <f t="shared" si="159"/>
        <v>0</v>
      </c>
      <c r="N276" s="2470">
        <f t="shared" si="159"/>
        <v>0</v>
      </c>
    </row>
    <row r="277" spans="1:16" ht="13.5" hidden="1" customHeight="1">
      <c r="A277" s="2811"/>
      <c r="B277" s="2813" t="s">
        <v>2704</v>
      </c>
      <c r="C277" s="2455" t="s">
        <v>2718</v>
      </c>
      <c r="D277" s="2030"/>
      <c r="E277" s="2456"/>
      <c r="F277" s="1978" t="s">
        <v>2723</v>
      </c>
      <c r="G277" s="2430">
        <f t="shared" ref="G277:N277" si="160">IF($F$178&lt;=10000000,ROUND(151.08*((10000)^-0.3396)*(G276^0.586),2),ROUND(151.08*(($F$178/1000)^-0.3396)*(G276^0.586),2))</f>
        <v>0</v>
      </c>
      <c r="H277" s="2430">
        <f t="shared" si="160"/>
        <v>0</v>
      </c>
      <c r="I277" s="2430">
        <f t="shared" si="160"/>
        <v>0</v>
      </c>
      <c r="J277" s="2430">
        <f>IF($F$178&lt;=10000000,ROUND(151.08*((10000)^-0.3396)*(J276^0.586),2),ROUND(151.08*(($F$178/1000)^-0.3396)*(J276^0.586),2))</f>
        <v>0</v>
      </c>
      <c r="K277" s="2430">
        <f>IF($F$178&lt;=10000000,ROUND(151.08*((10000)^-0.3396)*(K276^0.586),2),ROUND(151.08*(($F$178/1000)^-0.3396)*(K276^0.586),2))</f>
        <v>0</v>
      </c>
      <c r="L277" s="2430">
        <f t="shared" si="160"/>
        <v>0</v>
      </c>
      <c r="M277" s="2430">
        <f t="shared" si="160"/>
        <v>0</v>
      </c>
      <c r="N277" s="2431">
        <f t="shared" si="160"/>
        <v>0</v>
      </c>
    </row>
    <row r="278" spans="1:16" ht="13.5" hidden="1" customHeight="1">
      <c r="A278" s="2812"/>
      <c r="B278" s="2814"/>
      <c r="C278" s="2822" t="s">
        <v>2720</v>
      </c>
      <c r="D278" s="2039"/>
      <c r="E278" s="2457"/>
      <c r="F278" s="1978" t="s">
        <v>2708</v>
      </c>
      <c r="G278" s="2471">
        <f t="shared" ref="G278:N278" si="161">IF($F$178&lt;=10000000,ROUND(20.13,2),0)</f>
        <v>20.13</v>
      </c>
      <c r="H278" s="2471">
        <f t="shared" si="161"/>
        <v>20.13</v>
      </c>
      <c r="I278" s="2471">
        <f t="shared" si="161"/>
        <v>20.13</v>
      </c>
      <c r="J278" s="2471">
        <f t="shared" si="161"/>
        <v>20.13</v>
      </c>
      <c r="K278" s="2471">
        <f t="shared" si="161"/>
        <v>20.13</v>
      </c>
      <c r="L278" s="2471">
        <f t="shared" si="161"/>
        <v>20.13</v>
      </c>
      <c r="M278" s="2471">
        <f t="shared" si="161"/>
        <v>20.13</v>
      </c>
      <c r="N278" s="2472">
        <f t="shared" si="161"/>
        <v>20.13</v>
      </c>
    </row>
    <row r="279" spans="1:16" ht="13.5" hidden="1" customHeight="1">
      <c r="A279" s="2812"/>
      <c r="B279" s="2814"/>
      <c r="C279" s="2823"/>
      <c r="D279" s="2460"/>
      <c r="E279" s="2461"/>
      <c r="F279" s="1978" t="s">
        <v>2709</v>
      </c>
      <c r="G279" s="2471">
        <f t="shared" ref="G279:N279" si="162">IF($F$178&lt;=10000000,ROUND(10.01,2),0)</f>
        <v>10.01</v>
      </c>
      <c r="H279" s="2471">
        <f t="shared" si="162"/>
        <v>10.01</v>
      </c>
      <c r="I279" s="2471">
        <f t="shared" si="162"/>
        <v>10.01</v>
      </c>
      <c r="J279" s="2471">
        <f t="shared" si="162"/>
        <v>10.01</v>
      </c>
      <c r="K279" s="2471">
        <f t="shared" si="162"/>
        <v>10.01</v>
      </c>
      <c r="L279" s="2471">
        <f t="shared" si="162"/>
        <v>10.01</v>
      </c>
      <c r="M279" s="2471">
        <f t="shared" si="162"/>
        <v>10.01</v>
      </c>
      <c r="N279" s="2472">
        <f t="shared" si="162"/>
        <v>10.01</v>
      </c>
    </row>
    <row r="280" spans="1:16" ht="13.5" hidden="1" customHeight="1">
      <c r="A280" s="2812"/>
      <c r="B280" s="2814"/>
      <c r="C280" s="2822" t="s">
        <v>2721</v>
      </c>
      <c r="D280" s="2039"/>
      <c r="E280" s="2457"/>
      <c r="F280" s="1978" t="s">
        <v>2708</v>
      </c>
      <c r="G280" s="2473">
        <f t="shared" ref="G280:N280" si="163">IF($F$178&gt;10000000,ROUND(75.97*($F$178/1000)^-0.1442,2),0)</f>
        <v>0</v>
      </c>
      <c r="H280" s="2473">
        <f t="shared" si="163"/>
        <v>0</v>
      </c>
      <c r="I280" s="2473">
        <f t="shared" si="163"/>
        <v>0</v>
      </c>
      <c r="J280" s="2473">
        <f t="shared" si="163"/>
        <v>0</v>
      </c>
      <c r="K280" s="2473">
        <f t="shared" si="163"/>
        <v>0</v>
      </c>
      <c r="L280" s="2473">
        <f t="shared" si="163"/>
        <v>0</v>
      </c>
      <c r="M280" s="2473">
        <f t="shared" si="163"/>
        <v>0</v>
      </c>
      <c r="N280" s="2474">
        <f t="shared" si="163"/>
        <v>0</v>
      </c>
    </row>
    <row r="281" spans="1:16" ht="13.5" hidden="1" customHeight="1">
      <c r="A281" s="2820"/>
      <c r="B281" s="2821"/>
      <c r="C281" s="2823"/>
      <c r="D281" s="2460"/>
      <c r="E281" s="2461"/>
      <c r="F281" s="1978" t="s">
        <v>2709</v>
      </c>
      <c r="G281" s="2473">
        <f t="shared" ref="G281:N281" si="164">IF($F$178&gt;10000000,ROUND(37.76*($F$178/1000)^-0.1442,2),0)</f>
        <v>0</v>
      </c>
      <c r="H281" s="2473">
        <f t="shared" si="164"/>
        <v>0</v>
      </c>
      <c r="I281" s="2473">
        <f t="shared" si="164"/>
        <v>0</v>
      </c>
      <c r="J281" s="2473">
        <f t="shared" si="164"/>
        <v>0</v>
      </c>
      <c r="K281" s="2473">
        <f t="shared" si="164"/>
        <v>0</v>
      </c>
      <c r="L281" s="2473">
        <f t="shared" si="164"/>
        <v>0</v>
      </c>
      <c r="M281" s="2473">
        <f t="shared" si="164"/>
        <v>0</v>
      </c>
      <c r="N281" s="2474">
        <f t="shared" si="164"/>
        <v>0</v>
      </c>
    </row>
    <row r="282" spans="1:16" ht="13.5" hidden="1" customHeight="1" thickBot="1">
      <c r="A282" s="2817" t="s">
        <v>2722</v>
      </c>
      <c r="B282" s="2818"/>
      <c r="C282" s="2818"/>
      <c r="D282" s="2819"/>
      <c r="E282" s="2475"/>
      <c r="F282" s="2476"/>
      <c r="G282" s="2477">
        <f t="shared" ref="G282:N282" si="165">IF($F$178&lt;=10000000,IF(G$277&gt;G$278,G$278,IF(G$277&lt;G$279,G$279,G$277)),IF(G$277&gt;G$280,G$280,IF(G$277&lt;G$281,G$281,G$277)))</f>
        <v>10.01</v>
      </c>
      <c r="H282" s="2477">
        <f t="shared" si="165"/>
        <v>10.01</v>
      </c>
      <c r="I282" s="2477">
        <f t="shared" si="165"/>
        <v>10.01</v>
      </c>
      <c r="J282" s="2477">
        <f t="shared" si="165"/>
        <v>10.01</v>
      </c>
      <c r="K282" s="2477">
        <f t="shared" si="165"/>
        <v>10.01</v>
      </c>
      <c r="L282" s="2477">
        <f t="shared" si="165"/>
        <v>10.01</v>
      </c>
      <c r="M282" s="2477">
        <f t="shared" si="165"/>
        <v>10.01</v>
      </c>
      <c r="N282" s="2478">
        <f t="shared" si="165"/>
        <v>10.01</v>
      </c>
    </row>
    <row r="283" spans="1:16" ht="13.5" hidden="1" customHeight="1" thickBot="1">
      <c r="A283" s="1760"/>
      <c r="B283" s="1760"/>
      <c r="C283" s="1760"/>
      <c r="D283" s="1760"/>
      <c r="E283" s="1760"/>
      <c r="F283" s="1760"/>
      <c r="G283" s="2479"/>
      <c r="H283" s="2479"/>
      <c r="I283" s="2479"/>
      <c r="J283" s="2479"/>
      <c r="K283" s="2479"/>
      <c r="L283" s="2479"/>
      <c r="M283" s="2479"/>
      <c r="N283" s="2479"/>
    </row>
    <row r="284" spans="1:16" ht="13.5" hidden="1" customHeight="1">
      <c r="A284" s="2450"/>
      <c r="B284" s="2451"/>
      <c r="C284" s="2452" t="s">
        <v>2717</v>
      </c>
      <c r="D284" s="2453"/>
      <c r="E284" s="2451"/>
      <c r="F284" s="2454" t="s">
        <v>2703</v>
      </c>
      <c r="G284" s="2469">
        <f t="shared" ref="G284:N284" si="166">+G87</f>
        <v>0</v>
      </c>
      <c r="H284" s="2469">
        <f t="shared" si="166"/>
        <v>0</v>
      </c>
      <c r="I284" s="2469">
        <f t="shared" si="166"/>
        <v>0</v>
      </c>
      <c r="J284" s="2469">
        <f>+J87</f>
        <v>0</v>
      </c>
      <c r="K284" s="2469">
        <f>+K87</f>
        <v>0</v>
      </c>
      <c r="L284" s="2469">
        <f t="shared" si="166"/>
        <v>0</v>
      </c>
      <c r="M284" s="2469">
        <f t="shared" si="166"/>
        <v>0</v>
      </c>
      <c r="N284" s="2470">
        <f t="shared" si="166"/>
        <v>0</v>
      </c>
    </row>
    <row r="285" spans="1:16" ht="13.5" hidden="1" customHeight="1">
      <c r="A285" s="2811"/>
      <c r="B285" s="2813" t="s">
        <v>2713</v>
      </c>
      <c r="C285" s="2455" t="s">
        <v>2718</v>
      </c>
      <c r="D285" s="2030"/>
      <c r="E285" s="2456"/>
      <c r="F285" s="1978" t="s">
        <v>2955</v>
      </c>
      <c r="G285" s="2430">
        <f t="shared" ref="G285:N285" si="167">IF($F$178&lt;=5000000,ROUND(356.2*((5000)^-0.4085)*(G284^0.5766),2),ROUND(356.2*(($F$178/1000)^-0.4085)*(G284^0.5766),2))</f>
        <v>0</v>
      </c>
      <c r="H285" s="2430">
        <f t="shared" si="167"/>
        <v>0</v>
      </c>
      <c r="I285" s="2430">
        <f t="shared" si="167"/>
        <v>0</v>
      </c>
      <c r="J285" s="2430">
        <f>IF($F$178&lt;=5000000,ROUND(356.2*((5000)^-0.4085)*(J284^0.5766),2),ROUND(356.2*(($F$178/1000)^-0.4085)*(J284^0.5766),2))</f>
        <v>0</v>
      </c>
      <c r="K285" s="2430">
        <f>IF($F$178&lt;=5000000,ROUND(356.2*((5000)^-0.4085)*(K284^0.5766),2),ROUND(356.2*(($F$178/1000)^-0.4085)*(K284^0.5766),2))</f>
        <v>0</v>
      </c>
      <c r="L285" s="2430">
        <f t="shared" si="167"/>
        <v>0</v>
      </c>
      <c r="M285" s="2430">
        <f t="shared" si="167"/>
        <v>0</v>
      </c>
      <c r="N285" s="2431">
        <f t="shared" si="167"/>
        <v>0</v>
      </c>
    </row>
    <row r="286" spans="1:16" ht="13.5" hidden="1" customHeight="1">
      <c r="A286" s="2812"/>
      <c r="B286" s="2814"/>
      <c r="C286" s="2822" t="s">
        <v>2724</v>
      </c>
      <c r="D286" s="2039"/>
      <c r="E286" s="2457"/>
      <c r="F286" s="1978" t="s">
        <v>2708</v>
      </c>
      <c r="G286" s="2471">
        <f t="shared" ref="G286:N286" si="168">IF($F$178&lt;=5000000,ROUND(26.86,2),0)</f>
        <v>26.86</v>
      </c>
      <c r="H286" s="2471">
        <f t="shared" si="168"/>
        <v>26.86</v>
      </c>
      <c r="I286" s="2471">
        <f t="shared" si="168"/>
        <v>26.86</v>
      </c>
      <c r="J286" s="2471">
        <f t="shared" si="168"/>
        <v>26.86</v>
      </c>
      <c r="K286" s="2471">
        <f t="shared" si="168"/>
        <v>26.86</v>
      </c>
      <c r="L286" s="2471">
        <f t="shared" si="168"/>
        <v>26.86</v>
      </c>
      <c r="M286" s="2471">
        <f t="shared" si="168"/>
        <v>26.86</v>
      </c>
      <c r="N286" s="2472">
        <f t="shared" si="168"/>
        <v>26.86</v>
      </c>
    </row>
    <row r="287" spans="1:16" ht="13.5" hidden="1" customHeight="1">
      <c r="A287" s="2812"/>
      <c r="B287" s="2814"/>
      <c r="C287" s="2823"/>
      <c r="D287" s="2460"/>
      <c r="E287" s="2461"/>
      <c r="F287" s="1978" t="s">
        <v>2709</v>
      </c>
      <c r="G287" s="2471">
        <f t="shared" ref="G287:N287" si="169">IF($F$178&lt;=5000000,ROUND(12.7,2),0)</f>
        <v>12.7</v>
      </c>
      <c r="H287" s="2471">
        <f t="shared" si="169"/>
        <v>12.7</v>
      </c>
      <c r="I287" s="2471">
        <f t="shared" si="169"/>
        <v>12.7</v>
      </c>
      <c r="J287" s="2471">
        <f t="shared" si="169"/>
        <v>12.7</v>
      </c>
      <c r="K287" s="2471">
        <f t="shared" si="169"/>
        <v>12.7</v>
      </c>
      <c r="L287" s="2471">
        <f t="shared" si="169"/>
        <v>12.7</v>
      </c>
      <c r="M287" s="2471">
        <f t="shared" si="169"/>
        <v>12.7</v>
      </c>
      <c r="N287" s="2472">
        <f t="shared" si="169"/>
        <v>12.7</v>
      </c>
    </row>
    <row r="288" spans="1:16" ht="13.5" hidden="1" customHeight="1">
      <c r="A288" s="2812"/>
      <c r="B288" s="2814"/>
      <c r="C288" s="2822" t="s">
        <v>2725</v>
      </c>
      <c r="D288" s="2039"/>
      <c r="E288" s="2457"/>
      <c r="F288" s="1978" t="s">
        <v>2708</v>
      </c>
      <c r="G288" s="2473">
        <f t="shared" ref="G288:N288" si="170">IF($F$178&gt;5000000,ROUND(184.58*($F$178/1000)^-0.2263,2),0)</f>
        <v>0</v>
      </c>
      <c r="H288" s="2473">
        <f t="shared" si="170"/>
        <v>0</v>
      </c>
      <c r="I288" s="2473">
        <f t="shared" si="170"/>
        <v>0</v>
      </c>
      <c r="J288" s="2473">
        <f t="shared" si="170"/>
        <v>0</v>
      </c>
      <c r="K288" s="2473">
        <f t="shared" si="170"/>
        <v>0</v>
      </c>
      <c r="L288" s="2473">
        <f t="shared" si="170"/>
        <v>0</v>
      </c>
      <c r="M288" s="2473">
        <f t="shared" si="170"/>
        <v>0</v>
      </c>
      <c r="N288" s="2474">
        <f t="shared" si="170"/>
        <v>0</v>
      </c>
    </row>
    <row r="289" spans="1:14" ht="13.5" hidden="1" customHeight="1">
      <c r="A289" s="2820"/>
      <c r="B289" s="2821"/>
      <c r="C289" s="2823"/>
      <c r="D289" s="2460"/>
      <c r="E289" s="2461"/>
      <c r="F289" s="1978" t="s">
        <v>2709</v>
      </c>
      <c r="G289" s="2473">
        <f t="shared" ref="G289:N289" si="171">IF($F$178&gt;5000000,ROUND(87.29*($F$178/1000)^-0.2263,2),0)</f>
        <v>0</v>
      </c>
      <c r="H289" s="2473">
        <f t="shared" si="171"/>
        <v>0</v>
      </c>
      <c r="I289" s="2473">
        <f t="shared" si="171"/>
        <v>0</v>
      </c>
      <c r="J289" s="2473">
        <f t="shared" si="171"/>
        <v>0</v>
      </c>
      <c r="K289" s="2473">
        <f t="shared" si="171"/>
        <v>0</v>
      </c>
      <c r="L289" s="2473">
        <f t="shared" si="171"/>
        <v>0</v>
      </c>
      <c r="M289" s="2473">
        <f t="shared" si="171"/>
        <v>0</v>
      </c>
      <c r="N289" s="2474">
        <f t="shared" si="171"/>
        <v>0</v>
      </c>
    </row>
    <row r="290" spans="1:14" ht="13.5" hidden="1" customHeight="1" thickBot="1">
      <c r="A290" s="2817" t="s">
        <v>2722</v>
      </c>
      <c r="B290" s="2818"/>
      <c r="C290" s="2818"/>
      <c r="D290" s="2818"/>
      <c r="E290" s="2480"/>
      <c r="F290" s="2476"/>
      <c r="G290" s="2481">
        <f t="shared" ref="G290:N290" si="172">IF($F$178&lt;=5000000,IF(G$285&gt;G$286,G$286,IF(G$285&lt;G$287,G$287,G$285)),IF(G$285&gt;G$288,G$288,IF(G285&lt;G$289,G$289,G$285)))</f>
        <v>12.7</v>
      </c>
      <c r="H290" s="2481">
        <f t="shared" si="172"/>
        <v>12.7</v>
      </c>
      <c r="I290" s="2481">
        <f t="shared" si="172"/>
        <v>12.7</v>
      </c>
      <c r="J290" s="2481">
        <f>IF($F$178&lt;=5000000,IF(J$285&gt;J$286,J$286,IF(J$285&lt;J$287,J$287,J$285)),IF(J$285&gt;J$288,J$288,IF(J285&lt;J$289,J$289,J$285)))</f>
        <v>12.7</v>
      </c>
      <c r="K290" s="2481">
        <f>IF($F$178&lt;=5000000,IF(K$285&gt;K$286,K$286,IF(K$285&lt;K$287,K$287,K$285)),IF(K$285&gt;K$288,K$288,IF(K285&lt;K$289,K$289,K$285)))</f>
        <v>12.7</v>
      </c>
      <c r="L290" s="2481">
        <f t="shared" si="172"/>
        <v>12.7</v>
      </c>
      <c r="M290" s="2481">
        <f t="shared" si="172"/>
        <v>12.7</v>
      </c>
      <c r="N290" s="2482">
        <f t="shared" si="172"/>
        <v>12.7</v>
      </c>
    </row>
    <row r="291" spans="1:14" ht="13.5" hidden="1" customHeight="1" thickBot="1">
      <c r="A291" s="1760"/>
      <c r="B291" s="1760"/>
      <c r="C291" s="1760"/>
      <c r="D291" s="1760"/>
      <c r="E291" s="1760"/>
      <c r="F291" s="1760"/>
      <c r="G291" s="2483"/>
      <c r="H291" s="2483"/>
      <c r="I291" s="2483"/>
      <c r="J291" s="2483"/>
      <c r="K291" s="2483"/>
      <c r="L291" s="2483"/>
      <c r="M291" s="2483"/>
      <c r="N291" s="2483"/>
    </row>
    <row r="292" spans="1:14" ht="13.5" hidden="1" customHeight="1">
      <c r="A292" s="2450"/>
      <c r="B292" s="2451"/>
      <c r="C292" s="2452" t="s">
        <v>2726</v>
      </c>
      <c r="D292" s="2453"/>
      <c r="E292" s="2451"/>
      <c r="F292" s="2454"/>
      <c r="G292" s="2484"/>
      <c r="H292" s="2485"/>
      <c r="I292" s="2426"/>
      <c r="J292" s="2426"/>
      <c r="K292" s="2426"/>
      <c r="L292" s="2426"/>
      <c r="M292" s="2426"/>
      <c r="N292" s="2426"/>
    </row>
    <row r="293" spans="1:14" ht="13.5" hidden="1" customHeight="1">
      <c r="A293" s="2811"/>
      <c r="B293" s="2813" t="s">
        <v>81</v>
      </c>
      <c r="C293" s="2455" t="s">
        <v>2727</v>
      </c>
      <c r="D293" s="2030"/>
      <c r="E293" s="2456"/>
      <c r="F293" s="1978" t="s">
        <v>2956</v>
      </c>
      <c r="G293" s="2486" t="e">
        <f>ROUND(15.065-1.028*LOG($F$225/1000),2)</f>
        <v>#NUM!</v>
      </c>
      <c r="H293" s="2487"/>
      <c r="I293" s="2432"/>
      <c r="J293" s="2432"/>
      <c r="K293" s="2432"/>
      <c r="L293" s="2432"/>
      <c r="M293" s="2432"/>
      <c r="N293" s="2432"/>
    </row>
    <row r="294" spans="1:14" ht="13.5" hidden="1" customHeight="1">
      <c r="A294" s="2812"/>
      <c r="B294" s="2814"/>
      <c r="C294" s="2488" t="s">
        <v>2729</v>
      </c>
      <c r="D294" s="2039"/>
      <c r="E294" s="2039"/>
      <c r="F294" s="2489"/>
      <c r="G294" s="2490">
        <f>IF($F$225&lt;=5000000,11.26,0)</f>
        <v>11.26</v>
      </c>
      <c r="H294" s="2491"/>
      <c r="I294" s="2437"/>
      <c r="J294" s="2437"/>
      <c r="K294" s="2437"/>
      <c r="L294" s="2492"/>
      <c r="M294" s="2437"/>
      <c r="N294" s="2437"/>
    </row>
    <row r="295" spans="1:14" ht="13.5" hidden="1" customHeight="1">
      <c r="A295" s="2812"/>
      <c r="B295" s="2814"/>
      <c r="C295" s="2488" t="s">
        <v>2730</v>
      </c>
      <c r="D295" s="2039"/>
      <c r="E295" s="2030"/>
      <c r="F295" s="2489"/>
      <c r="G295" s="2490">
        <f>IF($F$225&gt;3000000000,8.41,0)</f>
        <v>0</v>
      </c>
      <c r="H295" s="2493"/>
      <c r="I295" s="2442"/>
      <c r="J295" s="2442"/>
      <c r="K295" s="2442"/>
      <c r="L295" s="2442"/>
      <c r="M295" s="2442"/>
      <c r="N295" s="2442"/>
    </row>
    <row r="296" spans="1:14" ht="13.5" hidden="1" customHeight="1" thickBot="1">
      <c r="A296" s="2815" t="s">
        <v>2731</v>
      </c>
      <c r="B296" s="2816"/>
      <c r="C296" s="2816"/>
      <c r="D296" s="2816"/>
      <c r="E296" s="2494"/>
      <c r="F296" s="2495"/>
      <c r="G296" s="2496">
        <f>IF($F$225&lt;=5000000,G294,IF($F$225&gt;3000000000,G295,G293))</f>
        <v>11.26</v>
      </c>
      <c r="H296" s="2497"/>
      <c r="I296" s="2498"/>
      <c r="J296" s="2498"/>
      <c r="K296" s="2498"/>
      <c r="L296" s="2498"/>
      <c r="M296" s="2498"/>
      <c r="N296" s="2498"/>
    </row>
    <row r="297" spans="1:14" ht="13.5" customHeight="1">
      <c r="A297" s="2499"/>
      <c r="B297" s="2500"/>
      <c r="C297" s="2500"/>
      <c r="D297" s="2500"/>
      <c r="E297" s="1760"/>
      <c r="F297" s="1760"/>
      <c r="G297" s="2466"/>
      <c r="H297" s="2466"/>
      <c r="I297" s="2466"/>
      <c r="J297" s="2466"/>
      <c r="K297" s="2466"/>
      <c r="L297" s="2466"/>
      <c r="M297" s="2466"/>
      <c r="N297" s="2466"/>
    </row>
    <row r="298" spans="1:14" ht="13.5" customHeight="1">
      <c r="A298" s="1703"/>
      <c r="B298" s="1703"/>
      <c r="C298" s="1704"/>
      <c r="D298" s="1704"/>
      <c r="E298" s="1705" t="s">
        <v>2522</v>
      </c>
      <c r="F298" s="1958" t="s">
        <v>2838</v>
      </c>
      <c r="G298" s="1959"/>
      <c r="H298" s="1959"/>
      <c r="I298" s="1713"/>
      <c r="J298" s="1713"/>
      <c r="K298" s="1713"/>
      <c r="L298" s="1713"/>
      <c r="M298" s="1960"/>
      <c r="N298" s="1709" t="s">
        <v>2742</v>
      </c>
    </row>
    <row r="299" spans="1:14" ht="13.5" customHeight="1">
      <c r="A299" s="1703"/>
      <c r="B299" s="1703"/>
      <c r="C299" s="1961" t="s">
        <v>2892</v>
      </c>
      <c r="D299" s="1962"/>
      <c r="E299" s="1704"/>
      <c r="F299" s="1704"/>
      <c r="G299" s="1963"/>
      <c r="H299" s="1713"/>
      <c r="I299" s="1713"/>
      <c r="J299" s="1713"/>
      <c r="K299" s="1713"/>
      <c r="L299" s="1713"/>
      <c r="M299" s="1703"/>
      <c r="N299" s="1964"/>
    </row>
    <row r="300" spans="1:14" ht="13.5" customHeight="1">
      <c r="A300" s="1965"/>
      <c r="B300" s="1966"/>
      <c r="C300" s="1967" t="s">
        <v>2531</v>
      </c>
      <c r="D300" s="1968"/>
      <c r="E300" s="1969"/>
      <c r="F300" s="1970" t="s">
        <v>2609</v>
      </c>
      <c r="G300" s="2501" t="str">
        <f t="shared" ref="G300:N301" si="173">G8</f>
        <v/>
      </c>
      <c r="H300" s="2501" t="str">
        <f t="shared" si="173"/>
        <v/>
      </c>
      <c r="I300" s="2501" t="str">
        <f t="shared" si="173"/>
        <v/>
      </c>
      <c r="J300" s="2501" t="str">
        <f t="shared" si="173"/>
        <v/>
      </c>
      <c r="K300" s="2501" t="str">
        <f t="shared" si="173"/>
        <v/>
      </c>
      <c r="L300" s="2501" t="str">
        <f t="shared" si="173"/>
        <v/>
      </c>
      <c r="M300" s="2501" t="str">
        <f t="shared" si="173"/>
        <v/>
      </c>
      <c r="N300" s="2502" t="str">
        <f t="shared" si="173"/>
        <v/>
      </c>
    </row>
    <row r="301" spans="1:14" ht="13.5" customHeight="1">
      <c r="A301" s="1974"/>
      <c r="B301" s="1975"/>
      <c r="C301" s="1976" t="s">
        <v>2533</v>
      </c>
      <c r="D301" s="1977"/>
      <c r="E301" s="1978"/>
      <c r="F301" s="1979" t="s">
        <v>2893</v>
      </c>
      <c r="G301" s="2503" t="str">
        <f>G9</f>
        <v/>
      </c>
      <c r="H301" s="2503" t="str">
        <f t="shared" si="173"/>
        <v/>
      </c>
      <c r="I301" s="2503" t="str">
        <f t="shared" si="173"/>
        <v/>
      </c>
      <c r="J301" s="2503" t="str">
        <f t="shared" si="173"/>
        <v/>
      </c>
      <c r="K301" s="2503" t="str">
        <f t="shared" si="173"/>
        <v/>
      </c>
      <c r="L301" s="2503" t="str">
        <f t="shared" si="173"/>
        <v/>
      </c>
      <c r="M301" s="2503" t="str">
        <f t="shared" si="173"/>
        <v/>
      </c>
      <c r="N301" s="2504" t="str">
        <f t="shared" si="173"/>
        <v/>
      </c>
    </row>
    <row r="302" spans="1:14" ht="13.5" customHeight="1">
      <c r="A302" s="1982"/>
      <c r="B302" s="1983"/>
      <c r="C302" s="1983" t="s">
        <v>2775</v>
      </c>
      <c r="D302" s="1983"/>
      <c r="E302" s="1984" t="s">
        <v>2612</v>
      </c>
      <c r="F302" s="1985" t="s">
        <v>2526</v>
      </c>
      <c r="G302" s="1986" t="s">
        <v>2957</v>
      </c>
      <c r="H302" s="1986" t="s">
        <v>2958</v>
      </c>
      <c r="I302" s="1986" t="s">
        <v>2959</v>
      </c>
      <c r="J302" s="1986" t="s">
        <v>2959</v>
      </c>
      <c r="K302" s="1986" t="s">
        <v>2959</v>
      </c>
      <c r="L302" s="1987" t="s">
        <v>2960</v>
      </c>
      <c r="M302" s="1987" t="s">
        <v>2961</v>
      </c>
      <c r="N302" s="1988" t="s">
        <v>2962</v>
      </c>
    </row>
    <row r="303" spans="1:14" ht="13.5" customHeight="1">
      <c r="A303" s="1757"/>
      <c r="B303" s="1738"/>
      <c r="C303" s="1989" t="s">
        <v>2613</v>
      </c>
      <c r="D303" s="1989"/>
      <c r="E303" s="1990" t="s">
        <v>2612</v>
      </c>
      <c r="F303" s="1991" t="s">
        <v>2614</v>
      </c>
      <c r="G303" s="1992"/>
      <c r="H303" s="1992"/>
      <c r="I303" s="1992"/>
      <c r="J303" s="1992"/>
      <c r="K303" s="1992"/>
      <c r="L303" s="1992"/>
      <c r="M303" s="1992"/>
      <c r="N303" s="1993"/>
    </row>
    <row r="304" spans="1:14" ht="13.5" customHeight="1">
      <c r="A304" s="1757"/>
      <c r="B304" s="1738"/>
      <c r="C304" s="2892" t="s">
        <v>2880</v>
      </c>
      <c r="D304" s="2892"/>
      <c r="E304" s="2892"/>
      <c r="F304" s="2893"/>
      <c r="G304" s="2505" t="str">
        <f>G10</f>
        <v/>
      </c>
      <c r="H304" s="2505" t="str">
        <f t="shared" ref="H304:N306" si="174">H10</f>
        <v/>
      </c>
      <c r="I304" s="2505" t="str">
        <f t="shared" si="174"/>
        <v/>
      </c>
      <c r="J304" s="2505" t="str">
        <f t="shared" si="174"/>
        <v/>
      </c>
      <c r="K304" s="2505" t="str">
        <f t="shared" si="174"/>
        <v/>
      </c>
      <c r="L304" s="2505" t="str">
        <f t="shared" si="174"/>
        <v/>
      </c>
      <c r="M304" s="2505" t="str">
        <f t="shared" si="174"/>
        <v/>
      </c>
      <c r="N304" s="2506" t="str">
        <f t="shared" si="174"/>
        <v/>
      </c>
    </row>
    <row r="305" spans="1:14" ht="30" customHeight="1">
      <c r="A305" s="2894" t="s">
        <v>2535</v>
      </c>
      <c r="B305" s="2895"/>
      <c r="C305" s="2895"/>
      <c r="D305" s="2895"/>
      <c r="E305" s="2895"/>
      <c r="F305" s="2896"/>
      <c r="G305" s="2507" t="str">
        <f>G11</f>
        <v/>
      </c>
      <c r="H305" s="2507" t="str">
        <f t="shared" si="174"/>
        <v/>
      </c>
      <c r="I305" s="2507" t="str">
        <f t="shared" si="174"/>
        <v/>
      </c>
      <c r="J305" s="2507" t="str">
        <f t="shared" si="174"/>
        <v/>
      </c>
      <c r="K305" s="2507" t="str">
        <f t="shared" si="174"/>
        <v/>
      </c>
      <c r="L305" s="2507" t="str">
        <f t="shared" si="174"/>
        <v/>
      </c>
      <c r="M305" s="2507" t="str">
        <f t="shared" si="174"/>
        <v/>
      </c>
      <c r="N305" s="2508" t="str">
        <f t="shared" si="174"/>
        <v/>
      </c>
    </row>
    <row r="306" spans="1:14" ht="30" customHeight="1">
      <c r="A306" s="2897" t="s">
        <v>2536</v>
      </c>
      <c r="B306" s="2898"/>
      <c r="C306" s="2898"/>
      <c r="D306" s="2898"/>
      <c r="E306" s="2898"/>
      <c r="F306" s="2899"/>
      <c r="G306" s="2509" t="str">
        <f>G12</f>
        <v/>
      </c>
      <c r="H306" s="2509" t="str">
        <f t="shared" si="174"/>
        <v/>
      </c>
      <c r="I306" s="2509" t="str">
        <f t="shared" si="174"/>
        <v/>
      </c>
      <c r="J306" s="2509" t="str">
        <f t="shared" si="174"/>
        <v/>
      </c>
      <c r="K306" s="2509" t="str">
        <f t="shared" si="174"/>
        <v/>
      </c>
      <c r="L306" s="2509" t="str">
        <f t="shared" si="174"/>
        <v/>
      </c>
      <c r="M306" s="2509" t="str">
        <f t="shared" si="174"/>
        <v/>
      </c>
      <c r="N306" s="2510" t="str">
        <f t="shared" si="174"/>
        <v/>
      </c>
    </row>
    <row r="307" spans="1:14" ht="13.5" customHeight="1">
      <c r="A307" s="1982"/>
      <c r="B307" s="2000" t="s">
        <v>2750</v>
      </c>
      <c r="C307" s="2001"/>
      <c r="D307" s="2001"/>
      <c r="E307" s="2002"/>
      <c r="F307" s="2003">
        <f t="shared" ref="F307:F318" si="175">SUM(G307:N307)</f>
        <v>0</v>
      </c>
      <c r="G307" s="2511">
        <f t="shared" ref="G307:N307" si="176">G13+G94</f>
        <v>0</v>
      </c>
      <c r="H307" s="2511">
        <f t="shared" si="176"/>
        <v>0</v>
      </c>
      <c r="I307" s="2511">
        <f t="shared" si="176"/>
        <v>0</v>
      </c>
      <c r="J307" s="2511">
        <f>J13+J94</f>
        <v>0</v>
      </c>
      <c r="K307" s="2511">
        <f>K13+K94</f>
        <v>0</v>
      </c>
      <c r="L307" s="2511">
        <f t="shared" si="176"/>
        <v>0</v>
      </c>
      <c r="M307" s="2511">
        <f t="shared" si="176"/>
        <v>0</v>
      </c>
      <c r="N307" s="2512">
        <f t="shared" si="176"/>
        <v>0</v>
      </c>
    </row>
    <row r="308" spans="1:14" ht="13.5" customHeight="1">
      <c r="A308" s="1757"/>
      <c r="B308" s="1780" t="s">
        <v>2539</v>
      </c>
      <c r="C308" s="2007"/>
      <c r="D308" s="2008"/>
      <c r="E308" s="2009"/>
      <c r="F308" s="2010">
        <f t="shared" si="175"/>
        <v>0</v>
      </c>
      <c r="G308" s="2011">
        <f t="shared" ref="G308:N308" si="177">SUM(G309:G310)</f>
        <v>0</v>
      </c>
      <c r="H308" s="2011">
        <f t="shared" si="177"/>
        <v>0</v>
      </c>
      <c r="I308" s="2011">
        <f t="shared" si="177"/>
        <v>0</v>
      </c>
      <c r="J308" s="2011">
        <f>SUM(J309:J310)</f>
        <v>0</v>
      </c>
      <c r="K308" s="2011">
        <f>SUM(K309:K310)</f>
        <v>0</v>
      </c>
      <c r="L308" s="2011">
        <f t="shared" si="177"/>
        <v>0</v>
      </c>
      <c r="M308" s="2011">
        <f t="shared" si="177"/>
        <v>0</v>
      </c>
      <c r="N308" s="2012">
        <f t="shared" si="177"/>
        <v>0</v>
      </c>
    </row>
    <row r="309" spans="1:14" ht="13.5" customHeight="1">
      <c r="A309" s="1757"/>
      <c r="B309" s="1780" t="s">
        <v>2540</v>
      </c>
      <c r="C309" s="1989"/>
      <c r="D309" s="1989"/>
      <c r="E309" s="2013"/>
      <c r="F309" s="2014">
        <f t="shared" si="175"/>
        <v>0</v>
      </c>
      <c r="G309" s="2015">
        <f t="shared" ref="G309:N309" si="178">G385</f>
        <v>0</v>
      </c>
      <c r="H309" s="2015">
        <f t="shared" si="178"/>
        <v>0</v>
      </c>
      <c r="I309" s="2015">
        <f t="shared" si="178"/>
        <v>0</v>
      </c>
      <c r="J309" s="2015">
        <f>J385</f>
        <v>0</v>
      </c>
      <c r="K309" s="2015">
        <f>K385</f>
        <v>0</v>
      </c>
      <c r="L309" s="2015">
        <f t="shared" si="178"/>
        <v>0</v>
      </c>
      <c r="M309" s="2015">
        <f t="shared" si="178"/>
        <v>0</v>
      </c>
      <c r="N309" s="2016">
        <f t="shared" si="178"/>
        <v>0</v>
      </c>
    </row>
    <row r="310" spans="1:14" ht="13.5" customHeight="1">
      <c r="A310" s="1757"/>
      <c r="B310" s="1780" t="s">
        <v>2546</v>
      </c>
      <c r="C310" s="1989"/>
      <c r="D310" s="1989"/>
      <c r="E310" s="2013"/>
      <c r="F310" s="2017">
        <f t="shared" si="175"/>
        <v>0</v>
      </c>
      <c r="G310" s="2513">
        <f t="shared" ref="G310:N311" si="179">G16+G97</f>
        <v>0</v>
      </c>
      <c r="H310" s="2513">
        <f t="shared" si="179"/>
        <v>0</v>
      </c>
      <c r="I310" s="2513">
        <f t="shared" si="179"/>
        <v>0</v>
      </c>
      <c r="J310" s="2513">
        <f>J16+J97</f>
        <v>0</v>
      </c>
      <c r="K310" s="2513">
        <f>K16+K97</f>
        <v>0</v>
      </c>
      <c r="L310" s="2513">
        <f t="shared" si="179"/>
        <v>0</v>
      </c>
      <c r="M310" s="2513">
        <f t="shared" si="179"/>
        <v>0</v>
      </c>
      <c r="N310" s="2514">
        <f t="shared" si="179"/>
        <v>0</v>
      </c>
    </row>
    <row r="311" spans="1:14" ht="13.5" customHeight="1">
      <c r="A311" s="1757"/>
      <c r="C311" s="2022" t="s">
        <v>2963</v>
      </c>
      <c r="D311" s="2023"/>
      <c r="E311" s="2024"/>
      <c r="F311" s="2025">
        <f t="shared" si="175"/>
        <v>0</v>
      </c>
      <c r="G311" s="2515">
        <f t="shared" si="179"/>
        <v>0</v>
      </c>
      <c r="H311" s="2515">
        <f t="shared" si="179"/>
        <v>0</v>
      </c>
      <c r="I311" s="2515">
        <f t="shared" si="179"/>
        <v>0</v>
      </c>
      <c r="J311" s="2515">
        <f>J17+J98</f>
        <v>0</v>
      </c>
      <c r="K311" s="2515">
        <f>K17+K98</f>
        <v>0</v>
      </c>
      <c r="L311" s="2515">
        <f t="shared" si="179"/>
        <v>0</v>
      </c>
      <c r="M311" s="2515">
        <f t="shared" si="179"/>
        <v>0</v>
      </c>
      <c r="N311" s="2516">
        <f t="shared" si="179"/>
        <v>0</v>
      </c>
    </row>
    <row r="312" spans="1:14" ht="13.5" hidden="1" customHeight="1">
      <c r="A312" s="2029"/>
      <c r="B312" s="2030"/>
      <c r="C312" s="2031" t="s">
        <v>2894</v>
      </c>
      <c r="D312" s="2032"/>
      <c r="E312" s="2033"/>
      <c r="F312" s="2034">
        <f t="shared" si="175"/>
        <v>0</v>
      </c>
      <c r="G312" s="2035"/>
      <c r="H312" s="2035"/>
      <c r="I312" s="2035"/>
      <c r="J312" s="2035"/>
      <c r="K312" s="2035"/>
      <c r="L312" s="2036"/>
      <c r="M312" s="2036"/>
      <c r="N312" s="2037"/>
    </row>
    <row r="313" spans="1:14" ht="13.5" hidden="1" customHeight="1">
      <c r="A313" s="2029"/>
      <c r="B313" s="2030"/>
      <c r="C313" s="2031" t="s">
        <v>2895</v>
      </c>
      <c r="D313" s="2032"/>
      <c r="E313" s="2033"/>
      <c r="F313" s="2034">
        <f t="shared" si="175"/>
        <v>0</v>
      </c>
      <c r="G313" s="2035"/>
      <c r="H313" s="2035"/>
      <c r="I313" s="2035"/>
      <c r="J313" s="2035"/>
      <c r="K313" s="2035"/>
      <c r="L313" s="2036"/>
      <c r="M313" s="2036"/>
      <c r="N313" s="2037"/>
    </row>
    <row r="314" spans="1:14" ht="13.5" hidden="1" customHeight="1">
      <c r="A314" s="2029"/>
      <c r="B314" s="2030"/>
      <c r="C314" s="2031" t="s">
        <v>2548</v>
      </c>
      <c r="D314" s="2032"/>
      <c r="E314" s="2033"/>
      <c r="F314" s="2034">
        <f t="shared" si="175"/>
        <v>0</v>
      </c>
      <c r="G314" s="2035"/>
      <c r="H314" s="2035"/>
      <c r="I314" s="2035"/>
      <c r="J314" s="2035"/>
      <c r="K314" s="2035"/>
      <c r="L314" s="2036"/>
      <c r="M314" s="2036"/>
      <c r="N314" s="2037"/>
    </row>
    <row r="315" spans="1:14" ht="13.5" hidden="1" customHeight="1">
      <c r="A315" s="2038"/>
      <c r="B315" s="2039"/>
      <c r="C315" s="2040" t="s">
        <v>2896</v>
      </c>
      <c r="D315" s="2041"/>
      <c r="E315" s="2024"/>
      <c r="F315" s="2042">
        <f t="shared" si="175"/>
        <v>0</v>
      </c>
      <c r="G315" s="2026"/>
      <c r="H315" s="2026"/>
      <c r="I315" s="2026"/>
      <c r="J315" s="2026"/>
      <c r="K315" s="2026"/>
      <c r="L315" s="2027"/>
      <c r="M315" s="2027"/>
      <c r="N315" s="2028"/>
    </row>
    <row r="316" spans="1:14" ht="13.5" hidden="1" customHeight="1">
      <c r="A316" s="2043"/>
      <c r="B316" s="2044"/>
      <c r="C316" s="2045" t="s">
        <v>2622</v>
      </c>
      <c r="D316" s="2046"/>
      <c r="E316" s="2047"/>
      <c r="F316" s="2048">
        <f t="shared" si="175"/>
        <v>0</v>
      </c>
      <c r="G316" s="2049"/>
      <c r="H316" s="2049"/>
      <c r="I316" s="2049"/>
      <c r="J316" s="2049"/>
      <c r="K316" s="2049"/>
      <c r="L316" s="2050"/>
      <c r="M316" s="2050"/>
      <c r="N316" s="2051"/>
    </row>
    <row r="317" spans="1:14" ht="13.5" customHeight="1">
      <c r="A317" s="1982"/>
      <c r="B317" s="2052" t="s">
        <v>2964</v>
      </c>
      <c r="C317" s="2053"/>
      <c r="D317" s="2053"/>
      <c r="E317" s="2054"/>
      <c r="F317" s="2003">
        <f t="shared" si="175"/>
        <v>0</v>
      </c>
      <c r="G317" s="2055">
        <f t="shared" ref="G317:N317" si="180">SUM(G392:G407)</f>
        <v>0</v>
      </c>
      <c r="H317" s="2055">
        <f t="shared" si="180"/>
        <v>0</v>
      </c>
      <c r="I317" s="2055">
        <f t="shared" si="180"/>
        <v>0</v>
      </c>
      <c r="J317" s="2055">
        <f>SUM(J392:J407)</f>
        <v>0</v>
      </c>
      <c r="K317" s="2055">
        <f>SUM(K392:K407)</f>
        <v>0</v>
      </c>
      <c r="L317" s="2055">
        <f t="shared" si="180"/>
        <v>0</v>
      </c>
      <c r="M317" s="2055">
        <f t="shared" si="180"/>
        <v>0</v>
      </c>
      <c r="N317" s="2056">
        <f t="shared" si="180"/>
        <v>0</v>
      </c>
    </row>
    <row r="318" spans="1:14" ht="13.5" customHeight="1">
      <c r="A318" s="1757"/>
      <c r="B318" s="1738"/>
      <c r="C318" s="2057" t="s">
        <v>2897</v>
      </c>
      <c r="D318" s="2058"/>
      <c r="E318" s="2059"/>
      <c r="F318" s="2010">
        <f t="shared" si="175"/>
        <v>0</v>
      </c>
      <c r="G318" s="2060">
        <f t="shared" ref="G318:N318" si="181">G317-G321</f>
        <v>0</v>
      </c>
      <c r="H318" s="2060">
        <f t="shared" si="181"/>
        <v>0</v>
      </c>
      <c r="I318" s="2060">
        <f t="shared" si="181"/>
        <v>0</v>
      </c>
      <c r="J318" s="2060">
        <f>J317-J321</f>
        <v>0</v>
      </c>
      <c r="K318" s="2060">
        <f>K317-K321</f>
        <v>0</v>
      </c>
      <c r="L318" s="2060">
        <f t="shared" si="181"/>
        <v>0</v>
      </c>
      <c r="M318" s="2060">
        <f t="shared" si="181"/>
        <v>0</v>
      </c>
      <c r="N318" s="2061">
        <f t="shared" si="181"/>
        <v>0</v>
      </c>
    </row>
    <row r="319" spans="1:14" ht="13.5" customHeight="1">
      <c r="A319" s="1757"/>
      <c r="B319" s="1738"/>
      <c r="C319" s="2062"/>
      <c r="D319" s="2062"/>
      <c r="E319" s="2063"/>
      <c r="F319" s="2064" t="s">
        <v>2779</v>
      </c>
      <c r="G319" s="2065">
        <f t="shared" ref="G319:N319" si="182">SUM(G396:G407)</f>
        <v>0</v>
      </c>
      <c r="H319" s="2065">
        <f t="shared" si="182"/>
        <v>0</v>
      </c>
      <c r="I319" s="2065">
        <f t="shared" si="182"/>
        <v>0</v>
      </c>
      <c r="J319" s="2065">
        <f>SUM(J396:J407)</f>
        <v>0</v>
      </c>
      <c r="K319" s="2065">
        <f>SUM(K396:K407)</f>
        <v>0</v>
      </c>
      <c r="L319" s="2065">
        <f t="shared" si="182"/>
        <v>0</v>
      </c>
      <c r="M319" s="2065">
        <f t="shared" si="182"/>
        <v>0</v>
      </c>
      <c r="N319" s="2066">
        <f t="shared" si="182"/>
        <v>0</v>
      </c>
    </row>
    <row r="320" spans="1:14" ht="13.5" customHeight="1">
      <c r="A320" s="1757"/>
      <c r="B320" s="1738"/>
      <c r="C320" s="2062"/>
      <c r="D320" s="2062"/>
      <c r="E320" s="2063"/>
      <c r="F320" s="2064" t="s">
        <v>2620</v>
      </c>
      <c r="G320" s="2065">
        <f t="shared" ref="G320:N320" si="183">SUM(G396:G403,G355)</f>
        <v>0</v>
      </c>
      <c r="H320" s="2065">
        <f t="shared" si="183"/>
        <v>0</v>
      </c>
      <c r="I320" s="2065">
        <f t="shared" si="183"/>
        <v>0</v>
      </c>
      <c r="J320" s="2065">
        <f>SUM(J396:J403,J355)</f>
        <v>0</v>
      </c>
      <c r="K320" s="2065">
        <f>SUM(K396:K403,K355)</f>
        <v>0</v>
      </c>
      <c r="L320" s="2065">
        <f t="shared" si="183"/>
        <v>0</v>
      </c>
      <c r="M320" s="2065">
        <f t="shared" si="183"/>
        <v>0</v>
      </c>
      <c r="N320" s="2066">
        <f t="shared" si="183"/>
        <v>0</v>
      </c>
    </row>
    <row r="321" spans="1:14" ht="13.5" customHeight="1">
      <c r="A321" s="2067"/>
      <c r="B321" s="2068"/>
      <c r="C321" s="2069" t="s">
        <v>2780</v>
      </c>
      <c r="D321" s="2069"/>
      <c r="E321" s="2070"/>
      <c r="F321" s="2071">
        <f t="shared" ref="F321:F330" si="184">SUM(G321:N321)</f>
        <v>0</v>
      </c>
      <c r="G321" s="2072">
        <f t="shared" ref="G321:N321" si="185">G311+G350+G351+G352+G355+G354+G395+G396</f>
        <v>0</v>
      </c>
      <c r="H321" s="2072">
        <f t="shared" si="185"/>
        <v>0</v>
      </c>
      <c r="I321" s="2072">
        <f t="shared" si="185"/>
        <v>0</v>
      </c>
      <c r="J321" s="2072">
        <f>J311+J350+J351+J352+J355+J354+J395+J396</f>
        <v>0</v>
      </c>
      <c r="K321" s="2072">
        <f>K311+K350+K351+K352+K355+K354+K395+K396</f>
        <v>0</v>
      </c>
      <c r="L321" s="2072">
        <f t="shared" si="185"/>
        <v>0</v>
      </c>
      <c r="M321" s="2072">
        <f t="shared" si="185"/>
        <v>0</v>
      </c>
      <c r="N321" s="2073">
        <f t="shared" si="185"/>
        <v>0</v>
      </c>
    </row>
    <row r="322" spans="1:14" ht="13.5" customHeight="1">
      <c r="A322" s="1757"/>
      <c r="B322" s="2074" t="s">
        <v>2781</v>
      </c>
      <c r="C322" s="2074"/>
      <c r="D322" s="2074"/>
      <c r="E322" s="2075"/>
      <c r="F322" s="2076">
        <f t="shared" si="184"/>
        <v>0</v>
      </c>
      <c r="G322" s="2077">
        <f t="shared" ref="G322:N322" si="186">G323+G326</f>
        <v>0</v>
      </c>
      <c r="H322" s="2077">
        <f t="shared" si="186"/>
        <v>0</v>
      </c>
      <c r="I322" s="2077">
        <f t="shared" si="186"/>
        <v>0</v>
      </c>
      <c r="J322" s="2077">
        <f>J323+J326</f>
        <v>0</v>
      </c>
      <c r="K322" s="2077">
        <f>K323+K326</f>
        <v>0</v>
      </c>
      <c r="L322" s="2077">
        <f t="shared" si="186"/>
        <v>0</v>
      </c>
      <c r="M322" s="2077">
        <f t="shared" si="186"/>
        <v>0</v>
      </c>
      <c r="N322" s="2078">
        <f t="shared" si="186"/>
        <v>0</v>
      </c>
    </row>
    <row r="323" spans="1:14" ht="13.5" customHeight="1">
      <c r="A323" s="1757"/>
      <c r="B323" s="1738"/>
      <c r="C323" s="2079" t="s">
        <v>2624</v>
      </c>
      <c r="D323" s="2079"/>
      <c r="E323" s="2080"/>
      <c r="F323" s="2010">
        <f t="shared" si="184"/>
        <v>0</v>
      </c>
      <c r="G323" s="2060">
        <f t="shared" ref="G323:N323" si="187">SUM(G324:G325)</f>
        <v>0</v>
      </c>
      <c r="H323" s="2060">
        <f t="shared" si="187"/>
        <v>0</v>
      </c>
      <c r="I323" s="2060">
        <f t="shared" si="187"/>
        <v>0</v>
      </c>
      <c r="J323" s="2060">
        <f>SUM(J324:J325)</f>
        <v>0</v>
      </c>
      <c r="K323" s="2060">
        <f>SUM(K324:K325)</f>
        <v>0</v>
      </c>
      <c r="L323" s="2060">
        <f t="shared" si="187"/>
        <v>0</v>
      </c>
      <c r="M323" s="2060">
        <f t="shared" si="187"/>
        <v>0</v>
      </c>
      <c r="N323" s="2061">
        <f t="shared" si="187"/>
        <v>0</v>
      </c>
    </row>
    <row r="324" spans="1:14" ht="13.5" customHeight="1">
      <c r="A324" s="1757"/>
      <c r="B324" s="1738"/>
      <c r="C324" s="2081" t="s">
        <v>2626</v>
      </c>
      <c r="D324" s="2081"/>
      <c r="E324" s="2063"/>
      <c r="F324" s="2082">
        <f t="shared" si="184"/>
        <v>0</v>
      </c>
      <c r="G324" s="2065">
        <f t="shared" ref="G324:N324" si="188">+G410+G412+G414+G415</f>
        <v>0</v>
      </c>
      <c r="H324" s="2065">
        <f t="shared" si="188"/>
        <v>0</v>
      </c>
      <c r="I324" s="2065">
        <f t="shared" si="188"/>
        <v>0</v>
      </c>
      <c r="J324" s="2065">
        <f>+J410+J412+J414+J415</f>
        <v>0</v>
      </c>
      <c r="K324" s="2065">
        <f>+K410+K412+K414+K415</f>
        <v>0</v>
      </c>
      <c r="L324" s="2065">
        <f t="shared" si="188"/>
        <v>0</v>
      </c>
      <c r="M324" s="2065">
        <f t="shared" si="188"/>
        <v>0</v>
      </c>
      <c r="N324" s="2066">
        <f t="shared" si="188"/>
        <v>0</v>
      </c>
    </row>
    <row r="325" spans="1:14" ht="13.5" customHeight="1">
      <c r="A325" s="1757"/>
      <c r="B325" s="1738"/>
      <c r="C325" s="2081" t="s">
        <v>2631</v>
      </c>
      <c r="D325" s="2081"/>
      <c r="E325" s="2063"/>
      <c r="F325" s="2082">
        <f t="shared" si="184"/>
        <v>0</v>
      </c>
      <c r="G325" s="2065">
        <f t="shared" ref="G325:N325" si="189">SUM(G416:G429)</f>
        <v>0</v>
      </c>
      <c r="H325" s="2065">
        <f t="shared" si="189"/>
        <v>0</v>
      </c>
      <c r="I325" s="2065">
        <f t="shared" si="189"/>
        <v>0</v>
      </c>
      <c r="J325" s="2065">
        <f>SUM(J416:J429)</f>
        <v>0</v>
      </c>
      <c r="K325" s="2065">
        <f>SUM(K416:K429)</f>
        <v>0</v>
      </c>
      <c r="L325" s="2065">
        <f t="shared" si="189"/>
        <v>0</v>
      </c>
      <c r="M325" s="2065">
        <f t="shared" si="189"/>
        <v>0</v>
      </c>
      <c r="N325" s="2066">
        <f t="shared" si="189"/>
        <v>0</v>
      </c>
    </row>
    <row r="326" spans="1:14" ht="13.5" customHeight="1">
      <c r="A326" s="2083"/>
      <c r="B326" s="2084"/>
      <c r="C326" s="2085" t="s">
        <v>2629</v>
      </c>
      <c r="D326" s="2085"/>
      <c r="E326" s="2086"/>
      <c r="F326" s="2087">
        <f t="shared" si="184"/>
        <v>0</v>
      </c>
      <c r="G326" s="2088">
        <f t="shared" ref="G326:N326" si="190">SUM(G327:G329)</f>
        <v>0</v>
      </c>
      <c r="H326" s="2088">
        <f t="shared" si="190"/>
        <v>0</v>
      </c>
      <c r="I326" s="2088">
        <f t="shared" si="190"/>
        <v>0</v>
      </c>
      <c r="J326" s="2088">
        <f>SUM(J327:J329)</f>
        <v>0</v>
      </c>
      <c r="K326" s="2088">
        <f>SUM(K327:K329)</f>
        <v>0</v>
      </c>
      <c r="L326" s="2088">
        <f t="shared" si="190"/>
        <v>0</v>
      </c>
      <c r="M326" s="2088">
        <f t="shared" si="190"/>
        <v>0</v>
      </c>
      <c r="N326" s="2089">
        <f t="shared" si="190"/>
        <v>0</v>
      </c>
    </row>
    <row r="327" spans="1:14" ht="13.5" customHeight="1">
      <c r="A327" s="2083"/>
      <c r="B327" s="2084"/>
      <c r="C327" s="2090" t="s">
        <v>2626</v>
      </c>
      <c r="D327" s="2090"/>
      <c r="E327" s="2086"/>
      <c r="F327" s="2087">
        <f t="shared" si="184"/>
        <v>0</v>
      </c>
      <c r="G327" s="2088">
        <f t="shared" ref="G327:N327" si="191">+G452-G467</f>
        <v>0</v>
      </c>
      <c r="H327" s="2088">
        <f t="shared" si="191"/>
        <v>0</v>
      </c>
      <c r="I327" s="2088">
        <f t="shared" si="191"/>
        <v>0</v>
      </c>
      <c r="J327" s="2088">
        <f>+J452-J467</f>
        <v>0</v>
      </c>
      <c r="K327" s="2088">
        <f>+K452-K467</f>
        <v>0</v>
      </c>
      <c r="L327" s="2088">
        <f t="shared" si="191"/>
        <v>0</v>
      </c>
      <c r="M327" s="2088">
        <f t="shared" si="191"/>
        <v>0</v>
      </c>
      <c r="N327" s="2089">
        <f t="shared" si="191"/>
        <v>0</v>
      </c>
    </row>
    <row r="328" spans="1:14" ht="13.5" customHeight="1">
      <c r="A328" s="2083"/>
      <c r="B328" s="2084"/>
      <c r="C328" s="2090" t="s">
        <v>2630</v>
      </c>
      <c r="D328" s="2090"/>
      <c r="E328" s="2086"/>
      <c r="F328" s="2087">
        <f t="shared" si="184"/>
        <v>0</v>
      </c>
      <c r="G328" s="2088">
        <f t="shared" ref="G328:N328" si="192">+G453+G454</f>
        <v>0</v>
      </c>
      <c r="H328" s="2088">
        <f t="shared" si="192"/>
        <v>0</v>
      </c>
      <c r="I328" s="2088">
        <f t="shared" si="192"/>
        <v>0</v>
      </c>
      <c r="J328" s="2088">
        <f>+J453+J454</f>
        <v>0</v>
      </c>
      <c r="K328" s="2088">
        <f>+K453+K454</f>
        <v>0</v>
      </c>
      <c r="L328" s="2088">
        <f t="shared" si="192"/>
        <v>0</v>
      </c>
      <c r="M328" s="2088">
        <f t="shared" si="192"/>
        <v>0</v>
      </c>
      <c r="N328" s="2089">
        <f t="shared" si="192"/>
        <v>0</v>
      </c>
    </row>
    <row r="329" spans="1:14" ht="13.5" customHeight="1">
      <c r="A329" s="2083"/>
      <c r="B329" s="2091"/>
      <c r="C329" s="2023" t="s">
        <v>2631</v>
      </c>
      <c r="D329" s="2023"/>
      <c r="E329" s="2092"/>
      <c r="F329" s="2093">
        <f t="shared" si="184"/>
        <v>0</v>
      </c>
      <c r="G329" s="2094">
        <f t="shared" ref="G329:N329" si="193">SUM(G455:G459)</f>
        <v>0</v>
      </c>
      <c r="H329" s="2094">
        <f t="shared" si="193"/>
        <v>0</v>
      </c>
      <c r="I329" s="2094">
        <f t="shared" si="193"/>
        <v>0</v>
      </c>
      <c r="J329" s="2094">
        <f>SUM(J455:J459)</f>
        <v>0</v>
      </c>
      <c r="K329" s="2094">
        <f>SUM(K455:K459)</f>
        <v>0</v>
      </c>
      <c r="L329" s="2094">
        <f t="shared" si="193"/>
        <v>0</v>
      </c>
      <c r="M329" s="2094">
        <f t="shared" si="193"/>
        <v>0</v>
      </c>
      <c r="N329" s="2095">
        <f t="shared" si="193"/>
        <v>0</v>
      </c>
    </row>
    <row r="330" spans="1:14" ht="13.5" customHeight="1">
      <c r="A330" s="2096"/>
      <c r="B330" s="2053" t="s">
        <v>2736</v>
      </c>
      <c r="C330" s="2097"/>
      <c r="D330" s="2053"/>
      <c r="E330" s="2098"/>
      <c r="F330" s="2003">
        <f t="shared" si="184"/>
        <v>0</v>
      </c>
      <c r="G330" s="2099">
        <f t="shared" ref="G330:N330" si="194">G317+G322</f>
        <v>0</v>
      </c>
      <c r="H330" s="2099">
        <f t="shared" si="194"/>
        <v>0</v>
      </c>
      <c r="I330" s="2099">
        <f t="shared" si="194"/>
        <v>0</v>
      </c>
      <c r="J330" s="2099">
        <f>J317+J322</f>
        <v>0</v>
      </c>
      <c r="K330" s="2099">
        <f>K317+K322</f>
        <v>0</v>
      </c>
      <c r="L330" s="2099">
        <f t="shared" si="194"/>
        <v>0</v>
      </c>
      <c r="M330" s="2099">
        <f t="shared" si="194"/>
        <v>0</v>
      </c>
      <c r="N330" s="2100">
        <f t="shared" si="194"/>
        <v>0</v>
      </c>
    </row>
    <row r="331" spans="1:14" ht="13.5" customHeight="1">
      <c r="A331" s="2001"/>
      <c r="B331" s="2001"/>
      <c r="C331" s="2101" t="s">
        <v>2843</v>
      </c>
      <c r="D331" s="2101"/>
      <c r="E331" s="2102"/>
      <c r="F331" s="2103"/>
      <c r="G331" s="2104" t="s">
        <v>2635</v>
      </c>
      <c r="H331" s="2105"/>
      <c r="I331" s="2105"/>
      <c r="J331" s="2105"/>
      <c r="K331" s="2105"/>
      <c r="L331" s="2105"/>
      <c r="M331" s="2105"/>
      <c r="N331" s="2105"/>
    </row>
    <row r="332" spans="1:14" ht="13.5" customHeight="1">
      <c r="A332" s="1982"/>
      <c r="B332" s="1983"/>
      <c r="C332" s="1983"/>
      <c r="D332" s="1983"/>
      <c r="E332" s="1985"/>
      <c r="F332" s="1985" t="s">
        <v>2526</v>
      </c>
      <c r="G332" s="1987" t="str">
        <f t="shared" ref="G332:N332" si="195">+G302</f>
        <v>工事１</v>
      </c>
      <c r="H332" s="1987" t="str">
        <f t="shared" si="195"/>
        <v>工事２</v>
      </c>
      <c r="I332" s="1987" t="str">
        <f t="shared" si="195"/>
        <v>工事３</v>
      </c>
      <c r="J332" s="1987" t="str">
        <f>+J302</f>
        <v>工事３</v>
      </c>
      <c r="K332" s="1987" t="str">
        <f>+K302</f>
        <v>工事３</v>
      </c>
      <c r="L332" s="1987" t="str">
        <f t="shared" si="195"/>
        <v>工事４</v>
      </c>
      <c r="M332" s="1987" t="str">
        <f t="shared" si="195"/>
        <v>工事５</v>
      </c>
      <c r="N332" s="1988" t="str">
        <f t="shared" si="195"/>
        <v>工事６</v>
      </c>
    </row>
    <row r="333" spans="1:14" ht="13.5" customHeight="1">
      <c r="A333" s="2107" t="s">
        <v>2965</v>
      </c>
      <c r="B333" s="2108"/>
      <c r="C333" s="2109"/>
      <c r="D333" s="2109"/>
      <c r="E333" s="2110"/>
      <c r="F333" s="2111"/>
      <c r="G333" s="2112"/>
      <c r="H333" s="2112"/>
      <c r="I333" s="2112"/>
      <c r="J333" s="2112"/>
      <c r="K333" s="2112"/>
      <c r="L333" s="2112"/>
      <c r="M333" s="2112"/>
      <c r="N333" s="2113"/>
    </row>
    <row r="334" spans="1:14" ht="13.5" customHeight="1">
      <c r="A334" s="2880"/>
      <c r="B334" s="2883" t="s">
        <v>2920</v>
      </c>
      <c r="C334" s="2058" t="s">
        <v>2551</v>
      </c>
      <c r="D334" s="2058"/>
      <c r="E334" s="2080"/>
      <c r="F334" s="2010">
        <f t="shared" ref="F334:F355" si="196">SUM(G334:N334)</f>
        <v>0</v>
      </c>
      <c r="G334" s="2517">
        <f t="shared" ref="G334:N336" si="197">G22+G121</f>
        <v>0</v>
      </c>
      <c r="H334" s="2517">
        <f t="shared" si="197"/>
        <v>0</v>
      </c>
      <c r="I334" s="2517">
        <f t="shared" si="197"/>
        <v>0</v>
      </c>
      <c r="J334" s="2517">
        <f t="shared" si="197"/>
        <v>0</v>
      </c>
      <c r="K334" s="2517">
        <f t="shared" si="197"/>
        <v>0</v>
      </c>
      <c r="L334" s="2517">
        <f t="shared" si="197"/>
        <v>0</v>
      </c>
      <c r="M334" s="2517">
        <f t="shared" si="197"/>
        <v>0</v>
      </c>
      <c r="N334" s="2518">
        <f t="shared" si="197"/>
        <v>0</v>
      </c>
    </row>
    <row r="335" spans="1:14" ht="13.5" customHeight="1">
      <c r="A335" s="2881"/>
      <c r="B335" s="2884"/>
      <c r="C335" s="2116" t="s">
        <v>2898</v>
      </c>
      <c r="D335" s="2116"/>
      <c r="E335" s="2117"/>
      <c r="F335" s="2118">
        <f t="shared" si="196"/>
        <v>0</v>
      </c>
      <c r="G335" s="2065">
        <f t="shared" si="197"/>
        <v>0</v>
      </c>
      <c r="H335" s="2065">
        <f t="shared" si="197"/>
        <v>0</v>
      </c>
      <c r="I335" s="2065">
        <f t="shared" si="197"/>
        <v>0</v>
      </c>
      <c r="J335" s="2065">
        <f t="shared" si="197"/>
        <v>0</v>
      </c>
      <c r="K335" s="2065">
        <f t="shared" si="197"/>
        <v>0</v>
      </c>
      <c r="L335" s="2065">
        <f t="shared" si="197"/>
        <v>0</v>
      </c>
      <c r="M335" s="2065">
        <f t="shared" si="197"/>
        <v>0</v>
      </c>
      <c r="N335" s="2066">
        <f t="shared" si="197"/>
        <v>0</v>
      </c>
    </row>
    <row r="336" spans="1:14" ht="13.5" customHeight="1">
      <c r="A336" s="2881"/>
      <c r="B336" s="2884"/>
      <c r="C336" s="2121" t="s">
        <v>2899</v>
      </c>
      <c r="D336" s="2121"/>
      <c r="E336" s="2122"/>
      <c r="F336" s="2082">
        <f t="shared" si="196"/>
        <v>0</v>
      </c>
      <c r="G336" s="2065">
        <f t="shared" si="197"/>
        <v>0</v>
      </c>
      <c r="H336" s="2065">
        <f t="shared" si="197"/>
        <v>0</v>
      </c>
      <c r="I336" s="2065">
        <f t="shared" si="197"/>
        <v>0</v>
      </c>
      <c r="J336" s="2065">
        <f t="shared" si="197"/>
        <v>0</v>
      </c>
      <c r="K336" s="2065">
        <f t="shared" si="197"/>
        <v>0</v>
      </c>
      <c r="L336" s="2065">
        <f t="shared" si="197"/>
        <v>0</v>
      </c>
      <c r="M336" s="2065">
        <f t="shared" si="197"/>
        <v>0</v>
      </c>
      <c r="N336" s="2066">
        <f t="shared" si="197"/>
        <v>0</v>
      </c>
    </row>
    <row r="337" spans="1:14" ht="13.5" customHeight="1">
      <c r="A337" s="2881"/>
      <c r="B337" s="2885"/>
      <c r="C337" s="2123" t="s">
        <v>2900</v>
      </c>
      <c r="D337" s="2124"/>
      <c r="E337" s="2063"/>
      <c r="F337" s="2082">
        <f t="shared" si="196"/>
        <v>0</v>
      </c>
      <c r="G337" s="2065">
        <f t="shared" ref="G337:N337" si="198">IF(G304="積上げ",0,G385)</f>
        <v>0</v>
      </c>
      <c r="H337" s="2065">
        <f t="shared" si="198"/>
        <v>0</v>
      </c>
      <c r="I337" s="2065">
        <f t="shared" si="198"/>
        <v>0</v>
      </c>
      <c r="J337" s="2065">
        <f>IF(J304="積上げ",0,J385)</f>
        <v>0</v>
      </c>
      <c r="K337" s="2065">
        <f>IF(K304="積上げ",0,K385)</f>
        <v>0</v>
      </c>
      <c r="L337" s="2065">
        <f t="shared" si="198"/>
        <v>0</v>
      </c>
      <c r="M337" s="2065">
        <f t="shared" si="198"/>
        <v>0</v>
      </c>
      <c r="N337" s="2066">
        <f t="shared" si="198"/>
        <v>0</v>
      </c>
    </row>
    <row r="338" spans="1:14" ht="13.5" customHeight="1">
      <c r="A338" s="2881"/>
      <c r="B338" s="2886" t="s">
        <v>2757</v>
      </c>
      <c r="C338" s="2887" t="s">
        <v>2901</v>
      </c>
      <c r="D338" s="2888"/>
      <c r="E338" s="2889"/>
      <c r="F338" s="2082">
        <f t="shared" si="196"/>
        <v>0</v>
      </c>
      <c r="G338" s="2065">
        <f t="shared" ref="G338:N343" si="199">G26+G125</f>
        <v>0</v>
      </c>
      <c r="H338" s="2065">
        <f t="shared" si="199"/>
        <v>0</v>
      </c>
      <c r="I338" s="2065">
        <f t="shared" si="199"/>
        <v>0</v>
      </c>
      <c r="J338" s="2065">
        <f t="shared" si="199"/>
        <v>0</v>
      </c>
      <c r="K338" s="2065">
        <f t="shared" si="199"/>
        <v>0</v>
      </c>
      <c r="L338" s="2065">
        <f t="shared" si="199"/>
        <v>0</v>
      </c>
      <c r="M338" s="2065">
        <f t="shared" si="199"/>
        <v>0</v>
      </c>
      <c r="N338" s="2066">
        <f t="shared" si="199"/>
        <v>0</v>
      </c>
    </row>
    <row r="339" spans="1:14" ht="13.5" customHeight="1">
      <c r="A339" s="2881"/>
      <c r="B339" s="2884"/>
      <c r="C339" s="2124" t="s">
        <v>2966</v>
      </c>
      <c r="D339" s="2124"/>
      <c r="E339" s="2063"/>
      <c r="F339" s="2064">
        <f t="shared" si="196"/>
        <v>0</v>
      </c>
      <c r="G339" s="2519">
        <f t="shared" si="199"/>
        <v>0</v>
      </c>
      <c r="H339" s="2519">
        <f t="shared" si="199"/>
        <v>0</v>
      </c>
      <c r="I339" s="2519">
        <f t="shared" si="199"/>
        <v>0</v>
      </c>
      <c r="J339" s="2519">
        <f t="shared" si="199"/>
        <v>0</v>
      </c>
      <c r="K339" s="2519">
        <f t="shared" si="199"/>
        <v>0</v>
      </c>
      <c r="L339" s="2519">
        <f t="shared" si="199"/>
        <v>0</v>
      </c>
      <c r="M339" s="2519">
        <f t="shared" si="199"/>
        <v>0</v>
      </c>
      <c r="N339" s="2520">
        <f t="shared" si="199"/>
        <v>0</v>
      </c>
    </row>
    <row r="340" spans="1:14" ht="13.5" customHeight="1">
      <c r="A340" s="2881"/>
      <c r="B340" s="2884"/>
      <c r="C340" s="2132" t="s">
        <v>2903</v>
      </c>
      <c r="D340" s="2124"/>
      <c r="E340" s="2063"/>
      <c r="F340" s="2064">
        <f t="shared" si="196"/>
        <v>0</v>
      </c>
      <c r="G340" s="2519">
        <f t="shared" si="199"/>
        <v>0</v>
      </c>
      <c r="H340" s="2519">
        <f t="shared" si="199"/>
        <v>0</v>
      </c>
      <c r="I340" s="2519">
        <f t="shared" si="199"/>
        <v>0</v>
      </c>
      <c r="J340" s="2519">
        <f t="shared" si="199"/>
        <v>0</v>
      </c>
      <c r="K340" s="2519">
        <f t="shared" si="199"/>
        <v>0</v>
      </c>
      <c r="L340" s="2519">
        <f t="shared" si="199"/>
        <v>0</v>
      </c>
      <c r="M340" s="2519">
        <f t="shared" si="199"/>
        <v>0</v>
      </c>
      <c r="N340" s="2520">
        <f t="shared" si="199"/>
        <v>0</v>
      </c>
    </row>
    <row r="341" spans="1:14" ht="13.5" customHeight="1">
      <c r="A341" s="2881"/>
      <c r="B341" s="2884"/>
      <c r="C341" s="2124" t="s">
        <v>2967</v>
      </c>
      <c r="D341" s="2124"/>
      <c r="E341" s="2063"/>
      <c r="F341" s="2064">
        <f t="shared" si="196"/>
        <v>0</v>
      </c>
      <c r="G341" s="2519">
        <f t="shared" si="199"/>
        <v>0</v>
      </c>
      <c r="H341" s="2519">
        <f t="shared" si="199"/>
        <v>0</v>
      </c>
      <c r="I341" s="2519">
        <f t="shared" si="199"/>
        <v>0</v>
      </c>
      <c r="J341" s="2519">
        <f t="shared" si="199"/>
        <v>0</v>
      </c>
      <c r="K341" s="2519">
        <f t="shared" si="199"/>
        <v>0</v>
      </c>
      <c r="L341" s="2519">
        <f t="shared" si="199"/>
        <v>0</v>
      </c>
      <c r="M341" s="2519">
        <f t="shared" si="199"/>
        <v>0</v>
      </c>
      <c r="N341" s="2520">
        <f t="shared" si="199"/>
        <v>0</v>
      </c>
    </row>
    <row r="342" spans="1:14" ht="13.5" customHeight="1">
      <c r="A342" s="2881"/>
      <c r="B342" s="2884"/>
      <c r="C342" s="2124" t="s">
        <v>2968</v>
      </c>
      <c r="D342" s="2124"/>
      <c r="E342" s="2063"/>
      <c r="F342" s="2064">
        <f t="shared" si="196"/>
        <v>0</v>
      </c>
      <c r="G342" s="2519">
        <f t="shared" si="199"/>
        <v>0</v>
      </c>
      <c r="H342" s="2519">
        <f t="shared" si="199"/>
        <v>0</v>
      </c>
      <c r="I342" s="2519">
        <f t="shared" si="199"/>
        <v>0</v>
      </c>
      <c r="J342" s="2519">
        <f t="shared" si="199"/>
        <v>0</v>
      </c>
      <c r="K342" s="2519">
        <f t="shared" si="199"/>
        <v>0</v>
      </c>
      <c r="L342" s="2519">
        <f t="shared" si="199"/>
        <v>0</v>
      </c>
      <c r="M342" s="2519">
        <f t="shared" si="199"/>
        <v>0</v>
      </c>
      <c r="N342" s="2520">
        <f t="shared" si="199"/>
        <v>0</v>
      </c>
    </row>
    <row r="343" spans="1:14" ht="13.5" customHeight="1">
      <c r="A343" s="2881"/>
      <c r="B343" s="2884"/>
      <c r="C343" s="2133" t="s">
        <v>2969</v>
      </c>
      <c r="D343" s="2124"/>
      <c r="E343" s="2063"/>
      <c r="F343" s="2064">
        <f t="shared" si="196"/>
        <v>0</v>
      </c>
      <c r="G343" s="2519">
        <f t="shared" si="199"/>
        <v>0</v>
      </c>
      <c r="H343" s="2519">
        <f t="shared" si="199"/>
        <v>0</v>
      </c>
      <c r="I343" s="2519">
        <f t="shared" si="199"/>
        <v>0</v>
      </c>
      <c r="J343" s="2519">
        <f t="shared" si="199"/>
        <v>0</v>
      </c>
      <c r="K343" s="2519">
        <f t="shared" si="199"/>
        <v>0</v>
      </c>
      <c r="L343" s="2519">
        <f t="shared" si="199"/>
        <v>0</v>
      </c>
      <c r="M343" s="2519">
        <f t="shared" si="199"/>
        <v>0</v>
      </c>
      <c r="N343" s="2520">
        <f t="shared" si="199"/>
        <v>0</v>
      </c>
    </row>
    <row r="344" spans="1:14" ht="13.5" customHeight="1">
      <c r="A344" s="2881"/>
      <c r="B344" s="2884"/>
      <c r="C344" s="2124"/>
      <c r="D344" s="2124"/>
      <c r="E344" s="2063"/>
      <c r="F344" s="2064">
        <f t="shared" si="196"/>
        <v>0</v>
      </c>
      <c r="G344" s="1902"/>
      <c r="H344" s="1902"/>
      <c r="I344" s="1902"/>
      <c r="J344" s="1902"/>
      <c r="K344" s="1902"/>
      <c r="L344" s="2134"/>
      <c r="M344" s="2134"/>
      <c r="N344" s="2135"/>
    </row>
    <row r="345" spans="1:14" ht="13.5" customHeight="1">
      <c r="A345" s="2881"/>
      <c r="B345" s="2885"/>
      <c r="C345" s="2136"/>
      <c r="D345" s="2137"/>
      <c r="E345" s="2138"/>
      <c r="F345" s="2064">
        <f t="shared" si="196"/>
        <v>0</v>
      </c>
      <c r="G345" s="1902"/>
      <c r="H345" s="1902"/>
      <c r="I345" s="1902"/>
      <c r="J345" s="1902"/>
      <c r="K345" s="1902"/>
      <c r="L345" s="2134"/>
      <c r="M345" s="2134"/>
      <c r="N345" s="2135"/>
    </row>
    <row r="346" spans="1:14" ht="13.5" customHeight="1">
      <c r="A346" s="2881"/>
      <c r="B346" s="2886" t="s">
        <v>489</v>
      </c>
      <c r="C346" s="2139" t="s">
        <v>2970</v>
      </c>
      <c r="D346" s="2124"/>
      <c r="E346" s="2063"/>
      <c r="F346" s="2064">
        <f t="shared" si="196"/>
        <v>0</v>
      </c>
      <c r="G346" s="2521">
        <f t="shared" ref="G346:N355" si="200">G34+G133</f>
        <v>0</v>
      </c>
      <c r="H346" s="2521">
        <f t="shared" si="200"/>
        <v>0</v>
      </c>
      <c r="I346" s="2521">
        <f t="shared" si="200"/>
        <v>0</v>
      </c>
      <c r="J346" s="2521">
        <f t="shared" si="200"/>
        <v>0</v>
      </c>
      <c r="K346" s="2521">
        <f t="shared" si="200"/>
        <v>0</v>
      </c>
      <c r="L346" s="2521">
        <f t="shared" si="200"/>
        <v>0</v>
      </c>
      <c r="M346" s="2521">
        <f t="shared" si="200"/>
        <v>0</v>
      </c>
      <c r="N346" s="2522">
        <f t="shared" si="200"/>
        <v>0</v>
      </c>
    </row>
    <row r="347" spans="1:14" ht="13.5" customHeight="1">
      <c r="A347" s="2881"/>
      <c r="B347" s="2884"/>
      <c r="C347" s="2140" t="s">
        <v>2908</v>
      </c>
      <c r="D347" s="2124"/>
      <c r="E347" s="2063"/>
      <c r="F347" s="2064">
        <f t="shared" si="196"/>
        <v>0</v>
      </c>
      <c r="G347" s="2521">
        <f t="shared" si="200"/>
        <v>0</v>
      </c>
      <c r="H347" s="2521">
        <f t="shared" si="200"/>
        <v>0</v>
      </c>
      <c r="I347" s="2521">
        <f t="shared" si="200"/>
        <v>0</v>
      </c>
      <c r="J347" s="2521">
        <f t="shared" si="200"/>
        <v>0</v>
      </c>
      <c r="K347" s="2521">
        <f t="shared" si="200"/>
        <v>0</v>
      </c>
      <c r="L347" s="2521">
        <f t="shared" si="200"/>
        <v>0</v>
      </c>
      <c r="M347" s="2521">
        <f t="shared" si="200"/>
        <v>0</v>
      </c>
      <c r="N347" s="2522">
        <f t="shared" si="200"/>
        <v>0</v>
      </c>
    </row>
    <row r="348" spans="1:14" ht="13.5" customHeight="1">
      <c r="A348" s="2881"/>
      <c r="B348" s="2885"/>
      <c r="C348" s="2140" t="s">
        <v>2971</v>
      </c>
      <c r="D348" s="2124"/>
      <c r="E348" s="2063"/>
      <c r="F348" s="2064">
        <f t="shared" si="196"/>
        <v>0</v>
      </c>
      <c r="G348" s="2521">
        <f t="shared" si="200"/>
        <v>0</v>
      </c>
      <c r="H348" s="2521">
        <f t="shared" si="200"/>
        <v>0</v>
      </c>
      <c r="I348" s="2521">
        <f t="shared" si="200"/>
        <v>0</v>
      </c>
      <c r="J348" s="2521">
        <f t="shared" si="200"/>
        <v>0</v>
      </c>
      <c r="K348" s="2521">
        <f t="shared" si="200"/>
        <v>0</v>
      </c>
      <c r="L348" s="2521">
        <f t="shared" si="200"/>
        <v>0</v>
      </c>
      <c r="M348" s="2521">
        <f t="shared" si="200"/>
        <v>0</v>
      </c>
      <c r="N348" s="2522">
        <f t="shared" si="200"/>
        <v>0</v>
      </c>
    </row>
    <row r="349" spans="1:14" ht="13.5" customHeight="1">
      <c r="A349" s="2881"/>
      <c r="B349" s="2890" t="s">
        <v>2565</v>
      </c>
      <c r="C349" s="2141" t="s">
        <v>2910</v>
      </c>
      <c r="D349" s="2124"/>
      <c r="E349" s="2063"/>
      <c r="F349" s="2064">
        <f t="shared" si="196"/>
        <v>0</v>
      </c>
      <c r="G349" s="2521">
        <f t="shared" si="200"/>
        <v>0</v>
      </c>
      <c r="H349" s="2521">
        <f t="shared" si="200"/>
        <v>0</v>
      </c>
      <c r="I349" s="2521">
        <f t="shared" si="200"/>
        <v>0</v>
      </c>
      <c r="J349" s="2521">
        <f t="shared" si="200"/>
        <v>0</v>
      </c>
      <c r="K349" s="2521">
        <f t="shared" si="200"/>
        <v>0</v>
      </c>
      <c r="L349" s="2521">
        <f t="shared" si="200"/>
        <v>0</v>
      </c>
      <c r="M349" s="2521">
        <f t="shared" si="200"/>
        <v>0</v>
      </c>
      <c r="N349" s="2522">
        <f t="shared" si="200"/>
        <v>0</v>
      </c>
    </row>
    <row r="350" spans="1:14" ht="13.5" customHeight="1">
      <c r="A350" s="2881"/>
      <c r="B350" s="2890"/>
      <c r="C350" s="2142" t="s">
        <v>2911</v>
      </c>
      <c r="D350" s="2124"/>
      <c r="E350" s="2063"/>
      <c r="F350" s="2064">
        <f t="shared" si="196"/>
        <v>0</v>
      </c>
      <c r="G350" s="2521">
        <f t="shared" si="200"/>
        <v>0</v>
      </c>
      <c r="H350" s="2521">
        <f t="shared" si="200"/>
        <v>0</v>
      </c>
      <c r="I350" s="2521">
        <f t="shared" si="200"/>
        <v>0</v>
      </c>
      <c r="J350" s="2521">
        <f t="shared" si="200"/>
        <v>0</v>
      </c>
      <c r="K350" s="2521">
        <f t="shared" si="200"/>
        <v>0</v>
      </c>
      <c r="L350" s="2521">
        <f t="shared" si="200"/>
        <v>0</v>
      </c>
      <c r="M350" s="2521">
        <f t="shared" si="200"/>
        <v>0</v>
      </c>
      <c r="N350" s="2522">
        <f t="shared" si="200"/>
        <v>0</v>
      </c>
    </row>
    <row r="351" spans="1:14" ht="13.5" customHeight="1">
      <c r="A351" s="2881"/>
      <c r="B351" s="2890"/>
      <c r="C351" s="2139" t="s">
        <v>2972</v>
      </c>
      <c r="D351" s="2124"/>
      <c r="E351" s="2063"/>
      <c r="F351" s="2064">
        <f t="shared" si="196"/>
        <v>0</v>
      </c>
      <c r="G351" s="2521">
        <f t="shared" si="200"/>
        <v>0</v>
      </c>
      <c r="H351" s="2521">
        <f t="shared" si="200"/>
        <v>0</v>
      </c>
      <c r="I351" s="2521">
        <f t="shared" si="200"/>
        <v>0</v>
      </c>
      <c r="J351" s="2521">
        <f t="shared" si="200"/>
        <v>0</v>
      </c>
      <c r="K351" s="2521">
        <f t="shared" si="200"/>
        <v>0</v>
      </c>
      <c r="L351" s="2521">
        <f t="shared" si="200"/>
        <v>0</v>
      </c>
      <c r="M351" s="2521">
        <f t="shared" si="200"/>
        <v>0</v>
      </c>
      <c r="N351" s="2522">
        <f t="shared" si="200"/>
        <v>0</v>
      </c>
    </row>
    <row r="352" spans="1:14" ht="13.5" customHeight="1">
      <c r="A352" s="2881"/>
      <c r="B352" s="2890"/>
      <c r="C352" s="2139" t="s">
        <v>2913</v>
      </c>
      <c r="D352" s="2124"/>
      <c r="E352" s="2063"/>
      <c r="F352" s="2064">
        <f t="shared" si="196"/>
        <v>0</v>
      </c>
      <c r="G352" s="2521">
        <f t="shared" si="200"/>
        <v>0</v>
      </c>
      <c r="H352" s="2521">
        <f t="shared" si="200"/>
        <v>0</v>
      </c>
      <c r="I352" s="2521">
        <f t="shared" si="200"/>
        <v>0</v>
      </c>
      <c r="J352" s="2521">
        <f t="shared" si="200"/>
        <v>0</v>
      </c>
      <c r="K352" s="2521">
        <f t="shared" si="200"/>
        <v>0</v>
      </c>
      <c r="L352" s="2521">
        <f t="shared" si="200"/>
        <v>0</v>
      </c>
      <c r="M352" s="2521">
        <f t="shared" si="200"/>
        <v>0</v>
      </c>
      <c r="N352" s="2522">
        <f t="shared" si="200"/>
        <v>0</v>
      </c>
    </row>
    <row r="353" spans="1:16" ht="13.5" customHeight="1">
      <c r="A353" s="2881"/>
      <c r="B353" s="2886"/>
      <c r="C353" s="2145" t="s">
        <v>2914</v>
      </c>
      <c r="D353" s="2145"/>
      <c r="E353" s="2146"/>
      <c r="F353" s="2034">
        <f t="shared" si="196"/>
        <v>0</v>
      </c>
      <c r="G353" s="2521">
        <f t="shared" si="200"/>
        <v>0</v>
      </c>
      <c r="H353" s="2521">
        <f t="shared" si="200"/>
        <v>0</v>
      </c>
      <c r="I353" s="2521">
        <f t="shared" si="200"/>
        <v>0</v>
      </c>
      <c r="J353" s="2521">
        <f t="shared" si="200"/>
        <v>0</v>
      </c>
      <c r="K353" s="2521">
        <f t="shared" si="200"/>
        <v>0</v>
      </c>
      <c r="L353" s="2521">
        <f t="shared" si="200"/>
        <v>0</v>
      </c>
      <c r="M353" s="2521">
        <f t="shared" si="200"/>
        <v>0</v>
      </c>
      <c r="N353" s="2522">
        <f t="shared" si="200"/>
        <v>0</v>
      </c>
    </row>
    <row r="354" spans="1:16" ht="13.5" customHeight="1">
      <c r="A354" s="2881"/>
      <c r="B354" s="2886"/>
      <c r="C354" s="2149" t="s">
        <v>2915</v>
      </c>
      <c r="D354" s="2145"/>
      <c r="E354" s="2146"/>
      <c r="F354" s="2034">
        <f t="shared" si="196"/>
        <v>0</v>
      </c>
      <c r="G354" s="2521">
        <f t="shared" si="200"/>
        <v>0</v>
      </c>
      <c r="H354" s="2521">
        <f t="shared" si="200"/>
        <v>0</v>
      </c>
      <c r="I354" s="2521">
        <f t="shared" si="200"/>
        <v>0</v>
      </c>
      <c r="J354" s="2521">
        <f t="shared" si="200"/>
        <v>0</v>
      </c>
      <c r="K354" s="2521">
        <f t="shared" si="200"/>
        <v>0</v>
      </c>
      <c r="L354" s="2521">
        <f t="shared" si="200"/>
        <v>0</v>
      </c>
      <c r="M354" s="2521">
        <f t="shared" si="200"/>
        <v>0</v>
      </c>
      <c r="N354" s="2522">
        <f t="shared" si="200"/>
        <v>0</v>
      </c>
    </row>
    <row r="355" spans="1:16" ht="15" customHeight="1">
      <c r="A355" s="2882"/>
      <c r="B355" s="2891"/>
      <c r="C355" s="2150" t="s">
        <v>2916</v>
      </c>
      <c r="D355" s="2151"/>
      <c r="E355" s="2070"/>
      <c r="F355" s="2152">
        <f t="shared" si="196"/>
        <v>0</v>
      </c>
      <c r="G355" s="2523">
        <f t="shared" si="200"/>
        <v>0</v>
      </c>
      <c r="H355" s="2523">
        <f t="shared" si="200"/>
        <v>0</v>
      </c>
      <c r="I355" s="2523">
        <f t="shared" si="200"/>
        <v>0</v>
      </c>
      <c r="J355" s="2523">
        <f t="shared" si="200"/>
        <v>0</v>
      </c>
      <c r="K355" s="2523">
        <f t="shared" si="200"/>
        <v>0</v>
      </c>
      <c r="L355" s="2523">
        <f t="shared" si="200"/>
        <v>0</v>
      </c>
      <c r="M355" s="2523">
        <f t="shared" si="200"/>
        <v>0</v>
      </c>
      <c r="N355" s="2524">
        <f t="shared" si="200"/>
        <v>0</v>
      </c>
    </row>
    <row r="356" spans="1:16" s="2160" customFormat="1" ht="14.25" customHeight="1">
      <c r="A356" s="2155"/>
      <c r="B356" s="2164"/>
      <c r="C356" s="2525" t="s">
        <v>2638</v>
      </c>
      <c r="D356" s="2525"/>
      <c r="E356" s="2526"/>
      <c r="F356" s="2526"/>
      <c r="G356" s="2527"/>
      <c r="H356" s="2527"/>
      <c r="I356" s="2527"/>
      <c r="J356" s="2527"/>
      <c r="K356" s="2527"/>
      <c r="L356" s="2527"/>
      <c r="M356" s="2527"/>
      <c r="N356" s="1709" t="s">
        <v>2973</v>
      </c>
      <c r="O356" s="2158"/>
      <c r="P356" s="2159"/>
    </row>
    <row r="357" spans="1:16" s="2160" customFormat="1" ht="14.25" customHeight="1">
      <c r="A357" s="2155"/>
      <c r="B357" s="2528"/>
      <c r="C357" s="2529" t="s">
        <v>2640</v>
      </c>
      <c r="D357" s="2529"/>
      <c r="E357" s="2530"/>
      <c r="F357" s="2530"/>
      <c r="G357" s="2162"/>
      <c r="H357" s="2162"/>
      <c r="I357" s="2162"/>
      <c r="J357" s="2162"/>
      <c r="K357" s="2162"/>
      <c r="L357" s="2162"/>
      <c r="M357" s="2162"/>
      <c r="N357" s="2162"/>
      <c r="O357" s="2158"/>
      <c r="P357" s="2159"/>
    </row>
    <row r="358" spans="1:16" s="2160" customFormat="1" ht="14.25" customHeight="1">
      <c r="A358" s="2163"/>
      <c r="B358" s="2164"/>
      <c r="C358" s="2164"/>
      <c r="D358" s="2876" t="s">
        <v>2641</v>
      </c>
      <c r="E358" s="2876" t="s">
        <v>2918</v>
      </c>
      <c r="F358" s="2165" t="s">
        <v>2526</v>
      </c>
      <c r="G358" s="2166" t="str">
        <f t="shared" ref="G358:N358" si="201">G302</f>
        <v>工事１</v>
      </c>
      <c r="H358" s="2166" t="str">
        <f t="shared" si="201"/>
        <v>工事２</v>
      </c>
      <c r="I358" s="2166" t="str">
        <f t="shared" si="201"/>
        <v>工事３</v>
      </c>
      <c r="J358" s="2166" t="str">
        <f>J302</f>
        <v>工事３</v>
      </c>
      <c r="K358" s="2166" t="str">
        <f>K302</f>
        <v>工事３</v>
      </c>
      <c r="L358" s="2166" t="str">
        <f t="shared" si="201"/>
        <v>工事４</v>
      </c>
      <c r="M358" s="2166" t="str">
        <f t="shared" si="201"/>
        <v>工事５</v>
      </c>
      <c r="N358" s="2167" t="str">
        <f t="shared" si="201"/>
        <v>工事６</v>
      </c>
      <c r="O358" s="2159"/>
      <c r="P358" s="2159"/>
    </row>
    <row r="359" spans="1:16" s="2160" customFormat="1" ht="14.25" customHeight="1">
      <c r="A359" s="2867" t="s">
        <v>2643</v>
      </c>
      <c r="B359" s="2878"/>
      <c r="C359" s="2878"/>
      <c r="D359" s="2877"/>
      <c r="E359" s="2877"/>
      <c r="F359" s="2168"/>
      <c r="G359" s="2169"/>
      <c r="H359" s="2169"/>
      <c r="I359" s="2169"/>
      <c r="J359" s="2169"/>
      <c r="K359" s="2169"/>
      <c r="L359" s="2169"/>
      <c r="M359" s="2169"/>
      <c r="N359" s="2170"/>
      <c r="O359" s="2171"/>
      <c r="P359" s="2171"/>
    </row>
    <row r="360" spans="1:16" s="2160" customFormat="1" ht="14.25" customHeight="1">
      <c r="A360" s="2868"/>
      <c r="B360" s="2172" t="s">
        <v>2919</v>
      </c>
      <c r="C360" s="2173"/>
      <c r="D360" s="2173"/>
      <c r="E360" s="2174"/>
      <c r="F360" s="2175">
        <f>SUM(G360:N360)</f>
        <v>0</v>
      </c>
      <c r="G360" s="2176">
        <f t="shared" ref="G360:N360" si="202">SUM(G361:G367)+G351</f>
        <v>0</v>
      </c>
      <c r="H360" s="2176">
        <f t="shared" si="202"/>
        <v>0</v>
      </c>
      <c r="I360" s="2176">
        <f t="shared" si="202"/>
        <v>0</v>
      </c>
      <c r="J360" s="2176">
        <f>SUM(J361:J367)+J351</f>
        <v>0</v>
      </c>
      <c r="K360" s="2176">
        <f>SUM(K361:K367)+K351</f>
        <v>0</v>
      </c>
      <c r="L360" s="2176">
        <f t="shared" si="202"/>
        <v>0</v>
      </c>
      <c r="M360" s="2176">
        <f t="shared" si="202"/>
        <v>0</v>
      </c>
      <c r="N360" s="2177">
        <f t="shared" si="202"/>
        <v>0</v>
      </c>
      <c r="O360" s="2178"/>
      <c r="P360" s="2178"/>
    </row>
    <row r="361" spans="1:16" s="2160" customFormat="1" ht="14.25" customHeight="1">
      <c r="A361" s="2869"/>
      <c r="B361" s="2875" t="s">
        <v>2920</v>
      </c>
      <c r="C361" s="2179" t="s">
        <v>2551</v>
      </c>
      <c r="D361" s="2180">
        <v>1</v>
      </c>
      <c r="E361" s="2181" t="s">
        <v>2921</v>
      </c>
      <c r="F361" s="2182">
        <f>SUM(G361:N361)</f>
        <v>0</v>
      </c>
      <c r="G361" s="2183">
        <f t="shared" ref="G361:N362" si="203">IF(G$91="積上げ",0,G334)</f>
        <v>0</v>
      </c>
      <c r="H361" s="2183">
        <f t="shared" si="203"/>
        <v>0</v>
      </c>
      <c r="I361" s="2183">
        <f t="shared" si="203"/>
        <v>0</v>
      </c>
      <c r="J361" s="2183">
        <f>IF(J$91="積上げ",0,J334)</f>
        <v>0</v>
      </c>
      <c r="K361" s="2183">
        <f>IF(K$91="積上げ",0,K334)</f>
        <v>0</v>
      </c>
      <c r="L361" s="2183">
        <f t="shared" si="203"/>
        <v>0</v>
      </c>
      <c r="M361" s="2183">
        <f t="shared" si="203"/>
        <v>0</v>
      </c>
      <c r="N361" s="2184">
        <f t="shared" si="203"/>
        <v>0</v>
      </c>
      <c r="O361" s="2171"/>
      <c r="P361" s="2171"/>
    </row>
    <row r="362" spans="1:16" s="2160" customFormat="1" ht="14.25" customHeight="1">
      <c r="A362" s="2869"/>
      <c r="B362" s="2875"/>
      <c r="C362" s="2179" t="s">
        <v>2552</v>
      </c>
      <c r="D362" s="2180">
        <v>1</v>
      </c>
      <c r="E362" s="2181" t="s">
        <v>2921</v>
      </c>
      <c r="F362" s="2182">
        <f>SUM(G362:N362)</f>
        <v>0</v>
      </c>
      <c r="G362" s="2183">
        <f t="shared" si="203"/>
        <v>0</v>
      </c>
      <c r="H362" s="2183">
        <f t="shared" si="203"/>
        <v>0</v>
      </c>
      <c r="I362" s="2183">
        <f t="shared" si="203"/>
        <v>0</v>
      </c>
      <c r="J362" s="2183">
        <f>IF(J$91="積上げ",0,J335)</f>
        <v>0</v>
      </c>
      <c r="K362" s="2183">
        <f>IF(K$91="積上げ",0,K335)</f>
        <v>0</v>
      </c>
      <c r="L362" s="2183">
        <f t="shared" si="203"/>
        <v>0</v>
      </c>
      <c r="M362" s="2183">
        <f t="shared" si="203"/>
        <v>0</v>
      </c>
      <c r="N362" s="2184">
        <f t="shared" si="203"/>
        <v>0</v>
      </c>
      <c r="O362" s="2171"/>
      <c r="P362" s="2171"/>
    </row>
    <row r="363" spans="1:16" s="2160" customFormat="1" ht="14.25" customHeight="1">
      <c r="A363" s="2869"/>
      <c r="B363" s="2874" t="s">
        <v>2757</v>
      </c>
      <c r="C363" s="2124" t="s">
        <v>2922</v>
      </c>
      <c r="D363" s="2180">
        <v>1</v>
      </c>
      <c r="E363" s="2185">
        <v>0.2</v>
      </c>
      <c r="F363" s="2183">
        <f>INT(F339/(1+$E363))</f>
        <v>0</v>
      </c>
      <c r="G363" s="2183">
        <f t="shared" ref="G363:N367" si="204">IF(G$91="積上げ",0,G397)</f>
        <v>0</v>
      </c>
      <c r="H363" s="2183">
        <f t="shared" si="204"/>
        <v>0</v>
      </c>
      <c r="I363" s="2183">
        <f t="shared" si="204"/>
        <v>0</v>
      </c>
      <c r="J363" s="2183">
        <f t="shared" si="204"/>
        <v>0</v>
      </c>
      <c r="K363" s="2183">
        <f t="shared" si="204"/>
        <v>0</v>
      </c>
      <c r="L363" s="2183">
        <f t="shared" si="204"/>
        <v>0</v>
      </c>
      <c r="M363" s="2183">
        <f t="shared" si="204"/>
        <v>0</v>
      </c>
      <c r="N363" s="2184">
        <f t="shared" si="204"/>
        <v>0</v>
      </c>
      <c r="O363" s="2171"/>
      <c r="P363" s="2171"/>
    </row>
    <row r="364" spans="1:16" s="2160" customFormat="1" ht="14.25" customHeight="1">
      <c r="A364" s="2869"/>
      <c r="B364" s="2872"/>
      <c r="C364" s="2132" t="s">
        <v>2923</v>
      </c>
      <c r="D364" s="2180">
        <v>1</v>
      </c>
      <c r="E364" s="2186">
        <f>E151</f>
        <v>0.25</v>
      </c>
      <c r="F364" s="2183">
        <f>INT(F340/(1+$E364))</f>
        <v>0</v>
      </c>
      <c r="G364" s="2183">
        <f t="shared" si="204"/>
        <v>0</v>
      </c>
      <c r="H364" s="2183">
        <f t="shared" si="204"/>
        <v>0</v>
      </c>
      <c r="I364" s="2183">
        <f t="shared" si="204"/>
        <v>0</v>
      </c>
      <c r="J364" s="2183">
        <f t="shared" si="204"/>
        <v>0</v>
      </c>
      <c r="K364" s="2183">
        <f t="shared" si="204"/>
        <v>0</v>
      </c>
      <c r="L364" s="2183">
        <f t="shared" si="204"/>
        <v>0</v>
      </c>
      <c r="M364" s="2183">
        <f t="shared" si="204"/>
        <v>0</v>
      </c>
      <c r="N364" s="2184">
        <f t="shared" si="204"/>
        <v>0</v>
      </c>
      <c r="O364" s="2171"/>
      <c r="P364" s="2171"/>
    </row>
    <row r="365" spans="1:16" s="2160" customFormat="1" ht="14.25" customHeight="1">
      <c r="A365" s="2869"/>
      <c r="B365" s="2872"/>
      <c r="C365" s="2124" t="s">
        <v>2974</v>
      </c>
      <c r="D365" s="2180">
        <v>1</v>
      </c>
      <c r="E365" s="2185">
        <v>0.2</v>
      </c>
      <c r="F365" s="2183">
        <f>INT(F341/(1+$E365))</f>
        <v>0</v>
      </c>
      <c r="G365" s="2183">
        <f t="shared" si="204"/>
        <v>0</v>
      </c>
      <c r="H365" s="2183">
        <f t="shared" si="204"/>
        <v>0</v>
      </c>
      <c r="I365" s="2183">
        <f t="shared" si="204"/>
        <v>0</v>
      </c>
      <c r="J365" s="2183">
        <f t="shared" si="204"/>
        <v>0</v>
      </c>
      <c r="K365" s="2183">
        <f t="shared" si="204"/>
        <v>0</v>
      </c>
      <c r="L365" s="2183">
        <f t="shared" si="204"/>
        <v>0</v>
      </c>
      <c r="M365" s="2183">
        <f t="shared" si="204"/>
        <v>0</v>
      </c>
      <c r="N365" s="2184">
        <f t="shared" si="204"/>
        <v>0</v>
      </c>
      <c r="O365" s="2171"/>
      <c r="P365" s="2171"/>
    </row>
    <row r="366" spans="1:16" s="2160" customFormat="1" ht="14.25" customHeight="1">
      <c r="A366" s="2869"/>
      <c r="B366" s="2872"/>
      <c r="C366" s="2124" t="s">
        <v>2925</v>
      </c>
      <c r="D366" s="2180">
        <v>1</v>
      </c>
      <c r="E366" s="2185">
        <v>0.2</v>
      </c>
      <c r="F366" s="2183">
        <f>INT(F342/(1+$E366))</f>
        <v>0</v>
      </c>
      <c r="G366" s="2183">
        <f t="shared" si="204"/>
        <v>0</v>
      </c>
      <c r="H366" s="2183">
        <f t="shared" si="204"/>
        <v>0</v>
      </c>
      <c r="I366" s="2183">
        <f t="shared" si="204"/>
        <v>0</v>
      </c>
      <c r="J366" s="2183">
        <f t="shared" si="204"/>
        <v>0</v>
      </c>
      <c r="K366" s="2183">
        <f t="shared" si="204"/>
        <v>0</v>
      </c>
      <c r="L366" s="2183">
        <f t="shared" si="204"/>
        <v>0</v>
      </c>
      <c r="M366" s="2183">
        <f t="shared" si="204"/>
        <v>0</v>
      </c>
      <c r="N366" s="2184">
        <f t="shared" si="204"/>
        <v>0</v>
      </c>
      <c r="O366" s="2171"/>
      <c r="P366" s="2171"/>
    </row>
    <row r="367" spans="1:16" s="2160" customFormat="1" ht="14.25" customHeight="1">
      <c r="A367" s="2869"/>
      <c r="B367" s="2851"/>
      <c r="C367" s="2133" t="s">
        <v>2906</v>
      </c>
      <c r="D367" s="2187">
        <v>1</v>
      </c>
      <c r="E367" s="2185">
        <v>0.2</v>
      </c>
      <c r="F367" s="2183">
        <f>INT(F343/(1+$E367))</f>
        <v>0</v>
      </c>
      <c r="G367" s="2183">
        <f t="shared" si="204"/>
        <v>0</v>
      </c>
      <c r="H367" s="2183">
        <f t="shared" si="204"/>
        <v>0</v>
      </c>
      <c r="I367" s="2183">
        <f t="shared" si="204"/>
        <v>0</v>
      </c>
      <c r="J367" s="2183">
        <f t="shared" si="204"/>
        <v>0</v>
      </c>
      <c r="K367" s="2183">
        <f t="shared" si="204"/>
        <v>0</v>
      </c>
      <c r="L367" s="2183">
        <f t="shared" si="204"/>
        <v>0</v>
      </c>
      <c r="M367" s="2183">
        <f t="shared" si="204"/>
        <v>0</v>
      </c>
      <c r="N367" s="2184">
        <f t="shared" si="204"/>
        <v>0</v>
      </c>
      <c r="O367" s="2171"/>
      <c r="P367" s="2171"/>
    </row>
    <row r="368" spans="1:16" s="2160" customFormat="1" ht="14.25" customHeight="1">
      <c r="A368" s="2869"/>
      <c r="B368" s="2875"/>
      <c r="C368" s="2188" t="s">
        <v>2563</v>
      </c>
      <c r="D368" s="2180">
        <v>1</v>
      </c>
      <c r="E368" s="2189"/>
      <c r="F368" s="2183"/>
      <c r="G368" s="2183"/>
      <c r="H368" s="2183"/>
      <c r="I368" s="2190"/>
      <c r="J368" s="2190"/>
      <c r="K368" s="2190"/>
      <c r="L368" s="2190"/>
      <c r="M368" s="2190"/>
      <c r="N368" s="2191"/>
      <c r="O368" s="2171"/>
      <c r="P368" s="2171"/>
    </row>
    <row r="369" spans="1:16" s="2160" customFormat="1" ht="14.25" customHeight="1">
      <c r="A369" s="2869"/>
      <c r="B369" s="2875"/>
      <c r="C369" s="2188" t="s">
        <v>2928</v>
      </c>
      <c r="D369" s="2180">
        <v>1</v>
      </c>
      <c r="E369" s="2189"/>
      <c r="F369" s="2183"/>
      <c r="G369" s="2183"/>
      <c r="H369" s="2183"/>
      <c r="I369" s="2190"/>
      <c r="J369" s="2190"/>
      <c r="K369" s="2190"/>
      <c r="L369" s="2190"/>
      <c r="M369" s="2190"/>
      <c r="N369" s="2191"/>
      <c r="O369" s="2171"/>
      <c r="P369" s="2171"/>
    </row>
    <row r="370" spans="1:16" s="2160" customFormat="1" ht="14.25" customHeight="1">
      <c r="A370" s="2879"/>
      <c r="B370" s="2192" t="s">
        <v>2652</v>
      </c>
      <c r="C370" s="2193" t="s">
        <v>2929</v>
      </c>
      <c r="D370" s="2194">
        <v>1</v>
      </c>
      <c r="E370" s="2195">
        <v>0</v>
      </c>
      <c r="F370" s="2196">
        <f>SUM(G370:N370)</f>
        <v>0</v>
      </c>
      <c r="G370" s="2197">
        <f t="shared" ref="G370:N370" si="205">IF(G304="積上げ",0,SUM(G349:G351)+G353)</f>
        <v>0</v>
      </c>
      <c r="H370" s="2197">
        <f t="shared" si="205"/>
        <v>0</v>
      </c>
      <c r="I370" s="2197">
        <f t="shared" si="205"/>
        <v>0</v>
      </c>
      <c r="J370" s="2197">
        <f>IF(J304="積上げ",0,SUM(J349:J351)+J353)</f>
        <v>0</v>
      </c>
      <c r="K370" s="2197">
        <f>IF(K304="積上げ",0,SUM(K349:K351)+K353)</f>
        <v>0</v>
      </c>
      <c r="L370" s="2197">
        <f t="shared" si="205"/>
        <v>0</v>
      </c>
      <c r="M370" s="2197">
        <f t="shared" si="205"/>
        <v>0</v>
      </c>
      <c r="N370" s="2198">
        <f t="shared" si="205"/>
        <v>0</v>
      </c>
      <c r="O370" s="2171"/>
      <c r="P370" s="2171"/>
    </row>
    <row r="371" spans="1:16" s="2160" customFormat="1" ht="14.25" customHeight="1">
      <c r="A371" s="2199"/>
      <c r="B371" s="2200"/>
      <c r="C371" s="2201"/>
      <c r="D371" s="2864"/>
      <c r="E371" s="2864"/>
      <c r="F371" s="2202"/>
      <c r="G371" s="2203"/>
      <c r="H371" s="2203"/>
      <c r="I371" s="2203"/>
      <c r="J371" s="2203"/>
      <c r="K371" s="2203"/>
      <c r="L371" s="2203"/>
      <c r="M371" s="2203"/>
      <c r="N371" s="2204"/>
      <c r="O371" s="2171"/>
      <c r="P371" s="2171"/>
    </row>
    <row r="372" spans="1:16" s="2160" customFormat="1" ht="14.25" customHeight="1">
      <c r="A372" s="2866" t="s">
        <v>2654</v>
      </c>
      <c r="B372" s="2866"/>
      <c r="C372" s="2867"/>
      <c r="D372" s="2865"/>
      <c r="E372" s="2865"/>
      <c r="F372" s="2168"/>
      <c r="G372" s="2169"/>
      <c r="H372" s="2169"/>
      <c r="I372" s="2169"/>
      <c r="J372" s="2169"/>
      <c r="K372" s="2169"/>
      <c r="L372" s="2169"/>
      <c r="M372" s="2169"/>
      <c r="N372" s="2170"/>
      <c r="O372" s="2171"/>
      <c r="P372" s="2171"/>
    </row>
    <row r="373" spans="1:16" s="2160" customFormat="1" ht="14.25" customHeight="1">
      <c r="A373" s="2868"/>
      <c r="B373" s="2871" t="s">
        <v>2550</v>
      </c>
      <c r="C373" s="2205" t="s">
        <v>2551</v>
      </c>
      <c r="D373" s="2206"/>
      <c r="E373" s="2207" t="s">
        <v>2647</v>
      </c>
      <c r="F373" s="2208" t="s">
        <v>2930</v>
      </c>
      <c r="G373" s="2209">
        <f t="shared" ref="G373:N373" si="206">IF(G301="新営",IF(G306="有り",+G477/100,G478/100),0)</f>
        <v>0</v>
      </c>
      <c r="H373" s="2209">
        <f t="shared" si="206"/>
        <v>0</v>
      </c>
      <c r="I373" s="2209">
        <f t="shared" si="206"/>
        <v>0</v>
      </c>
      <c r="J373" s="2209">
        <f>IF(J301="新営",IF(J306="有り",+J477/100,J478/100),0)</f>
        <v>0</v>
      </c>
      <c r="K373" s="2209">
        <f>IF(K301="新営",IF(K306="有り",+K477/100,K478/100),0)</f>
        <v>0</v>
      </c>
      <c r="L373" s="2209">
        <f t="shared" si="206"/>
        <v>0</v>
      </c>
      <c r="M373" s="2209">
        <f t="shared" si="206"/>
        <v>0</v>
      </c>
      <c r="N373" s="2210">
        <f t="shared" si="206"/>
        <v>0</v>
      </c>
      <c r="O373" s="2211"/>
      <c r="P373" s="2211"/>
    </row>
    <row r="374" spans="1:16" s="2160" customFormat="1" ht="14.25" customHeight="1">
      <c r="A374" s="2869"/>
      <c r="B374" s="2872"/>
      <c r="C374" s="2212"/>
      <c r="D374" s="2213">
        <f>+D361</f>
        <v>1</v>
      </c>
      <c r="E374" s="2214" t="s">
        <v>2647</v>
      </c>
      <c r="F374" s="2215">
        <f>SUM(G374:N374)</f>
        <v>0</v>
      </c>
      <c r="G374" s="2216">
        <f t="shared" ref="G374:N374" si="207">ROUNDDOWN(G361*G373*$D374,0)</f>
        <v>0</v>
      </c>
      <c r="H374" s="2216">
        <f t="shared" si="207"/>
        <v>0</v>
      </c>
      <c r="I374" s="2216">
        <f t="shared" si="207"/>
        <v>0</v>
      </c>
      <c r="J374" s="2216">
        <f>ROUNDDOWN(J361*J373*$D374,0)</f>
        <v>0</v>
      </c>
      <c r="K374" s="2216">
        <f>ROUNDDOWN(K361*K373*$D374,0)</f>
        <v>0</v>
      </c>
      <c r="L374" s="2216">
        <f t="shared" si="207"/>
        <v>0</v>
      </c>
      <c r="M374" s="2216">
        <f t="shared" si="207"/>
        <v>0</v>
      </c>
      <c r="N374" s="2191">
        <f t="shared" si="207"/>
        <v>0</v>
      </c>
      <c r="O374" s="2171"/>
      <c r="P374" s="2171"/>
    </row>
    <row r="375" spans="1:16" s="2160" customFormat="1" ht="14.25" customHeight="1">
      <c r="A375" s="2869"/>
      <c r="B375" s="2872"/>
      <c r="C375" s="2217" t="s">
        <v>2552</v>
      </c>
      <c r="D375" s="2218"/>
      <c r="E375" s="2214" t="s">
        <v>2921</v>
      </c>
      <c r="F375" s="2219" t="s">
        <v>2930</v>
      </c>
      <c r="G375" s="2220">
        <f t="shared" ref="G375:N375" si="208">IF(G301="改修",IF(G306="有り",+G486/100,G487/100),0)</f>
        <v>0</v>
      </c>
      <c r="H375" s="2220">
        <f t="shared" si="208"/>
        <v>0</v>
      </c>
      <c r="I375" s="2220">
        <f t="shared" si="208"/>
        <v>0</v>
      </c>
      <c r="J375" s="2220">
        <f>IF(J301="改修",IF(J306="有り",+J486/100,J487/100),0)</f>
        <v>0</v>
      </c>
      <c r="K375" s="2220">
        <f>IF(K301="改修",IF(K306="有り",+K486/100,K487/100),0)</f>
        <v>0</v>
      </c>
      <c r="L375" s="2220">
        <f t="shared" si="208"/>
        <v>0</v>
      </c>
      <c r="M375" s="2220">
        <f t="shared" si="208"/>
        <v>0</v>
      </c>
      <c r="N375" s="2221">
        <f t="shared" si="208"/>
        <v>0</v>
      </c>
      <c r="O375" s="2211"/>
      <c r="P375" s="2211"/>
    </row>
    <row r="376" spans="1:16" s="2160" customFormat="1" ht="14.25" customHeight="1">
      <c r="A376" s="2869"/>
      <c r="B376" s="2873"/>
      <c r="C376" s="2212"/>
      <c r="D376" s="2213">
        <f>+D362</f>
        <v>1</v>
      </c>
      <c r="E376" s="2214" t="s">
        <v>2921</v>
      </c>
      <c r="F376" s="2215">
        <f t="shared" ref="F376:F385" si="209">SUM(G376:N376)</f>
        <v>0</v>
      </c>
      <c r="G376" s="2216">
        <f t="shared" ref="G376:N376" si="210">ROUNDDOWN(G362*G375*$D376,0)</f>
        <v>0</v>
      </c>
      <c r="H376" s="2216">
        <f t="shared" si="210"/>
        <v>0</v>
      </c>
      <c r="I376" s="2216">
        <f t="shared" si="210"/>
        <v>0</v>
      </c>
      <c r="J376" s="2216">
        <f>ROUNDDOWN(J362*J375*$D376,0)</f>
        <v>0</v>
      </c>
      <c r="K376" s="2216">
        <f>ROUNDDOWN(K362*K375*$D376,0)</f>
        <v>0</v>
      </c>
      <c r="L376" s="2216">
        <f t="shared" si="210"/>
        <v>0</v>
      </c>
      <c r="M376" s="2216">
        <f t="shared" si="210"/>
        <v>0</v>
      </c>
      <c r="N376" s="2222">
        <f t="shared" si="210"/>
        <v>0</v>
      </c>
      <c r="O376" s="2171"/>
      <c r="P376" s="2171"/>
    </row>
    <row r="377" spans="1:16" s="2160" customFormat="1" ht="14.25" customHeight="1">
      <c r="A377" s="2869"/>
      <c r="B377" s="2874" t="s">
        <v>2757</v>
      </c>
      <c r="C377" s="2124" t="s">
        <v>2922</v>
      </c>
      <c r="D377" s="2213">
        <v>1</v>
      </c>
      <c r="E377" s="2223"/>
      <c r="F377" s="2215">
        <f t="shared" si="209"/>
        <v>0</v>
      </c>
      <c r="G377" s="2216">
        <f t="shared" ref="G377:N377" si="211">IF(G$88="改修",ROUNDDOWN(G363*G$162*$D377,0),ROUNDDOWN(G363*G$160*$D377,0))</f>
        <v>0</v>
      </c>
      <c r="H377" s="2216">
        <f t="shared" si="211"/>
        <v>0</v>
      </c>
      <c r="I377" s="2216">
        <f t="shared" si="211"/>
        <v>0</v>
      </c>
      <c r="J377" s="2216">
        <f>IF(J$88="改修",ROUNDDOWN(J363*J$162*$D377,0),ROUNDDOWN(J363*J$160*$D377,0))</f>
        <v>0</v>
      </c>
      <c r="K377" s="2216">
        <f>IF(K$88="改修",ROUNDDOWN(K363*K$162*$D377,0),ROUNDDOWN(K363*K$160*$D377,0))</f>
        <v>0</v>
      </c>
      <c r="L377" s="2216">
        <f t="shared" si="211"/>
        <v>0</v>
      </c>
      <c r="M377" s="2216">
        <f t="shared" si="211"/>
        <v>0</v>
      </c>
      <c r="N377" s="2222">
        <f t="shared" si="211"/>
        <v>0</v>
      </c>
      <c r="O377" s="2171"/>
      <c r="P377" s="2171"/>
    </row>
    <row r="378" spans="1:16" s="2160" customFormat="1" ht="14.25" customHeight="1">
      <c r="A378" s="2869"/>
      <c r="B378" s="2872"/>
      <c r="C378" s="2132" t="s">
        <v>2923</v>
      </c>
      <c r="D378" s="2213">
        <v>1</v>
      </c>
      <c r="E378" s="2214"/>
      <c r="F378" s="2215">
        <f t="shared" si="209"/>
        <v>0</v>
      </c>
      <c r="G378" s="2216">
        <f t="shared" ref="G378:N378" si="212">IF(G$88="改修",ROUNDDOWN(G364*G$162*$D378,0),IF(G301="新営",ROUNDDOWN(G364*G$160*$D378,0),0))</f>
        <v>0</v>
      </c>
      <c r="H378" s="2216">
        <f t="shared" si="212"/>
        <v>0</v>
      </c>
      <c r="I378" s="2216">
        <f t="shared" si="212"/>
        <v>0</v>
      </c>
      <c r="J378" s="2216">
        <f>IF(J$88="改修",ROUNDDOWN(J364*J$162*$D378,0),IF(J301="新営",ROUNDDOWN(J364*J$160*$D378,0),0))</f>
        <v>0</v>
      </c>
      <c r="K378" s="2216">
        <f>IF(K$88="改修",ROUNDDOWN(K364*K$162*$D378,0),IF(K301="新営",ROUNDDOWN(K364*K$160*$D378,0),0))</f>
        <v>0</v>
      </c>
      <c r="L378" s="2216">
        <f t="shared" si="212"/>
        <v>0</v>
      </c>
      <c r="M378" s="2216">
        <f t="shared" si="212"/>
        <v>0</v>
      </c>
      <c r="N378" s="2222">
        <f t="shared" si="212"/>
        <v>0</v>
      </c>
      <c r="O378" s="2171"/>
      <c r="P378" s="2171"/>
    </row>
    <row r="379" spans="1:16" s="2160" customFormat="1" ht="14.25" customHeight="1">
      <c r="A379" s="2869"/>
      <c r="B379" s="2872"/>
      <c r="C379" s="2124" t="s">
        <v>2924</v>
      </c>
      <c r="D379" s="2213">
        <v>1</v>
      </c>
      <c r="E379" s="2214"/>
      <c r="F379" s="2215">
        <f t="shared" si="209"/>
        <v>0</v>
      </c>
      <c r="G379" s="2216">
        <f t="shared" ref="G379:N379" si="213">IF(G$88="改修",ROUNDDOWN(G365*G$162*$D379,0),IF(G301="新営",ROUNDDOWN(G365*G$160*$D379,0),0))</f>
        <v>0</v>
      </c>
      <c r="H379" s="2216">
        <f t="shared" si="213"/>
        <v>0</v>
      </c>
      <c r="I379" s="2216">
        <f t="shared" si="213"/>
        <v>0</v>
      </c>
      <c r="J379" s="2216">
        <f>IF(J$88="改修",ROUNDDOWN(J365*J$162*$D379,0),IF(J301="新営",ROUNDDOWN(J365*J$160*$D379,0),0))</f>
        <v>0</v>
      </c>
      <c r="K379" s="2216">
        <f>IF(K$88="改修",ROUNDDOWN(K365*K$162*$D379,0),IF(K301="新営",ROUNDDOWN(K365*K$160*$D379,0),0))</f>
        <v>0</v>
      </c>
      <c r="L379" s="2216">
        <f t="shared" si="213"/>
        <v>0</v>
      </c>
      <c r="M379" s="2216">
        <f t="shared" si="213"/>
        <v>0</v>
      </c>
      <c r="N379" s="2222">
        <f t="shared" si="213"/>
        <v>0</v>
      </c>
      <c r="O379" s="2171"/>
      <c r="P379" s="2171"/>
    </row>
    <row r="380" spans="1:16" s="2160" customFormat="1" ht="14.25" customHeight="1">
      <c r="A380" s="2869"/>
      <c r="B380" s="2872"/>
      <c r="C380" s="2124" t="s">
        <v>2925</v>
      </c>
      <c r="D380" s="2213">
        <v>1</v>
      </c>
      <c r="E380" s="2214"/>
      <c r="F380" s="2215">
        <f t="shared" si="209"/>
        <v>0</v>
      </c>
      <c r="G380" s="2216">
        <f t="shared" ref="G380:N381" si="214">IF(G$88="改修",ROUNDDOWN(G366*G$162*$D380,0),IF(G301="新営",ROUNDDOWN(G366*G$160*$D380,0),0))</f>
        <v>0</v>
      </c>
      <c r="H380" s="2216">
        <f t="shared" si="214"/>
        <v>0</v>
      </c>
      <c r="I380" s="2216">
        <f t="shared" si="214"/>
        <v>0</v>
      </c>
      <c r="J380" s="2216">
        <f>IF(J$88="改修",ROUNDDOWN(J366*J$162*$D380,0),IF(J301="新営",ROUNDDOWN(J366*J$160*$D380,0),0))</f>
        <v>0</v>
      </c>
      <c r="K380" s="2216">
        <f>IF(K$88="改修",ROUNDDOWN(K366*K$162*$D380,0),IF(K301="新営",ROUNDDOWN(K366*K$160*$D380,0),0))</f>
        <v>0</v>
      </c>
      <c r="L380" s="2216">
        <f t="shared" si="214"/>
        <v>0</v>
      </c>
      <c r="M380" s="2216">
        <f t="shared" si="214"/>
        <v>0</v>
      </c>
      <c r="N380" s="2222">
        <f t="shared" si="214"/>
        <v>0</v>
      </c>
      <c r="O380" s="2171"/>
      <c r="P380" s="2171"/>
    </row>
    <row r="381" spans="1:16" s="2160" customFormat="1" ht="14.25" customHeight="1">
      <c r="A381" s="2869"/>
      <c r="B381" s="2224"/>
      <c r="C381" s="2133" t="s">
        <v>2926</v>
      </c>
      <c r="D381" s="2187">
        <v>1</v>
      </c>
      <c r="E381" s="2214"/>
      <c r="F381" s="2182">
        <f t="shared" si="209"/>
        <v>0</v>
      </c>
      <c r="G381" s="2225">
        <f t="shared" si="214"/>
        <v>0</v>
      </c>
      <c r="H381" s="2225">
        <f t="shared" si="214"/>
        <v>0</v>
      </c>
      <c r="I381" s="2225">
        <f t="shared" si="214"/>
        <v>0</v>
      </c>
      <c r="J381" s="2225">
        <f>IF(J$88="改修",ROUNDDOWN(J367*J$162*$D381,0),IF(J302="新営",ROUNDDOWN(J367*J$160*$D381,0),0))</f>
        <v>0</v>
      </c>
      <c r="K381" s="2225">
        <f>IF(K$88="改修",ROUNDDOWN(K367*K$162*$D381,0),IF(K302="新営",ROUNDDOWN(K367*K$160*$D381,0),0))</f>
        <v>0</v>
      </c>
      <c r="L381" s="2225">
        <f t="shared" si="214"/>
        <v>0</v>
      </c>
      <c r="M381" s="2225">
        <f t="shared" si="214"/>
        <v>0</v>
      </c>
      <c r="N381" s="2226">
        <f t="shared" si="214"/>
        <v>0</v>
      </c>
      <c r="O381" s="2171"/>
      <c r="P381" s="2171"/>
    </row>
    <row r="382" spans="1:16" s="2160" customFormat="1" ht="14.25" customHeight="1">
      <c r="A382" s="2869"/>
      <c r="B382" s="2875"/>
      <c r="C382" s="2188" t="s">
        <v>2660</v>
      </c>
      <c r="D382" s="2227">
        <f t="shared" ref="D382:E384" si="215">+D368</f>
        <v>1</v>
      </c>
      <c r="E382" s="2189">
        <f t="shared" si="215"/>
        <v>0</v>
      </c>
      <c r="F382" s="2215">
        <f t="shared" si="209"/>
        <v>0</v>
      </c>
      <c r="G382" s="2216">
        <f t="shared" ref="G382:N384" si="216">ROUNDDOWN(G368*$E382*$D382,0)</f>
        <v>0</v>
      </c>
      <c r="H382" s="2216">
        <f t="shared" si="216"/>
        <v>0</v>
      </c>
      <c r="I382" s="2216">
        <f t="shared" si="216"/>
        <v>0</v>
      </c>
      <c r="J382" s="2216">
        <f t="shared" si="216"/>
        <v>0</v>
      </c>
      <c r="K382" s="2216">
        <f t="shared" si="216"/>
        <v>0</v>
      </c>
      <c r="L382" s="2216">
        <f t="shared" si="216"/>
        <v>0</v>
      </c>
      <c r="M382" s="2216">
        <f t="shared" si="216"/>
        <v>0</v>
      </c>
      <c r="N382" s="2222">
        <f t="shared" si="216"/>
        <v>0</v>
      </c>
      <c r="O382" s="2171"/>
      <c r="P382" s="2171"/>
    </row>
    <row r="383" spans="1:16" s="2160" customFormat="1" ht="14.25" customHeight="1">
      <c r="A383" s="2869"/>
      <c r="B383" s="2875"/>
      <c r="C383" s="2188" t="s">
        <v>2928</v>
      </c>
      <c r="D383" s="2227">
        <f t="shared" si="215"/>
        <v>1</v>
      </c>
      <c r="E383" s="2189">
        <f t="shared" si="215"/>
        <v>0</v>
      </c>
      <c r="F383" s="2215">
        <f t="shared" si="209"/>
        <v>0</v>
      </c>
      <c r="G383" s="2216">
        <f t="shared" si="216"/>
        <v>0</v>
      </c>
      <c r="H383" s="2216">
        <f t="shared" si="216"/>
        <v>0</v>
      </c>
      <c r="I383" s="2216">
        <f t="shared" si="216"/>
        <v>0</v>
      </c>
      <c r="J383" s="2216">
        <f t="shared" si="216"/>
        <v>0</v>
      </c>
      <c r="K383" s="2216">
        <f t="shared" si="216"/>
        <v>0</v>
      </c>
      <c r="L383" s="2216">
        <f t="shared" si="216"/>
        <v>0</v>
      </c>
      <c r="M383" s="2216">
        <f t="shared" si="216"/>
        <v>0</v>
      </c>
      <c r="N383" s="2222">
        <f t="shared" si="216"/>
        <v>0</v>
      </c>
      <c r="O383" s="2171"/>
      <c r="P383" s="2171"/>
    </row>
    <row r="384" spans="1:16" s="2160" customFormat="1" ht="14.25" customHeight="1" thickBot="1">
      <c r="A384" s="2870"/>
      <c r="B384" s="2228" t="s">
        <v>2652</v>
      </c>
      <c r="C384" s="2193" t="s">
        <v>2975</v>
      </c>
      <c r="D384" s="2229">
        <f t="shared" si="215"/>
        <v>1</v>
      </c>
      <c r="E384" s="2230">
        <f t="shared" si="215"/>
        <v>0</v>
      </c>
      <c r="F384" s="2215">
        <f t="shared" si="209"/>
        <v>0</v>
      </c>
      <c r="G384" s="2216">
        <f t="shared" si="216"/>
        <v>0</v>
      </c>
      <c r="H384" s="2216">
        <f t="shared" si="216"/>
        <v>0</v>
      </c>
      <c r="I384" s="2216">
        <f t="shared" si="216"/>
        <v>0</v>
      </c>
      <c r="J384" s="2216">
        <f t="shared" si="216"/>
        <v>0</v>
      </c>
      <c r="K384" s="2216">
        <f t="shared" si="216"/>
        <v>0</v>
      </c>
      <c r="L384" s="2216">
        <f t="shared" si="216"/>
        <v>0</v>
      </c>
      <c r="M384" s="2216">
        <f t="shared" si="216"/>
        <v>0</v>
      </c>
      <c r="N384" s="2222">
        <f t="shared" si="216"/>
        <v>0</v>
      </c>
      <c r="O384" s="2171"/>
      <c r="P384" s="2171"/>
    </row>
    <row r="385" spans="1:16" s="2160" customFormat="1" ht="14.25" customHeight="1" thickTop="1">
      <c r="A385" s="2231"/>
      <c r="B385" s="2232"/>
      <c r="C385" s="2233" t="s">
        <v>2662</v>
      </c>
      <c r="D385" s="2234"/>
      <c r="E385" s="2235"/>
      <c r="F385" s="2236">
        <f t="shared" si="209"/>
        <v>0</v>
      </c>
      <c r="G385" s="2237">
        <f t="shared" ref="G385:N385" si="217">SUM(G376:G384)+G374</f>
        <v>0</v>
      </c>
      <c r="H385" s="2237">
        <f t="shared" si="217"/>
        <v>0</v>
      </c>
      <c r="I385" s="2237">
        <f t="shared" si="217"/>
        <v>0</v>
      </c>
      <c r="J385" s="2237">
        <f>SUM(J376:J384)+J374</f>
        <v>0</v>
      </c>
      <c r="K385" s="2237">
        <f>SUM(K376:K384)+K374</f>
        <v>0</v>
      </c>
      <c r="L385" s="2237">
        <f t="shared" si="217"/>
        <v>0</v>
      </c>
      <c r="M385" s="2237">
        <f t="shared" si="217"/>
        <v>0</v>
      </c>
      <c r="N385" s="2238">
        <f t="shared" si="217"/>
        <v>0</v>
      </c>
      <c r="O385" s="2171"/>
      <c r="P385" s="2171"/>
    </row>
    <row r="386" spans="1:16" ht="15" customHeight="1">
      <c r="A386" s="1742"/>
      <c r="B386" s="2239"/>
      <c r="C386" s="2240"/>
      <c r="D386" s="2241"/>
      <c r="E386" s="1738"/>
      <c r="F386" s="2242"/>
      <c r="G386" s="2243"/>
      <c r="H386" s="2243"/>
      <c r="I386" s="2243"/>
      <c r="J386" s="2243"/>
      <c r="K386" s="2243"/>
      <c r="L386" s="2243"/>
      <c r="M386" s="2243"/>
      <c r="N386" s="2243"/>
    </row>
    <row r="387" spans="1:16" ht="15" customHeight="1">
      <c r="A387" s="1703"/>
      <c r="B387" s="1703"/>
      <c r="C387" s="1962" t="s">
        <v>2931</v>
      </c>
      <c r="D387" s="1962"/>
      <c r="E387" s="1704"/>
      <c r="F387" s="1704"/>
      <c r="G387" s="1713"/>
      <c r="H387" s="1713"/>
      <c r="I387" s="1713"/>
      <c r="J387" s="1713"/>
      <c r="K387" s="1713"/>
      <c r="L387" s="1713"/>
      <c r="M387" s="1713"/>
      <c r="N387" s="1709" t="s">
        <v>2976</v>
      </c>
    </row>
    <row r="388" spans="1:16" ht="15" customHeight="1">
      <c r="A388" s="1703"/>
      <c r="B388" s="1703"/>
      <c r="C388" s="2244" t="s">
        <v>2977</v>
      </c>
      <c r="D388" s="2244"/>
      <c r="E388" s="1704"/>
      <c r="F388" s="1704"/>
      <c r="G388" s="1713"/>
      <c r="H388" s="1713"/>
      <c r="I388" s="1713"/>
      <c r="J388" s="1713"/>
      <c r="K388" s="1713"/>
      <c r="L388" s="1713"/>
      <c r="M388" s="1713"/>
      <c r="N388" s="1963"/>
    </row>
    <row r="389" spans="1:16" ht="15" customHeight="1">
      <c r="A389" s="1714"/>
      <c r="B389" s="1715"/>
      <c r="C389" s="1715"/>
      <c r="D389" s="2860"/>
      <c r="E389" s="2860" t="s">
        <v>2681</v>
      </c>
      <c r="F389" s="2245" t="s">
        <v>2526</v>
      </c>
      <c r="G389" s="2246" t="str">
        <f t="shared" ref="G389:N389" si="218">+G302</f>
        <v>工事１</v>
      </c>
      <c r="H389" s="2246" t="str">
        <f t="shared" si="218"/>
        <v>工事２</v>
      </c>
      <c r="I389" s="2246" t="str">
        <f t="shared" si="218"/>
        <v>工事３</v>
      </c>
      <c r="J389" s="2246" t="str">
        <f>+J302</f>
        <v>工事３</v>
      </c>
      <c r="K389" s="2246" t="str">
        <f>+K302</f>
        <v>工事３</v>
      </c>
      <c r="L389" s="2246" t="str">
        <f t="shared" si="218"/>
        <v>工事４</v>
      </c>
      <c r="M389" s="2246" t="str">
        <f t="shared" si="218"/>
        <v>工事５</v>
      </c>
      <c r="N389" s="2247" t="str">
        <f t="shared" si="218"/>
        <v>工事６</v>
      </c>
    </row>
    <row r="390" spans="1:16" ht="14.25" customHeight="1">
      <c r="A390" s="2862" t="s">
        <v>2667</v>
      </c>
      <c r="B390" s="2863"/>
      <c r="C390" s="2863"/>
      <c r="D390" s="2861"/>
      <c r="E390" s="2861"/>
      <c r="F390" s="2248"/>
      <c r="G390" s="2249"/>
      <c r="H390" s="2249"/>
      <c r="I390" s="2249"/>
      <c r="J390" s="2249"/>
      <c r="K390" s="2249"/>
      <c r="L390" s="2249"/>
      <c r="M390" s="2249"/>
      <c r="N390" s="2250"/>
    </row>
    <row r="391" spans="1:16" ht="15" customHeight="1">
      <c r="A391" s="2251"/>
      <c r="B391" s="2252" t="s">
        <v>2802</v>
      </c>
      <c r="C391" s="2253"/>
      <c r="D391" s="2246"/>
      <c r="E391" s="2254"/>
      <c r="F391" s="2255">
        <f>SUM(G391:N391)</f>
        <v>0</v>
      </c>
      <c r="G391" s="2256">
        <f t="shared" ref="G391:N391" si="219">SUM(G334:G337)</f>
        <v>0</v>
      </c>
      <c r="H391" s="2256">
        <f t="shared" si="219"/>
        <v>0</v>
      </c>
      <c r="I391" s="2256">
        <f t="shared" si="219"/>
        <v>0</v>
      </c>
      <c r="J391" s="2256">
        <f>SUM(J334:J337)</f>
        <v>0</v>
      </c>
      <c r="K391" s="2256">
        <f>SUM(K334:K337)</f>
        <v>0</v>
      </c>
      <c r="L391" s="2256">
        <f t="shared" si="219"/>
        <v>0</v>
      </c>
      <c r="M391" s="2256">
        <f t="shared" si="219"/>
        <v>0</v>
      </c>
      <c r="N391" s="2257">
        <f t="shared" si="219"/>
        <v>0</v>
      </c>
    </row>
    <row r="392" spans="1:16" ht="15" customHeight="1">
      <c r="A392" s="2258"/>
      <c r="B392" s="2846" t="s">
        <v>2978</v>
      </c>
      <c r="C392" s="2058" t="s">
        <v>2551</v>
      </c>
      <c r="D392" s="2246"/>
      <c r="E392" s="2259" t="s">
        <v>2804</v>
      </c>
      <c r="F392" s="2255">
        <f>SUM(G392:N392)</f>
        <v>0</v>
      </c>
      <c r="G392" s="2260">
        <f t="shared" ref="G392:N392" si="220">+G334</f>
        <v>0</v>
      </c>
      <c r="H392" s="2260">
        <f t="shared" si="220"/>
        <v>0</v>
      </c>
      <c r="I392" s="2260">
        <f t="shared" si="220"/>
        <v>0</v>
      </c>
      <c r="J392" s="2260">
        <f>+J334</f>
        <v>0</v>
      </c>
      <c r="K392" s="2260">
        <f>+K334</f>
        <v>0</v>
      </c>
      <c r="L392" s="2260">
        <f t="shared" si="220"/>
        <v>0</v>
      </c>
      <c r="M392" s="2260">
        <f t="shared" si="220"/>
        <v>0</v>
      </c>
      <c r="N392" s="2261">
        <f t="shared" si="220"/>
        <v>0</v>
      </c>
    </row>
    <row r="393" spans="1:16" ht="15" customHeight="1">
      <c r="A393" s="2262"/>
      <c r="B393" s="2847"/>
      <c r="C393" s="2124" t="s">
        <v>2552</v>
      </c>
      <c r="D393" s="2263"/>
      <c r="E393" s="2264" t="s">
        <v>2804</v>
      </c>
      <c r="F393" s="2265">
        <f>SUM(G393:N393)</f>
        <v>0</v>
      </c>
      <c r="G393" s="2134">
        <f t="shared" ref="G393:N394" si="221">G335</f>
        <v>0</v>
      </c>
      <c r="H393" s="2134">
        <f t="shared" si="221"/>
        <v>0</v>
      </c>
      <c r="I393" s="2134">
        <f t="shared" si="221"/>
        <v>0</v>
      </c>
      <c r="J393" s="2134">
        <f>J335</f>
        <v>0</v>
      </c>
      <c r="K393" s="2134">
        <f>K335</f>
        <v>0</v>
      </c>
      <c r="L393" s="2134">
        <f t="shared" si="221"/>
        <v>0</v>
      </c>
      <c r="M393" s="2134">
        <f t="shared" si="221"/>
        <v>0</v>
      </c>
      <c r="N393" s="2135">
        <f t="shared" si="221"/>
        <v>0</v>
      </c>
    </row>
    <row r="394" spans="1:16" ht="15" customHeight="1">
      <c r="A394" s="2262"/>
      <c r="B394" s="2847"/>
      <c r="C394" s="2124" t="s">
        <v>2934</v>
      </c>
      <c r="D394" s="2263"/>
      <c r="E394" s="2264" t="s">
        <v>2804</v>
      </c>
      <c r="F394" s="2265">
        <f>SUM(G394:N394)</f>
        <v>0</v>
      </c>
      <c r="G394" s="2134">
        <f t="shared" si="221"/>
        <v>0</v>
      </c>
      <c r="H394" s="2134">
        <f t="shared" si="221"/>
        <v>0</v>
      </c>
      <c r="I394" s="2134">
        <f t="shared" si="221"/>
        <v>0</v>
      </c>
      <c r="J394" s="2134">
        <f>J336</f>
        <v>0</v>
      </c>
      <c r="K394" s="2134">
        <f>K336</f>
        <v>0</v>
      </c>
      <c r="L394" s="2134">
        <f t="shared" si="221"/>
        <v>0</v>
      </c>
      <c r="M394" s="2134">
        <f t="shared" si="221"/>
        <v>0</v>
      </c>
      <c r="N394" s="2135">
        <f t="shared" si="221"/>
        <v>0</v>
      </c>
    </row>
    <row r="395" spans="1:16" ht="15" customHeight="1">
      <c r="A395" s="2262"/>
      <c r="B395" s="2852"/>
      <c r="C395" s="2266" t="s">
        <v>2900</v>
      </c>
      <c r="D395" s="2263"/>
      <c r="E395" s="2264" t="s">
        <v>2804</v>
      </c>
      <c r="F395" s="2125">
        <f>F385</f>
        <v>0</v>
      </c>
      <c r="G395" s="2125">
        <f t="shared" ref="G395:N395" si="222">G385</f>
        <v>0</v>
      </c>
      <c r="H395" s="2125">
        <f t="shared" si="222"/>
        <v>0</v>
      </c>
      <c r="I395" s="2125">
        <f t="shared" si="222"/>
        <v>0</v>
      </c>
      <c r="J395" s="2125">
        <f>J385</f>
        <v>0</v>
      </c>
      <c r="K395" s="2125">
        <f>K385</f>
        <v>0</v>
      </c>
      <c r="L395" s="2125">
        <f t="shared" si="222"/>
        <v>0</v>
      </c>
      <c r="M395" s="2125">
        <f t="shared" si="222"/>
        <v>0</v>
      </c>
      <c r="N395" s="2126">
        <f t="shared" si="222"/>
        <v>0</v>
      </c>
    </row>
    <row r="396" spans="1:16" ht="15" customHeight="1">
      <c r="A396" s="2262"/>
      <c r="B396" s="2850" t="s">
        <v>2757</v>
      </c>
      <c r="C396" s="2267" t="s">
        <v>2901</v>
      </c>
      <c r="D396" s="2263"/>
      <c r="E396" s="2138">
        <v>0.2</v>
      </c>
      <c r="F396" s="2134">
        <f t="shared" ref="F396:F401" si="223">INT(F338/(1+$E396))</f>
        <v>0</v>
      </c>
      <c r="G396" s="2134">
        <f t="shared" ref="G396:G401" si="224">F396-SUM(H396:N396)</f>
        <v>0</v>
      </c>
      <c r="H396" s="2134">
        <f t="shared" ref="H396:N396" si="225">INT(H338/(1+$E396))</f>
        <v>0</v>
      </c>
      <c r="I396" s="2134">
        <f t="shared" si="225"/>
        <v>0</v>
      </c>
      <c r="J396" s="2134">
        <f t="shared" si="225"/>
        <v>0</v>
      </c>
      <c r="K396" s="2134">
        <f t="shared" si="225"/>
        <v>0</v>
      </c>
      <c r="L396" s="2134">
        <f t="shared" si="225"/>
        <v>0</v>
      </c>
      <c r="M396" s="2134">
        <f t="shared" si="225"/>
        <v>0</v>
      </c>
      <c r="N396" s="2135">
        <f t="shared" si="225"/>
        <v>0</v>
      </c>
    </row>
    <row r="397" spans="1:16" ht="15" customHeight="1">
      <c r="A397" s="2262"/>
      <c r="B397" s="2848"/>
      <c r="C397" s="2124" t="s">
        <v>2979</v>
      </c>
      <c r="D397" s="2263"/>
      <c r="E397" s="2138">
        <v>0.2</v>
      </c>
      <c r="F397" s="2134">
        <f t="shared" si="223"/>
        <v>0</v>
      </c>
      <c r="G397" s="2134">
        <f t="shared" si="224"/>
        <v>0</v>
      </c>
      <c r="H397" s="2134">
        <f t="shared" ref="H397:N401" si="226">IF(H339=0,0,ROUND($F397/$F339*H339,0))</f>
        <v>0</v>
      </c>
      <c r="I397" s="2134">
        <f t="shared" si="226"/>
        <v>0</v>
      </c>
      <c r="J397" s="2134">
        <f t="shared" si="226"/>
        <v>0</v>
      </c>
      <c r="K397" s="2134">
        <f t="shared" si="226"/>
        <v>0</v>
      </c>
      <c r="L397" s="2134">
        <f t="shared" si="226"/>
        <v>0</v>
      </c>
      <c r="M397" s="2134">
        <f t="shared" si="226"/>
        <v>0</v>
      </c>
      <c r="N397" s="2135">
        <f t="shared" si="226"/>
        <v>0</v>
      </c>
    </row>
    <row r="398" spans="1:16" ht="15" customHeight="1">
      <c r="A398" s="2262"/>
      <c r="B398" s="2848"/>
      <c r="C398" s="2132" t="s">
        <v>2935</v>
      </c>
      <c r="D398" s="2263"/>
      <c r="E398" s="2268">
        <f>E205</f>
        <v>0.25</v>
      </c>
      <c r="F398" s="2134">
        <f t="shared" si="223"/>
        <v>0</v>
      </c>
      <c r="G398" s="2134">
        <f t="shared" si="224"/>
        <v>0</v>
      </c>
      <c r="H398" s="2134">
        <f t="shared" si="226"/>
        <v>0</v>
      </c>
      <c r="I398" s="2134">
        <f t="shared" si="226"/>
        <v>0</v>
      </c>
      <c r="J398" s="2134">
        <f t="shared" si="226"/>
        <v>0</v>
      </c>
      <c r="K398" s="2134">
        <f t="shared" si="226"/>
        <v>0</v>
      </c>
      <c r="L398" s="2134">
        <f t="shared" si="226"/>
        <v>0</v>
      </c>
      <c r="M398" s="2134">
        <f t="shared" si="226"/>
        <v>0</v>
      </c>
      <c r="N398" s="2135">
        <f t="shared" si="226"/>
        <v>0</v>
      </c>
    </row>
    <row r="399" spans="1:16" ht="15" customHeight="1">
      <c r="A399" s="2262"/>
      <c r="B399" s="2848"/>
      <c r="C399" s="2124" t="s">
        <v>2924</v>
      </c>
      <c r="D399" s="2263"/>
      <c r="E399" s="2138">
        <v>0.2</v>
      </c>
      <c r="F399" s="2134">
        <f t="shared" si="223"/>
        <v>0</v>
      </c>
      <c r="G399" s="2134">
        <f t="shared" si="224"/>
        <v>0</v>
      </c>
      <c r="H399" s="2134">
        <f t="shared" si="226"/>
        <v>0</v>
      </c>
      <c r="I399" s="2134">
        <f t="shared" si="226"/>
        <v>0</v>
      </c>
      <c r="J399" s="2134">
        <f t="shared" si="226"/>
        <v>0</v>
      </c>
      <c r="K399" s="2134">
        <f t="shared" si="226"/>
        <v>0</v>
      </c>
      <c r="L399" s="2134">
        <f t="shared" si="226"/>
        <v>0</v>
      </c>
      <c r="M399" s="2134">
        <f t="shared" si="226"/>
        <v>0</v>
      </c>
      <c r="N399" s="2135">
        <f t="shared" si="226"/>
        <v>0</v>
      </c>
    </row>
    <row r="400" spans="1:16" ht="15" customHeight="1">
      <c r="A400" s="2262"/>
      <c r="B400" s="2848"/>
      <c r="C400" s="2124" t="s">
        <v>2925</v>
      </c>
      <c r="D400" s="2263"/>
      <c r="E400" s="2138">
        <v>0.2</v>
      </c>
      <c r="F400" s="2134">
        <f t="shared" si="223"/>
        <v>0</v>
      </c>
      <c r="G400" s="2134">
        <f t="shared" si="224"/>
        <v>0</v>
      </c>
      <c r="H400" s="2134">
        <f t="shared" si="226"/>
        <v>0</v>
      </c>
      <c r="I400" s="2134">
        <f t="shared" si="226"/>
        <v>0</v>
      </c>
      <c r="J400" s="2134">
        <f t="shared" si="226"/>
        <v>0</v>
      </c>
      <c r="K400" s="2134">
        <f t="shared" si="226"/>
        <v>0</v>
      </c>
      <c r="L400" s="2134">
        <f t="shared" si="226"/>
        <v>0</v>
      </c>
      <c r="M400" s="2134">
        <f t="shared" si="226"/>
        <v>0</v>
      </c>
      <c r="N400" s="2135">
        <f t="shared" si="226"/>
        <v>0</v>
      </c>
    </row>
    <row r="401" spans="1:14" ht="15" customHeight="1">
      <c r="A401" s="2262"/>
      <c r="B401" s="2848"/>
      <c r="C401" s="2124" t="s">
        <v>2906</v>
      </c>
      <c r="D401" s="2263"/>
      <c r="E401" s="2138">
        <v>0.2</v>
      </c>
      <c r="F401" s="2134">
        <f t="shared" si="223"/>
        <v>0</v>
      </c>
      <c r="G401" s="2134">
        <f t="shared" si="224"/>
        <v>0</v>
      </c>
      <c r="H401" s="2134">
        <f t="shared" si="226"/>
        <v>0</v>
      </c>
      <c r="I401" s="2134">
        <f t="shared" si="226"/>
        <v>0</v>
      </c>
      <c r="J401" s="2134">
        <f t="shared" si="226"/>
        <v>0</v>
      </c>
      <c r="K401" s="2134">
        <f t="shared" si="226"/>
        <v>0</v>
      </c>
      <c r="L401" s="2134">
        <f t="shared" si="226"/>
        <v>0</v>
      </c>
      <c r="M401" s="2134">
        <f t="shared" si="226"/>
        <v>0</v>
      </c>
      <c r="N401" s="2135">
        <f t="shared" si="226"/>
        <v>0</v>
      </c>
    </row>
    <row r="402" spans="1:14" ht="15" customHeight="1">
      <c r="A402" s="2262"/>
      <c r="B402" s="2848"/>
      <c r="C402" s="2124"/>
      <c r="D402" s="2263"/>
      <c r="E402" s="2138"/>
      <c r="F402" s="2265"/>
      <c r="G402" s="2134"/>
      <c r="H402" s="2134"/>
      <c r="I402" s="2134"/>
      <c r="J402" s="2134"/>
      <c r="K402" s="2134"/>
      <c r="L402" s="2134"/>
      <c r="M402" s="2134"/>
      <c r="N402" s="2135"/>
    </row>
    <row r="403" spans="1:14" ht="15" customHeight="1">
      <c r="A403" s="2262"/>
      <c r="B403" s="2851"/>
      <c r="C403" s="2124"/>
      <c r="D403" s="2263"/>
      <c r="E403" s="2138"/>
      <c r="F403" s="2265"/>
      <c r="G403" s="2134"/>
      <c r="H403" s="2134"/>
      <c r="I403" s="2134"/>
      <c r="J403" s="2134"/>
      <c r="K403" s="2134"/>
      <c r="L403" s="2134"/>
      <c r="M403" s="2134"/>
      <c r="N403" s="2135"/>
    </row>
    <row r="404" spans="1:14" ht="15" customHeight="1">
      <c r="A404" s="2262"/>
      <c r="B404" s="2850" t="s">
        <v>489</v>
      </c>
      <c r="C404" s="2124" t="s">
        <v>2936</v>
      </c>
      <c r="D404" s="2263"/>
      <c r="E404" s="2138">
        <v>0.02</v>
      </c>
      <c r="F404" s="2265">
        <f>SUM(G404:N404)</f>
        <v>0</v>
      </c>
      <c r="G404" s="2134">
        <f t="shared" ref="G404:N406" si="227">+G346</f>
        <v>0</v>
      </c>
      <c r="H404" s="2134">
        <f t="shared" si="227"/>
        <v>0</v>
      </c>
      <c r="I404" s="2134">
        <f t="shared" si="227"/>
        <v>0</v>
      </c>
      <c r="J404" s="2134">
        <f t="shared" si="227"/>
        <v>0</v>
      </c>
      <c r="K404" s="2134">
        <f t="shared" si="227"/>
        <v>0</v>
      </c>
      <c r="L404" s="2134">
        <f t="shared" si="227"/>
        <v>0</v>
      </c>
      <c r="M404" s="2134">
        <f t="shared" si="227"/>
        <v>0</v>
      </c>
      <c r="N404" s="2135">
        <f t="shared" si="227"/>
        <v>0</v>
      </c>
    </row>
    <row r="405" spans="1:14" ht="15" customHeight="1">
      <c r="A405" s="2262"/>
      <c r="B405" s="2847"/>
      <c r="C405" s="2140" t="s">
        <v>2937</v>
      </c>
      <c r="D405" s="2263"/>
      <c r="E405" s="2138">
        <v>0.02</v>
      </c>
      <c r="F405" s="2265">
        <f>SUM(G405:N405)</f>
        <v>0</v>
      </c>
      <c r="G405" s="2134">
        <f t="shared" si="227"/>
        <v>0</v>
      </c>
      <c r="H405" s="2134">
        <f t="shared" si="227"/>
        <v>0</v>
      </c>
      <c r="I405" s="2134">
        <f t="shared" si="227"/>
        <v>0</v>
      </c>
      <c r="J405" s="2134">
        <f t="shared" si="227"/>
        <v>0</v>
      </c>
      <c r="K405" s="2134">
        <f t="shared" si="227"/>
        <v>0</v>
      </c>
      <c r="L405" s="2134">
        <f t="shared" si="227"/>
        <v>0</v>
      </c>
      <c r="M405" s="2134">
        <f t="shared" si="227"/>
        <v>0</v>
      </c>
      <c r="N405" s="2135">
        <f t="shared" si="227"/>
        <v>0</v>
      </c>
    </row>
    <row r="406" spans="1:14" ht="15" customHeight="1">
      <c r="A406" s="2262"/>
      <c r="B406" s="2852"/>
      <c r="C406" s="2140" t="s">
        <v>2943</v>
      </c>
      <c r="D406" s="2263"/>
      <c r="E406" s="2138">
        <v>0.02</v>
      </c>
      <c r="F406" s="2265">
        <f>SUM(G406:N406)</f>
        <v>0</v>
      </c>
      <c r="G406" s="2134">
        <f t="shared" si="227"/>
        <v>0</v>
      </c>
      <c r="H406" s="2134">
        <f t="shared" si="227"/>
        <v>0</v>
      </c>
      <c r="I406" s="2134">
        <f t="shared" si="227"/>
        <v>0</v>
      </c>
      <c r="J406" s="2134">
        <f t="shared" si="227"/>
        <v>0</v>
      </c>
      <c r="K406" s="2134">
        <f t="shared" si="227"/>
        <v>0</v>
      </c>
      <c r="L406" s="2134">
        <f t="shared" si="227"/>
        <v>0</v>
      </c>
      <c r="M406" s="2134">
        <f t="shared" si="227"/>
        <v>0</v>
      </c>
      <c r="N406" s="2135">
        <f t="shared" si="227"/>
        <v>0</v>
      </c>
    </row>
    <row r="407" spans="1:14" ht="15" customHeight="1">
      <c r="A407" s="2262"/>
      <c r="B407" s="2270" t="s">
        <v>2652</v>
      </c>
      <c r="C407" s="2271" t="s">
        <v>2939</v>
      </c>
      <c r="D407" s="2263"/>
      <c r="E407" s="2138">
        <v>0</v>
      </c>
      <c r="F407" s="2265">
        <f>SUM(G407:N407)</f>
        <v>0</v>
      </c>
      <c r="G407" s="2275">
        <f t="shared" ref="G407:N407" si="228">SUM(G349:G355)</f>
        <v>0</v>
      </c>
      <c r="H407" s="2275">
        <f t="shared" si="228"/>
        <v>0</v>
      </c>
      <c r="I407" s="2275">
        <f t="shared" si="228"/>
        <v>0</v>
      </c>
      <c r="J407" s="2275">
        <f>SUM(J349:J355)</f>
        <v>0</v>
      </c>
      <c r="K407" s="2275">
        <f>SUM(K349:K355)</f>
        <v>0</v>
      </c>
      <c r="L407" s="2275">
        <f t="shared" si="228"/>
        <v>0</v>
      </c>
      <c r="M407" s="2275">
        <f t="shared" si="228"/>
        <v>0</v>
      </c>
      <c r="N407" s="2276">
        <f t="shared" si="228"/>
        <v>0</v>
      </c>
    </row>
    <row r="408" spans="1:14" ht="15" customHeight="1">
      <c r="A408" s="2277" t="s">
        <v>2573</v>
      </c>
      <c r="B408" s="2278"/>
      <c r="C408" s="2278"/>
      <c r="D408" s="2279"/>
      <c r="E408" s="2280" t="s">
        <v>2814</v>
      </c>
      <c r="F408" s="2281"/>
      <c r="G408" s="2282"/>
      <c r="H408" s="2282"/>
      <c r="I408" s="2282"/>
      <c r="J408" s="2282"/>
      <c r="K408" s="2282"/>
      <c r="L408" s="2282"/>
      <c r="M408" s="2282"/>
      <c r="N408" s="2283"/>
    </row>
    <row r="409" spans="1:14" ht="15" customHeight="1">
      <c r="A409" s="2258"/>
      <c r="B409" s="2846" t="s">
        <v>2920</v>
      </c>
      <c r="C409" s="2284" t="s">
        <v>2551</v>
      </c>
      <c r="D409" s="2285"/>
      <c r="E409" s="2286" t="s">
        <v>2921</v>
      </c>
      <c r="F409" s="2287" t="s">
        <v>2930</v>
      </c>
      <c r="G409" s="2288">
        <f t="shared" ref="G409:N409" si="229">IF(G392=0,0,+G495/100)</f>
        <v>0</v>
      </c>
      <c r="H409" s="2288">
        <f t="shared" si="229"/>
        <v>0</v>
      </c>
      <c r="I409" s="2288">
        <f t="shared" si="229"/>
        <v>0</v>
      </c>
      <c r="J409" s="2288">
        <f>IF(J392=0,0,+J495/100)</f>
        <v>0</v>
      </c>
      <c r="K409" s="2288">
        <f>IF(K392=0,0,+K495/100)</f>
        <v>0</v>
      </c>
      <c r="L409" s="2288">
        <f t="shared" si="229"/>
        <v>0</v>
      </c>
      <c r="M409" s="2288">
        <f t="shared" si="229"/>
        <v>0</v>
      </c>
      <c r="N409" s="2289">
        <f t="shared" si="229"/>
        <v>0</v>
      </c>
    </row>
    <row r="410" spans="1:14" ht="15" customHeight="1">
      <c r="A410" s="2262"/>
      <c r="B410" s="2847"/>
      <c r="C410" s="2290"/>
      <c r="D410" s="2291">
        <v>1</v>
      </c>
      <c r="E410" s="2292" t="s">
        <v>2921</v>
      </c>
      <c r="F410" s="2034">
        <f>SUM(G410:N410)</f>
        <v>0</v>
      </c>
      <c r="G410" s="2293">
        <f t="shared" ref="G410:N410" si="230">ROUNDDOWN(G392*G409*$D410,0)</f>
        <v>0</v>
      </c>
      <c r="H410" s="2293">
        <f t="shared" si="230"/>
        <v>0</v>
      </c>
      <c r="I410" s="2293">
        <f t="shared" si="230"/>
        <v>0</v>
      </c>
      <c r="J410" s="2293">
        <f>ROUNDDOWN(J392*J409*$D410,0)</f>
        <v>0</v>
      </c>
      <c r="K410" s="2293">
        <f>ROUNDDOWN(K392*K409*$D410,0)</f>
        <v>0</v>
      </c>
      <c r="L410" s="2293">
        <f t="shared" si="230"/>
        <v>0</v>
      </c>
      <c r="M410" s="2293">
        <f t="shared" si="230"/>
        <v>0</v>
      </c>
      <c r="N410" s="2294">
        <f t="shared" si="230"/>
        <v>0</v>
      </c>
    </row>
    <row r="411" spans="1:14" ht="15" customHeight="1">
      <c r="A411" s="2262"/>
      <c r="B411" s="2847"/>
      <c r="C411" s="2295" t="s">
        <v>2552</v>
      </c>
      <c r="D411" s="2039"/>
      <c r="E411" s="2292" t="s">
        <v>2921</v>
      </c>
      <c r="F411" s="2296" t="s">
        <v>2930</v>
      </c>
      <c r="G411" s="2297">
        <f t="shared" ref="G411:N411" si="231">IF(G393=0,0,+G503/100)</f>
        <v>0</v>
      </c>
      <c r="H411" s="2297">
        <f t="shared" si="231"/>
        <v>0</v>
      </c>
      <c r="I411" s="2297">
        <f t="shared" si="231"/>
        <v>0</v>
      </c>
      <c r="J411" s="2297">
        <f>IF(J393=0,0,+J503/100)</f>
        <v>0</v>
      </c>
      <c r="K411" s="2297">
        <f>IF(K393=0,0,+K503/100)</f>
        <v>0</v>
      </c>
      <c r="L411" s="2297">
        <f t="shared" si="231"/>
        <v>0</v>
      </c>
      <c r="M411" s="2297">
        <f t="shared" si="231"/>
        <v>0</v>
      </c>
      <c r="N411" s="2298">
        <f t="shared" si="231"/>
        <v>0</v>
      </c>
    </row>
    <row r="412" spans="1:14" ht="15" customHeight="1">
      <c r="A412" s="2262"/>
      <c r="B412" s="2848"/>
      <c r="C412" s="2290"/>
      <c r="D412" s="2291">
        <v>1</v>
      </c>
      <c r="E412" s="2292" t="s">
        <v>2921</v>
      </c>
      <c r="F412" s="2034">
        <f>SUM(G412:N412)</f>
        <v>0</v>
      </c>
      <c r="G412" s="2293">
        <f t="shared" ref="G412:N412" si="232">IF(G301="改修",ROUNDDOWN(G393*G411*$D412,0),0)</f>
        <v>0</v>
      </c>
      <c r="H412" s="2293">
        <f t="shared" si="232"/>
        <v>0</v>
      </c>
      <c r="I412" s="2293">
        <f t="shared" si="232"/>
        <v>0</v>
      </c>
      <c r="J412" s="2293">
        <f>IF(J301="改修",ROUNDDOWN(J393*J411*$D412,0),0)</f>
        <v>0</v>
      </c>
      <c r="K412" s="2293">
        <f>IF(K301="改修",ROUNDDOWN(K393*K411*$D412,0),0)</f>
        <v>0</v>
      </c>
      <c r="L412" s="2293">
        <f t="shared" si="232"/>
        <v>0</v>
      </c>
      <c r="M412" s="2293">
        <f t="shared" si="232"/>
        <v>0</v>
      </c>
      <c r="N412" s="2294">
        <f t="shared" si="232"/>
        <v>0</v>
      </c>
    </row>
    <row r="413" spans="1:14" ht="15" customHeight="1">
      <c r="A413" s="2262"/>
      <c r="B413" s="2848"/>
      <c r="C413" s="2299" t="s">
        <v>2940</v>
      </c>
      <c r="D413" s="2300"/>
      <c r="E413" s="2301"/>
      <c r="F413" s="2302" t="s">
        <v>2930</v>
      </c>
      <c r="G413" s="2303">
        <f t="shared" ref="G413:N413" si="233">IF(G395=0,0,IF(G301="改修",G503/100,G495/100))</f>
        <v>0</v>
      </c>
      <c r="H413" s="2303">
        <f t="shared" si="233"/>
        <v>0</v>
      </c>
      <c r="I413" s="2303">
        <f t="shared" si="233"/>
        <v>0</v>
      </c>
      <c r="J413" s="2303">
        <f>IF(J395=0,0,IF(J301="改修",J503/100,J495/100))</f>
        <v>0</v>
      </c>
      <c r="K413" s="2303">
        <f>IF(K395=0,0,IF(K301="改修",K503/100,K495/100))</f>
        <v>0</v>
      </c>
      <c r="L413" s="2303">
        <f t="shared" si="233"/>
        <v>0</v>
      </c>
      <c r="M413" s="2303">
        <f t="shared" si="233"/>
        <v>0</v>
      </c>
      <c r="N413" s="2304">
        <f t="shared" si="233"/>
        <v>0</v>
      </c>
    </row>
    <row r="414" spans="1:14" ht="15" customHeight="1">
      <c r="A414" s="2262"/>
      <c r="B414" s="2848"/>
      <c r="C414" s="2305" t="s">
        <v>2941</v>
      </c>
      <c r="D414" s="2306"/>
      <c r="E414" s="2301"/>
      <c r="F414" s="2302"/>
      <c r="G414" s="2119">
        <f t="shared" ref="G414:N414" si="234">ROUND(G394*G413,0)</f>
        <v>0</v>
      </c>
      <c r="H414" s="2119">
        <f t="shared" si="234"/>
        <v>0</v>
      </c>
      <c r="I414" s="2119">
        <f t="shared" si="234"/>
        <v>0</v>
      </c>
      <c r="J414" s="2119">
        <f>ROUND(J394*J413,0)</f>
        <v>0</v>
      </c>
      <c r="K414" s="2119">
        <f>ROUND(K394*K413,0)</f>
        <v>0</v>
      </c>
      <c r="L414" s="2119">
        <f t="shared" si="234"/>
        <v>0</v>
      </c>
      <c r="M414" s="2119">
        <f t="shared" si="234"/>
        <v>0</v>
      </c>
      <c r="N414" s="2120">
        <f t="shared" si="234"/>
        <v>0</v>
      </c>
    </row>
    <row r="415" spans="1:14" ht="15" customHeight="1">
      <c r="A415" s="2262"/>
      <c r="B415" s="2849"/>
      <c r="C415" s="2307" t="s">
        <v>2942</v>
      </c>
      <c r="D415" s="2308"/>
      <c r="E415" s="2309"/>
      <c r="F415" s="2310">
        <f>SUM(G415:N415)</f>
        <v>0</v>
      </c>
      <c r="G415" s="2127">
        <f t="shared" ref="G415:N415" si="235">ROUND(G395*G413,0)</f>
        <v>0</v>
      </c>
      <c r="H415" s="2127">
        <f t="shared" si="235"/>
        <v>0</v>
      </c>
      <c r="I415" s="2127">
        <f t="shared" si="235"/>
        <v>0</v>
      </c>
      <c r="J415" s="2127">
        <f>ROUND(J395*J413,0)</f>
        <v>0</v>
      </c>
      <c r="K415" s="2127">
        <f>ROUND(K395*K413,0)</f>
        <v>0</v>
      </c>
      <c r="L415" s="2127">
        <f t="shared" si="235"/>
        <v>0</v>
      </c>
      <c r="M415" s="2127">
        <f t="shared" si="235"/>
        <v>0</v>
      </c>
      <c r="N415" s="2128">
        <f t="shared" si="235"/>
        <v>0</v>
      </c>
    </row>
    <row r="416" spans="1:14" ht="15" customHeight="1">
      <c r="A416" s="2262"/>
      <c r="B416" s="2850" t="s">
        <v>2757</v>
      </c>
      <c r="C416" s="2124" t="str">
        <f>+C396</f>
        <v>(4-2)積上げ共通仮設工事※警備員費・率除外項目除く</v>
      </c>
      <c r="D416" s="2311"/>
      <c r="E416" s="2138">
        <f t="shared" ref="E416:E421" si="236">+E396</f>
        <v>0.2</v>
      </c>
      <c r="F416" s="2034">
        <f t="shared" ref="F416:F421" si="237">INT((F338-F396)*0.5)</f>
        <v>0</v>
      </c>
      <c r="G416" s="2134">
        <f t="shared" ref="G416:G421" si="238">F416-SUM(H416:N416)</f>
        <v>0</v>
      </c>
      <c r="H416" s="2134">
        <f t="shared" ref="H416:N421" si="239">IF(H396=0,0,ROUND($F416/$F396*H396,0))</f>
        <v>0</v>
      </c>
      <c r="I416" s="2134">
        <f t="shared" si="239"/>
        <v>0</v>
      </c>
      <c r="J416" s="2134">
        <f t="shared" si="239"/>
        <v>0</v>
      </c>
      <c r="K416" s="2134">
        <f t="shared" si="239"/>
        <v>0</v>
      </c>
      <c r="L416" s="2134">
        <f t="shared" si="239"/>
        <v>0</v>
      </c>
      <c r="M416" s="2134">
        <f t="shared" si="239"/>
        <v>0</v>
      </c>
      <c r="N416" s="2135">
        <f t="shared" si="239"/>
        <v>0</v>
      </c>
    </row>
    <row r="417" spans="1:14" ht="15" customHeight="1">
      <c r="A417" s="2262"/>
      <c r="B417" s="2848"/>
      <c r="C417" s="2124" t="str">
        <f>+C397</f>
        <v>(5)直接仮設工事</v>
      </c>
      <c r="D417" s="2311"/>
      <c r="E417" s="2138">
        <f t="shared" si="236"/>
        <v>0.2</v>
      </c>
      <c r="F417" s="2034">
        <f t="shared" si="237"/>
        <v>0</v>
      </c>
      <c r="G417" s="2134">
        <f t="shared" si="238"/>
        <v>0</v>
      </c>
      <c r="H417" s="2134">
        <f t="shared" si="239"/>
        <v>0</v>
      </c>
      <c r="I417" s="2134">
        <f t="shared" si="239"/>
        <v>0</v>
      </c>
      <c r="J417" s="2134">
        <f t="shared" si="239"/>
        <v>0</v>
      </c>
      <c r="K417" s="2134">
        <f t="shared" si="239"/>
        <v>0</v>
      </c>
      <c r="L417" s="2134">
        <f t="shared" si="239"/>
        <v>0</v>
      </c>
      <c r="M417" s="2134">
        <f t="shared" si="239"/>
        <v>0</v>
      </c>
      <c r="N417" s="2135">
        <f t="shared" si="239"/>
        <v>0</v>
      </c>
    </row>
    <row r="418" spans="1:14" ht="15" customHeight="1">
      <c r="A418" s="2262"/>
      <c r="B418" s="2848"/>
      <c r="C418" s="2132" t="str">
        <f>C398</f>
        <v>(6)建具工事</v>
      </c>
      <c r="D418" s="2311"/>
      <c r="E418" s="2312">
        <f t="shared" si="236"/>
        <v>0.25</v>
      </c>
      <c r="F418" s="2034">
        <f t="shared" si="237"/>
        <v>0</v>
      </c>
      <c r="G418" s="2134">
        <f t="shared" si="238"/>
        <v>0</v>
      </c>
      <c r="H418" s="2134">
        <f t="shared" si="239"/>
        <v>0</v>
      </c>
      <c r="I418" s="2134">
        <f t="shared" si="239"/>
        <v>0</v>
      </c>
      <c r="J418" s="2134">
        <f t="shared" si="239"/>
        <v>0</v>
      </c>
      <c r="K418" s="2134">
        <f t="shared" si="239"/>
        <v>0</v>
      </c>
      <c r="L418" s="2134">
        <f t="shared" si="239"/>
        <v>0</v>
      </c>
      <c r="M418" s="2134">
        <f t="shared" si="239"/>
        <v>0</v>
      </c>
      <c r="N418" s="2135">
        <f t="shared" si="239"/>
        <v>0</v>
      </c>
    </row>
    <row r="419" spans="1:14" ht="15" customHeight="1">
      <c r="A419" s="2262"/>
      <c r="B419" s="2848"/>
      <c r="C419" s="2124" t="str">
        <f>+C399</f>
        <v>(7)場内小運搬費</v>
      </c>
      <c r="D419" s="2311"/>
      <c r="E419" s="2138">
        <f t="shared" si="236"/>
        <v>0.2</v>
      </c>
      <c r="F419" s="2034">
        <f t="shared" si="237"/>
        <v>0</v>
      </c>
      <c r="G419" s="2134">
        <f t="shared" si="238"/>
        <v>0</v>
      </c>
      <c r="H419" s="2134">
        <f t="shared" si="239"/>
        <v>0</v>
      </c>
      <c r="I419" s="2134">
        <f t="shared" si="239"/>
        <v>0</v>
      </c>
      <c r="J419" s="2134">
        <f t="shared" si="239"/>
        <v>0</v>
      </c>
      <c r="K419" s="2134">
        <f t="shared" si="239"/>
        <v>0</v>
      </c>
      <c r="L419" s="2134">
        <f t="shared" si="239"/>
        <v>0</v>
      </c>
      <c r="M419" s="2134">
        <f t="shared" si="239"/>
        <v>0</v>
      </c>
      <c r="N419" s="2135">
        <f t="shared" si="239"/>
        <v>0</v>
      </c>
    </row>
    <row r="420" spans="1:14" ht="15" customHeight="1">
      <c r="A420" s="2262"/>
      <c r="B420" s="2848"/>
      <c r="C420" s="2124" t="str">
        <f>+C400</f>
        <v>(8)〃人力積込み費</v>
      </c>
      <c r="D420" s="2311"/>
      <c r="E420" s="2138">
        <f t="shared" si="236"/>
        <v>0.2</v>
      </c>
      <c r="F420" s="2034">
        <f t="shared" si="237"/>
        <v>0</v>
      </c>
      <c r="G420" s="2134">
        <f t="shared" si="238"/>
        <v>0</v>
      </c>
      <c r="H420" s="2134">
        <f t="shared" si="239"/>
        <v>0</v>
      </c>
      <c r="I420" s="2134">
        <f t="shared" si="239"/>
        <v>0</v>
      </c>
      <c r="J420" s="2134">
        <f t="shared" si="239"/>
        <v>0</v>
      </c>
      <c r="K420" s="2134">
        <f t="shared" si="239"/>
        <v>0</v>
      </c>
      <c r="L420" s="2134">
        <f t="shared" si="239"/>
        <v>0</v>
      </c>
      <c r="M420" s="2134">
        <f t="shared" si="239"/>
        <v>0</v>
      </c>
      <c r="N420" s="2313">
        <f t="shared" si="239"/>
        <v>0</v>
      </c>
    </row>
    <row r="421" spans="1:14" ht="15" customHeight="1">
      <c r="A421" s="2262"/>
      <c r="B421" s="2848"/>
      <c r="C421" s="2124" t="str">
        <f>+C401</f>
        <v>(9)〃搬出準備費</v>
      </c>
      <c r="D421" s="2311"/>
      <c r="E421" s="2138">
        <f t="shared" si="236"/>
        <v>0.2</v>
      </c>
      <c r="F421" s="2034">
        <f t="shared" si="237"/>
        <v>0</v>
      </c>
      <c r="G421" s="2134">
        <f t="shared" si="238"/>
        <v>0</v>
      </c>
      <c r="H421" s="2134">
        <f t="shared" si="239"/>
        <v>0</v>
      </c>
      <c r="I421" s="2134">
        <f t="shared" si="239"/>
        <v>0</v>
      </c>
      <c r="J421" s="2134">
        <f t="shared" si="239"/>
        <v>0</v>
      </c>
      <c r="K421" s="2134">
        <f t="shared" si="239"/>
        <v>0</v>
      </c>
      <c r="L421" s="2134">
        <f t="shared" si="239"/>
        <v>0</v>
      </c>
      <c r="M421" s="2134">
        <f t="shared" si="239"/>
        <v>0</v>
      </c>
      <c r="N421" s="2313">
        <f t="shared" si="239"/>
        <v>0</v>
      </c>
    </row>
    <row r="422" spans="1:14" ht="15" customHeight="1">
      <c r="A422" s="2262"/>
      <c r="B422" s="2848"/>
      <c r="C422" s="2124"/>
      <c r="D422" s="2311"/>
      <c r="E422" s="2314"/>
      <c r="F422" s="2034"/>
      <c r="G422" s="2134"/>
      <c r="H422" s="2134"/>
      <c r="I422" s="2134"/>
      <c r="J422" s="2134"/>
      <c r="K422" s="2134"/>
      <c r="L422" s="2134"/>
      <c r="M422" s="2134"/>
      <c r="N422" s="2135"/>
    </row>
    <row r="423" spans="1:14" ht="15" customHeight="1">
      <c r="A423" s="2262"/>
      <c r="B423" s="2851"/>
      <c r="C423" s="2124"/>
      <c r="D423" s="2311"/>
      <c r="E423" s="2138"/>
      <c r="F423" s="2034"/>
      <c r="G423" s="2134"/>
      <c r="H423" s="2134"/>
      <c r="I423" s="2134"/>
      <c r="J423" s="2134"/>
      <c r="K423" s="2134"/>
      <c r="L423" s="2134"/>
      <c r="M423" s="2134"/>
      <c r="N423" s="2135"/>
    </row>
    <row r="424" spans="1:14" ht="15" customHeight="1">
      <c r="A424" s="2262"/>
      <c r="B424" s="2850" t="s">
        <v>489</v>
      </c>
      <c r="C424" s="2124" t="s">
        <v>2936</v>
      </c>
      <c r="D424" s="2311"/>
      <c r="E424" s="2138">
        <f>+E404</f>
        <v>0.02</v>
      </c>
      <c r="F424" s="2034">
        <f>INT(F404*E424)</f>
        <v>0</v>
      </c>
      <c r="G424" s="2134">
        <f>F424-SUM(H424:N424)</f>
        <v>0</v>
      </c>
      <c r="H424" s="2134">
        <f t="shared" ref="H424:N426" si="240">IF(H404=0,0,ROUND($F424/$F404*H404,0))</f>
        <v>0</v>
      </c>
      <c r="I424" s="2134">
        <f t="shared" si="240"/>
        <v>0</v>
      </c>
      <c r="J424" s="2134">
        <f t="shared" si="240"/>
        <v>0</v>
      </c>
      <c r="K424" s="2134">
        <f t="shared" si="240"/>
        <v>0</v>
      </c>
      <c r="L424" s="2134">
        <f t="shared" si="240"/>
        <v>0</v>
      </c>
      <c r="M424" s="2134">
        <f t="shared" si="240"/>
        <v>0</v>
      </c>
      <c r="N424" s="2313">
        <f t="shared" si="240"/>
        <v>0</v>
      </c>
    </row>
    <row r="425" spans="1:14" ht="15" customHeight="1">
      <c r="A425" s="2262"/>
      <c r="B425" s="2847"/>
      <c r="C425" s="2140" t="s">
        <v>2937</v>
      </c>
      <c r="D425" s="2311"/>
      <c r="E425" s="2138">
        <f>+E405</f>
        <v>0.02</v>
      </c>
      <c r="F425" s="2034">
        <f>INT(F405*E425)</f>
        <v>0</v>
      </c>
      <c r="G425" s="2134">
        <f>F425-SUM(H425:N425)</f>
        <v>0</v>
      </c>
      <c r="H425" s="2134">
        <f t="shared" si="240"/>
        <v>0</v>
      </c>
      <c r="I425" s="2134">
        <f t="shared" si="240"/>
        <v>0</v>
      </c>
      <c r="J425" s="2134">
        <f t="shared" si="240"/>
        <v>0</v>
      </c>
      <c r="K425" s="2134">
        <f t="shared" si="240"/>
        <v>0</v>
      </c>
      <c r="L425" s="2134">
        <f t="shared" si="240"/>
        <v>0</v>
      </c>
      <c r="M425" s="2134">
        <f t="shared" si="240"/>
        <v>0</v>
      </c>
      <c r="N425" s="2313">
        <f t="shared" si="240"/>
        <v>0</v>
      </c>
    </row>
    <row r="426" spans="1:14" ht="14.25" customHeight="1">
      <c r="A426" s="2262"/>
      <c r="B426" s="2852"/>
      <c r="C426" s="2140" t="s">
        <v>2938</v>
      </c>
      <c r="D426" s="2311"/>
      <c r="E426" s="2138">
        <f>+E406</f>
        <v>0.02</v>
      </c>
      <c r="F426" s="2034">
        <f>INT(F406*E426)</f>
        <v>0</v>
      </c>
      <c r="G426" s="2134">
        <f>F426-SUM(H426:N426)</f>
        <v>0</v>
      </c>
      <c r="H426" s="2134">
        <f t="shared" si="240"/>
        <v>0</v>
      </c>
      <c r="I426" s="2134">
        <f t="shared" si="240"/>
        <v>0</v>
      </c>
      <c r="J426" s="2134">
        <f t="shared" si="240"/>
        <v>0</v>
      </c>
      <c r="K426" s="2134">
        <f t="shared" si="240"/>
        <v>0</v>
      </c>
      <c r="L426" s="2134">
        <f t="shared" si="240"/>
        <v>0</v>
      </c>
      <c r="M426" s="2134">
        <f t="shared" si="240"/>
        <v>0</v>
      </c>
      <c r="N426" s="2313">
        <f t="shared" si="240"/>
        <v>0</v>
      </c>
    </row>
    <row r="427" spans="1:14" ht="14.25" customHeight="1">
      <c r="A427" s="2262"/>
      <c r="B427" s="2315" t="s">
        <v>2582</v>
      </c>
      <c r="C427" s="2316" t="s">
        <v>2944</v>
      </c>
      <c r="D427" s="2317"/>
      <c r="E427" s="2138"/>
      <c r="F427" s="2318">
        <f>SUM(G427:N427)</f>
        <v>0</v>
      </c>
      <c r="G427" s="2519">
        <f t="shared" ref="G427:N427" si="241">G62+G214</f>
        <v>0</v>
      </c>
      <c r="H427" s="2519">
        <f t="shared" si="241"/>
        <v>0</v>
      </c>
      <c r="I427" s="2519">
        <f t="shared" si="241"/>
        <v>0</v>
      </c>
      <c r="J427" s="2519">
        <f>J62+J214</f>
        <v>0</v>
      </c>
      <c r="K427" s="2519">
        <f>K62+K214</f>
        <v>0</v>
      </c>
      <c r="L427" s="2519">
        <f t="shared" si="241"/>
        <v>0</v>
      </c>
      <c r="M427" s="2519">
        <f t="shared" si="241"/>
        <v>0</v>
      </c>
      <c r="N427" s="2520">
        <f t="shared" si="241"/>
        <v>0</v>
      </c>
    </row>
    <row r="428" spans="1:14" ht="15" customHeight="1">
      <c r="A428" s="2262"/>
      <c r="B428" s="2319" t="s">
        <v>2584</v>
      </c>
      <c r="C428" s="2320" t="s">
        <v>2824</v>
      </c>
      <c r="D428" s="2317"/>
      <c r="E428" s="2138"/>
      <c r="F428" s="2265"/>
      <c r="G428" s="2134"/>
      <c r="H428" s="2134"/>
      <c r="I428" s="2134"/>
      <c r="J428" s="2134"/>
      <c r="K428" s="2134"/>
      <c r="L428" s="2134"/>
      <c r="M428" s="2134"/>
      <c r="N428" s="2135"/>
    </row>
    <row r="429" spans="1:14" ht="15" customHeight="1">
      <c r="A429" s="2262"/>
      <c r="B429" s="2321" t="s">
        <v>2652</v>
      </c>
      <c r="C429" s="2322" t="s">
        <v>2945</v>
      </c>
      <c r="D429" s="2323"/>
      <c r="E429" s="2324">
        <f>+E407</f>
        <v>0</v>
      </c>
      <c r="F429" s="2265">
        <f>INT(F407*E429)</f>
        <v>0</v>
      </c>
      <c r="G429" s="2134">
        <f>F429-SUM(H429:N429)</f>
        <v>0</v>
      </c>
      <c r="H429" s="2134">
        <f t="shared" ref="H429:N429" si="242">IF(H407=0,0,ROUND($F429/$F407*H407,0))</f>
        <v>0</v>
      </c>
      <c r="I429" s="2134">
        <f t="shared" si="242"/>
        <v>0</v>
      </c>
      <c r="J429" s="2134">
        <f t="shared" si="242"/>
        <v>0</v>
      </c>
      <c r="K429" s="2134">
        <f t="shared" si="242"/>
        <v>0</v>
      </c>
      <c r="L429" s="2134">
        <f t="shared" si="242"/>
        <v>0</v>
      </c>
      <c r="M429" s="2134">
        <f t="shared" si="242"/>
        <v>0</v>
      </c>
      <c r="N429" s="2313">
        <f t="shared" si="242"/>
        <v>0</v>
      </c>
    </row>
    <row r="430" spans="1:14" ht="15" customHeight="1" thickBot="1">
      <c r="A430" s="2325"/>
      <c r="B430" s="2326"/>
      <c r="C430" s="2327"/>
      <c r="D430" s="2328"/>
      <c r="E430" s="2324"/>
      <c r="F430" s="2329"/>
      <c r="G430" s="2134"/>
      <c r="H430" s="2330"/>
      <c r="I430" s="2330"/>
      <c r="J430" s="2330"/>
      <c r="K430" s="2330"/>
      <c r="L430" s="2330"/>
      <c r="M430" s="2330"/>
      <c r="N430" s="2331"/>
    </row>
    <row r="431" spans="1:14" ht="15" customHeight="1" thickTop="1">
      <c r="A431" s="2332"/>
      <c r="B431" s="2333"/>
      <c r="C431" s="2334" t="s">
        <v>2677</v>
      </c>
      <c r="D431" s="2335"/>
      <c r="E431" s="2336"/>
      <c r="F431" s="2337">
        <f>SUM(F409:F430)</f>
        <v>0</v>
      </c>
      <c r="G431" s="2337">
        <f t="shared" ref="G431:N431" si="243">G410+G412+SUM(G414:G429)</f>
        <v>0</v>
      </c>
      <c r="H431" s="2337">
        <f t="shared" si="243"/>
        <v>0</v>
      </c>
      <c r="I431" s="2337">
        <f t="shared" si="243"/>
        <v>0</v>
      </c>
      <c r="J431" s="2337">
        <f>J410+J412+SUM(J414:J429)</f>
        <v>0</v>
      </c>
      <c r="K431" s="2337">
        <f>K410+K412+SUM(K414:K429)</f>
        <v>0</v>
      </c>
      <c r="L431" s="2337">
        <f t="shared" si="243"/>
        <v>0</v>
      </c>
      <c r="M431" s="2337">
        <f t="shared" si="243"/>
        <v>0</v>
      </c>
      <c r="N431" s="2338">
        <f t="shared" si="243"/>
        <v>0</v>
      </c>
    </row>
    <row r="432" spans="1:14" ht="15" customHeight="1">
      <c r="A432" s="2339"/>
      <c r="B432" s="2340"/>
      <c r="C432" s="2341" t="s">
        <v>2678</v>
      </c>
      <c r="D432" s="2342"/>
      <c r="E432" s="2343"/>
      <c r="F432" s="2248">
        <f>SUM(G432:N432)</f>
        <v>0</v>
      </c>
      <c r="G432" s="2249">
        <f t="shared" ref="G432:N432" si="244">+G317+G431</f>
        <v>0</v>
      </c>
      <c r="H432" s="2249">
        <f t="shared" si="244"/>
        <v>0</v>
      </c>
      <c r="I432" s="2249">
        <f t="shared" si="244"/>
        <v>0</v>
      </c>
      <c r="J432" s="2249">
        <f>+J317+J431</f>
        <v>0</v>
      </c>
      <c r="K432" s="2249">
        <f>+K317+K431</f>
        <v>0</v>
      </c>
      <c r="L432" s="2249">
        <f t="shared" si="244"/>
        <v>0</v>
      </c>
      <c r="M432" s="2249">
        <f t="shared" si="244"/>
        <v>0</v>
      </c>
      <c r="N432" s="2344">
        <f t="shared" si="244"/>
        <v>0</v>
      </c>
    </row>
    <row r="433" spans="1:14" ht="15" customHeight="1">
      <c r="A433" s="1703"/>
      <c r="B433" s="1703"/>
      <c r="C433" s="1962" t="s">
        <v>2946</v>
      </c>
      <c r="D433" s="1962"/>
      <c r="E433" s="1704"/>
      <c r="F433" s="1704"/>
      <c r="G433" s="1963"/>
      <c r="H433" s="1713"/>
      <c r="I433" s="1713"/>
      <c r="J433" s="1713"/>
      <c r="K433" s="1713"/>
      <c r="L433" s="1713"/>
      <c r="M433" s="1713"/>
      <c r="N433" s="1709" t="s">
        <v>2980</v>
      </c>
    </row>
    <row r="434" spans="1:14" ht="15" customHeight="1">
      <c r="A434" s="1703"/>
      <c r="B434" s="1703"/>
      <c r="C434" s="1703"/>
      <c r="D434" s="1703"/>
      <c r="E434" s="1703"/>
      <c r="F434" s="1703"/>
      <c r="G434" s="1713"/>
      <c r="H434" s="1713"/>
      <c r="I434" s="1713"/>
      <c r="J434" s="1713"/>
      <c r="K434" s="1713"/>
      <c r="L434" s="1713"/>
      <c r="M434" s="1713"/>
      <c r="N434" s="1713"/>
    </row>
    <row r="435" spans="1:14" ht="15" customHeight="1">
      <c r="A435" s="2853"/>
      <c r="B435" s="2854"/>
      <c r="C435" s="2854"/>
      <c r="D435" s="2345"/>
      <c r="E435" s="2245" t="s">
        <v>2681</v>
      </c>
      <c r="F435" s="2245" t="s">
        <v>2526</v>
      </c>
      <c r="G435" s="2246" t="str">
        <f t="shared" ref="G435:N435" si="245">+G302</f>
        <v>工事１</v>
      </c>
      <c r="H435" s="2246" t="str">
        <f t="shared" si="245"/>
        <v>工事２</v>
      </c>
      <c r="I435" s="2246" t="str">
        <f t="shared" si="245"/>
        <v>工事３</v>
      </c>
      <c r="J435" s="2246" t="str">
        <f>+J302</f>
        <v>工事３</v>
      </c>
      <c r="K435" s="2246" t="str">
        <f>+K302</f>
        <v>工事３</v>
      </c>
      <c r="L435" s="2246" t="str">
        <f t="shared" si="245"/>
        <v>工事４</v>
      </c>
      <c r="M435" s="2246" t="str">
        <f t="shared" si="245"/>
        <v>工事５</v>
      </c>
      <c r="N435" s="2346" t="str">
        <f t="shared" si="245"/>
        <v>工事６</v>
      </c>
    </row>
    <row r="436" spans="1:14" ht="15" customHeight="1">
      <c r="A436" s="2855"/>
      <c r="B436" s="2856"/>
      <c r="C436" s="2856"/>
      <c r="D436" s="2347"/>
      <c r="E436" s="2343"/>
      <c r="F436" s="2348"/>
      <c r="G436" s="2349"/>
      <c r="H436" s="2349"/>
      <c r="I436" s="2349"/>
      <c r="J436" s="2349"/>
      <c r="K436" s="2349"/>
      <c r="L436" s="2349"/>
      <c r="M436" s="2349"/>
      <c r="N436" s="2350"/>
    </row>
    <row r="437" spans="1:14" ht="15" customHeight="1">
      <c r="A437" s="2351"/>
      <c r="B437" s="2352"/>
      <c r="C437" s="2353" t="s">
        <v>2948</v>
      </c>
      <c r="D437" s="2354"/>
      <c r="E437" s="2355"/>
      <c r="F437" s="2356">
        <f t="shared" ref="F437:N437" si="246">+F432</f>
        <v>0</v>
      </c>
      <c r="G437" s="2356">
        <f t="shared" si="246"/>
        <v>0</v>
      </c>
      <c r="H437" s="2356">
        <f t="shared" si="246"/>
        <v>0</v>
      </c>
      <c r="I437" s="2356">
        <f t="shared" si="246"/>
        <v>0</v>
      </c>
      <c r="J437" s="2356">
        <f>+J432</f>
        <v>0</v>
      </c>
      <c r="K437" s="2356">
        <f>+K432</f>
        <v>0</v>
      </c>
      <c r="L437" s="2356">
        <f t="shared" si="246"/>
        <v>0</v>
      </c>
      <c r="M437" s="2356">
        <f t="shared" si="246"/>
        <v>0</v>
      </c>
      <c r="N437" s="2357">
        <f t="shared" si="246"/>
        <v>0</v>
      </c>
    </row>
    <row r="438" spans="1:14" ht="15" customHeight="1">
      <c r="A438" s="2029"/>
      <c r="B438" s="2032"/>
      <c r="C438" s="2358"/>
      <c r="D438" s="2359"/>
      <c r="E438" s="1874" t="s">
        <v>2949</v>
      </c>
      <c r="F438" s="2360">
        <f>SUM(G438:N438)</f>
        <v>0</v>
      </c>
      <c r="G438" s="2125">
        <f t="shared" ref="G438:N438" si="247">G391+G412+G415+G353+G354</f>
        <v>0</v>
      </c>
      <c r="H438" s="2125">
        <f t="shared" si="247"/>
        <v>0</v>
      </c>
      <c r="I438" s="2125">
        <f t="shared" si="247"/>
        <v>0</v>
      </c>
      <c r="J438" s="2125">
        <f>J391+J412+J415+J353+J354</f>
        <v>0</v>
      </c>
      <c r="K438" s="2125">
        <f>K391+K412+K415+K353+K354</f>
        <v>0</v>
      </c>
      <c r="L438" s="2125">
        <f t="shared" si="247"/>
        <v>0</v>
      </c>
      <c r="M438" s="2125">
        <f t="shared" si="247"/>
        <v>0</v>
      </c>
      <c r="N438" s="2126">
        <f t="shared" si="247"/>
        <v>0</v>
      </c>
    </row>
    <row r="439" spans="1:14" ht="15" customHeight="1">
      <c r="A439" s="2043"/>
      <c r="B439" s="2046"/>
      <c r="C439" s="2361"/>
      <c r="D439" s="2362"/>
      <c r="E439" s="2363"/>
      <c r="F439" s="2274"/>
      <c r="G439" s="2275"/>
      <c r="H439" s="2275"/>
      <c r="I439" s="2275"/>
      <c r="J439" s="2275"/>
      <c r="K439" s="2275"/>
      <c r="L439" s="2275"/>
      <c r="M439" s="2275"/>
      <c r="N439" s="2276"/>
    </row>
    <row r="440" spans="1:14" ht="15" customHeight="1">
      <c r="A440" s="1714"/>
      <c r="B440" s="1715"/>
      <c r="C440" s="1715"/>
      <c r="D440" s="2364"/>
      <c r="E440" s="2355" t="str">
        <f>E302</f>
        <v>有り</v>
      </c>
      <c r="F440" s="2857" t="s">
        <v>2685</v>
      </c>
      <c r="G440" s="2857"/>
      <c r="H440" s="2260"/>
      <c r="I440" s="2260"/>
      <c r="J440" s="2260"/>
      <c r="K440" s="2260"/>
      <c r="L440" s="2260"/>
      <c r="M440" s="2260"/>
      <c r="N440" s="2261"/>
    </row>
    <row r="441" spans="1:14" ht="15" customHeight="1">
      <c r="A441" s="2844" t="s">
        <v>2686</v>
      </c>
      <c r="B441" s="2844"/>
      <c r="C441" s="2858"/>
      <c r="D441" s="2365"/>
      <c r="E441" s="2363" t="str">
        <f>+E303</f>
        <v>有り</v>
      </c>
      <c r="F441" s="2859" t="s">
        <v>2687</v>
      </c>
      <c r="G441" s="2859"/>
      <c r="H441" s="2275"/>
      <c r="I441" s="2275"/>
      <c r="J441" s="2275"/>
      <c r="K441" s="2275"/>
      <c r="L441" s="2275"/>
      <c r="M441" s="2275"/>
      <c r="N441" s="2276"/>
    </row>
    <row r="442" spans="1:14" ht="15" customHeight="1">
      <c r="A442" s="2842"/>
      <c r="B442" s="2366" t="s">
        <v>163</v>
      </c>
      <c r="C442" s="2367" t="s">
        <v>2950</v>
      </c>
      <c r="D442" s="2368"/>
      <c r="E442" s="2369">
        <f>G509/100</f>
        <v>0.11259999999999999</v>
      </c>
      <c r="F442" s="2356">
        <f>SUM(G442:N442)</f>
        <v>0</v>
      </c>
      <c r="G442" s="2370">
        <f t="shared" ref="G442:N442" si="248">G335+G336+G337+G353+G354+G410+G412+G415+SUM(G424:G429)-G447</f>
        <v>0</v>
      </c>
      <c r="H442" s="2370">
        <f t="shared" si="248"/>
        <v>0</v>
      </c>
      <c r="I442" s="2370">
        <f t="shared" si="248"/>
        <v>0</v>
      </c>
      <c r="J442" s="2370">
        <f>J335+J336+J337+J353+J354+J410+J412+J415+SUM(J424:J429)-J447</f>
        <v>0</v>
      </c>
      <c r="K442" s="2370">
        <f>K335+K336+K337+K353+K354+K410+K412+K415+SUM(K424:K429)-K447</f>
        <v>0</v>
      </c>
      <c r="L442" s="2370">
        <f t="shared" si="248"/>
        <v>0</v>
      </c>
      <c r="M442" s="2370">
        <f t="shared" si="248"/>
        <v>0</v>
      </c>
      <c r="N442" s="2371">
        <f t="shared" si="248"/>
        <v>0</v>
      </c>
    </row>
    <row r="443" spans="1:14" ht="15" customHeight="1">
      <c r="A443" s="2843"/>
      <c r="B443" s="2832" t="s">
        <v>2689</v>
      </c>
      <c r="C443" s="2372" t="s">
        <v>2690</v>
      </c>
      <c r="D443" s="2317"/>
      <c r="E443" s="2373">
        <f>IF(E440="無し",0.05,0)</f>
        <v>0</v>
      </c>
      <c r="F443" s="2265">
        <f>SUM(G443:N443)</f>
        <v>0</v>
      </c>
      <c r="G443" s="2125">
        <f t="shared" ref="G443:N443" si="249">G442</f>
        <v>0</v>
      </c>
      <c r="H443" s="2125">
        <f t="shared" si="249"/>
        <v>0</v>
      </c>
      <c r="I443" s="2125">
        <f t="shared" si="249"/>
        <v>0</v>
      </c>
      <c r="J443" s="2125">
        <f>J442</f>
        <v>0</v>
      </c>
      <c r="K443" s="2125">
        <f>K442</f>
        <v>0</v>
      </c>
      <c r="L443" s="2125">
        <f t="shared" si="249"/>
        <v>0</v>
      </c>
      <c r="M443" s="2125">
        <f t="shared" si="249"/>
        <v>0</v>
      </c>
      <c r="N443" s="2126">
        <f t="shared" si="249"/>
        <v>0</v>
      </c>
    </row>
    <row r="444" spans="1:14" ht="15" customHeight="1">
      <c r="A444" s="2843"/>
      <c r="B444" s="2832"/>
      <c r="C444" s="2372" t="s">
        <v>2691</v>
      </c>
      <c r="D444" s="2374"/>
      <c r="E444" s="2138">
        <f>IF(E441="無し",0,0.0004)</f>
        <v>4.0000000000000002E-4</v>
      </c>
      <c r="F444" s="2125">
        <f t="shared" ref="F444:N444" si="250">F442</f>
        <v>0</v>
      </c>
      <c r="G444" s="2125">
        <f t="shared" si="250"/>
        <v>0</v>
      </c>
      <c r="H444" s="2125">
        <f t="shared" si="250"/>
        <v>0</v>
      </c>
      <c r="I444" s="2125">
        <f t="shared" si="250"/>
        <v>0</v>
      </c>
      <c r="J444" s="2125">
        <f>J442</f>
        <v>0</v>
      </c>
      <c r="K444" s="2125">
        <f>K442</f>
        <v>0</v>
      </c>
      <c r="L444" s="2125">
        <f t="shared" si="250"/>
        <v>0</v>
      </c>
      <c r="M444" s="2125">
        <f t="shared" si="250"/>
        <v>0</v>
      </c>
      <c r="N444" s="2126">
        <f t="shared" si="250"/>
        <v>0</v>
      </c>
    </row>
    <row r="445" spans="1:14" ht="15" customHeight="1">
      <c r="A445" s="2843"/>
      <c r="B445" s="2830" t="s">
        <v>2830</v>
      </c>
      <c r="C445" s="2372"/>
      <c r="D445" s="2375"/>
      <c r="E445" s="2375"/>
      <c r="F445" s="2265"/>
      <c r="G445" s="2134"/>
      <c r="H445" s="2134"/>
      <c r="I445" s="2134"/>
      <c r="J445" s="2134"/>
      <c r="K445" s="2134"/>
      <c r="L445" s="2134"/>
      <c r="M445" s="2134"/>
      <c r="N445" s="2135"/>
    </row>
    <row r="446" spans="1:14" ht="15" customHeight="1">
      <c r="A446" s="2843"/>
      <c r="B446" s="2831"/>
      <c r="C446" s="2376" t="s">
        <v>2951</v>
      </c>
      <c r="D446" s="2375"/>
      <c r="E446" s="2375"/>
      <c r="F446" s="2265">
        <f>SUM(G446:N446)</f>
        <v>0</v>
      </c>
      <c r="G446" s="2134">
        <f t="shared" ref="G446:N446" si="251">+SUM(G395:G403,G415:G423)</f>
        <v>0</v>
      </c>
      <c r="H446" s="2134">
        <f t="shared" si="251"/>
        <v>0</v>
      </c>
      <c r="I446" s="2134">
        <f t="shared" si="251"/>
        <v>0</v>
      </c>
      <c r="J446" s="2134">
        <f>+SUM(J395:J403,J415:J423)</f>
        <v>0</v>
      </c>
      <c r="K446" s="2134">
        <f>+SUM(K395:K403,K415:K423)</f>
        <v>0</v>
      </c>
      <c r="L446" s="2134">
        <f t="shared" si="251"/>
        <v>0</v>
      </c>
      <c r="M446" s="2134">
        <f t="shared" si="251"/>
        <v>0</v>
      </c>
      <c r="N446" s="2135">
        <f t="shared" si="251"/>
        <v>0</v>
      </c>
    </row>
    <row r="447" spans="1:14" ht="15" customHeight="1">
      <c r="A447" s="2843"/>
      <c r="B447" s="2832" t="s">
        <v>2692</v>
      </c>
      <c r="C447" s="2377" t="s">
        <v>2832</v>
      </c>
      <c r="D447" s="2378"/>
      <c r="E447" s="2314">
        <v>0</v>
      </c>
      <c r="F447" s="2265">
        <f>SUM(G447:N447)</f>
        <v>0</v>
      </c>
      <c r="G447" s="2134">
        <f t="shared" ref="G447:N447" si="252">+G355</f>
        <v>0</v>
      </c>
      <c r="H447" s="2134">
        <f t="shared" si="252"/>
        <v>0</v>
      </c>
      <c r="I447" s="2134">
        <f t="shared" si="252"/>
        <v>0</v>
      </c>
      <c r="J447" s="2134">
        <f>+J355</f>
        <v>0</v>
      </c>
      <c r="K447" s="2134">
        <f>+K355</f>
        <v>0</v>
      </c>
      <c r="L447" s="2134">
        <f t="shared" si="252"/>
        <v>0</v>
      </c>
      <c r="M447" s="2134">
        <f t="shared" si="252"/>
        <v>0</v>
      </c>
      <c r="N447" s="2135">
        <f t="shared" si="252"/>
        <v>0</v>
      </c>
    </row>
    <row r="448" spans="1:14" ht="15" customHeight="1">
      <c r="A448" s="2843"/>
      <c r="B448" s="2832"/>
      <c r="C448" s="2359"/>
      <c r="D448" s="2379"/>
      <c r="E448" s="2314"/>
      <c r="F448" s="2265"/>
      <c r="G448" s="2134"/>
      <c r="H448" s="2134"/>
      <c r="I448" s="2134"/>
      <c r="J448" s="2134"/>
      <c r="K448" s="2134"/>
      <c r="L448" s="2134"/>
      <c r="M448" s="2134"/>
      <c r="N448" s="2135"/>
    </row>
    <row r="449" spans="1:14" ht="15" customHeight="1">
      <c r="A449" s="2843"/>
      <c r="B449" s="2830"/>
      <c r="C449" s="2380"/>
      <c r="D449" s="2381"/>
      <c r="E449" s="2382"/>
      <c r="F449" s="2274"/>
      <c r="G449" s="2275"/>
      <c r="H449" s="2275"/>
      <c r="I449" s="2275"/>
      <c r="J449" s="2275"/>
      <c r="K449" s="2275"/>
      <c r="L449" s="2275"/>
      <c r="M449" s="2275"/>
      <c r="N449" s="2276"/>
    </row>
    <row r="450" spans="1:14" ht="15" customHeight="1">
      <c r="A450" s="1714"/>
      <c r="B450" s="1715"/>
      <c r="C450" s="2383"/>
      <c r="D450" s="2384"/>
      <c r="E450" s="2385"/>
      <c r="F450" s="2356"/>
      <c r="G450" s="2260"/>
      <c r="H450" s="2260"/>
      <c r="I450" s="2260"/>
      <c r="J450" s="2260"/>
      <c r="K450" s="2260"/>
      <c r="L450" s="2260"/>
      <c r="M450" s="2260"/>
      <c r="N450" s="2261"/>
    </row>
    <row r="451" spans="1:14" ht="15" customHeight="1">
      <c r="A451" s="2844" t="s">
        <v>2693</v>
      </c>
      <c r="B451" s="2844"/>
      <c r="C451" s="2845"/>
      <c r="D451" s="2386"/>
      <c r="E451" s="2387"/>
      <c r="F451" s="2274"/>
      <c r="G451" s="2275"/>
      <c r="H451" s="2275"/>
      <c r="I451" s="2275"/>
      <c r="J451" s="2275"/>
      <c r="K451" s="2275"/>
      <c r="L451" s="2275"/>
      <c r="M451" s="2275"/>
      <c r="N451" s="2276"/>
    </row>
    <row r="452" spans="1:14" ht="15" customHeight="1">
      <c r="A452" s="1726"/>
      <c r="B452" s="2388" t="s">
        <v>163</v>
      </c>
      <c r="C452" s="2389" t="s">
        <v>2952</v>
      </c>
      <c r="D452" s="2368"/>
      <c r="E452" s="2390">
        <f>+E442</f>
        <v>0.11259999999999999</v>
      </c>
      <c r="F452" s="2356">
        <f>INT(F442*E452)</f>
        <v>0</v>
      </c>
      <c r="G452" s="2260">
        <f>F452-SUM(H452:N452)</f>
        <v>0</v>
      </c>
      <c r="H452" s="2260">
        <f t="shared" ref="H452:N452" si="253">IF(H442=0,0,ROUND($F452/$F442*H442,0))</f>
        <v>0</v>
      </c>
      <c r="I452" s="2260">
        <f t="shared" si="253"/>
        <v>0</v>
      </c>
      <c r="J452" s="2260">
        <f t="shared" si="253"/>
        <v>0</v>
      </c>
      <c r="K452" s="2260">
        <f t="shared" si="253"/>
        <v>0</v>
      </c>
      <c r="L452" s="2260">
        <f t="shared" si="253"/>
        <v>0</v>
      </c>
      <c r="M452" s="2260">
        <f t="shared" si="253"/>
        <v>0</v>
      </c>
      <c r="N452" s="2261">
        <f t="shared" si="253"/>
        <v>0</v>
      </c>
    </row>
    <row r="453" spans="1:14" ht="15" customHeight="1">
      <c r="A453" s="1726"/>
      <c r="B453" s="2832" t="s">
        <v>2689</v>
      </c>
      <c r="C453" s="2372" t="s">
        <v>2690</v>
      </c>
      <c r="D453" s="2378"/>
      <c r="E453" s="2138">
        <f>+E443</f>
        <v>0</v>
      </c>
      <c r="F453" s="2265">
        <f>INT((F443*E452*E453)+(F456*E453))</f>
        <v>0</v>
      </c>
      <c r="G453" s="2134">
        <f>F453-SUM(H453:N453)</f>
        <v>0</v>
      </c>
      <c r="H453" s="2134">
        <f t="shared" ref="H453:N453" si="254">IF(H443+H456=0,0,ROUND($F453/$F443*H443,0))</f>
        <v>0</v>
      </c>
      <c r="I453" s="2134">
        <f t="shared" si="254"/>
        <v>0</v>
      </c>
      <c r="J453" s="2134">
        <f t="shared" si="254"/>
        <v>0</v>
      </c>
      <c r="K453" s="2134">
        <f t="shared" si="254"/>
        <v>0</v>
      </c>
      <c r="L453" s="2134">
        <f t="shared" si="254"/>
        <v>0</v>
      </c>
      <c r="M453" s="2134">
        <f t="shared" si="254"/>
        <v>0</v>
      </c>
      <c r="N453" s="2135">
        <f t="shared" si="254"/>
        <v>0</v>
      </c>
    </row>
    <row r="454" spans="1:14" ht="15" customHeight="1">
      <c r="A454" s="1726"/>
      <c r="B454" s="2832"/>
      <c r="C454" s="2372" t="s">
        <v>2691</v>
      </c>
      <c r="D454" s="2378"/>
      <c r="E454" s="2138">
        <f>+E444</f>
        <v>4.0000000000000002E-4</v>
      </c>
      <c r="F454" s="2265">
        <f>INT((F444*E454)+(F456*E454))</f>
        <v>0</v>
      </c>
      <c r="G454" s="2134">
        <f>F454-SUM(H454:N454)</f>
        <v>0</v>
      </c>
      <c r="H454" s="2134">
        <f t="shared" ref="H454:N454" si="255">IF(H444+H456=0,0,ROUND($F454/$F444*H444,0))</f>
        <v>0</v>
      </c>
      <c r="I454" s="2134">
        <f t="shared" si="255"/>
        <v>0</v>
      </c>
      <c r="J454" s="2134">
        <f t="shared" si="255"/>
        <v>0</v>
      </c>
      <c r="K454" s="2134">
        <f t="shared" si="255"/>
        <v>0</v>
      </c>
      <c r="L454" s="2134">
        <f t="shared" si="255"/>
        <v>0</v>
      </c>
      <c r="M454" s="2134">
        <f t="shared" si="255"/>
        <v>0</v>
      </c>
      <c r="N454" s="2135">
        <f t="shared" si="255"/>
        <v>0</v>
      </c>
    </row>
    <row r="455" spans="1:14" ht="15" customHeight="1">
      <c r="A455" s="1726"/>
      <c r="B455" s="2830" t="s">
        <v>2830</v>
      </c>
      <c r="C455" s="2372"/>
      <c r="D455" s="2375"/>
      <c r="E455" s="2391" t="s">
        <v>2834</v>
      </c>
      <c r="F455" s="2265"/>
      <c r="G455" s="2134"/>
      <c r="H455" s="2134"/>
      <c r="I455" s="2134"/>
      <c r="J455" s="2134"/>
      <c r="K455" s="2134"/>
      <c r="L455" s="2134"/>
      <c r="M455" s="2134"/>
      <c r="N455" s="2135"/>
    </row>
    <row r="456" spans="1:14" ht="15" customHeight="1">
      <c r="A456" s="1726"/>
      <c r="B456" s="2831"/>
      <c r="C456" s="2392" t="s">
        <v>2953</v>
      </c>
      <c r="D456" s="2375"/>
      <c r="E456" s="2375"/>
      <c r="F456" s="2082">
        <f>SUM(G456:N456)</f>
        <v>0</v>
      </c>
      <c r="G456" s="2065">
        <f t="shared" ref="G456:N456" si="256">SUM(G338:G345)-SUM(G396:G403)-SUM(G416:G423)</f>
        <v>0</v>
      </c>
      <c r="H456" s="2065">
        <f t="shared" si="256"/>
        <v>0</v>
      </c>
      <c r="I456" s="2065">
        <f t="shared" si="256"/>
        <v>0</v>
      </c>
      <c r="J456" s="2065">
        <f>SUM(J338:J345)-SUM(J396:J403)-SUM(J416:J423)</f>
        <v>0</v>
      </c>
      <c r="K456" s="2065">
        <f>SUM(K338:K345)-SUM(K396:K403)-SUM(K416:K423)</f>
        <v>0</v>
      </c>
      <c r="L456" s="2065">
        <f t="shared" si="256"/>
        <v>0</v>
      </c>
      <c r="M456" s="2065">
        <f t="shared" si="256"/>
        <v>0</v>
      </c>
      <c r="N456" s="2066">
        <f t="shared" si="256"/>
        <v>0</v>
      </c>
    </row>
    <row r="457" spans="1:14" ht="15" customHeight="1">
      <c r="A457" s="1726"/>
      <c r="B457" s="2832" t="s">
        <v>2692</v>
      </c>
      <c r="C457" s="2377" t="s">
        <v>2832</v>
      </c>
      <c r="D457" s="2378"/>
      <c r="E457" s="2138">
        <f>+E447</f>
        <v>0</v>
      </c>
      <c r="F457" s="2265">
        <f>SUM(G457:N457)</f>
        <v>0</v>
      </c>
      <c r="G457" s="2134">
        <f t="shared" ref="G457:N457" si="257">ROUNDDOWN($E457*$D457*G447,0)</f>
        <v>0</v>
      </c>
      <c r="H457" s="2134">
        <f t="shared" si="257"/>
        <v>0</v>
      </c>
      <c r="I457" s="2134">
        <f t="shared" si="257"/>
        <v>0</v>
      </c>
      <c r="J457" s="2134">
        <f>ROUNDDOWN($E457*$D457*J447,0)</f>
        <v>0</v>
      </c>
      <c r="K457" s="2134">
        <f>ROUNDDOWN($E457*$D457*K447,0)</f>
        <v>0</v>
      </c>
      <c r="L457" s="2134">
        <f t="shared" si="257"/>
        <v>0</v>
      </c>
      <c r="M457" s="2134">
        <f t="shared" si="257"/>
        <v>0</v>
      </c>
      <c r="N457" s="2135">
        <f t="shared" si="257"/>
        <v>0</v>
      </c>
    </row>
    <row r="458" spans="1:14" ht="15" customHeight="1">
      <c r="A458" s="1726"/>
      <c r="B458" s="2832"/>
      <c r="C458" s="2359"/>
      <c r="D458" s="2379"/>
      <c r="E458" s="2375">
        <f>+G449</f>
        <v>0</v>
      </c>
      <c r="F458" s="2265"/>
      <c r="G458" s="2134"/>
      <c r="H458" s="2134"/>
      <c r="I458" s="2134"/>
      <c r="J458" s="2134"/>
      <c r="K458" s="2134"/>
      <c r="L458" s="2134"/>
      <c r="M458" s="2134"/>
      <c r="N458" s="2135"/>
    </row>
    <row r="459" spans="1:14" ht="15" customHeight="1">
      <c r="A459" s="2339"/>
      <c r="B459" s="2833"/>
      <c r="C459" s="2362"/>
      <c r="D459" s="2381"/>
      <c r="E459" s="2387">
        <f>+G450</f>
        <v>0</v>
      </c>
      <c r="F459" s="2274"/>
      <c r="G459" s="2275"/>
      <c r="H459" s="2275"/>
      <c r="I459" s="2275"/>
      <c r="J459" s="2275"/>
      <c r="K459" s="2275"/>
      <c r="L459" s="2275"/>
      <c r="M459" s="2275"/>
      <c r="N459" s="2276"/>
    </row>
    <row r="460" spans="1:14" ht="15" customHeight="1">
      <c r="A460" s="2351"/>
      <c r="B460" s="2352"/>
      <c r="C460" s="2352"/>
      <c r="D460" s="2393"/>
      <c r="E460" s="2393"/>
      <c r="F460" s="2356"/>
      <c r="G460" s="2260"/>
      <c r="H460" s="2260"/>
      <c r="I460" s="2260"/>
      <c r="J460" s="2260"/>
      <c r="K460" s="2260"/>
      <c r="L460" s="2260"/>
      <c r="M460" s="2260"/>
      <c r="N460" s="2261"/>
    </row>
    <row r="461" spans="1:14" ht="15" customHeight="1">
      <c r="A461" s="2029"/>
      <c r="B461" s="2032"/>
      <c r="C461" s="2394" t="s">
        <v>2697</v>
      </c>
      <c r="D461" s="2359"/>
      <c r="E461" s="2372"/>
      <c r="F461" s="2265">
        <f>SUM(G461:N461)</f>
        <v>0</v>
      </c>
      <c r="G461" s="2134">
        <f t="shared" ref="G461:N461" si="258">SUM(G452:G459)</f>
        <v>0</v>
      </c>
      <c r="H461" s="2134">
        <f t="shared" si="258"/>
        <v>0</v>
      </c>
      <c r="I461" s="2134">
        <f t="shared" si="258"/>
        <v>0</v>
      </c>
      <c r="J461" s="2134">
        <f>SUM(J452:J459)</f>
        <v>0</v>
      </c>
      <c r="K461" s="2134">
        <f>SUM(K452:K459)</f>
        <v>0</v>
      </c>
      <c r="L461" s="2134">
        <f t="shared" si="258"/>
        <v>0</v>
      </c>
      <c r="M461" s="2134">
        <f t="shared" si="258"/>
        <v>0</v>
      </c>
      <c r="N461" s="2135">
        <f t="shared" si="258"/>
        <v>0</v>
      </c>
    </row>
    <row r="462" spans="1:14" ht="15" customHeight="1">
      <c r="A462" s="2029"/>
      <c r="B462" s="2032"/>
      <c r="C462" s="2394" t="s">
        <v>2678</v>
      </c>
      <c r="D462" s="2359"/>
      <c r="E462" s="2372"/>
      <c r="F462" s="2265">
        <f>SUM(G462:N462)</f>
        <v>0</v>
      </c>
      <c r="G462" s="2134">
        <f t="shared" ref="G462:N462" si="259">+G437</f>
        <v>0</v>
      </c>
      <c r="H462" s="2134">
        <f t="shared" si="259"/>
        <v>0</v>
      </c>
      <c r="I462" s="2134">
        <f t="shared" si="259"/>
        <v>0</v>
      </c>
      <c r="J462" s="2134">
        <f>+J437</f>
        <v>0</v>
      </c>
      <c r="K462" s="2134">
        <f>+K437</f>
        <v>0</v>
      </c>
      <c r="L462" s="2134">
        <f t="shared" si="259"/>
        <v>0</v>
      </c>
      <c r="M462" s="2134">
        <f t="shared" si="259"/>
        <v>0</v>
      </c>
      <c r="N462" s="2135">
        <f t="shared" si="259"/>
        <v>0</v>
      </c>
    </row>
    <row r="463" spans="1:14" ht="15" customHeight="1" thickBot="1">
      <c r="A463" s="2395"/>
      <c r="B463" s="2396"/>
      <c r="C463" s="2397" t="s">
        <v>2698</v>
      </c>
      <c r="D463" s="2398"/>
      <c r="E463" s="2399"/>
      <c r="F463" s="2329">
        <f>SUM(G463:N463)</f>
        <v>0</v>
      </c>
      <c r="G463" s="2330">
        <f t="shared" ref="G463:N463" si="260">SUM(G461:G462)</f>
        <v>0</v>
      </c>
      <c r="H463" s="2330">
        <f t="shared" si="260"/>
        <v>0</v>
      </c>
      <c r="I463" s="2330">
        <f t="shared" si="260"/>
        <v>0</v>
      </c>
      <c r="J463" s="2330">
        <f>SUM(J461:J462)</f>
        <v>0</v>
      </c>
      <c r="K463" s="2330">
        <f>SUM(K461:K462)</f>
        <v>0</v>
      </c>
      <c r="L463" s="2330">
        <f t="shared" si="260"/>
        <v>0</v>
      </c>
      <c r="M463" s="2330">
        <f t="shared" si="260"/>
        <v>0</v>
      </c>
      <c r="N463" s="2331">
        <f t="shared" si="260"/>
        <v>0</v>
      </c>
    </row>
    <row r="464" spans="1:14" ht="15" customHeight="1" thickTop="1">
      <c r="A464" s="1726"/>
      <c r="B464" s="1703"/>
      <c r="C464" s="1703"/>
      <c r="D464" s="2400"/>
      <c r="E464" s="2400"/>
      <c r="F464" s="2401"/>
      <c r="G464" s="2402"/>
      <c r="H464" s="2402"/>
      <c r="I464" s="2402"/>
      <c r="J464" s="2402"/>
      <c r="K464" s="2402"/>
      <c r="L464" s="2402"/>
      <c r="M464" s="2402"/>
      <c r="N464" s="2403"/>
    </row>
    <row r="465" spans="1:16" ht="15" customHeight="1">
      <c r="A465" s="2029"/>
      <c r="B465" s="2032"/>
      <c r="C465" s="2394" t="s">
        <v>2678</v>
      </c>
      <c r="D465" s="2359"/>
      <c r="E465" s="2372"/>
      <c r="F465" s="2265">
        <f>SUM(G465:N465)</f>
        <v>0</v>
      </c>
      <c r="G465" s="2134">
        <f t="shared" ref="G465:N465" si="261">+G462</f>
        <v>0</v>
      </c>
      <c r="H465" s="2134">
        <f t="shared" si="261"/>
        <v>0</v>
      </c>
      <c r="I465" s="2134">
        <f t="shared" si="261"/>
        <v>0</v>
      </c>
      <c r="J465" s="2134">
        <f>+J462</f>
        <v>0</v>
      </c>
      <c r="K465" s="2134">
        <f>+K462</f>
        <v>0</v>
      </c>
      <c r="L465" s="2134">
        <f t="shared" si="261"/>
        <v>0</v>
      </c>
      <c r="M465" s="2134">
        <f t="shared" si="261"/>
        <v>0</v>
      </c>
      <c r="N465" s="2135">
        <f t="shared" si="261"/>
        <v>0</v>
      </c>
    </row>
    <row r="466" spans="1:16" ht="15" customHeight="1">
      <c r="A466" s="2029"/>
      <c r="B466" s="2032"/>
      <c r="C466" s="2394" t="s">
        <v>2699</v>
      </c>
      <c r="D466" s="2359"/>
      <c r="E466" s="2372"/>
      <c r="F466" s="2265">
        <f>SUM(G466:N466)</f>
        <v>0</v>
      </c>
      <c r="G466" s="2134">
        <f t="shared" ref="G466:N466" si="262">+G461-(G463-G468)</f>
        <v>0</v>
      </c>
      <c r="H466" s="2134">
        <f t="shared" si="262"/>
        <v>0</v>
      </c>
      <c r="I466" s="2134">
        <f t="shared" si="262"/>
        <v>0</v>
      </c>
      <c r="J466" s="2134">
        <f>+J461-(J463-J468)</f>
        <v>0</v>
      </c>
      <c r="K466" s="2134">
        <f>+K461-(K463-K468)</f>
        <v>0</v>
      </c>
      <c r="L466" s="2134">
        <f t="shared" si="262"/>
        <v>0</v>
      </c>
      <c r="M466" s="2134">
        <f t="shared" si="262"/>
        <v>0</v>
      </c>
      <c r="N466" s="2135">
        <f t="shared" si="262"/>
        <v>0</v>
      </c>
    </row>
    <row r="467" spans="1:16" ht="15" customHeight="1">
      <c r="A467" s="2029"/>
      <c r="B467" s="2032"/>
      <c r="C467" s="2032"/>
      <c r="D467" s="2372"/>
      <c r="E467" s="2404">
        <f>F469+SUM(H468:N468)</f>
        <v>0</v>
      </c>
      <c r="F467" s="2265" t="s">
        <v>2700</v>
      </c>
      <c r="G467" s="2134">
        <f t="shared" ref="G467:N467" si="263">+G461-G466</f>
        <v>0</v>
      </c>
      <c r="H467" s="2134">
        <f t="shared" si="263"/>
        <v>0</v>
      </c>
      <c r="I467" s="2134">
        <f t="shared" si="263"/>
        <v>0</v>
      </c>
      <c r="J467" s="2134">
        <f>+J461-J466</f>
        <v>0</v>
      </c>
      <c r="K467" s="2134">
        <f>+K461-K466</f>
        <v>0</v>
      </c>
      <c r="L467" s="2134">
        <f t="shared" si="263"/>
        <v>0</v>
      </c>
      <c r="M467" s="2134">
        <f t="shared" si="263"/>
        <v>0</v>
      </c>
      <c r="N467" s="2135">
        <f t="shared" si="263"/>
        <v>0</v>
      </c>
    </row>
    <row r="468" spans="1:16" ht="15" customHeight="1">
      <c r="A468" s="2405"/>
      <c r="B468" s="2030"/>
      <c r="C468" s="2030" t="s">
        <v>2701</v>
      </c>
      <c r="D468" s="2406"/>
      <c r="E468" s="2404">
        <f>ROUNDDOWN(E467,4-LEN(E467))</f>
        <v>0</v>
      </c>
      <c r="F468" s="2407">
        <f>SUM(G468:N468)</f>
        <v>0</v>
      </c>
      <c r="G468" s="2408">
        <f>F469-E469</f>
        <v>0</v>
      </c>
      <c r="H468" s="2408">
        <f t="shared" ref="H468:N468" si="264">ROUNDDOWN(H463,H469)</f>
        <v>0</v>
      </c>
      <c r="I468" s="2408">
        <f t="shared" si="264"/>
        <v>0</v>
      </c>
      <c r="J468" s="2408">
        <f t="shared" si="264"/>
        <v>0</v>
      </c>
      <c r="K468" s="2408">
        <f t="shared" si="264"/>
        <v>0</v>
      </c>
      <c r="L468" s="2408">
        <f t="shared" si="264"/>
        <v>0</v>
      </c>
      <c r="M468" s="2408">
        <f t="shared" si="264"/>
        <v>0</v>
      </c>
      <c r="N468" s="2409">
        <f t="shared" si="264"/>
        <v>0</v>
      </c>
    </row>
    <row r="469" spans="1:16" ht="13.5" customHeight="1">
      <c r="A469" s="2410"/>
      <c r="B469" s="2411"/>
      <c r="C469" s="2411"/>
      <c r="D469" s="2412"/>
      <c r="E469" s="2413">
        <f>E467-E468</f>
        <v>0</v>
      </c>
      <c r="F469" s="2413">
        <f>ROUNDDOWN(G463,G469)</f>
        <v>0</v>
      </c>
      <c r="G469" s="2414">
        <f t="shared" ref="G469:N469" si="265">IF(LEN(G463)&lt;=7,-3,IF(LEN(G463)=8,-4,IF(LEN(G463)&gt;=9,-5,-6)))</f>
        <v>-3</v>
      </c>
      <c r="H469" s="2414">
        <f t="shared" si="265"/>
        <v>-3</v>
      </c>
      <c r="I469" s="2414">
        <f t="shared" si="265"/>
        <v>-3</v>
      </c>
      <c r="J469" s="2414">
        <f>IF(LEN(J463)&lt;=7,-3,IF(LEN(J463)=8,-4,IF(LEN(J463)&gt;=9,-5,-6)))</f>
        <v>-3</v>
      </c>
      <c r="K469" s="2414">
        <f>IF(LEN(K463)&lt;=7,-3,IF(LEN(K463)=8,-4,IF(LEN(K463)&gt;=9,-5,-6)))</f>
        <v>-3</v>
      </c>
      <c r="L469" s="2414">
        <f t="shared" si="265"/>
        <v>-3</v>
      </c>
      <c r="M469" s="2414">
        <f t="shared" si="265"/>
        <v>-3</v>
      </c>
      <c r="N469" s="2415">
        <f t="shared" si="265"/>
        <v>-3</v>
      </c>
    </row>
    <row r="470" spans="1:16" ht="13.5" customHeight="1" thickBot="1">
      <c r="A470" s="2416"/>
      <c r="B470" s="2416"/>
      <c r="C470" s="2416"/>
      <c r="D470" s="2416"/>
      <c r="E470" s="2417"/>
      <c r="F470" s="2417"/>
      <c r="G470" s="2418"/>
      <c r="H470" s="2418"/>
      <c r="I470" s="2418"/>
      <c r="J470" s="2418"/>
      <c r="K470" s="2418"/>
      <c r="L470" s="2418"/>
      <c r="M470" s="2418"/>
      <c r="N470" s="2418"/>
    </row>
    <row r="471" spans="1:16" ht="13.5" customHeight="1">
      <c r="A471" s="2419"/>
      <c r="B471" s="2420"/>
      <c r="C471" s="2421" t="s">
        <v>2702</v>
      </c>
      <c r="D471" s="2422"/>
      <c r="E471" s="2420"/>
      <c r="F471" s="2423" t="s">
        <v>2703</v>
      </c>
      <c r="G471" s="2424" t="str">
        <f t="shared" ref="G471:N471" si="266">G300</f>
        <v/>
      </c>
      <c r="H471" s="2424" t="str">
        <f t="shared" si="266"/>
        <v/>
      </c>
      <c r="I471" s="2424" t="str">
        <f t="shared" si="266"/>
        <v/>
      </c>
      <c r="J471" s="2424" t="str">
        <f>J300</f>
        <v/>
      </c>
      <c r="K471" s="2424" t="str">
        <f>K300</f>
        <v/>
      </c>
      <c r="L471" s="2424" t="str">
        <f t="shared" si="266"/>
        <v/>
      </c>
      <c r="M471" s="2424" t="str">
        <f t="shared" si="266"/>
        <v/>
      </c>
      <c r="N471" s="2424" t="str">
        <f t="shared" si="266"/>
        <v/>
      </c>
      <c r="O471" s="2426"/>
      <c r="P471" s="2426"/>
    </row>
    <row r="472" spans="1:16" ht="13.5" customHeight="1">
      <c r="A472" s="2834"/>
      <c r="B472" s="2837" t="s">
        <v>2704</v>
      </c>
      <c r="C472" s="2427" t="s">
        <v>2705</v>
      </c>
      <c r="D472" s="2062"/>
      <c r="E472" s="2428"/>
      <c r="F472" s="2429" t="s">
        <v>2954</v>
      </c>
      <c r="G472" s="2430" t="e">
        <f>IF($F$360&lt;=10000000,ROUND(7.56*(10000^-0.1105)*(G471^0.2389),2),ROUND(7.56*(($F$360/1000)^-0.1105)*(G471^0.2389),2))</f>
        <v>#VALUE!</v>
      </c>
      <c r="H472" s="2430" t="e">
        <f t="shared" ref="H472:N472" si="267">IF($F$360&lt;=10000000,ROUND(7.56*(10000^-0.1105)*(H471^0.2389),2),ROUND(7.56*(($F$360/1000)^-0.1105)*(H471^0.2389),2))</f>
        <v>#VALUE!</v>
      </c>
      <c r="I472" s="2430" t="e">
        <f t="shared" si="267"/>
        <v>#VALUE!</v>
      </c>
      <c r="J472" s="2430" t="e">
        <f>IF($F$360&lt;=10000000,ROUND(7.56*(10000^-0.1105)*(J471^0.2389),2),ROUND(7.56*(($F$360/1000)^-0.1105)*(J471^0.2389),2))</f>
        <v>#VALUE!</v>
      </c>
      <c r="K472" s="2430" t="e">
        <f>IF($F$360&lt;=10000000,ROUND(7.56*(10000^-0.1105)*(K471^0.2389),2),ROUND(7.56*(($F$360/1000)^-0.1105)*(K471^0.2389),2))</f>
        <v>#VALUE!</v>
      </c>
      <c r="L472" s="2430" t="e">
        <f t="shared" si="267"/>
        <v>#VALUE!</v>
      </c>
      <c r="M472" s="2430" t="e">
        <f t="shared" si="267"/>
        <v>#VALUE!</v>
      </c>
      <c r="N472" s="2430" t="e">
        <f t="shared" si="267"/>
        <v>#VALUE!</v>
      </c>
      <c r="O472" s="2432"/>
      <c r="P472" s="2432"/>
    </row>
    <row r="473" spans="1:16" ht="13.5" customHeight="1">
      <c r="A473" s="2835"/>
      <c r="B473" s="2838"/>
      <c r="C473" s="2840" t="s">
        <v>2707</v>
      </c>
      <c r="D473" s="2433"/>
      <c r="E473" s="2434"/>
      <c r="F473" s="2429" t="s">
        <v>2708</v>
      </c>
      <c r="G473" s="2435">
        <f t="shared" ref="G473:N473" si="268">IF($F$147&lt;=10000000,ROUND(4.33,2),0)</f>
        <v>4.33</v>
      </c>
      <c r="H473" s="2435">
        <f t="shared" si="268"/>
        <v>4.33</v>
      </c>
      <c r="I473" s="2435">
        <f t="shared" si="268"/>
        <v>4.33</v>
      </c>
      <c r="J473" s="2435">
        <f t="shared" si="268"/>
        <v>4.33</v>
      </c>
      <c r="K473" s="2435">
        <f t="shared" si="268"/>
        <v>4.33</v>
      </c>
      <c r="L473" s="2435">
        <f t="shared" si="268"/>
        <v>4.33</v>
      </c>
      <c r="M473" s="2435">
        <f t="shared" si="268"/>
        <v>4.33</v>
      </c>
      <c r="N473" s="2435">
        <f t="shared" si="268"/>
        <v>4.33</v>
      </c>
      <c r="O473" s="2437"/>
      <c r="P473" s="2437"/>
    </row>
    <row r="474" spans="1:16" ht="13.5" customHeight="1">
      <c r="A474" s="2835"/>
      <c r="B474" s="2838"/>
      <c r="C474" s="2841"/>
      <c r="D474" s="2438"/>
      <c r="E474" s="2439"/>
      <c r="F474" s="2429" t="s">
        <v>2709</v>
      </c>
      <c r="G474" s="2435">
        <f t="shared" ref="G474:N474" si="269">IF($F$147&lt;=10000000,ROUND(3.25,2),0)</f>
        <v>3.25</v>
      </c>
      <c r="H474" s="2435">
        <f t="shared" si="269"/>
        <v>3.25</v>
      </c>
      <c r="I474" s="2435">
        <f t="shared" si="269"/>
        <v>3.25</v>
      </c>
      <c r="J474" s="2435">
        <f t="shared" si="269"/>
        <v>3.25</v>
      </c>
      <c r="K474" s="2435">
        <f t="shared" si="269"/>
        <v>3.25</v>
      </c>
      <c r="L474" s="2435">
        <f t="shared" si="269"/>
        <v>3.25</v>
      </c>
      <c r="M474" s="2435">
        <f t="shared" si="269"/>
        <v>3.25</v>
      </c>
      <c r="N474" s="2435">
        <f t="shared" si="269"/>
        <v>3.25</v>
      </c>
      <c r="O474" s="2437"/>
      <c r="P474" s="2437"/>
    </row>
    <row r="475" spans="1:16" ht="13.5" customHeight="1">
      <c r="A475" s="2835"/>
      <c r="B475" s="2838"/>
      <c r="C475" s="2840" t="s">
        <v>2710</v>
      </c>
      <c r="D475" s="2433"/>
      <c r="E475" s="2434"/>
      <c r="F475" s="2429" t="s">
        <v>2708</v>
      </c>
      <c r="G475" s="2440">
        <f t="shared" ref="G475:N475" si="270">IF($F$147&gt;10000000,ROUND(5.78*($F$147/1000)^-0.0313,2),0)</f>
        <v>0</v>
      </c>
      <c r="H475" s="2440">
        <f t="shared" si="270"/>
        <v>0</v>
      </c>
      <c r="I475" s="2440">
        <f t="shared" si="270"/>
        <v>0</v>
      </c>
      <c r="J475" s="2440">
        <f t="shared" si="270"/>
        <v>0</v>
      </c>
      <c r="K475" s="2440">
        <f t="shared" si="270"/>
        <v>0</v>
      </c>
      <c r="L475" s="2440">
        <f t="shared" si="270"/>
        <v>0</v>
      </c>
      <c r="M475" s="2440">
        <f t="shared" si="270"/>
        <v>0</v>
      </c>
      <c r="N475" s="2440">
        <f t="shared" si="270"/>
        <v>0</v>
      </c>
      <c r="O475" s="2442"/>
      <c r="P475" s="2442"/>
    </row>
    <row r="476" spans="1:16" ht="13.5" customHeight="1">
      <c r="A476" s="2836"/>
      <c r="B476" s="2839"/>
      <c r="C476" s="2841"/>
      <c r="D476" s="2438"/>
      <c r="E476" s="2439"/>
      <c r="F476" s="2429" t="s">
        <v>2709</v>
      </c>
      <c r="G476" s="2440">
        <f t="shared" ref="G476:N476" si="271">IF($F$147&gt;10000000,ROUND(4.34*($F$147/1000)^-0.0313,2),0)</f>
        <v>0</v>
      </c>
      <c r="H476" s="2440">
        <f t="shared" si="271"/>
        <v>0</v>
      </c>
      <c r="I476" s="2440">
        <f t="shared" si="271"/>
        <v>0</v>
      </c>
      <c r="J476" s="2440">
        <f t="shared" si="271"/>
        <v>0</v>
      </c>
      <c r="K476" s="2440">
        <f t="shared" si="271"/>
        <v>0</v>
      </c>
      <c r="L476" s="2440">
        <f t="shared" si="271"/>
        <v>0</v>
      </c>
      <c r="M476" s="2440">
        <f t="shared" si="271"/>
        <v>0</v>
      </c>
      <c r="N476" s="2440">
        <f t="shared" si="271"/>
        <v>0</v>
      </c>
      <c r="O476" s="2442"/>
      <c r="P476" s="2442"/>
    </row>
    <row r="477" spans="1:16" ht="13.5" customHeight="1">
      <c r="A477" s="2824" t="s">
        <v>2711</v>
      </c>
      <c r="B477" s="2825"/>
      <c r="C477" s="2825"/>
      <c r="D477" s="2825"/>
      <c r="E477" s="2825"/>
      <c r="F477" s="2826"/>
      <c r="G477" s="2443">
        <f t="shared" ref="G477:N477" si="272">IF($F$147&lt;=10000000,IF(G$259&gt;G$260,G$260,IF(G$259&lt;G$261,G$261,G$259)),IF(G$259&gt;G$262,G$262,IF(G$259&lt;G$263,G$263,G$259)))</f>
        <v>3.25</v>
      </c>
      <c r="H477" s="2443">
        <f t="shared" si="272"/>
        <v>3.25</v>
      </c>
      <c r="I477" s="2443">
        <f t="shared" si="272"/>
        <v>3.25</v>
      </c>
      <c r="J477" s="2443">
        <f t="shared" si="272"/>
        <v>3.25</v>
      </c>
      <c r="K477" s="2443">
        <f t="shared" si="272"/>
        <v>3.25</v>
      </c>
      <c r="L477" s="2443">
        <f t="shared" si="272"/>
        <v>3.25</v>
      </c>
      <c r="M477" s="2443">
        <f t="shared" si="272"/>
        <v>3.25</v>
      </c>
      <c r="N477" s="2443">
        <f t="shared" si="272"/>
        <v>3.25</v>
      </c>
      <c r="O477" s="2442"/>
      <c r="P477" s="2442"/>
    </row>
    <row r="478" spans="1:16" ht="13.5" customHeight="1" thickBot="1">
      <c r="A478" s="2827" t="s">
        <v>2712</v>
      </c>
      <c r="B478" s="2828"/>
      <c r="C478" s="2828"/>
      <c r="D478" s="2828"/>
      <c r="E478" s="2828"/>
      <c r="F478" s="2829"/>
      <c r="G478" s="2445">
        <f t="shared" ref="G478:N478" si="273">ROUND(G477*IF(AND(G305="駅施設",G306="無し"),0.7,IF(AND(G305="駅施設",G306="有り"),0.7,IF(AND(G305="地上建物",G306="無し"),0.9,IF(AND(G305="地上建物",G306="有り"),1,0)))),2)</f>
        <v>0</v>
      </c>
      <c r="H478" s="2445">
        <f t="shared" si="273"/>
        <v>0</v>
      </c>
      <c r="I478" s="2445">
        <f t="shared" si="273"/>
        <v>0</v>
      </c>
      <c r="J478" s="2445">
        <f>ROUND(J477*IF(AND(J305="駅施設",J306="無し"),0.7,IF(AND(J305="駅施設",J306="有り"),0.7,IF(AND(J305="地上建物",J306="無し"),0.9,IF(AND(J305="地上建物",J306="有り"),1,0)))),2)</f>
        <v>0</v>
      </c>
      <c r="K478" s="2445">
        <f>ROUND(K477*IF(AND(K305="駅施設",K306="無し"),0.7,IF(AND(K305="駅施設",K306="有り"),0.7,IF(AND(K305="地上建物",K306="無し"),0.9,IF(AND(K305="地上建物",K306="有り"),1,0)))),2)</f>
        <v>0</v>
      </c>
      <c r="L478" s="2445">
        <f t="shared" si="273"/>
        <v>0</v>
      </c>
      <c r="M478" s="2445">
        <f t="shared" si="273"/>
        <v>0</v>
      </c>
      <c r="N478" s="2445">
        <f t="shared" si="273"/>
        <v>0</v>
      </c>
      <c r="O478" s="2442"/>
      <c r="P478" s="2442"/>
    </row>
    <row r="479" spans="1:16" ht="13.5" customHeight="1" thickBot="1">
      <c r="A479" s="2447"/>
      <c r="B479" s="2448"/>
      <c r="C479" s="2448"/>
      <c r="D479" s="2448"/>
      <c r="E479" s="2448"/>
      <c r="F479" s="2448"/>
      <c r="G479" s="2449"/>
      <c r="H479" s="2449"/>
      <c r="I479" s="2449"/>
      <c r="J479" s="2449"/>
      <c r="K479" s="2449"/>
      <c r="L479" s="2449"/>
      <c r="M479" s="2449"/>
      <c r="N479" s="2449"/>
      <c r="O479" s="2442"/>
      <c r="P479" s="2442"/>
    </row>
    <row r="480" spans="1:16" ht="13.5" customHeight="1">
      <c r="A480" s="2450"/>
      <c r="B480" s="2451"/>
      <c r="C480" s="2452" t="s">
        <v>2702</v>
      </c>
      <c r="D480" s="2453"/>
      <c r="E480" s="2451"/>
      <c r="F480" s="2454" t="s">
        <v>2703</v>
      </c>
      <c r="G480" s="2424" t="str">
        <f t="shared" ref="G480:N480" si="274">G300</f>
        <v/>
      </c>
      <c r="H480" s="2424" t="str">
        <f t="shared" si="274"/>
        <v/>
      </c>
      <c r="I480" s="2424" t="str">
        <f t="shared" si="274"/>
        <v/>
      </c>
      <c r="J480" s="2424" t="str">
        <f>J300</f>
        <v/>
      </c>
      <c r="K480" s="2424" t="str">
        <f>K300</f>
        <v/>
      </c>
      <c r="L480" s="2424" t="str">
        <f t="shared" si="274"/>
        <v/>
      </c>
      <c r="M480" s="2424" t="str">
        <f t="shared" si="274"/>
        <v/>
      </c>
      <c r="N480" s="2424" t="str">
        <f t="shared" si="274"/>
        <v/>
      </c>
      <c r="O480" s="2426"/>
      <c r="P480" s="2426"/>
    </row>
    <row r="481" spans="1:16" ht="13.5" customHeight="1">
      <c r="A481" s="2811"/>
      <c r="B481" s="2813" t="s">
        <v>2713</v>
      </c>
      <c r="C481" s="2455" t="s">
        <v>2705</v>
      </c>
      <c r="D481" s="2030"/>
      <c r="E481" s="2456"/>
      <c r="F481" s="1978" t="s">
        <v>2714</v>
      </c>
      <c r="G481" s="2430" t="e">
        <f>IF($F$360&lt;=5000000,ROUND(18.03*(5000^-0.2027)*(G480^0.4017),2),ROUND(18.03*(($F$360/1000)^-0.2027)*(G480^0.4017),2))</f>
        <v>#VALUE!</v>
      </c>
      <c r="H481" s="2430" t="e">
        <f t="shared" ref="H481:N481" si="275">IF($F$360&lt;=5000000,ROUND(18.03*(5000^-0.2027)*(H480^0.4017),2),ROUND(18.03*(($F$360/1000)^-0.2027)*(H480^0.4017),2))</f>
        <v>#VALUE!</v>
      </c>
      <c r="I481" s="2430" t="e">
        <f t="shared" si="275"/>
        <v>#VALUE!</v>
      </c>
      <c r="J481" s="2430" t="e">
        <f>IF($F$360&lt;=5000000,ROUND(18.03*(5000^-0.2027)*(J480^0.4017),2),ROUND(18.03*(($F$360/1000)^-0.2027)*(J480^0.4017),2))</f>
        <v>#VALUE!</v>
      </c>
      <c r="K481" s="2430" t="e">
        <f>IF($F$360&lt;=5000000,ROUND(18.03*(5000^-0.2027)*(K480^0.4017),2),ROUND(18.03*(($F$360/1000)^-0.2027)*(K480^0.4017),2))</f>
        <v>#VALUE!</v>
      </c>
      <c r="L481" s="2430" t="e">
        <f t="shared" si="275"/>
        <v>#VALUE!</v>
      </c>
      <c r="M481" s="2430" t="e">
        <f t="shared" si="275"/>
        <v>#VALUE!</v>
      </c>
      <c r="N481" s="2430" t="e">
        <f t="shared" si="275"/>
        <v>#VALUE!</v>
      </c>
      <c r="O481" s="2432"/>
      <c r="P481" s="2432"/>
    </row>
    <row r="482" spans="1:16" ht="13.5" customHeight="1">
      <c r="A482" s="2812"/>
      <c r="B482" s="2814"/>
      <c r="C482" s="2822" t="s">
        <v>2715</v>
      </c>
      <c r="D482" s="2039"/>
      <c r="E482" s="2457"/>
      <c r="F482" s="1978" t="s">
        <v>2708</v>
      </c>
      <c r="G482" s="2458">
        <f>IF($F$360&lt;=5000000,ROUND(6.07,2),0)</f>
        <v>6.07</v>
      </c>
      <c r="H482" s="2458">
        <f t="shared" ref="H482:N482" si="276">IF($F$360&lt;=5000000,ROUND(6.07,2),0)</f>
        <v>6.07</v>
      </c>
      <c r="I482" s="2458">
        <f t="shared" si="276"/>
        <v>6.07</v>
      </c>
      <c r="J482" s="2458">
        <f t="shared" si="276"/>
        <v>6.07</v>
      </c>
      <c r="K482" s="2458">
        <f t="shared" si="276"/>
        <v>6.07</v>
      </c>
      <c r="L482" s="2458">
        <f t="shared" si="276"/>
        <v>6.07</v>
      </c>
      <c r="M482" s="2458">
        <f t="shared" si="276"/>
        <v>6.07</v>
      </c>
      <c r="N482" s="2458">
        <f t="shared" si="276"/>
        <v>6.07</v>
      </c>
      <c r="O482" s="2437"/>
      <c r="P482" s="2437"/>
    </row>
    <row r="483" spans="1:16" ht="13.5" customHeight="1">
      <c r="A483" s="2812"/>
      <c r="B483" s="2814"/>
      <c r="C483" s="2823"/>
      <c r="D483" s="2460"/>
      <c r="E483" s="2461"/>
      <c r="F483" s="1978" t="s">
        <v>2709</v>
      </c>
      <c r="G483" s="2458">
        <f>IF($F$360&lt;=5000000,ROUND(3.59,2),0)</f>
        <v>3.59</v>
      </c>
      <c r="H483" s="2458">
        <f t="shared" ref="H483:N483" si="277">IF($F$360&lt;=5000000,ROUND(3.59,2),0)</f>
        <v>3.59</v>
      </c>
      <c r="I483" s="2458">
        <f t="shared" si="277"/>
        <v>3.59</v>
      </c>
      <c r="J483" s="2458">
        <f t="shared" si="277"/>
        <v>3.59</v>
      </c>
      <c r="K483" s="2458">
        <f t="shared" si="277"/>
        <v>3.59</v>
      </c>
      <c r="L483" s="2458">
        <f t="shared" si="277"/>
        <v>3.59</v>
      </c>
      <c r="M483" s="2458">
        <f t="shared" si="277"/>
        <v>3.59</v>
      </c>
      <c r="N483" s="2458">
        <f t="shared" si="277"/>
        <v>3.59</v>
      </c>
      <c r="O483" s="2437"/>
      <c r="P483" s="2437"/>
    </row>
    <row r="484" spans="1:16" ht="13.5" customHeight="1">
      <c r="A484" s="2812"/>
      <c r="B484" s="2814"/>
      <c r="C484" s="2822" t="s">
        <v>2716</v>
      </c>
      <c r="D484" s="2039"/>
      <c r="E484" s="2457"/>
      <c r="F484" s="1978" t="s">
        <v>2708</v>
      </c>
      <c r="G484" s="2462">
        <f>IF($F$360&gt;5000000,ROUND(11.74*($F$360/1000)^-0.0774,2),0)</f>
        <v>0</v>
      </c>
      <c r="H484" s="2462">
        <f t="shared" ref="H484:N484" si="278">IF($F$360&gt;5000000,ROUND(11.74*($F$360/1000)^-0.0774,2),0)</f>
        <v>0</v>
      </c>
      <c r="I484" s="2462">
        <f t="shared" si="278"/>
        <v>0</v>
      </c>
      <c r="J484" s="2462">
        <f t="shared" si="278"/>
        <v>0</v>
      </c>
      <c r="K484" s="2462">
        <f t="shared" si="278"/>
        <v>0</v>
      </c>
      <c r="L484" s="2462">
        <f t="shared" si="278"/>
        <v>0</v>
      </c>
      <c r="M484" s="2462">
        <f t="shared" si="278"/>
        <v>0</v>
      </c>
      <c r="N484" s="2462">
        <f t="shared" si="278"/>
        <v>0</v>
      </c>
      <c r="O484" s="2442"/>
      <c r="P484" s="2442"/>
    </row>
    <row r="485" spans="1:16" ht="13.5" customHeight="1">
      <c r="A485" s="2820"/>
      <c r="B485" s="2821"/>
      <c r="C485" s="2823"/>
      <c r="D485" s="2460"/>
      <c r="E485" s="2461"/>
      <c r="F485" s="1978" t="s">
        <v>2709</v>
      </c>
      <c r="G485" s="2462">
        <f>IF($F$360&gt;5000000,ROUND(6.94*($F$360/1000)^-0.0774,2),0)</f>
        <v>0</v>
      </c>
      <c r="H485" s="2462">
        <f t="shared" ref="H485:N485" si="279">IF($F$360&gt;5000000,ROUND(6.94*($F$360/1000)^-0.0774,2),0)</f>
        <v>0</v>
      </c>
      <c r="I485" s="2462">
        <f t="shared" si="279"/>
        <v>0</v>
      </c>
      <c r="J485" s="2462">
        <f t="shared" si="279"/>
        <v>0</v>
      </c>
      <c r="K485" s="2462">
        <f t="shared" si="279"/>
        <v>0</v>
      </c>
      <c r="L485" s="2462">
        <f t="shared" si="279"/>
        <v>0</v>
      </c>
      <c r="M485" s="2462">
        <f t="shared" si="279"/>
        <v>0</v>
      </c>
      <c r="N485" s="2462">
        <f t="shared" si="279"/>
        <v>0</v>
      </c>
      <c r="O485" s="2442"/>
      <c r="P485" s="2442"/>
    </row>
    <row r="486" spans="1:16" ht="13.5" customHeight="1">
      <c r="A486" s="2824" t="s">
        <v>2711</v>
      </c>
      <c r="B486" s="2825"/>
      <c r="C486" s="2825"/>
      <c r="D486" s="2825"/>
      <c r="E486" s="2825"/>
      <c r="F486" s="2826"/>
      <c r="G486" s="2464">
        <f t="shared" ref="G486:N486" si="280">IF($F$147&lt;=5000000,IF(G$268&gt;G$269,G$269,IF(G$268&lt;G$270,G$270,G$268)),IF(G$268&gt;G$271,G$271,IF(G$268&lt;G$272,G$272,G$268)))</f>
        <v>3.59</v>
      </c>
      <c r="H486" s="2464">
        <f t="shared" si="280"/>
        <v>3.59</v>
      </c>
      <c r="I486" s="2464">
        <f t="shared" si="280"/>
        <v>3.59</v>
      </c>
      <c r="J486" s="2464">
        <f t="shared" si="280"/>
        <v>3.59</v>
      </c>
      <c r="K486" s="2464">
        <f t="shared" si="280"/>
        <v>3.59</v>
      </c>
      <c r="L486" s="2464">
        <f t="shared" si="280"/>
        <v>3.59</v>
      </c>
      <c r="M486" s="2464">
        <f t="shared" si="280"/>
        <v>3.59</v>
      </c>
      <c r="N486" s="2464">
        <f t="shared" si="280"/>
        <v>3.59</v>
      </c>
      <c r="O486" s="2466"/>
      <c r="P486" s="2466"/>
    </row>
    <row r="487" spans="1:16" ht="13.5" customHeight="1" thickBot="1">
      <c r="A487" s="2827" t="s">
        <v>2712</v>
      </c>
      <c r="B487" s="2828"/>
      <c r="C487" s="2828"/>
      <c r="D487" s="2828"/>
      <c r="E487" s="2828"/>
      <c r="F487" s="2829"/>
      <c r="G487" s="2445">
        <f t="shared" ref="G487:N487" si="281">ROUND(G486*IF(AND(G305="駅施設",G306="無し"),0.7,IF(AND(G305="駅施設",G306="有り"),0.7,IF(AND(G305="地上建物",G306="無し"),0.9,IF(AND(G305="地上建物",G306="有り"),1,0)))),2)</f>
        <v>0</v>
      </c>
      <c r="H487" s="2445">
        <f t="shared" si="281"/>
        <v>0</v>
      </c>
      <c r="I487" s="2445">
        <f t="shared" si="281"/>
        <v>0</v>
      </c>
      <c r="J487" s="2445">
        <f>ROUND(J486*IF(AND(J305="駅施設",J306="無し"),0.7,IF(AND(J305="駅施設",J306="有り"),0.7,IF(AND(J305="地上建物",J306="無し"),0.9,IF(AND(J305="地上建物",J306="有り"),1,0)))),2)</f>
        <v>0</v>
      </c>
      <c r="K487" s="2445">
        <f>ROUND(K486*IF(AND(K305="駅施設",K306="無し"),0.7,IF(AND(K305="駅施設",K306="有り"),0.7,IF(AND(K305="地上建物",K306="無し"),0.9,IF(AND(K305="地上建物",K306="有り"),1,0)))),2)</f>
        <v>0</v>
      </c>
      <c r="L487" s="2445">
        <f t="shared" si="281"/>
        <v>0</v>
      </c>
      <c r="M487" s="2445">
        <f t="shared" si="281"/>
        <v>0</v>
      </c>
      <c r="N487" s="2445">
        <f t="shared" si="281"/>
        <v>0</v>
      </c>
      <c r="O487" s="2442"/>
      <c r="P487" s="2442"/>
    </row>
    <row r="488" spans="1:16" ht="13.5" customHeight="1" thickBot="1">
      <c r="A488" s="1760"/>
      <c r="B488" s="1760"/>
      <c r="C488" s="1760"/>
      <c r="D488" s="1760"/>
      <c r="E488" s="2467"/>
      <c r="F488" s="2467"/>
      <c r="G488" s="2468"/>
      <c r="H488" s="2468"/>
      <c r="I488" s="2468"/>
      <c r="J488" s="2468"/>
      <c r="K488" s="2468"/>
      <c r="L488" s="2468"/>
      <c r="M488" s="2468"/>
      <c r="N488" s="2468"/>
    </row>
    <row r="489" spans="1:16" ht="13.5" customHeight="1">
      <c r="A489" s="2450"/>
      <c r="B489" s="2451"/>
      <c r="C489" s="2452" t="s">
        <v>2717</v>
      </c>
      <c r="D489" s="2453"/>
      <c r="E489" s="2451"/>
      <c r="F489" s="2454" t="s">
        <v>2703</v>
      </c>
      <c r="G489" s="2469" t="str">
        <f t="shared" ref="G489:N489" si="282">+G497</f>
        <v/>
      </c>
      <c r="H489" s="2469" t="str">
        <f t="shared" si="282"/>
        <v/>
      </c>
      <c r="I489" s="2469" t="str">
        <f t="shared" si="282"/>
        <v/>
      </c>
      <c r="J489" s="2469" t="str">
        <f>+J497</f>
        <v/>
      </c>
      <c r="K489" s="2469" t="str">
        <f>+K497</f>
        <v/>
      </c>
      <c r="L489" s="2469" t="str">
        <f t="shared" si="282"/>
        <v/>
      </c>
      <c r="M489" s="2469" t="str">
        <f t="shared" si="282"/>
        <v/>
      </c>
      <c r="N489" s="2469" t="str">
        <f t="shared" si="282"/>
        <v/>
      </c>
    </row>
    <row r="490" spans="1:16" ht="13.5" customHeight="1">
      <c r="A490" s="2811"/>
      <c r="B490" s="2813" t="s">
        <v>2704</v>
      </c>
      <c r="C490" s="2455" t="s">
        <v>2718</v>
      </c>
      <c r="D490" s="2030"/>
      <c r="E490" s="2456"/>
      <c r="F490" s="1978" t="s">
        <v>2955</v>
      </c>
      <c r="G490" s="2430" t="e">
        <f>IF($F391&lt;=10000000,ROUND(151.08*((10000)^-0.3396)*(G489^0.586),2),ROUND(151.08*(($F391/1000)^-0.3396)*(G489^0.586),2))</f>
        <v>#VALUE!</v>
      </c>
      <c r="H490" s="2430" t="e">
        <f t="shared" ref="H490:N490" si="283">IF($F391&lt;=10000000,ROUND(151.08*((10000)^-0.3396)*(H489^0.586),2),ROUND(151.08*(($F391/1000)^-0.3396)*(H489^0.586),2))</f>
        <v>#VALUE!</v>
      </c>
      <c r="I490" s="2430" t="e">
        <f t="shared" si="283"/>
        <v>#VALUE!</v>
      </c>
      <c r="J490" s="2430" t="e">
        <f t="shared" si="283"/>
        <v>#VALUE!</v>
      </c>
      <c r="K490" s="2430" t="e">
        <f t="shared" si="283"/>
        <v>#VALUE!</v>
      </c>
      <c r="L490" s="2430" t="e">
        <f t="shared" si="283"/>
        <v>#VALUE!</v>
      </c>
      <c r="M490" s="2430" t="e">
        <f t="shared" si="283"/>
        <v>#VALUE!</v>
      </c>
      <c r="N490" s="2430" t="e">
        <f t="shared" si="283"/>
        <v>#VALUE!</v>
      </c>
    </row>
    <row r="491" spans="1:16" ht="13.5" customHeight="1">
      <c r="A491" s="2812"/>
      <c r="B491" s="2814"/>
      <c r="C491" s="2822" t="s">
        <v>2720</v>
      </c>
      <c r="D491" s="2039"/>
      <c r="E491" s="2457"/>
      <c r="F491" s="1978" t="s">
        <v>2708</v>
      </c>
      <c r="G491" s="2471">
        <f>IF($F391&lt;=10000000,ROUND(20.13,2),0)</f>
        <v>20.13</v>
      </c>
      <c r="H491" s="2471">
        <f t="shared" ref="H491:N491" si="284">IF($F391&lt;=10000000,ROUND(20.13,2),0)</f>
        <v>20.13</v>
      </c>
      <c r="I491" s="2471">
        <f t="shared" si="284"/>
        <v>20.13</v>
      </c>
      <c r="J491" s="2471">
        <f t="shared" si="284"/>
        <v>20.13</v>
      </c>
      <c r="K491" s="2471">
        <f t="shared" si="284"/>
        <v>20.13</v>
      </c>
      <c r="L491" s="2471">
        <f t="shared" si="284"/>
        <v>20.13</v>
      </c>
      <c r="M491" s="2471">
        <f t="shared" si="284"/>
        <v>20.13</v>
      </c>
      <c r="N491" s="2471">
        <f t="shared" si="284"/>
        <v>20.13</v>
      </c>
    </row>
    <row r="492" spans="1:16" ht="13.5" customHeight="1">
      <c r="A492" s="2812"/>
      <c r="B492" s="2814"/>
      <c r="C492" s="2823"/>
      <c r="D492" s="2460"/>
      <c r="E492" s="2461"/>
      <c r="F492" s="1978" t="s">
        <v>2709</v>
      </c>
      <c r="G492" s="2471">
        <f>IF($F391&lt;=10000000,ROUND(10.01,2),0)</f>
        <v>10.01</v>
      </c>
      <c r="H492" s="2471">
        <f t="shared" ref="H492:N492" si="285">IF($F391&lt;=10000000,ROUND(10.01,2),0)</f>
        <v>10.01</v>
      </c>
      <c r="I492" s="2471">
        <f t="shared" si="285"/>
        <v>10.01</v>
      </c>
      <c r="J492" s="2471">
        <f t="shared" si="285"/>
        <v>10.01</v>
      </c>
      <c r="K492" s="2471">
        <f t="shared" si="285"/>
        <v>10.01</v>
      </c>
      <c r="L492" s="2471">
        <f t="shared" si="285"/>
        <v>10.01</v>
      </c>
      <c r="M492" s="2471">
        <f t="shared" si="285"/>
        <v>10.01</v>
      </c>
      <c r="N492" s="2471">
        <f t="shared" si="285"/>
        <v>10.01</v>
      </c>
    </row>
    <row r="493" spans="1:16" ht="13.5" customHeight="1">
      <c r="A493" s="2812"/>
      <c r="B493" s="2814"/>
      <c r="C493" s="2822" t="s">
        <v>2721</v>
      </c>
      <c r="D493" s="2039"/>
      <c r="E493" s="2457"/>
      <c r="F493" s="1978" t="s">
        <v>2708</v>
      </c>
      <c r="G493" s="2473">
        <f>IF($F391&gt;10000000,ROUND(75.97*($F391/1000)^-0.1442,2),0)</f>
        <v>0</v>
      </c>
      <c r="H493" s="2473">
        <f t="shared" ref="H493:N493" si="286">IF($F391&gt;10000000,ROUND(75.97*($F391/1000)^-0.1442,2),0)</f>
        <v>0</v>
      </c>
      <c r="I493" s="2473">
        <f t="shared" si="286"/>
        <v>0</v>
      </c>
      <c r="J493" s="2473">
        <f t="shared" si="286"/>
        <v>0</v>
      </c>
      <c r="K493" s="2473">
        <f t="shared" si="286"/>
        <v>0</v>
      </c>
      <c r="L493" s="2473">
        <f t="shared" si="286"/>
        <v>0</v>
      </c>
      <c r="M493" s="2473">
        <f t="shared" si="286"/>
        <v>0</v>
      </c>
      <c r="N493" s="2473">
        <f t="shared" si="286"/>
        <v>0</v>
      </c>
    </row>
    <row r="494" spans="1:16" ht="13.5" customHeight="1">
      <c r="A494" s="2820"/>
      <c r="B494" s="2821"/>
      <c r="C494" s="2823"/>
      <c r="D494" s="2460"/>
      <c r="E494" s="2461"/>
      <c r="F494" s="1978" t="s">
        <v>2709</v>
      </c>
      <c r="G494" s="2473">
        <f>IF($F391&gt;10000000,ROUND(37.76*($F391/1000)^-0.1442,2),0)</f>
        <v>0</v>
      </c>
      <c r="H494" s="2473">
        <f t="shared" ref="H494:N494" si="287">IF($F391&gt;10000000,ROUND(37.76*($F391/1000)^-0.1442,2),0)</f>
        <v>0</v>
      </c>
      <c r="I494" s="2473">
        <f t="shared" si="287"/>
        <v>0</v>
      </c>
      <c r="J494" s="2473">
        <f t="shared" si="287"/>
        <v>0</v>
      </c>
      <c r="K494" s="2473">
        <f t="shared" si="287"/>
        <v>0</v>
      </c>
      <c r="L494" s="2473">
        <f t="shared" si="287"/>
        <v>0</v>
      </c>
      <c r="M494" s="2473">
        <f t="shared" si="287"/>
        <v>0</v>
      </c>
      <c r="N494" s="2473">
        <f t="shared" si="287"/>
        <v>0</v>
      </c>
    </row>
    <row r="495" spans="1:16" ht="13.5" customHeight="1" thickBot="1">
      <c r="A495" s="2817" t="s">
        <v>2722</v>
      </c>
      <c r="B495" s="2818"/>
      <c r="C495" s="2818"/>
      <c r="D495" s="2819"/>
      <c r="E495" s="2475"/>
      <c r="F495" s="2476"/>
      <c r="G495" s="2477" t="e">
        <f>IF($F391&lt;=10000000,IF(G490&gt;G491,G491,IF(G490&lt;G492,G492,G490)),IF(G490&gt;G493,G493,IF(G490&lt;G494,G494,G490)))</f>
        <v>#VALUE!</v>
      </c>
      <c r="H495" s="2477" t="e">
        <f t="shared" ref="H495:N495" si="288">IF($F391&lt;=10000000,IF(H490&gt;H491,H491,IF(H490&lt;H492,H492,H490)),IF(H490&gt;H493,H493,IF(H490&lt;H494,H494,H490)))</f>
        <v>#VALUE!</v>
      </c>
      <c r="I495" s="2477" t="e">
        <f t="shared" si="288"/>
        <v>#VALUE!</v>
      </c>
      <c r="J495" s="2477" t="e">
        <f t="shared" si="288"/>
        <v>#VALUE!</v>
      </c>
      <c r="K495" s="2477" t="e">
        <f t="shared" si="288"/>
        <v>#VALUE!</v>
      </c>
      <c r="L495" s="2477" t="e">
        <f t="shared" si="288"/>
        <v>#VALUE!</v>
      </c>
      <c r="M495" s="2477" t="e">
        <f t="shared" si="288"/>
        <v>#VALUE!</v>
      </c>
      <c r="N495" s="2477" t="e">
        <f t="shared" si="288"/>
        <v>#VALUE!</v>
      </c>
    </row>
    <row r="496" spans="1:16" ht="13.5" customHeight="1" thickBot="1">
      <c r="A496" s="1760"/>
      <c r="B496" s="1760"/>
      <c r="C496" s="1760"/>
      <c r="D496" s="1760"/>
      <c r="E496" s="1760"/>
      <c r="F496" s="1760"/>
      <c r="G496" s="2479"/>
      <c r="H496" s="2479"/>
      <c r="I496" s="2479"/>
      <c r="J496" s="2479"/>
      <c r="K496" s="2479"/>
      <c r="L496" s="2479"/>
      <c r="M496" s="2479"/>
      <c r="N496" s="2479"/>
    </row>
    <row r="497" spans="1:14" ht="13.5" customHeight="1">
      <c r="A497" s="2450"/>
      <c r="B497" s="2451"/>
      <c r="C497" s="2452" t="s">
        <v>2717</v>
      </c>
      <c r="D497" s="2453"/>
      <c r="E497" s="2451"/>
      <c r="F497" s="2454" t="s">
        <v>2703</v>
      </c>
      <c r="G497" s="2469" t="str">
        <f t="shared" ref="G497:N497" si="289">+G300</f>
        <v/>
      </c>
      <c r="H497" s="2469" t="str">
        <f t="shared" si="289"/>
        <v/>
      </c>
      <c r="I497" s="2469" t="str">
        <f t="shared" si="289"/>
        <v/>
      </c>
      <c r="J497" s="2469" t="str">
        <f>+J300</f>
        <v/>
      </c>
      <c r="K497" s="2469" t="str">
        <f>+K300</f>
        <v/>
      </c>
      <c r="L497" s="2469" t="str">
        <f t="shared" si="289"/>
        <v/>
      </c>
      <c r="M497" s="2469" t="str">
        <f t="shared" si="289"/>
        <v/>
      </c>
      <c r="N497" s="2469" t="str">
        <f t="shared" si="289"/>
        <v/>
      </c>
    </row>
    <row r="498" spans="1:14" ht="13.5" customHeight="1">
      <c r="A498" s="2811"/>
      <c r="B498" s="2813" t="s">
        <v>2713</v>
      </c>
      <c r="C498" s="2455" t="s">
        <v>2718</v>
      </c>
      <c r="D498" s="2030"/>
      <c r="E498" s="2456"/>
      <c r="F498" s="1978" t="s">
        <v>2955</v>
      </c>
      <c r="G498" s="2430" t="e">
        <f>IF($F391&lt;=5000000,ROUND(356.2*((5000)^-0.4085)*(G497^0.5766),2),ROUND(356.2*(($F391/1000)^-0.4085)*(G497^0.5766),2))</f>
        <v>#VALUE!</v>
      </c>
      <c r="H498" s="2430" t="e">
        <f t="shared" ref="H498:N498" si="290">IF($F391&lt;=5000000,ROUND(356.2*((5000)^-0.4085)*(H497^0.5766),2),ROUND(356.2*(($F391/1000)^-0.4085)*(H497^0.5766),2))</f>
        <v>#VALUE!</v>
      </c>
      <c r="I498" s="2430" t="e">
        <f t="shared" si="290"/>
        <v>#VALUE!</v>
      </c>
      <c r="J498" s="2430" t="e">
        <f t="shared" si="290"/>
        <v>#VALUE!</v>
      </c>
      <c r="K498" s="2430" t="e">
        <f t="shared" si="290"/>
        <v>#VALUE!</v>
      </c>
      <c r="L498" s="2430" t="e">
        <f t="shared" si="290"/>
        <v>#VALUE!</v>
      </c>
      <c r="M498" s="2430" t="e">
        <f t="shared" si="290"/>
        <v>#VALUE!</v>
      </c>
      <c r="N498" s="2430" t="e">
        <f t="shared" si="290"/>
        <v>#VALUE!</v>
      </c>
    </row>
    <row r="499" spans="1:14" ht="13.5" customHeight="1">
      <c r="A499" s="2812"/>
      <c r="B499" s="2814"/>
      <c r="C499" s="2822" t="s">
        <v>2724</v>
      </c>
      <c r="D499" s="2039"/>
      <c r="E499" s="2457"/>
      <c r="F499" s="1978" t="s">
        <v>2708</v>
      </c>
      <c r="G499" s="2471">
        <f>IF($F391&lt;=5000000,ROUND(26.86,2),0)</f>
        <v>26.86</v>
      </c>
      <c r="H499" s="2471">
        <f t="shared" ref="H499:N499" si="291">IF($F391&lt;=5000000,ROUND(26.86,2),0)</f>
        <v>26.86</v>
      </c>
      <c r="I499" s="2471">
        <f t="shared" si="291"/>
        <v>26.86</v>
      </c>
      <c r="J499" s="2471">
        <f t="shared" si="291"/>
        <v>26.86</v>
      </c>
      <c r="K499" s="2471">
        <f t="shared" si="291"/>
        <v>26.86</v>
      </c>
      <c r="L499" s="2471">
        <f t="shared" si="291"/>
        <v>26.86</v>
      </c>
      <c r="M499" s="2471">
        <f t="shared" si="291"/>
        <v>26.86</v>
      </c>
      <c r="N499" s="2471">
        <f t="shared" si="291"/>
        <v>26.86</v>
      </c>
    </row>
    <row r="500" spans="1:14" ht="13.5" customHeight="1">
      <c r="A500" s="2812"/>
      <c r="B500" s="2814"/>
      <c r="C500" s="2823"/>
      <c r="D500" s="2460"/>
      <c r="E500" s="2461"/>
      <c r="F500" s="1978" t="s">
        <v>2709</v>
      </c>
      <c r="G500" s="2471">
        <f>IF($F391&lt;=5000000,ROUND(12.7,2),0)</f>
        <v>12.7</v>
      </c>
      <c r="H500" s="2471">
        <f t="shared" ref="H500:N500" si="292">IF($F391&lt;=5000000,ROUND(12.7,2),0)</f>
        <v>12.7</v>
      </c>
      <c r="I500" s="2471">
        <f t="shared" si="292"/>
        <v>12.7</v>
      </c>
      <c r="J500" s="2471">
        <f t="shared" si="292"/>
        <v>12.7</v>
      </c>
      <c r="K500" s="2471">
        <f t="shared" si="292"/>
        <v>12.7</v>
      </c>
      <c r="L500" s="2471">
        <f t="shared" si="292"/>
        <v>12.7</v>
      </c>
      <c r="M500" s="2471">
        <f t="shared" si="292"/>
        <v>12.7</v>
      </c>
      <c r="N500" s="2471">
        <f t="shared" si="292"/>
        <v>12.7</v>
      </c>
    </row>
    <row r="501" spans="1:14" ht="13.5" customHeight="1">
      <c r="A501" s="2812"/>
      <c r="B501" s="2814"/>
      <c r="C501" s="2822" t="s">
        <v>2725</v>
      </c>
      <c r="D501" s="2039"/>
      <c r="E501" s="2457"/>
      <c r="F501" s="1978" t="s">
        <v>2708</v>
      </c>
      <c r="G501" s="2473">
        <f>IF($F391&gt;5000000,ROUND(184.58*($F391/1000)^-0.2263,2),0)</f>
        <v>0</v>
      </c>
      <c r="H501" s="2473">
        <f t="shared" ref="H501:N501" si="293">IF($F391&gt;5000000,ROUND(184.58*($F391/1000)^-0.2263,2),0)</f>
        <v>0</v>
      </c>
      <c r="I501" s="2473">
        <f t="shared" si="293"/>
        <v>0</v>
      </c>
      <c r="J501" s="2473">
        <f t="shared" si="293"/>
        <v>0</v>
      </c>
      <c r="K501" s="2473">
        <f t="shared" si="293"/>
        <v>0</v>
      </c>
      <c r="L501" s="2473">
        <f t="shared" si="293"/>
        <v>0</v>
      </c>
      <c r="M501" s="2473">
        <f t="shared" si="293"/>
        <v>0</v>
      </c>
      <c r="N501" s="2473">
        <f t="shared" si="293"/>
        <v>0</v>
      </c>
    </row>
    <row r="502" spans="1:14" ht="13.5" customHeight="1">
      <c r="A502" s="2820"/>
      <c r="B502" s="2821"/>
      <c r="C502" s="2823"/>
      <c r="D502" s="2460"/>
      <c r="E502" s="2461"/>
      <c r="F502" s="1978" t="s">
        <v>2709</v>
      </c>
      <c r="G502" s="2473">
        <f>IF($F391&gt;5000000,ROUND(87.29*($F391/1000)^-0.2263,2),0)</f>
        <v>0</v>
      </c>
      <c r="H502" s="2473">
        <f t="shared" ref="H502:N502" si="294">IF($F391&gt;5000000,ROUND(87.29*($F391/1000)^-0.2263,2),0)</f>
        <v>0</v>
      </c>
      <c r="I502" s="2473">
        <f t="shared" si="294"/>
        <v>0</v>
      </c>
      <c r="J502" s="2473">
        <f t="shared" si="294"/>
        <v>0</v>
      </c>
      <c r="K502" s="2473">
        <f t="shared" si="294"/>
        <v>0</v>
      </c>
      <c r="L502" s="2473">
        <f t="shared" si="294"/>
        <v>0</v>
      </c>
      <c r="M502" s="2473">
        <f t="shared" si="294"/>
        <v>0</v>
      </c>
      <c r="N502" s="2473">
        <f t="shared" si="294"/>
        <v>0</v>
      </c>
    </row>
    <row r="503" spans="1:14" ht="13.5" customHeight="1" thickBot="1">
      <c r="A503" s="2817" t="s">
        <v>2722</v>
      </c>
      <c r="B503" s="2818"/>
      <c r="C503" s="2818"/>
      <c r="D503" s="2818"/>
      <c r="E503" s="2480"/>
      <c r="F503" s="2476"/>
      <c r="G503" s="2481" t="e">
        <f>IF($F391&lt;=5000000,IF(G498&gt;G499,G499,IF(G498&lt;G500,G500,G498)),IF(G498&gt;G501,G501,IF(G498&lt;G502,G502,G498)))</f>
        <v>#VALUE!</v>
      </c>
      <c r="H503" s="2481" t="e">
        <f t="shared" ref="H503:N503" si="295">IF($F391&lt;=5000000,IF(H498&gt;H499,H499,IF(H498&lt;H500,H500,H498)),IF(H498&gt;H501,H501,IF(H498&lt;H502,H502,H498)))</f>
        <v>#VALUE!</v>
      </c>
      <c r="I503" s="2481" t="e">
        <f t="shared" si="295"/>
        <v>#VALUE!</v>
      </c>
      <c r="J503" s="2481" t="e">
        <f t="shared" si="295"/>
        <v>#VALUE!</v>
      </c>
      <c r="K503" s="2481" t="e">
        <f t="shared" si="295"/>
        <v>#VALUE!</v>
      </c>
      <c r="L503" s="2481" t="e">
        <f t="shared" si="295"/>
        <v>#VALUE!</v>
      </c>
      <c r="M503" s="2481" t="e">
        <f t="shared" si="295"/>
        <v>#VALUE!</v>
      </c>
      <c r="N503" s="2481" t="e">
        <f t="shared" si="295"/>
        <v>#VALUE!</v>
      </c>
    </row>
    <row r="504" spans="1:14" ht="13.5" customHeight="1" thickBot="1">
      <c r="A504" s="1760"/>
      <c r="B504" s="1760"/>
      <c r="C504" s="1760"/>
      <c r="D504" s="1760"/>
      <c r="E504" s="1760"/>
      <c r="F504" s="1760"/>
      <c r="G504" s="2483"/>
      <c r="H504" s="2483"/>
      <c r="I504" s="2483"/>
      <c r="J504" s="2483"/>
      <c r="K504" s="2483"/>
      <c r="L504" s="2483"/>
      <c r="M504" s="2483"/>
      <c r="N504" s="2483"/>
    </row>
    <row r="505" spans="1:14" ht="13.5" customHeight="1">
      <c r="A505" s="2450"/>
      <c r="B505" s="2451"/>
      <c r="C505" s="2452" t="s">
        <v>2726</v>
      </c>
      <c r="D505" s="2453"/>
      <c r="E505" s="2451"/>
      <c r="F505" s="2454"/>
      <c r="G505" s="2484"/>
      <c r="H505" s="2485"/>
      <c r="I505" s="2485"/>
      <c r="J505" s="2485"/>
      <c r="K505" s="2485"/>
      <c r="L505" s="2485"/>
      <c r="M505" s="2485"/>
      <c r="N505" s="2485"/>
    </row>
    <row r="506" spans="1:14" ht="13.5" customHeight="1">
      <c r="A506" s="2811"/>
      <c r="B506" s="2813" t="s">
        <v>81</v>
      </c>
      <c r="C506" s="2455" t="s">
        <v>2727</v>
      </c>
      <c r="D506" s="2030"/>
      <c r="E506" s="2456"/>
      <c r="F506" s="1978" t="s">
        <v>2956</v>
      </c>
      <c r="G506" s="2486" t="e">
        <f>ROUND(15.065-1.028*LOG($F438/1000),2)</f>
        <v>#NUM!</v>
      </c>
      <c r="H506" s="2487"/>
      <c r="I506" s="2487"/>
      <c r="J506" s="2487"/>
      <c r="K506" s="2487"/>
      <c r="L506" s="2487"/>
      <c r="M506" s="2487"/>
      <c r="N506" s="2487"/>
    </row>
    <row r="507" spans="1:14" ht="13.5" customHeight="1">
      <c r="A507" s="2812"/>
      <c r="B507" s="2814"/>
      <c r="C507" s="2488" t="s">
        <v>2729</v>
      </c>
      <c r="D507" s="2039"/>
      <c r="E507" s="2039"/>
      <c r="F507" s="2489"/>
      <c r="G507" s="2490">
        <f>IF($F438&lt;=5000000,11.26,0)</f>
        <v>11.26</v>
      </c>
      <c r="H507" s="2491"/>
      <c r="I507" s="2491"/>
      <c r="J507" s="2491"/>
      <c r="K507" s="2491"/>
      <c r="L507" s="2491"/>
      <c r="M507" s="2491"/>
      <c r="N507" s="2491"/>
    </row>
    <row r="508" spans="1:14" ht="13.5" customHeight="1">
      <c r="A508" s="2812"/>
      <c r="B508" s="2814"/>
      <c r="C508" s="2488" t="s">
        <v>2730</v>
      </c>
      <c r="D508" s="2039"/>
      <c r="E508" s="2030"/>
      <c r="F508" s="2489"/>
      <c r="G508" s="2490">
        <f>IF($F438&gt;3000000000,8.41,0)</f>
        <v>0</v>
      </c>
      <c r="H508" s="2493"/>
      <c r="I508" s="2493"/>
      <c r="J508" s="2493"/>
      <c r="K508" s="2493"/>
      <c r="L508" s="2493"/>
      <c r="M508" s="2493"/>
      <c r="N508" s="2493"/>
    </row>
    <row r="509" spans="1:14" ht="13.5" customHeight="1" thickBot="1">
      <c r="A509" s="2815" t="s">
        <v>2731</v>
      </c>
      <c r="B509" s="2816"/>
      <c r="C509" s="2816"/>
      <c r="D509" s="2816"/>
      <c r="E509" s="2494"/>
      <c r="F509" s="2495"/>
      <c r="G509" s="2496">
        <f>IF($F438&lt;=5000000,G507,IF($F438&gt;3000000000,G508,G506))</f>
        <v>11.26</v>
      </c>
      <c r="H509" s="2497"/>
      <c r="I509" s="2497"/>
      <c r="J509" s="2497"/>
      <c r="K509" s="2497"/>
      <c r="L509" s="2497"/>
      <c r="M509" s="2497"/>
      <c r="N509" s="2497"/>
    </row>
  </sheetData>
  <mergeCells count="164">
    <mergeCell ref="C10:F10"/>
    <mergeCell ref="A11:F11"/>
    <mergeCell ref="A12:F12"/>
    <mergeCell ref="B22:B25"/>
    <mergeCell ref="B26:B33"/>
    <mergeCell ref="B34:B36"/>
    <mergeCell ref="C2:E2"/>
    <mergeCell ref="B4:D4"/>
    <mergeCell ref="B5:D5"/>
    <mergeCell ref="B6:D6"/>
    <mergeCell ref="D8:F8"/>
    <mergeCell ref="D9:F9"/>
    <mergeCell ref="A58:A62"/>
    <mergeCell ref="B61:B62"/>
    <mergeCell ref="B63:C63"/>
    <mergeCell ref="B68:C68"/>
    <mergeCell ref="B70:C70"/>
    <mergeCell ref="B75:C75"/>
    <mergeCell ref="B37:B43"/>
    <mergeCell ref="A44:C44"/>
    <mergeCell ref="A45:A48"/>
    <mergeCell ref="B49:C49"/>
    <mergeCell ref="B54:C54"/>
    <mergeCell ref="A57:C57"/>
    <mergeCell ref="B78:B79"/>
    <mergeCell ref="B81:B82"/>
    <mergeCell ref="C91:F91"/>
    <mergeCell ref="A92:F92"/>
    <mergeCell ref="A93:F93"/>
    <mergeCell ref="A121:A142"/>
    <mergeCell ref="B121:B124"/>
    <mergeCell ref="B125:B132"/>
    <mergeCell ref="C125:E125"/>
    <mergeCell ref="B133:B135"/>
    <mergeCell ref="D158:D159"/>
    <mergeCell ref="E158:E159"/>
    <mergeCell ref="A159:C159"/>
    <mergeCell ref="A160:A171"/>
    <mergeCell ref="B160:B163"/>
    <mergeCell ref="B164:B167"/>
    <mergeCell ref="B169:B170"/>
    <mergeCell ref="B136:B142"/>
    <mergeCell ref="D145:D146"/>
    <mergeCell ref="E145:E146"/>
    <mergeCell ref="A146:C146"/>
    <mergeCell ref="A147:A157"/>
    <mergeCell ref="B148:B149"/>
    <mergeCell ref="B150:B154"/>
    <mergeCell ref="B155:B156"/>
    <mergeCell ref="F227:G227"/>
    <mergeCell ref="A228:C228"/>
    <mergeCell ref="F228:G228"/>
    <mergeCell ref="D176:D177"/>
    <mergeCell ref="E176:E177"/>
    <mergeCell ref="A177:C177"/>
    <mergeCell ref="B179:B182"/>
    <mergeCell ref="B183:B190"/>
    <mergeCell ref="B191:B193"/>
    <mergeCell ref="A229:A236"/>
    <mergeCell ref="B230:B231"/>
    <mergeCell ref="B232:B233"/>
    <mergeCell ref="B234:B236"/>
    <mergeCell ref="A238:C238"/>
    <mergeCell ref="B240:B241"/>
    <mergeCell ref="B196:B202"/>
    <mergeCell ref="B203:B210"/>
    <mergeCell ref="B211:B213"/>
    <mergeCell ref="A222:C223"/>
    <mergeCell ref="A264:F264"/>
    <mergeCell ref="A265:F265"/>
    <mergeCell ref="A268:A272"/>
    <mergeCell ref="B268:B272"/>
    <mergeCell ref="C269:C270"/>
    <mergeCell ref="C271:C272"/>
    <mergeCell ref="B242:B243"/>
    <mergeCell ref="B244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4:A355"/>
    <mergeCell ref="B334:B337"/>
    <mergeCell ref="B338:B345"/>
    <mergeCell ref="C338:E338"/>
    <mergeCell ref="B346:B348"/>
    <mergeCell ref="B349:B355"/>
    <mergeCell ref="A293:A295"/>
    <mergeCell ref="B293:B295"/>
    <mergeCell ref="A296:D296"/>
    <mergeCell ref="C304:F304"/>
    <mergeCell ref="A305:F305"/>
    <mergeCell ref="A306:F306"/>
    <mergeCell ref="D371:D372"/>
    <mergeCell ref="E371:E372"/>
    <mergeCell ref="A372:C372"/>
    <mergeCell ref="A373:A384"/>
    <mergeCell ref="B373:B376"/>
    <mergeCell ref="B377:B380"/>
    <mergeCell ref="B382:B383"/>
    <mergeCell ref="D358:D359"/>
    <mergeCell ref="E358:E359"/>
    <mergeCell ref="A359:C359"/>
    <mergeCell ref="A360:A370"/>
    <mergeCell ref="B361:B362"/>
    <mergeCell ref="B363:B367"/>
    <mergeCell ref="B368:B369"/>
    <mergeCell ref="B409:B415"/>
    <mergeCell ref="B416:B423"/>
    <mergeCell ref="B424:B426"/>
    <mergeCell ref="A435:C436"/>
    <mergeCell ref="F440:G440"/>
    <mergeCell ref="A441:C441"/>
    <mergeCell ref="F441:G441"/>
    <mergeCell ref="D389:D390"/>
    <mergeCell ref="E389:E390"/>
    <mergeCell ref="A390:C390"/>
    <mergeCell ref="B392:B395"/>
    <mergeCell ref="B396:B403"/>
    <mergeCell ref="B404:B406"/>
    <mergeCell ref="B455:B456"/>
    <mergeCell ref="B457:B459"/>
    <mergeCell ref="A472:A476"/>
    <mergeCell ref="B472:B476"/>
    <mergeCell ref="C473:C474"/>
    <mergeCell ref="C475:C476"/>
    <mergeCell ref="A442:A449"/>
    <mergeCell ref="B443:B444"/>
    <mergeCell ref="B445:B446"/>
    <mergeCell ref="B447:B449"/>
    <mergeCell ref="A451:C451"/>
    <mergeCell ref="B453:B454"/>
    <mergeCell ref="A486:F486"/>
    <mergeCell ref="A487:F487"/>
    <mergeCell ref="A490:A494"/>
    <mergeCell ref="B490:B494"/>
    <mergeCell ref="C491:C492"/>
    <mergeCell ref="C493:C494"/>
    <mergeCell ref="A477:F477"/>
    <mergeCell ref="A478:F478"/>
    <mergeCell ref="A481:A485"/>
    <mergeCell ref="B481:B485"/>
    <mergeCell ref="C482:C483"/>
    <mergeCell ref="C484:C485"/>
    <mergeCell ref="A506:A508"/>
    <mergeCell ref="B506:B508"/>
    <mergeCell ref="A509:D509"/>
    <mergeCell ref="A495:D495"/>
    <mergeCell ref="A498:A502"/>
    <mergeCell ref="B498:B502"/>
    <mergeCell ref="C499:C500"/>
    <mergeCell ref="C501:C502"/>
    <mergeCell ref="A503:D503"/>
  </mergeCells>
  <phoneticPr fontId="2"/>
  <conditionalFormatting sqref="F90">
    <cfRule type="expression" dxfId="1" priority="2" stopIfTrue="1">
      <formula>AND($F$117&gt;5000000,OR($E$90="無し",$E$90="なし"))</formula>
    </cfRule>
  </conditionalFormatting>
  <conditionalFormatting sqref="F303">
    <cfRule type="expression" dxfId="0" priority="1" stopIfTrue="1">
      <formula>AND($F$117&gt;5000000,OR($E$90="無し",$E$90="なし"))</formula>
    </cfRule>
  </conditionalFormatting>
  <dataValidations count="4">
    <dataValidation type="list" allowBlank="1" showInputMessage="1" showErrorMessage="1" sqref="G91:K91 JC91:JG91 SY91:TC91 ACU91:ACY91 AMQ91:AMU91 AWM91:AWQ91 BGI91:BGM91 BQE91:BQI91 CAA91:CAE91 CJW91:CKA91 CTS91:CTW91 DDO91:DDS91 DNK91:DNO91 DXG91:DXK91 EHC91:EHG91 EQY91:ERC91 FAU91:FAY91 FKQ91:FKU91 FUM91:FUQ91 GEI91:GEM91 GOE91:GOI91 GYA91:GYE91 HHW91:HIA91 HRS91:HRW91 IBO91:IBS91 ILK91:ILO91 IVG91:IVK91 JFC91:JFG91 JOY91:JPC91 JYU91:JYY91 KIQ91:KIU91 KSM91:KSQ91 LCI91:LCM91 LME91:LMI91 LWA91:LWE91 MFW91:MGA91 MPS91:MPW91 MZO91:MZS91 NJK91:NJO91 NTG91:NTK91 ODC91:ODG91 OMY91:ONC91 OWU91:OWY91 PGQ91:PGU91 PQM91:PQQ91 QAI91:QAM91 QKE91:QKI91 QUA91:QUE91 RDW91:REA91 RNS91:RNW91 RXO91:RXS91 SHK91:SHO91 SRG91:SRK91 TBC91:TBG91 TKY91:TLC91 TUU91:TUY91 UEQ91:UEU91 UOM91:UOQ91 UYI91:UYM91 VIE91:VII91 VSA91:VSE91 WBW91:WCA91 WLS91:WLW91 WVO91:WVS91 G65627:K65627 JC65627:JG65627 SY65627:TC65627 ACU65627:ACY65627 AMQ65627:AMU65627 AWM65627:AWQ65627 BGI65627:BGM65627 BQE65627:BQI65627 CAA65627:CAE65627 CJW65627:CKA65627 CTS65627:CTW65627 DDO65627:DDS65627 DNK65627:DNO65627 DXG65627:DXK65627 EHC65627:EHG65627 EQY65627:ERC65627 FAU65627:FAY65627 FKQ65627:FKU65627 FUM65627:FUQ65627 GEI65627:GEM65627 GOE65627:GOI65627 GYA65627:GYE65627 HHW65627:HIA65627 HRS65627:HRW65627 IBO65627:IBS65627 ILK65627:ILO65627 IVG65627:IVK65627 JFC65627:JFG65627 JOY65627:JPC65627 JYU65627:JYY65627 KIQ65627:KIU65627 KSM65627:KSQ65627 LCI65627:LCM65627 LME65627:LMI65627 LWA65627:LWE65627 MFW65627:MGA65627 MPS65627:MPW65627 MZO65627:MZS65627 NJK65627:NJO65627 NTG65627:NTK65627 ODC65627:ODG65627 OMY65627:ONC65627 OWU65627:OWY65627 PGQ65627:PGU65627 PQM65627:PQQ65627 QAI65627:QAM65627 QKE65627:QKI65627 QUA65627:QUE65627 RDW65627:REA65627 RNS65627:RNW65627 RXO65627:RXS65627 SHK65627:SHO65627 SRG65627:SRK65627 TBC65627:TBG65627 TKY65627:TLC65627 TUU65627:TUY65627 UEQ65627:UEU65627 UOM65627:UOQ65627 UYI65627:UYM65627 VIE65627:VII65627 VSA65627:VSE65627 WBW65627:WCA65627 WLS65627:WLW65627 WVO65627:WVS65627 G131163:K131163 JC131163:JG131163 SY131163:TC131163 ACU131163:ACY131163 AMQ131163:AMU131163 AWM131163:AWQ131163 BGI131163:BGM131163 BQE131163:BQI131163 CAA131163:CAE131163 CJW131163:CKA131163 CTS131163:CTW131163 DDO131163:DDS131163 DNK131163:DNO131163 DXG131163:DXK131163 EHC131163:EHG131163 EQY131163:ERC131163 FAU131163:FAY131163 FKQ131163:FKU131163 FUM131163:FUQ131163 GEI131163:GEM131163 GOE131163:GOI131163 GYA131163:GYE131163 HHW131163:HIA131163 HRS131163:HRW131163 IBO131163:IBS131163 ILK131163:ILO131163 IVG131163:IVK131163 JFC131163:JFG131163 JOY131163:JPC131163 JYU131163:JYY131163 KIQ131163:KIU131163 KSM131163:KSQ131163 LCI131163:LCM131163 LME131163:LMI131163 LWA131163:LWE131163 MFW131163:MGA131163 MPS131163:MPW131163 MZO131163:MZS131163 NJK131163:NJO131163 NTG131163:NTK131163 ODC131163:ODG131163 OMY131163:ONC131163 OWU131163:OWY131163 PGQ131163:PGU131163 PQM131163:PQQ131163 QAI131163:QAM131163 QKE131163:QKI131163 QUA131163:QUE131163 RDW131163:REA131163 RNS131163:RNW131163 RXO131163:RXS131163 SHK131163:SHO131163 SRG131163:SRK131163 TBC131163:TBG131163 TKY131163:TLC131163 TUU131163:TUY131163 UEQ131163:UEU131163 UOM131163:UOQ131163 UYI131163:UYM131163 VIE131163:VII131163 VSA131163:VSE131163 WBW131163:WCA131163 WLS131163:WLW131163 WVO131163:WVS131163 G196699:K196699 JC196699:JG196699 SY196699:TC196699 ACU196699:ACY196699 AMQ196699:AMU196699 AWM196699:AWQ196699 BGI196699:BGM196699 BQE196699:BQI196699 CAA196699:CAE196699 CJW196699:CKA196699 CTS196699:CTW196699 DDO196699:DDS196699 DNK196699:DNO196699 DXG196699:DXK196699 EHC196699:EHG196699 EQY196699:ERC196699 FAU196699:FAY196699 FKQ196699:FKU196699 FUM196699:FUQ196699 GEI196699:GEM196699 GOE196699:GOI196699 GYA196699:GYE196699 HHW196699:HIA196699 HRS196699:HRW196699 IBO196699:IBS196699 ILK196699:ILO196699 IVG196699:IVK196699 JFC196699:JFG196699 JOY196699:JPC196699 JYU196699:JYY196699 KIQ196699:KIU196699 KSM196699:KSQ196699 LCI196699:LCM196699 LME196699:LMI196699 LWA196699:LWE196699 MFW196699:MGA196699 MPS196699:MPW196699 MZO196699:MZS196699 NJK196699:NJO196699 NTG196699:NTK196699 ODC196699:ODG196699 OMY196699:ONC196699 OWU196699:OWY196699 PGQ196699:PGU196699 PQM196699:PQQ196699 QAI196699:QAM196699 QKE196699:QKI196699 QUA196699:QUE196699 RDW196699:REA196699 RNS196699:RNW196699 RXO196699:RXS196699 SHK196699:SHO196699 SRG196699:SRK196699 TBC196699:TBG196699 TKY196699:TLC196699 TUU196699:TUY196699 UEQ196699:UEU196699 UOM196699:UOQ196699 UYI196699:UYM196699 VIE196699:VII196699 VSA196699:VSE196699 WBW196699:WCA196699 WLS196699:WLW196699 WVO196699:WVS196699 G262235:K262235 JC262235:JG262235 SY262235:TC262235 ACU262235:ACY262235 AMQ262235:AMU262235 AWM262235:AWQ262235 BGI262235:BGM262235 BQE262235:BQI262235 CAA262235:CAE262235 CJW262235:CKA262235 CTS262235:CTW262235 DDO262235:DDS262235 DNK262235:DNO262235 DXG262235:DXK262235 EHC262235:EHG262235 EQY262235:ERC262235 FAU262235:FAY262235 FKQ262235:FKU262235 FUM262235:FUQ262235 GEI262235:GEM262235 GOE262235:GOI262235 GYA262235:GYE262235 HHW262235:HIA262235 HRS262235:HRW262235 IBO262235:IBS262235 ILK262235:ILO262235 IVG262235:IVK262235 JFC262235:JFG262235 JOY262235:JPC262235 JYU262235:JYY262235 KIQ262235:KIU262235 KSM262235:KSQ262235 LCI262235:LCM262235 LME262235:LMI262235 LWA262235:LWE262235 MFW262235:MGA262235 MPS262235:MPW262235 MZO262235:MZS262235 NJK262235:NJO262235 NTG262235:NTK262235 ODC262235:ODG262235 OMY262235:ONC262235 OWU262235:OWY262235 PGQ262235:PGU262235 PQM262235:PQQ262235 QAI262235:QAM262235 QKE262235:QKI262235 QUA262235:QUE262235 RDW262235:REA262235 RNS262235:RNW262235 RXO262235:RXS262235 SHK262235:SHO262235 SRG262235:SRK262235 TBC262235:TBG262235 TKY262235:TLC262235 TUU262235:TUY262235 UEQ262235:UEU262235 UOM262235:UOQ262235 UYI262235:UYM262235 VIE262235:VII262235 VSA262235:VSE262235 WBW262235:WCA262235 WLS262235:WLW262235 WVO262235:WVS262235 G327771:K327771 JC327771:JG327771 SY327771:TC327771 ACU327771:ACY327771 AMQ327771:AMU327771 AWM327771:AWQ327771 BGI327771:BGM327771 BQE327771:BQI327771 CAA327771:CAE327771 CJW327771:CKA327771 CTS327771:CTW327771 DDO327771:DDS327771 DNK327771:DNO327771 DXG327771:DXK327771 EHC327771:EHG327771 EQY327771:ERC327771 FAU327771:FAY327771 FKQ327771:FKU327771 FUM327771:FUQ327771 GEI327771:GEM327771 GOE327771:GOI327771 GYA327771:GYE327771 HHW327771:HIA327771 HRS327771:HRW327771 IBO327771:IBS327771 ILK327771:ILO327771 IVG327771:IVK327771 JFC327771:JFG327771 JOY327771:JPC327771 JYU327771:JYY327771 KIQ327771:KIU327771 KSM327771:KSQ327771 LCI327771:LCM327771 LME327771:LMI327771 LWA327771:LWE327771 MFW327771:MGA327771 MPS327771:MPW327771 MZO327771:MZS327771 NJK327771:NJO327771 NTG327771:NTK327771 ODC327771:ODG327771 OMY327771:ONC327771 OWU327771:OWY327771 PGQ327771:PGU327771 PQM327771:PQQ327771 QAI327771:QAM327771 QKE327771:QKI327771 QUA327771:QUE327771 RDW327771:REA327771 RNS327771:RNW327771 RXO327771:RXS327771 SHK327771:SHO327771 SRG327771:SRK327771 TBC327771:TBG327771 TKY327771:TLC327771 TUU327771:TUY327771 UEQ327771:UEU327771 UOM327771:UOQ327771 UYI327771:UYM327771 VIE327771:VII327771 VSA327771:VSE327771 WBW327771:WCA327771 WLS327771:WLW327771 WVO327771:WVS327771 G393307:K393307 JC393307:JG393307 SY393307:TC393307 ACU393307:ACY393307 AMQ393307:AMU393307 AWM393307:AWQ393307 BGI393307:BGM393307 BQE393307:BQI393307 CAA393307:CAE393307 CJW393307:CKA393307 CTS393307:CTW393307 DDO393307:DDS393307 DNK393307:DNO393307 DXG393307:DXK393307 EHC393307:EHG393307 EQY393307:ERC393307 FAU393307:FAY393307 FKQ393307:FKU393307 FUM393307:FUQ393307 GEI393307:GEM393307 GOE393307:GOI393307 GYA393307:GYE393307 HHW393307:HIA393307 HRS393307:HRW393307 IBO393307:IBS393307 ILK393307:ILO393307 IVG393307:IVK393307 JFC393307:JFG393307 JOY393307:JPC393307 JYU393307:JYY393307 KIQ393307:KIU393307 KSM393307:KSQ393307 LCI393307:LCM393307 LME393307:LMI393307 LWA393307:LWE393307 MFW393307:MGA393307 MPS393307:MPW393307 MZO393307:MZS393307 NJK393307:NJO393307 NTG393307:NTK393307 ODC393307:ODG393307 OMY393307:ONC393307 OWU393307:OWY393307 PGQ393307:PGU393307 PQM393307:PQQ393307 QAI393307:QAM393307 QKE393307:QKI393307 QUA393307:QUE393307 RDW393307:REA393307 RNS393307:RNW393307 RXO393307:RXS393307 SHK393307:SHO393307 SRG393307:SRK393307 TBC393307:TBG393307 TKY393307:TLC393307 TUU393307:TUY393307 UEQ393307:UEU393307 UOM393307:UOQ393307 UYI393307:UYM393307 VIE393307:VII393307 VSA393307:VSE393307 WBW393307:WCA393307 WLS393307:WLW393307 WVO393307:WVS393307 G458843:K458843 JC458843:JG458843 SY458843:TC458843 ACU458843:ACY458843 AMQ458843:AMU458843 AWM458843:AWQ458843 BGI458843:BGM458843 BQE458843:BQI458843 CAA458843:CAE458843 CJW458843:CKA458843 CTS458843:CTW458843 DDO458843:DDS458843 DNK458843:DNO458843 DXG458843:DXK458843 EHC458843:EHG458843 EQY458843:ERC458843 FAU458843:FAY458843 FKQ458843:FKU458843 FUM458843:FUQ458843 GEI458843:GEM458843 GOE458843:GOI458843 GYA458843:GYE458843 HHW458843:HIA458843 HRS458843:HRW458843 IBO458843:IBS458843 ILK458843:ILO458843 IVG458843:IVK458843 JFC458843:JFG458843 JOY458843:JPC458843 JYU458843:JYY458843 KIQ458843:KIU458843 KSM458843:KSQ458843 LCI458843:LCM458843 LME458843:LMI458843 LWA458843:LWE458843 MFW458843:MGA458843 MPS458843:MPW458843 MZO458843:MZS458843 NJK458843:NJO458843 NTG458843:NTK458843 ODC458843:ODG458843 OMY458843:ONC458843 OWU458843:OWY458843 PGQ458843:PGU458843 PQM458843:PQQ458843 QAI458843:QAM458843 QKE458843:QKI458843 QUA458843:QUE458843 RDW458843:REA458843 RNS458843:RNW458843 RXO458843:RXS458843 SHK458843:SHO458843 SRG458843:SRK458843 TBC458843:TBG458843 TKY458843:TLC458843 TUU458843:TUY458843 UEQ458843:UEU458843 UOM458843:UOQ458843 UYI458843:UYM458843 VIE458843:VII458843 VSA458843:VSE458843 WBW458843:WCA458843 WLS458843:WLW458843 WVO458843:WVS458843 G524379:K524379 JC524379:JG524379 SY524379:TC524379 ACU524379:ACY524379 AMQ524379:AMU524379 AWM524379:AWQ524379 BGI524379:BGM524379 BQE524379:BQI524379 CAA524379:CAE524379 CJW524379:CKA524379 CTS524379:CTW524379 DDO524379:DDS524379 DNK524379:DNO524379 DXG524379:DXK524379 EHC524379:EHG524379 EQY524379:ERC524379 FAU524379:FAY524379 FKQ524379:FKU524379 FUM524379:FUQ524379 GEI524379:GEM524379 GOE524379:GOI524379 GYA524379:GYE524379 HHW524379:HIA524379 HRS524379:HRW524379 IBO524379:IBS524379 ILK524379:ILO524379 IVG524379:IVK524379 JFC524379:JFG524379 JOY524379:JPC524379 JYU524379:JYY524379 KIQ524379:KIU524379 KSM524379:KSQ524379 LCI524379:LCM524379 LME524379:LMI524379 LWA524379:LWE524379 MFW524379:MGA524379 MPS524379:MPW524379 MZO524379:MZS524379 NJK524379:NJO524379 NTG524379:NTK524379 ODC524379:ODG524379 OMY524379:ONC524379 OWU524379:OWY524379 PGQ524379:PGU524379 PQM524379:PQQ524379 QAI524379:QAM524379 QKE524379:QKI524379 QUA524379:QUE524379 RDW524379:REA524379 RNS524379:RNW524379 RXO524379:RXS524379 SHK524379:SHO524379 SRG524379:SRK524379 TBC524379:TBG524379 TKY524379:TLC524379 TUU524379:TUY524379 UEQ524379:UEU524379 UOM524379:UOQ524379 UYI524379:UYM524379 VIE524379:VII524379 VSA524379:VSE524379 WBW524379:WCA524379 WLS524379:WLW524379 WVO524379:WVS524379 G589915:K589915 JC589915:JG589915 SY589915:TC589915 ACU589915:ACY589915 AMQ589915:AMU589915 AWM589915:AWQ589915 BGI589915:BGM589915 BQE589915:BQI589915 CAA589915:CAE589915 CJW589915:CKA589915 CTS589915:CTW589915 DDO589915:DDS589915 DNK589915:DNO589915 DXG589915:DXK589915 EHC589915:EHG589915 EQY589915:ERC589915 FAU589915:FAY589915 FKQ589915:FKU589915 FUM589915:FUQ589915 GEI589915:GEM589915 GOE589915:GOI589915 GYA589915:GYE589915 HHW589915:HIA589915 HRS589915:HRW589915 IBO589915:IBS589915 ILK589915:ILO589915 IVG589915:IVK589915 JFC589915:JFG589915 JOY589915:JPC589915 JYU589915:JYY589915 KIQ589915:KIU589915 KSM589915:KSQ589915 LCI589915:LCM589915 LME589915:LMI589915 LWA589915:LWE589915 MFW589915:MGA589915 MPS589915:MPW589915 MZO589915:MZS589915 NJK589915:NJO589915 NTG589915:NTK589915 ODC589915:ODG589915 OMY589915:ONC589915 OWU589915:OWY589915 PGQ589915:PGU589915 PQM589915:PQQ589915 QAI589915:QAM589915 QKE589915:QKI589915 QUA589915:QUE589915 RDW589915:REA589915 RNS589915:RNW589915 RXO589915:RXS589915 SHK589915:SHO589915 SRG589915:SRK589915 TBC589915:TBG589915 TKY589915:TLC589915 TUU589915:TUY589915 UEQ589915:UEU589915 UOM589915:UOQ589915 UYI589915:UYM589915 VIE589915:VII589915 VSA589915:VSE589915 WBW589915:WCA589915 WLS589915:WLW589915 WVO589915:WVS589915 G655451:K655451 JC655451:JG655451 SY655451:TC655451 ACU655451:ACY655451 AMQ655451:AMU655451 AWM655451:AWQ655451 BGI655451:BGM655451 BQE655451:BQI655451 CAA655451:CAE655451 CJW655451:CKA655451 CTS655451:CTW655451 DDO655451:DDS655451 DNK655451:DNO655451 DXG655451:DXK655451 EHC655451:EHG655451 EQY655451:ERC655451 FAU655451:FAY655451 FKQ655451:FKU655451 FUM655451:FUQ655451 GEI655451:GEM655451 GOE655451:GOI655451 GYA655451:GYE655451 HHW655451:HIA655451 HRS655451:HRW655451 IBO655451:IBS655451 ILK655451:ILO655451 IVG655451:IVK655451 JFC655451:JFG655451 JOY655451:JPC655451 JYU655451:JYY655451 KIQ655451:KIU655451 KSM655451:KSQ655451 LCI655451:LCM655451 LME655451:LMI655451 LWA655451:LWE655451 MFW655451:MGA655451 MPS655451:MPW655451 MZO655451:MZS655451 NJK655451:NJO655451 NTG655451:NTK655451 ODC655451:ODG655451 OMY655451:ONC655451 OWU655451:OWY655451 PGQ655451:PGU655451 PQM655451:PQQ655451 QAI655451:QAM655451 QKE655451:QKI655451 QUA655451:QUE655451 RDW655451:REA655451 RNS655451:RNW655451 RXO655451:RXS655451 SHK655451:SHO655451 SRG655451:SRK655451 TBC655451:TBG655451 TKY655451:TLC655451 TUU655451:TUY655451 UEQ655451:UEU655451 UOM655451:UOQ655451 UYI655451:UYM655451 VIE655451:VII655451 VSA655451:VSE655451 WBW655451:WCA655451 WLS655451:WLW655451 WVO655451:WVS655451 G720987:K720987 JC720987:JG720987 SY720987:TC720987 ACU720987:ACY720987 AMQ720987:AMU720987 AWM720987:AWQ720987 BGI720987:BGM720987 BQE720987:BQI720987 CAA720987:CAE720987 CJW720987:CKA720987 CTS720987:CTW720987 DDO720987:DDS720987 DNK720987:DNO720987 DXG720987:DXK720987 EHC720987:EHG720987 EQY720987:ERC720987 FAU720987:FAY720987 FKQ720987:FKU720987 FUM720987:FUQ720987 GEI720987:GEM720987 GOE720987:GOI720987 GYA720987:GYE720987 HHW720987:HIA720987 HRS720987:HRW720987 IBO720987:IBS720987 ILK720987:ILO720987 IVG720987:IVK720987 JFC720987:JFG720987 JOY720987:JPC720987 JYU720987:JYY720987 KIQ720987:KIU720987 KSM720987:KSQ720987 LCI720987:LCM720987 LME720987:LMI720987 LWA720987:LWE720987 MFW720987:MGA720987 MPS720987:MPW720987 MZO720987:MZS720987 NJK720987:NJO720987 NTG720987:NTK720987 ODC720987:ODG720987 OMY720987:ONC720987 OWU720987:OWY720987 PGQ720987:PGU720987 PQM720987:PQQ720987 QAI720987:QAM720987 QKE720987:QKI720987 QUA720987:QUE720987 RDW720987:REA720987 RNS720987:RNW720987 RXO720987:RXS720987 SHK720987:SHO720987 SRG720987:SRK720987 TBC720987:TBG720987 TKY720987:TLC720987 TUU720987:TUY720987 UEQ720987:UEU720987 UOM720987:UOQ720987 UYI720987:UYM720987 VIE720987:VII720987 VSA720987:VSE720987 WBW720987:WCA720987 WLS720987:WLW720987 WVO720987:WVS720987 G786523:K786523 JC786523:JG786523 SY786523:TC786523 ACU786523:ACY786523 AMQ786523:AMU786523 AWM786523:AWQ786523 BGI786523:BGM786523 BQE786523:BQI786523 CAA786523:CAE786523 CJW786523:CKA786523 CTS786523:CTW786523 DDO786523:DDS786523 DNK786523:DNO786523 DXG786523:DXK786523 EHC786523:EHG786523 EQY786523:ERC786523 FAU786523:FAY786523 FKQ786523:FKU786523 FUM786523:FUQ786523 GEI786523:GEM786523 GOE786523:GOI786523 GYA786523:GYE786523 HHW786523:HIA786523 HRS786523:HRW786523 IBO786523:IBS786523 ILK786523:ILO786523 IVG786523:IVK786523 JFC786523:JFG786523 JOY786523:JPC786523 JYU786523:JYY786523 KIQ786523:KIU786523 KSM786523:KSQ786523 LCI786523:LCM786523 LME786523:LMI786523 LWA786523:LWE786523 MFW786523:MGA786523 MPS786523:MPW786523 MZO786523:MZS786523 NJK786523:NJO786523 NTG786523:NTK786523 ODC786523:ODG786523 OMY786523:ONC786523 OWU786523:OWY786523 PGQ786523:PGU786523 PQM786523:PQQ786523 QAI786523:QAM786523 QKE786523:QKI786523 QUA786523:QUE786523 RDW786523:REA786523 RNS786523:RNW786523 RXO786523:RXS786523 SHK786523:SHO786523 SRG786523:SRK786523 TBC786523:TBG786523 TKY786523:TLC786523 TUU786523:TUY786523 UEQ786523:UEU786523 UOM786523:UOQ786523 UYI786523:UYM786523 VIE786523:VII786523 VSA786523:VSE786523 WBW786523:WCA786523 WLS786523:WLW786523 WVO786523:WVS786523 G852059:K852059 JC852059:JG852059 SY852059:TC852059 ACU852059:ACY852059 AMQ852059:AMU852059 AWM852059:AWQ852059 BGI852059:BGM852059 BQE852059:BQI852059 CAA852059:CAE852059 CJW852059:CKA852059 CTS852059:CTW852059 DDO852059:DDS852059 DNK852059:DNO852059 DXG852059:DXK852059 EHC852059:EHG852059 EQY852059:ERC852059 FAU852059:FAY852059 FKQ852059:FKU852059 FUM852059:FUQ852059 GEI852059:GEM852059 GOE852059:GOI852059 GYA852059:GYE852059 HHW852059:HIA852059 HRS852059:HRW852059 IBO852059:IBS852059 ILK852059:ILO852059 IVG852059:IVK852059 JFC852059:JFG852059 JOY852059:JPC852059 JYU852059:JYY852059 KIQ852059:KIU852059 KSM852059:KSQ852059 LCI852059:LCM852059 LME852059:LMI852059 LWA852059:LWE852059 MFW852059:MGA852059 MPS852059:MPW852059 MZO852059:MZS852059 NJK852059:NJO852059 NTG852059:NTK852059 ODC852059:ODG852059 OMY852059:ONC852059 OWU852059:OWY852059 PGQ852059:PGU852059 PQM852059:PQQ852059 QAI852059:QAM852059 QKE852059:QKI852059 QUA852059:QUE852059 RDW852059:REA852059 RNS852059:RNW852059 RXO852059:RXS852059 SHK852059:SHO852059 SRG852059:SRK852059 TBC852059:TBG852059 TKY852059:TLC852059 TUU852059:TUY852059 UEQ852059:UEU852059 UOM852059:UOQ852059 UYI852059:UYM852059 VIE852059:VII852059 VSA852059:VSE852059 WBW852059:WCA852059 WLS852059:WLW852059 WVO852059:WVS852059 G917595:K917595 JC917595:JG917595 SY917595:TC917595 ACU917595:ACY917595 AMQ917595:AMU917595 AWM917595:AWQ917595 BGI917595:BGM917595 BQE917595:BQI917595 CAA917595:CAE917595 CJW917595:CKA917595 CTS917595:CTW917595 DDO917595:DDS917595 DNK917595:DNO917595 DXG917595:DXK917595 EHC917595:EHG917595 EQY917595:ERC917595 FAU917595:FAY917595 FKQ917595:FKU917595 FUM917595:FUQ917595 GEI917595:GEM917595 GOE917595:GOI917595 GYA917595:GYE917595 HHW917595:HIA917595 HRS917595:HRW917595 IBO917595:IBS917595 ILK917595:ILO917595 IVG917595:IVK917595 JFC917595:JFG917595 JOY917595:JPC917595 JYU917595:JYY917595 KIQ917595:KIU917595 KSM917595:KSQ917595 LCI917595:LCM917595 LME917595:LMI917595 LWA917595:LWE917595 MFW917595:MGA917595 MPS917595:MPW917595 MZO917595:MZS917595 NJK917595:NJO917595 NTG917595:NTK917595 ODC917595:ODG917595 OMY917595:ONC917595 OWU917595:OWY917595 PGQ917595:PGU917595 PQM917595:PQQ917595 QAI917595:QAM917595 QKE917595:QKI917595 QUA917595:QUE917595 RDW917595:REA917595 RNS917595:RNW917595 RXO917595:RXS917595 SHK917595:SHO917595 SRG917595:SRK917595 TBC917595:TBG917595 TKY917595:TLC917595 TUU917595:TUY917595 UEQ917595:UEU917595 UOM917595:UOQ917595 UYI917595:UYM917595 VIE917595:VII917595 VSA917595:VSE917595 WBW917595:WCA917595 WLS917595:WLW917595 WVO917595:WVS917595 G983131:K983131 JC983131:JG983131 SY983131:TC983131 ACU983131:ACY983131 AMQ983131:AMU983131 AWM983131:AWQ983131 BGI983131:BGM983131 BQE983131:BQI983131 CAA983131:CAE983131 CJW983131:CKA983131 CTS983131:CTW983131 DDO983131:DDS983131 DNK983131:DNO983131 DXG983131:DXK983131 EHC983131:EHG983131 EQY983131:ERC983131 FAU983131:FAY983131 FKQ983131:FKU983131 FUM983131:FUQ983131 GEI983131:GEM983131 GOE983131:GOI983131 GYA983131:GYE983131 HHW983131:HIA983131 HRS983131:HRW983131 IBO983131:IBS983131 ILK983131:ILO983131 IVG983131:IVK983131 JFC983131:JFG983131 JOY983131:JPC983131 JYU983131:JYY983131 KIQ983131:KIU983131 KSM983131:KSQ983131 LCI983131:LCM983131 LME983131:LMI983131 LWA983131:LWE983131 MFW983131:MGA983131 MPS983131:MPW983131 MZO983131:MZS983131 NJK983131:NJO983131 NTG983131:NTK983131 ODC983131:ODG983131 OMY983131:ONC983131 OWU983131:OWY983131 PGQ983131:PGU983131 PQM983131:PQQ983131 QAI983131:QAM983131 QKE983131:QKI983131 QUA983131:QUE983131 RDW983131:REA983131 RNS983131:RNW983131 RXO983131:RXS983131 SHK983131:SHO983131 SRG983131:SRK983131 TBC983131:TBG983131 TKY983131:TLC983131 TUU983131:TUY983131 UEQ983131:UEU983131 UOM983131:UOQ983131 UYI983131:UYM983131 VIE983131:VII983131 VSA983131:VSE983131 WBW983131:WCA983131 WLS983131:WLW983131 WVO983131:WVS983131">
      <formula1>"積上げ,積上げ・率処理併用"</formula1>
    </dataValidation>
    <dataValidation type="list" allowBlank="1" showInputMessage="1" showErrorMessage="1" sqref="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">
      <formula1>"改修,新営"</formula1>
    </dataValidation>
    <dataValidation type="list" allowBlank="1" showInputMessage="1" showErrorMessage="1" sqref="G92:N92 JC92:JJ92 SY92:TF92 ACU92:ADB92 AMQ92:AMX92 AWM92:AWT92 BGI92:BGP92 BQE92:BQL92 CAA92:CAH92 CJW92:CKD92 CTS92:CTZ92 DDO92:DDV92 DNK92:DNR92 DXG92:DXN92 EHC92:EHJ92 EQY92:ERF92 FAU92:FBB92 FKQ92:FKX92 FUM92:FUT92 GEI92:GEP92 GOE92:GOL92 GYA92:GYH92 HHW92:HID92 HRS92:HRZ92 IBO92:IBV92 ILK92:ILR92 IVG92:IVN92 JFC92:JFJ92 JOY92:JPF92 JYU92:JZB92 KIQ92:KIX92 KSM92:KST92 LCI92:LCP92 LME92:LML92 LWA92:LWH92 MFW92:MGD92 MPS92:MPZ92 MZO92:MZV92 NJK92:NJR92 NTG92:NTN92 ODC92:ODJ92 OMY92:ONF92 OWU92:OXB92 PGQ92:PGX92 PQM92:PQT92 QAI92:QAP92 QKE92:QKL92 QUA92:QUH92 RDW92:RED92 RNS92:RNZ92 RXO92:RXV92 SHK92:SHR92 SRG92:SRN92 TBC92:TBJ92 TKY92:TLF92 TUU92:TVB92 UEQ92:UEX92 UOM92:UOT92 UYI92:UYP92 VIE92:VIL92 VSA92:VSH92 WBW92:WCD92 WLS92:WLZ92 WVO92:WVV92 G65628:N65628 JC65628:JJ65628 SY65628:TF65628 ACU65628:ADB65628 AMQ65628:AMX65628 AWM65628:AWT65628 BGI65628:BGP65628 BQE65628:BQL65628 CAA65628:CAH65628 CJW65628:CKD65628 CTS65628:CTZ65628 DDO65628:DDV65628 DNK65628:DNR65628 DXG65628:DXN65628 EHC65628:EHJ65628 EQY65628:ERF65628 FAU65628:FBB65628 FKQ65628:FKX65628 FUM65628:FUT65628 GEI65628:GEP65628 GOE65628:GOL65628 GYA65628:GYH65628 HHW65628:HID65628 HRS65628:HRZ65628 IBO65628:IBV65628 ILK65628:ILR65628 IVG65628:IVN65628 JFC65628:JFJ65628 JOY65628:JPF65628 JYU65628:JZB65628 KIQ65628:KIX65628 KSM65628:KST65628 LCI65628:LCP65628 LME65628:LML65628 LWA65628:LWH65628 MFW65628:MGD65628 MPS65628:MPZ65628 MZO65628:MZV65628 NJK65628:NJR65628 NTG65628:NTN65628 ODC65628:ODJ65628 OMY65628:ONF65628 OWU65628:OXB65628 PGQ65628:PGX65628 PQM65628:PQT65628 QAI65628:QAP65628 QKE65628:QKL65628 QUA65628:QUH65628 RDW65628:RED65628 RNS65628:RNZ65628 RXO65628:RXV65628 SHK65628:SHR65628 SRG65628:SRN65628 TBC65628:TBJ65628 TKY65628:TLF65628 TUU65628:TVB65628 UEQ65628:UEX65628 UOM65628:UOT65628 UYI65628:UYP65628 VIE65628:VIL65628 VSA65628:VSH65628 WBW65628:WCD65628 WLS65628:WLZ65628 WVO65628:WVV65628 G131164:N131164 JC131164:JJ131164 SY131164:TF131164 ACU131164:ADB131164 AMQ131164:AMX131164 AWM131164:AWT131164 BGI131164:BGP131164 BQE131164:BQL131164 CAA131164:CAH131164 CJW131164:CKD131164 CTS131164:CTZ131164 DDO131164:DDV131164 DNK131164:DNR131164 DXG131164:DXN131164 EHC131164:EHJ131164 EQY131164:ERF131164 FAU131164:FBB131164 FKQ131164:FKX131164 FUM131164:FUT131164 GEI131164:GEP131164 GOE131164:GOL131164 GYA131164:GYH131164 HHW131164:HID131164 HRS131164:HRZ131164 IBO131164:IBV131164 ILK131164:ILR131164 IVG131164:IVN131164 JFC131164:JFJ131164 JOY131164:JPF131164 JYU131164:JZB131164 KIQ131164:KIX131164 KSM131164:KST131164 LCI131164:LCP131164 LME131164:LML131164 LWA131164:LWH131164 MFW131164:MGD131164 MPS131164:MPZ131164 MZO131164:MZV131164 NJK131164:NJR131164 NTG131164:NTN131164 ODC131164:ODJ131164 OMY131164:ONF131164 OWU131164:OXB131164 PGQ131164:PGX131164 PQM131164:PQT131164 QAI131164:QAP131164 QKE131164:QKL131164 QUA131164:QUH131164 RDW131164:RED131164 RNS131164:RNZ131164 RXO131164:RXV131164 SHK131164:SHR131164 SRG131164:SRN131164 TBC131164:TBJ131164 TKY131164:TLF131164 TUU131164:TVB131164 UEQ131164:UEX131164 UOM131164:UOT131164 UYI131164:UYP131164 VIE131164:VIL131164 VSA131164:VSH131164 WBW131164:WCD131164 WLS131164:WLZ131164 WVO131164:WVV131164 G196700:N196700 JC196700:JJ196700 SY196700:TF196700 ACU196700:ADB196700 AMQ196700:AMX196700 AWM196700:AWT196700 BGI196700:BGP196700 BQE196700:BQL196700 CAA196700:CAH196700 CJW196700:CKD196700 CTS196700:CTZ196700 DDO196700:DDV196700 DNK196700:DNR196700 DXG196700:DXN196700 EHC196700:EHJ196700 EQY196700:ERF196700 FAU196700:FBB196700 FKQ196700:FKX196700 FUM196700:FUT196700 GEI196700:GEP196700 GOE196700:GOL196700 GYA196700:GYH196700 HHW196700:HID196700 HRS196700:HRZ196700 IBO196700:IBV196700 ILK196700:ILR196700 IVG196700:IVN196700 JFC196700:JFJ196700 JOY196700:JPF196700 JYU196700:JZB196700 KIQ196700:KIX196700 KSM196700:KST196700 LCI196700:LCP196700 LME196700:LML196700 LWA196700:LWH196700 MFW196700:MGD196700 MPS196700:MPZ196700 MZO196700:MZV196700 NJK196700:NJR196700 NTG196700:NTN196700 ODC196700:ODJ196700 OMY196700:ONF196700 OWU196700:OXB196700 PGQ196700:PGX196700 PQM196700:PQT196700 QAI196700:QAP196700 QKE196700:QKL196700 QUA196700:QUH196700 RDW196700:RED196700 RNS196700:RNZ196700 RXO196700:RXV196700 SHK196700:SHR196700 SRG196700:SRN196700 TBC196700:TBJ196700 TKY196700:TLF196700 TUU196700:TVB196700 UEQ196700:UEX196700 UOM196700:UOT196700 UYI196700:UYP196700 VIE196700:VIL196700 VSA196700:VSH196700 WBW196700:WCD196700 WLS196700:WLZ196700 WVO196700:WVV196700 G262236:N262236 JC262236:JJ262236 SY262236:TF262236 ACU262236:ADB262236 AMQ262236:AMX262236 AWM262236:AWT262236 BGI262236:BGP262236 BQE262236:BQL262236 CAA262236:CAH262236 CJW262236:CKD262236 CTS262236:CTZ262236 DDO262236:DDV262236 DNK262236:DNR262236 DXG262236:DXN262236 EHC262236:EHJ262236 EQY262236:ERF262236 FAU262236:FBB262236 FKQ262236:FKX262236 FUM262236:FUT262236 GEI262236:GEP262236 GOE262236:GOL262236 GYA262236:GYH262236 HHW262236:HID262236 HRS262236:HRZ262236 IBO262236:IBV262236 ILK262236:ILR262236 IVG262236:IVN262236 JFC262236:JFJ262236 JOY262236:JPF262236 JYU262236:JZB262236 KIQ262236:KIX262236 KSM262236:KST262236 LCI262236:LCP262236 LME262236:LML262236 LWA262236:LWH262236 MFW262236:MGD262236 MPS262236:MPZ262236 MZO262236:MZV262236 NJK262236:NJR262236 NTG262236:NTN262236 ODC262236:ODJ262236 OMY262236:ONF262236 OWU262236:OXB262236 PGQ262236:PGX262236 PQM262236:PQT262236 QAI262236:QAP262236 QKE262236:QKL262236 QUA262236:QUH262236 RDW262236:RED262236 RNS262236:RNZ262236 RXO262236:RXV262236 SHK262236:SHR262236 SRG262236:SRN262236 TBC262236:TBJ262236 TKY262236:TLF262236 TUU262236:TVB262236 UEQ262236:UEX262236 UOM262236:UOT262236 UYI262236:UYP262236 VIE262236:VIL262236 VSA262236:VSH262236 WBW262236:WCD262236 WLS262236:WLZ262236 WVO262236:WVV262236 G327772:N327772 JC327772:JJ327772 SY327772:TF327772 ACU327772:ADB327772 AMQ327772:AMX327772 AWM327772:AWT327772 BGI327772:BGP327772 BQE327772:BQL327772 CAA327772:CAH327772 CJW327772:CKD327772 CTS327772:CTZ327772 DDO327772:DDV327772 DNK327772:DNR327772 DXG327772:DXN327772 EHC327772:EHJ327772 EQY327772:ERF327772 FAU327772:FBB327772 FKQ327772:FKX327772 FUM327772:FUT327772 GEI327772:GEP327772 GOE327772:GOL327772 GYA327772:GYH327772 HHW327772:HID327772 HRS327772:HRZ327772 IBO327772:IBV327772 ILK327772:ILR327772 IVG327772:IVN327772 JFC327772:JFJ327772 JOY327772:JPF327772 JYU327772:JZB327772 KIQ327772:KIX327772 KSM327772:KST327772 LCI327772:LCP327772 LME327772:LML327772 LWA327772:LWH327772 MFW327772:MGD327772 MPS327772:MPZ327772 MZO327772:MZV327772 NJK327772:NJR327772 NTG327772:NTN327772 ODC327772:ODJ327772 OMY327772:ONF327772 OWU327772:OXB327772 PGQ327772:PGX327772 PQM327772:PQT327772 QAI327772:QAP327772 QKE327772:QKL327772 QUA327772:QUH327772 RDW327772:RED327772 RNS327772:RNZ327772 RXO327772:RXV327772 SHK327772:SHR327772 SRG327772:SRN327772 TBC327772:TBJ327772 TKY327772:TLF327772 TUU327772:TVB327772 UEQ327772:UEX327772 UOM327772:UOT327772 UYI327772:UYP327772 VIE327772:VIL327772 VSA327772:VSH327772 WBW327772:WCD327772 WLS327772:WLZ327772 WVO327772:WVV327772 G393308:N393308 JC393308:JJ393308 SY393308:TF393308 ACU393308:ADB393308 AMQ393308:AMX393308 AWM393308:AWT393308 BGI393308:BGP393308 BQE393308:BQL393308 CAA393308:CAH393308 CJW393308:CKD393308 CTS393308:CTZ393308 DDO393308:DDV393308 DNK393308:DNR393308 DXG393308:DXN393308 EHC393308:EHJ393308 EQY393308:ERF393308 FAU393308:FBB393308 FKQ393308:FKX393308 FUM393308:FUT393308 GEI393308:GEP393308 GOE393308:GOL393308 GYA393308:GYH393308 HHW393308:HID393308 HRS393308:HRZ393308 IBO393308:IBV393308 ILK393308:ILR393308 IVG393308:IVN393308 JFC393308:JFJ393308 JOY393308:JPF393308 JYU393308:JZB393308 KIQ393308:KIX393308 KSM393308:KST393308 LCI393308:LCP393308 LME393308:LML393308 LWA393308:LWH393308 MFW393308:MGD393308 MPS393308:MPZ393308 MZO393308:MZV393308 NJK393308:NJR393308 NTG393308:NTN393308 ODC393308:ODJ393308 OMY393308:ONF393308 OWU393308:OXB393308 PGQ393308:PGX393308 PQM393308:PQT393308 QAI393308:QAP393308 QKE393308:QKL393308 QUA393308:QUH393308 RDW393308:RED393308 RNS393308:RNZ393308 RXO393308:RXV393308 SHK393308:SHR393308 SRG393308:SRN393308 TBC393308:TBJ393308 TKY393308:TLF393308 TUU393308:TVB393308 UEQ393308:UEX393308 UOM393308:UOT393308 UYI393308:UYP393308 VIE393308:VIL393308 VSA393308:VSH393308 WBW393308:WCD393308 WLS393308:WLZ393308 WVO393308:WVV393308 G458844:N458844 JC458844:JJ458844 SY458844:TF458844 ACU458844:ADB458844 AMQ458844:AMX458844 AWM458844:AWT458844 BGI458844:BGP458844 BQE458844:BQL458844 CAA458844:CAH458844 CJW458844:CKD458844 CTS458844:CTZ458844 DDO458844:DDV458844 DNK458844:DNR458844 DXG458844:DXN458844 EHC458844:EHJ458844 EQY458844:ERF458844 FAU458844:FBB458844 FKQ458844:FKX458844 FUM458844:FUT458844 GEI458844:GEP458844 GOE458844:GOL458844 GYA458844:GYH458844 HHW458844:HID458844 HRS458844:HRZ458844 IBO458844:IBV458844 ILK458844:ILR458844 IVG458844:IVN458844 JFC458844:JFJ458844 JOY458844:JPF458844 JYU458844:JZB458844 KIQ458844:KIX458844 KSM458844:KST458844 LCI458844:LCP458844 LME458844:LML458844 LWA458844:LWH458844 MFW458844:MGD458844 MPS458844:MPZ458844 MZO458844:MZV458844 NJK458844:NJR458844 NTG458844:NTN458844 ODC458844:ODJ458844 OMY458844:ONF458844 OWU458844:OXB458844 PGQ458844:PGX458844 PQM458844:PQT458844 QAI458844:QAP458844 QKE458844:QKL458844 QUA458844:QUH458844 RDW458844:RED458844 RNS458844:RNZ458844 RXO458844:RXV458844 SHK458844:SHR458844 SRG458844:SRN458844 TBC458844:TBJ458844 TKY458844:TLF458844 TUU458844:TVB458844 UEQ458844:UEX458844 UOM458844:UOT458844 UYI458844:UYP458844 VIE458844:VIL458844 VSA458844:VSH458844 WBW458844:WCD458844 WLS458844:WLZ458844 WVO458844:WVV458844 G524380:N524380 JC524380:JJ524380 SY524380:TF524380 ACU524380:ADB524380 AMQ524380:AMX524380 AWM524380:AWT524380 BGI524380:BGP524380 BQE524380:BQL524380 CAA524380:CAH524380 CJW524380:CKD524380 CTS524380:CTZ524380 DDO524380:DDV524380 DNK524380:DNR524380 DXG524380:DXN524380 EHC524380:EHJ524380 EQY524380:ERF524380 FAU524380:FBB524380 FKQ524380:FKX524380 FUM524380:FUT524380 GEI524380:GEP524380 GOE524380:GOL524380 GYA524380:GYH524380 HHW524380:HID524380 HRS524380:HRZ524380 IBO524380:IBV524380 ILK524380:ILR524380 IVG524380:IVN524380 JFC524380:JFJ524380 JOY524380:JPF524380 JYU524380:JZB524380 KIQ524380:KIX524380 KSM524380:KST524380 LCI524380:LCP524380 LME524380:LML524380 LWA524380:LWH524380 MFW524380:MGD524380 MPS524380:MPZ524380 MZO524380:MZV524380 NJK524380:NJR524380 NTG524380:NTN524380 ODC524380:ODJ524380 OMY524380:ONF524380 OWU524380:OXB524380 PGQ524380:PGX524380 PQM524380:PQT524380 QAI524380:QAP524380 QKE524380:QKL524380 QUA524380:QUH524380 RDW524380:RED524380 RNS524380:RNZ524380 RXO524380:RXV524380 SHK524380:SHR524380 SRG524380:SRN524380 TBC524380:TBJ524380 TKY524380:TLF524380 TUU524380:TVB524380 UEQ524380:UEX524380 UOM524380:UOT524380 UYI524380:UYP524380 VIE524380:VIL524380 VSA524380:VSH524380 WBW524380:WCD524380 WLS524380:WLZ524380 WVO524380:WVV524380 G589916:N589916 JC589916:JJ589916 SY589916:TF589916 ACU589916:ADB589916 AMQ589916:AMX589916 AWM589916:AWT589916 BGI589916:BGP589916 BQE589916:BQL589916 CAA589916:CAH589916 CJW589916:CKD589916 CTS589916:CTZ589916 DDO589916:DDV589916 DNK589916:DNR589916 DXG589916:DXN589916 EHC589916:EHJ589916 EQY589916:ERF589916 FAU589916:FBB589916 FKQ589916:FKX589916 FUM589916:FUT589916 GEI589916:GEP589916 GOE589916:GOL589916 GYA589916:GYH589916 HHW589916:HID589916 HRS589916:HRZ589916 IBO589916:IBV589916 ILK589916:ILR589916 IVG589916:IVN589916 JFC589916:JFJ589916 JOY589916:JPF589916 JYU589916:JZB589916 KIQ589916:KIX589916 KSM589916:KST589916 LCI589916:LCP589916 LME589916:LML589916 LWA589916:LWH589916 MFW589916:MGD589916 MPS589916:MPZ589916 MZO589916:MZV589916 NJK589916:NJR589916 NTG589916:NTN589916 ODC589916:ODJ589916 OMY589916:ONF589916 OWU589916:OXB589916 PGQ589916:PGX589916 PQM589916:PQT589916 QAI589916:QAP589916 QKE589916:QKL589916 QUA589916:QUH589916 RDW589916:RED589916 RNS589916:RNZ589916 RXO589916:RXV589916 SHK589916:SHR589916 SRG589916:SRN589916 TBC589916:TBJ589916 TKY589916:TLF589916 TUU589916:TVB589916 UEQ589916:UEX589916 UOM589916:UOT589916 UYI589916:UYP589916 VIE589916:VIL589916 VSA589916:VSH589916 WBW589916:WCD589916 WLS589916:WLZ589916 WVO589916:WVV589916 G655452:N655452 JC655452:JJ655452 SY655452:TF655452 ACU655452:ADB655452 AMQ655452:AMX655452 AWM655452:AWT655452 BGI655452:BGP655452 BQE655452:BQL655452 CAA655452:CAH655452 CJW655452:CKD655452 CTS655452:CTZ655452 DDO655452:DDV655452 DNK655452:DNR655452 DXG655452:DXN655452 EHC655452:EHJ655452 EQY655452:ERF655452 FAU655452:FBB655452 FKQ655452:FKX655452 FUM655452:FUT655452 GEI655452:GEP655452 GOE655452:GOL655452 GYA655452:GYH655452 HHW655452:HID655452 HRS655452:HRZ655452 IBO655452:IBV655452 ILK655452:ILR655452 IVG655452:IVN655452 JFC655452:JFJ655452 JOY655452:JPF655452 JYU655452:JZB655452 KIQ655452:KIX655452 KSM655452:KST655452 LCI655452:LCP655452 LME655452:LML655452 LWA655452:LWH655452 MFW655452:MGD655452 MPS655452:MPZ655452 MZO655452:MZV655452 NJK655452:NJR655452 NTG655452:NTN655452 ODC655452:ODJ655452 OMY655452:ONF655452 OWU655452:OXB655452 PGQ655452:PGX655452 PQM655452:PQT655452 QAI655452:QAP655452 QKE655452:QKL655452 QUA655452:QUH655452 RDW655452:RED655452 RNS655452:RNZ655452 RXO655452:RXV655452 SHK655452:SHR655452 SRG655452:SRN655452 TBC655452:TBJ655452 TKY655452:TLF655452 TUU655452:TVB655452 UEQ655452:UEX655452 UOM655452:UOT655452 UYI655452:UYP655452 VIE655452:VIL655452 VSA655452:VSH655452 WBW655452:WCD655452 WLS655452:WLZ655452 WVO655452:WVV655452 G720988:N720988 JC720988:JJ720988 SY720988:TF720988 ACU720988:ADB720988 AMQ720988:AMX720988 AWM720988:AWT720988 BGI720988:BGP720988 BQE720988:BQL720988 CAA720988:CAH720988 CJW720988:CKD720988 CTS720988:CTZ720988 DDO720988:DDV720988 DNK720988:DNR720988 DXG720988:DXN720988 EHC720988:EHJ720988 EQY720988:ERF720988 FAU720988:FBB720988 FKQ720988:FKX720988 FUM720988:FUT720988 GEI720988:GEP720988 GOE720988:GOL720988 GYA720988:GYH720988 HHW720988:HID720988 HRS720988:HRZ720988 IBO720988:IBV720988 ILK720988:ILR720988 IVG720988:IVN720988 JFC720988:JFJ720988 JOY720988:JPF720988 JYU720988:JZB720988 KIQ720988:KIX720988 KSM720988:KST720988 LCI720988:LCP720988 LME720988:LML720988 LWA720988:LWH720988 MFW720988:MGD720988 MPS720988:MPZ720988 MZO720988:MZV720988 NJK720988:NJR720988 NTG720988:NTN720988 ODC720988:ODJ720988 OMY720988:ONF720988 OWU720988:OXB720988 PGQ720988:PGX720988 PQM720988:PQT720988 QAI720988:QAP720988 QKE720988:QKL720988 QUA720988:QUH720988 RDW720988:RED720988 RNS720988:RNZ720988 RXO720988:RXV720988 SHK720988:SHR720988 SRG720988:SRN720988 TBC720988:TBJ720988 TKY720988:TLF720988 TUU720988:TVB720988 UEQ720988:UEX720988 UOM720988:UOT720988 UYI720988:UYP720988 VIE720988:VIL720988 VSA720988:VSH720988 WBW720988:WCD720988 WLS720988:WLZ720988 WVO720988:WVV720988 G786524:N786524 JC786524:JJ786524 SY786524:TF786524 ACU786524:ADB786524 AMQ786524:AMX786524 AWM786524:AWT786524 BGI786524:BGP786524 BQE786524:BQL786524 CAA786524:CAH786524 CJW786524:CKD786524 CTS786524:CTZ786524 DDO786524:DDV786524 DNK786524:DNR786524 DXG786524:DXN786524 EHC786524:EHJ786524 EQY786524:ERF786524 FAU786524:FBB786524 FKQ786524:FKX786524 FUM786524:FUT786524 GEI786524:GEP786524 GOE786524:GOL786524 GYA786524:GYH786524 HHW786524:HID786524 HRS786524:HRZ786524 IBO786524:IBV786524 ILK786524:ILR786524 IVG786524:IVN786524 JFC786524:JFJ786524 JOY786524:JPF786524 JYU786524:JZB786524 KIQ786524:KIX786524 KSM786524:KST786524 LCI786524:LCP786524 LME786524:LML786524 LWA786524:LWH786524 MFW786524:MGD786524 MPS786524:MPZ786524 MZO786524:MZV786524 NJK786524:NJR786524 NTG786524:NTN786524 ODC786524:ODJ786524 OMY786524:ONF786524 OWU786524:OXB786524 PGQ786524:PGX786524 PQM786524:PQT786524 QAI786524:QAP786524 QKE786524:QKL786524 QUA786524:QUH786524 RDW786524:RED786524 RNS786524:RNZ786524 RXO786524:RXV786524 SHK786524:SHR786524 SRG786524:SRN786524 TBC786524:TBJ786524 TKY786524:TLF786524 TUU786524:TVB786524 UEQ786524:UEX786524 UOM786524:UOT786524 UYI786524:UYP786524 VIE786524:VIL786524 VSA786524:VSH786524 WBW786524:WCD786524 WLS786524:WLZ786524 WVO786524:WVV786524 G852060:N852060 JC852060:JJ852060 SY852060:TF852060 ACU852060:ADB852060 AMQ852060:AMX852060 AWM852060:AWT852060 BGI852060:BGP852060 BQE852060:BQL852060 CAA852060:CAH852060 CJW852060:CKD852060 CTS852060:CTZ852060 DDO852060:DDV852060 DNK852060:DNR852060 DXG852060:DXN852060 EHC852060:EHJ852060 EQY852060:ERF852060 FAU852060:FBB852060 FKQ852060:FKX852060 FUM852060:FUT852060 GEI852060:GEP852060 GOE852060:GOL852060 GYA852060:GYH852060 HHW852060:HID852060 HRS852060:HRZ852060 IBO852060:IBV852060 ILK852060:ILR852060 IVG852060:IVN852060 JFC852060:JFJ852060 JOY852060:JPF852060 JYU852060:JZB852060 KIQ852060:KIX852060 KSM852060:KST852060 LCI852060:LCP852060 LME852060:LML852060 LWA852060:LWH852060 MFW852060:MGD852060 MPS852060:MPZ852060 MZO852060:MZV852060 NJK852060:NJR852060 NTG852060:NTN852060 ODC852060:ODJ852060 OMY852060:ONF852060 OWU852060:OXB852060 PGQ852060:PGX852060 PQM852060:PQT852060 QAI852060:QAP852060 QKE852060:QKL852060 QUA852060:QUH852060 RDW852060:RED852060 RNS852060:RNZ852060 RXO852060:RXV852060 SHK852060:SHR852060 SRG852060:SRN852060 TBC852060:TBJ852060 TKY852060:TLF852060 TUU852060:TVB852060 UEQ852060:UEX852060 UOM852060:UOT852060 UYI852060:UYP852060 VIE852060:VIL852060 VSA852060:VSH852060 WBW852060:WCD852060 WLS852060:WLZ852060 WVO852060:WVV852060 G917596:N917596 JC917596:JJ917596 SY917596:TF917596 ACU917596:ADB917596 AMQ917596:AMX917596 AWM917596:AWT917596 BGI917596:BGP917596 BQE917596:BQL917596 CAA917596:CAH917596 CJW917596:CKD917596 CTS917596:CTZ917596 DDO917596:DDV917596 DNK917596:DNR917596 DXG917596:DXN917596 EHC917596:EHJ917596 EQY917596:ERF917596 FAU917596:FBB917596 FKQ917596:FKX917596 FUM917596:FUT917596 GEI917596:GEP917596 GOE917596:GOL917596 GYA917596:GYH917596 HHW917596:HID917596 HRS917596:HRZ917596 IBO917596:IBV917596 ILK917596:ILR917596 IVG917596:IVN917596 JFC917596:JFJ917596 JOY917596:JPF917596 JYU917596:JZB917596 KIQ917596:KIX917596 KSM917596:KST917596 LCI917596:LCP917596 LME917596:LML917596 LWA917596:LWH917596 MFW917596:MGD917596 MPS917596:MPZ917596 MZO917596:MZV917596 NJK917596:NJR917596 NTG917596:NTN917596 ODC917596:ODJ917596 OMY917596:ONF917596 OWU917596:OXB917596 PGQ917596:PGX917596 PQM917596:PQT917596 QAI917596:QAP917596 QKE917596:QKL917596 QUA917596:QUH917596 RDW917596:RED917596 RNS917596:RNZ917596 RXO917596:RXV917596 SHK917596:SHR917596 SRG917596:SRN917596 TBC917596:TBJ917596 TKY917596:TLF917596 TUU917596:TVB917596 UEQ917596:UEX917596 UOM917596:UOT917596 UYI917596:UYP917596 VIE917596:VIL917596 VSA917596:VSH917596 WBW917596:WCD917596 WLS917596:WLZ917596 WVO917596:WVV917596 G983132:N983132 JC983132:JJ983132 SY983132:TF983132 ACU983132:ADB983132 AMQ983132:AMX983132 AWM983132:AWT983132 BGI983132:BGP983132 BQE983132:BQL983132 CAA983132:CAH983132 CJW983132:CKD983132 CTS983132:CTZ983132 DDO983132:DDV983132 DNK983132:DNR983132 DXG983132:DXN983132 EHC983132:EHJ983132 EQY983132:ERF983132 FAU983132:FBB983132 FKQ983132:FKX983132 FUM983132:FUT983132 GEI983132:GEP983132 GOE983132:GOL983132 GYA983132:GYH983132 HHW983132:HID983132 HRS983132:HRZ983132 IBO983132:IBV983132 ILK983132:ILR983132 IVG983132:IVN983132 JFC983132:JFJ983132 JOY983132:JPF983132 JYU983132:JZB983132 KIQ983132:KIX983132 KSM983132:KST983132 LCI983132:LCP983132 LME983132:LML983132 LWA983132:LWH983132 MFW983132:MGD983132 MPS983132:MPZ983132 MZO983132:MZV983132 NJK983132:NJR983132 NTG983132:NTN983132 ODC983132:ODJ983132 OMY983132:ONF983132 OWU983132:OXB983132 PGQ983132:PGX983132 PQM983132:PQT983132 QAI983132:QAP983132 QKE983132:QKL983132 QUA983132:QUH983132 RDW983132:RED983132 RNS983132:RNZ983132 RXO983132:RXV983132 SHK983132:SHR983132 SRG983132:SRN983132 TBC983132:TBJ983132 TKY983132:TLF983132 TUU983132:TVB983132 UEQ983132:UEX983132 UOM983132:UOT983132 UYI983132:UYP983132 VIE983132:VIL983132 VSA983132:VSH983132 WBW983132:WCD983132 WLS983132:WLZ983132 WVO983132:WVV983132">
      <formula1>"駅施設,地上建物"</formula1>
    </dataValidation>
    <dataValidation type="list" allowBlank="1" showInputMessage="1" showErrorMessage="1" sqref="E89:E90 JA89:JA90 SW89:SW90 ACS89:ACS90 AMO89:AMO90 AWK89:AWK90 BGG89:BGG90 BQC89:BQC90 BZY89:BZY90 CJU89:CJU90 CTQ89:CTQ90 DDM89:DDM90 DNI89:DNI90 DXE89:DXE90 EHA89:EHA90 EQW89:EQW90 FAS89:FAS90 FKO89:FKO90 FUK89:FUK90 GEG89:GEG90 GOC89:GOC90 GXY89:GXY90 HHU89:HHU90 HRQ89:HRQ90 IBM89:IBM90 ILI89:ILI90 IVE89:IVE90 JFA89:JFA90 JOW89:JOW90 JYS89:JYS90 KIO89:KIO90 KSK89:KSK90 LCG89:LCG90 LMC89:LMC90 LVY89:LVY90 MFU89:MFU90 MPQ89:MPQ90 MZM89:MZM90 NJI89:NJI90 NTE89:NTE90 ODA89:ODA90 OMW89:OMW90 OWS89:OWS90 PGO89:PGO90 PQK89:PQK90 QAG89:QAG90 QKC89:QKC90 QTY89:QTY90 RDU89:RDU90 RNQ89:RNQ90 RXM89:RXM90 SHI89:SHI90 SRE89:SRE90 TBA89:TBA90 TKW89:TKW90 TUS89:TUS90 UEO89:UEO90 UOK89:UOK90 UYG89:UYG90 VIC89:VIC90 VRY89:VRY90 WBU89:WBU90 WLQ89:WLQ90 WVM89:WVM90 E65625:E65626 JA65625:JA65626 SW65625:SW65626 ACS65625:ACS65626 AMO65625:AMO65626 AWK65625:AWK65626 BGG65625:BGG65626 BQC65625:BQC65626 BZY65625:BZY65626 CJU65625:CJU65626 CTQ65625:CTQ65626 DDM65625:DDM65626 DNI65625:DNI65626 DXE65625:DXE65626 EHA65625:EHA65626 EQW65625:EQW65626 FAS65625:FAS65626 FKO65625:FKO65626 FUK65625:FUK65626 GEG65625:GEG65626 GOC65625:GOC65626 GXY65625:GXY65626 HHU65625:HHU65626 HRQ65625:HRQ65626 IBM65625:IBM65626 ILI65625:ILI65626 IVE65625:IVE65626 JFA65625:JFA65626 JOW65625:JOW65626 JYS65625:JYS65626 KIO65625:KIO65626 KSK65625:KSK65626 LCG65625:LCG65626 LMC65625:LMC65626 LVY65625:LVY65626 MFU65625:MFU65626 MPQ65625:MPQ65626 MZM65625:MZM65626 NJI65625:NJI65626 NTE65625:NTE65626 ODA65625:ODA65626 OMW65625:OMW65626 OWS65625:OWS65626 PGO65625:PGO65626 PQK65625:PQK65626 QAG65625:QAG65626 QKC65625:QKC65626 QTY65625:QTY65626 RDU65625:RDU65626 RNQ65625:RNQ65626 RXM65625:RXM65626 SHI65625:SHI65626 SRE65625:SRE65626 TBA65625:TBA65626 TKW65625:TKW65626 TUS65625:TUS65626 UEO65625:UEO65626 UOK65625:UOK65626 UYG65625:UYG65626 VIC65625:VIC65626 VRY65625:VRY65626 WBU65625:WBU65626 WLQ65625:WLQ65626 WVM65625:WVM65626 E131161:E131162 JA131161:JA131162 SW131161:SW131162 ACS131161:ACS131162 AMO131161:AMO131162 AWK131161:AWK131162 BGG131161:BGG131162 BQC131161:BQC131162 BZY131161:BZY131162 CJU131161:CJU131162 CTQ131161:CTQ131162 DDM131161:DDM131162 DNI131161:DNI131162 DXE131161:DXE131162 EHA131161:EHA131162 EQW131161:EQW131162 FAS131161:FAS131162 FKO131161:FKO131162 FUK131161:FUK131162 GEG131161:GEG131162 GOC131161:GOC131162 GXY131161:GXY131162 HHU131161:HHU131162 HRQ131161:HRQ131162 IBM131161:IBM131162 ILI131161:ILI131162 IVE131161:IVE131162 JFA131161:JFA131162 JOW131161:JOW131162 JYS131161:JYS131162 KIO131161:KIO131162 KSK131161:KSK131162 LCG131161:LCG131162 LMC131161:LMC131162 LVY131161:LVY131162 MFU131161:MFU131162 MPQ131161:MPQ131162 MZM131161:MZM131162 NJI131161:NJI131162 NTE131161:NTE131162 ODA131161:ODA131162 OMW131161:OMW131162 OWS131161:OWS131162 PGO131161:PGO131162 PQK131161:PQK131162 QAG131161:QAG131162 QKC131161:QKC131162 QTY131161:QTY131162 RDU131161:RDU131162 RNQ131161:RNQ131162 RXM131161:RXM131162 SHI131161:SHI131162 SRE131161:SRE131162 TBA131161:TBA131162 TKW131161:TKW131162 TUS131161:TUS131162 UEO131161:UEO131162 UOK131161:UOK131162 UYG131161:UYG131162 VIC131161:VIC131162 VRY131161:VRY131162 WBU131161:WBU131162 WLQ131161:WLQ131162 WVM131161:WVM131162 E196697:E196698 JA196697:JA196698 SW196697:SW196698 ACS196697:ACS196698 AMO196697:AMO196698 AWK196697:AWK196698 BGG196697:BGG196698 BQC196697:BQC196698 BZY196697:BZY196698 CJU196697:CJU196698 CTQ196697:CTQ196698 DDM196697:DDM196698 DNI196697:DNI196698 DXE196697:DXE196698 EHA196697:EHA196698 EQW196697:EQW196698 FAS196697:FAS196698 FKO196697:FKO196698 FUK196697:FUK196698 GEG196697:GEG196698 GOC196697:GOC196698 GXY196697:GXY196698 HHU196697:HHU196698 HRQ196697:HRQ196698 IBM196697:IBM196698 ILI196697:ILI196698 IVE196697:IVE196698 JFA196697:JFA196698 JOW196697:JOW196698 JYS196697:JYS196698 KIO196697:KIO196698 KSK196697:KSK196698 LCG196697:LCG196698 LMC196697:LMC196698 LVY196697:LVY196698 MFU196697:MFU196698 MPQ196697:MPQ196698 MZM196697:MZM196698 NJI196697:NJI196698 NTE196697:NTE196698 ODA196697:ODA196698 OMW196697:OMW196698 OWS196697:OWS196698 PGO196697:PGO196698 PQK196697:PQK196698 QAG196697:QAG196698 QKC196697:QKC196698 QTY196697:QTY196698 RDU196697:RDU196698 RNQ196697:RNQ196698 RXM196697:RXM196698 SHI196697:SHI196698 SRE196697:SRE196698 TBA196697:TBA196698 TKW196697:TKW196698 TUS196697:TUS196698 UEO196697:UEO196698 UOK196697:UOK196698 UYG196697:UYG196698 VIC196697:VIC196698 VRY196697:VRY196698 WBU196697:WBU196698 WLQ196697:WLQ196698 WVM196697:WVM196698 E262233:E262234 JA262233:JA262234 SW262233:SW262234 ACS262233:ACS262234 AMO262233:AMO262234 AWK262233:AWK262234 BGG262233:BGG262234 BQC262233:BQC262234 BZY262233:BZY262234 CJU262233:CJU262234 CTQ262233:CTQ262234 DDM262233:DDM262234 DNI262233:DNI262234 DXE262233:DXE262234 EHA262233:EHA262234 EQW262233:EQW262234 FAS262233:FAS262234 FKO262233:FKO262234 FUK262233:FUK262234 GEG262233:GEG262234 GOC262233:GOC262234 GXY262233:GXY262234 HHU262233:HHU262234 HRQ262233:HRQ262234 IBM262233:IBM262234 ILI262233:ILI262234 IVE262233:IVE262234 JFA262233:JFA262234 JOW262233:JOW262234 JYS262233:JYS262234 KIO262233:KIO262234 KSK262233:KSK262234 LCG262233:LCG262234 LMC262233:LMC262234 LVY262233:LVY262234 MFU262233:MFU262234 MPQ262233:MPQ262234 MZM262233:MZM262234 NJI262233:NJI262234 NTE262233:NTE262234 ODA262233:ODA262234 OMW262233:OMW262234 OWS262233:OWS262234 PGO262233:PGO262234 PQK262233:PQK262234 QAG262233:QAG262234 QKC262233:QKC262234 QTY262233:QTY262234 RDU262233:RDU262234 RNQ262233:RNQ262234 RXM262233:RXM262234 SHI262233:SHI262234 SRE262233:SRE262234 TBA262233:TBA262234 TKW262233:TKW262234 TUS262233:TUS262234 UEO262233:UEO262234 UOK262233:UOK262234 UYG262233:UYG262234 VIC262233:VIC262234 VRY262233:VRY262234 WBU262233:WBU262234 WLQ262233:WLQ262234 WVM262233:WVM262234 E327769:E327770 JA327769:JA327770 SW327769:SW327770 ACS327769:ACS327770 AMO327769:AMO327770 AWK327769:AWK327770 BGG327769:BGG327770 BQC327769:BQC327770 BZY327769:BZY327770 CJU327769:CJU327770 CTQ327769:CTQ327770 DDM327769:DDM327770 DNI327769:DNI327770 DXE327769:DXE327770 EHA327769:EHA327770 EQW327769:EQW327770 FAS327769:FAS327770 FKO327769:FKO327770 FUK327769:FUK327770 GEG327769:GEG327770 GOC327769:GOC327770 GXY327769:GXY327770 HHU327769:HHU327770 HRQ327769:HRQ327770 IBM327769:IBM327770 ILI327769:ILI327770 IVE327769:IVE327770 JFA327769:JFA327770 JOW327769:JOW327770 JYS327769:JYS327770 KIO327769:KIO327770 KSK327769:KSK327770 LCG327769:LCG327770 LMC327769:LMC327770 LVY327769:LVY327770 MFU327769:MFU327770 MPQ327769:MPQ327770 MZM327769:MZM327770 NJI327769:NJI327770 NTE327769:NTE327770 ODA327769:ODA327770 OMW327769:OMW327770 OWS327769:OWS327770 PGO327769:PGO327770 PQK327769:PQK327770 QAG327769:QAG327770 QKC327769:QKC327770 QTY327769:QTY327770 RDU327769:RDU327770 RNQ327769:RNQ327770 RXM327769:RXM327770 SHI327769:SHI327770 SRE327769:SRE327770 TBA327769:TBA327770 TKW327769:TKW327770 TUS327769:TUS327770 UEO327769:UEO327770 UOK327769:UOK327770 UYG327769:UYG327770 VIC327769:VIC327770 VRY327769:VRY327770 WBU327769:WBU327770 WLQ327769:WLQ327770 WVM327769:WVM327770 E393305:E393306 JA393305:JA393306 SW393305:SW393306 ACS393305:ACS393306 AMO393305:AMO393306 AWK393305:AWK393306 BGG393305:BGG393306 BQC393305:BQC393306 BZY393305:BZY393306 CJU393305:CJU393306 CTQ393305:CTQ393306 DDM393305:DDM393306 DNI393305:DNI393306 DXE393305:DXE393306 EHA393305:EHA393306 EQW393305:EQW393306 FAS393305:FAS393306 FKO393305:FKO393306 FUK393305:FUK393306 GEG393305:GEG393306 GOC393305:GOC393306 GXY393305:GXY393306 HHU393305:HHU393306 HRQ393305:HRQ393306 IBM393305:IBM393306 ILI393305:ILI393306 IVE393305:IVE393306 JFA393305:JFA393306 JOW393305:JOW393306 JYS393305:JYS393306 KIO393305:KIO393306 KSK393305:KSK393306 LCG393305:LCG393306 LMC393305:LMC393306 LVY393305:LVY393306 MFU393305:MFU393306 MPQ393305:MPQ393306 MZM393305:MZM393306 NJI393305:NJI393306 NTE393305:NTE393306 ODA393305:ODA393306 OMW393305:OMW393306 OWS393305:OWS393306 PGO393305:PGO393306 PQK393305:PQK393306 QAG393305:QAG393306 QKC393305:QKC393306 QTY393305:QTY393306 RDU393305:RDU393306 RNQ393305:RNQ393306 RXM393305:RXM393306 SHI393305:SHI393306 SRE393305:SRE393306 TBA393305:TBA393306 TKW393305:TKW393306 TUS393305:TUS393306 UEO393305:UEO393306 UOK393305:UOK393306 UYG393305:UYG393306 VIC393305:VIC393306 VRY393305:VRY393306 WBU393305:WBU393306 WLQ393305:WLQ393306 WVM393305:WVM393306 E458841:E458842 JA458841:JA458842 SW458841:SW458842 ACS458841:ACS458842 AMO458841:AMO458842 AWK458841:AWK458842 BGG458841:BGG458842 BQC458841:BQC458842 BZY458841:BZY458842 CJU458841:CJU458842 CTQ458841:CTQ458842 DDM458841:DDM458842 DNI458841:DNI458842 DXE458841:DXE458842 EHA458841:EHA458842 EQW458841:EQW458842 FAS458841:FAS458842 FKO458841:FKO458842 FUK458841:FUK458842 GEG458841:GEG458842 GOC458841:GOC458842 GXY458841:GXY458842 HHU458841:HHU458842 HRQ458841:HRQ458842 IBM458841:IBM458842 ILI458841:ILI458842 IVE458841:IVE458842 JFA458841:JFA458842 JOW458841:JOW458842 JYS458841:JYS458842 KIO458841:KIO458842 KSK458841:KSK458842 LCG458841:LCG458842 LMC458841:LMC458842 LVY458841:LVY458842 MFU458841:MFU458842 MPQ458841:MPQ458842 MZM458841:MZM458842 NJI458841:NJI458842 NTE458841:NTE458842 ODA458841:ODA458842 OMW458841:OMW458842 OWS458841:OWS458842 PGO458841:PGO458842 PQK458841:PQK458842 QAG458841:QAG458842 QKC458841:QKC458842 QTY458841:QTY458842 RDU458841:RDU458842 RNQ458841:RNQ458842 RXM458841:RXM458842 SHI458841:SHI458842 SRE458841:SRE458842 TBA458841:TBA458842 TKW458841:TKW458842 TUS458841:TUS458842 UEO458841:UEO458842 UOK458841:UOK458842 UYG458841:UYG458842 VIC458841:VIC458842 VRY458841:VRY458842 WBU458841:WBU458842 WLQ458841:WLQ458842 WVM458841:WVM458842 E524377:E524378 JA524377:JA524378 SW524377:SW524378 ACS524377:ACS524378 AMO524377:AMO524378 AWK524377:AWK524378 BGG524377:BGG524378 BQC524377:BQC524378 BZY524377:BZY524378 CJU524377:CJU524378 CTQ524377:CTQ524378 DDM524377:DDM524378 DNI524377:DNI524378 DXE524377:DXE524378 EHA524377:EHA524378 EQW524377:EQW524378 FAS524377:FAS524378 FKO524377:FKO524378 FUK524377:FUK524378 GEG524377:GEG524378 GOC524377:GOC524378 GXY524377:GXY524378 HHU524377:HHU524378 HRQ524377:HRQ524378 IBM524377:IBM524378 ILI524377:ILI524378 IVE524377:IVE524378 JFA524377:JFA524378 JOW524377:JOW524378 JYS524377:JYS524378 KIO524377:KIO524378 KSK524377:KSK524378 LCG524377:LCG524378 LMC524377:LMC524378 LVY524377:LVY524378 MFU524377:MFU524378 MPQ524377:MPQ524378 MZM524377:MZM524378 NJI524377:NJI524378 NTE524377:NTE524378 ODA524377:ODA524378 OMW524377:OMW524378 OWS524377:OWS524378 PGO524377:PGO524378 PQK524377:PQK524378 QAG524377:QAG524378 QKC524377:QKC524378 QTY524377:QTY524378 RDU524377:RDU524378 RNQ524377:RNQ524378 RXM524377:RXM524378 SHI524377:SHI524378 SRE524377:SRE524378 TBA524377:TBA524378 TKW524377:TKW524378 TUS524377:TUS524378 UEO524377:UEO524378 UOK524377:UOK524378 UYG524377:UYG524378 VIC524377:VIC524378 VRY524377:VRY524378 WBU524377:WBU524378 WLQ524377:WLQ524378 WVM524377:WVM524378 E589913:E589914 JA589913:JA589914 SW589913:SW589914 ACS589913:ACS589914 AMO589913:AMO589914 AWK589913:AWK589914 BGG589913:BGG589914 BQC589913:BQC589914 BZY589913:BZY589914 CJU589913:CJU589914 CTQ589913:CTQ589914 DDM589913:DDM589914 DNI589913:DNI589914 DXE589913:DXE589914 EHA589913:EHA589914 EQW589913:EQW589914 FAS589913:FAS589914 FKO589913:FKO589914 FUK589913:FUK589914 GEG589913:GEG589914 GOC589913:GOC589914 GXY589913:GXY589914 HHU589913:HHU589914 HRQ589913:HRQ589914 IBM589913:IBM589914 ILI589913:ILI589914 IVE589913:IVE589914 JFA589913:JFA589914 JOW589913:JOW589914 JYS589913:JYS589914 KIO589913:KIO589914 KSK589913:KSK589914 LCG589913:LCG589914 LMC589913:LMC589914 LVY589913:LVY589914 MFU589913:MFU589914 MPQ589913:MPQ589914 MZM589913:MZM589914 NJI589913:NJI589914 NTE589913:NTE589914 ODA589913:ODA589914 OMW589913:OMW589914 OWS589913:OWS589914 PGO589913:PGO589914 PQK589913:PQK589914 QAG589913:QAG589914 QKC589913:QKC589914 QTY589913:QTY589914 RDU589913:RDU589914 RNQ589913:RNQ589914 RXM589913:RXM589914 SHI589913:SHI589914 SRE589913:SRE589914 TBA589913:TBA589914 TKW589913:TKW589914 TUS589913:TUS589914 UEO589913:UEO589914 UOK589913:UOK589914 UYG589913:UYG589914 VIC589913:VIC589914 VRY589913:VRY589914 WBU589913:WBU589914 WLQ589913:WLQ589914 WVM589913:WVM589914 E655449:E655450 JA655449:JA655450 SW655449:SW655450 ACS655449:ACS655450 AMO655449:AMO655450 AWK655449:AWK655450 BGG655449:BGG655450 BQC655449:BQC655450 BZY655449:BZY655450 CJU655449:CJU655450 CTQ655449:CTQ655450 DDM655449:DDM655450 DNI655449:DNI655450 DXE655449:DXE655450 EHA655449:EHA655450 EQW655449:EQW655450 FAS655449:FAS655450 FKO655449:FKO655450 FUK655449:FUK655450 GEG655449:GEG655450 GOC655449:GOC655450 GXY655449:GXY655450 HHU655449:HHU655450 HRQ655449:HRQ655450 IBM655449:IBM655450 ILI655449:ILI655450 IVE655449:IVE655450 JFA655449:JFA655450 JOW655449:JOW655450 JYS655449:JYS655450 KIO655449:KIO655450 KSK655449:KSK655450 LCG655449:LCG655450 LMC655449:LMC655450 LVY655449:LVY655450 MFU655449:MFU655450 MPQ655449:MPQ655450 MZM655449:MZM655450 NJI655449:NJI655450 NTE655449:NTE655450 ODA655449:ODA655450 OMW655449:OMW655450 OWS655449:OWS655450 PGO655449:PGO655450 PQK655449:PQK655450 QAG655449:QAG655450 QKC655449:QKC655450 QTY655449:QTY655450 RDU655449:RDU655450 RNQ655449:RNQ655450 RXM655449:RXM655450 SHI655449:SHI655450 SRE655449:SRE655450 TBA655449:TBA655450 TKW655449:TKW655450 TUS655449:TUS655450 UEO655449:UEO655450 UOK655449:UOK655450 UYG655449:UYG655450 VIC655449:VIC655450 VRY655449:VRY655450 WBU655449:WBU655450 WLQ655449:WLQ655450 WVM655449:WVM655450 E720985:E720986 JA720985:JA720986 SW720985:SW720986 ACS720985:ACS720986 AMO720985:AMO720986 AWK720985:AWK720986 BGG720985:BGG720986 BQC720985:BQC720986 BZY720985:BZY720986 CJU720985:CJU720986 CTQ720985:CTQ720986 DDM720985:DDM720986 DNI720985:DNI720986 DXE720985:DXE720986 EHA720985:EHA720986 EQW720985:EQW720986 FAS720985:FAS720986 FKO720985:FKO720986 FUK720985:FUK720986 GEG720985:GEG720986 GOC720985:GOC720986 GXY720985:GXY720986 HHU720985:HHU720986 HRQ720985:HRQ720986 IBM720985:IBM720986 ILI720985:ILI720986 IVE720985:IVE720986 JFA720985:JFA720986 JOW720985:JOW720986 JYS720985:JYS720986 KIO720985:KIO720986 KSK720985:KSK720986 LCG720985:LCG720986 LMC720985:LMC720986 LVY720985:LVY720986 MFU720985:MFU720986 MPQ720985:MPQ720986 MZM720985:MZM720986 NJI720985:NJI720986 NTE720985:NTE720986 ODA720985:ODA720986 OMW720985:OMW720986 OWS720985:OWS720986 PGO720985:PGO720986 PQK720985:PQK720986 QAG720985:QAG720986 QKC720985:QKC720986 QTY720985:QTY720986 RDU720985:RDU720986 RNQ720985:RNQ720986 RXM720985:RXM720986 SHI720985:SHI720986 SRE720985:SRE720986 TBA720985:TBA720986 TKW720985:TKW720986 TUS720985:TUS720986 UEO720985:UEO720986 UOK720985:UOK720986 UYG720985:UYG720986 VIC720985:VIC720986 VRY720985:VRY720986 WBU720985:WBU720986 WLQ720985:WLQ720986 WVM720985:WVM720986 E786521:E786522 JA786521:JA786522 SW786521:SW786522 ACS786521:ACS786522 AMO786521:AMO786522 AWK786521:AWK786522 BGG786521:BGG786522 BQC786521:BQC786522 BZY786521:BZY786522 CJU786521:CJU786522 CTQ786521:CTQ786522 DDM786521:DDM786522 DNI786521:DNI786522 DXE786521:DXE786522 EHA786521:EHA786522 EQW786521:EQW786522 FAS786521:FAS786522 FKO786521:FKO786522 FUK786521:FUK786522 GEG786521:GEG786522 GOC786521:GOC786522 GXY786521:GXY786522 HHU786521:HHU786522 HRQ786521:HRQ786522 IBM786521:IBM786522 ILI786521:ILI786522 IVE786521:IVE786522 JFA786521:JFA786522 JOW786521:JOW786522 JYS786521:JYS786522 KIO786521:KIO786522 KSK786521:KSK786522 LCG786521:LCG786522 LMC786521:LMC786522 LVY786521:LVY786522 MFU786521:MFU786522 MPQ786521:MPQ786522 MZM786521:MZM786522 NJI786521:NJI786522 NTE786521:NTE786522 ODA786521:ODA786522 OMW786521:OMW786522 OWS786521:OWS786522 PGO786521:PGO786522 PQK786521:PQK786522 QAG786521:QAG786522 QKC786521:QKC786522 QTY786521:QTY786522 RDU786521:RDU786522 RNQ786521:RNQ786522 RXM786521:RXM786522 SHI786521:SHI786522 SRE786521:SRE786522 TBA786521:TBA786522 TKW786521:TKW786522 TUS786521:TUS786522 UEO786521:UEO786522 UOK786521:UOK786522 UYG786521:UYG786522 VIC786521:VIC786522 VRY786521:VRY786522 WBU786521:WBU786522 WLQ786521:WLQ786522 WVM786521:WVM786522 E852057:E852058 JA852057:JA852058 SW852057:SW852058 ACS852057:ACS852058 AMO852057:AMO852058 AWK852057:AWK852058 BGG852057:BGG852058 BQC852057:BQC852058 BZY852057:BZY852058 CJU852057:CJU852058 CTQ852057:CTQ852058 DDM852057:DDM852058 DNI852057:DNI852058 DXE852057:DXE852058 EHA852057:EHA852058 EQW852057:EQW852058 FAS852057:FAS852058 FKO852057:FKO852058 FUK852057:FUK852058 GEG852057:GEG852058 GOC852057:GOC852058 GXY852057:GXY852058 HHU852057:HHU852058 HRQ852057:HRQ852058 IBM852057:IBM852058 ILI852057:ILI852058 IVE852057:IVE852058 JFA852057:JFA852058 JOW852057:JOW852058 JYS852057:JYS852058 KIO852057:KIO852058 KSK852057:KSK852058 LCG852057:LCG852058 LMC852057:LMC852058 LVY852057:LVY852058 MFU852057:MFU852058 MPQ852057:MPQ852058 MZM852057:MZM852058 NJI852057:NJI852058 NTE852057:NTE852058 ODA852057:ODA852058 OMW852057:OMW852058 OWS852057:OWS852058 PGO852057:PGO852058 PQK852057:PQK852058 QAG852057:QAG852058 QKC852057:QKC852058 QTY852057:QTY852058 RDU852057:RDU852058 RNQ852057:RNQ852058 RXM852057:RXM852058 SHI852057:SHI852058 SRE852057:SRE852058 TBA852057:TBA852058 TKW852057:TKW852058 TUS852057:TUS852058 UEO852057:UEO852058 UOK852057:UOK852058 UYG852057:UYG852058 VIC852057:VIC852058 VRY852057:VRY852058 WBU852057:WBU852058 WLQ852057:WLQ852058 WVM852057:WVM852058 E917593:E917594 JA917593:JA917594 SW917593:SW917594 ACS917593:ACS917594 AMO917593:AMO917594 AWK917593:AWK917594 BGG917593:BGG917594 BQC917593:BQC917594 BZY917593:BZY917594 CJU917593:CJU917594 CTQ917593:CTQ917594 DDM917593:DDM917594 DNI917593:DNI917594 DXE917593:DXE917594 EHA917593:EHA917594 EQW917593:EQW917594 FAS917593:FAS917594 FKO917593:FKO917594 FUK917593:FUK917594 GEG917593:GEG917594 GOC917593:GOC917594 GXY917593:GXY917594 HHU917593:HHU917594 HRQ917593:HRQ917594 IBM917593:IBM917594 ILI917593:ILI917594 IVE917593:IVE917594 JFA917593:JFA917594 JOW917593:JOW917594 JYS917593:JYS917594 KIO917593:KIO917594 KSK917593:KSK917594 LCG917593:LCG917594 LMC917593:LMC917594 LVY917593:LVY917594 MFU917593:MFU917594 MPQ917593:MPQ917594 MZM917593:MZM917594 NJI917593:NJI917594 NTE917593:NTE917594 ODA917593:ODA917594 OMW917593:OMW917594 OWS917593:OWS917594 PGO917593:PGO917594 PQK917593:PQK917594 QAG917593:QAG917594 QKC917593:QKC917594 QTY917593:QTY917594 RDU917593:RDU917594 RNQ917593:RNQ917594 RXM917593:RXM917594 SHI917593:SHI917594 SRE917593:SRE917594 TBA917593:TBA917594 TKW917593:TKW917594 TUS917593:TUS917594 UEO917593:UEO917594 UOK917593:UOK917594 UYG917593:UYG917594 VIC917593:VIC917594 VRY917593:VRY917594 WBU917593:WBU917594 WLQ917593:WLQ917594 WVM917593:WVM917594 E983129:E983130 JA983129:JA983130 SW983129:SW983130 ACS983129:ACS983130 AMO983129:AMO983130 AWK983129:AWK983130 BGG983129:BGG983130 BQC983129:BQC983130 BZY983129:BZY983130 CJU983129:CJU983130 CTQ983129:CTQ983130 DDM983129:DDM983130 DNI983129:DNI983130 DXE983129:DXE983130 EHA983129:EHA983130 EQW983129:EQW983130 FAS983129:FAS983130 FKO983129:FKO983130 FUK983129:FUK983130 GEG983129:GEG983130 GOC983129:GOC983130 GXY983129:GXY983130 HHU983129:HHU983130 HRQ983129:HRQ983130 IBM983129:IBM983130 ILI983129:ILI983130 IVE983129:IVE983130 JFA983129:JFA983130 JOW983129:JOW983130 JYS983129:JYS983130 KIO983129:KIO983130 KSK983129:KSK983130 LCG983129:LCG983130 LMC983129:LMC983130 LVY983129:LVY983130 MFU983129:MFU983130 MPQ983129:MPQ983130 MZM983129:MZM983130 NJI983129:NJI983130 NTE983129:NTE983130 ODA983129:ODA983130 OMW983129:OMW983130 OWS983129:OWS983130 PGO983129:PGO983130 PQK983129:PQK983130 QAG983129:QAG983130 QKC983129:QKC983130 QTY983129:QTY983130 RDU983129:RDU983130 RNQ983129:RNQ983130 RXM983129:RXM983130 SHI983129:SHI983130 SRE983129:SRE983130 TBA983129:TBA983130 TKW983129:TKW983130 TUS983129:TUS983130 UEO983129:UEO983130 UOK983129:UOK983130 UYG983129:UYG983130 VIC983129:VIC983130 VRY983129:VRY983130 WBU983129:WBU983130 WLQ983129:WLQ983130 WVM983129:WVM983130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3:K93 JC93:JG93 SY93:TC93 ACU93:ACY93 AMQ93:AMU93 AWM93:AWQ93 BGI93:BGM93 BQE93:BQI93 CAA93:CAE93 CJW93:CKA93 CTS93:CTW93 DDO93:DDS93 DNK93:DNO93 DXG93:DXK93 EHC93:EHG93 EQY93:ERC93 FAU93:FAY93 FKQ93:FKU93 FUM93:FUQ93 GEI93:GEM93 GOE93:GOI93 GYA93:GYE93 HHW93:HIA93 HRS93:HRW93 IBO93:IBS93 ILK93:ILO93 IVG93:IVK93 JFC93:JFG93 JOY93:JPC93 JYU93:JYY93 KIQ93:KIU93 KSM93:KSQ93 LCI93:LCM93 LME93:LMI93 LWA93:LWE93 MFW93:MGA93 MPS93:MPW93 MZO93:MZS93 NJK93:NJO93 NTG93:NTK93 ODC93:ODG93 OMY93:ONC93 OWU93:OWY93 PGQ93:PGU93 PQM93:PQQ93 QAI93:QAM93 QKE93:QKI93 QUA93:QUE93 RDW93:REA93 RNS93:RNW93 RXO93:RXS93 SHK93:SHO93 SRG93:SRK93 TBC93:TBG93 TKY93:TLC93 TUU93:TUY93 UEQ93:UEU93 UOM93:UOQ93 UYI93:UYM93 VIE93:VII93 VSA93:VSE93 WBW93:WCA93 WLS93:WLW93 WVO93:WVS93 G65629:K65629 JC65629:JG65629 SY65629:TC65629 ACU65629:ACY65629 AMQ65629:AMU65629 AWM65629:AWQ65629 BGI65629:BGM65629 BQE65629:BQI65629 CAA65629:CAE65629 CJW65629:CKA65629 CTS65629:CTW65629 DDO65629:DDS65629 DNK65629:DNO65629 DXG65629:DXK65629 EHC65629:EHG65629 EQY65629:ERC65629 FAU65629:FAY65629 FKQ65629:FKU65629 FUM65629:FUQ65629 GEI65629:GEM65629 GOE65629:GOI65629 GYA65629:GYE65629 HHW65629:HIA65629 HRS65629:HRW65629 IBO65629:IBS65629 ILK65629:ILO65629 IVG65629:IVK65629 JFC65629:JFG65629 JOY65629:JPC65629 JYU65629:JYY65629 KIQ65629:KIU65629 KSM65629:KSQ65629 LCI65629:LCM65629 LME65629:LMI65629 LWA65629:LWE65629 MFW65629:MGA65629 MPS65629:MPW65629 MZO65629:MZS65629 NJK65629:NJO65629 NTG65629:NTK65629 ODC65629:ODG65629 OMY65629:ONC65629 OWU65629:OWY65629 PGQ65629:PGU65629 PQM65629:PQQ65629 QAI65629:QAM65629 QKE65629:QKI65629 QUA65629:QUE65629 RDW65629:REA65629 RNS65629:RNW65629 RXO65629:RXS65629 SHK65629:SHO65629 SRG65629:SRK65629 TBC65629:TBG65629 TKY65629:TLC65629 TUU65629:TUY65629 UEQ65629:UEU65629 UOM65629:UOQ65629 UYI65629:UYM65629 VIE65629:VII65629 VSA65629:VSE65629 WBW65629:WCA65629 WLS65629:WLW65629 WVO65629:WVS65629 G131165:K131165 JC131165:JG131165 SY131165:TC131165 ACU131165:ACY131165 AMQ131165:AMU131165 AWM131165:AWQ131165 BGI131165:BGM131165 BQE131165:BQI131165 CAA131165:CAE131165 CJW131165:CKA131165 CTS131165:CTW131165 DDO131165:DDS131165 DNK131165:DNO131165 DXG131165:DXK131165 EHC131165:EHG131165 EQY131165:ERC131165 FAU131165:FAY131165 FKQ131165:FKU131165 FUM131165:FUQ131165 GEI131165:GEM131165 GOE131165:GOI131165 GYA131165:GYE131165 HHW131165:HIA131165 HRS131165:HRW131165 IBO131165:IBS131165 ILK131165:ILO131165 IVG131165:IVK131165 JFC131165:JFG131165 JOY131165:JPC131165 JYU131165:JYY131165 KIQ131165:KIU131165 KSM131165:KSQ131165 LCI131165:LCM131165 LME131165:LMI131165 LWA131165:LWE131165 MFW131165:MGA131165 MPS131165:MPW131165 MZO131165:MZS131165 NJK131165:NJO131165 NTG131165:NTK131165 ODC131165:ODG131165 OMY131165:ONC131165 OWU131165:OWY131165 PGQ131165:PGU131165 PQM131165:PQQ131165 QAI131165:QAM131165 QKE131165:QKI131165 QUA131165:QUE131165 RDW131165:REA131165 RNS131165:RNW131165 RXO131165:RXS131165 SHK131165:SHO131165 SRG131165:SRK131165 TBC131165:TBG131165 TKY131165:TLC131165 TUU131165:TUY131165 UEQ131165:UEU131165 UOM131165:UOQ131165 UYI131165:UYM131165 VIE131165:VII131165 VSA131165:VSE131165 WBW131165:WCA131165 WLS131165:WLW131165 WVO131165:WVS131165 G196701:K196701 JC196701:JG196701 SY196701:TC196701 ACU196701:ACY196701 AMQ196701:AMU196701 AWM196701:AWQ196701 BGI196701:BGM196701 BQE196701:BQI196701 CAA196701:CAE196701 CJW196701:CKA196701 CTS196701:CTW196701 DDO196701:DDS196701 DNK196701:DNO196701 DXG196701:DXK196701 EHC196701:EHG196701 EQY196701:ERC196701 FAU196701:FAY196701 FKQ196701:FKU196701 FUM196701:FUQ196701 GEI196701:GEM196701 GOE196701:GOI196701 GYA196701:GYE196701 HHW196701:HIA196701 HRS196701:HRW196701 IBO196701:IBS196701 ILK196701:ILO196701 IVG196701:IVK196701 JFC196701:JFG196701 JOY196701:JPC196701 JYU196701:JYY196701 KIQ196701:KIU196701 KSM196701:KSQ196701 LCI196701:LCM196701 LME196701:LMI196701 LWA196701:LWE196701 MFW196701:MGA196701 MPS196701:MPW196701 MZO196701:MZS196701 NJK196701:NJO196701 NTG196701:NTK196701 ODC196701:ODG196701 OMY196701:ONC196701 OWU196701:OWY196701 PGQ196701:PGU196701 PQM196701:PQQ196701 QAI196701:QAM196701 QKE196701:QKI196701 QUA196701:QUE196701 RDW196701:REA196701 RNS196701:RNW196701 RXO196701:RXS196701 SHK196701:SHO196701 SRG196701:SRK196701 TBC196701:TBG196701 TKY196701:TLC196701 TUU196701:TUY196701 UEQ196701:UEU196701 UOM196701:UOQ196701 UYI196701:UYM196701 VIE196701:VII196701 VSA196701:VSE196701 WBW196701:WCA196701 WLS196701:WLW196701 WVO196701:WVS196701 G262237:K262237 JC262237:JG262237 SY262237:TC262237 ACU262237:ACY262237 AMQ262237:AMU262237 AWM262237:AWQ262237 BGI262237:BGM262237 BQE262237:BQI262237 CAA262237:CAE262237 CJW262237:CKA262237 CTS262237:CTW262237 DDO262237:DDS262237 DNK262237:DNO262237 DXG262237:DXK262237 EHC262237:EHG262237 EQY262237:ERC262237 FAU262237:FAY262237 FKQ262237:FKU262237 FUM262237:FUQ262237 GEI262237:GEM262237 GOE262237:GOI262237 GYA262237:GYE262237 HHW262237:HIA262237 HRS262237:HRW262237 IBO262237:IBS262237 ILK262237:ILO262237 IVG262237:IVK262237 JFC262237:JFG262237 JOY262237:JPC262237 JYU262237:JYY262237 KIQ262237:KIU262237 KSM262237:KSQ262237 LCI262237:LCM262237 LME262237:LMI262237 LWA262237:LWE262237 MFW262237:MGA262237 MPS262237:MPW262237 MZO262237:MZS262237 NJK262237:NJO262237 NTG262237:NTK262237 ODC262237:ODG262237 OMY262237:ONC262237 OWU262237:OWY262237 PGQ262237:PGU262237 PQM262237:PQQ262237 QAI262237:QAM262237 QKE262237:QKI262237 QUA262237:QUE262237 RDW262237:REA262237 RNS262237:RNW262237 RXO262237:RXS262237 SHK262237:SHO262237 SRG262237:SRK262237 TBC262237:TBG262237 TKY262237:TLC262237 TUU262237:TUY262237 UEQ262237:UEU262237 UOM262237:UOQ262237 UYI262237:UYM262237 VIE262237:VII262237 VSA262237:VSE262237 WBW262237:WCA262237 WLS262237:WLW262237 WVO262237:WVS262237 G327773:K327773 JC327773:JG327773 SY327773:TC327773 ACU327773:ACY327773 AMQ327773:AMU327773 AWM327773:AWQ327773 BGI327773:BGM327773 BQE327773:BQI327773 CAA327773:CAE327773 CJW327773:CKA327773 CTS327773:CTW327773 DDO327773:DDS327773 DNK327773:DNO327773 DXG327773:DXK327773 EHC327773:EHG327773 EQY327773:ERC327773 FAU327773:FAY327773 FKQ327773:FKU327773 FUM327773:FUQ327773 GEI327773:GEM327773 GOE327773:GOI327773 GYA327773:GYE327773 HHW327773:HIA327773 HRS327773:HRW327773 IBO327773:IBS327773 ILK327773:ILO327773 IVG327773:IVK327773 JFC327773:JFG327773 JOY327773:JPC327773 JYU327773:JYY327773 KIQ327773:KIU327773 KSM327773:KSQ327773 LCI327773:LCM327773 LME327773:LMI327773 LWA327773:LWE327773 MFW327773:MGA327773 MPS327773:MPW327773 MZO327773:MZS327773 NJK327773:NJO327773 NTG327773:NTK327773 ODC327773:ODG327773 OMY327773:ONC327773 OWU327773:OWY327773 PGQ327773:PGU327773 PQM327773:PQQ327773 QAI327773:QAM327773 QKE327773:QKI327773 QUA327773:QUE327773 RDW327773:REA327773 RNS327773:RNW327773 RXO327773:RXS327773 SHK327773:SHO327773 SRG327773:SRK327773 TBC327773:TBG327773 TKY327773:TLC327773 TUU327773:TUY327773 UEQ327773:UEU327773 UOM327773:UOQ327773 UYI327773:UYM327773 VIE327773:VII327773 VSA327773:VSE327773 WBW327773:WCA327773 WLS327773:WLW327773 WVO327773:WVS327773 G393309:K393309 JC393309:JG393309 SY393309:TC393309 ACU393309:ACY393309 AMQ393309:AMU393309 AWM393309:AWQ393309 BGI393309:BGM393309 BQE393309:BQI393309 CAA393309:CAE393309 CJW393309:CKA393309 CTS393309:CTW393309 DDO393309:DDS393309 DNK393309:DNO393309 DXG393309:DXK393309 EHC393309:EHG393309 EQY393309:ERC393309 FAU393309:FAY393309 FKQ393309:FKU393309 FUM393309:FUQ393309 GEI393309:GEM393309 GOE393309:GOI393309 GYA393309:GYE393309 HHW393309:HIA393309 HRS393309:HRW393309 IBO393309:IBS393309 ILK393309:ILO393309 IVG393309:IVK393309 JFC393309:JFG393309 JOY393309:JPC393309 JYU393309:JYY393309 KIQ393309:KIU393309 KSM393309:KSQ393309 LCI393309:LCM393309 LME393309:LMI393309 LWA393309:LWE393309 MFW393309:MGA393309 MPS393309:MPW393309 MZO393309:MZS393309 NJK393309:NJO393309 NTG393309:NTK393309 ODC393309:ODG393309 OMY393309:ONC393309 OWU393309:OWY393309 PGQ393309:PGU393309 PQM393309:PQQ393309 QAI393309:QAM393309 QKE393309:QKI393309 QUA393309:QUE393309 RDW393309:REA393309 RNS393309:RNW393309 RXO393309:RXS393309 SHK393309:SHO393309 SRG393309:SRK393309 TBC393309:TBG393309 TKY393309:TLC393309 TUU393309:TUY393309 UEQ393309:UEU393309 UOM393309:UOQ393309 UYI393309:UYM393309 VIE393309:VII393309 VSA393309:VSE393309 WBW393309:WCA393309 WLS393309:WLW393309 WVO393309:WVS393309 G458845:K458845 JC458845:JG458845 SY458845:TC458845 ACU458845:ACY458845 AMQ458845:AMU458845 AWM458845:AWQ458845 BGI458845:BGM458845 BQE458845:BQI458845 CAA458845:CAE458845 CJW458845:CKA458845 CTS458845:CTW458845 DDO458845:DDS458845 DNK458845:DNO458845 DXG458845:DXK458845 EHC458845:EHG458845 EQY458845:ERC458845 FAU458845:FAY458845 FKQ458845:FKU458845 FUM458845:FUQ458845 GEI458845:GEM458845 GOE458845:GOI458845 GYA458845:GYE458845 HHW458845:HIA458845 HRS458845:HRW458845 IBO458845:IBS458845 ILK458845:ILO458845 IVG458845:IVK458845 JFC458845:JFG458845 JOY458845:JPC458845 JYU458845:JYY458845 KIQ458845:KIU458845 KSM458845:KSQ458845 LCI458845:LCM458845 LME458845:LMI458845 LWA458845:LWE458845 MFW458845:MGA458845 MPS458845:MPW458845 MZO458845:MZS458845 NJK458845:NJO458845 NTG458845:NTK458845 ODC458845:ODG458845 OMY458845:ONC458845 OWU458845:OWY458845 PGQ458845:PGU458845 PQM458845:PQQ458845 QAI458845:QAM458845 QKE458845:QKI458845 QUA458845:QUE458845 RDW458845:REA458845 RNS458845:RNW458845 RXO458845:RXS458845 SHK458845:SHO458845 SRG458845:SRK458845 TBC458845:TBG458845 TKY458845:TLC458845 TUU458845:TUY458845 UEQ458845:UEU458845 UOM458845:UOQ458845 UYI458845:UYM458845 VIE458845:VII458845 VSA458845:VSE458845 WBW458845:WCA458845 WLS458845:WLW458845 WVO458845:WVS458845 G524381:K524381 JC524381:JG524381 SY524381:TC524381 ACU524381:ACY524381 AMQ524381:AMU524381 AWM524381:AWQ524381 BGI524381:BGM524381 BQE524381:BQI524381 CAA524381:CAE524381 CJW524381:CKA524381 CTS524381:CTW524381 DDO524381:DDS524381 DNK524381:DNO524381 DXG524381:DXK524381 EHC524381:EHG524381 EQY524381:ERC524381 FAU524381:FAY524381 FKQ524381:FKU524381 FUM524381:FUQ524381 GEI524381:GEM524381 GOE524381:GOI524381 GYA524381:GYE524381 HHW524381:HIA524381 HRS524381:HRW524381 IBO524381:IBS524381 ILK524381:ILO524381 IVG524381:IVK524381 JFC524381:JFG524381 JOY524381:JPC524381 JYU524381:JYY524381 KIQ524381:KIU524381 KSM524381:KSQ524381 LCI524381:LCM524381 LME524381:LMI524381 LWA524381:LWE524381 MFW524381:MGA524381 MPS524381:MPW524381 MZO524381:MZS524381 NJK524381:NJO524381 NTG524381:NTK524381 ODC524381:ODG524381 OMY524381:ONC524381 OWU524381:OWY524381 PGQ524381:PGU524381 PQM524381:PQQ524381 QAI524381:QAM524381 QKE524381:QKI524381 QUA524381:QUE524381 RDW524381:REA524381 RNS524381:RNW524381 RXO524381:RXS524381 SHK524381:SHO524381 SRG524381:SRK524381 TBC524381:TBG524381 TKY524381:TLC524381 TUU524381:TUY524381 UEQ524381:UEU524381 UOM524381:UOQ524381 UYI524381:UYM524381 VIE524381:VII524381 VSA524381:VSE524381 WBW524381:WCA524381 WLS524381:WLW524381 WVO524381:WVS524381 G589917:K589917 JC589917:JG589917 SY589917:TC589917 ACU589917:ACY589917 AMQ589917:AMU589917 AWM589917:AWQ589917 BGI589917:BGM589917 BQE589917:BQI589917 CAA589917:CAE589917 CJW589917:CKA589917 CTS589917:CTW589917 DDO589917:DDS589917 DNK589917:DNO589917 DXG589917:DXK589917 EHC589917:EHG589917 EQY589917:ERC589917 FAU589917:FAY589917 FKQ589917:FKU589917 FUM589917:FUQ589917 GEI589917:GEM589917 GOE589917:GOI589917 GYA589917:GYE589917 HHW589917:HIA589917 HRS589917:HRW589917 IBO589917:IBS589917 ILK589917:ILO589917 IVG589917:IVK589917 JFC589917:JFG589917 JOY589917:JPC589917 JYU589917:JYY589917 KIQ589917:KIU589917 KSM589917:KSQ589917 LCI589917:LCM589917 LME589917:LMI589917 LWA589917:LWE589917 MFW589917:MGA589917 MPS589917:MPW589917 MZO589917:MZS589917 NJK589917:NJO589917 NTG589917:NTK589917 ODC589917:ODG589917 OMY589917:ONC589917 OWU589917:OWY589917 PGQ589917:PGU589917 PQM589917:PQQ589917 QAI589917:QAM589917 QKE589917:QKI589917 QUA589917:QUE589917 RDW589917:REA589917 RNS589917:RNW589917 RXO589917:RXS589917 SHK589917:SHO589917 SRG589917:SRK589917 TBC589917:TBG589917 TKY589917:TLC589917 TUU589917:TUY589917 UEQ589917:UEU589917 UOM589917:UOQ589917 UYI589917:UYM589917 VIE589917:VII589917 VSA589917:VSE589917 WBW589917:WCA589917 WLS589917:WLW589917 WVO589917:WVS589917 G655453:K655453 JC655453:JG655453 SY655453:TC655453 ACU655453:ACY655453 AMQ655453:AMU655453 AWM655453:AWQ655453 BGI655453:BGM655453 BQE655453:BQI655453 CAA655453:CAE655453 CJW655453:CKA655453 CTS655453:CTW655453 DDO655453:DDS655453 DNK655453:DNO655453 DXG655453:DXK655453 EHC655453:EHG655453 EQY655453:ERC655453 FAU655453:FAY655453 FKQ655453:FKU655453 FUM655453:FUQ655453 GEI655453:GEM655453 GOE655453:GOI655453 GYA655453:GYE655453 HHW655453:HIA655453 HRS655453:HRW655453 IBO655453:IBS655453 ILK655453:ILO655453 IVG655453:IVK655453 JFC655453:JFG655453 JOY655453:JPC655453 JYU655453:JYY655453 KIQ655453:KIU655453 KSM655453:KSQ655453 LCI655453:LCM655453 LME655453:LMI655453 LWA655453:LWE655453 MFW655453:MGA655453 MPS655453:MPW655453 MZO655453:MZS655453 NJK655453:NJO655453 NTG655453:NTK655453 ODC655453:ODG655453 OMY655453:ONC655453 OWU655453:OWY655453 PGQ655453:PGU655453 PQM655453:PQQ655453 QAI655453:QAM655453 QKE655453:QKI655453 QUA655453:QUE655453 RDW655453:REA655453 RNS655453:RNW655453 RXO655453:RXS655453 SHK655453:SHO655453 SRG655453:SRK655453 TBC655453:TBG655453 TKY655453:TLC655453 TUU655453:TUY655453 UEQ655453:UEU655453 UOM655453:UOQ655453 UYI655453:UYM655453 VIE655453:VII655453 VSA655453:VSE655453 WBW655453:WCA655453 WLS655453:WLW655453 WVO655453:WVS655453 G720989:K720989 JC720989:JG720989 SY720989:TC720989 ACU720989:ACY720989 AMQ720989:AMU720989 AWM720989:AWQ720989 BGI720989:BGM720989 BQE720989:BQI720989 CAA720989:CAE720989 CJW720989:CKA720989 CTS720989:CTW720989 DDO720989:DDS720989 DNK720989:DNO720989 DXG720989:DXK720989 EHC720989:EHG720989 EQY720989:ERC720989 FAU720989:FAY720989 FKQ720989:FKU720989 FUM720989:FUQ720989 GEI720989:GEM720989 GOE720989:GOI720989 GYA720989:GYE720989 HHW720989:HIA720989 HRS720989:HRW720989 IBO720989:IBS720989 ILK720989:ILO720989 IVG720989:IVK720989 JFC720989:JFG720989 JOY720989:JPC720989 JYU720989:JYY720989 KIQ720989:KIU720989 KSM720989:KSQ720989 LCI720989:LCM720989 LME720989:LMI720989 LWA720989:LWE720989 MFW720989:MGA720989 MPS720989:MPW720989 MZO720989:MZS720989 NJK720989:NJO720989 NTG720989:NTK720989 ODC720989:ODG720989 OMY720989:ONC720989 OWU720989:OWY720989 PGQ720989:PGU720989 PQM720989:PQQ720989 QAI720989:QAM720989 QKE720989:QKI720989 QUA720989:QUE720989 RDW720989:REA720989 RNS720989:RNW720989 RXO720989:RXS720989 SHK720989:SHO720989 SRG720989:SRK720989 TBC720989:TBG720989 TKY720989:TLC720989 TUU720989:TUY720989 UEQ720989:UEU720989 UOM720989:UOQ720989 UYI720989:UYM720989 VIE720989:VII720989 VSA720989:VSE720989 WBW720989:WCA720989 WLS720989:WLW720989 WVO720989:WVS720989 G786525:K786525 JC786525:JG786525 SY786525:TC786525 ACU786525:ACY786525 AMQ786525:AMU786525 AWM786525:AWQ786525 BGI786525:BGM786525 BQE786525:BQI786525 CAA786525:CAE786525 CJW786525:CKA786525 CTS786525:CTW786525 DDO786525:DDS786525 DNK786525:DNO786525 DXG786525:DXK786525 EHC786525:EHG786525 EQY786525:ERC786525 FAU786525:FAY786525 FKQ786525:FKU786525 FUM786525:FUQ786525 GEI786525:GEM786525 GOE786525:GOI786525 GYA786525:GYE786525 HHW786525:HIA786525 HRS786525:HRW786525 IBO786525:IBS786525 ILK786525:ILO786525 IVG786525:IVK786525 JFC786525:JFG786525 JOY786525:JPC786525 JYU786525:JYY786525 KIQ786525:KIU786525 KSM786525:KSQ786525 LCI786525:LCM786525 LME786525:LMI786525 LWA786525:LWE786525 MFW786525:MGA786525 MPS786525:MPW786525 MZO786525:MZS786525 NJK786525:NJO786525 NTG786525:NTK786525 ODC786525:ODG786525 OMY786525:ONC786525 OWU786525:OWY786525 PGQ786525:PGU786525 PQM786525:PQQ786525 QAI786525:QAM786525 QKE786525:QKI786525 QUA786525:QUE786525 RDW786525:REA786525 RNS786525:RNW786525 RXO786525:RXS786525 SHK786525:SHO786525 SRG786525:SRK786525 TBC786525:TBG786525 TKY786525:TLC786525 TUU786525:TUY786525 UEQ786525:UEU786525 UOM786525:UOQ786525 UYI786525:UYM786525 VIE786525:VII786525 VSA786525:VSE786525 WBW786525:WCA786525 WLS786525:WLW786525 WVO786525:WVS786525 G852061:K852061 JC852061:JG852061 SY852061:TC852061 ACU852061:ACY852061 AMQ852061:AMU852061 AWM852061:AWQ852061 BGI852061:BGM852061 BQE852061:BQI852061 CAA852061:CAE852061 CJW852061:CKA852061 CTS852061:CTW852061 DDO852061:DDS852061 DNK852061:DNO852061 DXG852061:DXK852061 EHC852061:EHG852061 EQY852061:ERC852061 FAU852061:FAY852061 FKQ852061:FKU852061 FUM852061:FUQ852061 GEI852061:GEM852061 GOE852061:GOI852061 GYA852061:GYE852061 HHW852061:HIA852061 HRS852061:HRW852061 IBO852061:IBS852061 ILK852061:ILO852061 IVG852061:IVK852061 JFC852061:JFG852061 JOY852061:JPC852061 JYU852061:JYY852061 KIQ852061:KIU852061 KSM852061:KSQ852061 LCI852061:LCM852061 LME852061:LMI852061 LWA852061:LWE852061 MFW852061:MGA852061 MPS852061:MPW852061 MZO852061:MZS852061 NJK852061:NJO852061 NTG852061:NTK852061 ODC852061:ODG852061 OMY852061:ONC852061 OWU852061:OWY852061 PGQ852061:PGU852061 PQM852061:PQQ852061 QAI852061:QAM852061 QKE852061:QKI852061 QUA852061:QUE852061 RDW852061:REA852061 RNS852061:RNW852061 RXO852061:RXS852061 SHK852061:SHO852061 SRG852061:SRK852061 TBC852061:TBG852061 TKY852061:TLC852061 TUU852061:TUY852061 UEQ852061:UEU852061 UOM852061:UOQ852061 UYI852061:UYM852061 VIE852061:VII852061 VSA852061:VSE852061 WBW852061:WCA852061 WLS852061:WLW852061 WVO852061:WVS852061 G917597:K917597 JC917597:JG917597 SY917597:TC917597 ACU917597:ACY917597 AMQ917597:AMU917597 AWM917597:AWQ917597 BGI917597:BGM917597 BQE917597:BQI917597 CAA917597:CAE917597 CJW917597:CKA917597 CTS917597:CTW917597 DDO917597:DDS917597 DNK917597:DNO917597 DXG917597:DXK917597 EHC917597:EHG917597 EQY917597:ERC917597 FAU917597:FAY917597 FKQ917597:FKU917597 FUM917597:FUQ917597 GEI917597:GEM917597 GOE917597:GOI917597 GYA917597:GYE917597 HHW917597:HIA917597 HRS917597:HRW917597 IBO917597:IBS917597 ILK917597:ILO917597 IVG917597:IVK917597 JFC917597:JFG917597 JOY917597:JPC917597 JYU917597:JYY917597 KIQ917597:KIU917597 KSM917597:KSQ917597 LCI917597:LCM917597 LME917597:LMI917597 LWA917597:LWE917597 MFW917597:MGA917597 MPS917597:MPW917597 MZO917597:MZS917597 NJK917597:NJO917597 NTG917597:NTK917597 ODC917597:ODG917597 OMY917597:ONC917597 OWU917597:OWY917597 PGQ917597:PGU917597 PQM917597:PQQ917597 QAI917597:QAM917597 QKE917597:QKI917597 QUA917597:QUE917597 RDW917597:REA917597 RNS917597:RNW917597 RXO917597:RXS917597 SHK917597:SHO917597 SRG917597:SRK917597 TBC917597:TBG917597 TKY917597:TLC917597 TUU917597:TUY917597 UEQ917597:UEU917597 UOM917597:UOQ917597 UYI917597:UYM917597 VIE917597:VII917597 VSA917597:VSE917597 WBW917597:WCA917597 WLS917597:WLW917597 WVO917597:WVS917597 G983133:K983133 JC983133:JG983133 SY983133:TC983133 ACU983133:ACY983133 AMQ983133:AMU983133 AWM983133:AWQ983133 BGI983133:BGM983133 BQE983133:BQI983133 CAA983133:CAE983133 CJW983133:CKA983133 CTS983133:CTW983133 DDO983133:DDS983133 DNK983133:DNO983133 DXG983133:DXK983133 EHC983133:EHG983133 EQY983133:ERC983133 FAU983133:FAY983133 FKQ983133:FKU983133 FUM983133:FUQ983133 GEI983133:GEM983133 GOE983133:GOI983133 GYA983133:GYE983133 HHW983133:HIA983133 HRS983133:HRW983133 IBO983133:IBS983133 ILK983133:ILO983133 IVG983133:IVK983133 JFC983133:JFG983133 JOY983133:JPC983133 JYU983133:JYY983133 KIQ983133:KIU983133 KSM983133:KSQ983133 LCI983133:LCM983133 LME983133:LMI983133 LWA983133:LWE983133 MFW983133:MGA983133 MPS983133:MPW983133 MZO983133:MZS983133 NJK983133:NJO983133 NTG983133:NTK983133 ODC983133:ODG983133 OMY983133:ONC983133 OWU983133:OWY983133 PGQ983133:PGU983133 PQM983133:PQQ983133 QAI983133:QAM983133 QKE983133:QKI983133 QUA983133:QUE983133 RDW983133:REA983133 RNS983133:RNW983133 RXO983133:RXS983133 SHK983133:SHO983133 SRG983133:SRK983133 TBC983133:TBG983133 TKY983133:TLC983133 TUU983133:TUY983133 UEQ983133:UEU983133 UOM983133:UOQ983133 UYI983133:UYM983133 VIE983133:VII983133 VSA983133:VSE983133 WBW983133:WCA983133 WLS983133:WLW983133 WVO983133:WVS983133">
      <formula1>"有り,無し"</formula1>
    </dataValidation>
  </dataValidations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rowBreaks count="9" manualBreakCount="9">
    <brk id="43" max="16383" man="1"/>
    <brk id="83" max="13" man="1"/>
    <brk id="142" max="13" man="1"/>
    <brk id="173" max="16383" man="1"/>
    <brk id="219" max="16383" man="1"/>
    <brk id="297" max="13" man="1"/>
    <brk id="355" max="16383" man="1"/>
    <brk id="386" max="16383" man="1"/>
    <brk id="432" max="16383" man="1"/>
  </row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36"/>
  <sheetViews>
    <sheetView topLeftCell="A55" zoomScaleNormal="100" workbookViewId="0">
      <selection activeCell="J71" sqref="J71:L71"/>
    </sheetView>
  </sheetViews>
  <sheetFormatPr defaultColWidth="9" defaultRowHeight="13.5"/>
  <cols>
    <col min="1" max="1" width="6.875" customWidth="1"/>
    <col min="6" max="6" width="8" customWidth="1"/>
    <col min="9" max="9" width="9.5" customWidth="1"/>
    <col min="12" max="12" width="4.375" customWidth="1"/>
    <col min="13" max="13" width="14.625" customWidth="1"/>
    <col min="14" max="14" width="15.375" customWidth="1"/>
  </cols>
  <sheetData>
    <row r="1" spans="1:15">
      <c r="A1" s="41"/>
      <c r="B1" t="s">
        <v>114</v>
      </c>
      <c r="E1" s="41"/>
      <c r="F1" s="41"/>
      <c r="G1" s="41"/>
      <c r="H1" s="41"/>
      <c r="I1" s="41"/>
    </row>
    <row r="2" spans="1:15">
      <c r="A2" s="41"/>
      <c r="C2" t="s">
        <v>113</v>
      </c>
      <c r="D2" s="140">
        <v>0</v>
      </c>
      <c r="E2" s="41"/>
      <c r="F2" s="46" t="s">
        <v>40</v>
      </c>
      <c r="G2" s="47"/>
      <c r="H2" s="104" t="str">
        <f>IF(E2="","",INT(E2*G2))</f>
        <v/>
      </c>
      <c r="I2" s="41"/>
      <c r="J2" s="150"/>
      <c r="K2" s="150"/>
      <c r="L2" s="150"/>
      <c r="M2" s="151"/>
      <c r="N2" s="150"/>
      <c r="O2" s="150"/>
    </row>
    <row r="3" spans="1:15">
      <c r="A3" s="41"/>
      <c r="B3" t="s">
        <v>96</v>
      </c>
      <c r="E3" s="49"/>
      <c r="F3" s="41"/>
      <c r="G3" s="41"/>
      <c r="H3" s="41"/>
      <c r="I3" s="41"/>
      <c r="J3" s="150"/>
      <c r="K3" s="152"/>
      <c r="L3" s="150"/>
      <c r="M3" s="150"/>
      <c r="N3" s="150"/>
      <c r="O3" s="150"/>
    </row>
    <row r="4" spans="1:15">
      <c r="A4" s="41"/>
      <c r="C4" t="s">
        <v>97</v>
      </c>
      <c r="D4" s="140">
        <v>3</v>
      </c>
      <c r="E4" s="41"/>
      <c r="F4" s="44" t="s">
        <v>41</v>
      </c>
      <c r="G4" s="44"/>
      <c r="H4" s="42" t="str">
        <f>+表紙!W5</f>
        <v>標準単価2019.xls</v>
      </c>
      <c r="I4" s="41"/>
      <c r="J4" s="150"/>
      <c r="K4" s="153"/>
      <c r="L4" s="153"/>
      <c r="M4" s="151"/>
      <c r="N4" s="151"/>
      <c r="O4" s="150"/>
    </row>
    <row r="5" spans="1:15">
      <c r="A5" s="41"/>
      <c r="B5" t="s">
        <v>98</v>
      </c>
      <c r="D5" s="41"/>
      <c r="E5" s="41"/>
      <c r="F5" s="48" t="s">
        <v>42</v>
      </c>
      <c r="G5" s="44"/>
      <c r="H5" s="43" t="str">
        <f>+表紙!W6</f>
        <v>c:\積算\</v>
      </c>
      <c r="I5" s="41"/>
      <c r="J5" s="150"/>
      <c r="K5" s="153"/>
      <c r="L5" s="153"/>
      <c r="M5" s="151"/>
      <c r="N5" s="151"/>
      <c r="O5" s="150"/>
    </row>
    <row r="6" spans="1:15">
      <c r="A6" s="41"/>
      <c r="C6" t="s">
        <v>101</v>
      </c>
      <c r="D6" s="140">
        <v>3</v>
      </c>
      <c r="E6" s="41"/>
      <c r="F6" s="41"/>
      <c r="G6" s="41"/>
      <c r="H6" s="41"/>
      <c r="I6" s="41"/>
      <c r="J6" s="150"/>
      <c r="K6" s="153"/>
      <c r="L6" s="153"/>
      <c r="M6" s="151"/>
      <c r="N6" s="151"/>
      <c r="O6" s="150"/>
    </row>
    <row r="7" spans="1:15">
      <c r="A7" s="41"/>
      <c r="B7" t="s">
        <v>99</v>
      </c>
      <c r="D7" s="41"/>
      <c r="E7" s="41"/>
      <c r="F7" s="41" t="s">
        <v>104</v>
      </c>
      <c r="G7" s="41"/>
      <c r="H7" s="41"/>
      <c r="I7" s="41"/>
      <c r="J7" s="150"/>
      <c r="K7" s="153"/>
      <c r="L7" s="153"/>
      <c r="M7" s="151"/>
      <c r="N7" s="151"/>
      <c r="O7" s="150"/>
    </row>
    <row r="8" spans="1:15">
      <c r="A8" s="41"/>
      <c r="C8" t="s">
        <v>102</v>
      </c>
      <c r="D8" s="140">
        <v>19</v>
      </c>
      <c r="E8" s="41"/>
      <c r="F8" s="41"/>
      <c r="G8" s="41" t="s">
        <v>45</v>
      </c>
      <c r="H8" s="142">
        <v>1</v>
      </c>
      <c r="I8" s="41"/>
      <c r="J8" s="150"/>
      <c r="K8" s="153"/>
      <c r="L8" s="153"/>
      <c r="M8" s="151"/>
      <c r="N8" s="151"/>
      <c r="O8" s="150"/>
    </row>
    <row r="9" spans="1:15">
      <c r="A9" s="41"/>
      <c r="B9" t="s">
        <v>100</v>
      </c>
      <c r="D9" s="41"/>
      <c r="E9" s="41"/>
      <c r="F9" s="41" t="s">
        <v>43</v>
      </c>
      <c r="G9" s="41"/>
      <c r="H9" s="41"/>
      <c r="I9" s="41"/>
      <c r="J9" s="150"/>
      <c r="K9" s="153"/>
      <c r="L9" s="153"/>
      <c r="M9" s="151"/>
      <c r="N9" s="151"/>
      <c r="O9" s="150"/>
    </row>
    <row r="10" spans="1:15">
      <c r="A10" s="41"/>
      <c r="C10" t="s">
        <v>103</v>
      </c>
      <c r="D10" s="140">
        <v>1</v>
      </c>
      <c r="E10" s="41"/>
      <c r="F10" s="41"/>
      <c r="G10" s="41" t="s">
        <v>46</v>
      </c>
      <c r="H10" s="45">
        <v>5000</v>
      </c>
      <c r="I10" s="41"/>
      <c r="J10" s="150"/>
      <c r="K10" s="153"/>
      <c r="L10" s="153"/>
      <c r="M10" s="151"/>
      <c r="N10" s="151"/>
      <c r="O10" s="150"/>
    </row>
    <row r="11" spans="1:15">
      <c r="A11" s="41"/>
      <c r="B11" t="s">
        <v>110</v>
      </c>
      <c r="D11" s="41"/>
      <c r="E11" s="41"/>
      <c r="F11" s="41" t="s">
        <v>83</v>
      </c>
      <c r="G11" s="41"/>
      <c r="H11" s="41"/>
      <c r="I11" s="41"/>
      <c r="J11" s="150"/>
      <c r="K11" s="153"/>
      <c r="L11" s="153"/>
      <c r="M11" s="151"/>
      <c r="N11" s="151"/>
      <c r="O11" s="150"/>
    </row>
    <row r="12" spans="1:15">
      <c r="A12" s="41"/>
      <c r="C12" t="s">
        <v>107</v>
      </c>
      <c r="D12" s="140">
        <v>0</v>
      </c>
      <c r="E12" s="41"/>
      <c r="F12" s="41"/>
      <c r="G12" s="49" t="s">
        <v>47</v>
      </c>
      <c r="H12" s="141">
        <v>3</v>
      </c>
      <c r="I12" s="41"/>
      <c r="J12" s="150"/>
      <c r="K12" s="153"/>
      <c r="L12" s="153"/>
      <c r="M12" s="151"/>
      <c r="N12" s="151"/>
      <c r="O12" s="150"/>
    </row>
    <row r="13" spans="1:15">
      <c r="A13" s="41"/>
      <c r="B13" t="s">
        <v>106</v>
      </c>
      <c r="D13" s="41"/>
      <c r="E13" s="41"/>
      <c r="F13" s="41" t="s">
        <v>51</v>
      </c>
      <c r="G13" s="41"/>
      <c r="H13" s="41"/>
      <c r="I13" s="41"/>
      <c r="J13" s="150"/>
      <c r="K13" s="153"/>
      <c r="L13" s="153"/>
      <c r="M13" s="151"/>
      <c r="N13" s="151"/>
      <c r="O13" s="150"/>
    </row>
    <row r="14" spans="1:15">
      <c r="A14" s="41"/>
      <c r="C14" t="s">
        <v>109</v>
      </c>
      <c r="D14" s="142">
        <v>16</v>
      </c>
      <c r="E14" s="41"/>
      <c r="F14" s="41"/>
      <c r="G14" s="41" t="s">
        <v>52</v>
      </c>
      <c r="H14" s="45">
        <f>+表紙!S9</f>
        <v>1</v>
      </c>
      <c r="I14" s="41"/>
      <c r="J14" s="150"/>
      <c r="K14" s="153"/>
      <c r="L14" s="153"/>
      <c r="M14" s="151"/>
      <c r="N14" s="151"/>
      <c r="O14" s="150"/>
    </row>
    <row r="15" spans="1:15">
      <c r="A15" s="41"/>
      <c r="B15" t="s">
        <v>207</v>
      </c>
      <c r="D15" s="41"/>
      <c r="E15" s="41"/>
      <c r="F15" s="41" t="s">
        <v>53</v>
      </c>
      <c r="G15" s="41"/>
      <c r="H15" s="41"/>
      <c r="I15" s="41"/>
      <c r="J15" s="150"/>
      <c r="K15" s="153"/>
      <c r="L15" s="153"/>
      <c r="M15" s="151"/>
      <c r="N15" s="151"/>
      <c r="O15" s="150"/>
    </row>
    <row r="16" spans="1:15">
      <c r="A16" s="41"/>
      <c r="C16" t="s">
        <v>199</v>
      </c>
      <c r="D16" s="45">
        <v>1</v>
      </c>
      <c r="E16" s="41"/>
      <c r="F16" s="41"/>
      <c r="G16" s="41" t="s">
        <v>208</v>
      </c>
      <c r="H16" s="142">
        <v>2</v>
      </c>
      <c r="I16" s="41"/>
      <c r="J16" s="150"/>
      <c r="K16" s="153"/>
      <c r="L16" s="153"/>
      <c r="M16" s="151"/>
      <c r="N16" s="151"/>
      <c r="O16" s="150"/>
    </row>
    <row r="17" spans="1:15">
      <c r="A17" s="41"/>
      <c r="B17" t="s">
        <v>200</v>
      </c>
      <c r="D17" s="41"/>
      <c r="E17" s="41"/>
      <c r="F17" s="41" t="s">
        <v>54</v>
      </c>
      <c r="G17" s="41"/>
      <c r="H17" s="143"/>
      <c r="I17" s="41"/>
      <c r="J17" s="150"/>
      <c r="K17" s="153"/>
      <c r="L17" s="153"/>
      <c r="M17" s="151"/>
      <c r="N17" s="151"/>
      <c r="O17" s="150"/>
    </row>
    <row r="18" spans="1:15">
      <c r="A18" s="41"/>
      <c r="C18" t="s">
        <v>201</v>
      </c>
      <c r="D18" s="222"/>
      <c r="E18" s="41"/>
      <c r="F18" s="41"/>
      <c r="G18" s="41" t="s">
        <v>55</v>
      </c>
      <c r="H18" s="142">
        <f>工事2!J2</f>
        <v>15</v>
      </c>
      <c r="I18" s="41"/>
      <c r="J18" s="150"/>
      <c r="K18" s="153"/>
      <c r="L18" s="153"/>
      <c r="M18" s="151"/>
      <c r="N18" s="151"/>
      <c r="O18" s="150"/>
    </row>
    <row r="19" spans="1:15">
      <c r="A19" s="41"/>
      <c r="C19" t="s">
        <v>202</v>
      </c>
      <c r="D19" s="222"/>
      <c r="E19" s="41"/>
      <c r="F19" s="41" t="s">
        <v>57</v>
      </c>
      <c r="G19" s="41"/>
      <c r="H19" s="143"/>
      <c r="I19" s="41"/>
      <c r="J19" s="150"/>
      <c r="K19" s="153"/>
      <c r="L19" s="153"/>
      <c r="M19" s="151"/>
      <c r="N19" s="151"/>
      <c r="O19" s="150"/>
    </row>
    <row r="20" spans="1:15">
      <c r="A20" s="41"/>
      <c r="D20" s="41"/>
      <c r="E20" s="41"/>
      <c r="F20" s="41"/>
      <c r="G20" s="41" t="s">
        <v>58</v>
      </c>
      <c r="H20" s="142">
        <f>COUNTA(代価一覧!C2:C65536)</f>
        <v>12</v>
      </c>
      <c r="I20" s="41"/>
    </row>
    <row r="21" spans="1:15">
      <c r="A21" s="41"/>
      <c r="D21" s="41"/>
      <c r="E21" s="41"/>
      <c r="F21" s="44" t="s">
        <v>116</v>
      </c>
      <c r="G21" s="44"/>
      <c r="H21" s="42" t="str">
        <f>+表紙!W8</f>
        <v>変更諸経費表2018.xls</v>
      </c>
      <c r="I21" s="41"/>
    </row>
    <row r="22" spans="1:15">
      <c r="A22" s="41"/>
      <c r="D22" s="41"/>
      <c r="E22" s="41"/>
      <c r="F22" s="48" t="s">
        <v>117</v>
      </c>
      <c r="G22" s="44"/>
      <c r="H22" s="43" t="str">
        <f>+表紙!W9</f>
        <v>c:\積算\</v>
      </c>
      <c r="I22" s="41"/>
    </row>
    <row r="23" spans="1:15" ht="17.25">
      <c r="A23" s="41"/>
      <c r="D23" s="41"/>
      <c r="E23" s="41"/>
      <c r="F23" s="41"/>
      <c r="G23" s="41"/>
      <c r="H23" s="80"/>
      <c r="I23" s="41"/>
    </row>
    <row r="24" spans="1:15">
      <c r="A24" s="41"/>
      <c r="B24" t="s">
        <v>204</v>
      </c>
      <c r="E24" s="41"/>
      <c r="F24" s="41" t="s">
        <v>63</v>
      </c>
      <c r="G24" s="41"/>
      <c r="H24" s="41"/>
      <c r="I24" s="41"/>
    </row>
    <row r="25" spans="1:15">
      <c r="A25" s="41"/>
      <c r="C25" t="s">
        <v>203</v>
      </c>
      <c r="D25" s="140">
        <v>9</v>
      </c>
      <c r="E25" s="41"/>
      <c r="F25" s="41"/>
      <c r="G25" s="41" t="s">
        <v>64</v>
      </c>
      <c r="H25" s="45" t="s">
        <v>288</v>
      </c>
      <c r="I25" s="41"/>
    </row>
    <row r="26" spans="1:15">
      <c r="A26" s="41"/>
      <c r="B26" t="s">
        <v>205</v>
      </c>
      <c r="E26" s="41"/>
      <c r="F26" s="41" t="s">
        <v>123</v>
      </c>
      <c r="G26" s="41"/>
      <c r="H26" s="41"/>
      <c r="I26" s="41"/>
    </row>
    <row r="27" spans="1:15" ht="14.25" thickBot="1">
      <c r="A27" s="41"/>
      <c r="C27" t="s">
        <v>203</v>
      </c>
      <c r="D27" s="140" t="s">
        <v>206</v>
      </c>
      <c r="E27" s="41"/>
      <c r="F27" s="41"/>
      <c r="G27" s="154" t="s">
        <v>122</v>
      </c>
      <c r="H27" s="108" t="e">
        <f>SUM(H9:H26)+H4</f>
        <v>#VALUE!</v>
      </c>
      <c r="I27" s="108">
        <f>SUM(I9:I26)+I4</f>
        <v>0</v>
      </c>
      <c r="J27" s="824">
        <f>IF(B8="部分撤去工事",(J4+K27),0)</f>
        <v>0</v>
      </c>
      <c r="K27" s="823">
        <f>IF(B8="部分撤去工事",SUMIF(M9:M26,"費用",H9:H26),0)</f>
        <v>0</v>
      </c>
    </row>
    <row r="28" spans="1:15">
      <c r="A28" s="41"/>
      <c r="D28" s="41"/>
      <c r="E28" s="41"/>
      <c r="F28" s="41" t="s">
        <v>84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85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118</v>
      </c>
      <c r="G30" s="41"/>
      <c r="H30" s="41"/>
      <c r="I30" s="41"/>
    </row>
    <row r="31" spans="1:15">
      <c r="G31" s="41" t="s">
        <v>119</v>
      </c>
      <c r="H31" s="387" t="s">
        <v>2519</v>
      </c>
    </row>
    <row r="32" spans="1:15">
      <c r="G32" s="41" t="s">
        <v>120</v>
      </c>
      <c r="H32" s="387" t="s">
        <v>2520</v>
      </c>
    </row>
    <row r="33" spans="7:8">
      <c r="G33" s="41" t="s">
        <v>121</v>
      </c>
      <c r="H33" s="387" t="s">
        <v>2521</v>
      </c>
    </row>
    <row r="35" spans="7:8">
      <c r="G35" s="41"/>
    </row>
    <row r="50" spans="1:34" s="1" customFormat="1" ht="26.1" customHeight="1" thickBot="1">
      <c r="A50" s="6"/>
      <c r="B50" s="6"/>
      <c r="C50" s="2615" t="s">
        <v>333</v>
      </c>
      <c r="D50" s="2615"/>
      <c r="E50" s="2615"/>
      <c r="F50" s="2615"/>
      <c r="G50" s="2615"/>
      <c r="H50" s="2615"/>
      <c r="I50" s="2615"/>
      <c r="J50" s="2615"/>
      <c r="K50" s="2615"/>
      <c r="L50" s="2615"/>
      <c r="O50" s="2616" t="s">
        <v>134</v>
      </c>
      <c r="P50" s="2616"/>
      <c r="Q50" s="2616"/>
      <c r="R50" s="2616"/>
      <c r="S50" s="2616"/>
      <c r="T50" s="2616"/>
      <c r="U50" s="2616"/>
      <c r="V50" s="2616"/>
      <c r="W50" s="2616"/>
      <c r="X50" s="2616"/>
      <c r="Y50" s="2616"/>
      <c r="Z50" s="2616"/>
      <c r="AA50" s="2616"/>
      <c r="AB50" s="2616"/>
      <c r="AC50" s="2616"/>
      <c r="AD50" s="2616"/>
      <c r="AE50" s="2616"/>
      <c r="AF50" s="2616"/>
      <c r="AG50" s="2616"/>
      <c r="AH50" s="2617"/>
    </row>
    <row r="51" spans="1:34" s="1" customFormat="1" ht="41.25" customHeight="1">
      <c r="A51" s="5" t="s">
        <v>12</v>
      </c>
      <c r="B51" s="5" t="s">
        <v>44</v>
      </c>
      <c r="C51" s="113" t="s">
        <v>0</v>
      </c>
      <c r="D51" s="109"/>
      <c r="E51" s="110" t="s">
        <v>1</v>
      </c>
      <c r="F51" s="111" t="s">
        <v>2</v>
      </c>
      <c r="G51" s="111" t="s">
        <v>3</v>
      </c>
      <c r="H51" s="112" t="s">
        <v>4</v>
      </c>
      <c r="I51" s="112" t="s">
        <v>5</v>
      </c>
      <c r="J51" s="2612" t="s">
        <v>6</v>
      </c>
      <c r="K51" s="2613"/>
      <c r="L51" s="2614"/>
      <c r="M51" s="521"/>
      <c r="N51" s="522" t="s">
        <v>390</v>
      </c>
      <c r="O51" s="157" t="s">
        <v>67</v>
      </c>
      <c r="P51" s="386" t="s">
        <v>316</v>
      </c>
      <c r="Q51" s="275" t="s">
        <v>317</v>
      </c>
      <c r="R51" s="275" t="s">
        <v>218</v>
      </c>
      <c r="S51" s="275" t="s">
        <v>219</v>
      </c>
      <c r="T51" s="275" t="s">
        <v>318</v>
      </c>
      <c r="U51" s="275" t="s">
        <v>128</v>
      </c>
      <c r="V51" s="156" t="s">
        <v>127</v>
      </c>
      <c r="W51" s="275" t="s">
        <v>324</v>
      </c>
      <c r="X51" s="223" t="s">
        <v>220</v>
      </c>
      <c r="Y51" s="223" t="s">
        <v>221</v>
      </c>
      <c r="Z51" s="223" t="s">
        <v>222</v>
      </c>
      <c r="AA51" s="223" t="s">
        <v>223</v>
      </c>
      <c r="AB51" s="223" t="s">
        <v>325</v>
      </c>
      <c r="AC51" s="458" t="s">
        <v>326</v>
      </c>
      <c r="AD51" s="459" t="s">
        <v>327</v>
      </c>
      <c r="AE51" s="460" t="s">
        <v>130</v>
      </c>
      <c r="AF51" s="155" t="s">
        <v>328</v>
      </c>
      <c r="AG51" s="155" t="s">
        <v>329</v>
      </c>
      <c r="AH51" s="155" t="s">
        <v>132</v>
      </c>
    </row>
    <row r="52" spans="1:34" s="1" customFormat="1" ht="24" customHeight="1">
      <c r="A52" s="38"/>
      <c r="B52" s="38"/>
      <c r="C52" s="132"/>
      <c r="D52" s="133"/>
      <c r="E52" s="134"/>
      <c r="F52" s="272"/>
      <c r="G52" s="101"/>
      <c r="H52" s="93" t="s">
        <v>11</v>
      </c>
      <c r="I52" s="93" t="s">
        <v>11</v>
      </c>
      <c r="J52" s="2609"/>
      <c r="K52" s="2610"/>
      <c r="L52" s="2611"/>
      <c r="M52" s="523"/>
      <c r="N52" s="524"/>
      <c r="O52" s="226"/>
      <c r="P52" s="227"/>
      <c r="Q52" s="228"/>
      <c r="R52" s="228"/>
      <c r="S52" s="228"/>
      <c r="T52" s="228"/>
      <c r="U52" s="228"/>
      <c r="V52" s="228"/>
      <c r="W52" s="228"/>
      <c r="X52" s="229"/>
      <c r="Y52" s="229"/>
      <c r="Z52" s="229"/>
      <c r="AA52" s="229"/>
      <c r="AB52" s="229"/>
      <c r="AC52" s="228"/>
      <c r="AD52" s="461"/>
      <c r="AE52" s="462"/>
      <c r="AF52" s="228"/>
      <c r="AG52" s="228"/>
      <c r="AH52" s="463"/>
    </row>
    <row r="53" spans="1:34" s="39" customFormat="1" ht="24" customHeight="1">
      <c r="A53" s="38"/>
      <c r="B53" s="38"/>
      <c r="C53" s="128"/>
      <c r="D53" s="129"/>
      <c r="E53" s="117"/>
      <c r="F53" s="273"/>
      <c r="G53" s="118"/>
      <c r="H53" s="135"/>
      <c r="I53" s="104" t="str">
        <f t="shared" ref="I53:I70" si="0">IF(F53="","",INT(F53*H53))</f>
        <v/>
      </c>
      <c r="J53" s="64"/>
      <c r="K53" s="65"/>
      <c r="L53" s="66"/>
      <c r="M53" s="525"/>
      <c r="N53" s="520"/>
      <c r="O53" s="226"/>
      <c r="P53" s="227"/>
      <c r="Q53" s="228"/>
      <c r="R53" s="228"/>
      <c r="S53" s="228"/>
      <c r="T53" s="228"/>
      <c r="U53" s="228"/>
      <c r="V53" s="228"/>
      <c r="W53" s="228"/>
      <c r="X53" s="229"/>
      <c r="Y53" s="229"/>
      <c r="Z53" s="229"/>
      <c r="AA53" s="229"/>
      <c r="AB53" s="229"/>
      <c r="AC53" s="228"/>
      <c r="AD53" s="461"/>
      <c r="AE53" s="462"/>
      <c r="AF53" s="228"/>
      <c r="AG53" s="228"/>
      <c r="AH53" s="216"/>
    </row>
    <row r="54" spans="1:34" s="39" customFormat="1" ht="24" customHeight="1">
      <c r="A54" s="38"/>
      <c r="B54" s="38"/>
      <c r="C54" s="128"/>
      <c r="D54" s="129"/>
      <c r="E54" s="117"/>
      <c r="F54" s="273"/>
      <c r="G54" s="118"/>
      <c r="H54" s="135"/>
      <c r="I54" s="104" t="str">
        <f t="shared" si="0"/>
        <v/>
      </c>
      <c r="J54" s="64"/>
      <c r="K54" s="65"/>
      <c r="L54" s="66"/>
      <c r="M54" s="525"/>
      <c r="N54" s="520"/>
      <c r="O54" s="226"/>
      <c r="P54" s="227"/>
      <c r="Q54" s="228"/>
      <c r="R54" s="228"/>
      <c r="S54" s="228"/>
      <c r="T54" s="228"/>
      <c r="U54" s="228"/>
      <c r="V54" s="228"/>
      <c r="W54" s="228"/>
      <c r="X54" s="229"/>
      <c r="Y54" s="229"/>
      <c r="Z54" s="229"/>
      <c r="AA54" s="229"/>
      <c r="AB54" s="229"/>
      <c r="AC54" s="228"/>
      <c r="AD54" s="461"/>
      <c r="AE54" s="462"/>
      <c r="AF54" s="228"/>
      <c r="AG54" s="228"/>
      <c r="AH54" s="216"/>
    </row>
    <row r="55" spans="1:34" s="39" customFormat="1" ht="24" customHeight="1">
      <c r="A55" s="38"/>
      <c r="B55" s="38"/>
      <c r="C55" s="128"/>
      <c r="D55" s="129"/>
      <c r="E55" s="117"/>
      <c r="F55" s="273"/>
      <c r="G55" s="118"/>
      <c r="H55" s="135"/>
      <c r="I55" s="104" t="str">
        <f t="shared" si="0"/>
        <v/>
      </c>
      <c r="J55" s="64"/>
      <c r="K55" s="65"/>
      <c r="L55" s="66"/>
      <c r="M55" s="525"/>
      <c r="N55" s="520"/>
      <c r="O55" s="226"/>
      <c r="P55" s="227"/>
      <c r="Q55" s="228"/>
      <c r="R55" s="228"/>
      <c r="S55" s="228"/>
      <c r="T55" s="228"/>
      <c r="U55" s="228"/>
      <c r="V55" s="228"/>
      <c r="W55" s="228"/>
      <c r="X55" s="229"/>
      <c r="Y55" s="229"/>
      <c r="Z55" s="229"/>
      <c r="AA55" s="229"/>
      <c r="AB55" s="229"/>
      <c r="AC55" s="228"/>
      <c r="AD55" s="461"/>
      <c r="AE55" s="462"/>
      <c r="AF55" s="228"/>
      <c r="AG55" s="228"/>
      <c r="AH55" s="216"/>
    </row>
    <row r="56" spans="1:34" s="39" customFormat="1" ht="24" customHeight="1">
      <c r="A56" s="38"/>
      <c r="B56" s="38"/>
      <c r="C56" s="128"/>
      <c r="D56" s="129"/>
      <c r="E56" s="117"/>
      <c r="F56" s="273"/>
      <c r="G56" s="118"/>
      <c r="H56" s="135"/>
      <c r="I56" s="104" t="str">
        <f t="shared" si="0"/>
        <v/>
      </c>
      <c r="J56" s="64"/>
      <c r="K56" s="65"/>
      <c r="L56" s="66"/>
      <c r="M56" s="525"/>
      <c r="N56" s="520"/>
      <c r="O56" s="226"/>
      <c r="P56" s="227"/>
      <c r="Q56" s="228"/>
      <c r="R56" s="228"/>
      <c r="S56" s="228"/>
      <c r="T56" s="228"/>
      <c r="U56" s="228"/>
      <c r="V56" s="228"/>
      <c r="W56" s="228"/>
      <c r="X56" s="229"/>
      <c r="Y56" s="229"/>
      <c r="Z56" s="229"/>
      <c r="AA56" s="229"/>
      <c r="AB56" s="229"/>
      <c r="AC56" s="228"/>
      <c r="AD56" s="461"/>
      <c r="AE56" s="462"/>
      <c r="AF56" s="228"/>
      <c r="AG56" s="228"/>
      <c r="AH56" s="216"/>
    </row>
    <row r="57" spans="1:34" s="39" customFormat="1" ht="24" customHeight="1">
      <c r="A57" s="38"/>
      <c r="B57" s="38"/>
      <c r="C57" s="128"/>
      <c r="D57" s="129"/>
      <c r="E57" s="117"/>
      <c r="F57" s="273"/>
      <c r="G57" s="118"/>
      <c r="H57" s="135"/>
      <c r="I57" s="104" t="str">
        <f t="shared" si="0"/>
        <v/>
      </c>
      <c r="J57" s="64"/>
      <c r="K57" s="65"/>
      <c r="L57" s="66"/>
      <c r="M57" s="525"/>
      <c r="N57" s="520"/>
      <c r="O57" s="226"/>
      <c r="P57" s="227"/>
      <c r="Q57" s="228"/>
      <c r="R57" s="228"/>
      <c r="S57" s="228"/>
      <c r="T57" s="228"/>
      <c r="U57" s="228"/>
      <c r="V57" s="228"/>
      <c r="W57" s="228"/>
      <c r="X57" s="229"/>
      <c r="Y57" s="229"/>
      <c r="Z57" s="229"/>
      <c r="AA57" s="229"/>
      <c r="AB57" s="229"/>
      <c r="AC57" s="228"/>
      <c r="AD57" s="461"/>
      <c r="AE57" s="462"/>
      <c r="AF57" s="228"/>
      <c r="AG57" s="228"/>
      <c r="AH57" s="216"/>
    </row>
    <row r="58" spans="1:34" s="39" customFormat="1" ht="24" customHeight="1">
      <c r="A58" s="38"/>
      <c r="B58" s="38"/>
      <c r="C58" s="128"/>
      <c r="D58" s="129"/>
      <c r="E58" s="117"/>
      <c r="F58" s="273"/>
      <c r="G58" s="118"/>
      <c r="H58" s="135"/>
      <c r="I58" s="104" t="str">
        <f t="shared" si="0"/>
        <v/>
      </c>
      <c r="J58" s="64"/>
      <c r="K58" s="65"/>
      <c r="L58" s="66"/>
      <c r="M58" s="525"/>
      <c r="N58" s="520"/>
      <c r="O58" s="226"/>
      <c r="P58" s="227"/>
      <c r="Q58" s="228"/>
      <c r="R58" s="228"/>
      <c r="S58" s="228"/>
      <c r="T58" s="228"/>
      <c r="U58" s="228"/>
      <c r="V58" s="228"/>
      <c r="W58" s="228"/>
      <c r="X58" s="229"/>
      <c r="Y58" s="229"/>
      <c r="Z58" s="229"/>
      <c r="AA58" s="229"/>
      <c r="AB58" s="229"/>
      <c r="AC58" s="228"/>
      <c r="AD58" s="461"/>
      <c r="AE58" s="462"/>
      <c r="AF58" s="228"/>
      <c r="AG58" s="228"/>
      <c r="AH58" s="216"/>
    </row>
    <row r="59" spans="1:34" s="39" customFormat="1" ht="24" customHeight="1">
      <c r="A59" s="38"/>
      <c r="B59" s="38"/>
      <c r="C59" s="128"/>
      <c r="D59" s="129"/>
      <c r="E59" s="117"/>
      <c r="F59" s="273"/>
      <c r="G59" s="118"/>
      <c r="H59" s="135"/>
      <c r="I59" s="104" t="str">
        <f t="shared" si="0"/>
        <v/>
      </c>
      <c r="J59" s="64"/>
      <c r="K59" s="65"/>
      <c r="L59" s="66"/>
      <c r="M59" s="525"/>
      <c r="N59" s="520"/>
      <c r="O59" s="226"/>
      <c r="P59" s="227"/>
      <c r="Q59" s="228"/>
      <c r="R59" s="228"/>
      <c r="S59" s="228"/>
      <c r="T59" s="228"/>
      <c r="U59" s="228"/>
      <c r="V59" s="228"/>
      <c r="W59" s="228"/>
      <c r="X59" s="229"/>
      <c r="Y59" s="229"/>
      <c r="Z59" s="229"/>
      <c r="AA59" s="229"/>
      <c r="AB59" s="229"/>
      <c r="AC59" s="228"/>
      <c r="AD59" s="461"/>
      <c r="AE59" s="462"/>
      <c r="AF59" s="228"/>
      <c r="AG59" s="228"/>
      <c r="AH59" s="216"/>
    </row>
    <row r="60" spans="1:34" s="39" customFormat="1" ht="24" customHeight="1">
      <c r="A60" s="38"/>
      <c r="B60" s="38"/>
      <c r="C60" s="128"/>
      <c r="D60" s="129"/>
      <c r="E60" s="117"/>
      <c r="F60" s="273"/>
      <c r="G60" s="118"/>
      <c r="H60" s="135"/>
      <c r="I60" s="104" t="str">
        <f t="shared" si="0"/>
        <v/>
      </c>
      <c r="J60" s="64"/>
      <c r="K60" s="65"/>
      <c r="L60" s="66"/>
      <c r="M60" s="525"/>
      <c r="N60" s="520"/>
      <c r="O60" s="226"/>
      <c r="P60" s="227"/>
      <c r="Q60" s="228"/>
      <c r="R60" s="228"/>
      <c r="S60" s="228"/>
      <c r="T60" s="228"/>
      <c r="U60" s="228"/>
      <c r="V60" s="228"/>
      <c r="W60" s="228"/>
      <c r="X60" s="229"/>
      <c r="Y60" s="229"/>
      <c r="Z60" s="229"/>
      <c r="AA60" s="229"/>
      <c r="AB60" s="229"/>
      <c r="AC60" s="228"/>
      <c r="AD60" s="461"/>
      <c r="AE60" s="462"/>
      <c r="AF60" s="228"/>
      <c r="AG60" s="228"/>
      <c r="AH60" s="216"/>
    </row>
    <row r="61" spans="1:34" s="39" customFormat="1" ht="24" customHeight="1">
      <c r="A61" s="38"/>
      <c r="B61" s="38"/>
      <c r="C61" s="128"/>
      <c r="D61" s="129"/>
      <c r="E61" s="117"/>
      <c r="F61" s="273"/>
      <c r="G61" s="118"/>
      <c r="H61" s="135"/>
      <c r="I61" s="104" t="str">
        <f t="shared" si="0"/>
        <v/>
      </c>
      <c r="J61" s="64"/>
      <c r="K61" s="65"/>
      <c r="L61" s="66"/>
      <c r="M61" s="525"/>
      <c r="N61" s="520"/>
      <c r="O61" s="226"/>
      <c r="P61" s="227"/>
      <c r="Q61" s="228"/>
      <c r="R61" s="228"/>
      <c r="S61" s="228"/>
      <c r="T61" s="228"/>
      <c r="U61" s="228"/>
      <c r="V61" s="228"/>
      <c r="W61" s="228"/>
      <c r="X61" s="229"/>
      <c r="Y61" s="229"/>
      <c r="Z61" s="229"/>
      <c r="AA61" s="229"/>
      <c r="AB61" s="229"/>
      <c r="AC61" s="228"/>
      <c r="AD61" s="461"/>
      <c r="AE61" s="462"/>
      <c r="AF61" s="228"/>
      <c r="AG61" s="228"/>
      <c r="AH61" s="216"/>
    </row>
    <row r="62" spans="1:34" s="39" customFormat="1" ht="24" customHeight="1">
      <c r="A62" s="38"/>
      <c r="B62" s="38"/>
      <c r="C62" s="128"/>
      <c r="D62" s="129"/>
      <c r="E62" s="117"/>
      <c r="F62" s="273"/>
      <c r="G62" s="118"/>
      <c r="H62" s="135"/>
      <c r="I62" s="104" t="str">
        <f t="shared" si="0"/>
        <v/>
      </c>
      <c r="J62" s="64"/>
      <c r="K62" s="65"/>
      <c r="L62" s="66"/>
      <c r="M62" s="525"/>
      <c r="N62" s="520"/>
      <c r="O62" s="226"/>
      <c r="P62" s="227"/>
      <c r="Q62" s="228"/>
      <c r="R62" s="228"/>
      <c r="S62" s="228"/>
      <c r="T62" s="228"/>
      <c r="U62" s="228"/>
      <c r="V62" s="228"/>
      <c r="W62" s="228"/>
      <c r="X62" s="229"/>
      <c r="Y62" s="229"/>
      <c r="Z62" s="229"/>
      <c r="AA62" s="229"/>
      <c r="AB62" s="229"/>
      <c r="AC62" s="228"/>
      <c r="AD62" s="461"/>
      <c r="AE62" s="462"/>
      <c r="AF62" s="228"/>
      <c r="AG62" s="228"/>
      <c r="AH62" s="216"/>
    </row>
    <row r="63" spans="1:34" s="39" customFormat="1" ht="24" customHeight="1">
      <c r="A63" s="38"/>
      <c r="B63" s="38"/>
      <c r="C63" s="128"/>
      <c r="D63" s="129"/>
      <c r="E63" s="117"/>
      <c r="F63" s="273"/>
      <c r="G63" s="118"/>
      <c r="H63" s="135"/>
      <c r="I63" s="104" t="str">
        <f t="shared" si="0"/>
        <v/>
      </c>
      <c r="J63" s="64"/>
      <c r="K63" s="65"/>
      <c r="L63" s="66"/>
      <c r="M63" s="525"/>
      <c r="N63" s="520"/>
      <c r="O63" s="226"/>
      <c r="P63" s="227"/>
      <c r="Q63" s="228"/>
      <c r="R63" s="228"/>
      <c r="S63" s="228"/>
      <c r="T63" s="228"/>
      <c r="U63" s="228"/>
      <c r="V63" s="228"/>
      <c r="W63" s="228"/>
      <c r="X63" s="229"/>
      <c r="Y63" s="229"/>
      <c r="Z63" s="229"/>
      <c r="AA63" s="229"/>
      <c r="AB63" s="229"/>
      <c r="AC63" s="228"/>
      <c r="AD63" s="461"/>
      <c r="AE63" s="462"/>
      <c r="AF63" s="228"/>
      <c r="AG63" s="228"/>
      <c r="AH63" s="216"/>
    </row>
    <row r="64" spans="1:34" s="39" customFormat="1" ht="24" customHeight="1">
      <c r="A64" s="38"/>
      <c r="B64" s="38"/>
      <c r="C64" s="128"/>
      <c r="D64" s="129"/>
      <c r="E64" s="117"/>
      <c r="F64" s="273"/>
      <c r="G64" s="118"/>
      <c r="H64" s="135"/>
      <c r="I64" s="104" t="str">
        <f t="shared" si="0"/>
        <v/>
      </c>
      <c r="J64" s="64"/>
      <c r="K64" s="65"/>
      <c r="L64" s="66"/>
      <c r="M64" s="525"/>
      <c r="N64" s="520"/>
      <c r="O64" s="226"/>
      <c r="P64" s="227"/>
      <c r="Q64" s="228"/>
      <c r="R64" s="228"/>
      <c r="S64" s="228"/>
      <c r="T64" s="228"/>
      <c r="U64" s="228"/>
      <c r="V64" s="228"/>
      <c r="W64" s="228"/>
      <c r="X64" s="229"/>
      <c r="Y64" s="229"/>
      <c r="Z64" s="229"/>
      <c r="AA64" s="229"/>
      <c r="AB64" s="229"/>
      <c r="AC64" s="228"/>
      <c r="AD64" s="461"/>
      <c r="AE64" s="462"/>
      <c r="AF64" s="228"/>
      <c r="AG64" s="228"/>
      <c r="AH64" s="216"/>
    </row>
    <row r="65" spans="1:34" s="39" customFormat="1" ht="24" customHeight="1">
      <c r="A65" s="38"/>
      <c r="B65" s="38"/>
      <c r="C65" s="128"/>
      <c r="D65" s="129"/>
      <c r="E65" s="117"/>
      <c r="F65" s="273"/>
      <c r="G65" s="118"/>
      <c r="H65" s="135"/>
      <c r="I65" s="104" t="str">
        <f t="shared" si="0"/>
        <v/>
      </c>
      <c r="J65" s="64"/>
      <c r="K65" s="65"/>
      <c r="L65" s="66"/>
      <c r="M65" s="525"/>
      <c r="N65" s="520"/>
      <c r="O65" s="226"/>
      <c r="P65" s="227"/>
      <c r="Q65" s="228"/>
      <c r="R65" s="228"/>
      <c r="S65" s="228"/>
      <c r="T65" s="228"/>
      <c r="U65" s="228"/>
      <c r="V65" s="228"/>
      <c r="W65" s="228"/>
      <c r="X65" s="229"/>
      <c r="Y65" s="229"/>
      <c r="Z65" s="229"/>
      <c r="AA65" s="229"/>
      <c r="AB65" s="229"/>
      <c r="AC65" s="228"/>
      <c r="AD65" s="461"/>
      <c r="AE65" s="462"/>
      <c r="AF65" s="228"/>
      <c r="AG65" s="228"/>
      <c r="AH65" s="216"/>
    </row>
    <row r="66" spans="1:34" s="39" customFormat="1" ht="24" customHeight="1">
      <c r="A66" s="38"/>
      <c r="B66" s="38"/>
      <c r="C66" s="128"/>
      <c r="D66" s="129"/>
      <c r="E66" s="117"/>
      <c r="F66" s="273"/>
      <c r="G66" s="118"/>
      <c r="H66" s="135"/>
      <c r="I66" s="104" t="str">
        <f t="shared" si="0"/>
        <v/>
      </c>
      <c r="J66" s="64"/>
      <c r="K66" s="65"/>
      <c r="L66" s="66"/>
      <c r="M66" s="525"/>
      <c r="N66" s="520"/>
      <c r="O66" s="226"/>
      <c r="P66" s="227"/>
      <c r="Q66" s="228"/>
      <c r="R66" s="228"/>
      <c r="S66" s="228"/>
      <c r="T66" s="228"/>
      <c r="U66" s="228"/>
      <c r="V66" s="228"/>
      <c r="W66" s="228"/>
      <c r="X66" s="229"/>
      <c r="Y66" s="229"/>
      <c r="Z66" s="229"/>
      <c r="AA66" s="229"/>
      <c r="AB66" s="229"/>
      <c r="AC66" s="228"/>
      <c r="AD66" s="461"/>
      <c r="AE66" s="462"/>
      <c r="AF66" s="228"/>
      <c r="AG66" s="228"/>
      <c r="AH66" s="216"/>
    </row>
    <row r="67" spans="1:34" s="39" customFormat="1" ht="24" customHeight="1">
      <c r="A67" s="38"/>
      <c r="B67" s="38"/>
      <c r="C67" s="128"/>
      <c r="D67" s="129"/>
      <c r="E67" s="117"/>
      <c r="F67" s="273"/>
      <c r="G67" s="118"/>
      <c r="H67" s="135"/>
      <c r="I67" s="104" t="str">
        <f t="shared" si="0"/>
        <v/>
      </c>
      <c r="J67" s="64"/>
      <c r="K67" s="65"/>
      <c r="L67" s="66"/>
      <c r="M67" s="525"/>
      <c r="N67" s="520"/>
      <c r="O67" s="226"/>
      <c r="P67" s="227"/>
      <c r="Q67" s="228"/>
      <c r="R67" s="228"/>
      <c r="S67" s="228"/>
      <c r="T67" s="228"/>
      <c r="U67" s="228"/>
      <c r="V67" s="228"/>
      <c r="W67" s="228"/>
      <c r="X67" s="229"/>
      <c r="Y67" s="229"/>
      <c r="Z67" s="229"/>
      <c r="AA67" s="229"/>
      <c r="AB67" s="229"/>
      <c r="AC67" s="228"/>
      <c r="AD67" s="461"/>
      <c r="AE67" s="462"/>
      <c r="AF67" s="228"/>
      <c r="AG67" s="228"/>
      <c r="AH67" s="216"/>
    </row>
    <row r="68" spans="1:34" s="39" customFormat="1" ht="24" customHeight="1">
      <c r="A68" s="38"/>
      <c r="B68" s="38"/>
      <c r="C68" s="128"/>
      <c r="D68" s="129"/>
      <c r="E68" s="117"/>
      <c r="F68" s="273"/>
      <c r="G68" s="118"/>
      <c r="H68" s="135"/>
      <c r="I68" s="104" t="str">
        <f t="shared" si="0"/>
        <v/>
      </c>
      <c r="J68" s="64"/>
      <c r="K68" s="65"/>
      <c r="L68" s="66"/>
      <c r="M68" s="525"/>
      <c r="N68" s="520"/>
      <c r="O68" s="226"/>
      <c r="P68" s="227"/>
      <c r="Q68" s="228"/>
      <c r="R68" s="228"/>
      <c r="S68" s="228"/>
      <c r="T68" s="228"/>
      <c r="U68" s="228"/>
      <c r="V68" s="228"/>
      <c r="W68" s="228"/>
      <c r="X68" s="229"/>
      <c r="Y68" s="229"/>
      <c r="Z68" s="229"/>
      <c r="AA68" s="229"/>
      <c r="AB68" s="229"/>
      <c r="AC68" s="228"/>
      <c r="AD68" s="461"/>
      <c r="AE68" s="462"/>
      <c r="AF68" s="228"/>
      <c r="AG68" s="228"/>
      <c r="AH68" s="216"/>
    </row>
    <row r="69" spans="1:34" s="39" customFormat="1" ht="24" customHeight="1">
      <c r="A69" s="38"/>
      <c r="B69" s="38"/>
      <c r="C69" s="128"/>
      <c r="D69" s="129"/>
      <c r="E69" s="117"/>
      <c r="F69" s="273"/>
      <c r="G69" s="118"/>
      <c r="H69" s="135"/>
      <c r="I69" s="104" t="str">
        <f t="shared" si="0"/>
        <v/>
      </c>
      <c r="J69" s="64"/>
      <c r="K69" s="65"/>
      <c r="L69" s="66"/>
      <c r="M69" s="525"/>
      <c r="N69" s="520"/>
      <c r="O69" s="226"/>
      <c r="P69" s="227"/>
      <c r="Q69" s="228"/>
      <c r="R69" s="228"/>
      <c r="S69" s="228"/>
      <c r="T69" s="228"/>
      <c r="U69" s="228"/>
      <c r="V69" s="228"/>
      <c r="W69" s="228"/>
      <c r="X69" s="229"/>
      <c r="Y69" s="229"/>
      <c r="Z69" s="229"/>
      <c r="AA69" s="229"/>
      <c r="AB69" s="229"/>
      <c r="AC69" s="228"/>
      <c r="AD69" s="461"/>
      <c r="AE69" s="462"/>
      <c r="AF69" s="228"/>
      <c r="AG69" s="228"/>
      <c r="AH69" s="216"/>
    </row>
    <row r="70" spans="1:34" s="39" customFormat="1" ht="24" customHeight="1">
      <c r="A70" s="38"/>
      <c r="B70" s="38"/>
      <c r="C70" s="128"/>
      <c r="D70" s="129"/>
      <c r="E70" s="117"/>
      <c r="F70" s="273"/>
      <c r="G70" s="118"/>
      <c r="H70" s="135"/>
      <c r="I70" s="104" t="str">
        <f t="shared" si="0"/>
        <v/>
      </c>
      <c r="J70" s="64"/>
      <c r="K70" s="65"/>
      <c r="L70" s="66"/>
      <c r="M70" s="525"/>
      <c r="N70" s="520"/>
      <c r="O70" s="226"/>
      <c r="P70" s="227"/>
      <c r="Q70" s="228"/>
      <c r="R70" s="228"/>
      <c r="S70" s="228"/>
      <c r="T70" s="228"/>
      <c r="U70" s="228"/>
      <c r="V70" s="228"/>
      <c r="W70" s="228"/>
      <c r="X70" s="229"/>
      <c r="Y70" s="229"/>
      <c r="Z70" s="229"/>
      <c r="AA70" s="229"/>
      <c r="AB70" s="229"/>
      <c r="AC70" s="228"/>
      <c r="AD70" s="461"/>
      <c r="AE70" s="462"/>
      <c r="AF70" s="228"/>
      <c r="AG70" s="228"/>
      <c r="AH70" s="216"/>
    </row>
    <row r="71" spans="1:34" s="1" customFormat="1" ht="24" customHeight="1" thickBot="1">
      <c r="A71" s="38"/>
      <c r="B71" s="38"/>
      <c r="C71" s="106"/>
      <c r="D71" s="95" t="s">
        <v>8</v>
      </c>
      <c r="E71" s="107"/>
      <c r="F71" s="274"/>
      <c r="G71" s="121"/>
      <c r="H71" s="131" t="s">
        <v>90</v>
      </c>
      <c r="I71" s="108">
        <f>SUM(I53:I70)</f>
        <v>0</v>
      </c>
      <c r="J71" s="825" t="str">
        <f>IF(C52="部分撤去工事","）うち費用",")")</f>
        <v>)</v>
      </c>
      <c r="K71" s="824">
        <f>IF(C52="部分撤去工事",(K48+L71),0)</f>
        <v>0</v>
      </c>
      <c r="L71" s="823">
        <f>IF(C52="部分撤去工事",SUMIF(N53:N70,"費用",I53:I70),0)</f>
        <v>0</v>
      </c>
      <c r="M71" s="526"/>
      <c r="N71" s="527"/>
      <c r="O71" s="226"/>
      <c r="P71" s="227"/>
      <c r="Q71" s="228"/>
      <c r="R71" s="228"/>
      <c r="S71" s="228"/>
      <c r="T71" s="228"/>
      <c r="U71" s="228"/>
      <c r="V71" s="228"/>
      <c r="W71" s="228"/>
      <c r="X71" s="229"/>
      <c r="Y71" s="229"/>
      <c r="Z71" s="229"/>
      <c r="AA71" s="229"/>
      <c r="AB71" s="229"/>
      <c r="AC71" s="228"/>
      <c r="AD71" s="461"/>
      <c r="AE71" s="462"/>
      <c r="AF71" s="228"/>
      <c r="AG71" s="228"/>
      <c r="AH71" s="463"/>
    </row>
    <row r="72" spans="1:34" s="1" customFormat="1" ht="14.25" customHeight="1">
      <c r="A72" s="6"/>
      <c r="B72" s="6"/>
      <c r="E72" s="124" t="s">
        <v>88</v>
      </c>
      <c r="F72" s="125">
        <f>+F49+1</f>
        <v>1</v>
      </c>
      <c r="G72" s="126" t="s">
        <v>89</v>
      </c>
      <c r="H72" s="127">
        <f>+H49</f>
        <v>0</v>
      </c>
      <c r="I72" s="127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8"/>
      <c r="D76" s="129"/>
      <c r="E76" s="117"/>
      <c r="F76" s="273"/>
      <c r="G76" s="118"/>
      <c r="H76" s="130"/>
      <c r="I76" s="104" t="str">
        <f>IF(F76="","",ROUNDDOWN(F76*H76,0))</f>
        <v/>
      </c>
      <c r="J76" s="64"/>
      <c r="K76" s="65"/>
      <c r="L76" s="66"/>
      <c r="O76" s="226"/>
      <c r="P76" s="227"/>
      <c r="Q76" s="228"/>
      <c r="R76" s="228"/>
      <c r="S76" s="228"/>
      <c r="T76" s="228"/>
      <c r="U76" s="228"/>
      <c r="V76" s="228"/>
      <c r="W76" s="229"/>
      <c r="X76" s="229"/>
      <c r="Y76" s="229"/>
      <c r="Z76" s="229"/>
      <c r="AA76" s="231"/>
      <c r="AB76" s="230"/>
      <c r="AC76" s="228"/>
      <c r="AD76" s="228"/>
      <c r="AE76" s="228"/>
      <c r="AF76" s="228"/>
    </row>
    <row r="77" spans="1:34" s="39" customFormat="1" ht="24" customHeight="1">
      <c r="A77" s="38"/>
      <c r="B77" s="38"/>
      <c r="C77" s="128"/>
      <c r="D77" s="129" t="s">
        <v>8</v>
      </c>
      <c r="E77" s="117"/>
      <c r="F77" s="273"/>
      <c r="G77" s="118"/>
      <c r="H77" s="130" t="s">
        <v>65</v>
      </c>
      <c r="I77" s="104"/>
      <c r="J77" s="64" t="s">
        <v>66</v>
      </c>
      <c r="K77" s="65"/>
      <c r="L77" s="66"/>
      <c r="O77" s="226"/>
      <c r="P77" s="227"/>
      <c r="Q77" s="228"/>
      <c r="R77" s="228"/>
      <c r="S77" s="228"/>
      <c r="T77" s="228"/>
      <c r="U77" s="228"/>
      <c r="V77" s="228"/>
      <c r="W77" s="229"/>
      <c r="X77" s="229"/>
      <c r="Y77" s="229"/>
      <c r="Z77" s="229"/>
      <c r="AA77" s="231"/>
      <c r="AB77" s="230"/>
      <c r="AC77" s="228"/>
      <c r="AD77" s="228"/>
      <c r="AE77" s="228"/>
      <c r="AF77" s="228"/>
    </row>
    <row r="78" spans="1:34" s="39" customFormat="1" ht="24" customHeight="1">
      <c r="A78" s="38"/>
      <c r="B78" s="38"/>
      <c r="C78" s="128"/>
      <c r="D78" s="129"/>
      <c r="E78" s="117"/>
      <c r="F78" s="273"/>
      <c r="G78" s="118"/>
      <c r="H78" s="130"/>
      <c r="I78" s="104"/>
      <c r="J78" s="64"/>
      <c r="K78" s="65"/>
      <c r="L78" s="66"/>
      <c r="O78" s="226"/>
      <c r="P78" s="227"/>
      <c r="Q78" s="228"/>
      <c r="R78" s="228"/>
      <c r="S78" s="228"/>
      <c r="T78" s="228"/>
      <c r="U78" s="228"/>
      <c r="V78" s="228"/>
      <c r="W78" s="229"/>
      <c r="X78" s="229"/>
      <c r="Y78" s="229"/>
      <c r="Z78" s="229"/>
      <c r="AA78" s="231"/>
      <c r="AB78" s="230"/>
      <c r="AC78" s="228"/>
      <c r="AD78" s="228"/>
      <c r="AE78" s="228"/>
      <c r="AF78" s="228"/>
    </row>
    <row r="81" spans="1:15" s="20" customFormat="1" ht="20.100000000000001" customHeight="1" thickBot="1">
      <c r="A81" s="2742" t="s">
        <v>15</v>
      </c>
      <c r="B81" s="2742"/>
      <c r="C81" s="2742"/>
      <c r="D81" s="2742"/>
      <c r="E81" s="2742"/>
      <c r="F81" s="2742"/>
      <c r="G81" s="2742"/>
      <c r="H81" s="2742"/>
      <c r="I81" s="2742"/>
      <c r="J81" s="2742"/>
      <c r="K81" s="2742"/>
      <c r="L81" s="2742"/>
      <c r="M81" s="2742"/>
      <c r="N81" s="24" t="s">
        <v>87</v>
      </c>
      <c r="O81" s="220">
        <f>+O54</f>
        <v>0</v>
      </c>
    </row>
    <row r="82" spans="1:15" s="24" customFormat="1" ht="20.100000000000001" customHeight="1">
      <c r="A82" s="21"/>
      <c r="B82" s="22" t="s">
        <v>16</v>
      </c>
      <c r="C82" s="23" t="s">
        <v>18</v>
      </c>
      <c r="D82" s="23"/>
      <c r="E82" s="75"/>
      <c r="F82" s="55"/>
      <c r="G82" s="70"/>
      <c r="H82" s="2938" t="s">
        <v>242</v>
      </c>
      <c r="I82" s="2939"/>
      <c r="J82" s="2936" t="s">
        <v>243</v>
      </c>
      <c r="K82" s="2939"/>
      <c r="L82" s="2936" t="s">
        <v>244</v>
      </c>
      <c r="M82" s="2937"/>
      <c r="N82" s="2735" t="str">
        <f>IF(G133="",IF(O106=I106,H82,IF(O106=K106,J82,L82)),N109)</f>
        <v>C:</v>
      </c>
      <c r="O82" s="2736"/>
    </row>
    <row r="83" spans="1:15" s="24" customFormat="1" ht="20.100000000000001" customHeight="1" thickBot="1">
      <c r="A83" s="25" t="s">
        <v>245</v>
      </c>
      <c r="B83" s="26" t="s">
        <v>17</v>
      </c>
      <c r="C83" s="27" t="s">
        <v>17</v>
      </c>
      <c r="D83" s="27" t="s">
        <v>19</v>
      </c>
      <c r="E83" s="76" t="s">
        <v>20</v>
      </c>
      <c r="F83" s="56" t="s">
        <v>21</v>
      </c>
      <c r="G83" s="71" t="s">
        <v>22</v>
      </c>
      <c r="H83" s="467" t="s">
        <v>23</v>
      </c>
      <c r="I83" s="468" t="s">
        <v>24</v>
      </c>
      <c r="J83" s="469" t="s">
        <v>23</v>
      </c>
      <c r="K83" s="468" t="s">
        <v>24</v>
      </c>
      <c r="L83" s="469" t="s">
        <v>23</v>
      </c>
      <c r="M83" s="468" t="s">
        <v>24</v>
      </c>
      <c r="N83" s="467" t="s">
        <v>27</v>
      </c>
      <c r="O83" s="470" t="s">
        <v>28</v>
      </c>
    </row>
    <row r="84" spans="1:15" s="20" customFormat="1" ht="20.100000000000001" customHeight="1">
      <c r="A84" s="52"/>
      <c r="B84" s="87"/>
      <c r="C84" s="88"/>
      <c r="D84" s="67"/>
      <c r="E84" s="77"/>
      <c r="F84" s="57"/>
      <c r="G84" s="72"/>
      <c r="H84" s="471"/>
      <c r="I84" s="472" t="str">
        <f t="shared" ref="I84:I105" si="1">IF(H84="","",ROUNDDOWN(H84*F84,0))</f>
        <v/>
      </c>
      <c r="J84" s="473"/>
      <c r="K84" s="472" t="str">
        <f t="shared" ref="K84:K105" si="2">IF(J84="","",ROUNDDOWN(J84*$F84,0))</f>
        <v/>
      </c>
      <c r="L84" s="473"/>
      <c r="M84" s="474" t="str">
        <f t="shared" ref="M84:M105" si="3">IF(L84="","",ROUNDDOWN(L84*$F84,0))</f>
        <v/>
      </c>
      <c r="N84" s="471" t="str">
        <f>IF(F84="","",INT(HLOOKUP(N82,H82:M105,3,FALSE)*O81))</f>
        <v/>
      </c>
      <c r="O84" s="475" t="str">
        <f t="shared" ref="O84:O105" si="4">IF(N84="","",IF(N84&lt;10,INT(N84),IF(N84&lt;10000,ROUNDDOWN(N84,-1),ROUNDDOWN(N84,-2))))</f>
        <v/>
      </c>
    </row>
    <row r="85" spans="1:15" s="20" customFormat="1" ht="20.100000000000001" customHeight="1">
      <c r="A85" s="53"/>
      <c r="B85" s="89"/>
      <c r="C85" s="90"/>
      <c r="D85" s="68"/>
      <c r="E85" s="78"/>
      <c r="F85" s="59"/>
      <c r="G85" s="73"/>
      <c r="H85" s="476"/>
      <c r="I85" s="477" t="str">
        <f t="shared" si="1"/>
        <v/>
      </c>
      <c r="J85" s="478"/>
      <c r="K85" s="477" t="str">
        <f t="shared" si="2"/>
        <v/>
      </c>
      <c r="L85" s="478"/>
      <c r="M85" s="479" t="str">
        <f t="shared" si="3"/>
        <v/>
      </c>
      <c r="N85" s="476" t="str">
        <f>IF(F85="","",INT(HLOOKUP(N82,H82:M105,4,FALSE)*O81))</f>
        <v/>
      </c>
      <c r="O85" s="480" t="str">
        <f t="shared" si="4"/>
        <v/>
      </c>
    </row>
    <row r="86" spans="1:15" s="20" customFormat="1" ht="20.100000000000001" customHeight="1">
      <c r="A86" s="53"/>
      <c r="B86" s="89"/>
      <c r="C86" s="90"/>
      <c r="D86" s="68"/>
      <c r="E86" s="78"/>
      <c r="F86" s="59"/>
      <c r="G86" s="73"/>
      <c r="H86" s="476"/>
      <c r="I86" s="477" t="str">
        <f t="shared" si="1"/>
        <v/>
      </c>
      <c r="J86" s="478"/>
      <c r="K86" s="477" t="str">
        <f t="shared" si="2"/>
        <v/>
      </c>
      <c r="L86" s="478"/>
      <c r="M86" s="479" t="str">
        <f t="shared" si="3"/>
        <v/>
      </c>
      <c r="N86" s="476" t="str">
        <f>IF(F86="","",INT(HLOOKUP(N82,H82:M105,5,FALSE)*O81))</f>
        <v/>
      </c>
      <c r="O86" s="480" t="str">
        <f t="shared" si="4"/>
        <v/>
      </c>
    </row>
    <row r="87" spans="1:15" s="20" customFormat="1" ht="20.100000000000001" customHeight="1">
      <c r="A87" s="53"/>
      <c r="B87" s="89"/>
      <c r="C87" s="90"/>
      <c r="D87" s="68"/>
      <c r="E87" s="78"/>
      <c r="F87" s="59"/>
      <c r="G87" s="73"/>
      <c r="H87" s="476"/>
      <c r="I87" s="477" t="str">
        <f t="shared" si="1"/>
        <v/>
      </c>
      <c r="J87" s="478"/>
      <c r="K87" s="477" t="str">
        <f t="shared" si="2"/>
        <v/>
      </c>
      <c r="L87" s="478"/>
      <c r="M87" s="479" t="str">
        <f t="shared" si="3"/>
        <v/>
      </c>
      <c r="N87" s="476" t="str">
        <f>IF(F87="","",INT(HLOOKUP(N82,H82:M105,6,FALSE)*O81))</f>
        <v/>
      </c>
      <c r="O87" s="480" t="str">
        <f t="shared" si="4"/>
        <v/>
      </c>
    </row>
    <row r="88" spans="1:15" s="20" customFormat="1" ht="20.100000000000001" customHeight="1">
      <c r="A88" s="53"/>
      <c r="B88" s="89"/>
      <c r="C88" s="90"/>
      <c r="D88" s="68"/>
      <c r="E88" s="78"/>
      <c r="F88" s="59"/>
      <c r="G88" s="73"/>
      <c r="H88" s="476"/>
      <c r="I88" s="477" t="str">
        <f t="shared" si="1"/>
        <v/>
      </c>
      <c r="J88" s="478"/>
      <c r="K88" s="477" t="str">
        <f t="shared" si="2"/>
        <v/>
      </c>
      <c r="L88" s="478"/>
      <c r="M88" s="479" t="str">
        <f t="shared" si="3"/>
        <v/>
      </c>
      <c r="N88" s="476" t="str">
        <f>IF(F88="","",INT(HLOOKUP(N82,H82:M105,7,FALSE)*O81))</f>
        <v/>
      </c>
      <c r="O88" s="480" t="str">
        <f t="shared" si="4"/>
        <v/>
      </c>
    </row>
    <row r="89" spans="1:15" s="20" customFormat="1" ht="20.100000000000001" customHeight="1">
      <c r="A89" s="53"/>
      <c r="B89" s="89"/>
      <c r="C89" s="90"/>
      <c r="D89" s="68"/>
      <c r="E89" s="78"/>
      <c r="F89" s="59"/>
      <c r="G89" s="73"/>
      <c r="H89" s="476"/>
      <c r="I89" s="477" t="str">
        <f t="shared" si="1"/>
        <v/>
      </c>
      <c r="J89" s="478"/>
      <c r="K89" s="477" t="str">
        <f t="shared" si="2"/>
        <v/>
      </c>
      <c r="L89" s="478"/>
      <c r="M89" s="479" t="str">
        <f t="shared" si="3"/>
        <v/>
      </c>
      <c r="N89" s="476" t="str">
        <f>IF(F89="","",INT(HLOOKUP(N82,H82:M105,8,FALSE)*O81))</f>
        <v/>
      </c>
      <c r="O89" s="480" t="str">
        <f t="shared" si="4"/>
        <v/>
      </c>
    </row>
    <row r="90" spans="1:15" s="20" customFormat="1" ht="20.100000000000001" customHeight="1">
      <c r="A90" s="53"/>
      <c r="B90" s="89"/>
      <c r="C90" s="90"/>
      <c r="D90" s="68"/>
      <c r="E90" s="78"/>
      <c r="F90" s="59"/>
      <c r="G90" s="73"/>
      <c r="H90" s="476"/>
      <c r="I90" s="477" t="str">
        <f t="shared" si="1"/>
        <v/>
      </c>
      <c r="J90" s="478"/>
      <c r="K90" s="477" t="str">
        <f t="shared" si="2"/>
        <v/>
      </c>
      <c r="L90" s="478"/>
      <c r="M90" s="479" t="str">
        <f t="shared" si="3"/>
        <v/>
      </c>
      <c r="N90" s="476" t="str">
        <f>IF(F90="","",INT(HLOOKUP(N82,H82:M105,9,FALSE)*O81))</f>
        <v/>
      </c>
      <c r="O90" s="480" t="str">
        <f t="shared" si="4"/>
        <v/>
      </c>
    </row>
    <row r="91" spans="1:15" s="20" customFormat="1" ht="20.100000000000001" customHeight="1">
      <c r="A91" s="53"/>
      <c r="B91" s="89"/>
      <c r="C91" s="90"/>
      <c r="D91" s="68"/>
      <c r="E91" s="78"/>
      <c r="F91" s="59"/>
      <c r="G91" s="73"/>
      <c r="H91" s="476"/>
      <c r="I91" s="477" t="str">
        <f t="shared" si="1"/>
        <v/>
      </c>
      <c r="J91" s="478"/>
      <c r="K91" s="477" t="str">
        <f t="shared" si="2"/>
        <v/>
      </c>
      <c r="L91" s="478"/>
      <c r="M91" s="479" t="str">
        <f t="shared" si="3"/>
        <v/>
      </c>
      <c r="N91" s="476" t="str">
        <f>IF(F91="","",INT(HLOOKUP(N82,H82:M105,10,FALSE)*O81))</f>
        <v/>
      </c>
      <c r="O91" s="480" t="str">
        <f t="shared" si="4"/>
        <v/>
      </c>
    </row>
    <row r="92" spans="1:15" s="20" customFormat="1" ht="20.100000000000001" customHeight="1">
      <c r="A92" s="53"/>
      <c r="B92" s="89"/>
      <c r="C92" s="90"/>
      <c r="D92" s="68"/>
      <c r="E92" s="78"/>
      <c r="F92" s="59"/>
      <c r="G92" s="73"/>
      <c r="H92" s="476"/>
      <c r="I92" s="477" t="str">
        <f t="shared" si="1"/>
        <v/>
      </c>
      <c r="J92" s="478"/>
      <c r="K92" s="477" t="str">
        <f t="shared" si="2"/>
        <v/>
      </c>
      <c r="L92" s="478"/>
      <c r="M92" s="479" t="str">
        <f t="shared" si="3"/>
        <v/>
      </c>
      <c r="N92" s="476" t="str">
        <f>IF(F92="","",INT(HLOOKUP(N82,H82:M105,11,FALSE)*O81))</f>
        <v/>
      </c>
      <c r="O92" s="480" t="str">
        <f t="shared" si="4"/>
        <v/>
      </c>
    </row>
    <row r="93" spans="1:15" s="20" customFormat="1" ht="20.100000000000001" customHeight="1">
      <c r="A93" s="53"/>
      <c r="B93" s="89"/>
      <c r="C93" s="90"/>
      <c r="D93" s="68"/>
      <c r="E93" s="78"/>
      <c r="F93" s="59"/>
      <c r="G93" s="73"/>
      <c r="H93" s="476"/>
      <c r="I93" s="477" t="str">
        <f t="shared" si="1"/>
        <v/>
      </c>
      <c r="J93" s="478"/>
      <c r="K93" s="477" t="str">
        <f t="shared" si="2"/>
        <v/>
      </c>
      <c r="L93" s="478"/>
      <c r="M93" s="479" t="str">
        <f t="shared" si="3"/>
        <v/>
      </c>
      <c r="N93" s="476" t="str">
        <f>IF(F93="","",INT(HLOOKUP(N82,H82:M105,12,FALSE)*O81))</f>
        <v/>
      </c>
      <c r="O93" s="480" t="str">
        <f t="shared" si="4"/>
        <v/>
      </c>
    </row>
    <row r="94" spans="1:15" s="20" customFormat="1" ht="20.100000000000001" customHeight="1">
      <c r="A94" s="53"/>
      <c r="B94" s="89"/>
      <c r="C94" s="90"/>
      <c r="D94" s="68"/>
      <c r="E94" s="78"/>
      <c r="F94" s="59"/>
      <c r="G94" s="73"/>
      <c r="H94" s="476"/>
      <c r="I94" s="477" t="str">
        <f t="shared" si="1"/>
        <v/>
      </c>
      <c r="J94" s="478"/>
      <c r="K94" s="477" t="str">
        <f t="shared" si="2"/>
        <v/>
      </c>
      <c r="L94" s="478"/>
      <c r="M94" s="479" t="str">
        <f t="shared" si="3"/>
        <v/>
      </c>
      <c r="N94" s="476" t="str">
        <f>IF(F94="","",INT(HLOOKUP(N82,H82:M105,13,FALSE)*O81))</f>
        <v/>
      </c>
      <c r="O94" s="480" t="str">
        <f t="shared" si="4"/>
        <v/>
      </c>
    </row>
    <row r="95" spans="1:15" s="20" customFormat="1" ht="20.100000000000001" customHeight="1">
      <c r="A95" s="53"/>
      <c r="B95" s="89"/>
      <c r="C95" s="90"/>
      <c r="D95" s="68"/>
      <c r="E95" s="78"/>
      <c r="F95" s="59"/>
      <c r="G95" s="73"/>
      <c r="H95" s="476"/>
      <c r="I95" s="477" t="str">
        <f t="shared" si="1"/>
        <v/>
      </c>
      <c r="J95" s="478"/>
      <c r="K95" s="477" t="str">
        <f t="shared" si="2"/>
        <v/>
      </c>
      <c r="L95" s="478"/>
      <c r="M95" s="479" t="str">
        <f t="shared" si="3"/>
        <v/>
      </c>
      <c r="N95" s="476" t="str">
        <f>IF(F95="","",INT(HLOOKUP(N82,H82:M105,14,FALSE)*O81))</f>
        <v/>
      </c>
      <c r="O95" s="480" t="str">
        <f t="shared" si="4"/>
        <v/>
      </c>
    </row>
    <row r="96" spans="1:15" s="20" customFormat="1" ht="20.100000000000001" customHeight="1">
      <c r="A96" s="53"/>
      <c r="B96" s="89"/>
      <c r="C96" s="90"/>
      <c r="D96" s="68"/>
      <c r="E96" s="78"/>
      <c r="F96" s="59"/>
      <c r="G96" s="73"/>
      <c r="H96" s="476"/>
      <c r="I96" s="477" t="str">
        <f t="shared" si="1"/>
        <v/>
      </c>
      <c r="J96" s="478"/>
      <c r="K96" s="477" t="str">
        <f t="shared" si="2"/>
        <v/>
      </c>
      <c r="L96" s="478"/>
      <c r="M96" s="479" t="str">
        <f t="shared" si="3"/>
        <v/>
      </c>
      <c r="N96" s="476" t="str">
        <f>IF(F96="","",INT(HLOOKUP(N82,H82:M105,15,FALSE)*O81))</f>
        <v/>
      </c>
      <c r="O96" s="480" t="str">
        <f t="shared" si="4"/>
        <v/>
      </c>
    </row>
    <row r="97" spans="1:20" s="20" customFormat="1" ht="20.100000000000001" customHeight="1">
      <c r="A97" s="53"/>
      <c r="B97" s="89"/>
      <c r="C97" s="90"/>
      <c r="D97" s="68"/>
      <c r="E97" s="78"/>
      <c r="F97" s="59"/>
      <c r="G97" s="73"/>
      <c r="H97" s="476"/>
      <c r="I97" s="477" t="str">
        <f t="shared" si="1"/>
        <v/>
      </c>
      <c r="J97" s="478"/>
      <c r="K97" s="477" t="str">
        <f t="shared" si="2"/>
        <v/>
      </c>
      <c r="L97" s="478"/>
      <c r="M97" s="479" t="str">
        <f t="shared" si="3"/>
        <v/>
      </c>
      <c r="N97" s="476" t="str">
        <f>IF(F97="","",INT(HLOOKUP(N82,H82:M105,16,FALSE)*O81))</f>
        <v/>
      </c>
      <c r="O97" s="480" t="str">
        <f t="shared" si="4"/>
        <v/>
      </c>
    </row>
    <row r="98" spans="1:20" s="20" customFormat="1" ht="20.100000000000001" customHeight="1">
      <c r="A98" s="53"/>
      <c r="B98" s="89"/>
      <c r="C98" s="90"/>
      <c r="D98" s="68"/>
      <c r="E98" s="78"/>
      <c r="F98" s="59"/>
      <c r="G98" s="73"/>
      <c r="H98" s="476"/>
      <c r="I98" s="477" t="str">
        <f t="shared" si="1"/>
        <v/>
      </c>
      <c r="J98" s="478"/>
      <c r="K98" s="477" t="str">
        <f t="shared" si="2"/>
        <v/>
      </c>
      <c r="L98" s="478"/>
      <c r="M98" s="479" t="str">
        <f t="shared" si="3"/>
        <v/>
      </c>
      <c r="N98" s="476" t="str">
        <f>IF(F98="","",INT(HLOOKUP(N82,H82:M105,17,FALSE)*O81))</f>
        <v/>
      </c>
      <c r="O98" s="480" t="str">
        <f t="shared" si="4"/>
        <v/>
      </c>
    </row>
    <row r="99" spans="1:20" s="20" customFormat="1" ht="20.100000000000001" customHeight="1">
      <c r="A99" s="53"/>
      <c r="B99" s="89"/>
      <c r="C99" s="90"/>
      <c r="D99" s="68"/>
      <c r="E99" s="78"/>
      <c r="F99" s="59"/>
      <c r="G99" s="73"/>
      <c r="H99" s="476"/>
      <c r="I99" s="477" t="str">
        <f t="shared" si="1"/>
        <v/>
      </c>
      <c r="J99" s="478"/>
      <c r="K99" s="477" t="str">
        <f t="shared" si="2"/>
        <v/>
      </c>
      <c r="L99" s="478"/>
      <c r="M99" s="479" t="str">
        <f t="shared" si="3"/>
        <v/>
      </c>
      <c r="N99" s="476" t="str">
        <f>IF(F99="","",INT(HLOOKUP(N82,H82:M105,18,FALSE)*O81))</f>
        <v/>
      </c>
      <c r="O99" s="480" t="str">
        <f t="shared" si="4"/>
        <v/>
      </c>
    </row>
    <row r="100" spans="1:20" s="20" customFormat="1" ht="20.100000000000001" customHeight="1">
      <c r="A100" s="53"/>
      <c r="B100" s="89"/>
      <c r="C100" s="90"/>
      <c r="D100" s="68"/>
      <c r="E100" s="78"/>
      <c r="F100" s="59"/>
      <c r="G100" s="73"/>
      <c r="H100" s="476"/>
      <c r="I100" s="477" t="str">
        <f t="shared" si="1"/>
        <v/>
      </c>
      <c r="J100" s="478"/>
      <c r="K100" s="477" t="str">
        <f t="shared" si="2"/>
        <v/>
      </c>
      <c r="L100" s="478"/>
      <c r="M100" s="479" t="str">
        <f t="shared" si="3"/>
        <v/>
      </c>
      <c r="N100" s="476" t="str">
        <f>IF(F100="","",INT(HLOOKUP(N82,H82:M105,19,FALSE)*O81))</f>
        <v/>
      </c>
      <c r="O100" s="480" t="str">
        <f t="shared" si="4"/>
        <v/>
      </c>
    </row>
    <row r="101" spans="1:20" s="20" customFormat="1" ht="20.100000000000001" customHeight="1">
      <c r="A101" s="53"/>
      <c r="B101" s="89"/>
      <c r="C101" s="90"/>
      <c r="D101" s="68"/>
      <c r="E101" s="78"/>
      <c r="F101" s="59"/>
      <c r="G101" s="73"/>
      <c r="H101" s="476"/>
      <c r="I101" s="477" t="str">
        <f t="shared" si="1"/>
        <v/>
      </c>
      <c r="J101" s="478"/>
      <c r="K101" s="477" t="str">
        <f t="shared" si="2"/>
        <v/>
      </c>
      <c r="L101" s="478"/>
      <c r="M101" s="479" t="str">
        <f t="shared" si="3"/>
        <v/>
      </c>
      <c r="N101" s="476" t="str">
        <f>IF(F101="","",INT(HLOOKUP(N82,H82:M105,20,FALSE)*O81))</f>
        <v/>
      </c>
      <c r="O101" s="480" t="str">
        <f t="shared" si="4"/>
        <v/>
      </c>
    </row>
    <row r="102" spans="1:20" s="20" customFormat="1" ht="20.100000000000001" customHeight="1">
      <c r="A102" s="53"/>
      <c r="B102" s="89"/>
      <c r="C102" s="90"/>
      <c r="D102" s="68"/>
      <c r="E102" s="78"/>
      <c r="F102" s="59"/>
      <c r="G102" s="73"/>
      <c r="H102" s="476"/>
      <c r="I102" s="477" t="str">
        <f t="shared" si="1"/>
        <v/>
      </c>
      <c r="J102" s="478"/>
      <c r="K102" s="477" t="str">
        <f t="shared" si="2"/>
        <v/>
      </c>
      <c r="L102" s="478"/>
      <c r="M102" s="479" t="str">
        <f t="shared" si="3"/>
        <v/>
      </c>
      <c r="N102" s="476" t="str">
        <f>IF(F102="","",INT(HLOOKUP(N82,H82:M105,21,FALSE)*O81))</f>
        <v/>
      </c>
      <c r="O102" s="480" t="str">
        <f t="shared" si="4"/>
        <v/>
      </c>
    </row>
    <row r="103" spans="1:20" s="20" customFormat="1" ht="20.100000000000001" customHeight="1">
      <c r="A103" s="53"/>
      <c r="B103" s="89"/>
      <c r="C103" s="90"/>
      <c r="D103" s="68"/>
      <c r="E103" s="78"/>
      <c r="F103" s="59"/>
      <c r="G103" s="73"/>
      <c r="H103" s="476"/>
      <c r="I103" s="477" t="str">
        <f t="shared" si="1"/>
        <v/>
      </c>
      <c r="J103" s="478"/>
      <c r="K103" s="477" t="str">
        <f t="shared" si="2"/>
        <v/>
      </c>
      <c r="L103" s="478"/>
      <c r="M103" s="479" t="str">
        <f t="shared" si="3"/>
        <v/>
      </c>
      <c r="N103" s="476" t="str">
        <f>IF(F103="","",INT(HLOOKUP(N82,H82:M105,22,FALSE)*O81))</f>
        <v/>
      </c>
      <c r="O103" s="480" t="str">
        <f t="shared" si="4"/>
        <v/>
      </c>
    </row>
    <row r="104" spans="1:20" s="20" customFormat="1" ht="20.100000000000001" customHeight="1">
      <c r="A104" s="53"/>
      <c r="B104" s="89"/>
      <c r="C104" s="90"/>
      <c r="D104" s="68"/>
      <c r="E104" s="78"/>
      <c r="F104" s="59"/>
      <c r="G104" s="73"/>
      <c r="H104" s="476"/>
      <c r="I104" s="477" t="str">
        <f t="shared" si="1"/>
        <v/>
      </c>
      <c r="J104" s="478"/>
      <c r="K104" s="477" t="str">
        <f t="shared" si="2"/>
        <v/>
      </c>
      <c r="L104" s="478"/>
      <c r="M104" s="479" t="str">
        <f t="shared" si="3"/>
        <v/>
      </c>
      <c r="N104" s="476" t="str">
        <f>IF(F104="","",INT(HLOOKUP(N82,H82:M105,23,FALSE)*O81))</f>
        <v/>
      </c>
      <c r="O104" s="480" t="str">
        <f t="shared" si="4"/>
        <v/>
      </c>
    </row>
    <row r="105" spans="1:20" s="20" customFormat="1" ht="20.100000000000001" customHeight="1" thickBot="1">
      <c r="A105" s="54"/>
      <c r="B105" s="91"/>
      <c r="C105" s="92"/>
      <c r="D105" s="69"/>
      <c r="E105" s="79"/>
      <c r="F105" s="60"/>
      <c r="G105" s="74"/>
      <c r="H105" s="481"/>
      <c r="I105" s="482" t="str">
        <f t="shared" si="1"/>
        <v/>
      </c>
      <c r="J105" s="483"/>
      <c r="K105" s="482" t="str">
        <f t="shared" si="2"/>
        <v/>
      </c>
      <c r="L105" s="483"/>
      <c r="M105" s="484" t="str">
        <f t="shared" si="3"/>
        <v/>
      </c>
      <c r="N105" s="481" t="str">
        <f>IF(F105="","",INT(HLOOKUP(N82,H82:M105,24,FALSE)*O81))</f>
        <v/>
      </c>
      <c r="O105" s="485" t="str">
        <f t="shared" si="4"/>
        <v/>
      </c>
    </row>
    <row r="106" spans="1:20" s="20" customFormat="1" ht="20.100000000000001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61</v>
      </c>
      <c r="F106" s="31"/>
      <c r="G106" s="51"/>
      <c r="H106" s="486"/>
      <c r="I106" s="487" t="str">
        <f>IF($G106="",IF(SUM(I84:I105)=0,"",SUM(I84:I105)),IF(I79="","",SUM(I84:I105)+I79))</f>
        <v/>
      </c>
      <c r="J106" s="488"/>
      <c r="K106" s="487" t="str">
        <f>IF(G106="",IF(SUM(K84:K105)=0,"",SUM(K84:K105)),IF(K79="","",SUM(K84:K105)+K79))</f>
        <v/>
      </c>
      <c r="L106" s="488"/>
      <c r="M106" s="489" t="str">
        <f>IF(G106="",IF(SUM(M84:M105)=0,"",SUM(M84:M105)),IF(M79="","",SUM(M84:M105)+M79))</f>
        <v/>
      </c>
      <c r="N106" s="490" t="s">
        <v>29</v>
      </c>
      <c r="O106" s="491">
        <f>IF(G133="",MIN(I106,K106,M106),"")</f>
        <v>0</v>
      </c>
    </row>
    <row r="107" spans="1:20" s="20" customFormat="1" ht="20.100000000000001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.100000000000001" customHeight="1" thickBot="1">
      <c r="A110" s="2742" t="s">
        <v>246</v>
      </c>
      <c r="B110" s="2742"/>
      <c r="C110" s="2742"/>
      <c r="D110" s="2742"/>
      <c r="E110" s="2742"/>
      <c r="F110" s="2742"/>
      <c r="G110" s="2742"/>
      <c r="H110" s="2742"/>
      <c r="I110" s="2742"/>
      <c r="J110" s="2742"/>
      <c r="K110" s="2742"/>
      <c r="L110" s="2742"/>
      <c r="M110" s="236" t="s">
        <v>209</v>
      </c>
      <c r="N110" s="2743" t="s">
        <v>210</v>
      </c>
      <c r="O110" s="2743"/>
      <c r="P110" s="2743"/>
      <c r="Q110" s="237"/>
      <c r="S110" s="1"/>
    </row>
    <row r="111" spans="1:20" s="24" customFormat="1" ht="20.100000000000001" customHeight="1">
      <c r="A111" s="292"/>
      <c r="B111" s="413"/>
      <c r="C111" s="413"/>
      <c r="D111" s="2744" t="s">
        <v>211</v>
      </c>
      <c r="E111" s="2744"/>
      <c r="F111" s="2744"/>
      <c r="G111" s="2744"/>
      <c r="H111" s="388"/>
      <c r="I111" s="418"/>
      <c r="J111" s="2747" t="s">
        <v>294</v>
      </c>
      <c r="K111" s="2748"/>
      <c r="L111" s="2748"/>
      <c r="M111" s="2748"/>
      <c r="N111" s="2748"/>
      <c r="O111" s="2748"/>
      <c r="P111" s="2748"/>
      <c r="Q111" s="2748"/>
      <c r="R111" s="2748"/>
      <c r="S111" s="2748"/>
      <c r="T111" s="2749"/>
    </row>
    <row r="112" spans="1:20" s="24" customFormat="1" ht="20.100000000000001" customHeight="1" thickBot="1">
      <c r="A112" s="293"/>
      <c r="B112" s="294"/>
      <c r="C112" s="294"/>
      <c r="D112" s="295"/>
      <c r="E112" s="296" t="s">
        <v>247</v>
      </c>
      <c r="F112" s="2745">
        <v>1</v>
      </c>
      <c r="G112" s="2746"/>
      <c r="H112" s="416"/>
      <c r="I112" s="417"/>
      <c r="J112" s="2750"/>
      <c r="K112" s="2751"/>
      <c r="L112" s="2751"/>
      <c r="M112" s="2751"/>
      <c r="N112" s="2751"/>
      <c r="O112" s="2751"/>
      <c r="P112" s="2751"/>
      <c r="Q112" s="2751"/>
      <c r="R112" s="2751"/>
      <c r="S112" s="2751"/>
      <c r="T112" s="2752"/>
    </row>
    <row r="113" spans="1:20" s="20" customFormat="1" ht="20.100000000000001" customHeight="1">
      <c r="A113" s="298" t="s">
        <v>248</v>
      </c>
      <c r="B113" s="299" t="s">
        <v>249</v>
      </c>
      <c r="C113" s="300" t="s">
        <v>250</v>
      </c>
      <c r="D113" s="301"/>
      <c r="E113" s="302"/>
      <c r="F113" s="302"/>
      <c r="G113" s="303"/>
      <c r="H113" s="239" t="s">
        <v>212</v>
      </c>
      <c r="I113" s="240" t="s">
        <v>213</v>
      </c>
      <c r="J113" s="241" t="s">
        <v>16</v>
      </c>
      <c r="K113" s="238" t="s">
        <v>18</v>
      </c>
      <c r="L113" s="304"/>
      <c r="M113" s="305"/>
      <c r="N113" s="306"/>
      <c r="O113" s="356"/>
      <c r="P113" s="240" t="s">
        <v>214</v>
      </c>
      <c r="Q113" s="307"/>
      <c r="R113" s="307"/>
      <c r="S113" s="388" t="s">
        <v>289</v>
      </c>
      <c r="T113" s="390" t="s">
        <v>290</v>
      </c>
    </row>
    <row r="114" spans="1:20" s="20" customFormat="1" ht="20.100000000000001" customHeight="1" thickBot="1">
      <c r="A114" s="242" t="s">
        <v>215</v>
      </c>
      <c r="B114" s="243" t="s">
        <v>17</v>
      </c>
      <c r="C114" s="244" t="s">
        <v>17</v>
      </c>
      <c r="D114" s="245" t="s">
        <v>19</v>
      </c>
      <c r="E114" s="246" t="s">
        <v>20</v>
      </c>
      <c r="F114" s="308" t="s">
        <v>21</v>
      </c>
      <c r="G114" s="309" t="s">
        <v>22</v>
      </c>
      <c r="H114" s="247" t="s">
        <v>251</v>
      </c>
      <c r="I114" s="248" t="s">
        <v>23</v>
      </c>
      <c r="J114" s="249" t="s">
        <v>17</v>
      </c>
      <c r="K114" s="243" t="s">
        <v>17</v>
      </c>
      <c r="L114" s="250" t="s">
        <v>19</v>
      </c>
      <c r="M114" s="246" t="s">
        <v>20</v>
      </c>
      <c r="N114" s="308" t="s">
        <v>21</v>
      </c>
      <c r="O114" s="246" t="s">
        <v>22</v>
      </c>
      <c r="P114" s="248" t="s">
        <v>23</v>
      </c>
      <c r="Q114" s="251" t="s">
        <v>28</v>
      </c>
      <c r="R114" s="251" t="s">
        <v>292</v>
      </c>
      <c r="S114" s="389" t="s">
        <v>291</v>
      </c>
      <c r="T114" s="251" t="s">
        <v>291</v>
      </c>
    </row>
    <row r="115" spans="1:20" s="20" customFormat="1" ht="20.100000000000001" customHeight="1">
      <c r="A115" s="252"/>
      <c r="B115" s="253"/>
      <c r="C115" s="254"/>
      <c r="D115" s="255"/>
      <c r="E115" s="256"/>
      <c r="F115" s="425"/>
      <c r="G115" s="258"/>
      <c r="H115" s="310"/>
      <c r="I115" s="259"/>
      <c r="J115" s="260"/>
      <c r="K115" s="254"/>
      <c r="L115" s="255"/>
      <c r="M115" s="256"/>
      <c r="N115" s="257"/>
      <c r="O115" s="258"/>
      <c r="P115" s="259"/>
      <c r="Q115" s="270" t="str">
        <f>IF(I115&lt;P115,IF(P115="","",IF(S136&lt;T136,R115,IF((H115+(P115-I115)*F112)&lt;10000,ROUNDDOWN(H115+(P115-I115)*F112,-1),ROUNDDOWN(H115+(P115-I115)*F112,-2)))),R115)</f>
        <v/>
      </c>
      <c r="R115" s="410" t="str">
        <f t="shared" ref="R115:R134" si="5">IF(P115="","",IF(I115&lt;&gt;"",IF((P115/I115*H115)&lt;10,INT(P115/I115*H115),IF((P115/I115*H115)&lt;10000,ROUNDDOWN(P115/I115*H115,-1),ROUNDDOWN(P115/I115*H115,-2)))))</f>
        <v/>
      </c>
      <c r="S115" s="411" t="str">
        <f>IF(P115="","",(R115*N115-H115*F115))</f>
        <v/>
      </c>
      <c r="T115" s="410" t="str">
        <f>IF(P115="","",(P115*N115-I115*F115)*F112)</f>
        <v/>
      </c>
    </row>
    <row r="116" spans="1:20" s="20" customFormat="1" ht="20.100000000000001" customHeight="1">
      <c r="A116" s="261"/>
      <c r="B116" s="262"/>
      <c r="C116" s="263"/>
      <c r="D116" s="264"/>
      <c r="E116" s="265"/>
      <c r="F116" s="426"/>
      <c r="G116" s="267"/>
      <c r="H116" s="311"/>
      <c r="I116" s="268"/>
      <c r="J116" s="269"/>
      <c r="K116" s="263"/>
      <c r="L116" s="264"/>
      <c r="M116" s="265"/>
      <c r="N116" s="266"/>
      <c r="O116" s="267"/>
      <c r="P116" s="268"/>
      <c r="Q116" s="270" t="str">
        <f>IF(I116&lt;P116,IF(P116="","",IF(S136&lt;T136,R116,IF((H116+(P116-I116)*F112)&lt;10000,ROUNDDOWN(H116+(P116-I116)*F112,-1),ROUNDDOWN(H116+(P116-I116)*F112,-2)))),R116)</f>
        <v/>
      </c>
      <c r="R116" s="410" t="str">
        <f t="shared" si="5"/>
        <v/>
      </c>
      <c r="S116" s="411" t="str">
        <f t="shared" ref="S116:S134" si="6">IF(P116="","",(R116*N116-H116*F116))</f>
        <v/>
      </c>
      <c r="T116" s="410" t="str">
        <f>IF(P116="","",(P116*N116-I116*F116)*F112)</f>
        <v/>
      </c>
    </row>
    <row r="117" spans="1:20" s="20" customFormat="1" ht="20.100000000000001" customHeight="1">
      <c r="A117" s="261"/>
      <c r="B117" s="262"/>
      <c r="C117" s="263"/>
      <c r="D117" s="264"/>
      <c r="E117" s="265"/>
      <c r="F117" s="426"/>
      <c r="G117" s="267"/>
      <c r="H117" s="311"/>
      <c r="I117" s="268"/>
      <c r="J117" s="269"/>
      <c r="K117" s="263"/>
      <c r="L117" s="264"/>
      <c r="M117" s="265"/>
      <c r="N117" s="266"/>
      <c r="O117" s="267"/>
      <c r="P117" s="268"/>
      <c r="Q117" s="270" t="str">
        <f>IF(I117&lt;P117,IF(P117="","",IF(S136&lt;T136,R117,IF((H117+(P117-I117)*F112)&lt;10000,ROUNDDOWN(H117+(P117-I117)*F112,-1),ROUNDDOWN(H117+(P117-I117)*F112,-2)))),R117)</f>
        <v/>
      </c>
      <c r="R117" s="410" t="str">
        <f t="shared" si="5"/>
        <v/>
      </c>
      <c r="S117" s="411" t="str">
        <f t="shared" si="6"/>
        <v/>
      </c>
      <c r="T117" s="410" t="str">
        <f>IF(P117="","",(P117*N117-I117*F117)*F112)</f>
        <v/>
      </c>
    </row>
    <row r="118" spans="1:20" s="20" customFormat="1" ht="20.100000000000001" customHeight="1">
      <c r="A118" s="261"/>
      <c r="B118" s="262"/>
      <c r="C118" s="263"/>
      <c r="D118" s="264"/>
      <c r="E118" s="265"/>
      <c r="F118" s="426"/>
      <c r="G118" s="267"/>
      <c r="H118" s="311"/>
      <c r="I118" s="268"/>
      <c r="J118" s="269"/>
      <c r="K118" s="263"/>
      <c r="L118" s="264"/>
      <c r="M118" s="265"/>
      <c r="N118" s="266"/>
      <c r="O118" s="267"/>
      <c r="P118" s="268"/>
      <c r="Q118" s="270" t="str">
        <f>IF(I118&lt;P118,IF(P118="","",IF(S136&lt;T136,R118,IF((H118+(P118-I118)*F112)&lt;10000,ROUNDDOWN(H118+(P118-I118)*F112,-1),ROUNDDOWN(H118+(P118-I118)*F112,-2)))),R118)</f>
        <v/>
      </c>
      <c r="R118" s="410" t="str">
        <f t="shared" si="5"/>
        <v/>
      </c>
      <c r="S118" s="411" t="str">
        <f t="shared" si="6"/>
        <v/>
      </c>
      <c r="T118" s="410" t="str">
        <f>IF(P118="","",(P118*N118-I118*F118)*F112)</f>
        <v/>
      </c>
    </row>
    <row r="119" spans="1:20" s="20" customFormat="1" ht="20.100000000000001" customHeight="1">
      <c r="A119" s="261"/>
      <c r="B119" s="262"/>
      <c r="C119" s="263"/>
      <c r="D119" s="264"/>
      <c r="E119" s="265"/>
      <c r="F119" s="426"/>
      <c r="G119" s="267"/>
      <c r="H119" s="311"/>
      <c r="I119" s="268"/>
      <c r="J119" s="269"/>
      <c r="K119" s="263"/>
      <c r="L119" s="264"/>
      <c r="M119" s="265"/>
      <c r="N119" s="266"/>
      <c r="O119" s="267"/>
      <c r="P119" s="268"/>
      <c r="Q119" s="270" t="str">
        <f>IF(I119&lt;P119,IF(P119="","",IF(S136&lt;T136,R119,IF((H119+(P119-I119)*F112)&lt;10000,ROUNDDOWN(H119+(P119-I119)*F112,-1),ROUNDDOWN(H119+(P119-I119)*F112,-2)))),R119)</f>
        <v/>
      </c>
      <c r="R119" s="410" t="str">
        <f t="shared" si="5"/>
        <v/>
      </c>
      <c r="S119" s="411" t="str">
        <f t="shared" si="6"/>
        <v/>
      </c>
      <c r="T119" s="410" t="str">
        <f>IF(P119="","",(P119*N119-I119*F119)*F112)</f>
        <v/>
      </c>
    </row>
    <row r="120" spans="1:20" s="20" customFormat="1" ht="20.100000000000001" customHeight="1">
      <c r="A120" s="261"/>
      <c r="B120" s="262"/>
      <c r="C120" s="263"/>
      <c r="D120" s="264"/>
      <c r="E120" s="265"/>
      <c r="F120" s="426"/>
      <c r="G120" s="267"/>
      <c r="H120" s="311"/>
      <c r="I120" s="268"/>
      <c r="J120" s="269"/>
      <c r="K120" s="263"/>
      <c r="L120" s="264"/>
      <c r="M120" s="265"/>
      <c r="N120" s="266"/>
      <c r="O120" s="267"/>
      <c r="P120" s="268"/>
      <c r="Q120" s="270" t="str">
        <f>IF(I120&lt;P120,IF(P120="","",IF(S136&lt;T136,R120,IF((H120+(P120-I120)*F112)&lt;10000,ROUNDDOWN(H120+(P120-I120)*F112,-1),ROUNDDOWN(H120+(P120-I120)*F112,-2)))),R120)</f>
        <v/>
      </c>
      <c r="R120" s="410" t="str">
        <f t="shared" si="5"/>
        <v/>
      </c>
      <c r="S120" s="411" t="str">
        <f t="shared" si="6"/>
        <v/>
      </c>
      <c r="T120" s="410" t="str">
        <f>IF(P120="","",(P120*N120-I120*F120)*F112)</f>
        <v/>
      </c>
    </row>
    <row r="121" spans="1:20" s="20" customFormat="1" ht="20.100000000000001" customHeight="1">
      <c r="A121" s="261"/>
      <c r="B121" s="262"/>
      <c r="C121" s="263"/>
      <c r="D121" s="264"/>
      <c r="E121" s="265"/>
      <c r="F121" s="426"/>
      <c r="G121" s="267"/>
      <c r="H121" s="311"/>
      <c r="I121" s="268"/>
      <c r="J121" s="269"/>
      <c r="K121" s="263"/>
      <c r="L121" s="264"/>
      <c r="M121" s="265"/>
      <c r="N121" s="266"/>
      <c r="O121" s="267"/>
      <c r="P121" s="268"/>
      <c r="Q121" s="270" t="str">
        <f>IF(I121&lt;P121,IF(P121="","",IF(S136&lt;T136,R121,IF((H121+(P121-I121)*F112)&lt;10000,ROUNDDOWN(H121+(P121-I121)*F112,-1),ROUNDDOWN(H121+(P121-I121)*F112,-2)))),R121)</f>
        <v/>
      </c>
      <c r="R121" s="410" t="str">
        <f t="shared" si="5"/>
        <v/>
      </c>
      <c r="S121" s="411" t="str">
        <f t="shared" si="6"/>
        <v/>
      </c>
      <c r="T121" s="410" t="str">
        <f>IF(P121="","",(P121*N121-I121*F121)*F112)</f>
        <v/>
      </c>
    </row>
    <row r="122" spans="1:20" s="20" customFormat="1" ht="20.100000000000001" customHeight="1">
      <c r="A122" s="261"/>
      <c r="B122" s="262"/>
      <c r="C122" s="263"/>
      <c r="D122" s="264"/>
      <c r="E122" s="265"/>
      <c r="F122" s="426"/>
      <c r="G122" s="267"/>
      <c r="H122" s="311"/>
      <c r="I122" s="268"/>
      <c r="J122" s="269"/>
      <c r="K122" s="263"/>
      <c r="L122" s="264"/>
      <c r="M122" s="265"/>
      <c r="N122" s="266"/>
      <c r="O122" s="267"/>
      <c r="P122" s="268"/>
      <c r="Q122" s="270" t="str">
        <f>IF(I122&lt;P122,IF(P122="","",IF(S136&lt;T136,R122,IF((H122+(P122-I122)*F112)&lt;10000,ROUNDDOWN(H122+(P122-I122)*F112,-1),ROUNDDOWN(H122+(P122-I122)*F112,-2)))),R122)</f>
        <v/>
      </c>
      <c r="R122" s="410" t="str">
        <f t="shared" si="5"/>
        <v/>
      </c>
      <c r="S122" s="411" t="str">
        <f t="shared" si="6"/>
        <v/>
      </c>
      <c r="T122" s="410" t="str">
        <f>IF(P122="","",(P122*N122-I122*F122)*F112)</f>
        <v/>
      </c>
    </row>
    <row r="123" spans="1:20" s="20" customFormat="1" ht="20.100000000000001" customHeight="1">
      <c r="A123" s="261"/>
      <c r="B123" s="262"/>
      <c r="C123" s="263"/>
      <c r="D123" s="264"/>
      <c r="E123" s="265"/>
      <c r="F123" s="426"/>
      <c r="G123" s="267"/>
      <c r="H123" s="311"/>
      <c r="I123" s="268"/>
      <c r="J123" s="269"/>
      <c r="K123" s="263"/>
      <c r="L123" s="264"/>
      <c r="M123" s="265"/>
      <c r="N123" s="266"/>
      <c r="O123" s="267"/>
      <c r="P123" s="268"/>
      <c r="Q123" s="270" t="str">
        <f>IF(I123&lt;P123,IF(P123="","",IF(S136&lt;T136,R123,IF((H123+(P123-I123)*F112)&lt;10000,ROUNDDOWN(H123+(P123-I123)*F112,-1),ROUNDDOWN(H123+(P123-I123)*F112,-2)))),R123)</f>
        <v/>
      </c>
      <c r="R123" s="410" t="str">
        <f t="shared" si="5"/>
        <v/>
      </c>
      <c r="S123" s="411" t="str">
        <f t="shared" si="6"/>
        <v/>
      </c>
      <c r="T123" s="410" t="str">
        <f>IF(P123="","",(P123*N123-I123*F123)*F122)</f>
        <v/>
      </c>
    </row>
    <row r="124" spans="1:20" s="20" customFormat="1" ht="20.100000000000001" customHeight="1">
      <c r="A124" s="261"/>
      <c r="B124" s="262"/>
      <c r="C124" s="263"/>
      <c r="D124" s="264"/>
      <c r="E124" s="265"/>
      <c r="F124" s="426"/>
      <c r="G124" s="267"/>
      <c r="H124" s="311"/>
      <c r="I124" s="268"/>
      <c r="J124" s="269"/>
      <c r="K124" s="263"/>
      <c r="L124" s="264"/>
      <c r="M124" s="265"/>
      <c r="N124" s="266"/>
      <c r="O124" s="267"/>
      <c r="P124" s="268"/>
      <c r="Q124" s="270" t="str">
        <f>IF(I124&lt;P124,IF(P124="","",IF(S136&lt;T136,R124,IF((H124+(P124-I124)*F112)&lt;10000,ROUNDDOWN(H124+(P124-I124)*F112,-1),ROUNDDOWN(H124+(P124-I124)*F112,-2)))),R124)</f>
        <v/>
      </c>
      <c r="R124" s="410" t="str">
        <f t="shared" si="5"/>
        <v/>
      </c>
      <c r="S124" s="411" t="str">
        <f t="shared" si="6"/>
        <v/>
      </c>
      <c r="T124" s="410" t="str">
        <f>IF(P124="","",(P124*N124-I124*F124)*F112)</f>
        <v/>
      </c>
    </row>
    <row r="125" spans="1:20" s="20" customFormat="1" ht="20.100000000000001" customHeight="1">
      <c r="A125" s="261"/>
      <c r="B125" s="262"/>
      <c r="C125" s="263"/>
      <c r="D125" s="264"/>
      <c r="E125" s="265"/>
      <c r="F125" s="426"/>
      <c r="G125" s="267"/>
      <c r="H125" s="311"/>
      <c r="I125" s="268"/>
      <c r="J125" s="269"/>
      <c r="K125" s="263"/>
      <c r="L125" s="264"/>
      <c r="M125" s="265"/>
      <c r="N125" s="266"/>
      <c r="O125" s="267"/>
      <c r="P125" s="268"/>
      <c r="Q125" s="270" t="str">
        <f>IF(I125&lt;P125,IF(P125="","",IF(S136&lt;T136,R125,IF((H125+(P125-I125)*F112)&lt;10000,ROUNDDOWN(H125+(P125-I125)*F112,-1),ROUNDDOWN(H125+(P125-I125)*F112,-2)))),R125)</f>
        <v/>
      </c>
      <c r="R125" s="410" t="str">
        <f t="shared" si="5"/>
        <v/>
      </c>
      <c r="S125" s="411" t="str">
        <f t="shared" si="6"/>
        <v/>
      </c>
      <c r="T125" s="410" t="str">
        <f>IF(P125="","",(P125*N125-I125*F125)*F112)</f>
        <v/>
      </c>
    </row>
    <row r="126" spans="1:20" s="20" customFormat="1" ht="20.100000000000001" customHeight="1">
      <c r="A126" s="261"/>
      <c r="B126" s="262"/>
      <c r="C126" s="263"/>
      <c r="D126" s="264"/>
      <c r="E126" s="265"/>
      <c r="F126" s="426"/>
      <c r="G126" s="267"/>
      <c r="H126" s="311"/>
      <c r="I126" s="268"/>
      <c r="J126" s="269"/>
      <c r="K126" s="263"/>
      <c r="L126" s="264"/>
      <c r="M126" s="265"/>
      <c r="N126" s="266"/>
      <c r="O126" s="267"/>
      <c r="P126" s="268"/>
      <c r="Q126" s="270" t="str">
        <f>IF(I126&lt;P126,IF(P126="","",IF(S136&lt;T136,R126,IF((H126+(P126-I126)*F112)&lt;10000,ROUNDDOWN(H126+(P126-I126)*F112,-1),ROUNDDOWN(H126+(P126-I126)*F112,-2)))),R126)</f>
        <v/>
      </c>
      <c r="R126" s="410" t="str">
        <f t="shared" si="5"/>
        <v/>
      </c>
      <c r="S126" s="411" t="str">
        <f t="shared" si="6"/>
        <v/>
      </c>
      <c r="T126" s="410" t="str">
        <f>IF(P126="","",(P126*N126-I126*F126)*F112)</f>
        <v/>
      </c>
    </row>
    <row r="127" spans="1:20" s="20" customFormat="1" ht="20.100000000000001" customHeight="1">
      <c r="A127" s="261"/>
      <c r="B127" s="262"/>
      <c r="C127" s="263"/>
      <c r="D127" s="264"/>
      <c r="E127" s="265"/>
      <c r="F127" s="426"/>
      <c r="G127" s="267"/>
      <c r="H127" s="311"/>
      <c r="I127" s="268"/>
      <c r="J127" s="269"/>
      <c r="K127" s="263"/>
      <c r="L127" s="264"/>
      <c r="M127" s="265"/>
      <c r="N127" s="266"/>
      <c r="O127" s="267"/>
      <c r="P127" s="268"/>
      <c r="Q127" s="270" t="str">
        <f>IF(I127&lt;P127,IF(P127="","",IF(S136&lt;T136,R127,IF((H127+(P127-I127)*F112)&lt;10000,ROUNDDOWN(H127+(P127-I127)*F112,-1),ROUNDDOWN(H127+(P127-I127)*F112,-2)))),R127)</f>
        <v/>
      </c>
      <c r="R127" s="410" t="str">
        <f t="shared" si="5"/>
        <v/>
      </c>
      <c r="S127" s="411" t="str">
        <f t="shared" si="6"/>
        <v/>
      </c>
      <c r="T127" s="410" t="str">
        <f>IF(P127="","",(P127*N127-I127*F127)*F112)</f>
        <v/>
      </c>
    </row>
    <row r="128" spans="1:20" s="20" customFormat="1" ht="20.100000000000001" customHeight="1">
      <c r="A128" s="261"/>
      <c r="B128" s="262"/>
      <c r="C128" s="263"/>
      <c r="D128" s="264"/>
      <c r="E128" s="265"/>
      <c r="F128" s="426"/>
      <c r="G128" s="267"/>
      <c r="H128" s="311"/>
      <c r="I128" s="268"/>
      <c r="J128" s="269"/>
      <c r="K128" s="263"/>
      <c r="L128" s="264"/>
      <c r="M128" s="265"/>
      <c r="N128" s="266"/>
      <c r="O128" s="267"/>
      <c r="P128" s="268"/>
      <c r="Q128" s="270" t="str">
        <f>IF(I128&lt;P128,IF(P128="","",IF(S136&lt;T136,R128,IF((H128+(P128-I128)*F112)&lt;10000,ROUNDDOWN(H128+(P128-I128)*F112,-1),ROUNDDOWN(H128+(P128-I128)*F112,-2)))),R128)</f>
        <v/>
      </c>
      <c r="R128" s="410" t="str">
        <f t="shared" si="5"/>
        <v/>
      </c>
      <c r="S128" s="411" t="str">
        <f t="shared" si="6"/>
        <v/>
      </c>
      <c r="T128" s="410" t="str">
        <f>IF(P128="","",(P128*N128-I128*F128)*F112)</f>
        <v/>
      </c>
    </row>
    <row r="129" spans="1:20" s="20" customFormat="1" ht="20.100000000000001" customHeight="1">
      <c r="A129" s="261"/>
      <c r="B129" s="262"/>
      <c r="C129" s="263"/>
      <c r="D129" s="264"/>
      <c r="E129" s="265"/>
      <c r="F129" s="426"/>
      <c r="G129" s="267"/>
      <c r="H129" s="311"/>
      <c r="I129" s="268"/>
      <c r="J129" s="269"/>
      <c r="K129" s="263"/>
      <c r="L129" s="264"/>
      <c r="M129" s="265"/>
      <c r="N129" s="266"/>
      <c r="O129" s="267"/>
      <c r="P129" s="268"/>
      <c r="Q129" s="270" t="str">
        <f>IF(I129&lt;P129,IF(P129="","",IF(S136&lt;T136,R129,IF((H129+(P129-I129)*F112)&lt;10000,ROUNDDOWN(H129+(P129-I129)*F112,-1),ROUNDDOWN(H129+(P129-I129)*F112,-2)))),R129)</f>
        <v/>
      </c>
      <c r="R129" s="410" t="str">
        <f t="shared" si="5"/>
        <v/>
      </c>
      <c r="S129" s="411" t="str">
        <f t="shared" si="6"/>
        <v/>
      </c>
      <c r="T129" s="410" t="str">
        <f>IF(P129="","",(P129*N129-I129*F129)*F112)</f>
        <v/>
      </c>
    </row>
    <row r="130" spans="1:20" s="20" customFormat="1" ht="20.100000000000001" customHeight="1">
      <c r="A130" s="261"/>
      <c r="B130" s="262"/>
      <c r="C130" s="263"/>
      <c r="D130" s="264"/>
      <c r="E130" s="265"/>
      <c r="F130" s="426"/>
      <c r="G130" s="267"/>
      <c r="H130" s="311"/>
      <c r="I130" s="268"/>
      <c r="J130" s="269"/>
      <c r="K130" s="263"/>
      <c r="L130" s="264"/>
      <c r="M130" s="265"/>
      <c r="N130" s="266"/>
      <c r="O130" s="267"/>
      <c r="P130" s="268"/>
      <c r="Q130" s="270" t="str">
        <f>IF(I130&lt;P130,IF(P130="","",IF(S136&lt;T136,R130,IF((H130+(P130-I130)*F112)&lt;10000,ROUNDDOWN(H130+(P130-I130)*F112,-1),ROUNDDOWN(H130+(P130-I130)*F112,-2)))),R130)</f>
        <v/>
      </c>
      <c r="R130" s="410" t="str">
        <f t="shared" si="5"/>
        <v/>
      </c>
      <c r="S130" s="411" t="str">
        <f t="shared" si="6"/>
        <v/>
      </c>
      <c r="T130" s="410" t="str">
        <f>IF(P130="","",(P130*N130-I130*F130)*F112)</f>
        <v/>
      </c>
    </row>
    <row r="131" spans="1:20" s="20" customFormat="1" ht="20.100000000000001" customHeight="1">
      <c r="A131" s="261"/>
      <c r="B131" s="262"/>
      <c r="C131" s="263"/>
      <c r="D131" s="264"/>
      <c r="E131" s="265"/>
      <c r="F131" s="426"/>
      <c r="G131" s="267"/>
      <c r="H131" s="311"/>
      <c r="I131" s="268"/>
      <c r="J131" s="269"/>
      <c r="K131" s="263"/>
      <c r="L131" s="264"/>
      <c r="M131" s="265"/>
      <c r="N131" s="266"/>
      <c r="O131" s="267"/>
      <c r="P131" s="268"/>
      <c r="Q131" s="270" t="str">
        <f>IF(I131&lt;P131,IF(P131="","",IF(S136&lt;T136,R131,IF((H131+(P131-I131)*F112)&lt;10000,ROUNDDOWN(H131+(P131-I131)*F112,-1),ROUNDDOWN(H131+(P131-I131)*F112,-2)))),R131)</f>
        <v/>
      </c>
      <c r="R131" s="410" t="str">
        <f t="shared" si="5"/>
        <v/>
      </c>
      <c r="S131" s="411" t="str">
        <f t="shared" si="6"/>
        <v/>
      </c>
      <c r="T131" s="410" t="str">
        <f>IF(P131="","",(P131*N131-I131*F131)*F112)</f>
        <v/>
      </c>
    </row>
    <row r="132" spans="1:20" s="20" customFormat="1" ht="20.100000000000001" customHeight="1">
      <c r="A132" s="261"/>
      <c r="B132" s="262"/>
      <c r="C132" s="263"/>
      <c r="D132" s="264"/>
      <c r="E132" s="265"/>
      <c r="F132" s="426"/>
      <c r="G132" s="267"/>
      <c r="H132" s="311"/>
      <c r="I132" s="268"/>
      <c r="J132" s="269"/>
      <c r="K132" s="263"/>
      <c r="L132" s="264"/>
      <c r="M132" s="265"/>
      <c r="N132" s="266"/>
      <c r="O132" s="267"/>
      <c r="P132" s="268"/>
      <c r="Q132" s="270" t="str">
        <f>IF(I132&lt;P132,IF(P132="","",IF(S136&lt;T136,R132,IF((H132+(P132-I132)*F112)&lt;10000,ROUNDDOWN(H132+(P132-I132)*F112,-1),ROUNDDOWN(H132+(P132-I132)*F112,-2)))),R132)</f>
        <v/>
      </c>
      <c r="R132" s="410" t="str">
        <f t="shared" si="5"/>
        <v/>
      </c>
      <c r="S132" s="411" t="str">
        <f t="shared" si="6"/>
        <v/>
      </c>
      <c r="T132" s="410" t="str">
        <f>IF(P132="","",(P132*N132-I132*F132)*F112)</f>
        <v/>
      </c>
    </row>
    <row r="133" spans="1:20" s="20" customFormat="1" ht="20.100000000000001" customHeight="1">
      <c r="A133" s="261"/>
      <c r="B133" s="262"/>
      <c r="C133" s="263"/>
      <c r="D133" s="264"/>
      <c r="E133" s="265"/>
      <c r="F133" s="426"/>
      <c r="G133" s="267"/>
      <c r="H133" s="311"/>
      <c r="I133" s="268"/>
      <c r="J133" s="269"/>
      <c r="K133" s="263"/>
      <c r="L133" s="264"/>
      <c r="M133" s="265"/>
      <c r="N133" s="266"/>
      <c r="O133" s="267"/>
      <c r="P133" s="268"/>
      <c r="Q133" s="270" t="str">
        <f>IF(I133&lt;P133,IF(P133="","",IF(S136&lt;T136,R133,IF((H133+(P133-I133)*F112)&lt;10000,ROUNDDOWN(H133+(P133-I133)*F112,-1),ROUNDDOWN(H133+(P133-I133)*F112,-2)))),R133)</f>
        <v/>
      </c>
      <c r="R133" s="410" t="str">
        <f t="shared" si="5"/>
        <v/>
      </c>
      <c r="S133" s="411" t="str">
        <f t="shared" si="6"/>
        <v/>
      </c>
      <c r="T133" s="410" t="str">
        <f>IF(P133="","",(P133*N133-I133*F133)*F112)</f>
        <v/>
      </c>
    </row>
    <row r="134" spans="1:20" s="20" customFormat="1" ht="20.100000000000001" customHeight="1" thickBot="1">
      <c r="A134" s="391"/>
      <c r="B134" s="392"/>
      <c r="C134" s="393"/>
      <c r="D134" s="394"/>
      <c r="E134" s="395"/>
      <c r="F134" s="427"/>
      <c r="G134" s="397"/>
      <c r="H134" s="297"/>
      <c r="I134" s="398"/>
      <c r="J134" s="399"/>
      <c r="K134" s="393"/>
      <c r="L134" s="394"/>
      <c r="M134" s="395"/>
      <c r="N134" s="396"/>
      <c r="O134" s="397"/>
      <c r="P134" s="398"/>
      <c r="Q134" s="270" t="str">
        <f>IF(I134&lt;P134,IF(P134="","",IF(S136&lt;T136,R134,IF((H134+(P134-I134)*F112)&lt;10000,ROUNDDOWN(H134+(P134-I134)*F112,-1),ROUNDDOWN(H134+(P134-I134)*F112,-2)))),R134)</f>
        <v/>
      </c>
      <c r="R134" s="412" t="str">
        <f t="shared" si="5"/>
        <v/>
      </c>
      <c r="S134" s="411" t="str">
        <f t="shared" si="6"/>
        <v/>
      </c>
      <c r="T134" s="410" t="str">
        <f>IF(P134="","",(P134*N134-I134*F134)*F112)</f>
        <v/>
      </c>
    </row>
    <row r="135" spans="1:20" s="20" customFormat="1" ht="20.100000000000001" customHeight="1" thickBot="1">
      <c r="A135" s="400"/>
      <c r="B135" s="401"/>
      <c r="C135" s="401"/>
      <c r="D135" s="402"/>
      <c r="E135" s="402"/>
      <c r="F135" s="402"/>
      <c r="G135" s="403"/>
      <c r="H135" s="404"/>
      <c r="I135" s="405"/>
      <c r="J135" s="401"/>
      <c r="K135" s="401"/>
      <c r="L135" s="402"/>
      <c r="M135" s="420"/>
      <c r="N135" s="422"/>
      <c r="O135" s="422"/>
      <c r="P135" s="423" t="s">
        <v>296</v>
      </c>
      <c r="Q135" s="419"/>
      <c r="R135" s="406" t="s">
        <v>293</v>
      </c>
      <c r="S135" s="407" t="str">
        <f>IF($Q135="",IF(SUM(S115:S134)=0,"",SUM(S115:S134)),IF(S108="","",SUM(S115:S134)+S108))</f>
        <v/>
      </c>
      <c r="T135" s="408" t="str">
        <f>IF($Q135="",IF(SUM(T115:T134)=0,"",SUM(T115:T134)),IF(T108="","",SUM(T115:T134)+T108))</f>
        <v/>
      </c>
    </row>
    <row r="136" spans="1:20" s="20" customFormat="1" ht="20.100000000000001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>EOL</v>
      </c>
      <c r="O136" s="32">
        <f ca="1">OFFSET(O136,-27,0,1,1)+1</f>
        <v>1</v>
      </c>
      <c r="Q136" s="32"/>
      <c r="R136" s="406" t="s">
        <v>297</v>
      </c>
      <c r="S136" s="407" t="str">
        <f ca="1">IF(OFFSET(Q135,27,0,1,1)="",S135,OFFSET(S135,27,0,1,1))</f>
        <v/>
      </c>
      <c r="T136" s="408" t="str">
        <f ca="1">IF(OFFSET(Q135,27,0,1,1)="",T135,OFFSET(T135,27,0,1,1))</f>
        <v/>
      </c>
    </row>
  </sheetData>
  <mergeCells count="15"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  <mergeCell ref="J52:L52"/>
    <mergeCell ref="C50:L50"/>
    <mergeCell ref="A81:M81"/>
    <mergeCell ref="J51:L51"/>
    <mergeCell ref="O50:AH50"/>
  </mergeCells>
  <phoneticPr fontId="2"/>
  <dataValidations count="45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>
      <formula1>IF(SUM(H112:I112)&gt;0,I118=0,TRUE)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9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>
      <formula1>IF(SUM(H115:I135)&gt;0,I112=0,TRUE)</formula1>
    </dataValidation>
    <dataValidation type="list" allowBlank="1" showInputMessage="1" showErrorMessage="1" prompt="費用/建物附属設備/工具・器具・備品の場合、選択してください。" sqref="N53:N70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I71"/>
  <sheetViews>
    <sheetView zoomScale="75" zoomScaleNormal="75" workbookViewId="0">
      <selection activeCell="I16" sqref="I16"/>
    </sheetView>
  </sheetViews>
  <sheetFormatPr defaultColWidth="6.625" defaultRowHeight="26.1" customHeight="1"/>
  <cols>
    <col min="1" max="2" width="2.625" style="6" customWidth="1"/>
    <col min="3" max="3" width="8.625" style="1" customWidth="1"/>
    <col min="4" max="4" width="28.625" style="1" customWidth="1"/>
    <col min="5" max="5" width="25" style="2" customWidth="1"/>
    <col min="6" max="6" width="10.625" style="1" customWidth="1"/>
    <col min="7" max="7" width="7.625" style="3" customWidth="1"/>
    <col min="8" max="8" width="11.625" style="4" customWidth="1"/>
    <col min="9" max="9" width="15.625" style="4" customWidth="1"/>
    <col min="10" max="12" width="9.625" style="1" customWidth="1"/>
    <col min="13" max="13" width="5.625" style="1" customWidth="1"/>
    <col min="14" max="14" width="19.75" style="1" customWidth="1"/>
    <col min="15" max="16" width="5.25" style="39" customWidth="1"/>
    <col min="17" max="33" width="5.25" style="1" customWidth="1"/>
    <col min="34" max="16384" width="6.625" style="1"/>
  </cols>
  <sheetData>
    <row r="2" spans="1:33" ht="26.1" customHeight="1">
      <c r="C2" s="37" t="s">
        <v>14</v>
      </c>
      <c r="E2" s="36" t="s">
        <v>50</v>
      </c>
      <c r="F2" s="39">
        <v>0</v>
      </c>
      <c r="G2" s="1" t="s">
        <v>198</v>
      </c>
      <c r="H2" s="4">
        <f>表紙!H25</f>
        <v>15</v>
      </c>
      <c r="I2" s="4" t="s">
        <v>56</v>
      </c>
      <c r="J2" s="39">
        <f>VLOOKUP("EOL",$M$25:$N$65536,2,FALSE)</f>
        <v>3</v>
      </c>
    </row>
    <row r="3" spans="1:33" ht="26.1" customHeight="1" thickBot="1">
      <c r="C3" s="2615" t="s">
        <v>332</v>
      </c>
      <c r="D3" s="2615"/>
      <c r="E3" s="2615"/>
      <c r="F3" s="2615"/>
      <c r="G3" s="2615"/>
      <c r="H3" s="2615"/>
      <c r="I3" s="2615"/>
      <c r="J3" s="2615"/>
      <c r="K3" s="2615"/>
      <c r="L3" s="2615"/>
      <c r="O3" s="2642" t="s">
        <v>134</v>
      </c>
      <c r="P3" s="2643"/>
      <c r="Q3" s="2643"/>
      <c r="R3" s="2643"/>
      <c r="S3" s="2643"/>
      <c r="T3" s="2643"/>
      <c r="U3" s="2643"/>
      <c r="V3" s="2643"/>
      <c r="W3" s="2643"/>
      <c r="X3" s="2643"/>
      <c r="Y3" s="2643"/>
      <c r="Z3" s="2643"/>
      <c r="AA3" s="2643"/>
      <c r="AB3" s="2643"/>
      <c r="AC3" s="2643"/>
      <c r="AD3" s="2643"/>
      <c r="AE3" s="2643"/>
      <c r="AF3" s="2643"/>
      <c r="AG3" s="2644"/>
    </row>
    <row r="4" spans="1:33" ht="42" customHeight="1">
      <c r="A4" s="5" t="s">
        <v>12</v>
      </c>
      <c r="B4" s="5" t="s">
        <v>9</v>
      </c>
      <c r="C4" s="113" t="s">
        <v>0</v>
      </c>
      <c r="D4" s="109"/>
      <c r="E4" s="110" t="s">
        <v>1</v>
      </c>
      <c r="F4" s="111" t="s">
        <v>2</v>
      </c>
      <c r="G4" s="111" t="s">
        <v>3</v>
      </c>
      <c r="H4" s="112" t="s">
        <v>4</v>
      </c>
      <c r="I4" s="112" t="s">
        <v>5</v>
      </c>
      <c r="J4" s="2612" t="s">
        <v>6</v>
      </c>
      <c r="K4" s="2613"/>
      <c r="L4" s="2614"/>
      <c r="O4" s="157" t="s">
        <v>67</v>
      </c>
      <c r="P4" s="385" t="s">
        <v>275</v>
      </c>
      <c r="Q4" s="156" t="s">
        <v>216</v>
      </c>
      <c r="R4" s="275" t="s">
        <v>218</v>
      </c>
      <c r="S4" s="275" t="s">
        <v>219</v>
      </c>
      <c r="T4" s="275" t="s">
        <v>276</v>
      </c>
      <c r="U4" s="275" t="s">
        <v>128</v>
      </c>
      <c r="V4" s="156" t="s">
        <v>127</v>
      </c>
      <c r="W4" s="275" t="s">
        <v>277</v>
      </c>
      <c r="X4" s="223" t="s">
        <v>220</v>
      </c>
      <c r="Y4" s="223" t="s">
        <v>221</v>
      </c>
      <c r="Z4" s="223" t="s">
        <v>222</v>
      </c>
      <c r="AA4" s="223" t="s">
        <v>223</v>
      </c>
      <c r="AB4" s="161" t="s">
        <v>278</v>
      </c>
      <c r="AC4" s="158" t="s">
        <v>130</v>
      </c>
      <c r="AD4" s="155" t="s">
        <v>133</v>
      </c>
      <c r="AE4" s="155" t="s">
        <v>131</v>
      </c>
      <c r="AF4" s="155" t="s">
        <v>132</v>
      </c>
      <c r="AG4" s="155"/>
    </row>
    <row r="5" spans="1:33" ht="24" customHeight="1">
      <c r="A5" s="7"/>
      <c r="B5" s="7"/>
      <c r="C5" s="114" t="str">
        <f>+C2</f>
        <v>○○工事の部</v>
      </c>
      <c r="D5" s="115"/>
      <c r="E5" s="100"/>
      <c r="F5" s="291"/>
      <c r="G5" s="116"/>
      <c r="H5" s="83" t="s">
        <v>11</v>
      </c>
      <c r="I5" s="83" t="s">
        <v>11</v>
      </c>
      <c r="J5" s="2609"/>
      <c r="K5" s="2610"/>
      <c r="L5" s="2611"/>
      <c r="O5" s="226"/>
      <c r="P5" s="227"/>
      <c r="Q5" s="228"/>
      <c r="R5" s="228"/>
      <c r="S5" s="228"/>
      <c r="T5" s="228"/>
      <c r="U5" s="228"/>
      <c r="V5" s="228"/>
      <c r="W5" s="228"/>
      <c r="X5" s="229"/>
      <c r="Y5" s="229"/>
      <c r="Z5" s="229"/>
      <c r="AA5" s="229"/>
      <c r="AB5" s="231"/>
      <c r="AC5" s="230"/>
      <c r="AD5" s="228"/>
      <c r="AE5" s="228"/>
      <c r="AF5" s="228"/>
      <c r="AG5" s="228"/>
    </row>
    <row r="6" spans="1:33" s="39" customFormat="1" ht="24" customHeight="1">
      <c r="A6" s="38"/>
      <c r="B6" s="38"/>
      <c r="C6" s="194" t="s">
        <v>146</v>
      </c>
      <c r="D6" s="65"/>
      <c r="E6" s="102"/>
      <c r="F6" s="273"/>
      <c r="G6" s="118"/>
      <c r="H6" s="104"/>
      <c r="I6" s="104"/>
      <c r="J6" s="65"/>
      <c r="K6" s="65"/>
      <c r="L6" s="66"/>
      <c r="O6" s="226"/>
      <c r="P6" s="227"/>
      <c r="Q6" s="228"/>
      <c r="R6" s="228"/>
      <c r="S6" s="228"/>
      <c r="T6" s="228"/>
      <c r="U6" s="228"/>
      <c r="V6" s="228"/>
      <c r="W6" s="228"/>
      <c r="X6" s="229"/>
      <c r="Y6" s="229"/>
      <c r="Z6" s="229"/>
      <c r="AA6" s="229"/>
      <c r="AB6" s="231"/>
      <c r="AC6" s="230"/>
      <c r="AD6" s="228"/>
      <c r="AE6" s="228"/>
      <c r="AF6" s="228"/>
      <c r="AG6" s="228"/>
    </row>
    <row r="7" spans="1:33" s="39" customFormat="1" ht="24" customHeight="1">
      <c r="A7" s="38"/>
      <c r="B7" s="38"/>
      <c r="C7" s="105"/>
      <c r="D7" s="65"/>
      <c r="E7" s="102"/>
      <c r="F7" s="273"/>
      <c r="G7" s="118"/>
      <c r="H7" s="104"/>
      <c r="I7" s="104"/>
      <c r="J7" s="65"/>
      <c r="K7" s="65"/>
      <c r="L7" s="66"/>
      <c r="O7" s="226"/>
      <c r="P7" s="227"/>
      <c r="Q7" s="228"/>
      <c r="R7" s="228"/>
      <c r="S7" s="228"/>
      <c r="T7" s="228"/>
      <c r="U7" s="228"/>
      <c r="V7" s="228"/>
      <c r="W7" s="228"/>
      <c r="X7" s="229"/>
      <c r="Y7" s="229"/>
      <c r="Z7" s="229"/>
      <c r="AA7" s="229"/>
      <c r="AB7" s="231"/>
      <c r="AC7" s="230"/>
      <c r="AD7" s="228"/>
      <c r="AE7" s="228"/>
      <c r="AF7" s="228"/>
      <c r="AG7" s="228"/>
    </row>
    <row r="8" spans="1:33" s="39" customFormat="1" ht="24" customHeight="1">
      <c r="A8" s="38"/>
      <c r="B8" s="38"/>
      <c r="C8" s="105"/>
      <c r="D8" s="65"/>
      <c r="E8" s="102"/>
      <c r="F8" s="273"/>
      <c r="G8" s="118"/>
      <c r="H8" s="104"/>
      <c r="I8" s="104"/>
      <c r="J8" s="65"/>
      <c r="K8" s="65"/>
      <c r="L8" s="66"/>
      <c r="O8" s="226"/>
      <c r="P8" s="227"/>
      <c r="Q8" s="228"/>
      <c r="R8" s="228"/>
      <c r="S8" s="228"/>
      <c r="T8" s="228"/>
      <c r="U8" s="228"/>
      <c r="V8" s="228"/>
      <c r="W8" s="228"/>
      <c r="X8" s="229"/>
      <c r="Y8" s="229"/>
      <c r="Z8" s="229"/>
      <c r="AA8" s="229"/>
      <c r="AB8" s="231"/>
      <c r="AC8" s="230"/>
      <c r="AD8" s="228"/>
      <c r="AE8" s="228"/>
      <c r="AF8" s="228"/>
      <c r="AG8" s="228"/>
    </row>
    <row r="9" spans="1:33" s="39" customFormat="1" ht="24" customHeight="1">
      <c r="A9" s="38"/>
      <c r="B9" s="38"/>
      <c r="C9" s="105"/>
      <c r="D9" s="65"/>
      <c r="E9" s="102"/>
      <c r="F9" s="273"/>
      <c r="G9" s="118"/>
      <c r="H9" s="104"/>
      <c r="I9" s="104"/>
      <c r="J9" s="65"/>
      <c r="K9" s="65"/>
      <c r="L9" s="66"/>
      <c r="O9" s="226"/>
      <c r="P9" s="227"/>
      <c r="Q9" s="228"/>
      <c r="R9" s="228"/>
      <c r="S9" s="228"/>
      <c r="T9" s="228"/>
      <c r="U9" s="228"/>
      <c r="V9" s="228"/>
      <c r="W9" s="228"/>
      <c r="X9" s="229"/>
      <c r="Y9" s="229"/>
      <c r="Z9" s="229"/>
      <c r="AA9" s="229"/>
      <c r="AB9" s="231"/>
      <c r="AC9" s="230"/>
      <c r="AD9" s="228"/>
      <c r="AE9" s="228"/>
      <c r="AF9" s="228"/>
      <c r="AG9" s="228"/>
    </row>
    <row r="10" spans="1:33" s="39" customFormat="1" ht="24" customHeight="1">
      <c r="A10" s="38"/>
      <c r="B10" s="38"/>
      <c r="C10" s="105"/>
      <c r="D10" s="65"/>
      <c r="E10" s="102"/>
      <c r="F10" s="273"/>
      <c r="G10" s="118"/>
      <c r="H10" s="104"/>
      <c r="I10" s="104"/>
      <c r="J10" s="65"/>
      <c r="K10" s="65"/>
      <c r="L10" s="66"/>
      <c r="O10" s="226"/>
      <c r="P10" s="227"/>
      <c r="Q10" s="228"/>
      <c r="R10" s="228"/>
      <c r="S10" s="228"/>
      <c r="T10" s="228"/>
      <c r="U10" s="228"/>
      <c r="V10" s="228"/>
      <c r="W10" s="228"/>
      <c r="X10" s="229"/>
      <c r="Y10" s="229"/>
      <c r="Z10" s="229"/>
      <c r="AA10" s="229"/>
      <c r="AB10" s="231"/>
      <c r="AC10" s="230"/>
      <c r="AD10" s="228"/>
      <c r="AE10" s="228"/>
      <c r="AF10" s="228"/>
      <c r="AG10" s="228"/>
    </row>
    <row r="11" spans="1:33" s="39" customFormat="1" ht="24" customHeight="1">
      <c r="A11" s="38"/>
      <c r="B11" s="38"/>
      <c r="C11" s="105"/>
      <c r="D11" s="65"/>
      <c r="E11" s="102"/>
      <c r="F11" s="273"/>
      <c r="G11" s="118"/>
      <c r="H11" s="104"/>
      <c r="I11" s="104"/>
      <c r="J11" s="65"/>
      <c r="K11" s="65"/>
      <c r="L11" s="66"/>
      <c r="O11" s="226"/>
      <c r="P11" s="227"/>
      <c r="Q11" s="228"/>
      <c r="R11" s="228"/>
      <c r="S11" s="228"/>
      <c r="T11" s="228"/>
      <c r="U11" s="228"/>
      <c r="V11" s="228"/>
      <c r="W11" s="228"/>
      <c r="X11" s="229"/>
      <c r="Y11" s="229"/>
      <c r="Z11" s="229"/>
      <c r="AA11" s="229"/>
      <c r="AB11" s="231"/>
      <c r="AC11" s="230"/>
      <c r="AD11" s="228"/>
      <c r="AE11" s="228"/>
      <c r="AF11" s="228"/>
      <c r="AG11" s="228"/>
    </row>
    <row r="12" spans="1:33" s="39" customFormat="1" ht="24" customHeight="1">
      <c r="A12" s="38"/>
      <c r="B12" s="38"/>
      <c r="C12" s="105"/>
      <c r="D12" s="65"/>
      <c r="E12" s="102"/>
      <c r="F12" s="273"/>
      <c r="G12" s="118"/>
      <c r="H12" s="104"/>
      <c r="I12" s="104"/>
      <c r="J12" s="65"/>
      <c r="K12" s="65"/>
      <c r="L12" s="66"/>
      <c r="O12" s="226"/>
      <c r="P12" s="227"/>
      <c r="Q12" s="228"/>
      <c r="R12" s="228"/>
      <c r="S12" s="228"/>
      <c r="T12" s="228"/>
      <c r="U12" s="228"/>
      <c r="V12" s="228"/>
      <c r="W12" s="228"/>
      <c r="X12" s="229"/>
      <c r="Y12" s="229"/>
      <c r="Z12" s="229"/>
      <c r="AA12" s="229"/>
      <c r="AB12" s="231"/>
      <c r="AC12" s="230"/>
      <c r="AD12" s="228"/>
      <c r="AE12" s="228"/>
      <c r="AF12" s="228"/>
      <c r="AG12" s="228"/>
    </row>
    <row r="13" spans="1:33" s="39" customFormat="1" ht="24" customHeight="1">
      <c r="A13" s="38"/>
      <c r="B13" s="38"/>
      <c r="C13" s="105"/>
      <c r="D13" s="65"/>
      <c r="E13" s="102"/>
      <c r="F13" s="273"/>
      <c r="G13" s="118"/>
      <c r="H13" s="104"/>
      <c r="I13" s="104"/>
      <c r="J13" s="65"/>
      <c r="K13" s="65"/>
      <c r="L13" s="66"/>
      <c r="O13" s="226"/>
      <c r="P13" s="227"/>
      <c r="Q13" s="228"/>
      <c r="R13" s="228"/>
      <c r="S13" s="228"/>
      <c r="T13" s="228"/>
      <c r="U13" s="228"/>
      <c r="V13" s="228"/>
      <c r="W13" s="228"/>
      <c r="X13" s="229"/>
      <c r="Y13" s="229"/>
      <c r="Z13" s="229"/>
      <c r="AA13" s="229"/>
      <c r="AB13" s="231"/>
      <c r="AC13" s="230"/>
      <c r="AD13" s="228"/>
      <c r="AE13" s="228"/>
      <c r="AF13" s="228"/>
      <c r="AG13" s="228"/>
    </row>
    <row r="14" spans="1:33" s="39" customFormat="1" ht="24" customHeight="1">
      <c r="A14" s="38"/>
      <c r="B14" s="38"/>
      <c r="C14" s="105"/>
      <c r="D14" s="65"/>
      <c r="E14" s="102"/>
      <c r="F14" s="273"/>
      <c r="G14" s="118"/>
      <c r="H14" s="104"/>
      <c r="I14" s="104"/>
      <c r="J14" s="65"/>
      <c r="K14" s="65"/>
      <c r="L14" s="66"/>
      <c r="O14" s="226"/>
      <c r="P14" s="227"/>
      <c r="Q14" s="228"/>
      <c r="R14" s="228"/>
      <c r="S14" s="228"/>
      <c r="T14" s="228"/>
      <c r="U14" s="228"/>
      <c r="V14" s="228"/>
      <c r="W14" s="228"/>
      <c r="X14" s="229"/>
      <c r="Y14" s="229"/>
      <c r="Z14" s="229"/>
      <c r="AA14" s="229"/>
      <c r="AB14" s="231"/>
      <c r="AC14" s="230"/>
      <c r="AD14" s="228"/>
      <c r="AE14" s="228"/>
      <c r="AF14" s="228"/>
      <c r="AG14" s="228"/>
    </row>
    <row r="15" spans="1:33" s="39" customFormat="1" ht="24" customHeight="1">
      <c r="A15" s="38"/>
      <c r="B15" s="38"/>
      <c r="C15" s="105"/>
      <c r="D15" s="65"/>
      <c r="E15" s="102"/>
      <c r="F15" s="273"/>
      <c r="G15" s="118"/>
      <c r="H15" s="104"/>
      <c r="I15" s="104"/>
      <c r="J15" s="65"/>
      <c r="K15" s="65"/>
      <c r="L15" s="66"/>
      <c r="O15" s="226"/>
      <c r="P15" s="227"/>
      <c r="Q15" s="228"/>
      <c r="R15" s="228"/>
      <c r="S15" s="228"/>
      <c r="T15" s="228"/>
      <c r="U15" s="228"/>
      <c r="V15" s="228"/>
      <c r="W15" s="228"/>
      <c r="X15" s="229"/>
      <c r="Y15" s="229"/>
      <c r="Z15" s="229"/>
      <c r="AA15" s="229"/>
      <c r="AB15" s="231"/>
      <c r="AC15" s="230"/>
      <c r="AD15" s="228"/>
      <c r="AE15" s="228"/>
      <c r="AF15" s="228"/>
      <c r="AG15" s="228"/>
    </row>
    <row r="16" spans="1:33" s="39" customFormat="1" ht="24" customHeight="1">
      <c r="A16" s="38"/>
      <c r="B16" s="38"/>
      <c r="C16" s="105"/>
      <c r="D16" s="65" t="s">
        <v>48</v>
      </c>
      <c r="E16" s="102"/>
      <c r="F16" s="273"/>
      <c r="G16" s="118"/>
      <c r="H16" s="104"/>
      <c r="I16" s="104">
        <f>SUM(I7:I15)</f>
        <v>0</v>
      </c>
      <c r="J16" s="821" t="str">
        <f>IF(COUNTIF(N:N,"費用")=0,"","うち費用")</f>
        <v/>
      </c>
      <c r="K16" s="822" t="str">
        <f>IF(COUNTIF(N:N,"費用")=0,"",SUMIF(N:N,"費用",I:I))</f>
        <v/>
      </c>
      <c r="L16" s="66"/>
      <c r="O16" s="226"/>
      <c r="P16" s="227"/>
      <c r="Q16" s="228"/>
      <c r="R16" s="228"/>
      <c r="S16" s="228"/>
      <c r="T16" s="228"/>
      <c r="U16" s="228"/>
      <c r="V16" s="228"/>
      <c r="W16" s="228"/>
      <c r="X16" s="229"/>
      <c r="Y16" s="229"/>
      <c r="Z16" s="229"/>
      <c r="AA16" s="229"/>
      <c r="AB16" s="231"/>
      <c r="AC16" s="230"/>
      <c r="AD16" s="228"/>
      <c r="AE16" s="228"/>
      <c r="AF16" s="228"/>
      <c r="AG16" s="228"/>
    </row>
    <row r="17" spans="1:35" s="39" customFormat="1" ht="24" customHeight="1">
      <c r="A17" s="38"/>
      <c r="B17" s="38"/>
      <c r="C17" s="105"/>
      <c r="D17" s="119"/>
      <c r="E17" s="102"/>
      <c r="F17" s="273"/>
      <c r="G17" s="118"/>
      <c r="H17" s="104"/>
      <c r="I17" s="104"/>
      <c r="J17" s="65"/>
      <c r="K17" s="65"/>
      <c r="L17" s="66"/>
      <c r="O17" s="226"/>
      <c r="P17" s="227"/>
      <c r="Q17" s="228"/>
      <c r="R17" s="228"/>
      <c r="S17" s="228"/>
      <c r="T17" s="228"/>
      <c r="U17" s="228"/>
      <c r="V17" s="228"/>
      <c r="W17" s="228"/>
      <c r="X17" s="229"/>
      <c r="Y17" s="229"/>
      <c r="Z17" s="229"/>
      <c r="AA17" s="229"/>
      <c r="AB17" s="231"/>
      <c r="AC17" s="230"/>
      <c r="AD17" s="228"/>
      <c r="AE17" s="228"/>
      <c r="AF17" s="228"/>
      <c r="AG17" s="228"/>
    </row>
    <row r="18" spans="1:35" s="39" customFormat="1" ht="24" customHeight="1">
      <c r="A18" s="38"/>
      <c r="B18" s="38"/>
      <c r="C18" s="194" t="s">
        <v>147</v>
      </c>
      <c r="D18" s="65"/>
      <c r="E18" s="102"/>
      <c r="F18" s="273"/>
      <c r="G18" s="118"/>
      <c r="H18" s="104"/>
      <c r="I18" s="104"/>
      <c r="J18" s="65"/>
      <c r="K18" s="65"/>
      <c r="L18" s="66"/>
      <c r="O18" s="226"/>
      <c r="P18" s="227"/>
      <c r="Q18" s="228"/>
      <c r="R18" s="228"/>
      <c r="S18" s="228"/>
      <c r="T18" s="228"/>
      <c r="U18" s="228"/>
      <c r="V18" s="228"/>
      <c r="W18" s="228"/>
      <c r="X18" s="229"/>
      <c r="Y18" s="229"/>
      <c r="Z18" s="229"/>
      <c r="AA18" s="229"/>
      <c r="AB18" s="231"/>
      <c r="AC18" s="230"/>
      <c r="AD18" s="228"/>
      <c r="AE18" s="228"/>
      <c r="AF18" s="228"/>
      <c r="AG18" s="228"/>
    </row>
    <row r="19" spans="1:35" s="39" customFormat="1" ht="24" customHeight="1">
      <c r="A19" s="38"/>
      <c r="B19" s="38"/>
      <c r="C19" s="105"/>
      <c r="D19" s="65"/>
      <c r="E19" s="102"/>
      <c r="F19" s="273"/>
      <c r="G19" s="118"/>
      <c r="H19" s="104"/>
      <c r="I19" s="104"/>
      <c r="J19" s="65"/>
      <c r="K19" s="65"/>
      <c r="L19" s="66"/>
      <c r="O19" s="226"/>
      <c r="P19" s="227"/>
      <c r="Q19" s="228"/>
      <c r="R19" s="228"/>
      <c r="S19" s="228"/>
      <c r="T19" s="228"/>
      <c r="U19" s="228"/>
      <c r="V19" s="228"/>
      <c r="W19" s="228"/>
      <c r="X19" s="229"/>
      <c r="Y19" s="229"/>
      <c r="Z19" s="229"/>
      <c r="AA19" s="229"/>
      <c r="AB19" s="231"/>
      <c r="AC19" s="230"/>
      <c r="AD19" s="228"/>
      <c r="AE19" s="228"/>
      <c r="AF19" s="228"/>
      <c r="AG19" s="228"/>
    </row>
    <row r="20" spans="1:35" s="39" customFormat="1" ht="24" customHeight="1">
      <c r="A20" s="38"/>
      <c r="B20" s="38"/>
      <c r="C20" s="105"/>
      <c r="D20" s="65" t="s">
        <v>148</v>
      </c>
      <c r="E20" s="102"/>
      <c r="F20" s="273">
        <v>1</v>
      </c>
      <c r="G20" s="118" t="s">
        <v>7</v>
      </c>
      <c r="H20" s="104"/>
      <c r="I20" s="104"/>
      <c r="J20" s="195"/>
      <c r="K20" s="65"/>
      <c r="L20" s="66"/>
      <c r="O20" s="226"/>
      <c r="P20" s="227"/>
      <c r="Q20" s="228"/>
      <c r="R20" s="228"/>
      <c r="S20" s="228"/>
      <c r="T20" s="228"/>
      <c r="U20" s="228"/>
      <c r="V20" s="228"/>
      <c r="W20" s="228"/>
      <c r="X20" s="229"/>
      <c r="Y20" s="229"/>
      <c r="Z20" s="229"/>
      <c r="AA20" s="229"/>
      <c r="AB20" s="231"/>
      <c r="AC20" s="230"/>
      <c r="AD20" s="228"/>
      <c r="AE20" s="228"/>
      <c r="AF20" s="228"/>
      <c r="AG20" s="228"/>
    </row>
    <row r="21" spans="1:35" s="39" customFormat="1" ht="24" customHeight="1">
      <c r="A21" s="38"/>
      <c r="B21" s="38"/>
      <c r="C21" s="105"/>
      <c r="D21" s="65"/>
      <c r="E21" s="102"/>
      <c r="F21" s="273"/>
      <c r="G21" s="118"/>
      <c r="H21" s="104"/>
      <c r="I21" s="104"/>
      <c r="J21" s="65"/>
      <c r="K21" s="65"/>
      <c r="L21" s="66"/>
      <c r="O21" s="226"/>
      <c r="P21" s="227"/>
      <c r="Q21" s="228"/>
      <c r="R21" s="228"/>
      <c r="S21" s="228"/>
      <c r="T21" s="228"/>
      <c r="U21" s="228"/>
      <c r="V21" s="228"/>
      <c r="W21" s="228"/>
      <c r="X21" s="229"/>
      <c r="Y21" s="229"/>
      <c r="Z21" s="229"/>
      <c r="AA21" s="229"/>
      <c r="AB21" s="231"/>
      <c r="AC21" s="230"/>
      <c r="AD21" s="228"/>
      <c r="AE21" s="228"/>
      <c r="AF21" s="228"/>
      <c r="AG21" s="228"/>
    </row>
    <row r="22" spans="1:35" s="39" customFormat="1" ht="24" customHeight="1">
      <c r="A22" s="38"/>
      <c r="B22" s="38"/>
      <c r="C22" s="105"/>
      <c r="D22" s="65" t="s">
        <v>239</v>
      </c>
      <c r="E22" s="102"/>
      <c r="F22" s="273"/>
      <c r="G22" s="118"/>
      <c r="H22" s="104"/>
      <c r="I22" s="104">
        <f>I20+I16</f>
        <v>0</v>
      </c>
      <c r="J22" s="65"/>
      <c r="K22" s="65"/>
      <c r="L22" s="66"/>
      <c r="O22" s="226"/>
      <c r="P22" s="227"/>
      <c r="Q22" s="228"/>
      <c r="R22" s="228"/>
      <c r="S22" s="228"/>
      <c r="T22" s="228"/>
      <c r="U22" s="228"/>
      <c r="V22" s="228"/>
      <c r="W22" s="228"/>
      <c r="X22" s="229"/>
      <c r="Y22" s="229"/>
      <c r="Z22" s="229"/>
      <c r="AA22" s="229"/>
      <c r="AB22" s="231"/>
      <c r="AC22" s="230"/>
      <c r="AD22" s="228"/>
      <c r="AE22" s="228"/>
      <c r="AF22" s="228"/>
      <c r="AG22" s="228"/>
    </row>
    <row r="23" spans="1:35" s="39" customFormat="1" ht="24" customHeight="1">
      <c r="A23" s="38"/>
      <c r="B23" s="38"/>
      <c r="C23" s="105"/>
      <c r="D23" s="65"/>
      <c r="E23" s="102"/>
      <c r="F23" s="273"/>
      <c r="G23" s="118"/>
      <c r="H23" s="104"/>
      <c r="I23" s="104"/>
      <c r="J23" s="65"/>
      <c r="K23" s="65"/>
      <c r="L23" s="66"/>
      <c r="O23" s="226"/>
      <c r="P23" s="227"/>
      <c r="Q23" s="228"/>
      <c r="R23" s="228"/>
      <c r="S23" s="228"/>
      <c r="T23" s="228"/>
      <c r="U23" s="228"/>
      <c r="V23" s="228"/>
      <c r="W23" s="228"/>
      <c r="X23" s="229"/>
      <c r="Y23" s="229"/>
      <c r="Z23" s="229"/>
      <c r="AA23" s="229"/>
      <c r="AB23" s="231"/>
      <c r="AC23" s="230"/>
      <c r="AD23" s="228"/>
      <c r="AE23" s="228"/>
      <c r="AF23" s="228"/>
      <c r="AG23" s="228"/>
    </row>
    <row r="24" spans="1:35" ht="24" customHeight="1" thickBot="1">
      <c r="A24" s="38"/>
      <c r="B24" s="38"/>
      <c r="C24" s="106"/>
      <c r="D24" s="95" t="s">
        <v>240</v>
      </c>
      <c r="E24" s="107"/>
      <c r="F24" s="274"/>
      <c r="G24" s="121"/>
      <c r="H24" s="131" t="s">
        <v>70</v>
      </c>
      <c r="I24" s="108"/>
      <c r="J24" s="95" t="s">
        <v>71</v>
      </c>
      <c r="K24" s="95"/>
      <c r="L24" s="123"/>
      <c r="O24" s="226"/>
      <c r="P24" s="227"/>
      <c r="Q24" s="228"/>
      <c r="R24" s="228"/>
      <c r="S24" s="228"/>
      <c r="T24" s="228"/>
      <c r="U24" s="228"/>
      <c r="V24" s="228"/>
      <c r="W24" s="228"/>
      <c r="X24" s="229"/>
      <c r="Y24" s="229"/>
      <c r="Z24" s="229"/>
      <c r="AA24" s="229"/>
      <c r="AB24" s="231"/>
      <c r="AC24" s="230"/>
      <c r="AD24" s="228"/>
      <c r="AE24" s="228"/>
      <c r="AF24" s="228"/>
      <c r="AG24" s="228"/>
    </row>
    <row r="25" spans="1:35" ht="14.25" customHeight="1">
      <c r="E25" s="124" t="s">
        <v>88</v>
      </c>
      <c r="F25" s="125">
        <f>+F2+1</f>
        <v>1</v>
      </c>
      <c r="G25" s="126" t="s">
        <v>89</v>
      </c>
      <c r="H25" s="127">
        <f>H2</f>
        <v>15</v>
      </c>
      <c r="M25" s="40" t="str">
        <f>IF(A27="","EOL","")</f>
        <v/>
      </c>
      <c r="N25" s="1">
        <f>+F25</f>
        <v>1</v>
      </c>
    </row>
    <row r="26" spans="1:35" ht="26.1" customHeight="1" thickBot="1">
      <c r="C26" s="2615" t="s">
        <v>332</v>
      </c>
      <c r="D26" s="2615"/>
      <c r="E26" s="2615"/>
      <c r="F26" s="2615"/>
      <c r="G26" s="2615"/>
      <c r="H26" s="2615"/>
      <c r="I26" s="2615"/>
      <c r="J26" s="2615"/>
      <c r="K26" s="2615"/>
      <c r="L26" s="2615"/>
      <c r="O26" s="2642" t="s">
        <v>134</v>
      </c>
      <c r="P26" s="2643"/>
      <c r="Q26" s="2643"/>
      <c r="R26" s="2643"/>
      <c r="S26" s="2643"/>
      <c r="T26" s="2643"/>
      <c r="U26" s="2643"/>
      <c r="V26" s="2643"/>
      <c r="W26" s="2643"/>
      <c r="X26" s="2643"/>
      <c r="Y26" s="2643"/>
      <c r="Z26" s="2643"/>
      <c r="AA26" s="2643"/>
      <c r="AB26" s="2643"/>
      <c r="AC26" s="2643"/>
      <c r="AD26" s="2643"/>
      <c r="AE26" s="2643"/>
      <c r="AF26" s="2643"/>
      <c r="AG26" s="2644"/>
    </row>
    <row r="27" spans="1:35" ht="42" customHeight="1">
      <c r="A27" s="5" t="s">
        <v>12</v>
      </c>
      <c r="B27" s="5" t="s">
        <v>9</v>
      </c>
      <c r="C27" s="113" t="s">
        <v>0</v>
      </c>
      <c r="D27" s="109"/>
      <c r="E27" s="110" t="s">
        <v>1</v>
      </c>
      <c r="F27" s="111" t="s">
        <v>2</v>
      </c>
      <c r="G27" s="111" t="s">
        <v>3</v>
      </c>
      <c r="H27" s="112" t="s">
        <v>4</v>
      </c>
      <c r="I27" s="112" t="s">
        <v>5</v>
      </c>
      <c r="J27" s="2612" t="s">
        <v>6</v>
      </c>
      <c r="K27" s="2613"/>
      <c r="L27" s="2614"/>
      <c r="M27" s="818"/>
      <c r="N27" s="817"/>
      <c r="O27" s="816" t="s">
        <v>67</v>
      </c>
      <c r="P27" s="385" t="s">
        <v>275</v>
      </c>
      <c r="Q27" s="156" t="s">
        <v>216</v>
      </c>
      <c r="R27" s="275" t="s">
        <v>218</v>
      </c>
      <c r="S27" s="275" t="s">
        <v>219</v>
      </c>
      <c r="T27" s="275" t="s">
        <v>276</v>
      </c>
      <c r="U27" s="275" t="s">
        <v>128</v>
      </c>
      <c r="V27" s="156" t="s">
        <v>127</v>
      </c>
      <c r="W27" s="275" t="s">
        <v>277</v>
      </c>
      <c r="X27" s="223" t="s">
        <v>220</v>
      </c>
      <c r="Y27" s="223" t="s">
        <v>221</v>
      </c>
      <c r="Z27" s="223" t="s">
        <v>222</v>
      </c>
      <c r="AA27" s="223" t="s">
        <v>223</v>
      </c>
      <c r="AB27" s="161" t="s">
        <v>278</v>
      </c>
      <c r="AC27" s="158" t="s">
        <v>130</v>
      </c>
      <c r="AD27" s="155" t="s">
        <v>133</v>
      </c>
      <c r="AE27" s="155" t="s">
        <v>131</v>
      </c>
      <c r="AF27" s="155" t="s">
        <v>132</v>
      </c>
      <c r="AG27" s="155"/>
    </row>
    <row r="28" spans="1:35" ht="24" customHeight="1">
      <c r="A28" s="38"/>
      <c r="B28" s="38"/>
      <c r="C28" s="132" t="s">
        <v>150</v>
      </c>
      <c r="D28" s="99"/>
      <c r="E28" s="100"/>
      <c r="F28" s="272"/>
      <c r="G28" s="136"/>
      <c r="H28" s="94" t="s">
        <v>11</v>
      </c>
      <c r="I28" s="94" t="s">
        <v>11</v>
      </c>
      <c r="J28" s="2609"/>
      <c r="K28" s="2610"/>
      <c r="L28" s="2611"/>
      <c r="O28" s="226"/>
      <c r="P28" s="227"/>
      <c r="Q28" s="228"/>
      <c r="R28" s="228"/>
      <c r="S28" s="228"/>
      <c r="T28" s="228"/>
      <c r="U28" s="228"/>
      <c r="V28" s="228"/>
      <c r="W28" s="228"/>
      <c r="X28" s="229"/>
      <c r="Y28" s="229"/>
      <c r="Z28" s="229"/>
      <c r="AA28" s="229"/>
      <c r="AB28" s="229"/>
      <c r="AC28" s="228"/>
      <c r="AD28" s="461"/>
      <c r="AE28" s="462"/>
      <c r="AF28" s="228"/>
      <c r="AG28" s="228"/>
      <c r="AH28" s="463"/>
    </row>
    <row r="29" spans="1:35" s="39" customFormat="1" ht="24" customHeight="1">
      <c r="A29" s="38"/>
      <c r="B29" s="38"/>
      <c r="C29" s="105"/>
      <c r="D29" s="65" t="s">
        <v>2488</v>
      </c>
      <c r="E29" s="102"/>
      <c r="F29" s="273"/>
      <c r="G29" s="118"/>
      <c r="H29" s="137"/>
      <c r="I29" s="104" t="str">
        <f t="shared" ref="I29:I46" si="0">IF(F29="","",INT(F29*H29))</f>
        <v/>
      </c>
      <c r="J29" s="65"/>
      <c r="K29" s="65"/>
      <c r="L29" s="66"/>
      <c r="O29" s="226"/>
      <c r="P29" s="227"/>
      <c r="Q29" s="228"/>
      <c r="R29" s="228"/>
      <c r="S29" s="228"/>
      <c r="T29" s="228"/>
      <c r="U29" s="228"/>
      <c r="V29" s="228"/>
      <c r="W29" s="228"/>
      <c r="X29" s="229"/>
      <c r="Y29" s="229"/>
      <c r="Z29" s="229"/>
      <c r="AA29" s="229"/>
      <c r="AB29" s="229"/>
      <c r="AC29" s="228"/>
      <c r="AD29" s="461"/>
      <c r="AE29" s="462"/>
      <c r="AF29" s="228"/>
      <c r="AG29" s="228"/>
      <c r="AH29" s="228"/>
      <c r="AI29" s="789"/>
    </row>
    <row r="30" spans="1:35" s="39" customFormat="1" ht="24" customHeight="1">
      <c r="A30" s="38"/>
      <c r="B30" s="38"/>
      <c r="C30" s="105"/>
      <c r="D30" s="65" t="s">
        <v>2472</v>
      </c>
      <c r="E30" s="102"/>
      <c r="F30" s="273">
        <v>1</v>
      </c>
      <c r="G30" s="118" t="s">
        <v>2473</v>
      </c>
      <c r="H30" s="137"/>
      <c r="I30" s="104">
        <f t="shared" si="0"/>
        <v>0</v>
      </c>
      <c r="J30" s="65"/>
      <c r="K30" s="65"/>
      <c r="L30" s="66"/>
      <c r="O30" s="226"/>
      <c r="P30" s="227"/>
      <c r="Q30" s="228"/>
      <c r="R30" s="228"/>
      <c r="S30" s="228"/>
      <c r="T30" s="228"/>
      <c r="U30" s="228"/>
      <c r="V30" s="228"/>
      <c r="W30" s="228"/>
      <c r="X30" s="229"/>
      <c r="Y30" s="229"/>
      <c r="Z30" s="229"/>
      <c r="AA30" s="229"/>
      <c r="AB30" s="229"/>
      <c r="AC30" s="228"/>
      <c r="AD30" s="461"/>
      <c r="AE30" s="462"/>
      <c r="AF30" s="228"/>
      <c r="AG30" s="228"/>
      <c r="AH30" s="228"/>
      <c r="AI30" s="789"/>
    </row>
    <row r="31" spans="1:35" s="39" customFormat="1" ht="24" customHeight="1">
      <c r="A31" s="38"/>
      <c r="B31" s="38"/>
      <c r="C31" s="105"/>
      <c r="D31" s="65"/>
      <c r="E31" s="102"/>
      <c r="F31" s="273"/>
      <c r="G31" s="118"/>
      <c r="H31" s="137"/>
      <c r="I31" s="104" t="str">
        <f t="shared" si="0"/>
        <v/>
      </c>
      <c r="J31" s="65"/>
      <c r="K31" s="65"/>
      <c r="L31" s="66"/>
      <c r="O31" s="226"/>
      <c r="P31" s="227"/>
      <c r="Q31" s="228"/>
      <c r="R31" s="228"/>
      <c r="S31" s="228"/>
      <c r="T31" s="228"/>
      <c r="U31" s="228"/>
      <c r="V31" s="228"/>
      <c r="W31" s="228"/>
      <c r="X31" s="229"/>
      <c r="Y31" s="229"/>
      <c r="Z31" s="229"/>
      <c r="AA31" s="229"/>
      <c r="AB31" s="229"/>
      <c r="AC31" s="228"/>
      <c r="AD31" s="461"/>
      <c r="AE31" s="462"/>
      <c r="AF31" s="228"/>
      <c r="AG31" s="228"/>
      <c r="AH31" s="228"/>
      <c r="AI31" s="789"/>
    </row>
    <row r="32" spans="1:35" s="39" customFormat="1" ht="24" customHeight="1">
      <c r="A32" s="38"/>
      <c r="B32" s="38"/>
      <c r="C32" s="792"/>
      <c r="D32" s="793" t="s">
        <v>2489</v>
      </c>
      <c r="E32" s="794"/>
      <c r="F32" s="795"/>
      <c r="G32" s="796"/>
      <c r="H32" s="797"/>
      <c r="I32" s="798">
        <f>SUM(I30:I31)</f>
        <v>0</v>
      </c>
      <c r="J32" s="793"/>
      <c r="K32" s="793"/>
      <c r="L32" s="799"/>
      <c r="O32" s="226"/>
      <c r="P32" s="227"/>
      <c r="Q32" s="228"/>
      <c r="R32" s="228"/>
      <c r="S32" s="228"/>
      <c r="T32" s="228"/>
      <c r="U32" s="228"/>
      <c r="V32" s="228"/>
      <c r="W32" s="228"/>
      <c r="X32" s="229"/>
      <c r="Y32" s="229"/>
      <c r="Z32" s="229"/>
      <c r="AA32" s="229"/>
      <c r="AB32" s="229"/>
      <c r="AC32" s="228"/>
      <c r="AD32" s="461"/>
      <c r="AE32" s="462"/>
      <c r="AF32" s="228"/>
      <c r="AG32" s="228"/>
      <c r="AH32" s="228"/>
      <c r="AI32" s="789"/>
    </row>
    <row r="33" spans="1:35" s="39" customFormat="1" ht="24" customHeight="1">
      <c r="A33" s="38"/>
      <c r="B33" s="38"/>
      <c r="C33" s="800"/>
      <c r="D33" s="99"/>
      <c r="E33" s="100"/>
      <c r="F33" s="801"/>
      <c r="G33" s="136"/>
      <c r="H33" s="802"/>
      <c r="I33" s="803" t="str">
        <f t="shared" si="0"/>
        <v/>
      </c>
      <c r="J33" s="99"/>
      <c r="K33" s="99"/>
      <c r="L33" s="804"/>
      <c r="O33" s="226"/>
      <c r="P33" s="227"/>
      <c r="Q33" s="228"/>
      <c r="R33" s="228"/>
      <c r="S33" s="228"/>
      <c r="T33" s="228"/>
      <c r="U33" s="228"/>
      <c r="V33" s="228"/>
      <c r="W33" s="228"/>
      <c r="X33" s="229"/>
      <c r="Y33" s="229"/>
      <c r="Z33" s="229"/>
      <c r="AA33" s="229"/>
      <c r="AB33" s="229"/>
      <c r="AC33" s="228"/>
      <c r="AD33" s="461"/>
      <c r="AE33" s="462"/>
      <c r="AF33" s="228"/>
      <c r="AG33" s="228"/>
      <c r="AH33" s="228"/>
      <c r="AI33" s="789"/>
    </row>
    <row r="34" spans="1:35" s="39" customFormat="1" ht="24" customHeight="1">
      <c r="A34" s="38"/>
      <c r="B34" s="38"/>
      <c r="C34" s="105"/>
      <c r="D34" s="65" t="s">
        <v>2490</v>
      </c>
      <c r="E34" s="102"/>
      <c r="F34" s="273"/>
      <c r="G34" s="118"/>
      <c r="H34" s="137"/>
      <c r="I34" s="104" t="str">
        <f t="shared" si="0"/>
        <v/>
      </c>
      <c r="J34" s="65"/>
      <c r="K34" s="65"/>
      <c r="L34" s="66"/>
      <c r="O34" s="226"/>
      <c r="P34" s="227"/>
      <c r="Q34" s="228"/>
      <c r="R34" s="228"/>
      <c r="S34" s="228"/>
      <c r="T34" s="228"/>
      <c r="U34" s="228"/>
      <c r="V34" s="228"/>
      <c r="W34" s="228"/>
      <c r="X34" s="229"/>
      <c r="Y34" s="229"/>
      <c r="Z34" s="229"/>
      <c r="AA34" s="229"/>
      <c r="AB34" s="229"/>
      <c r="AC34" s="228"/>
      <c r="AD34" s="461"/>
      <c r="AE34" s="462"/>
      <c r="AF34" s="228"/>
      <c r="AG34" s="228"/>
      <c r="AH34" s="228"/>
      <c r="AI34" s="789"/>
    </row>
    <row r="35" spans="1:35" s="39" customFormat="1" ht="24" customHeight="1">
      <c r="A35" s="38"/>
      <c r="B35" s="38"/>
      <c r="C35" s="105"/>
      <c r="D35" s="65" t="s">
        <v>2491</v>
      </c>
      <c r="E35" s="102"/>
      <c r="F35" s="273">
        <v>1</v>
      </c>
      <c r="G35" s="118" t="s">
        <v>7</v>
      </c>
      <c r="H35" s="137"/>
      <c r="I35" s="104">
        <f t="shared" si="0"/>
        <v>0</v>
      </c>
      <c r="J35" s="65"/>
      <c r="K35" s="65"/>
      <c r="L35" s="66"/>
      <c r="O35" s="226"/>
      <c r="P35" s="227"/>
      <c r="Q35" s="228"/>
      <c r="R35" s="228"/>
      <c r="S35" s="228"/>
      <c r="T35" s="228"/>
      <c r="U35" s="228"/>
      <c r="V35" s="228"/>
      <c r="W35" s="228"/>
      <c r="X35" s="229"/>
      <c r="Y35" s="229"/>
      <c r="Z35" s="229"/>
      <c r="AA35" s="229"/>
      <c r="AB35" s="229"/>
      <c r="AC35" s="228"/>
      <c r="AD35" s="461"/>
      <c r="AE35" s="462"/>
      <c r="AF35" s="228"/>
      <c r="AG35" s="228"/>
      <c r="AH35" s="228"/>
      <c r="AI35" s="789"/>
    </row>
    <row r="36" spans="1:35" s="39" customFormat="1" ht="24" customHeight="1">
      <c r="A36" s="38"/>
      <c r="B36" s="38"/>
      <c r="C36" s="105"/>
      <c r="D36" s="65" t="s">
        <v>2492</v>
      </c>
      <c r="E36" s="102"/>
      <c r="F36" s="273">
        <v>1</v>
      </c>
      <c r="G36" s="118" t="s">
        <v>7</v>
      </c>
      <c r="H36" s="137"/>
      <c r="I36" s="104">
        <f t="shared" si="0"/>
        <v>0</v>
      </c>
      <c r="J36" s="65"/>
      <c r="K36" s="65"/>
      <c r="L36" s="66"/>
      <c r="O36" s="226"/>
      <c r="P36" s="227"/>
      <c r="Q36" s="228"/>
      <c r="R36" s="228"/>
      <c r="S36" s="228"/>
      <c r="T36" s="228"/>
      <c r="U36" s="228"/>
      <c r="V36" s="228"/>
      <c r="W36" s="228"/>
      <c r="X36" s="229"/>
      <c r="Y36" s="229"/>
      <c r="Z36" s="229"/>
      <c r="AA36" s="229"/>
      <c r="AB36" s="229"/>
      <c r="AC36" s="228"/>
      <c r="AD36" s="461"/>
      <c r="AE36" s="462"/>
      <c r="AF36" s="228"/>
      <c r="AG36" s="228"/>
      <c r="AH36" s="228"/>
      <c r="AI36" s="789"/>
    </row>
    <row r="37" spans="1:35" s="39" customFormat="1" ht="24" customHeight="1">
      <c r="A37" s="38"/>
      <c r="B37" s="38"/>
      <c r="C37" s="105"/>
      <c r="D37" s="65" t="s">
        <v>2493</v>
      </c>
      <c r="E37" s="102"/>
      <c r="F37" s="273">
        <v>1</v>
      </c>
      <c r="G37" s="118" t="s">
        <v>7</v>
      </c>
      <c r="H37" s="137"/>
      <c r="I37" s="104">
        <f t="shared" si="0"/>
        <v>0</v>
      </c>
      <c r="J37" s="65"/>
      <c r="K37" s="65"/>
      <c r="L37" s="66"/>
      <c r="O37" s="226"/>
      <c r="P37" s="227"/>
      <c r="Q37" s="228"/>
      <c r="R37" s="228"/>
      <c r="S37" s="228"/>
      <c r="T37" s="228"/>
      <c r="U37" s="228"/>
      <c r="V37" s="228"/>
      <c r="W37" s="228"/>
      <c r="X37" s="229"/>
      <c r="Y37" s="229"/>
      <c r="Z37" s="229"/>
      <c r="AA37" s="229"/>
      <c r="AB37" s="229"/>
      <c r="AC37" s="228"/>
      <c r="AD37" s="461"/>
      <c r="AE37" s="462"/>
      <c r="AF37" s="228"/>
      <c r="AG37" s="228"/>
      <c r="AH37" s="228"/>
      <c r="AI37" s="789"/>
    </row>
    <row r="38" spans="1:35" s="39" customFormat="1" ht="24" customHeight="1">
      <c r="A38" s="38"/>
      <c r="B38" s="38"/>
      <c r="C38" s="105"/>
      <c r="D38" s="65" t="s">
        <v>2494</v>
      </c>
      <c r="E38" s="102"/>
      <c r="F38" s="273">
        <v>1</v>
      </c>
      <c r="G38" s="118" t="s">
        <v>7</v>
      </c>
      <c r="H38" s="137"/>
      <c r="I38" s="104">
        <f t="shared" si="0"/>
        <v>0</v>
      </c>
      <c r="J38" s="65"/>
      <c r="K38" s="65"/>
      <c r="L38" s="66"/>
      <c r="O38" s="226"/>
      <c r="P38" s="227"/>
      <c r="Q38" s="228"/>
      <c r="R38" s="228"/>
      <c r="S38" s="228"/>
      <c r="T38" s="228"/>
      <c r="U38" s="228"/>
      <c r="V38" s="228"/>
      <c r="W38" s="228"/>
      <c r="X38" s="229"/>
      <c r="Y38" s="229"/>
      <c r="Z38" s="229"/>
      <c r="AA38" s="229"/>
      <c r="AB38" s="229"/>
      <c r="AC38" s="228"/>
      <c r="AD38" s="461"/>
      <c r="AE38" s="462"/>
      <c r="AF38" s="228"/>
      <c r="AG38" s="228"/>
      <c r="AH38" s="228"/>
      <c r="AI38" s="789"/>
    </row>
    <row r="39" spans="1:35" s="39" customFormat="1" ht="24" customHeight="1">
      <c r="A39" s="38"/>
      <c r="B39" s="38"/>
      <c r="C39" s="105"/>
      <c r="D39" s="65" t="s">
        <v>2495</v>
      </c>
      <c r="E39" s="102"/>
      <c r="F39" s="273">
        <v>1</v>
      </c>
      <c r="G39" s="118" t="s">
        <v>7</v>
      </c>
      <c r="H39" s="137"/>
      <c r="I39" s="104">
        <f t="shared" si="0"/>
        <v>0</v>
      </c>
      <c r="J39" s="65"/>
      <c r="K39" s="65"/>
      <c r="L39" s="66"/>
      <c r="O39" s="226"/>
      <c r="P39" s="227"/>
      <c r="Q39" s="228"/>
      <c r="R39" s="228"/>
      <c r="S39" s="228"/>
      <c r="T39" s="228"/>
      <c r="U39" s="228"/>
      <c r="V39" s="228"/>
      <c r="W39" s="228"/>
      <c r="X39" s="229"/>
      <c r="Y39" s="229"/>
      <c r="Z39" s="229"/>
      <c r="AA39" s="229"/>
      <c r="AB39" s="229"/>
      <c r="AC39" s="228"/>
      <c r="AD39" s="461"/>
      <c r="AE39" s="462"/>
      <c r="AF39" s="228"/>
      <c r="AG39" s="228"/>
      <c r="AH39" s="228"/>
      <c r="AI39" s="789"/>
    </row>
    <row r="40" spans="1:35" s="39" customFormat="1" ht="24" customHeight="1">
      <c r="A40" s="38"/>
      <c r="B40" s="38"/>
      <c r="C40" s="105"/>
      <c r="D40" s="65" t="s">
        <v>2496</v>
      </c>
      <c r="E40" s="102"/>
      <c r="F40" s="273">
        <v>1</v>
      </c>
      <c r="G40" s="118" t="s">
        <v>7</v>
      </c>
      <c r="H40" s="137"/>
      <c r="I40" s="104">
        <f t="shared" si="0"/>
        <v>0</v>
      </c>
      <c r="J40" s="65"/>
      <c r="K40" s="65"/>
      <c r="L40" s="66"/>
      <c r="O40" s="226"/>
      <c r="P40" s="227"/>
      <c r="Q40" s="228"/>
      <c r="R40" s="228"/>
      <c r="S40" s="228"/>
      <c r="T40" s="228"/>
      <c r="U40" s="228"/>
      <c r="V40" s="228"/>
      <c r="W40" s="228"/>
      <c r="X40" s="229"/>
      <c r="Y40" s="229"/>
      <c r="Z40" s="229"/>
      <c r="AA40" s="229"/>
      <c r="AB40" s="229"/>
      <c r="AC40" s="228"/>
      <c r="AD40" s="461"/>
      <c r="AE40" s="462"/>
      <c r="AF40" s="228"/>
      <c r="AG40" s="228"/>
      <c r="AH40" s="228"/>
      <c r="AI40" s="789"/>
    </row>
    <row r="41" spans="1:35" s="39" customFormat="1" ht="24" customHeight="1">
      <c r="A41" s="38"/>
      <c r="B41" s="38"/>
      <c r="C41" s="105"/>
      <c r="D41" s="65" t="s">
        <v>2497</v>
      </c>
      <c r="E41" s="102"/>
      <c r="F41" s="273">
        <v>1</v>
      </c>
      <c r="G41" s="118" t="s">
        <v>7</v>
      </c>
      <c r="H41" s="137"/>
      <c r="I41" s="104">
        <f t="shared" si="0"/>
        <v>0</v>
      </c>
      <c r="J41" s="65"/>
      <c r="K41" s="65"/>
      <c r="L41" s="66"/>
      <c r="O41" s="226"/>
      <c r="P41" s="227"/>
      <c r="Q41" s="228"/>
      <c r="R41" s="228"/>
      <c r="S41" s="228"/>
      <c r="T41" s="228"/>
      <c r="U41" s="228"/>
      <c r="V41" s="228"/>
      <c r="W41" s="228"/>
      <c r="X41" s="229"/>
      <c r="Y41" s="229"/>
      <c r="Z41" s="229"/>
      <c r="AA41" s="229"/>
      <c r="AB41" s="229"/>
      <c r="AC41" s="228"/>
      <c r="AD41" s="461"/>
      <c r="AE41" s="462"/>
      <c r="AF41" s="228"/>
      <c r="AG41" s="228"/>
      <c r="AH41" s="228"/>
      <c r="AI41" s="789"/>
    </row>
    <row r="42" spans="1:35" s="39" customFormat="1" ht="24" customHeight="1">
      <c r="A42" s="38"/>
      <c r="B42" s="38"/>
      <c r="C42" s="105"/>
      <c r="D42" s="65" t="s">
        <v>2498</v>
      </c>
      <c r="E42" s="102"/>
      <c r="F42" s="273">
        <v>1</v>
      </c>
      <c r="G42" s="118" t="s">
        <v>7</v>
      </c>
      <c r="H42" s="137"/>
      <c r="I42" s="104">
        <f t="shared" si="0"/>
        <v>0</v>
      </c>
      <c r="J42" s="65"/>
      <c r="K42" s="65"/>
      <c r="L42" s="66"/>
      <c r="O42" s="226"/>
      <c r="P42" s="227"/>
      <c r="Q42" s="228"/>
      <c r="R42" s="228"/>
      <c r="S42" s="228"/>
      <c r="T42" s="228"/>
      <c r="U42" s="228"/>
      <c r="V42" s="228"/>
      <c r="W42" s="228"/>
      <c r="X42" s="229"/>
      <c r="Y42" s="229"/>
      <c r="Z42" s="229"/>
      <c r="AA42" s="229"/>
      <c r="AB42" s="229"/>
      <c r="AC42" s="228"/>
      <c r="AD42" s="461"/>
      <c r="AE42" s="462"/>
      <c r="AF42" s="228"/>
      <c r="AG42" s="228"/>
      <c r="AH42" s="228"/>
      <c r="AI42" s="789"/>
    </row>
    <row r="43" spans="1:35" s="39" customFormat="1" ht="24" customHeight="1">
      <c r="A43" s="38"/>
      <c r="B43" s="38"/>
      <c r="C43" s="105"/>
      <c r="D43" s="65" t="s">
        <v>2499</v>
      </c>
      <c r="E43" s="102"/>
      <c r="F43" s="273">
        <v>1</v>
      </c>
      <c r="G43" s="118" t="s">
        <v>7</v>
      </c>
      <c r="H43" s="137"/>
      <c r="I43" s="104">
        <f t="shared" si="0"/>
        <v>0</v>
      </c>
      <c r="J43" s="65"/>
      <c r="K43" s="65"/>
      <c r="L43" s="66"/>
      <c r="O43" s="226"/>
      <c r="P43" s="227"/>
      <c r="Q43" s="228"/>
      <c r="R43" s="228"/>
      <c r="S43" s="228"/>
      <c r="T43" s="228"/>
      <c r="U43" s="228"/>
      <c r="V43" s="228"/>
      <c r="W43" s="228"/>
      <c r="X43" s="229"/>
      <c r="Y43" s="229"/>
      <c r="Z43" s="229"/>
      <c r="AA43" s="229"/>
      <c r="AB43" s="229"/>
      <c r="AC43" s="228"/>
      <c r="AD43" s="461"/>
      <c r="AE43" s="462"/>
      <c r="AF43" s="228"/>
      <c r="AG43" s="228"/>
      <c r="AH43" s="228"/>
      <c r="AI43" s="789"/>
    </row>
    <row r="44" spans="1:35" s="39" customFormat="1" ht="24" customHeight="1">
      <c r="A44" s="38"/>
      <c r="B44" s="38"/>
      <c r="C44" s="105"/>
      <c r="D44" s="65"/>
      <c r="E44" s="102"/>
      <c r="F44" s="273"/>
      <c r="G44" s="118"/>
      <c r="H44" s="137"/>
      <c r="I44" s="104" t="str">
        <f t="shared" si="0"/>
        <v/>
      </c>
      <c r="J44" s="65"/>
      <c r="K44" s="65"/>
      <c r="L44" s="66"/>
      <c r="O44" s="226"/>
      <c r="P44" s="227"/>
      <c r="Q44" s="228"/>
      <c r="R44" s="228"/>
      <c r="S44" s="228"/>
      <c r="T44" s="228"/>
      <c r="U44" s="228"/>
      <c r="V44" s="228"/>
      <c r="W44" s="228"/>
      <c r="X44" s="229"/>
      <c r="Y44" s="229"/>
      <c r="Z44" s="229"/>
      <c r="AA44" s="229"/>
      <c r="AB44" s="229"/>
      <c r="AC44" s="228"/>
      <c r="AD44" s="461"/>
      <c r="AE44" s="462"/>
      <c r="AF44" s="228"/>
      <c r="AG44" s="228"/>
      <c r="AH44" s="228"/>
      <c r="AI44" s="789"/>
    </row>
    <row r="45" spans="1:35" s="39" customFormat="1" ht="24" customHeight="1">
      <c r="A45" s="38"/>
      <c r="B45" s="38"/>
      <c r="C45" s="805"/>
      <c r="D45" s="793" t="s">
        <v>2500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9"/>
      <c r="O45" s="226"/>
      <c r="P45" s="227"/>
      <c r="Q45" s="228"/>
      <c r="R45" s="228"/>
      <c r="S45" s="228"/>
      <c r="T45" s="228"/>
      <c r="U45" s="228"/>
      <c r="V45" s="228"/>
      <c r="W45" s="228"/>
      <c r="X45" s="229"/>
      <c r="Y45" s="229"/>
      <c r="Z45" s="229"/>
      <c r="AA45" s="229"/>
      <c r="AB45" s="229"/>
      <c r="AC45" s="228"/>
      <c r="AD45" s="461"/>
      <c r="AE45" s="462"/>
      <c r="AF45" s="228"/>
      <c r="AG45" s="228"/>
      <c r="AH45" s="228"/>
      <c r="AI45" s="789"/>
    </row>
    <row r="46" spans="1:35" s="39" customFormat="1" ht="24" customHeight="1">
      <c r="A46" s="38"/>
      <c r="B46" s="38"/>
      <c r="C46" s="800"/>
      <c r="D46" s="99"/>
      <c r="E46" s="100"/>
      <c r="F46" s="801"/>
      <c r="G46" s="136"/>
      <c r="H46" s="802"/>
      <c r="I46" s="803" t="str">
        <f t="shared" si="0"/>
        <v/>
      </c>
      <c r="J46" s="99"/>
      <c r="K46" s="99"/>
      <c r="L46" s="804"/>
      <c r="O46" s="226"/>
      <c r="P46" s="227"/>
      <c r="Q46" s="228"/>
      <c r="R46" s="228"/>
      <c r="S46" s="228"/>
      <c r="T46" s="228"/>
      <c r="U46" s="228"/>
      <c r="V46" s="228"/>
      <c r="W46" s="228"/>
      <c r="X46" s="229"/>
      <c r="Y46" s="229"/>
      <c r="Z46" s="229"/>
      <c r="AA46" s="229"/>
      <c r="AB46" s="229"/>
      <c r="AC46" s="228"/>
      <c r="AD46" s="461"/>
      <c r="AE46" s="462"/>
      <c r="AF46" s="228"/>
      <c r="AG46" s="228"/>
      <c r="AH46" s="228"/>
      <c r="AI46" s="789"/>
    </row>
    <row r="47" spans="1:35" ht="24" customHeight="1" thickBot="1">
      <c r="A47" s="38"/>
      <c r="B47" s="38"/>
      <c r="C47" s="106"/>
      <c r="D47" s="95" t="s">
        <v>8</v>
      </c>
      <c r="E47" s="107"/>
      <c r="F47" s="274"/>
      <c r="G47" s="121"/>
      <c r="H47" s="131" t="s">
        <v>70</v>
      </c>
      <c r="I47" s="108">
        <f>I32+I45</f>
        <v>0</v>
      </c>
      <c r="J47" s="825" t="str">
        <f>IF(C28="部分撤去工事","）うち費用",")")</f>
        <v>)</v>
      </c>
      <c r="K47" s="824">
        <f>IF(C28="部分撤去工事",(K24+L47),0)</f>
        <v>0</v>
      </c>
      <c r="L47" s="823">
        <f>IF(C28="部分撤去工事",SUMIF(N29:N46,"費用",I29:I46),0)</f>
        <v>0</v>
      </c>
      <c r="M47" s="820"/>
      <c r="O47" s="226"/>
      <c r="P47" s="227"/>
      <c r="Q47" s="228"/>
      <c r="R47" s="228"/>
      <c r="S47" s="228"/>
      <c r="T47" s="228"/>
      <c r="U47" s="228"/>
      <c r="V47" s="228"/>
      <c r="W47" s="228"/>
      <c r="X47" s="229"/>
      <c r="Y47" s="229"/>
      <c r="Z47" s="229"/>
      <c r="AA47" s="229"/>
      <c r="AB47" s="229"/>
      <c r="AC47" s="228"/>
      <c r="AD47" s="461"/>
      <c r="AE47" s="462"/>
      <c r="AF47" s="228"/>
      <c r="AG47" s="228"/>
      <c r="AH47" s="228"/>
      <c r="AI47" s="789"/>
    </row>
    <row r="48" spans="1:35" ht="14.25" customHeight="1">
      <c r="E48" s="124" t="s">
        <v>88</v>
      </c>
      <c r="F48" s="125">
        <f>+F25+1</f>
        <v>2</v>
      </c>
      <c r="G48" s="126" t="s">
        <v>89</v>
      </c>
      <c r="H48" s="127">
        <f>+$H$25</f>
        <v>15</v>
      </c>
      <c r="I48" s="127"/>
      <c r="M48" s="819" t="str">
        <f>IF(A50="","EOL","")</f>
        <v/>
      </c>
      <c r="N48" s="1">
        <f>+F48</f>
        <v>2</v>
      </c>
      <c r="O48" s="1"/>
      <c r="P48" s="1"/>
    </row>
    <row r="49" spans="1:33" ht="26.1" customHeight="1" thickBot="1">
      <c r="C49" s="2615" t="s">
        <v>332</v>
      </c>
      <c r="D49" s="2615"/>
      <c r="E49" s="2615"/>
      <c r="F49" s="2615"/>
      <c r="G49" s="2615"/>
      <c r="H49" s="2615"/>
      <c r="I49" s="2615"/>
      <c r="J49" s="2615"/>
      <c r="K49" s="2615"/>
      <c r="L49" s="2615"/>
      <c r="O49" s="2642" t="s">
        <v>134</v>
      </c>
      <c r="P49" s="2643"/>
      <c r="Q49" s="2643"/>
      <c r="R49" s="2643"/>
      <c r="S49" s="2643"/>
      <c r="T49" s="2643"/>
      <c r="U49" s="2643"/>
      <c r="V49" s="2643"/>
      <c r="W49" s="2643"/>
      <c r="X49" s="2643"/>
      <c r="Y49" s="2643"/>
      <c r="Z49" s="2643"/>
      <c r="AA49" s="2643"/>
      <c r="AB49" s="2643"/>
      <c r="AC49" s="2643"/>
      <c r="AD49" s="2643"/>
      <c r="AE49" s="2643"/>
      <c r="AF49" s="2643"/>
      <c r="AG49" s="2644"/>
    </row>
    <row r="50" spans="1:33" ht="42" customHeight="1">
      <c r="A50" s="5" t="s">
        <v>12</v>
      </c>
      <c r="B50" s="5" t="s">
        <v>9</v>
      </c>
      <c r="C50" s="113" t="s">
        <v>0</v>
      </c>
      <c r="D50" s="109"/>
      <c r="E50" s="110" t="s">
        <v>1</v>
      </c>
      <c r="F50" s="111" t="s">
        <v>2</v>
      </c>
      <c r="G50" s="111" t="s">
        <v>3</v>
      </c>
      <c r="H50" s="112" t="s">
        <v>4</v>
      </c>
      <c r="I50" s="112" t="s">
        <v>5</v>
      </c>
      <c r="J50" s="2612" t="s">
        <v>6</v>
      </c>
      <c r="K50" s="2613"/>
      <c r="L50" s="2614"/>
      <c r="M50" s="521"/>
      <c r="N50" s="522" t="s">
        <v>391</v>
      </c>
      <c r="O50" s="157" t="s">
        <v>67</v>
      </c>
      <c r="P50" s="385" t="s">
        <v>275</v>
      </c>
      <c r="Q50" s="156" t="s">
        <v>216</v>
      </c>
      <c r="R50" s="275" t="s">
        <v>218</v>
      </c>
      <c r="S50" s="275" t="s">
        <v>219</v>
      </c>
      <c r="T50" s="275" t="s">
        <v>276</v>
      </c>
      <c r="U50" s="275" t="s">
        <v>128</v>
      </c>
      <c r="V50" s="156" t="s">
        <v>127</v>
      </c>
      <c r="W50" s="275" t="s">
        <v>277</v>
      </c>
      <c r="X50" s="223" t="s">
        <v>220</v>
      </c>
      <c r="Y50" s="223" t="s">
        <v>221</v>
      </c>
      <c r="Z50" s="223" t="s">
        <v>222</v>
      </c>
      <c r="AA50" s="223" t="s">
        <v>223</v>
      </c>
      <c r="AB50" s="161" t="s">
        <v>278</v>
      </c>
      <c r="AC50" s="158" t="s">
        <v>130</v>
      </c>
      <c r="AD50" s="155" t="s">
        <v>133</v>
      </c>
      <c r="AE50" s="155" t="s">
        <v>131</v>
      </c>
      <c r="AF50" s="155" t="s">
        <v>132</v>
      </c>
      <c r="AG50" s="155"/>
    </row>
    <row r="51" spans="1:33" ht="24" customHeight="1">
      <c r="A51" s="38"/>
      <c r="B51" s="38"/>
      <c r="C51" s="132" t="s">
        <v>241</v>
      </c>
      <c r="D51" s="99"/>
      <c r="E51" s="100"/>
      <c r="F51" s="272"/>
      <c r="G51" s="136"/>
      <c r="H51" s="94" t="s">
        <v>11</v>
      </c>
      <c r="I51" s="94" t="s">
        <v>11</v>
      </c>
      <c r="J51" s="2609"/>
      <c r="K51" s="2610"/>
      <c r="L51" s="2611"/>
      <c r="M51" s="523"/>
      <c r="N51" s="524"/>
      <c r="O51" s="226"/>
      <c r="P51" s="227"/>
      <c r="Q51" s="228"/>
      <c r="R51" s="228"/>
      <c r="S51" s="228"/>
      <c r="T51" s="228"/>
      <c r="U51" s="228"/>
      <c r="V51" s="228"/>
      <c r="W51" s="228"/>
      <c r="X51" s="229"/>
      <c r="Y51" s="229"/>
      <c r="Z51" s="229"/>
      <c r="AA51" s="229"/>
      <c r="AB51" s="231"/>
      <c r="AC51" s="230"/>
      <c r="AD51" s="228"/>
      <c r="AE51" s="228"/>
      <c r="AF51" s="228"/>
      <c r="AG51" s="228"/>
    </row>
    <row r="52" spans="1:33" s="39" customFormat="1" ht="24" customHeight="1">
      <c r="A52" s="38"/>
      <c r="B52" s="38"/>
      <c r="C52" s="105"/>
      <c r="D52" s="65"/>
      <c r="E52" s="102"/>
      <c r="F52" s="273"/>
      <c r="G52" s="118"/>
      <c r="H52" s="137"/>
      <c r="I52" s="104" t="str">
        <f>IF(F52="","",INT(F52*H52))</f>
        <v/>
      </c>
      <c r="J52" s="65"/>
      <c r="K52" s="65"/>
      <c r="L52" s="66"/>
      <c r="M52" s="525"/>
      <c r="N52" s="520"/>
      <c r="O52" s="226"/>
      <c r="P52" s="227"/>
      <c r="Q52" s="228"/>
      <c r="R52" s="228"/>
      <c r="S52" s="228"/>
      <c r="T52" s="228"/>
      <c r="U52" s="228"/>
      <c r="V52" s="228"/>
      <c r="W52" s="228"/>
      <c r="X52" s="229"/>
      <c r="Y52" s="229"/>
      <c r="Z52" s="229"/>
      <c r="AA52" s="229"/>
      <c r="AB52" s="231"/>
      <c r="AC52" s="230"/>
      <c r="AD52" s="228"/>
      <c r="AE52" s="228"/>
      <c r="AF52" s="228"/>
      <c r="AG52" s="228"/>
    </row>
    <row r="53" spans="1:33" s="39" customFormat="1" ht="24" customHeight="1">
      <c r="A53" s="38"/>
      <c r="B53" s="38"/>
      <c r="C53" s="105"/>
      <c r="D53" s="65"/>
      <c r="E53" s="102"/>
      <c r="F53" s="273"/>
      <c r="G53" s="118"/>
      <c r="H53" s="137"/>
      <c r="I53" s="104" t="str">
        <f t="shared" ref="I53:I69" si="1">IF(F53="","",INT(F53*H53))</f>
        <v/>
      </c>
      <c r="J53" s="65"/>
      <c r="K53" s="65"/>
      <c r="L53" s="66"/>
      <c r="M53" s="525"/>
      <c r="N53" s="520"/>
      <c r="O53" s="226"/>
      <c r="P53" s="227"/>
      <c r="Q53" s="228"/>
      <c r="R53" s="228"/>
      <c r="S53" s="228"/>
      <c r="T53" s="228"/>
      <c r="U53" s="228"/>
      <c r="V53" s="228"/>
      <c r="W53" s="228"/>
      <c r="X53" s="229"/>
      <c r="Y53" s="229"/>
      <c r="Z53" s="229"/>
      <c r="AA53" s="229"/>
      <c r="AB53" s="231"/>
      <c r="AC53" s="230"/>
      <c r="AD53" s="228"/>
      <c r="AE53" s="228"/>
      <c r="AF53" s="228"/>
      <c r="AG53" s="228"/>
    </row>
    <row r="54" spans="1:33" s="39" customFormat="1" ht="24" customHeight="1">
      <c r="A54" s="38"/>
      <c r="B54" s="38"/>
      <c r="C54" s="105"/>
      <c r="D54" s="65"/>
      <c r="E54" s="102"/>
      <c r="F54" s="273"/>
      <c r="G54" s="118"/>
      <c r="H54" s="137"/>
      <c r="I54" s="104" t="str">
        <f t="shared" si="1"/>
        <v/>
      </c>
      <c r="J54" s="65"/>
      <c r="K54" s="65"/>
      <c r="L54" s="66"/>
      <c r="M54" s="525"/>
      <c r="N54" s="520"/>
      <c r="O54" s="226"/>
      <c r="P54" s="227"/>
      <c r="Q54" s="228"/>
      <c r="R54" s="228"/>
      <c r="S54" s="228"/>
      <c r="T54" s="228"/>
      <c r="U54" s="228"/>
      <c r="V54" s="228"/>
      <c r="W54" s="228"/>
      <c r="X54" s="229"/>
      <c r="Y54" s="229"/>
      <c r="Z54" s="229"/>
      <c r="AA54" s="229"/>
      <c r="AB54" s="231"/>
      <c r="AC54" s="230"/>
      <c r="AD54" s="228"/>
      <c r="AE54" s="228"/>
      <c r="AF54" s="228"/>
      <c r="AG54" s="228"/>
    </row>
    <row r="55" spans="1:33" s="39" customFormat="1" ht="24" customHeight="1">
      <c r="A55" s="38"/>
      <c r="B55" s="38"/>
      <c r="C55" s="138"/>
      <c r="D55" s="65"/>
      <c r="E55" s="102"/>
      <c r="F55" s="273"/>
      <c r="G55" s="118"/>
      <c r="H55" s="137"/>
      <c r="I55" s="104" t="str">
        <f t="shared" si="1"/>
        <v/>
      </c>
      <c r="J55" s="65"/>
      <c r="K55" s="65"/>
      <c r="L55" s="66"/>
      <c r="M55" s="525"/>
      <c r="N55" s="520"/>
      <c r="O55" s="226"/>
      <c r="P55" s="227"/>
      <c r="Q55" s="228"/>
      <c r="R55" s="228"/>
      <c r="S55" s="228"/>
      <c r="T55" s="228"/>
      <c r="U55" s="228"/>
      <c r="V55" s="228"/>
      <c r="W55" s="228"/>
      <c r="X55" s="229"/>
      <c r="Y55" s="229"/>
      <c r="Z55" s="229"/>
      <c r="AA55" s="229"/>
      <c r="AB55" s="231"/>
      <c r="AC55" s="230"/>
      <c r="AD55" s="228"/>
      <c r="AE55" s="228"/>
      <c r="AF55" s="228"/>
      <c r="AG55" s="228"/>
    </row>
    <row r="56" spans="1:33" s="39" customFormat="1" ht="24" customHeight="1">
      <c r="A56" s="38"/>
      <c r="B56" s="38"/>
      <c r="C56" s="105"/>
      <c r="D56" s="65"/>
      <c r="E56" s="102"/>
      <c r="F56" s="273"/>
      <c r="G56" s="118"/>
      <c r="H56" s="137"/>
      <c r="I56" s="104" t="str">
        <f t="shared" si="1"/>
        <v/>
      </c>
      <c r="J56" s="65"/>
      <c r="K56" s="65"/>
      <c r="L56" s="66"/>
      <c r="M56" s="525"/>
      <c r="N56" s="520"/>
      <c r="O56" s="226"/>
      <c r="P56" s="227"/>
      <c r="Q56" s="228"/>
      <c r="R56" s="228"/>
      <c r="S56" s="228"/>
      <c r="T56" s="228"/>
      <c r="U56" s="228"/>
      <c r="V56" s="228"/>
      <c r="W56" s="228"/>
      <c r="X56" s="229"/>
      <c r="Y56" s="229"/>
      <c r="Z56" s="229"/>
      <c r="AA56" s="229"/>
      <c r="AB56" s="231"/>
      <c r="AC56" s="230"/>
      <c r="AD56" s="228"/>
      <c r="AE56" s="228"/>
      <c r="AF56" s="228"/>
      <c r="AG56" s="228"/>
    </row>
    <row r="57" spans="1:33" s="39" customFormat="1" ht="24" customHeight="1">
      <c r="A57" s="38"/>
      <c r="B57" s="38"/>
      <c r="C57" s="105"/>
      <c r="D57" s="65"/>
      <c r="E57" s="102"/>
      <c r="F57" s="273"/>
      <c r="G57" s="118"/>
      <c r="H57" s="137"/>
      <c r="I57" s="104" t="str">
        <f t="shared" si="1"/>
        <v/>
      </c>
      <c r="J57" s="65"/>
      <c r="K57" s="65"/>
      <c r="L57" s="66"/>
      <c r="M57" s="525"/>
      <c r="N57" s="520"/>
      <c r="O57" s="226"/>
      <c r="P57" s="227"/>
      <c r="Q57" s="228"/>
      <c r="R57" s="228"/>
      <c r="S57" s="228"/>
      <c r="T57" s="228"/>
      <c r="U57" s="228"/>
      <c r="V57" s="228"/>
      <c r="W57" s="228"/>
      <c r="X57" s="229"/>
      <c r="Y57" s="229"/>
      <c r="Z57" s="229"/>
      <c r="AA57" s="229"/>
      <c r="AB57" s="231"/>
      <c r="AC57" s="230"/>
      <c r="AD57" s="228"/>
      <c r="AE57" s="228"/>
      <c r="AF57" s="228"/>
      <c r="AG57" s="228"/>
    </row>
    <row r="58" spans="1:33" s="39" customFormat="1" ht="24" customHeight="1">
      <c r="A58" s="38"/>
      <c r="B58" s="38"/>
      <c r="C58" s="105"/>
      <c r="D58" s="65"/>
      <c r="E58" s="102"/>
      <c r="F58" s="273"/>
      <c r="G58" s="118"/>
      <c r="H58" s="137"/>
      <c r="I58" s="104" t="str">
        <f t="shared" si="1"/>
        <v/>
      </c>
      <c r="J58" s="65"/>
      <c r="K58" s="65"/>
      <c r="L58" s="66"/>
      <c r="M58" s="525"/>
      <c r="N58" s="520"/>
      <c r="O58" s="226"/>
      <c r="P58" s="227"/>
      <c r="Q58" s="228"/>
      <c r="R58" s="228"/>
      <c r="S58" s="228"/>
      <c r="T58" s="228"/>
      <c r="U58" s="228"/>
      <c r="V58" s="228"/>
      <c r="W58" s="228"/>
      <c r="X58" s="229"/>
      <c r="Y58" s="229"/>
      <c r="Z58" s="229"/>
      <c r="AA58" s="229"/>
      <c r="AB58" s="231"/>
      <c r="AC58" s="230"/>
      <c r="AD58" s="228"/>
      <c r="AE58" s="228"/>
      <c r="AF58" s="228"/>
      <c r="AG58" s="228"/>
    </row>
    <row r="59" spans="1:33" s="39" customFormat="1" ht="24" customHeight="1">
      <c r="A59" s="38"/>
      <c r="B59" s="38"/>
      <c r="C59" s="105"/>
      <c r="D59" s="65"/>
      <c r="E59" s="102"/>
      <c r="F59" s="273"/>
      <c r="G59" s="118"/>
      <c r="H59" s="137"/>
      <c r="I59" s="104" t="str">
        <f t="shared" si="1"/>
        <v/>
      </c>
      <c r="J59" s="65"/>
      <c r="K59" s="65"/>
      <c r="L59" s="66"/>
      <c r="M59" s="525"/>
      <c r="N59" s="520"/>
      <c r="O59" s="226"/>
      <c r="P59" s="227"/>
      <c r="Q59" s="228"/>
      <c r="R59" s="228"/>
      <c r="S59" s="228"/>
      <c r="T59" s="228"/>
      <c r="U59" s="228"/>
      <c r="V59" s="228"/>
      <c r="W59" s="228"/>
      <c r="X59" s="229"/>
      <c r="Y59" s="229"/>
      <c r="Z59" s="229"/>
      <c r="AA59" s="229"/>
      <c r="AB59" s="231"/>
      <c r="AC59" s="230"/>
      <c r="AD59" s="228"/>
      <c r="AE59" s="228"/>
      <c r="AF59" s="228"/>
      <c r="AG59" s="228"/>
    </row>
    <row r="60" spans="1:33" s="39" customFormat="1" ht="24" customHeight="1">
      <c r="A60" s="38"/>
      <c r="B60" s="38"/>
      <c r="C60" s="105"/>
      <c r="D60" s="65"/>
      <c r="E60" s="102"/>
      <c r="F60" s="273"/>
      <c r="G60" s="118"/>
      <c r="H60" s="137"/>
      <c r="I60" s="104" t="str">
        <f t="shared" si="1"/>
        <v/>
      </c>
      <c r="J60" s="65"/>
      <c r="K60" s="65"/>
      <c r="L60" s="66"/>
      <c r="M60" s="525"/>
      <c r="N60" s="520"/>
      <c r="O60" s="226"/>
      <c r="P60" s="227"/>
      <c r="Q60" s="228"/>
      <c r="R60" s="228"/>
      <c r="S60" s="228"/>
      <c r="T60" s="228"/>
      <c r="U60" s="228"/>
      <c r="V60" s="228"/>
      <c r="W60" s="228"/>
      <c r="X60" s="229"/>
      <c r="Y60" s="229"/>
      <c r="Z60" s="229"/>
      <c r="AA60" s="229"/>
      <c r="AB60" s="231"/>
      <c r="AC60" s="230"/>
      <c r="AD60" s="228"/>
      <c r="AE60" s="228"/>
      <c r="AF60" s="228"/>
      <c r="AG60" s="228"/>
    </row>
    <row r="61" spans="1:33" s="39" customFormat="1" ht="24" customHeight="1">
      <c r="A61" s="38"/>
      <c r="B61" s="38"/>
      <c r="C61" s="105"/>
      <c r="D61" s="65"/>
      <c r="E61" s="102"/>
      <c r="F61" s="273"/>
      <c r="G61" s="118"/>
      <c r="H61" s="137"/>
      <c r="I61" s="104" t="str">
        <f t="shared" si="1"/>
        <v/>
      </c>
      <c r="J61" s="65"/>
      <c r="K61" s="65"/>
      <c r="L61" s="66"/>
      <c r="M61" s="525"/>
      <c r="N61" s="520"/>
      <c r="O61" s="226"/>
      <c r="P61" s="227"/>
      <c r="Q61" s="228"/>
      <c r="R61" s="228"/>
      <c r="S61" s="228"/>
      <c r="T61" s="228"/>
      <c r="U61" s="228"/>
      <c r="V61" s="228"/>
      <c r="W61" s="228"/>
      <c r="X61" s="229"/>
      <c r="Y61" s="229"/>
      <c r="Z61" s="229"/>
      <c r="AA61" s="229"/>
      <c r="AB61" s="231"/>
      <c r="AC61" s="230"/>
      <c r="AD61" s="228"/>
      <c r="AE61" s="228"/>
      <c r="AF61" s="228"/>
      <c r="AG61" s="228"/>
    </row>
    <row r="62" spans="1:33" s="39" customFormat="1" ht="24" customHeight="1">
      <c r="A62" s="38"/>
      <c r="B62" s="38"/>
      <c r="C62" s="105"/>
      <c r="D62" s="65"/>
      <c r="E62" s="102"/>
      <c r="F62" s="273"/>
      <c r="G62" s="118"/>
      <c r="H62" s="137"/>
      <c r="I62" s="104" t="str">
        <f t="shared" si="1"/>
        <v/>
      </c>
      <c r="J62" s="65"/>
      <c r="K62" s="65"/>
      <c r="L62" s="66"/>
      <c r="M62" s="525"/>
      <c r="N62" s="520"/>
      <c r="O62" s="226"/>
      <c r="P62" s="227"/>
      <c r="Q62" s="228"/>
      <c r="R62" s="228"/>
      <c r="S62" s="228"/>
      <c r="T62" s="228"/>
      <c r="U62" s="228"/>
      <c r="V62" s="228"/>
      <c r="W62" s="228"/>
      <c r="X62" s="229"/>
      <c r="Y62" s="229"/>
      <c r="Z62" s="229"/>
      <c r="AA62" s="229"/>
      <c r="AB62" s="231"/>
      <c r="AC62" s="230"/>
      <c r="AD62" s="228"/>
      <c r="AE62" s="228"/>
      <c r="AF62" s="228"/>
      <c r="AG62" s="228"/>
    </row>
    <row r="63" spans="1:33" s="39" customFormat="1" ht="24" customHeight="1">
      <c r="A63" s="38"/>
      <c r="B63" s="38"/>
      <c r="C63" s="105"/>
      <c r="D63" s="65"/>
      <c r="E63" s="102"/>
      <c r="F63" s="273"/>
      <c r="G63" s="118"/>
      <c r="H63" s="137"/>
      <c r="I63" s="104" t="str">
        <f t="shared" si="1"/>
        <v/>
      </c>
      <c r="J63" s="65"/>
      <c r="K63" s="65"/>
      <c r="L63" s="66"/>
      <c r="M63" s="525"/>
      <c r="N63" s="520"/>
      <c r="O63" s="226"/>
      <c r="P63" s="227"/>
      <c r="Q63" s="228"/>
      <c r="R63" s="228"/>
      <c r="S63" s="228"/>
      <c r="T63" s="228"/>
      <c r="U63" s="228"/>
      <c r="V63" s="228"/>
      <c r="W63" s="228"/>
      <c r="X63" s="229"/>
      <c r="Y63" s="229"/>
      <c r="Z63" s="229"/>
      <c r="AA63" s="229"/>
      <c r="AB63" s="231"/>
      <c r="AC63" s="230"/>
      <c r="AD63" s="228"/>
      <c r="AE63" s="228"/>
      <c r="AF63" s="228"/>
      <c r="AG63" s="228"/>
    </row>
    <row r="64" spans="1:33" s="39" customFormat="1" ht="24" customHeight="1">
      <c r="A64" s="38"/>
      <c r="B64" s="38"/>
      <c r="C64" s="105"/>
      <c r="D64" s="65"/>
      <c r="E64" s="102"/>
      <c r="F64" s="273"/>
      <c r="G64" s="118"/>
      <c r="H64" s="137"/>
      <c r="I64" s="104" t="str">
        <f t="shared" si="1"/>
        <v/>
      </c>
      <c r="J64" s="65"/>
      <c r="K64" s="65"/>
      <c r="L64" s="66"/>
      <c r="M64" s="525"/>
      <c r="N64" s="520"/>
      <c r="O64" s="226"/>
      <c r="P64" s="227"/>
      <c r="Q64" s="228"/>
      <c r="R64" s="228"/>
      <c r="S64" s="228"/>
      <c r="T64" s="228"/>
      <c r="U64" s="228"/>
      <c r="V64" s="228"/>
      <c r="W64" s="228"/>
      <c r="X64" s="229"/>
      <c r="Y64" s="229"/>
      <c r="Z64" s="229"/>
      <c r="AA64" s="229"/>
      <c r="AB64" s="231"/>
      <c r="AC64" s="230"/>
      <c r="AD64" s="228"/>
      <c r="AE64" s="228"/>
      <c r="AF64" s="228"/>
      <c r="AG64" s="228"/>
    </row>
    <row r="65" spans="1:33" s="39" customFormat="1" ht="24" customHeight="1">
      <c r="A65" s="38"/>
      <c r="B65" s="38"/>
      <c r="C65" s="105"/>
      <c r="D65" s="65"/>
      <c r="E65" s="102"/>
      <c r="F65" s="273"/>
      <c r="G65" s="118"/>
      <c r="H65" s="137"/>
      <c r="I65" s="104" t="str">
        <f t="shared" si="1"/>
        <v/>
      </c>
      <c r="J65" s="65"/>
      <c r="K65" s="65"/>
      <c r="L65" s="66"/>
      <c r="M65" s="525"/>
      <c r="N65" s="520"/>
      <c r="O65" s="226"/>
      <c r="P65" s="227"/>
      <c r="Q65" s="228"/>
      <c r="R65" s="228"/>
      <c r="S65" s="228"/>
      <c r="T65" s="228"/>
      <c r="U65" s="228"/>
      <c r="V65" s="228"/>
      <c r="W65" s="228"/>
      <c r="X65" s="229"/>
      <c r="Y65" s="229"/>
      <c r="Z65" s="229"/>
      <c r="AA65" s="229"/>
      <c r="AB65" s="231"/>
      <c r="AC65" s="230"/>
      <c r="AD65" s="228"/>
      <c r="AE65" s="228"/>
      <c r="AF65" s="228"/>
      <c r="AG65" s="228"/>
    </row>
    <row r="66" spans="1:33" s="39" customFormat="1" ht="24" customHeight="1">
      <c r="A66" s="38"/>
      <c r="B66" s="38"/>
      <c r="C66" s="105"/>
      <c r="D66" s="65"/>
      <c r="E66" s="102"/>
      <c r="F66" s="273"/>
      <c r="G66" s="118"/>
      <c r="H66" s="137"/>
      <c r="I66" s="104" t="str">
        <f t="shared" si="1"/>
        <v/>
      </c>
      <c r="J66" s="65"/>
      <c r="K66" s="65"/>
      <c r="L66" s="66"/>
      <c r="M66" s="525"/>
      <c r="N66" s="520"/>
      <c r="O66" s="226"/>
      <c r="P66" s="227"/>
      <c r="Q66" s="228"/>
      <c r="R66" s="228"/>
      <c r="S66" s="228"/>
      <c r="T66" s="228"/>
      <c r="U66" s="228"/>
      <c r="V66" s="228"/>
      <c r="W66" s="228"/>
      <c r="X66" s="229"/>
      <c r="Y66" s="229"/>
      <c r="Z66" s="229"/>
      <c r="AA66" s="229"/>
      <c r="AB66" s="231"/>
      <c r="AC66" s="230"/>
      <c r="AD66" s="228"/>
      <c r="AE66" s="228"/>
      <c r="AF66" s="228"/>
      <c r="AG66" s="228"/>
    </row>
    <row r="67" spans="1:33" s="39" customFormat="1" ht="24" customHeight="1">
      <c r="A67" s="38"/>
      <c r="B67" s="38"/>
      <c r="C67" s="105"/>
      <c r="D67" s="65"/>
      <c r="E67" s="102"/>
      <c r="F67" s="273"/>
      <c r="G67" s="118"/>
      <c r="H67" s="137"/>
      <c r="I67" s="104" t="str">
        <f t="shared" si="1"/>
        <v/>
      </c>
      <c r="J67" s="65"/>
      <c r="K67" s="65"/>
      <c r="L67" s="66"/>
      <c r="M67" s="525"/>
      <c r="N67" s="520"/>
      <c r="O67" s="226"/>
      <c r="P67" s="227"/>
      <c r="Q67" s="228"/>
      <c r="R67" s="228"/>
      <c r="S67" s="228"/>
      <c r="T67" s="228"/>
      <c r="U67" s="228"/>
      <c r="V67" s="228"/>
      <c r="W67" s="228"/>
      <c r="X67" s="229"/>
      <c r="Y67" s="229"/>
      <c r="Z67" s="229"/>
      <c r="AA67" s="229"/>
      <c r="AB67" s="231"/>
      <c r="AC67" s="230"/>
      <c r="AD67" s="228"/>
      <c r="AE67" s="228"/>
      <c r="AF67" s="228"/>
      <c r="AG67" s="228"/>
    </row>
    <row r="68" spans="1:33" s="39" customFormat="1" ht="24" customHeight="1">
      <c r="A68" s="38"/>
      <c r="B68" s="38"/>
      <c r="C68" s="105"/>
      <c r="D68" s="65"/>
      <c r="E68" s="102"/>
      <c r="F68" s="273"/>
      <c r="G68" s="118"/>
      <c r="H68" s="137"/>
      <c r="I68" s="104" t="str">
        <f t="shared" si="1"/>
        <v/>
      </c>
      <c r="J68" s="65"/>
      <c r="K68" s="65"/>
      <c r="L68" s="66"/>
      <c r="M68" s="525"/>
      <c r="N68" s="520"/>
      <c r="O68" s="226"/>
      <c r="P68" s="227"/>
      <c r="Q68" s="228"/>
      <c r="R68" s="228"/>
      <c r="S68" s="228"/>
      <c r="T68" s="228"/>
      <c r="U68" s="228"/>
      <c r="V68" s="228"/>
      <c r="W68" s="228"/>
      <c r="X68" s="229"/>
      <c r="Y68" s="229"/>
      <c r="Z68" s="229"/>
      <c r="AA68" s="229"/>
      <c r="AB68" s="231"/>
      <c r="AC68" s="230"/>
      <c r="AD68" s="228"/>
      <c r="AE68" s="228"/>
      <c r="AF68" s="228"/>
      <c r="AG68" s="228"/>
    </row>
    <row r="69" spans="1:33" s="39" customFormat="1" ht="24" customHeight="1">
      <c r="A69" s="38"/>
      <c r="B69" s="38"/>
      <c r="C69" s="105"/>
      <c r="D69" s="65"/>
      <c r="E69" s="102"/>
      <c r="F69" s="273"/>
      <c r="G69" s="118"/>
      <c r="H69" s="137"/>
      <c r="I69" s="104" t="str">
        <f t="shared" si="1"/>
        <v/>
      </c>
      <c r="J69" s="65"/>
      <c r="K69" s="65"/>
      <c r="L69" s="66"/>
      <c r="M69" s="525"/>
      <c r="N69" s="520"/>
      <c r="O69" s="226"/>
      <c r="P69" s="227"/>
      <c r="Q69" s="228"/>
      <c r="R69" s="228"/>
      <c r="S69" s="228"/>
      <c r="T69" s="228"/>
      <c r="U69" s="228"/>
      <c r="V69" s="228"/>
      <c r="W69" s="228"/>
      <c r="X69" s="229"/>
      <c r="Y69" s="229"/>
      <c r="Z69" s="229"/>
      <c r="AA69" s="229"/>
      <c r="AB69" s="231"/>
      <c r="AC69" s="230"/>
      <c r="AD69" s="228"/>
      <c r="AE69" s="228"/>
      <c r="AF69" s="228"/>
      <c r="AG69" s="228"/>
    </row>
    <row r="70" spans="1:33" ht="24" customHeight="1" thickBot="1">
      <c r="A70" s="38"/>
      <c r="B70" s="38"/>
      <c r="C70" s="106"/>
      <c r="D70" s="95" t="s">
        <v>8</v>
      </c>
      <c r="E70" s="107"/>
      <c r="F70" s="274"/>
      <c r="G70" s="121"/>
      <c r="H70" s="131" t="s">
        <v>70</v>
      </c>
      <c r="I70" s="108">
        <f>SUM(I52:I69)</f>
        <v>0</v>
      </c>
      <c r="J70" s="825" t="str">
        <f>IF(C51="部分撤去工事","）うち費用",")")</f>
        <v>)</v>
      </c>
      <c r="K70" s="824">
        <f>IF(C51="部分撤去工事",(K47+L70),0)</f>
        <v>0</v>
      </c>
      <c r="L70" s="823">
        <f>IF(C51="部分撤去工事",SUMIF(N52:N69,"費用",I52:I69),0)</f>
        <v>0</v>
      </c>
      <c r="M70" s="526"/>
      <c r="N70" s="527"/>
      <c r="O70" s="226"/>
      <c r="P70" s="227"/>
      <c r="Q70" s="228"/>
      <c r="R70" s="228"/>
      <c r="S70" s="228"/>
      <c r="T70" s="228"/>
      <c r="U70" s="228"/>
      <c r="V70" s="228"/>
      <c r="W70" s="228"/>
      <c r="X70" s="229"/>
      <c r="Y70" s="229"/>
      <c r="Z70" s="229"/>
      <c r="AA70" s="229"/>
      <c r="AB70" s="231"/>
      <c r="AC70" s="230"/>
      <c r="AD70" s="228"/>
      <c r="AE70" s="228"/>
      <c r="AF70" s="228"/>
      <c r="AG70" s="228"/>
    </row>
    <row r="71" spans="1:33" ht="14.25" customHeight="1">
      <c r="E71" s="124" t="s">
        <v>88</v>
      </c>
      <c r="F71" s="125">
        <f>+F48+1</f>
        <v>3</v>
      </c>
      <c r="G71" s="126" t="s">
        <v>49</v>
      </c>
      <c r="H71" s="127">
        <f>+$H$25</f>
        <v>15</v>
      </c>
      <c r="I71" s="127"/>
      <c r="M71" s="40" t="str">
        <f>IF(A73="","EOL","")</f>
        <v>EOL</v>
      </c>
      <c r="N71" s="1">
        <f>+F71</f>
        <v>3</v>
      </c>
      <c r="O71" s="1"/>
      <c r="P71" s="1"/>
    </row>
  </sheetData>
  <mergeCells count="12">
    <mergeCell ref="J4:L4"/>
    <mergeCell ref="J27:L27"/>
    <mergeCell ref="O3:AG3"/>
    <mergeCell ref="O26:AG26"/>
    <mergeCell ref="C3:L3"/>
    <mergeCell ref="C26:L26"/>
    <mergeCell ref="J5:L5"/>
    <mergeCell ref="C49:L49"/>
    <mergeCell ref="O49:AG49"/>
    <mergeCell ref="J50:L50"/>
    <mergeCell ref="J51:L51"/>
    <mergeCell ref="J28:L28"/>
  </mergeCells>
  <phoneticPr fontId="2"/>
  <dataValidations count="1">
    <dataValidation type="list" allowBlank="1" showInputMessage="1" showErrorMessage="1" prompt="費用/建物附属設備/工具・器具・備品の場合、選択してください。" sqref="N52:N69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9</vt:i4>
      </vt:variant>
    </vt:vector>
  </HeadingPairs>
  <TitlesOfParts>
    <vt:vector size="27" baseType="lpstr">
      <vt:lpstr>表紙</vt:lpstr>
      <vt:lpstr>資産管理明細書</vt:lpstr>
      <vt:lpstr>資産クラス</vt:lpstr>
      <vt:lpstr>工事1</vt:lpstr>
      <vt:lpstr>資産クラス一覧表</vt:lpstr>
      <vt:lpstr>小運搬 (1)</vt:lpstr>
      <vt:lpstr>工事2</vt:lpstr>
      <vt:lpstr>小運搬 (2)</vt:lpstr>
      <vt:lpstr>変更諸経費表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</vt:lpstr>
      <vt:lpstr>work</vt:lpstr>
      <vt:lpstr>新規シート</vt:lpstr>
      <vt:lpstr>見積比較!Print_Area</vt:lpstr>
      <vt:lpstr>見積類似!Print_Area</vt:lpstr>
      <vt:lpstr>工事1!Print_Area</vt:lpstr>
      <vt:lpstr>資産クラス!Print_Area</vt:lpstr>
      <vt:lpstr>資産管理明細書!Print_Area</vt:lpstr>
      <vt:lpstr>代価!Print_Area</vt:lpstr>
      <vt:lpstr>変更諸経費表!Print_Area</vt:lpstr>
      <vt:lpstr>'変更諸経費表(専業)'!Print_Area</vt:lpstr>
      <vt:lpstr>'変更諸経費表(専業)元'!Print_Area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鹿島　浩</cp:lastModifiedBy>
  <cp:lastPrinted>2020-09-07T01:57:59Z</cp:lastPrinted>
  <dcterms:created xsi:type="dcterms:W3CDTF">2000-06-20T23:47:24Z</dcterms:created>
  <dcterms:modified xsi:type="dcterms:W3CDTF">2020-10-01T02:08:47Z</dcterms:modified>
</cp:coreProperties>
</file>